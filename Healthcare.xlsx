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drawings/drawing6.xml" ContentType="application/vnd.openxmlformats-officedocument.drawing+xml"/>
  <Override PartName="/xl/slicers/slicer5.xml" ContentType="application/vnd.ms-excel.slicer+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eda6f8e9cb60f2/Desktop/DASHBOARDS/"/>
    </mc:Choice>
  </mc:AlternateContent>
  <xr:revisionPtr revIDLastSave="6770" documentId="13_ncr:1_{4B636A5C-3CAB-4B65-AEF5-135AF0ECCC4F}" xr6:coauthVersionLast="47" xr6:coauthVersionMax="47" xr10:uidLastSave="{2DA9378B-8B86-454C-BE7E-5AA922DB7450}"/>
  <bookViews>
    <workbookView showSheetTabs="0" xWindow="-108" yWindow="-108" windowWidth="23256" windowHeight="13896" tabRatio="630" activeTab="2" xr2:uid="{0BC99C5C-0872-4426-A068-4135A9DCCB87}"/>
  </bookViews>
  <sheets>
    <sheet name="Raw Data" sheetId="1" r:id="rId1"/>
    <sheet name="Pivot Table" sheetId="5" r:id="rId2"/>
    <sheet name="Overview" sheetId="8" r:id="rId3"/>
    <sheet name="Financial Analysis" sheetId="9" r:id="rId4"/>
    <sheet name="Doctor Performance" sheetId="12" r:id="rId5"/>
    <sheet name="Department Performance" sheetId="13" r:id="rId6"/>
    <sheet name="Patient Analysis" sheetId="14" r:id="rId7"/>
  </sheets>
  <definedNames>
    <definedName name="_xlchart.v1.0" hidden="1">'Pivot Table'!$CE$33:$CE$40</definedName>
    <definedName name="_xlchart.v1.1" hidden="1">'Pivot Table'!$CF$33:$CF$40</definedName>
    <definedName name="Slicer_Department">#N/A</definedName>
    <definedName name="Slicer_Diagnosis">#N/A</definedName>
    <definedName name="Slicer_Insurance_Status">#N/A</definedName>
    <definedName name="Slicer_Month1">#N/A</definedName>
    <definedName name="Slicer_Region1">#N/A</definedName>
    <definedName name="Slicer_Treatment_Status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34" i="5" l="1"/>
  <c r="CF35" i="5"/>
  <c r="CF36" i="5"/>
  <c r="CF37" i="5"/>
  <c r="CF38" i="5"/>
  <c r="CF39" i="5"/>
  <c r="CF40" i="5"/>
  <c r="CF33" i="5"/>
  <c r="CE33" i="5"/>
  <c r="CE34" i="5"/>
  <c r="CE40" i="5"/>
  <c r="CE35" i="5"/>
  <c r="CE36" i="5"/>
  <c r="CE37" i="5"/>
  <c r="CE38" i="5"/>
  <c r="CE39" i="5"/>
  <c r="BI16" i="5" l="1"/>
  <c r="BH17" i="5"/>
  <c r="BH18" i="5"/>
  <c r="BH19" i="5"/>
  <c r="BH20" i="5"/>
  <c r="BH21" i="5"/>
  <c r="BH16" i="5"/>
  <c r="BJ17" i="5"/>
  <c r="BJ18" i="5"/>
  <c r="BJ19" i="5"/>
  <c r="BJ20" i="5"/>
  <c r="BJ21" i="5"/>
  <c r="BJ16" i="5"/>
  <c r="BI18" i="5"/>
  <c r="BI20" i="5"/>
  <c r="BI21" i="5"/>
  <c r="BI17" i="5"/>
  <c r="BI19" i="5"/>
  <c r="I7" i="5"/>
  <c r="M163" i="1"/>
  <c r="M499" i="1"/>
  <c r="R499" i="1" s="1"/>
  <c r="M487" i="1"/>
  <c r="R487" i="1" s="1"/>
  <c r="M480" i="1"/>
  <c r="R480" i="1" s="1"/>
  <c r="M468" i="1"/>
  <c r="R468" i="1" s="1"/>
  <c r="M463" i="1"/>
  <c r="R463" i="1" s="1"/>
  <c r="M453" i="1"/>
  <c r="R453" i="1" s="1"/>
  <c r="M446" i="1"/>
  <c r="R446" i="1" s="1"/>
  <c r="M440" i="1"/>
  <c r="R440" i="1" s="1"/>
  <c r="M431" i="1"/>
  <c r="R431" i="1" s="1"/>
  <c r="M424" i="1"/>
  <c r="R424" i="1" s="1"/>
  <c r="M409" i="1"/>
  <c r="R409" i="1" s="1"/>
  <c r="M401" i="1"/>
  <c r="R401" i="1" s="1"/>
  <c r="M396" i="1"/>
  <c r="R396" i="1" s="1"/>
  <c r="M392" i="1"/>
  <c r="R392" i="1" s="1"/>
  <c r="M387" i="1"/>
  <c r="R387" i="1" s="1"/>
  <c r="M377" i="1"/>
  <c r="R377" i="1" s="1"/>
  <c r="M369" i="1"/>
  <c r="R369" i="1" s="1"/>
  <c r="M357" i="1"/>
  <c r="R357" i="1" s="1"/>
  <c r="M351" i="1"/>
  <c r="R351" i="1" s="1"/>
  <c r="M348" i="1"/>
  <c r="R348" i="1" s="1"/>
  <c r="M332" i="1"/>
  <c r="R332" i="1" s="1"/>
  <c r="M329" i="1"/>
  <c r="R329" i="1" s="1"/>
  <c r="M322" i="1"/>
  <c r="R322" i="1" s="1"/>
  <c r="M319" i="1"/>
  <c r="R319" i="1" s="1"/>
  <c r="M309" i="1"/>
  <c r="R309" i="1" s="1"/>
  <c r="M299" i="1"/>
  <c r="R299" i="1" s="1"/>
  <c r="M298" i="1"/>
  <c r="R298" i="1" s="1"/>
  <c r="M289" i="1"/>
  <c r="R289" i="1" s="1"/>
  <c r="M277" i="1"/>
  <c r="R277" i="1" s="1"/>
  <c r="M276" i="1"/>
  <c r="R276" i="1" s="1"/>
  <c r="M275" i="1"/>
  <c r="R275" i="1" s="1"/>
  <c r="M258" i="1"/>
  <c r="R258" i="1" s="1"/>
  <c r="M247" i="1"/>
  <c r="R247" i="1" s="1"/>
  <c r="M245" i="1"/>
  <c r="R245" i="1" s="1"/>
  <c r="M228" i="1"/>
  <c r="R228" i="1" s="1"/>
  <c r="M202" i="1"/>
  <c r="R202" i="1" s="1"/>
  <c r="M196" i="1"/>
  <c r="R196" i="1" s="1"/>
  <c r="M170" i="1"/>
  <c r="R170" i="1" s="1"/>
  <c r="M160" i="1"/>
  <c r="R160" i="1" s="1"/>
  <c r="M151" i="1"/>
  <c r="R151" i="1" s="1"/>
  <c r="M144" i="1"/>
  <c r="R144" i="1" s="1"/>
  <c r="M135" i="1"/>
  <c r="R135" i="1" s="1"/>
  <c r="M126" i="1"/>
  <c r="R126" i="1" s="1"/>
  <c r="M123" i="1"/>
  <c r="R123" i="1" s="1"/>
  <c r="M113" i="1"/>
  <c r="R113" i="1" s="1"/>
  <c r="M106" i="1"/>
  <c r="R106" i="1" s="1"/>
  <c r="M99" i="1"/>
  <c r="R99" i="1" s="1"/>
  <c r="M88" i="1"/>
  <c r="R88" i="1" s="1"/>
  <c r="M84" i="1"/>
  <c r="R84" i="1" s="1"/>
  <c r="M81" i="1"/>
  <c r="R81" i="1" s="1"/>
  <c r="M80" i="1"/>
  <c r="R80" i="1" s="1"/>
  <c r="M64" i="1"/>
  <c r="R64" i="1" s="1"/>
  <c r="M56" i="1"/>
  <c r="R56" i="1" s="1"/>
  <c r="M53" i="1"/>
  <c r="R53" i="1" s="1"/>
  <c r="M49" i="1"/>
  <c r="R49" i="1" s="1"/>
  <c r="M43" i="1"/>
  <c r="R43" i="1" s="1"/>
  <c r="M41" i="1"/>
  <c r="R41" i="1" s="1"/>
  <c r="M40" i="1"/>
  <c r="R40" i="1" s="1"/>
  <c r="M33" i="1"/>
  <c r="R33" i="1" s="1"/>
  <c r="M23" i="1"/>
  <c r="R23" i="1" s="1"/>
  <c r="M21" i="1"/>
  <c r="R21" i="1" s="1"/>
  <c r="M5" i="1"/>
  <c r="R5" i="1" s="1"/>
  <c r="O7" i="1"/>
  <c r="O8" i="1"/>
  <c r="O9" i="1"/>
  <c r="O10" i="1"/>
  <c r="O11" i="1"/>
  <c r="O12" i="1"/>
  <c r="O13" i="1"/>
  <c r="O14" i="1"/>
  <c r="O19" i="1"/>
  <c r="O20" i="1"/>
  <c r="O21" i="1"/>
  <c r="O22" i="1"/>
  <c r="O23" i="1"/>
  <c r="O24" i="1"/>
  <c r="O25" i="1"/>
  <c r="O26" i="1"/>
  <c r="O31" i="1"/>
  <c r="O32" i="1"/>
  <c r="O33" i="1"/>
  <c r="O34" i="1"/>
  <c r="O35" i="1"/>
  <c r="O36" i="1"/>
  <c r="O37" i="1"/>
  <c r="O38" i="1"/>
  <c r="O43" i="1"/>
  <c r="O44" i="1"/>
  <c r="O45" i="1"/>
  <c r="O46" i="1"/>
  <c r="O50" i="1"/>
  <c r="O55" i="1"/>
  <c r="O56" i="1"/>
  <c r="O57" i="1"/>
  <c r="O58" i="1"/>
  <c r="O59" i="1"/>
  <c r="O60" i="1"/>
  <c r="O61" i="1"/>
  <c r="O62" i="1"/>
  <c r="O67" i="1"/>
  <c r="O68" i="1"/>
  <c r="O69" i="1"/>
  <c r="O70" i="1"/>
  <c r="O71" i="1"/>
  <c r="O72" i="1"/>
  <c r="O73" i="1"/>
  <c r="O74" i="1"/>
  <c r="O79" i="1"/>
  <c r="O80" i="1"/>
  <c r="O81" i="1"/>
  <c r="O82" i="1"/>
  <c r="O86" i="1"/>
  <c r="O91" i="1"/>
  <c r="O92" i="1"/>
  <c r="O93" i="1"/>
  <c r="O94" i="1"/>
  <c r="O95" i="1"/>
  <c r="O96" i="1"/>
  <c r="O97" i="1"/>
  <c r="O98" i="1"/>
  <c r="O103" i="1"/>
  <c r="O104" i="1"/>
  <c r="O105" i="1"/>
  <c r="O106" i="1"/>
  <c r="O107" i="1"/>
  <c r="O108" i="1"/>
  <c r="O109" i="1"/>
  <c r="O110" i="1"/>
  <c r="O115" i="1"/>
  <c r="O116" i="1"/>
  <c r="O117" i="1"/>
  <c r="O118" i="1"/>
  <c r="O122" i="1"/>
  <c r="O127" i="1"/>
  <c r="O128" i="1"/>
  <c r="O129" i="1"/>
  <c r="O130" i="1"/>
  <c r="O131" i="1"/>
  <c r="O132" i="1"/>
  <c r="O133" i="1"/>
  <c r="O134" i="1"/>
  <c r="O139" i="1"/>
  <c r="O140" i="1"/>
  <c r="O141" i="1"/>
  <c r="O142" i="1"/>
  <c r="O143" i="1"/>
  <c r="O144" i="1"/>
  <c r="O145" i="1"/>
  <c r="O146" i="1"/>
  <c r="O151" i="1"/>
  <c r="O152" i="1"/>
  <c r="O153" i="1"/>
  <c r="O154" i="1"/>
  <c r="O158" i="1"/>
  <c r="O163" i="1"/>
  <c r="O164" i="1"/>
  <c r="O165" i="1"/>
  <c r="O166" i="1"/>
  <c r="O167" i="1"/>
  <c r="O168" i="1"/>
  <c r="O169" i="1"/>
  <c r="O170" i="1"/>
  <c r="O175" i="1"/>
  <c r="O176" i="1"/>
  <c r="O177" i="1"/>
  <c r="O178" i="1"/>
  <c r="O179" i="1"/>
  <c r="O180" i="1"/>
  <c r="O181" i="1"/>
  <c r="O182" i="1"/>
  <c r="O187" i="1"/>
  <c r="O188" i="1"/>
  <c r="O189" i="1"/>
  <c r="O190" i="1"/>
  <c r="O194" i="1"/>
  <c r="O199" i="1"/>
  <c r="O200" i="1"/>
  <c r="O201" i="1"/>
  <c r="O202" i="1"/>
  <c r="O203" i="1"/>
  <c r="O204" i="1"/>
  <c r="O205" i="1"/>
  <c r="O206" i="1"/>
  <c r="O211" i="1"/>
  <c r="O212" i="1"/>
  <c r="O213" i="1"/>
  <c r="O214" i="1"/>
  <c r="O215" i="1"/>
  <c r="O216" i="1"/>
  <c r="O217" i="1"/>
  <c r="O218" i="1"/>
  <c r="O223" i="1"/>
  <c r="O224" i="1"/>
  <c r="O225" i="1"/>
  <c r="O226" i="1"/>
  <c r="O230" i="1"/>
  <c r="O235" i="1"/>
  <c r="O236" i="1"/>
  <c r="O237" i="1"/>
  <c r="O238" i="1"/>
  <c r="O239" i="1"/>
  <c r="O240" i="1"/>
  <c r="O241" i="1"/>
  <c r="O242" i="1"/>
  <c r="O247" i="1"/>
  <c r="O248" i="1"/>
  <c r="O249" i="1"/>
  <c r="O250" i="1"/>
  <c r="O251" i="1"/>
  <c r="O252" i="1"/>
  <c r="O253" i="1"/>
  <c r="O254" i="1"/>
  <c r="O259" i="1"/>
  <c r="O260" i="1"/>
  <c r="O261" i="1"/>
  <c r="O262" i="1"/>
  <c r="O266" i="1"/>
  <c r="O271" i="1"/>
  <c r="O272" i="1"/>
  <c r="O273" i="1"/>
  <c r="O274" i="1"/>
  <c r="O275" i="1"/>
  <c r="O276" i="1"/>
  <c r="O277" i="1"/>
  <c r="O278" i="1"/>
  <c r="O283" i="1"/>
  <c r="O284" i="1"/>
  <c r="O285" i="1"/>
  <c r="O286" i="1"/>
  <c r="O287" i="1"/>
  <c r="O288" i="1"/>
  <c r="O289" i="1"/>
  <c r="O290" i="1"/>
  <c r="O295" i="1"/>
  <c r="O296" i="1"/>
  <c r="O297" i="1"/>
  <c r="O298" i="1"/>
  <c r="O302" i="1"/>
  <c r="O307" i="1"/>
  <c r="O308" i="1"/>
  <c r="O309" i="1"/>
  <c r="O310" i="1"/>
  <c r="O311" i="1"/>
  <c r="O312" i="1"/>
  <c r="O313" i="1"/>
  <c r="O314" i="1"/>
  <c r="O319" i="1"/>
  <c r="O320" i="1"/>
  <c r="O321" i="1"/>
  <c r="O322" i="1"/>
  <c r="O323" i="1"/>
  <c r="O324" i="1"/>
  <c r="O325" i="1"/>
  <c r="O326" i="1"/>
  <c r="O331" i="1"/>
  <c r="O332" i="1"/>
  <c r="O333" i="1"/>
  <c r="O334" i="1"/>
  <c r="O338" i="1"/>
  <c r="O343" i="1"/>
  <c r="O344" i="1"/>
  <c r="O345" i="1"/>
  <c r="O346" i="1"/>
  <c r="O347" i="1"/>
  <c r="O348" i="1"/>
  <c r="O349" i="1"/>
  <c r="O350" i="1"/>
  <c r="O355" i="1"/>
  <c r="O356" i="1"/>
  <c r="O357" i="1"/>
  <c r="O358" i="1"/>
  <c r="O359" i="1"/>
  <c r="O360" i="1"/>
  <c r="O361" i="1"/>
  <c r="O362" i="1"/>
  <c r="O367" i="1"/>
  <c r="O368" i="1"/>
  <c r="O369" i="1"/>
  <c r="O370" i="1"/>
  <c r="O374" i="1"/>
  <c r="O379" i="1"/>
  <c r="O380" i="1"/>
  <c r="O381" i="1"/>
  <c r="O382" i="1"/>
  <c r="O383" i="1"/>
  <c r="O384" i="1"/>
  <c r="O385" i="1"/>
  <c r="O386" i="1"/>
  <c r="O391" i="1"/>
  <c r="O392" i="1"/>
  <c r="O393" i="1"/>
  <c r="O394" i="1"/>
  <c r="O395" i="1"/>
  <c r="O396" i="1"/>
  <c r="O397" i="1"/>
  <c r="O398" i="1"/>
  <c r="O403" i="1"/>
  <c r="O404" i="1"/>
  <c r="O405" i="1"/>
  <c r="O406" i="1"/>
  <c r="O410" i="1"/>
  <c r="O415" i="1"/>
  <c r="O416" i="1"/>
  <c r="O417" i="1"/>
  <c r="O418" i="1"/>
  <c r="O419" i="1"/>
  <c r="O420" i="1"/>
  <c r="O421" i="1"/>
  <c r="O422" i="1"/>
  <c r="O427" i="1"/>
  <c r="O428" i="1"/>
  <c r="O429" i="1"/>
  <c r="O430" i="1"/>
  <c r="O431" i="1"/>
  <c r="O432" i="1"/>
  <c r="O433" i="1"/>
  <c r="O434" i="1"/>
  <c r="O439" i="1"/>
  <c r="O440" i="1"/>
  <c r="O441" i="1"/>
  <c r="O442" i="1"/>
  <c r="O446" i="1"/>
  <c r="O451" i="1"/>
  <c r="O452" i="1"/>
  <c r="O453" i="1"/>
  <c r="O454" i="1"/>
  <c r="O455" i="1"/>
  <c r="O456" i="1"/>
  <c r="O457" i="1"/>
  <c r="O458" i="1"/>
  <c r="O463" i="1"/>
  <c r="O464" i="1"/>
  <c r="O465" i="1"/>
  <c r="O466" i="1"/>
  <c r="O467" i="1"/>
  <c r="O468" i="1"/>
  <c r="O469" i="1"/>
  <c r="O470" i="1"/>
  <c r="O475" i="1"/>
  <c r="O476" i="1"/>
  <c r="O477" i="1"/>
  <c r="O478" i="1"/>
  <c r="O482" i="1"/>
  <c r="O487" i="1"/>
  <c r="O488" i="1"/>
  <c r="O489" i="1"/>
  <c r="O490" i="1"/>
  <c r="O491" i="1"/>
  <c r="O492" i="1"/>
  <c r="O493" i="1"/>
  <c r="O494" i="1"/>
  <c r="O499" i="1"/>
  <c r="O500" i="1"/>
  <c r="O501" i="1"/>
  <c r="O2" i="1"/>
  <c r="O3" i="1"/>
  <c r="O4" i="1"/>
  <c r="O5" i="1"/>
  <c r="O6" i="1"/>
  <c r="O15" i="1"/>
  <c r="O16" i="1"/>
  <c r="O17" i="1"/>
  <c r="O18" i="1"/>
  <c r="O27" i="1"/>
  <c r="O28" i="1"/>
  <c r="O29" i="1"/>
  <c r="O30" i="1"/>
  <c r="O39" i="1"/>
  <c r="O40" i="1"/>
  <c r="O41" i="1"/>
  <c r="O42" i="1"/>
  <c r="O47" i="1"/>
  <c r="O48" i="1"/>
  <c r="O49" i="1"/>
  <c r="O51" i="1"/>
  <c r="O52" i="1"/>
  <c r="O53" i="1"/>
  <c r="O54" i="1"/>
  <c r="O63" i="1"/>
  <c r="O64" i="1"/>
  <c r="O65" i="1"/>
  <c r="O66" i="1"/>
  <c r="O75" i="1"/>
  <c r="O76" i="1"/>
  <c r="O77" i="1"/>
  <c r="O78" i="1"/>
  <c r="O83" i="1"/>
  <c r="O84" i="1"/>
  <c r="O85" i="1"/>
  <c r="O87" i="1"/>
  <c r="O88" i="1"/>
  <c r="O89" i="1"/>
  <c r="O90" i="1"/>
  <c r="O99" i="1"/>
  <c r="O100" i="1"/>
  <c r="O101" i="1"/>
  <c r="O102" i="1"/>
  <c r="O111" i="1"/>
  <c r="O112" i="1"/>
  <c r="O113" i="1"/>
  <c r="O114" i="1"/>
  <c r="O119" i="1"/>
  <c r="O120" i="1"/>
  <c r="O121" i="1"/>
  <c r="O123" i="1"/>
  <c r="O124" i="1"/>
  <c r="O125" i="1"/>
  <c r="O126" i="1"/>
  <c r="O135" i="1"/>
  <c r="O136" i="1"/>
  <c r="O137" i="1"/>
  <c r="O138" i="1"/>
  <c r="O147" i="1"/>
  <c r="O148" i="1"/>
  <c r="O149" i="1"/>
  <c r="O150" i="1"/>
  <c r="O155" i="1"/>
  <c r="O156" i="1"/>
  <c r="O157" i="1"/>
  <c r="O159" i="1"/>
  <c r="O160" i="1"/>
  <c r="O161" i="1"/>
  <c r="O162" i="1"/>
  <c r="O171" i="1"/>
  <c r="O172" i="1"/>
  <c r="O173" i="1"/>
  <c r="O174" i="1"/>
  <c r="O183" i="1"/>
  <c r="O184" i="1"/>
  <c r="O185" i="1"/>
  <c r="O186" i="1"/>
  <c r="O191" i="1"/>
  <c r="O192" i="1"/>
  <c r="O193" i="1"/>
  <c r="O195" i="1"/>
  <c r="O196" i="1"/>
  <c r="O197" i="1"/>
  <c r="O198" i="1"/>
  <c r="O207" i="1"/>
  <c r="O208" i="1"/>
  <c r="O209" i="1"/>
  <c r="O210" i="1"/>
  <c r="O219" i="1"/>
  <c r="O220" i="1"/>
  <c r="O221" i="1"/>
  <c r="O222" i="1"/>
  <c r="O227" i="1"/>
  <c r="O228" i="1"/>
  <c r="O229" i="1"/>
  <c r="O231" i="1"/>
  <c r="O232" i="1"/>
  <c r="O233" i="1"/>
  <c r="O234" i="1"/>
  <c r="O243" i="1"/>
  <c r="O244" i="1"/>
  <c r="O245" i="1"/>
  <c r="O246" i="1"/>
  <c r="O255" i="1"/>
  <c r="O256" i="1"/>
  <c r="O257" i="1"/>
  <c r="O258" i="1"/>
  <c r="O263" i="1"/>
  <c r="O264" i="1"/>
  <c r="O265" i="1"/>
  <c r="O267" i="1"/>
  <c r="O268" i="1"/>
  <c r="O269" i="1"/>
  <c r="O270" i="1"/>
  <c r="O279" i="1"/>
  <c r="O280" i="1"/>
  <c r="O281" i="1"/>
  <c r="O282" i="1"/>
  <c r="O291" i="1"/>
  <c r="O292" i="1"/>
  <c r="O293" i="1"/>
  <c r="O294" i="1"/>
  <c r="O299" i="1"/>
  <c r="O300" i="1"/>
  <c r="O301" i="1"/>
  <c r="O303" i="1"/>
  <c r="O304" i="1"/>
  <c r="O305" i="1"/>
  <c r="O306" i="1"/>
  <c r="O315" i="1"/>
  <c r="O316" i="1"/>
  <c r="O317" i="1"/>
  <c r="O318" i="1"/>
  <c r="O327" i="1"/>
  <c r="O328" i="1"/>
  <c r="O329" i="1"/>
  <c r="O330" i="1"/>
  <c r="O335" i="1"/>
  <c r="O336" i="1"/>
  <c r="O337" i="1"/>
  <c r="O339" i="1"/>
  <c r="O340" i="1"/>
  <c r="O341" i="1"/>
  <c r="O342" i="1"/>
  <c r="O351" i="1"/>
  <c r="O352" i="1"/>
  <c r="O353" i="1"/>
  <c r="O354" i="1"/>
  <c r="O363" i="1"/>
  <c r="O364" i="1"/>
  <c r="O365" i="1"/>
  <c r="O366" i="1"/>
  <c r="O371" i="1"/>
  <c r="O372" i="1"/>
  <c r="O373" i="1"/>
  <c r="O375" i="1"/>
  <c r="O376" i="1"/>
  <c r="O377" i="1"/>
  <c r="O378" i="1"/>
  <c r="O387" i="1"/>
  <c r="O388" i="1"/>
  <c r="O389" i="1"/>
  <c r="O390" i="1"/>
  <c r="O399" i="1"/>
  <c r="O400" i="1"/>
  <c r="O401" i="1"/>
  <c r="O402" i="1"/>
  <c r="O407" i="1"/>
  <c r="O408" i="1"/>
  <c r="O409" i="1"/>
  <c r="O411" i="1"/>
  <c r="O412" i="1"/>
  <c r="O413" i="1"/>
  <c r="O414" i="1"/>
  <c r="O423" i="1"/>
  <c r="O424" i="1"/>
  <c r="O425" i="1"/>
  <c r="O426" i="1"/>
  <c r="O435" i="1"/>
  <c r="O436" i="1"/>
  <c r="O437" i="1"/>
  <c r="O438" i="1"/>
  <c r="O443" i="1"/>
  <c r="O444" i="1"/>
  <c r="O445" i="1"/>
  <c r="O447" i="1"/>
  <c r="O448" i="1"/>
  <c r="O449" i="1"/>
  <c r="O450" i="1"/>
  <c r="O459" i="1"/>
  <c r="O460" i="1"/>
  <c r="O461" i="1"/>
  <c r="O462" i="1"/>
  <c r="O471" i="1"/>
  <c r="O472" i="1"/>
  <c r="O473" i="1"/>
  <c r="O474" i="1"/>
  <c r="O479" i="1"/>
  <c r="O480" i="1"/>
  <c r="O481" i="1"/>
  <c r="O483" i="1"/>
  <c r="O484" i="1"/>
  <c r="O485" i="1"/>
  <c r="O486" i="1"/>
  <c r="O495" i="1"/>
  <c r="O496" i="1"/>
  <c r="O497" i="1"/>
  <c r="O498" i="1"/>
  <c r="M8" i="1"/>
  <c r="R8" i="1" s="1"/>
  <c r="M9" i="1"/>
  <c r="R9" i="1" s="1"/>
  <c r="M10" i="1"/>
  <c r="R10" i="1" s="1"/>
  <c r="M11" i="1"/>
  <c r="R11" i="1" s="1"/>
  <c r="M12" i="1"/>
  <c r="R12" i="1" s="1"/>
  <c r="M14" i="1"/>
  <c r="R14" i="1" s="1"/>
  <c r="M22" i="1"/>
  <c r="R22" i="1" s="1"/>
  <c r="M24" i="1"/>
  <c r="R24" i="1" s="1"/>
  <c r="M25" i="1"/>
  <c r="R25" i="1" s="1"/>
  <c r="M26" i="1"/>
  <c r="R26" i="1" s="1"/>
  <c r="M34" i="1"/>
  <c r="R34" i="1" s="1"/>
  <c r="M35" i="1"/>
  <c r="R35" i="1" s="1"/>
  <c r="M36" i="1"/>
  <c r="R36" i="1" s="1"/>
  <c r="M37" i="1"/>
  <c r="R37" i="1" s="1"/>
  <c r="M38" i="1"/>
  <c r="R38" i="1" s="1"/>
  <c r="M46" i="1"/>
  <c r="R46" i="1" s="1"/>
  <c r="M47" i="1"/>
  <c r="R47" i="1" s="1"/>
  <c r="M48" i="1"/>
  <c r="R48" i="1" s="1"/>
  <c r="M50" i="1"/>
  <c r="R50" i="1" s="1"/>
  <c r="M58" i="1"/>
  <c r="R58" i="1" s="1"/>
  <c r="M59" i="1"/>
  <c r="R59" i="1" s="1"/>
  <c r="M60" i="1"/>
  <c r="R60" i="1" s="1"/>
  <c r="M61" i="1"/>
  <c r="R61" i="1" s="1"/>
  <c r="M62" i="1"/>
  <c r="R62" i="1" s="1"/>
  <c r="M70" i="1"/>
  <c r="R70" i="1" s="1"/>
  <c r="M71" i="1"/>
  <c r="R71" i="1" s="1"/>
  <c r="M72" i="1"/>
  <c r="R72" i="1" s="1"/>
  <c r="M73" i="1"/>
  <c r="R73" i="1" s="1"/>
  <c r="M74" i="1"/>
  <c r="R74" i="1" s="1"/>
  <c r="M82" i="1"/>
  <c r="R82" i="1" s="1"/>
  <c r="M83" i="1"/>
  <c r="R83" i="1" s="1"/>
  <c r="M85" i="1"/>
  <c r="R85" i="1" s="1"/>
  <c r="M86" i="1"/>
  <c r="R86" i="1" s="1"/>
  <c r="M94" i="1"/>
  <c r="R94" i="1" s="1"/>
  <c r="M95" i="1"/>
  <c r="R95" i="1" s="1"/>
  <c r="M96" i="1"/>
  <c r="R96" i="1" s="1"/>
  <c r="M97" i="1"/>
  <c r="R97" i="1" s="1"/>
  <c r="M98" i="1"/>
  <c r="R98" i="1" s="1"/>
  <c r="M107" i="1"/>
  <c r="R107" i="1" s="1"/>
  <c r="M108" i="1"/>
  <c r="R108" i="1" s="1"/>
  <c r="M109" i="1"/>
  <c r="R109" i="1" s="1"/>
  <c r="M110" i="1"/>
  <c r="R110" i="1" s="1"/>
  <c r="M118" i="1"/>
  <c r="R118" i="1" s="1"/>
  <c r="M119" i="1"/>
  <c r="R119" i="1" s="1"/>
  <c r="M120" i="1"/>
  <c r="R120" i="1" s="1"/>
  <c r="M121" i="1"/>
  <c r="R121" i="1" s="1"/>
  <c r="M122" i="1"/>
  <c r="R122" i="1" s="1"/>
  <c r="M130" i="1"/>
  <c r="R130" i="1" s="1"/>
  <c r="M131" i="1"/>
  <c r="R131" i="1" s="1"/>
  <c r="M132" i="1"/>
  <c r="R132" i="1" s="1"/>
  <c r="M133" i="1"/>
  <c r="R133" i="1" s="1"/>
  <c r="M134" i="1"/>
  <c r="R134" i="1" s="1"/>
  <c r="M142" i="1"/>
  <c r="R142" i="1" s="1"/>
  <c r="M143" i="1"/>
  <c r="R143" i="1" s="1"/>
  <c r="M145" i="1"/>
  <c r="R145" i="1" s="1"/>
  <c r="M146" i="1"/>
  <c r="R146" i="1" s="1"/>
  <c r="M154" i="1"/>
  <c r="R154" i="1" s="1"/>
  <c r="M155" i="1"/>
  <c r="R155" i="1" s="1"/>
  <c r="M156" i="1"/>
  <c r="R156" i="1" s="1"/>
  <c r="M157" i="1"/>
  <c r="R157" i="1" s="1"/>
  <c r="M158" i="1"/>
  <c r="R158" i="1" s="1"/>
  <c r="M166" i="1"/>
  <c r="R166" i="1" s="1"/>
  <c r="M167" i="1"/>
  <c r="R167" i="1" s="1"/>
  <c r="M168" i="1"/>
  <c r="R168" i="1" s="1"/>
  <c r="M169" i="1"/>
  <c r="R169" i="1" s="1"/>
  <c r="M178" i="1"/>
  <c r="R178" i="1" s="1"/>
  <c r="M179" i="1"/>
  <c r="R179" i="1" s="1"/>
  <c r="M180" i="1"/>
  <c r="R180" i="1" s="1"/>
  <c r="M181" i="1"/>
  <c r="R181" i="1" s="1"/>
  <c r="M182" i="1"/>
  <c r="R182" i="1" s="1"/>
  <c r="M190" i="1"/>
  <c r="R190" i="1" s="1"/>
  <c r="M191" i="1"/>
  <c r="R191" i="1" s="1"/>
  <c r="M192" i="1"/>
  <c r="R192" i="1" s="1"/>
  <c r="M193" i="1"/>
  <c r="R193" i="1" s="1"/>
  <c r="M194" i="1"/>
  <c r="R194" i="1" s="1"/>
  <c r="M203" i="1"/>
  <c r="R203" i="1" s="1"/>
  <c r="M204" i="1"/>
  <c r="R204" i="1" s="1"/>
  <c r="M205" i="1"/>
  <c r="R205" i="1" s="1"/>
  <c r="M206" i="1"/>
  <c r="R206" i="1" s="1"/>
  <c r="M214" i="1"/>
  <c r="R214" i="1" s="1"/>
  <c r="M215" i="1"/>
  <c r="R215" i="1" s="1"/>
  <c r="M216" i="1"/>
  <c r="R216" i="1" s="1"/>
  <c r="M217" i="1"/>
  <c r="R217" i="1" s="1"/>
  <c r="M218" i="1"/>
  <c r="R218" i="1" s="1"/>
  <c r="M226" i="1"/>
  <c r="R226" i="1" s="1"/>
  <c r="M227" i="1"/>
  <c r="R227" i="1" s="1"/>
  <c r="M229" i="1"/>
  <c r="R229" i="1" s="1"/>
  <c r="M230" i="1"/>
  <c r="R230" i="1" s="1"/>
  <c r="M238" i="1"/>
  <c r="R238" i="1" s="1"/>
  <c r="M239" i="1"/>
  <c r="R239" i="1" s="1"/>
  <c r="M240" i="1"/>
  <c r="R240" i="1" s="1"/>
  <c r="M241" i="1"/>
  <c r="R241" i="1" s="1"/>
  <c r="M242" i="1"/>
  <c r="R242" i="1" s="1"/>
  <c r="M250" i="1"/>
  <c r="R250" i="1" s="1"/>
  <c r="M251" i="1"/>
  <c r="R251" i="1" s="1"/>
  <c r="M252" i="1"/>
  <c r="R252" i="1" s="1"/>
  <c r="M253" i="1"/>
  <c r="R253" i="1" s="1"/>
  <c r="M254" i="1"/>
  <c r="R254" i="1" s="1"/>
  <c r="M262" i="1"/>
  <c r="R262" i="1" s="1"/>
  <c r="M263" i="1"/>
  <c r="R263" i="1" s="1"/>
  <c r="M264" i="1"/>
  <c r="R264" i="1" s="1"/>
  <c r="M265" i="1"/>
  <c r="R265" i="1" s="1"/>
  <c r="M266" i="1"/>
  <c r="R266" i="1" s="1"/>
  <c r="M274" i="1"/>
  <c r="R274" i="1" s="1"/>
  <c r="M278" i="1"/>
  <c r="R278" i="1" s="1"/>
  <c r="M286" i="1"/>
  <c r="R286" i="1" s="1"/>
  <c r="M287" i="1"/>
  <c r="R287" i="1" s="1"/>
  <c r="M288" i="1"/>
  <c r="R288" i="1" s="1"/>
  <c r="M290" i="1"/>
  <c r="R290" i="1" s="1"/>
  <c r="M300" i="1"/>
  <c r="R300" i="1" s="1"/>
  <c r="M301" i="1"/>
  <c r="R301" i="1" s="1"/>
  <c r="M302" i="1"/>
  <c r="R302" i="1" s="1"/>
  <c r="M310" i="1"/>
  <c r="R310" i="1" s="1"/>
  <c r="M311" i="1"/>
  <c r="R311" i="1" s="1"/>
  <c r="M312" i="1"/>
  <c r="R312" i="1" s="1"/>
  <c r="M313" i="1"/>
  <c r="R313" i="1" s="1"/>
  <c r="M314" i="1"/>
  <c r="R314" i="1" s="1"/>
  <c r="M323" i="1"/>
  <c r="R323" i="1" s="1"/>
  <c r="M324" i="1"/>
  <c r="R324" i="1" s="1"/>
  <c r="M325" i="1"/>
  <c r="R325" i="1" s="1"/>
  <c r="M326" i="1"/>
  <c r="R326" i="1" s="1"/>
  <c r="M334" i="1"/>
  <c r="R334" i="1" s="1"/>
  <c r="M335" i="1"/>
  <c r="R335" i="1" s="1"/>
  <c r="M336" i="1"/>
  <c r="R336" i="1" s="1"/>
  <c r="M337" i="1"/>
  <c r="R337" i="1" s="1"/>
  <c r="M338" i="1"/>
  <c r="R338" i="1" s="1"/>
  <c r="M346" i="1"/>
  <c r="R346" i="1" s="1"/>
  <c r="M347" i="1"/>
  <c r="R347" i="1" s="1"/>
  <c r="M349" i="1"/>
  <c r="R349" i="1" s="1"/>
  <c r="M350" i="1"/>
  <c r="R350" i="1" s="1"/>
  <c r="M358" i="1"/>
  <c r="R358" i="1" s="1"/>
  <c r="M359" i="1"/>
  <c r="R359" i="1" s="1"/>
  <c r="M360" i="1"/>
  <c r="R360" i="1" s="1"/>
  <c r="M361" i="1"/>
  <c r="R361" i="1" s="1"/>
  <c r="M362" i="1"/>
  <c r="R362" i="1" s="1"/>
  <c r="M370" i="1"/>
  <c r="R370" i="1" s="1"/>
  <c r="M371" i="1"/>
  <c r="R371" i="1" s="1"/>
  <c r="M372" i="1"/>
  <c r="R372" i="1" s="1"/>
  <c r="M373" i="1"/>
  <c r="R373" i="1" s="1"/>
  <c r="M374" i="1"/>
  <c r="R374" i="1" s="1"/>
  <c r="M382" i="1"/>
  <c r="R382" i="1" s="1"/>
  <c r="M383" i="1"/>
  <c r="R383" i="1" s="1"/>
  <c r="M384" i="1"/>
  <c r="R384" i="1" s="1"/>
  <c r="M385" i="1"/>
  <c r="R385" i="1" s="1"/>
  <c r="M386" i="1"/>
  <c r="R386" i="1" s="1"/>
  <c r="M394" i="1"/>
  <c r="R394" i="1" s="1"/>
  <c r="M395" i="1"/>
  <c r="R395" i="1" s="1"/>
  <c r="M397" i="1"/>
  <c r="R397" i="1" s="1"/>
  <c r="M398" i="1"/>
  <c r="R398" i="1" s="1"/>
  <c r="M406" i="1"/>
  <c r="R406" i="1" s="1"/>
  <c r="M407" i="1"/>
  <c r="R407" i="1" s="1"/>
  <c r="M408" i="1"/>
  <c r="R408" i="1" s="1"/>
  <c r="M410" i="1"/>
  <c r="R410" i="1" s="1"/>
  <c r="M418" i="1"/>
  <c r="R418" i="1" s="1"/>
  <c r="M419" i="1"/>
  <c r="R419" i="1" s="1"/>
  <c r="M420" i="1"/>
  <c r="R420" i="1" s="1"/>
  <c r="M421" i="1"/>
  <c r="R421" i="1" s="1"/>
  <c r="M422" i="1"/>
  <c r="R422" i="1" s="1"/>
  <c r="M430" i="1"/>
  <c r="R430" i="1" s="1"/>
  <c r="M432" i="1"/>
  <c r="R432" i="1" s="1"/>
  <c r="M433" i="1"/>
  <c r="R433" i="1" s="1"/>
  <c r="M434" i="1"/>
  <c r="R434" i="1" s="1"/>
  <c r="M442" i="1"/>
  <c r="R442" i="1" s="1"/>
  <c r="M443" i="1"/>
  <c r="R443" i="1" s="1"/>
  <c r="M444" i="1"/>
  <c r="R444" i="1" s="1"/>
  <c r="M445" i="1"/>
  <c r="R445" i="1" s="1"/>
  <c r="M454" i="1"/>
  <c r="R454" i="1" s="1"/>
  <c r="M455" i="1"/>
  <c r="R455" i="1" s="1"/>
  <c r="M456" i="1"/>
  <c r="R456" i="1" s="1"/>
  <c r="M457" i="1"/>
  <c r="R457" i="1" s="1"/>
  <c r="M458" i="1"/>
  <c r="R458" i="1" s="1"/>
  <c r="M466" i="1"/>
  <c r="R466" i="1" s="1"/>
  <c r="M467" i="1"/>
  <c r="R467" i="1" s="1"/>
  <c r="M469" i="1"/>
  <c r="R469" i="1" s="1"/>
  <c r="M470" i="1"/>
  <c r="R470" i="1" s="1"/>
  <c r="M478" i="1"/>
  <c r="R478" i="1" s="1"/>
  <c r="M479" i="1"/>
  <c r="R479" i="1" s="1"/>
  <c r="M481" i="1"/>
  <c r="R481" i="1" s="1"/>
  <c r="M482" i="1"/>
  <c r="R482" i="1" s="1"/>
  <c r="M490" i="1"/>
  <c r="R490" i="1" s="1"/>
  <c r="M491" i="1"/>
  <c r="R491" i="1" s="1"/>
  <c r="M492" i="1"/>
  <c r="R492" i="1" s="1"/>
  <c r="M493" i="1"/>
  <c r="R493" i="1" s="1"/>
  <c r="M494" i="1"/>
  <c r="R494" i="1" s="1"/>
  <c r="M2" i="1"/>
  <c r="R2" i="1" s="1"/>
  <c r="M3" i="1"/>
  <c r="R3" i="1" s="1"/>
  <c r="M4" i="1"/>
  <c r="R4" i="1" s="1"/>
  <c r="M6" i="1"/>
  <c r="R6" i="1" s="1"/>
  <c r="M7" i="1"/>
  <c r="R7" i="1" s="1"/>
  <c r="M15" i="1"/>
  <c r="R15" i="1" s="1"/>
  <c r="M16" i="1"/>
  <c r="R16" i="1" s="1"/>
  <c r="M17" i="1"/>
  <c r="R17" i="1" s="1"/>
  <c r="M18" i="1"/>
  <c r="R18" i="1" s="1"/>
  <c r="M19" i="1"/>
  <c r="R19" i="1" s="1"/>
  <c r="M20" i="1"/>
  <c r="R20" i="1" s="1"/>
  <c r="M27" i="1"/>
  <c r="R27" i="1" s="1"/>
  <c r="M28" i="1"/>
  <c r="R28" i="1" s="1"/>
  <c r="M29" i="1"/>
  <c r="R29" i="1" s="1"/>
  <c r="M30" i="1"/>
  <c r="R30" i="1" s="1"/>
  <c r="M31" i="1"/>
  <c r="R31" i="1" s="1"/>
  <c r="M32" i="1"/>
  <c r="R32" i="1" s="1"/>
  <c r="M39" i="1"/>
  <c r="R39" i="1" s="1"/>
  <c r="M42" i="1"/>
  <c r="R42" i="1" s="1"/>
  <c r="M44" i="1"/>
  <c r="R44" i="1" s="1"/>
  <c r="M45" i="1"/>
  <c r="R45" i="1" s="1"/>
  <c r="M51" i="1"/>
  <c r="R51" i="1" s="1"/>
  <c r="M52" i="1"/>
  <c r="R52" i="1" s="1"/>
  <c r="M54" i="1"/>
  <c r="R54" i="1" s="1"/>
  <c r="M55" i="1"/>
  <c r="R55" i="1" s="1"/>
  <c r="M57" i="1"/>
  <c r="R57" i="1" s="1"/>
  <c r="M63" i="1"/>
  <c r="R63" i="1" s="1"/>
  <c r="M65" i="1"/>
  <c r="R65" i="1" s="1"/>
  <c r="M66" i="1"/>
  <c r="R66" i="1" s="1"/>
  <c r="M67" i="1"/>
  <c r="R67" i="1" s="1"/>
  <c r="M68" i="1"/>
  <c r="R68" i="1" s="1"/>
  <c r="M69" i="1"/>
  <c r="R69" i="1" s="1"/>
  <c r="M75" i="1"/>
  <c r="R75" i="1" s="1"/>
  <c r="M76" i="1"/>
  <c r="R76" i="1" s="1"/>
  <c r="M77" i="1"/>
  <c r="R77" i="1" s="1"/>
  <c r="M78" i="1"/>
  <c r="R78" i="1" s="1"/>
  <c r="M79" i="1"/>
  <c r="R79" i="1" s="1"/>
  <c r="M87" i="1"/>
  <c r="R87" i="1" s="1"/>
  <c r="M89" i="1"/>
  <c r="R89" i="1" s="1"/>
  <c r="M90" i="1"/>
  <c r="R90" i="1" s="1"/>
  <c r="M91" i="1"/>
  <c r="R91" i="1" s="1"/>
  <c r="M92" i="1"/>
  <c r="R92" i="1" s="1"/>
  <c r="M93" i="1"/>
  <c r="R93" i="1" s="1"/>
  <c r="M100" i="1"/>
  <c r="R100" i="1" s="1"/>
  <c r="M101" i="1"/>
  <c r="R101" i="1" s="1"/>
  <c r="M102" i="1"/>
  <c r="R102" i="1" s="1"/>
  <c r="M103" i="1"/>
  <c r="R103" i="1" s="1"/>
  <c r="M104" i="1"/>
  <c r="R104" i="1" s="1"/>
  <c r="M105" i="1"/>
  <c r="R105" i="1" s="1"/>
  <c r="M111" i="1"/>
  <c r="R111" i="1" s="1"/>
  <c r="M112" i="1"/>
  <c r="R112" i="1" s="1"/>
  <c r="M114" i="1"/>
  <c r="R114" i="1" s="1"/>
  <c r="M115" i="1"/>
  <c r="R115" i="1" s="1"/>
  <c r="M116" i="1"/>
  <c r="R116" i="1" s="1"/>
  <c r="M117" i="1"/>
  <c r="R117" i="1" s="1"/>
  <c r="M124" i="1"/>
  <c r="R124" i="1" s="1"/>
  <c r="M125" i="1"/>
  <c r="R125" i="1" s="1"/>
  <c r="M127" i="1"/>
  <c r="R127" i="1" s="1"/>
  <c r="M128" i="1"/>
  <c r="R128" i="1" s="1"/>
  <c r="M129" i="1"/>
  <c r="R129" i="1" s="1"/>
  <c r="M136" i="1"/>
  <c r="R136" i="1" s="1"/>
  <c r="M137" i="1"/>
  <c r="R137" i="1" s="1"/>
  <c r="M138" i="1"/>
  <c r="R138" i="1" s="1"/>
  <c r="M139" i="1"/>
  <c r="R139" i="1" s="1"/>
  <c r="M140" i="1"/>
  <c r="R140" i="1" s="1"/>
  <c r="M141" i="1"/>
  <c r="R141" i="1" s="1"/>
  <c r="M147" i="1"/>
  <c r="R147" i="1" s="1"/>
  <c r="M148" i="1"/>
  <c r="R148" i="1" s="1"/>
  <c r="M149" i="1"/>
  <c r="R149" i="1" s="1"/>
  <c r="M150" i="1"/>
  <c r="R150" i="1" s="1"/>
  <c r="M152" i="1"/>
  <c r="R152" i="1" s="1"/>
  <c r="M153" i="1"/>
  <c r="R153" i="1" s="1"/>
  <c r="M159" i="1"/>
  <c r="R159" i="1" s="1"/>
  <c r="M161" i="1"/>
  <c r="R161" i="1" s="1"/>
  <c r="M162" i="1"/>
  <c r="R162" i="1" s="1"/>
  <c r="R163" i="1"/>
  <c r="M164" i="1"/>
  <c r="R164" i="1" s="1"/>
  <c r="M165" i="1"/>
  <c r="R165" i="1" s="1"/>
  <c r="M171" i="1"/>
  <c r="R171" i="1" s="1"/>
  <c r="M172" i="1"/>
  <c r="R172" i="1" s="1"/>
  <c r="M173" i="1"/>
  <c r="R173" i="1" s="1"/>
  <c r="M174" i="1"/>
  <c r="R174" i="1" s="1"/>
  <c r="M175" i="1"/>
  <c r="R175" i="1" s="1"/>
  <c r="M176" i="1"/>
  <c r="R176" i="1" s="1"/>
  <c r="M177" i="1"/>
  <c r="R177" i="1" s="1"/>
  <c r="M183" i="1"/>
  <c r="R183" i="1" s="1"/>
  <c r="M184" i="1"/>
  <c r="R184" i="1" s="1"/>
  <c r="M185" i="1"/>
  <c r="R185" i="1" s="1"/>
  <c r="M186" i="1"/>
  <c r="R186" i="1" s="1"/>
  <c r="M187" i="1"/>
  <c r="R187" i="1" s="1"/>
  <c r="M188" i="1"/>
  <c r="R188" i="1" s="1"/>
  <c r="M189" i="1"/>
  <c r="R189" i="1" s="1"/>
  <c r="M195" i="1"/>
  <c r="R195" i="1" s="1"/>
  <c r="M197" i="1"/>
  <c r="R197" i="1" s="1"/>
  <c r="M198" i="1"/>
  <c r="R198" i="1" s="1"/>
  <c r="M199" i="1"/>
  <c r="R199" i="1" s="1"/>
  <c r="M200" i="1"/>
  <c r="R200" i="1" s="1"/>
  <c r="M201" i="1"/>
  <c r="R201" i="1" s="1"/>
  <c r="M207" i="1"/>
  <c r="R207" i="1" s="1"/>
  <c r="M208" i="1"/>
  <c r="R208" i="1" s="1"/>
  <c r="M209" i="1"/>
  <c r="R209" i="1" s="1"/>
  <c r="M210" i="1"/>
  <c r="R210" i="1" s="1"/>
  <c r="M211" i="1"/>
  <c r="R211" i="1" s="1"/>
  <c r="M212" i="1"/>
  <c r="R212" i="1" s="1"/>
  <c r="M213" i="1"/>
  <c r="R213" i="1" s="1"/>
  <c r="M219" i="1"/>
  <c r="R219" i="1" s="1"/>
  <c r="M220" i="1"/>
  <c r="R220" i="1" s="1"/>
  <c r="M221" i="1"/>
  <c r="R221" i="1" s="1"/>
  <c r="M222" i="1"/>
  <c r="R222" i="1" s="1"/>
  <c r="M223" i="1"/>
  <c r="R223" i="1" s="1"/>
  <c r="M224" i="1"/>
  <c r="R224" i="1" s="1"/>
  <c r="M225" i="1"/>
  <c r="R225" i="1" s="1"/>
  <c r="M231" i="1"/>
  <c r="R231" i="1" s="1"/>
  <c r="M232" i="1"/>
  <c r="R232" i="1" s="1"/>
  <c r="M233" i="1"/>
  <c r="R233" i="1" s="1"/>
  <c r="M234" i="1"/>
  <c r="R234" i="1" s="1"/>
  <c r="M235" i="1"/>
  <c r="R235" i="1" s="1"/>
  <c r="M236" i="1"/>
  <c r="R236" i="1" s="1"/>
  <c r="M237" i="1"/>
  <c r="R237" i="1" s="1"/>
  <c r="M243" i="1"/>
  <c r="R243" i="1" s="1"/>
  <c r="M244" i="1"/>
  <c r="R244" i="1" s="1"/>
  <c r="M246" i="1"/>
  <c r="R246" i="1" s="1"/>
  <c r="M248" i="1"/>
  <c r="R248" i="1" s="1"/>
  <c r="M249" i="1"/>
  <c r="R249" i="1" s="1"/>
  <c r="M255" i="1"/>
  <c r="R255" i="1" s="1"/>
  <c r="M256" i="1"/>
  <c r="R256" i="1" s="1"/>
  <c r="M257" i="1"/>
  <c r="R257" i="1" s="1"/>
  <c r="M259" i="1"/>
  <c r="R259" i="1" s="1"/>
  <c r="M260" i="1"/>
  <c r="R260" i="1" s="1"/>
  <c r="M261" i="1"/>
  <c r="R261" i="1" s="1"/>
  <c r="M267" i="1"/>
  <c r="R267" i="1" s="1"/>
  <c r="M268" i="1"/>
  <c r="R268" i="1" s="1"/>
  <c r="M269" i="1"/>
  <c r="R269" i="1" s="1"/>
  <c r="M270" i="1"/>
  <c r="R270" i="1" s="1"/>
  <c r="M271" i="1"/>
  <c r="R271" i="1" s="1"/>
  <c r="M272" i="1"/>
  <c r="R272" i="1" s="1"/>
  <c r="M273" i="1"/>
  <c r="R273" i="1" s="1"/>
  <c r="M279" i="1"/>
  <c r="R279" i="1" s="1"/>
  <c r="M280" i="1"/>
  <c r="R280" i="1" s="1"/>
  <c r="M281" i="1"/>
  <c r="R281" i="1" s="1"/>
  <c r="M282" i="1"/>
  <c r="R282" i="1" s="1"/>
  <c r="M283" i="1"/>
  <c r="R283" i="1" s="1"/>
  <c r="M284" i="1"/>
  <c r="R284" i="1" s="1"/>
  <c r="M285" i="1"/>
  <c r="R285" i="1" s="1"/>
  <c r="M291" i="1"/>
  <c r="R291" i="1" s="1"/>
  <c r="M292" i="1"/>
  <c r="R292" i="1" s="1"/>
  <c r="M293" i="1"/>
  <c r="R293" i="1" s="1"/>
  <c r="M294" i="1"/>
  <c r="R294" i="1" s="1"/>
  <c r="M295" i="1"/>
  <c r="R295" i="1" s="1"/>
  <c r="M296" i="1"/>
  <c r="R296" i="1" s="1"/>
  <c r="M297" i="1"/>
  <c r="R297" i="1" s="1"/>
  <c r="M303" i="1"/>
  <c r="R303" i="1" s="1"/>
  <c r="M304" i="1"/>
  <c r="R304" i="1" s="1"/>
  <c r="M305" i="1"/>
  <c r="R305" i="1" s="1"/>
  <c r="M306" i="1"/>
  <c r="R306" i="1" s="1"/>
  <c r="M307" i="1"/>
  <c r="R307" i="1" s="1"/>
  <c r="M308" i="1"/>
  <c r="R308" i="1" s="1"/>
  <c r="M315" i="1"/>
  <c r="R315" i="1" s="1"/>
  <c r="M316" i="1"/>
  <c r="R316" i="1" s="1"/>
  <c r="M317" i="1"/>
  <c r="R317" i="1" s="1"/>
  <c r="M318" i="1"/>
  <c r="R318" i="1" s="1"/>
  <c r="M320" i="1"/>
  <c r="R320" i="1" s="1"/>
  <c r="M321" i="1"/>
  <c r="R321" i="1" s="1"/>
  <c r="M327" i="1"/>
  <c r="R327" i="1" s="1"/>
  <c r="M328" i="1"/>
  <c r="R328" i="1" s="1"/>
  <c r="M330" i="1"/>
  <c r="R330" i="1" s="1"/>
  <c r="M331" i="1"/>
  <c r="R331" i="1" s="1"/>
  <c r="M333" i="1"/>
  <c r="R333" i="1" s="1"/>
  <c r="M339" i="1"/>
  <c r="R339" i="1" s="1"/>
  <c r="M340" i="1"/>
  <c r="R340" i="1" s="1"/>
  <c r="M341" i="1"/>
  <c r="R341" i="1" s="1"/>
  <c r="M342" i="1"/>
  <c r="R342" i="1" s="1"/>
  <c r="M343" i="1"/>
  <c r="R343" i="1" s="1"/>
  <c r="M344" i="1"/>
  <c r="R344" i="1" s="1"/>
  <c r="M345" i="1"/>
  <c r="R345" i="1" s="1"/>
  <c r="M352" i="1"/>
  <c r="R352" i="1" s="1"/>
  <c r="M353" i="1"/>
  <c r="R353" i="1" s="1"/>
  <c r="M354" i="1"/>
  <c r="R354" i="1" s="1"/>
  <c r="M355" i="1"/>
  <c r="R355" i="1" s="1"/>
  <c r="M356" i="1"/>
  <c r="R356" i="1" s="1"/>
  <c r="M363" i="1"/>
  <c r="R363" i="1" s="1"/>
  <c r="M364" i="1"/>
  <c r="R364" i="1" s="1"/>
  <c r="M365" i="1"/>
  <c r="R365" i="1" s="1"/>
  <c r="M366" i="1"/>
  <c r="R366" i="1" s="1"/>
  <c r="M367" i="1"/>
  <c r="R367" i="1" s="1"/>
  <c r="M368" i="1"/>
  <c r="R368" i="1" s="1"/>
  <c r="M375" i="1"/>
  <c r="R375" i="1" s="1"/>
  <c r="M376" i="1"/>
  <c r="R376" i="1" s="1"/>
  <c r="M378" i="1"/>
  <c r="R378" i="1" s="1"/>
  <c r="M379" i="1"/>
  <c r="R379" i="1" s="1"/>
  <c r="M380" i="1"/>
  <c r="R380" i="1" s="1"/>
  <c r="M381" i="1"/>
  <c r="R381" i="1" s="1"/>
  <c r="M388" i="1"/>
  <c r="R388" i="1" s="1"/>
  <c r="M389" i="1"/>
  <c r="R389" i="1" s="1"/>
  <c r="M390" i="1"/>
  <c r="R390" i="1" s="1"/>
  <c r="M391" i="1"/>
  <c r="R391" i="1" s="1"/>
  <c r="M393" i="1"/>
  <c r="R393" i="1" s="1"/>
  <c r="M399" i="1"/>
  <c r="R399" i="1" s="1"/>
  <c r="M400" i="1"/>
  <c r="R400" i="1" s="1"/>
  <c r="M402" i="1"/>
  <c r="R402" i="1" s="1"/>
  <c r="M403" i="1"/>
  <c r="R403" i="1" s="1"/>
  <c r="M404" i="1"/>
  <c r="R404" i="1" s="1"/>
  <c r="M405" i="1"/>
  <c r="R405" i="1" s="1"/>
  <c r="M411" i="1"/>
  <c r="R411" i="1" s="1"/>
  <c r="M412" i="1"/>
  <c r="R412" i="1" s="1"/>
  <c r="M413" i="1"/>
  <c r="R413" i="1" s="1"/>
  <c r="M414" i="1"/>
  <c r="R414" i="1" s="1"/>
  <c r="M415" i="1"/>
  <c r="R415" i="1" s="1"/>
  <c r="M416" i="1"/>
  <c r="R416" i="1" s="1"/>
  <c r="M417" i="1"/>
  <c r="R417" i="1" s="1"/>
  <c r="M423" i="1"/>
  <c r="R423" i="1" s="1"/>
  <c r="M425" i="1"/>
  <c r="R425" i="1" s="1"/>
  <c r="M426" i="1"/>
  <c r="R426" i="1" s="1"/>
  <c r="M427" i="1"/>
  <c r="R427" i="1" s="1"/>
  <c r="M428" i="1"/>
  <c r="R428" i="1" s="1"/>
  <c r="M429" i="1"/>
  <c r="R429" i="1" s="1"/>
  <c r="M435" i="1"/>
  <c r="R435" i="1" s="1"/>
  <c r="M436" i="1"/>
  <c r="R436" i="1" s="1"/>
  <c r="M437" i="1"/>
  <c r="R437" i="1" s="1"/>
  <c r="M438" i="1"/>
  <c r="R438" i="1" s="1"/>
  <c r="M439" i="1"/>
  <c r="R439" i="1" s="1"/>
  <c r="M441" i="1"/>
  <c r="R441" i="1" s="1"/>
  <c r="M447" i="1"/>
  <c r="R447" i="1" s="1"/>
  <c r="M448" i="1"/>
  <c r="R448" i="1" s="1"/>
  <c r="M449" i="1"/>
  <c r="R449" i="1" s="1"/>
  <c r="M450" i="1"/>
  <c r="R450" i="1" s="1"/>
  <c r="M451" i="1"/>
  <c r="R451" i="1" s="1"/>
  <c r="M452" i="1"/>
  <c r="R452" i="1" s="1"/>
  <c r="M459" i="1"/>
  <c r="R459" i="1" s="1"/>
  <c r="M460" i="1"/>
  <c r="R460" i="1" s="1"/>
  <c r="M461" i="1"/>
  <c r="R461" i="1" s="1"/>
  <c r="M462" i="1"/>
  <c r="R462" i="1" s="1"/>
  <c r="M464" i="1"/>
  <c r="R464" i="1" s="1"/>
  <c r="M465" i="1"/>
  <c r="R465" i="1" s="1"/>
  <c r="M471" i="1"/>
  <c r="R471" i="1" s="1"/>
  <c r="M472" i="1"/>
  <c r="R472" i="1" s="1"/>
  <c r="M473" i="1"/>
  <c r="R473" i="1" s="1"/>
  <c r="M474" i="1"/>
  <c r="R474" i="1" s="1"/>
  <c r="M475" i="1"/>
  <c r="R475" i="1" s="1"/>
  <c r="M476" i="1"/>
  <c r="R476" i="1" s="1"/>
  <c r="M477" i="1"/>
  <c r="R477" i="1" s="1"/>
  <c r="M483" i="1"/>
  <c r="R483" i="1" s="1"/>
  <c r="M484" i="1"/>
  <c r="R484" i="1" s="1"/>
  <c r="M485" i="1"/>
  <c r="R485" i="1" s="1"/>
  <c r="M486" i="1"/>
  <c r="R486" i="1" s="1"/>
  <c r="M488" i="1"/>
  <c r="R488" i="1" s="1"/>
  <c r="M489" i="1"/>
  <c r="R489" i="1" s="1"/>
  <c r="M495" i="1"/>
  <c r="R495" i="1" s="1"/>
  <c r="M496" i="1"/>
  <c r="R496" i="1" s="1"/>
  <c r="M497" i="1"/>
  <c r="R497" i="1" s="1"/>
  <c r="M498" i="1"/>
  <c r="R498" i="1" s="1"/>
  <c r="M500" i="1"/>
  <c r="R500" i="1" s="1"/>
  <c r="M501" i="1"/>
  <c r="R501" i="1" s="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M13" i="1"/>
  <c r="R13" i="1" s="1"/>
</calcChain>
</file>

<file path=xl/sharedStrings.xml><?xml version="1.0" encoding="utf-8"?>
<sst xmlns="http://schemas.openxmlformats.org/spreadsheetml/2006/main" count="4252" uniqueCount="1013">
  <si>
    <t>Patient ID</t>
  </si>
  <si>
    <t>Patient Name</t>
  </si>
  <si>
    <t>Department</t>
  </si>
  <si>
    <t>Diagnosis</t>
  </si>
  <si>
    <t>PAT-3001</t>
  </si>
  <si>
    <t>Thomas Martin</t>
  </si>
  <si>
    <t>Cardiology</t>
  </si>
  <si>
    <t>PAT-3002</t>
  </si>
  <si>
    <t>Betty Thompson</t>
  </si>
  <si>
    <t>PAT-3003</t>
  </si>
  <si>
    <t>Lisa Rodriguez</t>
  </si>
  <si>
    <t>Emergency</t>
  </si>
  <si>
    <t>PAT-3004</t>
  </si>
  <si>
    <t>Donna Jones</t>
  </si>
  <si>
    <t>PAT-3005</t>
  </si>
  <si>
    <t>Michael Walker</t>
  </si>
  <si>
    <t>General</t>
  </si>
  <si>
    <t>PAT-3006</t>
  </si>
  <si>
    <t>Kenneth Lewis</t>
  </si>
  <si>
    <t>PAT-3007</t>
  </si>
  <si>
    <t>Linda Smith</t>
  </si>
  <si>
    <t>PAT-3008</t>
  </si>
  <si>
    <t>Susan Garcia</t>
  </si>
  <si>
    <t>PAT-3009</t>
  </si>
  <si>
    <t>James Jones</t>
  </si>
  <si>
    <t>PAT-3010</t>
  </si>
  <si>
    <t>Christopher Johnson</t>
  </si>
  <si>
    <t>PAT-3011</t>
  </si>
  <si>
    <t>Daniel Thomas</t>
  </si>
  <si>
    <t>Pediatrics</t>
  </si>
  <si>
    <t>PAT-3012</t>
  </si>
  <si>
    <t>Sandra Smith</t>
  </si>
  <si>
    <t>PAT-3013</t>
  </si>
  <si>
    <t>Michael Smith</t>
  </si>
  <si>
    <t>PAT-3014</t>
  </si>
  <si>
    <t>Thomas Taylor</t>
  </si>
  <si>
    <t>PAT-3015</t>
  </si>
  <si>
    <t>Jennifer Williams</t>
  </si>
  <si>
    <t>Orthopedics</t>
  </si>
  <si>
    <t>PAT-3016</t>
  </si>
  <si>
    <t>Nancy Lee</t>
  </si>
  <si>
    <t>PAT-3017</t>
  </si>
  <si>
    <t>Kevin Miller</t>
  </si>
  <si>
    <t>PAT-3018</t>
  </si>
  <si>
    <t>Elizabeth Moore</t>
  </si>
  <si>
    <t>PAT-3019</t>
  </si>
  <si>
    <t>Carol Rodriguez</t>
  </si>
  <si>
    <t>Neurology</t>
  </si>
  <si>
    <t>PAT-3020</t>
  </si>
  <si>
    <t>Karen Hernandez</t>
  </si>
  <si>
    <t>PAT-3021</t>
  </si>
  <si>
    <t>Michael Miller</t>
  </si>
  <si>
    <t>PAT-3022</t>
  </si>
  <si>
    <t>Karen Martinez</t>
  </si>
  <si>
    <t>PAT-3023</t>
  </si>
  <si>
    <t>William Wilson</t>
  </si>
  <si>
    <t>PAT-3024</t>
  </si>
  <si>
    <t>Ashley Young</t>
  </si>
  <si>
    <t>PAT-3025</t>
  </si>
  <si>
    <t>Betty Wilson</t>
  </si>
  <si>
    <t>PAT-3026</t>
  </si>
  <si>
    <t>Steven Garcia</t>
  </si>
  <si>
    <t>PAT-3027</t>
  </si>
  <si>
    <t>Paul Taylor</t>
  </si>
  <si>
    <t>PAT-3028</t>
  </si>
  <si>
    <t>Daniel Lopez</t>
  </si>
  <si>
    <t>PAT-3029</t>
  </si>
  <si>
    <t>Joseph Brown</t>
  </si>
  <si>
    <t>PAT-3030</t>
  </si>
  <si>
    <t>Linda Wilson</t>
  </si>
  <si>
    <t>PAT-3031</t>
  </si>
  <si>
    <t>Emily Moore</t>
  </si>
  <si>
    <t>PAT-3032</t>
  </si>
  <si>
    <t>Sarah Wilson</t>
  </si>
  <si>
    <t>PAT-3033</t>
  </si>
  <si>
    <t>Nancy Clark</t>
  </si>
  <si>
    <t>PAT-3034</t>
  </si>
  <si>
    <t>Kevin Clark</t>
  </si>
  <si>
    <t>PAT-3035</t>
  </si>
  <si>
    <t>Joseph Williams</t>
  </si>
  <si>
    <t>Hypertension</t>
  </si>
  <si>
    <t>PAT-3036</t>
  </si>
  <si>
    <t>Jennifer Jackson</t>
  </si>
  <si>
    <t>PAT-3037</t>
  </si>
  <si>
    <t>Elizabeth Rodriguez</t>
  </si>
  <si>
    <t>Asthma</t>
  </si>
  <si>
    <t>PAT-3038</t>
  </si>
  <si>
    <t>Mark Miller</t>
  </si>
  <si>
    <t>PAT-3039</t>
  </si>
  <si>
    <t>Kenneth Martinez</t>
  </si>
  <si>
    <t>PAT-3040</t>
  </si>
  <si>
    <t>Karen Young</t>
  </si>
  <si>
    <t>PAT-3041</t>
  </si>
  <si>
    <t>Dorothy Ramirez</t>
  </si>
  <si>
    <t>PAT-3042</t>
  </si>
  <si>
    <t>Donna Williams</t>
  </si>
  <si>
    <t>PAT-3043</t>
  </si>
  <si>
    <t>Nancy Harris</t>
  </si>
  <si>
    <t>PAT-3044</t>
  </si>
  <si>
    <t>PAT-3045</t>
  </si>
  <si>
    <t>Michelle Taylor</t>
  </si>
  <si>
    <t>PAT-3046</t>
  </si>
  <si>
    <t>PAT-3047</t>
  </si>
  <si>
    <t>Elizabeth Harris</t>
  </si>
  <si>
    <t>PAT-3048</t>
  </si>
  <si>
    <t>David Wilson</t>
  </si>
  <si>
    <t>PAT-3049</t>
  </si>
  <si>
    <t>Kevin Wilson</t>
  </si>
  <si>
    <t>PAT-3050</t>
  </si>
  <si>
    <t>James Wilson</t>
  </si>
  <si>
    <t>PAT-3051</t>
  </si>
  <si>
    <t>Jennifer Perez</t>
  </si>
  <si>
    <t>PAT-3052</t>
  </si>
  <si>
    <t>Mary Johnson</t>
  </si>
  <si>
    <t>PAT-3053</t>
  </si>
  <si>
    <t>Joseph Thomas</t>
  </si>
  <si>
    <t>PAT-3054</t>
  </si>
  <si>
    <t>Anthony Thomas</t>
  </si>
  <si>
    <t>PAT-3055</t>
  </si>
  <si>
    <t>Donna Clark</t>
  </si>
  <si>
    <t>PAT-3056</t>
  </si>
  <si>
    <t>Andrew Jones</t>
  </si>
  <si>
    <t>PAT-3057</t>
  </si>
  <si>
    <t>Jennifer Martinez</t>
  </si>
  <si>
    <t>PAT-3058</t>
  </si>
  <si>
    <t>Mark Lewis</t>
  </si>
  <si>
    <t>PAT-3059</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</si>
  <si>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</si>
  <si>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</si>
  <si>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</si>
  <si>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</si>
  <si>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</si>
  <si>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</si>
  <si>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</si>
  <si>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</si>
  <si>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</si>
  <si>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</si>
  <si>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</si>
  <si>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</si>
  <si>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</si>
  <si>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</si>
  <si>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</si>
  <si>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</si>
  <si>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</si>
  <si>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</si>
  <si>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</si>
  <si>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</si>
  <si>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</si>
  <si>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</si>
  <si>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</si>
  <si>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</si>
  <si>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</si>
  <si>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</si>
  <si>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</si>
  <si>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</si>
  <si>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</si>
  <si>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</si>
  <si>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</si>
  <si>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</si>
  <si>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</si>
  <si>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</si>
  <si>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</si>
  <si>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</si>
  <si>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</si>
  <si>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</si>
  <si>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</si>
  <si>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</si>
  <si>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</si>
  <si>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</si>
  <si>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</si>
  <si>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</si>
  <si>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</si>
  <si>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</si>
  <si>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</si>
  <si>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</si>
  <si>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</si>
  <si>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</si>
  <si>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</si>
  <si>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</si>
  <si>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</si>
  <si>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</si>
  <si>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PAT-3088</t>
  </si>
  <si>
    <t>Mark Moore</t>
  </si>
  <si>
    <t>PAT-3089</t>
  </si>
  <si>
    <t>Carol Hernandez</t>
  </si>
  <si>
    <t>PAT-3090</t>
  </si>
  <si>
    <t>Barbara Taylor</t>
  </si>
  <si>
    <t>PAT-3091</t>
  </si>
  <si>
    <t>Lisa Brown</t>
  </si>
  <si>
    <t>PAT-3092</t>
  </si>
  <si>
    <t>Barbara Walker</t>
  </si>
  <si>
    <t>PAT-3093</t>
  </si>
  <si>
    <t>Thomas Hernandez</t>
  </si>
  <si>
    <t>PAT-3094</t>
  </si>
  <si>
    <t>Sarah Young</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</si>
  <si>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</si>
  <si>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</si>
  <si>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</si>
  <si>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</si>
  <si>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</si>
  <si>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</si>
  <si>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</si>
  <si>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</si>
  <si>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</si>
  <si>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</si>
  <si>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</si>
  <si>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</si>
  <si>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</si>
  <si>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</si>
  <si>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</si>
  <si>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</si>
  <si>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</si>
  <si>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</si>
  <si>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</si>
  <si>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</si>
  <si>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</si>
  <si>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</si>
  <si>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</si>
  <si>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</si>
  <si>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</si>
  <si>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</si>
  <si>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</si>
  <si>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</si>
  <si>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</si>
  <si>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</si>
  <si>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</si>
  <si>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</si>
  <si>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</si>
  <si>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</si>
  <si>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</si>
  <si>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</si>
  <si>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</si>
  <si>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</si>
  <si>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</si>
  <si>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</si>
  <si>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</si>
  <si>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</si>
  <si>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</si>
  <si>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</si>
  <si>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</si>
  <si>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</si>
  <si>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</si>
  <si>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</si>
  <si>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</si>
  <si>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</si>
  <si>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</si>
  <si>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</si>
  <si>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</si>
  <si>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</si>
  <si>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</si>
  <si>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</si>
  <si>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</si>
  <si>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</si>
  <si>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</si>
  <si>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</si>
  <si>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</si>
  <si>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</si>
  <si>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</si>
  <si>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</si>
  <si>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</si>
  <si>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</si>
  <si>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</si>
  <si>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</si>
  <si>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</si>
  <si>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</si>
  <si>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</si>
  <si>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</si>
  <si>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</si>
  <si>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</si>
  <si>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</si>
  <si>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</si>
  <si>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</si>
  <si>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</si>
  <si>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</si>
  <si>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</si>
  <si>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</si>
  <si>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</si>
  <si>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</si>
  <si>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</si>
  <si>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</si>
  <si>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</si>
  <si>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</si>
  <si>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</si>
  <si>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</si>
  <si>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</si>
  <si>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</si>
  <si>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</si>
  <si>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</si>
  <si>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</si>
  <si>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</si>
  <si>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</si>
  <si>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</si>
  <si>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</si>
  <si>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</si>
  <si>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</si>
  <si>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</si>
  <si>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</si>
  <si>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</si>
  <si>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</si>
  <si>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</si>
  <si>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</si>
  <si>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</si>
  <si>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</si>
  <si>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</si>
  <si>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</si>
  <si>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</si>
  <si>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</si>
  <si>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</si>
  <si>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</si>
  <si>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</si>
  <si>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</si>
  <si>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</si>
  <si>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</si>
  <si>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</si>
  <si>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</si>
  <si>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</si>
  <si>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</si>
  <si>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</si>
  <si>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</si>
  <si>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</si>
  <si>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</si>
  <si>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</si>
  <si>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</si>
  <si>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</si>
  <si>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</si>
  <si>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</si>
  <si>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</si>
  <si>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</si>
  <si>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</si>
  <si>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</si>
  <si>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</si>
  <si>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</si>
  <si>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</si>
  <si>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</si>
  <si>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</si>
  <si>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</si>
  <si>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</si>
  <si>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</si>
  <si>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</si>
  <si>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</si>
  <si>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</si>
  <si>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</si>
  <si>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</si>
  <si>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</si>
  <si>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</si>
  <si>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</si>
  <si>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</si>
  <si>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</si>
  <si>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</si>
  <si>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</si>
  <si>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</si>
  <si>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</si>
  <si>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</si>
  <si>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</si>
  <si>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</si>
  <si>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</si>
  <si>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</si>
  <si>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</si>
  <si>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</si>
  <si>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</si>
  <si>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</si>
  <si>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</si>
  <si>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</si>
  <si>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</si>
  <si>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</si>
  <si>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</si>
  <si>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</si>
  <si>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</si>
  <si>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</si>
  <si>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</si>
  <si>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</si>
  <si>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</si>
  <si>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</si>
  <si>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</si>
  <si>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</si>
  <si>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</si>
  <si>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</si>
  <si>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</si>
  <si>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</si>
  <si>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</si>
  <si>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</si>
  <si>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</si>
  <si>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</si>
  <si>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</si>
  <si>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</si>
  <si>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</si>
  <si>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</si>
  <si>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</si>
  <si>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</si>
  <si>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</si>
  <si>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</si>
  <si>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</si>
  <si>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</si>
  <si>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</si>
  <si>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</si>
  <si>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</si>
  <si>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</si>
  <si>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</si>
  <si>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</si>
  <si>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</si>
  <si>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</si>
  <si>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</si>
  <si>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</si>
  <si>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</si>
  <si>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</si>
  <si>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</si>
  <si>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</si>
  <si>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</si>
  <si>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</si>
  <si>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</si>
  <si>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</si>
  <si>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</si>
  <si>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</si>
  <si>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</si>
  <si>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</si>
  <si>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</si>
  <si>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</si>
  <si>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</si>
  <si>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</si>
  <si>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</si>
  <si>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</si>
  <si>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</si>
  <si>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</si>
  <si>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</si>
  <si>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</si>
  <si>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</si>
  <si>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</si>
  <si>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</si>
  <si>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</si>
  <si>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</si>
  <si>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</si>
  <si>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</si>
  <si>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</si>
  <si>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</si>
  <si>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</si>
  <si>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</si>
  <si>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</si>
  <si>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</si>
  <si>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</si>
  <si>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</si>
  <si>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</si>
  <si>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</si>
  <si>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</si>
  <si>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</si>
  <si>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</si>
  <si>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</si>
  <si>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</si>
  <si>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</si>
  <si>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</si>
  <si>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</si>
  <si>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</si>
  <si>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</si>
  <si>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</si>
  <si>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</si>
  <si>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</si>
  <si>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</si>
  <si>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</si>
  <si>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</si>
  <si>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</si>
  <si>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</si>
  <si>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</si>
  <si>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</si>
  <si>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</si>
  <si>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</si>
  <si>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</si>
  <si>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</si>
  <si>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</si>
  <si>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</si>
  <si>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</si>
  <si>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</si>
  <si>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</si>
  <si>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</si>
  <si>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</si>
  <si>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</si>
  <si>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</si>
  <si>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</si>
  <si>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</si>
  <si>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</si>
  <si>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</si>
  <si>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</si>
  <si>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</si>
  <si>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</si>
  <si>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</si>
  <si>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</si>
  <si>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</si>
  <si>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</si>
  <si>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</si>
  <si>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</si>
  <si>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</si>
  <si>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</si>
  <si>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</si>
  <si>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</si>
  <si>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</si>
  <si>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</si>
  <si>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</si>
  <si>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</si>
  <si>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</si>
  <si>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</si>
  <si>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</si>
  <si>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</si>
  <si>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</si>
  <si>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</si>
  <si>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</si>
  <si>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</si>
  <si>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</si>
  <si>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</si>
  <si>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</si>
  <si>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</si>
  <si>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</si>
  <si>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</si>
  <si>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</si>
  <si>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</si>
  <si>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</si>
  <si>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</si>
  <si>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</si>
  <si>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</si>
  <si>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</si>
  <si>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</si>
  <si>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</si>
  <si>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</si>
  <si>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</si>
  <si>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</si>
  <si>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</si>
  <si>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</si>
  <si>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</si>
  <si>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</si>
  <si>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</si>
  <si>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</si>
  <si>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</si>
  <si>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</si>
  <si>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</si>
  <si>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</si>
  <si>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</si>
  <si>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</si>
  <si>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</si>
  <si>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</si>
  <si>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</si>
  <si>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</si>
  <si>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</si>
  <si>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</si>
  <si>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</si>
  <si>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</si>
  <si>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</si>
  <si>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</si>
  <si>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</si>
  <si>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</si>
  <si>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</si>
  <si>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</si>
  <si>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</si>
  <si>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</si>
  <si>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</si>
  <si>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</si>
  <si>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</si>
  <si>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</si>
  <si>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</si>
  <si>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</si>
  <si>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</si>
  <si>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</si>
  <si>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</si>
  <si>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</si>
  <si>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</si>
  <si>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</si>
  <si>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</si>
  <si>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</si>
  <si>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</si>
  <si>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</si>
  <si>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</si>
  <si>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</si>
  <si>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</si>
  <si>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</si>
  <si>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</si>
  <si>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</si>
  <si>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</si>
  <si>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</si>
  <si>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</si>
  <si>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</si>
  <si>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</si>
  <si>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</si>
  <si>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</si>
  <si>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</si>
  <si>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</si>
  <si>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</si>
  <si>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</si>
  <si>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</si>
  <si>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</si>
  <si>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</si>
  <si>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</si>
  <si>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</si>
  <si>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</si>
  <si>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</si>
  <si>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</si>
  <si>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</si>
  <si>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</si>
  <si>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</si>
  <si>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</si>
  <si>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</si>
  <si>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</si>
  <si>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</si>
  <si>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</si>
  <si>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</si>
  <si>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</si>
  <si>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</si>
  <si>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</si>
  <si>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</si>
  <si>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</si>
  <si>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</si>
  <si>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</si>
  <si>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</si>
  <si>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</si>
  <si>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</si>
  <si>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</si>
  <si>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</si>
  <si>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</si>
  <si>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</si>
  <si>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</si>
  <si>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</si>
  <si>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</si>
  <si>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</si>
  <si>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</si>
  <si>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</si>
  <si>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</si>
  <si>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</si>
  <si>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</si>
  <si>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</si>
  <si>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</si>
  <si>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</si>
  <si>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</si>
  <si>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</si>
  <si>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</si>
  <si>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</si>
  <si>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</si>
  <si>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</si>
  <si>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</si>
  <si>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</si>
  <si>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</si>
  <si>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</si>
  <si>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</si>
  <si>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</si>
  <si>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</si>
  <si>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</si>
  <si>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</si>
  <si>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</si>
  <si>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</si>
  <si>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</si>
  <si>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</si>
  <si>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</si>
  <si>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</si>
  <si>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</si>
  <si>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</si>
  <si>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</si>
  <si>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</si>
  <si>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</si>
  <si>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</si>
  <si>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</si>
  <si>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</si>
  <si>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</si>
  <si>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</si>
  <si>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</si>
  <si>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</si>
  <si>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</si>
  <si>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</si>
  <si>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</si>
  <si>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</si>
  <si>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</si>
  <si>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</si>
  <si>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</si>
  <si>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</si>
  <si>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</si>
  <si>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</si>
  <si>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</si>
  <si>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</si>
  <si>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</si>
  <si>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</si>
  <si>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</si>
  <si>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</si>
  <si>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</si>
  <si>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</si>
  <si>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</si>
  <si>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</si>
  <si>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</si>
  <si>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</si>
  <si>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</si>
  <si>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</si>
  <si>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</si>
  <si>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</si>
  <si>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</si>
  <si>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</si>
  <si>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</si>
  <si>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</si>
  <si>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</si>
  <si>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</si>
  <si>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</si>
  <si>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</si>
  <si>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</si>
  <si>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</si>
  <si>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</si>
  <si>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</si>
  <si>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</si>
  <si>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</si>
  <si>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</si>
  <si>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</si>
  <si>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</si>
  <si>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</si>
  <si>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</si>
  <si>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</si>
  <si>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</si>
  <si>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</si>
  <si>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</si>
  <si>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</si>
  <si>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</si>
  <si>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</si>
  <si>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</si>
  <si>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</si>
  <si>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</si>
  <si>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</si>
  <si>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</si>
  <si>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</si>
  <si>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</si>
  <si>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</si>
  <si>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</si>
  <si>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</si>
  <si>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</si>
  <si>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</si>
  <si>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</si>
  <si>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</si>
  <si>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</si>
  <si>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</si>
  <si>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</si>
  <si>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</si>
  <si>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</si>
  <si>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</si>
  <si>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</si>
  <si>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</si>
  <si>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</si>
  <si>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</si>
  <si>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</si>
  <si>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</si>
  <si>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</si>
  <si>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</si>
  <si>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</si>
  <si>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</si>
  <si>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</si>
  <si>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</si>
  <si>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</si>
  <si>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</si>
  <si>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</si>
  <si>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</si>
  <si>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</si>
  <si>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</si>
  <si>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</si>
  <si>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</si>
  <si>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</si>
  <si>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</si>
  <si>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</si>
  <si>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</si>
  <si>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</si>
  <si>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</si>
  <si>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</si>
  <si>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</si>
  <si>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</si>
  <si>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</si>
  <si>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</si>
  <si>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</si>
  <si>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</si>
  <si>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</si>
  <si>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</si>
  <si>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</si>
  <si>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</si>
  <si>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</si>
  <si>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</si>
  <si>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</si>
  <si>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</si>
  <si>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</si>
  <si>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</si>
  <si>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</si>
  <si>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</si>
  <si>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</si>
  <si>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</si>
  <si>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</si>
  <si>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</si>
  <si>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</si>
  <si>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</si>
  <si>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</si>
  <si>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</si>
  <si>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</si>
  <si>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</si>
  <si>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</si>
  <si>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</si>
  <si>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</si>
  <si>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</si>
  <si>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</si>
  <si>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</si>
  <si>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</si>
  <si>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</si>
  <si>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</si>
  <si>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</si>
  <si>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</si>
  <si>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</si>
  <si>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</si>
  <si>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</si>
  <si>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</si>
  <si>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</si>
  <si>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</si>
  <si>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</si>
  <si>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</si>
  <si>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</si>
  <si>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</si>
  <si>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</si>
  <si>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</si>
  <si>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</si>
  <si>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</si>
  <si>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</si>
  <si>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</si>
  <si>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</si>
  <si>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</si>
  <si>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</si>
  <si>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</si>
  <si>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</si>
  <si>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</si>
  <si>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</si>
  <si>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</si>
  <si>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</si>
  <si>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</si>
  <si>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</si>
  <si>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</si>
  <si>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</si>
  <si>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</si>
  <si>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</si>
  <si>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</si>
  <si>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</si>
  <si>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</si>
  <si>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</si>
  <si>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</si>
  <si>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</si>
  <si>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</si>
  <si>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</si>
  <si>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</si>
  <si>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</si>
  <si>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</si>
  <si>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</si>
  <si>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</si>
  <si>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</si>
  <si>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</si>
  <si>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</si>
  <si>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</si>
  <si>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</si>
  <si>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</si>
  <si>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</si>
  <si>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</si>
  <si>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</si>
  <si>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</si>
  <si>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</si>
  <si>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</si>
  <si>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</si>
  <si>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</si>
  <si>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</si>
  <si>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</si>
  <si>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</si>
  <si>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</si>
  <si>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</si>
  <si>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</si>
  <si>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</si>
  <si>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</si>
  <si>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</si>
  <si>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</si>
  <si>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</si>
  <si>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</si>
  <si>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</si>
  <si>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</si>
  <si>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</si>
  <si>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</si>
  <si>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</si>
  <si>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</si>
  <si>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</si>
  <si>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</si>
  <si>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</si>
  <si>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</si>
  <si>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</si>
  <si>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</si>
  <si>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</si>
  <si>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</si>
  <si>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</si>
  <si>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</si>
  <si>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</si>
  <si>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</si>
  <si>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</si>
  <si>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</si>
  <si>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</si>
  <si>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</si>
  <si>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</si>
  <si>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</si>
  <si>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</si>
  <si>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</si>
  <si>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</si>
  <si>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</si>
  <si>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</si>
  <si>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</si>
  <si>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</si>
  <si>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</si>
  <si>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</si>
  <si>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</si>
  <si>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</si>
  <si>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</si>
  <si>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</si>
  <si>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</si>
  <si>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</si>
  <si>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</si>
  <si>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</si>
  <si>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</si>
  <si>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</si>
  <si>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</si>
  <si>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</si>
  <si>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</si>
  <si>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</si>
  <si>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</si>
  <si>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</si>
  <si>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</si>
  <si>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</si>
  <si>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</si>
  <si>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</si>
  <si>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</si>
  <si>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</si>
  <si>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</si>
  <si>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Visit Date</t>
  </si>
  <si>
    <t>Skin Allergy</t>
  </si>
  <si>
    <t>Flu</t>
  </si>
  <si>
    <t>COVID-19</t>
  </si>
  <si>
    <t>Diabetes</t>
  </si>
  <si>
    <t>Region</t>
  </si>
  <si>
    <t>North</t>
  </si>
  <si>
    <t>West</t>
  </si>
  <si>
    <t>South</t>
  </si>
  <si>
    <t>East</t>
  </si>
  <si>
    <t>Central</t>
  </si>
  <si>
    <t>Treatment Status</t>
  </si>
  <si>
    <t>Ongoing</t>
  </si>
  <si>
    <t>Recovered</t>
  </si>
  <si>
    <t>Under Observation</t>
  </si>
  <si>
    <t>Discharged</t>
  </si>
  <si>
    <t>Doctor Name</t>
  </si>
  <si>
    <t>Sneha Verma</t>
  </si>
  <si>
    <t>Priya Singh</t>
  </si>
  <si>
    <t>Aarav Sharma</t>
  </si>
  <si>
    <t>Rahul Kapoor</t>
  </si>
  <si>
    <t>Karan Mehta</t>
  </si>
  <si>
    <t>Riya Gupta</t>
  </si>
  <si>
    <t>Visit Cost</t>
  </si>
  <si>
    <t>Insurance Status</t>
  </si>
  <si>
    <t>Insured</t>
  </si>
  <si>
    <t>Not Insured</t>
  </si>
  <si>
    <t>Satisfaction Score(1-5)</t>
  </si>
  <si>
    <t>Month</t>
  </si>
  <si>
    <t>Year</t>
  </si>
  <si>
    <t>Row Labels</t>
  </si>
  <si>
    <t>Grand Total</t>
  </si>
  <si>
    <t>Total Patients</t>
  </si>
  <si>
    <t>Average of Satisfaction Score</t>
  </si>
  <si>
    <t>Max of Satisfaction Score</t>
  </si>
  <si>
    <t>Count of Treatment Status</t>
  </si>
  <si>
    <t>(All)</t>
  </si>
  <si>
    <t>Count of Insurance Status</t>
  </si>
  <si>
    <t>Jan</t>
  </si>
  <si>
    <t>Feb</t>
  </si>
  <si>
    <t>Mar</t>
  </si>
  <si>
    <t>Apr</t>
  </si>
  <si>
    <t>May</t>
  </si>
  <si>
    <t>Jun</t>
  </si>
  <si>
    <t>Jul</t>
  </si>
  <si>
    <t>Aug</t>
  </si>
  <si>
    <t>Sep</t>
  </si>
  <si>
    <t>Oct</t>
  </si>
  <si>
    <t>Nov</t>
  </si>
  <si>
    <t>Dec</t>
  </si>
  <si>
    <t>Lab Cost</t>
  </si>
  <si>
    <t>Medicine Cost</t>
  </si>
  <si>
    <t>Room Charges</t>
  </si>
  <si>
    <t>Total Revenue</t>
  </si>
  <si>
    <t>Discharge Date</t>
  </si>
  <si>
    <t>Length of Stay</t>
  </si>
  <si>
    <t>Insurance Claim Amount</t>
  </si>
  <si>
    <t>Out-of-Pocket Amount</t>
  </si>
  <si>
    <t>Sum of Total Revenue</t>
  </si>
  <si>
    <t>Sum of Insurance Claim Amount</t>
  </si>
  <si>
    <t>Sum of Out-of-Pocket Amount</t>
  </si>
  <si>
    <t>Sum of Lab Cost</t>
  </si>
  <si>
    <t>Sum of Medicine Cost</t>
  </si>
  <si>
    <t>Sum of Room Charges</t>
  </si>
  <si>
    <t>Count of Patient ID</t>
  </si>
  <si>
    <t xml:space="preserve">Total Revenue </t>
  </si>
  <si>
    <t>Average of Total Revenue</t>
  </si>
  <si>
    <t>6-26</t>
  </si>
  <si>
    <t>27-47</t>
  </si>
  <si>
    <t>48-68</t>
  </si>
  <si>
    <t>69-89</t>
  </si>
  <si>
    <t>90-110</t>
  </si>
  <si>
    <t>111-131</t>
  </si>
  <si>
    <t>132-152</t>
  </si>
  <si>
    <t>153-173</t>
  </si>
  <si>
    <t>Average of Satisfaction Score(1-5)</t>
  </si>
  <si>
    <t>Column Labels</t>
  </si>
  <si>
    <t>Average of Length of Stay</t>
  </si>
  <si>
    <t>Which department has high satisfaction score?</t>
  </si>
  <si>
    <t>What is the distribution of patients by diagnosis?</t>
  </si>
  <si>
    <t>(Understand disease patterns)</t>
  </si>
  <si>
    <t>What is the trend of patient visits over time?</t>
  </si>
  <si>
    <t>(Growth/decline pattern)</t>
  </si>
  <si>
    <t>Which diagnosis leads to longer recovery time (LOS)?</t>
  </si>
  <si>
    <t>(Severity indicator)</t>
  </si>
  <si>
    <t>Which diagnosis has highest out-of-pocket burden on patients?</t>
  </si>
  <si>
    <t>(Patient financial stress)</t>
  </si>
  <si>
    <t>Sum of Visit Cost</t>
  </si>
  <si>
    <t>What % of patients fall into each satisfaction level (1–5)?</t>
  </si>
  <si>
    <t>(Experience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</si>
</sst>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0.0"/>
    <numFmt numFmtId="166"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FFEDCE"/>
      <name val="Aptos Narrow"/>
      <family val="2"/>
      <scheme val="minor"/>
    </font>
    <font>
      <sz val="11"/>
      <color rgb="FFFFC000"/>
      <name val="Aptos Narrow"/>
      <family val="2"/>
      <scheme val="minor"/>
    </font>
    <font>
      <i/>
      <sz val="11"/>
      <color theme="1"/>
      <name val="Aptos Narrow"/>
      <family val="2"/>
      <scheme val="minor"/>
    </font>
    <font>
      <b/>
      <sz val="10"/>
      <color theme="1"/>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DC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18" fillId="33" borderId="0" xfId="0" applyFont="1" applyFill="1"/>
    <xf numFmtId="164" fontId="0" fillId="0" borderId="0" xfId="0" applyNumberFormat="1"/>
    <xf numFmtId="14" fontId="0" fillId="0" borderId="0" xfId="0" applyNumberFormat="1"/>
    <xf numFmtId="1" fontId="0" fillId="0" borderId="0" xfId="0" applyNumberFormat="1"/>
    <xf numFmtId="1" fontId="0" fillId="0" borderId="0" xfId="0" applyNumberFormat="1" applyAlignment="1">
      <alignment horizontal="left"/>
    </xf>
    <xf numFmtId="165" fontId="0" fillId="0" borderId="0" xfId="0" applyNumberFormat="1"/>
    <xf numFmtId="0" fontId="19" fillId="0" borderId="0" xfId="0" applyFont="1"/>
    <xf numFmtId="10" fontId="0" fillId="0" borderId="0" xfId="0" applyNumberFormat="1"/>
    <xf numFmtId="166" fontId="0" fillId="0" borderId="0" xfId="42" applyNumberFormat="1" applyFont="1"/>
    <xf numFmtId="166" fontId="0" fillId="0" borderId="0" xfId="0" applyNumberFormat="1"/>
    <xf numFmtId="0" fontId="20" fillId="0" borderId="0" xfId="0" applyFont="1"/>
    <xf numFmtId="0" fontId="21" fillId="0" borderId="0" xfId="0" applyFont="1" applyAlignment="1">
      <alignment vertical="center"/>
    </xf>
    <xf numFmtId="0" fontId="22" fillId="0" borderId="0" xfId="0" applyFont="1"/>
    <xf numFmtId="9" fontId="0" fillId="0" borderId="0" xfId="0" applyNumberFormat="1"/>
    <xf numFmtId="0" fontId="0" fillId="33" borderId="0" xfId="0" applyFill="1"/>
    <xf numFmtId="0" fontId="0" fillId="0" borderId="0" xfId="0"/>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8">
    <dxf>
      <numFmt numFmtId="14" formatCode="0.00%"/>
    </dxf>
    <dxf>
      <numFmt numFmtId="13" formatCode="0%"/>
    </dxf>
    <dxf>
      <numFmt numFmtId="164" formatCode="&quot;₹&quot;\ #,##0"/>
    </dxf>
    <dxf>
      <numFmt numFmtId="165" formatCode="0.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3" formatCode="0%"/>
    </dxf>
    <dxf>
      <numFmt numFmtId="164" formatCode="&quot;₹&quot;\ #,##0"/>
    </dxf>
    <dxf>
      <numFmt numFmtId="165" formatCode="0.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0.0"/>
    </dxf>
    <dxf>
      <numFmt numFmtId="164" formatCode="&quot;₹&quot;\ #,##0"/>
    </dxf>
    <dxf>
      <numFmt numFmtId="13" formatCode="0%"/>
    </dxf>
    <dxf>
      <numFmt numFmtId="14" formatCode="0.00%"/>
    </dxf>
    <dxf>
      <numFmt numFmtId="164" formatCode="&quot;₹&quot;\ #,##0"/>
    </dxf>
    <dxf>
      <numFmt numFmtId="164" formatCode="&quot;₹&quot;\ #,##0"/>
    </dxf>
    <dxf>
      <numFmt numFmtId="164" formatCode="&quot;₹&quot;\ #,##0"/>
    </dxf>
    <dxf>
      <numFmt numFmtId="165" formatCode="0.0"/>
    </dxf>
    <dxf>
      <numFmt numFmtId="166"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9" formatCode="dd/mm/yyyy"/>
    </dxf>
    <dxf>
      <numFmt numFmtId="164" formatCode="&quot;₹&quot;\ #,##0"/>
    </dxf>
    <dxf>
      <numFmt numFmtId="164" formatCode="&quot;₹&quot;\ #,##0"/>
    </dxf>
    <dxf>
      <numFmt numFmtId="164" formatCode="&quot;₹&quot;\ #,##0"/>
    </dxf>
    <dxf>
      <numFmt numFmtId="164" formatCode="&quot;₹&quot;\ #,##0"/>
    </dxf>
    <dxf>
      <numFmt numFmtId="164" formatCode="&quot;₹&quot;\ #,##0"/>
    </dxf>
    <dxf>
      <font>
        <b/>
        <i val="0"/>
        <sz val="11"/>
        <color theme="1"/>
      </font>
      <border>
        <bottom style="thin">
          <color theme="6"/>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SlicerStyleLight3 2" pivot="0" table="0" count="10" xr9:uid="{2E3A449E-51CC-45BB-B7BD-FC3165184BA9}">
      <tableStyleElement type="wholeTable" dxfId="127"/>
      <tableStyleElement type="headerRow" dxfId="126"/>
    </tableStyle>
  </tableStyles>
  <colors>
    <mruColors>
      <color rgb="FFFFEDCE"/>
      <color rgb="FFBCC9A7"/>
      <color rgb="FF99AD7A"/>
      <color rgb="FFFFF8E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sz val="11"/>
            <color theme="0"/>
          </font>
          <fill>
            <patternFill patternType="solid">
              <fgColor rgb="FF99AD7A"/>
              <bgColor rgb="FF99AD7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theme="0"/>
          </font>
          <fill>
            <patternFill patternType="solid">
              <fgColor rgb="FFBCC9A7"/>
              <bgColor rgb="FFBCC9A7"/>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1" Type="http://schemas.openxmlformats.org/officeDocument/2006/relationships/image" Target="../media/image3.png"/></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Table!Overview7</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vertOverflow="overflow" horzOverflow="overflow" wrap="square" lIns="38100" tIns="19050" rIns="38100" bIns="19050" anchor="ctr">
              <a:spAutoFit/>
            </a:bodyPr>
            <a:lstStyle/>
            <a:p>
              <a:pPr>
                <a:defRPr sz="1100" b="1">
                  <a:solidFill>
                    <a:schemeClr val="dk1"/>
                  </a:solidFill>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99AD7A"/>
          </a:solidFill>
          <a:ln w="19050">
            <a:solidFill>
              <a:schemeClr val="lt1"/>
            </a:solidFill>
          </a:ln>
          <a:effectLst/>
        </c:spPr>
        <c:dLbl>
          <c:idx val="0"/>
          <c:layout>
            <c:manualLayout>
              <c:x val="9.5833333333333312E-2"/>
              <c:y val="0.18055555555555555"/>
            </c:manualLayout>
          </c:layout>
          <c:tx>
            <c:rich>
              <a:bodyPr vertOverflow="overflow" horzOverflow="overflow" wrap="square" lIns="38100" tIns="19050" rIns="38100" bIns="19050" anchor="ctr">
                <a:noAutofit/>
              </a:bodyPr>
              <a:lstStyle/>
              <a:p>
                <a:pPr>
                  <a:defRPr sz="1100" b="1">
                    <a:solidFill>
                      <a:schemeClr val="dk1"/>
                    </a:solidFill>
                  </a:defRPr>
                </a:pPr>
                <a:fld id="{5CD9A6D5-972B-4B42-B562-60A84B3A6D14}" type="CATEGORYNAME">
                  <a:rPr lang="en-US"/>
                  <a:pPr>
                    <a:defRPr sz="1100" b="1">
                      <a:solidFill>
                        <a:schemeClr val="dk1"/>
                      </a:solidFill>
                    </a:defRPr>
                  </a:pPr>
                  <a:t>[CATEGORY NAME]</a:t>
                </a:fld>
                <a:r>
                  <a:rPr lang="en-US" baseline="0"/>
                  <a:t>, </a:t>
                </a:r>
                <a:fld id="{9483A89B-3E30-4BC3-A034-915DB37AE242}" type="VALUE">
                  <a:rPr lang="en-US" baseline="0"/>
                  <a:pPr>
                    <a:defRPr sz="1100" b="1">
                      <a:solidFill>
                        <a:schemeClr val="dk1"/>
                      </a:solidFill>
                    </a:defRPr>
                  </a:pPr>
                  <a:t>[VALUE]</a:t>
                </a:fld>
                <a:r>
                  <a:rPr lang="en-US" baseline="0"/>
                  <a:t>,</a:t>
                </a:r>
              </a:p>
              <a:p>
                <a:pPr>
                  <a:defRPr sz="1100" b="1">
                    <a:solidFill>
                      <a:schemeClr val="dk1"/>
                    </a:solidFill>
                  </a:defRPr>
                </a:pPr>
                <a:r>
                  <a:rPr lang="en-US" baseline="0"/>
                  <a:t> </a:t>
                </a:r>
                <a:fld id="{0EAAB505-2CA6-4384-8536-17F6C382AF00}" type="PERCENTAGE">
                  <a:rPr lang="en-US" baseline="0"/>
                  <a:pPr>
                    <a:defRPr sz="1100" b="1">
                      <a:solidFill>
                        <a:schemeClr val="dk1"/>
                      </a:solidFill>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585389326334202"/>
                  <c:h val="0.24144247594050744"/>
                </c:manualLayout>
              </c15:layout>
              <c15:dlblFieldTable/>
              <c15:showDataLabelsRange val="0"/>
            </c:ext>
          </c:extLst>
        </c:dLbl>
      </c:pivotFmt>
      <c:pivotFmt>
        <c:idx val="9"/>
        <c:spPr>
          <a:solidFill>
            <a:srgbClr val="D9E1CD"/>
          </a:solidFill>
          <a:ln w="19050">
            <a:solidFill>
              <a:schemeClr val="lt1"/>
            </a:solidFill>
          </a:ln>
          <a:effectLst/>
        </c:spPr>
        <c:dLbl>
          <c:idx val="0"/>
          <c:layout>
            <c:manualLayout>
              <c:x val="-9.7587604181056317E-2"/>
              <c:y val="-0.13404892570246901"/>
            </c:manualLayout>
          </c:layout>
          <c:tx>
            <c:rich>
              <a:bodyPr vertOverflow="overflow" horzOverflow="overflow" wrap="square" lIns="38100" tIns="19050" rIns="38100" bIns="19050" anchor="ctr">
                <a:noAutofit/>
              </a:bodyPr>
              <a:lstStyle/>
              <a:p>
                <a:pPr>
                  <a:defRPr sz="1100" b="1">
                    <a:solidFill>
                      <a:schemeClr val="dk1"/>
                    </a:solidFill>
                  </a:defRPr>
                </a:pPr>
                <a:fld id="{A70C97C8-7F93-4686-B5F4-33A5FF523831}" type="CATEGORYNAME">
                  <a:rPr lang="en-US"/>
                  <a:pPr>
                    <a:defRPr sz="1100" b="1">
                      <a:solidFill>
                        <a:schemeClr val="dk1"/>
                      </a:solidFill>
                    </a:defRPr>
                  </a:pPr>
                  <a:t>[CATEGORY NAME]</a:t>
                </a:fld>
                <a:r>
                  <a:rPr lang="en-US" baseline="0"/>
                  <a:t>, </a:t>
                </a:r>
                <a:fld id="{59C13157-EC73-4243-AB1F-F31A55C72562}" type="VALUE">
                  <a:rPr lang="en-US" baseline="0"/>
                  <a:pPr>
                    <a:defRPr sz="1100" b="1">
                      <a:solidFill>
                        <a:schemeClr val="dk1"/>
                      </a:solidFill>
                    </a:defRPr>
                  </a:pPr>
                  <a:t>[VALUE]</a:t>
                </a:fld>
                <a:r>
                  <a:rPr lang="en-US" baseline="0"/>
                  <a:t>,</a:t>
                </a:r>
              </a:p>
              <a:p>
                <a:pPr>
                  <a:defRPr sz="1100" b="1">
                    <a:solidFill>
                      <a:schemeClr val="dk1"/>
                    </a:solidFill>
                  </a:defRPr>
                </a:pPr>
                <a:r>
                  <a:rPr lang="en-US" baseline="0"/>
                  <a:t> </a:t>
                </a:r>
                <a:fld id="{12F04F8A-5670-490D-A308-1FEC8080D436}" type="PERCENTAGE">
                  <a:rPr lang="en-US" baseline="0"/>
                  <a:pPr>
                    <a:defRPr sz="1100" b="1">
                      <a:solidFill>
                        <a:schemeClr val="dk1"/>
                      </a:solidFill>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4867979002624671"/>
                  <c:h val="0.30162766112569256"/>
                </c:manualLayout>
              </c15:layout>
              <c15:dlblFieldTable/>
              <c15:showDataLabelsRange val="0"/>
            </c:ext>
          </c:extLst>
        </c:dLbl>
      </c:pivotFmt>
    </c:pivotFmts>
    <c:plotArea>
      <c:layout>
        <c:manualLayout>
          <c:layoutTarget val="inner"/>
          <c:xMode val="edge"/>
          <c:yMode val="edge"/>
          <c:x val="0.2194836610335989"/>
          <c:y val="5.5509424958243861E-2"/>
          <c:w val="0.53740419276234974"/>
          <c:h val="0.87400802172455716"/>
        </c:manualLayout>
      </c:layout>
      <c:doughnutChart>
        <c:varyColors val="1"/>
        <c:ser>
          <c:idx val="0"/>
          <c:order val="0"/>
          <c:tx>
            <c:strRef>
              <c:f>'Pivot Table'!$U$4</c:f>
              <c:strCache>
                <c:ptCount val="1"/>
                <c:pt idx="0">
                  <c:v>Total</c:v>
                </c:pt>
              </c:strCache>
            </c:strRef>
          </c:tx>
          <c:dPt>
            <c:idx val="0"/>
            <c:bubble3D val="0"/>
            <c:spPr>
              <a:solidFill>
                <a:srgbClr val="99AD7A"/>
              </a:solidFill>
              <a:ln w="19050">
                <a:solidFill>
                  <a:schemeClr val="lt1"/>
                </a:solidFill>
              </a:ln>
              <a:effectLst/>
            </c:spPr>
            <c:extLst>
              <c:ext xmlns:c16="http://schemas.microsoft.com/office/drawing/2014/chart" uri="{C3380CC4-5D6E-409C-BE32-E72D297353CC}">
                <c16:uniqueId val="{00000007-FD72-43A7-BB7F-DBAF87D2B5C6}"/>
              </c:ext>
            </c:extLst>
          </c:dPt>
          <c:dPt>
            <c:idx val="1"/>
            <c:bubble3D val="0"/>
            <c:spPr>
              <a:solidFill>
                <a:srgbClr val="D9E1CD"/>
              </a:solidFill>
              <a:ln w="19050">
                <a:solidFill>
                  <a:schemeClr val="lt1"/>
                </a:solidFill>
              </a:ln>
              <a:effectLst/>
            </c:spPr>
            <c:extLst>
              <c:ext xmlns:c16="http://schemas.microsoft.com/office/drawing/2014/chart" uri="{C3380CC4-5D6E-409C-BE32-E72D297353CC}">
                <c16:uniqueId val="{00000009-FD72-43A7-BB7F-DBAF87D2B5C6}"/>
              </c:ext>
            </c:extLst>
          </c:dPt>
          <c:dLbls>
            <c:dLbl>
              <c:idx val="0"/>
              <c:layout>
                <c:manualLayout>
                  <c:x val="9.5833333333333312E-2"/>
                  <c:y val="0.18055555555555555"/>
                </c:manualLayout>
              </c:layout>
              <c:tx>
                <c:rich>
                  <a:bodyPr vertOverflow="overflow" horzOverflow="overflow" wrap="square" lIns="38100" tIns="19050" rIns="38100" bIns="19050" anchor="ctr">
                    <a:noAutofit/>
                  </a:bodyPr>
                  <a:lstStyle/>
                  <a:p>
                    <a:pPr>
                      <a:defRPr sz="1100" b="1">
                        <a:solidFill>
                          <a:schemeClr val="dk1"/>
                        </a:solidFill>
                      </a:defRPr>
                    </a:pPr>
                    <a:fld id="{5CD9A6D5-972B-4B42-B562-60A84B3A6D14}" type="CATEGORYNAME">
                      <a:rPr lang="en-US"/>
                      <a:pPr>
                        <a:defRPr sz="1100" b="1">
                          <a:solidFill>
                            <a:schemeClr val="dk1"/>
                          </a:solidFill>
                        </a:defRPr>
                      </a:pPr>
                      <a:t>[CATEGORY NAME]</a:t>
                    </a:fld>
                    <a:r>
                      <a:rPr lang="en-US" baseline="0"/>
                      <a:t>, </a:t>
                    </a:r>
                    <a:fld id="{9483A89B-3E30-4BC3-A034-915DB37AE242}" type="VALUE">
                      <a:rPr lang="en-US" baseline="0"/>
                      <a:pPr>
                        <a:defRPr sz="1100" b="1">
                          <a:solidFill>
                            <a:schemeClr val="dk1"/>
                          </a:solidFill>
                        </a:defRPr>
                      </a:pPr>
                      <a:t>[VALUE]</a:t>
                    </a:fld>
                    <a:r>
                      <a:rPr lang="en-US" baseline="0"/>
                      <a:t>,</a:t>
                    </a:r>
                  </a:p>
                  <a:p>
                    <a:pPr>
                      <a:defRPr sz="1100" b="1">
                        <a:solidFill>
                          <a:schemeClr val="dk1"/>
                        </a:solidFill>
                      </a:defRPr>
                    </a:pPr>
                    <a:r>
                      <a:rPr lang="en-US" baseline="0"/>
                      <a:t> </a:t>
                    </a:r>
                    <a:fld id="{0EAAB505-2CA6-4384-8536-17F6C382AF00}" type="PERCENTAGE">
                      <a:rPr lang="en-US" baseline="0"/>
                      <a:pPr>
                        <a:defRPr sz="1100" b="1">
                          <a:solidFill>
                            <a:schemeClr val="dk1"/>
                          </a:solidFill>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585389326334202"/>
                      <c:h val="0.24144247594050744"/>
                    </c:manualLayout>
                  </c15:layout>
                  <c15:dlblFieldTable/>
                  <c15:showDataLabelsRange val="0"/>
                </c:ext>
                <c:ext xmlns:c16="http://schemas.microsoft.com/office/drawing/2014/chart" uri="{C3380CC4-5D6E-409C-BE32-E72D297353CC}">
                  <c16:uniqueId val="{00000007-FD72-43A7-BB7F-DBAF87D2B5C6}"/>
                </c:ext>
              </c:extLst>
            </c:dLbl>
            <c:dLbl>
              <c:idx val="1"/>
              <c:layout>
                <c:manualLayout>
                  <c:x val="-9.7587604181056317E-2"/>
                  <c:y val="-0.13404892570246901"/>
                </c:manualLayout>
              </c:layout>
              <c:tx>
                <c:rich>
                  <a:bodyPr vertOverflow="overflow" horzOverflow="overflow" wrap="square" lIns="38100" tIns="19050" rIns="38100" bIns="19050" anchor="ctr">
                    <a:noAutofit/>
                  </a:bodyPr>
                  <a:lstStyle/>
                  <a:p>
                    <a:pPr>
                      <a:defRPr sz="1100" b="1">
                        <a:solidFill>
                          <a:schemeClr val="dk1"/>
                        </a:solidFill>
                      </a:defRPr>
                    </a:pPr>
                    <a:fld id="{A70C97C8-7F93-4686-B5F4-33A5FF523831}" type="CATEGORYNAME">
                      <a:rPr lang="en-US"/>
                      <a:pPr>
                        <a:defRPr sz="1100" b="1">
                          <a:solidFill>
                            <a:schemeClr val="dk1"/>
                          </a:solidFill>
                        </a:defRPr>
                      </a:pPr>
                      <a:t>[CATEGORY NAME]</a:t>
                    </a:fld>
                    <a:r>
                      <a:rPr lang="en-US" baseline="0"/>
                      <a:t>, </a:t>
                    </a:r>
                    <a:fld id="{59C13157-EC73-4243-AB1F-F31A55C72562}" type="VALUE">
                      <a:rPr lang="en-US" baseline="0"/>
                      <a:pPr>
                        <a:defRPr sz="1100" b="1">
                          <a:solidFill>
                            <a:schemeClr val="dk1"/>
                          </a:solidFill>
                        </a:defRPr>
                      </a:pPr>
                      <a:t>[VALUE]</a:t>
                    </a:fld>
                    <a:r>
                      <a:rPr lang="en-US" baseline="0"/>
                      <a:t>,</a:t>
                    </a:r>
                  </a:p>
                  <a:p>
                    <a:pPr>
                      <a:defRPr sz="1100" b="1">
                        <a:solidFill>
                          <a:schemeClr val="dk1"/>
                        </a:solidFill>
                      </a:defRPr>
                    </a:pPr>
                    <a:r>
                      <a:rPr lang="en-US" baseline="0"/>
                      <a:t> </a:t>
                    </a:r>
                    <a:fld id="{12F04F8A-5670-490D-A308-1FEC8080D436}" type="PERCENTAGE">
                      <a:rPr lang="en-US" baseline="0"/>
                      <a:pPr>
                        <a:defRPr sz="1100" b="1">
                          <a:solidFill>
                            <a:schemeClr val="dk1"/>
                          </a:solidFill>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4867979002624671"/>
                      <c:h val="0.30162766112569256"/>
                    </c:manualLayout>
                  </c15:layout>
                  <c15:dlblFieldTable/>
                  <c15:showDataLabelsRange val="0"/>
                </c:ext>
                <c:ext xmlns:c16="http://schemas.microsoft.com/office/drawing/2014/chart" uri="{C3380CC4-5D6E-409C-BE32-E72D297353CC}">
                  <c16:uniqueId val="{00000009-FD72-43A7-BB7F-DBAF87D2B5C6}"/>
                </c:ext>
              </c:extLst>
            </c:dLbl>
            <c:spPr>
              <a:noFill/>
              <a:ln>
                <a:noFill/>
              </a:ln>
              <a:effectLst/>
            </c:spPr>
            <c:txPr>
              <a:bodyPr vertOverflow="overflow" horzOverflow="overflow" wrap="square" lIns="38100" tIns="19050" rIns="38100" bIns="19050" anchor="ctr">
                <a:spAutoFit/>
              </a:bodyPr>
              <a:lstStyle/>
              <a:p>
                <a:pPr>
                  <a:defRPr sz="1100" b="1">
                    <a:solidFill>
                      <a:schemeClr val="dk1"/>
                    </a:solidFill>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Table'!$T$5:$T$7</c:f>
              <c:strCache>
                <c:ptCount val="2"/>
                <c:pt idx="0">
                  <c:v>Insured</c:v>
                </c:pt>
                <c:pt idx="1">
                  <c:v>Not Insured</c:v>
                </c:pt>
              </c:strCache>
            </c:strRef>
          </c:cat>
          <c:val>
            <c:numRef>
              <c:f>'Pivot Table'!$U$5:$U$7</c:f>
              <c:numCache>
                <c:formatCode>General</c:formatCode>
                <c:ptCount val="2"/>
                <c:pt idx="0">
                  <c:v>255</c:v>
                </c:pt>
                <c:pt idx="1">
                  <c:v>245</c:v>
                </c:pt>
              </c:numCache>
            </c:numRef>
          </c:val>
          <c:extLst>
            <c:ext xmlns:c16="http://schemas.microsoft.com/office/drawing/2014/chart" uri="{C3380CC4-5D6E-409C-BE32-E72D297353CC}">
              <c16:uniqueId val="{0000000A-FD72-43A7-BB7F-DBAF87D2B5C6}"/>
            </c:ext>
          </c:extLst>
        </c:ser>
        <c:dLbls>
          <c:showLegendKey val="0"/>
          <c:showVal val="0"/>
          <c:showCatName val="0"/>
          <c:showSerName val="0"/>
          <c:showPercent val="0"/>
          <c:showBubbleSize val="0"/>
          <c:showLeaderLines val="0"/>
        </c:dLbls>
        <c:firstSliceAng val="0"/>
        <c:holeSize val="85"/>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Table!Overview10</c:name>
    <c:fmtId val="7"/>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xForSave val="1"/>
            </c:ext>
          </c:extLst>
        </c:dLbl>
      </c:pivotFmt>
      <c:pivotFmt>
        <c:idx val="14"/>
        <c:spPr>
          <a:solidFill>
            <a:srgbClr val="E96C2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xForSave val="1"/>
            </c:ext>
          </c:extLst>
        </c:dLbl>
      </c:pivotFmt>
      <c:pivotFmt>
        <c:idx val="15"/>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layout>
                <c:manualLayout>
                  <c:w val="0.24237037037037037"/>
                  <c:h val="0.21074605400352353"/>
                </c:manualLayout>
              </c15:layout>
            </c:ext>
          </c:extLst>
        </c:dLbl>
      </c:pivotFmt>
      <c:pivotFmt>
        <c:idx val="16"/>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xForSave val="1"/>
            </c:ext>
          </c:extLst>
        </c:dLbl>
      </c:pivotFmt>
      <c:pivotFmt>
        <c:idx val="17"/>
        <c:spPr>
          <a:solidFill>
            <a:schemeClr val="accent2">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xForSave val="1"/>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20"/>
        <c:spPr>
          <a:solidFill>
            <a:srgbClr val="E96C2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0972295129775599E-2"/>
              <c:y val="0.1257362394918026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6324088655584718"/>
                  <c:h val="0.24276262568628196"/>
                </c:manualLayout>
              </c15:layout>
            </c:ext>
          </c:extLst>
        </c:dLbl>
      </c:pivotFmt>
      <c:pivotFmt>
        <c:idx val="21"/>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703703703703704"/>
              <c:y val="-2.254428341384863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7200000000000002"/>
                  <c:h val="0.16565762613006707"/>
                </c:manualLayout>
              </c15:layout>
            </c:ext>
          </c:extLst>
        </c:dLbl>
      </c:pivotFmt>
      <c:pivotFmt>
        <c:idx val="22"/>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256926217575E-2"/>
              <c:y val="-0.14611872146118726"/>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9479644211140273"/>
                  <c:h val="0.25211567732115675"/>
                </c:manualLayout>
              </c15:layout>
            </c:ext>
          </c:extLst>
        </c:dLbl>
      </c:pivotFmt>
      <c:pivotFmt>
        <c:idx val="23"/>
        <c:spPr>
          <a:solidFill>
            <a:schemeClr val="accent2">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8148293963254613E-2"/>
              <c:y val="-2.2544019400791083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2812977544473609"/>
                  <c:h val="0.19485057121483004"/>
                </c:manualLayout>
              </c15:layout>
            </c:ext>
          </c:extLst>
        </c:dLbl>
      </c:pivotFmt>
      <c:pivotFmt>
        <c:idx val="24"/>
        <c:dLbl>
          <c:idx val="0"/>
          <c:dLblPos val="outEnd"/>
          <c:showLegendKey val="0"/>
          <c:showVal val="1"/>
          <c:showCatName val="1"/>
          <c:showSerName val="0"/>
          <c:showPercent val="1"/>
          <c:showBubbleSize val="0"/>
          <c:separator>, </c:separator>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203557888597261E-2"/>
          <c:y val="0.1294708709356536"/>
          <c:w val="0.86759288422280545"/>
          <c:h val="0.80802933879840366"/>
        </c:manualLayout>
      </c:layout>
      <c:pie3DChart>
        <c:varyColors val="1"/>
        <c:ser>
          <c:idx val="0"/>
          <c:order val="0"/>
          <c:tx>
            <c:strRef>
              <c:f>'Pivot Table'!$AD$4</c:f>
              <c:strCache>
                <c:ptCount val="1"/>
                <c:pt idx="0">
                  <c:v>Total</c:v>
                </c:pt>
              </c:strCache>
            </c:strRef>
          </c:tx>
          <c:explosion val="2"/>
          <c:dPt>
            <c:idx val="0"/>
            <c:bubble3D val="0"/>
            <c:spPr>
              <a:solidFill>
                <a:schemeClr val="accent2">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706-4790-8E25-5CE885374B60}"/>
              </c:ext>
            </c:extLst>
          </c:dPt>
          <c:dPt>
            <c:idx val="1"/>
            <c:bubble3D val="0"/>
            <c:spPr>
              <a:solidFill>
                <a:srgbClr val="E96C2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706-4790-8E25-5CE885374B60}"/>
              </c:ext>
            </c:extLst>
          </c:dPt>
          <c:dPt>
            <c:idx val="2"/>
            <c:bubble3D val="0"/>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706-4790-8E25-5CE885374B60}"/>
              </c:ext>
            </c:extLst>
          </c:dPt>
          <c:dPt>
            <c:idx val="3"/>
            <c:bubble3D val="0"/>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706-4790-8E25-5CE885374B60}"/>
              </c:ext>
            </c:extLst>
          </c:dPt>
          <c:dPt>
            <c:idx val="4"/>
            <c:bubble3D val="0"/>
            <c:spPr>
              <a:solidFill>
                <a:schemeClr val="accent2">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706-4790-8E25-5CE885374B60}"/>
              </c:ext>
            </c:extLst>
          </c:dPt>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4706-4790-8E25-5CE885374B60}"/>
                </c:ext>
              </c:extLst>
            </c:dLbl>
            <c:dLbl>
              <c:idx val="1"/>
              <c:layout>
                <c:manualLayout>
                  <c:x val="-4.0972295129775599E-2"/>
                  <c:y val="0.1257362394918026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6324088655584718"/>
                      <c:h val="0.24276262568628196"/>
                    </c:manualLayout>
                  </c15:layout>
                </c:ext>
                <c:ext xmlns:c16="http://schemas.microsoft.com/office/drawing/2014/chart" uri="{C3380CC4-5D6E-409C-BE32-E72D297353CC}">
                  <c16:uniqueId val="{00000003-4706-4790-8E25-5CE885374B60}"/>
                </c:ext>
              </c:extLst>
            </c:dLbl>
            <c:dLbl>
              <c:idx val="2"/>
              <c:layout>
                <c:manualLayout>
                  <c:x val="-0.13703703703703704"/>
                  <c:y val="-2.254428341384863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7200000000000002"/>
                      <c:h val="0.16565762613006707"/>
                    </c:manualLayout>
                  </c15:layout>
                </c:ext>
                <c:ext xmlns:c16="http://schemas.microsoft.com/office/drawing/2014/chart" uri="{C3380CC4-5D6E-409C-BE32-E72D297353CC}">
                  <c16:uniqueId val="{00000005-4706-4790-8E25-5CE885374B60}"/>
                </c:ext>
              </c:extLst>
            </c:dLbl>
            <c:dLbl>
              <c:idx val="3"/>
              <c:layout>
                <c:manualLayout>
                  <c:x val="1.1111256926217575E-2"/>
                  <c:y val="-0.14611872146118726"/>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9479644211140273"/>
                      <c:h val="0.25211567732115675"/>
                    </c:manualLayout>
                  </c15:layout>
                </c:ext>
                <c:ext xmlns:c16="http://schemas.microsoft.com/office/drawing/2014/chart" uri="{C3380CC4-5D6E-409C-BE32-E72D297353CC}">
                  <c16:uniqueId val="{00000007-4706-4790-8E25-5CE885374B60}"/>
                </c:ext>
              </c:extLst>
            </c:dLbl>
            <c:dLbl>
              <c:idx val="4"/>
              <c:layout>
                <c:manualLayout>
                  <c:x val="9.8148293963254613E-2"/>
                  <c:y val="-2.2544019400791083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2812977544473609"/>
                      <c:h val="0.19485057121483004"/>
                    </c:manualLayout>
                  </c15:layout>
                </c:ext>
                <c:ext xmlns:c16="http://schemas.microsoft.com/office/drawing/2014/chart" uri="{C3380CC4-5D6E-409C-BE32-E72D297353CC}">
                  <c16:uniqueId val="{00000009-4706-4790-8E25-5CE885374B60}"/>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Table'!$AC$5:$AC$10</c:f>
              <c:strCache>
                <c:ptCount val="5"/>
                <c:pt idx="0">
                  <c:v>Central</c:v>
                </c:pt>
                <c:pt idx="1">
                  <c:v>East</c:v>
                </c:pt>
                <c:pt idx="2">
                  <c:v>North</c:v>
                </c:pt>
                <c:pt idx="3">
                  <c:v>South</c:v>
                </c:pt>
                <c:pt idx="4">
                  <c:v>West</c:v>
                </c:pt>
              </c:strCache>
            </c:strRef>
          </c:cat>
          <c:val>
            <c:numRef>
              <c:f>'Pivot Table'!$AD$5:$AD$10</c:f>
              <c:numCache>
                <c:formatCode>General</c:formatCode>
                <c:ptCount val="5"/>
                <c:pt idx="0">
                  <c:v>101</c:v>
                </c:pt>
                <c:pt idx="1">
                  <c:v>99</c:v>
                </c:pt>
                <c:pt idx="2">
                  <c:v>99</c:v>
                </c:pt>
                <c:pt idx="3">
                  <c:v>100</c:v>
                </c:pt>
                <c:pt idx="4">
                  <c:v>101</c:v>
                </c:pt>
              </c:numCache>
            </c:numRef>
          </c:val>
          <c:extLst>
            <c:ext xmlns:c16="http://schemas.microsoft.com/office/drawing/2014/chart" uri="{C3380CC4-5D6E-409C-BE32-E72D297353CC}">
              <c16:uniqueId val="{0000000A-4706-4790-8E25-5CE885374B6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Table!Overview8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9950881971241E-2"/>
          <c:y val="0.11379076246872756"/>
          <c:w val="0.91577491837910496"/>
          <c:h val="0.73534867429289186"/>
        </c:manualLayout>
      </c:layout>
      <c:barChart>
        <c:barDir val="col"/>
        <c:grouping val="clustered"/>
        <c:varyColors val="0"/>
        <c:ser>
          <c:idx val="0"/>
          <c:order val="0"/>
          <c:tx>
            <c:strRef>
              <c:f>'Pivot Table'!$X$4</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Table'!$W$5:$W$9</c:f>
              <c:strCache>
                <c:ptCount val="4"/>
                <c:pt idx="0">
                  <c:v>Under Observation</c:v>
                </c:pt>
                <c:pt idx="1">
                  <c:v>Discharged</c:v>
                </c:pt>
                <c:pt idx="2">
                  <c:v>Ongoing</c:v>
                </c:pt>
                <c:pt idx="3">
                  <c:v>Recovered</c:v>
                </c:pt>
              </c:strCache>
            </c:strRef>
          </c:cat>
          <c:val>
            <c:numRef>
              <c:f>'Pivot Table'!$X$5:$X$9</c:f>
              <c:numCache>
                <c:formatCode>General</c:formatCode>
                <c:ptCount val="4"/>
                <c:pt idx="0">
                  <c:v>107</c:v>
                </c:pt>
                <c:pt idx="1">
                  <c:v>108</c:v>
                </c:pt>
                <c:pt idx="2">
                  <c:v>109</c:v>
                </c:pt>
                <c:pt idx="3">
                  <c:v>176</c:v>
                </c:pt>
              </c:numCache>
            </c:numRef>
          </c:val>
          <c:extLst>
            <c:ext xmlns:c16="http://schemas.microsoft.com/office/drawing/2014/chart" uri="{C3380CC4-5D6E-409C-BE32-E72D297353CC}">
              <c16:uniqueId val="{00000000-E208-46C6-803F-CE9F877D247D}"/>
            </c:ext>
          </c:extLst>
        </c:ser>
        <c:dLbls>
          <c:showLegendKey val="0"/>
          <c:showVal val="0"/>
          <c:showCatName val="0"/>
          <c:showSerName val="0"/>
          <c:showPercent val="0"/>
          <c:showBubbleSize val="0"/>
        </c:dLbls>
        <c:gapWidth val="56"/>
        <c:overlap val="-27"/>
        <c:axId val="458012704"/>
        <c:axId val="458013184"/>
      </c:barChart>
      <c:catAx>
        <c:axId val="4580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58013184"/>
        <c:crosses val="autoZero"/>
        <c:auto val="1"/>
        <c:lblAlgn val="ctr"/>
        <c:lblOffset val="100"/>
        <c:noMultiLvlLbl val="0"/>
      </c:catAx>
      <c:valAx>
        <c:axId val="458013184"/>
        <c:scaling>
          <c:orientation val="minMax"/>
          <c:max val="18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58012704"/>
        <c:crosses val="autoZero"/>
        <c:crossBetween val="between"/>
        <c:majorUnit val="4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Table!Overview9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cmpd="sng" algn="ctr">
            <a:solidFill>
              <a:schemeClr val="accent2">
                <a:lumMod val="75000"/>
              </a:schemeClr>
            </a:solidFill>
            <a:round/>
          </a:ln>
          <a:effectLst/>
        </c:spPr>
        <c:marker>
          <c:symbol val="circle"/>
          <c:size val="4"/>
          <c:spPr>
            <a:solidFill>
              <a:schemeClr val="bg1"/>
            </a:solidFill>
            <a:ln w="38100"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967321965549E-2"/>
          <c:y val="6.9827167830436285E-2"/>
          <c:w val="0.93317324572838989"/>
          <c:h val="0.76732233942455308"/>
        </c:manualLayout>
      </c:layout>
      <c:lineChart>
        <c:grouping val="standard"/>
        <c:varyColors val="0"/>
        <c:ser>
          <c:idx val="0"/>
          <c:order val="0"/>
          <c:tx>
            <c:strRef>
              <c:f>'Pivot Table'!$AA$4</c:f>
              <c:strCache>
                <c:ptCount val="1"/>
                <c:pt idx="0">
                  <c:v>Total</c:v>
                </c:pt>
              </c:strCache>
            </c:strRef>
          </c:tx>
          <c:spPr>
            <a:ln w="41275" cap="rnd" cmpd="sng" algn="ctr">
              <a:solidFill>
                <a:schemeClr val="accent2">
                  <a:lumMod val="75000"/>
                </a:schemeClr>
              </a:solidFill>
              <a:round/>
            </a:ln>
            <a:effectLst/>
          </c:spPr>
          <c:marker>
            <c:symbol val="circle"/>
            <c:size val="4"/>
            <c:spPr>
              <a:solidFill>
                <a:schemeClr val="bg1"/>
              </a:solidFill>
              <a:ln w="38100"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Table'!$Z$5:$Z$17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Table'!$AA$5:$AA$17</c:f>
              <c:numCache>
                <c:formatCode>General</c:formatCode>
                <c:ptCount val="12"/>
                <c:pt idx="0">
                  <c:v>51</c:v>
                </c:pt>
                <c:pt idx="1">
                  <c:v>42</c:v>
                </c:pt>
                <c:pt idx="2">
                  <c:v>39</c:v>
                </c:pt>
                <c:pt idx="3">
                  <c:v>41</c:v>
                </c:pt>
                <c:pt idx="4">
                  <c:v>39</c:v>
                </c:pt>
                <c:pt idx="5">
                  <c:v>52</c:v>
                </c:pt>
                <c:pt idx="6">
                  <c:v>41</c:v>
                </c:pt>
                <c:pt idx="7">
                  <c:v>33</c:v>
                </c:pt>
                <c:pt idx="8">
                  <c:v>43</c:v>
                </c:pt>
                <c:pt idx="9">
                  <c:v>34</c:v>
                </c:pt>
                <c:pt idx="10">
                  <c:v>38</c:v>
                </c:pt>
                <c:pt idx="11">
                  <c:v>47</c:v>
                </c:pt>
              </c:numCache>
            </c:numRef>
          </c:val>
          <c:smooth val="0"/>
          <c:extLst>
            <c:ext xmlns:c16="http://schemas.microsoft.com/office/drawing/2014/chart" uri="{C3380CC4-5D6E-409C-BE32-E72D297353CC}">
              <c16:uniqueId val="{00000000-23D5-40A5-A26A-D1CB5A28162E}"/>
            </c:ext>
          </c:extLst>
        </c:ser>
        <c:dLbls>
          <c:showLegendKey val="0"/>
          <c:showVal val="0"/>
          <c:showCatName val="0"/>
          <c:showSerName val="0"/>
          <c:showPercent val="0"/>
          <c:showBubbleSize val="0"/>
        </c:dLbls>
        <c:dropLines>
          <c:spPr>
            <a:ln w="15875" cap="flat" cmpd="sng" algn="ctr">
              <a:solidFill>
                <a:schemeClr val="accent2">
                  <a:lumMod val="60000"/>
                  <a:lumOff val="40000"/>
                  <a:alpha val="33000"/>
                </a:schemeClr>
              </a:solidFill>
              <a:round/>
            </a:ln>
            <a:effectLst/>
          </c:spPr>
        </c:dropLines>
        <c:marker val="1"/>
        <c:smooth val="0"/>
        <c:axId val="472851296"/>
        <c:axId val="472852256"/>
      </c:lineChart>
      <c:catAx>
        <c:axId val="472851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spc="20" baseline="0">
                <a:solidFill>
                  <a:sysClr val="windowText" lastClr="000000"/>
                </a:solidFill>
                <a:latin typeface="+mn-lt"/>
                <a:ea typeface="+mn-ea"/>
                <a:cs typeface="+mn-cs"/>
              </a:defRPr>
            </a:pPr>
            <a:endParaRPr lang="en-US"/>
          </a:p>
        </c:txPr>
        <c:crossAx val="472852256"/>
        <c:crosses val="autoZero"/>
        <c:auto val="1"/>
        <c:lblAlgn val="ctr"/>
        <c:lblOffset val="100"/>
        <c:noMultiLvlLbl val="0"/>
      </c:catAx>
      <c:valAx>
        <c:axId val="47285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ysClr val="windowText" lastClr="000000"/>
                </a:solidFill>
                <a:latin typeface="+mn-lt"/>
                <a:ea typeface="+mn-ea"/>
                <a:cs typeface="+mn-cs"/>
              </a:defRPr>
            </a:pPr>
            <a:endParaRPr lang="en-US"/>
          </a:p>
        </c:txPr>
        <c:crossAx val="472851296"/>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Table!Overview6</c:name>
    <c:fmtId val="14"/>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105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050"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876128288841943E-2"/>
          <c:y val="0.10834640849396837"/>
          <c:w val="0.93928822311845162"/>
          <c:h val="0.58860083018257081"/>
        </c:manualLayout>
      </c:layout>
      <c:barChart>
        <c:barDir val="col"/>
        <c:grouping val="stacked"/>
        <c:varyColors val="0"/>
        <c:ser>
          <c:idx val="0"/>
          <c:order val="0"/>
          <c:tx>
            <c:strRef>
              <c:f>'Pivot Table'!$P$4:$P$5</c:f>
              <c:strCache>
                <c:ptCount val="1"/>
                <c:pt idx="0">
                  <c:v>Insured</c:v>
                </c:pt>
              </c:strCache>
            </c:strRef>
          </c:tx>
          <c:spPr>
            <a:solidFill>
              <a:schemeClr val="accent2">
                <a:lumMod val="75000"/>
              </a:schemeClr>
            </a:solidFill>
            <a:ln>
              <a:noFill/>
            </a:ln>
            <a:effectLst/>
          </c:spPr>
          <c:invertIfNegative val="0"/>
          <c:dLbls>
            <c:spPr>
              <a:noFill/>
              <a:ln>
                <a:noFill/>
              </a:ln>
              <a:effectLst/>
            </c:spPr>
            <c:txPr>
              <a:bodyPr wrap="square" lIns="38100" tIns="19050" rIns="38100" bIns="19050" anchor="ctr">
                <a:spAutoFit/>
              </a:bodyPr>
              <a:lstStyle/>
              <a:p>
                <a:pPr>
                  <a:defRPr sz="105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Table'!$O$6:$O$14</c:f>
              <c:strCache>
                <c:ptCount val="8"/>
                <c:pt idx="0">
                  <c:v>Asthma</c:v>
                </c:pt>
                <c:pt idx="1">
                  <c:v>COVID-19</c:v>
                </c:pt>
                <c:pt idx="2">
                  <c:v>Diabetes</c:v>
                </c:pt>
                <c:pt idx="3">
                  <c:v>Flu</c:v>
                </c:pt>
                <c:pt idx="4">
                  <c:v>Fracture</c:v>
                </c:pt>
                <c:pt idx="5">
                  <c:v>Hypertension</c:v>
                </c:pt>
                <c:pt idx="6">
                  <c:v>Migraine</c:v>
                </c:pt>
                <c:pt idx="7">
                  <c:v>Skin Allergy</c:v>
                </c:pt>
              </c:strCache>
            </c:strRef>
          </c:cat>
          <c:val>
            <c:numRef>
              <c:f>'Pivot Table'!$P$6:$P$14</c:f>
              <c:numCache>
                <c:formatCode>General</c:formatCode>
                <c:ptCount val="8"/>
                <c:pt idx="0">
                  <c:v>28</c:v>
                </c:pt>
                <c:pt idx="1">
                  <c:v>51</c:v>
                </c:pt>
                <c:pt idx="2">
                  <c:v>25</c:v>
                </c:pt>
                <c:pt idx="3">
                  <c:v>27</c:v>
                </c:pt>
                <c:pt idx="4">
                  <c:v>31</c:v>
                </c:pt>
                <c:pt idx="5">
                  <c:v>18</c:v>
                </c:pt>
                <c:pt idx="6">
                  <c:v>43</c:v>
                </c:pt>
                <c:pt idx="7">
                  <c:v>32</c:v>
                </c:pt>
              </c:numCache>
            </c:numRef>
          </c:val>
          <c:extLst>
            <c:ext xmlns:c16="http://schemas.microsoft.com/office/drawing/2014/chart" uri="{C3380CC4-5D6E-409C-BE32-E72D297353CC}">
              <c16:uniqueId val="{00000003-8152-4E68-9A8A-42175834C064}"/>
            </c:ext>
          </c:extLst>
        </c:ser>
        <c:ser>
          <c:idx val="1"/>
          <c:order val="1"/>
          <c:tx>
            <c:strRef>
              <c:f>'Pivot Table'!$Q$4:$Q$5</c:f>
              <c:strCache>
                <c:ptCount val="1"/>
                <c:pt idx="0">
                  <c:v>Not Insured</c:v>
                </c:pt>
              </c:strCache>
            </c:strRef>
          </c:tx>
          <c:spPr>
            <a:solidFill>
              <a:schemeClr val="accent2">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1050" b="1">
                    <a:solidFill>
                      <a:sysClr val="windowText" lastClr="000000"/>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Table'!$O$6:$O$14</c:f>
              <c:strCache>
                <c:ptCount val="8"/>
                <c:pt idx="0">
                  <c:v>Asthma</c:v>
                </c:pt>
                <c:pt idx="1">
                  <c:v>COVID-19</c:v>
                </c:pt>
                <c:pt idx="2">
                  <c:v>Diabetes</c:v>
                </c:pt>
                <c:pt idx="3">
                  <c:v>Flu</c:v>
                </c:pt>
                <c:pt idx="4">
                  <c:v>Fracture</c:v>
                </c:pt>
                <c:pt idx="5">
                  <c:v>Hypertension</c:v>
                </c:pt>
                <c:pt idx="6">
                  <c:v>Migraine</c:v>
                </c:pt>
                <c:pt idx="7">
                  <c:v>Skin Allergy</c:v>
                </c:pt>
              </c:strCache>
            </c:strRef>
          </c:cat>
          <c:val>
            <c:numRef>
              <c:f>'Pivot Table'!$Q$6:$Q$14</c:f>
              <c:numCache>
                <c:formatCode>General</c:formatCode>
                <c:ptCount val="8"/>
                <c:pt idx="0">
                  <c:v>26</c:v>
                </c:pt>
                <c:pt idx="1">
                  <c:v>47</c:v>
                </c:pt>
                <c:pt idx="2">
                  <c:v>22</c:v>
                </c:pt>
                <c:pt idx="3">
                  <c:v>25</c:v>
                </c:pt>
                <c:pt idx="4">
                  <c:v>37</c:v>
                </c:pt>
                <c:pt idx="5">
                  <c:v>29</c:v>
                </c:pt>
                <c:pt idx="6">
                  <c:v>28</c:v>
                </c:pt>
                <c:pt idx="7">
                  <c:v>31</c:v>
                </c:pt>
              </c:numCache>
            </c:numRef>
          </c:val>
          <c:extLst>
            <c:ext xmlns:c16="http://schemas.microsoft.com/office/drawing/2014/chart" uri="{C3380CC4-5D6E-409C-BE32-E72D297353CC}">
              <c16:uniqueId val="{00000000-051B-429E-AAF0-30BF3218E3C0}"/>
            </c:ext>
          </c:extLst>
        </c:ser>
        <c:dLbls>
          <c:showLegendKey val="0"/>
          <c:showVal val="0"/>
          <c:showCatName val="0"/>
          <c:showSerName val="0"/>
          <c:showPercent val="0"/>
          <c:showBubbleSize val="0"/>
        </c:dLbls>
        <c:gapWidth val="150"/>
        <c:overlap val="100"/>
        <c:axId val="566671936"/>
        <c:axId val="566668576"/>
      </c:barChart>
      <c:catAx>
        <c:axId val="56667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566668576"/>
        <c:crosses val="autoZero"/>
        <c:auto val="1"/>
        <c:lblAlgn val="ctr"/>
        <c:lblOffset val="100"/>
        <c:noMultiLvlLbl val="0"/>
      </c:catAx>
      <c:valAx>
        <c:axId val="566668576"/>
        <c:scaling>
          <c:orientation val="minMax"/>
          <c:max val="1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566671936"/>
        <c:crosses val="autoZero"/>
        <c:crossBetween val="between"/>
        <c:majorUnit val="50"/>
      </c:valAx>
      <c:spPr>
        <a:noFill/>
        <a:ln>
          <a:noFill/>
        </a:ln>
      </c:spPr>
    </c:plotArea>
    <c:legend>
      <c:legendPos val="r"/>
      <c:layout>
        <c:manualLayout>
          <c:xMode val="edge"/>
          <c:yMode val="edge"/>
          <c:x val="0.34565230565691479"/>
          <c:y val="2.6266606542023656E-2"/>
          <c:w val="0.14766020101145896"/>
          <c:h val="0.2112059205454333"/>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Table!FA13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A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81294072727187E-2"/>
          <c:y val="4.3045573848723456E-2"/>
          <c:w val="0.90863674594083677"/>
          <c:h val="0.81171176330231443"/>
        </c:manualLayout>
      </c:layout>
      <c:barChart>
        <c:barDir val="col"/>
        <c:grouping val="clustered"/>
        <c:varyColors val="0"/>
        <c:ser>
          <c:idx val="0"/>
          <c:order val="0"/>
          <c:tx>
            <c:strRef>
              <c:f>'Pivot Table'!$AP$4</c:f>
              <c:strCache>
                <c:ptCount val="1"/>
                <c:pt idx="0">
                  <c:v>Total</c:v>
                </c:pt>
              </c:strCache>
            </c:strRef>
          </c:tx>
          <c:spPr>
            <a:solidFill>
              <a:srgbClr val="99AD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Table'!$AO$5:$AO$17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Table'!$AP$5:$AP$17</c:f>
              <c:numCache>
                <c:formatCode>"₹"\ #,##0</c:formatCode>
                <c:ptCount val="12"/>
                <c:pt idx="0">
                  <c:v>459051</c:v>
                </c:pt>
                <c:pt idx="1">
                  <c:v>407094</c:v>
                </c:pt>
                <c:pt idx="2">
                  <c:v>381346</c:v>
                </c:pt>
                <c:pt idx="3">
                  <c:v>358765</c:v>
                </c:pt>
                <c:pt idx="4">
                  <c:v>343609</c:v>
                </c:pt>
                <c:pt idx="5">
                  <c:v>456287</c:v>
                </c:pt>
                <c:pt idx="6">
                  <c:v>423566</c:v>
                </c:pt>
                <c:pt idx="7">
                  <c:v>307723</c:v>
                </c:pt>
                <c:pt idx="8">
                  <c:v>439416</c:v>
                </c:pt>
                <c:pt idx="9">
                  <c:v>325937</c:v>
                </c:pt>
                <c:pt idx="10">
                  <c:v>335945</c:v>
                </c:pt>
                <c:pt idx="11">
                  <c:v>462385</c:v>
                </c:pt>
              </c:numCache>
            </c:numRef>
          </c:val>
          <c:extLst>
            <c:ext xmlns:c16="http://schemas.microsoft.com/office/drawing/2014/chart" uri="{C3380CC4-5D6E-409C-BE32-E72D297353CC}">
              <c16:uniqueId val="{00000000-7202-4923-B5F6-23E76972615C}"/>
            </c:ext>
          </c:extLst>
        </c:ser>
        <c:dLbls>
          <c:dLblPos val="outEnd"/>
          <c:showLegendKey val="0"/>
          <c:showVal val="1"/>
          <c:showCatName val="0"/>
          <c:showSerName val="0"/>
          <c:showPercent val="0"/>
          <c:showBubbleSize val="0"/>
        </c:dLbls>
        <c:gapWidth val="219"/>
        <c:overlap val="-27"/>
        <c:axId val="1152125360"/>
        <c:axId val="1152121520"/>
      </c:barChart>
      <c:catAx>
        <c:axId val="115212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52121520"/>
        <c:crosses val="autoZero"/>
        <c:auto val="1"/>
        <c:lblAlgn val="ctr"/>
        <c:lblOffset val="100"/>
        <c:noMultiLvlLbl val="0"/>
      </c:catAx>
      <c:valAx>
        <c:axId val="11521215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2125360"/>
        <c:crosses val="autoZero"/>
        <c:crossBetween val="between"/>
        <c:majorUnit val="1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Table!FA15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layout>
            <c:manualLayout>
              <c:x val="2.1902806297056709E-2"/>
              <c:y val="1.8348623853211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31470193535873E-2"/>
          <c:y val="3.3593392569048135E-2"/>
          <c:w val="0.94892787272227519"/>
          <c:h val="0.83413903537287193"/>
        </c:manualLayout>
      </c:layout>
      <c:barChart>
        <c:barDir val="col"/>
        <c:grouping val="clustered"/>
        <c:varyColors val="0"/>
        <c:ser>
          <c:idx val="0"/>
          <c:order val="0"/>
          <c:tx>
            <c:strRef>
              <c:f>'Pivot Table'!$AX$4</c:f>
              <c:strCache>
                <c:ptCount val="1"/>
                <c:pt idx="0">
                  <c:v>Total</c:v>
                </c:pt>
              </c:strCache>
            </c:strRef>
          </c:tx>
          <c:spPr>
            <a:blipFill>
              <a:blip xmlns:r="http://schemas.openxmlformats.org/officeDocument/2006/relationships" r:embed="rId3"/>
              <a:stretch>
                <a:fillRect/>
              </a:stretch>
            </a:blipFill>
            <a:ln>
              <a:noFill/>
            </a:ln>
            <a:effectLst/>
          </c:spPr>
          <c:invertIfNegative val="0"/>
          <c:dPt>
            <c:idx val="4"/>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7D54-41C7-A34F-9794653DCF1E}"/>
              </c:ext>
            </c:extLst>
          </c:dPt>
          <c:dLbls>
            <c:dLbl>
              <c:idx val="4"/>
              <c:layout>
                <c:manualLayout>
                  <c:x val="2.1902806297056709E-2"/>
                  <c:y val="1.8348623853211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54-41C7-A34F-9794653DCF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Table'!$AW$5:$AW$13</c:f>
              <c:strCache>
                <c:ptCount val="8"/>
                <c:pt idx="0">
                  <c:v>6-26</c:v>
                </c:pt>
                <c:pt idx="1">
                  <c:v>27-47</c:v>
                </c:pt>
                <c:pt idx="2">
                  <c:v>48-68</c:v>
                </c:pt>
                <c:pt idx="3">
                  <c:v>69-89</c:v>
                </c:pt>
                <c:pt idx="4">
                  <c:v>90-110</c:v>
                </c:pt>
                <c:pt idx="5">
                  <c:v>111-131</c:v>
                </c:pt>
                <c:pt idx="6">
                  <c:v>132-152</c:v>
                </c:pt>
                <c:pt idx="7">
                  <c:v>153-173</c:v>
                </c:pt>
              </c:strCache>
            </c:strRef>
          </c:cat>
          <c:val>
            <c:numRef>
              <c:f>'Pivot Table'!$AX$5:$AX$13</c:f>
              <c:numCache>
                <c:formatCode>"₹"\ #,##0</c:formatCode>
                <c:ptCount val="8"/>
                <c:pt idx="0">
                  <c:v>403928</c:v>
                </c:pt>
                <c:pt idx="1">
                  <c:v>617462</c:v>
                </c:pt>
                <c:pt idx="2">
                  <c:v>830041</c:v>
                </c:pt>
                <c:pt idx="3">
                  <c:v>949467</c:v>
                </c:pt>
                <c:pt idx="4">
                  <c:v>883892</c:v>
                </c:pt>
                <c:pt idx="5">
                  <c:v>599758</c:v>
                </c:pt>
                <c:pt idx="6">
                  <c:v>379963</c:v>
                </c:pt>
                <c:pt idx="7">
                  <c:v>36613</c:v>
                </c:pt>
              </c:numCache>
            </c:numRef>
          </c:val>
          <c:extLst>
            <c:ext xmlns:c16="http://schemas.microsoft.com/office/drawing/2014/chart" uri="{C3380CC4-5D6E-409C-BE32-E72D297353CC}">
              <c16:uniqueId val="{00000000-7D54-41C7-A34F-9794653DCF1E}"/>
            </c:ext>
          </c:extLst>
        </c:ser>
        <c:dLbls>
          <c:dLblPos val="outEnd"/>
          <c:showLegendKey val="0"/>
          <c:showVal val="1"/>
          <c:showCatName val="0"/>
          <c:showSerName val="0"/>
          <c:showPercent val="0"/>
          <c:showBubbleSize val="0"/>
        </c:dLbls>
        <c:gapWidth val="45"/>
        <c:overlap val="-27"/>
        <c:axId val="1151998160"/>
        <c:axId val="1152007280"/>
      </c:barChart>
      <c:catAx>
        <c:axId val="115199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2007280"/>
        <c:crosses val="autoZero"/>
        <c:auto val="1"/>
        <c:lblAlgn val="ctr"/>
        <c:lblOffset val="100"/>
        <c:noMultiLvlLbl val="0"/>
      </c:catAx>
      <c:valAx>
        <c:axId val="1152007280"/>
        <c:scaling>
          <c:orientation val="minMax"/>
        </c:scaling>
        <c:delete val="1"/>
        <c:axPos val="l"/>
        <c:numFmt formatCode="&quot;₹&quot;\ #,##0" sourceLinked="1"/>
        <c:majorTickMark val="out"/>
        <c:minorTickMark val="none"/>
        <c:tickLblPos val="nextTo"/>
        <c:crossAx val="115199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Table!FA12</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586916128930026E-2"/>
              <c:y val="2.827664973455125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157CEE58-F769-4474-A5EC-7799F7666118}"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 </a:t>
                </a:r>
              </a:p>
              <a:p>
                <a:pPr>
                  <a:defRPr sz="1000" b="1" i="0" u="none" strike="noStrike" kern="1200" spc="0" baseline="0">
                    <a:solidFill>
                      <a:sysClr val="windowText" lastClr="000000"/>
                    </a:solidFill>
                    <a:latin typeface="+mn-lt"/>
                    <a:ea typeface="+mn-ea"/>
                    <a:cs typeface="+mn-cs"/>
                  </a:defRPr>
                </a:pPr>
                <a:fld id="{E44D7DEE-CC1C-4C39-92AC-8DD4B14FB3D6}"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BBB387D3-D7ED-4FB6-8A77-39ED0F1EF21F}"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976237315189022"/>
              <c:y val="-1.320740079903817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ysClr val="windowText" lastClr="000000"/>
                    </a:solidFill>
                    <a:latin typeface="+mn-lt"/>
                    <a:ea typeface="+mn-ea"/>
                    <a:cs typeface="+mn-cs"/>
                  </a:defRPr>
                </a:pPr>
                <a:fld id="{A4F57B12-C92E-4CC1-94F1-77B60812FFA0}"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a:t>
                </a:r>
              </a:p>
              <a:p>
                <a:pPr>
                  <a:defRPr sz="1000" b="1" i="0" u="none" strike="noStrike" kern="1200" spc="0" baseline="0">
                    <a:solidFill>
                      <a:sysClr val="windowText" lastClr="000000"/>
                    </a:solidFill>
                    <a:latin typeface="+mn-lt"/>
                    <a:ea typeface="+mn-ea"/>
                    <a:cs typeface="+mn-cs"/>
                  </a:defRPr>
                </a:pPr>
                <a:r>
                  <a:rPr lang="en-US" sz="1000" baseline="0"/>
                  <a:t> </a:t>
                </a:r>
                <a:fld id="{F35E88E6-3935-42FD-A95A-CC408A1BC30D}"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9767357F-EA85-4812-A364-33898AB132A7}"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5794433539800143"/>
                  <c:h val="0.21513911532712346"/>
                </c:manualLayout>
              </c15:layout>
              <c15:dlblFieldTable/>
              <c15:showDataLabelsRange val="0"/>
            </c:ext>
          </c:extLst>
        </c:dLbl>
      </c:pivotFmt>
      <c:pivotFmt>
        <c:idx val="5"/>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586916128930026E-2"/>
              <c:y val="2.827664973455125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157CEE58-F769-4474-A5EC-7799F7666118}"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 </a:t>
                </a:r>
              </a:p>
              <a:p>
                <a:pPr>
                  <a:defRPr sz="1000" b="1" i="0" u="none" strike="noStrike" kern="1200" spc="0" baseline="0">
                    <a:solidFill>
                      <a:sysClr val="windowText" lastClr="000000"/>
                    </a:solidFill>
                    <a:latin typeface="+mn-lt"/>
                    <a:ea typeface="+mn-ea"/>
                    <a:cs typeface="+mn-cs"/>
                  </a:defRPr>
                </a:pPr>
                <a:fld id="{E44D7DEE-CC1C-4C39-92AC-8DD4B14FB3D6}"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BBB387D3-D7ED-4FB6-8A77-39ED0F1EF21F}"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9663078038467006E-2"/>
              <c:y val="0.13311935026341018"/>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84C5D2C-32CB-4414-8AFF-20122141673D}"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 </a:t>
                </a:r>
              </a:p>
              <a:p>
                <a:pPr>
                  <a:defRPr sz="1000" b="1" i="0" u="none" strike="noStrike" kern="1200" spc="0" baseline="0">
                    <a:solidFill>
                      <a:sysClr val="windowText" lastClr="000000"/>
                    </a:solidFill>
                    <a:latin typeface="+mn-lt"/>
                    <a:ea typeface="+mn-ea"/>
                    <a:cs typeface="+mn-cs"/>
                  </a:defRPr>
                </a:pPr>
                <a:fld id="{75F38C01-D1C7-4620-97CA-93FEE7C3EC3E}"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0F53512F-F7C2-40DA-A83E-C7D5A55C6DEF}"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976237315189022"/>
              <c:y val="-1.320740079903817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ysClr val="windowText" lastClr="000000"/>
                    </a:solidFill>
                    <a:latin typeface="+mn-lt"/>
                    <a:ea typeface="+mn-ea"/>
                    <a:cs typeface="+mn-cs"/>
                  </a:defRPr>
                </a:pPr>
                <a:fld id="{A4F57B12-C92E-4CC1-94F1-77B60812FFA0}"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a:t>
                </a:r>
              </a:p>
              <a:p>
                <a:pPr>
                  <a:defRPr sz="1000" b="1" i="0" u="none" strike="noStrike" kern="1200" spc="0" baseline="0">
                    <a:solidFill>
                      <a:sysClr val="windowText" lastClr="000000"/>
                    </a:solidFill>
                    <a:latin typeface="+mn-lt"/>
                    <a:ea typeface="+mn-ea"/>
                    <a:cs typeface="+mn-cs"/>
                  </a:defRPr>
                </a:pPr>
                <a:r>
                  <a:rPr lang="en-US" sz="1000" baseline="0"/>
                  <a:t> </a:t>
                </a:r>
                <a:fld id="{F35E88E6-3935-42FD-A95A-CC408A1BC30D}"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9767357F-EA85-4812-A364-33898AB132A7}"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5794433539800143"/>
                  <c:h val="0.21513911532712346"/>
                </c:manualLayout>
              </c15:layout>
              <c15:dlblFieldTable/>
              <c15:showDataLabelsRange val="0"/>
            </c:ext>
          </c:extLst>
        </c:dLbl>
      </c:pivotFmt>
      <c:pivotFmt>
        <c:idx val="8"/>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976237315189022"/>
              <c:y val="-1.320740079903817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ysClr val="windowText" lastClr="000000"/>
                    </a:solidFill>
                    <a:latin typeface="+mn-lt"/>
                    <a:ea typeface="+mn-ea"/>
                    <a:cs typeface="+mn-cs"/>
                  </a:defRPr>
                </a:pPr>
                <a:fld id="{A4F57B12-C92E-4CC1-94F1-77B60812FFA0}"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a:t>
                </a:r>
              </a:p>
              <a:p>
                <a:pPr>
                  <a:defRPr sz="1000" b="1" i="0" u="none" strike="noStrike" kern="1200" spc="0" baseline="0">
                    <a:solidFill>
                      <a:sysClr val="windowText" lastClr="000000"/>
                    </a:solidFill>
                    <a:latin typeface="+mn-lt"/>
                    <a:ea typeface="+mn-ea"/>
                    <a:cs typeface="+mn-cs"/>
                  </a:defRPr>
                </a:pPr>
                <a:r>
                  <a:rPr lang="en-US" sz="1000" baseline="0"/>
                  <a:t> </a:t>
                </a:r>
                <a:fld id="{F35E88E6-3935-42FD-A95A-CC408A1BC30D}"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9767357F-EA85-4812-A364-33898AB132A7}"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5794433539800143"/>
                  <c:h val="0.21513911532712346"/>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92871194556707E-2"/>
          <c:y val="4.7672615609133197E-2"/>
          <c:w val="0.95807128805443309"/>
          <c:h val="0.90096122419506852"/>
        </c:manualLayout>
      </c:layout>
      <c:pie3DChart>
        <c:varyColors val="1"/>
        <c:ser>
          <c:idx val="0"/>
          <c:order val="0"/>
          <c:tx>
            <c:strRef>
              <c:f>'Pivot Table'!$AM$4</c:f>
              <c:strCache>
                <c:ptCount val="1"/>
                <c:pt idx="0">
                  <c:v>Total</c:v>
                </c:pt>
              </c:strCache>
            </c:strRef>
          </c:tx>
          <c:dPt>
            <c:idx val="0"/>
            <c:bubble3D val="0"/>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0AB-4EEB-9369-74D55DF99CF3}"/>
              </c:ext>
            </c:extLst>
          </c:dPt>
          <c:dPt>
            <c:idx val="1"/>
            <c:bubble3D val="0"/>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90AB-4EEB-9369-74D55DF99CF3}"/>
              </c:ext>
            </c:extLst>
          </c:dPt>
          <c:dPt>
            <c:idx val="2"/>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0AB-4EEB-9369-74D55DF99CF3}"/>
              </c:ext>
            </c:extLst>
          </c:dPt>
          <c:dPt>
            <c:idx val="3"/>
            <c:bubble3D val="0"/>
            <c:spPr>
              <a:solidFill>
                <a:srgbClr val="99AD7A"/>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90AB-4EEB-9369-74D55DF99CF3}"/>
              </c:ext>
            </c:extLst>
          </c:dPt>
          <c:dPt>
            <c:idx val="4"/>
            <c:bubble3D val="0"/>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0AB-4EEB-9369-74D55DF99CF3}"/>
              </c:ext>
            </c:extLst>
          </c:dPt>
          <c:dPt>
            <c:idx val="5"/>
            <c:bubble3D val="0"/>
            <c:spPr>
              <a:solidFill>
                <a:srgbClr val="BCC9A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90AB-4EEB-9369-74D55DF99CF3}"/>
              </c:ext>
            </c:extLst>
          </c:dPt>
          <c:dLbls>
            <c:dLbl>
              <c:idx val="0"/>
              <c:layout>
                <c:manualLayout>
                  <c:x val="-1.5586916128930026E-2"/>
                  <c:y val="2.8276649734551251E-2"/>
                </c:manualLayout>
              </c:layout>
              <c:tx>
                <c:rich>
                  <a:bodyPr/>
                  <a:lstStyle/>
                  <a:p>
                    <a:fld id="{157CEE58-F769-4474-A5EC-7799F7666118}" type="CATEGORYNAME">
                      <a:rPr lang="en-US" sz="1000"/>
                      <a:pPr/>
                      <a:t>[CATEGORY NAME]</a:t>
                    </a:fld>
                    <a:r>
                      <a:rPr lang="en-US" sz="1000" baseline="0"/>
                      <a:t>, </a:t>
                    </a:r>
                  </a:p>
                  <a:p>
                    <a:fld id="{E44D7DEE-CC1C-4C39-92AC-8DD4B14FB3D6}" type="VALUE">
                      <a:rPr lang="en-US" sz="1000" baseline="0"/>
                      <a:pPr/>
                      <a:t>[VALUE]</a:t>
                    </a:fld>
                    <a:r>
                      <a:rPr lang="en-US" sz="1000" baseline="0"/>
                      <a:t>, </a:t>
                    </a:r>
                    <a:fld id="{BBB387D3-D7ED-4FB6-8A77-39ED0F1EF21F}" type="PERCENTAGE">
                      <a:rPr lang="en-US" sz="1000" baseline="0"/>
                      <a:pPr/>
                      <a:t>[PERCENTAGE]</a:t>
                    </a:fld>
                    <a:endParaRPr lang="en-US" sz="1000"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0AB-4EEB-9369-74D55DF99CF3}"/>
                </c:ext>
              </c:extLst>
            </c:dLbl>
            <c:dLbl>
              <c:idx val="1"/>
              <c:layout>
                <c:manualLayout>
                  <c:x val="-0.13976237315189022"/>
                  <c:y val="-1.320740079903817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ysClr val="windowText" lastClr="000000"/>
                        </a:solidFill>
                        <a:latin typeface="+mn-lt"/>
                        <a:ea typeface="+mn-ea"/>
                        <a:cs typeface="+mn-cs"/>
                      </a:defRPr>
                    </a:pPr>
                    <a:fld id="{A4F57B12-C92E-4CC1-94F1-77B60812FFA0}"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a:t>
                    </a:r>
                  </a:p>
                  <a:p>
                    <a:pPr>
                      <a:defRPr sz="1000" b="1" i="0" u="none" strike="noStrike" kern="1200" spc="0" baseline="0">
                        <a:solidFill>
                          <a:sysClr val="windowText" lastClr="000000"/>
                        </a:solidFill>
                        <a:latin typeface="+mn-lt"/>
                        <a:ea typeface="+mn-ea"/>
                        <a:cs typeface="+mn-cs"/>
                      </a:defRPr>
                    </a:pPr>
                    <a:r>
                      <a:rPr lang="en-US" sz="1000" baseline="0"/>
                      <a:t> </a:t>
                    </a:r>
                    <a:fld id="{F35E88E6-3935-42FD-A95A-CC408A1BC30D}"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9767357F-EA85-4812-A364-33898AB132A7}"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5794433539800143"/>
                      <c:h val="0.21513911532712346"/>
                    </c:manualLayout>
                  </c15:layout>
                  <c15:dlblFieldTable/>
                  <c15:showDataLabelsRange val="0"/>
                </c:ext>
                <c:ext xmlns:c16="http://schemas.microsoft.com/office/drawing/2014/chart" uri="{C3380CC4-5D6E-409C-BE32-E72D297353CC}">
                  <c16:uniqueId val="{00000002-90AB-4EEB-9369-74D55DF99CF3}"/>
                </c:ext>
              </c:extLst>
            </c:dLbl>
            <c:dLbl>
              <c:idx val="2"/>
              <c:layout>
                <c:manualLayout>
                  <c:x val="-2.9663078038467006E-2"/>
                  <c:y val="0.13311935026341018"/>
                </c:manualLayout>
              </c:layout>
              <c:tx>
                <c:rich>
                  <a:bodyPr/>
                  <a:lstStyle/>
                  <a:p>
                    <a:fld id="{E84C5D2C-32CB-4414-8AFF-20122141673D}" type="CATEGORYNAME">
                      <a:rPr lang="en-US" sz="1000"/>
                      <a:pPr/>
                      <a:t>[CATEGORY NAME]</a:t>
                    </a:fld>
                    <a:r>
                      <a:rPr lang="en-US" sz="1000" baseline="0"/>
                      <a:t>, </a:t>
                    </a:r>
                  </a:p>
                  <a:p>
                    <a:fld id="{75F38C01-D1C7-4620-97CA-93FEE7C3EC3E}" type="VALUE">
                      <a:rPr lang="en-US" sz="1000" baseline="0"/>
                      <a:pPr/>
                      <a:t>[VALUE]</a:t>
                    </a:fld>
                    <a:r>
                      <a:rPr lang="en-US" sz="1000" baseline="0"/>
                      <a:t>, </a:t>
                    </a:r>
                    <a:fld id="{0F53512F-F7C2-40DA-A83E-C7D5A55C6DEF}" type="PERCENTAGE">
                      <a:rPr lang="en-US" sz="1000" baseline="0"/>
                      <a:pPr/>
                      <a:t>[PERCENTAGE]</a:t>
                    </a:fld>
                    <a:endParaRPr lang="en-US" sz="1000"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0AB-4EEB-9369-74D55DF99CF3}"/>
                </c:ext>
              </c:extLst>
            </c:dLbl>
            <c:dLbl>
              <c:idx val="3"/>
              <c:layout>
                <c:manualLayout>
                  <c:x val="-1.5586916128930026E-2"/>
                  <c:y val="2.8276649734551251E-2"/>
                </c:manualLayout>
              </c:layout>
              <c:tx>
                <c:rich>
                  <a:bodyPr/>
                  <a:lstStyle/>
                  <a:p>
                    <a:fld id="{157CEE58-F769-4474-A5EC-7799F7666118}" type="CATEGORYNAME">
                      <a:rPr lang="en-US" sz="1000"/>
                      <a:pPr/>
                      <a:t>[CATEGORY NAME]</a:t>
                    </a:fld>
                    <a:r>
                      <a:rPr lang="en-US" sz="1000" baseline="0"/>
                      <a:t>, </a:t>
                    </a:r>
                  </a:p>
                  <a:p>
                    <a:fld id="{E44D7DEE-CC1C-4C39-92AC-8DD4B14FB3D6}" type="VALUE">
                      <a:rPr lang="en-US" sz="1000" baseline="0"/>
                      <a:pPr/>
                      <a:t>[VALUE]</a:t>
                    </a:fld>
                    <a:r>
                      <a:rPr lang="en-US" sz="1000" baseline="0"/>
                      <a:t>, </a:t>
                    </a:r>
                    <a:fld id="{BBB387D3-D7ED-4FB6-8A77-39ED0F1EF21F}" type="PERCENTAGE">
                      <a:rPr lang="en-US" sz="1000" baseline="0"/>
                      <a:pPr/>
                      <a:t>[PERCENTAGE]</a:t>
                    </a:fld>
                    <a:endParaRPr lang="en-US" sz="1000"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0AB-4EEB-9369-74D55DF99CF3}"/>
                </c:ext>
              </c:extLst>
            </c:dLbl>
            <c:dLbl>
              <c:idx val="4"/>
              <c:layout>
                <c:manualLayout>
                  <c:x val="-0.13976237315189022"/>
                  <c:y val="-1.320740079903817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ysClr val="windowText" lastClr="000000"/>
                        </a:solidFill>
                        <a:latin typeface="+mn-lt"/>
                        <a:ea typeface="+mn-ea"/>
                        <a:cs typeface="+mn-cs"/>
                      </a:defRPr>
                    </a:pPr>
                    <a:fld id="{A4F57B12-C92E-4CC1-94F1-77B60812FFA0}"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a:t>
                    </a:r>
                  </a:p>
                  <a:p>
                    <a:pPr>
                      <a:defRPr sz="1000" b="1" i="0" u="none" strike="noStrike" kern="1200" spc="0" baseline="0">
                        <a:solidFill>
                          <a:sysClr val="windowText" lastClr="000000"/>
                        </a:solidFill>
                        <a:latin typeface="+mn-lt"/>
                        <a:ea typeface="+mn-ea"/>
                        <a:cs typeface="+mn-cs"/>
                      </a:defRPr>
                    </a:pPr>
                    <a:r>
                      <a:rPr lang="en-US" sz="1000" baseline="0"/>
                      <a:t> </a:t>
                    </a:r>
                    <a:fld id="{F35E88E6-3935-42FD-A95A-CC408A1BC30D}"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9767357F-EA85-4812-A364-33898AB132A7}"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5794433539800143"/>
                      <c:h val="0.21513911532712346"/>
                    </c:manualLayout>
                  </c15:layout>
                  <c15:dlblFieldTable/>
                  <c15:showDataLabelsRange val="0"/>
                </c:ext>
                <c:ext xmlns:c16="http://schemas.microsoft.com/office/drawing/2014/chart" uri="{C3380CC4-5D6E-409C-BE32-E72D297353CC}">
                  <c16:uniqueId val="{00000005-90AB-4EEB-9369-74D55DF99CF3}"/>
                </c:ext>
              </c:extLst>
            </c:dLbl>
            <c:dLbl>
              <c:idx val="5"/>
              <c:layout>
                <c:manualLayout>
                  <c:x val="-0.13976237315189022"/>
                  <c:y val="-1.320740079903817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ysClr val="windowText" lastClr="000000"/>
                        </a:solidFill>
                        <a:latin typeface="+mn-lt"/>
                        <a:ea typeface="+mn-ea"/>
                        <a:cs typeface="+mn-cs"/>
                      </a:defRPr>
                    </a:pPr>
                    <a:fld id="{A4F57B12-C92E-4CC1-94F1-77B60812FFA0}" type="CATEGORYNAME">
                      <a:rPr lang="en-US" sz="1000"/>
                      <a:pPr>
                        <a:defRPr sz="1000" b="1" i="0" u="none" strike="noStrike" kern="1200" spc="0" baseline="0">
                          <a:solidFill>
                            <a:sysClr val="windowText" lastClr="000000"/>
                          </a:solidFill>
                          <a:latin typeface="+mn-lt"/>
                          <a:ea typeface="+mn-ea"/>
                          <a:cs typeface="+mn-cs"/>
                        </a:defRPr>
                      </a:pPr>
                      <a:t>[CATEGORY NAME]</a:t>
                    </a:fld>
                    <a:r>
                      <a:rPr lang="en-US" sz="1000" baseline="0"/>
                      <a:t>,</a:t>
                    </a:r>
                  </a:p>
                  <a:p>
                    <a:pPr>
                      <a:defRPr sz="1000" b="1" i="0" u="none" strike="noStrike" kern="1200" spc="0" baseline="0">
                        <a:solidFill>
                          <a:sysClr val="windowText" lastClr="000000"/>
                        </a:solidFill>
                        <a:latin typeface="+mn-lt"/>
                        <a:ea typeface="+mn-ea"/>
                        <a:cs typeface="+mn-cs"/>
                      </a:defRPr>
                    </a:pPr>
                    <a:r>
                      <a:rPr lang="en-US" sz="1000" baseline="0"/>
                      <a:t> </a:t>
                    </a:r>
                    <a:fld id="{F35E88E6-3935-42FD-A95A-CC408A1BC30D}" type="VALUE">
                      <a:rPr lang="en-US" sz="1000" baseline="0"/>
                      <a:pPr>
                        <a:defRPr sz="1000" b="1" i="0" u="none" strike="noStrike" kern="1200" spc="0" baseline="0">
                          <a:solidFill>
                            <a:sysClr val="windowText" lastClr="000000"/>
                          </a:solidFill>
                          <a:latin typeface="+mn-lt"/>
                          <a:ea typeface="+mn-ea"/>
                          <a:cs typeface="+mn-cs"/>
                        </a:defRPr>
                      </a:pPr>
                      <a:t>[VALUE]</a:t>
                    </a:fld>
                    <a:r>
                      <a:rPr lang="en-US" sz="1000" baseline="0"/>
                      <a:t>, </a:t>
                    </a:r>
                    <a:fld id="{9767357F-EA85-4812-A364-33898AB132A7}" type="PERCENTAGE">
                      <a:rPr lang="en-US" sz="1000" baseline="0"/>
                      <a:pPr>
                        <a:defRPr sz="1000" b="1" i="0" u="none" strike="noStrike" kern="1200" spc="0" baseline="0">
                          <a:solidFill>
                            <a:sysClr val="windowText" lastClr="000000"/>
                          </a:solidFill>
                          <a:latin typeface="+mn-lt"/>
                          <a:ea typeface="+mn-ea"/>
                          <a:cs typeface="+mn-cs"/>
                        </a:defRPr>
                      </a:pPr>
                      <a:t>[PERCENTAGE]</a:t>
                    </a:fld>
                    <a:endParaRPr lang="en-US" sz="1000" baseline="0"/>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5794433539800143"/>
                      <c:h val="0.21513911532712346"/>
                    </c:manualLayout>
                  </c15:layout>
                  <c15:dlblFieldTable/>
                  <c15:showDataLabelsRange val="0"/>
                </c:ext>
                <c:ext xmlns:c16="http://schemas.microsoft.com/office/drawing/2014/chart" uri="{C3380CC4-5D6E-409C-BE32-E72D297353CC}">
                  <c16:uniqueId val="{00000006-90AB-4EEB-9369-74D55DF99C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Table'!$AL$5:$AL$11</c:f>
              <c:strCache>
                <c:ptCount val="6"/>
                <c:pt idx="0">
                  <c:v>General</c:v>
                </c:pt>
                <c:pt idx="1">
                  <c:v>Emergency</c:v>
                </c:pt>
                <c:pt idx="2">
                  <c:v>Orthopedics</c:v>
                </c:pt>
                <c:pt idx="3">
                  <c:v>Cardiology</c:v>
                </c:pt>
                <c:pt idx="4">
                  <c:v>Pediatrics</c:v>
                </c:pt>
                <c:pt idx="5">
                  <c:v>Neurology</c:v>
                </c:pt>
              </c:strCache>
            </c:strRef>
          </c:cat>
          <c:val>
            <c:numRef>
              <c:f>'Pivot Table'!$AM$5:$AM$11</c:f>
              <c:numCache>
                <c:formatCode>"₹"\ #,##0</c:formatCode>
                <c:ptCount val="6"/>
                <c:pt idx="0">
                  <c:v>1055341</c:v>
                </c:pt>
                <c:pt idx="1">
                  <c:v>872326</c:v>
                </c:pt>
                <c:pt idx="2">
                  <c:v>790639</c:v>
                </c:pt>
                <c:pt idx="3">
                  <c:v>773769</c:v>
                </c:pt>
                <c:pt idx="4">
                  <c:v>708827</c:v>
                </c:pt>
                <c:pt idx="5">
                  <c:v>500222</c:v>
                </c:pt>
              </c:numCache>
            </c:numRef>
          </c:val>
          <c:extLst>
            <c:ext xmlns:c16="http://schemas.microsoft.com/office/drawing/2014/chart" uri="{C3380CC4-5D6E-409C-BE32-E72D297353CC}">
              <c16:uniqueId val="{00000000-90AB-4EEB-9369-74D55DF99CF3}"/>
            </c:ext>
          </c:extLst>
        </c:ser>
        <c:dLbls>
          <c:dLblPos val="bestFit"/>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Table!Doc. P16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
        <c:spPr>
          <a:ln w="19050"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5"/>
        <c:spPr>
          <a:ln w="19050"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6"/>
        <c:spPr>
          <a:ln w="19050"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7"/>
        <c:spPr>
          <a:ln w="19050"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8"/>
        <c:spPr>
          <a:ln w="34925"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 Table'!$BC$4</c:f>
              <c:strCache>
                <c:ptCount val="1"/>
                <c:pt idx="0">
                  <c:v>Total</c:v>
                </c:pt>
              </c:strCache>
            </c:strRef>
          </c:tx>
          <c:spPr>
            <a:ln w="34925" cap="rnd">
              <a:solidFill>
                <a:srgbClr val="99AD7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rgbClr val="99AD7A"/>
                </a:solidFill>
                <a:round/>
              </a:ln>
              <a:effectLst>
                <a:outerShdw dist="25400" dir="2700000" algn="tl" rotWithShape="0">
                  <a:schemeClr val="accent1"/>
                </a:outerShdw>
              </a:effectLst>
            </c:spPr>
            <c:extLst>
              <c:ext xmlns:c16="http://schemas.microsoft.com/office/drawing/2014/chart" uri="{C3380CC4-5D6E-409C-BE32-E72D297353CC}">
                <c16:uniqueId val="{00000001-3949-4289-90F1-A725461E12DD}"/>
              </c:ext>
            </c:extLst>
          </c:dPt>
          <c:dPt>
            <c:idx val="1"/>
            <c:marker>
              <c:symbol val="circle"/>
              <c:size val="5"/>
              <c:spPr>
                <a:solidFill>
                  <a:schemeClr val="accent1"/>
                </a:solidFill>
                <a:ln w="22225">
                  <a:solidFill>
                    <a:schemeClr val="lt1"/>
                  </a:solidFill>
                  <a:round/>
                </a:ln>
                <a:effectLst/>
              </c:spPr>
            </c:marker>
            <c:bubble3D val="0"/>
            <c:spPr>
              <a:ln w="19050" cap="rnd">
                <a:solidFill>
                  <a:srgbClr val="99AD7A"/>
                </a:solidFill>
                <a:round/>
              </a:ln>
              <a:effectLst>
                <a:outerShdw dist="25400" dir="2700000" algn="tl" rotWithShape="0">
                  <a:schemeClr val="accent1"/>
                </a:outerShdw>
              </a:effectLst>
            </c:spPr>
            <c:extLst>
              <c:ext xmlns:c16="http://schemas.microsoft.com/office/drawing/2014/chart" uri="{C3380CC4-5D6E-409C-BE32-E72D297353CC}">
                <c16:uniqueId val="{00000005-17EB-4445-A341-AC1FCCAE5D3F}"/>
              </c:ext>
            </c:extLst>
          </c:dPt>
          <c:dPt>
            <c:idx val="2"/>
            <c:marker>
              <c:symbol val="circle"/>
              <c:size val="5"/>
              <c:spPr>
                <a:solidFill>
                  <a:schemeClr val="accent1"/>
                </a:solidFill>
                <a:ln w="22225">
                  <a:solidFill>
                    <a:schemeClr val="lt1"/>
                  </a:solidFill>
                  <a:round/>
                </a:ln>
                <a:effectLst/>
              </c:spPr>
            </c:marker>
            <c:bubble3D val="0"/>
            <c:spPr>
              <a:ln w="19050" cap="rnd">
                <a:solidFill>
                  <a:srgbClr val="99AD7A"/>
                </a:solidFill>
                <a:round/>
              </a:ln>
              <a:effectLst>
                <a:outerShdw dist="25400" dir="2700000" algn="tl" rotWithShape="0">
                  <a:schemeClr val="accent1"/>
                </a:outerShdw>
              </a:effectLst>
            </c:spPr>
            <c:extLst>
              <c:ext xmlns:c16="http://schemas.microsoft.com/office/drawing/2014/chart" uri="{C3380CC4-5D6E-409C-BE32-E72D297353CC}">
                <c16:uniqueId val="{00000004-17EB-4445-A341-AC1FCCAE5D3F}"/>
              </c:ext>
            </c:extLst>
          </c:dPt>
          <c:dPt>
            <c:idx val="3"/>
            <c:marker>
              <c:symbol val="circle"/>
              <c:size val="5"/>
              <c:spPr>
                <a:solidFill>
                  <a:schemeClr val="accent1"/>
                </a:solidFill>
                <a:ln w="22225">
                  <a:solidFill>
                    <a:schemeClr val="lt1"/>
                  </a:solidFill>
                  <a:round/>
                </a:ln>
                <a:effectLst/>
              </c:spPr>
            </c:marker>
            <c:bubble3D val="0"/>
            <c:spPr>
              <a:ln w="19050" cap="rnd">
                <a:solidFill>
                  <a:srgbClr val="99AD7A"/>
                </a:solidFill>
                <a:round/>
              </a:ln>
              <a:effectLst>
                <a:outerShdw dist="25400" dir="2700000" algn="tl" rotWithShape="0">
                  <a:schemeClr val="accent1"/>
                </a:outerShdw>
              </a:effectLst>
            </c:spPr>
            <c:extLst>
              <c:ext xmlns:c16="http://schemas.microsoft.com/office/drawing/2014/chart" uri="{C3380CC4-5D6E-409C-BE32-E72D297353CC}">
                <c16:uniqueId val="{00000001-17EB-4445-A341-AC1FCCAE5D3F}"/>
              </c:ext>
            </c:extLst>
          </c:dPt>
          <c:dPt>
            <c:idx val="4"/>
            <c:marker>
              <c:symbol val="circle"/>
              <c:size val="5"/>
              <c:spPr>
                <a:solidFill>
                  <a:schemeClr val="accent1"/>
                </a:solidFill>
                <a:ln w="22225">
                  <a:solidFill>
                    <a:schemeClr val="lt1"/>
                  </a:solidFill>
                  <a:round/>
                </a:ln>
                <a:effectLst/>
              </c:spPr>
            </c:marker>
            <c:bubble3D val="0"/>
            <c:spPr>
              <a:ln w="19050" cap="rnd">
                <a:solidFill>
                  <a:srgbClr val="99AD7A"/>
                </a:solidFill>
                <a:round/>
              </a:ln>
              <a:effectLst>
                <a:outerShdw dist="25400" dir="2700000" algn="tl" rotWithShape="0">
                  <a:schemeClr val="accent1"/>
                </a:outerShdw>
              </a:effectLst>
            </c:spPr>
            <c:extLst>
              <c:ext xmlns:c16="http://schemas.microsoft.com/office/drawing/2014/chart" uri="{C3380CC4-5D6E-409C-BE32-E72D297353CC}">
                <c16:uniqueId val="{00000003-17EB-4445-A341-AC1FCCAE5D3F}"/>
              </c:ext>
            </c:extLst>
          </c:dPt>
          <c:dPt>
            <c:idx val="5"/>
            <c:marker>
              <c:symbol val="circle"/>
              <c:size val="5"/>
              <c:spPr>
                <a:solidFill>
                  <a:schemeClr val="accent1"/>
                </a:solidFill>
                <a:ln w="22225">
                  <a:solidFill>
                    <a:schemeClr val="lt1"/>
                  </a:solidFill>
                  <a:round/>
                </a:ln>
                <a:effectLst/>
              </c:spPr>
            </c:marker>
            <c:bubble3D val="0"/>
            <c:spPr>
              <a:ln w="19050" cap="rnd">
                <a:solidFill>
                  <a:srgbClr val="99AD7A"/>
                </a:solidFill>
                <a:round/>
              </a:ln>
              <a:effectLst>
                <a:outerShdw dist="25400" dir="2700000" algn="tl" rotWithShape="0">
                  <a:schemeClr val="accent1"/>
                </a:outerShdw>
              </a:effectLst>
            </c:spPr>
            <c:extLst>
              <c:ext xmlns:c16="http://schemas.microsoft.com/office/drawing/2014/chart" uri="{C3380CC4-5D6E-409C-BE32-E72D297353CC}">
                <c16:uniqueId val="{00000002-17EB-4445-A341-AC1FCCAE5D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Table'!$BB$5:$BB$11</c:f>
              <c:strCache>
                <c:ptCount val="6"/>
                <c:pt idx="0">
                  <c:v>Priya Singh</c:v>
                </c:pt>
                <c:pt idx="1">
                  <c:v>Karan Mehta</c:v>
                </c:pt>
                <c:pt idx="2">
                  <c:v>Rahul Kapoor</c:v>
                </c:pt>
                <c:pt idx="3">
                  <c:v>Aarav Sharma</c:v>
                </c:pt>
                <c:pt idx="4">
                  <c:v>Riya Gupta</c:v>
                </c:pt>
                <c:pt idx="5">
                  <c:v>Sneha Verma</c:v>
                </c:pt>
              </c:strCache>
            </c:strRef>
          </c:cat>
          <c:val>
            <c:numRef>
              <c:f>'Pivot Table'!$BC$5:$BC$11</c:f>
              <c:numCache>
                <c:formatCode>"₹"\ #,##0</c:formatCode>
                <c:ptCount val="6"/>
                <c:pt idx="0">
                  <c:v>702542</c:v>
                </c:pt>
                <c:pt idx="1">
                  <c:v>743582</c:v>
                </c:pt>
                <c:pt idx="2">
                  <c:v>763599</c:v>
                </c:pt>
                <c:pt idx="3">
                  <c:v>767511</c:v>
                </c:pt>
                <c:pt idx="4">
                  <c:v>796781</c:v>
                </c:pt>
                <c:pt idx="5">
                  <c:v>927109</c:v>
                </c:pt>
              </c:numCache>
            </c:numRef>
          </c:val>
          <c:smooth val="0"/>
          <c:extLst>
            <c:ext xmlns:c16="http://schemas.microsoft.com/office/drawing/2014/chart" uri="{C3380CC4-5D6E-409C-BE32-E72D297353CC}">
              <c16:uniqueId val="{00000000-17EB-4445-A341-AC1FCCAE5D3F}"/>
            </c:ext>
          </c:extLst>
        </c:ser>
        <c:dLbls>
          <c:dLblPos val="t"/>
          <c:showLegendKey val="0"/>
          <c:showVal val="1"/>
          <c:showCatName val="0"/>
          <c:showSerName val="0"/>
          <c:showPercent val="0"/>
          <c:showBubbleSize val="0"/>
        </c:dLbls>
        <c:dropLines>
          <c:spPr>
            <a:ln w="9525" cap="flat" cmpd="sng" algn="ctr">
              <a:solidFill>
                <a:srgbClr val="BCC9A7"/>
              </a:solidFill>
              <a:round/>
            </a:ln>
            <a:effectLst>
              <a:outerShdw blurRad="101600" dist="38100" dir="2700000" algn="tl" rotWithShape="0">
                <a:prstClr val="black">
                  <a:alpha val="40000"/>
                </a:prstClr>
              </a:outerShdw>
            </a:effectLst>
          </c:spPr>
        </c:dropLines>
        <c:marker val="1"/>
        <c:smooth val="0"/>
        <c:axId val="501914431"/>
        <c:axId val="501914911"/>
      </c:lineChart>
      <c:catAx>
        <c:axId val="501914431"/>
        <c:scaling>
          <c:orientation val="minMax"/>
        </c:scaling>
        <c:delete val="0"/>
        <c:axPos val="b"/>
        <c:numFmt formatCode="General" sourceLinked="1"/>
        <c:majorTickMark val="none"/>
        <c:minorTickMark val="none"/>
        <c:tickLblPos val="nextTo"/>
        <c:spPr>
          <a:noFill/>
          <a:ln w="12700" cap="flat" cmpd="sng" algn="ctr">
            <a:solidFill>
              <a:schemeClr val="bg2">
                <a:lumMod val="75000"/>
              </a:schemeClr>
            </a:solidFill>
            <a:round/>
          </a:ln>
          <a:effectLst/>
        </c:spPr>
        <c:txPr>
          <a:bodyPr rot="-60000000" spcFirstLastPara="1" vertOverflow="ellipsis" vert="horz" wrap="square" anchor="ctr" anchorCtr="1"/>
          <a:lstStyle/>
          <a:p>
            <a:pPr>
              <a:defRPr sz="1050" b="1" i="0" u="none" strike="noStrike" kern="1200" spc="100" baseline="0">
                <a:solidFill>
                  <a:sysClr val="windowText" lastClr="000000"/>
                </a:solidFill>
                <a:latin typeface="+mn-lt"/>
                <a:ea typeface="+mn-ea"/>
                <a:cs typeface="+mn-cs"/>
              </a:defRPr>
            </a:pPr>
            <a:endParaRPr lang="en-US"/>
          </a:p>
        </c:txPr>
        <c:crossAx val="501914911"/>
        <c:crosses val="autoZero"/>
        <c:auto val="1"/>
        <c:lblAlgn val="ctr"/>
        <c:lblOffset val="100"/>
        <c:noMultiLvlLbl val="0"/>
      </c:catAx>
      <c:valAx>
        <c:axId val="5019149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01914431"/>
        <c:crosses val="autoZero"/>
        <c:crossBetween val="between"/>
        <c:majorUnit val="2000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Table!Doc. P17</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8986354775829889E-3"/>
              <c:y val="-0.37457421988918049"/>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30440361621463985"/>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3208249489647127"/>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9493177387914945E-3"/>
              <c:y val="-0.29753171478565177"/>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31380796150481188"/>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8986354775828458E-3"/>
              <c:y val="-0.32545457859434235"/>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59672687972824E-2"/>
          <c:y val="3.546826309632644E-2"/>
          <c:w val="0.93146647110287684"/>
          <c:h val="0.8306160606328703"/>
        </c:manualLayout>
      </c:layout>
      <c:barChart>
        <c:barDir val="col"/>
        <c:grouping val="stacked"/>
        <c:varyColors val="0"/>
        <c:ser>
          <c:idx val="0"/>
          <c:order val="0"/>
          <c:tx>
            <c:strRef>
              <c:f>'Pivot Table'!$BF$4</c:f>
              <c:strCache>
                <c:ptCount val="1"/>
                <c:pt idx="0">
                  <c:v>Total</c:v>
                </c:pt>
              </c:strCache>
            </c:strRef>
          </c:tx>
          <c:spPr>
            <a:blipFill>
              <a:blip xmlns:r="http://schemas.openxmlformats.org/officeDocument/2006/relationships" r:embed="rId1"/>
              <a:stretch>
                <a:fillRect/>
              </a:stretch>
            </a:blipFill>
            <a:ln>
              <a:noFill/>
            </a:ln>
            <a:effectLst/>
          </c:spPr>
          <c:invertIfNegative val="0"/>
          <c:dLbls>
            <c:dLbl>
              <c:idx val="0"/>
              <c:layout>
                <c:manualLayout>
                  <c:x val="0"/>
                  <c:y val="-0.304403616214639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24-48A1-BCB3-590B9CFAF1C3}"/>
                </c:ext>
              </c:extLst>
            </c:dLbl>
            <c:dLbl>
              <c:idx val="1"/>
              <c:layout>
                <c:manualLayout>
                  <c:x val="0"/>
                  <c:y val="-0.32082494896471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24-48A1-BCB3-590B9CFAF1C3}"/>
                </c:ext>
              </c:extLst>
            </c:dLbl>
            <c:dLbl>
              <c:idx val="2"/>
              <c:layout>
                <c:manualLayout>
                  <c:x val="-1.9493177387914945E-3"/>
                  <c:y val="-0.29753171478565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24-48A1-BCB3-590B9CFAF1C3}"/>
                </c:ext>
              </c:extLst>
            </c:dLbl>
            <c:dLbl>
              <c:idx val="3"/>
              <c:layout>
                <c:manualLayout>
                  <c:x val="0"/>
                  <c:y val="-0.313807961504811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24-48A1-BCB3-590B9CFAF1C3}"/>
                </c:ext>
              </c:extLst>
            </c:dLbl>
            <c:dLbl>
              <c:idx val="4"/>
              <c:layout>
                <c:manualLayout>
                  <c:x val="-3.8986354775829889E-3"/>
                  <c:y val="-0.374574219889180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24-48A1-BCB3-590B9CFAF1C3}"/>
                </c:ext>
              </c:extLst>
            </c:dLbl>
            <c:dLbl>
              <c:idx val="5"/>
              <c:layout>
                <c:manualLayout>
                  <c:x val="3.8986354775828458E-3"/>
                  <c:y val="-0.325454578594342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24-48A1-BCB3-590B9CFAF1C3}"/>
                </c:ext>
              </c:extLst>
            </c:dLbl>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Table'!$BE$5:$BE$11</c:f>
              <c:strCache>
                <c:ptCount val="6"/>
                <c:pt idx="0">
                  <c:v>Karan Mehta</c:v>
                </c:pt>
                <c:pt idx="1">
                  <c:v>Priya Singh</c:v>
                </c:pt>
                <c:pt idx="2">
                  <c:v>Rahul Kapoor</c:v>
                </c:pt>
                <c:pt idx="3">
                  <c:v>Riya Gupta</c:v>
                </c:pt>
                <c:pt idx="4">
                  <c:v>Aarav Sharma</c:v>
                </c:pt>
                <c:pt idx="5">
                  <c:v>Sneha Verma</c:v>
                </c:pt>
              </c:strCache>
            </c:strRef>
          </c:cat>
          <c:val>
            <c:numRef>
              <c:f>'Pivot Table'!$BF$5:$BF$11</c:f>
              <c:numCache>
                <c:formatCode>General</c:formatCode>
                <c:ptCount val="6"/>
                <c:pt idx="0">
                  <c:v>77</c:v>
                </c:pt>
                <c:pt idx="1">
                  <c:v>79</c:v>
                </c:pt>
                <c:pt idx="2">
                  <c:v>81</c:v>
                </c:pt>
                <c:pt idx="3">
                  <c:v>83</c:v>
                </c:pt>
                <c:pt idx="4">
                  <c:v>83</c:v>
                </c:pt>
                <c:pt idx="5">
                  <c:v>97</c:v>
                </c:pt>
              </c:numCache>
            </c:numRef>
          </c:val>
          <c:extLst>
            <c:ext xmlns:c16="http://schemas.microsoft.com/office/drawing/2014/chart" uri="{C3380CC4-5D6E-409C-BE32-E72D297353CC}">
              <c16:uniqueId val="{00000002-5624-48A1-BCB3-590B9CFAF1C3}"/>
            </c:ext>
          </c:extLst>
        </c:ser>
        <c:dLbls>
          <c:dLblPos val="ctr"/>
          <c:showLegendKey val="0"/>
          <c:showVal val="1"/>
          <c:showCatName val="0"/>
          <c:showSerName val="0"/>
          <c:showPercent val="0"/>
          <c:showBubbleSize val="0"/>
        </c:dLbls>
        <c:gapWidth val="75"/>
        <c:overlap val="100"/>
        <c:axId val="491852607"/>
        <c:axId val="491849247"/>
      </c:barChart>
      <c:catAx>
        <c:axId val="49185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91849247"/>
        <c:crosses val="autoZero"/>
        <c:auto val="1"/>
        <c:lblAlgn val="ctr"/>
        <c:lblOffset val="100"/>
        <c:noMultiLvlLbl val="0"/>
      </c:catAx>
      <c:valAx>
        <c:axId val="49184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91852607"/>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Table!Dep. P20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A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AD7A"/>
          </a:solidFill>
          <a:ln>
            <a:noFill/>
          </a:ln>
          <a:effectLst/>
        </c:spPr>
        <c:dLbl>
          <c:idx val="0"/>
          <c:layout>
            <c:manualLayout>
              <c:x val="0.3366971660188046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AD7A"/>
          </a:solidFill>
          <a:ln>
            <a:noFill/>
          </a:ln>
          <a:effectLst/>
        </c:spPr>
        <c:dLbl>
          <c:idx val="0"/>
          <c:layout>
            <c:manualLayout>
              <c:x val="0.3057704242665869"/>
              <c:y val="6.79117147707979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AD7A"/>
          </a:solidFill>
          <a:ln>
            <a:noFill/>
          </a:ln>
          <a:effectLst/>
        </c:spPr>
        <c:dLbl>
          <c:idx val="0"/>
          <c:layout>
            <c:manualLayout>
              <c:x val="0.3057704242665869"/>
              <c:y val="6.79117147707979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AD7A"/>
          </a:solidFill>
          <a:ln>
            <a:noFill/>
          </a:ln>
          <a:effectLst/>
        </c:spPr>
        <c:dLbl>
          <c:idx val="0"/>
          <c:layout>
            <c:manualLayout>
              <c:x val="0.16891511345891883"/>
              <c:y val="-4.527447651386531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AD7A"/>
          </a:solidFill>
          <a:ln>
            <a:noFill/>
          </a:ln>
          <a:effectLst/>
        </c:spPr>
        <c:dLbl>
          <c:idx val="0"/>
          <c:layout>
            <c:manualLayout>
              <c:x val="0.16891511345891883"/>
              <c:y val="-4.527447651386531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AD7A"/>
          </a:solidFill>
          <a:ln>
            <a:noFill/>
          </a:ln>
          <a:effectLst/>
        </c:spPr>
        <c:dLbl>
          <c:idx val="0"/>
          <c:layout>
            <c:manualLayout>
              <c:x val="0.3057704242665869"/>
              <c:y val="6.79117147707979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54244327054055"/>
          <c:y val="8.9938151586859538E-3"/>
          <c:w val="0.76081198710920628"/>
          <c:h val="0.93902582818342994"/>
        </c:manualLayout>
      </c:layout>
      <c:barChart>
        <c:barDir val="bar"/>
        <c:grouping val="stacked"/>
        <c:varyColors val="0"/>
        <c:ser>
          <c:idx val="0"/>
          <c:order val="0"/>
          <c:tx>
            <c:strRef>
              <c:f>'Pivot Table'!$BR$4</c:f>
              <c:strCache>
                <c:ptCount val="1"/>
                <c:pt idx="0">
                  <c:v>Total</c:v>
                </c:pt>
              </c:strCache>
            </c:strRef>
          </c:tx>
          <c:spPr>
            <a:solidFill>
              <a:srgbClr val="99AD7A"/>
            </a:solidFill>
            <a:ln>
              <a:noFill/>
            </a:ln>
            <a:effectLst/>
          </c:spPr>
          <c:invertIfNegative val="0"/>
          <c:dPt>
            <c:idx val="0"/>
            <c:invertIfNegative val="0"/>
            <c:bubble3D val="0"/>
            <c:spPr>
              <a:solidFill>
                <a:srgbClr val="99AD7A"/>
              </a:solidFill>
              <a:ln>
                <a:noFill/>
              </a:ln>
              <a:effectLst/>
            </c:spPr>
            <c:extLst>
              <c:ext xmlns:c16="http://schemas.microsoft.com/office/drawing/2014/chart" uri="{C3380CC4-5D6E-409C-BE32-E72D297353CC}">
                <c16:uniqueId val="{00000006-4BB9-4159-8A2A-FE2D7B9C9386}"/>
              </c:ext>
            </c:extLst>
          </c:dPt>
          <c:dPt>
            <c:idx val="1"/>
            <c:invertIfNegative val="0"/>
            <c:bubble3D val="0"/>
            <c:spPr>
              <a:solidFill>
                <a:srgbClr val="99AD7A"/>
              </a:solidFill>
              <a:ln>
                <a:noFill/>
              </a:ln>
              <a:effectLst/>
            </c:spPr>
            <c:extLst>
              <c:ext xmlns:c16="http://schemas.microsoft.com/office/drawing/2014/chart" uri="{C3380CC4-5D6E-409C-BE32-E72D297353CC}">
                <c16:uniqueId val="{00000005-4BB9-4159-8A2A-FE2D7B9C9386}"/>
              </c:ext>
            </c:extLst>
          </c:dPt>
          <c:dPt>
            <c:idx val="2"/>
            <c:invertIfNegative val="0"/>
            <c:bubble3D val="0"/>
            <c:spPr>
              <a:solidFill>
                <a:srgbClr val="99AD7A"/>
              </a:solidFill>
              <a:ln>
                <a:noFill/>
              </a:ln>
              <a:effectLst/>
            </c:spPr>
            <c:extLst>
              <c:ext xmlns:c16="http://schemas.microsoft.com/office/drawing/2014/chart" uri="{C3380CC4-5D6E-409C-BE32-E72D297353CC}">
                <c16:uniqueId val="{00000004-4BB9-4159-8A2A-FE2D7B9C9386}"/>
              </c:ext>
            </c:extLst>
          </c:dPt>
          <c:dPt>
            <c:idx val="3"/>
            <c:invertIfNegative val="0"/>
            <c:bubble3D val="0"/>
            <c:spPr>
              <a:solidFill>
                <a:srgbClr val="99AD7A"/>
              </a:solidFill>
              <a:ln>
                <a:noFill/>
              </a:ln>
              <a:effectLst/>
            </c:spPr>
            <c:extLst>
              <c:ext xmlns:c16="http://schemas.microsoft.com/office/drawing/2014/chart" uri="{C3380CC4-5D6E-409C-BE32-E72D297353CC}">
                <c16:uniqueId val="{00000003-4BB9-4159-8A2A-FE2D7B9C9386}"/>
              </c:ext>
            </c:extLst>
          </c:dPt>
          <c:dPt>
            <c:idx val="4"/>
            <c:invertIfNegative val="0"/>
            <c:bubble3D val="0"/>
            <c:spPr>
              <a:solidFill>
                <a:srgbClr val="99AD7A"/>
              </a:solidFill>
              <a:ln>
                <a:noFill/>
              </a:ln>
              <a:effectLst/>
            </c:spPr>
            <c:extLst>
              <c:ext xmlns:c16="http://schemas.microsoft.com/office/drawing/2014/chart" uri="{C3380CC4-5D6E-409C-BE32-E72D297353CC}">
                <c16:uniqueId val="{00000002-4BB9-4159-8A2A-FE2D7B9C9386}"/>
              </c:ext>
            </c:extLst>
          </c:dPt>
          <c:dPt>
            <c:idx val="5"/>
            <c:invertIfNegative val="0"/>
            <c:bubble3D val="0"/>
            <c:spPr>
              <a:solidFill>
                <a:srgbClr val="99AD7A"/>
              </a:solidFill>
              <a:ln>
                <a:noFill/>
              </a:ln>
              <a:effectLst/>
            </c:spPr>
            <c:extLst>
              <c:ext xmlns:c16="http://schemas.microsoft.com/office/drawing/2014/chart" uri="{C3380CC4-5D6E-409C-BE32-E72D297353CC}">
                <c16:uniqueId val="{00000001-4BB9-4159-8A2A-FE2D7B9C9386}"/>
              </c:ext>
            </c:extLst>
          </c:dPt>
          <c:dLbls>
            <c:dLbl>
              <c:idx val="0"/>
              <c:layout>
                <c:manualLayout>
                  <c:x val="0.3057704242665869"/>
                  <c:y val="6.79117147707979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B9-4159-8A2A-FE2D7B9C9386}"/>
                </c:ext>
              </c:extLst>
            </c:dLbl>
            <c:dLbl>
              <c:idx val="1"/>
              <c:layout>
                <c:manualLayout>
                  <c:x val="0.16891511345891883"/>
                  <c:y val="-4.52744765138653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B9-4159-8A2A-FE2D7B9C9386}"/>
                </c:ext>
              </c:extLst>
            </c:dLbl>
            <c:dLbl>
              <c:idx val="2"/>
              <c:layout>
                <c:manualLayout>
                  <c:x val="0.16891511345891883"/>
                  <c:y val="-4.52744765138653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B9-4159-8A2A-FE2D7B9C9386}"/>
                </c:ext>
              </c:extLst>
            </c:dLbl>
            <c:dLbl>
              <c:idx val="3"/>
              <c:layout>
                <c:manualLayout>
                  <c:x val="0.3057704242665869"/>
                  <c:y val="6.79117147707979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B9-4159-8A2A-FE2D7B9C9386}"/>
                </c:ext>
              </c:extLst>
            </c:dLbl>
            <c:dLbl>
              <c:idx val="4"/>
              <c:layout>
                <c:manualLayout>
                  <c:x val="0.3057704242665869"/>
                  <c:y val="6.79117147707979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B9-4159-8A2A-FE2D7B9C9386}"/>
                </c:ext>
              </c:extLst>
            </c:dLbl>
            <c:dLbl>
              <c:idx val="5"/>
              <c:layout>
                <c:manualLayout>
                  <c:x val="0.3366971660188046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B9-4159-8A2A-FE2D7B9C938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Table'!$BQ$5:$BQ$11</c:f>
              <c:strCache>
                <c:ptCount val="6"/>
                <c:pt idx="0">
                  <c:v>Emergency</c:v>
                </c:pt>
                <c:pt idx="1">
                  <c:v>Neurology</c:v>
                </c:pt>
                <c:pt idx="2">
                  <c:v>Orthopedics</c:v>
                </c:pt>
                <c:pt idx="3">
                  <c:v>General</c:v>
                </c:pt>
                <c:pt idx="4">
                  <c:v>Cardiology</c:v>
                </c:pt>
                <c:pt idx="5">
                  <c:v>Pediatrics</c:v>
                </c:pt>
              </c:strCache>
            </c:strRef>
          </c:cat>
          <c:val>
            <c:numRef>
              <c:f>'Pivot Table'!$BR$5:$BR$11</c:f>
              <c:numCache>
                <c:formatCode>0</c:formatCode>
                <c:ptCount val="6"/>
                <c:pt idx="0">
                  <c:v>79.563829787234042</c:v>
                </c:pt>
                <c:pt idx="1">
                  <c:v>78.588235294117652</c:v>
                </c:pt>
                <c:pt idx="2">
                  <c:v>75.928571428571431</c:v>
                </c:pt>
                <c:pt idx="3">
                  <c:v>74.747747747747752</c:v>
                </c:pt>
                <c:pt idx="4">
                  <c:v>74.058139534883722</c:v>
                </c:pt>
                <c:pt idx="5">
                  <c:v>73.71621621621621</c:v>
                </c:pt>
              </c:numCache>
            </c:numRef>
          </c:val>
          <c:extLst>
            <c:ext xmlns:c16="http://schemas.microsoft.com/office/drawing/2014/chart" uri="{C3380CC4-5D6E-409C-BE32-E72D297353CC}">
              <c16:uniqueId val="{00000000-4BB9-4159-8A2A-FE2D7B9C9386}"/>
            </c:ext>
          </c:extLst>
        </c:ser>
        <c:dLbls>
          <c:dLblPos val="inEnd"/>
          <c:showLegendKey val="0"/>
          <c:showVal val="1"/>
          <c:showCatName val="0"/>
          <c:showSerName val="0"/>
          <c:showPercent val="0"/>
          <c:showBubbleSize val="0"/>
        </c:dLbls>
        <c:gapWidth val="100"/>
        <c:overlap val="100"/>
        <c:axId val="663001663"/>
        <c:axId val="663001183"/>
      </c:barChart>
      <c:catAx>
        <c:axId val="66300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63001183"/>
        <c:crosses val="autoZero"/>
        <c:auto val="1"/>
        <c:lblAlgn val="ctr"/>
        <c:lblOffset val="100"/>
        <c:noMultiLvlLbl val="0"/>
      </c:catAx>
      <c:valAx>
        <c:axId val="663001183"/>
        <c:scaling>
          <c:orientation val="minMax"/>
          <c:min val="0"/>
        </c:scaling>
        <c:delete val="0"/>
        <c:axPos val="b"/>
        <c:numFmt formatCode="0" sourceLinked="1"/>
        <c:majorTickMark val="none"/>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63001663"/>
        <c:crosses val="autoZero"/>
        <c:crossBetween val="between"/>
        <c:majorUnit val="4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Table!Dep. P19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cmpd="sng" algn="ctr">
            <a:solidFill>
              <a:srgbClr val="99AD7A"/>
            </a:solidFill>
            <a:round/>
          </a:ln>
          <a:effectLst/>
        </c:spPr>
        <c:marker>
          <c:symbol val="circle"/>
          <c:size val="4"/>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18616321918765E-2"/>
          <c:y val="6.1884669479606191E-2"/>
          <c:w val="0.94428712931837766"/>
          <c:h val="0.7924431597948991"/>
        </c:manualLayout>
      </c:layout>
      <c:lineChart>
        <c:grouping val="stacked"/>
        <c:varyColors val="0"/>
        <c:ser>
          <c:idx val="0"/>
          <c:order val="0"/>
          <c:tx>
            <c:strRef>
              <c:f>'Pivot Table'!$BN$4</c:f>
              <c:strCache>
                <c:ptCount val="1"/>
                <c:pt idx="0">
                  <c:v>Total</c:v>
                </c:pt>
              </c:strCache>
            </c:strRef>
          </c:tx>
          <c:spPr>
            <a:ln w="25400" cap="rnd" cmpd="sng" algn="ctr">
              <a:solidFill>
                <a:srgbClr val="99AD7A"/>
              </a:solidFill>
              <a:round/>
            </a:ln>
            <a:effectLst/>
          </c:spPr>
          <c:marker>
            <c:symbol val="circle"/>
            <c:size val="4"/>
            <c:spPr>
              <a:solidFill>
                <a:schemeClr val="bg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Table'!$BM$5:$BM$11</c:f>
              <c:strCache>
                <c:ptCount val="6"/>
                <c:pt idx="0">
                  <c:v>Neurology</c:v>
                </c:pt>
                <c:pt idx="1">
                  <c:v>Cardiology</c:v>
                </c:pt>
                <c:pt idx="2">
                  <c:v>Pediatrics</c:v>
                </c:pt>
                <c:pt idx="3">
                  <c:v>Emergency</c:v>
                </c:pt>
                <c:pt idx="4">
                  <c:v>Orthopedics</c:v>
                </c:pt>
                <c:pt idx="5">
                  <c:v>General</c:v>
                </c:pt>
              </c:strCache>
            </c:strRef>
          </c:cat>
          <c:val>
            <c:numRef>
              <c:f>'Pivot Table'!$BN$5:$BN$11</c:f>
              <c:numCache>
                <c:formatCode>0.0</c:formatCode>
                <c:ptCount val="6"/>
                <c:pt idx="0">
                  <c:v>2.6666666666666665</c:v>
                </c:pt>
                <c:pt idx="1">
                  <c:v>2.7906976744186047</c:v>
                </c:pt>
                <c:pt idx="2">
                  <c:v>2.9054054054054053</c:v>
                </c:pt>
                <c:pt idx="3">
                  <c:v>2.9361702127659575</c:v>
                </c:pt>
                <c:pt idx="4">
                  <c:v>2.9523809523809526</c:v>
                </c:pt>
                <c:pt idx="5">
                  <c:v>3.0810810810810811</c:v>
                </c:pt>
              </c:numCache>
            </c:numRef>
          </c:val>
          <c:smooth val="0"/>
          <c:extLst>
            <c:ext xmlns:c16="http://schemas.microsoft.com/office/drawing/2014/chart" uri="{C3380CC4-5D6E-409C-BE32-E72D297353CC}">
              <c16:uniqueId val="{00000000-0699-4A16-99E5-C548D8A4684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04730511"/>
        <c:axId val="804734831"/>
      </c:lineChart>
      <c:catAx>
        <c:axId val="8047305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spc="20" baseline="0">
                <a:solidFill>
                  <a:sysClr val="windowText" lastClr="000000"/>
                </a:solidFill>
                <a:latin typeface="+mn-lt"/>
                <a:ea typeface="+mn-ea"/>
                <a:cs typeface="+mn-cs"/>
              </a:defRPr>
            </a:pPr>
            <a:endParaRPr lang="en-US"/>
          </a:p>
        </c:txPr>
        <c:crossAx val="804734831"/>
        <c:crosses val="autoZero"/>
        <c:auto val="1"/>
        <c:lblAlgn val="ctr"/>
        <c:lblOffset val="100"/>
        <c:noMultiLvlLbl val="0"/>
      </c:catAx>
      <c:valAx>
        <c:axId val="804734831"/>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804730511"/>
        <c:crosses val="autoZero"/>
        <c:crossBetween val="between"/>
        <c:majorUnit val="1"/>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Table!Dep. P21</c:name>
    <c:fmtId val="1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AD7A"/>
          </a:solid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9"/>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AD7A"/>
          </a:solid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16"/>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9AD7A"/>
          </a:solid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23"/>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99AD7A"/>
          </a:solid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30"/>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99AD7A"/>
          </a:solid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37"/>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99AD7A"/>
          </a:solid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44"/>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9.6618357487922701E-3"/>
              <c:y val="-0.235432193049447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3.2206119162640902E-3"/>
              <c:y val="-0.261217882881696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6.4412238325281803E-3"/>
              <c:y val="-0.23984585538847783"/>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blipFill>
            <a:blip xmlns:r="http://schemas.openxmlformats.org/officeDocument/2006/relationships" r:embed="rId2"/>
            <a:stretch>
              <a:fillRect/>
            </a:stretch>
          </a:blipFill>
          <a:ln>
            <a:noFill/>
          </a:ln>
          <a:effectLst/>
        </c:spPr>
        <c:dLbl>
          <c:idx val="0"/>
          <c:layout>
            <c:manualLayout>
              <c:x val="6.4412238325280624E-3"/>
              <c:y val="-0.30910102792334904"/>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Lst>
        </c:dLbl>
      </c:pivotFmt>
      <c:pivotFmt>
        <c:idx val="51"/>
        <c:dLbl>
          <c:idx val="0"/>
          <c:layout>
            <c:manualLayout>
              <c:x val="3.2206119162640607E-3"/>
              <c:y val="-0.1816999798102161"/>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5672331738674"/>
          <c:y val="2.7675816353021462E-2"/>
          <c:w val="0.87305349242692176"/>
          <c:h val="0.72642608015923715"/>
        </c:manualLayout>
      </c:layout>
      <c:barChart>
        <c:barDir val="col"/>
        <c:grouping val="stacked"/>
        <c:varyColors val="0"/>
        <c:ser>
          <c:idx val="0"/>
          <c:order val="0"/>
          <c:tx>
            <c:strRef>
              <c:f>'Pivot Table'!$BU$4</c:f>
              <c:strCache>
                <c:ptCount val="1"/>
                <c:pt idx="0">
                  <c:v>Total</c:v>
                </c:pt>
              </c:strCache>
            </c:strRef>
          </c:tx>
          <c:spPr>
            <a:blipFill>
              <a:blip xmlns:r="http://schemas.openxmlformats.org/officeDocument/2006/relationships" r:embed="rId1"/>
              <a:stretch>
                <a:fillRect/>
              </a:stretch>
            </a:blipFill>
            <a:ln>
              <a:noFill/>
            </a:ln>
            <a:effectLst/>
          </c:spPr>
          <c:invertIfNegative val="0"/>
          <c:dPt>
            <c:idx val="3"/>
            <c:invertIfNegative val="0"/>
            <c:bubble3D val="0"/>
            <c:spPr>
              <a:blipFill>
                <a:blip xmlns:r="http://schemas.openxmlformats.org/officeDocument/2006/relationships" r:embed="rId2"/>
                <a:stretch>
                  <a:fillRect/>
                </a:stretch>
              </a:blipFill>
              <a:ln>
                <a:noFill/>
              </a:ln>
              <a:effectLst/>
            </c:spPr>
            <c:extLst>
              <c:ext xmlns:c16="http://schemas.microsoft.com/office/drawing/2014/chart" uri="{C3380CC4-5D6E-409C-BE32-E72D297353CC}">
                <c16:uniqueId val="{00000026-651D-4B4C-8C44-AAC493419FD6}"/>
              </c:ext>
            </c:extLst>
          </c:dPt>
          <c:dLbls>
            <c:dLbl>
              <c:idx val="0"/>
              <c:layout>
                <c:manualLayout>
                  <c:x val="9.6618357487922701E-3"/>
                  <c:y val="-0.23543219304944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651D-4B4C-8C44-AAC493419FD6}"/>
                </c:ext>
              </c:extLst>
            </c:dLbl>
            <c:dLbl>
              <c:idx val="1"/>
              <c:layout>
                <c:manualLayout>
                  <c:x val="-3.2206119162640902E-3"/>
                  <c:y val="-0.261217882881696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651D-4B4C-8C44-AAC493419FD6}"/>
                </c:ext>
              </c:extLst>
            </c:dLbl>
            <c:dLbl>
              <c:idx val="2"/>
              <c:layout>
                <c:manualLayout>
                  <c:x val="6.4412238325281803E-3"/>
                  <c:y val="-0.239845855388477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651D-4B4C-8C44-AAC493419FD6}"/>
                </c:ext>
              </c:extLst>
            </c:dLbl>
            <c:dLbl>
              <c:idx val="3"/>
              <c:layout>
                <c:manualLayout>
                  <c:x val="6.4412238325280624E-3"/>
                  <c:y val="-0.309101027923349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651D-4B4C-8C44-AAC493419FD6}"/>
                </c:ext>
              </c:extLst>
            </c:dLbl>
            <c:dLbl>
              <c:idx val="4"/>
              <c:layout>
                <c:manualLayout>
                  <c:x val="-5.9043869718353595E-17"/>
                  <c:y val="-0.22512978519825491"/>
                </c:manualLayout>
              </c:layout>
              <c:spPr>
                <a:noFill/>
                <a:ln>
                  <a:noFill/>
                </a:ln>
                <a:effectLst/>
              </c:spPr>
              <c:txPr>
                <a:bodyPr wrap="square" lIns="38100" tIns="19050" rIns="38100" bIns="19050" anchor="ctr">
                  <a:no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19162640901772"/>
                      <c:h val="8.1181892397229616E-2"/>
                    </c:manualLayout>
                  </c15:layout>
                </c:ext>
                <c:ext xmlns:c16="http://schemas.microsoft.com/office/drawing/2014/chart" uri="{C3380CC4-5D6E-409C-BE32-E72D297353CC}">
                  <c16:uniqueId val="{0000002A-651D-4B4C-8C44-AAC493419FD6}"/>
                </c:ext>
              </c:extLst>
            </c:dLbl>
            <c:dLbl>
              <c:idx val="5"/>
              <c:layout>
                <c:manualLayout>
                  <c:x val="3.2206119162640607E-3"/>
                  <c:y val="-0.18169997981021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651D-4B4C-8C44-AAC493419FD6}"/>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Table'!$BT$5:$BT$11</c:f>
              <c:strCache>
                <c:ptCount val="6"/>
                <c:pt idx="0">
                  <c:v>Cardiology</c:v>
                </c:pt>
                <c:pt idx="1">
                  <c:v>Emergency</c:v>
                </c:pt>
                <c:pt idx="2">
                  <c:v>Orthopedics</c:v>
                </c:pt>
                <c:pt idx="3">
                  <c:v>General</c:v>
                </c:pt>
                <c:pt idx="4">
                  <c:v>Pediatrics</c:v>
                </c:pt>
                <c:pt idx="5">
                  <c:v>Neurology</c:v>
                </c:pt>
              </c:strCache>
            </c:strRef>
          </c:cat>
          <c:val>
            <c:numRef>
              <c:f>'Pivot Table'!$BU$5:$BU$11</c:f>
              <c:numCache>
                <c:formatCode>0.0%</c:formatCode>
                <c:ptCount val="6"/>
                <c:pt idx="0">
                  <c:v>0.956932209561838</c:v>
                </c:pt>
                <c:pt idx="1">
                  <c:v>0.98700479181013245</c:v>
                </c:pt>
                <c:pt idx="2">
                  <c:v>1.0010764497617004</c:v>
                </c:pt>
                <c:pt idx="3">
                  <c:v>1.0112024886576676</c:v>
                </c:pt>
                <c:pt idx="4">
                  <c:v>1.0187716004984386</c:v>
                </c:pt>
                <c:pt idx="5">
                  <c:v>1.0431839821502178</c:v>
                </c:pt>
              </c:numCache>
            </c:numRef>
          </c:val>
          <c:extLst>
            <c:ext xmlns:c16="http://schemas.microsoft.com/office/drawing/2014/chart" uri="{C3380CC4-5D6E-409C-BE32-E72D297353CC}">
              <c16:uniqueId val="{0000002C-651D-4B4C-8C44-AAC493419FD6}"/>
            </c:ext>
          </c:extLst>
        </c:ser>
        <c:dLbls>
          <c:dLblPos val="inEnd"/>
          <c:showLegendKey val="0"/>
          <c:showVal val="1"/>
          <c:showCatName val="0"/>
          <c:showSerName val="0"/>
          <c:showPercent val="0"/>
          <c:showBubbleSize val="0"/>
        </c:dLbls>
        <c:gapWidth val="80"/>
        <c:overlap val="100"/>
        <c:axId val="2025084063"/>
        <c:axId val="2025096063"/>
      </c:barChart>
      <c:catAx>
        <c:axId val="20250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25096063"/>
        <c:crosses val="autoZero"/>
        <c:auto val="1"/>
        <c:lblAlgn val="ctr"/>
        <c:lblOffset val="100"/>
        <c:noMultiLvlLbl val="0"/>
      </c:catAx>
      <c:valAx>
        <c:axId val="2025096063"/>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25084063"/>
        <c:crosses val="autoZero"/>
        <c:crossBetween val="between"/>
        <c:majorUnit val="0.30000000000000004"/>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Table!Dep. P22</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30481837918408E-2"/>
          <c:y val="0.12179085331375379"/>
          <c:w val="0.90067204562392655"/>
          <c:h val="0.65665544218548255"/>
        </c:manualLayout>
      </c:layout>
      <c:barChart>
        <c:barDir val="col"/>
        <c:grouping val="stacked"/>
        <c:varyColors val="0"/>
        <c:ser>
          <c:idx val="0"/>
          <c:order val="0"/>
          <c:tx>
            <c:strRef>
              <c:f>'Pivot Table'!$BX$4:$BX$5</c:f>
              <c:strCache>
                <c:ptCount val="1"/>
                <c:pt idx="0">
                  <c:v>Insured</c:v>
                </c:pt>
              </c:strCache>
            </c:strRef>
          </c:tx>
          <c:spPr>
            <a:solidFill>
              <a:schemeClr val="accent2">
                <a:lumMod val="75000"/>
              </a:schemeClr>
            </a:solidFill>
            <a:ln>
              <a:noFill/>
            </a:ln>
            <a:effectLst/>
          </c:spPr>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Table'!$BW$6:$BW$12</c:f>
              <c:strCache>
                <c:ptCount val="6"/>
                <c:pt idx="0">
                  <c:v>Cardiology</c:v>
                </c:pt>
                <c:pt idx="1">
                  <c:v>Emergency</c:v>
                </c:pt>
                <c:pt idx="2">
                  <c:v>General</c:v>
                </c:pt>
                <c:pt idx="3">
                  <c:v>Neurology</c:v>
                </c:pt>
                <c:pt idx="4">
                  <c:v>Orthopedics</c:v>
                </c:pt>
                <c:pt idx="5">
                  <c:v>Pediatrics</c:v>
                </c:pt>
              </c:strCache>
            </c:strRef>
          </c:cat>
          <c:val>
            <c:numRef>
              <c:f>'Pivot Table'!$BX$6:$BX$12</c:f>
              <c:numCache>
                <c:formatCode>General</c:formatCode>
                <c:ptCount val="6"/>
                <c:pt idx="0">
                  <c:v>44</c:v>
                </c:pt>
                <c:pt idx="1">
                  <c:v>42</c:v>
                </c:pt>
                <c:pt idx="2">
                  <c:v>64</c:v>
                </c:pt>
                <c:pt idx="3">
                  <c:v>24</c:v>
                </c:pt>
                <c:pt idx="4">
                  <c:v>40</c:v>
                </c:pt>
                <c:pt idx="5">
                  <c:v>41</c:v>
                </c:pt>
              </c:numCache>
            </c:numRef>
          </c:val>
          <c:extLst>
            <c:ext xmlns:c16="http://schemas.microsoft.com/office/drawing/2014/chart" uri="{C3380CC4-5D6E-409C-BE32-E72D297353CC}">
              <c16:uniqueId val="{00000007-8C8F-4D0A-ADE3-654424D7CA4C}"/>
            </c:ext>
          </c:extLst>
        </c:ser>
        <c:ser>
          <c:idx val="1"/>
          <c:order val="1"/>
          <c:tx>
            <c:strRef>
              <c:f>'Pivot Table'!$BY$4:$BY$5</c:f>
              <c:strCache>
                <c:ptCount val="1"/>
                <c:pt idx="0">
                  <c:v>Not Insured</c:v>
                </c:pt>
              </c:strCache>
            </c:strRef>
          </c:tx>
          <c:spPr>
            <a:solidFill>
              <a:schemeClr val="accent2">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Table'!$BW$6:$BW$12</c:f>
              <c:strCache>
                <c:ptCount val="6"/>
                <c:pt idx="0">
                  <c:v>Cardiology</c:v>
                </c:pt>
                <c:pt idx="1">
                  <c:v>Emergency</c:v>
                </c:pt>
                <c:pt idx="2">
                  <c:v>General</c:v>
                </c:pt>
                <c:pt idx="3">
                  <c:v>Neurology</c:v>
                </c:pt>
                <c:pt idx="4">
                  <c:v>Orthopedics</c:v>
                </c:pt>
                <c:pt idx="5">
                  <c:v>Pediatrics</c:v>
                </c:pt>
              </c:strCache>
            </c:strRef>
          </c:cat>
          <c:val>
            <c:numRef>
              <c:f>'Pivot Table'!$BY$6:$BY$12</c:f>
              <c:numCache>
                <c:formatCode>General</c:formatCode>
                <c:ptCount val="6"/>
                <c:pt idx="0">
                  <c:v>42</c:v>
                </c:pt>
                <c:pt idx="1">
                  <c:v>52</c:v>
                </c:pt>
                <c:pt idx="2">
                  <c:v>47</c:v>
                </c:pt>
                <c:pt idx="3">
                  <c:v>27</c:v>
                </c:pt>
                <c:pt idx="4">
                  <c:v>44</c:v>
                </c:pt>
                <c:pt idx="5">
                  <c:v>33</c:v>
                </c:pt>
              </c:numCache>
            </c:numRef>
          </c:val>
          <c:extLst>
            <c:ext xmlns:c16="http://schemas.microsoft.com/office/drawing/2014/chart" uri="{C3380CC4-5D6E-409C-BE32-E72D297353CC}">
              <c16:uniqueId val="{00000000-87F7-4E0F-A734-F8231D4B1EDA}"/>
            </c:ext>
          </c:extLst>
        </c:ser>
        <c:dLbls>
          <c:dLblPos val="inEnd"/>
          <c:showLegendKey val="0"/>
          <c:showVal val="1"/>
          <c:showCatName val="0"/>
          <c:showSerName val="0"/>
          <c:showPercent val="0"/>
          <c:showBubbleSize val="0"/>
        </c:dLbls>
        <c:gapWidth val="120"/>
        <c:overlap val="100"/>
        <c:axId val="587674847"/>
        <c:axId val="587689727"/>
      </c:barChart>
      <c:catAx>
        <c:axId val="58767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7689727"/>
        <c:crosses val="autoZero"/>
        <c:auto val="1"/>
        <c:lblAlgn val="ctr"/>
        <c:lblOffset val="100"/>
        <c:noMultiLvlLbl val="0"/>
      </c:catAx>
      <c:valAx>
        <c:axId val="58768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7674847"/>
        <c:crosses val="autoZero"/>
        <c:crossBetween val="between"/>
        <c:majorUnit val="30"/>
      </c:valAx>
    </c:plotArea>
    <c:legend>
      <c:legendPos val="r"/>
      <c:layout>
        <c:manualLayout>
          <c:xMode val="edge"/>
          <c:yMode val="edge"/>
          <c:x val="0.32285849454003435"/>
          <c:y val="1.1515612272603858E-2"/>
          <c:w val="0.18989870710605619"/>
          <c:h val="0.14469554649720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[Healthcare.xlsx]Pivot Table!P.A.24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1"/>
            </a:solidFill>
            <a:round/>
          </a:ln>
          <a:effectLst>
            <a:outerShdw dist="25400" dir="2700000" algn="tl" rotWithShape="0">
              <a:schemeClr val="dk1">
                <a:tint val="88500"/>
              </a:schemeClr>
            </a:outerShdw>
          </a:effectLst>
        </c:spPr>
        <c:marker>
          <c:symbol val="circle"/>
          <c:size val="5"/>
          <c:spPr>
            <a:solidFill>
              <a:schemeClr val="bg1"/>
            </a:solidFill>
            <a:ln w="22225">
              <a:solidFill>
                <a:schemeClr val="tx1">
                  <a:lumMod val="65000"/>
                  <a:lumOff val="3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99851230524404E-2"/>
          <c:y val="5.4320987654320987E-2"/>
          <c:w val="0.93253831118306352"/>
          <c:h val="0.82768776125206567"/>
        </c:manualLayout>
      </c:layout>
      <c:lineChart>
        <c:grouping val="stacked"/>
        <c:varyColors val="0"/>
        <c:ser>
          <c:idx val="0"/>
          <c:order val="0"/>
          <c:tx>
            <c:strRef>
              <c:f>'Pivot Table'!$CJ$4</c:f>
              <c:strCache>
                <c:ptCount val="1"/>
                <c:pt idx="0">
                  <c:v>Total</c:v>
                </c:pt>
              </c:strCache>
            </c:strRef>
          </c:tx>
          <c:spPr>
            <a:ln w="19050" cap="rnd">
              <a:solidFill>
                <a:schemeClr val="tx1"/>
              </a:solidFill>
              <a:round/>
            </a:ln>
            <a:effectLst>
              <a:outerShdw dist="25400" dir="2700000" algn="tl" rotWithShape="0">
                <a:schemeClr val="dk1">
                  <a:tint val="88500"/>
                </a:schemeClr>
              </a:outerShdw>
            </a:effectLst>
          </c:spPr>
          <c:marker>
            <c:symbol val="circle"/>
            <c:size val="5"/>
            <c:spPr>
              <a:solidFill>
                <a:schemeClr val="bg1"/>
              </a:solidFill>
              <a:ln w="22225">
                <a:solidFill>
                  <a:schemeClr val="tx1">
                    <a:lumMod val="65000"/>
                    <a:lumOff val="3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Table'!$CI$5:$CI$17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Table'!$CJ$5:$CJ$17</c:f>
              <c:numCache>
                <c:formatCode>General</c:formatCode>
                <c:ptCount val="12"/>
                <c:pt idx="0">
                  <c:v>51</c:v>
                </c:pt>
                <c:pt idx="1">
                  <c:v>42</c:v>
                </c:pt>
                <c:pt idx="2">
                  <c:v>39</c:v>
                </c:pt>
                <c:pt idx="3">
                  <c:v>41</c:v>
                </c:pt>
                <c:pt idx="4">
                  <c:v>39</c:v>
                </c:pt>
                <c:pt idx="5">
                  <c:v>52</c:v>
                </c:pt>
                <c:pt idx="6">
                  <c:v>41</c:v>
                </c:pt>
                <c:pt idx="7">
                  <c:v>33</c:v>
                </c:pt>
                <c:pt idx="8">
                  <c:v>43</c:v>
                </c:pt>
                <c:pt idx="9">
                  <c:v>34</c:v>
                </c:pt>
                <c:pt idx="10">
                  <c:v>38</c:v>
                </c:pt>
                <c:pt idx="11">
                  <c:v>47</c:v>
                </c:pt>
              </c:numCache>
            </c:numRef>
          </c:val>
          <c:smooth val="0"/>
          <c:extLst>
            <c:ext xmlns:c16="http://schemas.microsoft.com/office/drawing/2014/chart" uri="{C3380CC4-5D6E-409C-BE32-E72D297353CC}">
              <c16:uniqueId val="{00000000-50DD-461D-9FFE-E4A7E96C0A1A}"/>
            </c:ext>
          </c:extLst>
        </c:ser>
        <c:dLbls>
          <c:dLblPos val="t"/>
          <c:showLegendKey val="0"/>
          <c:showVal val="1"/>
          <c:showCatName val="0"/>
          <c:showSerName val="0"/>
          <c:showPercent val="0"/>
          <c:showBubbleSize val="0"/>
        </c:dLbls>
        <c:dropLines>
          <c:spPr>
            <a:ln w="9525" cap="flat" cmpd="sng" algn="ctr">
              <a:gradFill>
                <a:gsLst>
                  <a:gs pos="0">
                    <a:schemeClr val="tx1"/>
                  </a:gs>
                  <a:gs pos="100000">
                    <a:schemeClr val="bg1"/>
                  </a:gs>
                  <a:gs pos="66000">
                    <a:srgbClr val="E8E8E8"/>
                  </a:gs>
                  <a:gs pos="74000">
                    <a:schemeClr val="bg1"/>
                  </a:gs>
                  <a:gs pos="83000">
                    <a:schemeClr val="bg1"/>
                  </a:gs>
                  <a:gs pos="76000">
                    <a:schemeClr val="bg1"/>
                  </a:gs>
                </a:gsLst>
                <a:lin ang="5400000" scaled="1"/>
              </a:gradFill>
              <a:round/>
            </a:ln>
            <a:effectLst/>
          </c:spPr>
        </c:dropLines>
        <c:marker val="1"/>
        <c:smooth val="0"/>
        <c:axId val="898059167"/>
        <c:axId val="898059647"/>
      </c:lineChart>
      <c:catAx>
        <c:axId val="898059167"/>
        <c:scaling>
          <c:orientation val="minMax"/>
        </c:scaling>
        <c:delete val="0"/>
        <c:axPos val="b"/>
        <c:numFmt formatCode="General" sourceLinked="1"/>
        <c:majorTickMark val="none"/>
        <c:minorTickMark val="none"/>
        <c:tickLblPos val="nextTo"/>
        <c:spPr>
          <a:noFill/>
          <a:ln w="12700" cap="flat" cmpd="sng" algn="ctr">
            <a:solidFill>
              <a:schemeClr val="accent1">
                <a:lumMod val="75000"/>
              </a:schemeClr>
            </a:solidFill>
            <a:round/>
          </a:ln>
          <a:effectLst/>
        </c:spPr>
        <c:txPr>
          <a:bodyPr rot="-60000000" spcFirstLastPara="1" vertOverflow="ellipsis" vert="horz" wrap="square" anchor="ctr" anchorCtr="1"/>
          <a:lstStyle/>
          <a:p>
            <a:pPr>
              <a:defRPr sz="1050" b="1" i="0" u="none" strike="noStrike" kern="1200" spc="100" baseline="0">
                <a:solidFill>
                  <a:sysClr val="windowText" lastClr="000000"/>
                </a:solidFill>
                <a:latin typeface="+mn-lt"/>
                <a:ea typeface="+mn-ea"/>
                <a:cs typeface="+mn-cs"/>
              </a:defRPr>
            </a:pPr>
            <a:endParaRPr lang="en-US"/>
          </a:p>
        </c:txPr>
        <c:crossAx val="898059647"/>
        <c:crosses val="autoZero"/>
        <c:auto val="1"/>
        <c:lblAlgn val="ctr"/>
        <c:lblOffset val="100"/>
        <c:noMultiLvlLbl val="0"/>
      </c:catAx>
      <c:valAx>
        <c:axId val="898059647"/>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8059167"/>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Table!P.A.25</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AD7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620848147548829E-2"/>
          <c:y val="4.7533061336703181E-2"/>
          <c:w val="0.93537915185245113"/>
          <c:h val="0.67049583264411095"/>
        </c:manualLayout>
      </c:layout>
      <c:bar3DChart>
        <c:barDir val="col"/>
        <c:grouping val="clustered"/>
        <c:varyColors val="0"/>
        <c:ser>
          <c:idx val="0"/>
          <c:order val="0"/>
          <c:tx>
            <c:strRef>
              <c:f>'Pivot Table'!$CM$4</c:f>
              <c:strCache>
                <c:ptCount val="1"/>
                <c:pt idx="0">
                  <c:v>Total</c:v>
                </c:pt>
              </c:strCache>
            </c:strRef>
          </c:tx>
          <c:spPr>
            <a:solidFill>
              <a:srgbClr val="99AD7A"/>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Table'!$CL$5:$CL$13</c:f>
              <c:strCache>
                <c:ptCount val="8"/>
                <c:pt idx="0">
                  <c:v>Diabetes</c:v>
                </c:pt>
                <c:pt idx="1">
                  <c:v>Migraine</c:v>
                </c:pt>
                <c:pt idx="2">
                  <c:v>Hypertension</c:v>
                </c:pt>
                <c:pt idx="3">
                  <c:v>Asthma</c:v>
                </c:pt>
                <c:pt idx="4">
                  <c:v>Flu</c:v>
                </c:pt>
                <c:pt idx="5">
                  <c:v>Skin Allergy</c:v>
                </c:pt>
                <c:pt idx="6">
                  <c:v>Fracture</c:v>
                </c:pt>
                <c:pt idx="7">
                  <c:v>COVID-19</c:v>
                </c:pt>
              </c:strCache>
            </c:strRef>
          </c:cat>
          <c:val>
            <c:numRef>
              <c:f>'Pivot Table'!$CM$5:$CM$13</c:f>
              <c:numCache>
                <c:formatCode>0</c:formatCode>
                <c:ptCount val="8"/>
                <c:pt idx="0">
                  <c:v>80.914893617021278</c:v>
                </c:pt>
                <c:pt idx="1">
                  <c:v>79.718309859154928</c:v>
                </c:pt>
                <c:pt idx="2">
                  <c:v>79.297872340425528</c:v>
                </c:pt>
                <c:pt idx="3">
                  <c:v>78.574074074074076</c:v>
                </c:pt>
                <c:pt idx="4">
                  <c:v>73.92307692307692</c:v>
                </c:pt>
                <c:pt idx="5">
                  <c:v>73.603174603174608</c:v>
                </c:pt>
                <c:pt idx="6">
                  <c:v>73.367647058823536</c:v>
                </c:pt>
                <c:pt idx="7">
                  <c:v>72.275510204081627</c:v>
                </c:pt>
              </c:numCache>
            </c:numRef>
          </c:val>
          <c:extLst>
            <c:ext xmlns:c16="http://schemas.microsoft.com/office/drawing/2014/chart" uri="{C3380CC4-5D6E-409C-BE32-E72D297353CC}">
              <c16:uniqueId val="{00000000-C88D-4113-95F9-58D125B2A4EE}"/>
            </c:ext>
          </c:extLst>
        </c:ser>
        <c:dLbls>
          <c:showLegendKey val="0"/>
          <c:showVal val="1"/>
          <c:showCatName val="0"/>
          <c:showSerName val="0"/>
          <c:showPercent val="0"/>
          <c:showBubbleSize val="0"/>
        </c:dLbls>
        <c:gapWidth val="179"/>
        <c:gapDepth val="0"/>
        <c:shape val="box"/>
        <c:axId val="519747103"/>
        <c:axId val="519749023"/>
        <c:axId val="0"/>
      </c:bar3DChart>
      <c:catAx>
        <c:axId val="519747103"/>
        <c:scaling>
          <c:orientation val="minMax"/>
        </c:scaling>
        <c:delete val="0"/>
        <c:axPos val="b"/>
        <c:numFmt formatCode="General" sourceLinked="1"/>
        <c:majorTickMark val="none"/>
        <c:minorTickMark val="none"/>
        <c:tickLblPos val="nextTo"/>
        <c:spPr>
          <a:noFill/>
          <a:ln>
            <a:solidFill>
              <a:schemeClr val="bg2">
                <a:lumMod val="75000"/>
              </a:schemeClr>
            </a:solid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19749023"/>
        <c:crosses val="autoZero"/>
        <c:auto val="1"/>
        <c:lblAlgn val="ctr"/>
        <c:lblOffset val="100"/>
        <c:noMultiLvlLbl val="0"/>
      </c:catAx>
      <c:valAx>
        <c:axId val="519749023"/>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19747103"/>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Table!P.A.26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C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CC9A7"/>
          </a:solidFill>
          <a:ln>
            <a:noFill/>
          </a:ln>
          <a:effectLst/>
        </c:spPr>
        <c:dLbl>
          <c:idx val="0"/>
          <c:layout>
            <c:manualLayout>
              <c:x val="0.281599523051308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CC9A7"/>
          </a:solidFill>
          <a:ln>
            <a:noFill/>
          </a:ln>
          <a:effectLst/>
        </c:spPr>
        <c:dLbl>
          <c:idx val="0"/>
          <c:layout>
            <c:manualLayout>
              <c:x val="0.33162636686762931"/>
              <c:y val="-6.75675795501843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CC9A7"/>
          </a:solidFill>
          <a:ln>
            <a:noFill/>
          </a:ln>
          <a:effectLst/>
        </c:spPr>
        <c:dLbl>
          <c:idx val="0"/>
          <c:layout>
            <c:manualLayout>
              <c:x val="0.33162636686762931"/>
              <c:y val="-6.75675795501843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CC9A7"/>
          </a:solidFill>
          <a:ln>
            <a:noFill/>
          </a:ln>
          <a:effectLst/>
        </c:spPr>
        <c:dLbl>
          <c:idx val="0"/>
          <c:layout>
            <c:manualLayout>
              <c:x val="0.29974974734806348"/>
              <c:y val="2.25225265167281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CC9A7"/>
          </a:solidFill>
          <a:ln>
            <a:noFill/>
          </a:ln>
          <a:effectLst/>
        </c:spPr>
        <c:dLbl>
          <c:idx val="0"/>
          <c:layout>
            <c:manualLayout>
              <c:x val="0.281599523051308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CC9A7"/>
          </a:solidFill>
          <a:ln>
            <a:noFill/>
          </a:ln>
          <a:effectLst/>
        </c:spPr>
        <c:dLbl>
          <c:idx val="0"/>
          <c:layout>
            <c:manualLayout>
              <c:x val="0.29344297336794117"/>
              <c:y val="-8.25816432378134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CC9A7"/>
          </a:solidFill>
          <a:ln>
            <a:noFill/>
          </a:ln>
          <a:effectLst/>
        </c:spPr>
        <c:dLbl>
          <c:idx val="0"/>
          <c:layout>
            <c:manualLayout>
              <c:x val="0.29974974734806348"/>
              <c:y val="2.25225265167281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CC9A7"/>
          </a:solidFill>
          <a:ln>
            <a:noFill/>
          </a:ln>
          <a:effectLst/>
        </c:spPr>
        <c:dLbl>
          <c:idx val="0"/>
          <c:layout>
            <c:manualLayout>
              <c:x val="0.33162636686762931"/>
              <c:y val="-6.75675795501843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58599981096547"/>
          <c:y val="1.126126325836406E-2"/>
          <c:w val="0.63842326288161344"/>
          <c:h val="0.94342731493000553"/>
        </c:manualLayout>
      </c:layout>
      <c:barChart>
        <c:barDir val="bar"/>
        <c:grouping val="stacked"/>
        <c:varyColors val="0"/>
        <c:ser>
          <c:idx val="0"/>
          <c:order val="0"/>
          <c:tx>
            <c:strRef>
              <c:f>'Pivot Table'!$CQ$4</c:f>
              <c:strCache>
                <c:ptCount val="1"/>
                <c:pt idx="0">
                  <c:v>Total</c:v>
                </c:pt>
              </c:strCache>
            </c:strRef>
          </c:tx>
          <c:spPr>
            <a:solidFill>
              <a:srgbClr val="BCC9A7"/>
            </a:solidFill>
            <a:ln>
              <a:noFill/>
            </a:ln>
            <a:effectLst/>
          </c:spPr>
          <c:invertIfNegative val="0"/>
          <c:dPt>
            <c:idx val="0"/>
            <c:invertIfNegative val="0"/>
            <c:bubble3D val="0"/>
            <c:extLst>
              <c:ext xmlns:c16="http://schemas.microsoft.com/office/drawing/2014/chart" uri="{C3380CC4-5D6E-409C-BE32-E72D297353CC}">
                <c16:uniqueId val="{00000008-97C8-4287-9335-C80FFC746A67}"/>
              </c:ext>
            </c:extLst>
          </c:dPt>
          <c:dPt>
            <c:idx val="1"/>
            <c:invertIfNegative val="0"/>
            <c:bubble3D val="0"/>
            <c:extLst>
              <c:ext xmlns:c16="http://schemas.microsoft.com/office/drawing/2014/chart" uri="{C3380CC4-5D6E-409C-BE32-E72D297353CC}">
                <c16:uniqueId val="{00000007-97C8-4287-9335-C80FFC746A67}"/>
              </c:ext>
            </c:extLst>
          </c:dPt>
          <c:dPt>
            <c:idx val="2"/>
            <c:invertIfNegative val="0"/>
            <c:bubble3D val="0"/>
            <c:extLst>
              <c:ext xmlns:c16="http://schemas.microsoft.com/office/drawing/2014/chart" uri="{C3380CC4-5D6E-409C-BE32-E72D297353CC}">
                <c16:uniqueId val="{00000006-97C8-4287-9335-C80FFC746A67}"/>
              </c:ext>
            </c:extLst>
          </c:dPt>
          <c:dPt>
            <c:idx val="3"/>
            <c:invertIfNegative val="0"/>
            <c:bubble3D val="0"/>
            <c:extLst>
              <c:ext xmlns:c16="http://schemas.microsoft.com/office/drawing/2014/chart" uri="{C3380CC4-5D6E-409C-BE32-E72D297353CC}">
                <c16:uniqueId val="{00000005-97C8-4287-9335-C80FFC746A67}"/>
              </c:ext>
            </c:extLst>
          </c:dPt>
          <c:dPt>
            <c:idx val="4"/>
            <c:invertIfNegative val="0"/>
            <c:bubble3D val="0"/>
            <c:extLst>
              <c:ext xmlns:c16="http://schemas.microsoft.com/office/drawing/2014/chart" uri="{C3380CC4-5D6E-409C-BE32-E72D297353CC}">
                <c16:uniqueId val="{00000004-97C8-4287-9335-C80FFC746A67}"/>
              </c:ext>
            </c:extLst>
          </c:dPt>
          <c:dPt>
            <c:idx val="5"/>
            <c:invertIfNegative val="0"/>
            <c:bubble3D val="0"/>
            <c:extLst>
              <c:ext xmlns:c16="http://schemas.microsoft.com/office/drawing/2014/chart" uri="{C3380CC4-5D6E-409C-BE32-E72D297353CC}">
                <c16:uniqueId val="{00000003-97C8-4287-9335-C80FFC746A67}"/>
              </c:ext>
            </c:extLst>
          </c:dPt>
          <c:dPt>
            <c:idx val="6"/>
            <c:invertIfNegative val="0"/>
            <c:bubble3D val="0"/>
            <c:spPr>
              <a:solidFill>
                <a:srgbClr val="BCC9A7"/>
              </a:solidFill>
              <a:ln>
                <a:noFill/>
              </a:ln>
              <a:effectLst/>
            </c:spPr>
            <c:extLst>
              <c:ext xmlns:c16="http://schemas.microsoft.com/office/drawing/2014/chart" uri="{C3380CC4-5D6E-409C-BE32-E72D297353CC}">
                <c16:uniqueId val="{00000002-97C8-4287-9335-C80FFC746A67}"/>
              </c:ext>
            </c:extLst>
          </c:dPt>
          <c:dPt>
            <c:idx val="7"/>
            <c:invertIfNegative val="0"/>
            <c:bubble3D val="0"/>
            <c:extLst>
              <c:ext xmlns:c16="http://schemas.microsoft.com/office/drawing/2014/chart" uri="{C3380CC4-5D6E-409C-BE32-E72D297353CC}">
                <c16:uniqueId val="{00000001-97C8-4287-9335-C80FFC746A67}"/>
              </c:ext>
            </c:extLst>
          </c:dPt>
          <c:dLbls>
            <c:dLbl>
              <c:idx val="0"/>
              <c:layout>
                <c:manualLayout>
                  <c:x val="0.33162636686762931"/>
                  <c:y val="-6.756757955018435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C8-4287-9335-C80FFC746A67}"/>
                </c:ext>
              </c:extLst>
            </c:dLbl>
            <c:dLbl>
              <c:idx val="1"/>
              <c:layout>
                <c:manualLayout>
                  <c:x val="0.29974974734806348"/>
                  <c:y val="2.252252651672811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C8-4287-9335-C80FFC746A67}"/>
                </c:ext>
              </c:extLst>
            </c:dLbl>
            <c:dLbl>
              <c:idx val="2"/>
              <c:layout>
                <c:manualLayout>
                  <c:x val="0.29344297336794117"/>
                  <c:y val="-8.258164323781344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C8-4287-9335-C80FFC746A67}"/>
                </c:ext>
              </c:extLst>
            </c:dLbl>
            <c:dLbl>
              <c:idx val="3"/>
              <c:layout>
                <c:manualLayout>
                  <c:x val="0.281599523051308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C8-4287-9335-C80FFC746A67}"/>
                </c:ext>
              </c:extLst>
            </c:dLbl>
            <c:dLbl>
              <c:idx val="4"/>
              <c:layout>
                <c:manualLayout>
                  <c:x val="0.29974974734806348"/>
                  <c:y val="2.252252651672811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C8-4287-9335-C80FFC746A67}"/>
                </c:ext>
              </c:extLst>
            </c:dLbl>
            <c:dLbl>
              <c:idx val="5"/>
              <c:layout>
                <c:manualLayout>
                  <c:x val="0.33162636686762931"/>
                  <c:y val="-6.756757955018435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C8-4287-9335-C80FFC746A67}"/>
                </c:ext>
              </c:extLst>
            </c:dLbl>
            <c:dLbl>
              <c:idx val="6"/>
              <c:layout>
                <c:manualLayout>
                  <c:x val="0.33162636686762931"/>
                  <c:y val="-6.756757955018435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C8-4287-9335-C80FFC746A67}"/>
                </c:ext>
              </c:extLst>
            </c:dLbl>
            <c:dLbl>
              <c:idx val="7"/>
              <c:layout>
                <c:manualLayout>
                  <c:x val="0.281599523051308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C8-4287-9335-C80FFC746A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Table'!$CP$5:$CP$13</c:f>
              <c:strCache>
                <c:ptCount val="8"/>
                <c:pt idx="0">
                  <c:v>COVID-19</c:v>
                </c:pt>
                <c:pt idx="1">
                  <c:v>Fracture</c:v>
                </c:pt>
                <c:pt idx="2">
                  <c:v>Migraine</c:v>
                </c:pt>
                <c:pt idx="3">
                  <c:v>Skin Allergy</c:v>
                </c:pt>
                <c:pt idx="4">
                  <c:v>Hypertension</c:v>
                </c:pt>
                <c:pt idx="5">
                  <c:v>Asthma</c:v>
                </c:pt>
                <c:pt idx="6">
                  <c:v>Flu</c:v>
                </c:pt>
                <c:pt idx="7">
                  <c:v>Diabetes</c:v>
                </c:pt>
              </c:strCache>
            </c:strRef>
          </c:cat>
          <c:val>
            <c:numRef>
              <c:f>'Pivot Table'!$CQ$5:$CQ$13</c:f>
              <c:numCache>
                <c:formatCode>"₹"\ #,##0</c:formatCode>
                <c:ptCount val="8"/>
                <c:pt idx="0">
                  <c:v>686787</c:v>
                </c:pt>
                <c:pt idx="1">
                  <c:v>483251</c:v>
                </c:pt>
                <c:pt idx="2">
                  <c:v>477178</c:v>
                </c:pt>
                <c:pt idx="3">
                  <c:v>458237</c:v>
                </c:pt>
                <c:pt idx="4">
                  <c:v>338980</c:v>
                </c:pt>
                <c:pt idx="5">
                  <c:v>324608</c:v>
                </c:pt>
                <c:pt idx="6">
                  <c:v>323616</c:v>
                </c:pt>
                <c:pt idx="7">
                  <c:v>298076</c:v>
                </c:pt>
              </c:numCache>
            </c:numRef>
          </c:val>
          <c:extLst>
            <c:ext xmlns:c16="http://schemas.microsoft.com/office/drawing/2014/chart" uri="{C3380CC4-5D6E-409C-BE32-E72D297353CC}">
              <c16:uniqueId val="{00000000-97C8-4287-9335-C80FFC746A67}"/>
            </c:ext>
          </c:extLst>
        </c:ser>
        <c:dLbls>
          <c:dLblPos val="inEnd"/>
          <c:showLegendKey val="0"/>
          <c:showVal val="1"/>
          <c:showCatName val="0"/>
          <c:showSerName val="0"/>
          <c:showPercent val="0"/>
          <c:showBubbleSize val="0"/>
        </c:dLbls>
        <c:gapWidth val="120"/>
        <c:overlap val="100"/>
        <c:axId val="527173951"/>
        <c:axId val="527172991"/>
      </c:barChart>
      <c:catAx>
        <c:axId val="52717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527172991"/>
        <c:crosses val="autoZero"/>
        <c:auto val="1"/>
        <c:lblAlgn val="ctr"/>
        <c:lblOffset val="100"/>
        <c:noMultiLvlLbl val="0"/>
      </c:catAx>
      <c:valAx>
        <c:axId val="527172991"/>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7173951"/>
        <c:crosses val="autoZero"/>
        <c:crossBetween val="between"/>
        <c:majorUnit val="2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Table!P.A.27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85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2"/>
          </a:solidFill>
          <a:ln w="28575">
            <a:solidFill>
              <a:schemeClr val="lt1"/>
            </a:solidFill>
          </a:ln>
          <a:effectLst/>
        </c:spPr>
        <c:dLbl>
          <c:idx val="0"/>
          <c:layout>
            <c:manualLayout>
              <c:x val="0.13071895424836602"/>
              <c:y val="-5.7084607543323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99AD7A"/>
          </a:solidFill>
          <a:ln w="28575">
            <a:solidFill>
              <a:schemeClr val="lt1"/>
            </a:solidFill>
          </a:ln>
          <a:effectLst/>
        </c:spPr>
        <c:dLbl>
          <c:idx val="0"/>
          <c:layout>
            <c:manualLayout>
              <c:x val="7.5117370892018781E-2"/>
              <c:y val="9.74529346622369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BCC9A7"/>
          </a:solidFill>
          <a:ln w="28575">
            <a:solidFill>
              <a:schemeClr val="lt1"/>
            </a:solidFill>
          </a:ln>
          <a:effectLst/>
        </c:spPr>
        <c:dLbl>
          <c:idx val="0"/>
          <c:layout>
            <c:manualLayout>
              <c:x val="-0.12676056338028169"/>
              <c:y val="6.11620795107033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2">
              <a:lumMod val="75000"/>
            </a:schemeClr>
          </a:solidFill>
          <a:ln w="28575">
            <a:solidFill>
              <a:schemeClr val="lt1"/>
            </a:solidFill>
          </a:ln>
          <a:effectLst/>
        </c:spPr>
        <c:dLbl>
          <c:idx val="0"/>
          <c:layout>
            <c:manualLayout>
              <c:x val="-9.150326797385620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2">
              <a:lumMod val="60000"/>
              <a:lumOff val="40000"/>
            </a:schemeClr>
          </a:solidFill>
          <a:ln w="28575">
            <a:solidFill>
              <a:schemeClr val="lt1"/>
            </a:solidFill>
          </a:ln>
          <a:effectLst/>
        </c:spPr>
        <c:dLbl>
          <c:idx val="0"/>
          <c:layout>
            <c:manualLayout>
              <c:x val="-0.10893246187363835"/>
              <c:y val="-7.33944954128440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4406086494090201"/>
          <c:y val="0.11045563124834115"/>
          <c:w val="0.75403015799495654"/>
          <c:h val="0.8641693945560176"/>
        </c:manualLayout>
      </c:layout>
      <c:doughnutChart>
        <c:varyColors val="1"/>
        <c:ser>
          <c:idx val="0"/>
          <c:order val="0"/>
          <c:tx>
            <c:strRef>
              <c:f>'Pivot Table'!$CT$4</c:f>
              <c:strCache>
                <c:ptCount val="1"/>
                <c:pt idx="0">
                  <c:v>Total</c:v>
                </c:pt>
              </c:strCache>
            </c:strRef>
          </c:tx>
          <c:spPr>
            <a:ln w="28575"/>
          </c:spPr>
          <c:dPt>
            <c:idx val="0"/>
            <c:bubble3D val="0"/>
            <c:spPr>
              <a:solidFill>
                <a:schemeClr val="accent2"/>
              </a:solidFill>
              <a:ln w="28575">
                <a:solidFill>
                  <a:schemeClr val="lt1"/>
                </a:solidFill>
              </a:ln>
              <a:effectLst/>
            </c:spPr>
            <c:extLst>
              <c:ext xmlns:c16="http://schemas.microsoft.com/office/drawing/2014/chart" uri="{C3380CC4-5D6E-409C-BE32-E72D297353CC}">
                <c16:uniqueId val="{00000001-8892-420F-92E2-925E472FFD5C}"/>
              </c:ext>
            </c:extLst>
          </c:dPt>
          <c:dPt>
            <c:idx val="1"/>
            <c:bubble3D val="0"/>
            <c:spPr>
              <a:solidFill>
                <a:srgbClr val="99AD7A"/>
              </a:solidFill>
              <a:ln w="28575">
                <a:solidFill>
                  <a:schemeClr val="lt1"/>
                </a:solidFill>
              </a:ln>
              <a:effectLst/>
            </c:spPr>
            <c:extLst>
              <c:ext xmlns:c16="http://schemas.microsoft.com/office/drawing/2014/chart" uri="{C3380CC4-5D6E-409C-BE32-E72D297353CC}">
                <c16:uniqueId val="{00000003-8892-420F-92E2-925E472FFD5C}"/>
              </c:ext>
            </c:extLst>
          </c:dPt>
          <c:dPt>
            <c:idx val="2"/>
            <c:bubble3D val="0"/>
            <c:spPr>
              <a:solidFill>
                <a:srgbClr val="BCC9A7"/>
              </a:solidFill>
              <a:ln w="28575">
                <a:solidFill>
                  <a:schemeClr val="lt1"/>
                </a:solidFill>
              </a:ln>
              <a:effectLst/>
            </c:spPr>
            <c:extLst>
              <c:ext xmlns:c16="http://schemas.microsoft.com/office/drawing/2014/chart" uri="{C3380CC4-5D6E-409C-BE32-E72D297353CC}">
                <c16:uniqueId val="{00000005-8892-420F-92E2-925E472FFD5C}"/>
              </c:ext>
            </c:extLst>
          </c:dPt>
          <c:dPt>
            <c:idx val="3"/>
            <c:bubble3D val="0"/>
            <c:spPr>
              <a:solidFill>
                <a:schemeClr val="accent2">
                  <a:lumMod val="75000"/>
                </a:schemeClr>
              </a:solidFill>
              <a:ln w="28575">
                <a:solidFill>
                  <a:schemeClr val="lt1"/>
                </a:solidFill>
              </a:ln>
              <a:effectLst/>
            </c:spPr>
            <c:extLst>
              <c:ext xmlns:c16="http://schemas.microsoft.com/office/drawing/2014/chart" uri="{C3380CC4-5D6E-409C-BE32-E72D297353CC}">
                <c16:uniqueId val="{00000007-8892-420F-92E2-925E472FFD5C}"/>
              </c:ext>
            </c:extLst>
          </c:dPt>
          <c:dPt>
            <c:idx val="4"/>
            <c:bubble3D val="0"/>
            <c:spPr>
              <a:solidFill>
                <a:schemeClr val="accent2">
                  <a:lumMod val="60000"/>
                  <a:lumOff val="40000"/>
                </a:schemeClr>
              </a:solidFill>
              <a:ln w="28575">
                <a:solidFill>
                  <a:schemeClr val="lt1"/>
                </a:solidFill>
              </a:ln>
              <a:effectLst/>
            </c:spPr>
            <c:extLst>
              <c:ext xmlns:c16="http://schemas.microsoft.com/office/drawing/2014/chart" uri="{C3380CC4-5D6E-409C-BE32-E72D297353CC}">
                <c16:uniqueId val="{00000009-8892-420F-92E2-925E472FFD5C}"/>
              </c:ext>
            </c:extLst>
          </c:dPt>
          <c:dLbls>
            <c:dLbl>
              <c:idx val="0"/>
              <c:layout>
                <c:manualLayout>
                  <c:x val="0.13071895424836602"/>
                  <c:y val="-5.708460754332313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892-420F-92E2-925E472FFD5C}"/>
                </c:ext>
              </c:extLst>
            </c:dLbl>
            <c:dLbl>
              <c:idx val="1"/>
              <c:layout>
                <c:manualLayout>
                  <c:x val="7.5117370892018781E-2"/>
                  <c:y val="9.745293466223699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892-420F-92E2-925E472FFD5C}"/>
                </c:ext>
              </c:extLst>
            </c:dLbl>
            <c:dLbl>
              <c:idx val="2"/>
              <c:layout>
                <c:manualLayout>
                  <c:x val="-0.12676056338028169"/>
                  <c:y val="6.116207951070336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892-420F-92E2-925E472FFD5C}"/>
                </c:ext>
              </c:extLst>
            </c:dLbl>
            <c:dLbl>
              <c:idx val="3"/>
              <c:layout>
                <c:manualLayout>
                  <c:x val="-9.1503267973856203E-2"/>
                  <c:y val="0"/>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892-420F-92E2-925E472FFD5C}"/>
                </c:ext>
              </c:extLst>
            </c:dLbl>
            <c:dLbl>
              <c:idx val="4"/>
              <c:layout>
                <c:manualLayout>
                  <c:x val="-0.10893246187363835"/>
                  <c:y val="-7.339449541284405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8892-420F-92E2-925E472FFD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Table'!$CS$5:$CS$10</c:f>
              <c:strCache>
                <c:ptCount val="5"/>
                <c:pt idx="0">
                  <c:v>1</c:v>
                </c:pt>
                <c:pt idx="1">
                  <c:v>2</c:v>
                </c:pt>
                <c:pt idx="2">
                  <c:v>3</c:v>
                </c:pt>
                <c:pt idx="3">
                  <c:v>4</c:v>
                </c:pt>
                <c:pt idx="4">
                  <c:v>5</c:v>
                </c:pt>
              </c:strCache>
            </c:strRef>
          </c:cat>
          <c:val>
            <c:numRef>
              <c:f>'Pivot Table'!$CT$5:$CT$10</c:f>
              <c:numCache>
                <c:formatCode>0%</c:formatCode>
                <c:ptCount val="5"/>
                <c:pt idx="0">
                  <c:v>0.19400000000000001</c:v>
                </c:pt>
                <c:pt idx="1">
                  <c:v>0.22</c:v>
                </c:pt>
                <c:pt idx="2">
                  <c:v>0.222</c:v>
                </c:pt>
                <c:pt idx="3">
                  <c:v>0.20599999999999999</c:v>
                </c:pt>
                <c:pt idx="4">
                  <c:v>0.158</c:v>
                </c:pt>
              </c:numCache>
            </c:numRef>
          </c:val>
          <c:extLst>
            <c:ext xmlns:c16="http://schemas.microsoft.com/office/drawing/2014/chart" uri="{C3380CC4-5D6E-409C-BE32-E72D297353CC}">
              <c16:uniqueId val="{0000000A-8892-420F-92E2-925E472FFD5C}"/>
            </c:ext>
          </c:extLst>
        </c:ser>
        <c:dLbls>
          <c:showLegendKey val="0"/>
          <c:showVal val="1"/>
          <c:showCatName val="0"/>
          <c:showSerName val="0"/>
          <c:showPercent val="0"/>
          <c:showBubbleSize val="0"/>
          <c:showLeaderLines val="1"/>
        </c:dLbls>
        <c:firstSliceAng val="0"/>
        <c:holeSize val="76"/>
      </c:doughnutChart>
      <c:spPr>
        <a:noFill/>
        <a:ln>
          <a:noFill/>
        </a:ln>
        <a:effectLst/>
      </c:spPr>
    </c:plotArea>
    <c:legend>
      <c:legendPos val="r"/>
      <c:layout>
        <c:manualLayout>
          <c:xMode val="edge"/>
          <c:yMode val="edge"/>
          <c:x val="0.24976755356560826"/>
          <c:y val="2.3948795874199933E-2"/>
          <c:w val="0.57956119921629512"/>
          <c:h val="0.1168353955755530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8101653-EC1B-4D23-BB65-3523B45989C0}">
          <cx:dataPt idx="0">
            <cx:spPr>
              <a:solidFill>
                <a:srgbClr val="99AD7A"/>
              </a:solidFill>
            </cx:spPr>
          </cx:dataPt>
          <cx:dataPt idx="1">
            <cx:spPr>
              <a:solidFill>
                <a:srgbClr val="BCC9A7"/>
              </a:solidFill>
            </cx:spPr>
          </cx:dataPt>
          <cx:dataPt idx="2">
            <cx:spPr>
              <a:solidFill>
                <a:srgbClr val="E97132">
                  <a:lumMod val="60000"/>
                  <a:lumOff val="40000"/>
                </a:srgbClr>
              </a:solidFill>
            </cx:spPr>
          </cx:dataPt>
          <cx:dataPt idx="3">
            <cx:spPr>
              <a:solidFill>
                <a:srgbClr val="E97132"/>
              </a:solidFill>
            </cx:spPr>
          </cx:dataPt>
          <cx:dataPt idx="4">
            <cx:spPr>
              <a:solidFill>
                <a:srgbClr val="E97132">
                  <a:lumMod val="75000"/>
                </a:srgbClr>
              </a:solidFill>
            </cx:spPr>
          </cx:dataPt>
          <cx:dataPt idx="5">
            <cx:spPr>
              <a:solidFill>
                <a:srgbClr val="156082">
                  <a:lumMod val="40000"/>
                  <a:lumOff val="60000"/>
                </a:srgbClr>
              </a:solidFill>
            </cx:spPr>
          </cx:dataPt>
          <cx:dataPt idx="6">
            <cx:spPr>
              <a:solidFill>
                <a:srgbClr val="E8E8E8">
                  <a:lumMod val="75000"/>
                </a:srgbClr>
              </a:solidFill>
            </cx:spPr>
          </cx:dataPt>
          <cx:dataPt idx="7">
            <cx:spPr>
              <a:solidFill>
                <a:srgbClr val="0E2841">
                  <a:lumMod val="75000"/>
                  <a:lumOff val="25000"/>
                </a:srgbClr>
              </a:solidFill>
            </cx:spPr>
          </cx:dataPt>
          <cx:dataLabels pos="inEnd">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Doctor Performance'!A1"/><Relationship Id="rId3" Type="http://schemas.openxmlformats.org/officeDocument/2006/relationships/chart" Target="../charts/chart3.xml"/><Relationship Id="rId7" Type="http://schemas.openxmlformats.org/officeDocument/2006/relationships/hyperlink" Target="#'Financial 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Overview!A1"/><Relationship Id="rId5" Type="http://schemas.openxmlformats.org/officeDocument/2006/relationships/chart" Target="../charts/chart5.xml"/><Relationship Id="rId10" Type="http://schemas.openxmlformats.org/officeDocument/2006/relationships/hyperlink" Target="#'Department Performance'!A1"/><Relationship Id="rId4" Type="http://schemas.openxmlformats.org/officeDocument/2006/relationships/chart" Target="../charts/chart4.xml"/><Relationship Id="rId9" Type="http://schemas.openxmlformats.org/officeDocument/2006/relationships/hyperlink" Target="#'Patient Analysis'!A1"/></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hyperlink" Target="#'Department Performance'!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octor Performance'!A1"/><Relationship Id="rId5" Type="http://schemas.openxmlformats.org/officeDocument/2006/relationships/hyperlink" Target="#'Financial Analysis'!A1"/><Relationship Id="rId4" Type="http://schemas.openxmlformats.org/officeDocument/2006/relationships/hyperlink" Target="#Overview!A1"/></Relationships>
</file>

<file path=xl/drawings/_rels/drawing4.xml.rels><?xml version="1.0" encoding="UTF-8" standalone="yes"?>
<Relationships xmlns="http://schemas.openxmlformats.org/package/2006/relationships"><Relationship Id="rId3" Type="http://schemas.openxmlformats.org/officeDocument/2006/relationships/hyperlink" Target="#Overview!A1"/><Relationship Id="rId7" Type="http://schemas.openxmlformats.org/officeDocument/2006/relationships/hyperlink" Target="#'Department Performance'!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hyperlink" Target="#'Patient Analysis'!A1"/><Relationship Id="rId5" Type="http://schemas.openxmlformats.org/officeDocument/2006/relationships/hyperlink" Target="#'Doctor Performance'!A1"/><Relationship Id="rId4" Type="http://schemas.openxmlformats.org/officeDocument/2006/relationships/hyperlink" Target="#'Financial Analysis'!A1"/></Relationships>
</file>

<file path=xl/drawings/_rels/drawing5.xml.rels><?xml version="1.0" encoding="UTF-8" standalone="yes"?>
<Relationships xmlns="http://schemas.openxmlformats.org/package/2006/relationships"><Relationship Id="rId8" Type="http://schemas.openxmlformats.org/officeDocument/2006/relationships/hyperlink" Target="#'Patient Analysis'!A1"/><Relationship Id="rId3" Type="http://schemas.openxmlformats.org/officeDocument/2006/relationships/chart" Target="../charts/chart13.xml"/><Relationship Id="rId7" Type="http://schemas.openxmlformats.org/officeDocument/2006/relationships/hyperlink" Target="#'Doctor Performance'!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Financial Analysis'!A1"/><Relationship Id="rId5" Type="http://schemas.openxmlformats.org/officeDocument/2006/relationships/hyperlink" Target="#Overview!A1"/><Relationship Id="rId4" Type="http://schemas.openxmlformats.org/officeDocument/2006/relationships/chart" Target="../charts/chart14.xml"/><Relationship Id="rId9" Type="http://schemas.openxmlformats.org/officeDocument/2006/relationships/hyperlink" Target="#'Department Performance'!A1"/></Relationships>
</file>

<file path=xl/drawings/_rels/drawing6.xml.rels><?xml version="1.0" encoding="UTF-8" standalone="yes"?>
<Relationships xmlns="http://schemas.openxmlformats.org/package/2006/relationships"><Relationship Id="rId8" Type="http://schemas.openxmlformats.org/officeDocument/2006/relationships/hyperlink" Target="#'Doctor Performance'!A1"/><Relationship Id="rId3" Type="http://schemas.openxmlformats.org/officeDocument/2006/relationships/chart" Target="../charts/chart16.xml"/><Relationship Id="rId7" Type="http://schemas.openxmlformats.org/officeDocument/2006/relationships/hyperlink" Target="#'Financial Analysis'!A1"/><Relationship Id="rId2" Type="http://schemas.openxmlformats.org/officeDocument/2006/relationships/chart" Target="../charts/chart15.xml"/><Relationship Id="rId1" Type="http://schemas.microsoft.com/office/2014/relationships/chartEx" Target="../charts/chartEx1.xml"/><Relationship Id="rId6" Type="http://schemas.openxmlformats.org/officeDocument/2006/relationships/hyperlink" Target="#Overview!A1"/><Relationship Id="rId5" Type="http://schemas.openxmlformats.org/officeDocument/2006/relationships/chart" Target="../charts/chart18.xml"/><Relationship Id="rId10" Type="http://schemas.openxmlformats.org/officeDocument/2006/relationships/hyperlink" Target="#'Department Performance'!A1"/><Relationship Id="rId4" Type="http://schemas.openxmlformats.org/officeDocument/2006/relationships/chart" Target="../charts/chart17.xml"/><Relationship Id="rId9" Type="http://schemas.openxmlformats.org/officeDocument/2006/relationships/hyperlink" Target="#'Patient Analysis'!A1"/></Relationships>
</file>

<file path=xl/drawings/drawing1.xml><?xml version="1.0" encoding="utf-8"?>
<xdr:wsDr xmlns:xdr="http://schemas.openxmlformats.org/drawingml/2006/spreadsheetDrawing" xmlns:a="http://schemas.openxmlformats.org/drawingml/2006/main">
  <xdr:twoCellAnchor>
    <xdr:from>
      <xdr:col>0</xdr:col>
      <xdr:colOff>8760</xdr:colOff>
      <xdr:row>0</xdr:row>
      <xdr:rowOff>0</xdr:rowOff>
    </xdr:from>
    <xdr:to>
      <xdr:col>0</xdr:col>
      <xdr:colOff>224760</xdr:colOff>
      <xdr:row>32</xdr:row>
      <xdr:rowOff>15840</xdr:rowOff>
    </xdr:to>
    <xdr:sp macro="" textlink="">
      <xdr:nvSpPr>
        <xdr:cNvPr id="3" name="Rectangle 2">
          <a:extLst>
            <a:ext uri="{FF2B5EF4-FFF2-40B4-BE49-F238E27FC236}">
              <a16:creationId xmlns:a16="http://schemas.microsoft.com/office/drawing/2014/main" id="{9FAE621E-EA1B-4460-A13D-3CBD0871C60E}"/>
            </a:ext>
          </a:extLst>
        </xdr:cNvPr>
        <xdr:cNvSpPr/>
      </xdr:nvSpPr>
      <xdr:spPr>
        <a:xfrm rot="16200000">
          <a:off x="-2817240" y="2826000"/>
          <a:ext cx="5868000" cy="216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b="1"/>
            <a:t>Overview</a:t>
          </a:r>
        </a:p>
      </xdr:txBody>
    </xdr:sp>
    <xdr:clientData/>
  </xdr:twoCellAnchor>
  <xdr:twoCellAnchor>
    <xdr:from>
      <xdr:col>31</xdr:col>
      <xdr:colOff>213360</xdr:colOff>
      <xdr:row>0</xdr:row>
      <xdr:rowOff>60960</xdr:rowOff>
    </xdr:from>
    <xdr:to>
      <xdr:col>31</xdr:col>
      <xdr:colOff>429360</xdr:colOff>
      <xdr:row>32</xdr:row>
      <xdr:rowOff>76800</xdr:rowOff>
    </xdr:to>
    <xdr:sp macro="" textlink="">
      <xdr:nvSpPr>
        <xdr:cNvPr id="4" name="Rectangle 3">
          <a:extLst>
            <a:ext uri="{FF2B5EF4-FFF2-40B4-BE49-F238E27FC236}">
              <a16:creationId xmlns:a16="http://schemas.microsoft.com/office/drawing/2014/main" id="{91F4C21B-B54D-45E6-8B21-C6A8E4458FC3}"/>
            </a:ext>
          </a:extLst>
        </xdr:cNvPr>
        <xdr:cNvSpPr/>
      </xdr:nvSpPr>
      <xdr:spPr>
        <a:xfrm rot="16200000">
          <a:off x="26671020" y="2886960"/>
          <a:ext cx="5868000" cy="216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b="1"/>
            <a:t>Financial</a:t>
          </a:r>
          <a:r>
            <a:rPr lang="en-IN" sz="1400" b="1" baseline="0"/>
            <a:t> Analysis</a:t>
          </a:r>
        </a:p>
      </xdr:txBody>
    </xdr:sp>
    <xdr:clientData/>
  </xdr:twoCellAnchor>
  <xdr:twoCellAnchor>
    <xdr:from>
      <xdr:col>51</xdr:col>
      <xdr:colOff>339505</xdr:colOff>
      <xdr:row>0</xdr:row>
      <xdr:rowOff>13365</xdr:rowOff>
    </xdr:from>
    <xdr:to>
      <xdr:col>51</xdr:col>
      <xdr:colOff>555505</xdr:colOff>
      <xdr:row>32</xdr:row>
      <xdr:rowOff>123147</xdr:rowOff>
    </xdr:to>
    <xdr:sp macro="" textlink="">
      <xdr:nvSpPr>
        <xdr:cNvPr id="2" name="Rectangle 1">
          <a:extLst>
            <a:ext uri="{FF2B5EF4-FFF2-40B4-BE49-F238E27FC236}">
              <a16:creationId xmlns:a16="http://schemas.microsoft.com/office/drawing/2014/main" id="{F74AE722-4C74-4BA2-963E-08BFD8A6DC40}"/>
            </a:ext>
          </a:extLst>
        </xdr:cNvPr>
        <xdr:cNvSpPr/>
      </xdr:nvSpPr>
      <xdr:spPr>
        <a:xfrm rot="16200000">
          <a:off x="52299149" y="2857365"/>
          <a:ext cx="5904000" cy="216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b="1" baseline="0"/>
            <a:t> Doctor Performance </a:t>
          </a:r>
        </a:p>
      </xdr:txBody>
    </xdr:sp>
    <xdr:clientData/>
  </xdr:twoCellAnchor>
  <xdr:twoCellAnchor>
    <xdr:from>
      <xdr:col>62</xdr:col>
      <xdr:colOff>573386</xdr:colOff>
      <xdr:row>0</xdr:row>
      <xdr:rowOff>0</xdr:rowOff>
    </xdr:from>
    <xdr:to>
      <xdr:col>63</xdr:col>
      <xdr:colOff>87743</xdr:colOff>
      <xdr:row>32</xdr:row>
      <xdr:rowOff>109782</xdr:rowOff>
    </xdr:to>
    <xdr:sp macro="" textlink="">
      <xdr:nvSpPr>
        <xdr:cNvPr id="5" name="Rectangle 4">
          <a:extLst>
            <a:ext uri="{FF2B5EF4-FFF2-40B4-BE49-F238E27FC236}">
              <a16:creationId xmlns:a16="http://schemas.microsoft.com/office/drawing/2014/main" id="{87DE66A3-6A8C-4162-A36C-6CFD89C3A731}"/>
            </a:ext>
          </a:extLst>
        </xdr:cNvPr>
        <xdr:cNvSpPr/>
      </xdr:nvSpPr>
      <xdr:spPr>
        <a:xfrm rot="16200000">
          <a:off x="66362198" y="2844000"/>
          <a:ext cx="5904000" cy="216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b="1" baseline="0"/>
            <a:t> Department Performance </a:t>
          </a:r>
        </a:p>
      </xdr:txBody>
    </xdr:sp>
    <xdr:clientData/>
  </xdr:twoCellAnchor>
  <xdr:twoCellAnchor>
    <xdr:from>
      <xdr:col>80</xdr:col>
      <xdr:colOff>0</xdr:colOff>
      <xdr:row>0</xdr:row>
      <xdr:rowOff>0</xdr:rowOff>
    </xdr:from>
    <xdr:to>
      <xdr:col>80</xdr:col>
      <xdr:colOff>216000</xdr:colOff>
      <xdr:row>32</xdr:row>
      <xdr:rowOff>15840</xdr:rowOff>
    </xdr:to>
    <xdr:sp macro="" textlink="">
      <xdr:nvSpPr>
        <xdr:cNvPr id="8" name="Rectangle 7">
          <a:extLst>
            <a:ext uri="{FF2B5EF4-FFF2-40B4-BE49-F238E27FC236}">
              <a16:creationId xmlns:a16="http://schemas.microsoft.com/office/drawing/2014/main" id="{F39F005D-4EB2-418A-B458-B4311B1C40CE}"/>
            </a:ext>
          </a:extLst>
        </xdr:cNvPr>
        <xdr:cNvSpPr/>
      </xdr:nvSpPr>
      <xdr:spPr>
        <a:xfrm rot="16200000">
          <a:off x="87360397" y="2797029"/>
          <a:ext cx="5810058" cy="216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b="1"/>
            <a:t>Patient</a:t>
          </a:r>
          <a:r>
            <a:rPr lang="en-IN" sz="1400" b="1" baseline="0"/>
            <a: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19049</xdr:rowOff>
    </xdr:from>
    <xdr:to>
      <xdr:col>29</xdr:col>
      <xdr:colOff>88650</xdr:colOff>
      <xdr:row>8</xdr:row>
      <xdr:rowOff>47249</xdr:rowOff>
    </xdr:to>
    <xdr:sp macro="" textlink="">
      <xdr:nvSpPr>
        <xdr:cNvPr id="2" name="Rectangle: Top Corners Rounded 1">
          <a:extLst>
            <a:ext uri="{FF2B5EF4-FFF2-40B4-BE49-F238E27FC236}">
              <a16:creationId xmlns:a16="http://schemas.microsoft.com/office/drawing/2014/main" id="{2F3A09AC-2CFA-76E8-5A87-9ADF787B7405}"/>
            </a:ext>
          </a:extLst>
        </xdr:cNvPr>
        <xdr:cNvSpPr/>
      </xdr:nvSpPr>
      <xdr:spPr>
        <a:xfrm>
          <a:off x="19050" y="19049"/>
          <a:ext cx="17748000" cy="1476000"/>
        </a:xfrm>
        <a:prstGeom prst="round2SameRect">
          <a:avLst/>
        </a:prstGeom>
        <a:solidFill>
          <a:srgbClr val="99AD7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19049</xdr:colOff>
      <xdr:row>8</xdr:row>
      <xdr:rowOff>95248</xdr:rowOff>
    </xdr:from>
    <xdr:to>
      <xdr:col>4</xdr:col>
      <xdr:colOff>466724</xdr:colOff>
      <xdr:row>42</xdr:row>
      <xdr:rowOff>133349</xdr:rowOff>
    </xdr:to>
    <xdr:sp macro="" textlink="">
      <xdr:nvSpPr>
        <xdr:cNvPr id="3" name="Rectangle 2">
          <a:extLst>
            <a:ext uri="{FF2B5EF4-FFF2-40B4-BE49-F238E27FC236}">
              <a16:creationId xmlns:a16="http://schemas.microsoft.com/office/drawing/2014/main" id="{9D0B4615-3429-0A94-304F-4DD5C6C4F25A}"/>
            </a:ext>
          </a:extLst>
        </xdr:cNvPr>
        <xdr:cNvSpPr/>
      </xdr:nvSpPr>
      <xdr:spPr>
        <a:xfrm>
          <a:off x="19049" y="1543048"/>
          <a:ext cx="2886075" cy="619125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288674</xdr:colOff>
      <xdr:row>8</xdr:row>
      <xdr:rowOff>104773</xdr:rowOff>
    </xdr:from>
    <xdr:to>
      <xdr:col>29</xdr:col>
      <xdr:colOff>88650</xdr:colOff>
      <xdr:row>42</xdr:row>
      <xdr:rowOff>123824</xdr:rowOff>
    </xdr:to>
    <xdr:sp macro="" textlink="">
      <xdr:nvSpPr>
        <xdr:cNvPr id="4" name="Rectangle 3">
          <a:extLst>
            <a:ext uri="{FF2B5EF4-FFF2-40B4-BE49-F238E27FC236}">
              <a16:creationId xmlns:a16="http://schemas.microsoft.com/office/drawing/2014/main" id="{8C26F044-4396-44B0-A8CD-0076BFC3CCAF}"/>
            </a:ext>
          </a:extLst>
        </xdr:cNvPr>
        <xdr:cNvSpPr/>
      </xdr:nvSpPr>
      <xdr:spPr>
        <a:xfrm>
          <a:off x="14919074" y="1552573"/>
          <a:ext cx="2847976" cy="617220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571501</xdr:colOff>
      <xdr:row>8</xdr:row>
      <xdr:rowOff>123825</xdr:rowOff>
    </xdr:from>
    <xdr:to>
      <xdr:col>8</xdr:col>
      <xdr:colOff>371475</xdr:colOff>
      <xdr:row>14</xdr:row>
      <xdr:rowOff>114300</xdr:rowOff>
    </xdr:to>
    <xdr:sp macro="" textlink="">
      <xdr:nvSpPr>
        <xdr:cNvPr id="5" name="Rectangle 4">
          <a:extLst>
            <a:ext uri="{FF2B5EF4-FFF2-40B4-BE49-F238E27FC236}">
              <a16:creationId xmlns:a16="http://schemas.microsoft.com/office/drawing/2014/main" id="{5FCA5FB0-2E5D-6C99-6BCA-E92C5F235B59}"/>
            </a:ext>
          </a:extLst>
        </xdr:cNvPr>
        <xdr:cNvSpPr/>
      </xdr:nvSpPr>
      <xdr:spPr>
        <a:xfrm>
          <a:off x="3009901" y="1571625"/>
          <a:ext cx="2238374"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504826</xdr:colOff>
      <xdr:row>8</xdr:row>
      <xdr:rowOff>123825</xdr:rowOff>
    </xdr:from>
    <xdr:to>
      <xdr:col>12</xdr:col>
      <xdr:colOff>304800</xdr:colOff>
      <xdr:row>14</xdr:row>
      <xdr:rowOff>114300</xdr:rowOff>
    </xdr:to>
    <xdr:sp macro="" textlink="">
      <xdr:nvSpPr>
        <xdr:cNvPr id="6" name="Rectangle 5">
          <a:extLst>
            <a:ext uri="{FF2B5EF4-FFF2-40B4-BE49-F238E27FC236}">
              <a16:creationId xmlns:a16="http://schemas.microsoft.com/office/drawing/2014/main" id="{7A67F336-2BA0-49AA-A499-2015F81F60F2}"/>
            </a:ext>
          </a:extLst>
        </xdr:cNvPr>
        <xdr:cNvSpPr/>
      </xdr:nvSpPr>
      <xdr:spPr>
        <a:xfrm>
          <a:off x="5381626" y="1571625"/>
          <a:ext cx="2238374"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447676</xdr:colOff>
      <xdr:row>8</xdr:row>
      <xdr:rowOff>123825</xdr:rowOff>
    </xdr:from>
    <xdr:to>
      <xdr:col>16</xdr:col>
      <xdr:colOff>247650</xdr:colOff>
      <xdr:row>14</xdr:row>
      <xdr:rowOff>114300</xdr:rowOff>
    </xdr:to>
    <xdr:sp macro="" textlink="">
      <xdr:nvSpPr>
        <xdr:cNvPr id="7" name="Rectangle 6">
          <a:extLst>
            <a:ext uri="{FF2B5EF4-FFF2-40B4-BE49-F238E27FC236}">
              <a16:creationId xmlns:a16="http://schemas.microsoft.com/office/drawing/2014/main" id="{1030CA20-29C6-46E0-B04C-7AC4019715A9}"/>
            </a:ext>
          </a:extLst>
        </xdr:cNvPr>
        <xdr:cNvSpPr/>
      </xdr:nvSpPr>
      <xdr:spPr>
        <a:xfrm>
          <a:off x="7762876" y="1571625"/>
          <a:ext cx="2238374"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400051</xdr:colOff>
      <xdr:row>8</xdr:row>
      <xdr:rowOff>123825</xdr:rowOff>
    </xdr:from>
    <xdr:to>
      <xdr:col>20</xdr:col>
      <xdr:colOff>200025</xdr:colOff>
      <xdr:row>14</xdr:row>
      <xdr:rowOff>114300</xdr:rowOff>
    </xdr:to>
    <xdr:sp macro="" textlink="">
      <xdr:nvSpPr>
        <xdr:cNvPr id="8" name="Rectangle 7">
          <a:extLst>
            <a:ext uri="{FF2B5EF4-FFF2-40B4-BE49-F238E27FC236}">
              <a16:creationId xmlns:a16="http://schemas.microsoft.com/office/drawing/2014/main" id="{C694D769-8853-40AA-A5F2-9AF909EC7EB9}"/>
            </a:ext>
          </a:extLst>
        </xdr:cNvPr>
        <xdr:cNvSpPr/>
      </xdr:nvSpPr>
      <xdr:spPr>
        <a:xfrm>
          <a:off x="10153651" y="1571625"/>
          <a:ext cx="2238374"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361951</xdr:colOff>
      <xdr:row>8</xdr:row>
      <xdr:rowOff>123825</xdr:rowOff>
    </xdr:from>
    <xdr:to>
      <xdr:col>24</xdr:col>
      <xdr:colOff>161925</xdr:colOff>
      <xdr:row>14</xdr:row>
      <xdr:rowOff>114300</xdr:rowOff>
    </xdr:to>
    <xdr:sp macro="" textlink="">
      <xdr:nvSpPr>
        <xdr:cNvPr id="9" name="Rectangle 8">
          <a:extLst>
            <a:ext uri="{FF2B5EF4-FFF2-40B4-BE49-F238E27FC236}">
              <a16:creationId xmlns:a16="http://schemas.microsoft.com/office/drawing/2014/main" id="{588BC630-1A86-4F03-8697-A379A5345088}"/>
            </a:ext>
          </a:extLst>
        </xdr:cNvPr>
        <xdr:cNvSpPr/>
      </xdr:nvSpPr>
      <xdr:spPr>
        <a:xfrm>
          <a:off x="12553951" y="1571625"/>
          <a:ext cx="2238374"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590551</xdr:colOff>
      <xdr:row>15</xdr:row>
      <xdr:rowOff>76200</xdr:rowOff>
    </xdr:from>
    <xdr:to>
      <xdr:col>11</xdr:col>
      <xdr:colOff>28575</xdr:colOff>
      <xdr:row>28</xdr:row>
      <xdr:rowOff>47625</xdr:rowOff>
    </xdr:to>
    <xdr:sp macro="" textlink="">
      <xdr:nvSpPr>
        <xdr:cNvPr id="10" name="Rectangle 9">
          <a:extLst>
            <a:ext uri="{FF2B5EF4-FFF2-40B4-BE49-F238E27FC236}">
              <a16:creationId xmlns:a16="http://schemas.microsoft.com/office/drawing/2014/main" id="{62AF67AC-7CA2-12F1-688D-B20B29629B8B}"/>
            </a:ext>
          </a:extLst>
        </xdr:cNvPr>
        <xdr:cNvSpPr/>
      </xdr:nvSpPr>
      <xdr:spPr>
        <a:xfrm>
          <a:off x="3028951" y="2790825"/>
          <a:ext cx="3705224" cy="23241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123826</xdr:colOff>
      <xdr:row>15</xdr:row>
      <xdr:rowOff>76200</xdr:rowOff>
    </xdr:from>
    <xdr:to>
      <xdr:col>16</xdr:col>
      <xdr:colOff>561975</xdr:colOff>
      <xdr:row>28</xdr:row>
      <xdr:rowOff>47625</xdr:rowOff>
    </xdr:to>
    <xdr:sp macro="" textlink="">
      <xdr:nvSpPr>
        <xdr:cNvPr id="11" name="Rectangle 10">
          <a:extLst>
            <a:ext uri="{FF2B5EF4-FFF2-40B4-BE49-F238E27FC236}">
              <a16:creationId xmlns:a16="http://schemas.microsoft.com/office/drawing/2014/main" id="{0771C7C1-54A0-4466-8031-2AB7D574F3BD}"/>
            </a:ext>
          </a:extLst>
        </xdr:cNvPr>
        <xdr:cNvSpPr/>
      </xdr:nvSpPr>
      <xdr:spPr>
        <a:xfrm>
          <a:off x="6829426" y="2790825"/>
          <a:ext cx="3486149" cy="23241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66675</xdr:colOff>
      <xdr:row>15</xdr:row>
      <xdr:rowOff>76200</xdr:rowOff>
    </xdr:from>
    <xdr:to>
      <xdr:col>24</xdr:col>
      <xdr:colOff>161924</xdr:colOff>
      <xdr:row>28</xdr:row>
      <xdr:rowOff>47625</xdr:rowOff>
    </xdr:to>
    <xdr:sp macro="" textlink="">
      <xdr:nvSpPr>
        <xdr:cNvPr id="12" name="Rectangle 11">
          <a:extLst>
            <a:ext uri="{FF2B5EF4-FFF2-40B4-BE49-F238E27FC236}">
              <a16:creationId xmlns:a16="http://schemas.microsoft.com/office/drawing/2014/main" id="{FAFB6B0F-8590-4042-A791-49E83A4AF1D9}"/>
            </a:ext>
          </a:extLst>
        </xdr:cNvPr>
        <xdr:cNvSpPr/>
      </xdr:nvSpPr>
      <xdr:spPr>
        <a:xfrm>
          <a:off x="10429875" y="2790825"/>
          <a:ext cx="4362449" cy="23241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581025</xdr:colOff>
      <xdr:row>28</xdr:row>
      <xdr:rowOff>142875</xdr:rowOff>
    </xdr:from>
    <xdr:to>
      <xdr:col>14</xdr:col>
      <xdr:colOff>314325</xdr:colOff>
      <xdr:row>42</xdr:row>
      <xdr:rowOff>104775</xdr:rowOff>
    </xdr:to>
    <xdr:sp macro="" textlink="">
      <xdr:nvSpPr>
        <xdr:cNvPr id="13" name="Rectangle 12">
          <a:extLst>
            <a:ext uri="{FF2B5EF4-FFF2-40B4-BE49-F238E27FC236}">
              <a16:creationId xmlns:a16="http://schemas.microsoft.com/office/drawing/2014/main" id="{5FB90425-47F1-4902-9CB7-6C440A355E95}"/>
            </a:ext>
          </a:extLst>
        </xdr:cNvPr>
        <xdr:cNvSpPr/>
      </xdr:nvSpPr>
      <xdr:spPr>
        <a:xfrm>
          <a:off x="3019425" y="5210175"/>
          <a:ext cx="5829300" cy="24955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447675</xdr:colOff>
      <xdr:row>28</xdr:row>
      <xdr:rowOff>142875</xdr:rowOff>
    </xdr:from>
    <xdr:to>
      <xdr:col>24</xdr:col>
      <xdr:colOff>183675</xdr:colOff>
      <xdr:row>42</xdr:row>
      <xdr:rowOff>104775</xdr:rowOff>
    </xdr:to>
    <xdr:sp macro="" textlink="">
      <xdr:nvSpPr>
        <xdr:cNvPr id="15" name="Rectangle 14">
          <a:extLst>
            <a:ext uri="{FF2B5EF4-FFF2-40B4-BE49-F238E27FC236}">
              <a16:creationId xmlns:a16="http://schemas.microsoft.com/office/drawing/2014/main" id="{2173B697-A67D-4939-A797-42BAB613F43E}"/>
            </a:ext>
          </a:extLst>
        </xdr:cNvPr>
        <xdr:cNvSpPr/>
      </xdr:nvSpPr>
      <xdr:spPr>
        <a:xfrm>
          <a:off x="8982075" y="5210175"/>
          <a:ext cx="5832000" cy="24955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342899</xdr:colOff>
      <xdr:row>0</xdr:row>
      <xdr:rowOff>0</xdr:rowOff>
    </xdr:from>
    <xdr:to>
      <xdr:col>20</xdr:col>
      <xdr:colOff>447675</xdr:colOff>
      <xdr:row>3</xdr:row>
      <xdr:rowOff>28575</xdr:rowOff>
    </xdr:to>
    <xdr:sp macro="" textlink="">
      <xdr:nvSpPr>
        <xdr:cNvPr id="16" name="TextBox 15">
          <a:extLst>
            <a:ext uri="{FF2B5EF4-FFF2-40B4-BE49-F238E27FC236}">
              <a16:creationId xmlns:a16="http://schemas.microsoft.com/office/drawing/2014/main" id="{A5F1F898-E4F2-63F0-0551-20AD40243F81}"/>
            </a:ext>
          </a:extLst>
        </xdr:cNvPr>
        <xdr:cNvSpPr txBox="1"/>
      </xdr:nvSpPr>
      <xdr:spPr>
        <a:xfrm>
          <a:off x="5829299" y="0"/>
          <a:ext cx="681037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bg1"/>
              </a:solidFill>
              <a:effectLst>
                <a:outerShdw blurRad="50800" dist="38100" dir="2700000" algn="tl" rotWithShape="0">
                  <a:prstClr val="black">
                    <a:alpha val="40000"/>
                  </a:prstClr>
                </a:outerShdw>
              </a:effectLst>
              <a:latin typeface="Bahnschrift SemiBold" panose="020B0502040204020203" pitchFamily="34" charset="0"/>
            </a:rPr>
            <a:t>Healthcare Dashboard</a:t>
          </a:r>
          <a:r>
            <a:rPr lang="en-IN" sz="3600" baseline="0">
              <a:solidFill>
                <a:schemeClr val="bg1"/>
              </a:solidFill>
              <a:effectLst>
                <a:outerShdw blurRad="50800" dist="38100" dir="2700000" algn="tl" rotWithShape="0">
                  <a:prstClr val="black">
                    <a:alpha val="40000"/>
                  </a:prstClr>
                </a:outerShdw>
              </a:effectLst>
              <a:latin typeface="Bahnschrift SemiBold" panose="020B0502040204020203" pitchFamily="34" charset="0"/>
            </a:rPr>
            <a:t> in Excel</a:t>
          </a:r>
          <a:endParaRPr lang="en-IN" sz="3600">
            <a:solidFill>
              <a:schemeClr val="bg1"/>
            </a:solidFill>
            <a:effectLst>
              <a:outerShdw blurRad="50800" dist="38100" dir="2700000" algn="tl" rotWithShape="0">
                <a:prstClr val="black">
                  <a:alpha val="40000"/>
                </a:prstClr>
              </a:outerShdw>
            </a:effectLst>
            <a:latin typeface="Bahnschrift SemiBold" panose="020B0502040204020203" pitchFamily="34" charset="0"/>
          </a:endParaRPr>
        </a:p>
      </xdr:txBody>
    </xdr:sp>
    <xdr:clientData/>
  </xdr:twoCellAnchor>
  <xdr:twoCellAnchor>
    <xdr:from>
      <xdr:col>1</xdr:col>
      <xdr:colOff>600075</xdr:colOff>
      <xdr:row>5</xdr:row>
      <xdr:rowOff>66675</xdr:rowOff>
    </xdr:from>
    <xdr:to>
      <xdr:col>6</xdr:col>
      <xdr:colOff>533400</xdr:colOff>
      <xdr:row>8</xdr:row>
      <xdr:rowOff>28575</xdr:rowOff>
    </xdr:to>
    <xdr:sp macro="" textlink="">
      <xdr:nvSpPr>
        <xdr:cNvPr id="17" name="Rectangle: Top Corners Rounded 16">
          <a:extLst>
            <a:ext uri="{FF2B5EF4-FFF2-40B4-BE49-F238E27FC236}">
              <a16:creationId xmlns:a16="http://schemas.microsoft.com/office/drawing/2014/main" id="{934FD109-D961-2C15-B49D-B691947EC0FB}"/>
            </a:ext>
          </a:extLst>
        </xdr:cNvPr>
        <xdr:cNvSpPr/>
      </xdr:nvSpPr>
      <xdr:spPr>
        <a:xfrm>
          <a:off x="1209675" y="971550"/>
          <a:ext cx="2981325"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247650</xdr:colOff>
      <xdr:row>5</xdr:row>
      <xdr:rowOff>66675</xdr:rowOff>
    </xdr:from>
    <xdr:to>
      <xdr:col>12</xdr:col>
      <xdr:colOff>180975</xdr:colOff>
      <xdr:row>8</xdr:row>
      <xdr:rowOff>28575</xdr:rowOff>
    </xdr:to>
    <xdr:sp macro="" textlink="">
      <xdr:nvSpPr>
        <xdr:cNvPr id="18" name="Rectangle: Top Corners Rounded 17">
          <a:extLst>
            <a:ext uri="{FF2B5EF4-FFF2-40B4-BE49-F238E27FC236}">
              <a16:creationId xmlns:a16="http://schemas.microsoft.com/office/drawing/2014/main" id="{9033F507-259C-4355-8EA6-805C5D39E763}"/>
            </a:ext>
          </a:extLst>
        </xdr:cNvPr>
        <xdr:cNvSpPr/>
      </xdr:nvSpPr>
      <xdr:spPr>
        <a:xfrm>
          <a:off x="4514850" y="971550"/>
          <a:ext cx="2981325"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485775</xdr:colOff>
      <xdr:row>5</xdr:row>
      <xdr:rowOff>57150</xdr:rowOff>
    </xdr:from>
    <xdr:to>
      <xdr:col>17</xdr:col>
      <xdr:colOff>419100</xdr:colOff>
      <xdr:row>8</xdr:row>
      <xdr:rowOff>19050</xdr:rowOff>
    </xdr:to>
    <xdr:sp macro="" textlink="">
      <xdr:nvSpPr>
        <xdr:cNvPr id="19" name="Rectangle: Top Corners Rounded 18">
          <a:extLst>
            <a:ext uri="{FF2B5EF4-FFF2-40B4-BE49-F238E27FC236}">
              <a16:creationId xmlns:a16="http://schemas.microsoft.com/office/drawing/2014/main" id="{228FC29C-9A96-E8DE-765B-A4DCFD4282C3}"/>
            </a:ext>
          </a:extLst>
        </xdr:cNvPr>
        <xdr:cNvSpPr/>
      </xdr:nvSpPr>
      <xdr:spPr>
        <a:xfrm>
          <a:off x="7800975" y="962025"/>
          <a:ext cx="2981325"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85725</xdr:colOff>
      <xdr:row>5</xdr:row>
      <xdr:rowOff>38100</xdr:rowOff>
    </xdr:from>
    <xdr:to>
      <xdr:col>23</xdr:col>
      <xdr:colOff>19050</xdr:colOff>
      <xdr:row>8</xdr:row>
      <xdr:rowOff>0</xdr:rowOff>
    </xdr:to>
    <xdr:sp macro="" textlink="">
      <xdr:nvSpPr>
        <xdr:cNvPr id="20" name="Rectangle: Top Corners Rounded 19">
          <a:extLst>
            <a:ext uri="{FF2B5EF4-FFF2-40B4-BE49-F238E27FC236}">
              <a16:creationId xmlns:a16="http://schemas.microsoft.com/office/drawing/2014/main" id="{825FF6E0-FF6D-B973-2E39-E102A8E362AC}"/>
            </a:ext>
          </a:extLst>
        </xdr:cNvPr>
        <xdr:cNvSpPr/>
      </xdr:nvSpPr>
      <xdr:spPr>
        <a:xfrm>
          <a:off x="11058525" y="942975"/>
          <a:ext cx="2981325"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352425</xdr:colOff>
      <xdr:row>5</xdr:row>
      <xdr:rowOff>57150</xdr:rowOff>
    </xdr:from>
    <xdr:to>
      <xdr:col>28</xdr:col>
      <xdr:colOff>285750</xdr:colOff>
      <xdr:row>8</xdr:row>
      <xdr:rowOff>19050</xdr:rowOff>
    </xdr:to>
    <xdr:sp macro="" textlink="">
      <xdr:nvSpPr>
        <xdr:cNvPr id="21" name="Rectangle: Top Corners Rounded 20">
          <a:extLst>
            <a:ext uri="{FF2B5EF4-FFF2-40B4-BE49-F238E27FC236}">
              <a16:creationId xmlns:a16="http://schemas.microsoft.com/office/drawing/2014/main" id="{2ABB3C11-C971-F308-CE35-00AC7D8D9A3D}"/>
            </a:ext>
          </a:extLst>
        </xdr:cNvPr>
        <xdr:cNvSpPr/>
      </xdr:nvSpPr>
      <xdr:spPr>
        <a:xfrm>
          <a:off x="14373225" y="962025"/>
          <a:ext cx="2981325"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561975</xdr:colOff>
      <xdr:row>8</xdr:row>
      <xdr:rowOff>152401</xdr:rowOff>
    </xdr:from>
    <xdr:to>
      <xdr:col>7</xdr:col>
      <xdr:colOff>381000</xdr:colOff>
      <xdr:row>12</xdr:row>
      <xdr:rowOff>95250</xdr:rowOff>
    </xdr:to>
    <xdr:sp macro="" textlink="'Pivot Table'!B5">
      <xdr:nvSpPr>
        <xdr:cNvPr id="22" name="TextBox 21">
          <a:extLst>
            <a:ext uri="{FF2B5EF4-FFF2-40B4-BE49-F238E27FC236}">
              <a16:creationId xmlns:a16="http://schemas.microsoft.com/office/drawing/2014/main" id="{C68B8A76-53C3-DACF-0134-F54C313C14C8}"/>
            </a:ext>
          </a:extLst>
        </xdr:cNvPr>
        <xdr:cNvSpPr txBox="1"/>
      </xdr:nvSpPr>
      <xdr:spPr>
        <a:xfrm>
          <a:off x="3609975" y="1600201"/>
          <a:ext cx="1038225"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DD0CB6-3CFF-4161-93CC-FE2D1663749C}" type="TxLink">
            <a:rPr lang="en-US" sz="4000" b="1" i="0" u="none" strike="noStrike">
              <a:solidFill>
                <a:srgbClr val="99AD7A"/>
              </a:solidFill>
              <a:latin typeface="Bahnschrift SemiBold SemiConden" panose="020B0502040204020203" pitchFamily="34" charset="0"/>
            </a:rPr>
            <a:pPr/>
            <a:t>500</a:t>
          </a:fld>
          <a:endParaRPr lang="en-IN" sz="4000" b="1">
            <a:solidFill>
              <a:srgbClr val="99AD7A"/>
            </a:solidFill>
            <a:latin typeface="Bahnschrift SemiBold SemiConden" panose="020B0502040204020203" pitchFamily="34" charset="0"/>
          </a:endParaRPr>
        </a:p>
      </xdr:txBody>
    </xdr:sp>
    <xdr:clientData/>
  </xdr:twoCellAnchor>
  <xdr:twoCellAnchor>
    <xdr:from>
      <xdr:col>5</xdr:col>
      <xdr:colOff>390525</xdr:colOff>
      <xdr:row>12</xdr:row>
      <xdr:rowOff>104775</xdr:rowOff>
    </xdr:from>
    <xdr:to>
      <xdr:col>7</xdr:col>
      <xdr:colOff>533400</xdr:colOff>
      <xdr:row>14</xdr:row>
      <xdr:rowOff>66675</xdr:rowOff>
    </xdr:to>
    <xdr:sp macro="" textlink="">
      <xdr:nvSpPr>
        <xdr:cNvPr id="23" name="TextBox 22">
          <a:extLst>
            <a:ext uri="{FF2B5EF4-FFF2-40B4-BE49-F238E27FC236}">
              <a16:creationId xmlns:a16="http://schemas.microsoft.com/office/drawing/2014/main" id="{657BC8EC-1F3F-4E0E-B1E9-FA3B646F944D}"/>
            </a:ext>
          </a:extLst>
        </xdr:cNvPr>
        <xdr:cNvSpPr txBox="1"/>
      </xdr:nvSpPr>
      <xdr:spPr>
        <a:xfrm>
          <a:off x="3438525" y="2276475"/>
          <a:ext cx="136207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9AD7A"/>
              </a:solidFill>
            </a:rPr>
            <a:t>Total Patients</a:t>
          </a:r>
        </a:p>
      </xdr:txBody>
    </xdr:sp>
    <xdr:clientData/>
  </xdr:twoCellAnchor>
  <xdr:twoCellAnchor>
    <xdr:from>
      <xdr:col>8</xdr:col>
      <xdr:colOff>571501</xdr:colOff>
      <xdr:row>9</xdr:row>
      <xdr:rowOff>19050</xdr:rowOff>
    </xdr:from>
    <xdr:to>
      <xdr:col>12</xdr:col>
      <xdr:colOff>219075</xdr:colOff>
      <xdr:row>12</xdr:row>
      <xdr:rowOff>0</xdr:rowOff>
    </xdr:to>
    <xdr:sp macro="" textlink="'Pivot Table'!D5">
      <xdr:nvSpPr>
        <xdr:cNvPr id="24" name="TextBox 23">
          <a:extLst>
            <a:ext uri="{FF2B5EF4-FFF2-40B4-BE49-F238E27FC236}">
              <a16:creationId xmlns:a16="http://schemas.microsoft.com/office/drawing/2014/main" id="{55424F5C-A365-4DFF-8977-3C30B0B2E96D}"/>
            </a:ext>
          </a:extLst>
        </xdr:cNvPr>
        <xdr:cNvSpPr txBox="1"/>
      </xdr:nvSpPr>
      <xdr:spPr>
        <a:xfrm>
          <a:off x="5448301" y="1647825"/>
          <a:ext cx="208597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537A12-B7F1-4215-94E1-4FE4F119CDC7}" type="TxLink">
            <a:rPr lang="en-US" sz="3200" b="1" i="0" u="none" strike="noStrike">
              <a:solidFill>
                <a:srgbClr val="99AD7A"/>
              </a:solidFill>
              <a:latin typeface="Bahnschrift SemiBold SemiConden" panose="020B0502040204020203" pitchFamily="34" charset="0"/>
              <a:ea typeface="+mn-ea"/>
              <a:cs typeface="+mn-cs"/>
            </a:rPr>
            <a:pPr marL="0" indent="0"/>
            <a:t>₹ 47,01,124</a:t>
          </a:fld>
          <a:endParaRPr lang="en-IN" sz="32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9</xdr:col>
      <xdr:colOff>152400</xdr:colOff>
      <xdr:row>12</xdr:row>
      <xdr:rowOff>133350</xdr:rowOff>
    </xdr:from>
    <xdr:to>
      <xdr:col>12</xdr:col>
      <xdr:colOff>152400</xdr:colOff>
      <xdr:row>14</xdr:row>
      <xdr:rowOff>95250</xdr:rowOff>
    </xdr:to>
    <xdr:sp macro="" textlink="">
      <xdr:nvSpPr>
        <xdr:cNvPr id="25" name="TextBox 24">
          <a:extLst>
            <a:ext uri="{FF2B5EF4-FFF2-40B4-BE49-F238E27FC236}">
              <a16:creationId xmlns:a16="http://schemas.microsoft.com/office/drawing/2014/main" id="{972391AA-5581-4E8C-9E59-819E8DE40A06}"/>
            </a:ext>
          </a:extLst>
        </xdr:cNvPr>
        <xdr:cNvSpPr txBox="1"/>
      </xdr:nvSpPr>
      <xdr:spPr>
        <a:xfrm>
          <a:off x="5638800" y="2305050"/>
          <a:ext cx="18288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9AD7A"/>
              </a:solidFill>
            </a:rPr>
            <a:t>Total Revenue(₹)</a:t>
          </a:r>
        </a:p>
      </xdr:txBody>
    </xdr:sp>
    <xdr:clientData/>
  </xdr:twoCellAnchor>
  <xdr:twoCellAnchor>
    <xdr:from>
      <xdr:col>13</xdr:col>
      <xdr:colOff>142875</xdr:colOff>
      <xdr:row>9</xdr:row>
      <xdr:rowOff>0</xdr:rowOff>
    </xdr:from>
    <xdr:to>
      <xdr:col>15</xdr:col>
      <xdr:colOff>495300</xdr:colOff>
      <xdr:row>11</xdr:row>
      <xdr:rowOff>161925</xdr:rowOff>
    </xdr:to>
    <xdr:sp macro="" textlink="'Pivot Table'!F5">
      <xdr:nvSpPr>
        <xdr:cNvPr id="26" name="TextBox 25">
          <a:extLst>
            <a:ext uri="{FF2B5EF4-FFF2-40B4-BE49-F238E27FC236}">
              <a16:creationId xmlns:a16="http://schemas.microsoft.com/office/drawing/2014/main" id="{BEFB54B9-864C-4464-95CC-17BBB41A7C58}"/>
            </a:ext>
          </a:extLst>
        </xdr:cNvPr>
        <xdr:cNvSpPr txBox="1"/>
      </xdr:nvSpPr>
      <xdr:spPr>
        <a:xfrm>
          <a:off x="8067675" y="1628775"/>
          <a:ext cx="15716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C2CBA8-8BD4-400C-B613-6CF5F623C8B7}" type="TxLink">
            <a:rPr lang="en-US" sz="3200" b="1" i="0" u="none" strike="noStrike">
              <a:solidFill>
                <a:srgbClr val="99AD7A"/>
              </a:solidFill>
              <a:latin typeface="Bahnschrift SemiBold SemiConden" panose="020B0502040204020203" pitchFamily="34" charset="0"/>
              <a:ea typeface="+mn-ea"/>
              <a:cs typeface="+mn-cs"/>
            </a:rPr>
            <a:pPr marL="0" indent="0"/>
            <a:t>₹ 9,402</a:t>
          </a:fld>
          <a:endParaRPr lang="en-IN" sz="32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12</xdr:col>
      <xdr:colOff>552449</xdr:colOff>
      <xdr:row>12</xdr:row>
      <xdr:rowOff>95250</xdr:rowOff>
    </xdr:from>
    <xdr:to>
      <xdr:col>16</xdr:col>
      <xdr:colOff>219074</xdr:colOff>
      <xdr:row>14</xdr:row>
      <xdr:rowOff>57150</xdr:rowOff>
    </xdr:to>
    <xdr:sp macro="" textlink="">
      <xdr:nvSpPr>
        <xdr:cNvPr id="27" name="TextBox 26">
          <a:extLst>
            <a:ext uri="{FF2B5EF4-FFF2-40B4-BE49-F238E27FC236}">
              <a16:creationId xmlns:a16="http://schemas.microsoft.com/office/drawing/2014/main" id="{749DB353-1D18-4157-9CEC-43D291BF77DE}"/>
            </a:ext>
          </a:extLst>
        </xdr:cNvPr>
        <xdr:cNvSpPr txBox="1"/>
      </xdr:nvSpPr>
      <xdr:spPr>
        <a:xfrm>
          <a:off x="7867649" y="2266950"/>
          <a:ext cx="21050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rgbClr val="99AD7A"/>
              </a:solidFill>
              <a:latin typeface="+mn-lt"/>
              <a:ea typeface="+mn-ea"/>
              <a:cs typeface="+mn-cs"/>
            </a:rPr>
            <a:t>Average Revenue(₹)</a:t>
          </a:r>
        </a:p>
      </xdr:txBody>
    </xdr:sp>
    <xdr:clientData/>
  </xdr:twoCellAnchor>
  <xdr:twoCellAnchor>
    <xdr:from>
      <xdr:col>21</xdr:col>
      <xdr:colOff>285750</xdr:colOff>
      <xdr:row>11</xdr:row>
      <xdr:rowOff>133350</xdr:rowOff>
    </xdr:from>
    <xdr:to>
      <xdr:col>22</xdr:col>
      <xdr:colOff>600075</xdr:colOff>
      <xdr:row>13</xdr:row>
      <xdr:rowOff>95250</xdr:rowOff>
    </xdr:to>
    <xdr:sp macro="" textlink="'Pivot Table'!L2">
      <xdr:nvSpPr>
        <xdr:cNvPr id="28" name="TextBox 27">
          <a:extLst>
            <a:ext uri="{FF2B5EF4-FFF2-40B4-BE49-F238E27FC236}">
              <a16:creationId xmlns:a16="http://schemas.microsoft.com/office/drawing/2014/main" id="{98981AF1-F094-4224-9041-0E7D06FA3166}"/>
            </a:ext>
          </a:extLst>
        </xdr:cNvPr>
        <xdr:cNvSpPr txBox="1"/>
      </xdr:nvSpPr>
      <xdr:spPr>
        <a:xfrm>
          <a:off x="13087350" y="2124075"/>
          <a:ext cx="9239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AB3704-655D-465C-A9D5-2451C795774B}" type="TxLink">
            <a:rPr lang="en-US" sz="1600" b="1">
              <a:solidFill>
                <a:srgbClr val="99AD7A"/>
              </a:solidFill>
              <a:latin typeface="+mn-lt"/>
              <a:ea typeface="+mn-ea"/>
              <a:cs typeface="+mn-cs"/>
            </a:rPr>
            <a:pPr marL="0" indent="0"/>
            <a:t>(All)</a:t>
          </a:fld>
          <a:endParaRPr lang="en-IN" sz="1600" b="1">
            <a:solidFill>
              <a:srgbClr val="99AD7A"/>
            </a:solidFill>
            <a:latin typeface="+mn-lt"/>
            <a:ea typeface="+mn-ea"/>
            <a:cs typeface="+mn-cs"/>
          </a:endParaRPr>
        </a:p>
      </xdr:txBody>
    </xdr:sp>
    <xdr:clientData/>
  </xdr:twoCellAnchor>
  <xdr:twoCellAnchor>
    <xdr:from>
      <xdr:col>21</xdr:col>
      <xdr:colOff>304800</xdr:colOff>
      <xdr:row>8</xdr:row>
      <xdr:rowOff>161925</xdr:rowOff>
    </xdr:from>
    <xdr:to>
      <xdr:col>23</xdr:col>
      <xdr:colOff>28575</xdr:colOff>
      <xdr:row>11</xdr:row>
      <xdr:rowOff>142875</xdr:rowOff>
    </xdr:to>
    <xdr:sp macro="" textlink="'Pivot Table'!K5">
      <xdr:nvSpPr>
        <xdr:cNvPr id="29" name="TextBox 28">
          <a:extLst>
            <a:ext uri="{FF2B5EF4-FFF2-40B4-BE49-F238E27FC236}">
              <a16:creationId xmlns:a16="http://schemas.microsoft.com/office/drawing/2014/main" id="{BA424D64-CE7B-448F-81C9-87F9CF93F2D0}"/>
            </a:ext>
          </a:extLst>
        </xdr:cNvPr>
        <xdr:cNvSpPr txBox="1"/>
      </xdr:nvSpPr>
      <xdr:spPr>
        <a:xfrm>
          <a:off x="13106400" y="1609725"/>
          <a:ext cx="942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EBE823-E5FF-4654-AF67-91682A192B70}" type="TxLink">
            <a:rPr lang="en-US" sz="3200" b="1" i="0" u="none" strike="noStrike">
              <a:solidFill>
                <a:srgbClr val="99AD7A"/>
              </a:solidFill>
              <a:latin typeface="Bahnschrift SemiBold SemiConden" panose="020B0502040204020203" pitchFamily="34" charset="0"/>
              <a:ea typeface="+mn-ea"/>
              <a:cs typeface="+mn-cs"/>
            </a:rPr>
            <a:pPr marL="0" indent="0"/>
            <a:t>500</a:t>
          </a:fld>
          <a:endParaRPr lang="en-IN" sz="32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20</xdr:col>
      <xdr:colOff>590550</xdr:colOff>
      <xdr:row>12</xdr:row>
      <xdr:rowOff>152400</xdr:rowOff>
    </xdr:from>
    <xdr:to>
      <xdr:col>23</xdr:col>
      <xdr:colOff>457200</xdr:colOff>
      <xdr:row>14</xdr:row>
      <xdr:rowOff>114300</xdr:rowOff>
    </xdr:to>
    <xdr:sp macro="" textlink="">
      <xdr:nvSpPr>
        <xdr:cNvPr id="30" name="TextBox 29">
          <a:extLst>
            <a:ext uri="{FF2B5EF4-FFF2-40B4-BE49-F238E27FC236}">
              <a16:creationId xmlns:a16="http://schemas.microsoft.com/office/drawing/2014/main" id="{8BDDAB92-6FB3-4F58-8AD1-4666AA03DF11}"/>
            </a:ext>
          </a:extLst>
        </xdr:cNvPr>
        <xdr:cNvSpPr txBox="1"/>
      </xdr:nvSpPr>
      <xdr:spPr>
        <a:xfrm>
          <a:off x="12782550" y="2324100"/>
          <a:ext cx="1695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99AD7A"/>
              </a:solidFill>
              <a:latin typeface="+mn-lt"/>
              <a:ea typeface="+mn-ea"/>
              <a:cs typeface="+mn-cs"/>
            </a:rPr>
            <a:t>Treatment</a:t>
          </a:r>
          <a:r>
            <a:rPr lang="en-US" sz="1600" b="1" i="0" u="none" strike="noStrike" baseline="0">
              <a:solidFill>
                <a:srgbClr val="99AD7A"/>
              </a:solidFill>
              <a:latin typeface="+mn-lt"/>
              <a:ea typeface="+mn-ea"/>
              <a:cs typeface="+mn-cs"/>
            </a:rPr>
            <a:t> Status</a:t>
          </a:r>
          <a:endParaRPr lang="en-US" sz="1600" b="1" i="0" u="none" strike="noStrike">
            <a:solidFill>
              <a:srgbClr val="99AD7A"/>
            </a:solidFill>
            <a:latin typeface="+mn-lt"/>
            <a:ea typeface="+mn-ea"/>
            <a:cs typeface="+mn-cs"/>
          </a:endParaRPr>
        </a:p>
      </xdr:txBody>
    </xdr:sp>
    <xdr:clientData/>
  </xdr:twoCellAnchor>
  <xdr:twoCellAnchor>
    <xdr:from>
      <xdr:col>5</xdr:col>
      <xdr:colOff>209550</xdr:colOff>
      <xdr:row>16</xdr:row>
      <xdr:rowOff>171450</xdr:rowOff>
    </xdr:from>
    <xdr:to>
      <xdr:col>10</xdr:col>
      <xdr:colOff>419100</xdr:colOff>
      <xdr:row>29</xdr:row>
      <xdr:rowOff>19050</xdr:rowOff>
    </xdr:to>
    <xdr:graphicFrame macro="">
      <xdr:nvGraphicFramePr>
        <xdr:cNvPr id="31" name="Chart 30">
          <a:extLst>
            <a:ext uri="{FF2B5EF4-FFF2-40B4-BE49-F238E27FC236}">
              <a16:creationId xmlns:a16="http://schemas.microsoft.com/office/drawing/2014/main" id="{099862CE-7FA1-4F1F-A835-5888A2AD2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180976</xdr:colOff>
      <xdr:row>15</xdr:row>
      <xdr:rowOff>142875</xdr:rowOff>
    </xdr:from>
    <xdr:to>
      <xdr:col>11</xdr:col>
      <xdr:colOff>0</xdr:colOff>
      <xdr:row>17</xdr:row>
      <xdr:rowOff>104775</xdr:rowOff>
    </xdr:to>
    <xdr:sp macro="" textlink="">
      <xdr:nvSpPr>
        <xdr:cNvPr id="32" name="TextBox 31">
          <a:extLst>
            <a:ext uri="{FF2B5EF4-FFF2-40B4-BE49-F238E27FC236}">
              <a16:creationId xmlns:a16="http://schemas.microsoft.com/office/drawing/2014/main" id="{C2D9D4E5-ACB8-4CA8-A4BD-1ED83ED4D9D9}"/>
            </a:ext>
          </a:extLst>
        </xdr:cNvPr>
        <xdr:cNvSpPr txBox="1"/>
      </xdr:nvSpPr>
      <xdr:spPr>
        <a:xfrm>
          <a:off x="3228976" y="2857500"/>
          <a:ext cx="347662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No. of Patients by Insurance Status</a:t>
          </a:r>
        </a:p>
      </xdr:txBody>
    </xdr:sp>
    <xdr:clientData/>
  </xdr:twoCellAnchor>
  <xdr:twoCellAnchor>
    <xdr:from>
      <xdr:col>16</xdr:col>
      <xdr:colOff>466726</xdr:colOff>
      <xdr:row>9</xdr:row>
      <xdr:rowOff>28575</xdr:rowOff>
    </xdr:from>
    <xdr:to>
      <xdr:col>19</xdr:col>
      <xdr:colOff>476250</xdr:colOff>
      <xdr:row>11</xdr:row>
      <xdr:rowOff>104775</xdr:rowOff>
    </xdr:to>
    <xdr:sp macro="" textlink="'Pivot Table'!I7">
      <xdr:nvSpPr>
        <xdr:cNvPr id="33" name="TextBox 32">
          <a:extLst>
            <a:ext uri="{FF2B5EF4-FFF2-40B4-BE49-F238E27FC236}">
              <a16:creationId xmlns:a16="http://schemas.microsoft.com/office/drawing/2014/main" id="{E8C2536A-21BA-EEBC-46DF-BD55A2B0867F}"/>
            </a:ext>
          </a:extLst>
        </xdr:cNvPr>
        <xdr:cNvSpPr txBox="1"/>
      </xdr:nvSpPr>
      <xdr:spPr>
        <a:xfrm>
          <a:off x="10220326" y="1657350"/>
          <a:ext cx="183832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E52D6CC-A890-49E9-B314-BF53101D24BA}" type="TxLink">
            <a:rPr lang="en-US" sz="2800" b="1" i="0" u="none" strike="noStrike">
              <a:solidFill>
                <a:srgbClr val="FFC000"/>
              </a:solidFill>
              <a:latin typeface="Aptos Narrow"/>
            </a:rPr>
            <a:pPr/>
            <a:t>★★★☆☆</a:t>
          </a:fld>
          <a:endParaRPr lang="en-IN" sz="2800" b="1">
            <a:solidFill>
              <a:srgbClr val="FFC000"/>
            </a:solidFill>
          </a:endParaRPr>
        </a:p>
      </xdr:txBody>
    </xdr:sp>
    <xdr:clientData/>
  </xdr:twoCellAnchor>
  <xdr:twoCellAnchor>
    <xdr:from>
      <xdr:col>16</xdr:col>
      <xdr:colOff>571499</xdr:colOff>
      <xdr:row>12</xdr:row>
      <xdr:rowOff>57150</xdr:rowOff>
    </xdr:from>
    <xdr:to>
      <xdr:col>20</xdr:col>
      <xdr:colOff>9525</xdr:colOff>
      <xdr:row>14</xdr:row>
      <xdr:rowOff>19050</xdr:rowOff>
    </xdr:to>
    <xdr:sp macro="" textlink="">
      <xdr:nvSpPr>
        <xdr:cNvPr id="34" name="TextBox 33">
          <a:extLst>
            <a:ext uri="{FF2B5EF4-FFF2-40B4-BE49-F238E27FC236}">
              <a16:creationId xmlns:a16="http://schemas.microsoft.com/office/drawing/2014/main" id="{F82ABAA5-8D1D-456C-B112-1CA6554ADEF8}"/>
            </a:ext>
          </a:extLst>
        </xdr:cNvPr>
        <xdr:cNvSpPr txBox="1"/>
      </xdr:nvSpPr>
      <xdr:spPr>
        <a:xfrm>
          <a:off x="10325099" y="2228850"/>
          <a:ext cx="18764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rgbClr val="99AD7A"/>
              </a:solidFill>
              <a:latin typeface="+mn-lt"/>
              <a:ea typeface="+mn-ea"/>
              <a:cs typeface="+mn-cs"/>
            </a:rPr>
            <a:t>Satisfaction Score</a:t>
          </a:r>
          <a:endParaRPr lang="en-IN" sz="1600" b="1">
            <a:solidFill>
              <a:srgbClr val="99AD7A"/>
            </a:solidFill>
            <a:latin typeface="+mn-lt"/>
            <a:ea typeface="+mn-ea"/>
            <a:cs typeface="+mn-cs"/>
          </a:endParaRPr>
        </a:p>
      </xdr:txBody>
    </xdr:sp>
    <xdr:clientData/>
  </xdr:twoCellAnchor>
  <xdr:twoCellAnchor>
    <xdr:from>
      <xdr:col>19</xdr:col>
      <xdr:colOff>266701</xdr:colOff>
      <xdr:row>9</xdr:row>
      <xdr:rowOff>85725</xdr:rowOff>
    </xdr:from>
    <xdr:to>
      <xdr:col>20</xdr:col>
      <xdr:colOff>133350</xdr:colOff>
      <xdr:row>11</xdr:row>
      <xdr:rowOff>95250</xdr:rowOff>
    </xdr:to>
    <xdr:sp macro="" textlink="'Pivot Table'!I5">
      <xdr:nvSpPr>
        <xdr:cNvPr id="35" name="TextBox 34">
          <a:extLst>
            <a:ext uri="{FF2B5EF4-FFF2-40B4-BE49-F238E27FC236}">
              <a16:creationId xmlns:a16="http://schemas.microsoft.com/office/drawing/2014/main" id="{CA441912-B290-D739-96D7-864CDE56A8C4}"/>
            </a:ext>
          </a:extLst>
        </xdr:cNvPr>
        <xdr:cNvSpPr txBox="1"/>
      </xdr:nvSpPr>
      <xdr:spPr>
        <a:xfrm>
          <a:off x="11849101" y="1714500"/>
          <a:ext cx="4762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9C6966-0878-4751-8D44-7A90A3660BB9}" type="TxLink">
            <a:rPr lang="en-US" sz="1800" b="1" i="0" u="none" strike="noStrike">
              <a:solidFill>
                <a:schemeClr val="tx1">
                  <a:lumMod val="85000"/>
                  <a:lumOff val="15000"/>
                </a:schemeClr>
              </a:solidFill>
              <a:latin typeface="Aptos Narrow"/>
            </a:rPr>
            <a:pPr/>
            <a:t>2.914</a:t>
          </a:fld>
          <a:endParaRPr lang="en-IN" sz="1800" b="1">
            <a:solidFill>
              <a:schemeClr val="tx1">
                <a:lumMod val="85000"/>
                <a:lumOff val="15000"/>
              </a:schemeClr>
            </a:solidFill>
          </a:endParaRPr>
        </a:p>
      </xdr:txBody>
    </xdr:sp>
    <xdr:clientData/>
  </xdr:twoCellAnchor>
  <xdr:twoCellAnchor>
    <xdr:from>
      <xdr:col>11</xdr:col>
      <xdr:colOff>152401</xdr:colOff>
      <xdr:row>17</xdr:row>
      <xdr:rowOff>85725</xdr:rowOff>
    </xdr:from>
    <xdr:to>
      <xdr:col>16</xdr:col>
      <xdr:colOff>533401</xdr:colOff>
      <xdr:row>28</xdr:row>
      <xdr:rowOff>66675</xdr:rowOff>
    </xdr:to>
    <xdr:graphicFrame macro="">
      <xdr:nvGraphicFramePr>
        <xdr:cNvPr id="52" name="Chart 35">
          <a:extLst>
            <a:ext uri="{FF2B5EF4-FFF2-40B4-BE49-F238E27FC236}">
              <a16:creationId xmlns:a16="http://schemas.microsoft.com/office/drawing/2014/main" id="{C1036E6B-0238-448A-8F33-53C5C2D89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57151</xdr:colOff>
      <xdr:row>15</xdr:row>
      <xdr:rowOff>114300</xdr:rowOff>
    </xdr:from>
    <xdr:to>
      <xdr:col>16</xdr:col>
      <xdr:colOff>66675</xdr:colOff>
      <xdr:row>17</xdr:row>
      <xdr:rowOff>76200</xdr:rowOff>
    </xdr:to>
    <xdr:sp macro="" textlink="">
      <xdr:nvSpPr>
        <xdr:cNvPr id="53" name="TextBox 52">
          <a:extLst>
            <a:ext uri="{FF2B5EF4-FFF2-40B4-BE49-F238E27FC236}">
              <a16:creationId xmlns:a16="http://schemas.microsoft.com/office/drawing/2014/main" id="{EB82D293-1088-427C-B336-BBCB0DF98162}"/>
            </a:ext>
          </a:extLst>
        </xdr:cNvPr>
        <xdr:cNvSpPr txBox="1"/>
      </xdr:nvSpPr>
      <xdr:spPr>
        <a:xfrm>
          <a:off x="7372351" y="2828925"/>
          <a:ext cx="244792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No. of Patients by Region</a:t>
          </a:r>
        </a:p>
      </xdr:txBody>
    </xdr:sp>
    <xdr:clientData/>
  </xdr:twoCellAnchor>
  <xdr:twoCellAnchor>
    <xdr:from>
      <xdr:col>17</xdr:col>
      <xdr:colOff>95250</xdr:colOff>
      <xdr:row>16</xdr:row>
      <xdr:rowOff>142876</xdr:rowOff>
    </xdr:from>
    <xdr:to>
      <xdr:col>24</xdr:col>
      <xdr:colOff>123825</xdr:colOff>
      <xdr:row>28</xdr:row>
      <xdr:rowOff>95250</xdr:rowOff>
    </xdr:to>
    <xdr:graphicFrame macro="">
      <xdr:nvGraphicFramePr>
        <xdr:cNvPr id="56" name="status">
          <a:extLst>
            <a:ext uri="{FF2B5EF4-FFF2-40B4-BE49-F238E27FC236}">
              <a16:creationId xmlns:a16="http://schemas.microsoft.com/office/drawing/2014/main" id="{5B2E951F-086F-4FFB-849C-E409A8397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390526</xdr:colOff>
      <xdr:row>15</xdr:row>
      <xdr:rowOff>133350</xdr:rowOff>
    </xdr:from>
    <xdr:to>
      <xdr:col>22</xdr:col>
      <xdr:colOff>400050</xdr:colOff>
      <xdr:row>17</xdr:row>
      <xdr:rowOff>95250</xdr:rowOff>
    </xdr:to>
    <xdr:sp macro="" textlink="">
      <xdr:nvSpPr>
        <xdr:cNvPr id="57" name="TextBox 56">
          <a:extLst>
            <a:ext uri="{FF2B5EF4-FFF2-40B4-BE49-F238E27FC236}">
              <a16:creationId xmlns:a16="http://schemas.microsoft.com/office/drawing/2014/main" id="{ECD51576-2892-4308-9A6F-8CC7D5CBBC58}"/>
            </a:ext>
          </a:extLst>
        </xdr:cNvPr>
        <xdr:cNvSpPr txBox="1"/>
      </xdr:nvSpPr>
      <xdr:spPr>
        <a:xfrm>
          <a:off x="11363326" y="2847975"/>
          <a:ext cx="244792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No. of Patients by Status</a:t>
          </a:r>
        </a:p>
      </xdr:txBody>
    </xdr:sp>
    <xdr:clientData/>
  </xdr:twoCellAnchor>
  <xdr:twoCellAnchor>
    <xdr:from>
      <xdr:col>5</xdr:col>
      <xdr:colOff>19050</xdr:colOff>
      <xdr:row>30</xdr:row>
      <xdr:rowOff>171450</xdr:rowOff>
    </xdr:from>
    <xdr:to>
      <xdr:col>14</xdr:col>
      <xdr:colOff>285750</xdr:colOff>
      <xdr:row>42</xdr:row>
      <xdr:rowOff>19050</xdr:rowOff>
    </xdr:to>
    <xdr:graphicFrame macro="">
      <xdr:nvGraphicFramePr>
        <xdr:cNvPr id="58" name="Chart 57">
          <a:extLst>
            <a:ext uri="{FF2B5EF4-FFF2-40B4-BE49-F238E27FC236}">
              <a16:creationId xmlns:a16="http://schemas.microsoft.com/office/drawing/2014/main" id="{DE273568-8514-4871-A042-681402839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304801</xdr:colOff>
      <xdr:row>29</xdr:row>
      <xdr:rowOff>66675</xdr:rowOff>
    </xdr:from>
    <xdr:to>
      <xdr:col>11</xdr:col>
      <xdr:colOff>314325</xdr:colOff>
      <xdr:row>31</xdr:row>
      <xdr:rowOff>28575</xdr:rowOff>
    </xdr:to>
    <xdr:sp macro="" textlink="">
      <xdr:nvSpPr>
        <xdr:cNvPr id="59" name="TextBox 58">
          <a:extLst>
            <a:ext uri="{FF2B5EF4-FFF2-40B4-BE49-F238E27FC236}">
              <a16:creationId xmlns:a16="http://schemas.microsoft.com/office/drawing/2014/main" id="{9297B9D0-7B0A-2130-940C-60B2BEA05B3F}"/>
            </a:ext>
          </a:extLst>
        </xdr:cNvPr>
        <xdr:cNvSpPr txBox="1"/>
      </xdr:nvSpPr>
      <xdr:spPr>
        <a:xfrm>
          <a:off x="4572001" y="5314950"/>
          <a:ext cx="244792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No. of Patients by Month</a:t>
          </a:r>
        </a:p>
      </xdr:txBody>
    </xdr:sp>
    <xdr:clientData/>
  </xdr:twoCellAnchor>
  <xdr:twoCellAnchor>
    <xdr:from>
      <xdr:col>14</xdr:col>
      <xdr:colOff>466724</xdr:colOff>
      <xdr:row>30</xdr:row>
      <xdr:rowOff>28574</xdr:rowOff>
    </xdr:from>
    <xdr:to>
      <xdr:col>24</xdr:col>
      <xdr:colOff>228599</xdr:colOff>
      <xdr:row>42</xdr:row>
      <xdr:rowOff>104775</xdr:rowOff>
    </xdr:to>
    <xdr:graphicFrame macro="">
      <xdr:nvGraphicFramePr>
        <xdr:cNvPr id="61" name="Chart 60">
          <a:extLst>
            <a:ext uri="{FF2B5EF4-FFF2-40B4-BE49-F238E27FC236}">
              <a16:creationId xmlns:a16="http://schemas.microsoft.com/office/drawing/2014/main" id="{341CBB97-52DD-4D57-8544-7EE4E691E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28575</xdr:colOff>
      <xdr:row>28</xdr:row>
      <xdr:rowOff>133350</xdr:rowOff>
    </xdr:from>
    <xdr:to>
      <xdr:col>22</xdr:col>
      <xdr:colOff>123825</xdr:colOff>
      <xdr:row>30</xdr:row>
      <xdr:rowOff>95250</xdr:rowOff>
    </xdr:to>
    <xdr:sp macro="" textlink="">
      <xdr:nvSpPr>
        <xdr:cNvPr id="62" name="TextBox 61">
          <a:extLst>
            <a:ext uri="{FF2B5EF4-FFF2-40B4-BE49-F238E27FC236}">
              <a16:creationId xmlns:a16="http://schemas.microsoft.com/office/drawing/2014/main" id="{6B81FD1C-1A5F-8CB4-2C33-C22113FB54A0}"/>
            </a:ext>
          </a:extLst>
        </xdr:cNvPr>
        <xdr:cNvSpPr txBox="1"/>
      </xdr:nvSpPr>
      <xdr:spPr>
        <a:xfrm>
          <a:off x="9782175" y="5200650"/>
          <a:ext cx="3752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Diagnosis Distribution </a:t>
          </a:r>
          <a:r>
            <a:rPr lang="en-IN" sz="1600" b="1">
              <a:solidFill>
                <a:sysClr val="windowText" lastClr="000000"/>
              </a:solidFill>
            </a:rPr>
            <a:t>by Insurance Status</a:t>
          </a:r>
        </a:p>
      </xdr:txBody>
    </xdr:sp>
    <xdr:clientData/>
  </xdr:twoCellAnchor>
  <xdr:twoCellAnchor>
    <xdr:from>
      <xdr:col>0</xdr:col>
      <xdr:colOff>57151</xdr:colOff>
      <xdr:row>8</xdr:row>
      <xdr:rowOff>123824</xdr:rowOff>
    </xdr:from>
    <xdr:to>
      <xdr:col>4</xdr:col>
      <xdr:colOff>428626</xdr:colOff>
      <xdr:row>42</xdr:row>
      <xdr:rowOff>66676</xdr:rowOff>
    </xdr:to>
    <xdr:grpSp>
      <xdr:nvGrpSpPr>
        <xdr:cNvPr id="14" name="Group 13">
          <a:extLst>
            <a:ext uri="{FF2B5EF4-FFF2-40B4-BE49-F238E27FC236}">
              <a16:creationId xmlns:a16="http://schemas.microsoft.com/office/drawing/2014/main" id="{2124FA37-FD0B-B098-FC39-A4DBC97D9E19}"/>
            </a:ext>
          </a:extLst>
        </xdr:cNvPr>
        <xdr:cNvGrpSpPr/>
      </xdr:nvGrpSpPr>
      <xdr:grpSpPr>
        <a:xfrm>
          <a:off x="57151" y="1571624"/>
          <a:ext cx="2809875" cy="6096002"/>
          <a:chOff x="57151" y="1571624"/>
          <a:chExt cx="2809875" cy="6096002"/>
        </a:xfrm>
      </xdr:grpSpPr>
      <mc:AlternateContent xmlns:mc="http://schemas.openxmlformats.org/markup-compatibility/2006" xmlns:a14="http://schemas.microsoft.com/office/drawing/2010/main">
        <mc:Choice Requires="a14">
          <xdr:graphicFrame macro="">
            <xdr:nvGraphicFramePr>
              <xdr:cNvPr id="63" name="Diagnosis">
                <a:extLst>
                  <a:ext uri="{FF2B5EF4-FFF2-40B4-BE49-F238E27FC236}">
                    <a16:creationId xmlns:a16="http://schemas.microsoft.com/office/drawing/2014/main" id="{B6D5D47E-3368-410B-A8E1-455DDD99DBEC}"/>
                  </a:ext>
                </a:extLst>
              </xdr:cNvPr>
              <xdr:cNvGraphicFramePr/>
            </xdr:nvGraphicFramePr>
            <xdr:xfrm>
              <a:off x="66676" y="1571624"/>
              <a:ext cx="2800350" cy="2333626"/>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66676" y="1571624"/>
                <a:ext cx="2800350" cy="233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4" name="Insurance Status">
                <a:extLst>
                  <a:ext uri="{FF2B5EF4-FFF2-40B4-BE49-F238E27FC236}">
                    <a16:creationId xmlns:a16="http://schemas.microsoft.com/office/drawing/2014/main" id="{FA7428A3-A451-4F05-98D9-34D04DFE2DEE}"/>
                  </a:ext>
                </a:extLst>
              </xdr:cNvPr>
              <xdr:cNvGraphicFramePr/>
            </xdr:nvGraphicFramePr>
            <xdr:xfrm>
              <a:off x="57151" y="3600449"/>
              <a:ext cx="2808000" cy="1362076"/>
            </xdr:xfrm>
            <a:graphic>
              <a:graphicData uri="http://schemas.microsoft.com/office/drawing/2010/slicer">
                <sle:slicer xmlns:sle="http://schemas.microsoft.com/office/drawing/2010/slicer" name="Insurance Status"/>
              </a:graphicData>
            </a:graphic>
          </xdr:graphicFrame>
        </mc:Choice>
        <mc:Fallback xmlns="">
          <xdr:sp macro="" textlink="">
            <xdr:nvSpPr>
              <xdr:cNvPr id="0" name=""/>
              <xdr:cNvSpPr>
                <a:spLocks noTextEdit="1"/>
              </xdr:cNvSpPr>
            </xdr:nvSpPr>
            <xdr:spPr>
              <a:xfrm>
                <a:off x="57151" y="3600449"/>
                <a:ext cx="2808000" cy="136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6" name="Department">
                <a:extLst>
                  <a:ext uri="{FF2B5EF4-FFF2-40B4-BE49-F238E27FC236}">
                    <a16:creationId xmlns:a16="http://schemas.microsoft.com/office/drawing/2014/main" id="{F5238E4E-08A1-4E94-A758-B9C244978506}"/>
                  </a:ext>
                </a:extLst>
              </xdr:cNvPr>
              <xdr:cNvGraphicFramePr/>
            </xdr:nvGraphicFramePr>
            <xdr:xfrm>
              <a:off x="142874" y="4733926"/>
              <a:ext cx="2700000" cy="293370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2874" y="4733926"/>
                <a:ext cx="270000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24</xdr:col>
      <xdr:colOff>400051</xdr:colOff>
      <xdr:row>8</xdr:row>
      <xdr:rowOff>161924</xdr:rowOff>
    </xdr:from>
    <xdr:to>
      <xdr:col>28</xdr:col>
      <xdr:colOff>542925</xdr:colOff>
      <xdr:row>19</xdr:row>
      <xdr:rowOff>171450</xdr:rowOff>
    </xdr:to>
    <mc:AlternateContent xmlns:mc="http://schemas.openxmlformats.org/markup-compatibility/2006" xmlns:a14="http://schemas.microsoft.com/office/drawing/2010/main">
      <mc:Choice Requires="a14">
        <xdr:graphicFrame macro="">
          <xdr:nvGraphicFramePr>
            <xdr:cNvPr id="67" name="Treatment Status">
              <a:extLst>
                <a:ext uri="{FF2B5EF4-FFF2-40B4-BE49-F238E27FC236}">
                  <a16:creationId xmlns:a16="http://schemas.microsoft.com/office/drawing/2014/main" id="{B70079F0-E6E7-430F-89A0-BC42229FF4CF}"/>
                </a:ext>
              </a:extLst>
            </xdr:cNvPr>
            <xdr:cNvGraphicFramePr/>
          </xdr:nvGraphicFramePr>
          <xdr:xfrm>
            <a:off x="0" y="0"/>
            <a:ext cx="0" cy="0"/>
          </xdr:xfrm>
          <a:graphic>
            <a:graphicData uri="http://schemas.microsoft.com/office/drawing/2010/slicer">
              <sle:slicer xmlns:sle="http://schemas.microsoft.com/office/drawing/2010/slicer" name="Treatment Status"/>
            </a:graphicData>
          </a:graphic>
        </xdr:graphicFrame>
      </mc:Choice>
      <mc:Fallback xmlns="">
        <xdr:sp macro="" textlink="">
          <xdr:nvSpPr>
            <xdr:cNvPr id="0" name=""/>
            <xdr:cNvSpPr>
              <a:spLocks noTextEdit="1"/>
            </xdr:cNvSpPr>
          </xdr:nvSpPr>
          <xdr:spPr>
            <a:xfrm>
              <a:off x="15030451" y="1609724"/>
              <a:ext cx="2581274" cy="2000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428625</xdr:colOff>
      <xdr:row>19</xdr:row>
      <xdr:rowOff>95250</xdr:rowOff>
    </xdr:from>
    <xdr:to>
      <xdr:col>28</xdr:col>
      <xdr:colOff>581025</xdr:colOff>
      <xdr:row>27</xdr:row>
      <xdr:rowOff>133350</xdr:rowOff>
    </xdr:to>
    <mc:AlternateContent xmlns:mc="http://schemas.openxmlformats.org/markup-compatibility/2006" xmlns:a14="http://schemas.microsoft.com/office/drawing/2010/main">
      <mc:Choice Requires="a14">
        <xdr:graphicFrame macro="">
          <xdr:nvGraphicFramePr>
            <xdr:cNvPr id="68" name="Region">
              <a:extLst>
                <a:ext uri="{FF2B5EF4-FFF2-40B4-BE49-F238E27FC236}">
                  <a16:creationId xmlns:a16="http://schemas.microsoft.com/office/drawing/2014/main" id="{8F8109C2-FD32-4F7A-A33E-13E59F9D0F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059025" y="3533775"/>
              <a:ext cx="2590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457200</xdr:colOff>
      <xdr:row>27</xdr:row>
      <xdr:rowOff>47625</xdr:rowOff>
    </xdr:from>
    <xdr:to>
      <xdr:col>28</xdr:col>
      <xdr:colOff>516376</xdr:colOff>
      <xdr:row>42</xdr:row>
      <xdr:rowOff>66675</xdr:rowOff>
    </xdr:to>
    <mc:AlternateContent xmlns:mc="http://schemas.openxmlformats.org/markup-compatibility/2006" xmlns:a14="http://schemas.microsoft.com/office/drawing/2010/main">
      <mc:Choice Requires="a14">
        <xdr:graphicFrame macro="">
          <xdr:nvGraphicFramePr>
            <xdr:cNvPr id="69" name="Month">
              <a:extLst>
                <a:ext uri="{FF2B5EF4-FFF2-40B4-BE49-F238E27FC236}">
                  <a16:creationId xmlns:a16="http://schemas.microsoft.com/office/drawing/2014/main" id="{CD4D62D2-A097-45CD-99D0-DDB925D67B2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087600" y="4933950"/>
              <a:ext cx="2497576"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xdr:colOff>
      <xdr:row>5</xdr:row>
      <xdr:rowOff>66675</xdr:rowOff>
    </xdr:from>
    <xdr:to>
      <xdr:col>6</xdr:col>
      <xdr:colOff>495300</xdr:colOff>
      <xdr:row>8</xdr:row>
      <xdr:rowOff>19050</xdr:rowOff>
    </xdr:to>
    <xdr:sp macro="" textlink="">
      <xdr:nvSpPr>
        <xdr:cNvPr id="36" name="TextBox 35">
          <a:hlinkClick xmlns:r="http://schemas.openxmlformats.org/officeDocument/2006/relationships" r:id="rId6"/>
          <a:extLst>
            <a:ext uri="{FF2B5EF4-FFF2-40B4-BE49-F238E27FC236}">
              <a16:creationId xmlns:a16="http://schemas.microsoft.com/office/drawing/2014/main" id="{CE1F3FAD-D6AA-B34A-5E65-C05846CC5D1E}"/>
            </a:ext>
          </a:extLst>
        </xdr:cNvPr>
        <xdr:cNvSpPr txBox="1"/>
      </xdr:nvSpPr>
      <xdr:spPr>
        <a:xfrm>
          <a:off x="1228725" y="971550"/>
          <a:ext cx="29241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Overview</a:t>
          </a:r>
        </a:p>
      </xdr:txBody>
    </xdr:sp>
    <xdr:clientData/>
  </xdr:twoCellAnchor>
  <xdr:twoCellAnchor>
    <xdr:from>
      <xdr:col>7</xdr:col>
      <xdr:colOff>314325</xdr:colOff>
      <xdr:row>5</xdr:row>
      <xdr:rowOff>95250</xdr:rowOff>
    </xdr:from>
    <xdr:to>
      <xdr:col>12</xdr:col>
      <xdr:colOff>190500</xdr:colOff>
      <xdr:row>8</xdr:row>
      <xdr:rowOff>47625</xdr:rowOff>
    </xdr:to>
    <xdr:sp macro="" textlink="">
      <xdr:nvSpPr>
        <xdr:cNvPr id="37" name="TextBox 36">
          <a:hlinkClick xmlns:r="http://schemas.openxmlformats.org/officeDocument/2006/relationships" r:id="rId7"/>
          <a:extLst>
            <a:ext uri="{FF2B5EF4-FFF2-40B4-BE49-F238E27FC236}">
              <a16:creationId xmlns:a16="http://schemas.microsoft.com/office/drawing/2014/main" id="{F91B13C1-A24D-119B-AAD5-CB356EC4FF50}"/>
            </a:ext>
          </a:extLst>
        </xdr:cNvPr>
        <xdr:cNvSpPr txBox="1"/>
      </xdr:nvSpPr>
      <xdr:spPr>
        <a:xfrm>
          <a:off x="4581525" y="1000125"/>
          <a:ext cx="29241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Financial Analysis</a:t>
          </a:r>
        </a:p>
      </xdr:txBody>
    </xdr:sp>
    <xdr:clientData/>
  </xdr:twoCellAnchor>
  <xdr:twoCellAnchor>
    <xdr:from>
      <xdr:col>13</xdr:col>
      <xdr:colOff>57150</xdr:colOff>
      <xdr:row>5</xdr:row>
      <xdr:rowOff>66675</xdr:rowOff>
    </xdr:from>
    <xdr:to>
      <xdr:col>17</xdr:col>
      <xdr:colOff>257175</xdr:colOff>
      <xdr:row>8</xdr:row>
      <xdr:rowOff>19050</xdr:rowOff>
    </xdr:to>
    <xdr:sp macro="" textlink="">
      <xdr:nvSpPr>
        <xdr:cNvPr id="38" name="TextBox 37">
          <a:hlinkClick xmlns:r="http://schemas.openxmlformats.org/officeDocument/2006/relationships" r:id="rId8"/>
          <a:extLst>
            <a:ext uri="{FF2B5EF4-FFF2-40B4-BE49-F238E27FC236}">
              <a16:creationId xmlns:a16="http://schemas.microsoft.com/office/drawing/2014/main" id="{2C42598D-DF0C-42D0-97F9-173A1EE560B7}"/>
            </a:ext>
          </a:extLst>
        </xdr:cNvPr>
        <xdr:cNvSpPr txBox="1"/>
      </xdr:nvSpPr>
      <xdr:spPr>
        <a:xfrm>
          <a:off x="7981950" y="97155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Doctor Performance</a:t>
          </a:r>
        </a:p>
      </xdr:txBody>
    </xdr:sp>
    <xdr:clientData/>
  </xdr:twoCellAnchor>
  <xdr:twoCellAnchor>
    <xdr:from>
      <xdr:col>23</xdr:col>
      <xdr:colOff>295275</xdr:colOff>
      <xdr:row>5</xdr:row>
      <xdr:rowOff>38100</xdr:rowOff>
    </xdr:from>
    <xdr:to>
      <xdr:col>27</xdr:col>
      <xdr:colOff>495300</xdr:colOff>
      <xdr:row>7</xdr:row>
      <xdr:rowOff>171450</xdr:rowOff>
    </xdr:to>
    <xdr:sp macro="" textlink="">
      <xdr:nvSpPr>
        <xdr:cNvPr id="39" name="TextBox 38">
          <a:hlinkClick xmlns:r="http://schemas.openxmlformats.org/officeDocument/2006/relationships" r:id="rId9"/>
          <a:extLst>
            <a:ext uri="{FF2B5EF4-FFF2-40B4-BE49-F238E27FC236}">
              <a16:creationId xmlns:a16="http://schemas.microsoft.com/office/drawing/2014/main" id="{653CAE92-1CA4-4AD5-BCF4-C5A93E6A66EB}"/>
            </a:ext>
          </a:extLst>
        </xdr:cNvPr>
        <xdr:cNvSpPr txBox="1"/>
      </xdr:nvSpPr>
      <xdr:spPr>
        <a:xfrm>
          <a:off x="14316075" y="94297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Patient Analysis</a:t>
          </a:r>
          <a:r>
            <a:rPr lang="en-IN" sz="1800" b="1" u="sng">
              <a:solidFill>
                <a:sysClr val="windowText" lastClr="000000"/>
              </a:solidFill>
              <a:latin typeface="Arial Narrow" panose="020B0606020202030204" pitchFamily="34" charset="0"/>
            </a:rPr>
            <a:t> </a:t>
          </a:r>
        </a:p>
      </xdr:txBody>
    </xdr:sp>
    <xdr:clientData/>
  </xdr:twoCellAnchor>
  <xdr:twoCellAnchor>
    <xdr:from>
      <xdr:col>18</xdr:col>
      <xdr:colOff>85725</xdr:colOff>
      <xdr:row>5</xdr:row>
      <xdr:rowOff>66675</xdr:rowOff>
    </xdr:from>
    <xdr:to>
      <xdr:col>22</xdr:col>
      <xdr:colOff>285750</xdr:colOff>
      <xdr:row>8</xdr:row>
      <xdr:rowOff>19050</xdr:rowOff>
    </xdr:to>
    <xdr:sp macro="" textlink="">
      <xdr:nvSpPr>
        <xdr:cNvPr id="40" name="TextBox 39">
          <a:hlinkClick xmlns:r="http://schemas.openxmlformats.org/officeDocument/2006/relationships" r:id="rId10"/>
          <a:extLst>
            <a:ext uri="{FF2B5EF4-FFF2-40B4-BE49-F238E27FC236}">
              <a16:creationId xmlns:a16="http://schemas.microsoft.com/office/drawing/2014/main" id="{6E5C5D2F-5947-4270-9584-07A4E9F12649}"/>
            </a:ext>
          </a:extLst>
        </xdr:cNvPr>
        <xdr:cNvSpPr txBox="1"/>
      </xdr:nvSpPr>
      <xdr:spPr>
        <a:xfrm>
          <a:off x="11058525" y="97155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Department</a:t>
          </a:r>
          <a:r>
            <a:rPr lang="en-IN" sz="1800" b="1" u="sng">
              <a:solidFill>
                <a:sysClr val="windowText" lastClr="000000"/>
              </a:solidFill>
              <a:latin typeface="Arial Narrow" panose="020B0606020202030204" pitchFamily="34" charset="0"/>
            </a:rPr>
            <a:t> Performance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8</xdr:row>
      <xdr:rowOff>76200</xdr:rowOff>
    </xdr:from>
    <xdr:to>
      <xdr:col>4</xdr:col>
      <xdr:colOff>447300</xdr:colOff>
      <xdr:row>42</xdr:row>
      <xdr:rowOff>97050</xdr:rowOff>
    </xdr:to>
    <xdr:sp macro="" textlink="">
      <xdr:nvSpPr>
        <xdr:cNvPr id="7" name="Rectangle 6">
          <a:extLst>
            <a:ext uri="{FF2B5EF4-FFF2-40B4-BE49-F238E27FC236}">
              <a16:creationId xmlns:a16="http://schemas.microsoft.com/office/drawing/2014/main" id="{C1B3B002-C32C-4D9D-8526-F1ECF2989984}"/>
            </a:ext>
          </a:extLst>
        </xdr:cNvPr>
        <xdr:cNvSpPr/>
      </xdr:nvSpPr>
      <xdr:spPr>
        <a:xfrm>
          <a:off x="38100" y="1524000"/>
          <a:ext cx="28476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29</xdr:col>
      <xdr:colOff>69600</xdr:colOff>
      <xdr:row>8</xdr:row>
      <xdr:rowOff>28200</xdr:rowOff>
    </xdr:to>
    <xdr:sp macro="" textlink="">
      <xdr:nvSpPr>
        <xdr:cNvPr id="2" name="Rectangle: Top Corners Rounded 1">
          <a:extLst>
            <a:ext uri="{FF2B5EF4-FFF2-40B4-BE49-F238E27FC236}">
              <a16:creationId xmlns:a16="http://schemas.microsoft.com/office/drawing/2014/main" id="{5E70D2DB-CDED-4157-92AD-1172A4AE29CF}"/>
            </a:ext>
          </a:extLst>
        </xdr:cNvPr>
        <xdr:cNvSpPr/>
      </xdr:nvSpPr>
      <xdr:spPr>
        <a:xfrm>
          <a:off x="0" y="0"/>
          <a:ext cx="17748000" cy="1476000"/>
        </a:xfrm>
        <a:prstGeom prst="round2SameRect">
          <a:avLst/>
        </a:prstGeom>
        <a:solidFill>
          <a:srgbClr val="99AD7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105130</xdr:colOff>
      <xdr:row>8</xdr:row>
      <xdr:rowOff>85725</xdr:rowOff>
    </xdr:from>
    <xdr:to>
      <xdr:col>4</xdr:col>
      <xdr:colOff>366730</xdr:colOff>
      <xdr:row>21</xdr:row>
      <xdr:rowOff>41151</xdr:rowOff>
    </xdr:to>
    <mc:AlternateContent xmlns:mc="http://schemas.openxmlformats.org/markup-compatibility/2006" xmlns:a14="http://schemas.microsoft.com/office/drawing/2010/main">
      <mc:Choice Requires="a14">
        <xdr:graphicFrame macro="">
          <xdr:nvGraphicFramePr>
            <xdr:cNvPr id="4" name="Diagnosis 1">
              <a:extLst>
                <a:ext uri="{FF2B5EF4-FFF2-40B4-BE49-F238E27FC236}">
                  <a16:creationId xmlns:a16="http://schemas.microsoft.com/office/drawing/2014/main" id="{85065801-A933-6F8F-89A5-99B6D81B0D30}"/>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105130" y="1533525"/>
              <a:ext cx="2700000" cy="2308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105130</xdr:colOff>
      <xdr:row>19</xdr:row>
      <xdr:rowOff>130209</xdr:rowOff>
    </xdr:from>
    <xdr:to>
      <xdr:col>4</xdr:col>
      <xdr:colOff>366730</xdr:colOff>
      <xdr:row>27</xdr:row>
      <xdr:rowOff>29587</xdr:rowOff>
    </xdr:to>
    <mc:AlternateContent xmlns:mc="http://schemas.openxmlformats.org/markup-compatibility/2006" xmlns:a14="http://schemas.microsoft.com/office/drawing/2010/main">
      <mc:Choice Requires="a14">
        <xdr:graphicFrame macro="">
          <xdr:nvGraphicFramePr>
            <xdr:cNvPr id="5" name="Insurance Status 1">
              <a:extLst>
                <a:ext uri="{FF2B5EF4-FFF2-40B4-BE49-F238E27FC236}">
                  <a16:creationId xmlns:a16="http://schemas.microsoft.com/office/drawing/2014/main" id="{56469477-3C4D-CED7-7B05-2911CC966524}"/>
                </a:ext>
              </a:extLst>
            </xdr:cNvPr>
            <xdr:cNvGraphicFramePr/>
          </xdr:nvGraphicFramePr>
          <xdr:xfrm>
            <a:off x="0" y="0"/>
            <a:ext cx="0" cy="0"/>
          </xdr:xfrm>
          <a:graphic>
            <a:graphicData uri="http://schemas.microsoft.com/office/drawing/2010/slicer">
              <sle:slicer xmlns:sle="http://schemas.microsoft.com/office/drawing/2010/slicer" name="Insurance Status 1"/>
            </a:graphicData>
          </a:graphic>
        </xdr:graphicFrame>
      </mc:Choice>
      <mc:Fallback xmlns="">
        <xdr:sp macro="" textlink="">
          <xdr:nvSpPr>
            <xdr:cNvPr id="0" name=""/>
            <xdr:cNvSpPr>
              <a:spLocks noTextEdit="1"/>
            </xdr:cNvSpPr>
          </xdr:nvSpPr>
          <xdr:spPr>
            <a:xfrm>
              <a:off x="105130" y="3568734"/>
              <a:ext cx="2700000" cy="134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105130</xdr:colOff>
      <xdr:row>25</xdr:row>
      <xdr:rowOff>155913</xdr:rowOff>
    </xdr:from>
    <xdr:to>
      <xdr:col>4</xdr:col>
      <xdr:colOff>366730</xdr:colOff>
      <xdr:row>42</xdr:row>
      <xdr:rowOff>95250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F1C1987B-5750-D9DD-7F14-1626D985514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5130" y="4680288"/>
              <a:ext cx="2700000" cy="3015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247650</xdr:colOff>
      <xdr:row>8</xdr:row>
      <xdr:rowOff>76200</xdr:rowOff>
    </xdr:from>
    <xdr:to>
      <xdr:col>29</xdr:col>
      <xdr:colOff>47626</xdr:colOff>
      <xdr:row>42</xdr:row>
      <xdr:rowOff>95251</xdr:rowOff>
    </xdr:to>
    <xdr:sp macro="" textlink="">
      <xdr:nvSpPr>
        <xdr:cNvPr id="8" name="Rectangle 7">
          <a:extLst>
            <a:ext uri="{FF2B5EF4-FFF2-40B4-BE49-F238E27FC236}">
              <a16:creationId xmlns:a16="http://schemas.microsoft.com/office/drawing/2014/main" id="{1EF0BD04-6640-4E48-B0B3-5CF1CC6FB96D}"/>
            </a:ext>
          </a:extLst>
        </xdr:cNvPr>
        <xdr:cNvSpPr/>
      </xdr:nvSpPr>
      <xdr:spPr>
        <a:xfrm>
          <a:off x="14878050" y="1524000"/>
          <a:ext cx="2847976" cy="617220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552450</xdr:colOff>
      <xdr:row>8</xdr:row>
      <xdr:rowOff>76200</xdr:rowOff>
    </xdr:from>
    <xdr:to>
      <xdr:col>9</xdr:col>
      <xdr:colOff>384450</xdr:colOff>
      <xdr:row>14</xdr:row>
      <xdr:rowOff>66675</xdr:rowOff>
    </xdr:to>
    <xdr:sp macro="" textlink="">
      <xdr:nvSpPr>
        <xdr:cNvPr id="10" name="Rectangle 9">
          <a:extLst>
            <a:ext uri="{FF2B5EF4-FFF2-40B4-BE49-F238E27FC236}">
              <a16:creationId xmlns:a16="http://schemas.microsoft.com/office/drawing/2014/main" id="{9358B6EC-9E65-4A82-B108-ABCB3C37B5A7}"/>
            </a:ext>
          </a:extLst>
        </xdr:cNvPr>
        <xdr:cNvSpPr/>
      </xdr:nvSpPr>
      <xdr:spPr>
        <a:xfrm>
          <a:off x="2990850" y="1524000"/>
          <a:ext cx="2880000"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400050</xdr:colOff>
      <xdr:row>8</xdr:row>
      <xdr:rowOff>76200</xdr:rowOff>
    </xdr:from>
    <xdr:to>
      <xdr:col>19</xdr:col>
      <xdr:colOff>232050</xdr:colOff>
      <xdr:row>14</xdr:row>
      <xdr:rowOff>66675</xdr:rowOff>
    </xdr:to>
    <xdr:sp macro="" textlink="">
      <xdr:nvSpPr>
        <xdr:cNvPr id="11" name="Rectangle 10">
          <a:extLst>
            <a:ext uri="{FF2B5EF4-FFF2-40B4-BE49-F238E27FC236}">
              <a16:creationId xmlns:a16="http://schemas.microsoft.com/office/drawing/2014/main" id="{8C0EB363-46C6-4F51-9A8D-ED998AD697FB}"/>
            </a:ext>
          </a:extLst>
        </xdr:cNvPr>
        <xdr:cNvSpPr/>
      </xdr:nvSpPr>
      <xdr:spPr>
        <a:xfrm>
          <a:off x="8934450" y="1524000"/>
          <a:ext cx="2880000"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542925</xdr:colOff>
      <xdr:row>28</xdr:row>
      <xdr:rowOff>123825</xdr:rowOff>
    </xdr:from>
    <xdr:to>
      <xdr:col>20</xdr:col>
      <xdr:colOff>41325</xdr:colOff>
      <xdr:row>42</xdr:row>
      <xdr:rowOff>85725</xdr:rowOff>
    </xdr:to>
    <xdr:sp macro="" textlink="">
      <xdr:nvSpPr>
        <xdr:cNvPr id="23" name="Rectangle 22">
          <a:extLst>
            <a:ext uri="{FF2B5EF4-FFF2-40B4-BE49-F238E27FC236}">
              <a16:creationId xmlns:a16="http://schemas.microsoft.com/office/drawing/2014/main" id="{DEB5CDEA-B0AA-4320-8004-41F59FE9F8D6}"/>
            </a:ext>
          </a:extLst>
        </xdr:cNvPr>
        <xdr:cNvSpPr/>
      </xdr:nvSpPr>
      <xdr:spPr>
        <a:xfrm>
          <a:off x="2981325" y="5191125"/>
          <a:ext cx="9252000" cy="24955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476250</xdr:colOff>
      <xdr:row>8</xdr:row>
      <xdr:rowOff>76200</xdr:rowOff>
    </xdr:from>
    <xdr:to>
      <xdr:col>14</xdr:col>
      <xdr:colOff>308250</xdr:colOff>
      <xdr:row>14</xdr:row>
      <xdr:rowOff>66675</xdr:rowOff>
    </xdr:to>
    <xdr:sp macro="" textlink="">
      <xdr:nvSpPr>
        <xdr:cNvPr id="12" name="Rectangle 11">
          <a:extLst>
            <a:ext uri="{FF2B5EF4-FFF2-40B4-BE49-F238E27FC236}">
              <a16:creationId xmlns:a16="http://schemas.microsoft.com/office/drawing/2014/main" id="{CDA135B9-B1AF-45EB-931B-F5AC35F78228}"/>
            </a:ext>
          </a:extLst>
        </xdr:cNvPr>
        <xdr:cNvSpPr/>
      </xdr:nvSpPr>
      <xdr:spPr>
        <a:xfrm>
          <a:off x="5962650" y="1524000"/>
          <a:ext cx="2880000"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504824</xdr:colOff>
      <xdr:row>31</xdr:row>
      <xdr:rowOff>38100</xdr:rowOff>
    </xdr:from>
    <xdr:to>
      <xdr:col>20</xdr:col>
      <xdr:colOff>114299</xdr:colOff>
      <xdr:row>42</xdr:row>
      <xdr:rowOff>142875</xdr:rowOff>
    </xdr:to>
    <xdr:graphicFrame macro="">
      <xdr:nvGraphicFramePr>
        <xdr:cNvPr id="13" name="Chart 12">
          <a:extLst>
            <a:ext uri="{FF2B5EF4-FFF2-40B4-BE49-F238E27FC236}">
              <a16:creationId xmlns:a16="http://schemas.microsoft.com/office/drawing/2014/main" id="{A28CBDC2-0D74-42CB-8AE2-8B26D1940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333375</xdr:colOff>
      <xdr:row>8</xdr:row>
      <xdr:rowOff>76200</xdr:rowOff>
    </xdr:from>
    <xdr:to>
      <xdr:col>24</xdr:col>
      <xdr:colOff>165375</xdr:colOff>
      <xdr:row>14</xdr:row>
      <xdr:rowOff>66675</xdr:rowOff>
    </xdr:to>
    <xdr:sp macro="" textlink="">
      <xdr:nvSpPr>
        <xdr:cNvPr id="16" name="Rectangle 15">
          <a:extLst>
            <a:ext uri="{FF2B5EF4-FFF2-40B4-BE49-F238E27FC236}">
              <a16:creationId xmlns:a16="http://schemas.microsoft.com/office/drawing/2014/main" id="{543C9D19-5E73-4996-8CB3-E5C5ACA4DCA3}"/>
            </a:ext>
          </a:extLst>
        </xdr:cNvPr>
        <xdr:cNvSpPr/>
      </xdr:nvSpPr>
      <xdr:spPr>
        <a:xfrm>
          <a:off x="11915775" y="1524000"/>
          <a:ext cx="2880000" cy="10763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104775</xdr:colOff>
      <xdr:row>15</xdr:row>
      <xdr:rowOff>38099</xdr:rowOff>
    </xdr:from>
    <xdr:to>
      <xdr:col>24</xdr:col>
      <xdr:colOff>114375</xdr:colOff>
      <xdr:row>23</xdr:row>
      <xdr:rowOff>161925</xdr:rowOff>
    </xdr:to>
    <xdr:sp macro="" textlink="">
      <xdr:nvSpPr>
        <xdr:cNvPr id="17" name="Rectangle 16">
          <a:extLst>
            <a:ext uri="{FF2B5EF4-FFF2-40B4-BE49-F238E27FC236}">
              <a16:creationId xmlns:a16="http://schemas.microsoft.com/office/drawing/2014/main" id="{9294756E-1162-6537-9FCF-A19A489AE5EE}"/>
            </a:ext>
          </a:extLst>
        </xdr:cNvPr>
        <xdr:cNvSpPr/>
      </xdr:nvSpPr>
      <xdr:spPr>
        <a:xfrm>
          <a:off x="12296775" y="2752724"/>
          <a:ext cx="2448000" cy="157162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133350</xdr:colOff>
      <xdr:row>24</xdr:row>
      <xdr:rowOff>76200</xdr:rowOff>
    </xdr:from>
    <xdr:to>
      <xdr:col>24</xdr:col>
      <xdr:colOff>142950</xdr:colOff>
      <xdr:row>33</xdr:row>
      <xdr:rowOff>16574</xdr:rowOff>
    </xdr:to>
    <xdr:sp macro="" textlink="">
      <xdr:nvSpPr>
        <xdr:cNvPr id="18" name="Rectangle 17">
          <a:extLst>
            <a:ext uri="{FF2B5EF4-FFF2-40B4-BE49-F238E27FC236}">
              <a16:creationId xmlns:a16="http://schemas.microsoft.com/office/drawing/2014/main" id="{AA5FF147-37E4-BCB0-D05E-CC760D0A5387}"/>
            </a:ext>
          </a:extLst>
        </xdr:cNvPr>
        <xdr:cNvSpPr/>
      </xdr:nvSpPr>
      <xdr:spPr>
        <a:xfrm>
          <a:off x="12325350" y="4419600"/>
          <a:ext cx="2448000" cy="1569149"/>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142875</xdr:colOff>
      <xdr:row>33</xdr:row>
      <xdr:rowOff>133350</xdr:rowOff>
    </xdr:from>
    <xdr:to>
      <xdr:col>24</xdr:col>
      <xdr:colOff>152475</xdr:colOff>
      <xdr:row>42</xdr:row>
      <xdr:rowOff>83249</xdr:rowOff>
    </xdr:to>
    <xdr:sp macro="" textlink="">
      <xdr:nvSpPr>
        <xdr:cNvPr id="20" name="Rectangle 19">
          <a:extLst>
            <a:ext uri="{FF2B5EF4-FFF2-40B4-BE49-F238E27FC236}">
              <a16:creationId xmlns:a16="http://schemas.microsoft.com/office/drawing/2014/main" id="{C32AF0BD-7262-E797-B551-6D9DE6854DA7}"/>
            </a:ext>
          </a:extLst>
        </xdr:cNvPr>
        <xdr:cNvSpPr/>
      </xdr:nvSpPr>
      <xdr:spPr>
        <a:xfrm>
          <a:off x="12334875" y="6105525"/>
          <a:ext cx="2448000" cy="1578674"/>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15</xdr:row>
      <xdr:rowOff>9525</xdr:rowOff>
    </xdr:from>
    <xdr:to>
      <xdr:col>12</xdr:col>
      <xdr:colOff>230700</xdr:colOff>
      <xdr:row>28</xdr:row>
      <xdr:rowOff>32850</xdr:rowOff>
    </xdr:to>
    <xdr:sp macro="" textlink="">
      <xdr:nvSpPr>
        <xdr:cNvPr id="21" name="Rectangle 20">
          <a:extLst>
            <a:ext uri="{FF2B5EF4-FFF2-40B4-BE49-F238E27FC236}">
              <a16:creationId xmlns:a16="http://schemas.microsoft.com/office/drawing/2014/main" id="{E5253982-099A-4BB6-A3C2-8B38A6DE10B7}"/>
            </a:ext>
          </a:extLst>
        </xdr:cNvPr>
        <xdr:cNvSpPr/>
      </xdr:nvSpPr>
      <xdr:spPr>
        <a:xfrm>
          <a:off x="3009900" y="2724150"/>
          <a:ext cx="4536000" cy="2376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361950</xdr:colOff>
      <xdr:row>15</xdr:row>
      <xdr:rowOff>19050</xdr:rowOff>
    </xdr:from>
    <xdr:to>
      <xdr:col>20</xdr:col>
      <xdr:colOff>30675</xdr:colOff>
      <xdr:row>28</xdr:row>
      <xdr:rowOff>28575</xdr:rowOff>
    </xdr:to>
    <xdr:sp macro="" textlink="">
      <xdr:nvSpPr>
        <xdr:cNvPr id="22" name="Rectangle 21">
          <a:extLst>
            <a:ext uri="{FF2B5EF4-FFF2-40B4-BE49-F238E27FC236}">
              <a16:creationId xmlns:a16="http://schemas.microsoft.com/office/drawing/2014/main" id="{6F40CFC9-8FF5-45E7-B497-BE207A3F1DAE}"/>
            </a:ext>
          </a:extLst>
        </xdr:cNvPr>
        <xdr:cNvSpPr/>
      </xdr:nvSpPr>
      <xdr:spPr>
        <a:xfrm>
          <a:off x="7677150" y="2733675"/>
          <a:ext cx="4545525" cy="23622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504825</xdr:colOff>
      <xdr:row>16</xdr:row>
      <xdr:rowOff>161925</xdr:rowOff>
    </xdr:from>
    <xdr:to>
      <xdr:col>12</xdr:col>
      <xdr:colOff>266700</xdr:colOff>
      <xdr:row>28</xdr:row>
      <xdr:rowOff>66675</xdr:rowOff>
    </xdr:to>
    <xdr:graphicFrame macro="">
      <xdr:nvGraphicFramePr>
        <xdr:cNvPr id="15" name="Chart 14">
          <a:extLst>
            <a:ext uri="{FF2B5EF4-FFF2-40B4-BE49-F238E27FC236}">
              <a16:creationId xmlns:a16="http://schemas.microsoft.com/office/drawing/2014/main" id="{6FCBDEC3-42D4-44AF-8048-DC00B5052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352424</xdr:colOff>
      <xdr:row>16</xdr:row>
      <xdr:rowOff>133351</xdr:rowOff>
    </xdr:from>
    <xdr:to>
      <xdr:col>20</xdr:col>
      <xdr:colOff>19050</xdr:colOff>
      <xdr:row>28</xdr:row>
      <xdr:rowOff>66675</xdr:rowOff>
    </xdr:to>
    <xdr:graphicFrame macro="">
      <xdr:nvGraphicFramePr>
        <xdr:cNvPr id="14" name="Chart 13">
          <a:extLst>
            <a:ext uri="{FF2B5EF4-FFF2-40B4-BE49-F238E27FC236}">
              <a16:creationId xmlns:a16="http://schemas.microsoft.com/office/drawing/2014/main" id="{D1BB1D79-9C4B-48F6-A6D8-EDA2CB7DB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371475</xdr:colOff>
      <xdr:row>15</xdr:row>
      <xdr:rowOff>57150</xdr:rowOff>
    </xdr:from>
    <xdr:to>
      <xdr:col>12</xdr:col>
      <xdr:colOff>66675</xdr:colOff>
      <xdr:row>17</xdr:row>
      <xdr:rowOff>28575</xdr:rowOff>
    </xdr:to>
    <xdr:sp macro="" textlink="">
      <xdr:nvSpPr>
        <xdr:cNvPr id="25" name="TextBox 24">
          <a:extLst>
            <a:ext uri="{FF2B5EF4-FFF2-40B4-BE49-F238E27FC236}">
              <a16:creationId xmlns:a16="http://schemas.microsoft.com/office/drawing/2014/main" id="{B3A2CC31-92DC-4E47-F56E-A69EC1670B57}"/>
            </a:ext>
          </a:extLst>
        </xdr:cNvPr>
        <xdr:cNvSpPr txBox="1"/>
      </xdr:nvSpPr>
      <xdr:spPr>
        <a:xfrm>
          <a:off x="3419475" y="2771775"/>
          <a:ext cx="39624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Revenue Distribution by Length of Stay (LOS)</a:t>
          </a:r>
        </a:p>
      </xdr:txBody>
    </xdr:sp>
    <xdr:clientData/>
  </xdr:twoCellAnchor>
  <xdr:twoCellAnchor>
    <xdr:from>
      <xdr:col>5</xdr:col>
      <xdr:colOff>266701</xdr:colOff>
      <xdr:row>8</xdr:row>
      <xdr:rowOff>133350</xdr:rowOff>
    </xdr:from>
    <xdr:to>
      <xdr:col>9</xdr:col>
      <xdr:colOff>257175</xdr:colOff>
      <xdr:row>12</xdr:row>
      <xdr:rowOff>66675</xdr:rowOff>
    </xdr:to>
    <xdr:sp macro="" textlink="'Pivot Table'!AH5">
      <xdr:nvSpPr>
        <xdr:cNvPr id="3" name="TextBox 2">
          <a:extLst>
            <a:ext uri="{FF2B5EF4-FFF2-40B4-BE49-F238E27FC236}">
              <a16:creationId xmlns:a16="http://schemas.microsoft.com/office/drawing/2014/main" id="{57BE5CB4-AB9D-409A-8794-EA0827AEB509}"/>
            </a:ext>
          </a:extLst>
        </xdr:cNvPr>
        <xdr:cNvSpPr txBox="1"/>
      </xdr:nvSpPr>
      <xdr:spPr>
        <a:xfrm>
          <a:off x="3314701" y="1581150"/>
          <a:ext cx="242887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86D488-E5BB-4B8C-8441-ED68BC393BF5}" type="TxLink">
            <a:rPr lang="en-US" sz="3600" b="1" i="0" u="none" strike="noStrike">
              <a:solidFill>
                <a:srgbClr val="99AD7A"/>
              </a:solidFill>
              <a:latin typeface="Bahnschrift SemiBold SemiConden" panose="020B0502040204020203" pitchFamily="34" charset="0"/>
              <a:ea typeface="+mn-ea"/>
              <a:cs typeface="+mn-cs"/>
            </a:rPr>
            <a:pPr/>
            <a:t>₹ 47,01,124</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5</xdr:col>
      <xdr:colOff>409575</xdr:colOff>
      <xdr:row>12</xdr:row>
      <xdr:rowOff>28575</xdr:rowOff>
    </xdr:from>
    <xdr:to>
      <xdr:col>8</xdr:col>
      <xdr:colOff>409575</xdr:colOff>
      <xdr:row>13</xdr:row>
      <xdr:rowOff>171450</xdr:rowOff>
    </xdr:to>
    <xdr:sp macro="" textlink="">
      <xdr:nvSpPr>
        <xdr:cNvPr id="19" name="TextBox 18">
          <a:extLst>
            <a:ext uri="{FF2B5EF4-FFF2-40B4-BE49-F238E27FC236}">
              <a16:creationId xmlns:a16="http://schemas.microsoft.com/office/drawing/2014/main" id="{1B4D69DA-722C-4CF2-A0C3-88D7741B4458}"/>
            </a:ext>
          </a:extLst>
        </xdr:cNvPr>
        <xdr:cNvSpPr txBox="1"/>
      </xdr:nvSpPr>
      <xdr:spPr>
        <a:xfrm>
          <a:off x="3457575" y="2200275"/>
          <a:ext cx="18288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9AD7A"/>
              </a:solidFill>
            </a:rPr>
            <a:t>Total Revenue(₹)</a:t>
          </a:r>
        </a:p>
      </xdr:txBody>
    </xdr:sp>
    <xdr:clientData/>
  </xdr:twoCellAnchor>
  <xdr:twoCellAnchor>
    <xdr:from>
      <xdr:col>10</xdr:col>
      <xdr:colOff>76201</xdr:colOff>
      <xdr:row>8</xdr:row>
      <xdr:rowOff>104775</xdr:rowOff>
    </xdr:from>
    <xdr:to>
      <xdr:col>14</xdr:col>
      <xdr:colOff>66675</xdr:colOff>
      <xdr:row>12</xdr:row>
      <xdr:rowOff>38100</xdr:rowOff>
    </xdr:to>
    <xdr:sp macro="" textlink="'Pivot Table'!AI5">
      <xdr:nvSpPr>
        <xdr:cNvPr id="24" name="TextBox 23">
          <a:extLst>
            <a:ext uri="{FF2B5EF4-FFF2-40B4-BE49-F238E27FC236}">
              <a16:creationId xmlns:a16="http://schemas.microsoft.com/office/drawing/2014/main" id="{45353D67-A27A-1F4B-72E2-C5BA252687E9}"/>
            </a:ext>
          </a:extLst>
        </xdr:cNvPr>
        <xdr:cNvSpPr txBox="1"/>
      </xdr:nvSpPr>
      <xdr:spPr>
        <a:xfrm>
          <a:off x="6172201" y="1552575"/>
          <a:ext cx="242887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9C95D8-9968-43A4-A81C-39CE04015F69}" type="TxLink">
            <a:rPr lang="en-US" sz="3600" b="1" i="0" u="none" strike="noStrike">
              <a:solidFill>
                <a:srgbClr val="99AD7A"/>
              </a:solidFill>
              <a:latin typeface="Bahnschrift SemiBold SemiConden" panose="020B0502040204020203" pitchFamily="34" charset="0"/>
              <a:ea typeface="+mn-ea"/>
              <a:cs typeface="+mn-cs"/>
            </a:rPr>
            <a:pPr marL="0" indent="0"/>
            <a:t>₹ 13,10,391</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10</xdr:col>
      <xdr:colOff>28574</xdr:colOff>
      <xdr:row>12</xdr:row>
      <xdr:rowOff>19050</xdr:rowOff>
    </xdr:from>
    <xdr:to>
      <xdr:col>14</xdr:col>
      <xdr:colOff>238125</xdr:colOff>
      <xdr:row>13</xdr:row>
      <xdr:rowOff>161925</xdr:rowOff>
    </xdr:to>
    <xdr:sp macro="" textlink="">
      <xdr:nvSpPr>
        <xdr:cNvPr id="26" name="TextBox 25">
          <a:extLst>
            <a:ext uri="{FF2B5EF4-FFF2-40B4-BE49-F238E27FC236}">
              <a16:creationId xmlns:a16="http://schemas.microsoft.com/office/drawing/2014/main" id="{D43B9161-C067-A969-074D-1BC2DBA716AA}"/>
            </a:ext>
          </a:extLst>
        </xdr:cNvPr>
        <xdr:cNvSpPr txBox="1"/>
      </xdr:nvSpPr>
      <xdr:spPr>
        <a:xfrm>
          <a:off x="6124574" y="2190750"/>
          <a:ext cx="264795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9AD7A"/>
              </a:solidFill>
            </a:rPr>
            <a:t>Total Insurance Claim(₹)</a:t>
          </a:r>
        </a:p>
      </xdr:txBody>
    </xdr:sp>
    <xdr:clientData/>
  </xdr:twoCellAnchor>
  <xdr:twoCellAnchor>
    <xdr:from>
      <xdr:col>14</xdr:col>
      <xdr:colOff>600076</xdr:colOff>
      <xdr:row>8</xdr:row>
      <xdr:rowOff>57150</xdr:rowOff>
    </xdr:from>
    <xdr:to>
      <xdr:col>18</xdr:col>
      <xdr:colOff>590550</xdr:colOff>
      <xdr:row>11</xdr:row>
      <xdr:rowOff>171450</xdr:rowOff>
    </xdr:to>
    <xdr:sp macro="" textlink="'Pivot Table'!AJ5">
      <xdr:nvSpPr>
        <xdr:cNvPr id="27" name="TextBox 26">
          <a:extLst>
            <a:ext uri="{FF2B5EF4-FFF2-40B4-BE49-F238E27FC236}">
              <a16:creationId xmlns:a16="http://schemas.microsoft.com/office/drawing/2014/main" id="{EE2741D9-FD24-8A84-860B-D7B232FC9DED}"/>
            </a:ext>
          </a:extLst>
        </xdr:cNvPr>
        <xdr:cNvSpPr txBox="1"/>
      </xdr:nvSpPr>
      <xdr:spPr>
        <a:xfrm>
          <a:off x="9134476" y="1504950"/>
          <a:ext cx="242887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1A4140-ADFC-4CAF-A021-C9FE9C01D78B}" type="TxLink">
            <a:rPr lang="en-US" sz="3600" b="1" i="0" u="none" strike="noStrike">
              <a:solidFill>
                <a:srgbClr val="99AD7A"/>
              </a:solidFill>
              <a:latin typeface="Bahnschrift SemiBold SemiConden" panose="020B0502040204020203" pitchFamily="34" charset="0"/>
              <a:ea typeface="+mn-ea"/>
              <a:cs typeface="+mn-cs"/>
            </a:rPr>
            <a:pPr marL="0" indent="0"/>
            <a:t>₹ 33,90,733</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14</xdr:col>
      <xdr:colOff>419099</xdr:colOff>
      <xdr:row>12</xdr:row>
      <xdr:rowOff>28575</xdr:rowOff>
    </xdr:from>
    <xdr:to>
      <xdr:col>19</xdr:col>
      <xdr:colOff>200025</xdr:colOff>
      <xdr:row>13</xdr:row>
      <xdr:rowOff>171450</xdr:rowOff>
    </xdr:to>
    <xdr:sp macro="" textlink="">
      <xdr:nvSpPr>
        <xdr:cNvPr id="28" name="TextBox 27">
          <a:extLst>
            <a:ext uri="{FF2B5EF4-FFF2-40B4-BE49-F238E27FC236}">
              <a16:creationId xmlns:a16="http://schemas.microsoft.com/office/drawing/2014/main" id="{5F561B70-E841-AA9A-2905-7095C9DC411E}"/>
            </a:ext>
          </a:extLst>
        </xdr:cNvPr>
        <xdr:cNvSpPr txBox="1"/>
      </xdr:nvSpPr>
      <xdr:spPr>
        <a:xfrm>
          <a:off x="8953499" y="2200275"/>
          <a:ext cx="28289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9AD7A"/>
              </a:solidFill>
            </a:rPr>
            <a:t>Total Out-of-Pocket Amount(₹)</a:t>
          </a:r>
        </a:p>
      </xdr:txBody>
    </xdr:sp>
    <xdr:clientData/>
  </xdr:twoCellAnchor>
  <xdr:twoCellAnchor>
    <xdr:from>
      <xdr:col>19</xdr:col>
      <xdr:colOff>523876</xdr:colOff>
      <xdr:row>8</xdr:row>
      <xdr:rowOff>85725</xdr:rowOff>
    </xdr:from>
    <xdr:to>
      <xdr:col>23</xdr:col>
      <xdr:colOff>514350</xdr:colOff>
      <xdr:row>12</xdr:row>
      <xdr:rowOff>19050</xdr:rowOff>
    </xdr:to>
    <xdr:sp macro="" textlink="'Pivot Table'!AR5">
      <xdr:nvSpPr>
        <xdr:cNvPr id="33" name="TextBox 32">
          <a:extLst>
            <a:ext uri="{FF2B5EF4-FFF2-40B4-BE49-F238E27FC236}">
              <a16:creationId xmlns:a16="http://schemas.microsoft.com/office/drawing/2014/main" id="{D8425110-5906-01A3-5252-92EA01E44DE1}"/>
            </a:ext>
          </a:extLst>
        </xdr:cNvPr>
        <xdr:cNvSpPr txBox="1"/>
      </xdr:nvSpPr>
      <xdr:spPr>
        <a:xfrm>
          <a:off x="12106276" y="1533525"/>
          <a:ext cx="242887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33691D-B6D0-43C9-9F4C-432ACEEE3365}" type="TxLink">
            <a:rPr lang="en-US" sz="3600" b="1" i="0" u="none" strike="noStrike">
              <a:solidFill>
                <a:srgbClr val="99AD7A"/>
              </a:solidFill>
              <a:latin typeface="Bahnschrift SemiBold SemiConden" panose="020B0502040204020203" pitchFamily="34" charset="0"/>
              <a:ea typeface="+mn-ea"/>
              <a:cs typeface="+mn-cs"/>
            </a:rPr>
            <a:pPr marL="0" indent="0"/>
            <a:t>₹ 11,97,632</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20</xdr:col>
      <xdr:colOff>57150</xdr:colOff>
      <xdr:row>12</xdr:row>
      <xdr:rowOff>9525</xdr:rowOff>
    </xdr:from>
    <xdr:to>
      <xdr:col>23</xdr:col>
      <xdr:colOff>133350</xdr:colOff>
      <xdr:row>13</xdr:row>
      <xdr:rowOff>152400</xdr:rowOff>
    </xdr:to>
    <xdr:sp macro="" textlink="">
      <xdr:nvSpPr>
        <xdr:cNvPr id="34" name="TextBox 33">
          <a:extLst>
            <a:ext uri="{FF2B5EF4-FFF2-40B4-BE49-F238E27FC236}">
              <a16:creationId xmlns:a16="http://schemas.microsoft.com/office/drawing/2014/main" id="{646DDFB3-0960-C61A-4804-9F8B1B8DCC43}"/>
            </a:ext>
          </a:extLst>
        </xdr:cNvPr>
        <xdr:cNvSpPr txBox="1"/>
      </xdr:nvSpPr>
      <xdr:spPr>
        <a:xfrm>
          <a:off x="12249150" y="2181225"/>
          <a:ext cx="1905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AD7A"/>
              </a:solidFill>
            </a:rPr>
            <a:t>Total Lab Cost(₹)</a:t>
          </a:r>
        </a:p>
      </xdr:txBody>
    </xdr:sp>
    <xdr:clientData/>
  </xdr:twoCellAnchor>
  <xdr:twoCellAnchor>
    <xdr:from>
      <xdr:col>20</xdr:col>
      <xdr:colOff>219076</xdr:colOff>
      <xdr:row>16</xdr:row>
      <xdr:rowOff>47625</xdr:rowOff>
    </xdr:from>
    <xdr:to>
      <xdr:col>24</xdr:col>
      <xdr:colOff>95250</xdr:colOff>
      <xdr:row>19</xdr:row>
      <xdr:rowOff>161925</xdr:rowOff>
    </xdr:to>
    <xdr:sp macro="" textlink="'Pivot Table'!AS5">
      <xdr:nvSpPr>
        <xdr:cNvPr id="35" name="TextBox 34">
          <a:extLst>
            <a:ext uri="{FF2B5EF4-FFF2-40B4-BE49-F238E27FC236}">
              <a16:creationId xmlns:a16="http://schemas.microsoft.com/office/drawing/2014/main" id="{8D1A3D33-5767-C6CE-DC30-E5B808DB4AC2}"/>
            </a:ext>
          </a:extLst>
        </xdr:cNvPr>
        <xdr:cNvSpPr txBox="1"/>
      </xdr:nvSpPr>
      <xdr:spPr>
        <a:xfrm>
          <a:off x="12411076" y="2943225"/>
          <a:ext cx="231457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C290AB-C134-45FF-B26E-DC3C9DAD9048}" type="TxLink">
            <a:rPr lang="en-US" sz="3600" b="1" i="0" u="none" strike="noStrike">
              <a:solidFill>
                <a:srgbClr val="99AD7A"/>
              </a:solidFill>
              <a:latin typeface="Bahnschrift SemiBold SemiConden" panose="020B0502040204020203" pitchFamily="34" charset="0"/>
              <a:ea typeface="+mn-ea"/>
              <a:cs typeface="+mn-cs"/>
            </a:rPr>
            <a:pPr marL="0" indent="0"/>
            <a:t>₹ 8,27,687</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20</xdr:col>
      <xdr:colOff>247650</xdr:colOff>
      <xdr:row>19</xdr:row>
      <xdr:rowOff>142875</xdr:rowOff>
    </xdr:from>
    <xdr:to>
      <xdr:col>24</xdr:col>
      <xdr:colOff>28575</xdr:colOff>
      <xdr:row>23</xdr:row>
      <xdr:rowOff>114300</xdr:rowOff>
    </xdr:to>
    <xdr:sp macro="" textlink="">
      <xdr:nvSpPr>
        <xdr:cNvPr id="36" name="TextBox 35">
          <a:extLst>
            <a:ext uri="{FF2B5EF4-FFF2-40B4-BE49-F238E27FC236}">
              <a16:creationId xmlns:a16="http://schemas.microsoft.com/office/drawing/2014/main" id="{F1B4B0ED-EEA4-09D0-20C7-6F930FD57C4E}"/>
            </a:ext>
          </a:extLst>
        </xdr:cNvPr>
        <xdr:cNvSpPr txBox="1"/>
      </xdr:nvSpPr>
      <xdr:spPr>
        <a:xfrm>
          <a:off x="12439650" y="3581400"/>
          <a:ext cx="2219325"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99AD7A"/>
              </a:solidFill>
            </a:rPr>
            <a:t>Total Medicine Cost(₹)</a:t>
          </a:r>
        </a:p>
      </xdr:txBody>
    </xdr:sp>
    <xdr:clientData/>
  </xdr:twoCellAnchor>
  <xdr:twoCellAnchor>
    <xdr:from>
      <xdr:col>20</xdr:col>
      <xdr:colOff>180976</xdr:colOff>
      <xdr:row>25</xdr:row>
      <xdr:rowOff>19050</xdr:rowOff>
    </xdr:from>
    <xdr:to>
      <xdr:col>24</xdr:col>
      <xdr:colOff>57150</xdr:colOff>
      <xdr:row>28</xdr:row>
      <xdr:rowOff>133350</xdr:rowOff>
    </xdr:to>
    <xdr:sp macro="" textlink="'Pivot Table'!AT5">
      <xdr:nvSpPr>
        <xdr:cNvPr id="37" name="TextBox 36">
          <a:extLst>
            <a:ext uri="{FF2B5EF4-FFF2-40B4-BE49-F238E27FC236}">
              <a16:creationId xmlns:a16="http://schemas.microsoft.com/office/drawing/2014/main" id="{B397D147-9202-ECBD-BD9D-0013057E8671}"/>
            </a:ext>
          </a:extLst>
        </xdr:cNvPr>
        <xdr:cNvSpPr txBox="1"/>
      </xdr:nvSpPr>
      <xdr:spPr>
        <a:xfrm>
          <a:off x="12372976" y="4543425"/>
          <a:ext cx="231457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F68653-EA77-42DB-9E01-61D275C20669}" type="TxLink">
            <a:rPr lang="en-US" sz="3600" b="1" i="0" u="none" strike="noStrike">
              <a:solidFill>
                <a:srgbClr val="99AD7A"/>
              </a:solidFill>
              <a:latin typeface="Bahnschrift SemiBold SemiConden" panose="020B0502040204020203" pitchFamily="34" charset="0"/>
              <a:ea typeface="+mn-ea"/>
              <a:cs typeface="+mn-cs"/>
            </a:rPr>
            <a:pPr marL="0" indent="0"/>
            <a:t>₹ 19,40,004</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20</xdr:col>
      <xdr:colOff>428625</xdr:colOff>
      <xdr:row>30</xdr:row>
      <xdr:rowOff>19049</xdr:rowOff>
    </xdr:from>
    <xdr:to>
      <xdr:col>24</xdr:col>
      <xdr:colOff>114300</xdr:colOff>
      <xdr:row>32</xdr:row>
      <xdr:rowOff>123824</xdr:rowOff>
    </xdr:to>
    <xdr:sp macro="" textlink="">
      <xdr:nvSpPr>
        <xdr:cNvPr id="38" name="TextBox 37">
          <a:extLst>
            <a:ext uri="{FF2B5EF4-FFF2-40B4-BE49-F238E27FC236}">
              <a16:creationId xmlns:a16="http://schemas.microsoft.com/office/drawing/2014/main" id="{0834A30A-9107-E050-3229-50E0BB4DA352}"/>
            </a:ext>
          </a:extLst>
        </xdr:cNvPr>
        <xdr:cNvSpPr txBox="1"/>
      </xdr:nvSpPr>
      <xdr:spPr>
        <a:xfrm>
          <a:off x="12620625" y="5448299"/>
          <a:ext cx="21240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AD7A"/>
              </a:solidFill>
            </a:rPr>
            <a:t>Total Room Cost(₹)</a:t>
          </a:r>
        </a:p>
      </xdr:txBody>
    </xdr:sp>
    <xdr:clientData/>
  </xdr:twoCellAnchor>
  <xdr:twoCellAnchor>
    <xdr:from>
      <xdr:col>20</xdr:col>
      <xdr:colOff>304801</xdr:colOff>
      <xdr:row>34</xdr:row>
      <xdr:rowOff>47625</xdr:rowOff>
    </xdr:from>
    <xdr:to>
      <xdr:col>24</xdr:col>
      <xdr:colOff>0</xdr:colOff>
      <xdr:row>37</xdr:row>
      <xdr:rowOff>161925</xdr:rowOff>
    </xdr:to>
    <xdr:sp macro="" textlink="'Pivot Table'!AU5">
      <xdr:nvSpPr>
        <xdr:cNvPr id="39" name="TextBox 38">
          <a:extLst>
            <a:ext uri="{FF2B5EF4-FFF2-40B4-BE49-F238E27FC236}">
              <a16:creationId xmlns:a16="http://schemas.microsoft.com/office/drawing/2014/main" id="{6DC83476-D892-E725-CB6A-F14E88A82570}"/>
            </a:ext>
          </a:extLst>
        </xdr:cNvPr>
        <xdr:cNvSpPr txBox="1"/>
      </xdr:nvSpPr>
      <xdr:spPr>
        <a:xfrm>
          <a:off x="12496801" y="6200775"/>
          <a:ext cx="2133599"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E3F303-DA3F-474C-ABFE-405061B04752}" type="TxLink">
            <a:rPr lang="en-US" sz="3600" b="1" i="0" u="none" strike="noStrike">
              <a:solidFill>
                <a:srgbClr val="99AD7A"/>
              </a:solidFill>
              <a:latin typeface="Bahnschrift SemiBold SemiConden" panose="020B0502040204020203" pitchFamily="34" charset="0"/>
              <a:ea typeface="+mn-ea"/>
              <a:cs typeface="+mn-cs"/>
            </a:rPr>
            <a:pPr marL="0" indent="0"/>
            <a:t>₹ 7,35,801</a:t>
          </a:fld>
          <a:endParaRPr lang="en-IN" sz="3600" b="1" i="0" u="none" strike="noStrike">
            <a:solidFill>
              <a:srgbClr val="99AD7A"/>
            </a:solidFill>
            <a:latin typeface="Bahnschrift SemiBold SemiConden" panose="020B0502040204020203" pitchFamily="34" charset="0"/>
            <a:ea typeface="+mn-ea"/>
            <a:cs typeface="+mn-cs"/>
          </a:endParaRPr>
        </a:p>
      </xdr:txBody>
    </xdr:sp>
    <xdr:clientData/>
  </xdr:twoCellAnchor>
  <xdr:twoCellAnchor>
    <xdr:from>
      <xdr:col>20</xdr:col>
      <xdr:colOff>276225</xdr:colOff>
      <xdr:row>38</xdr:row>
      <xdr:rowOff>85724</xdr:rowOff>
    </xdr:from>
    <xdr:to>
      <xdr:col>23</xdr:col>
      <xdr:colOff>571500</xdr:colOff>
      <xdr:row>41</xdr:row>
      <xdr:rowOff>9524</xdr:rowOff>
    </xdr:to>
    <xdr:sp macro="" textlink="">
      <xdr:nvSpPr>
        <xdr:cNvPr id="40" name="TextBox 39">
          <a:extLst>
            <a:ext uri="{FF2B5EF4-FFF2-40B4-BE49-F238E27FC236}">
              <a16:creationId xmlns:a16="http://schemas.microsoft.com/office/drawing/2014/main" id="{FAB937B1-60C0-BB7F-A24E-29E6906E5B2B}"/>
            </a:ext>
          </a:extLst>
        </xdr:cNvPr>
        <xdr:cNvSpPr txBox="1"/>
      </xdr:nvSpPr>
      <xdr:spPr>
        <a:xfrm>
          <a:off x="12468225" y="6962774"/>
          <a:ext cx="21240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AD7A"/>
              </a:solidFill>
            </a:rPr>
            <a:t>Total Visit Cost(₹)</a:t>
          </a:r>
        </a:p>
      </xdr:txBody>
    </xdr:sp>
    <xdr:clientData/>
  </xdr:twoCellAnchor>
  <xdr:twoCellAnchor>
    <xdr:from>
      <xdr:col>13</xdr:col>
      <xdr:colOff>381000</xdr:colOff>
      <xdr:row>15</xdr:row>
      <xdr:rowOff>57150</xdr:rowOff>
    </xdr:from>
    <xdr:to>
      <xdr:col>19</xdr:col>
      <xdr:colOff>419100</xdr:colOff>
      <xdr:row>17</xdr:row>
      <xdr:rowOff>28575</xdr:rowOff>
    </xdr:to>
    <xdr:sp macro="" textlink="">
      <xdr:nvSpPr>
        <xdr:cNvPr id="41" name="TextBox 40">
          <a:extLst>
            <a:ext uri="{FF2B5EF4-FFF2-40B4-BE49-F238E27FC236}">
              <a16:creationId xmlns:a16="http://schemas.microsoft.com/office/drawing/2014/main" id="{3B43B65E-E004-5994-85D7-7A6ADBFAF384}"/>
            </a:ext>
          </a:extLst>
        </xdr:cNvPr>
        <xdr:cNvSpPr txBox="1"/>
      </xdr:nvSpPr>
      <xdr:spPr>
        <a:xfrm>
          <a:off x="8305800" y="2771775"/>
          <a:ext cx="3695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Department-wise Revenue Contribution</a:t>
          </a:r>
        </a:p>
      </xdr:txBody>
    </xdr:sp>
    <xdr:clientData/>
  </xdr:twoCellAnchor>
  <xdr:twoCellAnchor>
    <xdr:from>
      <xdr:col>10</xdr:col>
      <xdr:colOff>257175</xdr:colOff>
      <xdr:row>29</xdr:row>
      <xdr:rowOff>0</xdr:rowOff>
    </xdr:from>
    <xdr:to>
      <xdr:col>15</xdr:col>
      <xdr:colOff>133350</xdr:colOff>
      <xdr:row>30</xdr:row>
      <xdr:rowOff>152400</xdr:rowOff>
    </xdr:to>
    <xdr:sp macro="" textlink="">
      <xdr:nvSpPr>
        <xdr:cNvPr id="42" name="TextBox 41">
          <a:extLst>
            <a:ext uri="{FF2B5EF4-FFF2-40B4-BE49-F238E27FC236}">
              <a16:creationId xmlns:a16="http://schemas.microsoft.com/office/drawing/2014/main" id="{5727CA39-67A0-FF4C-16EE-FD1692586900}"/>
            </a:ext>
          </a:extLst>
        </xdr:cNvPr>
        <xdr:cNvSpPr txBox="1"/>
      </xdr:nvSpPr>
      <xdr:spPr>
        <a:xfrm>
          <a:off x="6353175" y="5248275"/>
          <a:ext cx="2924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Monthly Revenue Performance</a:t>
          </a:r>
        </a:p>
      </xdr:txBody>
    </xdr:sp>
    <xdr:clientData/>
  </xdr:twoCellAnchor>
  <xdr:twoCellAnchor editAs="oneCell">
    <xdr:from>
      <xdr:col>24</xdr:col>
      <xdr:colOff>257175</xdr:colOff>
      <xdr:row>8</xdr:row>
      <xdr:rowOff>85725</xdr:rowOff>
    </xdr:from>
    <xdr:to>
      <xdr:col>28</xdr:col>
      <xdr:colOff>575775</xdr:colOff>
      <xdr:row>20</xdr:row>
      <xdr:rowOff>142875</xdr:rowOff>
    </xdr:to>
    <mc:AlternateContent xmlns:mc="http://schemas.openxmlformats.org/markup-compatibility/2006" xmlns:a14="http://schemas.microsoft.com/office/drawing/2010/main">
      <mc:Choice Requires="a14">
        <xdr:graphicFrame macro="">
          <xdr:nvGraphicFramePr>
            <xdr:cNvPr id="43" name="Treatment Status 1">
              <a:extLst>
                <a:ext uri="{FF2B5EF4-FFF2-40B4-BE49-F238E27FC236}">
                  <a16:creationId xmlns:a16="http://schemas.microsoft.com/office/drawing/2014/main" id="{F3334C79-90FD-45E4-8ACD-33A4E03F7C14}"/>
                </a:ext>
              </a:extLst>
            </xdr:cNvPr>
            <xdr:cNvGraphicFramePr/>
          </xdr:nvGraphicFramePr>
          <xdr:xfrm>
            <a:off x="0" y="0"/>
            <a:ext cx="0" cy="0"/>
          </xdr:xfrm>
          <a:graphic>
            <a:graphicData uri="http://schemas.microsoft.com/office/drawing/2010/slicer">
              <sle:slicer xmlns:sle="http://schemas.microsoft.com/office/drawing/2010/slicer" name="Treatment Status 1"/>
            </a:graphicData>
          </a:graphic>
        </xdr:graphicFrame>
      </mc:Choice>
      <mc:Fallback xmlns="">
        <xdr:sp macro="" textlink="">
          <xdr:nvSpPr>
            <xdr:cNvPr id="0" name=""/>
            <xdr:cNvSpPr>
              <a:spLocks noTextEdit="1"/>
            </xdr:cNvSpPr>
          </xdr:nvSpPr>
          <xdr:spPr>
            <a:xfrm>
              <a:off x="14887575" y="1533525"/>
              <a:ext cx="27570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257175</xdr:colOff>
      <xdr:row>20</xdr:row>
      <xdr:rowOff>47626</xdr:rowOff>
    </xdr:from>
    <xdr:to>
      <xdr:col>28</xdr:col>
      <xdr:colOff>571500</xdr:colOff>
      <xdr:row>29</xdr:row>
      <xdr:rowOff>161924</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B4F7DAA2-D987-4232-99D7-F4A8BE335A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887575" y="3667126"/>
              <a:ext cx="2752725" cy="1743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257175</xdr:colOff>
      <xdr:row>29</xdr:row>
      <xdr:rowOff>104775</xdr:rowOff>
    </xdr:from>
    <xdr:to>
      <xdr:col>28</xdr:col>
      <xdr:colOff>561975</xdr:colOff>
      <xdr:row>42</xdr:row>
      <xdr:rowOff>28575</xdr:rowOff>
    </xdr:to>
    <mc:AlternateContent xmlns:mc="http://schemas.openxmlformats.org/markup-compatibility/2006" xmlns:a14="http://schemas.microsoft.com/office/drawing/2010/main">
      <mc:Choice Requires="a14">
        <xdr:graphicFrame macro="">
          <xdr:nvGraphicFramePr>
            <xdr:cNvPr id="45" name="Month 1">
              <a:extLst>
                <a:ext uri="{FF2B5EF4-FFF2-40B4-BE49-F238E27FC236}">
                  <a16:creationId xmlns:a16="http://schemas.microsoft.com/office/drawing/2014/main" id="{36364FD4-330D-4C71-B890-6CC49EC610E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887575" y="5353050"/>
              <a:ext cx="2743200"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133350</xdr:colOff>
      <xdr:row>0</xdr:row>
      <xdr:rowOff>76200</xdr:rowOff>
    </xdr:from>
    <xdr:to>
      <xdr:col>18</xdr:col>
      <xdr:colOff>66675</xdr:colOff>
      <xdr:row>4</xdr:row>
      <xdr:rowOff>76200</xdr:rowOff>
    </xdr:to>
    <xdr:sp macro="" textlink="">
      <xdr:nvSpPr>
        <xdr:cNvPr id="46" name="TextBox 45">
          <a:extLst>
            <a:ext uri="{FF2B5EF4-FFF2-40B4-BE49-F238E27FC236}">
              <a16:creationId xmlns:a16="http://schemas.microsoft.com/office/drawing/2014/main" id="{A00CA537-17C6-44B0-9BA4-77FFC32F2F10}"/>
            </a:ext>
          </a:extLst>
        </xdr:cNvPr>
        <xdr:cNvSpPr txBox="1"/>
      </xdr:nvSpPr>
      <xdr:spPr>
        <a:xfrm>
          <a:off x="6838950" y="76200"/>
          <a:ext cx="42005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bg1"/>
              </a:solidFill>
              <a:effectLst>
                <a:outerShdw blurRad="50800" dist="38100" dir="2700000" algn="tl" rotWithShape="0">
                  <a:prstClr val="black">
                    <a:alpha val="40000"/>
                  </a:prstClr>
                </a:outerShdw>
              </a:effectLst>
              <a:latin typeface="Bahnschrift SemiBold" panose="020B0502040204020203" pitchFamily="34" charset="0"/>
            </a:rPr>
            <a:t>Financial Analysis</a:t>
          </a:r>
        </a:p>
      </xdr:txBody>
    </xdr:sp>
    <xdr:clientData/>
  </xdr:twoCellAnchor>
  <xdr:twoCellAnchor>
    <xdr:from>
      <xdr:col>1</xdr:col>
      <xdr:colOff>533400</xdr:colOff>
      <xdr:row>5</xdr:row>
      <xdr:rowOff>47625</xdr:rowOff>
    </xdr:from>
    <xdr:to>
      <xdr:col>6</xdr:col>
      <xdr:colOff>365400</xdr:colOff>
      <xdr:row>8</xdr:row>
      <xdr:rowOff>9525</xdr:rowOff>
    </xdr:to>
    <xdr:sp macro="" textlink="">
      <xdr:nvSpPr>
        <xdr:cNvPr id="47" name="Rectangle: Top Corners Rounded 46">
          <a:extLst>
            <a:ext uri="{FF2B5EF4-FFF2-40B4-BE49-F238E27FC236}">
              <a16:creationId xmlns:a16="http://schemas.microsoft.com/office/drawing/2014/main" id="{CCE2BA86-977C-4392-8DEA-40E282840D8B}"/>
            </a:ext>
          </a:extLst>
        </xdr:cNvPr>
        <xdr:cNvSpPr/>
      </xdr:nvSpPr>
      <xdr:spPr>
        <a:xfrm>
          <a:off x="1143000" y="952500"/>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152400</xdr:colOff>
      <xdr:row>5</xdr:row>
      <xdr:rowOff>57150</xdr:rowOff>
    </xdr:from>
    <xdr:to>
      <xdr:col>12</xdr:col>
      <xdr:colOff>20400</xdr:colOff>
      <xdr:row>8</xdr:row>
      <xdr:rowOff>19050</xdr:rowOff>
    </xdr:to>
    <xdr:sp macro="" textlink="">
      <xdr:nvSpPr>
        <xdr:cNvPr id="48" name="Rectangle: Top Corners Rounded 47">
          <a:extLst>
            <a:ext uri="{FF2B5EF4-FFF2-40B4-BE49-F238E27FC236}">
              <a16:creationId xmlns:a16="http://schemas.microsoft.com/office/drawing/2014/main" id="{9F883487-70BF-338B-C31E-A82C67F03AED}"/>
            </a:ext>
          </a:extLst>
        </xdr:cNvPr>
        <xdr:cNvSpPr/>
      </xdr:nvSpPr>
      <xdr:spPr>
        <a:xfrm>
          <a:off x="4419600" y="9620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438150</xdr:colOff>
      <xdr:row>5</xdr:row>
      <xdr:rowOff>47625</xdr:rowOff>
    </xdr:from>
    <xdr:to>
      <xdr:col>17</xdr:col>
      <xdr:colOff>306150</xdr:colOff>
      <xdr:row>8</xdr:row>
      <xdr:rowOff>9525</xdr:rowOff>
    </xdr:to>
    <xdr:sp macro="" textlink="">
      <xdr:nvSpPr>
        <xdr:cNvPr id="49" name="Rectangle: Top Corners Rounded 48">
          <a:extLst>
            <a:ext uri="{FF2B5EF4-FFF2-40B4-BE49-F238E27FC236}">
              <a16:creationId xmlns:a16="http://schemas.microsoft.com/office/drawing/2014/main" id="{423B13D0-3891-854A-8E68-743842C5FEEB}"/>
            </a:ext>
          </a:extLst>
        </xdr:cNvPr>
        <xdr:cNvSpPr/>
      </xdr:nvSpPr>
      <xdr:spPr>
        <a:xfrm>
          <a:off x="7753350" y="952500"/>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76200</xdr:colOff>
      <xdr:row>5</xdr:row>
      <xdr:rowOff>47625</xdr:rowOff>
    </xdr:from>
    <xdr:to>
      <xdr:col>22</xdr:col>
      <xdr:colOff>517800</xdr:colOff>
      <xdr:row>8</xdr:row>
      <xdr:rowOff>9525</xdr:rowOff>
    </xdr:to>
    <xdr:sp macro="" textlink="">
      <xdr:nvSpPr>
        <xdr:cNvPr id="50" name="Rectangle: Top Corners Rounded 49">
          <a:extLst>
            <a:ext uri="{FF2B5EF4-FFF2-40B4-BE49-F238E27FC236}">
              <a16:creationId xmlns:a16="http://schemas.microsoft.com/office/drawing/2014/main" id="{E11D4F06-F032-D72A-8712-61678D7204CB}"/>
            </a:ext>
          </a:extLst>
        </xdr:cNvPr>
        <xdr:cNvSpPr/>
      </xdr:nvSpPr>
      <xdr:spPr>
        <a:xfrm>
          <a:off x="11049000" y="952500"/>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123826</xdr:colOff>
      <xdr:row>5</xdr:row>
      <xdr:rowOff>47625</xdr:rowOff>
    </xdr:from>
    <xdr:to>
      <xdr:col>6</xdr:col>
      <xdr:colOff>200025</xdr:colOff>
      <xdr:row>8</xdr:row>
      <xdr:rowOff>0</xdr:rowOff>
    </xdr:to>
    <xdr:sp macro="" textlink="">
      <xdr:nvSpPr>
        <xdr:cNvPr id="52" name="TextBox 51">
          <a:hlinkClick xmlns:r="http://schemas.openxmlformats.org/officeDocument/2006/relationships" r:id="rId4"/>
          <a:extLst>
            <a:ext uri="{FF2B5EF4-FFF2-40B4-BE49-F238E27FC236}">
              <a16:creationId xmlns:a16="http://schemas.microsoft.com/office/drawing/2014/main" id="{7FDB45ED-928A-44B3-88F3-36F7CEA3A52C}"/>
            </a:ext>
          </a:extLst>
        </xdr:cNvPr>
        <xdr:cNvSpPr txBox="1"/>
      </xdr:nvSpPr>
      <xdr:spPr>
        <a:xfrm>
          <a:off x="1343026" y="952500"/>
          <a:ext cx="251459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Overview</a:t>
          </a:r>
        </a:p>
      </xdr:txBody>
    </xdr:sp>
    <xdr:clientData/>
  </xdr:twoCellAnchor>
  <xdr:twoCellAnchor>
    <xdr:from>
      <xdr:col>7</xdr:col>
      <xdr:colOff>266700</xdr:colOff>
      <xdr:row>5</xdr:row>
      <xdr:rowOff>85725</xdr:rowOff>
    </xdr:from>
    <xdr:to>
      <xdr:col>11</xdr:col>
      <xdr:colOff>466725</xdr:colOff>
      <xdr:row>8</xdr:row>
      <xdr:rowOff>38100</xdr:rowOff>
    </xdr:to>
    <xdr:sp macro="" textlink="">
      <xdr:nvSpPr>
        <xdr:cNvPr id="53" name="TextBox 52">
          <a:hlinkClick xmlns:r="http://schemas.openxmlformats.org/officeDocument/2006/relationships" r:id="rId5"/>
          <a:extLst>
            <a:ext uri="{FF2B5EF4-FFF2-40B4-BE49-F238E27FC236}">
              <a16:creationId xmlns:a16="http://schemas.microsoft.com/office/drawing/2014/main" id="{396131E6-59BC-47DB-BB3D-35088B749D3C}"/>
            </a:ext>
          </a:extLst>
        </xdr:cNvPr>
        <xdr:cNvSpPr txBox="1"/>
      </xdr:nvSpPr>
      <xdr:spPr>
        <a:xfrm>
          <a:off x="4533900" y="99060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Financial Analysis</a:t>
          </a:r>
        </a:p>
      </xdr:txBody>
    </xdr:sp>
    <xdr:clientData/>
  </xdr:twoCellAnchor>
  <xdr:twoCellAnchor>
    <xdr:from>
      <xdr:col>12</xdr:col>
      <xdr:colOff>514350</xdr:colOff>
      <xdr:row>5</xdr:row>
      <xdr:rowOff>76200</xdr:rowOff>
    </xdr:from>
    <xdr:to>
      <xdr:col>17</xdr:col>
      <xdr:colOff>104775</xdr:colOff>
      <xdr:row>8</xdr:row>
      <xdr:rowOff>28575</xdr:rowOff>
    </xdr:to>
    <xdr:sp macro="" textlink="">
      <xdr:nvSpPr>
        <xdr:cNvPr id="9" name="TextBox 8">
          <a:hlinkClick xmlns:r="http://schemas.openxmlformats.org/officeDocument/2006/relationships" r:id="rId6"/>
          <a:extLst>
            <a:ext uri="{FF2B5EF4-FFF2-40B4-BE49-F238E27FC236}">
              <a16:creationId xmlns:a16="http://schemas.microsoft.com/office/drawing/2014/main" id="{8C16446C-8E1E-404C-A64C-D6582FAE78EE}"/>
            </a:ext>
          </a:extLst>
        </xdr:cNvPr>
        <xdr:cNvSpPr txBox="1"/>
      </xdr:nvSpPr>
      <xdr:spPr>
        <a:xfrm>
          <a:off x="7829550" y="98107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Doctor Performance</a:t>
          </a:r>
        </a:p>
      </xdr:txBody>
    </xdr:sp>
    <xdr:clientData/>
  </xdr:twoCellAnchor>
  <xdr:twoCellAnchor>
    <xdr:from>
      <xdr:col>23</xdr:col>
      <xdr:colOff>247650</xdr:colOff>
      <xdr:row>5</xdr:row>
      <xdr:rowOff>47625</xdr:rowOff>
    </xdr:from>
    <xdr:to>
      <xdr:col>28</xdr:col>
      <xdr:colOff>115650</xdr:colOff>
      <xdr:row>8</xdr:row>
      <xdr:rowOff>9525</xdr:rowOff>
    </xdr:to>
    <xdr:grpSp>
      <xdr:nvGrpSpPr>
        <xdr:cNvPr id="31" name="Group 30">
          <a:extLst>
            <a:ext uri="{FF2B5EF4-FFF2-40B4-BE49-F238E27FC236}">
              <a16:creationId xmlns:a16="http://schemas.microsoft.com/office/drawing/2014/main" id="{8E5F6228-ECCF-1D64-70B5-A7AB6323F491}"/>
            </a:ext>
          </a:extLst>
        </xdr:cNvPr>
        <xdr:cNvGrpSpPr/>
      </xdr:nvGrpSpPr>
      <xdr:grpSpPr>
        <a:xfrm>
          <a:off x="14268450" y="952500"/>
          <a:ext cx="2916000" cy="504825"/>
          <a:chOff x="14268450" y="952500"/>
          <a:chExt cx="2916000" cy="504825"/>
        </a:xfrm>
      </xdr:grpSpPr>
      <xdr:sp macro="" textlink="">
        <xdr:nvSpPr>
          <xdr:cNvPr id="51" name="Rectangle: Top Corners Rounded 50">
            <a:extLst>
              <a:ext uri="{FF2B5EF4-FFF2-40B4-BE49-F238E27FC236}">
                <a16:creationId xmlns:a16="http://schemas.microsoft.com/office/drawing/2014/main" id="{EC1A9FF8-F8A2-3D0D-554A-48CECD15045B}"/>
              </a:ext>
            </a:extLst>
          </xdr:cNvPr>
          <xdr:cNvSpPr/>
        </xdr:nvSpPr>
        <xdr:spPr>
          <a:xfrm>
            <a:off x="14268450" y="952500"/>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BE02E729-6832-4714-B0A0-C3208DC4779F}"/>
              </a:ext>
            </a:extLst>
          </xdr:cNvPr>
          <xdr:cNvSpPr txBox="1"/>
        </xdr:nvSpPr>
        <xdr:spPr>
          <a:xfrm>
            <a:off x="14306550" y="95250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Patient Analysis</a:t>
            </a:r>
            <a:r>
              <a:rPr lang="en-IN" sz="1800" b="1" u="sng">
                <a:solidFill>
                  <a:sysClr val="windowText" lastClr="000000"/>
                </a:solidFill>
                <a:latin typeface="Arial Narrow" panose="020B0606020202030204" pitchFamily="34" charset="0"/>
              </a:rPr>
              <a:t> </a:t>
            </a:r>
          </a:p>
        </xdr:txBody>
      </xdr:sp>
    </xdr:grpSp>
    <xdr:clientData/>
  </xdr:twoCellAnchor>
  <xdr:twoCellAnchor>
    <xdr:from>
      <xdr:col>18</xdr:col>
      <xdr:colOff>76200</xdr:colOff>
      <xdr:row>5</xdr:row>
      <xdr:rowOff>76200</xdr:rowOff>
    </xdr:from>
    <xdr:to>
      <xdr:col>22</xdr:col>
      <xdr:colOff>276225</xdr:colOff>
      <xdr:row>8</xdr:row>
      <xdr:rowOff>28575</xdr:rowOff>
    </xdr:to>
    <xdr:sp macro="" textlink="">
      <xdr:nvSpPr>
        <xdr:cNvPr id="30" name="TextBox 29">
          <a:hlinkClick xmlns:r="http://schemas.openxmlformats.org/officeDocument/2006/relationships" r:id="rId7"/>
          <a:extLst>
            <a:ext uri="{FF2B5EF4-FFF2-40B4-BE49-F238E27FC236}">
              <a16:creationId xmlns:a16="http://schemas.microsoft.com/office/drawing/2014/main" id="{55575D51-0511-48E4-A051-9586344E730F}"/>
            </a:ext>
          </a:extLst>
        </xdr:cNvPr>
        <xdr:cNvSpPr txBox="1"/>
      </xdr:nvSpPr>
      <xdr:spPr>
        <a:xfrm>
          <a:off x="11049000" y="98107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Department</a:t>
          </a:r>
          <a:r>
            <a:rPr lang="en-IN" sz="1800" b="1" u="sng">
              <a:solidFill>
                <a:sysClr val="windowText" lastClr="000000"/>
              </a:solidFill>
              <a:latin typeface="Arial Narrow" panose="020B0606020202030204" pitchFamily="34" charset="0"/>
            </a:rPr>
            <a:t> Performance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69600</xdr:colOff>
      <xdr:row>8</xdr:row>
      <xdr:rowOff>12960</xdr:rowOff>
    </xdr:to>
    <xdr:sp macro="" textlink="">
      <xdr:nvSpPr>
        <xdr:cNvPr id="2" name="Rectangle: Top Corners Rounded 1">
          <a:extLst>
            <a:ext uri="{FF2B5EF4-FFF2-40B4-BE49-F238E27FC236}">
              <a16:creationId xmlns:a16="http://schemas.microsoft.com/office/drawing/2014/main" id="{D4B8DF77-F163-48E5-8792-4B3205BDD333}"/>
            </a:ext>
          </a:extLst>
        </xdr:cNvPr>
        <xdr:cNvSpPr/>
      </xdr:nvSpPr>
      <xdr:spPr>
        <a:xfrm>
          <a:off x="0" y="0"/>
          <a:ext cx="17748000" cy="1476000"/>
        </a:xfrm>
        <a:prstGeom prst="round2SameRect">
          <a:avLst/>
        </a:prstGeom>
        <a:solidFill>
          <a:srgbClr val="99AD7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8</xdr:row>
      <xdr:rowOff>76200</xdr:rowOff>
    </xdr:from>
    <xdr:to>
      <xdr:col>4</xdr:col>
      <xdr:colOff>447300</xdr:colOff>
      <xdr:row>42</xdr:row>
      <xdr:rowOff>97050</xdr:rowOff>
    </xdr:to>
    <xdr:sp macro="" textlink="">
      <xdr:nvSpPr>
        <xdr:cNvPr id="3" name="Rectangle 2">
          <a:extLst>
            <a:ext uri="{FF2B5EF4-FFF2-40B4-BE49-F238E27FC236}">
              <a16:creationId xmlns:a16="http://schemas.microsoft.com/office/drawing/2014/main" id="{6CB33606-D09C-408B-8542-365BF5F32299}"/>
            </a:ext>
          </a:extLst>
        </xdr:cNvPr>
        <xdr:cNvSpPr/>
      </xdr:nvSpPr>
      <xdr:spPr>
        <a:xfrm>
          <a:off x="38100" y="1524000"/>
          <a:ext cx="28476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209550</xdr:colOff>
      <xdr:row>8</xdr:row>
      <xdr:rowOff>76200</xdr:rowOff>
    </xdr:from>
    <xdr:to>
      <xdr:col>29</xdr:col>
      <xdr:colOff>9150</xdr:colOff>
      <xdr:row>42</xdr:row>
      <xdr:rowOff>97050</xdr:rowOff>
    </xdr:to>
    <xdr:sp macro="" textlink="">
      <xdr:nvSpPr>
        <xdr:cNvPr id="4" name="Rectangle 3">
          <a:extLst>
            <a:ext uri="{FF2B5EF4-FFF2-40B4-BE49-F238E27FC236}">
              <a16:creationId xmlns:a16="http://schemas.microsoft.com/office/drawing/2014/main" id="{73ED3631-A3C2-4B93-80B3-2956473E73E3}"/>
            </a:ext>
          </a:extLst>
        </xdr:cNvPr>
        <xdr:cNvSpPr/>
      </xdr:nvSpPr>
      <xdr:spPr>
        <a:xfrm>
          <a:off x="14839950" y="1524000"/>
          <a:ext cx="28476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523874</xdr:colOff>
      <xdr:row>8</xdr:row>
      <xdr:rowOff>76200</xdr:rowOff>
    </xdr:from>
    <xdr:to>
      <xdr:col>11</xdr:col>
      <xdr:colOff>57150</xdr:colOff>
      <xdr:row>42</xdr:row>
      <xdr:rowOff>97050</xdr:rowOff>
    </xdr:to>
    <xdr:sp macro="" textlink="">
      <xdr:nvSpPr>
        <xdr:cNvPr id="5" name="Rectangle 4">
          <a:extLst>
            <a:ext uri="{FF2B5EF4-FFF2-40B4-BE49-F238E27FC236}">
              <a16:creationId xmlns:a16="http://schemas.microsoft.com/office/drawing/2014/main" id="{C3871843-0D61-4BF7-823B-9751B9F20A5E}"/>
            </a:ext>
          </a:extLst>
        </xdr:cNvPr>
        <xdr:cNvSpPr/>
      </xdr:nvSpPr>
      <xdr:spPr>
        <a:xfrm>
          <a:off x="2962274" y="1524000"/>
          <a:ext cx="3800476"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190498</xdr:colOff>
      <xdr:row>8</xdr:row>
      <xdr:rowOff>76200</xdr:rowOff>
    </xdr:from>
    <xdr:to>
      <xdr:col>24</xdr:col>
      <xdr:colOff>76199</xdr:colOff>
      <xdr:row>24</xdr:row>
      <xdr:rowOff>168600</xdr:rowOff>
    </xdr:to>
    <xdr:sp macro="" textlink="">
      <xdr:nvSpPr>
        <xdr:cNvPr id="8" name="Rectangle 7">
          <a:extLst>
            <a:ext uri="{FF2B5EF4-FFF2-40B4-BE49-F238E27FC236}">
              <a16:creationId xmlns:a16="http://schemas.microsoft.com/office/drawing/2014/main" id="{8FA87FA0-FCFF-4385-A57B-0800EB9317EB}"/>
            </a:ext>
          </a:extLst>
        </xdr:cNvPr>
        <xdr:cNvSpPr/>
      </xdr:nvSpPr>
      <xdr:spPr>
        <a:xfrm>
          <a:off x="6896098" y="1524000"/>
          <a:ext cx="7810501" cy="2988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200023</xdr:colOff>
      <xdr:row>25</xdr:row>
      <xdr:rowOff>85725</xdr:rowOff>
    </xdr:from>
    <xdr:to>
      <xdr:col>24</xdr:col>
      <xdr:colOff>85724</xdr:colOff>
      <xdr:row>42</xdr:row>
      <xdr:rowOff>105150</xdr:rowOff>
    </xdr:to>
    <xdr:sp macro="" textlink="">
      <xdr:nvSpPr>
        <xdr:cNvPr id="10" name="Rectangle 9">
          <a:extLst>
            <a:ext uri="{FF2B5EF4-FFF2-40B4-BE49-F238E27FC236}">
              <a16:creationId xmlns:a16="http://schemas.microsoft.com/office/drawing/2014/main" id="{C0E1608E-E875-483E-8F6A-C63E461803B3}"/>
            </a:ext>
          </a:extLst>
        </xdr:cNvPr>
        <xdr:cNvSpPr/>
      </xdr:nvSpPr>
      <xdr:spPr>
        <a:xfrm>
          <a:off x="6905623" y="4610100"/>
          <a:ext cx="7810501" cy="3096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590550</xdr:colOff>
      <xdr:row>14</xdr:row>
      <xdr:rowOff>133350</xdr:rowOff>
    </xdr:from>
    <xdr:to>
      <xdr:col>8</xdr:col>
      <xdr:colOff>0</xdr:colOff>
      <xdr:row>17</xdr:row>
      <xdr:rowOff>28575</xdr:rowOff>
    </xdr:to>
    <xdr:sp macro="" textlink="'Pivot Table'!BH16">
      <xdr:nvSpPr>
        <xdr:cNvPr id="11" name="TextBox 10">
          <a:extLst>
            <a:ext uri="{FF2B5EF4-FFF2-40B4-BE49-F238E27FC236}">
              <a16:creationId xmlns:a16="http://schemas.microsoft.com/office/drawing/2014/main" id="{56F287BD-B47C-8FCE-63CD-FF45C3B9355C}"/>
            </a:ext>
          </a:extLst>
        </xdr:cNvPr>
        <xdr:cNvSpPr txBox="1"/>
      </xdr:nvSpPr>
      <xdr:spPr>
        <a:xfrm>
          <a:off x="3028950" y="2667000"/>
          <a:ext cx="18478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83E257-0BA8-448E-86BC-DA2784B0164B}" type="TxLink">
            <a:rPr lang="en-US" sz="2000" b="1" i="0" u="none" strike="noStrike">
              <a:solidFill>
                <a:srgbClr val="000000"/>
              </a:solidFill>
              <a:latin typeface="Aptos Narrow"/>
            </a:rPr>
            <a:pPr/>
            <a:t>Karan Mehta</a:t>
          </a:fld>
          <a:endParaRPr lang="en-IN" sz="2000" b="1"/>
        </a:p>
      </xdr:txBody>
    </xdr:sp>
    <xdr:clientData/>
  </xdr:twoCellAnchor>
  <xdr:twoCellAnchor>
    <xdr:from>
      <xdr:col>4</xdr:col>
      <xdr:colOff>590550</xdr:colOff>
      <xdr:row>19</xdr:row>
      <xdr:rowOff>85725</xdr:rowOff>
    </xdr:from>
    <xdr:to>
      <xdr:col>7</xdr:col>
      <xdr:colOff>209550</xdr:colOff>
      <xdr:row>21</xdr:row>
      <xdr:rowOff>161925</xdr:rowOff>
    </xdr:to>
    <xdr:sp macro="" textlink="'Pivot Table'!BH17">
      <xdr:nvSpPr>
        <xdr:cNvPr id="12" name="TextBox 11">
          <a:extLst>
            <a:ext uri="{FF2B5EF4-FFF2-40B4-BE49-F238E27FC236}">
              <a16:creationId xmlns:a16="http://schemas.microsoft.com/office/drawing/2014/main" id="{FEC133DF-3818-473D-94ED-477A187844F4}"/>
            </a:ext>
          </a:extLst>
        </xdr:cNvPr>
        <xdr:cNvSpPr txBox="1"/>
      </xdr:nvSpPr>
      <xdr:spPr>
        <a:xfrm>
          <a:off x="3028950" y="3524250"/>
          <a:ext cx="1447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A34AD7-2605-4D35-9A46-E28021C96028}" type="TxLink">
            <a:rPr lang="en-US" sz="2000" b="1" i="0" u="none" strike="noStrike">
              <a:solidFill>
                <a:srgbClr val="000000"/>
              </a:solidFill>
              <a:latin typeface="Aptos Narrow"/>
              <a:ea typeface="+mn-ea"/>
              <a:cs typeface="+mn-cs"/>
            </a:rPr>
            <a:pPr marL="0" indent="0"/>
            <a:t>Priya Singh</a:t>
          </a:fld>
          <a:endParaRPr lang="en-IN" sz="2000" b="1" i="0" u="none" strike="noStrike">
            <a:solidFill>
              <a:srgbClr val="000000"/>
            </a:solidFill>
            <a:latin typeface="Aptos Narrow"/>
            <a:ea typeface="+mn-ea"/>
            <a:cs typeface="+mn-cs"/>
          </a:endParaRPr>
        </a:p>
      </xdr:txBody>
    </xdr:sp>
    <xdr:clientData/>
  </xdr:twoCellAnchor>
  <xdr:twoCellAnchor>
    <xdr:from>
      <xdr:col>11</xdr:col>
      <xdr:colOff>247650</xdr:colOff>
      <xdr:row>27</xdr:row>
      <xdr:rowOff>142875</xdr:rowOff>
    </xdr:from>
    <xdr:to>
      <xdr:col>24</xdr:col>
      <xdr:colOff>57150</xdr:colOff>
      <xdr:row>42</xdr:row>
      <xdr:rowOff>133349</xdr:rowOff>
    </xdr:to>
    <xdr:graphicFrame macro="">
      <xdr:nvGraphicFramePr>
        <xdr:cNvPr id="6" name="Chart 5">
          <a:extLst>
            <a:ext uri="{FF2B5EF4-FFF2-40B4-BE49-F238E27FC236}">
              <a16:creationId xmlns:a16="http://schemas.microsoft.com/office/drawing/2014/main" id="{D2F099AD-A4AE-4CF6-9DF2-D243B2116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24</xdr:row>
      <xdr:rowOff>38100</xdr:rowOff>
    </xdr:from>
    <xdr:to>
      <xdr:col>8</xdr:col>
      <xdr:colOff>28575</xdr:colOff>
      <xdr:row>26</xdr:row>
      <xdr:rowOff>114300</xdr:rowOff>
    </xdr:to>
    <xdr:sp macro="" textlink="'Pivot Table'!BH18">
      <xdr:nvSpPr>
        <xdr:cNvPr id="13" name="TextBox 12">
          <a:extLst>
            <a:ext uri="{FF2B5EF4-FFF2-40B4-BE49-F238E27FC236}">
              <a16:creationId xmlns:a16="http://schemas.microsoft.com/office/drawing/2014/main" id="{2C3EBFFC-A908-4CAB-B7E0-6C92E3DD75EA}"/>
            </a:ext>
          </a:extLst>
        </xdr:cNvPr>
        <xdr:cNvSpPr txBox="1"/>
      </xdr:nvSpPr>
      <xdr:spPr>
        <a:xfrm>
          <a:off x="3028950" y="4381500"/>
          <a:ext cx="18764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276220-F86B-416A-85FE-677AC79757CA}" type="TxLink">
            <a:rPr lang="en-US" sz="2000" b="1" i="0" u="none" strike="noStrike">
              <a:solidFill>
                <a:srgbClr val="000000"/>
              </a:solidFill>
              <a:latin typeface="Aptos Narrow"/>
              <a:ea typeface="+mn-ea"/>
              <a:cs typeface="+mn-cs"/>
            </a:rPr>
            <a:pPr marL="0" indent="0"/>
            <a:t>Sneha Verma</a:t>
          </a:fld>
          <a:endParaRPr lang="en-IN" sz="2000" b="1" i="0" u="none" strike="noStrike">
            <a:solidFill>
              <a:srgbClr val="000000"/>
            </a:solidFill>
            <a:latin typeface="Aptos Narrow"/>
            <a:ea typeface="+mn-ea"/>
            <a:cs typeface="+mn-cs"/>
          </a:endParaRPr>
        </a:p>
      </xdr:txBody>
    </xdr:sp>
    <xdr:clientData/>
  </xdr:twoCellAnchor>
  <xdr:twoCellAnchor>
    <xdr:from>
      <xdr:col>4</xdr:col>
      <xdr:colOff>590550</xdr:colOff>
      <xdr:row>28</xdr:row>
      <xdr:rowOff>171450</xdr:rowOff>
    </xdr:from>
    <xdr:to>
      <xdr:col>8</xdr:col>
      <xdr:colOff>57150</xdr:colOff>
      <xdr:row>31</xdr:row>
      <xdr:rowOff>66675</xdr:rowOff>
    </xdr:to>
    <xdr:sp macro="" textlink="'Pivot Table'!BH19">
      <xdr:nvSpPr>
        <xdr:cNvPr id="14" name="TextBox 13">
          <a:extLst>
            <a:ext uri="{FF2B5EF4-FFF2-40B4-BE49-F238E27FC236}">
              <a16:creationId xmlns:a16="http://schemas.microsoft.com/office/drawing/2014/main" id="{F952F9BB-B915-4DA6-B27B-99604DEFA311}"/>
            </a:ext>
          </a:extLst>
        </xdr:cNvPr>
        <xdr:cNvSpPr txBox="1"/>
      </xdr:nvSpPr>
      <xdr:spPr>
        <a:xfrm>
          <a:off x="3028950" y="5238750"/>
          <a:ext cx="1905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5ABE16-0A30-4DD8-B371-A65012EA5019}" type="TxLink">
            <a:rPr lang="en-US" sz="2000" b="1" i="0" u="none" strike="noStrike">
              <a:solidFill>
                <a:srgbClr val="000000"/>
              </a:solidFill>
              <a:latin typeface="Aptos Narrow"/>
              <a:ea typeface="+mn-ea"/>
              <a:cs typeface="+mn-cs"/>
            </a:rPr>
            <a:pPr marL="0" indent="0"/>
            <a:t>Aarav Sharma</a:t>
          </a:fld>
          <a:endParaRPr lang="en-IN" sz="2000" b="1" i="0" u="none" strike="noStrike">
            <a:solidFill>
              <a:srgbClr val="000000"/>
            </a:solidFill>
            <a:latin typeface="Aptos Narrow"/>
            <a:ea typeface="+mn-ea"/>
            <a:cs typeface="+mn-cs"/>
          </a:endParaRPr>
        </a:p>
      </xdr:txBody>
    </xdr:sp>
    <xdr:clientData/>
  </xdr:twoCellAnchor>
  <xdr:twoCellAnchor>
    <xdr:from>
      <xdr:col>11</xdr:col>
      <xdr:colOff>219075</xdr:colOff>
      <xdr:row>10</xdr:row>
      <xdr:rowOff>171449</xdr:rowOff>
    </xdr:from>
    <xdr:to>
      <xdr:col>24</xdr:col>
      <xdr:colOff>66675</xdr:colOff>
      <xdr:row>24</xdr:row>
      <xdr:rowOff>180974</xdr:rowOff>
    </xdr:to>
    <xdr:graphicFrame macro="">
      <xdr:nvGraphicFramePr>
        <xdr:cNvPr id="7" name="Chart 6">
          <a:extLst>
            <a:ext uri="{FF2B5EF4-FFF2-40B4-BE49-F238E27FC236}">
              <a16:creationId xmlns:a16="http://schemas.microsoft.com/office/drawing/2014/main" id="{8DA2239B-7B5F-4F82-91D0-E8C1C2456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33</xdr:row>
      <xdr:rowOff>123825</xdr:rowOff>
    </xdr:from>
    <xdr:to>
      <xdr:col>7</xdr:col>
      <xdr:colOff>400050</xdr:colOff>
      <xdr:row>36</xdr:row>
      <xdr:rowOff>19050</xdr:rowOff>
    </xdr:to>
    <xdr:sp macro="" textlink="'Pivot Table'!BH20">
      <xdr:nvSpPr>
        <xdr:cNvPr id="15" name="TextBox 14">
          <a:extLst>
            <a:ext uri="{FF2B5EF4-FFF2-40B4-BE49-F238E27FC236}">
              <a16:creationId xmlns:a16="http://schemas.microsoft.com/office/drawing/2014/main" id="{5C2F88C1-B11C-4E19-A74A-752B534928FC}"/>
            </a:ext>
          </a:extLst>
        </xdr:cNvPr>
        <xdr:cNvSpPr txBox="1"/>
      </xdr:nvSpPr>
      <xdr:spPr>
        <a:xfrm>
          <a:off x="3028950" y="6096000"/>
          <a:ext cx="1638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2ED566-9665-4672-BB1F-2CABF81BB4D8}" type="TxLink">
            <a:rPr lang="en-US" sz="2000" b="1" i="0" u="none" strike="noStrike">
              <a:solidFill>
                <a:srgbClr val="000000"/>
              </a:solidFill>
              <a:latin typeface="Aptos Narrow"/>
              <a:ea typeface="+mn-ea"/>
              <a:cs typeface="+mn-cs"/>
            </a:rPr>
            <a:pPr marL="0" indent="0"/>
            <a:t>Rahul Kapoor</a:t>
          </a:fld>
          <a:endParaRPr lang="en-IN" sz="2000" b="1" i="0" u="none" strike="noStrike">
            <a:solidFill>
              <a:srgbClr val="000000"/>
            </a:solidFill>
            <a:latin typeface="Aptos Narrow"/>
            <a:ea typeface="+mn-ea"/>
            <a:cs typeface="+mn-cs"/>
          </a:endParaRPr>
        </a:p>
      </xdr:txBody>
    </xdr:sp>
    <xdr:clientData/>
  </xdr:twoCellAnchor>
  <xdr:twoCellAnchor>
    <xdr:from>
      <xdr:col>4</xdr:col>
      <xdr:colOff>590550</xdr:colOff>
      <xdr:row>38</xdr:row>
      <xdr:rowOff>76200</xdr:rowOff>
    </xdr:from>
    <xdr:to>
      <xdr:col>7</xdr:col>
      <xdr:colOff>209550</xdr:colOff>
      <xdr:row>40</xdr:row>
      <xdr:rowOff>152400</xdr:rowOff>
    </xdr:to>
    <xdr:sp macro="" textlink="'Pivot Table'!BH21">
      <xdr:nvSpPr>
        <xdr:cNvPr id="16" name="TextBox 15">
          <a:extLst>
            <a:ext uri="{FF2B5EF4-FFF2-40B4-BE49-F238E27FC236}">
              <a16:creationId xmlns:a16="http://schemas.microsoft.com/office/drawing/2014/main" id="{50097D22-7262-4E38-8F7E-DE667B94A745}"/>
            </a:ext>
          </a:extLst>
        </xdr:cNvPr>
        <xdr:cNvSpPr txBox="1"/>
      </xdr:nvSpPr>
      <xdr:spPr>
        <a:xfrm>
          <a:off x="3028950" y="6953250"/>
          <a:ext cx="1447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93D58C-B37D-4636-A714-48241EF391C9}" type="TxLink">
            <a:rPr lang="en-US" sz="2000" b="1" i="0" u="none" strike="noStrike">
              <a:solidFill>
                <a:srgbClr val="000000"/>
              </a:solidFill>
              <a:latin typeface="Aptos Narrow"/>
              <a:ea typeface="+mn-ea"/>
              <a:cs typeface="+mn-cs"/>
            </a:rPr>
            <a:pPr marL="0" indent="0"/>
            <a:t>Riya Gupta</a:t>
          </a:fld>
          <a:endParaRPr lang="en-IN" sz="2000" b="1" i="0" u="none" strike="noStrike">
            <a:solidFill>
              <a:srgbClr val="000000"/>
            </a:solidFill>
            <a:latin typeface="Aptos Narrow"/>
            <a:ea typeface="+mn-ea"/>
            <a:cs typeface="+mn-cs"/>
          </a:endParaRPr>
        </a:p>
      </xdr:txBody>
    </xdr:sp>
    <xdr:clientData/>
  </xdr:twoCellAnchor>
  <xdr:twoCellAnchor>
    <xdr:from>
      <xdr:col>7</xdr:col>
      <xdr:colOff>285750</xdr:colOff>
      <xdr:row>14</xdr:row>
      <xdr:rowOff>123824</xdr:rowOff>
    </xdr:from>
    <xdr:to>
      <xdr:col>9</xdr:col>
      <xdr:colOff>590549</xdr:colOff>
      <xdr:row>17</xdr:row>
      <xdr:rowOff>9524</xdr:rowOff>
    </xdr:to>
    <xdr:sp macro="" textlink="'Pivot Table'!BI16">
      <xdr:nvSpPr>
        <xdr:cNvPr id="18" name="TextBox 17">
          <a:extLst>
            <a:ext uri="{FF2B5EF4-FFF2-40B4-BE49-F238E27FC236}">
              <a16:creationId xmlns:a16="http://schemas.microsoft.com/office/drawing/2014/main" id="{0C823211-097B-8E4E-3F5B-CD3077FADA29}"/>
            </a:ext>
          </a:extLst>
        </xdr:cNvPr>
        <xdr:cNvSpPr txBox="1"/>
      </xdr:nvSpPr>
      <xdr:spPr>
        <a:xfrm>
          <a:off x="4552950" y="2657474"/>
          <a:ext cx="15239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E90E06-31C6-4AB5-8C2A-13A2AE1B374C}" type="TxLink">
            <a:rPr lang="en-US" sz="1800" b="0" i="0" u="none" strike="noStrike">
              <a:solidFill>
                <a:srgbClr val="FFC000"/>
              </a:solidFill>
              <a:latin typeface="Aptos Narrow"/>
            </a:rPr>
            <a:pPr/>
            <a:t>★★✰☆☆☆</a:t>
          </a:fld>
          <a:endParaRPr lang="en-IN" sz="1800">
            <a:solidFill>
              <a:srgbClr val="FFC000"/>
            </a:solidFill>
          </a:endParaRPr>
        </a:p>
      </xdr:txBody>
    </xdr:sp>
    <xdr:clientData/>
  </xdr:twoCellAnchor>
  <xdr:twoCellAnchor>
    <xdr:from>
      <xdr:col>7</xdr:col>
      <xdr:colOff>304800</xdr:colOff>
      <xdr:row>19</xdr:row>
      <xdr:rowOff>87629</xdr:rowOff>
    </xdr:from>
    <xdr:to>
      <xdr:col>9</xdr:col>
      <xdr:colOff>609599</xdr:colOff>
      <xdr:row>21</xdr:row>
      <xdr:rowOff>154304</xdr:rowOff>
    </xdr:to>
    <xdr:sp macro="" textlink="'Pivot Table'!BI17">
      <xdr:nvSpPr>
        <xdr:cNvPr id="19" name="TextBox 18">
          <a:extLst>
            <a:ext uri="{FF2B5EF4-FFF2-40B4-BE49-F238E27FC236}">
              <a16:creationId xmlns:a16="http://schemas.microsoft.com/office/drawing/2014/main" id="{6AA166ED-B712-47E3-92A2-94495DDC4B4E}"/>
            </a:ext>
          </a:extLst>
        </xdr:cNvPr>
        <xdr:cNvSpPr txBox="1"/>
      </xdr:nvSpPr>
      <xdr:spPr>
        <a:xfrm>
          <a:off x="4572000" y="3526154"/>
          <a:ext cx="15239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A53574-F3D7-4BAF-B463-0C83B82EC7D7}" type="TxLink">
            <a:rPr lang="en-US" sz="1800" b="0" i="0" u="none" strike="noStrike">
              <a:solidFill>
                <a:srgbClr val="FFC000"/>
              </a:solidFill>
              <a:latin typeface="Aptos Narrow"/>
              <a:ea typeface="+mn-ea"/>
              <a:cs typeface="+mn-cs"/>
            </a:rPr>
            <a:pPr marL="0" indent="0"/>
            <a:t>★★✰☆☆☆</a:t>
          </a:fld>
          <a:endParaRPr lang="en-IN" sz="1800" b="0" i="0" u="none" strike="noStrike">
            <a:solidFill>
              <a:srgbClr val="FFC000"/>
            </a:solidFill>
            <a:latin typeface="Aptos Narrow"/>
            <a:ea typeface="+mn-ea"/>
            <a:cs typeface="+mn-cs"/>
          </a:endParaRPr>
        </a:p>
      </xdr:txBody>
    </xdr:sp>
    <xdr:clientData/>
  </xdr:twoCellAnchor>
  <xdr:twoCellAnchor>
    <xdr:from>
      <xdr:col>7</xdr:col>
      <xdr:colOff>381000</xdr:colOff>
      <xdr:row>24</xdr:row>
      <xdr:rowOff>51434</xdr:rowOff>
    </xdr:from>
    <xdr:to>
      <xdr:col>10</xdr:col>
      <xdr:colOff>76199</xdr:colOff>
      <xdr:row>26</xdr:row>
      <xdr:rowOff>118109</xdr:rowOff>
    </xdr:to>
    <xdr:sp macro="" textlink="'Pivot Table'!BI18">
      <xdr:nvSpPr>
        <xdr:cNvPr id="20" name="TextBox 19">
          <a:extLst>
            <a:ext uri="{FF2B5EF4-FFF2-40B4-BE49-F238E27FC236}">
              <a16:creationId xmlns:a16="http://schemas.microsoft.com/office/drawing/2014/main" id="{AD6794B9-4741-4210-A70C-F8C71B0CC5E6}"/>
            </a:ext>
          </a:extLst>
        </xdr:cNvPr>
        <xdr:cNvSpPr txBox="1"/>
      </xdr:nvSpPr>
      <xdr:spPr>
        <a:xfrm>
          <a:off x="4648200" y="4394834"/>
          <a:ext cx="15239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92161B-4EBF-40F2-BCE6-450B083F56A3}" type="TxLink">
            <a:rPr lang="en-US" sz="2000" b="0" i="0" u="none" strike="noStrike">
              <a:solidFill>
                <a:srgbClr val="FFC000"/>
              </a:solidFill>
              <a:latin typeface="Aptos Narrow"/>
              <a:ea typeface="+mn-ea"/>
              <a:cs typeface="+mn-cs"/>
            </a:rPr>
            <a:pPr marL="0" indent="0"/>
            <a:t>★★✰☆☆</a:t>
          </a:fld>
          <a:endParaRPr lang="en-IN" sz="2000" b="0" i="0" u="none" strike="noStrike">
            <a:solidFill>
              <a:srgbClr val="FFC000"/>
            </a:solidFill>
            <a:latin typeface="Aptos Narrow"/>
            <a:ea typeface="+mn-ea"/>
            <a:cs typeface="+mn-cs"/>
          </a:endParaRPr>
        </a:p>
      </xdr:txBody>
    </xdr:sp>
    <xdr:clientData/>
  </xdr:twoCellAnchor>
  <xdr:twoCellAnchor>
    <xdr:from>
      <xdr:col>7</xdr:col>
      <xdr:colOff>371475</xdr:colOff>
      <xdr:row>29</xdr:row>
      <xdr:rowOff>43814</xdr:rowOff>
    </xdr:from>
    <xdr:to>
      <xdr:col>10</xdr:col>
      <xdr:colOff>66674</xdr:colOff>
      <xdr:row>31</xdr:row>
      <xdr:rowOff>110489</xdr:rowOff>
    </xdr:to>
    <xdr:sp macro="" textlink="'Pivot Table'!BI19">
      <xdr:nvSpPr>
        <xdr:cNvPr id="21" name="TextBox 20">
          <a:extLst>
            <a:ext uri="{FF2B5EF4-FFF2-40B4-BE49-F238E27FC236}">
              <a16:creationId xmlns:a16="http://schemas.microsoft.com/office/drawing/2014/main" id="{AABEC693-FEF4-4E7F-A13C-6E404E94091F}"/>
            </a:ext>
          </a:extLst>
        </xdr:cNvPr>
        <xdr:cNvSpPr txBox="1"/>
      </xdr:nvSpPr>
      <xdr:spPr>
        <a:xfrm>
          <a:off x="4638675" y="5292089"/>
          <a:ext cx="15239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BDC287-8C20-4468-9CF8-433A1CBB1E7A}" type="TxLink">
            <a:rPr lang="en-US" sz="1800" b="0" i="0" u="none" strike="noStrike">
              <a:solidFill>
                <a:srgbClr val="FFC000"/>
              </a:solidFill>
              <a:latin typeface="Aptos Narrow"/>
              <a:ea typeface="+mn-ea"/>
              <a:cs typeface="+mn-cs"/>
            </a:rPr>
            <a:pPr marL="0" indent="0"/>
            <a:t>★★★☆☆</a:t>
          </a:fld>
          <a:endParaRPr lang="en-IN" sz="1800" b="0" i="0" u="none" strike="noStrike">
            <a:solidFill>
              <a:srgbClr val="FFC000"/>
            </a:solidFill>
            <a:latin typeface="Aptos Narrow"/>
            <a:ea typeface="+mn-ea"/>
            <a:cs typeface="+mn-cs"/>
          </a:endParaRPr>
        </a:p>
      </xdr:txBody>
    </xdr:sp>
    <xdr:clientData/>
  </xdr:twoCellAnchor>
  <xdr:twoCellAnchor>
    <xdr:from>
      <xdr:col>7</xdr:col>
      <xdr:colOff>95250</xdr:colOff>
      <xdr:row>38</xdr:row>
      <xdr:rowOff>85724</xdr:rowOff>
    </xdr:from>
    <xdr:to>
      <xdr:col>9</xdr:col>
      <xdr:colOff>400049</xdr:colOff>
      <xdr:row>40</xdr:row>
      <xdr:rowOff>152399</xdr:rowOff>
    </xdr:to>
    <xdr:sp macro="" textlink="'Pivot Table'!BI21">
      <xdr:nvSpPr>
        <xdr:cNvPr id="23" name="TextBox 22">
          <a:extLst>
            <a:ext uri="{FF2B5EF4-FFF2-40B4-BE49-F238E27FC236}">
              <a16:creationId xmlns:a16="http://schemas.microsoft.com/office/drawing/2014/main" id="{46095AE8-377D-4558-887C-DD589E83CCB1}"/>
            </a:ext>
          </a:extLst>
        </xdr:cNvPr>
        <xdr:cNvSpPr txBox="1"/>
      </xdr:nvSpPr>
      <xdr:spPr>
        <a:xfrm>
          <a:off x="4362450" y="6962774"/>
          <a:ext cx="15239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2AF79F-D951-44DA-A706-82DE7898413B}" type="TxLink">
            <a:rPr lang="en-US" sz="1800" b="0" i="0" u="none" strike="noStrike">
              <a:solidFill>
                <a:srgbClr val="FFC000"/>
              </a:solidFill>
              <a:latin typeface="Aptos Narrow"/>
              <a:ea typeface="+mn-ea"/>
              <a:cs typeface="+mn-cs"/>
            </a:rPr>
            <a:pPr marL="0" indent="0"/>
            <a:t>★★★☆☆</a:t>
          </a:fld>
          <a:endParaRPr lang="en-IN" sz="1800" b="0" i="0" u="none" strike="noStrike">
            <a:solidFill>
              <a:srgbClr val="FFC000"/>
            </a:solidFill>
            <a:latin typeface="Aptos Narrow"/>
            <a:ea typeface="+mn-ea"/>
            <a:cs typeface="+mn-cs"/>
          </a:endParaRPr>
        </a:p>
      </xdr:txBody>
    </xdr:sp>
    <xdr:clientData/>
  </xdr:twoCellAnchor>
  <xdr:twoCellAnchor>
    <xdr:from>
      <xdr:col>7</xdr:col>
      <xdr:colOff>371475</xdr:colOff>
      <xdr:row>33</xdr:row>
      <xdr:rowOff>160019</xdr:rowOff>
    </xdr:from>
    <xdr:to>
      <xdr:col>10</xdr:col>
      <xdr:colOff>66674</xdr:colOff>
      <xdr:row>36</xdr:row>
      <xdr:rowOff>45719</xdr:rowOff>
    </xdr:to>
    <xdr:sp macro="" textlink="'Pivot Table'!BI20">
      <xdr:nvSpPr>
        <xdr:cNvPr id="24" name="TextBox 23">
          <a:extLst>
            <a:ext uri="{FF2B5EF4-FFF2-40B4-BE49-F238E27FC236}">
              <a16:creationId xmlns:a16="http://schemas.microsoft.com/office/drawing/2014/main" id="{369AC18B-A3A7-4F25-BC1D-1B02E8F0E198}"/>
            </a:ext>
          </a:extLst>
        </xdr:cNvPr>
        <xdr:cNvSpPr txBox="1"/>
      </xdr:nvSpPr>
      <xdr:spPr>
        <a:xfrm>
          <a:off x="4638675" y="6132194"/>
          <a:ext cx="15239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8F1800-F42A-435D-89AB-99DFC25EF698}" type="TxLink">
            <a:rPr lang="en-US" sz="1800" b="0" i="0" u="none" strike="noStrike">
              <a:solidFill>
                <a:srgbClr val="FFC000"/>
              </a:solidFill>
              <a:latin typeface="Aptos Narrow"/>
              <a:ea typeface="+mn-ea"/>
              <a:cs typeface="+mn-cs"/>
            </a:rPr>
            <a:pPr marL="0" indent="0"/>
            <a:t>★★★☆☆</a:t>
          </a:fld>
          <a:endParaRPr lang="en-IN" sz="1800" b="0" i="0" u="none" strike="noStrike">
            <a:solidFill>
              <a:srgbClr val="FFC000"/>
            </a:solidFill>
            <a:latin typeface="Aptos Narrow"/>
            <a:ea typeface="+mn-ea"/>
            <a:cs typeface="+mn-cs"/>
          </a:endParaRPr>
        </a:p>
      </xdr:txBody>
    </xdr:sp>
    <xdr:clientData/>
  </xdr:twoCellAnchor>
  <xdr:twoCellAnchor>
    <xdr:from>
      <xdr:col>9</xdr:col>
      <xdr:colOff>333377</xdr:colOff>
      <xdr:row>15</xdr:row>
      <xdr:rowOff>0</xdr:rowOff>
    </xdr:from>
    <xdr:to>
      <xdr:col>10</xdr:col>
      <xdr:colOff>323851</xdr:colOff>
      <xdr:row>16</xdr:row>
      <xdr:rowOff>152401</xdr:rowOff>
    </xdr:to>
    <xdr:sp macro="" textlink="'Pivot Table'!BJ16">
      <xdr:nvSpPr>
        <xdr:cNvPr id="25" name="TextBox 24">
          <a:extLst>
            <a:ext uri="{FF2B5EF4-FFF2-40B4-BE49-F238E27FC236}">
              <a16:creationId xmlns:a16="http://schemas.microsoft.com/office/drawing/2014/main" id="{1CF9BD3D-83DE-5228-0021-804FF216DD05}"/>
            </a:ext>
          </a:extLst>
        </xdr:cNvPr>
        <xdr:cNvSpPr txBox="1"/>
      </xdr:nvSpPr>
      <xdr:spPr>
        <a:xfrm>
          <a:off x="5819777" y="2714625"/>
          <a:ext cx="6000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C257C4-7587-4474-AC46-292DE52F52BD}" type="TxLink">
            <a:rPr lang="en-US" sz="1600" b="0" i="0" u="none" strike="noStrike">
              <a:solidFill>
                <a:sysClr val="windowText" lastClr="000000"/>
              </a:solidFill>
              <a:latin typeface="Aptos Narrow"/>
            </a:rPr>
            <a:pPr/>
            <a:t>2.7</a:t>
          </a:fld>
          <a:endParaRPr lang="en-IN" sz="1600" b="0">
            <a:solidFill>
              <a:sysClr val="windowText" lastClr="000000"/>
            </a:solidFill>
          </a:endParaRPr>
        </a:p>
      </xdr:txBody>
    </xdr:sp>
    <xdr:clientData/>
  </xdr:twoCellAnchor>
  <xdr:twoCellAnchor>
    <xdr:from>
      <xdr:col>9</xdr:col>
      <xdr:colOff>409577</xdr:colOff>
      <xdr:row>24</xdr:row>
      <xdr:rowOff>95250</xdr:rowOff>
    </xdr:from>
    <xdr:to>
      <xdr:col>10</xdr:col>
      <xdr:colOff>400051</xdr:colOff>
      <xdr:row>26</xdr:row>
      <xdr:rowOff>66676</xdr:rowOff>
    </xdr:to>
    <xdr:sp macro="" textlink="'Pivot Table'!BJ18">
      <xdr:nvSpPr>
        <xdr:cNvPr id="26" name="TextBox 25">
          <a:extLst>
            <a:ext uri="{FF2B5EF4-FFF2-40B4-BE49-F238E27FC236}">
              <a16:creationId xmlns:a16="http://schemas.microsoft.com/office/drawing/2014/main" id="{158720B1-5DDC-4790-848C-7BF5F30916F7}"/>
            </a:ext>
          </a:extLst>
        </xdr:cNvPr>
        <xdr:cNvSpPr txBox="1"/>
      </xdr:nvSpPr>
      <xdr:spPr>
        <a:xfrm>
          <a:off x="5895977" y="4438650"/>
          <a:ext cx="6000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FA53F-005F-4EA1-BA26-EF8D3E828BD7}" type="TxLink">
            <a:rPr lang="en-US" sz="1600" b="0" i="0" u="none" strike="noStrike">
              <a:solidFill>
                <a:sysClr val="windowText" lastClr="000000"/>
              </a:solidFill>
              <a:latin typeface="Aptos Narrow"/>
              <a:ea typeface="+mn-ea"/>
              <a:cs typeface="+mn-cs"/>
            </a:rPr>
            <a:pPr marL="0" indent="0"/>
            <a:t>2.9</a:t>
          </a:fld>
          <a:endParaRPr lang="en-IN" sz="1600" b="0" i="0" u="none" strike="noStrike">
            <a:solidFill>
              <a:sysClr val="windowText" lastClr="000000"/>
            </a:solidFill>
            <a:latin typeface="Aptos Narrow"/>
            <a:ea typeface="+mn-ea"/>
            <a:cs typeface="+mn-cs"/>
          </a:endParaRPr>
        </a:p>
      </xdr:txBody>
    </xdr:sp>
    <xdr:clientData/>
  </xdr:twoCellAnchor>
  <xdr:twoCellAnchor>
    <xdr:from>
      <xdr:col>9</xdr:col>
      <xdr:colOff>381002</xdr:colOff>
      <xdr:row>29</xdr:row>
      <xdr:rowOff>85725</xdr:rowOff>
    </xdr:from>
    <xdr:to>
      <xdr:col>10</xdr:col>
      <xdr:colOff>371476</xdr:colOff>
      <xdr:row>31</xdr:row>
      <xdr:rowOff>57151</xdr:rowOff>
    </xdr:to>
    <xdr:sp macro="" textlink="'Pivot Table'!BJ19">
      <xdr:nvSpPr>
        <xdr:cNvPr id="27" name="TextBox 26">
          <a:extLst>
            <a:ext uri="{FF2B5EF4-FFF2-40B4-BE49-F238E27FC236}">
              <a16:creationId xmlns:a16="http://schemas.microsoft.com/office/drawing/2014/main" id="{0768DD34-B3A1-47D3-8AAF-198DB5FDDF55}"/>
            </a:ext>
          </a:extLst>
        </xdr:cNvPr>
        <xdr:cNvSpPr txBox="1"/>
      </xdr:nvSpPr>
      <xdr:spPr>
        <a:xfrm>
          <a:off x="5867402" y="5334000"/>
          <a:ext cx="6000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8DE72F-3143-4F66-8AB5-1A0DD2E5A844}" type="TxLink">
            <a:rPr lang="en-US" sz="1600" b="0" i="0" u="none" strike="noStrike">
              <a:solidFill>
                <a:sysClr val="windowText" lastClr="000000"/>
              </a:solidFill>
              <a:latin typeface="Aptos Narrow"/>
              <a:ea typeface="+mn-ea"/>
              <a:cs typeface="+mn-cs"/>
            </a:rPr>
            <a:pPr marL="0" indent="0"/>
            <a:t>3.0</a:t>
          </a:fld>
          <a:endParaRPr lang="en-IN" sz="1600" b="0" i="0" u="none" strike="noStrike">
            <a:solidFill>
              <a:sysClr val="windowText" lastClr="000000"/>
            </a:solidFill>
            <a:latin typeface="Aptos Narrow"/>
            <a:ea typeface="+mn-ea"/>
            <a:cs typeface="+mn-cs"/>
          </a:endParaRPr>
        </a:p>
      </xdr:txBody>
    </xdr:sp>
    <xdr:clientData/>
  </xdr:twoCellAnchor>
  <xdr:twoCellAnchor>
    <xdr:from>
      <xdr:col>9</xdr:col>
      <xdr:colOff>323852</xdr:colOff>
      <xdr:row>33</xdr:row>
      <xdr:rowOff>171450</xdr:rowOff>
    </xdr:from>
    <xdr:to>
      <xdr:col>10</xdr:col>
      <xdr:colOff>314326</xdr:colOff>
      <xdr:row>35</xdr:row>
      <xdr:rowOff>142876</xdr:rowOff>
    </xdr:to>
    <xdr:sp macro="" textlink="'Pivot Table'!BJ20">
      <xdr:nvSpPr>
        <xdr:cNvPr id="28" name="TextBox 27">
          <a:extLst>
            <a:ext uri="{FF2B5EF4-FFF2-40B4-BE49-F238E27FC236}">
              <a16:creationId xmlns:a16="http://schemas.microsoft.com/office/drawing/2014/main" id="{52C432B4-8AC7-4D89-8045-0C5A4FEDE65B}"/>
            </a:ext>
          </a:extLst>
        </xdr:cNvPr>
        <xdr:cNvSpPr txBox="1"/>
      </xdr:nvSpPr>
      <xdr:spPr>
        <a:xfrm>
          <a:off x="5810252" y="6143625"/>
          <a:ext cx="6000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C49F12-02C9-4F04-8ED3-0F6D08B519F5}" type="TxLink">
            <a:rPr lang="en-US" sz="1600" b="0" i="0" u="none" strike="noStrike">
              <a:solidFill>
                <a:sysClr val="windowText" lastClr="000000"/>
              </a:solidFill>
              <a:latin typeface="Aptos Narrow"/>
              <a:ea typeface="+mn-ea"/>
              <a:cs typeface="+mn-cs"/>
            </a:rPr>
            <a:pPr marL="0" indent="0"/>
            <a:t>3.0</a:t>
          </a:fld>
          <a:endParaRPr lang="en-IN" sz="1600" b="0" i="0" u="none" strike="noStrike">
            <a:solidFill>
              <a:sysClr val="windowText" lastClr="000000"/>
            </a:solidFill>
            <a:latin typeface="Aptos Narrow"/>
            <a:ea typeface="+mn-ea"/>
            <a:cs typeface="+mn-cs"/>
          </a:endParaRPr>
        </a:p>
      </xdr:txBody>
    </xdr:sp>
    <xdr:clientData/>
  </xdr:twoCellAnchor>
  <xdr:twoCellAnchor>
    <xdr:from>
      <xdr:col>9</xdr:col>
      <xdr:colOff>133352</xdr:colOff>
      <xdr:row>38</xdr:row>
      <xdr:rowOff>171450</xdr:rowOff>
    </xdr:from>
    <xdr:to>
      <xdr:col>10</xdr:col>
      <xdr:colOff>123826</xdr:colOff>
      <xdr:row>40</xdr:row>
      <xdr:rowOff>142876</xdr:rowOff>
    </xdr:to>
    <xdr:sp macro="" textlink="'Pivot Table'!BJ21">
      <xdr:nvSpPr>
        <xdr:cNvPr id="29" name="TextBox 28">
          <a:extLst>
            <a:ext uri="{FF2B5EF4-FFF2-40B4-BE49-F238E27FC236}">
              <a16:creationId xmlns:a16="http://schemas.microsoft.com/office/drawing/2014/main" id="{F1480993-B4E8-4F84-95CB-C8F4F8C0C8F5}"/>
            </a:ext>
          </a:extLst>
        </xdr:cNvPr>
        <xdr:cNvSpPr txBox="1"/>
      </xdr:nvSpPr>
      <xdr:spPr>
        <a:xfrm>
          <a:off x="5619752" y="7048500"/>
          <a:ext cx="6000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1FE22B-686B-4FAC-8E40-679AF136DE0B}" type="TxLink">
            <a:rPr lang="en-US" sz="1600" b="0" i="0" u="none" strike="noStrike">
              <a:solidFill>
                <a:sysClr val="windowText" lastClr="000000"/>
              </a:solidFill>
              <a:latin typeface="Aptos Narrow"/>
              <a:ea typeface="+mn-ea"/>
              <a:cs typeface="+mn-cs"/>
            </a:rPr>
            <a:pPr marL="0" indent="0"/>
            <a:t>3.1</a:t>
          </a:fld>
          <a:endParaRPr lang="en-IN" sz="1600" b="0" i="0" u="none" strike="noStrike">
            <a:solidFill>
              <a:sysClr val="windowText" lastClr="000000"/>
            </a:solidFill>
            <a:latin typeface="Aptos Narrow"/>
            <a:ea typeface="+mn-ea"/>
            <a:cs typeface="+mn-cs"/>
          </a:endParaRPr>
        </a:p>
      </xdr:txBody>
    </xdr:sp>
    <xdr:clientData/>
  </xdr:twoCellAnchor>
  <xdr:twoCellAnchor>
    <xdr:from>
      <xdr:col>9</xdr:col>
      <xdr:colOff>409577</xdr:colOff>
      <xdr:row>19</xdr:row>
      <xdr:rowOff>152400</xdr:rowOff>
    </xdr:from>
    <xdr:to>
      <xdr:col>10</xdr:col>
      <xdr:colOff>400051</xdr:colOff>
      <xdr:row>21</xdr:row>
      <xdr:rowOff>123826</xdr:rowOff>
    </xdr:to>
    <xdr:sp macro="" textlink="'Pivot Table'!BJ17">
      <xdr:nvSpPr>
        <xdr:cNvPr id="30" name="TextBox 29">
          <a:extLst>
            <a:ext uri="{FF2B5EF4-FFF2-40B4-BE49-F238E27FC236}">
              <a16:creationId xmlns:a16="http://schemas.microsoft.com/office/drawing/2014/main" id="{3A77ACF0-B2B6-47E0-934E-6BC7A1D29769}"/>
            </a:ext>
          </a:extLst>
        </xdr:cNvPr>
        <xdr:cNvSpPr txBox="1"/>
      </xdr:nvSpPr>
      <xdr:spPr>
        <a:xfrm>
          <a:off x="5895977" y="3590925"/>
          <a:ext cx="6000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FF2168-4406-4674-AF80-CD05489F5657}" type="TxLink">
            <a:rPr lang="en-US" sz="1600" b="0" i="0" u="none" strike="noStrike">
              <a:solidFill>
                <a:sysClr val="windowText" lastClr="000000"/>
              </a:solidFill>
              <a:latin typeface="Aptos Narrow"/>
              <a:ea typeface="+mn-ea"/>
              <a:cs typeface="+mn-cs"/>
            </a:rPr>
            <a:pPr marL="0" indent="0"/>
            <a:t>2.8</a:t>
          </a:fld>
          <a:endParaRPr lang="en-IN" sz="1600" b="0" i="0" u="none" strike="noStrike">
            <a:solidFill>
              <a:sysClr val="windowText" lastClr="000000"/>
            </a:solidFill>
            <a:latin typeface="Aptos Narrow"/>
            <a:ea typeface="+mn-ea"/>
            <a:cs typeface="+mn-cs"/>
          </a:endParaRPr>
        </a:p>
      </xdr:txBody>
    </xdr:sp>
    <xdr:clientData/>
  </xdr:twoCellAnchor>
  <xdr:twoCellAnchor>
    <xdr:from>
      <xdr:col>4</xdr:col>
      <xdr:colOff>533401</xdr:colOff>
      <xdr:row>8</xdr:row>
      <xdr:rowOff>171450</xdr:rowOff>
    </xdr:from>
    <xdr:to>
      <xdr:col>11</xdr:col>
      <xdr:colOff>76200</xdr:colOff>
      <xdr:row>13</xdr:row>
      <xdr:rowOff>123825</xdr:rowOff>
    </xdr:to>
    <xdr:sp macro="" textlink="">
      <xdr:nvSpPr>
        <xdr:cNvPr id="31" name="TextBox 30">
          <a:extLst>
            <a:ext uri="{FF2B5EF4-FFF2-40B4-BE49-F238E27FC236}">
              <a16:creationId xmlns:a16="http://schemas.microsoft.com/office/drawing/2014/main" id="{B1FFD481-A6D2-8902-960F-B60A6E9A38C2}"/>
            </a:ext>
          </a:extLst>
        </xdr:cNvPr>
        <xdr:cNvSpPr txBox="1"/>
      </xdr:nvSpPr>
      <xdr:spPr>
        <a:xfrm>
          <a:off x="2971801" y="1619250"/>
          <a:ext cx="3809999"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Avg.</a:t>
          </a:r>
          <a:r>
            <a:rPr lang="en-IN" sz="1800" b="1" baseline="0"/>
            <a:t> Satisfaction Score by Doctor Name</a:t>
          </a:r>
          <a:endParaRPr lang="en-IN" sz="1800" b="1"/>
        </a:p>
      </xdr:txBody>
    </xdr:sp>
    <xdr:clientData/>
  </xdr:twoCellAnchor>
  <xdr:twoCellAnchor>
    <xdr:from>
      <xdr:col>13</xdr:col>
      <xdr:colOff>190501</xdr:colOff>
      <xdr:row>9</xdr:row>
      <xdr:rowOff>28575</xdr:rowOff>
    </xdr:from>
    <xdr:to>
      <xdr:col>22</xdr:col>
      <xdr:colOff>85725</xdr:colOff>
      <xdr:row>12</xdr:row>
      <xdr:rowOff>0</xdr:rowOff>
    </xdr:to>
    <xdr:sp macro="" textlink="">
      <xdr:nvSpPr>
        <xdr:cNvPr id="34" name="TextBox 33">
          <a:extLst>
            <a:ext uri="{FF2B5EF4-FFF2-40B4-BE49-F238E27FC236}">
              <a16:creationId xmlns:a16="http://schemas.microsoft.com/office/drawing/2014/main" id="{FD8166AC-DBE9-40ED-A64A-2B8B342F3B48}"/>
            </a:ext>
          </a:extLst>
        </xdr:cNvPr>
        <xdr:cNvSpPr txBox="1"/>
      </xdr:nvSpPr>
      <xdr:spPr>
        <a:xfrm>
          <a:off x="8115301" y="1657350"/>
          <a:ext cx="5381624"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t>No. of patients</a:t>
          </a:r>
          <a:r>
            <a:rPr lang="en-IN" sz="1800" b="1" baseline="0"/>
            <a:t> by Doctor Name</a:t>
          </a:r>
          <a:endParaRPr lang="en-IN" sz="1800" b="1"/>
        </a:p>
      </xdr:txBody>
    </xdr:sp>
    <xdr:clientData/>
  </xdr:twoCellAnchor>
  <xdr:twoCellAnchor>
    <xdr:from>
      <xdr:col>13</xdr:col>
      <xdr:colOff>38101</xdr:colOff>
      <xdr:row>25</xdr:row>
      <xdr:rowOff>152400</xdr:rowOff>
    </xdr:from>
    <xdr:to>
      <xdr:col>21</xdr:col>
      <xdr:colOff>542925</xdr:colOff>
      <xdr:row>28</xdr:row>
      <xdr:rowOff>123825</xdr:rowOff>
    </xdr:to>
    <xdr:sp macro="" textlink="">
      <xdr:nvSpPr>
        <xdr:cNvPr id="35" name="TextBox 34">
          <a:extLst>
            <a:ext uri="{FF2B5EF4-FFF2-40B4-BE49-F238E27FC236}">
              <a16:creationId xmlns:a16="http://schemas.microsoft.com/office/drawing/2014/main" id="{9700FE45-490A-528F-31B7-A106E5CCEB5B}"/>
            </a:ext>
          </a:extLst>
        </xdr:cNvPr>
        <xdr:cNvSpPr txBox="1"/>
      </xdr:nvSpPr>
      <xdr:spPr>
        <a:xfrm>
          <a:off x="7962901" y="4676775"/>
          <a:ext cx="5381624"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t>Total Revenue </a:t>
          </a:r>
          <a:r>
            <a:rPr lang="en-IN" sz="1800" b="1" baseline="0"/>
            <a:t>by Doctor Name</a:t>
          </a:r>
          <a:endParaRPr lang="en-IN" sz="1800" b="1"/>
        </a:p>
      </xdr:txBody>
    </xdr:sp>
    <xdr:clientData/>
  </xdr:twoCellAnchor>
  <xdr:twoCellAnchor>
    <xdr:from>
      <xdr:col>10</xdr:col>
      <xdr:colOff>114300</xdr:colOff>
      <xdr:row>0</xdr:row>
      <xdr:rowOff>0</xdr:rowOff>
    </xdr:from>
    <xdr:to>
      <xdr:col>18</xdr:col>
      <xdr:colOff>523875</xdr:colOff>
      <xdr:row>4</xdr:row>
      <xdr:rowOff>0</xdr:rowOff>
    </xdr:to>
    <xdr:sp macro="" textlink="">
      <xdr:nvSpPr>
        <xdr:cNvPr id="37" name="TextBox 36">
          <a:extLst>
            <a:ext uri="{FF2B5EF4-FFF2-40B4-BE49-F238E27FC236}">
              <a16:creationId xmlns:a16="http://schemas.microsoft.com/office/drawing/2014/main" id="{E632A2DA-E3DC-44E4-8810-704A4AED9902}"/>
            </a:ext>
          </a:extLst>
        </xdr:cNvPr>
        <xdr:cNvSpPr txBox="1"/>
      </xdr:nvSpPr>
      <xdr:spPr>
        <a:xfrm>
          <a:off x="6210300" y="0"/>
          <a:ext cx="528637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bg1"/>
              </a:solidFill>
              <a:effectLst>
                <a:outerShdw blurRad="50800" dist="38100" dir="2700000" algn="tl" rotWithShape="0">
                  <a:prstClr val="black">
                    <a:alpha val="40000"/>
                  </a:prstClr>
                </a:outerShdw>
              </a:effectLst>
              <a:latin typeface="Bahnschrift SemiBold" panose="020B0502040204020203" pitchFamily="34" charset="0"/>
            </a:rPr>
            <a:t>Doctor Performance</a:t>
          </a:r>
          <a:endParaRPr lang="en-IN" sz="3600">
            <a:solidFill>
              <a:schemeClr val="bg1"/>
            </a:solidFill>
            <a:effectLst>
              <a:outerShdw blurRad="50800" dist="38100" dir="2700000" algn="tl" rotWithShape="0">
                <a:prstClr val="black">
                  <a:alpha val="40000"/>
                </a:prstClr>
              </a:outerShdw>
            </a:effectLst>
            <a:latin typeface="Bahnschrift SemiBold" panose="020B0502040204020203" pitchFamily="34" charset="0"/>
          </a:endParaRPr>
        </a:p>
      </xdr:txBody>
    </xdr:sp>
    <xdr:clientData/>
  </xdr:twoCellAnchor>
  <xdr:twoCellAnchor>
    <xdr:from>
      <xdr:col>1</xdr:col>
      <xdr:colOff>438150</xdr:colOff>
      <xdr:row>5</xdr:row>
      <xdr:rowOff>28575</xdr:rowOff>
    </xdr:from>
    <xdr:to>
      <xdr:col>6</xdr:col>
      <xdr:colOff>306150</xdr:colOff>
      <xdr:row>7</xdr:row>
      <xdr:rowOff>171450</xdr:rowOff>
    </xdr:to>
    <xdr:sp macro="" textlink="">
      <xdr:nvSpPr>
        <xdr:cNvPr id="38" name="Rectangle: Top Corners Rounded 37">
          <a:extLst>
            <a:ext uri="{FF2B5EF4-FFF2-40B4-BE49-F238E27FC236}">
              <a16:creationId xmlns:a16="http://schemas.microsoft.com/office/drawing/2014/main" id="{AE90393B-CDB1-46D9-91A0-5CC4593313F6}"/>
            </a:ext>
          </a:extLst>
        </xdr:cNvPr>
        <xdr:cNvSpPr/>
      </xdr:nvSpPr>
      <xdr:spPr>
        <a:xfrm>
          <a:off x="1047750" y="933450"/>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133350</xdr:colOff>
      <xdr:row>5</xdr:row>
      <xdr:rowOff>19050</xdr:rowOff>
    </xdr:from>
    <xdr:to>
      <xdr:col>12</xdr:col>
      <xdr:colOff>1350</xdr:colOff>
      <xdr:row>7</xdr:row>
      <xdr:rowOff>161925</xdr:rowOff>
    </xdr:to>
    <xdr:sp macro="" textlink="">
      <xdr:nvSpPr>
        <xdr:cNvPr id="39" name="Rectangle: Top Corners Rounded 38">
          <a:extLst>
            <a:ext uri="{FF2B5EF4-FFF2-40B4-BE49-F238E27FC236}">
              <a16:creationId xmlns:a16="http://schemas.microsoft.com/office/drawing/2014/main" id="{C0B83B7D-D9CD-CD00-D9EF-F64A86B8DEEE}"/>
            </a:ext>
          </a:extLst>
        </xdr:cNvPr>
        <xdr:cNvSpPr/>
      </xdr:nvSpPr>
      <xdr:spPr>
        <a:xfrm>
          <a:off x="4400550" y="9239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361950</xdr:colOff>
      <xdr:row>5</xdr:row>
      <xdr:rowOff>19050</xdr:rowOff>
    </xdr:from>
    <xdr:to>
      <xdr:col>17</xdr:col>
      <xdr:colOff>229950</xdr:colOff>
      <xdr:row>7</xdr:row>
      <xdr:rowOff>161925</xdr:rowOff>
    </xdr:to>
    <xdr:sp macro="" textlink="">
      <xdr:nvSpPr>
        <xdr:cNvPr id="40" name="Rectangle: Top Corners Rounded 39">
          <a:extLst>
            <a:ext uri="{FF2B5EF4-FFF2-40B4-BE49-F238E27FC236}">
              <a16:creationId xmlns:a16="http://schemas.microsoft.com/office/drawing/2014/main" id="{F563AAD6-04C4-8D97-6307-75DCC709F3C2}"/>
            </a:ext>
          </a:extLst>
        </xdr:cNvPr>
        <xdr:cNvSpPr/>
      </xdr:nvSpPr>
      <xdr:spPr>
        <a:xfrm>
          <a:off x="7677150" y="9239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85725</xdr:colOff>
      <xdr:row>5</xdr:row>
      <xdr:rowOff>19050</xdr:rowOff>
    </xdr:from>
    <xdr:to>
      <xdr:col>22</xdr:col>
      <xdr:colOff>563325</xdr:colOff>
      <xdr:row>7</xdr:row>
      <xdr:rowOff>161925</xdr:rowOff>
    </xdr:to>
    <xdr:sp macro="" textlink="">
      <xdr:nvSpPr>
        <xdr:cNvPr id="41" name="Rectangle: Top Corners Rounded 40">
          <a:extLst>
            <a:ext uri="{FF2B5EF4-FFF2-40B4-BE49-F238E27FC236}">
              <a16:creationId xmlns:a16="http://schemas.microsoft.com/office/drawing/2014/main" id="{678027EC-CF4E-5BB5-569F-18CA6EB1C94A}"/>
            </a:ext>
          </a:extLst>
        </xdr:cNvPr>
        <xdr:cNvSpPr/>
      </xdr:nvSpPr>
      <xdr:spPr>
        <a:xfrm>
          <a:off x="11058525" y="9239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381000</xdr:colOff>
      <xdr:row>5</xdr:row>
      <xdr:rowOff>28575</xdr:rowOff>
    </xdr:from>
    <xdr:to>
      <xdr:col>28</xdr:col>
      <xdr:colOff>249000</xdr:colOff>
      <xdr:row>7</xdr:row>
      <xdr:rowOff>171450</xdr:rowOff>
    </xdr:to>
    <xdr:sp macro="" textlink="">
      <xdr:nvSpPr>
        <xdr:cNvPr id="43" name="Rectangle: Top Corners Rounded 42">
          <a:extLst>
            <a:ext uri="{FF2B5EF4-FFF2-40B4-BE49-F238E27FC236}">
              <a16:creationId xmlns:a16="http://schemas.microsoft.com/office/drawing/2014/main" id="{0D81E601-EDEF-8E0A-91C9-206A348DDEAF}"/>
            </a:ext>
          </a:extLst>
        </xdr:cNvPr>
        <xdr:cNvSpPr/>
      </xdr:nvSpPr>
      <xdr:spPr>
        <a:xfrm>
          <a:off x="14401800" y="933450"/>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85725</xdr:colOff>
      <xdr:row>5</xdr:row>
      <xdr:rowOff>66675</xdr:rowOff>
    </xdr:from>
    <xdr:to>
      <xdr:col>6</xdr:col>
      <xdr:colOff>161924</xdr:colOff>
      <xdr:row>8</xdr:row>
      <xdr:rowOff>19050</xdr:rowOff>
    </xdr:to>
    <xdr:sp macro="" textlink="">
      <xdr:nvSpPr>
        <xdr:cNvPr id="45" name="TextBox 44">
          <a:hlinkClick xmlns:r="http://schemas.openxmlformats.org/officeDocument/2006/relationships" r:id="rId3"/>
          <a:extLst>
            <a:ext uri="{FF2B5EF4-FFF2-40B4-BE49-F238E27FC236}">
              <a16:creationId xmlns:a16="http://schemas.microsoft.com/office/drawing/2014/main" id="{7528D390-2BD6-46A1-B407-4AC3D099D401}"/>
            </a:ext>
          </a:extLst>
        </xdr:cNvPr>
        <xdr:cNvSpPr txBox="1"/>
      </xdr:nvSpPr>
      <xdr:spPr>
        <a:xfrm>
          <a:off x="1304925" y="971550"/>
          <a:ext cx="251459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Overview</a:t>
          </a:r>
        </a:p>
      </xdr:txBody>
    </xdr:sp>
    <xdr:clientData/>
  </xdr:twoCellAnchor>
  <xdr:twoCellAnchor>
    <xdr:from>
      <xdr:col>7</xdr:col>
      <xdr:colOff>133350</xdr:colOff>
      <xdr:row>5</xdr:row>
      <xdr:rowOff>19050</xdr:rowOff>
    </xdr:from>
    <xdr:to>
      <xdr:col>11</xdr:col>
      <xdr:colOff>333375</xdr:colOff>
      <xdr:row>7</xdr:row>
      <xdr:rowOff>152400</xdr:rowOff>
    </xdr:to>
    <xdr:sp macro="" textlink="">
      <xdr:nvSpPr>
        <xdr:cNvPr id="47" name="TextBox 46">
          <a:hlinkClick xmlns:r="http://schemas.openxmlformats.org/officeDocument/2006/relationships" r:id="rId4"/>
          <a:extLst>
            <a:ext uri="{FF2B5EF4-FFF2-40B4-BE49-F238E27FC236}">
              <a16:creationId xmlns:a16="http://schemas.microsoft.com/office/drawing/2014/main" id="{B007E9F8-81F5-4379-854B-4839AB2F00AC}"/>
            </a:ext>
          </a:extLst>
        </xdr:cNvPr>
        <xdr:cNvSpPr txBox="1"/>
      </xdr:nvSpPr>
      <xdr:spPr>
        <a:xfrm>
          <a:off x="4400550" y="92392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Financial Analysis</a:t>
          </a:r>
        </a:p>
      </xdr:txBody>
    </xdr:sp>
    <xdr:clientData/>
  </xdr:twoCellAnchor>
  <xdr:twoCellAnchor>
    <xdr:from>
      <xdr:col>12</xdr:col>
      <xdr:colOff>476250</xdr:colOff>
      <xdr:row>5</xdr:row>
      <xdr:rowOff>38100</xdr:rowOff>
    </xdr:from>
    <xdr:to>
      <xdr:col>17</xdr:col>
      <xdr:colOff>66675</xdr:colOff>
      <xdr:row>7</xdr:row>
      <xdr:rowOff>171450</xdr:rowOff>
    </xdr:to>
    <xdr:sp macro="" textlink="">
      <xdr:nvSpPr>
        <xdr:cNvPr id="48" name="TextBox 47">
          <a:hlinkClick xmlns:r="http://schemas.openxmlformats.org/officeDocument/2006/relationships" r:id="rId5"/>
          <a:extLst>
            <a:ext uri="{FF2B5EF4-FFF2-40B4-BE49-F238E27FC236}">
              <a16:creationId xmlns:a16="http://schemas.microsoft.com/office/drawing/2014/main" id="{432F11C7-3174-480B-B4AB-53F5F1180A39}"/>
            </a:ext>
          </a:extLst>
        </xdr:cNvPr>
        <xdr:cNvSpPr txBox="1"/>
      </xdr:nvSpPr>
      <xdr:spPr>
        <a:xfrm>
          <a:off x="7791450" y="94297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Doctor Performance</a:t>
          </a:r>
        </a:p>
      </xdr:txBody>
    </xdr:sp>
    <xdr:clientData/>
  </xdr:twoCellAnchor>
  <xdr:twoCellAnchor>
    <xdr:from>
      <xdr:col>0</xdr:col>
      <xdr:colOff>76200</xdr:colOff>
      <xdr:row>8</xdr:row>
      <xdr:rowOff>114300</xdr:rowOff>
    </xdr:from>
    <xdr:to>
      <xdr:col>4</xdr:col>
      <xdr:colOff>337800</xdr:colOff>
      <xdr:row>21</xdr:row>
      <xdr:rowOff>11410</xdr:rowOff>
    </xdr:to>
    <mc:AlternateContent xmlns:mc="http://schemas.openxmlformats.org/markup-compatibility/2006" xmlns:a14="http://schemas.microsoft.com/office/drawing/2010/main">
      <mc:Choice Requires="a14">
        <xdr:graphicFrame macro="">
          <xdr:nvGraphicFramePr>
            <xdr:cNvPr id="49" name="Diagnosis 2">
              <a:extLst>
                <a:ext uri="{FF2B5EF4-FFF2-40B4-BE49-F238E27FC236}">
                  <a16:creationId xmlns:a16="http://schemas.microsoft.com/office/drawing/2014/main" id="{946591A4-5110-441E-8904-1D40DB5FD9E9}"/>
                </a:ext>
              </a:extLst>
            </xdr:cNvPr>
            <xdr:cNvGraphicFramePr/>
          </xdr:nvGraphicFramePr>
          <xdr:xfrm>
            <a:off x="0" y="0"/>
            <a:ext cx="0" cy="0"/>
          </xdr:xfrm>
          <a:graphic>
            <a:graphicData uri="http://schemas.microsoft.com/office/drawing/2010/slicer">
              <sle:slicer xmlns:sle="http://schemas.microsoft.com/office/drawing/2010/slicer" name="Diagnosis 2"/>
            </a:graphicData>
          </a:graphic>
        </xdr:graphicFrame>
      </mc:Choice>
      <mc:Fallback xmlns="">
        <xdr:sp macro="" textlink="">
          <xdr:nvSpPr>
            <xdr:cNvPr id="0" name=""/>
            <xdr:cNvSpPr>
              <a:spLocks noTextEdit="1"/>
            </xdr:cNvSpPr>
          </xdr:nvSpPr>
          <xdr:spPr>
            <a:xfrm>
              <a:off x="76200" y="1562100"/>
              <a:ext cx="2700000" cy="2249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19</xdr:row>
      <xdr:rowOff>158784</xdr:rowOff>
    </xdr:from>
    <xdr:to>
      <xdr:col>4</xdr:col>
      <xdr:colOff>337800</xdr:colOff>
      <xdr:row>27</xdr:row>
      <xdr:rowOff>24124</xdr:rowOff>
    </xdr:to>
    <mc:AlternateContent xmlns:mc="http://schemas.openxmlformats.org/markup-compatibility/2006" xmlns:a14="http://schemas.microsoft.com/office/drawing/2010/main">
      <mc:Choice Requires="a14">
        <xdr:graphicFrame macro="">
          <xdr:nvGraphicFramePr>
            <xdr:cNvPr id="50" name="Insurance Status 2">
              <a:extLst>
                <a:ext uri="{FF2B5EF4-FFF2-40B4-BE49-F238E27FC236}">
                  <a16:creationId xmlns:a16="http://schemas.microsoft.com/office/drawing/2014/main" id="{75E6A5F4-3D23-47F7-930B-37C1B915CC2A}"/>
                </a:ext>
              </a:extLst>
            </xdr:cNvPr>
            <xdr:cNvGraphicFramePr/>
          </xdr:nvGraphicFramePr>
          <xdr:xfrm>
            <a:off x="0" y="0"/>
            <a:ext cx="0" cy="0"/>
          </xdr:xfrm>
          <a:graphic>
            <a:graphicData uri="http://schemas.microsoft.com/office/drawing/2010/slicer">
              <sle:slicer xmlns:sle="http://schemas.microsoft.com/office/drawing/2010/slicer" name="Insurance Status 2"/>
            </a:graphicData>
          </a:graphic>
        </xdr:graphicFrame>
      </mc:Choice>
      <mc:Fallback xmlns="">
        <xdr:sp macro="" textlink="">
          <xdr:nvSpPr>
            <xdr:cNvPr id="0" name=""/>
            <xdr:cNvSpPr>
              <a:spLocks noTextEdit="1"/>
            </xdr:cNvSpPr>
          </xdr:nvSpPr>
          <xdr:spPr>
            <a:xfrm>
              <a:off x="76200" y="3597309"/>
              <a:ext cx="2700000" cy="131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26</xdr:row>
      <xdr:rowOff>3513</xdr:rowOff>
    </xdr:from>
    <xdr:to>
      <xdr:col>4</xdr:col>
      <xdr:colOff>337800</xdr:colOff>
      <xdr:row>42</xdr:row>
      <xdr:rowOff>47625</xdr:rowOff>
    </xdr:to>
    <mc:AlternateContent xmlns:mc="http://schemas.openxmlformats.org/markup-compatibility/2006" xmlns:a14="http://schemas.microsoft.com/office/drawing/2010/main">
      <mc:Choice Requires="a14">
        <xdr:graphicFrame macro="">
          <xdr:nvGraphicFramePr>
            <xdr:cNvPr id="51" name="Department 2">
              <a:extLst>
                <a:ext uri="{FF2B5EF4-FFF2-40B4-BE49-F238E27FC236}">
                  <a16:creationId xmlns:a16="http://schemas.microsoft.com/office/drawing/2014/main" id="{2DFAC2FD-174F-42F7-9D8C-04B22FDCC72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6200" y="4708863"/>
              <a:ext cx="2700000" cy="2939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238125</xdr:colOff>
      <xdr:row>8</xdr:row>
      <xdr:rowOff>95250</xdr:rowOff>
    </xdr:from>
    <xdr:to>
      <xdr:col>28</xdr:col>
      <xdr:colOff>556725</xdr:colOff>
      <xdr:row>20</xdr:row>
      <xdr:rowOff>152400</xdr:rowOff>
    </xdr:to>
    <mc:AlternateContent xmlns:mc="http://schemas.openxmlformats.org/markup-compatibility/2006" xmlns:a14="http://schemas.microsoft.com/office/drawing/2010/main">
      <mc:Choice Requires="a14">
        <xdr:graphicFrame macro="">
          <xdr:nvGraphicFramePr>
            <xdr:cNvPr id="52" name="Treatment Status 2">
              <a:extLst>
                <a:ext uri="{FF2B5EF4-FFF2-40B4-BE49-F238E27FC236}">
                  <a16:creationId xmlns:a16="http://schemas.microsoft.com/office/drawing/2014/main" id="{FF5E6F6F-737F-47CA-AEC0-5662FE77D44D}"/>
                </a:ext>
              </a:extLst>
            </xdr:cNvPr>
            <xdr:cNvGraphicFramePr/>
          </xdr:nvGraphicFramePr>
          <xdr:xfrm>
            <a:off x="0" y="0"/>
            <a:ext cx="0" cy="0"/>
          </xdr:xfrm>
          <a:graphic>
            <a:graphicData uri="http://schemas.microsoft.com/office/drawing/2010/slicer">
              <sle:slicer xmlns:sle="http://schemas.microsoft.com/office/drawing/2010/slicer" name="Treatment Status 2"/>
            </a:graphicData>
          </a:graphic>
        </xdr:graphicFrame>
      </mc:Choice>
      <mc:Fallback xmlns="">
        <xdr:sp macro="" textlink="">
          <xdr:nvSpPr>
            <xdr:cNvPr id="0" name=""/>
            <xdr:cNvSpPr>
              <a:spLocks noTextEdit="1"/>
            </xdr:cNvSpPr>
          </xdr:nvSpPr>
          <xdr:spPr>
            <a:xfrm>
              <a:off x="14868525" y="1543050"/>
              <a:ext cx="27570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238125</xdr:colOff>
      <xdr:row>20</xdr:row>
      <xdr:rowOff>57151</xdr:rowOff>
    </xdr:from>
    <xdr:to>
      <xdr:col>28</xdr:col>
      <xdr:colOff>552450</xdr:colOff>
      <xdr:row>29</xdr:row>
      <xdr:rowOff>171449</xdr:rowOff>
    </xdr:to>
    <mc:AlternateContent xmlns:mc="http://schemas.openxmlformats.org/markup-compatibility/2006" xmlns:a14="http://schemas.microsoft.com/office/drawing/2010/main">
      <mc:Choice Requires="a14">
        <xdr:graphicFrame macro="">
          <xdr:nvGraphicFramePr>
            <xdr:cNvPr id="53" name="Region 2">
              <a:extLst>
                <a:ext uri="{FF2B5EF4-FFF2-40B4-BE49-F238E27FC236}">
                  <a16:creationId xmlns:a16="http://schemas.microsoft.com/office/drawing/2014/main" id="{E4F71237-E472-4B02-A336-49EAC12B798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868525" y="3676651"/>
              <a:ext cx="2752725" cy="1743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238125</xdr:colOff>
      <xdr:row>29</xdr:row>
      <xdr:rowOff>114300</xdr:rowOff>
    </xdr:from>
    <xdr:to>
      <xdr:col>28</xdr:col>
      <xdr:colOff>542925</xdr:colOff>
      <xdr:row>42</xdr:row>
      <xdr:rowOff>38100</xdr:rowOff>
    </xdr:to>
    <mc:AlternateContent xmlns:mc="http://schemas.openxmlformats.org/markup-compatibility/2006" xmlns:a14="http://schemas.microsoft.com/office/drawing/2010/main">
      <mc:Choice Requires="a14">
        <xdr:graphicFrame macro="">
          <xdr:nvGraphicFramePr>
            <xdr:cNvPr id="54" name="Month 2">
              <a:extLst>
                <a:ext uri="{FF2B5EF4-FFF2-40B4-BE49-F238E27FC236}">
                  <a16:creationId xmlns:a16="http://schemas.microsoft.com/office/drawing/2014/main" id="{F7774761-A609-4F36-91E7-74FBEC5E5B8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4868525" y="5362575"/>
              <a:ext cx="2743200"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295275</xdr:colOff>
      <xdr:row>5</xdr:row>
      <xdr:rowOff>19050</xdr:rowOff>
    </xdr:from>
    <xdr:to>
      <xdr:col>27</xdr:col>
      <xdr:colOff>495300</xdr:colOff>
      <xdr:row>7</xdr:row>
      <xdr:rowOff>152400</xdr:rowOff>
    </xdr:to>
    <xdr:sp macro="" textlink="">
      <xdr:nvSpPr>
        <xdr:cNvPr id="9" name="TextBox 8">
          <a:hlinkClick xmlns:r="http://schemas.openxmlformats.org/officeDocument/2006/relationships" r:id="rId6"/>
          <a:extLst>
            <a:ext uri="{FF2B5EF4-FFF2-40B4-BE49-F238E27FC236}">
              <a16:creationId xmlns:a16="http://schemas.microsoft.com/office/drawing/2014/main" id="{7BB0012E-5B20-485C-A289-991817495729}"/>
            </a:ext>
          </a:extLst>
        </xdr:cNvPr>
        <xdr:cNvSpPr txBox="1"/>
      </xdr:nvSpPr>
      <xdr:spPr>
        <a:xfrm>
          <a:off x="14316075" y="92392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Patient Analysis</a:t>
          </a:r>
          <a:r>
            <a:rPr lang="en-IN" sz="1800" b="1" u="sng">
              <a:solidFill>
                <a:sysClr val="windowText" lastClr="000000"/>
              </a:solidFill>
              <a:latin typeface="Arial Narrow" panose="020B0606020202030204" pitchFamily="34" charset="0"/>
            </a:rPr>
            <a:t> </a:t>
          </a:r>
        </a:p>
      </xdr:txBody>
    </xdr:sp>
    <xdr:clientData/>
  </xdr:twoCellAnchor>
  <xdr:twoCellAnchor>
    <xdr:from>
      <xdr:col>18</xdr:col>
      <xdr:colOff>85725</xdr:colOff>
      <xdr:row>5</xdr:row>
      <xdr:rowOff>47625</xdr:rowOff>
    </xdr:from>
    <xdr:to>
      <xdr:col>22</xdr:col>
      <xdr:colOff>285750</xdr:colOff>
      <xdr:row>8</xdr:row>
      <xdr:rowOff>0</xdr:rowOff>
    </xdr:to>
    <xdr:sp macro="" textlink="">
      <xdr:nvSpPr>
        <xdr:cNvPr id="17" name="TextBox 16">
          <a:hlinkClick xmlns:r="http://schemas.openxmlformats.org/officeDocument/2006/relationships" r:id="rId7"/>
          <a:extLst>
            <a:ext uri="{FF2B5EF4-FFF2-40B4-BE49-F238E27FC236}">
              <a16:creationId xmlns:a16="http://schemas.microsoft.com/office/drawing/2014/main" id="{C5ACE8A3-DF63-4B74-87BE-8C1F7BB3E290}"/>
            </a:ext>
          </a:extLst>
        </xdr:cNvPr>
        <xdr:cNvSpPr txBox="1"/>
      </xdr:nvSpPr>
      <xdr:spPr>
        <a:xfrm>
          <a:off x="11058525" y="95250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Department</a:t>
          </a:r>
          <a:r>
            <a:rPr lang="en-IN" sz="1800" b="1" u="sng">
              <a:solidFill>
                <a:sysClr val="windowText" lastClr="000000"/>
              </a:solidFill>
              <a:latin typeface="Arial Narrow" panose="020B0606020202030204" pitchFamily="34" charset="0"/>
            </a:rPr>
            <a:t> Performance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69600</xdr:colOff>
      <xdr:row>8</xdr:row>
      <xdr:rowOff>41535</xdr:rowOff>
    </xdr:to>
    <xdr:sp macro="" textlink="">
      <xdr:nvSpPr>
        <xdr:cNvPr id="2" name="Rectangle: Top Corners Rounded 1">
          <a:extLst>
            <a:ext uri="{FF2B5EF4-FFF2-40B4-BE49-F238E27FC236}">
              <a16:creationId xmlns:a16="http://schemas.microsoft.com/office/drawing/2014/main" id="{326C6622-C1EE-4FDB-B4CC-9B1AD2EEA5A5}"/>
            </a:ext>
          </a:extLst>
        </xdr:cNvPr>
        <xdr:cNvSpPr/>
      </xdr:nvSpPr>
      <xdr:spPr>
        <a:xfrm>
          <a:off x="0" y="0"/>
          <a:ext cx="17748000" cy="1489335"/>
        </a:xfrm>
        <a:prstGeom prst="round2SameRect">
          <a:avLst/>
        </a:prstGeom>
        <a:solidFill>
          <a:srgbClr val="99AD7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8</xdr:row>
      <xdr:rowOff>95250</xdr:rowOff>
    </xdr:from>
    <xdr:to>
      <xdr:col>4</xdr:col>
      <xdr:colOff>447300</xdr:colOff>
      <xdr:row>42</xdr:row>
      <xdr:rowOff>116100</xdr:rowOff>
    </xdr:to>
    <xdr:sp macro="" textlink="">
      <xdr:nvSpPr>
        <xdr:cNvPr id="3" name="Rectangle 2">
          <a:extLst>
            <a:ext uri="{FF2B5EF4-FFF2-40B4-BE49-F238E27FC236}">
              <a16:creationId xmlns:a16="http://schemas.microsoft.com/office/drawing/2014/main" id="{77DD12FA-373A-4E1B-AE20-AED407F6DAF4}"/>
            </a:ext>
          </a:extLst>
        </xdr:cNvPr>
        <xdr:cNvSpPr/>
      </xdr:nvSpPr>
      <xdr:spPr>
        <a:xfrm>
          <a:off x="38100" y="1543050"/>
          <a:ext cx="28476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228600</xdr:colOff>
      <xdr:row>8</xdr:row>
      <xdr:rowOff>95250</xdr:rowOff>
    </xdr:from>
    <xdr:to>
      <xdr:col>29</xdr:col>
      <xdr:colOff>47250</xdr:colOff>
      <xdr:row>42</xdr:row>
      <xdr:rowOff>116100</xdr:rowOff>
    </xdr:to>
    <xdr:sp macro="" textlink="">
      <xdr:nvSpPr>
        <xdr:cNvPr id="4" name="Rectangle 3">
          <a:extLst>
            <a:ext uri="{FF2B5EF4-FFF2-40B4-BE49-F238E27FC236}">
              <a16:creationId xmlns:a16="http://schemas.microsoft.com/office/drawing/2014/main" id="{5996A069-193B-4DAC-99A9-B1860F287045}"/>
            </a:ext>
          </a:extLst>
        </xdr:cNvPr>
        <xdr:cNvSpPr/>
      </xdr:nvSpPr>
      <xdr:spPr>
        <a:xfrm>
          <a:off x="14859000" y="1543050"/>
          <a:ext cx="286665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552450</xdr:colOff>
      <xdr:row>8</xdr:row>
      <xdr:rowOff>95250</xdr:rowOff>
    </xdr:from>
    <xdr:to>
      <xdr:col>11</xdr:col>
      <xdr:colOff>57150</xdr:colOff>
      <xdr:row>42</xdr:row>
      <xdr:rowOff>116100</xdr:rowOff>
    </xdr:to>
    <xdr:sp macro="" textlink="">
      <xdr:nvSpPr>
        <xdr:cNvPr id="11" name="Rectangle 10">
          <a:extLst>
            <a:ext uri="{FF2B5EF4-FFF2-40B4-BE49-F238E27FC236}">
              <a16:creationId xmlns:a16="http://schemas.microsoft.com/office/drawing/2014/main" id="{531C3760-9A66-4066-96C6-89C18CA883EF}"/>
            </a:ext>
          </a:extLst>
        </xdr:cNvPr>
        <xdr:cNvSpPr/>
      </xdr:nvSpPr>
      <xdr:spPr>
        <a:xfrm>
          <a:off x="2990850" y="1543050"/>
          <a:ext cx="37719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171450</xdr:colOff>
      <xdr:row>8</xdr:row>
      <xdr:rowOff>95250</xdr:rowOff>
    </xdr:from>
    <xdr:to>
      <xdr:col>24</xdr:col>
      <xdr:colOff>133350</xdr:colOff>
      <xdr:row>24</xdr:row>
      <xdr:rowOff>85725</xdr:rowOff>
    </xdr:to>
    <xdr:sp macro="" textlink="">
      <xdr:nvSpPr>
        <xdr:cNvPr id="12" name="Rectangle 11">
          <a:extLst>
            <a:ext uri="{FF2B5EF4-FFF2-40B4-BE49-F238E27FC236}">
              <a16:creationId xmlns:a16="http://schemas.microsoft.com/office/drawing/2014/main" id="{0CE35061-8FB7-4373-86F1-F76078CFDE37}"/>
            </a:ext>
          </a:extLst>
        </xdr:cNvPr>
        <xdr:cNvSpPr/>
      </xdr:nvSpPr>
      <xdr:spPr>
        <a:xfrm>
          <a:off x="6877050" y="1543050"/>
          <a:ext cx="7886700" cy="288607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581025</xdr:colOff>
      <xdr:row>11</xdr:row>
      <xdr:rowOff>85724</xdr:rowOff>
    </xdr:from>
    <xdr:to>
      <xdr:col>11</xdr:col>
      <xdr:colOff>76200</xdr:colOff>
      <xdr:row>42</xdr:row>
      <xdr:rowOff>85724</xdr:rowOff>
    </xdr:to>
    <xdr:graphicFrame macro="">
      <xdr:nvGraphicFramePr>
        <xdr:cNvPr id="8" name="Chart 7">
          <a:extLst>
            <a:ext uri="{FF2B5EF4-FFF2-40B4-BE49-F238E27FC236}">
              <a16:creationId xmlns:a16="http://schemas.microsoft.com/office/drawing/2014/main" id="{A3F9ED2A-7D58-4056-873F-29EBFF648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180975</xdr:colOff>
      <xdr:row>24</xdr:row>
      <xdr:rowOff>180974</xdr:rowOff>
    </xdr:from>
    <xdr:to>
      <xdr:col>17</xdr:col>
      <xdr:colOff>438150</xdr:colOff>
      <xdr:row>42</xdr:row>
      <xdr:rowOff>123825</xdr:rowOff>
    </xdr:to>
    <xdr:sp macro="" textlink="">
      <xdr:nvSpPr>
        <xdr:cNvPr id="13" name="Rectangle 12">
          <a:extLst>
            <a:ext uri="{FF2B5EF4-FFF2-40B4-BE49-F238E27FC236}">
              <a16:creationId xmlns:a16="http://schemas.microsoft.com/office/drawing/2014/main" id="{DD7602A8-6470-5A82-EB96-D8C6CE0FB014}"/>
            </a:ext>
          </a:extLst>
        </xdr:cNvPr>
        <xdr:cNvSpPr/>
      </xdr:nvSpPr>
      <xdr:spPr>
        <a:xfrm>
          <a:off x="6886575" y="4524374"/>
          <a:ext cx="3914775" cy="320040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542925</xdr:colOff>
      <xdr:row>24</xdr:row>
      <xdr:rowOff>180974</xdr:rowOff>
    </xdr:from>
    <xdr:to>
      <xdr:col>24</xdr:col>
      <xdr:colOff>133350</xdr:colOff>
      <xdr:row>42</xdr:row>
      <xdr:rowOff>123825</xdr:rowOff>
    </xdr:to>
    <xdr:sp macro="" textlink="">
      <xdr:nvSpPr>
        <xdr:cNvPr id="14" name="Rectangle 13">
          <a:extLst>
            <a:ext uri="{FF2B5EF4-FFF2-40B4-BE49-F238E27FC236}">
              <a16:creationId xmlns:a16="http://schemas.microsoft.com/office/drawing/2014/main" id="{EC68DDD0-9D9C-471C-8824-8EC37E9BDBE7}"/>
            </a:ext>
          </a:extLst>
        </xdr:cNvPr>
        <xdr:cNvSpPr/>
      </xdr:nvSpPr>
      <xdr:spPr>
        <a:xfrm>
          <a:off x="10906125" y="4524374"/>
          <a:ext cx="3857625" cy="320040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180975</xdr:colOff>
      <xdr:row>12</xdr:row>
      <xdr:rowOff>28574</xdr:rowOff>
    </xdr:from>
    <xdr:to>
      <xdr:col>24</xdr:col>
      <xdr:colOff>85724</xdr:colOff>
      <xdr:row>24</xdr:row>
      <xdr:rowOff>114299</xdr:rowOff>
    </xdr:to>
    <xdr:graphicFrame macro="">
      <xdr:nvGraphicFramePr>
        <xdr:cNvPr id="6" name="Chart 5">
          <a:extLst>
            <a:ext uri="{FF2B5EF4-FFF2-40B4-BE49-F238E27FC236}">
              <a16:creationId xmlns:a16="http://schemas.microsoft.com/office/drawing/2014/main" id="{476149C9-695D-40AF-A2B6-7F89C76FB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228601</xdr:colOff>
      <xdr:row>28</xdr:row>
      <xdr:rowOff>57150</xdr:rowOff>
    </xdr:from>
    <xdr:to>
      <xdr:col>17</xdr:col>
      <xdr:colOff>514351</xdr:colOff>
      <xdr:row>42</xdr:row>
      <xdr:rowOff>152400</xdr:rowOff>
    </xdr:to>
    <xdr:graphicFrame macro="">
      <xdr:nvGraphicFramePr>
        <xdr:cNvPr id="9" name="Chart 8">
          <a:extLst>
            <a:ext uri="{FF2B5EF4-FFF2-40B4-BE49-F238E27FC236}">
              <a16:creationId xmlns:a16="http://schemas.microsoft.com/office/drawing/2014/main" id="{50864038-797F-4BE7-9F0E-63924666D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590550</xdr:colOff>
      <xdr:row>26</xdr:row>
      <xdr:rowOff>76200</xdr:rowOff>
    </xdr:from>
    <xdr:to>
      <xdr:col>24</xdr:col>
      <xdr:colOff>180975</xdr:colOff>
      <xdr:row>42</xdr:row>
      <xdr:rowOff>142875</xdr:rowOff>
    </xdr:to>
    <xdr:graphicFrame macro="">
      <xdr:nvGraphicFramePr>
        <xdr:cNvPr id="7" name="Chart 6">
          <a:extLst>
            <a:ext uri="{FF2B5EF4-FFF2-40B4-BE49-F238E27FC236}">
              <a16:creationId xmlns:a16="http://schemas.microsoft.com/office/drawing/2014/main" id="{9FC76FCD-B4FC-4AB6-82DD-2CB377B9A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600075</xdr:colOff>
      <xdr:row>9</xdr:row>
      <xdr:rowOff>38100</xdr:rowOff>
    </xdr:from>
    <xdr:to>
      <xdr:col>22</xdr:col>
      <xdr:colOff>476250</xdr:colOff>
      <xdr:row>12</xdr:row>
      <xdr:rowOff>47625</xdr:rowOff>
    </xdr:to>
    <xdr:sp macro="" textlink="">
      <xdr:nvSpPr>
        <xdr:cNvPr id="25" name="TextBox 24">
          <a:extLst>
            <a:ext uri="{FF2B5EF4-FFF2-40B4-BE49-F238E27FC236}">
              <a16:creationId xmlns:a16="http://schemas.microsoft.com/office/drawing/2014/main" id="{717C8A92-629A-4DAB-8320-4EA42F37A36D}"/>
            </a:ext>
          </a:extLst>
        </xdr:cNvPr>
        <xdr:cNvSpPr txBox="1"/>
      </xdr:nvSpPr>
      <xdr:spPr>
        <a:xfrm>
          <a:off x="7915275" y="1666875"/>
          <a:ext cx="59721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Avg.</a:t>
          </a:r>
          <a:r>
            <a:rPr lang="en-IN" sz="1800" b="1" baseline="0"/>
            <a:t> Satisfaction Score by </a:t>
          </a:r>
          <a:r>
            <a:rPr lang="en-US" sz="1800" b="1" baseline="0"/>
            <a:t>Department</a:t>
          </a:r>
          <a:r>
            <a:rPr lang="en-IN" sz="1800" b="1" baseline="0"/>
            <a:t> </a:t>
          </a:r>
          <a:endParaRPr lang="en-IN" sz="1800" b="1"/>
        </a:p>
      </xdr:txBody>
    </xdr:sp>
    <xdr:clientData/>
  </xdr:twoCellAnchor>
  <xdr:twoCellAnchor>
    <xdr:from>
      <xdr:col>11</xdr:col>
      <xdr:colOff>161925</xdr:colOff>
      <xdr:row>24</xdr:row>
      <xdr:rowOff>161925</xdr:rowOff>
    </xdr:from>
    <xdr:to>
      <xdr:col>17</xdr:col>
      <xdr:colOff>457200</xdr:colOff>
      <xdr:row>28</xdr:row>
      <xdr:rowOff>66675</xdr:rowOff>
    </xdr:to>
    <xdr:sp macro="" textlink="">
      <xdr:nvSpPr>
        <xdr:cNvPr id="26" name="TextBox 25">
          <a:extLst>
            <a:ext uri="{FF2B5EF4-FFF2-40B4-BE49-F238E27FC236}">
              <a16:creationId xmlns:a16="http://schemas.microsoft.com/office/drawing/2014/main" id="{F36EBA9F-3D52-4DC8-89F2-14F0DEF5D9F0}"/>
            </a:ext>
          </a:extLst>
        </xdr:cNvPr>
        <xdr:cNvSpPr txBox="1"/>
      </xdr:nvSpPr>
      <xdr:spPr>
        <a:xfrm>
          <a:off x="6867525" y="4505325"/>
          <a:ext cx="395287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Average Revenue Contribution </a:t>
          </a:r>
          <a:r>
            <a:rPr lang="en-IN" sz="1600" b="1" baseline="0"/>
            <a:t>by </a:t>
          </a:r>
          <a:r>
            <a:rPr lang="en-US" sz="1600" b="1" baseline="0"/>
            <a:t>Department</a:t>
          </a:r>
          <a:r>
            <a:rPr lang="en-IN" sz="1600" b="1" baseline="0"/>
            <a:t> </a:t>
          </a:r>
          <a:endParaRPr lang="en-IN" sz="1600" b="1"/>
        </a:p>
      </xdr:txBody>
    </xdr:sp>
    <xdr:clientData/>
  </xdr:twoCellAnchor>
  <xdr:twoCellAnchor>
    <xdr:from>
      <xdr:col>0</xdr:col>
      <xdr:colOff>104775</xdr:colOff>
      <xdr:row>8</xdr:row>
      <xdr:rowOff>123825</xdr:rowOff>
    </xdr:from>
    <xdr:to>
      <xdr:col>4</xdr:col>
      <xdr:colOff>366375</xdr:colOff>
      <xdr:row>21</xdr:row>
      <xdr:rowOff>22684</xdr:rowOff>
    </xdr:to>
    <mc:AlternateContent xmlns:mc="http://schemas.openxmlformats.org/markup-compatibility/2006" xmlns:a14="http://schemas.microsoft.com/office/drawing/2010/main">
      <mc:Choice Requires="a14">
        <xdr:graphicFrame macro="">
          <xdr:nvGraphicFramePr>
            <xdr:cNvPr id="36" name="Diagnosis 3">
              <a:extLst>
                <a:ext uri="{FF2B5EF4-FFF2-40B4-BE49-F238E27FC236}">
                  <a16:creationId xmlns:a16="http://schemas.microsoft.com/office/drawing/2014/main" id="{A912A24A-6210-4A3B-960F-13C979D402D6}"/>
                </a:ext>
              </a:extLst>
            </xdr:cNvPr>
            <xdr:cNvGraphicFramePr/>
          </xdr:nvGraphicFramePr>
          <xdr:xfrm>
            <a:off x="0" y="0"/>
            <a:ext cx="0" cy="0"/>
          </xdr:xfrm>
          <a:graphic>
            <a:graphicData uri="http://schemas.microsoft.com/office/drawing/2010/slicer">
              <sle:slicer xmlns:sle="http://schemas.microsoft.com/office/drawing/2010/slicer" name="Diagnosis 3"/>
            </a:graphicData>
          </a:graphic>
        </xdr:graphicFrame>
      </mc:Choice>
      <mc:Fallback xmlns="">
        <xdr:sp macro="" textlink="">
          <xdr:nvSpPr>
            <xdr:cNvPr id="0" name=""/>
            <xdr:cNvSpPr>
              <a:spLocks noTextEdit="1"/>
            </xdr:cNvSpPr>
          </xdr:nvSpPr>
          <xdr:spPr>
            <a:xfrm>
              <a:off x="104775" y="1571625"/>
              <a:ext cx="2700000" cy="2251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19</xdr:row>
      <xdr:rowOff>132618</xdr:rowOff>
    </xdr:from>
    <xdr:to>
      <xdr:col>4</xdr:col>
      <xdr:colOff>366375</xdr:colOff>
      <xdr:row>26</xdr:row>
      <xdr:rowOff>179955</xdr:rowOff>
    </xdr:to>
    <mc:AlternateContent xmlns:mc="http://schemas.openxmlformats.org/markup-compatibility/2006" xmlns:a14="http://schemas.microsoft.com/office/drawing/2010/main">
      <mc:Choice Requires="a14">
        <xdr:graphicFrame macro="">
          <xdr:nvGraphicFramePr>
            <xdr:cNvPr id="37" name="Insurance Status 3">
              <a:extLst>
                <a:ext uri="{FF2B5EF4-FFF2-40B4-BE49-F238E27FC236}">
                  <a16:creationId xmlns:a16="http://schemas.microsoft.com/office/drawing/2014/main" id="{2486B532-CF9F-4683-BADF-553AF099C6EE}"/>
                </a:ext>
              </a:extLst>
            </xdr:cNvPr>
            <xdr:cNvGraphicFramePr/>
          </xdr:nvGraphicFramePr>
          <xdr:xfrm>
            <a:off x="0" y="0"/>
            <a:ext cx="0" cy="0"/>
          </xdr:xfrm>
          <a:graphic>
            <a:graphicData uri="http://schemas.microsoft.com/office/drawing/2010/slicer">
              <sle:slicer xmlns:sle="http://schemas.microsoft.com/office/drawing/2010/slicer" name="Insurance Status 3"/>
            </a:graphicData>
          </a:graphic>
        </xdr:graphicFrame>
      </mc:Choice>
      <mc:Fallback xmlns="">
        <xdr:sp macro="" textlink="">
          <xdr:nvSpPr>
            <xdr:cNvPr id="0" name=""/>
            <xdr:cNvSpPr>
              <a:spLocks noTextEdit="1"/>
            </xdr:cNvSpPr>
          </xdr:nvSpPr>
          <xdr:spPr>
            <a:xfrm>
              <a:off x="104775" y="3571143"/>
              <a:ext cx="2700000" cy="1314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26</xdr:row>
      <xdr:rowOff>39327</xdr:rowOff>
    </xdr:from>
    <xdr:to>
      <xdr:col>4</xdr:col>
      <xdr:colOff>366375</xdr:colOff>
      <xdr:row>42</xdr:row>
      <xdr:rowOff>85725</xdr:rowOff>
    </xdr:to>
    <mc:AlternateContent xmlns:mc="http://schemas.openxmlformats.org/markup-compatibility/2006" xmlns:a14="http://schemas.microsoft.com/office/drawing/2010/main">
      <mc:Choice Requires="a14">
        <xdr:graphicFrame macro="">
          <xdr:nvGraphicFramePr>
            <xdr:cNvPr id="38" name="Department 3">
              <a:extLst>
                <a:ext uri="{FF2B5EF4-FFF2-40B4-BE49-F238E27FC236}">
                  <a16:creationId xmlns:a16="http://schemas.microsoft.com/office/drawing/2014/main" id="{227BFA42-92FE-45CE-A05C-61FE1E6B3C94}"/>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4775" y="4744677"/>
              <a:ext cx="2700000" cy="2941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295275</xdr:colOff>
      <xdr:row>8</xdr:row>
      <xdr:rowOff>171450</xdr:rowOff>
    </xdr:from>
    <xdr:to>
      <xdr:col>29</xdr:col>
      <xdr:colOff>4275</xdr:colOff>
      <xdr:row>21</xdr:row>
      <xdr:rowOff>47625</xdr:rowOff>
    </xdr:to>
    <mc:AlternateContent xmlns:mc="http://schemas.openxmlformats.org/markup-compatibility/2006" xmlns:a14="http://schemas.microsoft.com/office/drawing/2010/main">
      <mc:Choice Requires="a14">
        <xdr:graphicFrame macro="">
          <xdr:nvGraphicFramePr>
            <xdr:cNvPr id="39" name="Treatment Status 3">
              <a:extLst>
                <a:ext uri="{FF2B5EF4-FFF2-40B4-BE49-F238E27FC236}">
                  <a16:creationId xmlns:a16="http://schemas.microsoft.com/office/drawing/2014/main" id="{CCB97B86-73FB-4CD4-AD9F-BF4BE4B1180C}"/>
                </a:ext>
              </a:extLst>
            </xdr:cNvPr>
            <xdr:cNvGraphicFramePr/>
          </xdr:nvGraphicFramePr>
          <xdr:xfrm>
            <a:off x="0" y="0"/>
            <a:ext cx="0" cy="0"/>
          </xdr:xfrm>
          <a:graphic>
            <a:graphicData uri="http://schemas.microsoft.com/office/drawing/2010/slicer">
              <sle:slicer xmlns:sle="http://schemas.microsoft.com/office/drawing/2010/slicer" name="Treatment Status 3"/>
            </a:graphicData>
          </a:graphic>
        </xdr:graphicFrame>
      </mc:Choice>
      <mc:Fallback xmlns="">
        <xdr:sp macro="" textlink="">
          <xdr:nvSpPr>
            <xdr:cNvPr id="0" name=""/>
            <xdr:cNvSpPr>
              <a:spLocks noTextEdit="1"/>
            </xdr:cNvSpPr>
          </xdr:nvSpPr>
          <xdr:spPr>
            <a:xfrm>
              <a:off x="14925675" y="1619250"/>
              <a:ext cx="27570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295275</xdr:colOff>
      <xdr:row>20</xdr:row>
      <xdr:rowOff>133351</xdr:rowOff>
    </xdr:from>
    <xdr:to>
      <xdr:col>29</xdr:col>
      <xdr:colOff>0</xdr:colOff>
      <xdr:row>30</xdr:row>
      <xdr:rowOff>66674</xdr:rowOff>
    </xdr:to>
    <mc:AlternateContent xmlns:mc="http://schemas.openxmlformats.org/markup-compatibility/2006" xmlns:a14="http://schemas.microsoft.com/office/drawing/2010/main">
      <mc:Choice Requires="a14">
        <xdr:graphicFrame macro="">
          <xdr:nvGraphicFramePr>
            <xdr:cNvPr id="40" name="Region 3">
              <a:extLst>
                <a:ext uri="{FF2B5EF4-FFF2-40B4-BE49-F238E27FC236}">
                  <a16:creationId xmlns:a16="http://schemas.microsoft.com/office/drawing/2014/main" id="{36EEDB90-8BA9-4F23-8319-03E2A07149D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925675" y="3752851"/>
              <a:ext cx="2752725" cy="1743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295275</xdr:colOff>
      <xdr:row>30</xdr:row>
      <xdr:rowOff>9525</xdr:rowOff>
    </xdr:from>
    <xdr:to>
      <xdr:col>28</xdr:col>
      <xdr:colOff>600075</xdr:colOff>
      <xdr:row>42</xdr:row>
      <xdr:rowOff>114300</xdr:rowOff>
    </xdr:to>
    <mc:AlternateContent xmlns:mc="http://schemas.openxmlformats.org/markup-compatibility/2006" xmlns:a14="http://schemas.microsoft.com/office/drawing/2010/main">
      <mc:Choice Requires="a14">
        <xdr:graphicFrame macro="">
          <xdr:nvGraphicFramePr>
            <xdr:cNvPr id="41" name="Month 3">
              <a:extLst>
                <a:ext uri="{FF2B5EF4-FFF2-40B4-BE49-F238E27FC236}">
                  <a16:creationId xmlns:a16="http://schemas.microsoft.com/office/drawing/2014/main" id="{498DE5B6-6B3E-438C-861A-50DEF217B18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4925675" y="5438775"/>
              <a:ext cx="2743200"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5</xdr:row>
      <xdr:rowOff>57150</xdr:rowOff>
    </xdr:from>
    <xdr:to>
      <xdr:col>5</xdr:col>
      <xdr:colOff>574950</xdr:colOff>
      <xdr:row>8</xdr:row>
      <xdr:rowOff>19050</xdr:rowOff>
    </xdr:to>
    <xdr:sp macro="" textlink="">
      <xdr:nvSpPr>
        <xdr:cNvPr id="42" name="Rectangle: Top Corners Rounded 41">
          <a:extLst>
            <a:ext uri="{FF2B5EF4-FFF2-40B4-BE49-F238E27FC236}">
              <a16:creationId xmlns:a16="http://schemas.microsoft.com/office/drawing/2014/main" id="{751E4DFB-DCC4-456E-9D5C-08FA04FB0E55}"/>
            </a:ext>
          </a:extLst>
        </xdr:cNvPr>
        <xdr:cNvSpPr/>
      </xdr:nvSpPr>
      <xdr:spPr>
        <a:xfrm>
          <a:off x="742950" y="962025"/>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333376</xdr:colOff>
      <xdr:row>5</xdr:row>
      <xdr:rowOff>66675</xdr:rowOff>
    </xdr:from>
    <xdr:to>
      <xdr:col>5</xdr:col>
      <xdr:colOff>409575</xdr:colOff>
      <xdr:row>8</xdr:row>
      <xdr:rowOff>19050</xdr:rowOff>
    </xdr:to>
    <xdr:sp macro="" textlink="">
      <xdr:nvSpPr>
        <xdr:cNvPr id="43" name="TextBox 42">
          <a:hlinkClick xmlns:r="http://schemas.openxmlformats.org/officeDocument/2006/relationships" r:id="rId5"/>
          <a:extLst>
            <a:ext uri="{FF2B5EF4-FFF2-40B4-BE49-F238E27FC236}">
              <a16:creationId xmlns:a16="http://schemas.microsoft.com/office/drawing/2014/main" id="{239EA22D-3C3D-413B-918A-0535C9332640}"/>
            </a:ext>
          </a:extLst>
        </xdr:cNvPr>
        <xdr:cNvSpPr txBox="1"/>
      </xdr:nvSpPr>
      <xdr:spPr>
        <a:xfrm>
          <a:off x="942976" y="971550"/>
          <a:ext cx="251459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Overview</a:t>
          </a:r>
        </a:p>
      </xdr:txBody>
    </xdr:sp>
    <xdr:clientData/>
  </xdr:twoCellAnchor>
  <xdr:twoCellAnchor>
    <xdr:from>
      <xdr:col>6</xdr:col>
      <xdr:colOff>266700</xdr:colOff>
      <xdr:row>5</xdr:row>
      <xdr:rowOff>57150</xdr:rowOff>
    </xdr:from>
    <xdr:to>
      <xdr:col>11</xdr:col>
      <xdr:colOff>134700</xdr:colOff>
      <xdr:row>8</xdr:row>
      <xdr:rowOff>19050</xdr:rowOff>
    </xdr:to>
    <xdr:sp macro="" textlink="">
      <xdr:nvSpPr>
        <xdr:cNvPr id="44" name="Rectangle: Top Corners Rounded 43">
          <a:extLst>
            <a:ext uri="{FF2B5EF4-FFF2-40B4-BE49-F238E27FC236}">
              <a16:creationId xmlns:a16="http://schemas.microsoft.com/office/drawing/2014/main" id="{773DA4FC-D47F-4932-989A-A977FFBA975A}"/>
            </a:ext>
          </a:extLst>
        </xdr:cNvPr>
        <xdr:cNvSpPr/>
      </xdr:nvSpPr>
      <xdr:spPr>
        <a:xfrm>
          <a:off x="3924300" y="9620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381000</xdr:colOff>
      <xdr:row>5</xdr:row>
      <xdr:rowOff>95250</xdr:rowOff>
    </xdr:from>
    <xdr:to>
      <xdr:col>10</xdr:col>
      <xdr:colOff>581025</xdr:colOff>
      <xdr:row>8</xdr:row>
      <xdr:rowOff>47625</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88F0C58E-6F7B-40F7-8E0E-16A9F43FB71B}"/>
            </a:ext>
          </a:extLst>
        </xdr:cNvPr>
        <xdr:cNvSpPr txBox="1"/>
      </xdr:nvSpPr>
      <xdr:spPr>
        <a:xfrm>
          <a:off x="4038600" y="100012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Financial Analysis</a:t>
          </a:r>
        </a:p>
      </xdr:txBody>
    </xdr:sp>
    <xdr:clientData/>
  </xdr:twoCellAnchor>
  <xdr:twoCellAnchor>
    <xdr:from>
      <xdr:col>12</xdr:col>
      <xdr:colOff>19050</xdr:colOff>
      <xdr:row>5</xdr:row>
      <xdr:rowOff>57150</xdr:rowOff>
    </xdr:from>
    <xdr:to>
      <xdr:col>16</xdr:col>
      <xdr:colOff>496650</xdr:colOff>
      <xdr:row>8</xdr:row>
      <xdr:rowOff>19050</xdr:rowOff>
    </xdr:to>
    <xdr:sp macro="" textlink="">
      <xdr:nvSpPr>
        <xdr:cNvPr id="46" name="Rectangle: Top Corners Rounded 45">
          <a:extLst>
            <a:ext uri="{FF2B5EF4-FFF2-40B4-BE49-F238E27FC236}">
              <a16:creationId xmlns:a16="http://schemas.microsoft.com/office/drawing/2014/main" id="{A454F5EC-9546-4291-9453-0CADEFA8320E}"/>
            </a:ext>
          </a:extLst>
        </xdr:cNvPr>
        <xdr:cNvSpPr/>
      </xdr:nvSpPr>
      <xdr:spPr>
        <a:xfrm>
          <a:off x="7334250" y="9620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95250</xdr:colOff>
      <xdr:row>5</xdr:row>
      <xdr:rowOff>85725</xdr:rowOff>
    </xdr:from>
    <xdr:to>
      <xdr:col>16</xdr:col>
      <xdr:colOff>295275</xdr:colOff>
      <xdr:row>8</xdr:row>
      <xdr:rowOff>38100</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3EDF084-02D3-416A-9D3E-083E3C9A10EA}"/>
            </a:ext>
          </a:extLst>
        </xdr:cNvPr>
        <xdr:cNvSpPr txBox="1"/>
      </xdr:nvSpPr>
      <xdr:spPr>
        <a:xfrm>
          <a:off x="7410450" y="99060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Doctor Performance</a:t>
          </a:r>
        </a:p>
      </xdr:txBody>
    </xdr:sp>
    <xdr:clientData/>
  </xdr:twoCellAnchor>
  <xdr:twoCellAnchor>
    <xdr:from>
      <xdr:col>17</xdr:col>
      <xdr:colOff>419100</xdr:colOff>
      <xdr:row>5</xdr:row>
      <xdr:rowOff>57150</xdr:rowOff>
    </xdr:from>
    <xdr:to>
      <xdr:col>22</xdr:col>
      <xdr:colOff>251100</xdr:colOff>
      <xdr:row>8</xdr:row>
      <xdr:rowOff>19050</xdr:rowOff>
    </xdr:to>
    <xdr:sp macro="" textlink="">
      <xdr:nvSpPr>
        <xdr:cNvPr id="48" name="Rectangle: Top Corners Rounded 47">
          <a:extLst>
            <a:ext uri="{FF2B5EF4-FFF2-40B4-BE49-F238E27FC236}">
              <a16:creationId xmlns:a16="http://schemas.microsoft.com/office/drawing/2014/main" id="{81F2B412-695A-498A-A504-CF4CC015CBC0}"/>
            </a:ext>
          </a:extLst>
        </xdr:cNvPr>
        <xdr:cNvSpPr/>
      </xdr:nvSpPr>
      <xdr:spPr>
        <a:xfrm>
          <a:off x="10782300" y="962025"/>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38100</xdr:colOff>
      <xdr:row>5</xdr:row>
      <xdr:rowOff>47625</xdr:rowOff>
    </xdr:from>
    <xdr:to>
      <xdr:col>27</xdr:col>
      <xdr:colOff>479700</xdr:colOff>
      <xdr:row>8</xdr:row>
      <xdr:rowOff>9525</xdr:rowOff>
    </xdr:to>
    <xdr:sp macro="" textlink="">
      <xdr:nvSpPr>
        <xdr:cNvPr id="49" name="Rectangle: Top Corners Rounded 48">
          <a:extLst>
            <a:ext uri="{FF2B5EF4-FFF2-40B4-BE49-F238E27FC236}">
              <a16:creationId xmlns:a16="http://schemas.microsoft.com/office/drawing/2014/main" id="{3E9F1293-2959-4636-9363-FD6C307F58A0}"/>
            </a:ext>
          </a:extLst>
        </xdr:cNvPr>
        <xdr:cNvSpPr/>
      </xdr:nvSpPr>
      <xdr:spPr>
        <a:xfrm>
          <a:off x="14058900" y="952500"/>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28575</xdr:colOff>
      <xdr:row>5</xdr:row>
      <xdr:rowOff>38100</xdr:rowOff>
    </xdr:from>
    <xdr:to>
      <xdr:col>27</xdr:col>
      <xdr:colOff>228600</xdr:colOff>
      <xdr:row>7</xdr:row>
      <xdr:rowOff>171450</xdr:rowOff>
    </xdr:to>
    <xdr:sp macro="" textlink="">
      <xdr:nvSpPr>
        <xdr:cNvPr id="50" name="TextBox 49">
          <a:hlinkClick xmlns:r="http://schemas.openxmlformats.org/officeDocument/2006/relationships" r:id="rId8"/>
          <a:extLst>
            <a:ext uri="{FF2B5EF4-FFF2-40B4-BE49-F238E27FC236}">
              <a16:creationId xmlns:a16="http://schemas.microsoft.com/office/drawing/2014/main" id="{85AFE276-C842-4387-973C-28538FF7FEA1}"/>
            </a:ext>
          </a:extLst>
        </xdr:cNvPr>
        <xdr:cNvSpPr txBox="1"/>
      </xdr:nvSpPr>
      <xdr:spPr>
        <a:xfrm>
          <a:off x="14049375" y="94297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Patient Analysis</a:t>
          </a:r>
          <a:r>
            <a:rPr lang="en-IN" sz="1800" b="1" u="sng">
              <a:solidFill>
                <a:sysClr val="windowText" lastClr="000000"/>
              </a:solidFill>
              <a:latin typeface="Arial Narrow" panose="020B0606020202030204" pitchFamily="34" charset="0"/>
            </a:rPr>
            <a:t> </a:t>
          </a:r>
        </a:p>
      </xdr:txBody>
    </xdr:sp>
    <xdr:clientData/>
  </xdr:twoCellAnchor>
  <xdr:twoCellAnchor>
    <xdr:from>
      <xdr:col>17</xdr:col>
      <xdr:colOff>428625</xdr:colOff>
      <xdr:row>5</xdr:row>
      <xdr:rowOff>66675</xdr:rowOff>
    </xdr:from>
    <xdr:to>
      <xdr:col>22</xdr:col>
      <xdr:colOff>19050</xdr:colOff>
      <xdr:row>8</xdr:row>
      <xdr:rowOff>19050</xdr:rowOff>
    </xdr:to>
    <xdr:sp macro="" textlink="">
      <xdr:nvSpPr>
        <xdr:cNvPr id="51" name="TextBox 50">
          <a:hlinkClick xmlns:r="http://schemas.openxmlformats.org/officeDocument/2006/relationships" r:id="rId9"/>
          <a:extLst>
            <a:ext uri="{FF2B5EF4-FFF2-40B4-BE49-F238E27FC236}">
              <a16:creationId xmlns:a16="http://schemas.microsoft.com/office/drawing/2014/main" id="{E1531B71-F385-4693-88E9-7C53788C108E}"/>
            </a:ext>
          </a:extLst>
        </xdr:cNvPr>
        <xdr:cNvSpPr txBox="1"/>
      </xdr:nvSpPr>
      <xdr:spPr>
        <a:xfrm>
          <a:off x="10791825" y="97155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Department</a:t>
          </a:r>
          <a:r>
            <a:rPr lang="en-IN" sz="1800" b="1" u="sng">
              <a:solidFill>
                <a:sysClr val="windowText" lastClr="000000"/>
              </a:solidFill>
              <a:latin typeface="Arial Narrow" panose="020B0606020202030204" pitchFamily="34" charset="0"/>
            </a:rPr>
            <a:t> Performance</a:t>
          </a:r>
        </a:p>
      </xdr:txBody>
    </xdr:sp>
    <xdr:clientData/>
  </xdr:twoCellAnchor>
  <xdr:twoCellAnchor>
    <xdr:from>
      <xdr:col>10</xdr:col>
      <xdr:colOff>276225</xdr:colOff>
      <xdr:row>0</xdr:row>
      <xdr:rowOff>28575</xdr:rowOff>
    </xdr:from>
    <xdr:to>
      <xdr:col>19</xdr:col>
      <xdr:colOff>285750</xdr:colOff>
      <xdr:row>4</xdr:row>
      <xdr:rowOff>28575</xdr:rowOff>
    </xdr:to>
    <xdr:sp macro="" textlink="">
      <xdr:nvSpPr>
        <xdr:cNvPr id="52" name="TextBox 51">
          <a:extLst>
            <a:ext uri="{FF2B5EF4-FFF2-40B4-BE49-F238E27FC236}">
              <a16:creationId xmlns:a16="http://schemas.microsoft.com/office/drawing/2014/main" id="{3866FB95-42A5-47DD-8DF2-E562D99E6FCD}"/>
            </a:ext>
          </a:extLst>
        </xdr:cNvPr>
        <xdr:cNvSpPr txBox="1"/>
      </xdr:nvSpPr>
      <xdr:spPr>
        <a:xfrm>
          <a:off x="6372225" y="28575"/>
          <a:ext cx="54959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600">
              <a:solidFill>
                <a:schemeClr val="bg1"/>
              </a:solidFill>
              <a:effectLst>
                <a:outerShdw blurRad="50800" dist="38100" dir="2700000" algn="tl" rotWithShape="0">
                  <a:prstClr val="black">
                    <a:alpha val="40000"/>
                  </a:prstClr>
                </a:outerShdw>
              </a:effectLst>
              <a:latin typeface="Bahnschrift SemiBold" panose="020B0502040204020203" pitchFamily="34" charset="0"/>
            </a:rPr>
            <a:t>Department Performance</a:t>
          </a:r>
          <a:endParaRPr lang="en-IN" sz="3600">
            <a:solidFill>
              <a:schemeClr val="bg1"/>
            </a:solidFill>
            <a:effectLst>
              <a:outerShdw blurRad="50800" dist="38100" dir="2700000" algn="tl" rotWithShape="0">
                <a:prstClr val="black">
                  <a:alpha val="40000"/>
                </a:prstClr>
              </a:outerShdw>
            </a:effectLst>
            <a:latin typeface="Bahnschrift SemiBold" panose="020B0502040204020203" pitchFamily="34" charset="0"/>
          </a:endParaRPr>
        </a:p>
      </xdr:txBody>
    </xdr:sp>
    <xdr:clientData/>
  </xdr:twoCellAnchor>
  <xdr:twoCellAnchor>
    <xdr:from>
      <xdr:col>17</xdr:col>
      <xdr:colOff>514350</xdr:colOff>
      <xdr:row>24</xdr:row>
      <xdr:rowOff>180973</xdr:rowOff>
    </xdr:from>
    <xdr:to>
      <xdr:col>24</xdr:col>
      <xdr:colOff>200026</xdr:colOff>
      <xdr:row>28</xdr:row>
      <xdr:rowOff>47625</xdr:rowOff>
    </xdr:to>
    <xdr:sp macro="" textlink="">
      <xdr:nvSpPr>
        <xdr:cNvPr id="53" name="TextBox 52">
          <a:extLst>
            <a:ext uri="{FF2B5EF4-FFF2-40B4-BE49-F238E27FC236}">
              <a16:creationId xmlns:a16="http://schemas.microsoft.com/office/drawing/2014/main" id="{C7A6C067-E551-43D3-8F8F-D3A3569CB274}"/>
            </a:ext>
          </a:extLst>
        </xdr:cNvPr>
        <xdr:cNvSpPr txBox="1"/>
      </xdr:nvSpPr>
      <xdr:spPr>
        <a:xfrm>
          <a:off x="10877550" y="4524373"/>
          <a:ext cx="3952876" cy="59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ysClr val="windowText" lastClr="000000"/>
              </a:solidFill>
            </a:rPr>
            <a:t>Department Distribution </a:t>
          </a:r>
          <a:r>
            <a:rPr lang="en-IN" sz="1600" b="1">
              <a:solidFill>
                <a:sysClr val="windowText" lastClr="000000"/>
              </a:solidFill>
            </a:rPr>
            <a:t>by Insurance Status</a:t>
          </a:r>
        </a:p>
      </xdr:txBody>
    </xdr:sp>
    <xdr:clientData/>
  </xdr:twoCellAnchor>
  <xdr:twoCellAnchor>
    <xdr:from>
      <xdr:col>5</xdr:col>
      <xdr:colOff>295275</xdr:colOff>
      <xdr:row>8</xdr:row>
      <xdr:rowOff>161925</xdr:rowOff>
    </xdr:from>
    <xdr:to>
      <xdr:col>10</xdr:col>
      <xdr:colOff>504824</xdr:colOff>
      <xdr:row>10</xdr:row>
      <xdr:rowOff>123825</xdr:rowOff>
    </xdr:to>
    <xdr:sp macro="" textlink="">
      <xdr:nvSpPr>
        <xdr:cNvPr id="54" name="TextBox 53">
          <a:extLst>
            <a:ext uri="{FF2B5EF4-FFF2-40B4-BE49-F238E27FC236}">
              <a16:creationId xmlns:a16="http://schemas.microsoft.com/office/drawing/2014/main" id="{602E438C-ADA9-4477-B8A4-3171B73EF3DF}"/>
            </a:ext>
          </a:extLst>
        </xdr:cNvPr>
        <xdr:cNvSpPr txBox="1"/>
      </xdr:nvSpPr>
      <xdr:spPr>
        <a:xfrm>
          <a:off x="3343275" y="1609725"/>
          <a:ext cx="325754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No. of the Patients by </a:t>
          </a:r>
          <a:r>
            <a:rPr lang="en-US" sz="1600" b="1">
              <a:solidFill>
                <a:sysClr val="windowText" lastClr="000000"/>
              </a:solidFill>
            </a:rPr>
            <a:t>Department</a:t>
          </a:r>
          <a:endParaRPr lang="en-IN" sz="16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9525</xdr:rowOff>
    </xdr:from>
    <xdr:to>
      <xdr:col>29</xdr:col>
      <xdr:colOff>69600</xdr:colOff>
      <xdr:row>8</xdr:row>
      <xdr:rowOff>37725</xdr:rowOff>
    </xdr:to>
    <xdr:sp macro="" textlink="">
      <xdr:nvSpPr>
        <xdr:cNvPr id="2" name="Rectangle: Top Corners Rounded 1">
          <a:extLst>
            <a:ext uri="{FF2B5EF4-FFF2-40B4-BE49-F238E27FC236}">
              <a16:creationId xmlns:a16="http://schemas.microsoft.com/office/drawing/2014/main" id="{A0000A2F-F191-4DF2-8974-AB5FEA551D8F}"/>
            </a:ext>
          </a:extLst>
        </xdr:cNvPr>
        <xdr:cNvSpPr/>
      </xdr:nvSpPr>
      <xdr:spPr>
        <a:xfrm>
          <a:off x="0" y="9525"/>
          <a:ext cx="17748000" cy="1476000"/>
        </a:xfrm>
        <a:prstGeom prst="round2SameRect">
          <a:avLst/>
        </a:prstGeom>
        <a:solidFill>
          <a:srgbClr val="99AD7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8</xdr:row>
      <xdr:rowOff>85725</xdr:rowOff>
    </xdr:from>
    <xdr:to>
      <xdr:col>4</xdr:col>
      <xdr:colOff>447300</xdr:colOff>
      <xdr:row>42</xdr:row>
      <xdr:rowOff>106575</xdr:rowOff>
    </xdr:to>
    <xdr:sp macro="" textlink="">
      <xdr:nvSpPr>
        <xdr:cNvPr id="3" name="Rectangle 2">
          <a:extLst>
            <a:ext uri="{FF2B5EF4-FFF2-40B4-BE49-F238E27FC236}">
              <a16:creationId xmlns:a16="http://schemas.microsoft.com/office/drawing/2014/main" id="{FCBDEC16-7C9F-4335-9B15-9BE1C565D210}"/>
            </a:ext>
          </a:extLst>
        </xdr:cNvPr>
        <xdr:cNvSpPr/>
      </xdr:nvSpPr>
      <xdr:spPr>
        <a:xfrm>
          <a:off x="38100" y="1533525"/>
          <a:ext cx="28476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257175</xdr:colOff>
      <xdr:row>8</xdr:row>
      <xdr:rowOff>85725</xdr:rowOff>
    </xdr:from>
    <xdr:to>
      <xdr:col>29</xdr:col>
      <xdr:colOff>56775</xdr:colOff>
      <xdr:row>42</xdr:row>
      <xdr:rowOff>106575</xdr:rowOff>
    </xdr:to>
    <xdr:sp macro="" textlink="">
      <xdr:nvSpPr>
        <xdr:cNvPr id="4" name="Rectangle 3">
          <a:extLst>
            <a:ext uri="{FF2B5EF4-FFF2-40B4-BE49-F238E27FC236}">
              <a16:creationId xmlns:a16="http://schemas.microsoft.com/office/drawing/2014/main" id="{2384DC0F-5C70-45A2-A793-12FC4E5AB36B}"/>
            </a:ext>
          </a:extLst>
        </xdr:cNvPr>
        <xdr:cNvSpPr/>
      </xdr:nvSpPr>
      <xdr:spPr>
        <a:xfrm>
          <a:off x="14887575" y="1533525"/>
          <a:ext cx="2847600" cy="6174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523874</xdr:colOff>
      <xdr:row>8</xdr:row>
      <xdr:rowOff>85725</xdr:rowOff>
    </xdr:from>
    <xdr:to>
      <xdr:col>13</xdr:col>
      <xdr:colOff>342900</xdr:colOff>
      <xdr:row>24</xdr:row>
      <xdr:rowOff>152400</xdr:rowOff>
    </xdr:to>
    <xdr:sp macro="" textlink="">
      <xdr:nvSpPr>
        <xdr:cNvPr id="5" name="Rectangle 4">
          <a:extLst>
            <a:ext uri="{FF2B5EF4-FFF2-40B4-BE49-F238E27FC236}">
              <a16:creationId xmlns:a16="http://schemas.microsoft.com/office/drawing/2014/main" id="{7F2A7F57-DCA6-497B-9DD3-811D23CFD46F}"/>
            </a:ext>
          </a:extLst>
        </xdr:cNvPr>
        <xdr:cNvSpPr/>
      </xdr:nvSpPr>
      <xdr:spPr>
        <a:xfrm>
          <a:off x="2962274" y="1533525"/>
          <a:ext cx="5305426" cy="296227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523873</xdr:colOff>
      <xdr:row>25</xdr:row>
      <xdr:rowOff>38101</xdr:rowOff>
    </xdr:from>
    <xdr:to>
      <xdr:col>12</xdr:col>
      <xdr:colOff>111073</xdr:colOff>
      <xdr:row>42</xdr:row>
      <xdr:rowOff>104776</xdr:rowOff>
    </xdr:to>
    <xdr:sp macro="" textlink="">
      <xdr:nvSpPr>
        <xdr:cNvPr id="6" name="Rectangle 5">
          <a:extLst>
            <a:ext uri="{FF2B5EF4-FFF2-40B4-BE49-F238E27FC236}">
              <a16:creationId xmlns:a16="http://schemas.microsoft.com/office/drawing/2014/main" id="{F80FFD3C-4513-4473-A674-AF9909457ECC}"/>
            </a:ext>
          </a:extLst>
        </xdr:cNvPr>
        <xdr:cNvSpPr/>
      </xdr:nvSpPr>
      <xdr:spPr>
        <a:xfrm>
          <a:off x="2962273" y="4562476"/>
          <a:ext cx="4464000" cy="31432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380999</xdr:colOff>
      <xdr:row>8</xdr:row>
      <xdr:rowOff>95253</xdr:rowOff>
    </xdr:from>
    <xdr:to>
      <xdr:col>24</xdr:col>
      <xdr:colOff>171449</xdr:colOff>
      <xdr:row>42</xdr:row>
      <xdr:rowOff>133351</xdr:rowOff>
    </xdr:to>
    <xdr:sp macro="" textlink="">
      <xdr:nvSpPr>
        <xdr:cNvPr id="8" name="Rectangle 7">
          <a:extLst>
            <a:ext uri="{FF2B5EF4-FFF2-40B4-BE49-F238E27FC236}">
              <a16:creationId xmlns:a16="http://schemas.microsoft.com/office/drawing/2014/main" id="{A8B01AFB-4F0C-4032-9992-EA47A0CED5F8}"/>
            </a:ext>
          </a:extLst>
        </xdr:cNvPr>
        <xdr:cNvSpPr/>
      </xdr:nvSpPr>
      <xdr:spPr>
        <a:xfrm rot="5400000">
          <a:off x="9982200" y="2914652"/>
          <a:ext cx="6191248" cy="34480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428624</xdr:colOff>
      <xdr:row>8</xdr:row>
      <xdr:rowOff>85725</xdr:rowOff>
    </xdr:from>
    <xdr:to>
      <xdr:col>18</xdr:col>
      <xdr:colOff>247649</xdr:colOff>
      <xdr:row>24</xdr:row>
      <xdr:rowOff>152400</xdr:rowOff>
    </xdr:to>
    <xdr:sp macro="" textlink="">
      <xdr:nvSpPr>
        <xdr:cNvPr id="9" name="Rectangle 8">
          <a:extLst>
            <a:ext uri="{FF2B5EF4-FFF2-40B4-BE49-F238E27FC236}">
              <a16:creationId xmlns:a16="http://schemas.microsoft.com/office/drawing/2014/main" id="{9C3F604B-4849-4B77-912C-1C0C31CC85E9}"/>
            </a:ext>
          </a:extLst>
        </xdr:cNvPr>
        <xdr:cNvSpPr/>
      </xdr:nvSpPr>
      <xdr:spPr>
        <a:xfrm>
          <a:off x="8353424" y="1533525"/>
          <a:ext cx="2867025" cy="296227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190499</xdr:colOff>
      <xdr:row>25</xdr:row>
      <xdr:rowOff>28576</xdr:rowOff>
    </xdr:from>
    <xdr:to>
      <xdr:col>18</xdr:col>
      <xdr:colOff>312899</xdr:colOff>
      <xdr:row>42</xdr:row>
      <xdr:rowOff>95251</xdr:rowOff>
    </xdr:to>
    <xdr:sp macro="" textlink="">
      <xdr:nvSpPr>
        <xdr:cNvPr id="16" name="Rectangle 15">
          <a:extLst>
            <a:ext uri="{FF2B5EF4-FFF2-40B4-BE49-F238E27FC236}">
              <a16:creationId xmlns:a16="http://schemas.microsoft.com/office/drawing/2014/main" id="{E9BD9DCA-6B5E-46F0-AEF9-17A55CF33AC9}"/>
            </a:ext>
          </a:extLst>
        </xdr:cNvPr>
        <xdr:cNvSpPr/>
      </xdr:nvSpPr>
      <xdr:spPr>
        <a:xfrm>
          <a:off x="7505699" y="4552951"/>
          <a:ext cx="3780000" cy="31432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504825</xdr:colOff>
      <xdr:row>27</xdr:row>
      <xdr:rowOff>152399</xdr:rowOff>
    </xdr:from>
    <xdr:to>
      <xdr:col>12</xdr:col>
      <xdr:colOff>123825</xdr:colOff>
      <xdr:row>42</xdr:row>
      <xdr:rowOff>104773</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0CB3FB1-B674-4ADC-B897-AB0914A159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43225" y="5090159"/>
              <a:ext cx="4495800" cy="26955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533400</xdr:colOff>
      <xdr:row>10</xdr:row>
      <xdr:rowOff>133350</xdr:rowOff>
    </xdr:from>
    <xdr:to>
      <xdr:col>13</xdr:col>
      <xdr:colOff>304799</xdr:colOff>
      <xdr:row>24</xdr:row>
      <xdr:rowOff>171450</xdr:rowOff>
    </xdr:to>
    <xdr:graphicFrame macro="">
      <xdr:nvGraphicFramePr>
        <xdr:cNvPr id="12" name="Chart 11">
          <a:extLst>
            <a:ext uri="{FF2B5EF4-FFF2-40B4-BE49-F238E27FC236}">
              <a16:creationId xmlns:a16="http://schemas.microsoft.com/office/drawing/2014/main" id="{9EAE8350-F3B5-40ED-92CE-19574AB3D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152399</xdr:colOff>
      <xdr:row>27</xdr:row>
      <xdr:rowOff>32793</xdr:rowOff>
    </xdr:from>
    <xdr:to>
      <xdr:col>18</xdr:col>
      <xdr:colOff>400050</xdr:colOff>
      <xdr:row>43</xdr:row>
      <xdr:rowOff>57150</xdr:rowOff>
    </xdr:to>
    <xdr:graphicFrame macro="">
      <xdr:nvGraphicFramePr>
        <xdr:cNvPr id="13" name="Chart 12">
          <a:extLst>
            <a:ext uri="{FF2B5EF4-FFF2-40B4-BE49-F238E27FC236}">
              <a16:creationId xmlns:a16="http://schemas.microsoft.com/office/drawing/2014/main" id="{21ADE855-F714-49B8-A8C2-361F6BBC6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371475</xdr:colOff>
      <xdr:row>11</xdr:row>
      <xdr:rowOff>142875</xdr:rowOff>
    </xdr:from>
    <xdr:to>
      <xdr:col>24</xdr:col>
      <xdr:colOff>247650</xdr:colOff>
      <xdr:row>42</xdr:row>
      <xdr:rowOff>152399</xdr:rowOff>
    </xdr:to>
    <xdr:graphicFrame macro="">
      <xdr:nvGraphicFramePr>
        <xdr:cNvPr id="14" name="Chart 13">
          <a:extLst>
            <a:ext uri="{FF2B5EF4-FFF2-40B4-BE49-F238E27FC236}">
              <a16:creationId xmlns:a16="http://schemas.microsoft.com/office/drawing/2014/main" id="{EEBBCC9B-9C6E-4215-93C7-527A90416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400050</xdr:colOff>
      <xdr:row>10</xdr:row>
      <xdr:rowOff>142874</xdr:rowOff>
    </xdr:from>
    <xdr:to>
      <xdr:col>18</xdr:col>
      <xdr:colOff>266700</xdr:colOff>
      <xdr:row>24</xdr:row>
      <xdr:rowOff>152399</xdr:rowOff>
    </xdr:to>
    <xdr:graphicFrame macro="">
      <xdr:nvGraphicFramePr>
        <xdr:cNvPr id="15" name="Chart 14">
          <a:extLst>
            <a:ext uri="{FF2B5EF4-FFF2-40B4-BE49-F238E27FC236}">
              <a16:creationId xmlns:a16="http://schemas.microsoft.com/office/drawing/2014/main" id="{DA021FE9-56BC-4FC7-A4D4-E6B808066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8</xdr:row>
      <xdr:rowOff>95250</xdr:rowOff>
    </xdr:from>
    <xdr:to>
      <xdr:col>4</xdr:col>
      <xdr:colOff>328275</xdr:colOff>
      <xdr:row>21</xdr:row>
      <xdr:rowOff>50676</xdr:rowOff>
    </xdr:to>
    <mc:AlternateContent xmlns:mc="http://schemas.openxmlformats.org/markup-compatibility/2006" xmlns:a14="http://schemas.microsoft.com/office/drawing/2010/main">
      <mc:Choice Requires="a14">
        <xdr:graphicFrame macro="">
          <xdr:nvGraphicFramePr>
            <xdr:cNvPr id="20" name="Diagnosis 4">
              <a:extLst>
                <a:ext uri="{FF2B5EF4-FFF2-40B4-BE49-F238E27FC236}">
                  <a16:creationId xmlns:a16="http://schemas.microsoft.com/office/drawing/2014/main" id="{D64C552B-6E86-421B-91E3-D0EF3A13E67B}"/>
                </a:ext>
              </a:extLst>
            </xdr:cNvPr>
            <xdr:cNvGraphicFramePr/>
          </xdr:nvGraphicFramePr>
          <xdr:xfrm>
            <a:off x="0" y="0"/>
            <a:ext cx="0" cy="0"/>
          </xdr:xfrm>
          <a:graphic>
            <a:graphicData uri="http://schemas.microsoft.com/office/drawing/2010/slicer">
              <sle:slicer xmlns:sle="http://schemas.microsoft.com/office/drawing/2010/slicer" name="Diagnosis 4"/>
            </a:graphicData>
          </a:graphic>
        </xdr:graphicFrame>
      </mc:Choice>
      <mc:Fallback xmlns="">
        <xdr:sp macro="" textlink="">
          <xdr:nvSpPr>
            <xdr:cNvPr id="0" name=""/>
            <xdr:cNvSpPr>
              <a:spLocks noTextEdit="1"/>
            </xdr:cNvSpPr>
          </xdr:nvSpPr>
          <xdr:spPr>
            <a:xfrm>
              <a:off x="66675" y="1543050"/>
              <a:ext cx="2700000" cy="2308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19</xdr:row>
      <xdr:rowOff>139734</xdr:rowOff>
    </xdr:from>
    <xdr:to>
      <xdr:col>4</xdr:col>
      <xdr:colOff>328275</xdr:colOff>
      <xdr:row>27</xdr:row>
      <xdr:rowOff>39112</xdr:rowOff>
    </xdr:to>
    <mc:AlternateContent xmlns:mc="http://schemas.openxmlformats.org/markup-compatibility/2006" xmlns:a14="http://schemas.microsoft.com/office/drawing/2010/main">
      <mc:Choice Requires="a14">
        <xdr:graphicFrame macro="">
          <xdr:nvGraphicFramePr>
            <xdr:cNvPr id="21" name="Insurance Status 4">
              <a:extLst>
                <a:ext uri="{FF2B5EF4-FFF2-40B4-BE49-F238E27FC236}">
                  <a16:creationId xmlns:a16="http://schemas.microsoft.com/office/drawing/2014/main" id="{8C565D22-60DD-4050-B78F-254A079FE7BA}"/>
                </a:ext>
              </a:extLst>
            </xdr:cNvPr>
            <xdr:cNvGraphicFramePr/>
          </xdr:nvGraphicFramePr>
          <xdr:xfrm>
            <a:off x="0" y="0"/>
            <a:ext cx="0" cy="0"/>
          </xdr:xfrm>
          <a:graphic>
            <a:graphicData uri="http://schemas.microsoft.com/office/drawing/2010/slicer">
              <sle:slicer xmlns:sle="http://schemas.microsoft.com/office/drawing/2010/slicer" name="Insurance Status 4"/>
            </a:graphicData>
          </a:graphic>
        </xdr:graphicFrame>
      </mc:Choice>
      <mc:Fallback xmlns="">
        <xdr:sp macro="" textlink="">
          <xdr:nvSpPr>
            <xdr:cNvPr id="0" name=""/>
            <xdr:cNvSpPr>
              <a:spLocks noTextEdit="1"/>
            </xdr:cNvSpPr>
          </xdr:nvSpPr>
          <xdr:spPr>
            <a:xfrm>
              <a:off x="66675" y="3578259"/>
              <a:ext cx="2700000" cy="134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25</xdr:row>
      <xdr:rowOff>165438</xdr:rowOff>
    </xdr:from>
    <xdr:to>
      <xdr:col>4</xdr:col>
      <xdr:colOff>328275</xdr:colOff>
      <xdr:row>42</xdr:row>
      <xdr:rowOff>104775</xdr:rowOff>
    </xdr:to>
    <mc:AlternateContent xmlns:mc="http://schemas.openxmlformats.org/markup-compatibility/2006" xmlns:a14="http://schemas.microsoft.com/office/drawing/2010/main">
      <mc:Choice Requires="a14">
        <xdr:graphicFrame macro="">
          <xdr:nvGraphicFramePr>
            <xdr:cNvPr id="22" name="Department 4">
              <a:extLst>
                <a:ext uri="{FF2B5EF4-FFF2-40B4-BE49-F238E27FC236}">
                  <a16:creationId xmlns:a16="http://schemas.microsoft.com/office/drawing/2014/main" id="{3D0F6842-2191-4FD2-B056-5DC1D525E2A5}"/>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66675" y="4689813"/>
              <a:ext cx="2700000" cy="3015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285750</xdr:colOff>
      <xdr:row>8</xdr:row>
      <xdr:rowOff>95250</xdr:rowOff>
    </xdr:from>
    <xdr:to>
      <xdr:col>28</xdr:col>
      <xdr:colOff>604350</xdr:colOff>
      <xdr:row>21</xdr:row>
      <xdr:rowOff>36705</xdr:rowOff>
    </xdr:to>
    <mc:AlternateContent xmlns:mc="http://schemas.openxmlformats.org/markup-compatibility/2006" xmlns:a14="http://schemas.microsoft.com/office/drawing/2010/main">
      <mc:Choice Requires="a14">
        <xdr:graphicFrame macro="">
          <xdr:nvGraphicFramePr>
            <xdr:cNvPr id="23" name="Treatment Status 4">
              <a:extLst>
                <a:ext uri="{FF2B5EF4-FFF2-40B4-BE49-F238E27FC236}">
                  <a16:creationId xmlns:a16="http://schemas.microsoft.com/office/drawing/2014/main" id="{64D90547-DCE1-46AF-A176-C973DD8EBC87}"/>
                </a:ext>
              </a:extLst>
            </xdr:cNvPr>
            <xdr:cNvGraphicFramePr/>
          </xdr:nvGraphicFramePr>
          <xdr:xfrm>
            <a:off x="0" y="0"/>
            <a:ext cx="0" cy="0"/>
          </xdr:xfrm>
          <a:graphic>
            <a:graphicData uri="http://schemas.microsoft.com/office/drawing/2010/slicer">
              <sle:slicer xmlns:sle="http://schemas.microsoft.com/office/drawing/2010/slicer" name="Treatment Status 4"/>
            </a:graphicData>
          </a:graphic>
        </xdr:graphicFrame>
      </mc:Choice>
      <mc:Fallback xmlns="">
        <xdr:sp macro="" textlink="">
          <xdr:nvSpPr>
            <xdr:cNvPr id="0" name=""/>
            <xdr:cNvSpPr>
              <a:spLocks noTextEdit="1"/>
            </xdr:cNvSpPr>
          </xdr:nvSpPr>
          <xdr:spPr>
            <a:xfrm>
              <a:off x="14916150" y="1543050"/>
              <a:ext cx="2757000" cy="2294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285750</xdr:colOff>
      <xdr:row>20</xdr:row>
      <xdr:rowOff>57151</xdr:rowOff>
    </xdr:from>
    <xdr:to>
      <xdr:col>28</xdr:col>
      <xdr:colOff>600075</xdr:colOff>
      <xdr:row>30</xdr:row>
      <xdr:rowOff>41526</xdr:rowOff>
    </xdr:to>
    <mc:AlternateContent xmlns:mc="http://schemas.openxmlformats.org/markup-compatibility/2006" xmlns:a14="http://schemas.microsoft.com/office/drawing/2010/main">
      <mc:Choice Requires="a14">
        <xdr:graphicFrame macro="">
          <xdr:nvGraphicFramePr>
            <xdr:cNvPr id="24" name="Region 4">
              <a:extLst>
                <a:ext uri="{FF2B5EF4-FFF2-40B4-BE49-F238E27FC236}">
                  <a16:creationId xmlns:a16="http://schemas.microsoft.com/office/drawing/2014/main" id="{665E0B67-A29A-432A-BC1C-9425C4CD53F6}"/>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4916150" y="3676651"/>
              <a:ext cx="2752725" cy="179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285750</xdr:colOff>
      <xdr:row>29</xdr:row>
      <xdr:rowOff>114300</xdr:rowOff>
    </xdr:from>
    <xdr:to>
      <xdr:col>28</xdr:col>
      <xdr:colOff>590550</xdr:colOff>
      <xdr:row>42</xdr:row>
      <xdr:rowOff>104775</xdr:rowOff>
    </xdr:to>
    <mc:AlternateContent xmlns:mc="http://schemas.openxmlformats.org/markup-compatibility/2006" xmlns:a14="http://schemas.microsoft.com/office/drawing/2010/main">
      <mc:Choice Requires="a14">
        <xdr:graphicFrame macro="">
          <xdr:nvGraphicFramePr>
            <xdr:cNvPr id="25" name="Month 4">
              <a:extLst>
                <a:ext uri="{FF2B5EF4-FFF2-40B4-BE49-F238E27FC236}">
                  <a16:creationId xmlns:a16="http://schemas.microsoft.com/office/drawing/2014/main" id="{B6EA8E4D-9D57-4D2B-B5FB-8A7493280EC6}"/>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4916150" y="5362575"/>
              <a:ext cx="2743200"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209551</xdr:colOff>
      <xdr:row>0</xdr:row>
      <xdr:rowOff>19050</xdr:rowOff>
    </xdr:from>
    <xdr:to>
      <xdr:col>17</xdr:col>
      <xdr:colOff>552451</xdr:colOff>
      <xdr:row>4</xdr:row>
      <xdr:rowOff>19050</xdr:rowOff>
    </xdr:to>
    <xdr:sp macro="" textlink="">
      <xdr:nvSpPr>
        <xdr:cNvPr id="26" name="TextBox 25">
          <a:extLst>
            <a:ext uri="{FF2B5EF4-FFF2-40B4-BE49-F238E27FC236}">
              <a16:creationId xmlns:a16="http://schemas.microsoft.com/office/drawing/2014/main" id="{B3E9564E-5557-4C23-8D66-1D092A178BEB}"/>
            </a:ext>
          </a:extLst>
        </xdr:cNvPr>
        <xdr:cNvSpPr txBox="1"/>
      </xdr:nvSpPr>
      <xdr:spPr>
        <a:xfrm>
          <a:off x="6915151" y="19050"/>
          <a:ext cx="4000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bg1"/>
              </a:solidFill>
              <a:effectLst>
                <a:outerShdw blurRad="50800" dist="38100" dir="2700000" algn="tl" rotWithShape="0">
                  <a:prstClr val="black">
                    <a:alpha val="40000"/>
                  </a:prstClr>
                </a:outerShdw>
              </a:effectLst>
              <a:latin typeface="Bahnschrift SemiBold" panose="020B0502040204020203" pitchFamily="34" charset="0"/>
            </a:rPr>
            <a:t>Patient Analysis</a:t>
          </a:r>
        </a:p>
      </xdr:txBody>
    </xdr:sp>
    <xdr:clientData/>
  </xdr:twoCellAnchor>
  <xdr:twoCellAnchor>
    <xdr:from>
      <xdr:col>1</xdr:col>
      <xdr:colOff>104775</xdr:colOff>
      <xdr:row>5</xdr:row>
      <xdr:rowOff>57150</xdr:rowOff>
    </xdr:from>
    <xdr:to>
      <xdr:col>5</xdr:col>
      <xdr:colOff>546375</xdr:colOff>
      <xdr:row>8</xdr:row>
      <xdr:rowOff>19050</xdr:rowOff>
    </xdr:to>
    <xdr:sp macro="" textlink="">
      <xdr:nvSpPr>
        <xdr:cNvPr id="27" name="Rectangle: Top Corners Rounded 26">
          <a:extLst>
            <a:ext uri="{FF2B5EF4-FFF2-40B4-BE49-F238E27FC236}">
              <a16:creationId xmlns:a16="http://schemas.microsoft.com/office/drawing/2014/main" id="{2385D4EF-D7CC-4531-A305-203DC2E503C5}"/>
            </a:ext>
          </a:extLst>
        </xdr:cNvPr>
        <xdr:cNvSpPr/>
      </xdr:nvSpPr>
      <xdr:spPr>
        <a:xfrm>
          <a:off x="714375" y="962025"/>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333375</xdr:colOff>
      <xdr:row>5</xdr:row>
      <xdr:rowOff>66675</xdr:rowOff>
    </xdr:from>
    <xdr:to>
      <xdr:col>11</xdr:col>
      <xdr:colOff>201375</xdr:colOff>
      <xdr:row>8</xdr:row>
      <xdr:rowOff>28575</xdr:rowOff>
    </xdr:to>
    <xdr:sp macro="" textlink="">
      <xdr:nvSpPr>
        <xdr:cNvPr id="28" name="Rectangle: Top Corners Rounded 27">
          <a:extLst>
            <a:ext uri="{FF2B5EF4-FFF2-40B4-BE49-F238E27FC236}">
              <a16:creationId xmlns:a16="http://schemas.microsoft.com/office/drawing/2014/main" id="{608F4AE5-E333-4663-9C9A-CDF3612DC1F2}"/>
            </a:ext>
          </a:extLst>
        </xdr:cNvPr>
        <xdr:cNvSpPr/>
      </xdr:nvSpPr>
      <xdr:spPr>
        <a:xfrm>
          <a:off x="3990975" y="971550"/>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9525</xdr:colOff>
      <xdr:row>5</xdr:row>
      <xdr:rowOff>57150</xdr:rowOff>
    </xdr:from>
    <xdr:to>
      <xdr:col>16</xdr:col>
      <xdr:colOff>487125</xdr:colOff>
      <xdr:row>8</xdr:row>
      <xdr:rowOff>19050</xdr:rowOff>
    </xdr:to>
    <xdr:sp macro="" textlink="">
      <xdr:nvSpPr>
        <xdr:cNvPr id="29" name="Rectangle: Top Corners Rounded 28">
          <a:extLst>
            <a:ext uri="{FF2B5EF4-FFF2-40B4-BE49-F238E27FC236}">
              <a16:creationId xmlns:a16="http://schemas.microsoft.com/office/drawing/2014/main" id="{731537DA-C6B9-4B19-8741-E9CF93598BAB}"/>
            </a:ext>
          </a:extLst>
        </xdr:cNvPr>
        <xdr:cNvSpPr/>
      </xdr:nvSpPr>
      <xdr:spPr>
        <a:xfrm>
          <a:off x="7324725" y="9620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257175</xdr:colOff>
      <xdr:row>5</xdr:row>
      <xdr:rowOff>57150</xdr:rowOff>
    </xdr:from>
    <xdr:to>
      <xdr:col>22</xdr:col>
      <xdr:colOff>89175</xdr:colOff>
      <xdr:row>8</xdr:row>
      <xdr:rowOff>19050</xdr:rowOff>
    </xdr:to>
    <xdr:sp macro="" textlink="">
      <xdr:nvSpPr>
        <xdr:cNvPr id="30" name="Rectangle: Top Corners Rounded 29">
          <a:extLst>
            <a:ext uri="{FF2B5EF4-FFF2-40B4-BE49-F238E27FC236}">
              <a16:creationId xmlns:a16="http://schemas.microsoft.com/office/drawing/2014/main" id="{68C9E64C-181C-4DAD-89C7-716FDE45D385}"/>
            </a:ext>
          </a:extLst>
        </xdr:cNvPr>
        <xdr:cNvSpPr/>
      </xdr:nvSpPr>
      <xdr:spPr>
        <a:xfrm>
          <a:off x="10620375" y="962025"/>
          <a:ext cx="2880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428625</xdr:colOff>
      <xdr:row>5</xdr:row>
      <xdr:rowOff>57150</xdr:rowOff>
    </xdr:from>
    <xdr:to>
      <xdr:col>27</xdr:col>
      <xdr:colOff>296625</xdr:colOff>
      <xdr:row>8</xdr:row>
      <xdr:rowOff>19050</xdr:rowOff>
    </xdr:to>
    <xdr:sp macro="" textlink="">
      <xdr:nvSpPr>
        <xdr:cNvPr id="31" name="Rectangle: Top Corners Rounded 30">
          <a:extLst>
            <a:ext uri="{FF2B5EF4-FFF2-40B4-BE49-F238E27FC236}">
              <a16:creationId xmlns:a16="http://schemas.microsoft.com/office/drawing/2014/main" id="{2D3C630A-8B7C-4658-A9FD-B1A27C7671EE}"/>
            </a:ext>
          </a:extLst>
        </xdr:cNvPr>
        <xdr:cNvSpPr/>
      </xdr:nvSpPr>
      <xdr:spPr>
        <a:xfrm>
          <a:off x="13839825" y="962025"/>
          <a:ext cx="2916000" cy="504825"/>
        </a:xfrm>
        <a:prstGeom prst="round2SameRect">
          <a:avLst/>
        </a:prstGeom>
        <a:solidFill>
          <a:srgbClr val="FFFFE7"/>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304801</xdr:colOff>
      <xdr:row>5</xdr:row>
      <xdr:rowOff>57150</xdr:rowOff>
    </xdr:from>
    <xdr:to>
      <xdr:col>5</xdr:col>
      <xdr:colOff>381000</xdr:colOff>
      <xdr:row>8</xdr:row>
      <xdr:rowOff>9525</xdr:rowOff>
    </xdr:to>
    <xdr:sp macro="" textlink="">
      <xdr:nvSpPr>
        <xdr:cNvPr id="32" name="TextBox 31">
          <a:hlinkClick xmlns:r="http://schemas.openxmlformats.org/officeDocument/2006/relationships" r:id="rId6"/>
          <a:extLst>
            <a:ext uri="{FF2B5EF4-FFF2-40B4-BE49-F238E27FC236}">
              <a16:creationId xmlns:a16="http://schemas.microsoft.com/office/drawing/2014/main" id="{34A1EC6F-6515-4EA2-9987-F7540B6A4DD0}"/>
            </a:ext>
          </a:extLst>
        </xdr:cNvPr>
        <xdr:cNvSpPr txBox="1"/>
      </xdr:nvSpPr>
      <xdr:spPr>
        <a:xfrm>
          <a:off x="914401" y="962025"/>
          <a:ext cx="251459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Overview</a:t>
          </a:r>
        </a:p>
      </xdr:txBody>
    </xdr:sp>
    <xdr:clientData/>
  </xdr:twoCellAnchor>
  <xdr:twoCellAnchor>
    <xdr:from>
      <xdr:col>6</xdr:col>
      <xdr:colOff>447675</xdr:colOff>
      <xdr:row>5</xdr:row>
      <xdr:rowOff>95250</xdr:rowOff>
    </xdr:from>
    <xdr:to>
      <xdr:col>11</xdr:col>
      <xdr:colOff>38100</xdr:colOff>
      <xdr:row>8</xdr:row>
      <xdr:rowOff>47625</xdr:rowOff>
    </xdr:to>
    <xdr:sp macro="" textlink="">
      <xdr:nvSpPr>
        <xdr:cNvPr id="33" name="TextBox 32">
          <a:hlinkClick xmlns:r="http://schemas.openxmlformats.org/officeDocument/2006/relationships" r:id="rId7"/>
          <a:extLst>
            <a:ext uri="{FF2B5EF4-FFF2-40B4-BE49-F238E27FC236}">
              <a16:creationId xmlns:a16="http://schemas.microsoft.com/office/drawing/2014/main" id="{5EF883E8-6154-4791-A4C3-6FD5862A2CA7}"/>
            </a:ext>
          </a:extLst>
        </xdr:cNvPr>
        <xdr:cNvSpPr txBox="1"/>
      </xdr:nvSpPr>
      <xdr:spPr>
        <a:xfrm>
          <a:off x="4105275" y="100012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Financial Analysis</a:t>
          </a:r>
        </a:p>
      </xdr:txBody>
    </xdr:sp>
    <xdr:clientData/>
  </xdr:twoCellAnchor>
  <xdr:twoCellAnchor>
    <xdr:from>
      <xdr:col>12</xdr:col>
      <xdr:colOff>85725</xdr:colOff>
      <xdr:row>5</xdr:row>
      <xdr:rowOff>85725</xdr:rowOff>
    </xdr:from>
    <xdr:to>
      <xdr:col>16</xdr:col>
      <xdr:colOff>285750</xdr:colOff>
      <xdr:row>8</xdr:row>
      <xdr:rowOff>38100</xdr:rowOff>
    </xdr:to>
    <xdr:sp macro="" textlink="">
      <xdr:nvSpPr>
        <xdr:cNvPr id="34" name="TextBox 33">
          <a:hlinkClick xmlns:r="http://schemas.openxmlformats.org/officeDocument/2006/relationships" r:id="rId8"/>
          <a:extLst>
            <a:ext uri="{FF2B5EF4-FFF2-40B4-BE49-F238E27FC236}">
              <a16:creationId xmlns:a16="http://schemas.microsoft.com/office/drawing/2014/main" id="{BA550DF1-772B-4473-AAA4-D35631707BB1}"/>
            </a:ext>
          </a:extLst>
        </xdr:cNvPr>
        <xdr:cNvSpPr txBox="1"/>
      </xdr:nvSpPr>
      <xdr:spPr>
        <a:xfrm>
          <a:off x="7400925" y="99060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ysClr val="windowText" lastClr="000000"/>
              </a:solidFill>
              <a:latin typeface="Arial Narrow" panose="020B0606020202030204" pitchFamily="34" charset="0"/>
            </a:rPr>
            <a:t>Doctor Performance</a:t>
          </a:r>
        </a:p>
      </xdr:txBody>
    </xdr:sp>
    <xdr:clientData/>
  </xdr:twoCellAnchor>
  <xdr:twoCellAnchor>
    <xdr:from>
      <xdr:col>22</xdr:col>
      <xdr:colOff>466725</xdr:colOff>
      <xdr:row>5</xdr:row>
      <xdr:rowOff>57150</xdr:rowOff>
    </xdr:from>
    <xdr:to>
      <xdr:col>27</xdr:col>
      <xdr:colOff>57150</xdr:colOff>
      <xdr:row>8</xdr:row>
      <xdr:rowOff>9525</xdr:rowOff>
    </xdr:to>
    <xdr:sp macro="" textlink="">
      <xdr:nvSpPr>
        <xdr:cNvPr id="35" name="TextBox 34">
          <a:hlinkClick xmlns:r="http://schemas.openxmlformats.org/officeDocument/2006/relationships" r:id="rId9"/>
          <a:extLst>
            <a:ext uri="{FF2B5EF4-FFF2-40B4-BE49-F238E27FC236}">
              <a16:creationId xmlns:a16="http://schemas.microsoft.com/office/drawing/2014/main" id="{74E2B56C-1808-4D28-9075-ED7C1215CBE8}"/>
            </a:ext>
          </a:extLst>
        </xdr:cNvPr>
        <xdr:cNvSpPr txBox="1"/>
      </xdr:nvSpPr>
      <xdr:spPr>
        <a:xfrm>
          <a:off x="13877925" y="962025"/>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Patient Analysis</a:t>
          </a:r>
          <a:r>
            <a:rPr lang="en-IN" sz="1800" b="1" u="sng">
              <a:solidFill>
                <a:sysClr val="windowText" lastClr="000000"/>
              </a:solidFill>
              <a:latin typeface="Arial Narrow" panose="020B0606020202030204" pitchFamily="34" charset="0"/>
            </a:rPr>
            <a:t> </a:t>
          </a:r>
        </a:p>
      </xdr:txBody>
    </xdr:sp>
    <xdr:clientData/>
  </xdr:twoCellAnchor>
  <xdr:twoCellAnchor>
    <xdr:from>
      <xdr:col>17</xdr:col>
      <xdr:colOff>257175</xdr:colOff>
      <xdr:row>5</xdr:row>
      <xdr:rowOff>85725</xdr:rowOff>
    </xdr:from>
    <xdr:to>
      <xdr:col>21</xdr:col>
      <xdr:colOff>457200</xdr:colOff>
      <xdr:row>8</xdr:row>
      <xdr:rowOff>38100</xdr:rowOff>
    </xdr:to>
    <xdr:sp macro="" textlink="">
      <xdr:nvSpPr>
        <xdr:cNvPr id="36" name="TextBox 35">
          <a:hlinkClick xmlns:r="http://schemas.openxmlformats.org/officeDocument/2006/relationships" r:id="rId10"/>
          <a:extLst>
            <a:ext uri="{FF2B5EF4-FFF2-40B4-BE49-F238E27FC236}">
              <a16:creationId xmlns:a16="http://schemas.microsoft.com/office/drawing/2014/main" id="{97528EC1-AD45-4BC4-8886-828733DF5AAB}"/>
            </a:ext>
          </a:extLst>
        </xdr:cNvPr>
        <xdr:cNvSpPr txBox="1"/>
      </xdr:nvSpPr>
      <xdr:spPr>
        <a:xfrm>
          <a:off x="10620375" y="990600"/>
          <a:ext cx="2638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ysClr val="windowText" lastClr="000000"/>
              </a:solidFill>
              <a:latin typeface="Arial Narrow" panose="020B0606020202030204" pitchFamily="34" charset="0"/>
            </a:rPr>
            <a:t>Department</a:t>
          </a:r>
          <a:r>
            <a:rPr lang="en-IN" sz="1800" b="1" u="sng">
              <a:solidFill>
                <a:sysClr val="windowText" lastClr="000000"/>
              </a:solidFill>
              <a:latin typeface="Arial Narrow" panose="020B0606020202030204" pitchFamily="34" charset="0"/>
            </a:rPr>
            <a:t> Performance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131.971254976852" createdVersion="8" refreshedVersion="8" minRefreshableVersion="3" recordCount="500" xr:uid="{79EB79C5-D277-4254-B6DB-B47EEAEA4545}">
  <cacheSource type="worksheet">
    <worksheetSource name="Table1"/>
  </cacheSource>
  <cacheFields count="21">
    <cacheField name="Patient ID" numFmtId="0">
      <sharedItems/>
    </cacheField>
    <cacheField name="Patient Name" numFmtId="0">
      <sharedItems/>
    </cacheField>
    <cacheField name="Department" numFmtId="0">
      <sharedItems count="6">
        <s v="Cardiology"/>
        <s v="Emergency"/>
        <s v="General"/>
        <s v="Pediatrics"/>
        <s v="Orthopedics"/>
        <s v="Neurology"/>
      </sharedItems>
    </cacheField>
    <cacheField name="Diagnosis" numFmtId="0">
      <sharedItems count="8">
        <s v="Asthma"/>
        <s v="Fracture"/>
        <s v="Skin Allergy"/>
        <s v="Flu"/>
        <s v="Diabetes"/>
        <s v="Hypertension"/>
        <s v="Migraine"/>
        <s v="COVID-19"/>
      </sharedItems>
    </cacheField>
    <cacheField name="Region" numFmtId="0">
      <sharedItems count="5">
        <s v="North"/>
        <s v="West"/>
        <s v="South"/>
        <s v="East"/>
        <s v="Central"/>
      </sharedItems>
    </cacheField>
    <cacheField name="Visit Date" numFmtId="0">
      <sharedItems containsSemiMixedTypes="0" containsString="0" containsNumber="1" containsInteger="1" minValue="45659" maxValue="46023"/>
    </cacheField>
    <cacheField name="Treatment Status" numFmtId="0">
      <sharedItems count="4">
        <s v="Ongoing"/>
        <s v="Recovered"/>
        <s v="Under Observation"/>
        <s v="Discharged"/>
      </sharedItems>
    </cacheField>
    <cacheField name="Doctor Name" numFmtId="0">
      <sharedItems count="6">
        <s v="Sneha Verma"/>
        <s v="Priya Singh"/>
        <s v="Aarav Sharma"/>
        <s v="Rahul Kapoor"/>
        <s v="Karan Mehta"/>
        <s v="Riya Gupta"/>
      </sharedItems>
    </cacheField>
    <cacheField name="Visit Cost" numFmtId="164">
      <sharedItems containsSemiMixedTypes="0" containsString="0" containsNumber="1" containsInteger="1" minValue="500" maxValue="2496"/>
    </cacheField>
    <cacheField name="Lab Cost" numFmtId="164">
      <sharedItems containsSemiMixedTypes="0" containsString="0" containsNumber="1" containsInteger="1" minValue="0" maxValue="4994"/>
    </cacheField>
    <cacheField name="Medicine Cost" numFmtId="164">
      <sharedItems containsSemiMixedTypes="0" containsString="0" containsNumber="1" containsInteger="1" minValue="200" maxValue="2986"/>
    </cacheField>
    <cacheField name="Room Charges" numFmtId="0">
      <sharedItems containsSemiMixedTypes="0" containsString="0" containsNumber="1" containsInteger="1" minValue="100" maxValue="10700"/>
    </cacheField>
    <cacheField name="Total Revenue" numFmtId="164">
      <sharedItems containsSemiMixedTypes="0" containsString="0" containsNumber="1" containsInteger="1" minValue="2799" maxValue="18141"/>
    </cacheField>
    <cacheField name="Discharge Date" numFmtId="14">
      <sharedItems containsSemiMixedTypes="0" containsNonDate="0" containsDate="1" containsString="0" minDate="2025-01-14T00:00:00" maxDate="2026-04-01T00:00:00"/>
    </cacheField>
    <cacheField name="Length of Stay" numFmtId="0">
      <sharedItems containsSemiMixedTypes="0" containsString="0" containsNumber="1" containsInteger="1" minValue="6" maxValue="165" count="147">
        <n v="102"/>
        <n v="57"/>
        <n v="120"/>
        <n v="18"/>
        <n v="34"/>
        <n v="107"/>
        <n v="70"/>
        <n v="144"/>
        <n v="113"/>
        <n v="87"/>
        <n v="92"/>
        <n v="25"/>
        <n v="94"/>
        <n v="74"/>
        <n v="111"/>
        <n v="27"/>
        <n v="163"/>
        <n v="16"/>
        <n v="91"/>
        <n v="23"/>
        <n v="147"/>
        <n v="71"/>
        <n v="134"/>
        <n v="103"/>
        <n v="75"/>
        <n v="121"/>
        <n v="63"/>
        <n v="105"/>
        <n v="41"/>
        <n v="148"/>
        <n v="122"/>
        <n v="19"/>
        <n v="8"/>
        <n v="26"/>
        <n v="123"/>
        <n v="53"/>
        <n v="21"/>
        <n v="86"/>
        <n v="104"/>
        <n v="35"/>
        <n v="56"/>
        <n v="110"/>
        <n v="88"/>
        <n v="39"/>
        <n v="52"/>
        <n v="69"/>
        <n v="24"/>
        <n v="36"/>
        <n v="142"/>
        <n v="138"/>
        <n v="145"/>
        <n v="66"/>
        <n v="109"/>
        <n v="108"/>
        <n v="114"/>
        <n v="60"/>
        <n v="11"/>
        <n v="7"/>
        <n v="77"/>
        <n v="118"/>
        <n v="140"/>
        <n v="133"/>
        <n v="78"/>
        <n v="84"/>
        <n v="90"/>
        <n v="54"/>
        <n v="37"/>
        <n v="50"/>
        <n v="143"/>
        <n v="45"/>
        <n v="10"/>
        <n v="29"/>
        <n v="99"/>
        <n v="17"/>
        <n v="98"/>
        <n v="131"/>
        <n v="82"/>
        <n v="135"/>
        <n v="97"/>
        <n v="100"/>
        <n v="81"/>
        <n v="32"/>
        <n v="96"/>
        <n v="38"/>
        <n v="20"/>
        <n v="93"/>
        <n v="59"/>
        <n v="115"/>
        <n v="15"/>
        <n v="40"/>
        <n v="127"/>
        <n v="112"/>
        <n v="14"/>
        <n v="116"/>
        <n v="89"/>
        <n v="83"/>
        <n v="31"/>
        <n v="51"/>
        <n v="79"/>
        <n v="6"/>
        <n v="129"/>
        <n v="64"/>
        <n v="9"/>
        <n v="61"/>
        <n v="136"/>
        <n v="126"/>
        <n v="46"/>
        <n v="72"/>
        <n v="49"/>
        <n v="76"/>
        <n v="13"/>
        <n v="132"/>
        <n v="65"/>
        <n v="73"/>
        <n v="47"/>
        <n v="33"/>
        <n v="156"/>
        <n v="119"/>
        <n v="124"/>
        <n v="117"/>
        <n v="62"/>
        <n v="42"/>
        <n v="30"/>
        <n v="95"/>
        <n v="55"/>
        <n v="12"/>
        <n v="28"/>
        <n v="137"/>
        <n v="67"/>
        <n v="58"/>
        <n v="141"/>
        <n v="85"/>
        <n v="128"/>
        <n v="80"/>
        <n v="139"/>
        <n v="22"/>
        <n v="44"/>
        <n v="68"/>
        <n v="106"/>
        <n v="101"/>
        <n v="125"/>
        <n v="130"/>
        <n v="149"/>
        <n v="165"/>
        <n v="43"/>
        <n v="48"/>
        <n v="146"/>
      </sharedItems>
      <fieldGroup base="14">
        <rangePr startNum="6" endNum="165" groupInterval="21"/>
        <groupItems count="10">
          <s v="&lt;6"/>
          <s v="6-26"/>
          <s v="27-47"/>
          <s v="48-68"/>
          <s v="69-89"/>
          <s v="90-110"/>
          <s v="111-131"/>
          <s v="132-152"/>
          <s v="153-173"/>
          <s v="&gt;174"/>
        </groupItems>
      </fieldGroup>
    </cacheField>
    <cacheField name="Insurance Status" numFmtId="0">
      <sharedItems count="2">
        <s v="Insured"/>
        <s v="Not Insured"/>
      </sharedItems>
    </cacheField>
    <cacheField name="Insurance Claim Amount" numFmtId="164">
      <sharedItems containsSemiMixedTypes="0" containsString="0" containsNumber="1" containsInteger="1" minValue="0" maxValue="15956"/>
    </cacheField>
    <cacheField name="Out-of-Pocket Amount" numFmtId="164">
      <sharedItems containsSemiMixedTypes="0" containsString="0" containsNumber="1" containsInteger="1" minValue="-7734" maxValue="18141"/>
    </cacheField>
    <cacheField name="Satisfaction Score(1-5)" numFmtId="0">
      <sharedItems containsSemiMixedTypes="0" containsString="0" containsNumber="1" containsInteger="1" minValue="1" maxValue="5" count="5">
        <n v="5"/>
        <n v="1"/>
        <n v="2"/>
        <n v="4"/>
        <n v="3"/>
      </sharedItems>
    </cacheField>
    <cacheField name="Month" numFmtId="0">
      <sharedItems count="12">
        <s v="Apr"/>
        <s v="Jul"/>
        <s v="Feb"/>
        <s v="Sep"/>
        <s v="Nov"/>
        <s v="Oct"/>
        <s v="Dec"/>
        <s v="Jun"/>
        <s v="Jan"/>
        <s v="May"/>
        <s v="Mar"/>
        <s v="Aug"/>
      </sharedItems>
    </cacheField>
    <cacheField name="Year" numFmtId="0">
      <sharedItems containsSemiMixedTypes="0" containsString="0" containsNumber="1" containsInteger="1" minValue="2025" maxValue="2026"/>
    </cacheField>
  </cacheFields>
  <extLst>
    <ext xmlns:x14="http://schemas.microsoft.com/office/spreadsheetml/2009/9/main" uri="{725AE2AE-9491-48be-B2B4-4EB974FC3084}">
      <x14:pivotCacheDefinition pivotCacheId="1665576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AT-3001"/>
    <s v="Thomas Martin"/>
    <x v="0"/>
    <x v="0"/>
    <x v="0"/>
    <n v="45765"/>
    <x v="0"/>
    <x v="0"/>
    <n v="1000"/>
    <n v="2000"/>
    <n v="200"/>
    <n v="800"/>
    <n v="4000"/>
    <d v="2025-07-29T00:00:00"/>
    <x v="0"/>
    <x v="0"/>
    <n v="3806"/>
    <n v="194"/>
    <x v="0"/>
    <x v="0"/>
    <n v="2025"/>
  </r>
  <r>
    <s v="PAT-3002"/>
    <s v="Betty Thompson"/>
    <x v="0"/>
    <x v="0"/>
    <x v="1"/>
    <n v="45857"/>
    <x v="1"/>
    <x v="0"/>
    <n v="730"/>
    <n v="1000"/>
    <n v="1200"/>
    <n v="4000"/>
    <n v="6930"/>
    <d v="2025-09-14T00:00:00"/>
    <x v="1"/>
    <x v="0"/>
    <n v="1382"/>
    <n v="5548"/>
    <x v="1"/>
    <x v="1"/>
    <n v="2025"/>
  </r>
  <r>
    <s v="PAT-3003"/>
    <s v="Lisa Rodriguez"/>
    <x v="1"/>
    <x v="1"/>
    <x v="2"/>
    <n v="45694"/>
    <x v="2"/>
    <x v="1"/>
    <n v="500"/>
    <n v="1760"/>
    <n v="710"/>
    <n v="1500"/>
    <n v="4470"/>
    <d v="2025-06-06T00:00:00"/>
    <x v="2"/>
    <x v="0"/>
    <n v="2000"/>
    <n v="2470"/>
    <x v="2"/>
    <x v="2"/>
    <n v="2025"/>
  </r>
  <r>
    <s v="PAT-3004"/>
    <s v="Donna Jones"/>
    <x v="1"/>
    <x v="2"/>
    <x v="3"/>
    <n v="45916"/>
    <x v="3"/>
    <x v="1"/>
    <n v="1690"/>
    <n v="1500"/>
    <n v="1760"/>
    <n v="1240"/>
    <n v="6190"/>
    <d v="2025-10-04T00:00:00"/>
    <x v="3"/>
    <x v="1"/>
    <n v="0"/>
    <n v="6190"/>
    <x v="3"/>
    <x v="3"/>
    <n v="2025"/>
  </r>
  <r>
    <s v="PAT-3005"/>
    <s v="Michael Walker"/>
    <x v="2"/>
    <x v="3"/>
    <x v="4"/>
    <n v="45981"/>
    <x v="1"/>
    <x v="2"/>
    <n v="620"/>
    <n v="870"/>
    <n v="417"/>
    <n v="2600"/>
    <n v="4507"/>
    <d v="2025-12-24T00:00:00"/>
    <x v="4"/>
    <x v="1"/>
    <n v="0"/>
    <n v="4507"/>
    <x v="2"/>
    <x v="4"/>
    <n v="2025"/>
  </r>
  <r>
    <s v="PAT-3006"/>
    <s v="Kenneth Lewis"/>
    <x v="2"/>
    <x v="4"/>
    <x v="2"/>
    <n v="45934"/>
    <x v="0"/>
    <x v="2"/>
    <n v="1980"/>
    <n v="0"/>
    <n v="2972"/>
    <n v="6171"/>
    <n v="11123"/>
    <d v="2026-01-19T00:00:00"/>
    <x v="5"/>
    <x v="0"/>
    <n v="1421"/>
    <n v="9702"/>
    <x v="2"/>
    <x v="5"/>
    <n v="2025"/>
  </r>
  <r>
    <s v="PAT-3007"/>
    <s v="Linda Smith"/>
    <x v="0"/>
    <x v="3"/>
    <x v="0"/>
    <n v="45693"/>
    <x v="3"/>
    <x v="0"/>
    <n v="1990"/>
    <n v="4705"/>
    <n v="1443"/>
    <n v="6199"/>
    <n v="14337"/>
    <d v="2025-04-16T00:00:00"/>
    <x v="6"/>
    <x v="1"/>
    <n v="0"/>
    <n v="14337"/>
    <x v="1"/>
    <x v="2"/>
    <n v="2025"/>
  </r>
  <r>
    <s v="PAT-3008"/>
    <s v="Susan Garcia"/>
    <x v="1"/>
    <x v="3"/>
    <x v="3"/>
    <n v="45770"/>
    <x v="2"/>
    <x v="3"/>
    <n v="1520"/>
    <n v="3146"/>
    <n v="2612"/>
    <n v="9213"/>
    <n v="16491"/>
    <d v="2025-09-14T00:00:00"/>
    <x v="7"/>
    <x v="0"/>
    <n v="8820"/>
    <n v="7671"/>
    <x v="3"/>
    <x v="0"/>
    <n v="2025"/>
  </r>
  <r>
    <s v="PAT-3009"/>
    <s v="James Jones"/>
    <x v="2"/>
    <x v="5"/>
    <x v="1"/>
    <n v="45909"/>
    <x v="1"/>
    <x v="4"/>
    <n v="1760"/>
    <n v="1255"/>
    <n v="1038"/>
    <n v="6000"/>
    <n v="10053"/>
    <d v="2025-12-31T00:00:00"/>
    <x v="8"/>
    <x v="0"/>
    <n v="1941"/>
    <n v="8112"/>
    <x v="2"/>
    <x v="3"/>
    <n v="2025"/>
  </r>
  <r>
    <s v="PAT-3010"/>
    <s v="Christopher Johnson"/>
    <x v="1"/>
    <x v="3"/>
    <x v="4"/>
    <n v="45905"/>
    <x v="0"/>
    <x v="4"/>
    <n v="2240"/>
    <n v="1027"/>
    <n v="1934"/>
    <n v="7200"/>
    <n v="12401"/>
    <d v="2025-12-01T00:00:00"/>
    <x v="9"/>
    <x v="1"/>
    <n v="0"/>
    <n v="12401"/>
    <x v="3"/>
    <x v="3"/>
    <n v="2025"/>
  </r>
  <r>
    <s v="PAT-3011"/>
    <s v="Daniel Thomas"/>
    <x v="3"/>
    <x v="2"/>
    <x v="1"/>
    <n v="46020"/>
    <x v="2"/>
    <x v="0"/>
    <n v="1830"/>
    <n v="1647"/>
    <n v="2323"/>
    <n v="1925"/>
    <n v="7725"/>
    <d v="2026-03-31T00:00:00"/>
    <x v="10"/>
    <x v="1"/>
    <n v="0"/>
    <n v="7725"/>
    <x v="3"/>
    <x v="6"/>
    <n v="2025"/>
  </r>
  <r>
    <s v="PAT-3012"/>
    <s v="Sandra Smith"/>
    <x v="2"/>
    <x v="1"/>
    <x v="2"/>
    <n v="45698"/>
    <x v="3"/>
    <x v="1"/>
    <n v="1590"/>
    <n v="500"/>
    <n v="764"/>
    <n v="1097"/>
    <n v="3951"/>
    <d v="2025-03-07T00:00:00"/>
    <x v="11"/>
    <x v="0"/>
    <n v="1790"/>
    <n v="2161"/>
    <x v="1"/>
    <x v="2"/>
    <n v="2025"/>
  </r>
  <r>
    <s v="PAT-3013"/>
    <s v="Michael Smith"/>
    <x v="1"/>
    <x v="1"/>
    <x v="4"/>
    <n v="45809"/>
    <x v="1"/>
    <x v="1"/>
    <n v="1735"/>
    <n v="1316"/>
    <n v="2900"/>
    <n v="1067"/>
    <n v="7018"/>
    <d v="2025-09-03T00:00:00"/>
    <x v="12"/>
    <x v="1"/>
    <n v="0"/>
    <n v="7018"/>
    <x v="0"/>
    <x v="7"/>
    <n v="2025"/>
  </r>
  <r>
    <s v="PAT-3014"/>
    <s v="Thomas Taylor"/>
    <x v="2"/>
    <x v="4"/>
    <x v="3"/>
    <n v="45675"/>
    <x v="0"/>
    <x v="5"/>
    <n v="920"/>
    <n v="2132"/>
    <n v="1620"/>
    <n v="2017"/>
    <n v="6689"/>
    <d v="2025-04-02T00:00:00"/>
    <x v="13"/>
    <x v="1"/>
    <n v="0"/>
    <n v="6689"/>
    <x v="2"/>
    <x v="8"/>
    <n v="2025"/>
  </r>
  <r>
    <s v="PAT-3015"/>
    <s v="Jennifer Williams"/>
    <x v="4"/>
    <x v="5"/>
    <x v="0"/>
    <n v="45804"/>
    <x v="3"/>
    <x v="1"/>
    <n v="1394"/>
    <n v="979"/>
    <n v="2373"/>
    <n v="2081"/>
    <n v="6827"/>
    <d v="2025-09-15T00:00:00"/>
    <x v="14"/>
    <x v="0"/>
    <n v="5000"/>
    <n v="1827"/>
    <x v="0"/>
    <x v="9"/>
    <n v="2025"/>
  </r>
  <r>
    <s v="PAT-3016"/>
    <s v="Nancy Lee"/>
    <x v="2"/>
    <x v="4"/>
    <x v="4"/>
    <n v="45901"/>
    <x v="1"/>
    <x v="0"/>
    <n v="1351"/>
    <n v="777"/>
    <n v="1800"/>
    <n v="866"/>
    <n v="4794"/>
    <d v="2025-09-28T00:00:00"/>
    <x v="15"/>
    <x v="1"/>
    <n v="0"/>
    <n v="4794"/>
    <x v="1"/>
    <x v="3"/>
    <n v="2025"/>
  </r>
  <r>
    <s v="PAT-3017"/>
    <s v="Kevin Miller"/>
    <x v="2"/>
    <x v="4"/>
    <x v="1"/>
    <n v="45833"/>
    <x v="2"/>
    <x v="1"/>
    <n v="1923"/>
    <n v="4781"/>
    <n v="1238"/>
    <n v="1423"/>
    <n v="9365"/>
    <d v="2025-09-25T00:00:00"/>
    <x v="10"/>
    <x v="1"/>
    <n v="0"/>
    <n v="9365"/>
    <x v="4"/>
    <x v="7"/>
    <n v="2025"/>
  </r>
  <r>
    <s v="PAT-3018"/>
    <s v="Elizabeth Moore"/>
    <x v="2"/>
    <x v="3"/>
    <x v="2"/>
    <n v="45795"/>
    <x v="0"/>
    <x v="0"/>
    <n v="2342"/>
    <n v="2193"/>
    <n v="1918"/>
    <n v="2412"/>
    <n v="8865"/>
    <d v="2025-08-20T00:00:00"/>
    <x v="12"/>
    <x v="0"/>
    <n v="6301"/>
    <n v="2564"/>
    <x v="3"/>
    <x v="9"/>
    <n v="2025"/>
  </r>
  <r>
    <s v="PAT-3019"/>
    <s v="Carol Rodriguez"/>
    <x v="5"/>
    <x v="5"/>
    <x v="0"/>
    <n v="45949"/>
    <x v="1"/>
    <x v="2"/>
    <n v="2020"/>
    <n v="2671"/>
    <n v="1377"/>
    <n v="2426"/>
    <n v="8494"/>
    <d v="2026-03-31T00:00:00"/>
    <x v="16"/>
    <x v="1"/>
    <n v="0"/>
    <n v="8494"/>
    <x v="2"/>
    <x v="5"/>
    <n v="2025"/>
  </r>
  <r>
    <s v="PAT-3020"/>
    <s v="Karen Hernandez"/>
    <x v="4"/>
    <x v="1"/>
    <x v="3"/>
    <n v="45930"/>
    <x v="3"/>
    <x v="3"/>
    <n v="2313"/>
    <n v="1200"/>
    <n v="388"/>
    <n v="2445"/>
    <n v="6346"/>
    <d v="2025-10-16T00:00:00"/>
    <x v="17"/>
    <x v="0"/>
    <n v="2269"/>
    <n v="4077"/>
    <x v="3"/>
    <x v="3"/>
    <n v="2025"/>
  </r>
  <r>
    <s v="PAT-3021"/>
    <s v="Michael Miller"/>
    <x v="4"/>
    <x v="5"/>
    <x v="2"/>
    <n v="45750"/>
    <x v="0"/>
    <x v="3"/>
    <n v="2285"/>
    <n v="597"/>
    <n v="2903"/>
    <n v="1486"/>
    <n v="7271"/>
    <d v="2025-07-03T00:00:00"/>
    <x v="18"/>
    <x v="0"/>
    <n v="1104"/>
    <n v="6167"/>
    <x v="3"/>
    <x v="0"/>
    <n v="2025"/>
  </r>
  <r>
    <s v="PAT-3022"/>
    <s v="Karen Martinez"/>
    <x v="0"/>
    <x v="0"/>
    <x v="4"/>
    <n v="45794"/>
    <x v="1"/>
    <x v="3"/>
    <n v="781"/>
    <n v="100"/>
    <n v="1976"/>
    <n v="943"/>
    <n v="3800"/>
    <d v="2025-06-09T00:00:00"/>
    <x v="19"/>
    <x v="0"/>
    <n v="3000"/>
    <n v="800"/>
    <x v="2"/>
    <x v="9"/>
    <n v="2025"/>
  </r>
  <r>
    <s v="PAT-3023"/>
    <s v="William Wilson"/>
    <x v="1"/>
    <x v="6"/>
    <x v="3"/>
    <n v="45831"/>
    <x v="2"/>
    <x v="3"/>
    <n v="1770"/>
    <n v="3744"/>
    <n v="2259"/>
    <n v="2308"/>
    <n v="10081"/>
    <d v="2025-11-17T00:00:00"/>
    <x v="20"/>
    <x v="0"/>
    <n v="11646"/>
    <n v="-1565"/>
    <x v="2"/>
    <x v="7"/>
    <n v="2025"/>
  </r>
  <r>
    <s v="PAT-3024"/>
    <s v="Ashley Young"/>
    <x v="0"/>
    <x v="0"/>
    <x v="1"/>
    <n v="45769"/>
    <x v="3"/>
    <x v="2"/>
    <n v="2436"/>
    <n v="1500"/>
    <n v="378"/>
    <n v="1056"/>
    <n v="5370"/>
    <d v="2025-07-02T00:00:00"/>
    <x v="21"/>
    <x v="1"/>
    <n v="0"/>
    <n v="5370"/>
    <x v="0"/>
    <x v="0"/>
    <n v="2025"/>
  </r>
  <r>
    <s v="PAT-3025"/>
    <s v="Betty Wilson"/>
    <x v="2"/>
    <x v="6"/>
    <x v="0"/>
    <n v="45978"/>
    <x v="1"/>
    <x v="2"/>
    <n v="1917"/>
    <n v="3237"/>
    <n v="2591"/>
    <n v="1885"/>
    <n v="9630"/>
    <d v="2026-03-31T00:00:00"/>
    <x v="22"/>
    <x v="0"/>
    <n v="8641"/>
    <n v="989"/>
    <x v="4"/>
    <x v="4"/>
    <n v="2025"/>
  </r>
  <r>
    <s v="PAT-3026"/>
    <s v="Steven Garcia"/>
    <x v="2"/>
    <x v="1"/>
    <x v="3"/>
    <n v="45660"/>
    <x v="0"/>
    <x v="1"/>
    <n v="1531"/>
    <n v="0"/>
    <n v="1367"/>
    <n v="1597"/>
    <n v="4495"/>
    <d v="2025-04-16T00:00:00"/>
    <x v="23"/>
    <x v="0"/>
    <n v="1945"/>
    <n v="2550"/>
    <x v="2"/>
    <x v="8"/>
    <n v="2025"/>
  </r>
  <r>
    <s v="PAT-3027"/>
    <s v="Paul Taylor"/>
    <x v="0"/>
    <x v="3"/>
    <x v="2"/>
    <n v="45681"/>
    <x v="2"/>
    <x v="2"/>
    <n v="1699"/>
    <n v="2109"/>
    <n v="366"/>
    <n v="2306"/>
    <n v="6480"/>
    <d v="2025-04-09T00:00:00"/>
    <x v="24"/>
    <x v="0"/>
    <n v="5605"/>
    <n v="875"/>
    <x v="2"/>
    <x v="8"/>
    <n v="2025"/>
  </r>
  <r>
    <s v="PAT-3028"/>
    <s v="Daniel Lopez"/>
    <x v="5"/>
    <x v="4"/>
    <x v="4"/>
    <n v="45952"/>
    <x v="1"/>
    <x v="3"/>
    <n v="1373"/>
    <n v="1536"/>
    <n v="2821"/>
    <n v="2274"/>
    <n v="8004"/>
    <d v="2026-02-20T00:00:00"/>
    <x v="25"/>
    <x v="0"/>
    <n v="9758"/>
    <n v="-1754"/>
    <x v="4"/>
    <x v="5"/>
    <n v="2025"/>
  </r>
  <r>
    <s v="PAT-3029"/>
    <s v="Joseph Brown"/>
    <x v="4"/>
    <x v="4"/>
    <x v="1"/>
    <n v="45738"/>
    <x v="3"/>
    <x v="3"/>
    <n v="693"/>
    <n v="521"/>
    <n v="1857"/>
    <n v="2393"/>
    <n v="5464"/>
    <d v="2025-05-24T00:00:00"/>
    <x v="26"/>
    <x v="1"/>
    <n v="0"/>
    <n v="5464"/>
    <x v="4"/>
    <x v="10"/>
    <n v="2025"/>
  </r>
  <r>
    <s v="PAT-3030"/>
    <s v="Linda Wilson"/>
    <x v="1"/>
    <x v="2"/>
    <x v="0"/>
    <n v="46007"/>
    <x v="0"/>
    <x v="4"/>
    <n v="1200"/>
    <n v="1484"/>
    <n v="1090"/>
    <n v="1841"/>
    <n v="5615"/>
    <d v="2026-03-31T00:00:00"/>
    <x v="27"/>
    <x v="1"/>
    <n v="0"/>
    <n v="5615"/>
    <x v="1"/>
    <x v="6"/>
    <n v="2025"/>
  </r>
  <r>
    <s v="PAT-3031"/>
    <s v="Emily Moore"/>
    <x v="0"/>
    <x v="4"/>
    <x v="4"/>
    <n v="45672"/>
    <x v="1"/>
    <x v="2"/>
    <n v="1247"/>
    <n v="1800"/>
    <n v="219"/>
    <n v="2462"/>
    <n v="5728"/>
    <d v="2025-02-25T00:00:00"/>
    <x v="28"/>
    <x v="0"/>
    <n v="4000"/>
    <n v="1728"/>
    <x v="1"/>
    <x v="8"/>
    <n v="2025"/>
  </r>
  <r>
    <s v="PAT-3032"/>
    <s v="Sarah Wilson"/>
    <x v="2"/>
    <x v="3"/>
    <x v="0"/>
    <n v="45945"/>
    <x v="2"/>
    <x v="4"/>
    <n v="1635"/>
    <n v="800"/>
    <n v="1152"/>
    <n v="993"/>
    <n v="4580"/>
    <d v="2025-10-31T00:00:00"/>
    <x v="17"/>
    <x v="0"/>
    <n v="4295"/>
    <n v="285"/>
    <x v="0"/>
    <x v="5"/>
    <n v="2025"/>
  </r>
  <r>
    <s v="PAT-3033"/>
    <s v="Nancy Clark"/>
    <x v="1"/>
    <x v="2"/>
    <x v="3"/>
    <n v="45687"/>
    <x v="3"/>
    <x v="2"/>
    <n v="861"/>
    <n v="1229"/>
    <n v="2389"/>
    <n v="1535"/>
    <n v="6014"/>
    <d v="2025-06-27T00:00:00"/>
    <x v="29"/>
    <x v="0"/>
    <n v="5110"/>
    <n v="904"/>
    <x v="0"/>
    <x v="8"/>
    <n v="2025"/>
  </r>
  <r>
    <s v="PAT-3034"/>
    <s v="Kevin Clark"/>
    <x v="1"/>
    <x v="2"/>
    <x v="2"/>
    <n v="45768"/>
    <x v="0"/>
    <x v="3"/>
    <n v="1688"/>
    <n v="3934"/>
    <n v="1300"/>
    <n v="2226"/>
    <n v="9148"/>
    <d v="2025-07-22T00:00:00"/>
    <x v="10"/>
    <x v="1"/>
    <n v="0"/>
    <n v="9148"/>
    <x v="3"/>
    <x v="0"/>
    <n v="2025"/>
  </r>
  <r>
    <s v="PAT-3035"/>
    <s v="Joseph Williams"/>
    <x v="0"/>
    <x v="5"/>
    <x v="1"/>
    <n v="45793"/>
    <x v="1"/>
    <x v="4"/>
    <n v="1920"/>
    <n v="3848"/>
    <n v="387"/>
    <n v="1238"/>
    <n v="7393"/>
    <d v="2025-10-11T00:00:00"/>
    <x v="29"/>
    <x v="1"/>
    <n v="0"/>
    <n v="7393"/>
    <x v="2"/>
    <x v="9"/>
    <n v="2025"/>
  </r>
  <r>
    <s v="PAT-3036"/>
    <s v="Jennifer Jackson"/>
    <x v="2"/>
    <x v="2"/>
    <x v="2"/>
    <n v="45913"/>
    <x v="3"/>
    <x v="0"/>
    <n v="1563"/>
    <n v="1106"/>
    <n v="883"/>
    <n v="1855"/>
    <n v="5407"/>
    <d v="2025-11-23T00:00:00"/>
    <x v="21"/>
    <x v="1"/>
    <n v="0"/>
    <n v="5407"/>
    <x v="4"/>
    <x v="3"/>
    <n v="2025"/>
  </r>
  <r>
    <s v="PAT-3037"/>
    <s v="Elizabeth Rodriguez"/>
    <x v="3"/>
    <x v="0"/>
    <x v="3"/>
    <n v="45949"/>
    <x v="2"/>
    <x v="5"/>
    <n v="634"/>
    <n v="3535"/>
    <n v="1310"/>
    <n v="950"/>
    <n v="6429"/>
    <d v="2026-02-18T00:00:00"/>
    <x v="30"/>
    <x v="1"/>
    <n v="0"/>
    <n v="6429"/>
    <x v="0"/>
    <x v="5"/>
    <n v="2025"/>
  </r>
  <r>
    <s v="PAT-3038"/>
    <s v="Mark Miller"/>
    <x v="3"/>
    <x v="7"/>
    <x v="0"/>
    <n v="45696"/>
    <x v="1"/>
    <x v="5"/>
    <n v="800"/>
    <n v="3620"/>
    <n v="2947"/>
    <n v="1021"/>
    <n v="8388"/>
    <d v="2025-05-30T00:00:00"/>
    <x v="14"/>
    <x v="0"/>
    <n v="3752"/>
    <n v="4636"/>
    <x v="2"/>
    <x v="2"/>
    <n v="2025"/>
  </r>
  <r>
    <s v="PAT-3039"/>
    <s v="Kenneth Martinez"/>
    <x v="3"/>
    <x v="7"/>
    <x v="4"/>
    <n v="45970"/>
    <x v="0"/>
    <x v="3"/>
    <n v="1299"/>
    <n v="810"/>
    <n v="2841"/>
    <n v="1899"/>
    <n v="6849"/>
    <d v="2025-11-28T00:00:00"/>
    <x v="31"/>
    <x v="0"/>
    <n v="700"/>
    <n v="6149"/>
    <x v="0"/>
    <x v="4"/>
    <n v="2025"/>
  </r>
  <r>
    <s v="PAT-3040"/>
    <s v="Karen Young"/>
    <x v="0"/>
    <x v="0"/>
    <x v="1"/>
    <n v="45869"/>
    <x v="3"/>
    <x v="1"/>
    <n v="1336"/>
    <n v="500"/>
    <n v="1634"/>
    <n v="2187"/>
    <n v="5657"/>
    <d v="2025-08-08T00:00:00"/>
    <x v="32"/>
    <x v="0"/>
    <n v="3234"/>
    <n v="2423"/>
    <x v="4"/>
    <x v="1"/>
    <n v="2025"/>
  </r>
  <r>
    <s v="PAT-3041"/>
    <s v="Dorothy Ramirez"/>
    <x v="0"/>
    <x v="4"/>
    <x v="0"/>
    <n v="45780"/>
    <x v="1"/>
    <x v="5"/>
    <n v="2467"/>
    <n v="3999"/>
    <n v="1323"/>
    <n v="2208"/>
    <n v="9997"/>
    <d v="2025-09-27T00:00:00"/>
    <x v="20"/>
    <x v="0"/>
    <n v="7311"/>
    <n v="2686"/>
    <x v="0"/>
    <x v="9"/>
    <n v="2025"/>
  </r>
  <r>
    <s v="PAT-3042"/>
    <s v="Donna Williams"/>
    <x v="3"/>
    <x v="7"/>
    <x v="1"/>
    <n v="45778"/>
    <x v="2"/>
    <x v="0"/>
    <n v="1861"/>
    <n v="1200"/>
    <n v="701"/>
    <n v="2485"/>
    <n v="6247"/>
    <d v="2025-05-27T00:00:00"/>
    <x v="33"/>
    <x v="1"/>
    <n v="0"/>
    <n v="6247"/>
    <x v="1"/>
    <x v="9"/>
    <n v="2025"/>
  </r>
  <r>
    <s v="PAT-3043"/>
    <s v="Nancy Harris"/>
    <x v="4"/>
    <x v="7"/>
    <x v="4"/>
    <n v="45953"/>
    <x v="0"/>
    <x v="1"/>
    <n v="2462"/>
    <n v="4675"/>
    <n v="372"/>
    <n v="892"/>
    <n v="8401"/>
    <d v="2026-02-23T00:00:00"/>
    <x v="34"/>
    <x v="1"/>
    <n v="0"/>
    <n v="8401"/>
    <x v="3"/>
    <x v="5"/>
    <n v="2025"/>
  </r>
  <r>
    <s v="PAT-3044"/>
    <s v="William Wilson"/>
    <x v="4"/>
    <x v="7"/>
    <x v="2"/>
    <n v="45930"/>
    <x v="1"/>
    <x v="4"/>
    <n v="549"/>
    <n v="3799"/>
    <n v="2746"/>
    <n v="2406"/>
    <n v="9500"/>
    <d v="2025-12-31T00:00:00"/>
    <x v="10"/>
    <x v="0"/>
    <n v="5209"/>
    <n v="4291"/>
    <x v="1"/>
    <x v="3"/>
    <n v="2025"/>
  </r>
  <r>
    <s v="PAT-3045"/>
    <s v="Michelle Taylor"/>
    <x v="2"/>
    <x v="1"/>
    <x v="3"/>
    <n v="45787"/>
    <x v="3"/>
    <x v="3"/>
    <n v="1640"/>
    <n v="4696"/>
    <n v="2727"/>
    <n v="1831"/>
    <n v="10894"/>
    <d v="2025-07-12T00:00:00"/>
    <x v="26"/>
    <x v="1"/>
    <n v="0"/>
    <n v="10894"/>
    <x v="4"/>
    <x v="9"/>
    <n v="2025"/>
  </r>
  <r>
    <s v="PAT-3046"/>
    <s v="Elizabeth Rodriguez"/>
    <x v="4"/>
    <x v="1"/>
    <x v="4"/>
    <n v="45683"/>
    <x v="2"/>
    <x v="1"/>
    <n v="646"/>
    <n v="2686"/>
    <n v="1474"/>
    <n v="2107"/>
    <n v="6913"/>
    <d v="2025-03-20T00:00:00"/>
    <x v="35"/>
    <x v="0"/>
    <n v="7166"/>
    <n v="-253"/>
    <x v="2"/>
    <x v="8"/>
    <n v="2025"/>
  </r>
  <r>
    <s v="PAT-3047"/>
    <s v="Elizabeth Harris"/>
    <x v="2"/>
    <x v="2"/>
    <x v="3"/>
    <n v="45667"/>
    <x v="1"/>
    <x v="2"/>
    <n v="2156"/>
    <n v="3060"/>
    <n v="2586"/>
    <n v="1030"/>
    <n v="8832"/>
    <d v="2025-04-07T00:00:00"/>
    <x v="9"/>
    <x v="0"/>
    <n v="3588"/>
    <n v="5244"/>
    <x v="3"/>
    <x v="8"/>
    <n v="2025"/>
  </r>
  <r>
    <s v="PAT-3048"/>
    <s v="David Wilson"/>
    <x v="4"/>
    <x v="2"/>
    <x v="2"/>
    <n v="45840"/>
    <x v="0"/>
    <x v="2"/>
    <n v="1530"/>
    <n v="1719"/>
    <n v="2013"/>
    <n v="2310"/>
    <n v="7572"/>
    <d v="2025-07-23T00:00:00"/>
    <x v="36"/>
    <x v="0"/>
    <n v="7123"/>
    <n v="449"/>
    <x v="3"/>
    <x v="1"/>
    <n v="2025"/>
  </r>
  <r>
    <s v="PAT-3049"/>
    <s v="Kevin Wilson"/>
    <x v="3"/>
    <x v="7"/>
    <x v="0"/>
    <n v="45978"/>
    <x v="3"/>
    <x v="0"/>
    <n v="704"/>
    <n v="3648"/>
    <n v="1577"/>
    <n v="2057"/>
    <n v="7986"/>
    <d v="2026-02-11T00:00:00"/>
    <x v="37"/>
    <x v="0"/>
    <n v="12208"/>
    <n v="-4222"/>
    <x v="3"/>
    <x v="4"/>
    <n v="2025"/>
  </r>
  <r>
    <s v="PAT-3050"/>
    <s v="James Wilson"/>
    <x v="4"/>
    <x v="2"/>
    <x v="1"/>
    <n v="45813"/>
    <x v="1"/>
    <x v="3"/>
    <n v="797"/>
    <n v="2564"/>
    <n v="1692"/>
    <n v="941"/>
    <n v="5994"/>
    <d v="2025-09-17T00:00:00"/>
    <x v="38"/>
    <x v="0"/>
    <n v="5704"/>
    <n v="290"/>
    <x v="1"/>
    <x v="7"/>
    <n v="2025"/>
  </r>
  <r>
    <s v="PAT-3051"/>
    <s v="Jennifer Perez"/>
    <x v="2"/>
    <x v="4"/>
    <x v="2"/>
    <n v="45961"/>
    <x v="0"/>
    <x v="0"/>
    <n v="1750"/>
    <n v="2790"/>
    <n v="1742"/>
    <n v="1107"/>
    <n v="7389"/>
    <d v="2025-12-05T00:00:00"/>
    <x v="39"/>
    <x v="0"/>
    <n v="4879"/>
    <n v="2510"/>
    <x v="2"/>
    <x v="5"/>
    <n v="2025"/>
  </r>
  <r>
    <s v="PAT-3052"/>
    <s v="Mary Johnson"/>
    <x v="1"/>
    <x v="1"/>
    <x v="4"/>
    <n v="45870"/>
    <x v="2"/>
    <x v="1"/>
    <n v="780"/>
    <n v="1800"/>
    <n v="718"/>
    <n v="1669"/>
    <n v="4967"/>
    <d v="2025-08-24T00:00:00"/>
    <x v="19"/>
    <x v="1"/>
    <n v="0"/>
    <n v="4967"/>
    <x v="1"/>
    <x v="11"/>
    <n v="2025"/>
  </r>
  <r>
    <s v="PAT-3053"/>
    <s v="Joseph Thomas"/>
    <x v="0"/>
    <x v="0"/>
    <x v="0"/>
    <n v="45766"/>
    <x v="1"/>
    <x v="2"/>
    <n v="2384"/>
    <n v="2448"/>
    <n v="1366"/>
    <n v="1757"/>
    <n v="7955"/>
    <d v="2025-09-10T00:00:00"/>
    <x v="7"/>
    <x v="1"/>
    <n v="0"/>
    <n v="7955"/>
    <x v="2"/>
    <x v="0"/>
    <n v="2025"/>
  </r>
  <r>
    <s v="PAT-3054"/>
    <s v="Anthony Thomas"/>
    <x v="0"/>
    <x v="0"/>
    <x v="3"/>
    <n v="45882"/>
    <x v="3"/>
    <x v="3"/>
    <n v="1005"/>
    <n v="2736"/>
    <n v="1834"/>
    <n v="962"/>
    <n v="6537"/>
    <d v="2025-10-08T00:00:00"/>
    <x v="40"/>
    <x v="1"/>
    <n v="0"/>
    <n v="6537"/>
    <x v="3"/>
    <x v="11"/>
    <n v="2025"/>
  </r>
  <r>
    <s v="PAT-3055"/>
    <s v="Donna Clark"/>
    <x v="5"/>
    <x v="6"/>
    <x v="1"/>
    <n v="45707"/>
    <x v="0"/>
    <x v="0"/>
    <n v="2033"/>
    <n v="2000"/>
    <n v="1590"/>
    <n v="1764"/>
    <n v="7387"/>
    <d v="2025-02-27T00:00:00"/>
    <x v="32"/>
    <x v="1"/>
    <n v="0"/>
    <n v="7387"/>
    <x v="4"/>
    <x v="2"/>
    <n v="2025"/>
  </r>
  <r>
    <s v="PAT-3056"/>
    <s v="Andrew Jones"/>
    <x v="4"/>
    <x v="1"/>
    <x v="3"/>
    <n v="45912"/>
    <x v="1"/>
    <x v="0"/>
    <n v="1992"/>
    <n v="830"/>
    <n v="2390"/>
    <n v="2291"/>
    <n v="7503"/>
    <d v="2025-12-31T00:00:00"/>
    <x v="41"/>
    <x v="1"/>
    <n v="0"/>
    <n v="7503"/>
    <x v="0"/>
    <x v="3"/>
    <n v="2025"/>
  </r>
  <r>
    <s v="PAT-3057"/>
    <s v="Jennifer Martinez"/>
    <x v="0"/>
    <x v="0"/>
    <x v="0"/>
    <n v="45850"/>
    <x v="2"/>
    <x v="2"/>
    <n v="1399"/>
    <n v="4708"/>
    <n v="1019"/>
    <n v="2017"/>
    <n v="9143"/>
    <d v="2025-09-25T00:00:00"/>
    <x v="24"/>
    <x v="1"/>
    <n v="0"/>
    <n v="9143"/>
    <x v="2"/>
    <x v="1"/>
    <n v="2025"/>
  </r>
  <r>
    <s v="PAT-3058"/>
    <s v="Mark Lewis"/>
    <x v="4"/>
    <x v="1"/>
    <x v="1"/>
    <n v="45776"/>
    <x v="3"/>
    <x v="1"/>
    <n v="1300"/>
    <n v="767"/>
    <n v="2173"/>
    <n v="2132"/>
    <n v="6372"/>
    <d v="2025-08-10T00:00:00"/>
    <x v="23"/>
    <x v="0"/>
    <n v="2323"/>
    <n v="4049"/>
    <x v="4"/>
    <x v="0"/>
    <n v="2025"/>
  </r>
  <r>
    <s v="PAT-3059"/>
    <s v="Mark Miller"/>
    <x v="0"/>
    <x v="6"/>
    <x v="4"/>
    <n v="45696"/>
    <x v="1"/>
    <x v="0"/>
    <n v="1971"/>
    <n v="1266"/>
    <n v="2823"/>
    <n v="2331"/>
    <n v="8391"/>
    <d v="2025-05-07T00:00:00"/>
    <x v="42"/>
    <x v="0"/>
    <n v="2175"/>
    <n v="6216"/>
    <x v="4"/>
    <x v="2"/>
    <n v="2025"/>
  </r>
  <r>
    <s v="PAT-3060"/>
    <s v="Steven Garcia"/>
    <x v="1"/>
    <x v="6"/>
    <x v="2"/>
    <n v="45871"/>
    <x v="0"/>
    <x v="3"/>
    <n v="607"/>
    <n v="2200"/>
    <n v="1500"/>
    <n v="899"/>
    <n v="5206"/>
    <d v="2025-09-10T00:00:00"/>
    <x v="43"/>
    <x v="0"/>
    <n v="3116"/>
    <n v="2090"/>
    <x v="0"/>
    <x v="11"/>
    <n v="2025"/>
  </r>
  <r>
    <s v="PAT-3061"/>
    <s v="Jessica Thomas"/>
    <x v="2"/>
    <x v="1"/>
    <x v="1"/>
    <n v="46002"/>
    <x v="1"/>
    <x v="4"/>
    <n v="879"/>
    <n v="4409"/>
    <n v="1254"/>
    <n v="2225"/>
    <n v="8767"/>
    <d v="2026-02-01T00:00:00"/>
    <x v="44"/>
    <x v="1"/>
    <n v="0"/>
    <n v="8767"/>
    <x v="0"/>
    <x v="6"/>
    <n v="2025"/>
  </r>
  <r>
    <s v="PAT-3062"/>
    <s v="Joshua Lee"/>
    <x v="3"/>
    <x v="7"/>
    <x v="3"/>
    <n v="45921"/>
    <x v="2"/>
    <x v="3"/>
    <n v="944"/>
    <n v="3566"/>
    <n v="1084"/>
    <n v="1313"/>
    <n v="6907"/>
    <d v="2025-11-29T00:00:00"/>
    <x v="45"/>
    <x v="0"/>
    <n v="9242"/>
    <n v="-2335"/>
    <x v="0"/>
    <x v="3"/>
    <n v="2025"/>
  </r>
  <r>
    <s v="PAT-3063"/>
    <s v="Linda Lopez"/>
    <x v="0"/>
    <x v="6"/>
    <x v="4"/>
    <n v="45836"/>
    <x v="3"/>
    <x v="4"/>
    <n v="1394"/>
    <n v="1300"/>
    <n v="2979"/>
    <n v="2439"/>
    <n v="8112"/>
    <d v="2025-07-22T00:00:00"/>
    <x v="46"/>
    <x v="0"/>
    <n v="4721"/>
    <n v="3391"/>
    <x v="2"/>
    <x v="7"/>
    <n v="2025"/>
  </r>
  <r>
    <s v="PAT-3064"/>
    <s v="Jennifer Jackson"/>
    <x v="3"/>
    <x v="7"/>
    <x v="0"/>
    <n v="45788"/>
    <x v="0"/>
    <x v="1"/>
    <n v="1275"/>
    <n v="2000"/>
    <n v="1600"/>
    <n v="1723"/>
    <n v="6598"/>
    <d v="2025-06-16T00:00:00"/>
    <x v="47"/>
    <x v="1"/>
    <n v="0"/>
    <n v="6598"/>
    <x v="2"/>
    <x v="9"/>
    <n v="2025"/>
  </r>
  <r>
    <s v="PAT-3065"/>
    <s v="Betty Garcia"/>
    <x v="0"/>
    <x v="6"/>
    <x v="2"/>
    <n v="45921"/>
    <x v="1"/>
    <x v="3"/>
    <n v="1850"/>
    <n v="2349"/>
    <n v="1423"/>
    <n v="2267"/>
    <n v="7889"/>
    <d v="2025-11-17T00:00:00"/>
    <x v="1"/>
    <x v="0"/>
    <n v="3760"/>
    <n v="4129"/>
    <x v="3"/>
    <x v="3"/>
    <n v="2025"/>
  </r>
  <r>
    <s v="PAT-3066"/>
    <s v="Kenneth Wilson"/>
    <x v="5"/>
    <x v="4"/>
    <x v="2"/>
    <n v="45747"/>
    <x v="3"/>
    <x v="4"/>
    <n v="1465"/>
    <n v="2157"/>
    <n v="2309"/>
    <n v="2367"/>
    <n v="8298"/>
    <d v="2025-08-20T00:00:00"/>
    <x v="48"/>
    <x v="0"/>
    <n v="5918"/>
    <n v="2380"/>
    <x v="1"/>
    <x v="10"/>
    <n v="2025"/>
  </r>
  <r>
    <s v="PAT-3067"/>
    <s v="Daniel Anderson"/>
    <x v="0"/>
    <x v="5"/>
    <x v="1"/>
    <n v="45812"/>
    <x v="2"/>
    <x v="2"/>
    <n v="1065"/>
    <n v="2090"/>
    <n v="500"/>
    <n v="1420"/>
    <n v="5075"/>
    <d v="2025-10-20T00:00:00"/>
    <x v="49"/>
    <x v="1"/>
    <n v="0"/>
    <n v="5075"/>
    <x v="2"/>
    <x v="7"/>
    <n v="2025"/>
  </r>
  <r>
    <s v="PAT-3068"/>
    <s v="Jessica Young"/>
    <x v="5"/>
    <x v="6"/>
    <x v="0"/>
    <n v="45740"/>
    <x v="1"/>
    <x v="1"/>
    <n v="689"/>
    <n v="1080"/>
    <n v="710"/>
    <n v="1387"/>
    <n v="3866"/>
    <d v="2025-08-16T00:00:00"/>
    <x v="50"/>
    <x v="1"/>
    <n v="0"/>
    <n v="3866"/>
    <x v="2"/>
    <x v="10"/>
    <n v="2025"/>
  </r>
  <r>
    <s v="PAT-3069"/>
    <s v="Michelle Lee"/>
    <x v="4"/>
    <x v="1"/>
    <x v="3"/>
    <n v="45720"/>
    <x v="0"/>
    <x v="0"/>
    <n v="947"/>
    <n v="3059"/>
    <n v="1415"/>
    <n v="1660"/>
    <n v="7081"/>
    <d v="2025-05-09T00:00:00"/>
    <x v="51"/>
    <x v="0"/>
    <n v="7210"/>
    <n v="-129"/>
    <x v="2"/>
    <x v="10"/>
    <n v="2025"/>
  </r>
  <r>
    <s v="PAT-3070"/>
    <s v="Joseph Johnson"/>
    <x v="1"/>
    <x v="3"/>
    <x v="4"/>
    <n v="45689"/>
    <x v="1"/>
    <x v="1"/>
    <n v="1900"/>
    <n v="2634"/>
    <n v="2229"/>
    <n v="1383"/>
    <n v="8146"/>
    <d v="2025-05-21T00:00:00"/>
    <x v="52"/>
    <x v="0"/>
    <n v="4851"/>
    <n v="3295"/>
    <x v="4"/>
    <x v="2"/>
    <n v="2025"/>
  </r>
  <r>
    <s v="PAT-3071"/>
    <s v="Paul White"/>
    <x v="0"/>
    <x v="3"/>
    <x v="4"/>
    <n v="45781"/>
    <x v="3"/>
    <x v="1"/>
    <n v="800"/>
    <n v="2411"/>
    <n v="1585"/>
    <n v="1225"/>
    <n v="6021"/>
    <d v="2025-08-20T00:00:00"/>
    <x v="53"/>
    <x v="1"/>
    <n v="0"/>
    <n v="6021"/>
    <x v="4"/>
    <x v="9"/>
    <n v="2025"/>
  </r>
  <r>
    <s v="PAT-3072"/>
    <s v="Andrew Young"/>
    <x v="4"/>
    <x v="4"/>
    <x v="2"/>
    <n v="45998"/>
    <x v="2"/>
    <x v="1"/>
    <n v="857"/>
    <n v="4671"/>
    <n v="2353"/>
    <n v="1699"/>
    <n v="9580"/>
    <d v="2026-03-31T00:00:00"/>
    <x v="54"/>
    <x v="1"/>
    <n v="0"/>
    <n v="9580"/>
    <x v="0"/>
    <x v="6"/>
    <n v="2025"/>
  </r>
  <r>
    <s v="PAT-3073"/>
    <s v="Michelle Wilson"/>
    <x v="4"/>
    <x v="4"/>
    <x v="1"/>
    <n v="45686"/>
    <x v="0"/>
    <x v="4"/>
    <n v="870"/>
    <n v="1900"/>
    <n v="1009"/>
    <n v="5794"/>
    <n v="9573"/>
    <d v="2025-04-25T00:00:00"/>
    <x v="37"/>
    <x v="0"/>
    <n v="5344"/>
    <n v="4229"/>
    <x v="4"/>
    <x v="8"/>
    <n v="2025"/>
  </r>
  <r>
    <s v="PAT-3074"/>
    <s v="Kenneth White"/>
    <x v="5"/>
    <x v="7"/>
    <x v="3"/>
    <n v="46008"/>
    <x v="1"/>
    <x v="1"/>
    <n v="1358"/>
    <n v="1223"/>
    <n v="2188"/>
    <n v="8148"/>
    <n v="12917"/>
    <d v="2026-02-15T00:00:00"/>
    <x v="55"/>
    <x v="1"/>
    <n v="0"/>
    <n v="12917"/>
    <x v="1"/>
    <x v="6"/>
    <n v="2025"/>
  </r>
  <r>
    <s v="PAT-3075"/>
    <s v="Matthew Clark"/>
    <x v="1"/>
    <x v="1"/>
    <x v="0"/>
    <n v="45867"/>
    <x v="3"/>
    <x v="2"/>
    <n v="2223"/>
    <n v="0"/>
    <n v="1511"/>
    <n v="3384"/>
    <n v="7118"/>
    <d v="2025-12-14T00:00:00"/>
    <x v="49"/>
    <x v="1"/>
    <n v="0"/>
    <n v="7118"/>
    <x v="3"/>
    <x v="1"/>
    <n v="2025"/>
  </r>
  <r>
    <s v="PAT-3076"/>
    <s v="Elizabeth Lewis"/>
    <x v="0"/>
    <x v="6"/>
    <x v="0"/>
    <n v="45996"/>
    <x v="2"/>
    <x v="4"/>
    <n v="800"/>
    <n v="500"/>
    <n v="1000"/>
    <n v="3800"/>
    <n v="6100"/>
    <d v="2026-01-10T00:00:00"/>
    <x v="47"/>
    <x v="0"/>
    <n v="1010"/>
    <n v="5090"/>
    <x v="1"/>
    <x v="6"/>
    <n v="2025"/>
  </r>
  <r>
    <s v="PAT-3077"/>
    <s v="Mary Thomas"/>
    <x v="5"/>
    <x v="6"/>
    <x v="4"/>
    <n v="46005"/>
    <x v="1"/>
    <x v="3"/>
    <n v="679"/>
    <n v="4134"/>
    <n v="522"/>
    <n v="5500"/>
    <n v="10835"/>
    <d v="2026-03-31T00:00:00"/>
    <x v="5"/>
    <x v="0"/>
    <n v="10772"/>
    <n v="63"/>
    <x v="0"/>
    <x v="6"/>
    <n v="2025"/>
  </r>
  <r>
    <s v="PAT-3078"/>
    <s v="Elizabeth Rodriguez"/>
    <x v="3"/>
    <x v="7"/>
    <x v="3"/>
    <n v="45716"/>
    <x v="0"/>
    <x v="3"/>
    <n v="900"/>
    <n v="3191"/>
    <n v="1323"/>
    <n v="5952"/>
    <n v="11366"/>
    <d v="2025-06-15T00:00:00"/>
    <x v="5"/>
    <x v="1"/>
    <n v="0"/>
    <n v="11366"/>
    <x v="3"/>
    <x v="2"/>
    <n v="2025"/>
  </r>
  <r>
    <s v="PAT-3079"/>
    <s v="Michelle Perez"/>
    <x v="1"/>
    <x v="1"/>
    <x v="1"/>
    <n v="45832"/>
    <x v="1"/>
    <x v="1"/>
    <n v="2111"/>
    <n v="600"/>
    <n v="242"/>
    <n v="1067"/>
    <n v="4020"/>
    <d v="2025-07-05T00:00:00"/>
    <x v="56"/>
    <x v="1"/>
    <n v="0"/>
    <n v="4020"/>
    <x v="1"/>
    <x v="7"/>
    <n v="2025"/>
  </r>
  <r>
    <s v="PAT-3080"/>
    <s v="Betty Walker"/>
    <x v="4"/>
    <x v="1"/>
    <x v="2"/>
    <n v="45812"/>
    <x v="3"/>
    <x v="3"/>
    <n v="2249"/>
    <n v="1000"/>
    <n v="2803"/>
    <n v="2017"/>
    <n v="8069"/>
    <d v="2025-06-11T00:00:00"/>
    <x v="57"/>
    <x v="1"/>
    <n v="0"/>
    <n v="8069"/>
    <x v="1"/>
    <x v="7"/>
    <n v="2025"/>
  </r>
  <r>
    <s v="PAT-3081"/>
    <s v="Sarah Jackson"/>
    <x v="0"/>
    <x v="5"/>
    <x v="3"/>
    <n v="45823"/>
    <x v="2"/>
    <x v="4"/>
    <n v="1685"/>
    <n v="4560"/>
    <n v="828"/>
    <n v="2081"/>
    <n v="9154"/>
    <d v="2025-10-16T00:00:00"/>
    <x v="34"/>
    <x v="0"/>
    <n v="10269"/>
    <n v="-1115"/>
    <x v="1"/>
    <x v="7"/>
    <n v="2025"/>
  </r>
  <r>
    <s v="PAT-3082"/>
    <s v="Jessica Thompson"/>
    <x v="4"/>
    <x v="7"/>
    <x v="1"/>
    <n v="45769"/>
    <x v="1"/>
    <x v="3"/>
    <n v="1231"/>
    <n v="4034"/>
    <n v="726"/>
    <n v="866"/>
    <n v="6857"/>
    <d v="2025-07-02T00:00:00"/>
    <x v="21"/>
    <x v="0"/>
    <n v="9967"/>
    <n v="-3110"/>
    <x v="2"/>
    <x v="0"/>
    <n v="2025"/>
  </r>
  <r>
    <s v="PAT-3083"/>
    <s v="Elizabeth Perez"/>
    <x v="4"/>
    <x v="7"/>
    <x v="2"/>
    <n v="45827"/>
    <x v="0"/>
    <x v="0"/>
    <n v="2069"/>
    <n v="1498"/>
    <n v="1571"/>
    <n v="1423"/>
    <n v="6561"/>
    <d v="2025-06-26T00:00:00"/>
    <x v="57"/>
    <x v="0"/>
    <n v="4491"/>
    <n v="2070"/>
    <x v="0"/>
    <x v="7"/>
    <n v="2025"/>
  </r>
  <r>
    <s v="PAT-3084"/>
    <s v="Paul Harris"/>
    <x v="2"/>
    <x v="3"/>
    <x v="4"/>
    <n v="45812"/>
    <x v="3"/>
    <x v="4"/>
    <n v="1077"/>
    <n v="1002"/>
    <n v="548"/>
    <n v="2412"/>
    <n v="5039"/>
    <d v="2025-08-20T00:00:00"/>
    <x v="58"/>
    <x v="0"/>
    <n v="2463"/>
    <n v="2576"/>
    <x v="3"/>
    <x v="7"/>
    <n v="2025"/>
  </r>
  <r>
    <s v="PAT-3085"/>
    <s v="Jessica White"/>
    <x v="2"/>
    <x v="7"/>
    <x v="0"/>
    <n v="45879"/>
    <x v="1"/>
    <x v="1"/>
    <n v="2000"/>
    <n v="4777"/>
    <n v="561"/>
    <n v="2426"/>
    <n v="9764"/>
    <d v="2025-12-06T00:00:00"/>
    <x v="59"/>
    <x v="0"/>
    <n v="5982"/>
    <n v="3782"/>
    <x v="4"/>
    <x v="11"/>
    <n v="2025"/>
  </r>
  <r>
    <s v="PAT-3086"/>
    <s v="Betty Moore"/>
    <x v="5"/>
    <x v="5"/>
    <x v="2"/>
    <n v="45743"/>
    <x v="2"/>
    <x v="5"/>
    <n v="2207"/>
    <n v="4772"/>
    <n v="2465"/>
    <n v="2445"/>
    <n v="11889"/>
    <d v="2025-08-14T00:00:00"/>
    <x v="60"/>
    <x v="1"/>
    <n v="0"/>
    <n v="11889"/>
    <x v="2"/>
    <x v="10"/>
    <n v="2025"/>
  </r>
  <r>
    <s v="PAT-3087"/>
    <s v="Ashley Smith"/>
    <x v="1"/>
    <x v="0"/>
    <x v="0"/>
    <n v="45830"/>
    <x v="0"/>
    <x v="4"/>
    <n v="685"/>
    <n v="1500"/>
    <n v="2872"/>
    <n v="1486"/>
    <n v="6543"/>
    <d v="2025-06-29T00:00:00"/>
    <x v="57"/>
    <x v="0"/>
    <n v="1493"/>
    <n v="5050"/>
    <x v="1"/>
    <x v="7"/>
    <n v="2025"/>
  </r>
  <r>
    <s v="PAT-3088"/>
    <s v="Mark Moore"/>
    <x v="2"/>
    <x v="2"/>
    <x v="4"/>
    <n v="45858"/>
    <x v="1"/>
    <x v="2"/>
    <n v="906"/>
    <n v="3733"/>
    <n v="2045"/>
    <n v="943"/>
    <n v="7627"/>
    <d v="2025-09-18T00:00:00"/>
    <x v="55"/>
    <x v="0"/>
    <n v="2881"/>
    <n v="4746"/>
    <x v="4"/>
    <x v="1"/>
    <n v="2025"/>
  </r>
  <r>
    <s v="PAT-3089"/>
    <s v="Carol Hernandez"/>
    <x v="1"/>
    <x v="1"/>
    <x v="3"/>
    <n v="45762"/>
    <x v="3"/>
    <x v="2"/>
    <n v="1550"/>
    <n v="3518"/>
    <n v="2077"/>
    <n v="2308"/>
    <n v="9453"/>
    <d v="2025-08-26T00:00:00"/>
    <x v="61"/>
    <x v="0"/>
    <n v="5045"/>
    <n v="4408"/>
    <x v="1"/>
    <x v="0"/>
    <n v="2025"/>
  </r>
  <r>
    <s v="PAT-3090"/>
    <s v="Barbara Taylor"/>
    <x v="0"/>
    <x v="0"/>
    <x v="1"/>
    <n v="45919"/>
    <x v="2"/>
    <x v="5"/>
    <n v="2336"/>
    <n v="4818"/>
    <n v="2914"/>
    <n v="1056"/>
    <n v="11124"/>
    <d v="2025-11-11T00:00:00"/>
    <x v="35"/>
    <x v="1"/>
    <n v="0"/>
    <n v="11124"/>
    <x v="1"/>
    <x v="3"/>
    <n v="2025"/>
  </r>
  <r>
    <s v="PAT-3091"/>
    <s v="Lisa Brown"/>
    <x v="5"/>
    <x v="6"/>
    <x v="1"/>
    <n v="45749"/>
    <x v="1"/>
    <x v="5"/>
    <n v="1851"/>
    <n v="4379"/>
    <n v="2070"/>
    <n v="1885"/>
    <n v="10185"/>
    <d v="2025-06-19T00:00:00"/>
    <x v="62"/>
    <x v="0"/>
    <n v="15338"/>
    <n v="-5153"/>
    <x v="0"/>
    <x v="0"/>
    <n v="2025"/>
  </r>
  <r>
    <s v="PAT-3092"/>
    <s v="Barbara Walker"/>
    <x v="0"/>
    <x v="0"/>
    <x v="3"/>
    <n v="45757"/>
    <x v="0"/>
    <x v="5"/>
    <n v="2372"/>
    <n v="3418"/>
    <n v="573"/>
    <n v="1597"/>
    <n v="7960"/>
    <d v="2025-06-09T00:00:00"/>
    <x v="55"/>
    <x v="0"/>
    <n v="10103"/>
    <n v="-2143"/>
    <x v="2"/>
    <x v="0"/>
    <n v="2025"/>
  </r>
  <r>
    <s v="PAT-3093"/>
    <s v="Thomas Hernandez"/>
    <x v="2"/>
    <x v="3"/>
    <x v="2"/>
    <n v="45913"/>
    <x v="1"/>
    <x v="4"/>
    <n v="1925"/>
    <n v="3722"/>
    <n v="1548"/>
    <n v="2306"/>
    <n v="9501"/>
    <d v="2025-12-06T00:00:00"/>
    <x v="63"/>
    <x v="0"/>
    <n v="15125"/>
    <n v="-5624"/>
    <x v="2"/>
    <x v="3"/>
    <n v="2025"/>
  </r>
  <r>
    <s v="PAT-3094"/>
    <s v="Sarah Young"/>
    <x v="5"/>
    <x v="5"/>
    <x v="0"/>
    <n v="45991"/>
    <x v="3"/>
    <x v="0"/>
    <n v="1083"/>
    <n v="2275"/>
    <n v="1949"/>
    <n v="5340"/>
    <n v="10647"/>
    <d v="2026-02-09T00:00:00"/>
    <x v="21"/>
    <x v="1"/>
    <n v="0"/>
    <n v="10647"/>
    <x v="1"/>
    <x v="4"/>
    <n v="2025"/>
  </r>
  <r>
    <s v="PAT-3095"/>
    <s v="David Anderson"/>
    <x v="2"/>
    <x v="3"/>
    <x v="4"/>
    <n v="45911"/>
    <x v="2"/>
    <x v="2"/>
    <n v="1854"/>
    <n v="4061"/>
    <n v="1162"/>
    <n v="8275"/>
    <n v="15352"/>
    <d v="2025-11-20T00:00:00"/>
    <x v="6"/>
    <x v="1"/>
    <n v="0"/>
    <n v="15352"/>
    <x v="4"/>
    <x v="3"/>
    <n v="2025"/>
  </r>
  <r>
    <s v="PAT-3096"/>
    <s v="Mark Thompson"/>
    <x v="1"/>
    <x v="6"/>
    <x v="4"/>
    <n v="45834"/>
    <x v="1"/>
    <x v="2"/>
    <n v="2426"/>
    <n v="1740"/>
    <n v="1644"/>
    <n v="5522"/>
    <n v="11332"/>
    <d v="2025-09-24T00:00:00"/>
    <x v="64"/>
    <x v="0"/>
    <n v="2146"/>
    <n v="9186"/>
    <x v="3"/>
    <x v="7"/>
    <n v="2025"/>
  </r>
  <r>
    <s v="PAT-3097"/>
    <s v="Daniel Garcia"/>
    <x v="3"/>
    <x v="7"/>
    <x v="1"/>
    <n v="45811"/>
    <x v="0"/>
    <x v="5"/>
    <n v="551"/>
    <n v="1133"/>
    <n v="2029"/>
    <n v="8405"/>
    <n v="12118"/>
    <d v="2025-07-27T00:00:00"/>
    <x v="65"/>
    <x v="0"/>
    <n v="2899"/>
    <n v="9219"/>
    <x v="3"/>
    <x v="7"/>
    <n v="2025"/>
  </r>
  <r>
    <s v="PAT-3098"/>
    <s v="Michael Ramirez"/>
    <x v="0"/>
    <x v="5"/>
    <x v="0"/>
    <n v="45790"/>
    <x v="3"/>
    <x v="3"/>
    <n v="2022"/>
    <n v="1400"/>
    <n v="709"/>
    <n v="1021"/>
    <n v="5152"/>
    <d v="2025-06-01T00:00:00"/>
    <x v="31"/>
    <x v="1"/>
    <n v="0"/>
    <n v="5152"/>
    <x v="1"/>
    <x v="9"/>
    <n v="2025"/>
  </r>
  <r>
    <s v="PAT-3099"/>
    <s v="Linda Robinson"/>
    <x v="3"/>
    <x v="7"/>
    <x v="2"/>
    <n v="45743"/>
    <x v="1"/>
    <x v="0"/>
    <n v="1598"/>
    <n v="582"/>
    <n v="597"/>
    <n v="1899"/>
    <n v="4676"/>
    <d v="2025-05-03T00:00:00"/>
    <x v="66"/>
    <x v="0"/>
    <n v="1740"/>
    <n v="2936"/>
    <x v="3"/>
    <x v="10"/>
    <n v="2025"/>
  </r>
  <r>
    <s v="PAT-3100"/>
    <s v="Jennifer Martinez"/>
    <x v="2"/>
    <x v="6"/>
    <x v="3"/>
    <n v="45754"/>
    <x v="2"/>
    <x v="3"/>
    <n v="549"/>
    <n v="2369"/>
    <n v="2085"/>
    <n v="2187"/>
    <n v="7190"/>
    <d v="2025-08-23T00:00:00"/>
    <x v="49"/>
    <x v="1"/>
    <n v="0"/>
    <n v="7190"/>
    <x v="0"/>
    <x v="0"/>
    <n v="2025"/>
  </r>
  <r>
    <s v="PAT-3101"/>
    <s v="Matthew Williams"/>
    <x v="1"/>
    <x v="3"/>
    <x v="0"/>
    <n v="45797"/>
    <x v="0"/>
    <x v="5"/>
    <n v="710"/>
    <n v="698"/>
    <n v="2010"/>
    <n v="2208"/>
    <n v="5626"/>
    <d v="2025-07-29T00:00:00"/>
    <x v="6"/>
    <x v="1"/>
    <n v="0"/>
    <n v="5626"/>
    <x v="3"/>
    <x v="9"/>
    <n v="2025"/>
  </r>
  <r>
    <s v="PAT-3102"/>
    <s v="Paul Robinson"/>
    <x v="5"/>
    <x v="5"/>
    <x v="3"/>
    <n v="45943"/>
    <x v="1"/>
    <x v="5"/>
    <n v="2228"/>
    <n v="3628"/>
    <n v="2944"/>
    <n v="2485"/>
    <n v="11285"/>
    <d v="2025-12-02T00:00:00"/>
    <x v="67"/>
    <x v="0"/>
    <n v="2610"/>
    <n v="8675"/>
    <x v="4"/>
    <x v="5"/>
    <n v="2025"/>
  </r>
  <r>
    <s v="PAT-3103"/>
    <s v="David Walker"/>
    <x v="4"/>
    <x v="4"/>
    <x v="1"/>
    <n v="45821"/>
    <x v="3"/>
    <x v="5"/>
    <n v="1897"/>
    <n v="991"/>
    <n v="2210"/>
    <n v="892"/>
    <n v="5990"/>
    <d v="2025-11-03T00:00:00"/>
    <x v="68"/>
    <x v="1"/>
    <n v="0"/>
    <n v="5990"/>
    <x v="0"/>
    <x v="7"/>
    <n v="2025"/>
  </r>
  <r>
    <s v="PAT-3104"/>
    <s v="Daniel White"/>
    <x v="2"/>
    <x v="3"/>
    <x v="2"/>
    <n v="45729"/>
    <x v="2"/>
    <x v="5"/>
    <n v="1000"/>
    <n v="3100"/>
    <n v="1250"/>
    <n v="2406"/>
    <n v="7756"/>
    <d v="2025-04-27T00:00:00"/>
    <x v="69"/>
    <x v="1"/>
    <n v="0"/>
    <n v="7756"/>
    <x v="4"/>
    <x v="10"/>
    <n v="2025"/>
  </r>
  <r>
    <s v="PAT-3105"/>
    <s v="Daniel Walker"/>
    <x v="5"/>
    <x v="5"/>
    <x v="4"/>
    <n v="45728"/>
    <x v="1"/>
    <x v="4"/>
    <n v="917"/>
    <n v="1600"/>
    <n v="2735"/>
    <n v="1831"/>
    <n v="7083"/>
    <d v="2025-03-22T00:00:00"/>
    <x v="70"/>
    <x v="1"/>
    <n v="0"/>
    <n v="7083"/>
    <x v="0"/>
    <x v="10"/>
    <n v="2025"/>
  </r>
  <r>
    <s v="PAT-3106"/>
    <s v="Lisa Anderson"/>
    <x v="1"/>
    <x v="2"/>
    <x v="3"/>
    <n v="45860"/>
    <x v="0"/>
    <x v="2"/>
    <n v="800"/>
    <n v="1727"/>
    <n v="1650"/>
    <n v="2107"/>
    <n v="6284"/>
    <d v="2025-08-20T00:00:00"/>
    <x v="71"/>
    <x v="0"/>
    <n v="3461"/>
    <n v="2823"/>
    <x v="1"/>
    <x v="1"/>
    <n v="2025"/>
  </r>
  <r>
    <s v="PAT-3107"/>
    <s v="Steven Clark"/>
    <x v="0"/>
    <x v="5"/>
    <x v="4"/>
    <n v="45773"/>
    <x v="1"/>
    <x v="5"/>
    <n v="1453"/>
    <n v="2495"/>
    <n v="1701"/>
    <n v="1030"/>
    <n v="6679"/>
    <d v="2025-08-12T00:00:00"/>
    <x v="53"/>
    <x v="1"/>
    <n v="0"/>
    <n v="6679"/>
    <x v="2"/>
    <x v="0"/>
    <n v="2025"/>
  </r>
  <r>
    <s v="PAT-3108"/>
    <s v="Daniel Anderson"/>
    <x v="3"/>
    <x v="7"/>
    <x v="0"/>
    <n v="45985"/>
    <x v="3"/>
    <x v="3"/>
    <n v="1332"/>
    <n v="3962"/>
    <n v="2562"/>
    <n v="2310"/>
    <n v="10166"/>
    <d v="2026-02-01T00:00:00"/>
    <x v="45"/>
    <x v="0"/>
    <n v="15002"/>
    <n v="-4836"/>
    <x v="4"/>
    <x v="4"/>
    <n v="2025"/>
  </r>
  <r>
    <s v="PAT-3109"/>
    <s v="William Brown"/>
    <x v="2"/>
    <x v="6"/>
    <x v="2"/>
    <n v="46018"/>
    <x v="2"/>
    <x v="1"/>
    <n v="2055"/>
    <n v="3179"/>
    <n v="2164"/>
    <n v="2057"/>
    <n v="9455"/>
    <d v="2026-03-31T00:00:00"/>
    <x v="12"/>
    <x v="0"/>
    <n v="1906"/>
    <n v="7549"/>
    <x v="2"/>
    <x v="6"/>
    <n v="2025"/>
  </r>
  <r>
    <s v="PAT-3110"/>
    <s v="Christopher Davis"/>
    <x v="1"/>
    <x v="1"/>
    <x v="1"/>
    <n v="45988"/>
    <x v="1"/>
    <x v="4"/>
    <n v="2073"/>
    <n v="3873"/>
    <n v="292"/>
    <n v="941"/>
    <n v="7179"/>
    <d v="2026-02-21T00:00:00"/>
    <x v="37"/>
    <x v="1"/>
    <n v="0"/>
    <n v="7179"/>
    <x v="2"/>
    <x v="4"/>
    <n v="2025"/>
  </r>
  <r>
    <s v="PAT-3111"/>
    <s v="Joseph Williams"/>
    <x v="3"/>
    <x v="0"/>
    <x v="2"/>
    <n v="45679"/>
    <x v="0"/>
    <x v="1"/>
    <n v="1655"/>
    <n v="0"/>
    <n v="2413"/>
    <n v="1107"/>
    <n v="5175"/>
    <d v="2025-05-01T00:00:00"/>
    <x v="72"/>
    <x v="0"/>
    <n v="1119"/>
    <n v="4056"/>
    <x v="4"/>
    <x v="8"/>
    <n v="2025"/>
  </r>
  <r>
    <s v="PAT-3112"/>
    <s v="Sandra Jackson"/>
    <x v="1"/>
    <x v="1"/>
    <x v="1"/>
    <n v="45945"/>
    <x v="3"/>
    <x v="2"/>
    <n v="1106"/>
    <n v="700"/>
    <n v="457"/>
    <n v="1669"/>
    <n v="3932"/>
    <d v="2025-11-01T00:00:00"/>
    <x v="73"/>
    <x v="1"/>
    <n v="0"/>
    <n v="3932"/>
    <x v="3"/>
    <x v="5"/>
    <n v="2025"/>
  </r>
  <r>
    <s v="PAT-3113"/>
    <s v="Sandra Moore"/>
    <x v="3"/>
    <x v="7"/>
    <x v="4"/>
    <n v="45924"/>
    <x v="1"/>
    <x v="0"/>
    <n v="1918"/>
    <n v="1112"/>
    <n v="1426"/>
    <n v="1757"/>
    <n v="6213"/>
    <d v="2025-12-31T00:00:00"/>
    <x v="74"/>
    <x v="0"/>
    <n v="3857"/>
    <n v="2356"/>
    <x v="2"/>
    <x v="3"/>
    <n v="2025"/>
  </r>
  <r>
    <s v="PAT-3114"/>
    <s v="Karen Anderson"/>
    <x v="1"/>
    <x v="2"/>
    <x v="3"/>
    <n v="45970"/>
    <x v="2"/>
    <x v="3"/>
    <n v="2399"/>
    <n v="1260"/>
    <n v="1189"/>
    <n v="3972"/>
    <n v="8820"/>
    <d v="2026-03-20T00:00:00"/>
    <x v="75"/>
    <x v="1"/>
    <n v="0"/>
    <n v="8820"/>
    <x v="1"/>
    <x v="4"/>
    <n v="2025"/>
  </r>
  <r>
    <s v="PAT-3115"/>
    <s v="Paul Lopez"/>
    <x v="4"/>
    <x v="2"/>
    <x v="0"/>
    <n v="45682"/>
    <x v="0"/>
    <x v="0"/>
    <n v="1385"/>
    <n v="3064"/>
    <n v="2577"/>
    <n v="2760"/>
    <n v="9786"/>
    <d v="2025-04-17T00:00:00"/>
    <x v="76"/>
    <x v="0"/>
    <n v="3697"/>
    <n v="6089"/>
    <x v="4"/>
    <x v="8"/>
    <n v="2025"/>
  </r>
  <r>
    <s v="PAT-3116"/>
    <s v="Lisa Johnson"/>
    <x v="2"/>
    <x v="6"/>
    <x v="1"/>
    <n v="45969"/>
    <x v="1"/>
    <x v="0"/>
    <n v="1387"/>
    <n v="1207"/>
    <n v="1096"/>
    <n v="2323"/>
    <n v="6013"/>
    <d v="2026-03-23T00:00:00"/>
    <x v="77"/>
    <x v="0"/>
    <n v="5716"/>
    <n v="297"/>
    <x v="3"/>
    <x v="4"/>
    <n v="2025"/>
  </r>
  <r>
    <s v="PAT-3117"/>
    <s v="Kenneth Garcia"/>
    <x v="1"/>
    <x v="0"/>
    <x v="0"/>
    <n v="45672"/>
    <x v="3"/>
    <x v="2"/>
    <n v="1115"/>
    <n v="1630"/>
    <n v="1380"/>
    <n v="3709"/>
    <n v="7834"/>
    <d v="2025-04-22T00:00:00"/>
    <x v="78"/>
    <x v="0"/>
    <n v="7462"/>
    <n v="372"/>
    <x v="4"/>
    <x v="8"/>
    <n v="2025"/>
  </r>
  <r>
    <s v="PAT-3118"/>
    <s v="Emily Williams"/>
    <x v="3"/>
    <x v="2"/>
    <x v="2"/>
    <n v="45812"/>
    <x v="2"/>
    <x v="5"/>
    <n v="727"/>
    <n v="3745"/>
    <n v="2360"/>
    <n v="8919"/>
    <n v="15751"/>
    <d v="2025-09-12T00:00:00"/>
    <x v="79"/>
    <x v="0"/>
    <n v="12221"/>
    <n v="3530"/>
    <x v="4"/>
    <x v="7"/>
    <n v="2025"/>
  </r>
  <r>
    <s v="PAT-3119"/>
    <s v="Sandra Young"/>
    <x v="4"/>
    <x v="4"/>
    <x v="3"/>
    <n v="45915"/>
    <x v="1"/>
    <x v="0"/>
    <n v="700"/>
    <n v="1458"/>
    <n v="922"/>
    <n v="1125"/>
    <n v="4205"/>
    <d v="2025-12-31T00:00:00"/>
    <x v="5"/>
    <x v="1"/>
    <n v="0"/>
    <n v="4205"/>
    <x v="4"/>
    <x v="3"/>
    <n v="2025"/>
  </r>
  <r>
    <s v="PAT-3120"/>
    <s v="Robert Moore"/>
    <x v="4"/>
    <x v="7"/>
    <x v="4"/>
    <n v="46011"/>
    <x v="0"/>
    <x v="0"/>
    <n v="1219"/>
    <n v="3089"/>
    <n v="208"/>
    <n v="5655"/>
    <n v="10171"/>
    <d v="2026-03-11T00:00:00"/>
    <x v="80"/>
    <x v="1"/>
    <n v="0"/>
    <n v="10171"/>
    <x v="2"/>
    <x v="6"/>
    <n v="2025"/>
  </r>
  <r>
    <s v="PAT-3121"/>
    <s v="Kenneth Perez"/>
    <x v="2"/>
    <x v="3"/>
    <x v="4"/>
    <n v="45920"/>
    <x v="1"/>
    <x v="0"/>
    <n v="522"/>
    <n v="2300"/>
    <n v="1750"/>
    <n v="3389"/>
    <n v="7961"/>
    <d v="2025-10-22T00:00:00"/>
    <x v="81"/>
    <x v="1"/>
    <n v="0"/>
    <n v="7961"/>
    <x v="2"/>
    <x v="3"/>
    <n v="2025"/>
  </r>
  <r>
    <s v="PAT-3122"/>
    <s v="Kevin Lewis"/>
    <x v="3"/>
    <x v="7"/>
    <x v="2"/>
    <n v="45713"/>
    <x v="3"/>
    <x v="0"/>
    <n v="1804"/>
    <n v="500"/>
    <n v="308"/>
    <n v="1030"/>
    <n v="3642"/>
    <d v="2025-03-04T00:00:00"/>
    <x v="57"/>
    <x v="0"/>
    <n v="1850"/>
    <n v="1792"/>
    <x v="4"/>
    <x v="2"/>
    <n v="2025"/>
  </r>
  <r>
    <s v="PAT-3123"/>
    <s v="Christopher Lewis"/>
    <x v="0"/>
    <x v="0"/>
    <x v="0"/>
    <n v="45820"/>
    <x v="2"/>
    <x v="3"/>
    <n v="769"/>
    <n v="3682"/>
    <n v="2820"/>
    <n v="2310"/>
    <n v="9581"/>
    <d v="2025-09-16T00:00:00"/>
    <x v="82"/>
    <x v="1"/>
    <n v="0"/>
    <n v="9581"/>
    <x v="3"/>
    <x v="7"/>
    <n v="2025"/>
  </r>
  <r>
    <s v="PAT-3124"/>
    <s v="Kenneth Williams"/>
    <x v="5"/>
    <x v="6"/>
    <x v="1"/>
    <n v="45977"/>
    <x v="1"/>
    <x v="5"/>
    <n v="1320"/>
    <n v="656"/>
    <n v="1950"/>
    <n v="2057"/>
    <n v="5983"/>
    <d v="2025-12-24T00:00:00"/>
    <x v="83"/>
    <x v="0"/>
    <n v="3205"/>
    <n v="2778"/>
    <x v="4"/>
    <x v="4"/>
    <n v="2025"/>
  </r>
  <r>
    <s v="PAT-3125"/>
    <s v="Betty Walker"/>
    <x v="1"/>
    <x v="1"/>
    <x v="3"/>
    <n v="45834"/>
    <x v="0"/>
    <x v="1"/>
    <n v="1653"/>
    <n v="650"/>
    <n v="1648"/>
    <n v="941"/>
    <n v="4892"/>
    <d v="2025-07-16T00:00:00"/>
    <x v="84"/>
    <x v="0"/>
    <n v="1525"/>
    <n v="3367"/>
    <x v="4"/>
    <x v="7"/>
    <n v="2025"/>
  </r>
  <r>
    <s v="PAT-3126"/>
    <s v="Linda Walker"/>
    <x v="5"/>
    <x v="6"/>
    <x v="3"/>
    <n v="46019"/>
    <x v="3"/>
    <x v="3"/>
    <n v="1813"/>
    <n v="3915"/>
    <n v="1387"/>
    <n v="1107"/>
    <n v="8222"/>
    <d v="2026-03-31T00:00:00"/>
    <x v="85"/>
    <x v="0"/>
    <n v="15956"/>
    <n v="-7734"/>
    <x v="3"/>
    <x v="6"/>
    <n v="2025"/>
  </r>
  <r>
    <s v="PAT-3127"/>
    <s v="Sarah Davis"/>
    <x v="3"/>
    <x v="7"/>
    <x v="4"/>
    <n v="45777"/>
    <x v="1"/>
    <x v="5"/>
    <n v="563"/>
    <n v="4520"/>
    <n v="2526"/>
    <n v="1669"/>
    <n v="9278"/>
    <d v="2025-08-30T00:00:00"/>
    <x v="30"/>
    <x v="1"/>
    <n v="0"/>
    <n v="9278"/>
    <x v="1"/>
    <x v="0"/>
    <n v="2025"/>
  </r>
  <r>
    <s v="PAT-3128"/>
    <s v="Jennifer Clark"/>
    <x v="1"/>
    <x v="1"/>
    <x v="1"/>
    <n v="45869"/>
    <x v="2"/>
    <x v="0"/>
    <n v="989"/>
    <n v="4760"/>
    <n v="1339"/>
    <n v="1757"/>
    <n v="8845"/>
    <d v="2025-10-23T00:00:00"/>
    <x v="63"/>
    <x v="1"/>
    <n v="0"/>
    <n v="8845"/>
    <x v="1"/>
    <x v="1"/>
    <n v="2025"/>
  </r>
  <r>
    <s v="PAT-3129"/>
    <s v="Sarah Hernandez"/>
    <x v="0"/>
    <x v="0"/>
    <x v="2"/>
    <n v="45994"/>
    <x v="0"/>
    <x v="4"/>
    <n v="1108"/>
    <n v="3050"/>
    <n v="734"/>
    <n v="962"/>
    <n v="5854"/>
    <d v="2026-02-25T00:00:00"/>
    <x v="63"/>
    <x v="1"/>
    <n v="0"/>
    <n v="5854"/>
    <x v="4"/>
    <x v="6"/>
    <n v="2025"/>
  </r>
  <r>
    <s v="PAT-3130"/>
    <s v="Elizabeth Garcia"/>
    <x v="2"/>
    <x v="1"/>
    <x v="0"/>
    <n v="45867"/>
    <x v="1"/>
    <x v="4"/>
    <n v="886"/>
    <n v="1750"/>
    <n v="1308"/>
    <n v="2178"/>
    <n v="6122"/>
    <d v="2025-09-05T00:00:00"/>
    <x v="83"/>
    <x v="0"/>
    <n v="4500"/>
    <n v="1622"/>
    <x v="0"/>
    <x v="1"/>
    <n v="2025"/>
  </r>
  <r>
    <s v="PAT-3131"/>
    <s v="Karen Moore"/>
    <x v="5"/>
    <x v="6"/>
    <x v="0"/>
    <n v="45835"/>
    <x v="3"/>
    <x v="1"/>
    <n v="619"/>
    <n v="2518"/>
    <n v="2305"/>
    <n v="3167"/>
    <n v="8609"/>
    <d v="2025-08-25T00:00:00"/>
    <x v="86"/>
    <x v="0"/>
    <n v="2332"/>
    <n v="6277"/>
    <x v="2"/>
    <x v="7"/>
    <n v="2025"/>
  </r>
  <r>
    <s v="PAT-3132"/>
    <s v="James Davis"/>
    <x v="5"/>
    <x v="5"/>
    <x v="2"/>
    <n v="45690"/>
    <x v="2"/>
    <x v="2"/>
    <n v="1212"/>
    <n v="1382"/>
    <n v="2002"/>
    <n v="1282"/>
    <n v="5878"/>
    <d v="2025-05-24T00:00:00"/>
    <x v="14"/>
    <x v="1"/>
    <n v="0"/>
    <n v="5878"/>
    <x v="1"/>
    <x v="2"/>
    <n v="2025"/>
  </r>
  <r>
    <s v="PAT-3133"/>
    <s v="Joshua Martin"/>
    <x v="3"/>
    <x v="7"/>
    <x v="3"/>
    <n v="45873"/>
    <x v="1"/>
    <x v="0"/>
    <n v="1000"/>
    <n v="1978"/>
    <n v="2455"/>
    <n v="3012"/>
    <n v="8445"/>
    <d v="2025-11-27T00:00:00"/>
    <x v="87"/>
    <x v="0"/>
    <n v="4144"/>
    <n v="4301"/>
    <x v="1"/>
    <x v="11"/>
    <n v="2025"/>
  </r>
  <r>
    <s v="PAT-3134"/>
    <s v="Susan White"/>
    <x v="0"/>
    <x v="3"/>
    <x v="4"/>
    <n v="45883"/>
    <x v="0"/>
    <x v="5"/>
    <n v="2434"/>
    <n v="850"/>
    <n v="540"/>
    <n v="1764"/>
    <n v="5588"/>
    <d v="2025-08-29T00:00:00"/>
    <x v="88"/>
    <x v="1"/>
    <n v="0"/>
    <n v="5588"/>
    <x v="3"/>
    <x v="11"/>
    <n v="2025"/>
  </r>
  <r>
    <s v="PAT-3135"/>
    <s v="Jessica Harris"/>
    <x v="0"/>
    <x v="6"/>
    <x v="1"/>
    <n v="45731"/>
    <x v="1"/>
    <x v="4"/>
    <n v="2000"/>
    <n v="2500"/>
    <n v="2800"/>
    <n v="2291"/>
    <n v="9591"/>
    <d v="2025-04-24T00:00:00"/>
    <x v="89"/>
    <x v="0"/>
    <n v="6000"/>
    <n v="3591"/>
    <x v="2"/>
    <x v="10"/>
    <n v="2025"/>
  </r>
  <r>
    <s v="PAT-3136"/>
    <s v="James Brown"/>
    <x v="4"/>
    <x v="4"/>
    <x v="1"/>
    <n v="45708"/>
    <x v="3"/>
    <x v="3"/>
    <n v="1200"/>
    <n v="4970"/>
    <n v="2317"/>
    <n v="2017"/>
    <n v="10504"/>
    <d v="2025-06-08T00:00:00"/>
    <x v="53"/>
    <x v="1"/>
    <n v="0"/>
    <n v="10504"/>
    <x v="4"/>
    <x v="2"/>
    <n v="2025"/>
  </r>
  <r>
    <s v="PAT-3137"/>
    <s v="Jessica Lopez"/>
    <x v="2"/>
    <x v="1"/>
    <x v="4"/>
    <n v="45663"/>
    <x v="2"/>
    <x v="0"/>
    <n v="1612"/>
    <n v="1680"/>
    <n v="2085"/>
    <n v="2132"/>
    <n v="7509"/>
    <d v="2025-02-13T00:00:00"/>
    <x v="83"/>
    <x v="1"/>
    <n v="0"/>
    <n v="7509"/>
    <x v="3"/>
    <x v="8"/>
    <n v="2025"/>
  </r>
  <r>
    <s v="PAT-3138"/>
    <s v="Mary Robinson"/>
    <x v="0"/>
    <x v="0"/>
    <x v="3"/>
    <n v="45685"/>
    <x v="1"/>
    <x v="3"/>
    <n v="1302"/>
    <n v="1760"/>
    <n v="1830"/>
    <n v="2331"/>
    <n v="7223"/>
    <d v="2025-03-10T00:00:00"/>
    <x v="28"/>
    <x v="0"/>
    <n v="1000"/>
    <n v="6223"/>
    <x v="3"/>
    <x v="8"/>
    <n v="2025"/>
  </r>
  <r>
    <s v="PAT-3139"/>
    <s v="Matthew Davis"/>
    <x v="2"/>
    <x v="3"/>
    <x v="0"/>
    <n v="45869"/>
    <x v="0"/>
    <x v="3"/>
    <n v="727"/>
    <n v="4961"/>
    <n v="2563"/>
    <n v="899"/>
    <n v="9150"/>
    <d v="2025-10-21T00:00:00"/>
    <x v="76"/>
    <x v="0"/>
    <n v="8360"/>
    <n v="790"/>
    <x v="3"/>
    <x v="1"/>
    <n v="2025"/>
  </r>
  <r>
    <s v="PAT-3140"/>
    <s v="Christopher Wilson"/>
    <x v="2"/>
    <x v="3"/>
    <x v="2"/>
    <n v="45985"/>
    <x v="3"/>
    <x v="4"/>
    <n v="510"/>
    <n v="3483"/>
    <n v="1506"/>
    <n v="2225"/>
    <n v="7724"/>
    <d v="2026-03-31T00:00:00"/>
    <x v="90"/>
    <x v="1"/>
    <n v="0"/>
    <n v="7724"/>
    <x v="2"/>
    <x v="4"/>
    <n v="2025"/>
  </r>
  <r>
    <s v="PAT-3141"/>
    <s v="Karen Williams"/>
    <x v="2"/>
    <x v="3"/>
    <x v="2"/>
    <n v="46000"/>
    <x v="1"/>
    <x v="5"/>
    <n v="1102"/>
    <n v="1840"/>
    <n v="694"/>
    <n v="1313"/>
    <n v="4949"/>
    <d v="2026-03-31T00:00:00"/>
    <x v="91"/>
    <x v="1"/>
    <n v="0"/>
    <n v="4949"/>
    <x v="0"/>
    <x v="6"/>
    <n v="2025"/>
  </r>
  <r>
    <s v="PAT-3142"/>
    <s v="Jennifer Smith"/>
    <x v="2"/>
    <x v="1"/>
    <x v="3"/>
    <n v="45783"/>
    <x v="2"/>
    <x v="3"/>
    <n v="1747"/>
    <n v="0"/>
    <n v="1252"/>
    <n v="2439"/>
    <n v="5438"/>
    <d v="2025-06-27T00:00:00"/>
    <x v="44"/>
    <x v="1"/>
    <n v="0"/>
    <n v="5438"/>
    <x v="3"/>
    <x v="9"/>
    <n v="2025"/>
  </r>
  <r>
    <s v="PAT-3143"/>
    <s v="Matthew Garcia"/>
    <x v="1"/>
    <x v="2"/>
    <x v="4"/>
    <n v="45997"/>
    <x v="0"/>
    <x v="5"/>
    <n v="2442"/>
    <n v="1250"/>
    <n v="1937"/>
    <n v="1723"/>
    <n v="7352"/>
    <d v="2025-12-20T00:00:00"/>
    <x v="92"/>
    <x v="1"/>
    <n v="0"/>
    <n v="7352"/>
    <x v="2"/>
    <x v="6"/>
    <n v="2025"/>
  </r>
  <r>
    <s v="PAT-3144"/>
    <s v="Michelle Thomas"/>
    <x v="0"/>
    <x v="6"/>
    <x v="0"/>
    <n v="45911"/>
    <x v="1"/>
    <x v="0"/>
    <n v="1900"/>
    <n v="890"/>
    <n v="1743"/>
    <n v="3391"/>
    <n v="7924"/>
    <d v="2025-10-17T00:00:00"/>
    <x v="47"/>
    <x v="0"/>
    <n v="424"/>
    <n v="7500"/>
    <x v="4"/>
    <x v="3"/>
    <n v="2025"/>
  </r>
  <r>
    <s v="PAT-3145"/>
    <s v="Robert Miller"/>
    <x v="5"/>
    <x v="6"/>
    <x v="1"/>
    <n v="45701"/>
    <x v="3"/>
    <x v="4"/>
    <n v="1832"/>
    <n v="4907"/>
    <n v="1114"/>
    <n v="9435"/>
    <n v="17288"/>
    <d v="2025-06-09T00:00:00"/>
    <x v="93"/>
    <x v="0"/>
    <n v="2467"/>
    <n v="14821"/>
    <x v="1"/>
    <x v="2"/>
    <n v="2025"/>
  </r>
  <r>
    <s v="PAT-3146"/>
    <s v="Lisa Rodriguez"/>
    <x v="2"/>
    <x v="1"/>
    <x v="4"/>
    <n v="45918"/>
    <x v="2"/>
    <x v="4"/>
    <n v="2469"/>
    <n v="738"/>
    <n v="2470"/>
    <n v="2557"/>
    <n v="8234"/>
    <d v="2025-12-16T00:00:00"/>
    <x v="94"/>
    <x v="1"/>
    <n v="0"/>
    <n v="8234"/>
    <x v="4"/>
    <x v="3"/>
    <n v="2025"/>
  </r>
  <r>
    <s v="PAT-3147"/>
    <s v="Barbara Wilson"/>
    <x v="2"/>
    <x v="6"/>
    <x v="1"/>
    <n v="45969"/>
    <x v="1"/>
    <x v="4"/>
    <n v="1577"/>
    <n v="3295"/>
    <n v="513"/>
    <n v="7104"/>
    <n v="12489"/>
    <d v="2026-01-30T00:00:00"/>
    <x v="95"/>
    <x v="0"/>
    <n v="3310"/>
    <n v="9179"/>
    <x v="1"/>
    <x v="4"/>
    <n v="2025"/>
  </r>
  <r>
    <s v="PAT-3148"/>
    <s v="Barbara Jones"/>
    <x v="1"/>
    <x v="6"/>
    <x v="2"/>
    <n v="45992"/>
    <x v="0"/>
    <x v="0"/>
    <n v="1093"/>
    <n v="3974"/>
    <n v="2190"/>
    <n v="7190"/>
    <n v="14447"/>
    <d v="2026-03-31T00:00:00"/>
    <x v="2"/>
    <x v="0"/>
    <n v="7692"/>
    <n v="6755"/>
    <x v="4"/>
    <x v="6"/>
    <n v="2025"/>
  </r>
  <r>
    <s v="PAT-3149"/>
    <s v="Lisa Williams"/>
    <x v="0"/>
    <x v="4"/>
    <x v="3"/>
    <n v="45975"/>
    <x v="1"/>
    <x v="2"/>
    <n v="579"/>
    <n v="2600"/>
    <n v="440"/>
    <n v="1250"/>
    <n v="4869"/>
    <d v="2025-12-15T00:00:00"/>
    <x v="96"/>
    <x v="0"/>
    <n v="2041"/>
    <n v="2828"/>
    <x v="4"/>
    <x v="4"/>
    <n v="2025"/>
  </r>
  <r>
    <s v="PAT-3150"/>
    <s v="Jennifer Young"/>
    <x v="2"/>
    <x v="1"/>
    <x v="0"/>
    <n v="45753"/>
    <x v="3"/>
    <x v="5"/>
    <n v="804"/>
    <n v="1207"/>
    <n v="1841"/>
    <n v="899"/>
    <n v="4751"/>
    <d v="2025-04-21T00:00:00"/>
    <x v="88"/>
    <x v="0"/>
    <n v="1202"/>
    <n v="3549"/>
    <x v="3"/>
    <x v="0"/>
    <n v="2025"/>
  </r>
  <r>
    <s v="PAT-3151"/>
    <s v="Karen Smith"/>
    <x v="0"/>
    <x v="0"/>
    <x v="3"/>
    <n v="45748"/>
    <x v="2"/>
    <x v="5"/>
    <n v="1000"/>
    <n v="3733"/>
    <n v="733"/>
    <n v="2225"/>
    <n v="7691"/>
    <d v="2025-07-24T00:00:00"/>
    <x v="54"/>
    <x v="0"/>
    <n v="9180"/>
    <n v="-1489"/>
    <x v="4"/>
    <x v="0"/>
    <n v="2025"/>
  </r>
  <r>
    <s v="PAT-3152"/>
    <s v="Mark Smith"/>
    <x v="1"/>
    <x v="6"/>
    <x v="0"/>
    <n v="45910"/>
    <x v="1"/>
    <x v="0"/>
    <n v="1539"/>
    <n v="2665"/>
    <n v="2676"/>
    <n v="1313"/>
    <n v="8193"/>
    <d v="2025-12-17T00:00:00"/>
    <x v="74"/>
    <x v="0"/>
    <n v="4606"/>
    <n v="3587"/>
    <x v="0"/>
    <x v="3"/>
    <n v="2025"/>
  </r>
  <r>
    <s v="PAT-3153"/>
    <s v="Andrew Martinez"/>
    <x v="1"/>
    <x v="3"/>
    <x v="1"/>
    <n v="45686"/>
    <x v="0"/>
    <x v="3"/>
    <n v="1731"/>
    <n v="1741"/>
    <n v="2547"/>
    <n v="2439"/>
    <n v="8458"/>
    <d v="2025-03-27T00:00:00"/>
    <x v="1"/>
    <x v="1"/>
    <n v="0"/>
    <n v="8458"/>
    <x v="1"/>
    <x v="8"/>
    <n v="2025"/>
  </r>
  <r>
    <s v="PAT-3154"/>
    <s v="Betty Williams"/>
    <x v="4"/>
    <x v="1"/>
    <x v="4"/>
    <n v="45662"/>
    <x v="3"/>
    <x v="2"/>
    <n v="887"/>
    <n v="2891"/>
    <n v="1908"/>
    <n v="1723"/>
    <n v="7409"/>
    <d v="2025-04-20T00:00:00"/>
    <x v="27"/>
    <x v="1"/>
    <n v="0"/>
    <n v="7409"/>
    <x v="1"/>
    <x v="8"/>
    <n v="2025"/>
  </r>
  <r>
    <s v="PAT-3155"/>
    <s v="Robert Jones"/>
    <x v="5"/>
    <x v="6"/>
    <x v="2"/>
    <n v="45788"/>
    <x v="1"/>
    <x v="1"/>
    <n v="549"/>
    <n v="2773"/>
    <n v="1194"/>
    <n v="2267"/>
    <n v="6783"/>
    <d v="2025-08-28T00:00:00"/>
    <x v="52"/>
    <x v="1"/>
    <n v="0"/>
    <n v="6783"/>
    <x v="3"/>
    <x v="9"/>
    <n v="2025"/>
  </r>
  <r>
    <s v="PAT-3156"/>
    <s v="David Jones"/>
    <x v="4"/>
    <x v="7"/>
    <x v="2"/>
    <n v="45722"/>
    <x v="2"/>
    <x v="1"/>
    <n v="2335"/>
    <n v="799"/>
    <n v="706"/>
    <n v="2367"/>
    <n v="6207"/>
    <d v="2025-04-26T00:00:00"/>
    <x v="97"/>
    <x v="1"/>
    <n v="0"/>
    <n v="6207"/>
    <x v="0"/>
    <x v="10"/>
    <n v="2025"/>
  </r>
  <r>
    <s v="PAT-3157"/>
    <s v="Richard Ramirez"/>
    <x v="0"/>
    <x v="0"/>
    <x v="4"/>
    <n v="45715"/>
    <x v="0"/>
    <x v="3"/>
    <n v="1244"/>
    <n v="4317"/>
    <n v="1552"/>
    <n v="1420"/>
    <n v="8533"/>
    <d v="2025-05-17T00:00:00"/>
    <x v="98"/>
    <x v="0"/>
    <n v="9791"/>
    <n v="-1258"/>
    <x v="2"/>
    <x v="2"/>
    <n v="2025"/>
  </r>
  <r>
    <s v="PAT-3158"/>
    <s v="Matthew Williams"/>
    <x v="0"/>
    <x v="0"/>
    <x v="3"/>
    <n v="45890"/>
    <x v="1"/>
    <x v="3"/>
    <n v="1684"/>
    <n v="1450"/>
    <n v="2627"/>
    <n v="1387"/>
    <n v="7148"/>
    <d v="2025-09-21T00:00:00"/>
    <x v="96"/>
    <x v="0"/>
    <n v="6231"/>
    <n v="917"/>
    <x v="0"/>
    <x v="11"/>
    <n v="2025"/>
  </r>
  <r>
    <s v="PAT-3159"/>
    <s v="Linda Brown"/>
    <x v="4"/>
    <x v="7"/>
    <x v="1"/>
    <n v="45716"/>
    <x v="3"/>
    <x v="1"/>
    <n v="984"/>
    <n v="1350"/>
    <n v="1073"/>
    <n v="1660"/>
    <n v="5067"/>
    <d v="2025-03-06T00:00:00"/>
    <x v="99"/>
    <x v="0"/>
    <n v="4500"/>
    <n v="567"/>
    <x v="3"/>
    <x v="2"/>
    <n v="2025"/>
  </r>
  <r>
    <s v="PAT-3160"/>
    <s v="Carol Thompson"/>
    <x v="2"/>
    <x v="7"/>
    <x v="0"/>
    <n v="45762"/>
    <x v="2"/>
    <x v="1"/>
    <n v="600"/>
    <n v="554"/>
    <n v="2484"/>
    <n v="7362"/>
    <n v="11000"/>
    <d v="2025-08-09T00:00:00"/>
    <x v="93"/>
    <x v="1"/>
    <n v="0"/>
    <n v="11000"/>
    <x v="0"/>
    <x v="0"/>
    <n v="2025"/>
  </r>
  <r>
    <s v="PAT-3161"/>
    <s v="Joseph Jackson"/>
    <x v="0"/>
    <x v="0"/>
    <x v="0"/>
    <n v="45680"/>
    <x v="1"/>
    <x v="0"/>
    <n v="861"/>
    <n v="2352"/>
    <n v="2251"/>
    <n v="4201"/>
    <n v="9665"/>
    <d v="2025-06-15T00:00:00"/>
    <x v="68"/>
    <x v="0"/>
    <n v="3296"/>
    <n v="6369"/>
    <x v="4"/>
    <x v="8"/>
    <n v="2025"/>
  </r>
  <r>
    <s v="PAT-3162"/>
    <s v="Richard Rodriguez"/>
    <x v="1"/>
    <x v="1"/>
    <x v="1"/>
    <n v="45903"/>
    <x v="0"/>
    <x v="2"/>
    <n v="850"/>
    <n v="500"/>
    <n v="1668"/>
    <n v="3000"/>
    <n v="6018"/>
    <d v="2025-09-30T00:00:00"/>
    <x v="15"/>
    <x v="1"/>
    <n v="0"/>
    <n v="6018"/>
    <x v="3"/>
    <x v="3"/>
    <n v="2025"/>
  </r>
  <r>
    <s v="PAT-3163"/>
    <s v="Karen Smith"/>
    <x v="1"/>
    <x v="1"/>
    <x v="3"/>
    <n v="45691"/>
    <x v="1"/>
    <x v="0"/>
    <n v="1071"/>
    <n v="1500"/>
    <n v="1500"/>
    <n v="4500"/>
    <n v="8571"/>
    <d v="2025-03-14T00:00:00"/>
    <x v="43"/>
    <x v="1"/>
    <n v="0"/>
    <n v="8571"/>
    <x v="4"/>
    <x v="2"/>
    <n v="2025"/>
  </r>
  <r>
    <s v="PAT-3164"/>
    <s v="Elizabeth Williams"/>
    <x v="1"/>
    <x v="1"/>
    <x v="2"/>
    <n v="45808"/>
    <x v="3"/>
    <x v="0"/>
    <n v="1610"/>
    <n v="4637"/>
    <n v="1733"/>
    <n v="8948"/>
    <n v="16928"/>
    <d v="2025-08-10T00:00:00"/>
    <x v="21"/>
    <x v="0"/>
    <n v="2638"/>
    <n v="14290"/>
    <x v="0"/>
    <x v="9"/>
    <n v="2025"/>
  </r>
  <r>
    <s v="PAT-3165"/>
    <s v="Lisa Garcia"/>
    <x v="1"/>
    <x v="1"/>
    <x v="4"/>
    <n v="45792"/>
    <x v="2"/>
    <x v="3"/>
    <n v="1200"/>
    <n v="2687"/>
    <n v="1681"/>
    <n v="6929"/>
    <n v="12497"/>
    <d v="2025-09-21T00:00:00"/>
    <x v="100"/>
    <x v="1"/>
    <n v="0"/>
    <n v="12497"/>
    <x v="1"/>
    <x v="9"/>
    <n v="2025"/>
  </r>
  <r>
    <s v="PAT-3166"/>
    <s v="Ashley Smith"/>
    <x v="0"/>
    <x v="6"/>
    <x v="1"/>
    <n v="45718"/>
    <x v="1"/>
    <x v="5"/>
    <n v="1356"/>
    <n v="3223"/>
    <n v="2336"/>
    <n v="7137"/>
    <n v="14052"/>
    <d v="2025-04-28T00:00:00"/>
    <x v="1"/>
    <x v="1"/>
    <n v="0"/>
    <n v="14052"/>
    <x v="2"/>
    <x v="10"/>
    <n v="2025"/>
  </r>
  <r>
    <s v="PAT-3167"/>
    <s v="Steven Thomas"/>
    <x v="3"/>
    <x v="7"/>
    <x v="2"/>
    <n v="45863"/>
    <x v="0"/>
    <x v="5"/>
    <n v="1066"/>
    <n v="2459"/>
    <n v="506"/>
    <n v="4500"/>
    <n v="8531"/>
    <d v="2025-08-31T00:00:00"/>
    <x v="66"/>
    <x v="0"/>
    <n v="4923"/>
    <n v="3608"/>
    <x v="3"/>
    <x v="1"/>
    <n v="2025"/>
  </r>
  <r>
    <s v="PAT-3168"/>
    <s v="Ashley Wilson"/>
    <x v="1"/>
    <x v="1"/>
    <x v="4"/>
    <n v="45961"/>
    <x v="3"/>
    <x v="0"/>
    <n v="694"/>
    <n v="2584"/>
    <n v="1099"/>
    <n v="5582"/>
    <n v="9959"/>
    <d v="2026-01-03T00:00:00"/>
    <x v="101"/>
    <x v="1"/>
    <n v="0"/>
    <n v="9959"/>
    <x v="2"/>
    <x v="5"/>
    <n v="2025"/>
  </r>
  <r>
    <s v="PAT-3169"/>
    <s v="Carol Garcia"/>
    <x v="3"/>
    <x v="7"/>
    <x v="0"/>
    <n v="45700"/>
    <x v="1"/>
    <x v="0"/>
    <n v="882"/>
    <n v="1800"/>
    <n v="2832"/>
    <n v="1757"/>
    <n v="7271"/>
    <d v="2025-02-21T00:00:00"/>
    <x v="102"/>
    <x v="1"/>
    <n v="0"/>
    <n v="7271"/>
    <x v="1"/>
    <x v="2"/>
    <n v="2025"/>
  </r>
  <r>
    <s v="PAT-3170"/>
    <s v="Richard Williams"/>
    <x v="1"/>
    <x v="3"/>
    <x v="3"/>
    <n v="45849"/>
    <x v="2"/>
    <x v="0"/>
    <n v="2056"/>
    <n v="4639"/>
    <n v="2310"/>
    <n v="962"/>
    <n v="9967"/>
    <d v="2025-09-10T00:00:00"/>
    <x v="103"/>
    <x v="1"/>
    <n v="0"/>
    <n v="9967"/>
    <x v="2"/>
    <x v="1"/>
    <n v="2025"/>
  </r>
  <r>
    <s v="PAT-3171"/>
    <s v="Mary Martin"/>
    <x v="0"/>
    <x v="0"/>
    <x v="4"/>
    <n v="46009"/>
    <x v="0"/>
    <x v="1"/>
    <n v="1677"/>
    <n v="2698"/>
    <n v="2247"/>
    <n v="1764"/>
    <n v="8386"/>
    <d v="2026-03-31T00:00:00"/>
    <x v="23"/>
    <x v="1"/>
    <n v="0"/>
    <n v="8386"/>
    <x v="4"/>
    <x v="6"/>
    <n v="2025"/>
  </r>
  <r>
    <s v="PAT-3172"/>
    <s v="Richard Jones"/>
    <x v="1"/>
    <x v="0"/>
    <x v="3"/>
    <n v="45884"/>
    <x v="1"/>
    <x v="5"/>
    <n v="2100"/>
    <n v="2589"/>
    <n v="2787"/>
    <n v="2291"/>
    <n v="9767"/>
    <d v="2025-11-09T00:00:00"/>
    <x v="37"/>
    <x v="1"/>
    <n v="0"/>
    <n v="9767"/>
    <x v="3"/>
    <x v="11"/>
    <n v="2025"/>
  </r>
  <r>
    <s v="PAT-3173"/>
    <s v="Brian Taylor"/>
    <x v="4"/>
    <x v="4"/>
    <x v="0"/>
    <n v="45992"/>
    <x v="3"/>
    <x v="0"/>
    <n v="1703"/>
    <n v="4114"/>
    <n v="485"/>
    <n v="2017"/>
    <n v="8319"/>
    <d v="2026-03-05T00:00:00"/>
    <x v="12"/>
    <x v="1"/>
    <n v="0"/>
    <n v="8319"/>
    <x v="2"/>
    <x v="6"/>
    <n v="2025"/>
  </r>
  <r>
    <s v="PAT-3174"/>
    <s v="Jessica Hernandez"/>
    <x v="1"/>
    <x v="1"/>
    <x v="1"/>
    <n v="45740"/>
    <x v="2"/>
    <x v="0"/>
    <n v="1119"/>
    <n v="3116"/>
    <n v="362"/>
    <n v="2132"/>
    <n v="6729"/>
    <d v="2025-06-10T00:00:00"/>
    <x v="62"/>
    <x v="0"/>
    <n v="3915"/>
    <n v="2814"/>
    <x v="3"/>
    <x v="10"/>
    <n v="2025"/>
  </r>
  <r>
    <s v="PAT-3175"/>
    <s v="Emily Robinson"/>
    <x v="4"/>
    <x v="1"/>
    <x v="2"/>
    <n v="45887"/>
    <x v="1"/>
    <x v="4"/>
    <n v="500"/>
    <n v="2555"/>
    <n v="2585"/>
    <n v="2331"/>
    <n v="7971"/>
    <d v="2025-12-05T00:00:00"/>
    <x v="52"/>
    <x v="1"/>
    <n v="0"/>
    <n v="7971"/>
    <x v="1"/>
    <x v="11"/>
    <n v="2025"/>
  </r>
  <r>
    <s v="PAT-3176"/>
    <s v="Christopher White"/>
    <x v="0"/>
    <x v="5"/>
    <x v="2"/>
    <n v="45683"/>
    <x v="0"/>
    <x v="0"/>
    <n v="2225"/>
    <n v="3619"/>
    <n v="1249"/>
    <n v="899"/>
    <n v="7992"/>
    <d v="2025-03-28T00:00:00"/>
    <x v="103"/>
    <x v="1"/>
    <n v="0"/>
    <n v="7992"/>
    <x v="4"/>
    <x v="8"/>
    <n v="2025"/>
  </r>
  <r>
    <s v="PAT-3177"/>
    <s v="James White"/>
    <x v="5"/>
    <x v="5"/>
    <x v="4"/>
    <n v="45685"/>
    <x v="1"/>
    <x v="4"/>
    <n v="1704"/>
    <n v="4909"/>
    <n v="1910"/>
    <n v="2225"/>
    <n v="10748"/>
    <d v="2025-06-13T00:00:00"/>
    <x v="104"/>
    <x v="0"/>
    <n v="9605"/>
    <n v="1143"/>
    <x v="1"/>
    <x v="8"/>
    <n v="2025"/>
  </r>
  <r>
    <s v="PAT-3178"/>
    <s v="Lisa Thompson"/>
    <x v="1"/>
    <x v="1"/>
    <x v="1"/>
    <n v="45860"/>
    <x v="3"/>
    <x v="4"/>
    <n v="1630"/>
    <n v="2338"/>
    <n v="437"/>
    <n v="1313"/>
    <n v="5718"/>
    <d v="2025-09-01T00:00:00"/>
    <x v="28"/>
    <x v="1"/>
    <n v="0"/>
    <n v="5718"/>
    <x v="4"/>
    <x v="1"/>
    <n v="2025"/>
  </r>
  <r>
    <s v="PAT-3179"/>
    <s v="Ashley Walker"/>
    <x v="4"/>
    <x v="2"/>
    <x v="3"/>
    <n v="45963"/>
    <x v="2"/>
    <x v="5"/>
    <n v="1314"/>
    <n v="2216"/>
    <n v="1829"/>
    <n v="2439"/>
    <n v="7798"/>
    <d v="2025-12-23T00:00:00"/>
    <x v="97"/>
    <x v="1"/>
    <n v="0"/>
    <n v="7798"/>
    <x v="4"/>
    <x v="4"/>
    <n v="2025"/>
  </r>
  <r>
    <s v="PAT-3180"/>
    <s v="Jessica Ramirez"/>
    <x v="3"/>
    <x v="7"/>
    <x v="0"/>
    <n v="45896"/>
    <x v="1"/>
    <x v="1"/>
    <n v="1308"/>
    <n v="2707"/>
    <n v="757"/>
    <n v="1723"/>
    <n v="6495"/>
    <d v="2025-12-31T00:00:00"/>
    <x v="105"/>
    <x v="0"/>
    <n v="9"/>
    <n v="6486"/>
    <x v="0"/>
    <x v="11"/>
    <n v="2025"/>
  </r>
  <r>
    <s v="PAT-3181"/>
    <s v="Daniel Jackson"/>
    <x v="2"/>
    <x v="3"/>
    <x v="3"/>
    <n v="45686"/>
    <x v="0"/>
    <x v="2"/>
    <n v="1450"/>
    <n v="2500"/>
    <n v="2697"/>
    <n v="2267"/>
    <n v="8914"/>
    <d v="2025-03-16T00:00:00"/>
    <x v="106"/>
    <x v="0"/>
    <n v="6216"/>
    <n v="2698"/>
    <x v="0"/>
    <x v="8"/>
    <n v="2025"/>
  </r>
  <r>
    <s v="PAT-3182"/>
    <s v="Emily Clark"/>
    <x v="4"/>
    <x v="7"/>
    <x v="2"/>
    <n v="46021"/>
    <x v="3"/>
    <x v="1"/>
    <n v="1664"/>
    <n v="538"/>
    <n v="1916"/>
    <n v="2367"/>
    <n v="6485"/>
    <d v="2026-03-12T00:00:00"/>
    <x v="107"/>
    <x v="1"/>
    <n v="0"/>
    <n v="6485"/>
    <x v="0"/>
    <x v="6"/>
    <n v="2025"/>
  </r>
  <r>
    <s v="PAT-3183"/>
    <s v="David White"/>
    <x v="3"/>
    <x v="0"/>
    <x v="0"/>
    <n v="45950"/>
    <x v="1"/>
    <x v="2"/>
    <n v="1199"/>
    <n v="4648"/>
    <n v="464"/>
    <n v="1420"/>
    <n v="7731"/>
    <d v="2026-02-04T00:00:00"/>
    <x v="5"/>
    <x v="1"/>
    <n v="0"/>
    <n v="7731"/>
    <x v="0"/>
    <x v="5"/>
    <n v="2025"/>
  </r>
  <r>
    <s v="PAT-3184"/>
    <s v="Joshua Garcia"/>
    <x v="2"/>
    <x v="4"/>
    <x v="4"/>
    <n v="45802"/>
    <x v="2"/>
    <x v="3"/>
    <n v="1464"/>
    <n v="2180"/>
    <n v="1576"/>
    <n v="1387"/>
    <n v="6607"/>
    <d v="2025-08-27T00:00:00"/>
    <x v="12"/>
    <x v="0"/>
    <n v="4853"/>
    <n v="1754"/>
    <x v="2"/>
    <x v="9"/>
    <n v="2025"/>
  </r>
  <r>
    <s v="PAT-3185"/>
    <s v="Robert Lewis"/>
    <x v="3"/>
    <x v="5"/>
    <x v="1"/>
    <n v="45703"/>
    <x v="0"/>
    <x v="1"/>
    <n v="1331"/>
    <n v="3262"/>
    <n v="733"/>
    <n v="1660"/>
    <n v="6986"/>
    <d v="2025-03-24T00:00:00"/>
    <x v="66"/>
    <x v="1"/>
    <n v="0"/>
    <n v="6986"/>
    <x v="1"/>
    <x v="2"/>
    <n v="2025"/>
  </r>
  <r>
    <s v="PAT-3186"/>
    <s v="Susan Thomas"/>
    <x v="3"/>
    <x v="7"/>
    <x v="0"/>
    <n v="45987"/>
    <x v="1"/>
    <x v="5"/>
    <n v="1365"/>
    <n v="975"/>
    <n v="352"/>
    <n v="1383"/>
    <n v="4075"/>
    <d v="2026-02-17T00:00:00"/>
    <x v="95"/>
    <x v="1"/>
    <n v="0"/>
    <n v="4075"/>
    <x v="3"/>
    <x v="4"/>
    <n v="2025"/>
  </r>
  <r>
    <s v="PAT-3187"/>
    <s v="Barbara White"/>
    <x v="0"/>
    <x v="0"/>
    <x v="4"/>
    <n v="45788"/>
    <x v="3"/>
    <x v="0"/>
    <n v="1370"/>
    <n v="3451"/>
    <n v="1401"/>
    <n v="1225"/>
    <n v="7447"/>
    <d v="2025-07-14T00:00:00"/>
    <x v="101"/>
    <x v="1"/>
    <n v="0"/>
    <n v="7447"/>
    <x v="1"/>
    <x v="9"/>
    <n v="2025"/>
  </r>
  <r>
    <s v="PAT-3188"/>
    <s v="Betty Clark"/>
    <x v="2"/>
    <x v="3"/>
    <x v="2"/>
    <n v="45765"/>
    <x v="2"/>
    <x v="2"/>
    <n v="1920"/>
    <n v="2725"/>
    <n v="494"/>
    <n v="1699"/>
    <n v="6838"/>
    <d v="2025-07-01T00:00:00"/>
    <x v="13"/>
    <x v="0"/>
    <n v="5408"/>
    <n v="1430"/>
    <x v="3"/>
    <x v="0"/>
    <n v="2025"/>
  </r>
  <r>
    <s v="PAT-3189"/>
    <s v="Susan Miller"/>
    <x v="2"/>
    <x v="2"/>
    <x v="3"/>
    <n v="45772"/>
    <x v="1"/>
    <x v="1"/>
    <n v="1175"/>
    <n v="1383"/>
    <n v="2198"/>
    <n v="2005"/>
    <n v="6761"/>
    <d v="2025-07-15T00:00:00"/>
    <x v="80"/>
    <x v="1"/>
    <n v="0"/>
    <n v="6761"/>
    <x v="2"/>
    <x v="0"/>
    <n v="2025"/>
  </r>
  <r>
    <s v="PAT-3190"/>
    <s v="Jennifer Young"/>
    <x v="5"/>
    <x v="6"/>
    <x v="1"/>
    <n v="45838"/>
    <x v="0"/>
    <x v="5"/>
    <n v="1865"/>
    <n v="1850"/>
    <n v="1045"/>
    <n v="3500"/>
    <n v="8260"/>
    <d v="2025-07-27T00:00:00"/>
    <x v="15"/>
    <x v="0"/>
    <n v="1500"/>
    <n v="6760"/>
    <x v="0"/>
    <x v="7"/>
    <n v="2025"/>
  </r>
  <r>
    <s v="PAT-3191"/>
    <s v="Mary Miller"/>
    <x v="2"/>
    <x v="1"/>
    <x v="1"/>
    <n v="45984"/>
    <x v="1"/>
    <x v="2"/>
    <n v="939"/>
    <n v="2922"/>
    <n v="2542"/>
    <n v="4085"/>
    <n v="10488"/>
    <d v="2026-01-11T00:00:00"/>
    <x v="108"/>
    <x v="0"/>
    <n v="6394"/>
    <n v="4094"/>
    <x v="3"/>
    <x v="4"/>
    <n v="2025"/>
  </r>
  <r>
    <s v="PAT-3192"/>
    <s v="Barbara Garcia"/>
    <x v="2"/>
    <x v="2"/>
    <x v="3"/>
    <n v="45907"/>
    <x v="3"/>
    <x v="4"/>
    <n v="2052"/>
    <n v="4596"/>
    <n v="452"/>
    <n v="7000"/>
    <n v="14100"/>
    <d v="2025-12-28T00:00:00"/>
    <x v="91"/>
    <x v="1"/>
    <n v="0"/>
    <n v="14100"/>
    <x v="3"/>
    <x v="3"/>
    <n v="2025"/>
  </r>
  <r>
    <s v="PAT-3193"/>
    <s v="Lisa Clark"/>
    <x v="2"/>
    <x v="2"/>
    <x v="4"/>
    <n v="45924"/>
    <x v="2"/>
    <x v="4"/>
    <n v="1671"/>
    <n v="717"/>
    <n v="753"/>
    <n v="9117"/>
    <n v="12258"/>
    <d v="2025-12-31T00:00:00"/>
    <x v="74"/>
    <x v="0"/>
    <n v="2339"/>
    <n v="9919"/>
    <x v="4"/>
    <x v="3"/>
    <n v="2025"/>
  </r>
  <r>
    <s v="PAT-3194"/>
    <s v="Dorothy White"/>
    <x v="0"/>
    <x v="0"/>
    <x v="2"/>
    <n v="45978"/>
    <x v="1"/>
    <x v="3"/>
    <n v="1503"/>
    <n v="652"/>
    <n v="2837"/>
    <n v="2355"/>
    <n v="7347"/>
    <d v="2026-02-01T00:00:00"/>
    <x v="109"/>
    <x v="0"/>
    <n v="5978"/>
    <n v="1369"/>
    <x v="3"/>
    <x v="4"/>
    <n v="2025"/>
  </r>
  <r>
    <s v="PAT-3195"/>
    <s v="Linda Jackson"/>
    <x v="0"/>
    <x v="4"/>
    <x v="0"/>
    <n v="45988"/>
    <x v="0"/>
    <x v="0"/>
    <n v="625"/>
    <n v="500"/>
    <n v="2016"/>
    <n v="1800"/>
    <n v="4941"/>
    <d v="2025-12-10T00:00:00"/>
    <x v="110"/>
    <x v="0"/>
    <n v="1931"/>
    <n v="3010"/>
    <x v="2"/>
    <x v="4"/>
    <n v="2025"/>
  </r>
  <r>
    <s v="PAT-3196"/>
    <s v="Anthony Thompson"/>
    <x v="2"/>
    <x v="6"/>
    <x v="4"/>
    <n v="45798"/>
    <x v="3"/>
    <x v="3"/>
    <n v="1011"/>
    <n v="4338"/>
    <n v="2518"/>
    <n v="3158"/>
    <n v="11025"/>
    <d v="2025-10-02T00:00:00"/>
    <x v="22"/>
    <x v="0"/>
    <n v="715"/>
    <n v="10310"/>
    <x v="3"/>
    <x v="9"/>
    <n v="2025"/>
  </r>
  <r>
    <s v="PAT-3197"/>
    <s v="Michelle Perez"/>
    <x v="1"/>
    <x v="3"/>
    <x v="0"/>
    <n v="45820"/>
    <x v="1"/>
    <x v="2"/>
    <n v="1400"/>
    <n v="3206"/>
    <n v="2619"/>
    <n v="1401"/>
    <n v="8626"/>
    <d v="2025-10-22T00:00:00"/>
    <x v="111"/>
    <x v="1"/>
    <n v="0"/>
    <n v="8626"/>
    <x v="4"/>
    <x v="7"/>
    <n v="2025"/>
  </r>
  <r>
    <s v="PAT-3198"/>
    <s v="Nancy Harris"/>
    <x v="0"/>
    <x v="4"/>
    <x v="1"/>
    <n v="45711"/>
    <x v="2"/>
    <x v="5"/>
    <n v="2067"/>
    <n v="2104"/>
    <n v="286"/>
    <n v="7039"/>
    <n v="11496"/>
    <d v="2025-04-29T00:00:00"/>
    <x v="112"/>
    <x v="0"/>
    <n v="6145"/>
    <n v="5351"/>
    <x v="0"/>
    <x v="2"/>
    <n v="2025"/>
  </r>
  <r>
    <s v="PAT-3199"/>
    <s v="Ashley Moore"/>
    <x v="5"/>
    <x v="5"/>
    <x v="2"/>
    <n v="45997"/>
    <x v="0"/>
    <x v="5"/>
    <n v="545"/>
    <n v="0"/>
    <n v="2708"/>
    <n v="4770"/>
    <n v="8023"/>
    <d v="2026-03-31T00:00:00"/>
    <x v="87"/>
    <x v="1"/>
    <n v="0"/>
    <n v="8023"/>
    <x v="1"/>
    <x v="6"/>
    <n v="2025"/>
  </r>
  <r>
    <s v="PAT-3200"/>
    <s v="Joshua Rodriguez"/>
    <x v="0"/>
    <x v="0"/>
    <x v="3"/>
    <n v="45853"/>
    <x v="1"/>
    <x v="3"/>
    <n v="2302"/>
    <n v="3700"/>
    <n v="1124"/>
    <n v="4648"/>
    <n v="11774"/>
    <d v="2025-10-10T00:00:00"/>
    <x v="9"/>
    <x v="1"/>
    <n v="0"/>
    <n v="11774"/>
    <x v="3"/>
    <x v="1"/>
    <n v="2025"/>
  </r>
  <r>
    <s v="PAT-3201"/>
    <s v="Lisa Martin"/>
    <x v="2"/>
    <x v="3"/>
    <x v="2"/>
    <n v="45829"/>
    <x v="3"/>
    <x v="0"/>
    <n v="2421"/>
    <n v="850"/>
    <n v="599"/>
    <n v="1200"/>
    <n v="5070"/>
    <d v="2025-07-04T00:00:00"/>
    <x v="110"/>
    <x v="0"/>
    <n v="2191"/>
    <n v="2879"/>
    <x v="4"/>
    <x v="7"/>
    <n v="2025"/>
  </r>
  <r>
    <s v="PAT-3202"/>
    <s v="Susan Davis"/>
    <x v="5"/>
    <x v="6"/>
    <x v="3"/>
    <n v="46009"/>
    <x v="2"/>
    <x v="0"/>
    <n v="1811"/>
    <n v="1950"/>
    <n v="2271"/>
    <n v="4000"/>
    <n v="10032"/>
    <d v="2026-01-21T00:00:00"/>
    <x v="4"/>
    <x v="0"/>
    <n v="388"/>
    <n v="9644"/>
    <x v="3"/>
    <x v="6"/>
    <n v="2025"/>
  </r>
  <r>
    <s v="PAT-3203"/>
    <s v="Anthony Anderson"/>
    <x v="2"/>
    <x v="4"/>
    <x v="0"/>
    <n v="46021"/>
    <x v="1"/>
    <x v="2"/>
    <n v="1198"/>
    <n v="3159"/>
    <n v="2771"/>
    <n v="6112"/>
    <n v="13240"/>
    <d v="2026-03-31T00:00:00"/>
    <x v="18"/>
    <x v="0"/>
    <n v="2656"/>
    <n v="10584"/>
    <x v="2"/>
    <x v="6"/>
    <n v="2025"/>
  </r>
  <r>
    <s v="PAT-3204"/>
    <s v="Kenneth Jones"/>
    <x v="1"/>
    <x v="1"/>
    <x v="4"/>
    <n v="45744"/>
    <x v="0"/>
    <x v="0"/>
    <n v="2237"/>
    <n v="2169"/>
    <n v="820"/>
    <n v="9809"/>
    <n v="15035"/>
    <d v="2025-08-01T00:00:00"/>
    <x v="105"/>
    <x v="1"/>
    <n v="0"/>
    <n v="15035"/>
    <x v="4"/>
    <x v="10"/>
    <n v="2025"/>
  </r>
  <r>
    <s v="PAT-3205"/>
    <s v="Daniel Young"/>
    <x v="4"/>
    <x v="4"/>
    <x v="1"/>
    <n v="45862"/>
    <x v="1"/>
    <x v="3"/>
    <n v="2289"/>
    <n v="4874"/>
    <n v="832"/>
    <n v="7659"/>
    <n v="15654"/>
    <d v="2025-09-23T00:00:00"/>
    <x v="103"/>
    <x v="0"/>
    <n v="14943"/>
    <n v="711"/>
    <x v="0"/>
    <x v="1"/>
    <n v="2025"/>
  </r>
  <r>
    <s v="PAT-3206"/>
    <s v="Betty Williams"/>
    <x v="3"/>
    <x v="0"/>
    <x v="1"/>
    <n v="45849"/>
    <x v="3"/>
    <x v="2"/>
    <n v="1611"/>
    <n v="3633"/>
    <n v="1303"/>
    <n v="5594"/>
    <n v="12141"/>
    <d v="2025-08-30T00:00:00"/>
    <x v="67"/>
    <x v="1"/>
    <n v="0"/>
    <n v="12141"/>
    <x v="3"/>
    <x v="1"/>
    <n v="2025"/>
  </r>
  <r>
    <s v="PAT-3207"/>
    <s v="Ashley Brown"/>
    <x v="2"/>
    <x v="4"/>
    <x v="2"/>
    <n v="45830"/>
    <x v="2"/>
    <x v="1"/>
    <n v="1122"/>
    <n v="600"/>
    <n v="996"/>
    <n v="2783"/>
    <n v="5501"/>
    <d v="2025-09-03T00:00:00"/>
    <x v="113"/>
    <x v="0"/>
    <n v="5282"/>
    <n v="219"/>
    <x v="2"/>
    <x v="7"/>
    <n v="2025"/>
  </r>
  <r>
    <s v="PAT-3208"/>
    <s v="Anthony Rodriguez"/>
    <x v="3"/>
    <x v="2"/>
    <x v="3"/>
    <n v="45877"/>
    <x v="1"/>
    <x v="5"/>
    <n v="1698"/>
    <n v="2500"/>
    <n v="2089"/>
    <n v="1913"/>
    <n v="8200"/>
    <d v="2025-09-08T00:00:00"/>
    <x v="96"/>
    <x v="0"/>
    <n v="3930"/>
    <n v="4270"/>
    <x v="1"/>
    <x v="11"/>
    <n v="2025"/>
  </r>
  <r>
    <s v="PAT-3209"/>
    <s v="Joshua Moore"/>
    <x v="5"/>
    <x v="6"/>
    <x v="4"/>
    <n v="45737"/>
    <x v="0"/>
    <x v="3"/>
    <n v="2073"/>
    <n v="4561"/>
    <n v="931"/>
    <n v="1636"/>
    <n v="9201"/>
    <d v="2025-06-20T00:00:00"/>
    <x v="18"/>
    <x v="0"/>
    <n v="4046"/>
    <n v="5155"/>
    <x v="0"/>
    <x v="10"/>
    <n v="2025"/>
  </r>
  <r>
    <s v="PAT-3210"/>
    <s v="Barbara Young"/>
    <x v="1"/>
    <x v="1"/>
    <x v="0"/>
    <n v="45752"/>
    <x v="3"/>
    <x v="4"/>
    <n v="2117"/>
    <n v="4285"/>
    <n v="1281"/>
    <n v="5024"/>
    <n v="12707"/>
    <d v="2025-06-30T00:00:00"/>
    <x v="37"/>
    <x v="0"/>
    <n v="223"/>
    <n v="12484"/>
    <x v="1"/>
    <x v="0"/>
    <n v="2025"/>
  </r>
  <r>
    <s v="PAT-3211"/>
    <s v="Christopher White"/>
    <x v="3"/>
    <x v="7"/>
    <x v="0"/>
    <n v="45929"/>
    <x v="1"/>
    <x v="0"/>
    <n v="1824"/>
    <n v="3894"/>
    <n v="2588"/>
    <n v="8898"/>
    <n v="17204"/>
    <d v="2025-12-31T00:00:00"/>
    <x v="85"/>
    <x v="0"/>
    <n v="758"/>
    <n v="16446"/>
    <x v="3"/>
    <x v="3"/>
    <n v="2025"/>
  </r>
  <r>
    <s v="PAT-3212"/>
    <s v="William Perez"/>
    <x v="1"/>
    <x v="1"/>
    <x v="4"/>
    <n v="45817"/>
    <x v="2"/>
    <x v="5"/>
    <n v="948"/>
    <n v="2409"/>
    <n v="2420"/>
    <n v="2500"/>
    <n v="8277"/>
    <d v="2025-07-26T00:00:00"/>
    <x v="114"/>
    <x v="0"/>
    <n v="3000"/>
    <n v="5277"/>
    <x v="4"/>
    <x v="7"/>
    <n v="2025"/>
  </r>
  <r>
    <s v="PAT-3213"/>
    <s v="Emily Clark"/>
    <x v="5"/>
    <x v="6"/>
    <x v="2"/>
    <n v="46001"/>
    <x v="0"/>
    <x v="0"/>
    <n v="1426"/>
    <n v="1332"/>
    <n v="2090"/>
    <n v="3571"/>
    <n v="8419"/>
    <d v="2026-03-20T00:00:00"/>
    <x v="79"/>
    <x v="0"/>
    <n v="692"/>
    <n v="7727"/>
    <x v="1"/>
    <x v="6"/>
    <n v="2025"/>
  </r>
  <r>
    <s v="PAT-3214"/>
    <s v="Mary Taylor"/>
    <x v="2"/>
    <x v="2"/>
    <x v="1"/>
    <n v="45845"/>
    <x v="1"/>
    <x v="4"/>
    <n v="1164"/>
    <n v="2103"/>
    <n v="1373"/>
    <n v="3752"/>
    <n v="8392"/>
    <d v="2025-08-28T00:00:00"/>
    <x v="44"/>
    <x v="1"/>
    <n v="0"/>
    <n v="8392"/>
    <x v="0"/>
    <x v="1"/>
    <n v="2025"/>
  </r>
  <r>
    <s v="PAT-3215"/>
    <s v="Michelle Garcia"/>
    <x v="2"/>
    <x v="7"/>
    <x v="3"/>
    <n v="45702"/>
    <x v="3"/>
    <x v="5"/>
    <n v="1911"/>
    <n v="2398"/>
    <n v="384"/>
    <n v="3669"/>
    <n v="8362"/>
    <d v="2025-03-19T00:00:00"/>
    <x v="115"/>
    <x v="1"/>
    <n v="0"/>
    <n v="8362"/>
    <x v="1"/>
    <x v="2"/>
    <n v="2025"/>
  </r>
  <r>
    <s v="PAT-3216"/>
    <s v="Michael Perez"/>
    <x v="1"/>
    <x v="1"/>
    <x v="3"/>
    <n v="45948"/>
    <x v="2"/>
    <x v="5"/>
    <n v="2034"/>
    <n v="2459"/>
    <n v="1370"/>
    <n v="9983"/>
    <n v="15846"/>
    <d v="2026-03-23T00:00:00"/>
    <x v="116"/>
    <x v="0"/>
    <n v="13902"/>
    <n v="1944"/>
    <x v="0"/>
    <x v="5"/>
    <n v="2025"/>
  </r>
  <r>
    <s v="PAT-3217"/>
    <s v="Carol White"/>
    <x v="5"/>
    <x v="6"/>
    <x v="1"/>
    <n v="45906"/>
    <x v="1"/>
    <x v="3"/>
    <n v="1169"/>
    <n v="3250"/>
    <n v="1879"/>
    <n v="4396"/>
    <n v="10694"/>
    <d v="2025-12-31T00:00:00"/>
    <x v="93"/>
    <x v="1"/>
    <n v="0"/>
    <n v="10694"/>
    <x v="1"/>
    <x v="3"/>
    <n v="2025"/>
  </r>
  <r>
    <s v="PAT-3218"/>
    <s v="Christopher Perez"/>
    <x v="0"/>
    <x v="0"/>
    <x v="4"/>
    <n v="45740"/>
    <x v="0"/>
    <x v="4"/>
    <n v="1471"/>
    <n v="1742"/>
    <n v="2856"/>
    <n v="4000"/>
    <n v="10069"/>
    <d v="2025-07-21T00:00:00"/>
    <x v="117"/>
    <x v="1"/>
    <n v="0"/>
    <n v="10069"/>
    <x v="1"/>
    <x v="10"/>
    <n v="2025"/>
  </r>
  <r>
    <s v="PAT-3219"/>
    <s v="David Moore"/>
    <x v="0"/>
    <x v="5"/>
    <x v="0"/>
    <n v="45853"/>
    <x v="1"/>
    <x v="2"/>
    <n v="1760"/>
    <n v="4323"/>
    <n v="1177"/>
    <n v="4483"/>
    <n v="11743"/>
    <d v="2025-09-19T00:00:00"/>
    <x v="51"/>
    <x v="1"/>
    <n v="0"/>
    <n v="11743"/>
    <x v="0"/>
    <x v="1"/>
    <n v="2025"/>
  </r>
  <r>
    <s v="PAT-3220"/>
    <s v="Emily Walker"/>
    <x v="1"/>
    <x v="1"/>
    <x v="2"/>
    <n v="46022"/>
    <x v="3"/>
    <x v="2"/>
    <n v="2164"/>
    <n v="2663"/>
    <n v="2691"/>
    <n v="5362"/>
    <n v="12880"/>
    <d v="2026-03-31T00:00:00"/>
    <x v="64"/>
    <x v="1"/>
    <n v="0"/>
    <n v="12880"/>
    <x v="2"/>
    <x v="6"/>
    <n v="2025"/>
  </r>
  <r>
    <s v="PAT-3221"/>
    <s v="Jessica Jackson"/>
    <x v="3"/>
    <x v="2"/>
    <x v="4"/>
    <n v="45802"/>
    <x v="2"/>
    <x v="5"/>
    <n v="747"/>
    <n v="3277"/>
    <n v="2739"/>
    <n v="3000"/>
    <n v="9763"/>
    <d v="2025-07-01T00:00:00"/>
    <x v="66"/>
    <x v="0"/>
    <n v="8405"/>
    <n v="1358"/>
    <x v="3"/>
    <x v="9"/>
    <n v="2025"/>
  </r>
  <r>
    <s v="PAT-3222"/>
    <s v="Thomas Miller"/>
    <x v="5"/>
    <x v="4"/>
    <x v="2"/>
    <n v="45683"/>
    <x v="1"/>
    <x v="4"/>
    <n v="1704"/>
    <n v="1219"/>
    <n v="1390"/>
    <n v="6471"/>
    <n v="10784"/>
    <d v="2025-05-30T00:00:00"/>
    <x v="118"/>
    <x v="1"/>
    <n v="0"/>
    <n v="10784"/>
    <x v="2"/>
    <x v="8"/>
    <n v="2025"/>
  </r>
  <r>
    <s v="PAT-3223"/>
    <s v="Kevin Taylor"/>
    <x v="2"/>
    <x v="7"/>
    <x v="0"/>
    <n v="45717"/>
    <x v="0"/>
    <x v="5"/>
    <n v="2301"/>
    <n v="4689"/>
    <n v="2009"/>
    <n v="8861"/>
    <n v="17860"/>
    <d v="2025-05-09T00:00:00"/>
    <x v="45"/>
    <x v="0"/>
    <n v="4561"/>
    <n v="13299"/>
    <x v="4"/>
    <x v="10"/>
    <n v="2025"/>
  </r>
  <r>
    <s v="PAT-3224"/>
    <s v="Richard Robinson"/>
    <x v="0"/>
    <x v="6"/>
    <x v="3"/>
    <n v="45995"/>
    <x v="3"/>
    <x v="4"/>
    <n v="1298"/>
    <n v="2474"/>
    <n v="2459"/>
    <n v="2000"/>
    <n v="8231"/>
    <d v="2026-03-31T00:00:00"/>
    <x v="119"/>
    <x v="1"/>
    <n v="0"/>
    <n v="8231"/>
    <x v="1"/>
    <x v="6"/>
    <n v="2025"/>
  </r>
  <r>
    <s v="PAT-3225"/>
    <s v="Michelle Martinez"/>
    <x v="4"/>
    <x v="5"/>
    <x v="1"/>
    <n v="45860"/>
    <x v="1"/>
    <x v="3"/>
    <n v="833"/>
    <n v="3234"/>
    <n v="878"/>
    <n v="2308"/>
    <n v="7253"/>
    <d v="2025-08-24T00:00:00"/>
    <x v="115"/>
    <x v="1"/>
    <n v="0"/>
    <n v="7253"/>
    <x v="3"/>
    <x v="1"/>
    <n v="2025"/>
  </r>
  <r>
    <s v="PAT-3226"/>
    <s v="William Young"/>
    <x v="1"/>
    <x v="2"/>
    <x v="1"/>
    <n v="45659"/>
    <x v="2"/>
    <x v="2"/>
    <n v="1568"/>
    <n v="731"/>
    <n v="1159"/>
    <n v="2643"/>
    <n v="6101"/>
    <d v="2025-05-20T00:00:00"/>
    <x v="49"/>
    <x v="1"/>
    <n v="0"/>
    <n v="6101"/>
    <x v="1"/>
    <x v="8"/>
    <n v="2025"/>
  </r>
  <r>
    <s v="PAT-3227"/>
    <s v="Richard Smith"/>
    <x v="3"/>
    <x v="7"/>
    <x v="3"/>
    <n v="45777"/>
    <x v="0"/>
    <x v="1"/>
    <n v="1689"/>
    <n v="950"/>
    <n v="1676"/>
    <n v="3500"/>
    <n v="7815"/>
    <d v="2025-05-11T00:00:00"/>
    <x v="56"/>
    <x v="0"/>
    <n v="6500"/>
    <n v="1315"/>
    <x v="0"/>
    <x v="0"/>
    <n v="2025"/>
  </r>
  <r>
    <s v="PAT-3228"/>
    <s v="Betty Thompson"/>
    <x v="2"/>
    <x v="7"/>
    <x v="2"/>
    <n v="45964"/>
    <x v="1"/>
    <x v="1"/>
    <n v="1635"/>
    <n v="1478"/>
    <n v="1421"/>
    <n v="5044"/>
    <n v="9578"/>
    <d v="2026-01-04T00:00:00"/>
    <x v="120"/>
    <x v="1"/>
    <n v="0"/>
    <n v="9578"/>
    <x v="1"/>
    <x v="4"/>
    <n v="2025"/>
  </r>
  <r>
    <s v="PAT-3229"/>
    <s v="Jessica Young"/>
    <x v="1"/>
    <x v="0"/>
    <x v="4"/>
    <n v="45939"/>
    <x v="3"/>
    <x v="5"/>
    <n v="1115"/>
    <n v="1154"/>
    <n v="1302"/>
    <n v="1800"/>
    <n v="5371"/>
    <d v="2025-11-07T00:00:00"/>
    <x v="71"/>
    <x v="0"/>
    <n v="788"/>
    <n v="4583"/>
    <x v="1"/>
    <x v="5"/>
    <n v="2025"/>
  </r>
  <r>
    <s v="PAT-3230"/>
    <s v="Joshua Taylor"/>
    <x v="4"/>
    <x v="4"/>
    <x v="0"/>
    <n v="45797"/>
    <x v="2"/>
    <x v="2"/>
    <n v="1619"/>
    <n v="1463"/>
    <n v="1914"/>
    <n v="3500"/>
    <n v="8496"/>
    <d v="2025-08-28T00:00:00"/>
    <x v="79"/>
    <x v="0"/>
    <n v="7933"/>
    <n v="563"/>
    <x v="0"/>
    <x v="9"/>
    <n v="2025"/>
  </r>
  <r>
    <s v="PAT-3231"/>
    <s v="Karen Robinson"/>
    <x v="1"/>
    <x v="2"/>
    <x v="2"/>
    <n v="45834"/>
    <x v="1"/>
    <x v="0"/>
    <n v="1913"/>
    <n v="1117"/>
    <n v="714"/>
    <n v="1360"/>
    <n v="5104"/>
    <d v="2025-08-07T00:00:00"/>
    <x v="121"/>
    <x v="1"/>
    <n v="0"/>
    <n v="5104"/>
    <x v="0"/>
    <x v="7"/>
    <n v="2025"/>
  </r>
  <r>
    <s v="PAT-3232"/>
    <s v="Daniel Harris"/>
    <x v="0"/>
    <x v="6"/>
    <x v="4"/>
    <n v="45845"/>
    <x v="0"/>
    <x v="1"/>
    <n v="956"/>
    <n v="4214"/>
    <n v="484"/>
    <n v="8540"/>
    <n v="14194"/>
    <d v="2025-09-08T00:00:00"/>
    <x v="26"/>
    <x v="0"/>
    <n v="8650"/>
    <n v="5544"/>
    <x v="2"/>
    <x v="1"/>
    <n v="2025"/>
  </r>
  <r>
    <s v="PAT-3233"/>
    <s v="Sarah Perez"/>
    <x v="1"/>
    <x v="1"/>
    <x v="3"/>
    <n v="45753"/>
    <x v="1"/>
    <x v="5"/>
    <n v="563"/>
    <n v="564"/>
    <n v="987"/>
    <n v="1000"/>
    <n v="3114"/>
    <d v="2025-07-26T00:00:00"/>
    <x v="14"/>
    <x v="1"/>
    <n v="0"/>
    <n v="3114"/>
    <x v="1"/>
    <x v="0"/>
    <n v="2025"/>
  </r>
  <r>
    <s v="PAT-3234"/>
    <s v="Joseph Robinson"/>
    <x v="3"/>
    <x v="7"/>
    <x v="1"/>
    <n v="45961"/>
    <x v="3"/>
    <x v="5"/>
    <n v="818"/>
    <n v="3181"/>
    <n v="906"/>
    <n v="2068"/>
    <n v="6973"/>
    <d v="2025-11-30T00:00:00"/>
    <x v="122"/>
    <x v="1"/>
    <n v="0"/>
    <n v="6973"/>
    <x v="4"/>
    <x v="5"/>
    <n v="2025"/>
  </r>
  <r>
    <s v="PAT-3235"/>
    <s v="Kenneth Anderson"/>
    <x v="2"/>
    <x v="4"/>
    <x v="0"/>
    <n v="45849"/>
    <x v="2"/>
    <x v="3"/>
    <n v="2090"/>
    <n v="4389"/>
    <n v="2161"/>
    <n v="9365"/>
    <n v="18005"/>
    <d v="2025-09-13T00:00:00"/>
    <x v="101"/>
    <x v="0"/>
    <n v="54"/>
    <n v="17951"/>
    <x v="4"/>
    <x v="1"/>
    <n v="2025"/>
  </r>
  <r>
    <s v="PAT-3236"/>
    <s v="Ashley Williams"/>
    <x v="0"/>
    <x v="5"/>
    <x v="3"/>
    <n v="45928"/>
    <x v="1"/>
    <x v="0"/>
    <n v="2263"/>
    <n v="3569"/>
    <n v="2248"/>
    <n v="4795"/>
    <n v="12875"/>
    <d v="2025-12-31T00:00:00"/>
    <x v="12"/>
    <x v="1"/>
    <n v="0"/>
    <n v="12875"/>
    <x v="1"/>
    <x v="3"/>
    <n v="2025"/>
  </r>
  <r>
    <s v="PAT-3237"/>
    <s v="Dorothy Taylor"/>
    <x v="4"/>
    <x v="7"/>
    <x v="1"/>
    <n v="45882"/>
    <x v="0"/>
    <x v="5"/>
    <n v="1614"/>
    <n v="3408"/>
    <n v="2394"/>
    <n v="4924"/>
    <n v="12340"/>
    <d v="2025-10-02T00:00:00"/>
    <x v="67"/>
    <x v="0"/>
    <n v="1707"/>
    <n v="10633"/>
    <x v="2"/>
    <x v="11"/>
    <n v="2025"/>
  </r>
  <r>
    <s v="PAT-3238"/>
    <s v="William Williams"/>
    <x v="0"/>
    <x v="5"/>
    <x v="4"/>
    <n v="45662"/>
    <x v="3"/>
    <x v="4"/>
    <n v="2094"/>
    <n v="664"/>
    <n v="250"/>
    <n v="7886"/>
    <n v="10894"/>
    <d v="2025-04-10T00:00:00"/>
    <x v="123"/>
    <x v="1"/>
    <n v="0"/>
    <n v="10894"/>
    <x v="2"/>
    <x v="8"/>
    <n v="2025"/>
  </r>
  <r>
    <s v="PAT-3239"/>
    <s v="Ashley Thomas"/>
    <x v="3"/>
    <x v="7"/>
    <x v="2"/>
    <n v="45903"/>
    <x v="1"/>
    <x v="1"/>
    <n v="1519"/>
    <n v="2291"/>
    <n v="1216"/>
    <n v="6000"/>
    <n v="11026"/>
    <d v="2025-12-21T00:00:00"/>
    <x v="52"/>
    <x v="0"/>
    <n v="10308"/>
    <n v="718"/>
    <x v="0"/>
    <x v="3"/>
    <n v="2025"/>
  </r>
  <r>
    <s v="PAT-3240"/>
    <s v="Richard Young"/>
    <x v="4"/>
    <x v="7"/>
    <x v="0"/>
    <n v="45977"/>
    <x v="2"/>
    <x v="0"/>
    <n v="715"/>
    <n v="2262"/>
    <n v="2323"/>
    <n v="2215"/>
    <n v="7515"/>
    <d v="2026-01-11T00:00:00"/>
    <x v="40"/>
    <x v="1"/>
    <n v="0"/>
    <n v="7515"/>
    <x v="2"/>
    <x v="4"/>
    <n v="2025"/>
  </r>
  <r>
    <s v="PAT-3241"/>
    <s v="Donna Jones"/>
    <x v="4"/>
    <x v="1"/>
    <x v="0"/>
    <n v="45671"/>
    <x v="0"/>
    <x v="2"/>
    <n v="907"/>
    <n v="4532"/>
    <n v="2303"/>
    <n v="7447"/>
    <n v="15189"/>
    <d v="2025-04-18T00:00:00"/>
    <x v="12"/>
    <x v="1"/>
    <n v="0"/>
    <n v="15189"/>
    <x v="3"/>
    <x v="8"/>
    <n v="2025"/>
  </r>
  <r>
    <s v="PAT-3242"/>
    <s v="Susan Brown"/>
    <x v="3"/>
    <x v="7"/>
    <x v="2"/>
    <n v="45978"/>
    <x v="1"/>
    <x v="4"/>
    <n v="617"/>
    <n v="3926"/>
    <n v="1869"/>
    <n v="3083"/>
    <n v="9495"/>
    <d v="2026-02-06T00:00:00"/>
    <x v="80"/>
    <x v="0"/>
    <n v="7074"/>
    <n v="2421"/>
    <x v="0"/>
    <x v="4"/>
    <n v="2025"/>
  </r>
  <r>
    <s v="PAT-3243"/>
    <s v="Thomas Miller"/>
    <x v="4"/>
    <x v="1"/>
    <x v="1"/>
    <n v="45805"/>
    <x v="3"/>
    <x v="3"/>
    <n v="2165"/>
    <n v="3640"/>
    <n v="2044"/>
    <n v="9209"/>
    <n v="17058"/>
    <d v="2025-07-31T00:00:00"/>
    <x v="101"/>
    <x v="1"/>
    <n v="0"/>
    <n v="17058"/>
    <x v="0"/>
    <x v="9"/>
    <n v="2025"/>
  </r>
  <r>
    <s v="PAT-3244"/>
    <s v="Matthew Clark"/>
    <x v="1"/>
    <x v="1"/>
    <x v="3"/>
    <n v="45893"/>
    <x v="2"/>
    <x v="5"/>
    <n v="1040"/>
    <n v="3352"/>
    <n v="1207"/>
    <n v="2000"/>
    <n v="7599"/>
    <d v="2025-09-11T00:00:00"/>
    <x v="3"/>
    <x v="0"/>
    <n v="823"/>
    <n v="6776"/>
    <x v="3"/>
    <x v="11"/>
    <n v="2025"/>
  </r>
  <r>
    <s v="PAT-3245"/>
    <s v="Karen Ramirez"/>
    <x v="1"/>
    <x v="2"/>
    <x v="4"/>
    <n v="45673"/>
    <x v="1"/>
    <x v="4"/>
    <n v="1244"/>
    <n v="3361"/>
    <n v="2227"/>
    <n v="7064"/>
    <n v="13896"/>
    <d v="2025-04-03T00:00:00"/>
    <x v="58"/>
    <x v="0"/>
    <n v="2796"/>
    <n v="11100"/>
    <x v="2"/>
    <x v="8"/>
    <n v="2025"/>
  </r>
  <r>
    <s v="PAT-3246"/>
    <s v="Joseph Perez"/>
    <x v="2"/>
    <x v="3"/>
    <x v="4"/>
    <n v="45795"/>
    <x v="0"/>
    <x v="5"/>
    <n v="2343"/>
    <n v="1666"/>
    <n v="2605"/>
    <n v="1500"/>
    <n v="8114"/>
    <d v="2025-06-12T00:00:00"/>
    <x v="11"/>
    <x v="0"/>
    <n v="4960"/>
    <n v="3154"/>
    <x v="2"/>
    <x v="9"/>
    <n v="2025"/>
  </r>
  <r>
    <s v="PAT-3247"/>
    <s v="Elizabeth Jackson"/>
    <x v="3"/>
    <x v="7"/>
    <x v="0"/>
    <n v="45771"/>
    <x v="1"/>
    <x v="0"/>
    <n v="1073"/>
    <n v="3818"/>
    <n v="2748"/>
    <n v="3334"/>
    <n v="10973"/>
    <d v="2025-05-26T00:00:00"/>
    <x v="81"/>
    <x v="1"/>
    <n v="0"/>
    <n v="10973"/>
    <x v="1"/>
    <x v="0"/>
    <n v="2025"/>
  </r>
  <r>
    <s v="PAT-3248"/>
    <s v="Carol Taylor"/>
    <x v="2"/>
    <x v="2"/>
    <x v="3"/>
    <n v="45960"/>
    <x v="3"/>
    <x v="1"/>
    <n v="1909"/>
    <n v="4377"/>
    <n v="1381"/>
    <n v="4657"/>
    <n v="12324"/>
    <d v="2025-12-31T00:00:00"/>
    <x v="120"/>
    <x v="0"/>
    <n v="8281"/>
    <n v="4043"/>
    <x v="3"/>
    <x v="5"/>
    <n v="2025"/>
  </r>
  <r>
    <s v="PAT-3249"/>
    <s v="Robert Walker"/>
    <x v="3"/>
    <x v="7"/>
    <x v="2"/>
    <n v="45899"/>
    <x v="2"/>
    <x v="2"/>
    <n v="1447"/>
    <n v="3165"/>
    <n v="2443"/>
    <n v="7683"/>
    <n v="14738"/>
    <d v="2025-12-31T00:00:00"/>
    <x v="34"/>
    <x v="1"/>
    <n v="0"/>
    <n v="14738"/>
    <x v="3"/>
    <x v="11"/>
    <n v="2025"/>
  </r>
  <r>
    <s v="PAT-3250"/>
    <s v="Joshua Martin"/>
    <x v="4"/>
    <x v="2"/>
    <x v="1"/>
    <n v="45678"/>
    <x v="1"/>
    <x v="4"/>
    <n v="2033"/>
    <n v="4750"/>
    <n v="2463"/>
    <n v="8895"/>
    <n v="18141"/>
    <d v="2025-03-27T00:00:00"/>
    <x v="112"/>
    <x v="1"/>
    <n v="0"/>
    <n v="18141"/>
    <x v="4"/>
    <x v="8"/>
    <n v="2025"/>
  </r>
  <r>
    <s v="PAT-3251"/>
    <s v="Ashley Thomas"/>
    <x v="1"/>
    <x v="1"/>
    <x v="1"/>
    <n v="45781"/>
    <x v="0"/>
    <x v="2"/>
    <n v="2495"/>
    <n v="987"/>
    <n v="558"/>
    <n v="3367"/>
    <n v="7407"/>
    <d v="2025-09-04T00:00:00"/>
    <x v="34"/>
    <x v="1"/>
    <n v="0"/>
    <n v="7407"/>
    <x v="0"/>
    <x v="9"/>
    <n v="2025"/>
  </r>
  <r>
    <s v="PAT-3252"/>
    <s v="Sandra Moore"/>
    <x v="3"/>
    <x v="7"/>
    <x v="3"/>
    <n v="45865"/>
    <x v="3"/>
    <x v="1"/>
    <n v="1785"/>
    <n v="2324"/>
    <n v="2259"/>
    <n v="6753"/>
    <n v="13121"/>
    <d v="2025-09-20T00:00:00"/>
    <x v="124"/>
    <x v="0"/>
    <n v="9071"/>
    <n v="4050"/>
    <x v="4"/>
    <x v="1"/>
    <n v="2025"/>
  </r>
  <r>
    <s v="PAT-3253"/>
    <s v="Andrew Walker"/>
    <x v="3"/>
    <x v="7"/>
    <x v="2"/>
    <n v="45828"/>
    <x v="1"/>
    <x v="3"/>
    <n v="1512"/>
    <n v="4728"/>
    <n v="859"/>
    <n v="2081"/>
    <n v="9180"/>
    <d v="2025-08-24T00:00:00"/>
    <x v="112"/>
    <x v="1"/>
    <n v="0"/>
    <n v="9180"/>
    <x v="3"/>
    <x v="7"/>
    <n v="2025"/>
  </r>
  <r>
    <s v="PAT-3254"/>
    <s v="Linda Hernandez"/>
    <x v="3"/>
    <x v="7"/>
    <x v="0"/>
    <n v="45740"/>
    <x v="2"/>
    <x v="1"/>
    <n v="950"/>
    <n v="1146"/>
    <n v="1567"/>
    <n v="4928"/>
    <n v="8591"/>
    <d v="2025-05-10T00:00:00"/>
    <x v="114"/>
    <x v="0"/>
    <n v="3439"/>
    <n v="5152"/>
    <x v="4"/>
    <x v="10"/>
    <n v="2025"/>
  </r>
  <r>
    <s v="PAT-3255"/>
    <s v="Mark Clark"/>
    <x v="2"/>
    <x v="1"/>
    <x v="4"/>
    <n v="45899"/>
    <x v="0"/>
    <x v="4"/>
    <n v="1262"/>
    <n v="2042"/>
    <n v="672"/>
    <n v="4008"/>
    <n v="7984"/>
    <d v="2025-12-31T00:00:00"/>
    <x v="34"/>
    <x v="0"/>
    <n v="7612"/>
    <n v="372"/>
    <x v="3"/>
    <x v="11"/>
    <n v="2025"/>
  </r>
  <r>
    <s v="PAT-3256"/>
    <s v="Brian Wilson"/>
    <x v="0"/>
    <x v="3"/>
    <x v="4"/>
    <n v="45760"/>
    <x v="1"/>
    <x v="4"/>
    <n v="1525"/>
    <n v="610"/>
    <n v="2633"/>
    <n v="5000"/>
    <n v="9768"/>
    <d v="2025-05-13T00:00:00"/>
    <x v="122"/>
    <x v="0"/>
    <n v="6800"/>
    <n v="2968"/>
    <x v="3"/>
    <x v="0"/>
    <n v="2025"/>
  </r>
  <r>
    <s v="PAT-3257"/>
    <s v="Emily Thomas"/>
    <x v="5"/>
    <x v="4"/>
    <x v="2"/>
    <n v="45846"/>
    <x v="3"/>
    <x v="3"/>
    <n v="1062"/>
    <n v="1362"/>
    <n v="555"/>
    <n v="2200"/>
    <n v="5179"/>
    <d v="2025-07-20T00:00:00"/>
    <x v="125"/>
    <x v="0"/>
    <n v="4911"/>
    <n v="268"/>
    <x v="4"/>
    <x v="1"/>
    <n v="2025"/>
  </r>
  <r>
    <s v="PAT-3258"/>
    <s v="Sandra Brown"/>
    <x v="2"/>
    <x v="3"/>
    <x v="3"/>
    <n v="45860"/>
    <x v="2"/>
    <x v="0"/>
    <n v="740"/>
    <n v="726"/>
    <n v="1912"/>
    <n v="6804"/>
    <n v="10182"/>
    <d v="2025-10-09T00:00:00"/>
    <x v="98"/>
    <x v="0"/>
    <n v="4381"/>
    <n v="5801"/>
    <x v="0"/>
    <x v="1"/>
    <n v="2025"/>
  </r>
  <r>
    <s v="PAT-3259"/>
    <s v="Dorothy Harris"/>
    <x v="0"/>
    <x v="6"/>
    <x v="1"/>
    <n v="45862"/>
    <x v="1"/>
    <x v="0"/>
    <n v="2389"/>
    <n v="3946"/>
    <n v="1331"/>
    <n v="4948"/>
    <n v="12614"/>
    <d v="2025-10-24T00:00:00"/>
    <x v="10"/>
    <x v="1"/>
    <n v="0"/>
    <n v="12614"/>
    <x v="2"/>
    <x v="1"/>
    <n v="2025"/>
  </r>
  <r>
    <s v="PAT-3260"/>
    <s v="Ashley Rodriguez"/>
    <x v="1"/>
    <x v="1"/>
    <x v="0"/>
    <n v="45718"/>
    <x v="0"/>
    <x v="3"/>
    <n v="1040"/>
    <n v="4566"/>
    <n v="733"/>
    <n v="4146"/>
    <n v="10485"/>
    <d v="2025-04-20T00:00:00"/>
    <x v="108"/>
    <x v="1"/>
    <n v="0"/>
    <n v="10485"/>
    <x v="0"/>
    <x v="10"/>
    <n v="2025"/>
  </r>
  <r>
    <s v="PAT-3261"/>
    <s v="Dorothy Ramirez"/>
    <x v="1"/>
    <x v="3"/>
    <x v="0"/>
    <n v="45908"/>
    <x v="1"/>
    <x v="3"/>
    <n v="1345"/>
    <n v="1557"/>
    <n v="1594"/>
    <n v="4006"/>
    <n v="8502"/>
    <d v="2025-11-21T00:00:00"/>
    <x v="13"/>
    <x v="1"/>
    <n v="0"/>
    <n v="8502"/>
    <x v="3"/>
    <x v="3"/>
    <n v="2025"/>
  </r>
  <r>
    <s v="PAT-3262"/>
    <s v="David Rodriguez"/>
    <x v="2"/>
    <x v="6"/>
    <x v="3"/>
    <n v="45679"/>
    <x v="3"/>
    <x v="2"/>
    <n v="736"/>
    <n v="2237"/>
    <n v="815"/>
    <n v="7415"/>
    <n v="11203"/>
    <d v="2025-02-19T00:00:00"/>
    <x v="126"/>
    <x v="1"/>
    <n v="0"/>
    <n v="11203"/>
    <x v="2"/>
    <x v="8"/>
    <n v="2025"/>
  </r>
  <r>
    <s v="PAT-3263"/>
    <s v="Karen Harris"/>
    <x v="3"/>
    <x v="7"/>
    <x v="4"/>
    <n v="45997"/>
    <x v="2"/>
    <x v="4"/>
    <n v="2052"/>
    <n v="657"/>
    <n v="666"/>
    <n v="3000"/>
    <n v="6375"/>
    <d v="2026-03-31T00:00:00"/>
    <x v="87"/>
    <x v="0"/>
    <n v="3000"/>
    <n v="3375"/>
    <x v="1"/>
    <x v="6"/>
    <n v="2025"/>
  </r>
  <r>
    <s v="PAT-3264"/>
    <s v="Michelle Wilson"/>
    <x v="2"/>
    <x v="2"/>
    <x v="2"/>
    <n v="45778"/>
    <x v="1"/>
    <x v="2"/>
    <n v="824"/>
    <n v="2309"/>
    <n v="2328"/>
    <n v="6022"/>
    <n v="11483"/>
    <d v="2025-09-15T00:00:00"/>
    <x v="127"/>
    <x v="1"/>
    <n v="0"/>
    <n v="11483"/>
    <x v="0"/>
    <x v="9"/>
    <n v="2025"/>
  </r>
  <r>
    <s v="PAT-3265"/>
    <s v="Emily Young"/>
    <x v="1"/>
    <x v="6"/>
    <x v="1"/>
    <n v="45854"/>
    <x v="0"/>
    <x v="5"/>
    <n v="2084"/>
    <n v="1164"/>
    <n v="1656"/>
    <n v="9405"/>
    <n v="14309"/>
    <d v="2025-10-14T00:00:00"/>
    <x v="64"/>
    <x v="0"/>
    <n v="7248"/>
    <n v="7061"/>
    <x v="2"/>
    <x v="1"/>
    <n v="2025"/>
  </r>
  <r>
    <s v="PAT-3266"/>
    <s v="William Clark"/>
    <x v="1"/>
    <x v="1"/>
    <x v="1"/>
    <n v="46005"/>
    <x v="3"/>
    <x v="2"/>
    <n v="1629"/>
    <n v="511"/>
    <n v="1961"/>
    <n v="4955"/>
    <n v="9056"/>
    <d v="2026-02-11T00:00:00"/>
    <x v="86"/>
    <x v="1"/>
    <n v="0"/>
    <n v="9056"/>
    <x v="2"/>
    <x v="6"/>
    <n v="2025"/>
  </r>
  <r>
    <s v="PAT-3267"/>
    <s v="James Hernandez"/>
    <x v="4"/>
    <x v="7"/>
    <x v="2"/>
    <n v="45815"/>
    <x v="1"/>
    <x v="1"/>
    <n v="1974"/>
    <n v="780"/>
    <n v="951"/>
    <n v="2967"/>
    <n v="6672"/>
    <d v="2025-08-07T00:00:00"/>
    <x v="103"/>
    <x v="0"/>
    <n v="5907"/>
    <n v="765"/>
    <x v="1"/>
    <x v="7"/>
    <n v="2025"/>
  </r>
  <r>
    <s v="PAT-3268"/>
    <s v="Elizabeth White"/>
    <x v="0"/>
    <x v="6"/>
    <x v="4"/>
    <n v="45692"/>
    <x v="2"/>
    <x v="4"/>
    <n v="636"/>
    <n v="4081"/>
    <n v="2726"/>
    <n v="4423"/>
    <n v="11866"/>
    <d v="2025-04-12T00:00:00"/>
    <x v="128"/>
    <x v="0"/>
    <n v="11842"/>
    <n v="24"/>
    <x v="3"/>
    <x v="2"/>
    <n v="2025"/>
  </r>
  <r>
    <s v="PAT-3269"/>
    <s v="Matthew Martin"/>
    <x v="0"/>
    <x v="0"/>
    <x v="3"/>
    <n v="45735"/>
    <x v="0"/>
    <x v="0"/>
    <n v="2110"/>
    <n v="3531"/>
    <n v="2930"/>
    <n v="2741"/>
    <n v="11312"/>
    <d v="2025-05-16T00:00:00"/>
    <x v="129"/>
    <x v="0"/>
    <n v="7559"/>
    <n v="3753"/>
    <x v="4"/>
    <x v="10"/>
    <n v="2025"/>
  </r>
  <r>
    <s v="PAT-3270"/>
    <s v="Nancy Garcia"/>
    <x v="4"/>
    <x v="7"/>
    <x v="0"/>
    <n v="45659"/>
    <x v="1"/>
    <x v="2"/>
    <n v="1113"/>
    <n v="4383"/>
    <n v="2383"/>
    <n v="8402"/>
    <n v="16281"/>
    <d v="2025-02-04T00:00:00"/>
    <x v="115"/>
    <x v="0"/>
    <n v="3411"/>
    <n v="12870"/>
    <x v="2"/>
    <x v="8"/>
    <n v="2025"/>
  </r>
  <r>
    <s v="PAT-3271"/>
    <s v="Betty Anderson"/>
    <x v="2"/>
    <x v="3"/>
    <x v="3"/>
    <n v="45714"/>
    <x v="3"/>
    <x v="0"/>
    <n v="605"/>
    <n v="4994"/>
    <n v="2560"/>
    <n v="7262"/>
    <n v="15421"/>
    <d v="2025-05-04T00:00:00"/>
    <x v="128"/>
    <x v="1"/>
    <n v="0"/>
    <n v="15421"/>
    <x v="0"/>
    <x v="2"/>
    <n v="2025"/>
  </r>
  <r>
    <s v="PAT-3272"/>
    <s v="Emily Moore"/>
    <x v="0"/>
    <x v="4"/>
    <x v="4"/>
    <n v="45946"/>
    <x v="2"/>
    <x v="0"/>
    <n v="1000"/>
    <n v="850"/>
    <n v="2940"/>
    <n v="8690"/>
    <n v="13480"/>
    <d v="2025-12-01T00:00:00"/>
    <x v="106"/>
    <x v="1"/>
    <n v="0"/>
    <n v="13480"/>
    <x v="4"/>
    <x v="5"/>
    <n v="2025"/>
  </r>
  <r>
    <s v="PAT-3273"/>
    <s v="Mark Martinez"/>
    <x v="0"/>
    <x v="5"/>
    <x v="0"/>
    <n v="45688"/>
    <x v="1"/>
    <x v="4"/>
    <n v="1618"/>
    <n v="2981"/>
    <n v="2090"/>
    <n v="6176"/>
    <n v="12865"/>
    <d v="2025-04-01T00:00:00"/>
    <x v="55"/>
    <x v="0"/>
    <n v="8057"/>
    <n v="4808"/>
    <x v="0"/>
    <x v="8"/>
    <n v="2025"/>
  </r>
  <r>
    <s v="PAT-3274"/>
    <s v="Elizabeth Lewis"/>
    <x v="3"/>
    <x v="7"/>
    <x v="1"/>
    <n v="45871"/>
    <x v="0"/>
    <x v="5"/>
    <n v="1411"/>
    <n v="977"/>
    <n v="1695"/>
    <n v="3000"/>
    <n v="7083"/>
    <d v="2025-08-18T00:00:00"/>
    <x v="17"/>
    <x v="1"/>
    <n v="0"/>
    <n v="7083"/>
    <x v="2"/>
    <x v="11"/>
    <n v="2025"/>
  </r>
  <r>
    <s v="PAT-3275"/>
    <s v="Lisa Rodriguez"/>
    <x v="5"/>
    <x v="6"/>
    <x v="2"/>
    <n v="45896"/>
    <x v="1"/>
    <x v="0"/>
    <n v="1667"/>
    <n v="3291"/>
    <n v="2108"/>
    <n v="1600"/>
    <n v="8666"/>
    <d v="2025-09-16T00:00:00"/>
    <x v="84"/>
    <x v="0"/>
    <n v="3888"/>
    <n v="4778"/>
    <x v="3"/>
    <x v="11"/>
    <n v="2025"/>
  </r>
  <r>
    <s v="PAT-3276"/>
    <s v="Elizabeth Walker"/>
    <x v="2"/>
    <x v="2"/>
    <x v="2"/>
    <n v="45708"/>
    <x v="3"/>
    <x v="0"/>
    <n v="2315"/>
    <n v="2493"/>
    <n v="1845"/>
    <n v="1650"/>
    <n v="8303"/>
    <d v="2025-03-03T00:00:00"/>
    <x v="56"/>
    <x v="0"/>
    <n v="3000"/>
    <n v="5303"/>
    <x v="2"/>
    <x v="2"/>
    <n v="2025"/>
  </r>
  <r>
    <s v="PAT-3277"/>
    <s v="Kimberly White"/>
    <x v="2"/>
    <x v="4"/>
    <x v="1"/>
    <n v="45932"/>
    <x v="2"/>
    <x v="0"/>
    <n v="1903"/>
    <n v="4284"/>
    <n v="2365"/>
    <n v="8346"/>
    <n v="16898"/>
    <d v="2025-12-03T00:00:00"/>
    <x v="120"/>
    <x v="0"/>
    <n v="11651"/>
    <n v="5247"/>
    <x v="2"/>
    <x v="5"/>
    <n v="2025"/>
  </r>
  <r>
    <s v="PAT-3278"/>
    <s v="Michelle Hernandez"/>
    <x v="0"/>
    <x v="0"/>
    <x v="3"/>
    <n v="45675"/>
    <x v="1"/>
    <x v="1"/>
    <n v="1830"/>
    <n v="2722"/>
    <n v="1022"/>
    <n v="2209"/>
    <n v="7783"/>
    <d v="2025-05-14T00:00:00"/>
    <x v="93"/>
    <x v="0"/>
    <n v="3771"/>
    <n v="4012"/>
    <x v="1"/>
    <x v="8"/>
    <n v="2025"/>
  </r>
  <r>
    <s v="PAT-3279"/>
    <s v="Michael Moore"/>
    <x v="2"/>
    <x v="7"/>
    <x v="4"/>
    <n v="46018"/>
    <x v="0"/>
    <x v="5"/>
    <n v="970"/>
    <n v="4304"/>
    <n v="1758"/>
    <n v="6651"/>
    <n v="13683"/>
    <d v="2026-03-31T00:00:00"/>
    <x v="12"/>
    <x v="1"/>
    <n v="0"/>
    <n v="13683"/>
    <x v="4"/>
    <x v="6"/>
    <n v="2025"/>
  </r>
  <r>
    <s v="PAT-3280"/>
    <s v="Emily Johnson"/>
    <x v="4"/>
    <x v="1"/>
    <x v="0"/>
    <n v="45987"/>
    <x v="3"/>
    <x v="5"/>
    <n v="1374"/>
    <n v="3305"/>
    <n v="1497"/>
    <n v="9257"/>
    <n v="15433"/>
    <d v="2026-01-18T00:00:00"/>
    <x v="35"/>
    <x v="1"/>
    <n v="0"/>
    <n v="15433"/>
    <x v="4"/>
    <x v="4"/>
    <n v="2025"/>
  </r>
  <r>
    <s v="PAT-3281"/>
    <s v="Karen Davis"/>
    <x v="0"/>
    <x v="5"/>
    <x v="4"/>
    <n v="45691"/>
    <x v="1"/>
    <x v="1"/>
    <n v="615"/>
    <n v="1183"/>
    <n v="2582"/>
    <n v="1339"/>
    <n v="5719"/>
    <d v="2025-06-24T00:00:00"/>
    <x v="130"/>
    <x v="1"/>
    <n v="0"/>
    <n v="5719"/>
    <x v="3"/>
    <x v="2"/>
    <n v="2025"/>
  </r>
  <r>
    <s v="PAT-3282"/>
    <s v="Anthony Wilson"/>
    <x v="4"/>
    <x v="2"/>
    <x v="0"/>
    <n v="45831"/>
    <x v="2"/>
    <x v="3"/>
    <n v="1447"/>
    <n v="3223"/>
    <n v="2588"/>
    <n v="5990"/>
    <n v="13248"/>
    <d v="2025-08-03T00:00:00"/>
    <x v="28"/>
    <x v="0"/>
    <n v="13068"/>
    <n v="180"/>
    <x v="2"/>
    <x v="7"/>
    <n v="2025"/>
  </r>
  <r>
    <s v="PAT-3283"/>
    <s v="Emily Moore"/>
    <x v="0"/>
    <x v="5"/>
    <x v="1"/>
    <n v="45949"/>
    <x v="0"/>
    <x v="4"/>
    <n v="659"/>
    <n v="3811"/>
    <n v="2289"/>
    <n v="9543"/>
    <n v="16302"/>
    <d v="2026-01-05T00:00:00"/>
    <x v="62"/>
    <x v="1"/>
    <n v="0"/>
    <n v="16302"/>
    <x v="4"/>
    <x v="5"/>
    <n v="2025"/>
  </r>
  <r>
    <s v="PAT-3284"/>
    <s v="Daniel Perez"/>
    <x v="5"/>
    <x v="6"/>
    <x v="2"/>
    <n v="45872"/>
    <x v="1"/>
    <x v="1"/>
    <n v="965"/>
    <n v="4371"/>
    <n v="2054"/>
    <n v="3120"/>
    <n v="10510"/>
    <d v="2025-10-30T00:00:00"/>
    <x v="42"/>
    <x v="0"/>
    <n v="7654"/>
    <n v="2856"/>
    <x v="1"/>
    <x v="11"/>
    <n v="2025"/>
  </r>
  <r>
    <s v="PAT-3285"/>
    <s v="Michelle Harris"/>
    <x v="4"/>
    <x v="7"/>
    <x v="3"/>
    <n v="45916"/>
    <x v="3"/>
    <x v="0"/>
    <n v="1600"/>
    <n v="3888"/>
    <n v="392"/>
    <n v="5186"/>
    <n v="11066"/>
    <d v="2025-10-31T00:00:00"/>
    <x v="69"/>
    <x v="1"/>
    <n v="0"/>
    <n v="11066"/>
    <x v="3"/>
    <x v="3"/>
    <n v="2025"/>
  </r>
  <r>
    <s v="PAT-3286"/>
    <s v="Robert Johnson"/>
    <x v="0"/>
    <x v="5"/>
    <x v="3"/>
    <n v="45818"/>
    <x v="2"/>
    <x v="5"/>
    <n v="1279"/>
    <n v="1637"/>
    <n v="1185"/>
    <n v="4236"/>
    <n v="8337"/>
    <d v="2025-08-16T00:00:00"/>
    <x v="128"/>
    <x v="0"/>
    <n v="3858"/>
    <n v="4479"/>
    <x v="2"/>
    <x v="7"/>
    <n v="2025"/>
  </r>
  <r>
    <s v="PAT-3287"/>
    <s v="Susan Harris"/>
    <x v="5"/>
    <x v="6"/>
    <x v="2"/>
    <n v="45889"/>
    <x v="1"/>
    <x v="1"/>
    <n v="2373"/>
    <n v="4378"/>
    <n v="757"/>
    <n v="6894"/>
    <n v="14402"/>
    <d v="2025-11-13T00:00:00"/>
    <x v="131"/>
    <x v="0"/>
    <n v="5273"/>
    <n v="9129"/>
    <x v="2"/>
    <x v="11"/>
    <n v="2025"/>
  </r>
  <r>
    <s v="PAT-3288"/>
    <s v="Mark Jones"/>
    <x v="2"/>
    <x v="7"/>
    <x v="4"/>
    <n v="45815"/>
    <x v="0"/>
    <x v="4"/>
    <n v="1523"/>
    <n v="3153"/>
    <n v="1925"/>
    <n v="1700"/>
    <n v="8301"/>
    <d v="2025-07-03T00:00:00"/>
    <x v="33"/>
    <x v="0"/>
    <n v="6899"/>
    <n v="1402"/>
    <x v="3"/>
    <x v="7"/>
    <n v="2025"/>
  </r>
  <r>
    <s v="PAT-3289"/>
    <s v="Thomas Young"/>
    <x v="3"/>
    <x v="7"/>
    <x v="0"/>
    <n v="46011"/>
    <x v="1"/>
    <x v="1"/>
    <n v="2096"/>
    <n v="4540"/>
    <n v="1991"/>
    <n v="4603"/>
    <n v="13230"/>
    <d v="2026-03-11T00:00:00"/>
    <x v="80"/>
    <x v="0"/>
    <n v="4456"/>
    <n v="8774"/>
    <x v="4"/>
    <x v="6"/>
    <n v="2025"/>
  </r>
  <r>
    <s v="PAT-3290"/>
    <s v="Joshua Johnson"/>
    <x v="2"/>
    <x v="6"/>
    <x v="1"/>
    <n v="45869"/>
    <x v="3"/>
    <x v="1"/>
    <n v="2386"/>
    <n v="3816"/>
    <n v="1399"/>
    <n v="3460"/>
    <n v="11061"/>
    <d v="2025-12-06T00:00:00"/>
    <x v="132"/>
    <x v="0"/>
    <n v="4818"/>
    <n v="6243"/>
    <x v="0"/>
    <x v="1"/>
    <n v="2025"/>
  </r>
  <r>
    <s v="PAT-3291"/>
    <s v="Joshua Clark"/>
    <x v="3"/>
    <x v="2"/>
    <x v="1"/>
    <n v="45874"/>
    <x v="2"/>
    <x v="5"/>
    <n v="2213"/>
    <n v="3914"/>
    <n v="1782"/>
    <n v="9501"/>
    <n v="17410"/>
    <d v="2025-10-19T00:00:00"/>
    <x v="24"/>
    <x v="1"/>
    <n v="0"/>
    <n v="17410"/>
    <x v="4"/>
    <x v="11"/>
    <n v="2025"/>
  </r>
  <r>
    <s v="PAT-3292"/>
    <s v="Kimberly Rodriguez"/>
    <x v="3"/>
    <x v="7"/>
    <x v="3"/>
    <n v="45971"/>
    <x v="1"/>
    <x v="5"/>
    <n v="1458"/>
    <n v="3651"/>
    <n v="700"/>
    <n v="3677"/>
    <n v="9486"/>
    <d v="2026-01-30T00:00:00"/>
    <x v="80"/>
    <x v="0"/>
    <n v="7551"/>
    <n v="1935"/>
    <x v="3"/>
    <x v="4"/>
    <n v="2025"/>
  </r>
  <r>
    <s v="PAT-3293"/>
    <s v="Nancy Johnson"/>
    <x v="1"/>
    <x v="2"/>
    <x v="0"/>
    <n v="45700"/>
    <x v="0"/>
    <x v="0"/>
    <n v="999"/>
    <n v="2884"/>
    <n v="1724"/>
    <n v="7548"/>
    <n v="13155"/>
    <d v="2025-06-23T00:00:00"/>
    <x v="75"/>
    <x v="0"/>
    <n v="12596"/>
    <n v="559"/>
    <x v="1"/>
    <x v="2"/>
    <n v="2025"/>
  </r>
  <r>
    <s v="PAT-3294"/>
    <s v="Michelle Martin"/>
    <x v="4"/>
    <x v="7"/>
    <x v="4"/>
    <n v="45853"/>
    <x v="3"/>
    <x v="0"/>
    <n v="1011"/>
    <n v="2099"/>
    <n v="2400"/>
    <n v="8159"/>
    <n v="13669"/>
    <d v="2025-09-23T00:00:00"/>
    <x v="6"/>
    <x v="0"/>
    <n v="11968"/>
    <n v="1701"/>
    <x v="3"/>
    <x v="1"/>
    <n v="2025"/>
  </r>
  <r>
    <s v="PAT-3295"/>
    <s v="Michelle Lee"/>
    <x v="0"/>
    <x v="0"/>
    <x v="2"/>
    <n v="45761"/>
    <x v="1"/>
    <x v="0"/>
    <n v="1024"/>
    <n v="800"/>
    <n v="1255"/>
    <n v="6800"/>
    <n v="9879"/>
    <d v="2025-05-13T00:00:00"/>
    <x v="71"/>
    <x v="0"/>
    <n v="9831"/>
    <n v="48"/>
    <x v="1"/>
    <x v="0"/>
    <n v="2025"/>
  </r>
  <r>
    <s v="PAT-3296"/>
    <s v="Richard Young"/>
    <x v="1"/>
    <x v="3"/>
    <x v="4"/>
    <n v="45799"/>
    <x v="2"/>
    <x v="3"/>
    <n v="1410"/>
    <n v="1511"/>
    <n v="1584"/>
    <n v="2893"/>
    <n v="7398"/>
    <d v="2025-08-30T00:00:00"/>
    <x v="79"/>
    <x v="0"/>
    <n v="6212"/>
    <n v="1186"/>
    <x v="1"/>
    <x v="9"/>
    <n v="2025"/>
  </r>
  <r>
    <s v="PAT-3297"/>
    <s v="Thomas Walker"/>
    <x v="1"/>
    <x v="1"/>
    <x v="1"/>
    <n v="45798"/>
    <x v="0"/>
    <x v="5"/>
    <n v="1265"/>
    <n v="4719"/>
    <n v="2557"/>
    <n v="1000"/>
    <n v="9541"/>
    <d v="2025-06-05T00:00:00"/>
    <x v="88"/>
    <x v="0"/>
    <n v="5369"/>
    <n v="4172"/>
    <x v="3"/>
    <x v="9"/>
    <n v="2025"/>
  </r>
  <r>
    <s v="PAT-3298"/>
    <s v="Kimberly Smith"/>
    <x v="2"/>
    <x v="6"/>
    <x v="2"/>
    <n v="45992"/>
    <x v="1"/>
    <x v="1"/>
    <n v="1035"/>
    <n v="2230"/>
    <n v="2619"/>
    <n v="800"/>
    <n v="6684"/>
    <d v="2025-12-19T00:00:00"/>
    <x v="3"/>
    <x v="1"/>
    <n v="0"/>
    <n v="6684"/>
    <x v="0"/>
    <x v="6"/>
    <n v="2025"/>
  </r>
  <r>
    <s v="PAT-3299"/>
    <s v="Betty Robinson"/>
    <x v="2"/>
    <x v="6"/>
    <x v="3"/>
    <n v="45660"/>
    <x v="3"/>
    <x v="2"/>
    <n v="827"/>
    <n v="599"/>
    <n v="2128"/>
    <n v="1897"/>
    <n v="5451"/>
    <d v="2025-04-18T00:00:00"/>
    <x v="27"/>
    <x v="0"/>
    <n v="2551"/>
    <n v="2900"/>
    <x v="1"/>
    <x v="8"/>
    <n v="2025"/>
  </r>
  <r>
    <s v="PAT-3300"/>
    <s v="Elizabeth Brown"/>
    <x v="4"/>
    <x v="4"/>
    <x v="0"/>
    <n v="45833"/>
    <x v="2"/>
    <x v="1"/>
    <n v="1055"/>
    <n v="2679"/>
    <n v="2798"/>
    <n v="4675"/>
    <n v="11207"/>
    <d v="2025-10-07T00:00:00"/>
    <x v="38"/>
    <x v="0"/>
    <n v="2819"/>
    <n v="8388"/>
    <x v="2"/>
    <x v="7"/>
    <n v="2025"/>
  </r>
  <r>
    <s v="PAT-3301"/>
    <s v="Anthony Garcia"/>
    <x v="1"/>
    <x v="2"/>
    <x v="3"/>
    <n v="45712"/>
    <x v="1"/>
    <x v="5"/>
    <n v="2306"/>
    <n v="2439"/>
    <n v="848"/>
    <n v="4524"/>
    <n v="10117"/>
    <d v="2025-05-15T00:00:00"/>
    <x v="133"/>
    <x v="0"/>
    <n v="1400"/>
    <n v="8717"/>
    <x v="3"/>
    <x v="2"/>
    <n v="2025"/>
  </r>
  <r>
    <s v="PAT-3302"/>
    <s v="Barbara Davis"/>
    <x v="0"/>
    <x v="5"/>
    <x v="2"/>
    <n v="45676"/>
    <x v="0"/>
    <x v="0"/>
    <n v="1700"/>
    <n v="3200"/>
    <n v="445"/>
    <n v="6121"/>
    <n v="11466"/>
    <d v="2025-02-16T00:00:00"/>
    <x v="126"/>
    <x v="0"/>
    <n v="6421"/>
    <n v="5045"/>
    <x v="2"/>
    <x v="8"/>
    <n v="2025"/>
  </r>
  <r>
    <s v="PAT-3303"/>
    <s v="William Rodriguez"/>
    <x v="0"/>
    <x v="4"/>
    <x v="1"/>
    <n v="45729"/>
    <x v="1"/>
    <x v="5"/>
    <n v="1914"/>
    <n v="1941"/>
    <n v="2570"/>
    <n v="2500"/>
    <n v="8925"/>
    <d v="2025-07-03T00:00:00"/>
    <x v="91"/>
    <x v="1"/>
    <n v="0"/>
    <n v="8925"/>
    <x v="3"/>
    <x v="10"/>
    <n v="2025"/>
  </r>
  <r>
    <s v="PAT-3304"/>
    <s v="Robert Lee"/>
    <x v="5"/>
    <x v="6"/>
    <x v="1"/>
    <n v="45954"/>
    <x v="3"/>
    <x v="5"/>
    <n v="1895"/>
    <n v="3235"/>
    <n v="900"/>
    <n v="3800"/>
    <n v="9830"/>
    <d v="2025-11-22T00:00:00"/>
    <x v="71"/>
    <x v="0"/>
    <n v="6729"/>
    <n v="3101"/>
    <x v="2"/>
    <x v="5"/>
    <n v="2025"/>
  </r>
  <r>
    <s v="PAT-3305"/>
    <s v="Karen Williams"/>
    <x v="4"/>
    <x v="4"/>
    <x v="3"/>
    <n v="45763"/>
    <x v="2"/>
    <x v="2"/>
    <n v="1420"/>
    <n v="4255"/>
    <n v="2136"/>
    <n v="2006"/>
    <n v="9817"/>
    <d v="2025-07-11T00:00:00"/>
    <x v="37"/>
    <x v="1"/>
    <n v="0"/>
    <n v="9817"/>
    <x v="2"/>
    <x v="0"/>
    <n v="2025"/>
  </r>
  <r>
    <s v="PAT-3306"/>
    <s v="Barbara Clark"/>
    <x v="5"/>
    <x v="5"/>
    <x v="2"/>
    <n v="45777"/>
    <x v="1"/>
    <x v="2"/>
    <n v="913"/>
    <n v="3883"/>
    <n v="1647"/>
    <n v="5276"/>
    <n v="11719"/>
    <d v="2025-09-21T00:00:00"/>
    <x v="7"/>
    <x v="1"/>
    <n v="0"/>
    <n v="11719"/>
    <x v="4"/>
    <x v="0"/>
    <n v="2025"/>
  </r>
  <r>
    <s v="PAT-3307"/>
    <s v="Matthew Anderson"/>
    <x v="4"/>
    <x v="7"/>
    <x v="0"/>
    <n v="46013"/>
    <x v="0"/>
    <x v="5"/>
    <n v="2146"/>
    <n v="1031"/>
    <n v="2648"/>
    <n v="6208"/>
    <n v="12033"/>
    <d v="2026-03-31T00:00:00"/>
    <x v="72"/>
    <x v="1"/>
    <n v="0"/>
    <n v="12033"/>
    <x v="1"/>
    <x v="6"/>
    <n v="2025"/>
  </r>
  <r>
    <s v="PAT-3308"/>
    <s v="Joseph Moore"/>
    <x v="2"/>
    <x v="1"/>
    <x v="4"/>
    <n v="45961"/>
    <x v="3"/>
    <x v="2"/>
    <n v="1897"/>
    <n v="580"/>
    <n v="2312"/>
    <n v="1200"/>
    <n v="5989"/>
    <d v="2025-11-09T00:00:00"/>
    <x v="102"/>
    <x v="1"/>
    <n v="0"/>
    <n v="5989"/>
    <x v="4"/>
    <x v="5"/>
    <n v="2025"/>
  </r>
  <r>
    <s v="PAT-3309"/>
    <s v="David Thomas"/>
    <x v="0"/>
    <x v="0"/>
    <x v="4"/>
    <n v="46021"/>
    <x v="1"/>
    <x v="0"/>
    <n v="991"/>
    <n v="1993"/>
    <n v="2927"/>
    <n v="5186"/>
    <n v="11097"/>
    <d v="2026-03-31T00:00:00"/>
    <x v="18"/>
    <x v="0"/>
    <n v="6577"/>
    <n v="4520"/>
    <x v="4"/>
    <x v="6"/>
    <n v="2025"/>
  </r>
  <r>
    <s v="PAT-3310"/>
    <s v="Daniel Johnson"/>
    <x v="1"/>
    <x v="3"/>
    <x v="2"/>
    <n v="45997"/>
    <x v="2"/>
    <x v="4"/>
    <n v="2052"/>
    <n v="2810"/>
    <n v="1339"/>
    <n v="6301"/>
    <n v="12502"/>
    <d v="2026-02-02T00:00:00"/>
    <x v="129"/>
    <x v="0"/>
    <n v="6401"/>
    <n v="6101"/>
    <x v="1"/>
    <x v="6"/>
    <n v="2025"/>
  </r>
  <r>
    <s v="PAT-3311"/>
    <s v="Anthony Johnson"/>
    <x v="4"/>
    <x v="7"/>
    <x v="3"/>
    <n v="45818"/>
    <x v="0"/>
    <x v="3"/>
    <n v="1551"/>
    <n v="2476"/>
    <n v="771"/>
    <n v="2900"/>
    <n v="7698"/>
    <d v="2025-07-19T00:00:00"/>
    <x v="43"/>
    <x v="0"/>
    <n v="6700"/>
    <n v="998"/>
    <x v="2"/>
    <x v="7"/>
    <n v="2025"/>
  </r>
  <r>
    <s v="PAT-3312"/>
    <s v="Carol Brown"/>
    <x v="1"/>
    <x v="2"/>
    <x v="1"/>
    <n v="45973"/>
    <x v="1"/>
    <x v="0"/>
    <n v="2323"/>
    <n v="633"/>
    <n v="2226"/>
    <n v="5073"/>
    <n v="10255"/>
    <d v="2026-03-31T00:00:00"/>
    <x v="134"/>
    <x v="1"/>
    <n v="0"/>
    <n v="10255"/>
    <x v="2"/>
    <x v="4"/>
    <n v="2025"/>
  </r>
  <r>
    <s v="PAT-3313"/>
    <s v="Mark Brown"/>
    <x v="2"/>
    <x v="7"/>
    <x v="0"/>
    <n v="45832"/>
    <x v="3"/>
    <x v="2"/>
    <n v="996"/>
    <n v="1440"/>
    <n v="2796"/>
    <n v="3995"/>
    <n v="9227"/>
    <d v="2025-08-12T00:00:00"/>
    <x v="108"/>
    <x v="1"/>
    <n v="0"/>
    <n v="9227"/>
    <x v="4"/>
    <x v="7"/>
    <n v="2025"/>
  </r>
  <r>
    <s v="PAT-3314"/>
    <s v="Elizabeth Taylor"/>
    <x v="5"/>
    <x v="6"/>
    <x v="0"/>
    <n v="45955"/>
    <x v="2"/>
    <x v="2"/>
    <n v="1586"/>
    <n v="1423"/>
    <n v="339"/>
    <n v="3601"/>
    <n v="6949"/>
    <d v="2026-01-15T00:00:00"/>
    <x v="76"/>
    <x v="1"/>
    <n v="0"/>
    <n v="6949"/>
    <x v="0"/>
    <x v="5"/>
    <n v="2025"/>
  </r>
  <r>
    <s v="PAT-3315"/>
    <s v="Brian Lewis"/>
    <x v="1"/>
    <x v="1"/>
    <x v="3"/>
    <n v="45728"/>
    <x v="1"/>
    <x v="3"/>
    <n v="829"/>
    <n v="4757"/>
    <n v="1068"/>
    <n v="2554"/>
    <n v="9208"/>
    <d v="2025-06-13T00:00:00"/>
    <x v="85"/>
    <x v="1"/>
    <n v="0"/>
    <n v="9208"/>
    <x v="1"/>
    <x v="10"/>
    <n v="2025"/>
  </r>
  <r>
    <s v="PAT-3316"/>
    <s v="Joseph Perez"/>
    <x v="2"/>
    <x v="3"/>
    <x v="4"/>
    <n v="45957"/>
    <x v="0"/>
    <x v="1"/>
    <n v="1264"/>
    <n v="4638"/>
    <n v="2753"/>
    <n v="7340"/>
    <n v="15995"/>
    <d v="2026-03-23T00:00:00"/>
    <x v="20"/>
    <x v="0"/>
    <n v="3959"/>
    <n v="12036"/>
    <x v="0"/>
    <x v="5"/>
    <n v="2025"/>
  </r>
  <r>
    <s v="PAT-3317"/>
    <s v="Anthony Walker"/>
    <x v="2"/>
    <x v="2"/>
    <x v="2"/>
    <n v="45972"/>
    <x v="1"/>
    <x v="1"/>
    <n v="773"/>
    <n v="968"/>
    <n v="1726"/>
    <n v="5839"/>
    <n v="9306"/>
    <d v="2026-02-03T00:00:00"/>
    <x v="63"/>
    <x v="1"/>
    <n v="0"/>
    <n v="9306"/>
    <x v="1"/>
    <x v="4"/>
    <n v="2025"/>
  </r>
  <r>
    <s v="PAT-3318"/>
    <s v="Brian Lewis"/>
    <x v="1"/>
    <x v="3"/>
    <x v="1"/>
    <n v="45885"/>
    <x v="3"/>
    <x v="4"/>
    <n v="2027"/>
    <n v="1800"/>
    <n v="2052"/>
    <n v="1350"/>
    <n v="7229"/>
    <d v="2025-08-25T00:00:00"/>
    <x v="102"/>
    <x v="1"/>
    <n v="0"/>
    <n v="7229"/>
    <x v="4"/>
    <x v="11"/>
    <n v="2025"/>
  </r>
  <r>
    <s v="PAT-3319"/>
    <s v="Brian Ramirez"/>
    <x v="1"/>
    <x v="0"/>
    <x v="1"/>
    <n v="45864"/>
    <x v="2"/>
    <x v="0"/>
    <n v="2114"/>
    <n v="3497"/>
    <n v="2402"/>
    <n v="2679"/>
    <n v="10692"/>
    <d v="2025-10-20T00:00:00"/>
    <x v="37"/>
    <x v="1"/>
    <n v="0"/>
    <n v="10692"/>
    <x v="0"/>
    <x v="1"/>
    <n v="2025"/>
  </r>
  <r>
    <s v="PAT-3320"/>
    <s v="James Wilson"/>
    <x v="1"/>
    <x v="1"/>
    <x v="2"/>
    <n v="45685"/>
    <x v="1"/>
    <x v="3"/>
    <n v="1587"/>
    <n v="943"/>
    <n v="2109"/>
    <n v="8862"/>
    <n v="13501"/>
    <d v="2025-06-08T00:00:00"/>
    <x v="75"/>
    <x v="1"/>
    <n v="0"/>
    <n v="13501"/>
    <x v="4"/>
    <x v="8"/>
    <n v="2025"/>
  </r>
  <r>
    <s v="PAT-3321"/>
    <s v="Ashley Jackson"/>
    <x v="1"/>
    <x v="0"/>
    <x v="4"/>
    <n v="45688"/>
    <x v="0"/>
    <x v="5"/>
    <n v="1776"/>
    <n v="1200"/>
    <n v="2795"/>
    <n v="1050"/>
    <n v="6821"/>
    <d v="2025-02-22T00:00:00"/>
    <x v="135"/>
    <x v="1"/>
    <n v="0"/>
    <n v="6821"/>
    <x v="4"/>
    <x v="8"/>
    <n v="2025"/>
  </r>
  <r>
    <s v="PAT-3322"/>
    <s v="James Thomas"/>
    <x v="2"/>
    <x v="6"/>
    <x v="3"/>
    <n v="45869"/>
    <x v="3"/>
    <x v="2"/>
    <n v="1071"/>
    <n v="3996"/>
    <n v="609"/>
    <n v="9911"/>
    <n v="15587"/>
    <d v="2025-11-20T00:00:00"/>
    <x v="91"/>
    <x v="1"/>
    <n v="0"/>
    <n v="15587"/>
    <x v="2"/>
    <x v="1"/>
    <n v="2025"/>
  </r>
  <r>
    <s v="PAT-3323"/>
    <s v="Susan Lee"/>
    <x v="3"/>
    <x v="7"/>
    <x v="0"/>
    <n v="45864"/>
    <x v="1"/>
    <x v="0"/>
    <n v="2347"/>
    <n v="2354"/>
    <n v="2092"/>
    <n v="3310"/>
    <n v="10103"/>
    <d v="2025-12-06T00:00:00"/>
    <x v="61"/>
    <x v="0"/>
    <n v="4247"/>
    <n v="5856"/>
    <x v="3"/>
    <x v="1"/>
    <n v="2025"/>
  </r>
  <r>
    <s v="PAT-3324"/>
    <s v="Betty Jones"/>
    <x v="3"/>
    <x v="7"/>
    <x v="2"/>
    <n v="45789"/>
    <x v="2"/>
    <x v="2"/>
    <n v="1774"/>
    <n v="2417"/>
    <n v="581"/>
    <n v="3130"/>
    <n v="7902"/>
    <d v="2025-07-05T00:00:00"/>
    <x v="65"/>
    <x v="0"/>
    <n v="7392"/>
    <n v="510"/>
    <x v="4"/>
    <x v="9"/>
    <n v="2025"/>
  </r>
  <r>
    <s v="PAT-3325"/>
    <s v="Lisa Martinez"/>
    <x v="3"/>
    <x v="7"/>
    <x v="4"/>
    <n v="45916"/>
    <x v="0"/>
    <x v="5"/>
    <n v="2424"/>
    <n v="3068"/>
    <n v="1054"/>
    <n v="9447"/>
    <n v="15993"/>
    <d v="2025-11-10T00:00:00"/>
    <x v="124"/>
    <x v="1"/>
    <n v="0"/>
    <n v="15993"/>
    <x v="2"/>
    <x v="3"/>
    <n v="2025"/>
  </r>
  <r>
    <s v="PAT-3326"/>
    <s v="Ashley Martin"/>
    <x v="4"/>
    <x v="7"/>
    <x v="0"/>
    <n v="45994"/>
    <x v="1"/>
    <x v="5"/>
    <n v="1300"/>
    <n v="1800"/>
    <n v="1356"/>
    <n v="2042"/>
    <n v="6498"/>
    <d v="2026-03-27T00:00:00"/>
    <x v="54"/>
    <x v="1"/>
    <n v="0"/>
    <n v="6498"/>
    <x v="4"/>
    <x v="6"/>
    <n v="2025"/>
  </r>
  <r>
    <s v="PAT-3327"/>
    <s v="Kevin Lopez"/>
    <x v="3"/>
    <x v="0"/>
    <x v="1"/>
    <n v="45855"/>
    <x v="3"/>
    <x v="5"/>
    <n v="2213"/>
    <n v="1038"/>
    <n v="2418"/>
    <n v="6844"/>
    <n v="12513"/>
    <d v="2025-10-21T00:00:00"/>
    <x v="82"/>
    <x v="0"/>
    <n v="9190"/>
    <n v="3323"/>
    <x v="2"/>
    <x v="1"/>
    <n v="2025"/>
  </r>
  <r>
    <s v="PAT-3328"/>
    <s v="Betty Harris"/>
    <x v="4"/>
    <x v="1"/>
    <x v="1"/>
    <n v="45951"/>
    <x v="2"/>
    <x v="0"/>
    <n v="2108"/>
    <n v="1000"/>
    <n v="2054"/>
    <n v="1150"/>
    <n v="6312"/>
    <d v="2025-11-05T00:00:00"/>
    <x v="88"/>
    <x v="0"/>
    <n v="483"/>
    <n v="5829"/>
    <x v="2"/>
    <x v="5"/>
    <n v="2025"/>
  </r>
  <r>
    <s v="PAT-3329"/>
    <s v="Linda Jackson"/>
    <x v="1"/>
    <x v="2"/>
    <x v="3"/>
    <n v="45835"/>
    <x v="1"/>
    <x v="4"/>
    <n v="1661"/>
    <n v="2948"/>
    <n v="1621"/>
    <n v="6786"/>
    <n v="13016"/>
    <d v="2025-09-01T00:00:00"/>
    <x v="51"/>
    <x v="1"/>
    <n v="0"/>
    <n v="13016"/>
    <x v="0"/>
    <x v="7"/>
    <n v="2025"/>
  </r>
  <r>
    <s v="PAT-3330"/>
    <s v="Matthew Clark"/>
    <x v="5"/>
    <x v="5"/>
    <x v="0"/>
    <n v="46020"/>
    <x v="0"/>
    <x v="2"/>
    <n v="1229"/>
    <n v="3466"/>
    <n v="712"/>
    <n v="5551"/>
    <n v="10958"/>
    <d v="2026-03-31T00:00:00"/>
    <x v="10"/>
    <x v="1"/>
    <n v="0"/>
    <n v="10958"/>
    <x v="0"/>
    <x v="6"/>
    <n v="2025"/>
  </r>
  <r>
    <s v="PAT-3331"/>
    <s v="Christopher Johnson"/>
    <x v="2"/>
    <x v="2"/>
    <x v="4"/>
    <n v="45980"/>
    <x v="1"/>
    <x v="4"/>
    <n v="834"/>
    <n v="1310"/>
    <n v="2944"/>
    <n v="1400"/>
    <n v="6488"/>
    <d v="2025-11-25T00:00:00"/>
    <x v="99"/>
    <x v="0"/>
    <n v="2061"/>
    <n v="4427"/>
    <x v="3"/>
    <x v="4"/>
    <n v="2025"/>
  </r>
  <r>
    <s v="PAT-3332"/>
    <s v="Sarah Davis"/>
    <x v="1"/>
    <x v="2"/>
    <x v="2"/>
    <n v="45683"/>
    <x v="3"/>
    <x v="5"/>
    <n v="1591"/>
    <n v="4494"/>
    <n v="537"/>
    <n v="3000"/>
    <n v="9622"/>
    <d v="2025-02-22T00:00:00"/>
    <x v="15"/>
    <x v="1"/>
    <n v="0"/>
    <n v="9622"/>
    <x v="2"/>
    <x v="8"/>
    <n v="2025"/>
  </r>
  <r>
    <s v="PAT-3333"/>
    <s v="Susan Martin"/>
    <x v="4"/>
    <x v="1"/>
    <x v="4"/>
    <n v="45879"/>
    <x v="2"/>
    <x v="2"/>
    <n v="1609"/>
    <n v="2107"/>
    <n v="1076"/>
    <n v="7764"/>
    <n v="12556"/>
    <d v="2025-11-07T00:00:00"/>
    <x v="94"/>
    <x v="1"/>
    <n v="0"/>
    <n v="12556"/>
    <x v="1"/>
    <x v="11"/>
    <n v="2025"/>
  </r>
  <r>
    <s v="PAT-3334"/>
    <s v="Michelle Garcia"/>
    <x v="5"/>
    <x v="3"/>
    <x v="1"/>
    <n v="45912"/>
    <x v="1"/>
    <x v="0"/>
    <n v="1890"/>
    <n v="4167"/>
    <n v="595"/>
    <n v="3144"/>
    <n v="9796"/>
    <d v="2025-11-03T00:00:00"/>
    <x v="44"/>
    <x v="1"/>
    <n v="0"/>
    <n v="9796"/>
    <x v="4"/>
    <x v="3"/>
    <n v="2025"/>
  </r>
  <r>
    <s v="PAT-3335"/>
    <s v="Matthew Garcia"/>
    <x v="0"/>
    <x v="5"/>
    <x v="2"/>
    <n v="45706"/>
    <x v="0"/>
    <x v="0"/>
    <n v="1856"/>
    <n v="3458"/>
    <n v="1127"/>
    <n v="1841"/>
    <n v="8282"/>
    <d v="2025-05-02T00:00:00"/>
    <x v="113"/>
    <x v="0"/>
    <n v="2722"/>
    <n v="5560"/>
    <x v="3"/>
    <x v="2"/>
    <n v="2025"/>
  </r>
  <r>
    <s v="PAT-3336"/>
    <s v="David Clark"/>
    <x v="1"/>
    <x v="2"/>
    <x v="3"/>
    <n v="45661"/>
    <x v="3"/>
    <x v="2"/>
    <n v="520"/>
    <n v="4406"/>
    <n v="2746"/>
    <n v="2268"/>
    <n v="9940"/>
    <d v="2025-05-23T00:00:00"/>
    <x v="134"/>
    <x v="1"/>
    <n v="0"/>
    <n v="9940"/>
    <x v="0"/>
    <x v="8"/>
    <n v="2025"/>
  </r>
  <r>
    <s v="PAT-3337"/>
    <s v="Andrew Moore"/>
    <x v="0"/>
    <x v="3"/>
    <x v="0"/>
    <n v="45959"/>
    <x v="1"/>
    <x v="2"/>
    <n v="1608"/>
    <n v="2070"/>
    <n v="1133"/>
    <n v="4000"/>
    <n v="8811"/>
    <d v="2025-12-01T00:00:00"/>
    <x v="115"/>
    <x v="0"/>
    <n v="8263"/>
    <n v="548"/>
    <x v="3"/>
    <x v="5"/>
    <n v="2025"/>
  </r>
  <r>
    <s v="PAT-3338"/>
    <s v="Christopher Davis"/>
    <x v="2"/>
    <x v="2"/>
    <x v="3"/>
    <n v="45838"/>
    <x v="2"/>
    <x v="1"/>
    <n v="1257"/>
    <n v="1992"/>
    <n v="288"/>
    <n v="5654"/>
    <n v="9191"/>
    <d v="2025-08-30T00:00:00"/>
    <x v="103"/>
    <x v="0"/>
    <n v="791"/>
    <n v="8400"/>
    <x v="4"/>
    <x v="7"/>
    <n v="2025"/>
  </r>
  <r>
    <s v="PAT-3339"/>
    <s v="Elizabeth Harris"/>
    <x v="0"/>
    <x v="3"/>
    <x v="2"/>
    <n v="45815"/>
    <x v="0"/>
    <x v="4"/>
    <n v="1663"/>
    <n v="2353"/>
    <n v="2655"/>
    <n v="2594"/>
    <n v="9265"/>
    <d v="2025-07-10T00:00:00"/>
    <x v="115"/>
    <x v="1"/>
    <n v="0"/>
    <n v="9265"/>
    <x v="4"/>
    <x v="7"/>
    <n v="2025"/>
  </r>
  <r>
    <s v="PAT-3340"/>
    <s v="William Perez"/>
    <x v="2"/>
    <x v="2"/>
    <x v="1"/>
    <n v="46023"/>
    <x v="1"/>
    <x v="1"/>
    <n v="786"/>
    <n v="0"/>
    <n v="2506"/>
    <n v="1710"/>
    <n v="5002"/>
    <d v="2026-02-09T00:00:00"/>
    <x v="43"/>
    <x v="0"/>
    <n v="4162"/>
    <n v="840"/>
    <x v="4"/>
    <x v="8"/>
    <n v="2026"/>
  </r>
  <r>
    <s v="PAT-3341"/>
    <s v="Kenneth Smith"/>
    <x v="3"/>
    <x v="7"/>
    <x v="1"/>
    <n v="45765"/>
    <x v="3"/>
    <x v="4"/>
    <n v="1875"/>
    <n v="4221"/>
    <n v="2237"/>
    <n v="3884"/>
    <n v="12217"/>
    <d v="2025-06-29T00:00:00"/>
    <x v="107"/>
    <x v="1"/>
    <n v="0"/>
    <n v="12217"/>
    <x v="1"/>
    <x v="0"/>
    <n v="2025"/>
  </r>
  <r>
    <s v="PAT-3342"/>
    <s v="Sarah Robinson"/>
    <x v="1"/>
    <x v="0"/>
    <x v="3"/>
    <n v="45912"/>
    <x v="2"/>
    <x v="4"/>
    <n v="730"/>
    <n v="4413"/>
    <n v="2823"/>
    <n v="7994"/>
    <n v="15960"/>
    <d v="2025-11-23T00:00:00"/>
    <x v="107"/>
    <x v="0"/>
    <n v="12601"/>
    <n v="3359"/>
    <x v="4"/>
    <x v="3"/>
    <n v="2025"/>
  </r>
  <r>
    <s v="PAT-3343"/>
    <s v="Jennifer Lopez"/>
    <x v="2"/>
    <x v="7"/>
    <x v="2"/>
    <n v="45892"/>
    <x v="1"/>
    <x v="1"/>
    <n v="2315"/>
    <n v="2514"/>
    <n v="588"/>
    <n v="7445"/>
    <n v="12862"/>
    <d v="2025-10-19T00:00:00"/>
    <x v="1"/>
    <x v="0"/>
    <n v="5314"/>
    <n v="7548"/>
    <x v="2"/>
    <x v="11"/>
    <n v="2025"/>
  </r>
  <r>
    <s v="PAT-3344"/>
    <s v="Sandra Robinson"/>
    <x v="4"/>
    <x v="1"/>
    <x v="0"/>
    <n v="45972"/>
    <x v="0"/>
    <x v="1"/>
    <n v="1647"/>
    <n v="1600"/>
    <n v="2157"/>
    <n v="3804"/>
    <n v="9208"/>
    <d v="2026-03-07T00:00:00"/>
    <x v="93"/>
    <x v="0"/>
    <n v="141"/>
    <n v="9067"/>
    <x v="2"/>
    <x v="4"/>
    <n v="2025"/>
  </r>
  <r>
    <s v="PAT-3345"/>
    <s v="Kimberly White"/>
    <x v="3"/>
    <x v="7"/>
    <x v="4"/>
    <n v="45705"/>
    <x v="1"/>
    <x v="2"/>
    <n v="626"/>
    <n v="4215"/>
    <n v="475"/>
    <n v="8953"/>
    <n v="14269"/>
    <d v="2025-05-22T00:00:00"/>
    <x v="12"/>
    <x v="0"/>
    <n v="4342"/>
    <n v="9927"/>
    <x v="2"/>
    <x v="2"/>
    <n v="2025"/>
  </r>
  <r>
    <s v="PAT-3346"/>
    <s v="Susan Jackson"/>
    <x v="0"/>
    <x v="6"/>
    <x v="4"/>
    <n v="45976"/>
    <x v="3"/>
    <x v="1"/>
    <n v="694"/>
    <n v="3085"/>
    <n v="1057"/>
    <n v="3606"/>
    <n v="8442"/>
    <d v="2026-01-10T00:00:00"/>
    <x v="40"/>
    <x v="1"/>
    <n v="0"/>
    <n v="8442"/>
    <x v="0"/>
    <x v="4"/>
    <n v="2025"/>
  </r>
  <r>
    <s v="PAT-3347"/>
    <s v="Robert Martin"/>
    <x v="2"/>
    <x v="2"/>
    <x v="2"/>
    <n v="45930"/>
    <x v="2"/>
    <x v="5"/>
    <n v="2367"/>
    <n v="3189"/>
    <n v="1219"/>
    <n v="100"/>
    <n v="6875"/>
    <d v="2025-10-13T00:00:00"/>
    <x v="110"/>
    <x v="0"/>
    <n v="3433"/>
    <n v="3442"/>
    <x v="4"/>
    <x v="3"/>
    <n v="2025"/>
  </r>
  <r>
    <s v="PAT-3348"/>
    <s v="Brian Robinson"/>
    <x v="0"/>
    <x v="5"/>
    <x v="3"/>
    <n v="45700"/>
    <x v="1"/>
    <x v="3"/>
    <n v="840"/>
    <n v="823"/>
    <n v="2925"/>
    <n v="5425"/>
    <n v="10013"/>
    <d v="2025-03-30T00:00:00"/>
    <x v="106"/>
    <x v="0"/>
    <n v="4765"/>
    <n v="5248"/>
    <x v="4"/>
    <x v="2"/>
    <n v="2025"/>
  </r>
  <r>
    <s v="PAT-3349"/>
    <s v="Andrew Lewis"/>
    <x v="0"/>
    <x v="0"/>
    <x v="1"/>
    <n v="45824"/>
    <x v="0"/>
    <x v="4"/>
    <n v="1152"/>
    <n v="2387"/>
    <n v="1519"/>
    <n v="1980"/>
    <n v="7038"/>
    <d v="2025-11-11T00:00:00"/>
    <x v="29"/>
    <x v="1"/>
    <n v="0"/>
    <n v="7038"/>
    <x v="0"/>
    <x v="7"/>
    <n v="2025"/>
  </r>
  <r>
    <s v="PAT-3350"/>
    <s v="Kenneth Taylor"/>
    <x v="0"/>
    <x v="5"/>
    <x v="0"/>
    <n v="45842"/>
    <x v="3"/>
    <x v="1"/>
    <n v="2496"/>
    <n v="1745"/>
    <n v="2413"/>
    <n v="800"/>
    <n v="7454"/>
    <d v="2025-07-14T00:00:00"/>
    <x v="70"/>
    <x v="0"/>
    <n v="2500"/>
    <n v="4954"/>
    <x v="4"/>
    <x v="1"/>
    <n v="2025"/>
  </r>
  <r>
    <s v="PAT-3351"/>
    <s v="Jennifer Hernandez"/>
    <x v="1"/>
    <x v="2"/>
    <x v="0"/>
    <n v="45876"/>
    <x v="1"/>
    <x v="0"/>
    <n v="1008"/>
    <n v="784"/>
    <n v="835"/>
    <n v="1998"/>
    <n v="4625"/>
    <d v="2025-10-26T00:00:00"/>
    <x v="133"/>
    <x v="0"/>
    <n v="432"/>
    <n v="4193"/>
    <x v="4"/>
    <x v="11"/>
    <n v="2025"/>
  </r>
  <r>
    <s v="PAT-3352"/>
    <s v="Sarah Anderson"/>
    <x v="1"/>
    <x v="1"/>
    <x v="3"/>
    <n v="45777"/>
    <x v="2"/>
    <x v="4"/>
    <n v="1891"/>
    <n v="1934"/>
    <n v="1243"/>
    <n v="7164"/>
    <n v="12232"/>
    <d v="2025-08-26T00:00:00"/>
    <x v="59"/>
    <x v="1"/>
    <n v="0"/>
    <n v="12232"/>
    <x v="2"/>
    <x v="0"/>
    <n v="2025"/>
  </r>
  <r>
    <s v="PAT-3353"/>
    <s v="Mary Martinez"/>
    <x v="1"/>
    <x v="0"/>
    <x v="4"/>
    <n v="45659"/>
    <x v="0"/>
    <x v="5"/>
    <n v="1900"/>
    <n v="2100"/>
    <n v="1599"/>
    <n v="2992"/>
    <n v="8591"/>
    <d v="2025-03-12T00:00:00"/>
    <x v="45"/>
    <x v="1"/>
    <n v="0"/>
    <n v="8591"/>
    <x v="3"/>
    <x v="8"/>
    <n v="2025"/>
  </r>
  <r>
    <s v="PAT-3354"/>
    <s v="Matthew Clark"/>
    <x v="3"/>
    <x v="7"/>
    <x v="2"/>
    <n v="45792"/>
    <x v="1"/>
    <x v="3"/>
    <n v="2314"/>
    <n v="2122"/>
    <n v="1831"/>
    <n v="3843"/>
    <n v="10110"/>
    <d v="2025-08-04T00:00:00"/>
    <x v="80"/>
    <x v="1"/>
    <n v="0"/>
    <n v="10110"/>
    <x v="3"/>
    <x v="9"/>
    <n v="2025"/>
  </r>
  <r>
    <s v="PAT-3355"/>
    <s v="Lisa Thomas"/>
    <x v="2"/>
    <x v="6"/>
    <x v="1"/>
    <n v="45711"/>
    <x v="3"/>
    <x v="2"/>
    <n v="951"/>
    <n v="4031"/>
    <n v="1034"/>
    <n v="7171"/>
    <n v="13187"/>
    <d v="2025-06-27T00:00:00"/>
    <x v="118"/>
    <x v="1"/>
    <n v="0"/>
    <n v="13187"/>
    <x v="1"/>
    <x v="2"/>
    <n v="2025"/>
  </r>
  <r>
    <s v="PAT-3356"/>
    <s v="Thomas Williams"/>
    <x v="2"/>
    <x v="4"/>
    <x v="1"/>
    <n v="45805"/>
    <x v="2"/>
    <x v="0"/>
    <n v="2030"/>
    <n v="2189"/>
    <n v="746"/>
    <n v="900"/>
    <n v="5865"/>
    <d v="2025-06-04T00:00:00"/>
    <x v="57"/>
    <x v="1"/>
    <n v="0"/>
    <n v="5865"/>
    <x v="2"/>
    <x v="9"/>
    <n v="2025"/>
  </r>
  <r>
    <s v="PAT-3357"/>
    <s v="Ashley Martinez"/>
    <x v="3"/>
    <x v="7"/>
    <x v="2"/>
    <n v="45825"/>
    <x v="1"/>
    <x v="4"/>
    <n v="1787"/>
    <n v="3204"/>
    <n v="1110"/>
    <n v="6261"/>
    <n v="12362"/>
    <d v="2025-07-31T00:00:00"/>
    <x v="136"/>
    <x v="1"/>
    <n v="0"/>
    <n v="12362"/>
    <x v="4"/>
    <x v="7"/>
    <n v="2025"/>
  </r>
  <r>
    <s v="PAT-3358"/>
    <s v="Mary Ramirez"/>
    <x v="1"/>
    <x v="6"/>
    <x v="4"/>
    <n v="45835"/>
    <x v="0"/>
    <x v="5"/>
    <n v="2252"/>
    <n v="1149"/>
    <n v="2723"/>
    <n v="5826"/>
    <n v="11950"/>
    <d v="2025-09-05T00:00:00"/>
    <x v="6"/>
    <x v="0"/>
    <n v="2051"/>
    <n v="9899"/>
    <x v="2"/>
    <x v="7"/>
    <n v="2025"/>
  </r>
  <r>
    <s v="PAT-3359"/>
    <s v="Kenneth Miller"/>
    <x v="0"/>
    <x v="5"/>
    <x v="3"/>
    <n v="45830"/>
    <x v="1"/>
    <x v="1"/>
    <n v="746"/>
    <n v="2460"/>
    <n v="501"/>
    <n v="2000"/>
    <n v="5707"/>
    <d v="2025-10-05T00:00:00"/>
    <x v="27"/>
    <x v="1"/>
    <n v="0"/>
    <n v="5707"/>
    <x v="4"/>
    <x v="7"/>
    <n v="2025"/>
  </r>
  <r>
    <s v="PAT-3360"/>
    <s v="Emily Hernandez"/>
    <x v="2"/>
    <x v="3"/>
    <x v="0"/>
    <n v="45668"/>
    <x v="3"/>
    <x v="4"/>
    <n v="926"/>
    <n v="1163"/>
    <n v="1940"/>
    <n v="5479"/>
    <n v="9508"/>
    <d v="2025-02-17T00:00:00"/>
    <x v="66"/>
    <x v="1"/>
    <n v="0"/>
    <n v="9508"/>
    <x v="4"/>
    <x v="8"/>
    <n v="2025"/>
  </r>
  <r>
    <s v="PAT-3361"/>
    <s v="Paul Perez"/>
    <x v="5"/>
    <x v="5"/>
    <x v="4"/>
    <n v="45887"/>
    <x v="2"/>
    <x v="2"/>
    <n v="2402"/>
    <n v="1103"/>
    <n v="891"/>
    <n v="6093"/>
    <n v="10489"/>
    <d v="2025-10-25T00:00:00"/>
    <x v="137"/>
    <x v="1"/>
    <n v="0"/>
    <n v="10489"/>
    <x v="0"/>
    <x v="11"/>
    <n v="2025"/>
  </r>
  <r>
    <s v="PAT-3362"/>
    <s v="James Harris"/>
    <x v="1"/>
    <x v="1"/>
    <x v="4"/>
    <n v="45834"/>
    <x v="1"/>
    <x v="2"/>
    <n v="1020"/>
    <n v="4321"/>
    <n v="1945"/>
    <n v="6243"/>
    <n v="13529"/>
    <d v="2025-11-14T00:00:00"/>
    <x v="130"/>
    <x v="0"/>
    <n v="6398"/>
    <n v="7131"/>
    <x v="3"/>
    <x v="7"/>
    <n v="2025"/>
  </r>
  <r>
    <s v="PAT-3363"/>
    <s v="Kevin Thompson"/>
    <x v="5"/>
    <x v="6"/>
    <x v="2"/>
    <n v="45778"/>
    <x v="0"/>
    <x v="2"/>
    <n v="643"/>
    <n v="4058"/>
    <n v="2093"/>
    <n v="2676"/>
    <n v="9470"/>
    <d v="2025-07-17T00:00:00"/>
    <x v="58"/>
    <x v="1"/>
    <n v="0"/>
    <n v="9470"/>
    <x v="4"/>
    <x v="9"/>
    <n v="2025"/>
  </r>
  <r>
    <s v="PAT-3364"/>
    <s v="Elizabeth Hernandez"/>
    <x v="2"/>
    <x v="6"/>
    <x v="3"/>
    <n v="45704"/>
    <x v="3"/>
    <x v="5"/>
    <n v="1090"/>
    <n v="2411"/>
    <n v="1435"/>
    <n v="6000"/>
    <n v="10936"/>
    <d v="2025-04-01T00:00:00"/>
    <x v="136"/>
    <x v="0"/>
    <n v="36"/>
    <n v="10900"/>
    <x v="3"/>
    <x v="2"/>
    <n v="2025"/>
  </r>
  <r>
    <s v="PAT-3365"/>
    <s v="Anthony White"/>
    <x v="4"/>
    <x v="5"/>
    <x v="1"/>
    <n v="45809"/>
    <x v="1"/>
    <x v="2"/>
    <n v="1550"/>
    <n v="1359"/>
    <n v="2098"/>
    <n v="3000"/>
    <n v="8007"/>
    <d v="2025-07-09T00:00:00"/>
    <x v="83"/>
    <x v="1"/>
    <n v="0"/>
    <n v="8007"/>
    <x v="3"/>
    <x v="7"/>
    <n v="2025"/>
  </r>
  <r>
    <s v="PAT-3366"/>
    <s v="Richard Lewis"/>
    <x v="3"/>
    <x v="7"/>
    <x v="0"/>
    <n v="45949"/>
    <x v="2"/>
    <x v="1"/>
    <n v="536"/>
    <n v="650"/>
    <n v="935"/>
    <n v="3770"/>
    <n v="5891"/>
    <d v="2026-02-11T00:00:00"/>
    <x v="87"/>
    <x v="0"/>
    <n v="3046"/>
    <n v="2845"/>
    <x v="3"/>
    <x v="5"/>
    <n v="2025"/>
  </r>
  <r>
    <s v="PAT-3367"/>
    <s v="Andrew Williams"/>
    <x v="0"/>
    <x v="6"/>
    <x v="0"/>
    <n v="45993"/>
    <x v="0"/>
    <x v="5"/>
    <n v="2003"/>
    <n v="1400"/>
    <n v="1143"/>
    <n v="4444"/>
    <n v="8990"/>
    <d v="2026-03-31T00:00:00"/>
    <x v="117"/>
    <x v="1"/>
    <n v="0"/>
    <n v="8990"/>
    <x v="0"/>
    <x v="6"/>
    <n v="2025"/>
  </r>
  <r>
    <s v="PAT-3368"/>
    <s v="James Wilson"/>
    <x v="4"/>
    <x v="5"/>
    <x v="3"/>
    <n v="45800"/>
    <x v="1"/>
    <x v="2"/>
    <n v="1573"/>
    <n v="500"/>
    <n v="2095"/>
    <n v="850"/>
    <n v="5018"/>
    <d v="2025-06-08T00:00:00"/>
    <x v="17"/>
    <x v="0"/>
    <n v="2239"/>
    <n v="2779"/>
    <x v="4"/>
    <x v="9"/>
    <n v="2025"/>
  </r>
  <r>
    <s v="PAT-3369"/>
    <s v="Brian Garcia"/>
    <x v="1"/>
    <x v="1"/>
    <x v="4"/>
    <n v="45916"/>
    <x v="3"/>
    <x v="1"/>
    <n v="2204"/>
    <n v="2549"/>
    <n v="1447"/>
    <n v="7854"/>
    <n v="14054"/>
    <d v="2025-12-31T00:00:00"/>
    <x v="138"/>
    <x v="1"/>
    <n v="0"/>
    <n v="14054"/>
    <x v="0"/>
    <x v="3"/>
    <n v="2025"/>
  </r>
  <r>
    <s v="PAT-3370"/>
    <s v="Joshua Miller"/>
    <x v="4"/>
    <x v="4"/>
    <x v="2"/>
    <n v="45902"/>
    <x v="2"/>
    <x v="2"/>
    <n v="1889"/>
    <n v="500"/>
    <n v="1171"/>
    <n v="4618"/>
    <n v="8178"/>
    <d v="2025-12-20T00:00:00"/>
    <x v="52"/>
    <x v="1"/>
    <n v="0"/>
    <n v="8178"/>
    <x v="4"/>
    <x v="3"/>
    <n v="2025"/>
  </r>
  <r>
    <s v="PAT-3371"/>
    <s v="Robert Smith"/>
    <x v="3"/>
    <x v="0"/>
    <x v="1"/>
    <n v="45927"/>
    <x v="1"/>
    <x v="4"/>
    <n v="2232"/>
    <n v="2551"/>
    <n v="1850"/>
    <n v="2672"/>
    <n v="9305"/>
    <d v="2025-12-17T00:00:00"/>
    <x v="80"/>
    <x v="1"/>
    <n v="0"/>
    <n v="9305"/>
    <x v="1"/>
    <x v="3"/>
    <n v="2025"/>
  </r>
  <r>
    <s v="PAT-3372"/>
    <s v="Barbara Smith"/>
    <x v="2"/>
    <x v="6"/>
    <x v="1"/>
    <n v="45894"/>
    <x v="0"/>
    <x v="0"/>
    <n v="506"/>
    <n v="1171"/>
    <n v="518"/>
    <n v="8833"/>
    <n v="11028"/>
    <d v="2025-12-31T00:00:00"/>
    <x v="132"/>
    <x v="1"/>
    <n v="0"/>
    <n v="11028"/>
    <x v="4"/>
    <x v="11"/>
    <n v="2025"/>
  </r>
  <r>
    <s v="PAT-3373"/>
    <s v="Sandra Jones"/>
    <x v="1"/>
    <x v="3"/>
    <x v="2"/>
    <n v="45916"/>
    <x v="1"/>
    <x v="5"/>
    <n v="1548"/>
    <n v="600"/>
    <n v="334"/>
    <n v="6657"/>
    <n v="9139"/>
    <d v="2025-12-31T00:00:00"/>
    <x v="138"/>
    <x v="1"/>
    <n v="0"/>
    <n v="9139"/>
    <x v="0"/>
    <x v="3"/>
    <n v="2025"/>
  </r>
  <r>
    <s v="PAT-3374"/>
    <s v="Matthew Anderson"/>
    <x v="0"/>
    <x v="3"/>
    <x v="4"/>
    <n v="45784"/>
    <x v="3"/>
    <x v="2"/>
    <n v="815"/>
    <n v="700"/>
    <n v="811"/>
    <n v="4277"/>
    <n v="6603"/>
    <d v="2025-08-24T00:00:00"/>
    <x v="52"/>
    <x v="1"/>
    <n v="0"/>
    <n v="6603"/>
    <x v="1"/>
    <x v="9"/>
    <n v="2025"/>
  </r>
  <r>
    <s v="PAT-3375"/>
    <s v="Andrew Williams"/>
    <x v="2"/>
    <x v="7"/>
    <x v="3"/>
    <n v="45847"/>
    <x v="2"/>
    <x v="3"/>
    <n v="1323"/>
    <n v="4283"/>
    <n v="2319"/>
    <n v="7973"/>
    <n v="15898"/>
    <d v="2025-09-12T00:00:00"/>
    <x v="112"/>
    <x v="0"/>
    <n v="9268"/>
    <n v="6630"/>
    <x v="0"/>
    <x v="1"/>
    <n v="2025"/>
  </r>
  <r>
    <s v="PAT-3376"/>
    <s v="Richard Young"/>
    <x v="2"/>
    <x v="3"/>
    <x v="0"/>
    <n v="45975"/>
    <x v="1"/>
    <x v="4"/>
    <n v="1546"/>
    <n v="600"/>
    <n v="2176"/>
    <n v="1500"/>
    <n v="5822"/>
    <d v="2025-12-10T00:00:00"/>
    <x v="33"/>
    <x v="0"/>
    <n v="4437"/>
    <n v="1385"/>
    <x v="1"/>
    <x v="4"/>
    <n v="2025"/>
  </r>
  <r>
    <s v="PAT-3377"/>
    <s v="Betty Young"/>
    <x v="4"/>
    <x v="7"/>
    <x v="2"/>
    <n v="45810"/>
    <x v="0"/>
    <x v="3"/>
    <n v="800"/>
    <n v="3018"/>
    <n v="2529"/>
    <n v="6696"/>
    <n v="13043"/>
    <d v="2025-07-18T00:00:00"/>
    <x v="106"/>
    <x v="1"/>
    <n v="0"/>
    <n v="13043"/>
    <x v="4"/>
    <x v="7"/>
    <n v="2025"/>
  </r>
  <r>
    <s v="PAT-3378"/>
    <s v="James Jackson"/>
    <x v="5"/>
    <x v="3"/>
    <x v="4"/>
    <n v="45754"/>
    <x v="3"/>
    <x v="4"/>
    <n v="1539"/>
    <n v="1000"/>
    <n v="2151"/>
    <n v="5011"/>
    <n v="9701"/>
    <d v="2025-07-17T00:00:00"/>
    <x v="139"/>
    <x v="0"/>
    <n v="6000"/>
    <n v="3701"/>
    <x v="2"/>
    <x v="0"/>
    <n v="2025"/>
  </r>
  <r>
    <s v="PAT-3379"/>
    <s v="Richard Smith"/>
    <x v="4"/>
    <x v="5"/>
    <x v="0"/>
    <n v="45973"/>
    <x v="1"/>
    <x v="0"/>
    <n v="941"/>
    <n v="2179"/>
    <n v="1552"/>
    <n v="5415"/>
    <n v="10087"/>
    <d v="2026-02-22T00:00:00"/>
    <x v="0"/>
    <x v="0"/>
    <n v="4985"/>
    <n v="5102"/>
    <x v="2"/>
    <x v="4"/>
    <n v="2025"/>
  </r>
  <r>
    <s v="PAT-3380"/>
    <s v="Carol Robinson"/>
    <x v="2"/>
    <x v="3"/>
    <x v="1"/>
    <n v="45820"/>
    <x v="2"/>
    <x v="0"/>
    <n v="1079"/>
    <n v="800"/>
    <n v="861"/>
    <n v="6299"/>
    <n v="9039"/>
    <d v="2025-09-22T00:00:00"/>
    <x v="0"/>
    <x v="1"/>
    <n v="0"/>
    <n v="9039"/>
    <x v="0"/>
    <x v="7"/>
    <n v="2025"/>
  </r>
  <r>
    <s v="PAT-3381"/>
    <s v="Dorothy Hernandez"/>
    <x v="4"/>
    <x v="7"/>
    <x v="1"/>
    <n v="45713"/>
    <x v="0"/>
    <x v="0"/>
    <n v="835"/>
    <n v="4481"/>
    <n v="1072"/>
    <n v="6987"/>
    <n v="13375"/>
    <d v="2025-06-02T00:00:00"/>
    <x v="78"/>
    <x v="1"/>
    <n v="0"/>
    <n v="13375"/>
    <x v="3"/>
    <x v="2"/>
    <n v="2025"/>
  </r>
  <r>
    <s v="PAT-3382"/>
    <s v="Steven Martin"/>
    <x v="3"/>
    <x v="7"/>
    <x v="3"/>
    <n v="45817"/>
    <x v="1"/>
    <x v="0"/>
    <n v="1607"/>
    <n v="630"/>
    <n v="277"/>
    <n v="7407"/>
    <n v="9921"/>
    <d v="2025-10-12T00:00:00"/>
    <x v="140"/>
    <x v="1"/>
    <n v="0"/>
    <n v="9921"/>
    <x v="2"/>
    <x v="7"/>
    <n v="2025"/>
  </r>
  <r>
    <s v="PAT-3383"/>
    <s v="Linda Hernandez"/>
    <x v="2"/>
    <x v="2"/>
    <x v="0"/>
    <n v="45685"/>
    <x v="3"/>
    <x v="5"/>
    <n v="1472"/>
    <n v="2317"/>
    <n v="2716"/>
    <n v="4838"/>
    <n v="11343"/>
    <d v="2025-05-03T00:00:00"/>
    <x v="123"/>
    <x v="1"/>
    <n v="0"/>
    <n v="11343"/>
    <x v="3"/>
    <x v="8"/>
    <n v="2025"/>
  </r>
  <r>
    <s v="PAT-3384"/>
    <s v="Sarah Lopez"/>
    <x v="1"/>
    <x v="2"/>
    <x v="4"/>
    <n v="45721"/>
    <x v="2"/>
    <x v="1"/>
    <n v="1335"/>
    <n v="991"/>
    <n v="2969"/>
    <n v="9610"/>
    <n v="14905"/>
    <d v="2025-06-04T00:00:00"/>
    <x v="18"/>
    <x v="0"/>
    <n v="7292"/>
    <n v="7613"/>
    <x v="1"/>
    <x v="10"/>
    <n v="2025"/>
  </r>
  <r>
    <s v="PAT-3385"/>
    <s v="Daniel Anderson"/>
    <x v="4"/>
    <x v="5"/>
    <x v="2"/>
    <n v="45802"/>
    <x v="1"/>
    <x v="1"/>
    <n v="2376"/>
    <n v="3869"/>
    <n v="1970"/>
    <n v="8910"/>
    <n v="17125"/>
    <d v="2025-07-24T00:00:00"/>
    <x v="55"/>
    <x v="0"/>
    <n v="15205"/>
    <n v="1920"/>
    <x v="1"/>
    <x v="9"/>
    <n v="2025"/>
  </r>
  <r>
    <s v="PAT-3386"/>
    <s v="Matthew Martinez"/>
    <x v="2"/>
    <x v="6"/>
    <x v="3"/>
    <n v="45803"/>
    <x v="0"/>
    <x v="3"/>
    <n v="684"/>
    <n v="700"/>
    <n v="1641"/>
    <n v="1000"/>
    <n v="4025"/>
    <d v="2025-06-15T00:00:00"/>
    <x v="84"/>
    <x v="1"/>
    <n v="0"/>
    <n v="4025"/>
    <x v="2"/>
    <x v="9"/>
    <n v="2025"/>
  </r>
  <r>
    <s v="PAT-3387"/>
    <s v="Mark Walker"/>
    <x v="4"/>
    <x v="1"/>
    <x v="4"/>
    <n v="45722"/>
    <x v="1"/>
    <x v="1"/>
    <n v="1063"/>
    <n v="659"/>
    <n v="632"/>
    <n v="3838"/>
    <n v="6192"/>
    <d v="2025-06-28T00:00:00"/>
    <x v="54"/>
    <x v="0"/>
    <n v="2320"/>
    <n v="3872"/>
    <x v="2"/>
    <x v="10"/>
    <n v="2025"/>
  </r>
  <r>
    <s v="PAT-3388"/>
    <s v="Christopher Clark"/>
    <x v="5"/>
    <x v="6"/>
    <x v="1"/>
    <n v="45866"/>
    <x v="3"/>
    <x v="4"/>
    <n v="1650"/>
    <n v="1093"/>
    <n v="1530"/>
    <n v="3591"/>
    <n v="7864"/>
    <d v="2025-08-29T00:00:00"/>
    <x v="81"/>
    <x v="0"/>
    <n v="3916"/>
    <n v="3948"/>
    <x v="0"/>
    <x v="1"/>
    <n v="2025"/>
  </r>
  <r>
    <s v="PAT-3389"/>
    <s v="Joseph Lee"/>
    <x v="3"/>
    <x v="2"/>
    <x v="1"/>
    <n v="45921"/>
    <x v="2"/>
    <x v="1"/>
    <n v="2133"/>
    <n v="1799"/>
    <n v="819"/>
    <n v="4308"/>
    <n v="9059"/>
    <d v="2025-12-04T00:00:00"/>
    <x v="13"/>
    <x v="1"/>
    <n v="0"/>
    <n v="9059"/>
    <x v="4"/>
    <x v="3"/>
    <n v="2025"/>
  </r>
  <r>
    <s v="PAT-3390"/>
    <s v="Steven Wilson"/>
    <x v="0"/>
    <x v="4"/>
    <x v="4"/>
    <n v="46021"/>
    <x v="1"/>
    <x v="1"/>
    <n v="2430"/>
    <n v="4441"/>
    <n v="1715"/>
    <n v="5914"/>
    <n v="14500"/>
    <d v="2026-03-31T00:00:00"/>
    <x v="18"/>
    <x v="1"/>
    <n v="0"/>
    <n v="14500"/>
    <x v="4"/>
    <x v="6"/>
    <n v="2025"/>
  </r>
  <r>
    <s v="PAT-3391"/>
    <s v="Mary Martin"/>
    <x v="5"/>
    <x v="5"/>
    <x v="3"/>
    <n v="45996"/>
    <x v="0"/>
    <x v="5"/>
    <n v="1285"/>
    <n v="1350"/>
    <n v="2125"/>
    <n v="10700"/>
    <n v="15460"/>
    <d v="2025-12-20T00:00:00"/>
    <x v="88"/>
    <x v="0"/>
    <n v="7859"/>
    <n v="7601"/>
    <x v="1"/>
    <x v="6"/>
    <n v="2025"/>
  </r>
  <r>
    <s v="PAT-3392"/>
    <s v="Jennifer Harris"/>
    <x v="5"/>
    <x v="4"/>
    <x v="0"/>
    <n v="45773"/>
    <x v="3"/>
    <x v="1"/>
    <n v="2365"/>
    <n v="3454"/>
    <n v="965"/>
    <n v="3240"/>
    <n v="10024"/>
    <d v="2025-07-01T00:00:00"/>
    <x v="51"/>
    <x v="1"/>
    <n v="0"/>
    <n v="10024"/>
    <x v="2"/>
    <x v="0"/>
    <n v="2025"/>
  </r>
  <r>
    <s v="PAT-3393"/>
    <s v="Karen Thompson"/>
    <x v="3"/>
    <x v="7"/>
    <x v="2"/>
    <n v="45880"/>
    <x v="1"/>
    <x v="4"/>
    <n v="1276"/>
    <n v="3855"/>
    <n v="2226"/>
    <n v="5329"/>
    <n v="12686"/>
    <d v="2025-11-10T00:00:00"/>
    <x v="18"/>
    <x v="0"/>
    <n v="1193"/>
    <n v="11493"/>
    <x v="2"/>
    <x v="11"/>
    <n v="2025"/>
  </r>
  <r>
    <s v="PAT-3394"/>
    <s v="Sarah Harris"/>
    <x v="2"/>
    <x v="7"/>
    <x v="2"/>
    <n v="45734"/>
    <x v="2"/>
    <x v="5"/>
    <n v="1459"/>
    <n v="2289"/>
    <n v="2755"/>
    <n v="8511"/>
    <n v="15014"/>
    <d v="2025-07-26T00:00:00"/>
    <x v="141"/>
    <x v="0"/>
    <n v="11260"/>
    <n v="3754"/>
    <x v="1"/>
    <x v="10"/>
    <n v="2025"/>
  </r>
  <r>
    <s v="PAT-3395"/>
    <s v="Steven Young"/>
    <x v="0"/>
    <x v="0"/>
    <x v="3"/>
    <n v="45671"/>
    <x v="0"/>
    <x v="5"/>
    <n v="1586"/>
    <n v="1250"/>
    <n v="786"/>
    <n v="1300"/>
    <n v="4922"/>
    <d v="2025-01-31T00:00:00"/>
    <x v="73"/>
    <x v="0"/>
    <n v="3101"/>
    <n v="1821"/>
    <x v="2"/>
    <x v="8"/>
    <n v="2025"/>
  </r>
  <r>
    <s v="PAT-3396"/>
    <s v="Dorothy Clark"/>
    <x v="3"/>
    <x v="0"/>
    <x v="4"/>
    <n v="45893"/>
    <x v="1"/>
    <x v="0"/>
    <n v="1691"/>
    <n v="606"/>
    <n v="2396"/>
    <n v="9339"/>
    <n v="14032"/>
    <d v="2025-12-31T00:00:00"/>
    <x v="100"/>
    <x v="1"/>
    <n v="0"/>
    <n v="14032"/>
    <x v="4"/>
    <x v="11"/>
    <n v="2025"/>
  </r>
  <r>
    <s v="PAT-3397"/>
    <s v="Anthony Lewis"/>
    <x v="0"/>
    <x v="4"/>
    <x v="0"/>
    <n v="45677"/>
    <x v="3"/>
    <x v="5"/>
    <n v="1324"/>
    <n v="934"/>
    <n v="824"/>
    <n v="8575"/>
    <n v="11657"/>
    <d v="2025-04-14T00:00:00"/>
    <x v="63"/>
    <x v="0"/>
    <n v="9664"/>
    <n v="1993"/>
    <x v="1"/>
    <x v="8"/>
    <n v="2025"/>
  </r>
  <r>
    <s v="PAT-3398"/>
    <s v="Jennifer Miller"/>
    <x v="0"/>
    <x v="6"/>
    <x v="1"/>
    <n v="45777"/>
    <x v="2"/>
    <x v="2"/>
    <n v="1303"/>
    <n v="502"/>
    <n v="854"/>
    <n v="4727"/>
    <n v="7386"/>
    <d v="2025-07-12T00:00:00"/>
    <x v="113"/>
    <x v="0"/>
    <n v="5935"/>
    <n v="1451"/>
    <x v="1"/>
    <x v="0"/>
    <n v="2025"/>
  </r>
  <r>
    <s v="PAT-3399"/>
    <s v="Robert White"/>
    <x v="1"/>
    <x v="1"/>
    <x v="4"/>
    <n v="45856"/>
    <x v="1"/>
    <x v="4"/>
    <n v="1553"/>
    <n v="4199"/>
    <n v="710"/>
    <n v="4539"/>
    <n v="11001"/>
    <d v="2025-10-08T00:00:00"/>
    <x v="76"/>
    <x v="0"/>
    <n v="3118"/>
    <n v="7883"/>
    <x v="1"/>
    <x v="1"/>
    <n v="2025"/>
  </r>
  <r>
    <s v="PAT-3400"/>
    <s v="Anthony Clark"/>
    <x v="4"/>
    <x v="1"/>
    <x v="1"/>
    <n v="45941"/>
    <x v="0"/>
    <x v="1"/>
    <n v="509"/>
    <n v="1700"/>
    <n v="1596"/>
    <n v="1900"/>
    <n v="5705"/>
    <d v="2025-10-30T00:00:00"/>
    <x v="31"/>
    <x v="0"/>
    <n v="3433"/>
    <n v="2272"/>
    <x v="2"/>
    <x v="5"/>
    <n v="2025"/>
  </r>
  <r>
    <s v="PAT-3401"/>
    <s v="Steven Thomas"/>
    <x v="1"/>
    <x v="6"/>
    <x v="2"/>
    <n v="45894"/>
    <x v="1"/>
    <x v="2"/>
    <n v="1839"/>
    <n v="500"/>
    <n v="1279"/>
    <n v="3500"/>
    <n v="7118"/>
    <d v="2025-12-09T00:00:00"/>
    <x v="138"/>
    <x v="1"/>
    <n v="0"/>
    <n v="7118"/>
    <x v="0"/>
    <x v="11"/>
    <n v="2025"/>
  </r>
  <r>
    <s v="PAT-3402"/>
    <s v="Elizabeth Martin"/>
    <x v="4"/>
    <x v="2"/>
    <x v="3"/>
    <n v="45690"/>
    <x v="3"/>
    <x v="2"/>
    <n v="762"/>
    <n v="0"/>
    <n v="1982"/>
    <n v="8028"/>
    <n v="10772"/>
    <d v="2025-06-20T00:00:00"/>
    <x v="49"/>
    <x v="0"/>
    <n v="1928"/>
    <n v="8844"/>
    <x v="0"/>
    <x v="2"/>
    <n v="2025"/>
  </r>
  <r>
    <s v="PAT-3403"/>
    <s v="Sandra Lopez"/>
    <x v="5"/>
    <x v="7"/>
    <x v="0"/>
    <n v="45984"/>
    <x v="2"/>
    <x v="4"/>
    <n v="1521"/>
    <n v="500"/>
    <n v="1500"/>
    <n v="8000"/>
    <n v="11521"/>
    <d v="2026-02-04T00:00:00"/>
    <x v="113"/>
    <x v="1"/>
    <n v="0"/>
    <n v="11521"/>
    <x v="4"/>
    <x v="4"/>
    <n v="2025"/>
  </r>
  <r>
    <s v="PAT-3404"/>
    <s v="William Lewis"/>
    <x v="3"/>
    <x v="7"/>
    <x v="3"/>
    <n v="45942"/>
    <x v="1"/>
    <x v="0"/>
    <n v="1423"/>
    <n v="2355"/>
    <n v="990"/>
    <n v="8307"/>
    <n v="13075"/>
    <d v="2026-02-16T00:00:00"/>
    <x v="90"/>
    <x v="1"/>
    <n v="0"/>
    <n v="13075"/>
    <x v="2"/>
    <x v="5"/>
    <n v="2025"/>
  </r>
  <r>
    <s v="PAT-3405"/>
    <s v="William Ramirez"/>
    <x v="5"/>
    <x v="5"/>
    <x v="0"/>
    <n v="45683"/>
    <x v="0"/>
    <x v="3"/>
    <n v="1000"/>
    <n v="2345"/>
    <n v="2215"/>
    <n v="4800"/>
    <n v="10360"/>
    <d v="2025-03-06T00:00:00"/>
    <x v="43"/>
    <x v="1"/>
    <n v="0"/>
    <n v="10360"/>
    <x v="1"/>
    <x v="8"/>
    <n v="2025"/>
  </r>
  <r>
    <s v="PAT-3406"/>
    <s v="Christopher Ramirez"/>
    <x v="3"/>
    <x v="2"/>
    <x v="1"/>
    <n v="45741"/>
    <x v="3"/>
    <x v="0"/>
    <n v="1915"/>
    <n v="4989"/>
    <n v="931"/>
    <n v="2679"/>
    <n v="10514"/>
    <d v="2025-05-29T00:00:00"/>
    <x v="112"/>
    <x v="1"/>
    <n v="0"/>
    <n v="10514"/>
    <x v="3"/>
    <x v="10"/>
    <n v="2025"/>
  </r>
  <r>
    <s v="PAT-3407"/>
    <s v="Susan Jones"/>
    <x v="4"/>
    <x v="5"/>
    <x v="4"/>
    <n v="45982"/>
    <x v="1"/>
    <x v="4"/>
    <n v="1200"/>
    <n v="4541"/>
    <n v="2931"/>
    <n v="1055"/>
    <n v="9727"/>
    <d v="2025-12-29T00:00:00"/>
    <x v="83"/>
    <x v="0"/>
    <n v="9517"/>
    <n v="210"/>
    <x v="2"/>
    <x v="4"/>
    <n v="2025"/>
  </r>
  <r>
    <s v="PAT-3408"/>
    <s v="Michelle Rodriguez"/>
    <x v="1"/>
    <x v="2"/>
    <x v="2"/>
    <n v="45727"/>
    <x v="2"/>
    <x v="0"/>
    <n v="1582"/>
    <n v="651"/>
    <n v="1353"/>
    <n v="2000"/>
    <n v="5586"/>
    <d v="2025-03-19T00:00:00"/>
    <x v="32"/>
    <x v="0"/>
    <n v="4663"/>
    <n v="923"/>
    <x v="2"/>
    <x v="10"/>
    <n v="2025"/>
  </r>
  <r>
    <s v="PAT-3409"/>
    <s v="Michael Lopez"/>
    <x v="2"/>
    <x v="2"/>
    <x v="2"/>
    <n v="45952"/>
    <x v="0"/>
    <x v="3"/>
    <n v="1600"/>
    <n v="2393"/>
    <n v="2903"/>
    <n v="3701"/>
    <n v="10597"/>
    <d v="2025-11-28T00:00:00"/>
    <x v="66"/>
    <x v="0"/>
    <n v="742"/>
    <n v="9855"/>
    <x v="1"/>
    <x v="5"/>
    <n v="2025"/>
  </r>
  <r>
    <s v="PAT-3410"/>
    <s v="Emily Thompson"/>
    <x v="3"/>
    <x v="2"/>
    <x v="4"/>
    <n v="45720"/>
    <x v="1"/>
    <x v="1"/>
    <n v="2184"/>
    <n v="2943"/>
    <n v="2055"/>
    <n v="6995"/>
    <n v="14177"/>
    <d v="2025-04-23T00:00:00"/>
    <x v="67"/>
    <x v="1"/>
    <n v="0"/>
    <n v="14177"/>
    <x v="2"/>
    <x v="10"/>
    <n v="2025"/>
  </r>
  <r>
    <s v="PAT-3411"/>
    <s v="Richard Anderson"/>
    <x v="1"/>
    <x v="2"/>
    <x v="3"/>
    <n v="45939"/>
    <x v="3"/>
    <x v="2"/>
    <n v="2087"/>
    <n v="3717"/>
    <n v="2554"/>
    <n v="7028"/>
    <n v="15386"/>
    <d v="2025-12-28T00:00:00"/>
    <x v="133"/>
    <x v="1"/>
    <n v="0"/>
    <n v="15386"/>
    <x v="4"/>
    <x v="5"/>
    <n v="2025"/>
  </r>
  <r>
    <s v="PAT-3412"/>
    <s v="Sarah Lopez"/>
    <x v="0"/>
    <x v="5"/>
    <x v="1"/>
    <n v="45725"/>
    <x v="2"/>
    <x v="3"/>
    <n v="744"/>
    <n v="3655"/>
    <n v="436"/>
    <n v="4810"/>
    <n v="9645"/>
    <d v="2025-07-15T00:00:00"/>
    <x v="132"/>
    <x v="1"/>
    <n v="0"/>
    <n v="9645"/>
    <x v="1"/>
    <x v="10"/>
    <n v="2025"/>
  </r>
  <r>
    <s v="PAT-3413"/>
    <s v="Ashley Lee"/>
    <x v="1"/>
    <x v="3"/>
    <x v="0"/>
    <n v="45700"/>
    <x v="1"/>
    <x v="2"/>
    <n v="1400"/>
    <n v="721"/>
    <n v="2003"/>
    <n v="4616"/>
    <n v="8740"/>
    <d v="2025-03-12T00:00:00"/>
    <x v="126"/>
    <x v="1"/>
    <n v="0"/>
    <n v="8740"/>
    <x v="1"/>
    <x v="2"/>
    <n v="2025"/>
  </r>
  <r>
    <s v="PAT-3414"/>
    <s v="Karen Lewis"/>
    <x v="3"/>
    <x v="0"/>
    <x v="0"/>
    <n v="45694"/>
    <x v="0"/>
    <x v="2"/>
    <n v="1730"/>
    <n v="800"/>
    <n v="2522"/>
    <n v="2500"/>
    <n v="7552"/>
    <d v="2025-05-20T00:00:00"/>
    <x v="23"/>
    <x v="0"/>
    <n v="4000"/>
    <n v="3552"/>
    <x v="1"/>
    <x v="2"/>
    <n v="2025"/>
  </r>
  <r>
    <s v="PAT-3415"/>
    <s v="Betty Ramirez"/>
    <x v="3"/>
    <x v="7"/>
    <x v="1"/>
    <n v="45863"/>
    <x v="1"/>
    <x v="2"/>
    <n v="1774"/>
    <n v="2174"/>
    <n v="460"/>
    <n v="1000"/>
    <n v="5408"/>
    <d v="2025-11-10T00:00:00"/>
    <x v="53"/>
    <x v="1"/>
    <n v="0"/>
    <n v="5408"/>
    <x v="2"/>
    <x v="1"/>
    <n v="2025"/>
  </r>
  <r>
    <s v="PAT-3416"/>
    <s v="Elizabeth Garcia"/>
    <x v="4"/>
    <x v="2"/>
    <x v="3"/>
    <n v="45800"/>
    <x v="3"/>
    <x v="3"/>
    <n v="862"/>
    <n v="4083"/>
    <n v="636"/>
    <n v="8044"/>
    <n v="13625"/>
    <d v="2025-09-29T00:00:00"/>
    <x v="100"/>
    <x v="1"/>
    <n v="0"/>
    <n v="13625"/>
    <x v="2"/>
    <x v="9"/>
    <n v="2025"/>
  </r>
  <r>
    <s v="PAT-3417"/>
    <s v="Thomas Anderson"/>
    <x v="2"/>
    <x v="3"/>
    <x v="2"/>
    <n v="46021"/>
    <x v="2"/>
    <x v="2"/>
    <n v="1806"/>
    <n v="670"/>
    <n v="2150"/>
    <n v="9344"/>
    <n v="13970"/>
    <d v="2026-03-01T00:00:00"/>
    <x v="103"/>
    <x v="0"/>
    <n v="5062"/>
    <n v="8908"/>
    <x v="0"/>
    <x v="6"/>
    <n v="2025"/>
  </r>
  <r>
    <s v="PAT-3418"/>
    <s v="Kenneth Lewis"/>
    <x v="3"/>
    <x v="7"/>
    <x v="4"/>
    <n v="46020"/>
    <x v="1"/>
    <x v="3"/>
    <n v="1410"/>
    <n v="4432"/>
    <n v="1834"/>
    <n v="4000"/>
    <n v="11676"/>
    <d v="2026-01-27T00:00:00"/>
    <x v="71"/>
    <x v="1"/>
    <n v="0"/>
    <n v="11676"/>
    <x v="2"/>
    <x v="6"/>
    <n v="2025"/>
  </r>
  <r>
    <s v="PAT-3419"/>
    <s v="Kevin Wilson"/>
    <x v="2"/>
    <x v="3"/>
    <x v="1"/>
    <n v="45677"/>
    <x v="0"/>
    <x v="4"/>
    <n v="1318"/>
    <n v="1352"/>
    <n v="307"/>
    <n v="1066"/>
    <n v="4043"/>
    <d v="2025-05-29T00:00:00"/>
    <x v="100"/>
    <x v="0"/>
    <n v="3205"/>
    <n v="838"/>
    <x v="3"/>
    <x v="8"/>
    <n v="2025"/>
  </r>
  <r>
    <s v="PAT-3420"/>
    <s v="Jessica White"/>
    <x v="2"/>
    <x v="3"/>
    <x v="2"/>
    <n v="45927"/>
    <x v="3"/>
    <x v="5"/>
    <n v="598"/>
    <n v="1276"/>
    <n v="2276"/>
    <n v="5105"/>
    <n v="9255"/>
    <d v="2025-12-31T00:00:00"/>
    <x v="123"/>
    <x v="0"/>
    <n v="2086"/>
    <n v="7169"/>
    <x v="0"/>
    <x v="3"/>
    <n v="2025"/>
  </r>
  <r>
    <s v="PAT-3421"/>
    <s v="Carol Lewis"/>
    <x v="4"/>
    <x v="7"/>
    <x v="4"/>
    <n v="45962"/>
    <x v="1"/>
    <x v="4"/>
    <n v="697"/>
    <n v="1735"/>
    <n v="823"/>
    <n v="9270"/>
    <n v="12525"/>
    <d v="2025-12-28T00:00:00"/>
    <x v="1"/>
    <x v="0"/>
    <n v="9923"/>
    <n v="2602"/>
    <x v="3"/>
    <x v="4"/>
    <n v="2025"/>
  </r>
  <r>
    <s v="PAT-3422"/>
    <s v="Joseph Robinson"/>
    <x v="5"/>
    <x v="6"/>
    <x v="0"/>
    <n v="45788"/>
    <x v="2"/>
    <x v="3"/>
    <n v="1035"/>
    <n v="2184"/>
    <n v="2218"/>
    <n v="3100"/>
    <n v="8537"/>
    <d v="2025-06-19T00:00:00"/>
    <x v="43"/>
    <x v="1"/>
    <n v="0"/>
    <n v="8537"/>
    <x v="1"/>
    <x v="9"/>
    <n v="2025"/>
  </r>
  <r>
    <s v="PAT-3423"/>
    <s v="David Anderson"/>
    <x v="4"/>
    <x v="4"/>
    <x v="3"/>
    <n v="45668"/>
    <x v="0"/>
    <x v="5"/>
    <n v="2479"/>
    <n v="2000"/>
    <n v="813"/>
    <n v="1700"/>
    <n v="6992"/>
    <d v="2025-01-20T00:00:00"/>
    <x v="102"/>
    <x v="1"/>
    <n v="0"/>
    <n v="6992"/>
    <x v="4"/>
    <x v="8"/>
    <n v="2025"/>
  </r>
  <r>
    <s v="PAT-3424"/>
    <s v="William Anderson"/>
    <x v="1"/>
    <x v="2"/>
    <x v="4"/>
    <n v="45742"/>
    <x v="1"/>
    <x v="2"/>
    <n v="1407"/>
    <n v="4969"/>
    <n v="423"/>
    <n v="5782"/>
    <n v="12581"/>
    <d v="2025-06-20T00:00:00"/>
    <x v="37"/>
    <x v="0"/>
    <n v="7418"/>
    <n v="5163"/>
    <x v="3"/>
    <x v="10"/>
    <n v="2025"/>
  </r>
  <r>
    <s v="PAT-3425"/>
    <s v="Ashley Ramirez"/>
    <x v="4"/>
    <x v="2"/>
    <x v="3"/>
    <n v="45943"/>
    <x v="3"/>
    <x v="2"/>
    <n v="750"/>
    <n v="1893"/>
    <n v="1485"/>
    <n v="3984"/>
    <n v="8112"/>
    <d v="2026-03-03T00:00:00"/>
    <x v="130"/>
    <x v="0"/>
    <n v="1448"/>
    <n v="6664"/>
    <x v="3"/>
    <x v="5"/>
    <n v="2025"/>
  </r>
  <r>
    <s v="PAT-3426"/>
    <s v="Donna Ramirez"/>
    <x v="2"/>
    <x v="4"/>
    <x v="0"/>
    <n v="45924"/>
    <x v="2"/>
    <x v="0"/>
    <n v="2307"/>
    <n v="2933"/>
    <n v="2024"/>
    <n v="7505"/>
    <n v="14769"/>
    <d v="2025-12-31T00:00:00"/>
    <x v="74"/>
    <x v="0"/>
    <n v="10946"/>
    <n v="3823"/>
    <x v="2"/>
    <x v="3"/>
    <n v="2025"/>
  </r>
  <r>
    <s v="PAT-3427"/>
    <s v="Emily Walker"/>
    <x v="4"/>
    <x v="7"/>
    <x v="1"/>
    <n v="45902"/>
    <x v="1"/>
    <x v="5"/>
    <n v="926"/>
    <n v="1783"/>
    <n v="2322"/>
    <n v="9908"/>
    <n v="14939"/>
    <d v="2025-11-16T00:00:00"/>
    <x v="24"/>
    <x v="1"/>
    <n v="0"/>
    <n v="14939"/>
    <x v="4"/>
    <x v="3"/>
    <n v="2025"/>
  </r>
  <r>
    <s v="PAT-3428"/>
    <s v="Matthew Jones"/>
    <x v="0"/>
    <x v="0"/>
    <x v="2"/>
    <n v="46001"/>
    <x v="0"/>
    <x v="1"/>
    <n v="2399"/>
    <n v="4549"/>
    <n v="2803"/>
    <n v="6641"/>
    <n v="16392"/>
    <d v="2026-02-10T00:00:00"/>
    <x v="120"/>
    <x v="1"/>
    <n v="0"/>
    <n v="16392"/>
    <x v="3"/>
    <x v="6"/>
    <n v="2025"/>
  </r>
  <r>
    <s v="PAT-3429"/>
    <s v="Sandra Harris"/>
    <x v="1"/>
    <x v="1"/>
    <x v="2"/>
    <n v="45780"/>
    <x v="1"/>
    <x v="3"/>
    <n v="1092"/>
    <n v="806"/>
    <n v="952"/>
    <n v="2926"/>
    <n v="5776"/>
    <d v="2025-09-18T00:00:00"/>
    <x v="49"/>
    <x v="0"/>
    <n v="4529"/>
    <n v="1247"/>
    <x v="4"/>
    <x v="9"/>
    <n v="2025"/>
  </r>
  <r>
    <s v="PAT-3430"/>
    <s v="Linda Garcia"/>
    <x v="3"/>
    <x v="7"/>
    <x v="4"/>
    <n v="45664"/>
    <x v="3"/>
    <x v="2"/>
    <n v="524"/>
    <n v="700"/>
    <n v="685"/>
    <n v="890"/>
    <n v="2799"/>
    <d v="2025-01-14T00:00:00"/>
    <x v="57"/>
    <x v="0"/>
    <n v="1800"/>
    <n v="999"/>
    <x v="3"/>
    <x v="8"/>
    <n v="2025"/>
  </r>
  <r>
    <s v="PAT-3431"/>
    <s v="James Clark"/>
    <x v="2"/>
    <x v="6"/>
    <x v="1"/>
    <n v="45815"/>
    <x v="2"/>
    <x v="2"/>
    <n v="2058"/>
    <n v="4938"/>
    <n v="586"/>
    <n v="4919"/>
    <n v="12501"/>
    <d v="2025-11-03T00:00:00"/>
    <x v="142"/>
    <x v="0"/>
    <n v="1491"/>
    <n v="11010"/>
    <x v="1"/>
    <x v="7"/>
    <n v="2025"/>
  </r>
  <r>
    <s v="PAT-3432"/>
    <s v="Lisa Jones"/>
    <x v="3"/>
    <x v="7"/>
    <x v="3"/>
    <n v="45704"/>
    <x v="1"/>
    <x v="3"/>
    <n v="763"/>
    <n v="3049"/>
    <n v="2314"/>
    <n v="2732"/>
    <n v="8858"/>
    <d v="2025-06-27T00:00:00"/>
    <x v="75"/>
    <x v="1"/>
    <n v="0"/>
    <n v="8858"/>
    <x v="4"/>
    <x v="2"/>
    <n v="2025"/>
  </r>
  <r>
    <s v="PAT-3433"/>
    <s v="Barbara Martinez"/>
    <x v="4"/>
    <x v="4"/>
    <x v="0"/>
    <n v="45725"/>
    <x v="0"/>
    <x v="1"/>
    <n v="1345"/>
    <n v="2295"/>
    <n v="2869"/>
    <n v="5551"/>
    <n v="12060"/>
    <d v="2025-05-28T00:00:00"/>
    <x v="133"/>
    <x v="0"/>
    <n v="3207"/>
    <n v="8853"/>
    <x v="4"/>
    <x v="10"/>
    <n v="2025"/>
  </r>
  <r>
    <s v="PAT-3434"/>
    <s v="James Young"/>
    <x v="4"/>
    <x v="0"/>
    <x v="3"/>
    <n v="45765"/>
    <x v="3"/>
    <x v="4"/>
    <n v="551"/>
    <n v="2682"/>
    <n v="1629"/>
    <n v="5603"/>
    <n v="10465"/>
    <d v="2025-08-30T00:00:00"/>
    <x v="22"/>
    <x v="1"/>
    <n v="0"/>
    <n v="10465"/>
    <x v="3"/>
    <x v="0"/>
    <n v="2025"/>
  </r>
  <r>
    <s v="PAT-3435"/>
    <s v="Sarah Perez"/>
    <x v="4"/>
    <x v="7"/>
    <x v="2"/>
    <n v="45661"/>
    <x v="1"/>
    <x v="2"/>
    <n v="2299"/>
    <n v="4452"/>
    <n v="2242"/>
    <n v="1683"/>
    <n v="10676"/>
    <d v="2025-04-26T00:00:00"/>
    <x v="91"/>
    <x v="1"/>
    <n v="0"/>
    <n v="10676"/>
    <x v="4"/>
    <x v="8"/>
    <n v="2025"/>
  </r>
  <r>
    <s v="PAT-3436"/>
    <s v="Brian Rodriguez"/>
    <x v="2"/>
    <x v="2"/>
    <x v="0"/>
    <n v="46023"/>
    <x v="2"/>
    <x v="3"/>
    <n v="916"/>
    <n v="4717"/>
    <n v="1048"/>
    <n v="4984"/>
    <n v="11665"/>
    <d v="2026-02-23T00:00:00"/>
    <x v="35"/>
    <x v="1"/>
    <n v="0"/>
    <n v="11665"/>
    <x v="0"/>
    <x v="8"/>
    <n v="2026"/>
  </r>
  <r>
    <s v="PAT-3437"/>
    <s v="Paul Clark"/>
    <x v="2"/>
    <x v="4"/>
    <x v="4"/>
    <n v="45712"/>
    <x v="0"/>
    <x v="0"/>
    <n v="1596"/>
    <n v="1954"/>
    <n v="1145"/>
    <n v="4093"/>
    <n v="8788"/>
    <d v="2025-03-30T00:00:00"/>
    <x v="4"/>
    <x v="1"/>
    <n v="0"/>
    <n v="8788"/>
    <x v="3"/>
    <x v="2"/>
    <n v="2025"/>
  </r>
  <r>
    <s v="PAT-3438"/>
    <s v="Robert Lee"/>
    <x v="2"/>
    <x v="7"/>
    <x v="1"/>
    <n v="46016"/>
    <x v="1"/>
    <x v="0"/>
    <n v="2370"/>
    <n v="4108"/>
    <n v="265"/>
    <n v="4541"/>
    <n v="11284"/>
    <d v="2026-03-07T00:00:00"/>
    <x v="107"/>
    <x v="0"/>
    <n v="1293"/>
    <n v="9991"/>
    <x v="2"/>
    <x v="6"/>
    <n v="2025"/>
  </r>
  <r>
    <s v="PAT-3439"/>
    <s v="Michael Clark"/>
    <x v="4"/>
    <x v="7"/>
    <x v="0"/>
    <n v="45872"/>
    <x v="3"/>
    <x v="0"/>
    <n v="2263"/>
    <n v="950"/>
    <n v="583"/>
    <n v="2300"/>
    <n v="6096"/>
    <d v="2025-08-25T00:00:00"/>
    <x v="135"/>
    <x v="1"/>
    <n v="0"/>
    <n v="6096"/>
    <x v="0"/>
    <x v="11"/>
    <n v="2025"/>
  </r>
  <r>
    <s v="PAT-3440"/>
    <s v="Andrew Garcia"/>
    <x v="3"/>
    <x v="0"/>
    <x v="4"/>
    <n v="45974"/>
    <x v="2"/>
    <x v="0"/>
    <n v="1395"/>
    <n v="1057"/>
    <n v="1883"/>
    <n v="5243"/>
    <n v="9578"/>
    <d v="2026-01-26T00:00:00"/>
    <x v="13"/>
    <x v="1"/>
    <n v="0"/>
    <n v="9578"/>
    <x v="1"/>
    <x v="4"/>
    <n v="2025"/>
  </r>
  <r>
    <s v="PAT-3441"/>
    <s v="Linda Davis"/>
    <x v="2"/>
    <x v="3"/>
    <x v="2"/>
    <n v="45947"/>
    <x v="1"/>
    <x v="4"/>
    <n v="824"/>
    <n v="602"/>
    <n v="1496"/>
    <n v="3879"/>
    <n v="6801"/>
    <d v="2026-01-25T00:00:00"/>
    <x v="79"/>
    <x v="0"/>
    <n v="3003"/>
    <n v="3798"/>
    <x v="3"/>
    <x v="5"/>
    <n v="2025"/>
  </r>
  <r>
    <s v="PAT-3442"/>
    <s v="Christopher Taylor"/>
    <x v="3"/>
    <x v="0"/>
    <x v="3"/>
    <n v="45722"/>
    <x v="2"/>
    <x v="1"/>
    <n v="1345"/>
    <n v="804"/>
    <n v="356"/>
    <n v="9666"/>
    <n v="12171"/>
    <d v="2025-05-16T00:00:00"/>
    <x v="21"/>
    <x v="0"/>
    <n v="11236"/>
    <n v="935"/>
    <x v="1"/>
    <x v="10"/>
    <n v="2025"/>
  </r>
  <r>
    <s v="PAT-3443"/>
    <s v="Robert Rodriguez"/>
    <x v="2"/>
    <x v="6"/>
    <x v="1"/>
    <n v="45796"/>
    <x v="1"/>
    <x v="2"/>
    <n v="1014"/>
    <n v="1096"/>
    <n v="707"/>
    <n v="8945"/>
    <n v="11762"/>
    <d v="2025-08-13T00:00:00"/>
    <x v="37"/>
    <x v="0"/>
    <n v="1608"/>
    <n v="10154"/>
    <x v="2"/>
    <x v="9"/>
    <n v="2025"/>
  </r>
  <r>
    <s v="PAT-3444"/>
    <s v="Elizabeth Brown"/>
    <x v="5"/>
    <x v="6"/>
    <x v="1"/>
    <n v="45981"/>
    <x v="0"/>
    <x v="0"/>
    <n v="874"/>
    <n v="4043"/>
    <n v="2431"/>
    <n v="8374"/>
    <n v="15722"/>
    <d v="2026-02-20T00:00:00"/>
    <x v="10"/>
    <x v="1"/>
    <n v="0"/>
    <n v="15722"/>
    <x v="4"/>
    <x v="4"/>
    <n v="2025"/>
  </r>
  <r>
    <s v="PAT-3445"/>
    <s v="Kenneth Thomas"/>
    <x v="0"/>
    <x v="6"/>
    <x v="3"/>
    <n v="45776"/>
    <x v="3"/>
    <x v="3"/>
    <n v="2280"/>
    <n v="1600"/>
    <n v="2363"/>
    <n v="2000"/>
    <n v="8243"/>
    <d v="2025-05-08T00:00:00"/>
    <x v="102"/>
    <x v="1"/>
    <n v="0"/>
    <n v="8243"/>
    <x v="4"/>
    <x v="0"/>
    <n v="2025"/>
  </r>
  <r>
    <s v="PAT-3446"/>
    <s v="Joseph Walker"/>
    <x v="2"/>
    <x v="6"/>
    <x v="4"/>
    <n v="45747"/>
    <x v="1"/>
    <x v="5"/>
    <n v="2381"/>
    <n v="1512"/>
    <n v="1249"/>
    <n v="4776"/>
    <n v="9918"/>
    <d v="2025-07-14T00:00:00"/>
    <x v="27"/>
    <x v="0"/>
    <n v="6500"/>
    <n v="3418"/>
    <x v="0"/>
    <x v="10"/>
    <n v="2025"/>
  </r>
  <r>
    <s v="PAT-3447"/>
    <s v="Joseph Martin"/>
    <x v="4"/>
    <x v="1"/>
    <x v="2"/>
    <n v="45714"/>
    <x v="2"/>
    <x v="4"/>
    <n v="659"/>
    <n v="3524"/>
    <n v="1286"/>
    <n v="5310"/>
    <n v="10779"/>
    <d v="2025-06-20T00:00:00"/>
    <x v="54"/>
    <x v="0"/>
    <n v="1923"/>
    <n v="8856"/>
    <x v="1"/>
    <x v="2"/>
    <n v="2025"/>
  </r>
  <r>
    <s v="PAT-3448"/>
    <s v="Susan Thompson"/>
    <x v="5"/>
    <x v="5"/>
    <x v="0"/>
    <n v="45815"/>
    <x v="0"/>
    <x v="4"/>
    <n v="1500"/>
    <n v="2100"/>
    <n v="2416"/>
    <n v="3500"/>
    <n v="9516"/>
    <d v="2025-07-16T00:00:00"/>
    <x v="43"/>
    <x v="1"/>
    <n v="0"/>
    <n v="9516"/>
    <x v="1"/>
    <x v="7"/>
    <n v="2025"/>
  </r>
  <r>
    <s v="PAT-3449"/>
    <s v="Kevin Lewis"/>
    <x v="1"/>
    <x v="1"/>
    <x v="4"/>
    <n v="45816"/>
    <x v="1"/>
    <x v="1"/>
    <n v="1600"/>
    <n v="963"/>
    <n v="1003"/>
    <n v="3034"/>
    <n v="6600"/>
    <d v="2025-07-24T00:00:00"/>
    <x v="106"/>
    <x v="0"/>
    <n v="3800"/>
    <n v="2800"/>
    <x v="3"/>
    <x v="7"/>
    <n v="2025"/>
  </r>
  <r>
    <s v="PAT-3450"/>
    <s v="Thomas Hernandez"/>
    <x v="1"/>
    <x v="2"/>
    <x v="0"/>
    <n v="45993"/>
    <x v="3"/>
    <x v="5"/>
    <n v="2096"/>
    <n v="3099"/>
    <n v="930"/>
    <n v="1800"/>
    <n v="7925"/>
    <d v="2026-03-12T00:00:00"/>
    <x v="79"/>
    <x v="1"/>
    <n v="0"/>
    <n v="7925"/>
    <x v="0"/>
    <x v="6"/>
    <n v="2025"/>
  </r>
  <r>
    <s v="PAT-3451"/>
    <s v="Daniel Perez"/>
    <x v="0"/>
    <x v="0"/>
    <x v="1"/>
    <n v="45755"/>
    <x v="2"/>
    <x v="5"/>
    <n v="1267"/>
    <n v="693"/>
    <n v="2823"/>
    <n v="9049"/>
    <n v="13832"/>
    <d v="2025-06-22T00:00:00"/>
    <x v="24"/>
    <x v="0"/>
    <n v="1000"/>
    <n v="12832"/>
    <x v="3"/>
    <x v="0"/>
    <n v="2025"/>
  </r>
  <r>
    <s v="PAT-3452"/>
    <s v="Kimberly Robinson"/>
    <x v="5"/>
    <x v="5"/>
    <x v="2"/>
    <n v="45975"/>
    <x v="1"/>
    <x v="1"/>
    <n v="2291"/>
    <n v="1300"/>
    <n v="2588"/>
    <n v="2200"/>
    <n v="8379"/>
    <d v="2025-11-28T00:00:00"/>
    <x v="92"/>
    <x v="1"/>
    <n v="0"/>
    <n v="8379"/>
    <x v="2"/>
    <x v="4"/>
    <n v="2025"/>
  </r>
  <r>
    <s v="PAT-3453"/>
    <s v="Richard Moore"/>
    <x v="2"/>
    <x v="6"/>
    <x v="3"/>
    <n v="45947"/>
    <x v="0"/>
    <x v="4"/>
    <n v="1715"/>
    <n v="800"/>
    <n v="2062"/>
    <n v="7696"/>
    <n v="12273"/>
    <d v="2026-03-31T00:00:00"/>
    <x v="143"/>
    <x v="0"/>
    <n v="2631"/>
    <n v="9642"/>
    <x v="3"/>
    <x v="5"/>
    <n v="2025"/>
  </r>
  <r>
    <s v="PAT-3454"/>
    <s v="Carol Taylor"/>
    <x v="0"/>
    <x v="6"/>
    <x v="2"/>
    <n v="45952"/>
    <x v="1"/>
    <x v="4"/>
    <n v="2337"/>
    <n v="2450"/>
    <n v="1401"/>
    <n v="2450"/>
    <n v="8638"/>
    <d v="2026-01-18T00:00:00"/>
    <x v="42"/>
    <x v="1"/>
    <n v="0"/>
    <n v="8638"/>
    <x v="2"/>
    <x v="5"/>
    <n v="2025"/>
  </r>
  <r>
    <s v="PAT-3455"/>
    <s v="Donna Lewis"/>
    <x v="2"/>
    <x v="3"/>
    <x v="3"/>
    <n v="45709"/>
    <x v="3"/>
    <x v="0"/>
    <n v="1103"/>
    <n v="2313"/>
    <n v="2903"/>
    <n v="8505"/>
    <n v="14824"/>
    <d v="2025-05-19T00:00:00"/>
    <x v="9"/>
    <x v="1"/>
    <n v="0"/>
    <n v="14824"/>
    <x v="1"/>
    <x v="2"/>
    <n v="2025"/>
  </r>
  <r>
    <s v="PAT-3456"/>
    <s v="Mary Garcia"/>
    <x v="2"/>
    <x v="4"/>
    <x v="0"/>
    <n v="46015"/>
    <x v="2"/>
    <x v="0"/>
    <n v="2119"/>
    <n v="1725"/>
    <n v="2193"/>
    <n v="9073"/>
    <n v="15110"/>
    <d v="2026-03-31T00:00:00"/>
    <x v="78"/>
    <x v="1"/>
    <n v="0"/>
    <n v="15110"/>
    <x v="3"/>
    <x v="6"/>
    <n v="2025"/>
  </r>
  <r>
    <s v="PAT-3457"/>
    <s v="Joshua Young"/>
    <x v="1"/>
    <x v="0"/>
    <x v="4"/>
    <n v="45873"/>
    <x v="1"/>
    <x v="5"/>
    <n v="2292"/>
    <n v="4708"/>
    <n v="2548"/>
    <n v="1255"/>
    <n v="10803"/>
    <d v="2025-11-20T00:00:00"/>
    <x v="53"/>
    <x v="1"/>
    <n v="0"/>
    <n v="10803"/>
    <x v="3"/>
    <x v="11"/>
    <n v="2025"/>
  </r>
  <r>
    <s v="PAT-3458"/>
    <s v="William Anderson"/>
    <x v="5"/>
    <x v="5"/>
    <x v="1"/>
    <n v="45837"/>
    <x v="0"/>
    <x v="1"/>
    <n v="1293"/>
    <n v="1300"/>
    <n v="2301"/>
    <n v="4500"/>
    <n v="9394"/>
    <d v="2025-10-13T00:00:00"/>
    <x v="138"/>
    <x v="0"/>
    <n v="2744"/>
    <n v="6650"/>
    <x v="4"/>
    <x v="7"/>
    <n v="2025"/>
  </r>
  <r>
    <s v="PAT-3459"/>
    <s v="Emily Clark"/>
    <x v="4"/>
    <x v="2"/>
    <x v="1"/>
    <n v="45673"/>
    <x v="3"/>
    <x v="3"/>
    <n v="1700"/>
    <n v="3953"/>
    <n v="970"/>
    <n v="2520"/>
    <n v="9143"/>
    <d v="2025-02-21T00:00:00"/>
    <x v="47"/>
    <x v="1"/>
    <n v="0"/>
    <n v="9143"/>
    <x v="2"/>
    <x v="8"/>
    <n v="2025"/>
  </r>
  <r>
    <s v="PAT-3460"/>
    <s v="Thomas Young"/>
    <x v="2"/>
    <x v="4"/>
    <x v="2"/>
    <n v="45730"/>
    <x v="1"/>
    <x v="1"/>
    <n v="990"/>
    <n v="1433"/>
    <n v="2958"/>
    <n v="3022"/>
    <n v="8403"/>
    <d v="2025-07-24T00:00:00"/>
    <x v="111"/>
    <x v="1"/>
    <n v="0"/>
    <n v="8403"/>
    <x v="1"/>
    <x v="10"/>
    <n v="2025"/>
  </r>
  <r>
    <s v="PAT-3461"/>
    <s v="Matthew Lee"/>
    <x v="5"/>
    <x v="7"/>
    <x v="3"/>
    <n v="45919"/>
    <x v="2"/>
    <x v="1"/>
    <n v="2014"/>
    <n v="3517"/>
    <n v="1822"/>
    <n v="6541"/>
    <n v="13894"/>
    <d v="2025-12-08T00:00:00"/>
    <x v="133"/>
    <x v="1"/>
    <n v="0"/>
    <n v="13894"/>
    <x v="1"/>
    <x v="3"/>
    <n v="2025"/>
  </r>
  <r>
    <s v="PAT-3462"/>
    <s v="Lisa Perez"/>
    <x v="1"/>
    <x v="2"/>
    <x v="4"/>
    <n v="45762"/>
    <x v="0"/>
    <x v="3"/>
    <n v="2089"/>
    <n v="1250"/>
    <n v="584"/>
    <n v="2250"/>
    <n v="6173"/>
    <d v="2025-05-08T00:00:00"/>
    <x v="19"/>
    <x v="0"/>
    <n v="2814"/>
    <n v="3359"/>
    <x v="2"/>
    <x v="0"/>
    <n v="2025"/>
  </r>
  <r>
    <s v="PAT-3463"/>
    <s v="Linda Thompson"/>
    <x v="2"/>
    <x v="7"/>
    <x v="0"/>
    <n v="45762"/>
    <x v="1"/>
    <x v="5"/>
    <n v="619"/>
    <n v="2937"/>
    <n v="1754"/>
    <n v="2068"/>
    <n v="7378"/>
    <d v="2025-09-11T00:00:00"/>
    <x v="142"/>
    <x v="1"/>
    <n v="0"/>
    <n v="7378"/>
    <x v="3"/>
    <x v="0"/>
    <n v="2025"/>
  </r>
  <r>
    <s v="PAT-3464"/>
    <s v="Emily Taylor"/>
    <x v="4"/>
    <x v="2"/>
    <x v="0"/>
    <n v="46021"/>
    <x v="3"/>
    <x v="3"/>
    <n v="1246"/>
    <n v="4511"/>
    <n v="1525"/>
    <n v="3000"/>
    <n v="10282"/>
    <d v="2026-02-11T00:00:00"/>
    <x v="144"/>
    <x v="0"/>
    <n v="2765"/>
    <n v="7517"/>
    <x v="4"/>
    <x v="6"/>
    <n v="2025"/>
  </r>
  <r>
    <s v="PAT-3465"/>
    <s v="Elizabeth Martin"/>
    <x v="4"/>
    <x v="4"/>
    <x v="4"/>
    <n v="45701"/>
    <x v="2"/>
    <x v="0"/>
    <n v="2402"/>
    <n v="1992"/>
    <n v="2071"/>
    <n v="3315"/>
    <n v="9780"/>
    <d v="2025-04-30T00:00:00"/>
    <x v="109"/>
    <x v="0"/>
    <n v="8170"/>
    <n v="1610"/>
    <x v="4"/>
    <x v="2"/>
    <n v="2025"/>
  </r>
  <r>
    <s v="PAT-3466"/>
    <s v="Joshua White"/>
    <x v="2"/>
    <x v="7"/>
    <x v="2"/>
    <n v="45951"/>
    <x v="1"/>
    <x v="3"/>
    <n v="858"/>
    <n v="3323"/>
    <n v="1932"/>
    <n v="4939"/>
    <n v="11052"/>
    <d v="2025-12-08T00:00:00"/>
    <x v="145"/>
    <x v="0"/>
    <n v="132"/>
    <n v="10920"/>
    <x v="3"/>
    <x v="5"/>
    <n v="2025"/>
  </r>
  <r>
    <s v="PAT-3467"/>
    <s v="Sarah Martinez"/>
    <x v="3"/>
    <x v="7"/>
    <x v="1"/>
    <n v="46008"/>
    <x v="0"/>
    <x v="5"/>
    <n v="2028"/>
    <n v="950"/>
    <n v="2307"/>
    <n v="1950"/>
    <n v="7235"/>
    <d v="2026-01-01T00:00:00"/>
    <x v="88"/>
    <x v="1"/>
    <n v="0"/>
    <n v="7235"/>
    <x v="4"/>
    <x v="6"/>
    <n v="2025"/>
  </r>
  <r>
    <s v="PAT-3468"/>
    <s v="Sandra Clark"/>
    <x v="0"/>
    <x v="6"/>
    <x v="3"/>
    <n v="45744"/>
    <x v="1"/>
    <x v="5"/>
    <n v="1188"/>
    <n v="2171"/>
    <n v="1406"/>
    <n v="7744"/>
    <n v="12509"/>
    <d v="2025-08-15T00:00:00"/>
    <x v="60"/>
    <x v="1"/>
    <n v="0"/>
    <n v="12509"/>
    <x v="4"/>
    <x v="10"/>
    <n v="2025"/>
  </r>
  <r>
    <s v="PAT-3469"/>
    <s v="Ashley Ramirez"/>
    <x v="4"/>
    <x v="7"/>
    <x v="3"/>
    <n v="45760"/>
    <x v="3"/>
    <x v="4"/>
    <n v="1563"/>
    <n v="2157"/>
    <n v="613"/>
    <n v="1296"/>
    <n v="5629"/>
    <d v="2025-09-03T00:00:00"/>
    <x v="68"/>
    <x v="1"/>
    <n v="0"/>
    <n v="5629"/>
    <x v="4"/>
    <x v="0"/>
    <n v="2025"/>
  </r>
  <r>
    <s v="PAT-3470"/>
    <s v="William Williams"/>
    <x v="4"/>
    <x v="5"/>
    <x v="1"/>
    <n v="46004"/>
    <x v="2"/>
    <x v="0"/>
    <n v="816"/>
    <n v="1264"/>
    <n v="1841"/>
    <n v="1474"/>
    <n v="5395"/>
    <d v="2026-03-31T00:00:00"/>
    <x v="53"/>
    <x v="1"/>
    <n v="0"/>
    <n v="5395"/>
    <x v="0"/>
    <x v="6"/>
    <n v="2025"/>
  </r>
  <r>
    <s v="PAT-3471"/>
    <s v="Susan Perez"/>
    <x v="3"/>
    <x v="7"/>
    <x v="4"/>
    <n v="45797"/>
    <x v="1"/>
    <x v="3"/>
    <n v="1111"/>
    <n v="4184"/>
    <n v="2894"/>
    <n v="6197"/>
    <n v="14386"/>
    <d v="2025-08-03T00:00:00"/>
    <x v="24"/>
    <x v="0"/>
    <n v="338"/>
    <n v="14048"/>
    <x v="4"/>
    <x v="9"/>
    <n v="2025"/>
  </r>
  <r>
    <s v="PAT-3472"/>
    <s v="Michelle Wilson"/>
    <x v="4"/>
    <x v="7"/>
    <x v="0"/>
    <n v="45973"/>
    <x v="0"/>
    <x v="5"/>
    <n v="2468"/>
    <n v="2270"/>
    <n v="779"/>
    <n v="3100"/>
    <n v="8617"/>
    <d v="2026-02-25T00:00:00"/>
    <x v="27"/>
    <x v="1"/>
    <n v="0"/>
    <n v="8617"/>
    <x v="3"/>
    <x v="4"/>
    <n v="2025"/>
  </r>
  <r>
    <s v="PAT-3473"/>
    <s v="Andrew Jackson"/>
    <x v="3"/>
    <x v="7"/>
    <x v="2"/>
    <n v="45825"/>
    <x v="3"/>
    <x v="1"/>
    <n v="2476"/>
    <n v="2500"/>
    <n v="2679"/>
    <n v="2769"/>
    <n v="10424"/>
    <d v="2025-10-15T00:00:00"/>
    <x v="2"/>
    <x v="0"/>
    <n v="7000"/>
    <n v="3424"/>
    <x v="1"/>
    <x v="7"/>
    <n v="2025"/>
  </r>
  <r>
    <s v="PAT-3474"/>
    <s v="Kevin Perez"/>
    <x v="2"/>
    <x v="0"/>
    <x v="4"/>
    <n v="45925"/>
    <x v="1"/>
    <x v="3"/>
    <n v="766"/>
    <n v="3038"/>
    <n v="812"/>
    <n v="8843"/>
    <n v="13459"/>
    <d v="2025-12-31T00:00:00"/>
    <x v="78"/>
    <x v="1"/>
    <n v="0"/>
    <n v="13459"/>
    <x v="2"/>
    <x v="3"/>
    <n v="2025"/>
  </r>
  <r>
    <s v="PAT-3475"/>
    <s v="Michael Smith"/>
    <x v="2"/>
    <x v="4"/>
    <x v="2"/>
    <n v="45704"/>
    <x v="2"/>
    <x v="3"/>
    <n v="2154"/>
    <n v="1524"/>
    <n v="1843"/>
    <n v="1477"/>
    <n v="6998"/>
    <d v="2025-05-14T00:00:00"/>
    <x v="9"/>
    <x v="0"/>
    <n v="6138"/>
    <n v="860"/>
    <x v="4"/>
    <x v="2"/>
    <n v="2025"/>
  </r>
  <r>
    <s v="PAT-3476"/>
    <s v="Michelle Jones"/>
    <x v="4"/>
    <x v="5"/>
    <x v="0"/>
    <n v="45695"/>
    <x v="0"/>
    <x v="3"/>
    <n v="1108"/>
    <n v="2792"/>
    <n v="1975"/>
    <n v="7688"/>
    <n v="13563"/>
    <d v="2025-04-27T00:00:00"/>
    <x v="98"/>
    <x v="1"/>
    <n v="0"/>
    <n v="13563"/>
    <x v="2"/>
    <x v="2"/>
    <n v="2025"/>
  </r>
  <r>
    <s v="PAT-3477"/>
    <s v="Jennifer Smith"/>
    <x v="0"/>
    <x v="3"/>
    <x v="3"/>
    <n v="45843"/>
    <x v="1"/>
    <x v="1"/>
    <n v="700"/>
    <n v="0"/>
    <n v="2635"/>
    <n v="9434"/>
    <n v="12769"/>
    <d v="2025-11-28T00:00:00"/>
    <x v="146"/>
    <x v="0"/>
    <n v="12528"/>
    <n v="241"/>
    <x v="1"/>
    <x v="1"/>
    <n v="2025"/>
  </r>
  <r>
    <s v="PAT-3478"/>
    <s v="Betty Moore"/>
    <x v="1"/>
    <x v="1"/>
    <x v="1"/>
    <n v="45694"/>
    <x v="3"/>
    <x v="0"/>
    <n v="1752"/>
    <n v="2128"/>
    <n v="1772"/>
    <n v="6111"/>
    <n v="11763"/>
    <d v="2025-05-20T00:00:00"/>
    <x v="23"/>
    <x v="0"/>
    <n v="8752"/>
    <n v="3011"/>
    <x v="3"/>
    <x v="2"/>
    <n v="2025"/>
  </r>
  <r>
    <s v="PAT-3479"/>
    <s v="William Rodriguez"/>
    <x v="2"/>
    <x v="1"/>
    <x v="1"/>
    <n v="45667"/>
    <x v="2"/>
    <x v="4"/>
    <n v="623"/>
    <n v="1300"/>
    <n v="1748"/>
    <n v="3000"/>
    <n v="6671"/>
    <d v="2025-01-20T00:00:00"/>
    <x v="70"/>
    <x v="1"/>
    <n v="0"/>
    <n v="6671"/>
    <x v="3"/>
    <x v="8"/>
    <n v="2025"/>
  </r>
  <r>
    <s v="PAT-3480"/>
    <s v="Kimberly Clark"/>
    <x v="3"/>
    <x v="7"/>
    <x v="3"/>
    <n v="45910"/>
    <x v="1"/>
    <x v="0"/>
    <n v="1603"/>
    <n v="4172"/>
    <n v="2288"/>
    <n v="7238"/>
    <n v="15301"/>
    <d v="2025-11-25T00:00:00"/>
    <x v="109"/>
    <x v="0"/>
    <n v="11276"/>
    <n v="4025"/>
    <x v="4"/>
    <x v="3"/>
    <n v="2025"/>
  </r>
  <r>
    <s v="PAT-3481"/>
    <s v="Thomas Martin"/>
    <x v="4"/>
    <x v="2"/>
    <x v="2"/>
    <n v="46014"/>
    <x v="0"/>
    <x v="3"/>
    <n v="1189"/>
    <n v="826"/>
    <n v="477"/>
    <n v="1900"/>
    <n v="4392"/>
    <d v="2026-01-30T00:00:00"/>
    <x v="83"/>
    <x v="0"/>
    <n v="3000"/>
    <n v="1392"/>
    <x v="2"/>
    <x v="6"/>
    <n v="2025"/>
  </r>
  <r>
    <s v="PAT-3482"/>
    <s v="Dorothy Brown"/>
    <x v="0"/>
    <x v="0"/>
    <x v="4"/>
    <n v="45843"/>
    <x v="1"/>
    <x v="0"/>
    <n v="2468"/>
    <n v="1457"/>
    <n v="2264"/>
    <n v="7846"/>
    <n v="14035"/>
    <d v="2025-08-27T00:00:00"/>
    <x v="35"/>
    <x v="0"/>
    <n v="11437"/>
    <n v="2598"/>
    <x v="3"/>
    <x v="1"/>
    <n v="2025"/>
  </r>
  <r>
    <s v="PAT-3483"/>
    <s v="Linda Davis"/>
    <x v="0"/>
    <x v="6"/>
    <x v="0"/>
    <n v="45894"/>
    <x v="3"/>
    <x v="3"/>
    <n v="1672"/>
    <n v="3170"/>
    <n v="489"/>
    <n v="1800"/>
    <n v="7131"/>
    <d v="2025-09-29T00:00:00"/>
    <x v="39"/>
    <x v="1"/>
    <n v="0"/>
    <n v="7131"/>
    <x v="0"/>
    <x v="11"/>
    <n v="2025"/>
  </r>
  <r>
    <s v="PAT-3484"/>
    <s v="Paul Johnson"/>
    <x v="3"/>
    <x v="7"/>
    <x v="2"/>
    <n v="45751"/>
    <x v="2"/>
    <x v="4"/>
    <n v="2372"/>
    <n v="3063"/>
    <n v="1628"/>
    <n v="3211"/>
    <n v="10274"/>
    <d v="2025-05-30T00:00:00"/>
    <x v="40"/>
    <x v="0"/>
    <n v="2090"/>
    <n v="8184"/>
    <x v="4"/>
    <x v="0"/>
    <n v="2025"/>
  </r>
  <r>
    <s v="PAT-3485"/>
    <s v="Lisa Jones"/>
    <x v="4"/>
    <x v="7"/>
    <x v="4"/>
    <n v="45661"/>
    <x v="1"/>
    <x v="0"/>
    <n v="1141"/>
    <n v="1372"/>
    <n v="2039"/>
    <n v="3000"/>
    <n v="7552"/>
    <d v="2025-04-18T00:00:00"/>
    <x v="38"/>
    <x v="1"/>
    <n v="0"/>
    <n v="7552"/>
    <x v="1"/>
    <x v="8"/>
    <n v="2025"/>
  </r>
  <r>
    <s v="PAT-3486"/>
    <s v="Joseph Clark"/>
    <x v="1"/>
    <x v="6"/>
    <x v="3"/>
    <n v="45842"/>
    <x v="0"/>
    <x v="0"/>
    <n v="1634"/>
    <n v="1050"/>
    <n v="2437"/>
    <n v="1650"/>
    <n v="6771"/>
    <d v="2025-07-21T00:00:00"/>
    <x v="73"/>
    <x v="1"/>
    <n v="0"/>
    <n v="6771"/>
    <x v="2"/>
    <x v="1"/>
    <n v="2025"/>
  </r>
  <r>
    <s v="PAT-3487"/>
    <s v="Linda Wilson"/>
    <x v="1"/>
    <x v="2"/>
    <x v="1"/>
    <n v="45751"/>
    <x v="3"/>
    <x v="5"/>
    <n v="1713"/>
    <n v="1758"/>
    <n v="2115"/>
    <n v="5881"/>
    <n v="11467"/>
    <d v="2025-06-22T00:00:00"/>
    <x v="98"/>
    <x v="1"/>
    <n v="0"/>
    <n v="11467"/>
    <x v="3"/>
    <x v="0"/>
    <n v="2025"/>
  </r>
  <r>
    <s v="PAT-3488"/>
    <s v="Nancy Jones"/>
    <x v="3"/>
    <x v="7"/>
    <x v="0"/>
    <n v="45740"/>
    <x v="1"/>
    <x v="3"/>
    <n v="1777"/>
    <n v="1071"/>
    <n v="1576"/>
    <n v="2000"/>
    <n v="6424"/>
    <d v="2025-07-06T00:00:00"/>
    <x v="38"/>
    <x v="0"/>
    <n v="4587"/>
    <n v="1837"/>
    <x v="4"/>
    <x v="10"/>
    <n v="2025"/>
  </r>
  <r>
    <s v="PAT-3489"/>
    <s v="Nancy Perez"/>
    <x v="2"/>
    <x v="3"/>
    <x v="3"/>
    <n v="45731"/>
    <x v="2"/>
    <x v="2"/>
    <n v="1663"/>
    <n v="1501"/>
    <n v="2608"/>
    <n v="5768"/>
    <n v="11540"/>
    <d v="2025-07-24T00:00:00"/>
    <x v="75"/>
    <x v="0"/>
    <n v="2707"/>
    <n v="8833"/>
    <x v="1"/>
    <x v="10"/>
    <n v="2025"/>
  </r>
  <r>
    <s v="PAT-3490"/>
    <s v="Barbara Brown"/>
    <x v="4"/>
    <x v="4"/>
    <x v="1"/>
    <n v="45729"/>
    <x v="0"/>
    <x v="4"/>
    <n v="1720"/>
    <n v="4364"/>
    <n v="1890"/>
    <n v="4176"/>
    <n v="12150"/>
    <d v="2025-05-23T00:00:00"/>
    <x v="21"/>
    <x v="1"/>
    <n v="0"/>
    <n v="12150"/>
    <x v="2"/>
    <x v="10"/>
    <n v="2025"/>
  </r>
  <r>
    <s v="PAT-3491"/>
    <s v="Matthew Ramirez"/>
    <x v="3"/>
    <x v="7"/>
    <x v="4"/>
    <n v="45755"/>
    <x v="1"/>
    <x v="2"/>
    <n v="1307"/>
    <n v="980"/>
    <n v="1915"/>
    <n v="2500"/>
    <n v="6702"/>
    <d v="2025-05-19T00:00:00"/>
    <x v="28"/>
    <x v="0"/>
    <n v="4800"/>
    <n v="1902"/>
    <x v="1"/>
    <x v="0"/>
    <n v="2025"/>
  </r>
  <r>
    <s v="PAT-3492"/>
    <s v="Sarah Brown"/>
    <x v="1"/>
    <x v="0"/>
    <x v="2"/>
    <n v="45821"/>
    <x v="3"/>
    <x v="2"/>
    <n v="1882"/>
    <n v="2049"/>
    <n v="2778"/>
    <n v="1747"/>
    <n v="8456"/>
    <d v="2025-10-01T00:00:00"/>
    <x v="41"/>
    <x v="0"/>
    <n v="5026"/>
    <n v="3430"/>
    <x v="4"/>
    <x v="7"/>
    <n v="2025"/>
  </r>
  <r>
    <s v="PAT-3493"/>
    <s v="Robert Williams"/>
    <x v="3"/>
    <x v="0"/>
    <x v="0"/>
    <n v="45717"/>
    <x v="2"/>
    <x v="2"/>
    <n v="1130"/>
    <n v="4063"/>
    <n v="1794"/>
    <n v="1071"/>
    <n v="8058"/>
    <d v="2025-04-29T00:00:00"/>
    <x v="86"/>
    <x v="0"/>
    <n v="7131"/>
    <n v="927"/>
    <x v="0"/>
    <x v="10"/>
    <n v="2025"/>
  </r>
  <r>
    <s v="PAT-3494"/>
    <s v="Mary Thompson"/>
    <x v="5"/>
    <x v="6"/>
    <x v="0"/>
    <n v="45823"/>
    <x v="1"/>
    <x v="4"/>
    <n v="1496"/>
    <n v="3855"/>
    <n v="943"/>
    <n v="3022"/>
    <n v="9316"/>
    <d v="2025-08-30T00:00:00"/>
    <x v="109"/>
    <x v="1"/>
    <n v="0"/>
    <n v="9316"/>
    <x v="4"/>
    <x v="7"/>
    <n v="2025"/>
  </r>
  <r>
    <s v="PAT-3495"/>
    <s v="Michael White"/>
    <x v="4"/>
    <x v="2"/>
    <x v="2"/>
    <n v="45970"/>
    <x v="0"/>
    <x v="0"/>
    <n v="1800"/>
    <n v="2630"/>
    <n v="1628"/>
    <n v="5192"/>
    <n v="11250"/>
    <d v="2026-03-31T00:00:00"/>
    <x v="48"/>
    <x v="0"/>
    <n v="7159"/>
    <n v="4091"/>
    <x v="0"/>
    <x v="4"/>
    <n v="2025"/>
  </r>
  <r>
    <s v="PAT-3496"/>
    <s v="Michael Robinson"/>
    <x v="4"/>
    <x v="7"/>
    <x v="1"/>
    <n v="45893"/>
    <x v="1"/>
    <x v="3"/>
    <n v="763"/>
    <n v="4477"/>
    <n v="2865"/>
    <n v="2143"/>
    <n v="10248"/>
    <d v="2025-10-11T00:00:00"/>
    <x v="145"/>
    <x v="1"/>
    <n v="0"/>
    <n v="10248"/>
    <x v="1"/>
    <x v="11"/>
    <n v="2025"/>
  </r>
  <r>
    <s v="PAT-3497"/>
    <s v="Robert Jackson"/>
    <x v="1"/>
    <x v="3"/>
    <x v="3"/>
    <n v="46018"/>
    <x v="3"/>
    <x v="3"/>
    <n v="1800"/>
    <n v="3431"/>
    <n v="2923"/>
    <n v="3500"/>
    <n v="11654"/>
    <d v="2026-02-10T00:00:00"/>
    <x v="69"/>
    <x v="0"/>
    <n v="1483"/>
    <n v="10171"/>
    <x v="2"/>
    <x v="6"/>
    <n v="2025"/>
  </r>
  <r>
    <s v="PAT-3498"/>
    <s v="Donna Johnson"/>
    <x v="2"/>
    <x v="6"/>
    <x v="4"/>
    <n v="45726"/>
    <x v="2"/>
    <x v="5"/>
    <n v="2280"/>
    <n v="1000"/>
    <n v="1141"/>
    <n v="1700"/>
    <n v="6121"/>
    <d v="2025-03-25T00:00:00"/>
    <x v="88"/>
    <x v="1"/>
    <n v="0"/>
    <n v="6121"/>
    <x v="1"/>
    <x v="10"/>
    <n v="2025"/>
  </r>
  <r>
    <s v="PAT-3499"/>
    <s v="Donna Martinez"/>
    <x v="5"/>
    <x v="4"/>
    <x v="4"/>
    <n v="45673"/>
    <x v="1"/>
    <x v="2"/>
    <n v="1497"/>
    <n v="3421"/>
    <n v="1616"/>
    <n v="6218"/>
    <n v="12752"/>
    <d v="2025-05-19T00:00:00"/>
    <x v="34"/>
    <x v="0"/>
    <n v="8096"/>
    <n v="4656"/>
    <x v="3"/>
    <x v="8"/>
    <n v="2025"/>
  </r>
  <r>
    <s v="PAT-3500"/>
    <s v="Anthony White"/>
    <x v="2"/>
    <x v="1"/>
    <x v="0"/>
    <n v="45864"/>
    <x v="0"/>
    <x v="3"/>
    <n v="865"/>
    <n v="1985"/>
    <n v="2986"/>
    <n v="9680"/>
    <n v="15516"/>
    <d v="2025-09-27T00:00:00"/>
    <x v="26"/>
    <x v="0"/>
    <n v="1831"/>
    <n v="13685"/>
    <x v="3"/>
    <x v="1"/>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2719E2-D716-4E4A-8F4E-DCD572376A61}" name="P.A.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I4:CJ17" firstHeaderRow="1" firstDataRow="1" firstDataCol="1"/>
  <pivotFields count="21">
    <pivotField dataField="1"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axis="axisRow" showAll="0">
      <items count="13">
        <item x="8"/>
        <item x="2"/>
        <item x="10"/>
        <item x="0"/>
        <item x="9"/>
        <item x="7"/>
        <item x="1"/>
        <item x="11"/>
        <item x="3"/>
        <item x="5"/>
        <item x="4"/>
        <item x="6"/>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B0D2B-BEC8-475C-996E-708E301527BB}" name="Overview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colHeaderCaption="Insurance Status">
  <location ref="O4:R14" firstHeaderRow="1" firstDataRow="2" firstDataCol="1"/>
  <pivotFields count="21">
    <pivotField showAll="0"/>
    <pivotField showAll="0"/>
    <pivotField showAll="0">
      <items count="7">
        <item x="0"/>
        <item x="1"/>
        <item x="2"/>
        <item x="5"/>
        <item x="4"/>
        <item x="3"/>
        <item t="default"/>
      </items>
    </pivotField>
    <pivotField axis="axisRow"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axis="axisCol" dataField="1"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3"/>
  </rowFields>
  <rowItems count="9">
    <i>
      <x/>
    </i>
    <i>
      <x v="1"/>
    </i>
    <i>
      <x v="2"/>
    </i>
    <i>
      <x v="3"/>
    </i>
    <i>
      <x v="4"/>
    </i>
    <i>
      <x v="5"/>
    </i>
    <i>
      <x v="6"/>
    </i>
    <i>
      <x v="7"/>
    </i>
    <i t="grand">
      <x/>
    </i>
  </rowItems>
  <colFields count="1">
    <field x="15"/>
  </colFields>
  <colItems count="3">
    <i>
      <x/>
    </i>
    <i>
      <x v="1"/>
    </i>
    <i t="grand">
      <x/>
    </i>
  </colItems>
  <dataFields count="1">
    <dataField name="Count of Insurance Status" fld="15" subtotal="count" baseField="0" baseItem="0"/>
  </dataFields>
  <chartFormats count="3">
    <chartFormat chart="14" format="6" series="1">
      <pivotArea type="data" outline="0" fieldPosition="0">
        <references count="2">
          <reference field="4294967294" count="1" selected="0">
            <x v="0"/>
          </reference>
          <reference field="15" count="1" selected="0">
            <x v="0"/>
          </reference>
        </references>
      </pivotArea>
    </chartFormat>
    <chartFormat chart="14" format="7" series="1">
      <pivotArea type="data" outline="0" fieldPosition="0">
        <references count="2">
          <reference field="4294967294" count="1" selected="0">
            <x v="0"/>
          </reference>
          <reference field="15" count="1" selected="0">
            <x v="1"/>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363DD-BFBB-47D1-93B4-74F73EED2B00}" name="FA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L4:AM11" firstHeaderRow="1" firstDataRow="1" firstDataCol="1"/>
  <pivotFields count="21">
    <pivotField showAll="0"/>
    <pivotField showAll="0"/>
    <pivotField axis="axisRow" showAll="0" sortType="de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dataField="1"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2"/>
  </rowFields>
  <rowItems count="7">
    <i>
      <x v="2"/>
    </i>
    <i>
      <x v="1"/>
    </i>
    <i>
      <x v="4"/>
    </i>
    <i>
      <x/>
    </i>
    <i>
      <x v="5"/>
    </i>
    <i>
      <x v="3"/>
    </i>
    <i t="grand">
      <x/>
    </i>
  </rowItems>
  <colItems count="1">
    <i/>
  </colItems>
  <dataFields count="1">
    <dataField name="Sum of Total Revenue" fld="12" baseField="0" baseItem="0" numFmtId="164"/>
  </dataFields>
  <formats count="1">
    <format dxfId="104">
      <pivotArea outline="0" collapsedLevelsAreSubtotals="1" fieldPosition="0"/>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F1EBDE-01F2-404C-A5EA-F1486C6F0000}" name="Overview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1">
    <pivotField showAll="0"/>
    <pivotField dataField="1"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Items count="1">
    <i/>
  </rowItems>
  <colItems count="1">
    <i/>
  </colItems>
  <dataFields count="1">
    <dataField name="Total Patie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4F25CA-8A72-4B22-825F-B7644AF2A485}" name="P.A.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E4:CF13" firstHeaderRow="1" firstDataRow="1" firstDataCol="1"/>
  <pivotFields count="21">
    <pivotField dataField="1" showAll="0"/>
    <pivotField showAll="0"/>
    <pivotField showAll="0">
      <items count="7">
        <item x="0"/>
        <item x="1"/>
        <item x="2"/>
        <item x="5"/>
        <item x="4"/>
        <item x="3"/>
        <item t="default"/>
      </items>
    </pivotField>
    <pivotField axis="axisRow" showAll="0" sortType="descending">
      <items count="9">
        <item x="0"/>
        <item x="7"/>
        <item x="4"/>
        <item x="3"/>
        <item x="1"/>
        <item x="5"/>
        <item x="6"/>
        <item x="2"/>
        <item t="default"/>
      </items>
      <autoSortScope>
        <pivotArea dataOnly="0" outline="0" fieldPosition="0">
          <references count="1">
            <reference field="4294967294" count="1" selected="0">
              <x v="0"/>
            </reference>
          </references>
        </pivotArea>
      </autoSortScope>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3"/>
  </rowFields>
  <rowItems count="9">
    <i>
      <x v="1"/>
    </i>
    <i>
      <x v="6"/>
    </i>
    <i>
      <x v="4"/>
    </i>
    <i>
      <x v="7"/>
    </i>
    <i>
      <x/>
    </i>
    <i>
      <x v="3"/>
    </i>
    <i>
      <x v="5"/>
    </i>
    <i>
      <x v="2"/>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8F183F-2E28-4319-8FF6-702DDAF623BE}" name="Dep. P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W4:BZ12" firstHeaderRow="1" firstDataRow="2" firstDataCol="1"/>
  <pivotFields count="21">
    <pivotField dataField="1" showAll="0"/>
    <pivotField showAll="0"/>
    <pivotField axis="axisRow"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axis="axisCol"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2"/>
  </rowFields>
  <rowItems count="7">
    <i>
      <x/>
    </i>
    <i>
      <x v="1"/>
    </i>
    <i>
      <x v="2"/>
    </i>
    <i>
      <x v="3"/>
    </i>
    <i>
      <x v="4"/>
    </i>
    <i>
      <x v="5"/>
    </i>
    <i t="grand">
      <x/>
    </i>
  </rowItems>
  <colFields count="1">
    <field x="15"/>
  </colFields>
  <colItems count="3">
    <i>
      <x/>
    </i>
    <i>
      <x v="1"/>
    </i>
    <i t="grand">
      <x/>
    </i>
  </colItems>
  <dataFields count="1">
    <dataField name="Count of Patient ID" fld="0" subtotal="count" baseField="0" baseItem="0"/>
  </dataFields>
  <chartFormats count="3">
    <chartFormat chart="4" format="6" series="1">
      <pivotArea type="data" outline="0" fieldPosition="0">
        <references count="2">
          <reference field="4294967294" count="1" selected="0">
            <x v="0"/>
          </reference>
          <reference field="15" count="1" selected="0">
            <x v="0"/>
          </reference>
        </references>
      </pivotArea>
    </chartFormat>
    <chartFormat chart="4" format="7" series="1">
      <pivotArea type="data" outline="0" fieldPosition="0">
        <references count="2">
          <reference field="4294967294" count="1" selected="0">
            <x v="0"/>
          </reference>
          <reference field="15" count="1" selected="0">
            <x v="1"/>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E12CC2-95D9-4B99-9BA5-1726A113B01A}" name="Overview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4:AA17" firstHeaderRow="1" firstDataRow="1" firstDataCol="1"/>
  <pivotFields count="21">
    <pivotField showAll="0"/>
    <pivotField dataField="1"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axis="axisRow" showAll="0">
      <items count="13">
        <item x="8"/>
        <item x="2"/>
        <item x="10"/>
        <item x="0"/>
        <item x="9"/>
        <item x="7"/>
        <item x="1"/>
        <item x="11"/>
        <item x="3"/>
        <item x="5"/>
        <item x="4"/>
        <item x="6"/>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Total Patients"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D95C6C-F1A7-4625-9AE4-D6871C021C12}" name="Dep. P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M4:BN11" firstHeaderRow="1" firstDataRow="1" firstDataCol="1"/>
  <pivotFields count="21">
    <pivotField showAll="0"/>
    <pivotField showAll="0"/>
    <pivotField axis="axisRow" showAll="0" sortType="a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dataField="1" showAll="0"/>
    <pivotField showAll="0">
      <items count="13">
        <item x="8"/>
        <item x="2"/>
        <item x="10"/>
        <item x="0"/>
        <item x="9"/>
        <item x="7"/>
        <item x="1"/>
        <item x="11"/>
        <item x="3"/>
        <item x="5"/>
        <item x="4"/>
        <item x="6"/>
        <item t="default"/>
      </items>
    </pivotField>
    <pivotField showAll="0"/>
  </pivotFields>
  <rowFields count="1">
    <field x="2"/>
  </rowFields>
  <rowItems count="7">
    <i>
      <x v="3"/>
    </i>
    <i>
      <x/>
    </i>
    <i>
      <x v="5"/>
    </i>
    <i>
      <x v="1"/>
    </i>
    <i>
      <x v="4"/>
    </i>
    <i>
      <x v="2"/>
    </i>
    <i t="grand">
      <x/>
    </i>
  </rowItems>
  <colItems count="1">
    <i/>
  </colItems>
  <dataFields count="1">
    <dataField name="Average of Satisfaction Score(1-5)" fld="18" subtotal="average" baseField="2" baseItem="0" numFmtId="165"/>
  </dataFields>
  <formats count="2">
    <format>
      <pivotArea outline="0" collapsedLevelsAreSubtotals="1" fieldPosition="0">
        <references count="1">
          <reference field="4294967294" count="1" selected="0">
            <x v="0"/>
          </reference>
        </references>
      </pivotArea>
    </format>
    <format dxfId="10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5C10DE-394F-41C7-B0E3-1EE18D5AC79A}" name="Overview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rowPageCount="1" colPageCount="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axis="axisPage" dataField="1" multipleItemSelectionAllowed="1"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Items count="1">
    <i/>
  </rowItems>
  <colItems count="1">
    <i/>
  </colItems>
  <pageFields count="1">
    <pageField fld="6" hier="-1"/>
  </pageFields>
  <dataFields count="1">
    <dataField name="Count of Treatment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F6EF21-9720-426B-94A8-16CF28B7B725}" name="FA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O4:AP17" firstHeaderRow="1" firstDataRow="1" firstDataCol="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dataField="1" showAll="0"/>
    <pivotField numFmtId="14" showAll="0"/>
    <pivotField numFmtId="1" showAll="0"/>
    <pivotField showAll="0">
      <items count="3">
        <item x="0"/>
        <item x="1"/>
        <item t="default"/>
      </items>
    </pivotField>
    <pivotField showAll="0"/>
    <pivotField showAll="0"/>
    <pivotField showAll="0"/>
    <pivotField axis="axisRow" showAll="0">
      <items count="13">
        <item x="8"/>
        <item x="2"/>
        <item x="10"/>
        <item x="0"/>
        <item x="9"/>
        <item x="7"/>
        <item x="1"/>
        <item x="11"/>
        <item x="3"/>
        <item x="5"/>
        <item x="4"/>
        <item x="6"/>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Total Revenue" fld="12" baseField="0" baseItem="0" numFmtId="164"/>
  </dataFields>
  <formats count="1">
    <format dxfId="10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C9667D-3EE6-4EE4-A085-173B1EA271D5}" name="P.A.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S4:CT10" firstHeaderRow="1" firstDataRow="1" firstDataCol="1"/>
  <pivotFields count="21">
    <pivotField dataField="1"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axis="axisRow" multipleItemSelectionAllowed="1" showAll="0">
      <items count="6">
        <item x="1"/>
        <item x="2"/>
        <item x="4"/>
        <item x="3"/>
        <item x="0"/>
        <item t="default"/>
      </items>
    </pivotField>
    <pivotField showAll="0">
      <items count="13">
        <item x="8"/>
        <item x="2"/>
        <item x="10"/>
        <item x="0"/>
        <item x="9"/>
        <item x="7"/>
        <item x="1"/>
        <item x="11"/>
        <item x="3"/>
        <item x="5"/>
        <item x="4"/>
        <item x="6"/>
        <item t="default"/>
      </items>
    </pivotField>
    <pivotField showAll="0"/>
  </pivotFields>
  <rowFields count="1">
    <field x="18"/>
  </rowFields>
  <rowItems count="6">
    <i>
      <x/>
    </i>
    <i>
      <x v="1"/>
    </i>
    <i>
      <x v="2"/>
    </i>
    <i>
      <x v="3"/>
    </i>
    <i>
      <x v="4"/>
    </i>
    <i t="grand">
      <x/>
    </i>
  </rowItems>
  <colItems count="1">
    <i/>
  </colItems>
  <dataFields count="1">
    <dataField name="Count of Patient ID" fld="0" subtotal="count" showDataAs="percentOfTotal" baseField="18" baseItem="0" numFmtId="9"/>
  </dataFields>
  <formats count="2">
    <format dxfId="108">
      <pivotArea outline="0" fieldPosition="0">
        <references count="1">
          <reference field="4294967294" count="1">
            <x v="0"/>
          </reference>
        </references>
      </pivotArea>
    </format>
    <format dxfId="107">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8" count="1" selected="0">
            <x v="0"/>
          </reference>
        </references>
      </pivotArea>
    </chartFormat>
    <chartFormat chart="2" format="9">
      <pivotArea type="data" outline="0" fieldPosition="0">
        <references count="2">
          <reference field="4294967294" count="1" selected="0">
            <x v="0"/>
          </reference>
          <reference field="18" count="1" selected="0">
            <x v="1"/>
          </reference>
        </references>
      </pivotArea>
    </chartFormat>
    <chartFormat chart="2" format="10">
      <pivotArea type="data" outline="0" fieldPosition="0">
        <references count="2">
          <reference field="4294967294" count="1" selected="0">
            <x v="0"/>
          </reference>
          <reference field="18" count="1" selected="0">
            <x v="2"/>
          </reference>
        </references>
      </pivotArea>
    </chartFormat>
    <chartFormat chart="2" format="11">
      <pivotArea type="data" outline="0" fieldPosition="0">
        <references count="2">
          <reference field="4294967294" count="1" selected="0">
            <x v="0"/>
          </reference>
          <reference field="18" count="1" selected="0">
            <x v="3"/>
          </reference>
        </references>
      </pivotArea>
    </chartFormat>
    <chartFormat chart="2" format="12">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008D30-74B1-449C-B7E3-A6E179D2626D}" name="P.A.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P4:CQ13" firstHeaderRow="1" firstDataRow="1" firstDataCol="1"/>
  <pivotFields count="21">
    <pivotField showAll="0"/>
    <pivotField showAll="0"/>
    <pivotField showAll="0">
      <items count="7">
        <item x="0"/>
        <item x="1"/>
        <item x="2"/>
        <item x="5"/>
        <item x="4"/>
        <item x="3"/>
        <item t="default"/>
      </items>
    </pivotField>
    <pivotField axis="axisRow" showAll="0" sortType="descending">
      <items count="9">
        <item x="0"/>
        <item x="7"/>
        <item x="4"/>
        <item x="3"/>
        <item x="1"/>
        <item x="5"/>
        <item x="6"/>
        <item x="2"/>
        <item t="default"/>
      </items>
      <autoSortScope>
        <pivotArea dataOnly="0" outline="0" fieldPosition="0">
          <references count="1">
            <reference field="4294967294" count="1" selected="0">
              <x v="0"/>
            </reference>
          </references>
        </pivotArea>
      </autoSortScope>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dataField="1" showAll="0"/>
    <pivotField showAll="0"/>
    <pivotField showAll="0">
      <items count="13">
        <item x="8"/>
        <item x="2"/>
        <item x="10"/>
        <item x="0"/>
        <item x="9"/>
        <item x="7"/>
        <item x="1"/>
        <item x="11"/>
        <item x="3"/>
        <item x="5"/>
        <item x="4"/>
        <item x="6"/>
        <item t="default"/>
      </items>
    </pivotField>
    <pivotField showAll="0"/>
  </pivotFields>
  <rowFields count="1">
    <field x="3"/>
  </rowFields>
  <rowItems count="9">
    <i>
      <x v="1"/>
    </i>
    <i>
      <x v="4"/>
    </i>
    <i>
      <x v="6"/>
    </i>
    <i>
      <x v="7"/>
    </i>
    <i>
      <x v="5"/>
    </i>
    <i>
      <x/>
    </i>
    <i>
      <x v="3"/>
    </i>
    <i>
      <x v="2"/>
    </i>
    <i t="grand">
      <x/>
    </i>
  </rowItems>
  <colItems count="1">
    <i/>
  </colItems>
  <dataFields count="1">
    <dataField name="Sum of Out-of-Pocket Amount" fld="17" baseField="0" baseItem="0" numFmtId="164"/>
  </dataFields>
  <formats count="1">
    <format dxfId="109">
      <pivotArea outline="0" collapsedLevelsAreSubtotals="1" fieldPosition="0"/>
    </format>
  </formats>
  <chartFormats count="9">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3"/>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 chart="13" format="6">
      <pivotArea type="data" outline="0" fieldPosition="0">
        <references count="2">
          <reference field="4294967294" count="1" selected="0">
            <x v="0"/>
          </reference>
          <reference field="3" count="1" selected="0">
            <x v="5"/>
          </reference>
        </references>
      </pivotArea>
    </chartFormat>
    <chartFormat chart="13" format="7">
      <pivotArea type="data" outline="0" fieldPosition="0">
        <references count="2">
          <reference field="4294967294" count="1" selected="0">
            <x v="0"/>
          </reference>
          <reference field="3" count="1" selected="0">
            <x v="7"/>
          </reference>
        </references>
      </pivotArea>
    </chartFormat>
    <chartFormat chart="13" format="8">
      <pivotArea type="data" outline="0" fieldPosition="0">
        <references count="2">
          <reference field="4294967294" count="1" selected="0">
            <x v="0"/>
          </reference>
          <reference field="3" count="1" selected="0">
            <x v="6"/>
          </reference>
        </references>
      </pivotArea>
    </chartFormat>
    <chartFormat chart="13" format="9">
      <pivotArea type="data" outline="0" fieldPosition="0">
        <references count="2">
          <reference field="4294967294" count="1" selected="0">
            <x v="0"/>
          </reference>
          <reference field="3" count="1" selected="0">
            <x v="4"/>
          </reference>
        </references>
      </pivotArea>
    </chartFormat>
    <chartFormat chart="13"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9AE8A6-8705-4AB1-9178-16DA27E64840}" name="Doc. P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B4:BC11" firstHeaderRow="1" firstDataRow="1" firstDataCol="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axis="axisRow" showAll="0" sortType="ascending">
      <items count="7">
        <item x="2"/>
        <item x="4"/>
        <item x="1"/>
        <item x="3"/>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7"/>
  </rowFields>
  <rowItems count="7">
    <i>
      <x v="2"/>
    </i>
    <i>
      <x v="1"/>
    </i>
    <i>
      <x v="3"/>
    </i>
    <i>
      <x/>
    </i>
    <i>
      <x v="4"/>
    </i>
    <i>
      <x v="5"/>
    </i>
    <i t="grand">
      <x/>
    </i>
  </rowItems>
  <colItems count="1">
    <i/>
  </colItems>
  <dataFields count="1">
    <dataField name="Sum of Total Revenue" fld="12" baseField="0" baseItem="0" numFmtId="164"/>
  </dataFields>
  <formats count="1">
    <format dxfId="110">
      <pivotArea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5"/>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 chart="4" format="6">
      <pivotArea type="data" outline="0" fieldPosition="0">
        <references count="2">
          <reference field="4294967294" count="1" selected="0">
            <x v="0"/>
          </reference>
          <reference field="7" count="1" selected="0">
            <x v="3"/>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F0D06B-1F2D-4237-BDFD-C31E7E62B07D}" name="Overview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C4:AD10" firstHeaderRow="1" firstDataRow="1" firstDataCol="1"/>
  <pivotFields count="21">
    <pivotField showAll="0"/>
    <pivotField dataField="1" showAll="0"/>
    <pivotField showAll="0">
      <items count="7">
        <item x="0"/>
        <item x="1"/>
        <item x="2"/>
        <item x="5"/>
        <item x="4"/>
        <item x="3"/>
        <item t="default"/>
      </items>
    </pivotField>
    <pivotField showAll="0">
      <items count="9">
        <item x="0"/>
        <item x="7"/>
        <item x="4"/>
        <item x="3"/>
        <item x="1"/>
        <item x="5"/>
        <item x="6"/>
        <item x="2"/>
        <item t="default"/>
      </items>
    </pivotField>
    <pivotField axis="axisRow"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4"/>
  </rowFields>
  <rowItems count="6">
    <i>
      <x/>
    </i>
    <i>
      <x v="1"/>
    </i>
    <i>
      <x v="2"/>
    </i>
    <i>
      <x v="3"/>
    </i>
    <i>
      <x v="4"/>
    </i>
    <i t="grand">
      <x/>
    </i>
  </rowItems>
  <colItems count="1">
    <i/>
  </colItems>
  <dataFields count="1">
    <dataField name="Total Patients" fld="1" subtotal="count" baseField="0" baseItem="0"/>
  </dataFields>
  <chartFormats count="1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6" format="11">
      <pivotArea type="data" outline="0" fieldPosition="0">
        <references count="2">
          <reference field="4294967294" count="1" selected="0">
            <x v="0"/>
          </reference>
          <reference field="4" count="1" selected="0">
            <x v="4"/>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4" count="1" selected="0">
            <x v="0"/>
          </reference>
        </references>
      </pivotArea>
    </chartFormat>
    <chartFormat chart="7" format="20">
      <pivotArea type="data" outline="0" fieldPosition="0">
        <references count="2">
          <reference field="4294967294" count="1" selected="0">
            <x v="0"/>
          </reference>
          <reference field="4" count="1" selected="0">
            <x v="1"/>
          </reference>
        </references>
      </pivotArea>
    </chartFormat>
    <chartFormat chart="7" format="21">
      <pivotArea type="data" outline="0" fieldPosition="0">
        <references count="2">
          <reference field="4294967294" count="1" selected="0">
            <x v="0"/>
          </reference>
          <reference field="4" count="1" selected="0">
            <x v="2"/>
          </reference>
        </references>
      </pivotArea>
    </chartFormat>
    <chartFormat chart="7" format="22">
      <pivotArea type="data" outline="0" fieldPosition="0">
        <references count="2">
          <reference field="4294967294" count="1" selected="0">
            <x v="0"/>
          </reference>
          <reference field="4" count="1" selected="0">
            <x v="3"/>
          </reference>
        </references>
      </pivotArea>
    </chartFormat>
    <chartFormat chart="7" format="23">
      <pivotArea type="data" outline="0" fieldPosition="0">
        <references count="2">
          <reference field="4294967294" count="1" selected="0">
            <x v="0"/>
          </reference>
          <reference field="4" count="1" selected="0">
            <x v="4"/>
          </reference>
        </references>
      </pivotArea>
    </chartFormat>
    <chartFormat chart="7" format="2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6F45D3D-D794-4FA9-A4FC-DC174551E77D}" name="FA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W4:AX13" firstHeaderRow="1" firstDataRow="1" firstDataCol="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dataField="1" showAll="0"/>
    <pivotField numFmtId="14" showAll="0"/>
    <pivotField axis="axisRow" numFmtId="1" showAll="0">
      <items count="11">
        <item x="0"/>
        <item x="1"/>
        <item x="2"/>
        <item x="3"/>
        <item x="4"/>
        <item x="5"/>
        <item x="6"/>
        <item x="7"/>
        <item x="8"/>
        <item x="9"/>
        <item t="default"/>
      </items>
    </pivotField>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14"/>
  </rowFields>
  <rowItems count="9">
    <i>
      <x v="1"/>
    </i>
    <i>
      <x v="2"/>
    </i>
    <i>
      <x v="3"/>
    </i>
    <i>
      <x v="4"/>
    </i>
    <i>
      <x v="5"/>
    </i>
    <i>
      <x v="6"/>
    </i>
    <i>
      <x v="7"/>
    </i>
    <i>
      <x v="8"/>
    </i>
    <i t="grand">
      <x/>
    </i>
  </rowItems>
  <colItems count="1">
    <i/>
  </colItems>
  <dataFields count="1">
    <dataField name="Sum of Total Revenue" fld="12" baseField="0" baseItem="0" numFmtId="164"/>
  </dataFields>
  <formats count="1">
    <format dxfId="11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851B57-6CD2-494B-A72C-C7E2372DAA62}" name="Overview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4:U7" firstHeaderRow="1" firstDataRow="1" firstDataCol="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axis="axisRow" dataField="1"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15"/>
  </rowFields>
  <rowItems count="3">
    <i>
      <x/>
    </i>
    <i>
      <x v="1"/>
    </i>
    <i t="grand">
      <x/>
    </i>
  </rowItems>
  <colItems count="1">
    <i/>
  </colItems>
  <dataFields count="1">
    <dataField name="Count of Insurance Status" fld="15" subtotal="count" baseField="0" baseItem="0"/>
  </dataFields>
  <chartFormats count="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523D75-43DD-4BCC-9E74-015192623462}" name="Doc. P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H4:BI11" firstHeaderRow="1" firstDataRow="1" firstDataCol="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axis="axisRow" showAll="0" sortType="ascending">
      <items count="7">
        <item x="2"/>
        <item x="4"/>
        <item x="1"/>
        <item x="3"/>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dataField="1" showAll="0"/>
    <pivotField showAll="0">
      <items count="13">
        <item x="8"/>
        <item x="2"/>
        <item x="10"/>
        <item x="0"/>
        <item x="9"/>
        <item x="7"/>
        <item x="1"/>
        <item x="11"/>
        <item x="3"/>
        <item x="5"/>
        <item x="4"/>
        <item x="6"/>
        <item t="default"/>
      </items>
    </pivotField>
    <pivotField showAll="0"/>
  </pivotFields>
  <rowFields count="1">
    <field x="7"/>
  </rowFields>
  <rowItems count="7">
    <i>
      <x v="1"/>
    </i>
    <i>
      <x v="2"/>
    </i>
    <i>
      <x v="5"/>
    </i>
    <i>
      <x/>
    </i>
    <i>
      <x v="3"/>
    </i>
    <i>
      <x v="4"/>
    </i>
    <i t="grand">
      <x/>
    </i>
  </rowItems>
  <colItems count="1">
    <i/>
  </colItems>
  <dataFields count="1">
    <dataField name="Average of Satisfaction Score(1-5)" fld="18" subtotal="average" baseField="7" baseItem="3" numFmtId="165"/>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A44C8A-59D7-40D8-8174-CA89A63AB3B2}" name="Dep. P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BT4:BU11" firstHeaderRow="1" firstDataRow="1" firstDataCol="1"/>
  <pivotFields count="21">
    <pivotField showAll="0"/>
    <pivotField showAll="0"/>
    <pivotField axis="axisRow" showAll="0" sortType="a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164" showAll="0"/>
    <pivotField numFmtId="164" showAll="0"/>
    <pivotField showAll="0"/>
    <pivotField dataField="1" numFmtId="164" showAll="0"/>
    <pivotField numFmtId="14" showAll="0"/>
    <pivotField showAll="0"/>
    <pivotField showAll="0"/>
    <pivotField numFmtId="164" showAll="0"/>
    <pivotField numFmtId="164" showAll="0"/>
    <pivotField showAll="0"/>
    <pivotField showAll="0"/>
    <pivotField showAll="0"/>
  </pivotFields>
  <rowFields count="1">
    <field x="2"/>
  </rowFields>
  <rowItems count="7">
    <i>
      <x/>
    </i>
    <i>
      <x v="1"/>
    </i>
    <i>
      <x v="4"/>
    </i>
    <i>
      <x v="2"/>
    </i>
    <i>
      <x v="5"/>
    </i>
    <i>
      <x v="3"/>
    </i>
    <i t="grand">
      <x/>
    </i>
  </rowItems>
  <colItems count="1">
    <i/>
  </colItems>
  <dataFields count="1">
    <dataField name="Average of Total Revenue" fld="12" subtotal="average" showDataAs="percentOfTotal" baseField="2" baseItem="0" numFmtId="10"/>
  </dataFields>
  <formats count="1">
    <format dxfId="113">
      <pivotArea collapsedLevelsAreSubtotals="1" fieldPosition="0">
        <references count="1">
          <reference field="2" count="0"/>
        </references>
      </pivotArea>
    </format>
  </formats>
  <chartFormats count="7">
    <chartFormat chart="10" format="45" series="1">
      <pivotArea type="data" outline="0" fieldPosition="0">
        <references count="1">
          <reference field="4294967294" count="1" selected="0">
            <x v="0"/>
          </reference>
        </references>
      </pivotArea>
    </chartFormat>
    <chartFormat chart="10" format="46">
      <pivotArea type="data" outline="0" fieldPosition="0">
        <references count="2">
          <reference field="4294967294" count="1" selected="0">
            <x v="0"/>
          </reference>
          <reference field="2" count="1" selected="0">
            <x v="0"/>
          </reference>
        </references>
      </pivotArea>
    </chartFormat>
    <chartFormat chart="10" format="47">
      <pivotArea type="data" outline="0" fieldPosition="0">
        <references count="2">
          <reference field="4294967294" count="1" selected="0">
            <x v="0"/>
          </reference>
          <reference field="2" count="1" selected="0">
            <x v="1"/>
          </reference>
        </references>
      </pivotArea>
    </chartFormat>
    <chartFormat chart="10" format="48">
      <pivotArea type="data" outline="0" fieldPosition="0">
        <references count="2">
          <reference field="4294967294" count="1" selected="0">
            <x v="0"/>
          </reference>
          <reference field="2" count="1" selected="0">
            <x v="4"/>
          </reference>
        </references>
      </pivotArea>
    </chartFormat>
    <chartFormat chart="10" format="49">
      <pivotArea type="data" outline="0" fieldPosition="0">
        <references count="2">
          <reference field="4294967294" count="1" selected="0">
            <x v="0"/>
          </reference>
          <reference field="2" count="1" selected="0">
            <x v="2"/>
          </reference>
        </references>
      </pivotArea>
    </chartFormat>
    <chartFormat chart="10" format="50">
      <pivotArea type="data" outline="0" fieldPosition="0">
        <references count="2">
          <reference field="4294967294" count="1" selected="0">
            <x v="0"/>
          </reference>
          <reference field="2" count="1" selected="0">
            <x v="5"/>
          </reference>
        </references>
      </pivotArea>
    </chartFormat>
    <chartFormat chart="10" format="5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D0CF09-3914-49C7-970D-3AD42694E0B7}" name="Overview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5" firstHeaderRow="0" firstDataRow="1" firstDataCol="0"/>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dataField="1" showAll="0"/>
    <pivotField showAll="0">
      <items count="13">
        <item x="8"/>
        <item x="2"/>
        <item x="10"/>
        <item x="0"/>
        <item x="9"/>
        <item x="7"/>
        <item x="1"/>
        <item x="11"/>
        <item x="3"/>
        <item x="5"/>
        <item x="4"/>
        <item x="6"/>
        <item t="default"/>
      </items>
    </pivotField>
    <pivotField showAll="0"/>
  </pivotFields>
  <rowItems count="1">
    <i/>
  </rowItems>
  <colFields count="1">
    <field x="-2"/>
  </colFields>
  <colItems count="2">
    <i>
      <x/>
    </i>
    <i i="1">
      <x v="1"/>
    </i>
  </colItems>
  <dataFields count="2">
    <dataField name="Max of Satisfaction Score" fld="18" subtotal="max" baseField="0" baseItem="0"/>
    <dataField name="Average of Satisfaction Score" fld="18" subtotal="average" baseField="0" baseItem="1"/>
  </dataFields>
  <formats count="1">
    <format>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94CBD12-5AB0-4CEE-9A52-6124A5C65ABE}" name="Overview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dataField="1"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Items count="1">
    <i/>
  </rowItems>
  <colItems count="1">
    <i/>
  </colItems>
  <dataFields count="1">
    <dataField name="Total Revenue " fld="12" baseField="0" baseItem="0" numFmtId="164"/>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46C6C10-0A17-4F08-8D17-FD82881A12B1}" name="Dep. P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Q4:BR11" firstHeaderRow="1" firstDataRow="1" firstDataCol="1" rowPageCount="1" colPageCount="1"/>
  <pivotFields count="21">
    <pivotField showAll="0"/>
    <pivotField showAll="0"/>
    <pivotField axis="axisRow" showAll="0" sortType="de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axis="axisPage" multipleItemSelectionAllowed="1" showAll="0">
      <items count="5">
        <item x="3"/>
        <item x="0"/>
        <item x="1"/>
        <item x="2"/>
        <item t="default"/>
      </items>
    </pivotField>
    <pivotField showAll="0"/>
    <pivotField showAll="0"/>
    <pivotField showAll="0"/>
    <pivotField showAll="0"/>
    <pivotField showAll="0"/>
    <pivotField showAll="0"/>
    <pivotField numFmtId="14" showAll="0"/>
    <pivotField dataField="1"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2"/>
  </rowFields>
  <rowItems count="7">
    <i>
      <x v="1"/>
    </i>
    <i>
      <x v="3"/>
    </i>
    <i>
      <x v="4"/>
    </i>
    <i>
      <x v="2"/>
    </i>
    <i>
      <x/>
    </i>
    <i>
      <x v="5"/>
    </i>
    <i t="grand">
      <x/>
    </i>
  </rowItems>
  <colItems count="1">
    <i/>
  </colItems>
  <pageFields count="1">
    <pageField fld="6" hier="-1"/>
  </pageFields>
  <dataFields count="1">
    <dataField name="Average of Length of Stay" fld="14" subtotal="average" baseField="2" baseItem="0" numFmtId="1"/>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A997E56-5603-4157-A957-F9BDCBAA2F32}" name="Overview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4:F5" firstHeaderRow="1" firstDataRow="1" firstDataCol="0"/>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dataField="1"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Items count="1">
    <i/>
  </rowItems>
  <colItems count="1">
    <i/>
  </colItems>
  <dataFields count="1">
    <dataField name="Average of Total Revenue" fld="12" subtotal="average" baseField="0" baseItem="0" numFmtId="164"/>
  </dataFields>
  <formats count="1">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507D018-85EE-4DF8-8E3A-0BBF45ED001E}" name="FA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4:AU5" firstHeaderRow="0" firstDataRow="1" firstDataCol="0"/>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dataField="1" showAll="0"/>
    <pivotField dataField="1" showAll="0"/>
    <pivotField dataField="1" showAll="0"/>
    <pivotField dataField="1"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Items count="1">
    <i/>
  </rowItems>
  <colFields count="1">
    <field x="-2"/>
  </colFields>
  <colItems count="4">
    <i>
      <x/>
    </i>
    <i i="1">
      <x v="1"/>
    </i>
    <i i="2">
      <x v="2"/>
    </i>
    <i i="3">
      <x v="3"/>
    </i>
  </colItems>
  <dataFields count="4">
    <dataField name="Sum of Lab Cost" fld="9" baseField="0" baseItem="0"/>
    <dataField name="Sum of Medicine Cost" fld="10" baseField="0" baseItem="0"/>
    <dataField name="Sum of Room Charges" fld="11" baseField="0" baseItem="0"/>
    <dataField name="Sum of Visit Cost" fld="8" baseField="0" baseItem="0"/>
  </dataFields>
  <formats count="1">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72246E9-9AD7-446B-93F5-673F787BE990}" name="Overview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4:X9" firstHeaderRow="1" firstDataRow="1" firstDataCol="1"/>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axis="axisRow" dataField="1"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6"/>
  </rowFields>
  <rowItems count="5">
    <i>
      <x v="3"/>
    </i>
    <i>
      <x/>
    </i>
    <i>
      <x v="1"/>
    </i>
    <i>
      <x v="2"/>
    </i>
    <i t="grand">
      <x/>
    </i>
  </rowItems>
  <colItems count="1">
    <i/>
  </colItems>
  <dataFields count="1">
    <dataField name="Count of Treatment Status" fld="6"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B5D396F-7CEB-4D45-8A15-7F0E5603D536}" name="Doc. P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E4:BF11" firstHeaderRow="1" firstDataRow="1" firstDataCol="1"/>
  <pivotFields count="21">
    <pivotField dataField="1"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axis="axisRow" showAll="0" sortType="ascending">
      <items count="7">
        <item x="2"/>
        <item x="4"/>
        <item x="1"/>
        <item x="3"/>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 showAll="0"/>
    <pivotField showAll="0">
      <items count="3">
        <item x="0"/>
        <item x="1"/>
        <item t="default"/>
      </items>
    </pivotField>
    <pivotField showAll="0"/>
    <pivotField showAll="0"/>
    <pivotField showAll="0"/>
    <pivotField showAll="0">
      <items count="13">
        <item x="8"/>
        <item x="2"/>
        <item x="10"/>
        <item x="0"/>
        <item x="9"/>
        <item x="7"/>
        <item x="1"/>
        <item x="11"/>
        <item x="3"/>
        <item x="5"/>
        <item x="4"/>
        <item x="6"/>
        <item t="default"/>
      </items>
    </pivotField>
    <pivotField showAll="0"/>
  </pivotFields>
  <rowFields count="1">
    <field x="7"/>
  </rowFields>
  <rowItems count="7">
    <i>
      <x v="1"/>
    </i>
    <i>
      <x v="2"/>
    </i>
    <i>
      <x v="3"/>
    </i>
    <i>
      <x v="4"/>
    </i>
    <i>
      <x/>
    </i>
    <i>
      <x v="5"/>
    </i>
    <i t="grand">
      <x/>
    </i>
  </rowItems>
  <colItems count="1">
    <i/>
  </colItems>
  <dataFields count="1">
    <dataField name="Count of Patient ID" fld="0" subtotal="count" baseField="0" baseItem="0"/>
  </dataFields>
  <chartFormats count="7">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1"/>
          </reference>
        </references>
      </pivotArea>
    </chartFormat>
    <chartFormat chart="8" format="6">
      <pivotArea type="data" outline="0" fieldPosition="0">
        <references count="2">
          <reference field="4294967294" count="1" selected="0">
            <x v="0"/>
          </reference>
          <reference field="7" count="1" selected="0">
            <x v="2"/>
          </reference>
        </references>
      </pivotArea>
    </chartFormat>
    <chartFormat chart="8" format="7">
      <pivotArea type="data" outline="0" fieldPosition="0">
        <references count="2">
          <reference field="4294967294" count="1" selected="0">
            <x v="0"/>
          </reference>
          <reference field="7" count="1" selected="0">
            <x v="3"/>
          </reference>
        </references>
      </pivotArea>
    </chartFormat>
    <chartFormat chart="8" format="8">
      <pivotArea type="data" outline="0" fieldPosition="0">
        <references count="2">
          <reference field="4294967294" count="1" selected="0">
            <x v="0"/>
          </reference>
          <reference field="7" count="1" selected="0">
            <x v="4"/>
          </reference>
        </references>
      </pivotArea>
    </chartFormat>
    <chartFormat chart="8" format="9">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537471A-D614-426C-B4B3-D3A7E901AEF5}" name="P.A.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L4:CM13" firstHeaderRow="1" firstDataRow="1" firstDataCol="1"/>
  <pivotFields count="21">
    <pivotField showAll="0"/>
    <pivotField showAll="0"/>
    <pivotField showAll="0">
      <items count="7">
        <item x="0"/>
        <item x="1"/>
        <item x="2"/>
        <item x="5"/>
        <item x="4"/>
        <item x="3"/>
        <item t="default"/>
      </items>
    </pivotField>
    <pivotField axis="axisRow" showAll="0" sortType="descending">
      <items count="9">
        <item x="0"/>
        <item x="7"/>
        <item x="4"/>
        <item x="3"/>
        <item x="1"/>
        <item x="5"/>
        <item x="6"/>
        <item x="2"/>
        <item t="default"/>
      </items>
      <autoSortScope>
        <pivotArea dataOnly="0" outline="0" fieldPosition="0">
          <references count="1">
            <reference field="4294967294" count="1" selected="0">
              <x v="0"/>
            </reference>
          </references>
        </pivotArea>
      </autoSortScope>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showAll="0"/>
    <pivotField numFmtId="14" showAll="0"/>
    <pivotField dataField="1" numFmtId="1" showAll="0"/>
    <pivotField showAll="0">
      <items count="3">
        <item x="0"/>
        <item x="1"/>
        <item t="default"/>
      </items>
    </pivotField>
    <pivotField showAll="0"/>
    <pivotField showAll="0"/>
    <pivotField showAll="0"/>
    <pivotField showAll="0"/>
    <pivotField showAll="0"/>
  </pivotFields>
  <rowFields count="1">
    <field x="3"/>
  </rowFields>
  <rowItems count="9">
    <i>
      <x v="2"/>
    </i>
    <i>
      <x v="6"/>
    </i>
    <i>
      <x v="5"/>
    </i>
    <i>
      <x/>
    </i>
    <i>
      <x v="3"/>
    </i>
    <i>
      <x v="7"/>
    </i>
    <i>
      <x v="4"/>
    </i>
    <i>
      <x v="1"/>
    </i>
    <i t="grand">
      <x/>
    </i>
  </rowItems>
  <colItems count="1">
    <i/>
  </colItems>
  <dataFields count="1">
    <dataField name="Average of Length of Stay" fld="14" subtotal="average" baseField="3"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21ACF50-5063-4F3C-A98C-EB21F3FA273D}" name="FA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4:AJ5" firstHeaderRow="0" firstDataRow="1" firstDataCol="0"/>
  <pivotFields count="21">
    <pivotField showAll="0"/>
    <pivotField showAll="0"/>
    <pivotField showAll="0">
      <items count="7">
        <item x="0"/>
        <item x="1"/>
        <item x="2"/>
        <item x="5"/>
        <item x="4"/>
        <item x="3"/>
        <item t="default"/>
      </items>
    </pivotField>
    <pivotField showAll="0">
      <items count="9">
        <item x="0"/>
        <item x="7"/>
        <item x="4"/>
        <item x="3"/>
        <item x="1"/>
        <item x="5"/>
        <item x="6"/>
        <item x="2"/>
        <item t="default"/>
      </items>
    </pivotField>
    <pivotField showAll="0">
      <items count="6">
        <item x="4"/>
        <item x="3"/>
        <item x="0"/>
        <item x="2"/>
        <item x="1"/>
        <item t="default"/>
      </items>
    </pivotField>
    <pivotField numFmtId="14" showAll="0"/>
    <pivotField showAll="0">
      <items count="5">
        <item x="3"/>
        <item x="0"/>
        <item x="1"/>
        <item x="2"/>
        <item t="default"/>
      </items>
    </pivotField>
    <pivotField showAll="0"/>
    <pivotField showAll="0"/>
    <pivotField showAll="0"/>
    <pivotField showAll="0"/>
    <pivotField showAll="0"/>
    <pivotField dataField="1" showAll="0"/>
    <pivotField numFmtId="14" showAll="0"/>
    <pivotField numFmtId="1" showAll="0"/>
    <pivotField showAll="0">
      <items count="3">
        <item x="0"/>
        <item x="1"/>
        <item t="default"/>
      </items>
    </pivotField>
    <pivotField dataField="1" showAll="0"/>
    <pivotField dataField="1" showAll="0"/>
    <pivotField showAll="0"/>
    <pivotField showAll="0">
      <items count="13">
        <item x="8"/>
        <item x="2"/>
        <item x="10"/>
        <item x="0"/>
        <item x="9"/>
        <item x="7"/>
        <item x="1"/>
        <item x="11"/>
        <item x="3"/>
        <item x="5"/>
        <item x="4"/>
        <item x="6"/>
        <item t="default"/>
      </items>
    </pivotField>
    <pivotField showAll="0"/>
  </pivotFields>
  <rowItems count="1">
    <i/>
  </rowItems>
  <colFields count="1">
    <field x="-2"/>
  </colFields>
  <colItems count="3">
    <i>
      <x/>
    </i>
    <i i="1">
      <x v="1"/>
    </i>
    <i i="2">
      <x v="2"/>
    </i>
  </colItems>
  <dataFields count="3">
    <dataField name="Sum of Total Revenue" fld="12" baseField="0" baseItem="0"/>
    <dataField name="Sum of Insurance Claim Amount" fld="16" baseField="0" baseItem="0"/>
    <dataField name="Sum of Out-of-Pocket Amount" fld="17" baseField="0" baseItem="0"/>
  </dataFields>
  <formats count="2">
    <format>
      <pivotArea outline="0" collapsedLevelsAreSubtotals="1" fieldPosition="0">
        <references count="1">
          <reference field="4294967294" count="1" selected="0">
            <x v="1"/>
          </reference>
        </references>
      </pivotArea>
    </format>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F3D4C8EC-DFBA-430E-A620-F2E2657D16F4}" sourceName="Diagnosis">
  <pivotTables>
    <pivotTable tabId="5" name="Overview1"/>
    <pivotTable tabId="5" name="Overview10"/>
    <pivotTable tabId="5" name="Overview2"/>
    <pivotTable tabId="5" name="Overview3"/>
    <pivotTable tabId="5" name="Overview4"/>
    <pivotTable tabId="5" name="Overview5"/>
    <pivotTable tabId="5" name="Overview6"/>
    <pivotTable tabId="5" name="Overview7"/>
    <pivotTable tabId="5" name="Overview8"/>
    <pivotTable tabId="5" name="Overview9"/>
    <pivotTable tabId="5" name="FA11"/>
    <pivotTable tabId="5" name="FA12"/>
    <pivotTable tabId="5" name="FA13"/>
    <pivotTable tabId="5" name="FA14"/>
    <pivotTable tabId="5" name="FA15"/>
    <pivotTable tabId="5" name="Doc. P16"/>
    <pivotTable tabId="5" name="Doc. P17"/>
    <pivotTable tabId="5" name="Doc. P18"/>
    <pivotTable tabId="5" name="Dep. P19"/>
    <pivotTable tabId="5" name="Dep. P20"/>
    <pivotTable tabId="5" name="Dep. P22"/>
    <pivotTable tabId="5" name="P.A.23"/>
    <pivotTable tabId="5" name="P.A.24"/>
    <pivotTable tabId="5" name="P.A.25"/>
    <pivotTable tabId="5" name="P.A.26"/>
    <pivotTable tabId="5" name="P.A.27"/>
  </pivotTables>
  <data>
    <tabular pivotCacheId="1665576451">
      <items count="8">
        <i x="0" s="1"/>
        <i x="7" s="1"/>
        <i x="4" s="1"/>
        <i x="3" s="1"/>
        <i x="1"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Status" xr10:uid="{1BDC29A8-6D5E-42D3-8BE5-CE280C107DF1}" sourceName="Insurance Status">
  <pivotTables>
    <pivotTable tabId="5" name="Overview6"/>
    <pivotTable tabId="5" name="FA11"/>
    <pivotTable tabId="5" name="FA12"/>
    <pivotTable tabId="5" name="FA13"/>
    <pivotTable tabId="5" name="FA14"/>
    <pivotTable tabId="5" name="FA15"/>
    <pivotTable tabId="5" name="Overview1"/>
    <pivotTable tabId="5" name="Overview10"/>
    <pivotTable tabId="5" name="Overview2"/>
    <pivotTable tabId="5" name="Overview3"/>
    <pivotTable tabId="5" name="Overview4"/>
    <pivotTable tabId="5" name="Overview5"/>
    <pivotTable tabId="5" name="Overview7"/>
    <pivotTable tabId="5" name="Overview8"/>
    <pivotTable tabId="5" name="Overview9"/>
    <pivotTable tabId="5" name="Doc. P16"/>
    <pivotTable tabId="5" name="Doc. P17"/>
    <pivotTable tabId="5" name="Doc. P18"/>
    <pivotTable tabId="5" name="Dep. P19"/>
    <pivotTable tabId="5" name="Dep. P20"/>
    <pivotTable tabId="5" name="Dep. P22"/>
    <pivotTable tabId="5" name="P.A.23"/>
    <pivotTable tabId="5" name="P.A.24"/>
    <pivotTable tabId="5" name="P.A.25"/>
    <pivotTable tabId="5" name="P.A.26"/>
    <pivotTable tabId="5" name="P.A.27"/>
  </pivotTables>
  <data>
    <tabular pivotCacheId="166557645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A49695-3A69-4FF7-9A9D-62D0CDD880C0}" sourceName="Department">
  <pivotTables>
    <pivotTable tabId="5" name="Overview8"/>
    <pivotTable tabId="5" name="Overview9"/>
    <pivotTable tabId="5" name="FA11"/>
    <pivotTable tabId="5" name="FA12"/>
    <pivotTable tabId="5" name="FA13"/>
    <pivotTable tabId="5" name="FA14"/>
    <pivotTable tabId="5" name="FA15"/>
    <pivotTable tabId="5" name="Doc. P16"/>
    <pivotTable tabId="5" name="Doc. P17"/>
    <pivotTable tabId="5" name="Doc. P18"/>
    <pivotTable tabId="5" name="Overview1"/>
    <pivotTable tabId="5" name="Overview10"/>
    <pivotTable tabId="5" name="Overview2"/>
    <pivotTable tabId="5" name="Overview3"/>
    <pivotTable tabId="5" name="Overview4"/>
    <pivotTable tabId="5" name="Overview5"/>
    <pivotTable tabId="5" name="Overview6"/>
    <pivotTable tabId="5" name="Overview7"/>
    <pivotTable tabId="5" name="Dep. P19"/>
    <pivotTable tabId="5" name="Dep. P20"/>
    <pivotTable tabId="5" name="Dep. P22"/>
    <pivotTable tabId="5" name="P.A.23"/>
    <pivotTable tabId="5" name="P.A.24"/>
    <pivotTable tabId="5" name="P.A.25"/>
    <pivotTable tabId="5" name="P.A.26"/>
    <pivotTable tabId="5" name="P.A.27"/>
  </pivotTables>
  <data>
    <tabular pivotCacheId="1665576451">
      <items count="6">
        <i x="0" s="1"/>
        <i x="1" s="1"/>
        <i x="2" s="1"/>
        <i x="5"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Status1" xr10:uid="{EE7549D7-DFE5-4F50-97A8-1972EF1991DD}" sourceName="Treatment Status">
  <pivotTables>
    <pivotTable tabId="5" name="FA11"/>
    <pivotTable tabId="5" name="FA12"/>
    <pivotTable tabId="5" name="FA13"/>
    <pivotTable tabId="5" name="FA14"/>
    <pivotTable tabId="5" name="FA15"/>
    <pivotTable tabId="5" name="Doc. P16"/>
    <pivotTable tabId="5" name="Doc. P17"/>
    <pivotTable tabId="5" name="Doc. P18"/>
    <pivotTable tabId="5" name="Overview9"/>
    <pivotTable tabId="5" name="Overview8"/>
    <pivotTable tabId="5" name="Overview6"/>
    <pivotTable tabId="5" name="Overview5"/>
    <pivotTable tabId="5" name="Overview4"/>
    <pivotTable tabId="5" name="Overview3"/>
    <pivotTable tabId="5" name="Overview2"/>
    <pivotTable tabId="5" name="Overview10"/>
    <pivotTable tabId="5" name="Overview1"/>
    <pivotTable tabId="5" name="Overview7"/>
    <pivotTable tabId="5" name="Dep. P19"/>
    <pivotTable tabId="5" name="Dep. P20"/>
    <pivotTable tabId="5" name="Dep. P22"/>
    <pivotTable tabId="5" name="P.A.23"/>
    <pivotTable tabId="5" name="P.A.24"/>
    <pivotTable tabId="5" name="P.A.25"/>
    <pivotTable tabId="5" name="P.A.26"/>
    <pivotTable tabId="5" name="P.A.27"/>
  </pivotTables>
  <data>
    <tabular pivotCacheId="1665576451">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27C2180-3448-41F2-8716-AB32FC550837}" sourceName="Region">
  <pivotTables>
    <pivotTable tabId="5" name="FA11"/>
    <pivotTable tabId="5" name="FA12"/>
    <pivotTable tabId="5" name="FA13"/>
    <pivotTable tabId="5" name="FA14"/>
    <pivotTable tabId="5" name="FA15"/>
    <pivotTable tabId="5" name="Doc. P16"/>
    <pivotTable tabId="5" name="Doc. P17"/>
    <pivotTable tabId="5" name="Doc. P18"/>
    <pivotTable tabId="5" name="Overview9"/>
    <pivotTable tabId="5" name="Overview7"/>
    <pivotTable tabId="5" name="Overview6"/>
    <pivotTable tabId="5" name="Overview5"/>
    <pivotTable tabId="5" name="Overview4"/>
    <pivotTable tabId="5" name="Overview3"/>
    <pivotTable tabId="5" name="Overview2"/>
    <pivotTable tabId="5" name="Overview10"/>
    <pivotTable tabId="5" name="Overview1"/>
    <pivotTable tabId="5" name="Overview8"/>
    <pivotTable tabId="5" name="Dep. P19"/>
    <pivotTable tabId="5" name="Dep. P20"/>
    <pivotTable tabId="5" name="Dep. P22"/>
    <pivotTable tabId="5" name="P.A.23"/>
    <pivotTable tabId="5" name="P.A.24"/>
    <pivotTable tabId="5" name="P.A.25"/>
    <pivotTable tabId="5" name="P.A.26"/>
    <pivotTable tabId="5" name="P.A.27"/>
  </pivotTables>
  <data>
    <tabular pivotCacheId="1665576451">
      <items count="5">
        <i x="4" s="1"/>
        <i x="3" s="1"/>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5FEFD1F-1E1C-4EBF-B703-C111C0DE1DAC}" sourceName="Month">
  <pivotTables>
    <pivotTable tabId="5" name="FA11"/>
    <pivotTable tabId="5" name="FA12"/>
    <pivotTable tabId="5" name="FA13"/>
    <pivotTable tabId="5" name="FA14"/>
    <pivotTable tabId="5" name="FA15"/>
    <pivotTable tabId="5" name="Doc. P16"/>
    <pivotTable tabId="5" name="Doc. P17"/>
    <pivotTable tabId="5" name="Doc. P18"/>
    <pivotTable tabId="5" name="Overview9"/>
    <pivotTable tabId="5" name="Overview6"/>
    <pivotTable tabId="5" name="Overview8"/>
    <pivotTable tabId="5" name="Overview5"/>
    <pivotTable tabId="5" name="Overview4"/>
    <pivotTable tabId="5" name="Overview3"/>
    <pivotTable tabId="5" name="Overview2"/>
    <pivotTable tabId="5" name="Overview10"/>
    <pivotTable tabId="5" name="Overview1"/>
    <pivotTable tabId="5" name="Overview7"/>
    <pivotTable tabId="5" name="Dep. P19"/>
    <pivotTable tabId="5" name="Dep. P20"/>
    <pivotTable tabId="5" name="Dep. P22"/>
    <pivotTable tabId="5" name="P.A.23"/>
    <pivotTable tabId="5" name="P.A.24"/>
    <pivotTable tabId="5" name="P.A.26"/>
    <pivotTable tabId="5" name="P.A.27"/>
  </pivotTables>
  <data>
    <tabular pivotCacheId="1665576451">
      <items count="12">
        <i x="8" s="1"/>
        <i x="2" s="1"/>
        <i x="10" s="1"/>
        <i x="0" s="1"/>
        <i x="9" s="1"/>
        <i x="7" s="1"/>
        <i x="1" s="1"/>
        <i x="11" s="1"/>
        <i x="3"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2E8D6E41-76DC-48DA-BAB0-05C1581E390B}" cache="Slicer_Diagnosis" caption="Diagnosis" columnCount="2" style="SlicerStyleLight3 2" rowHeight="396000"/>
  <slicer name="Insurance Status" xr10:uid="{4607153B-8063-4AC0-8391-49D79F0067E3}" cache="Slicer_Insurance_Status" caption="Insurance Status" style="SlicerStyleLight3 2" rowHeight="360000"/>
  <slicer name="Department" xr10:uid="{D9BD3E63-B56D-4FF9-83BD-32CBFE4EE5F9}" cache="Slicer_Department" caption="Department" style="SlicerStyleLight3 2" rowHeight="396000"/>
  <slicer name="Treatment Status" xr10:uid="{24613EA3-455D-4816-9A1D-EBDD54E48E42}" cache="Slicer_Treatment_Status1" caption="Treatment Status" style="SlicerStyleLight3 2" rowHeight="360000"/>
  <slicer name="Region" xr10:uid="{7203C194-DA4E-4E3B-853D-CBD0AB3E8BE1}" cache="Slicer_Region1" caption="Region" columnCount="2" style="SlicerStyleLight3 2" rowHeight="324000"/>
  <slicer name="Month" xr10:uid="{A2E8D54C-E278-4647-9F9D-90AB7CB90ABF}" cache="Slicer_Month1" caption="Month" columnCount="2" style="SlicerStyleLight3 2"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1" xr10:uid="{6346B1D4-679A-4C2E-BEB9-842910617898}" cache="Slicer_Diagnosis" caption="Diagnosis" columnCount="2" style="SlicerStyleLight3 2" rowHeight="396000"/>
  <slicer name="Insurance Status 1" xr10:uid="{5322A4C0-7B03-4D48-962D-84E645B48C56}" cache="Slicer_Insurance_Status" caption="Insurance Status" style="SlicerStyleLight3 2" rowHeight="360000"/>
  <slicer name="Department 1" xr10:uid="{D6104D4F-EE4D-4D6B-98B4-CC3D616F7DC3}" cache="Slicer_Department" caption="Department" style="SlicerStyleLight3 2" rowHeight="396000"/>
  <slicer name="Treatment Status 1" xr10:uid="{F1A5AC1A-020F-4EAC-81E7-A1FD7A4657A7}" cache="Slicer_Treatment_Status1" caption="Treatment Status" style="SlicerStyleLight3 2" rowHeight="396000"/>
  <slicer name="Region 1" xr10:uid="{6E76CFB6-F6B2-462B-B762-4B37B1851E17}" cache="Slicer_Region1" caption="Region" columnCount="2" style="SlicerStyleLight3 2" rowHeight="396000"/>
  <slicer name="Month 1" xr10:uid="{047687D0-D2C8-4AD1-8884-72F5D9C16BA1}" cache="Slicer_Month1" caption="Month" columnCount="3" style="SlicerStyleLight3 2"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2" xr10:uid="{A8332DF6-4801-4583-B7EA-BA7AB03B0189}" cache="Slicer_Diagnosis" caption="Diagnosis" columnCount="2" style="SlicerStyleLight3 2" rowHeight="396000"/>
  <slicer name="Insurance Status 2" xr10:uid="{F1BC5B74-9591-40CA-B4D8-60245D431504}" cache="Slicer_Insurance_Status" caption="Insurance Status" style="SlicerStyleLight3 2" rowHeight="360000"/>
  <slicer name="Department 2" xr10:uid="{10A80E38-E424-42EF-9AE7-F7A4AD707FDA}" cache="Slicer_Department" caption="Department" style="SlicerStyleLight3 2" rowHeight="396000"/>
  <slicer name="Treatment Status 2" xr10:uid="{4EDE01D3-8CF0-4E9C-BFC6-3DA366764E00}" cache="Slicer_Treatment_Status1" caption="Treatment Status" style="SlicerStyleLight3 2" rowHeight="396000"/>
  <slicer name="Region 2" xr10:uid="{43A5AA14-353F-464C-8165-601A0A12272B}" cache="Slicer_Region1" caption="Region" columnCount="2" style="SlicerStyleLight3 2" rowHeight="396000"/>
  <slicer name="Month 2" xr10:uid="{429D2CB2-A3AC-48D9-9A15-D5493251644C}" cache="Slicer_Month1" caption="Month" columnCount="3" style="SlicerStyleLight3 2" rowHeight="43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3" xr10:uid="{1709C622-C4AF-4CC6-B8BD-B9EF66A2CF8F}" cache="Slicer_Diagnosis" caption="Diagnosis" columnCount="2" style="SlicerStyleLight3 2" rowHeight="396000"/>
  <slicer name="Insurance Status 3" xr10:uid="{6C111ABC-385C-47F2-A671-9CBCC30E0B8E}" cache="Slicer_Insurance_Status" caption="Insurance Status" style="SlicerStyleLight3 2" rowHeight="360000"/>
  <slicer name="Department 3" xr10:uid="{B268CE47-921A-48F8-BAE7-81B5965F158C}" cache="Slicer_Department" caption="Department" style="SlicerStyleLight3 2" rowHeight="396000"/>
  <slicer name="Treatment Status 3" xr10:uid="{EB81A170-AAB5-47C3-B02B-C3D2ECC96D2A}" cache="Slicer_Treatment_Status1" caption="Treatment Status" style="SlicerStyleLight3 2" rowHeight="396000"/>
  <slicer name="Region 3" xr10:uid="{C0D21FD1-E2AD-40E9-B659-AD1C63D8A3BE}" cache="Slicer_Region1" caption="Region" columnCount="2" style="SlicerStyleLight3 2" rowHeight="396000"/>
  <slicer name="Month 3" xr10:uid="{E56C879D-34D2-43D7-9BC8-142D998EC74C}" cache="Slicer_Month1" caption="Month" columnCount="3" style="SlicerStyleLight3 2" rowHeight="43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4" xr10:uid="{95A89FF3-31DD-4EE8-A1D3-729BC7E7EFE5}" cache="Slicer_Diagnosis" caption="Diagnosis" columnCount="2" style="SlicerStyleLight3 2" rowHeight="396000"/>
  <slicer name="Insurance Status 4" xr10:uid="{FC1CFD4E-7D5D-4168-8222-ED22B0AC649F}" cache="Slicer_Insurance_Status" caption="Insurance Status" style="SlicerStyleLight3 2" rowHeight="360000"/>
  <slicer name="Department 4" xr10:uid="{6342CF6A-225C-4FC6-BB31-8F13CF44229C}" cache="Slicer_Department" caption="Department" style="SlicerStyleLight3 2" rowHeight="396000"/>
  <slicer name="Treatment Status 4" xr10:uid="{F321D4D4-5F87-4CEF-9DC7-B96CA4F766EE}" cache="Slicer_Treatment_Status1" caption="Treatment Status" style="SlicerStyleLight3 2" rowHeight="396000"/>
  <slicer name="Region 4" xr10:uid="{841738DE-574A-490C-ABB8-D8D122D5F94A}" cache="Slicer_Region1" caption="Region" columnCount="2" style="SlicerStyleLight3 2" rowHeight="396000"/>
  <slicer name="Month 4" xr10:uid="{DBF89B8A-2051-4547-B6AC-4A46B91B61E2}" cache="Slicer_Month1" caption="Month" columnCount="3" style="SlicerStyleLight3 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CC714E-118C-4A60-83F0-742DDCB2C324}" name="Table1" displayName="Table1" ref="A1:U501" totalsRowShown="0">
  <autoFilter ref="A1:U501" xr:uid="{AECC714E-118C-4A60-83F0-742DDCB2C324}"/>
  <tableColumns count="21">
    <tableColumn id="1" xr3:uid="{EB3DB4DA-5FB7-4EDD-BC5A-5C019A4870CB}" name="Patient ID"/>
    <tableColumn id="2" xr3:uid="{17A33E61-8722-4C2A-B918-B7F38D762382}" name="Patient Name"/>
    <tableColumn id="3" xr3:uid="{A5F73F9A-425E-4F70-80D0-5BD45BC6514D}" name="Department"/>
    <tableColumn id="4" xr3:uid="{57BBA9DB-0A8D-4E60-ADFB-6EC0A15721B8}" name="Diagnosis"/>
    <tableColumn id="5" xr3:uid="{0D3C4A19-8EF4-4839-B67A-71FBB6FDC8D5}" name="Region"/>
    <tableColumn id="6" xr3:uid="{C5B28A87-0D8D-47C0-ADFA-5A48F8B474A7}" name="Visit Date"/>
    <tableColumn id="7" xr3:uid="{07D7E695-BFDB-48A5-979B-61D560C2384F}" name="Treatment Status"/>
    <tableColumn id="8" xr3:uid="{0E694125-4EB9-4306-91DA-52390ECC3574}" name="Doctor Name"/>
    <tableColumn id="9" xr3:uid="{79789C1D-9F81-466A-A5EC-E4DAF7B3481A}" name="Visit Cost" dataDxfId="125"/>
    <tableColumn id="16" xr3:uid="{61E8B8FF-8C6A-4AC4-BF82-9E388042D4D9}" name="Lab Cost" dataDxfId="124"/>
    <tableColumn id="15" xr3:uid="{29051C42-F4B1-4AEF-8AB9-D597148042C8}" name="Medicine Cost" dataDxfId="123"/>
    <tableColumn id="17" xr3:uid="{2F7EE3D0-5074-40FF-B49B-4244E84D9894}" name="Room Charges" dataDxfId="122"/>
    <tableColumn id="18" xr3:uid="{5444B6B5-811F-4460-B01D-5F8389770129}" name="Total Revenue" dataDxfId="121">
      <calculatedColumnFormula>Table1[[#This Row],[Visit Cost]]+Table1[[#This Row],[Lab Cost]]+Table1[[#This Row],[Medicine Cost]]+Table1[[#This Row],[Room Charges]]</calculatedColumnFormula>
    </tableColumn>
    <tableColumn id="19" xr3:uid="{F42DBD7A-9E2F-4E78-A61D-EF384F6D2A8E}" name="Discharge Date" dataDxfId="120"/>
    <tableColumn id="20" xr3:uid="{27E00AC6-556F-495F-9D16-5D88EF523219}" name="Length of Stay">
      <calculatedColumnFormula>Table1[[#This Row],[Discharge Date]]-Table1[[#This Row],[Visit Date]]</calculatedColumnFormula>
    </tableColumn>
    <tableColumn id="10" xr3:uid="{9FC086B2-BE68-4822-BB34-B856C7F99D37}" name="Insurance Status"/>
    <tableColumn id="21" xr3:uid="{032552A3-FC60-4FE4-9BBF-83E352142FF1}" name="Insurance Claim Amount" dataDxfId="119"/>
    <tableColumn id="22" xr3:uid="{B0296950-D621-4FD2-8336-FC742A0C074B}" name="Out-of-Pocket Amount" dataDxfId="118">
      <calculatedColumnFormula>Table1[[#This Row],[Total Revenue]]-Table1[[#This Row],[Insurance Claim Amount]]</calculatedColumnFormula>
    </tableColumn>
    <tableColumn id="11" xr3:uid="{8B2F9BAB-335B-4148-9765-EC27B3DC78BD}" name="Satisfaction Score(1-5)"/>
    <tableColumn id="12" xr3:uid="{3667CC99-C27F-47E1-802D-E9FD8968294A}" name="Month">
      <calculatedColumnFormula>TEXT(F2,"MMM")</calculatedColumnFormula>
    </tableColumn>
    <tableColumn id="13" xr3:uid="{563B1925-44DA-4D6A-B702-C7A6E35DD518}" name="Year">
      <calculatedColumnFormula>YEAR(F2)</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spPr>
      <a:bodyPr/>
      <a:lstStyle/>
      <a:style>
        <a:lnRef idx="0">
          <a:scrgbClr r="0" g="0" b="0"/>
        </a:lnRef>
        <a:fillRef idx="0">
          <a:scrgbClr r="0" g="0" b="0"/>
        </a:fillRef>
        <a:effectRef idx="0">
          <a:scrgbClr r="0" g="0" b="0"/>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C18E-4603-457E-AA87-192BB22C10EA}">
  <dimension ref="A1:U503"/>
  <sheetViews>
    <sheetView topLeftCell="L1" zoomScaleNormal="100" workbookViewId="0">
      <selection activeCell="B22" sqref="B22"/>
    </sheetView>
  </sheetViews>
  <sheetFormatPr defaultRowHeight="14.4" x14ac:dyDescent="0.3"/>
  <cols>
    <col min="1" max="1" width="10.77734375" customWidth="1"/>
    <col min="2" max="2" width="17.5546875" bestFit="1" customWidth="1"/>
    <col min="3" max="3" width="12.6640625" customWidth="1"/>
    <col min="4" max="4" width="11.88671875" bestFit="1" customWidth="1"/>
    <col min="5" max="5" width="11.88671875" customWidth="1"/>
    <col min="6" max="6" width="13.5546875" bestFit="1" customWidth="1"/>
    <col min="7" max="7" width="16.88671875" customWidth="1"/>
    <col min="8" max="8" width="16.21875" customWidth="1"/>
    <col min="9" max="9" width="15.33203125" style="4" bestFit="1" customWidth="1"/>
    <col min="10" max="10" width="10.6640625" style="4" bestFit="1" customWidth="1"/>
    <col min="11" max="12" width="15.44140625" style="4" bestFit="1" customWidth="1"/>
    <col min="13" max="13" width="15.44140625" style="4" customWidth="1"/>
    <col min="14" max="14" width="16.21875" style="5" bestFit="1" customWidth="1"/>
    <col min="15" max="15" width="16.21875" customWidth="1"/>
    <col min="16" max="16" width="16.5546875" customWidth="1"/>
    <col min="17" max="17" width="24.5546875" style="4" bestFit="1" customWidth="1"/>
    <col min="18" max="18" width="22.5546875" style="4" bestFit="1" customWidth="1"/>
    <col min="19" max="19" width="21.5546875" customWidth="1"/>
    <col min="20" max="21" width="14.88671875" customWidth="1"/>
    <col min="22" max="22" width="19" bestFit="1" customWidth="1"/>
    <col min="23" max="23" width="13.44140625" bestFit="1" customWidth="1"/>
  </cols>
  <sheetData>
    <row r="1" spans="1:21" x14ac:dyDescent="0.3">
      <c r="A1" t="s">
        <v>0</v>
      </c>
      <c r="B1" t="s">
        <v>1</v>
      </c>
      <c r="C1" t="s">
        <v>2</v>
      </c>
      <c r="D1" t="s">
        <v>3</v>
      </c>
      <c r="E1" t="s">
        <v>928</v>
      </c>
      <c r="F1" t="s">
        <v>923</v>
      </c>
      <c r="G1" t="s">
        <v>934</v>
      </c>
      <c r="H1" t="s">
        <v>939</v>
      </c>
      <c r="I1" s="4" t="s">
        <v>946</v>
      </c>
      <c r="J1" s="4" t="s">
        <v>973</v>
      </c>
      <c r="K1" s="4" t="s">
        <v>974</v>
      </c>
      <c r="L1" s="4" t="s">
        <v>975</v>
      </c>
      <c r="M1" s="4" t="s">
        <v>976</v>
      </c>
      <c r="N1" s="5" t="s">
        <v>977</v>
      </c>
      <c r="O1" t="s">
        <v>978</v>
      </c>
      <c r="P1" t="s">
        <v>947</v>
      </c>
      <c r="Q1" s="4" t="s">
        <v>979</v>
      </c>
      <c r="R1" s="4" t="s">
        <v>980</v>
      </c>
      <c r="S1" t="s">
        <v>950</v>
      </c>
      <c r="T1" t="s">
        <v>951</v>
      </c>
      <c r="U1" t="s">
        <v>952</v>
      </c>
    </row>
    <row r="2" spans="1:21" x14ac:dyDescent="0.3">
      <c r="A2" t="s">
        <v>4</v>
      </c>
      <c r="B2" t="s">
        <v>5</v>
      </c>
      <c r="C2" t="s">
        <v>6</v>
      </c>
      <c r="D2" t="s">
        <v>85</v>
      </c>
      <c r="E2" t="s">
        <v>929</v>
      </c>
      <c r="F2">
        <v>45765</v>
      </c>
      <c r="G2" t="s">
        <v>935</v>
      </c>
      <c r="H2" t="s">
        <v>940</v>
      </c>
      <c r="I2" s="4">
        <v>1000</v>
      </c>
      <c r="J2" s="4">
        <v>2000</v>
      </c>
      <c r="K2" s="4">
        <v>200</v>
      </c>
      <c r="L2" s="4">
        <v>800</v>
      </c>
      <c r="M2" s="4">
        <f>Table1[[#This Row],[Visit Cost]]+Table1[[#This Row],[Lab Cost]]+Table1[[#This Row],[Medicine Cost]]+Table1[[#This Row],[Room Charges]]</f>
        <v>4000</v>
      </c>
      <c r="N2" s="5">
        <v>45867</v>
      </c>
      <c r="O2">
        <f>Table1[[#This Row],[Discharge Date]]-Table1[[#This Row],[Visit Date]]</f>
        <v>102</v>
      </c>
      <c r="P2" t="s">
        <v>948</v>
      </c>
      <c r="Q2" s="4">
        <v>3806</v>
      </c>
      <c r="R2" s="4">
        <f>Table1[[#This Row],[Total Revenue]]-Table1[[#This Row],[Insurance Claim Amount]]</f>
        <v>194</v>
      </c>
      <c r="S2">
        <v>5</v>
      </c>
      <c r="T2" t="str">
        <f>TEXT(F2,"MMM")</f>
        <v>Apr</v>
      </c>
      <c r="U2">
        <f>YEAR(F2)</f>
        <v>2025</v>
      </c>
    </row>
    <row r="3" spans="1:21" x14ac:dyDescent="0.3">
      <c r="A3" t="s">
        <v>7</v>
      </c>
      <c r="B3" t="s">
        <v>8</v>
      </c>
      <c r="C3" t="s">
        <v>6</v>
      </c>
      <c r="D3" t="s">
        <v>85</v>
      </c>
      <c r="E3" t="s">
        <v>930</v>
      </c>
      <c r="F3">
        <v>45857</v>
      </c>
      <c r="G3" t="s">
        <v>936</v>
      </c>
      <c r="H3" t="s">
        <v>940</v>
      </c>
      <c r="I3" s="4">
        <v>730</v>
      </c>
      <c r="J3" s="4">
        <v>1000</v>
      </c>
      <c r="K3" s="4">
        <v>1200</v>
      </c>
      <c r="L3" s="4">
        <v>4000</v>
      </c>
      <c r="M3" s="4">
        <f>Table1[[#This Row],[Visit Cost]]+Table1[[#This Row],[Lab Cost]]+Table1[[#This Row],[Medicine Cost]]+Table1[[#This Row],[Room Charges]]</f>
        <v>6930</v>
      </c>
      <c r="N3" s="5">
        <v>45914</v>
      </c>
      <c r="O3">
        <f>Table1[[#This Row],[Discharge Date]]-Table1[[#This Row],[Visit Date]]</f>
        <v>57</v>
      </c>
      <c r="P3" t="s">
        <v>948</v>
      </c>
      <c r="Q3" s="4">
        <v>1382</v>
      </c>
      <c r="R3" s="4">
        <f>Table1[[#This Row],[Total Revenue]]-Table1[[#This Row],[Insurance Claim Amount]]</f>
        <v>5548</v>
      </c>
      <c r="S3">
        <v>1</v>
      </c>
      <c r="T3" t="str">
        <f t="shared" ref="T3:T66" si="0">TEXT(F3,"MMM")</f>
        <v>Jul</v>
      </c>
      <c r="U3">
        <f t="shared" ref="U3:U66" si="1">YEAR(F3)</f>
        <v>2025</v>
      </c>
    </row>
    <row r="4" spans="1:21" x14ac:dyDescent="0.3">
      <c r="A4" t="s">
        <v>9</v>
      </c>
      <c r="B4" t="s">
        <v>10</v>
      </c>
      <c r="C4" t="s">
        <v>11</v>
      </c>
      <c r="D4" t="s">
        <v>164</v>
      </c>
      <c r="E4" t="s">
        <v>931</v>
      </c>
      <c r="F4">
        <v>45694</v>
      </c>
      <c r="G4" t="s">
        <v>937</v>
      </c>
      <c r="H4" t="s">
        <v>941</v>
      </c>
      <c r="I4" s="4">
        <v>500</v>
      </c>
      <c r="J4" s="4">
        <v>1760</v>
      </c>
      <c r="K4" s="4">
        <v>710</v>
      </c>
      <c r="L4" s="4">
        <v>1500</v>
      </c>
      <c r="M4" s="4">
        <f>Table1[[#This Row],[Visit Cost]]+Table1[[#This Row],[Lab Cost]]+Table1[[#This Row],[Medicine Cost]]+Table1[[#This Row],[Room Charges]]</f>
        <v>4470</v>
      </c>
      <c r="N4" s="5">
        <v>45814</v>
      </c>
      <c r="O4">
        <f>Table1[[#This Row],[Discharge Date]]-Table1[[#This Row],[Visit Date]]</f>
        <v>120</v>
      </c>
      <c r="P4" t="s">
        <v>948</v>
      </c>
      <c r="Q4" s="4">
        <v>2000</v>
      </c>
      <c r="R4" s="4">
        <f>Table1[[#This Row],[Total Revenue]]-Table1[[#This Row],[Insurance Claim Amount]]</f>
        <v>2470</v>
      </c>
      <c r="S4">
        <v>2</v>
      </c>
      <c r="T4" t="str">
        <f t="shared" si="0"/>
        <v>Feb</v>
      </c>
      <c r="U4">
        <f t="shared" si="1"/>
        <v>2025</v>
      </c>
    </row>
    <row r="5" spans="1:21" x14ac:dyDescent="0.3">
      <c r="A5" t="s">
        <v>12</v>
      </c>
      <c r="B5" t="s">
        <v>13</v>
      </c>
      <c r="C5" t="s">
        <v>11</v>
      </c>
      <c r="D5" t="s">
        <v>924</v>
      </c>
      <c r="E5" t="s">
        <v>932</v>
      </c>
      <c r="F5">
        <v>45916</v>
      </c>
      <c r="G5" t="s">
        <v>938</v>
      </c>
      <c r="H5" t="s">
        <v>941</v>
      </c>
      <c r="I5" s="4">
        <v>1690</v>
      </c>
      <c r="J5" s="4">
        <v>1500</v>
      </c>
      <c r="K5" s="4">
        <v>1760</v>
      </c>
      <c r="L5" s="4">
        <v>1240</v>
      </c>
      <c r="M5" s="4">
        <f>Table1[[#This Row],[Visit Cost]]+Table1[[#This Row],[Lab Cost]]+Table1[[#This Row],[Medicine Cost]]+Table1[[#This Row],[Room Charges]]</f>
        <v>6190</v>
      </c>
      <c r="N5" s="5">
        <v>45934</v>
      </c>
      <c r="O5">
        <f>Table1[[#This Row],[Discharge Date]]-Table1[[#This Row],[Visit Date]]</f>
        <v>18</v>
      </c>
      <c r="P5" t="s">
        <v>949</v>
      </c>
      <c r="Q5" s="4">
        <v>0</v>
      </c>
      <c r="R5" s="4">
        <f>Table1[[#This Row],[Total Revenue]]-Table1[[#This Row],[Insurance Claim Amount]]</f>
        <v>6190</v>
      </c>
      <c r="S5">
        <v>4</v>
      </c>
      <c r="T5" t="str">
        <f t="shared" si="0"/>
        <v>Sep</v>
      </c>
      <c r="U5">
        <f t="shared" si="1"/>
        <v>2025</v>
      </c>
    </row>
    <row r="6" spans="1:21" x14ac:dyDescent="0.3">
      <c r="A6" t="s">
        <v>14</v>
      </c>
      <c r="B6" t="s">
        <v>15</v>
      </c>
      <c r="C6" t="s">
        <v>16</v>
      </c>
      <c r="D6" t="s">
        <v>925</v>
      </c>
      <c r="E6" t="s">
        <v>933</v>
      </c>
      <c r="F6">
        <v>45981</v>
      </c>
      <c r="G6" t="s">
        <v>936</v>
      </c>
      <c r="H6" t="s">
        <v>942</v>
      </c>
      <c r="I6" s="4">
        <v>620</v>
      </c>
      <c r="J6" s="4">
        <v>870</v>
      </c>
      <c r="K6" s="4">
        <v>417</v>
      </c>
      <c r="L6" s="4">
        <v>2600</v>
      </c>
      <c r="M6" s="4">
        <f>Table1[[#This Row],[Visit Cost]]+Table1[[#This Row],[Lab Cost]]+Table1[[#This Row],[Medicine Cost]]+Table1[[#This Row],[Room Charges]]</f>
        <v>4507</v>
      </c>
      <c r="N6" s="5">
        <v>46015</v>
      </c>
      <c r="O6">
        <f>Table1[[#This Row],[Discharge Date]]-Table1[[#This Row],[Visit Date]]</f>
        <v>34</v>
      </c>
      <c r="P6" t="s">
        <v>949</v>
      </c>
      <c r="Q6" s="4">
        <v>0</v>
      </c>
      <c r="R6" s="4">
        <f>Table1[[#This Row],[Total Revenue]]-Table1[[#This Row],[Insurance Claim Amount]]</f>
        <v>4507</v>
      </c>
      <c r="S6">
        <v>2</v>
      </c>
      <c r="T6" t="str">
        <f t="shared" si="0"/>
        <v>Nov</v>
      </c>
      <c r="U6">
        <f t="shared" si="1"/>
        <v>2025</v>
      </c>
    </row>
    <row r="7" spans="1:21" x14ac:dyDescent="0.3">
      <c r="A7" t="s">
        <v>17</v>
      </c>
      <c r="B7" t="s">
        <v>18</v>
      </c>
      <c r="C7" t="s">
        <v>16</v>
      </c>
      <c r="D7" t="s">
        <v>927</v>
      </c>
      <c r="E7" t="s">
        <v>931</v>
      </c>
      <c r="F7">
        <v>45934</v>
      </c>
      <c r="G7" t="s">
        <v>935</v>
      </c>
      <c r="H7" t="s">
        <v>942</v>
      </c>
      <c r="I7" s="4">
        <v>1980</v>
      </c>
      <c r="J7" s="4">
        <v>0</v>
      </c>
      <c r="K7" s="4">
        <v>2972</v>
      </c>
      <c r="L7" s="4">
        <v>6171</v>
      </c>
      <c r="M7" s="4">
        <f>Table1[[#This Row],[Visit Cost]]+Table1[[#This Row],[Lab Cost]]+Table1[[#This Row],[Medicine Cost]]+Table1[[#This Row],[Room Charges]]</f>
        <v>11123</v>
      </c>
      <c r="N7" s="5">
        <v>46041</v>
      </c>
      <c r="O7">
        <f>Table1[[#This Row],[Discharge Date]]-Table1[[#This Row],[Visit Date]]</f>
        <v>107</v>
      </c>
      <c r="P7" t="s">
        <v>948</v>
      </c>
      <c r="Q7" s="4">
        <v>1421</v>
      </c>
      <c r="R7" s="4">
        <f>Table1[[#This Row],[Total Revenue]]-Table1[[#This Row],[Insurance Claim Amount]]</f>
        <v>9702</v>
      </c>
      <c r="S7">
        <v>2</v>
      </c>
      <c r="T7" t="str">
        <f t="shared" si="0"/>
        <v>Oct</v>
      </c>
      <c r="U7">
        <f t="shared" si="1"/>
        <v>2025</v>
      </c>
    </row>
    <row r="8" spans="1:21" x14ac:dyDescent="0.3">
      <c r="A8" t="s">
        <v>19</v>
      </c>
      <c r="B8" t="s">
        <v>20</v>
      </c>
      <c r="C8" t="s">
        <v>6</v>
      </c>
      <c r="D8" t="s">
        <v>925</v>
      </c>
      <c r="E8" t="s">
        <v>929</v>
      </c>
      <c r="F8">
        <v>45693</v>
      </c>
      <c r="G8" t="s">
        <v>938</v>
      </c>
      <c r="H8" t="s">
        <v>940</v>
      </c>
      <c r="I8" s="4">
        <v>1990</v>
      </c>
      <c r="J8" s="4">
        <v>4705</v>
      </c>
      <c r="K8" s="4">
        <v>1443</v>
      </c>
      <c r="L8" s="4">
        <v>6199</v>
      </c>
      <c r="M8" s="4">
        <f>Table1[[#This Row],[Visit Cost]]+Table1[[#This Row],[Lab Cost]]+Table1[[#This Row],[Medicine Cost]]+Table1[[#This Row],[Room Charges]]</f>
        <v>14337</v>
      </c>
      <c r="N8" s="5">
        <v>45763</v>
      </c>
      <c r="O8">
        <f>Table1[[#This Row],[Discharge Date]]-Table1[[#This Row],[Visit Date]]</f>
        <v>70</v>
      </c>
      <c r="P8" t="s">
        <v>949</v>
      </c>
      <c r="Q8" s="4">
        <v>0</v>
      </c>
      <c r="R8" s="4">
        <f>Table1[[#This Row],[Total Revenue]]-Table1[[#This Row],[Insurance Claim Amount]]</f>
        <v>14337</v>
      </c>
      <c r="S8">
        <v>1</v>
      </c>
      <c r="T8" t="str">
        <f t="shared" si="0"/>
        <v>Feb</v>
      </c>
      <c r="U8">
        <f t="shared" si="1"/>
        <v>2025</v>
      </c>
    </row>
    <row r="9" spans="1:21" x14ac:dyDescent="0.3">
      <c r="A9" t="s">
        <v>21</v>
      </c>
      <c r="B9" t="s">
        <v>22</v>
      </c>
      <c r="C9" t="s">
        <v>11</v>
      </c>
      <c r="D9" t="s">
        <v>925</v>
      </c>
      <c r="E9" t="s">
        <v>932</v>
      </c>
      <c r="F9">
        <v>45770</v>
      </c>
      <c r="G9" t="s">
        <v>937</v>
      </c>
      <c r="H9" t="s">
        <v>943</v>
      </c>
      <c r="I9" s="4">
        <v>1520</v>
      </c>
      <c r="J9" s="4">
        <v>3146</v>
      </c>
      <c r="K9" s="4">
        <v>2612</v>
      </c>
      <c r="L9" s="4">
        <v>9213</v>
      </c>
      <c r="M9" s="4">
        <f>Table1[[#This Row],[Visit Cost]]+Table1[[#This Row],[Lab Cost]]+Table1[[#This Row],[Medicine Cost]]+Table1[[#This Row],[Room Charges]]</f>
        <v>16491</v>
      </c>
      <c r="N9" s="5">
        <v>45914</v>
      </c>
      <c r="O9">
        <f>Table1[[#This Row],[Discharge Date]]-Table1[[#This Row],[Visit Date]]</f>
        <v>144</v>
      </c>
      <c r="P9" t="s">
        <v>948</v>
      </c>
      <c r="Q9" s="4">
        <v>8820</v>
      </c>
      <c r="R9" s="4">
        <f>Table1[[#This Row],[Total Revenue]]-Table1[[#This Row],[Insurance Claim Amount]]</f>
        <v>7671</v>
      </c>
      <c r="S9">
        <v>4</v>
      </c>
      <c r="T9" t="str">
        <f t="shared" si="0"/>
        <v>Apr</v>
      </c>
      <c r="U9">
        <f t="shared" si="1"/>
        <v>2025</v>
      </c>
    </row>
    <row r="10" spans="1:21" x14ac:dyDescent="0.3">
      <c r="A10" t="s">
        <v>23</v>
      </c>
      <c r="B10" t="s">
        <v>24</v>
      </c>
      <c r="C10" t="s">
        <v>16</v>
      </c>
      <c r="D10" t="s">
        <v>80</v>
      </c>
      <c r="E10" t="s">
        <v>930</v>
      </c>
      <c r="F10">
        <v>45909</v>
      </c>
      <c r="G10" t="s">
        <v>936</v>
      </c>
      <c r="H10" t="s">
        <v>944</v>
      </c>
      <c r="I10" s="4">
        <v>1760</v>
      </c>
      <c r="J10" s="4">
        <v>1255</v>
      </c>
      <c r="K10" s="4">
        <v>1038</v>
      </c>
      <c r="L10" s="4">
        <v>6000</v>
      </c>
      <c r="M10" s="4">
        <f>Table1[[#This Row],[Visit Cost]]+Table1[[#This Row],[Lab Cost]]+Table1[[#This Row],[Medicine Cost]]+Table1[[#This Row],[Room Charges]]</f>
        <v>10053</v>
      </c>
      <c r="N10" s="5">
        <v>46022</v>
      </c>
      <c r="O10">
        <f>Table1[[#This Row],[Discharge Date]]-Table1[[#This Row],[Visit Date]]</f>
        <v>113</v>
      </c>
      <c r="P10" t="s">
        <v>948</v>
      </c>
      <c r="Q10" s="4">
        <v>1941</v>
      </c>
      <c r="R10" s="4">
        <f>Table1[[#This Row],[Total Revenue]]-Table1[[#This Row],[Insurance Claim Amount]]</f>
        <v>8112</v>
      </c>
      <c r="S10">
        <v>2</v>
      </c>
      <c r="T10" t="str">
        <f t="shared" si="0"/>
        <v>Sep</v>
      </c>
      <c r="U10">
        <f t="shared" si="1"/>
        <v>2025</v>
      </c>
    </row>
    <row r="11" spans="1:21" x14ac:dyDescent="0.3">
      <c r="A11" t="s">
        <v>25</v>
      </c>
      <c r="B11" t="s">
        <v>26</v>
      </c>
      <c r="C11" t="s">
        <v>11</v>
      </c>
      <c r="D11" t="s">
        <v>925</v>
      </c>
      <c r="E11" t="s">
        <v>933</v>
      </c>
      <c r="F11">
        <v>45905</v>
      </c>
      <c r="G11" t="s">
        <v>935</v>
      </c>
      <c r="H11" t="s">
        <v>944</v>
      </c>
      <c r="I11" s="4">
        <v>2240</v>
      </c>
      <c r="J11" s="4">
        <v>1027</v>
      </c>
      <c r="K11" s="4">
        <v>1934</v>
      </c>
      <c r="L11" s="4">
        <v>7200</v>
      </c>
      <c r="M11" s="4">
        <f>Table1[[#This Row],[Visit Cost]]+Table1[[#This Row],[Lab Cost]]+Table1[[#This Row],[Medicine Cost]]+Table1[[#This Row],[Room Charges]]</f>
        <v>12401</v>
      </c>
      <c r="N11" s="5">
        <v>45992</v>
      </c>
      <c r="O11">
        <f>Table1[[#This Row],[Discharge Date]]-Table1[[#This Row],[Visit Date]]</f>
        <v>87</v>
      </c>
      <c r="P11" t="s">
        <v>949</v>
      </c>
      <c r="Q11" s="4">
        <v>0</v>
      </c>
      <c r="R11" s="4">
        <f>Table1[[#This Row],[Total Revenue]]-Table1[[#This Row],[Insurance Claim Amount]]</f>
        <v>12401</v>
      </c>
      <c r="S11">
        <v>4</v>
      </c>
      <c r="T11" t="str">
        <f t="shared" si="0"/>
        <v>Sep</v>
      </c>
      <c r="U11">
        <f t="shared" si="1"/>
        <v>2025</v>
      </c>
    </row>
    <row r="12" spans="1:21" x14ac:dyDescent="0.3">
      <c r="A12" t="s">
        <v>27</v>
      </c>
      <c r="B12" t="s">
        <v>28</v>
      </c>
      <c r="C12" t="s">
        <v>29</v>
      </c>
      <c r="D12" t="s">
        <v>924</v>
      </c>
      <c r="E12" t="s">
        <v>930</v>
      </c>
      <c r="F12">
        <v>46020</v>
      </c>
      <c r="G12" t="s">
        <v>937</v>
      </c>
      <c r="H12" t="s">
        <v>940</v>
      </c>
      <c r="I12" s="4">
        <v>1830</v>
      </c>
      <c r="J12" s="4">
        <v>1647</v>
      </c>
      <c r="K12" s="4">
        <v>2323</v>
      </c>
      <c r="L12" s="4">
        <v>1925</v>
      </c>
      <c r="M12" s="4">
        <f>Table1[[#This Row],[Visit Cost]]+Table1[[#This Row],[Lab Cost]]+Table1[[#This Row],[Medicine Cost]]+Table1[[#This Row],[Room Charges]]</f>
        <v>7725</v>
      </c>
      <c r="N12" s="5">
        <v>46112</v>
      </c>
      <c r="O12">
        <f>Table1[[#This Row],[Discharge Date]]-Table1[[#This Row],[Visit Date]]</f>
        <v>92</v>
      </c>
      <c r="P12" t="s">
        <v>949</v>
      </c>
      <c r="Q12" s="4">
        <v>0</v>
      </c>
      <c r="R12" s="4">
        <f>Table1[[#This Row],[Total Revenue]]-Table1[[#This Row],[Insurance Claim Amount]]</f>
        <v>7725</v>
      </c>
      <c r="S12">
        <v>4</v>
      </c>
      <c r="T12" t="str">
        <f t="shared" si="0"/>
        <v>Dec</v>
      </c>
      <c r="U12">
        <f t="shared" si="1"/>
        <v>2025</v>
      </c>
    </row>
    <row r="13" spans="1:21" x14ac:dyDescent="0.3">
      <c r="A13" t="s">
        <v>30</v>
      </c>
      <c r="B13" t="s">
        <v>31</v>
      </c>
      <c r="C13" t="s">
        <v>16</v>
      </c>
      <c r="D13" t="s">
        <v>164</v>
      </c>
      <c r="E13" t="s">
        <v>931</v>
      </c>
      <c r="F13">
        <v>45698</v>
      </c>
      <c r="G13" t="s">
        <v>938</v>
      </c>
      <c r="H13" t="s">
        <v>941</v>
      </c>
      <c r="I13" s="4">
        <v>1590</v>
      </c>
      <c r="J13" s="4">
        <v>500</v>
      </c>
      <c r="K13" s="4">
        <v>764</v>
      </c>
      <c r="L13">
        <v>1097</v>
      </c>
      <c r="M13" s="4">
        <f>Table1[[#This Row],[Visit Cost]]+Table1[[#This Row],[Lab Cost]]+Table1[[#This Row],[Medicine Cost]]+Table1[[#This Row],[Room Charges]]</f>
        <v>3951</v>
      </c>
      <c r="N13" s="5">
        <v>45723</v>
      </c>
      <c r="O13">
        <f>Table1[[#This Row],[Discharge Date]]-Table1[[#This Row],[Visit Date]]</f>
        <v>25</v>
      </c>
      <c r="P13" t="s">
        <v>948</v>
      </c>
      <c r="Q13" s="4">
        <v>1790</v>
      </c>
      <c r="R13" s="4">
        <f>Table1[[#This Row],[Total Revenue]]-Table1[[#This Row],[Insurance Claim Amount]]</f>
        <v>2161</v>
      </c>
      <c r="S13">
        <v>1</v>
      </c>
      <c r="T13" t="str">
        <f t="shared" si="0"/>
        <v>Feb</v>
      </c>
      <c r="U13">
        <f t="shared" si="1"/>
        <v>2025</v>
      </c>
    </row>
    <row r="14" spans="1:21" x14ac:dyDescent="0.3">
      <c r="A14" t="s">
        <v>32</v>
      </c>
      <c r="B14" t="s">
        <v>33</v>
      </c>
      <c r="C14" t="s">
        <v>11</v>
      </c>
      <c r="D14" t="s">
        <v>164</v>
      </c>
      <c r="E14" t="s">
        <v>933</v>
      </c>
      <c r="F14">
        <v>45809</v>
      </c>
      <c r="G14" t="s">
        <v>936</v>
      </c>
      <c r="H14" t="s">
        <v>941</v>
      </c>
      <c r="I14" s="4">
        <v>1735</v>
      </c>
      <c r="J14" s="4">
        <v>1316</v>
      </c>
      <c r="K14" s="4">
        <v>2900</v>
      </c>
      <c r="L14">
        <v>1067</v>
      </c>
      <c r="M14" s="4">
        <f>Table1[[#This Row],[Visit Cost]]+Table1[[#This Row],[Lab Cost]]+Table1[[#This Row],[Medicine Cost]]+Table1[[#This Row],[Room Charges]]</f>
        <v>7018</v>
      </c>
      <c r="N14" s="5">
        <v>45903</v>
      </c>
      <c r="O14">
        <f>Table1[[#This Row],[Discharge Date]]-Table1[[#This Row],[Visit Date]]</f>
        <v>94</v>
      </c>
      <c r="P14" t="s">
        <v>949</v>
      </c>
      <c r="Q14" s="4">
        <v>0</v>
      </c>
      <c r="R14" s="4">
        <f>Table1[[#This Row],[Total Revenue]]-Table1[[#This Row],[Insurance Claim Amount]]</f>
        <v>7018</v>
      </c>
      <c r="S14">
        <v>5</v>
      </c>
      <c r="T14" t="str">
        <f t="shared" si="0"/>
        <v>Jun</v>
      </c>
      <c r="U14">
        <f t="shared" si="1"/>
        <v>2025</v>
      </c>
    </row>
    <row r="15" spans="1:21" x14ac:dyDescent="0.3">
      <c r="A15" t="s">
        <v>34</v>
      </c>
      <c r="B15" t="s">
        <v>35</v>
      </c>
      <c r="C15" t="s">
        <v>16</v>
      </c>
      <c r="D15" t="s">
        <v>927</v>
      </c>
      <c r="E15" t="s">
        <v>932</v>
      </c>
      <c r="F15">
        <v>45675</v>
      </c>
      <c r="G15" t="s">
        <v>935</v>
      </c>
      <c r="H15" t="s">
        <v>945</v>
      </c>
      <c r="I15" s="4">
        <v>920</v>
      </c>
      <c r="J15" s="4">
        <v>2132</v>
      </c>
      <c r="K15" s="4">
        <v>1620</v>
      </c>
      <c r="L15">
        <v>2017</v>
      </c>
      <c r="M15" s="4">
        <f>Table1[[#This Row],[Visit Cost]]+Table1[[#This Row],[Lab Cost]]+Table1[[#This Row],[Medicine Cost]]+Table1[[#This Row],[Room Charges]]</f>
        <v>6689</v>
      </c>
      <c r="N15" s="5">
        <v>45749</v>
      </c>
      <c r="O15">
        <f>Table1[[#This Row],[Discharge Date]]-Table1[[#This Row],[Visit Date]]</f>
        <v>74</v>
      </c>
      <c r="P15" t="s">
        <v>949</v>
      </c>
      <c r="Q15" s="4">
        <v>0</v>
      </c>
      <c r="R15" s="4">
        <f>Table1[[#This Row],[Total Revenue]]-Table1[[#This Row],[Insurance Claim Amount]]</f>
        <v>6689</v>
      </c>
      <c r="S15">
        <v>2</v>
      </c>
      <c r="T15" t="str">
        <f t="shared" si="0"/>
        <v>Jan</v>
      </c>
      <c r="U15">
        <f t="shared" si="1"/>
        <v>2025</v>
      </c>
    </row>
    <row r="16" spans="1:21" x14ac:dyDescent="0.3">
      <c r="A16" t="s">
        <v>36</v>
      </c>
      <c r="B16" t="s">
        <v>37</v>
      </c>
      <c r="C16" t="s">
        <v>38</v>
      </c>
      <c r="D16" t="s">
        <v>80</v>
      </c>
      <c r="E16" t="s">
        <v>929</v>
      </c>
      <c r="F16">
        <v>45804</v>
      </c>
      <c r="G16" t="s">
        <v>938</v>
      </c>
      <c r="H16" t="s">
        <v>941</v>
      </c>
      <c r="I16" s="4">
        <v>1394</v>
      </c>
      <c r="J16" s="4">
        <v>979</v>
      </c>
      <c r="K16" s="4">
        <v>2373</v>
      </c>
      <c r="L16">
        <v>2081</v>
      </c>
      <c r="M16" s="4">
        <f>Table1[[#This Row],[Visit Cost]]+Table1[[#This Row],[Lab Cost]]+Table1[[#This Row],[Medicine Cost]]+Table1[[#This Row],[Room Charges]]</f>
        <v>6827</v>
      </c>
      <c r="N16" s="5">
        <v>45915</v>
      </c>
      <c r="O16">
        <f>Table1[[#This Row],[Discharge Date]]-Table1[[#This Row],[Visit Date]]</f>
        <v>111</v>
      </c>
      <c r="P16" t="s">
        <v>948</v>
      </c>
      <c r="Q16" s="4">
        <v>5000</v>
      </c>
      <c r="R16" s="4">
        <f>Table1[[#This Row],[Total Revenue]]-Table1[[#This Row],[Insurance Claim Amount]]</f>
        <v>1827</v>
      </c>
      <c r="S16">
        <v>5</v>
      </c>
      <c r="T16" t="str">
        <f t="shared" si="0"/>
        <v>May</v>
      </c>
      <c r="U16">
        <f t="shared" si="1"/>
        <v>2025</v>
      </c>
    </row>
    <row r="17" spans="1:21" x14ac:dyDescent="0.3">
      <c r="A17" t="s">
        <v>39</v>
      </c>
      <c r="B17" t="s">
        <v>40</v>
      </c>
      <c r="C17" t="s">
        <v>16</v>
      </c>
      <c r="D17" t="s">
        <v>927</v>
      </c>
      <c r="E17" t="s">
        <v>933</v>
      </c>
      <c r="F17">
        <v>45901</v>
      </c>
      <c r="G17" t="s">
        <v>936</v>
      </c>
      <c r="H17" t="s">
        <v>940</v>
      </c>
      <c r="I17" s="4">
        <v>1351</v>
      </c>
      <c r="J17" s="4">
        <v>777</v>
      </c>
      <c r="K17" s="4">
        <v>1800</v>
      </c>
      <c r="L17">
        <v>866</v>
      </c>
      <c r="M17" s="4">
        <f>Table1[[#This Row],[Visit Cost]]+Table1[[#This Row],[Lab Cost]]+Table1[[#This Row],[Medicine Cost]]+Table1[[#This Row],[Room Charges]]</f>
        <v>4794</v>
      </c>
      <c r="N17" s="5">
        <v>45928</v>
      </c>
      <c r="O17">
        <f>Table1[[#This Row],[Discharge Date]]-Table1[[#This Row],[Visit Date]]</f>
        <v>27</v>
      </c>
      <c r="P17" t="s">
        <v>949</v>
      </c>
      <c r="Q17" s="4">
        <v>0</v>
      </c>
      <c r="R17" s="4">
        <f>Table1[[#This Row],[Total Revenue]]-Table1[[#This Row],[Insurance Claim Amount]]</f>
        <v>4794</v>
      </c>
      <c r="S17">
        <v>1</v>
      </c>
      <c r="T17" t="str">
        <f t="shared" si="0"/>
        <v>Sep</v>
      </c>
      <c r="U17">
        <f t="shared" si="1"/>
        <v>2025</v>
      </c>
    </row>
    <row r="18" spans="1:21" x14ac:dyDescent="0.3">
      <c r="A18" t="s">
        <v>41</v>
      </c>
      <c r="B18" t="s">
        <v>42</v>
      </c>
      <c r="C18" t="s">
        <v>16</v>
      </c>
      <c r="D18" t="s">
        <v>927</v>
      </c>
      <c r="E18" t="s">
        <v>930</v>
      </c>
      <c r="F18">
        <v>45833</v>
      </c>
      <c r="G18" t="s">
        <v>937</v>
      </c>
      <c r="H18" t="s">
        <v>941</v>
      </c>
      <c r="I18" s="4">
        <v>1923</v>
      </c>
      <c r="J18" s="4">
        <v>4781</v>
      </c>
      <c r="K18" s="4">
        <v>1238</v>
      </c>
      <c r="L18">
        <v>1423</v>
      </c>
      <c r="M18" s="4">
        <f>Table1[[#This Row],[Visit Cost]]+Table1[[#This Row],[Lab Cost]]+Table1[[#This Row],[Medicine Cost]]+Table1[[#This Row],[Room Charges]]</f>
        <v>9365</v>
      </c>
      <c r="N18" s="5">
        <v>45925</v>
      </c>
      <c r="O18">
        <f>Table1[[#This Row],[Discharge Date]]-Table1[[#This Row],[Visit Date]]</f>
        <v>92</v>
      </c>
      <c r="P18" t="s">
        <v>949</v>
      </c>
      <c r="Q18" s="4">
        <v>0</v>
      </c>
      <c r="R18" s="4">
        <f>Table1[[#This Row],[Total Revenue]]-Table1[[#This Row],[Insurance Claim Amount]]</f>
        <v>9365</v>
      </c>
      <c r="S18">
        <v>3</v>
      </c>
      <c r="T18" t="str">
        <f t="shared" si="0"/>
        <v>Jun</v>
      </c>
      <c r="U18">
        <f t="shared" si="1"/>
        <v>2025</v>
      </c>
    </row>
    <row r="19" spans="1:21" x14ac:dyDescent="0.3">
      <c r="A19" t="s">
        <v>43</v>
      </c>
      <c r="B19" t="s">
        <v>44</v>
      </c>
      <c r="C19" t="s">
        <v>16</v>
      </c>
      <c r="D19" t="s">
        <v>925</v>
      </c>
      <c r="E19" t="s">
        <v>931</v>
      </c>
      <c r="F19">
        <v>45795</v>
      </c>
      <c r="G19" t="s">
        <v>935</v>
      </c>
      <c r="H19" t="s">
        <v>940</v>
      </c>
      <c r="I19" s="4">
        <v>2342</v>
      </c>
      <c r="J19" s="4">
        <v>2193</v>
      </c>
      <c r="K19" s="4">
        <v>1918</v>
      </c>
      <c r="L19">
        <v>2412</v>
      </c>
      <c r="M19" s="4">
        <f>Table1[[#This Row],[Visit Cost]]+Table1[[#This Row],[Lab Cost]]+Table1[[#This Row],[Medicine Cost]]+Table1[[#This Row],[Room Charges]]</f>
        <v>8865</v>
      </c>
      <c r="N19" s="5">
        <v>45889</v>
      </c>
      <c r="O19">
        <f>Table1[[#This Row],[Discharge Date]]-Table1[[#This Row],[Visit Date]]</f>
        <v>94</v>
      </c>
      <c r="P19" t="s">
        <v>948</v>
      </c>
      <c r="Q19" s="4">
        <v>6301</v>
      </c>
      <c r="R19" s="4">
        <f>Table1[[#This Row],[Total Revenue]]-Table1[[#This Row],[Insurance Claim Amount]]</f>
        <v>2564</v>
      </c>
      <c r="S19">
        <v>4</v>
      </c>
      <c r="T19" t="str">
        <f t="shared" si="0"/>
        <v>May</v>
      </c>
      <c r="U19">
        <f t="shared" si="1"/>
        <v>2025</v>
      </c>
    </row>
    <row r="20" spans="1:21" x14ac:dyDescent="0.3">
      <c r="A20" t="s">
        <v>45</v>
      </c>
      <c r="B20" t="s">
        <v>46</v>
      </c>
      <c r="C20" t="s">
        <v>47</v>
      </c>
      <c r="D20" t="s">
        <v>80</v>
      </c>
      <c r="E20" t="s">
        <v>929</v>
      </c>
      <c r="F20">
        <v>45949</v>
      </c>
      <c r="G20" t="s">
        <v>936</v>
      </c>
      <c r="H20" t="s">
        <v>942</v>
      </c>
      <c r="I20" s="4">
        <v>2020</v>
      </c>
      <c r="J20" s="4">
        <v>2671</v>
      </c>
      <c r="K20" s="4">
        <v>1377</v>
      </c>
      <c r="L20">
        <v>2426</v>
      </c>
      <c r="M20" s="4">
        <f>Table1[[#This Row],[Visit Cost]]+Table1[[#This Row],[Lab Cost]]+Table1[[#This Row],[Medicine Cost]]+Table1[[#This Row],[Room Charges]]</f>
        <v>8494</v>
      </c>
      <c r="N20" s="5">
        <v>46112</v>
      </c>
      <c r="O20">
        <f>Table1[[#This Row],[Discharge Date]]-Table1[[#This Row],[Visit Date]]</f>
        <v>163</v>
      </c>
      <c r="P20" t="s">
        <v>949</v>
      </c>
      <c r="Q20" s="4">
        <v>0</v>
      </c>
      <c r="R20" s="4">
        <f>Table1[[#This Row],[Total Revenue]]-Table1[[#This Row],[Insurance Claim Amount]]</f>
        <v>8494</v>
      </c>
      <c r="S20">
        <v>2</v>
      </c>
      <c r="T20" t="str">
        <f t="shared" si="0"/>
        <v>Oct</v>
      </c>
      <c r="U20">
        <f t="shared" si="1"/>
        <v>2025</v>
      </c>
    </row>
    <row r="21" spans="1:21" x14ac:dyDescent="0.3">
      <c r="A21" t="s">
        <v>48</v>
      </c>
      <c r="B21" t="s">
        <v>49</v>
      </c>
      <c r="C21" t="s">
        <v>38</v>
      </c>
      <c r="D21" t="s">
        <v>164</v>
      </c>
      <c r="E21" t="s">
        <v>932</v>
      </c>
      <c r="F21">
        <v>45930</v>
      </c>
      <c r="G21" t="s">
        <v>938</v>
      </c>
      <c r="H21" t="s">
        <v>943</v>
      </c>
      <c r="I21" s="4">
        <v>2313</v>
      </c>
      <c r="J21" s="4">
        <v>1200</v>
      </c>
      <c r="K21" s="4">
        <v>388</v>
      </c>
      <c r="L21">
        <v>2445</v>
      </c>
      <c r="M21" s="4">
        <f>Table1[[#This Row],[Visit Cost]]+Table1[[#This Row],[Lab Cost]]+Table1[[#This Row],[Medicine Cost]]+Table1[[#This Row],[Room Charges]]</f>
        <v>6346</v>
      </c>
      <c r="N21" s="5">
        <v>45946</v>
      </c>
      <c r="O21">
        <f>Table1[[#This Row],[Discharge Date]]-Table1[[#This Row],[Visit Date]]</f>
        <v>16</v>
      </c>
      <c r="P21" t="s">
        <v>948</v>
      </c>
      <c r="Q21" s="4">
        <v>2269</v>
      </c>
      <c r="R21" s="4">
        <f>Table1[[#This Row],[Total Revenue]]-Table1[[#This Row],[Insurance Claim Amount]]</f>
        <v>4077</v>
      </c>
      <c r="S21">
        <v>4</v>
      </c>
      <c r="T21" t="str">
        <f t="shared" si="0"/>
        <v>Sep</v>
      </c>
      <c r="U21">
        <f t="shared" si="1"/>
        <v>2025</v>
      </c>
    </row>
    <row r="22" spans="1:21" x14ac:dyDescent="0.3">
      <c r="A22" t="s">
        <v>50</v>
      </c>
      <c r="B22" t="s">
        <v>51</v>
      </c>
      <c r="C22" t="s">
        <v>38</v>
      </c>
      <c r="D22" t="s">
        <v>80</v>
      </c>
      <c r="E22" t="s">
        <v>931</v>
      </c>
      <c r="F22">
        <v>45750</v>
      </c>
      <c r="G22" t="s">
        <v>935</v>
      </c>
      <c r="H22" t="s">
        <v>943</v>
      </c>
      <c r="I22" s="4">
        <v>2285</v>
      </c>
      <c r="J22" s="4">
        <v>597</v>
      </c>
      <c r="K22" s="4">
        <v>2903</v>
      </c>
      <c r="L22">
        <v>1486</v>
      </c>
      <c r="M22" s="4">
        <f>Table1[[#This Row],[Visit Cost]]+Table1[[#This Row],[Lab Cost]]+Table1[[#This Row],[Medicine Cost]]+Table1[[#This Row],[Room Charges]]</f>
        <v>7271</v>
      </c>
      <c r="N22" s="5">
        <v>45841</v>
      </c>
      <c r="O22">
        <f>Table1[[#This Row],[Discharge Date]]-Table1[[#This Row],[Visit Date]]</f>
        <v>91</v>
      </c>
      <c r="P22" t="s">
        <v>948</v>
      </c>
      <c r="Q22" s="4">
        <v>1104</v>
      </c>
      <c r="R22" s="4">
        <f>Table1[[#This Row],[Total Revenue]]-Table1[[#This Row],[Insurance Claim Amount]]</f>
        <v>6167</v>
      </c>
      <c r="S22">
        <v>4</v>
      </c>
      <c r="T22" t="str">
        <f t="shared" si="0"/>
        <v>Apr</v>
      </c>
      <c r="U22">
        <f t="shared" si="1"/>
        <v>2025</v>
      </c>
    </row>
    <row r="23" spans="1:21" x14ac:dyDescent="0.3">
      <c r="A23" t="s">
        <v>52</v>
      </c>
      <c r="B23" t="s">
        <v>53</v>
      </c>
      <c r="C23" t="s">
        <v>6</v>
      </c>
      <c r="D23" t="s">
        <v>85</v>
      </c>
      <c r="E23" t="s">
        <v>933</v>
      </c>
      <c r="F23">
        <v>45794</v>
      </c>
      <c r="G23" t="s">
        <v>936</v>
      </c>
      <c r="H23" t="s">
        <v>943</v>
      </c>
      <c r="I23" s="4">
        <v>781</v>
      </c>
      <c r="J23" s="4">
        <v>100</v>
      </c>
      <c r="K23" s="4">
        <v>1976</v>
      </c>
      <c r="L23">
        <v>943</v>
      </c>
      <c r="M23" s="4">
        <f>Table1[[#This Row],[Visit Cost]]+Table1[[#This Row],[Lab Cost]]+Table1[[#This Row],[Medicine Cost]]+Table1[[#This Row],[Room Charges]]</f>
        <v>3800</v>
      </c>
      <c r="N23" s="5">
        <v>45817</v>
      </c>
      <c r="O23">
        <f>Table1[[#This Row],[Discharge Date]]-Table1[[#This Row],[Visit Date]]</f>
        <v>23</v>
      </c>
      <c r="P23" t="s">
        <v>948</v>
      </c>
      <c r="Q23" s="4">
        <v>3000</v>
      </c>
      <c r="R23" s="4">
        <f>Table1[[#This Row],[Total Revenue]]-Table1[[#This Row],[Insurance Claim Amount]]</f>
        <v>800</v>
      </c>
      <c r="S23">
        <v>2</v>
      </c>
      <c r="T23" t="str">
        <f t="shared" si="0"/>
        <v>May</v>
      </c>
      <c r="U23">
        <f t="shared" si="1"/>
        <v>2025</v>
      </c>
    </row>
    <row r="24" spans="1:21" x14ac:dyDescent="0.3">
      <c r="A24" t="s">
        <v>54</v>
      </c>
      <c r="B24" t="s">
        <v>55</v>
      </c>
      <c r="C24" t="s">
        <v>11</v>
      </c>
      <c r="D24" t="s">
        <v>252</v>
      </c>
      <c r="E24" t="s">
        <v>932</v>
      </c>
      <c r="F24">
        <v>45831</v>
      </c>
      <c r="G24" t="s">
        <v>937</v>
      </c>
      <c r="H24" t="s">
        <v>943</v>
      </c>
      <c r="I24" s="4">
        <v>1770</v>
      </c>
      <c r="J24" s="4">
        <v>3744</v>
      </c>
      <c r="K24" s="4">
        <v>2259</v>
      </c>
      <c r="L24">
        <v>2308</v>
      </c>
      <c r="M24" s="4">
        <f>Table1[[#This Row],[Visit Cost]]+Table1[[#This Row],[Lab Cost]]+Table1[[#This Row],[Medicine Cost]]+Table1[[#This Row],[Room Charges]]</f>
        <v>10081</v>
      </c>
      <c r="N24" s="5">
        <v>45978</v>
      </c>
      <c r="O24">
        <f>Table1[[#This Row],[Discharge Date]]-Table1[[#This Row],[Visit Date]]</f>
        <v>147</v>
      </c>
      <c r="P24" t="s">
        <v>948</v>
      </c>
      <c r="Q24" s="4">
        <v>11646</v>
      </c>
      <c r="R24" s="4">
        <f>Table1[[#This Row],[Total Revenue]]-Table1[[#This Row],[Insurance Claim Amount]]</f>
        <v>-1565</v>
      </c>
      <c r="S24">
        <v>2</v>
      </c>
      <c r="T24" t="str">
        <f t="shared" si="0"/>
        <v>Jun</v>
      </c>
      <c r="U24">
        <f t="shared" si="1"/>
        <v>2025</v>
      </c>
    </row>
    <row r="25" spans="1:21" x14ac:dyDescent="0.3">
      <c r="A25" t="s">
        <v>56</v>
      </c>
      <c r="B25" t="s">
        <v>57</v>
      </c>
      <c r="C25" t="s">
        <v>6</v>
      </c>
      <c r="D25" t="s">
        <v>85</v>
      </c>
      <c r="E25" t="s">
        <v>930</v>
      </c>
      <c r="F25">
        <v>45769</v>
      </c>
      <c r="G25" t="s">
        <v>938</v>
      </c>
      <c r="H25" t="s">
        <v>942</v>
      </c>
      <c r="I25" s="4">
        <v>2436</v>
      </c>
      <c r="J25" s="4">
        <v>1500</v>
      </c>
      <c r="K25" s="4">
        <v>378</v>
      </c>
      <c r="L25">
        <v>1056</v>
      </c>
      <c r="M25" s="4">
        <f>Table1[[#This Row],[Visit Cost]]+Table1[[#This Row],[Lab Cost]]+Table1[[#This Row],[Medicine Cost]]+Table1[[#This Row],[Room Charges]]</f>
        <v>5370</v>
      </c>
      <c r="N25" s="5">
        <v>45840</v>
      </c>
      <c r="O25">
        <f>Table1[[#This Row],[Discharge Date]]-Table1[[#This Row],[Visit Date]]</f>
        <v>71</v>
      </c>
      <c r="P25" t="s">
        <v>949</v>
      </c>
      <c r="Q25" s="4">
        <v>0</v>
      </c>
      <c r="R25" s="4">
        <f>Table1[[#This Row],[Total Revenue]]-Table1[[#This Row],[Insurance Claim Amount]]</f>
        <v>5370</v>
      </c>
      <c r="S25">
        <v>5</v>
      </c>
      <c r="T25" t="str">
        <f t="shared" si="0"/>
        <v>Apr</v>
      </c>
      <c r="U25">
        <f t="shared" si="1"/>
        <v>2025</v>
      </c>
    </row>
    <row r="26" spans="1:21" x14ac:dyDescent="0.3">
      <c r="A26" t="s">
        <v>58</v>
      </c>
      <c r="B26" t="s">
        <v>59</v>
      </c>
      <c r="C26" t="s">
        <v>16</v>
      </c>
      <c r="D26" t="s">
        <v>252</v>
      </c>
      <c r="E26" t="s">
        <v>929</v>
      </c>
      <c r="F26">
        <v>45978</v>
      </c>
      <c r="G26" t="s">
        <v>936</v>
      </c>
      <c r="H26" t="s">
        <v>942</v>
      </c>
      <c r="I26" s="4">
        <v>1917</v>
      </c>
      <c r="J26" s="4">
        <v>3237</v>
      </c>
      <c r="K26" s="4">
        <v>2591</v>
      </c>
      <c r="L26">
        <v>1885</v>
      </c>
      <c r="M26" s="4">
        <f>Table1[[#This Row],[Visit Cost]]+Table1[[#This Row],[Lab Cost]]+Table1[[#This Row],[Medicine Cost]]+Table1[[#This Row],[Room Charges]]</f>
        <v>9630</v>
      </c>
      <c r="N26" s="5">
        <v>46112</v>
      </c>
      <c r="O26">
        <f>Table1[[#This Row],[Discharge Date]]-Table1[[#This Row],[Visit Date]]</f>
        <v>134</v>
      </c>
      <c r="P26" t="s">
        <v>948</v>
      </c>
      <c r="Q26" s="4">
        <v>8641</v>
      </c>
      <c r="R26" s="4">
        <f>Table1[[#This Row],[Total Revenue]]-Table1[[#This Row],[Insurance Claim Amount]]</f>
        <v>989</v>
      </c>
      <c r="S26">
        <v>3</v>
      </c>
      <c r="T26" t="str">
        <f t="shared" si="0"/>
        <v>Nov</v>
      </c>
      <c r="U26">
        <f t="shared" si="1"/>
        <v>2025</v>
      </c>
    </row>
    <row r="27" spans="1:21" x14ac:dyDescent="0.3">
      <c r="A27" t="s">
        <v>60</v>
      </c>
      <c r="B27" t="s">
        <v>61</v>
      </c>
      <c r="C27" t="s">
        <v>16</v>
      </c>
      <c r="D27" t="s">
        <v>164</v>
      </c>
      <c r="E27" t="s">
        <v>932</v>
      </c>
      <c r="F27">
        <v>45660</v>
      </c>
      <c r="G27" t="s">
        <v>935</v>
      </c>
      <c r="H27" t="s">
        <v>941</v>
      </c>
      <c r="I27" s="4">
        <v>1531</v>
      </c>
      <c r="J27" s="4">
        <v>0</v>
      </c>
      <c r="K27" s="4">
        <v>1367</v>
      </c>
      <c r="L27">
        <v>1597</v>
      </c>
      <c r="M27" s="4">
        <f>Table1[[#This Row],[Visit Cost]]+Table1[[#This Row],[Lab Cost]]+Table1[[#This Row],[Medicine Cost]]+Table1[[#This Row],[Room Charges]]</f>
        <v>4495</v>
      </c>
      <c r="N27" s="5">
        <v>45763</v>
      </c>
      <c r="O27">
        <f>Table1[[#This Row],[Discharge Date]]-Table1[[#This Row],[Visit Date]]</f>
        <v>103</v>
      </c>
      <c r="P27" t="s">
        <v>948</v>
      </c>
      <c r="Q27" s="4">
        <v>1945</v>
      </c>
      <c r="R27" s="4">
        <f>Table1[[#This Row],[Total Revenue]]-Table1[[#This Row],[Insurance Claim Amount]]</f>
        <v>2550</v>
      </c>
      <c r="S27">
        <v>2</v>
      </c>
      <c r="T27" t="str">
        <f t="shared" si="0"/>
        <v>Jan</v>
      </c>
      <c r="U27">
        <f t="shared" si="1"/>
        <v>2025</v>
      </c>
    </row>
    <row r="28" spans="1:21" x14ac:dyDescent="0.3">
      <c r="A28" t="s">
        <v>62</v>
      </c>
      <c r="B28" t="s">
        <v>63</v>
      </c>
      <c r="C28" t="s">
        <v>6</v>
      </c>
      <c r="D28" t="s">
        <v>925</v>
      </c>
      <c r="E28" t="s">
        <v>931</v>
      </c>
      <c r="F28">
        <v>45681</v>
      </c>
      <c r="G28" t="s">
        <v>937</v>
      </c>
      <c r="H28" t="s">
        <v>942</v>
      </c>
      <c r="I28" s="4">
        <v>1699</v>
      </c>
      <c r="J28" s="4">
        <v>2109</v>
      </c>
      <c r="K28" s="4">
        <v>366</v>
      </c>
      <c r="L28">
        <v>2306</v>
      </c>
      <c r="M28" s="4">
        <f>Table1[[#This Row],[Visit Cost]]+Table1[[#This Row],[Lab Cost]]+Table1[[#This Row],[Medicine Cost]]+Table1[[#This Row],[Room Charges]]</f>
        <v>6480</v>
      </c>
      <c r="N28" s="5">
        <v>45756</v>
      </c>
      <c r="O28">
        <f>Table1[[#This Row],[Discharge Date]]-Table1[[#This Row],[Visit Date]]</f>
        <v>75</v>
      </c>
      <c r="P28" t="s">
        <v>948</v>
      </c>
      <c r="Q28" s="4">
        <v>5605</v>
      </c>
      <c r="R28" s="4">
        <f>Table1[[#This Row],[Total Revenue]]-Table1[[#This Row],[Insurance Claim Amount]]</f>
        <v>875</v>
      </c>
      <c r="S28">
        <v>2</v>
      </c>
      <c r="T28" t="str">
        <f t="shared" si="0"/>
        <v>Jan</v>
      </c>
      <c r="U28">
        <f t="shared" si="1"/>
        <v>2025</v>
      </c>
    </row>
    <row r="29" spans="1:21" x14ac:dyDescent="0.3">
      <c r="A29" t="s">
        <v>64</v>
      </c>
      <c r="B29" t="s">
        <v>65</v>
      </c>
      <c r="C29" t="s">
        <v>47</v>
      </c>
      <c r="D29" t="s">
        <v>927</v>
      </c>
      <c r="E29" t="s">
        <v>933</v>
      </c>
      <c r="F29">
        <v>45952</v>
      </c>
      <c r="G29" t="s">
        <v>936</v>
      </c>
      <c r="H29" t="s">
        <v>943</v>
      </c>
      <c r="I29" s="4">
        <v>1373</v>
      </c>
      <c r="J29" s="4">
        <v>1536</v>
      </c>
      <c r="K29" s="4">
        <v>2821</v>
      </c>
      <c r="L29">
        <v>2274</v>
      </c>
      <c r="M29" s="4">
        <f>Table1[[#This Row],[Visit Cost]]+Table1[[#This Row],[Lab Cost]]+Table1[[#This Row],[Medicine Cost]]+Table1[[#This Row],[Room Charges]]</f>
        <v>8004</v>
      </c>
      <c r="N29" s="5">
        <v>46073</v>
      </c>
      <c r="O29">
        <f>Table1[[#This Row],[Discharge Date]]-Table1[[#This Row],[Visit Date]]</f>
        <v>121</v>
      </c>
      <c r="P29" t="s">
        <v>948</v>
      </c>
      <c r="Q29" s="4">
        <v>9758</v>
      </c>
      <c r="R29" s="4">
        <f>Table1[[#This Row],[Total Revenue]]-Table1[[#This Row],[Insurance Claim Amount]]</f>
        <v>-1754</v>
      </c>
      <c r="S29">
        <v>3</v>
      </c>
      <c r="T29" t="str">
        <f t="shared" si="0"/>
        <v>Oct</v>
      </c>
      <c r="U29">
        <f t="shared" si="1"/>
        <v>2025</v>
      </c>
    </row>
    <row r="30" spans="1:21" x14ac:dyDescent="0.3">
      <c r="A30" t="s">
        <v>66</v>
      </c>
      <c r="B30" t="s">
        <v>67</v>
      </c>
      <c r="C30" t="s">
        <v>38</v>
      </c>
      <c r="D30" t="s">
        <v>927</v>
      </c>
      <c r="E30" t="s">
        <v>930</v>
      </c>
      <c r="F30">
        <v>45738</v>
      </c>
      <c r="G30" t="s">
        <v>938</v>
      </c>
      <c r="H30" t="s">
        <v>943</v>
      </c>
      <c r="I30" s="4">
        <v>693</v>
      </c>
      <c r="J30" s="4">
        <v>521</v>
      </c>
      <c r="K30" s="4">
        <v>1857</v>
      </c>
      <c r="L30">
        <v>2393</v>
      </c>
      <c r="M30" s="4">
        <f>Table1[[#This Row],[Visit Cost]]+Table1[[#This Row],[Lab Cost]]+Table1[[#This Row],[Medicine Cost]]+Table1[[#This Row],[Room Charges]]</f>
        <v>5464</v>
      </c>
      <c r="N30" s="5">
        <v>45801</v>
      </c>
      <c r="O30">
        <f>Table1[[#This Row],[Discharge Date]]-Table1[[#This Row],[Visit Date]]</f>
        <v>63</v>
      </c>
      <c r="P30" t="s">
        <v>949</v>
      </c>
      <c r="Q30" s="4">
        <v>0</v>
      </c>
      <c r="R30" s="4">
        <f>Table1[[#This Row],[Total Revenue]]-Table1[[#This Row],[Insurance Claim Amount]]</f>
        <v>5464</v>
      </c>
      <c r="S30">
        <v>3</v>
      </c>
      <c r="T30" t="str">
        <f t="shared" si="0"/>
        <v>Mar</v>
      </c>
      <c r="U30">
        <f t="shared" si="1"/>
        <v>2025</v>
      </c>
    </row>
    <row r="31" spans="1:21" x14ac:dyDescent="0.3">
      <c r="A31" t="s">
        <v>68</v>
      </c>
      <c r="B31" t="s">
        <v>69</v>
      </c>
      <c r="C31" t="s">
        <v>11</v>
      </c>
      <c r="D31" t="s">
        <v>924</v>
      </c>
      <c r="E31" t="s">
        <v>929</v>
      </c>
      <c r="F31">
        <v>46007</v>
      </c>
      <c r="G31" t="s">
        <v>935</v>
      </c>
      <c r="H31" t="s">
        <v>944</v>
      </c>
      <c r="I31" s="4">
        <v>1200</v>
      </c>
      <c r="J31" s="4">
        <v>1484</v>
      </c>
      <c r="K31" s="4">
        <v>1090</v>
      </c>
      <c r="L31">
        <v>1841</v>
      </c>
      <c r="M31" s="4">
        <f>Table1[[#This Row],[Visit Cost]]+Table1[[#This Row],[Lab Cost]]+Table1[[#This Row],[Medicine Cost]]+Table1[[#This Row],[Room Charges]]</f>
        <v>5615</v>
      </c>
      <c r="N31" s="5">
        <v>46112</v>
      </c>
      <c r="O31">
        <f>Table1[[#This Row],[Discharge Date]]-Table1[[#This Row],[Visit Date]]</f>
        <v>105</v>
      </c>
      <c r="P31" t="s">
        <v>949</v>
      </c>
      <c r="Q31" s="4">
        <v>0</v>
      </c>
      <c r="R31" s="4">
        <f>Table1[[#This Row],[Total Revenue]]-Table1[[#This Row],[Insurance Claim Amount]]</f>
        <v>5615</v>
      </c>
      <c r="S31">
        <v>1</v>
      </c>
      <c r="T31" t="str">
        <f t="shared" si="0"/>
        <v>Dec</v>
      </c>
      <c r="U31">
        <f t="shared" si="1"/>
        <v>2025</v>
      </c>
    </row>
    <row r="32" spans="1:21" x14ac:dyDescent="0.3">
      <c r="A32" t="s">
        <v>70</v>
      </c>
      <c r="B32" t="s">
        <v>71</v>
      </c>
      <c r="C32" t="s">
        <v>6</v>
      </c>
      <c r="D32" t="s">
        <v>927</v>
      </c>
      <c r="E32" t="s">
        <v>933</v>
      </c>
      <c r="F32">
        <v>45672</v>
      </c>
      <c r="G32" t="s">
        <v>936</v>
      </c>
      <c r="H32" t="s">
        <v>942</v>
      </c>
      <c r="I32" s="4">
        <v>1247</v>
      </c>
      <c r="J32" s="4">
        <v>1800</v>
      </c>
      <c r="K32" s="4">
        <v>219</v>
      </c>
      <c r="L32">
        <v>2462</v>
      </c>
      <c r="M32" s="4">
        <f>Table1[[#This Row],[Visit Cost]]+Table1[[#This Row],[Lab Cost]]+Table1[[#This Row],[Medicine Cost]]+Table1[[#This Row],[Room Charges]]</f>
        <v>5728</v>
      </c>
      <c r="N32" s="5">
        <v>45713</v>
      </c>
      <c r="O32">
        <f>Table1[[#This Row],[Discharge Date]]-Table1[[#This Row],[Visit Date]]</f>
        <v>41</v>
      </c>
      <c r="P32" t="s">
        <v>948</v>
      </c>
      <c r="Q32" s="4">
        <v>4000</v>
      </c>
      <c r="R32" s="4">
        <f>Table1[[#This Row],[Total Revenue]]-Table1[[#This Row],[Insurance Claim Amount]]</f>
        <v>1728</v>
      </c>
      <c r="S32">
        <v>1</v>
      </c>
      <c r="T32" t="str">
        <f t="shared" si="0"/>
        <v>Jan</v>
      </c>
      <c r="U32">
        <f t="shared" si="1"/>
        <v>2025</v>
      </c>
    </row>
    <row r="33" spans="1:21" x14ac:dyDescent="0.3">
      <c r="A33" t="s">
        <v>72</v>
      </c>
      <c r="B33" t="s">
        <v>73</v>
      </c>
      <c r="C33" t="s">
        <v>16</v>
      </c>
      <c r="D33" t="s">
        <v>925</v>
      </c>
      <c r="E33" t="s">
        <v>929</v>
      </c>
      <c r="F33">
        <v>45945</v>
      </c>
      <c r="G33" t="s">
        <v>937</v>
      </c>
      <c r="H33" t="s">
        <v>944</v>
      </c>
      <c r="I33" s="4">
        <v>1635</v>
      </c>
      <c r="J33" s="4">
        <v>800</v>
      </c>
      <c r="K33" s="4">
        <v>1152</v>
      </c>
      <c r="L33">
        <v>993</v>
      </c>
      <c r="M33" s="4">
        <f>Table1[[#This Row],[Visit Cost]]+Table1[[#This Row],[Lab Cost]]+Table1[[#This Row],[Medicine Cost]]+Table1[[#This Row],[Room Charges]]</f>
        <v>4580</v>
      </c>
      <c r="N33" s="5">
        <v>45961</v>
      </c>
      <c r="O33">
        <f>Table1[[#This Row],[Discharge Date]]-Table1[[#This Row],[Visit Date]]</f>
        <v>16</v>
      </c>
      <c r="P33" t="s">
        <v>948</v>
      </c>
      <c r="Q33" s="4">
        <v>4295</v>
      </c>
      <c r="R33" s="4">
        <f>Table1[[#This Row],[Total Revenue]]-Table1[[#This Row],[Insurance Claim Amount]]</f>
        <v>285</v>
      </c>
      <c r="S33">
        <v>5</v>
      </c>
      <c r="T33" t="str">
        <f t="shared" si="0"/>
        <v>Oct</v>
      </c>
      <c r="U33">
        <f t="shared" si="1"/>
        <v>2025</v>
      </c>
    </row>
    <row r="34" spans="1:21" x14ac:dyDescent="0.3">
      <c r="A34" t="s">
        <v>74</v>
      </c>
      <c r="B34" t="s">
        <v>75</v>
      </c>
      <c r="C34" t="s">
        <v>11</v>
      </c>
      <c r="D34" t="s">
        <v>924</v>
      </c>
      <c r="E34" t="s">
        <v>932</v>
      </c>
      <c r="F34">
        <v>45687</v>
      </c>
      <c r="G34" t="s">
        <v>938</v>
      </c>
      <c r="H34" t="s">
        <v>942</v>
      </c>
      <c r="I34" s="4">
        <v>861</v>
      </c>
      <c r="J34" s="4">
        <v>1229</v>
      </c>
      <c r="K34" s="4">
        <v>2389</v>
      </c>
      <c r="L34">
        <v>1535</v>
      </c>
      <c r="M34" s="4">
        <f>Table1[[#This Row],[Visit Cost]]+Table1[[#This Row],[Lab Cost]]+Table1[[#This Row],[Medicine Cost]]+Table1[[#This Row],[Room Charges]]</f>
        <v>6014</v>
      </c>
      <c r="N34" s="5">
        <v>45835</v>
      </c>
      <c r="O34">
        <f>Table1[[#This Row],[Discharge Date]]-Table1[[#This Row],[Visit Date]]</f>
        <v>148</v>
      </c>
      <c r="P34" t="s">
        <v>948</v>
      </c>
      <c r="Q34" s="4">
        <v>5110</v>
      </c>
      <c r="R34" s="4">
        <f>Table1[[#This Row],[Total Revenue]]-Table1[[#This Row],[Insurance Claim Amount]]</f>
        <v>904</v>
      </c>
      <c r="S34">
        <v>5</v>
      </c>
      <c r="T34" t="str">
        <f t="shared" si="0"/>
        <v>Jan</v>
      </c>
      <c r="U34">
        <f t="shared" si="1"/>
        <v>2025</v>
      </c>
    </row>
    <row r="35" spans="1:21" x14ac:dyDescent="0.3">
      <c r="A35" t="s">
        <v>76</v>
      </c>
      <c r="B35" t="s">
        <v>77</v>
      </c>
      <c r="C35" t="s">
        <v>11</v>
      </c>
      <c r="D35" t="s">
        <v>924</v>
      </c>
      <c r="E35" t="s">
        <v>931</v>
      </c>
      <c r="F35">
        <v>45768</v>
      </c>
      <c r="G35" t="s">
        <v>935</v>
      </c>
      <c r="H35" t="s">
        <v>943</v>
      </c>
      <c r="I35" s="4">
        <v>1688</v>
      </c>
      <c r="J35" s="4">
        <v>3934</v>
      </c>
      <c r="K35" s="4">
        <v>1300</v>
      </c>
      <c r="L35">
        <v>2226</v>
      </c>
      <c r="M35" s="4">
        <f>Table1[[#This Row],[Visit Cost]]+Table1[[#This Row],[Lab Cost]]+Table1[[#This Row],[Medicine Cost]]+Table1[[#This Row],[Room Charges]]</f>
        <v>9148</v>
      </c>
      <c r="N35" s="5">
        <v>45860</v>
      </c>
      <c r="O35">
        <f>Table1[[#This Row],[Discharge Date]]-Table1[[#This Row],[Visit Date]]</f>
        <v>92</v>
      </c>
      <c r="P35" t="s">
        <v>949</v>
      </c>
      <c r="Q35" s="4">
        <v>0</v>
      </c>
      <c r="R35" s="4">
        <f>Table1[[#This Row],[Total Revenue]]-Table1[[#This Row],[Insurance Claim Amount]]</f>
        <v>9148</v>
      </c>
      <c r="S35">
        <v>4</v>
      </c>
      <c r="T35" t="str">
        <f t="shared" si="0"/>
        <v>Apr</v>
      </c>
      <c r="U35">
        <f t="shared" si="1"/>
        <v>2025</v>
      </c>
    </row>
    <row r="36" spans="1:21" x14ac:dyDescent="0.3">
      <c r="A36" t="s">
        <v>78</v>
      </c>
      <c r="B36" t="s">
        <v>79</v>
      </c>
      <c r="C36" t="s">
        <v>6</v>
      </c>
      <c r="D36" t="s">
        <v>80</v>
      </c>
      <c r="E36" t="s">
        <v>930</v>
      </c>
      <c r="F36">
        <v>45793</v>
      </c>
      <c r="G36" t="s">
        <v>936</v>
      </c>
      <c r="H36" t="s">
        <v>944</v>
      </c>
      <c r="I36" s="4">
        <v>1920</v>
      </c>
      <c r="J36" s="4">
        <v>3848</v>
      </c>
      <c r="K36" s="4">
        <v>387</v>
      </c>
      <c r="L36">
        <v>1238</v>
      </c>
      <c r="M36" s="4">
        <f>Table1[[#This Row],[Visit Cost]]+Table1[[#This Row],[Lab Cost]]+Table1[[#This Row],[Medicine Cost]]+Table1[[#This Row],[Room Charges]]</f>
        <v>7393</v>
      </c>
      <c r="N36" s="5">
        <v>45941</v>
      </c>
      <c r="O36">
        <f>Table1[[#This Row],[Discharge Date]]-Table1[[#This Row],[Visit Date]]</f>
        <v>148</v>
      </c>
      <c r="P36" t="s">
        <v>949</v>
      </c>
      <c r="Q36" s="4">
        <v>0</v>
      </c>
      <c r="R36" s="4">
        <f>Table1[[#This Row],[Total Revenue]]-Table1[[#This Row],[Insurance Claim Amount]]</f>
        <v>7393</v>
      </c>
      <c r="S36">
        <v>2</v>
      </c>
      <c r="T36" t="str">
        <f t="shared" si="0"/>
        <v>May</v>
      </c>
      <c r="U36">
        <f t="shared" si="1"/>
        <v>2025</v>
      </c>
    </row>
    <row r="37" spans="1:21" x14ac:dyDescent="0.3">
      <c r="A37" t="s">
        <v>81</v>
      </c>
      <c r="B37" t="s">
        <v>82</v>
      </c>
      <c r="C37" t="s">
        <v>16</v>
      </c>
      <c r="D37" t="s">
        <v>924</v>
      </c>
      <c r="E37" t="s">
        <v>931</v>
      </c>
      <c r="F37">
        <v>45913</v>
      </c>
      <c r="G37" t="s">
        <v>938</v>
      </c>
      <c r="H37" t="s">
        <v>940</v>
      </c>
      <c r="I37" s="4">
        <v>1563</v>
      </c>
      <c r="J37" s="4">
        <v>1106</v>
      </c>
      <c r="K37" s="4">
        <v>883</v>
      </c>
      <c r="L37">
        <v>1855</v>
      </c>
      <c r="M37" s="4">
        <f>Table1[[#This Row],[Visit Cost]]+Table1[[#This Row],[Lab Cost]]+Table1[[#This Row],[Medicine Cost]]+Table1[[#This Row],[Room Charges]]</f>
        <v>5407</v>
      </c>
      <c r="N37" s="5">
        <v>45984</v>
      </c>
      <c r="O37">
        <f>Table1[[#This Row],[Discharge Date]]-Table1[[#This Row],[Visit Date]]</f>
        <v>71</v>
      </c>
      <c r="P37" t="s">
        <v>949</v>
      </c>
      <c r="Q37" s="4">
        <v>0</v>
      </c>
      <c r="R37" s="4">
        <f>Table1[[#This Row],[Total Revenue]]-Table1[[#This Row],[Insurance Claim Amount]]</f>
        <v>5407</v>
      </c>
      <c r="S37">
        <v>3</v>
      </c>
      <c r="T37" t="str">
        <f t="shared" si="0"/>
        <v>Sep</v>
      </c>
      <c r="U37">
        <f t="shared" si="1"/>
        <v>2025</v>
      </c>
    </row>
    <row r="38" spans="1:21" x14ac:dyDescent="0.3">
      <c r="A38" t="s">
        <v>83</v>
      </c>
      <c r="B38" t="s">
        <v>84</v>
      </c>
      <c r="C38" t="s">
        <v>29</v>
      </c>
      <c r="D38" t="s">
        <v>85</v>
      </c>
      <c r="E38" t="s">
        <v>932</v>
      </c>
      <c r="F38">
        <v>45949</v>
      </c>
      <c r="G38" t="s">
        <v>937</v>
      </c>
      <c r="H38" t="s">
        <v>945</v>
      </c>
      <c r="I38" s="4">
        <v>634</v>
      </c>
      <c r="J38" s="4">
        <v>3535</v>
      </c>
      <c r="K38" s="4">
        <v>1310</v>
      </c>
      <c r="L38">
        <v>950</v>
      </c>
      <c r="M38" s="4">
        <f>Table1[[#This Row],[Visit Cost]]+Table1[[#This Row],[Lab Cost]]+Table1[[#This Row],[Medicine Cost]]+Table1[[#This Row],[Room Charges]]</f>
        <v>6429</v>
      </c>
      <c r="N38" s="5">
        <v>46071</v>
      </c>
      <c r="O38">
        <f>Table1[[#This Row],[Discharge Date]]-Table1[[#This Row],[Visit Date]]</f>
        <v>122</v>
      </c>
      <c r="P38" t="s">
        <v>949</v>
      </c>
      <c r="Q38" s="4">
        <v>0</v>
      </c>
      <c r="R38" s="4">
        <f>Table1[[#This Row],[Total Revenue]]-Table1[[#This Row],[Insurance Claim Amount]]</f>
        <v>6429</v>
      </c>
      <c r="S38">
        <v>5</v>
      </c>
      <c r="T38" t="str">
        <f t="shared" si="0"/>
        <v>Oct</v>
      </c>
      <c r="U38">
        <f t="shared" si="1"/>
        <v>2025</v>
      </c>
    </row>
    <row r="39" spans="1:21" x14ac:dyDescent="0.3">
      <c r="A39" t="s">
        <v>86</v>
      </c>
      <c r="B39" t="s">
        <v>87</v>
      </c>
      <c r="C39" t="s">
        <v>29</v>
      </c>
      <c r="D39" t="s">
        <v>926</v>
      </c>
      <c r="E39" t="s">
        <v>929</v>
      </c>
      <c r="F39">
        <v>45696</v>
      </c>
      <c r="G39" t="s">
        <v>936</v>
      </c>
      <c r="H39" t="s">
        <v>945</v>
      </c>
      <c r="I39" s="4">
        <v>800</v>
      </c>
      <c r="J39" s="4">
        <v>3620</v>
      </c>
      <c r="K39" s="4">
        <v>2947</v>
      </c>
      <c r="L39">
        <v>1021</v>
      </c>
      <c r="M39" s="4">
        <f>Table1[[#This Row],[Visit Cost]]+Table1[[#This Row],[Lab Cost]]+Table1[[#This Row],[Medicine Cost]]+Table1[[#This Row],[Room Charges]]</f>
        <v>8388</v>
      </c>
      <c r="N39" s="5">
        <v>45807</v>
      </c>
      <c r="O39">
        <f>Table1[[#This Row],[Discharge Date]]-Table1[[#This Row],[Visit Date]]</f>
        <v>111</v>
      </c>
      <c r="P39" t="s">
        <v>948</v>
      </c>
      <c r="Q39" s="4">
        <v>3752</v>
      </c>
      <c r="R39" s="4">
        <f>Table1[[#This Row],[Total Revenue]]-Table1[[#This Row],[Insurance Claim Amount]]</f>
        <v>4636</v>
      </c>
      <c r="S39">
        <v>2</v>
      </c>
      <c r="T39" t="str">
        <f t="shared" si="0"/>
        <v>Feb</v>
      </c>
      <c r="U39">
        <f t="shared" si="1"/>
        <v>2025</v>
      </c>
    </row>
    <row r="40" spans="1:21" x14ac:dyDescent="0.3">
      <c r="A40" t="s">
        <v>88</v>
      </c>
      <c r="B40" t="s">
        <v>89</v>
      </c>
      <c r="C40" t="s">
        <v>29</v>
      </c>
      <c r="D40" t="s">
        <v>926</v>
      </c>
      <c r="E40" t="s">
        <v>933</v>
      </c>
      <c r="F40">
        <v>45970</v>
      </c>
      <c r="G40" t="s">
        <v>935</v>
      </c>
      <c r="H40" t="s">
        <v>943</v>
      </c>
      <c r="I40" s="4">
        <v>1299</v>
      </c>
      <c r="J40" s="4">
        <v>810</v>
      </c>
      <c r="K40" s="4">
        <v>2841</v>
      </c>
      <c r="L40">
        <v>1899</v>
      </c>
      <c r="M40" s="4">
        <f>Table1[[#This Row],[Visit Cost]]+Table1[[#This Row],[Lab Cost]]+Table1[[#This Row],[Medicine Cost]]+Table1[[#This Row],[Room Charges]]</f>
        <v>6849</v>
      </c>
      <c r="N40" s="5">
        <v>45989</v>
      </c>
      <c r="O40">
        <f>Table1[[#This Row],[Discharge Date]]-Table1[[#This Row],[Visit Date]]</f>
        <v>19</v>
      </c>
      <c r="P40" t="s">
        <v>948</v>
      </c>
      <c r="Q40" s="4">
        <v>700</v>
      </c>
      <c r="R40" s="4">
        <f>Table1[[#This Row],[Total Revenue]]-Table1[[#This Row],[Insurance Claim Amount]]</f>
        <v>6149</v>
      </c>
      <c r="S40">
        <v>5</v>
      </c>
      <c r="T40" t="str">
        <f t="shared" si="0"/>
        <v>Nov</v>
      </c>
      <c r="U40">
        <f t="shared" si="1"/>
        <v>2025</v>
      </c>
    </row>
    <row r="41" spans="1:21" x14ac:dyDescent="0.3">
      <c r="A41" t="s">
        <v>90</v>
      </c>
      <c r="B41" t="s">
        <v>91</v>
      </c>
      <c r="C41" t="s">
        <v>6</v>
      </c>
      <c r="D41" t="s">
        <v>85</v>
      </c>
      <c r="E41" t="s">
        <v>930</v>
      </c>
      <c r="F41">
        <v>45869</v>
      </c>
      <c r="G41" t="s">
        <v>938</v>
      </c>
      <c r="H41" t="s">
        <v>941</v>
      </c>
      <c r="I41" s="4">
        <v>1336</v>
      </c>
      <c r="J41" s="4">
        <v>500</v>
      </c>
      <c r="K41" s="4">
        <v>1634</v>
      </c>
      <c r="L41">
        <v>2187</v>
      </c>
      <c r="M41" s="4">
        <f>Table1[[#This Row],[Visit Cost]]+Table1[[#This Row],[Lab Cost]]+Table1[[#This Row],[Medicine Cost]]+Table1[[#This Row],[Room Charges]]</f>
        <v>5657</v>
      </c>
      <c r="N41" s="5">
        <v>45877</v>
      </c>
      <c r="O41">
        <f>Table1[[#This Row],[Discharge Date]]-Table1[[#This Row],[Visit Date]]</f>
        <v>8</v>
      </c>
      <c r="P41" t="s">
        <v>948</v>
      </c>
      <c r="Q41" s="4">
        <v>3234</v>
      </c>
      <c r="R41" s="4">
        <f>Table1[[#This Row],[Total Revenue]]-Table1[[#This Row],[Insurance Claim Amount]]</f>
        <v>2423</v>
      </c>
      <c r="S41">
        <v>3</v>
      </c>
      <c r="T41" t="str">
        <f t="shared" si="0"/>
        <v>Jul</v>
      </c>
      <c r="U41">
        <f t="shared" si="1"/>
        <v>2025</v>
      </c>
    </row>
    <row r="42" spans="1:21" x14ac:dyDescent="0.3">
      <c r="A42" t="s">
        <v>92</v>
      </c>
      <c r="B42" t="s">
        <v>93</v>
      </c>
      <c r="C42" t="s">
        <v>6</v>
      </c>
      <c r="D42" t="s">
        <v>927</v>
      </c>
      <c r="E42" t="s">
        <v>929</v>
      </c>
      <c r="F42">
        <v>45780</v>
      </c>
      <c r="G42" t="s">
        <v>936</v>
      </c>
      <c r="H42" t="s">
        <v>945</v>
      </c>
      <c r="I42" s="4">
        <v>2467</v>
      </c>
      <c r="J42" s="4">
        <v>3999</v>
      </c>
      <c r="K42" s="4">
        <v>1323</v>
      </c>
      <c r="L42">
        <v>2208</v>
      </c>
      <c r="M42" s="4">
        <f>Table1[[#This Row],[Visit Cost]]+Table1[[#This Row],[Lab Cost]]+Table1[[#This Row],[Medicine Cost]]+Table1[[#This Row],[Room Charges]]</f>
        <v>9997</v>
      </c>
      <c r="N42" s="5">
        <v>45927</v>
      </c>
      <c r="O42">
        <f>Table1[[#This Row],[Discharge Date]]-Table1[[#This Row],[Visit Date]]</f>
        <v>147</v>
      </c>
      <c r="P42" t="s">
        <v>948</v>
      </c>
      <c r="Q42" s="4">
        <v>7311</v>
      </c>
      <c r="R42" s="4">
        <f>Table1[[#This Row],[Total Revenue]]-Table1[[#This Row],[Insurance Claim Amount]]</f>
        <v>2686</v>
      </c>
      <c r="S42">
        <v>5</v>
      </c>
      <c r="T42" t="str">
        <f t="shared" si="0"/>
        <v>May</v>
      </c>
      <c r="U42">
        <f t="shared" si="1"/>
        <v>2025</v>
      </c>
    </row>
    <row r="43" spans="1:21" x14ac:dyDescent="0.3">
      <c r="A43" t="s">
        <v>94</v>
      </c>
      <c r="B43" t="s">
        <v>95</v>
      </c>
      <c r="C43" t="s">
        <v>29</v>
      </c>
      <c r="D43" t="s">
        <v>926</v>
      </c>
      <c r="E43" t="s">
        <v>930</v>
      </c>
      <c r="F43">
        <v>45778</v>
      </c>
      <c r="G43" t="s">
        <v>937</v>
      </c>
      <c r="H43" t="s">
        <v>940</v>
      </c>
      <c r="I43" s="4">
        <v>1861</v>
      </c>
      <c r="J43" s="4">
        <v>1200</v>
      </c>
      <c r="K43" s="4">
        <v>701</v>
      </c>
      <c r="L43">
        <v>2485</v>
      </c>
      <c r="M43" s="4">
        <f>Table1[[#This Row],[Visit Cost]]+Table1[[#This Row],[Lab Cost]]+Table1[[#This Row],[Medicine Cost]]+Table1[[#This Row],[Room Charges]]</f>
        <v>6247</v>
      </c>
      <c r="N43" s="5">
        <v>45804</v>
      </c>
      <c r="O43">
        <f>Table1[[#This Row],[Discharge Date]]-Table1[[#This Row],[Visit Date]]</f>
        <v>26</v>
      </c>
      <c r="P43" t="s">
        <v>949</v>
      </c>
      <c r="Q43" s="4">
        <v>0</v>
      </c>
      <c r="R43" s="4">
        <f>Table1[[#This Row],[Total Revenue]]-Table1[[#This Row],[Insurance Claim Amount]]</f>
        <v>6247</v>
      </c>
      <c r="S43">
        <v>1</v>
      </c>
      <c r="T43" t="str">
        <f t="shared" si="0"/>
        <v>May</v>
      </c>
      <c r="U43">
        <f t="shared" si="1"/>
        <v>2025</v>
      </c>
    </row>
    <row r="44" spans="1:21" x14ac:dyDescent="0.3">
      <c r="A44" t="s">
        <v>96</v>
      </c>
      <c r="B44" t="s">
        <v>97</v>
      </c>
      <c r="C44" t="s">
        <v>38</v>
      </c>
      <c r="D44" t="s">
        <v>926</v>
      </c>
      <c r="E44" t="s">
        <v>933</v>
      </c>
      <c r="F44">
        <v>45953</v>
      </c>
      <c r="G44" t="s">
        <v>935</v>
      </c>
      <c r="H44" t="s">
        <v>941</v>
      </c>
      <c r="I44" s="4">
        <v>2462</v>
      </c>
      <c r="J44" s="4">
        <v>4675</v>
      </c>
      <c r="K44" s="4">
        <v>372</v>
      </c>
      <c r="L44">
        <v>892</v>
      </c>
      <c r="M44" s="4">
        <f>Table1[[#This Row],[Visit Cost]]+Table1[[#This Row],[Lab Cost]]+Table1[[#This Row],[Medicine Cost]]+Table1[[#This Row],[Room Charges]]</f>
        <v>8401</v>
      </c>
      <c r="N44" s="5">
        <v>46076</v>
      </c>
      <c r="O44">
        <f>Table1[[#This Row],[Discharge Date]]-Table1[[#This Row],[Visit Date]]</f>
        <v>123</v>
      </c>
      <c r="P44" t="s">
        <v>949</v>
      </c>
      <c r="Q44" s="4">
        <v>0</v>
      </c>
      <c r="R44" s="4">
        <f>Table1[[#This Row],[Total Revenue]]-Table1[[#This Row],[Insurance Claim Amount]]</f>
        <v>8401</v>
      </c>
      <c r="S44">
        <v>4</v>
      </c>
      <c r="T44" t="str">
        <f t="shared" si="0"/>
        <v>Oct</v>
      </c>
      <c r="U44">
        <f t="shared" si="1"/>
        <v>2025</v>
      </c>
    </row>
    <row r="45" spans="1:21" x14ac:dyDescent="0.3">
      <c r="A45" t="s">
        <v>98</v>
      </c>
      <c r="B45" t="s">
        <v>55</v>
      </c>
      <c r="C45" t="s">
        <v>38</v>
      </c>
      <c r="D45" t="s">
        <v>926</v>
      </c>
      <c r="E45" t="s">
        <v>931</v>
      </c>
      <c r="F45">
        <v>45930</v>
      </c>
      <c r="G45" t="s">
        <v>936</v>
      </c>
      <c r="H45" t="s">
        <v>944</v>
      </c>
      <c r="I45" s="4">
        <v>549</v>
      </c>
      <c r="J45" s="4">
        <v>3799</v>
      </c>
      <c r="K45" s="4">
        <v>2746</v>
      </c>
      <c r="L45">
        <v>2406</v>
      </c>
      <c r="M45" s="4">
        <f>Table1[[#This Row],[Visit Cost]]+Table1[[#This Row],[Lab Cost]]+Table1[[#This Row],[Medicine Cost]]+Table1[[#This Row],[Room Charges]]</f>
        <v>9500</v>
      </c>
      <c r="N45" s="5">
        <v>46022</v>
      </c>
      <c r="O45">
        <f>Table1[[#This Row],[Discharge Date]]-Table1[[#This Row],[Visit Date]]</f>
        <v>92</v>
      </c>
      <c r="P45" t="s">
        <v>948</v>
      </c>
      <c r="Q45" s="4">
        <v>5209</v>
      </c>
      <c r="R45" s="4">
        <f>Table1[[#This Row],[Total Revenue]]-Table1[[#This Row],[Insurance Claim Amount]]</f>
        <v>4291</v>
      </c>
      <c r="S45">
        <v>1</v>
      </c>
      <c r="T45" t="str">
        <f t="shared" si="0"/>
        <v>Sep</v>
      </c>
      <c r="U45">
        <f t="shared" si="1"/>
        <v>2025</v>
      </c>
    </row>
    <row r="46" spans="1:21" x14ac:dyDescent="0.3">
      <c r="A46" t="s">
        <v>99</v>
      </c>
      <c r="B46" t="s">
        <v>100</v>
      </c>
      <c r="C46" t="s">
        <v>16</v>
      </c>
      <c r="D46" t="s">
        <v>164</v>
      </c>
      <c r="E46" t="s">
        <v>932</v>
      </c>
      <c r="F46">
        <v>45787</v>
      </c>
      <c r="G46" t="s">
        <v>938</v>
      </c>
      <c r="H46" t="s">
        <v>943</v>
      </c>
      <c r="I46" s="4">
        <v>1640</v>
      </c>
      <c r="J46" s="4">
        <v>4696</v>
      </c>
      <c r="K46" s="4">
        <v>2727</v>
      </c>
      <c r="L46">
        <v>1831</v>
      </c>
      <c r="M46" s="4">
        <f>Table1[[#This Row],[Visit Cost]]+Table1[[#This Row],[Lab Cost]]+Table1[[#This Row],[Medicine Cost]]+Table1[[#This Row],[Room Charges]]</f>
        <v>10894</v>
      </c>
      <c r="N46" s="5">
        <v>45850</v>
      </c>
      <c r="O46">
        <f>Table1[[#This Row],[Discharge Date]]-Table1[[#This Row],[Visit Date]]</f>
        <v>63</v>
      </c>
      <c r="P46" t="s">
        <v>949</v>
      </c>
      <c r="Q46" s="4">
        <v>0</v>
      </c>
      <c r="R46" s="4">
        <f>Table1[[#This Row],[Total Revenue]]-Table1[[#This Row],[Insurance Claim Amount]]</f>
        <v>10894</v>
      </c>
      <c r="S46">
        <v>3</v>
      </c>
      <c r="T46" t="str">
        <f t="shared" si="0"/>
        <v>May</v>
      </c>
      <c r="U46">
        <f t="shared" si="1"/>
        <v>2025</v>
      </c>
    </row>
    <row r="47" spans="1:21" x14ac:dyDescent="0.3">
      <c r="A47" t="s">
        <v>101</v>
      </c>
      <c r="B47" t="s">
        <v>84</v>
      </c>
      <c r="C47" t="s">
        <v>38</v>
      </c>
      <c r="D47" t="s">
        <v>164</v>
      </c>
      <c r="E47" t="s">
        <v>933</v>
      </c>
      <c r="F47">
        <v>45683</v>
      </c>
      <c r="G47" t="s">
        <v>937</v>
      </c>
      <c r="H47" t="s">
        <v>941</v>
      </c>
      <c r="I47" s="4">
        <v>646</v>
      </c>
      <c r="J47" s="4">
        <v>2686</v>
      </c>
      <c r="K47" s="4">
        <v>1474</v>
      </c>
      <c r="L47">
        <v>2107</v>
      </c>
      <c r="M47" s="4">
        <f>Table1[[#This Row],[Visit Cost]]+Table1[[#This Row],[Lab Cost]]+Table1[[#This Row],[Medicine Cost]]+Table1[[#This Row],[Room Charges]]</f>
        <v>6913</v>
      </c>
      <c r="N47" s="5">
        <v>45736</v>
      </c>
      <c r="O47">
        <f>Table1[[#This Row],[Discharge Date]]-Table1[[#This Row],[Visit Date]]</f>
        <v>53</v>
      </c>
      <c r="P47" t="s">
        <v>948</v>
      </c>
      <c r="Q47" s="4">
        <v>7166</v>
      </c>
      <c r="R47" s="4">
        <f>Table1[[#This Row],[Total Revenue]]-Table1[[#This Row],[Insurance Claim Amount]]</f>
        <v>-253</v>
      </c>
      <c r="S47">
        <v>2</v>
      </c>
      <c r="T47" t="str">
        <f t="shared" si="0"/>
        <v>Jan</v>
      </c>
      <c r="U47">
        <f t="shared" si="1"/>
        <v>2025</v>
      </c>
    </row>
    <row r="48" spans="1:21" x14ac:dyDescent="0.3">
      <c r="A48" t="s">
        <v>102</v>
      </c>
      <c r="B48" t="s">
        <v>103</v>
      </c>
      <c r="C48" t="s">
        <v>16</v>
      </c>
      <c r="D48" t="s">
        <v>924</v>
      </c>
      <c r="E48" t="s">
        <v>932</v>
      </c>
      <c r="F48">
        <v>45667</v>
      </c>
      <c r="G48" t="s">
        <v>936</v>
      </c>
      <c r="H48" t="s">
        <v>942</v>
      </c>
      <c r="I48" s="4">
        <v>2156</v>
      </c>
      <c r="J48" s="4">
        <v>3060</v>
      </c>
      <c r="K48" s="4">
        <v>2586</v>
      </c>
      <c r="L48">
        <v>1030</v>
      </c>
      <c r="M48" s="4">
        <f>Table1[[#This Row],[Visit Cost]]+Table1[[#This Row],[Lab Cost]]+Table1[[#This Row],[Medicine Cost]]+Table1[[#This Row],[Room Charges]]</f>
        <v>8832</v>
      </c>
      <c r="N48" s="5">
        <v>45754</v>
      </c>
      <c r="O48">
        <f>Table1[[#This Row],[Discharge Date]]-Table1[[#This Row],[Visit Date]]</f>
        <v>87</v>
      </c>
      <c r="P48" t="s">
        <v>948</v>
      </c>
      <c r="Q48" s="4">
        <v>3588</v>
      </c>
      <c r="R48" s="4">
        <f>Table1[[#This Row],[Total Revenue]]-Table1[[#This Row],[Insurance Claim Amount]]</f>
        <v>5244</v>
      </c>
      <c r="S48">
        <v>4</v>
      </c>
      <c r="T48" t="str">
        <f t="shared" si="0"/>
        <v>Jan</v>
      </c>
      <c r="U48">
        <f t="shared" si="1"/>
        <v>2025</v>
      </c>
    </row>
    <row r="49" spans="1:21" x14ac:dyDescent="0.3">
      <c r="A49" t="s">
        <v>104</v>
      </c>
      <c r="B49" t="s">
        <v>105</v>
      </c>
      <c r="C49" t="s">
        <v>38</v>
      </c>
      <c r="D49" t="s">
        <v>924</v>
      </c>
      <c r="E49" t="s">
        <v>931</v>
      </c>
      <c r="F49">
        <v>45840</v>
      </c>
      <c r="G49" t="s">
        <v>935</v>
      </c>
      <c r="H49" t="s">
        <v>942</v>
      </c>
      <c r="I49" s="4">
        <v>1530</v>
      </c>
      <c r="J49" s="4">
        <v>1719</v>
      </c>
      <c r="K49" s="4">
        <v>2013</v>
      </c>
      <c r="L49">
        <v>2310</v>
      </c>
      <c r="M49" s="4">
        <f>Table1[[#This Row],[Visit Cost]]+Table1[[#This Row],[Lab Cost]]+Table1[[#This Row],[Medicine Cost]]+Table1[[#This Row],[Room Charges]]</f>
        <v>7572</v>
      </c>
      <c r="N49" s="5">
        <v>45861</v>
      </c>
      <c r="O49">
        <f>Table1[[#This Row],[Discharge Date]]-Table1[[#This Row],[Visit Date]]</f>
        <v>21</v>
      </c>
      <c r="P49" t="s">
        <v>948</v>
      </c>
      <c r="Q49" s="4">
        <v>7123</v>
      </c>
      <c r="R49" s="4">
        <f>Table1[[#This Row],[Total Revenue]]-Table1[[#This Row],[Insurance Claim Amount]]</f>
        <v>449</v>
      </c>
      <c r="S49">
        <v>4</v>
      </c>
      <c r="T49" t="str">
        <f t="shared" si="0"/>
        <v>Jul</v>
      </c>
      <c r="U49">
        <f t="shared" si="1"/>
        <v>2025</v>
      </c>
    </row>
    <row r="50" spans="1:21" x14ac:dyDescent="0.3">
      <c r="A50" t="s">
        <v>106</v>
      </c>
      <c r="B50" t="s">
        <v>107</v>
      </c>
      <c r="C50" t="s">
        <v>29</v>
      </c>
      <c r="D50" t="s">
        <v>926</v>
      </c>
      <c r="E50" t="s">
        <v>929</v>
      </c>
      <c r="F50">
        <v>45978</v>
      </c>
      <c r="G50" t="s">
        <v>938</v>
      </c>
      <c r="H50" t="s">
        <v>940</v>
      </c>
      <c r="I50" s="4">
        <v>704</v>
      </c>
      <c r="J50" s="4">
        <v>3648</v>
      </c>
      <c r="K50" s="4">
        <v>1577</v>
      </c>
      <c r="L50">
        <v>2057</v>
      </c>
      <c r="M50" s="4">
        <f>Table1[[#This Row],[Visit Cost]]+Table1[[#This Row],[Lab Cost]]+Table1[[#This Row],[Medicine Cost]]+Table1[[#This Row],[Room Charges]]</f>
        <v>7986</v>
      </c>
      <c r="N50" s="5">
        <v>46064</v>
      </c>
      <c r="O50">
        <f>Table1[[#This Row],[Discharge Date]]-Table1[[#This Row],[Visit Date]]</f>
        <v>86</v>
      </c>
      <c r="P50" t="s">
        <v>948</v>
      </c>
      <c r="Q50" s="4">
        <v>12208</v>
      </c>
      <c r="R50" s="4">
        <f>Table1[[#This Row],[Total Revenue]]-Table1[[#This Row],[Insurance Claim Amount]]</f>
        <v>-4222</v>
      </c>
      <c r="S50">
        <v>4</v>
      </c>
      <c r="T50" t="str">
        <f t="shared" si="0"/>
        <v>Nov</v>
      </c>
      <c r="U50">
        <f t="shared" si="1"/>
        <v>2025</v>
      </c>
    </row>
    <row r="51" spans="1:21" x14ac:dyDescent="0.3">
      <c r="A51" t="s">
        <v>108</v>
      </c>
      <c r="B51" t="s">
        <v>109</v>
      </c>
      <c r="C51" t="s">
        <v>38</v>
      </c>
      <c r="D51" t="s">
        <v>924</v>
      </c>
      <c r="E51" t="s">
        <v>930</v>
      </c>
      <c r="F51">
        <v>45813</v>
      </c>
      <c r="G51" t="s">
        <v>936</v>
      </c>
      <c r="H51" t="s">
        <v>943</v>
      </c>
      <c r="I51" s="4">
        <v>797</v>
      </c>
      <c r="J51" s="4">
        <v>2564</v>
      </c>
      <c r="K51" s="4">
        <v>1692</v>
      </c>
      <c r="L51">
        <v>941</v>
      </c>
      <c r="M51" s="4">
        <f>Table1[[#This Row],[Visit Cost]]+Table1[[#This Row],[Lab Cost]]+Table1[[#This Row],[Medicine Cost]]+Table1[[#This Row],[Room Charges]]</f>
        <v>5994</v>
      </c>
      <c r="N51" s="5">
        <v>45917</v>
      </c>
      <c r="O51">
        <f>Table1[[#This Row],[Discharge Date]]-Table1[[#This Row],[Visit Date]]</f>
        <v>104</v>
      </c>
      <c r="P51" t="s">
        <v>948</v>
      </c>
      <c r="Q51" s="4">
        <v>5704</v>
      </c>
      <c r="R51" s="4">
        <f>Table1[[#This Row],[Total Revenue]]-Table1[[#This Row],[Insurance Claim Amount]]</f>
        <v>290</v>
      </c>
      <c r="S51">
        <v>1</v>
      </c>
      <c r="T51" t="str">
        <f t="shared" si="0"/>
        <v>Jun</v>
      </c>
      <c r="U51">
        <f t="shared" si="1"/>
        <v>2025</v>
      </c>
    </row>
    <row r="52" spans="1:21" x14ac:dyDescent="0.3">
      <c r="A52" t="s">
        <v>110</v>
      </c>
      <c r="B52" t="s">
        <v>111</v>
      </c>
      <c r="C52" t="s">
        <v>16</v>
      </c>
      <c r="D52" t="s">
        <v>927</v>
      </c>
      <c r="E52" t="s">
        <v>931</v>
      </c>
      <c r="F52">
        <v>45961</v>
      </c>
      <c r="G52" t="s">
        <v>935</v>
      </c>
      <c r="H52" t="s">
        <v>940</v>
      </c>
      <c r="I52" s="4">
        <v>1750</v>
      </c>
      <c r="J52" s="4">
        <v>2790</v>
      </c>
      <c r="K52" s="4">
        <v>1742</v>
      </c>
      <c r="L52">
        <v>1107</v>
      </c>
      <c r="M52" s="4">
        <f>Table1[[#This Row],[Visit Cost]]+Table1[[#This Row],[Lab Cost]]+Table1[[#This Row],[Medicine Cost]]+Table1[[#This Row],[Room Charges]]</f>
        <v>7389</v>
      </c>
      <c r="N52" s="5">
        <v>45996</v>
      </c>
      <c r="O52">
        <f>Table1[[#This Row],[Discharge Date]]-Table1[[#This Row],[Visit Date]]</f>
        <v>35</v>
      </c>
      <c r="P52" t="s">
        <v>948</v>
      </c>
      <c r="Q52" s="4">
        <v>4879</v>
      </c>
      <c r="R52" s="4">
        <f>Table1[[#This Row],[Total Revenue]]-Table1[[#This Row],[Insurance Claim Amount]]</f>
        <v>2510</v>
      </c>
      <c r="S52">
        <v>2</v>
      </c>
      <c r="T52" t="str">
        <f t="shared" si="0"/>
        <v>Oct</v>
      </c>
      <c r="U52">
        <f t="shared" si="1"/>
        <v>2025</v>
      </c>
    </row>
    <row r="53" spans="1:21" x14ac:dyDescent="0.3">
      <c r="A53" t="s">
        <v>112</v>
      </c>
      <c r="B53" t="s">
        <v>113</v>
      </c>
      <c r="C53" t="s">
        <v>11</v>
      </c>
      <c r="D53" t="s">
        <v>164</v>
      </c>
      <c r="E53" t="s">
        <v>933</v>
      </c>
      <c r="F53">
        <v>45870</v>
      </c>
      <c r="G53" t="s">
        <v>937</v>
      </c>
      <c r="H53" t="s">
        <v>941</v>
      </c>
      <c r="I53" s="4">
        <v>780</v>
      </c>
      <c r="J53" s="4">
        <v>1800</v>
      </c>
      <c r="K53" s="4">
        <v>718</v>
      </c>
      <c r="L53">
        <v>1669</v>
      </c>
      <c r="M53" s="4">
        <f>Table1[[#This Row],[Visit Cost]]+Table1[[#This Row],[Lab Cost]]+Table1[[#This Row],[Medicine Cost]]+Table1[[#This Row],[Room Charges]]</f>
        <v>4967</v>
      </c>
      <c r="N53" s="5">
        <v>45893</v>
      </c>
      <c r="O53">
        <f>Table1[[#This Row],[Discharge Date]]-Table1[[#This Row],[Visit Date]]</f>
        <v>23</v>
      </c>
      <c r="P53" t="s">
        <v>949</v>
      </c>
      <c r="Q53" s="4">
        <v>0</v>
      </c>
      <c r="R53" s="4">
        <f>Table1[[#This Row],[Total Revenue]]-Table1[[#This Row],[Insurance Claim Amount]]</f>
        <v>4967</v>
      </c>
      <c r="S53">
        <v>1</v>
      </c>
      <c r="T53" t="str">
        <f t="shared" si="0"/>
        <v>Aug</v>
      </c>
      <c r="U53">
        <f t="shared" si="1"/>
        <v>2025</v>
      </c>
    </row>
    <row r="54" spans="1:21" x14ac:dyDescent="0.3">
      <c r="A54" t="s">
        <v>114</v>
      </c>
      <c r="B54" t="s">
        <v>115</v>
      </c>
      <c r="C54" t="s">
        <v>6</v>
      </c>
      <c r="D54" t="s">
        <v>85</v>
      </c>
      <c r="E54" t="s">
        <v>929</v>
      </c>
      <c r="F54">
        <v>45766</v>
      </c>
      <c r="G54" t="s">
        <v>936</v>
      </c>
      <c r="H54" t="s">
        <v>942</v>
      </c>
      <c r="I54" s="4">
        <v>2384</v>
      </c>
      <c r="J54" s="4">
        <v>2448</v>
      </c>
      <c r="K54" s="4">
        <v>1366</v>
      </c>
      <c r="L54">
        <v>1757</v>
      </c>
      <c r="M54" s="4">
        <f>Table1[[#This Row],[Visit Cost]]+Table1[[#This Row],[Lab Cost]]+Table1[[#This Row],[Medicine Cost]]+Table1[[#This Row],[Room Charges]]</f>
        <v>7955</v>
      </c>
      <c r="N54" s="5">
        <v>45910</v>
      </c>
      <c r="O54">
        <f>Table1[[#This Row],[Discharge Date]]-Table1[[#This Row],[Visit Date]]</f>
        <v>144</v>
      </c>
      <c r="P54" t="s">
        <v>949</v>
      </c>
      <c r="Q54" s="4">
        <v>0</v>
      </c>
      <c r="R54" s="4">
        <f>Table1[[#This Row],[Total Revenue]]-Table1[[#This Row],[Insurance Claim Amount]]</f>
        <v>7955</v>
      </c>
      <c r="S54">
        <v>2</v>
      </c>
      <c r="T54" t="str">
        <f t="shared" si="0"/>
        <v>Apr</v>
      </c>
      <c r="U54">
        <f t="shared" si="1"/>
        <v>2025</v>
      </c>
    </row>
    <row r="55" spans="1:21" x14ac:dyDescent="0.3">
      <c r="A55" t="s">
        <v>116</v>
      </c>
      <c r="B55" t="s">
        <v>117</v>
      </c>
      <c r="C55" t="s">
        <v>6</v>
      </c>
      <c r="D55" t="s">
        <v>85</v>
      </c>
      <c r="E55" t="s">
        <v>932</v>
      </c>
      <c r="F55">
        <v>45882</v>
      </c>
      <c r="G55" t="s">
        <v>938</v>
      </c>
      <c r="H55" t="s">
        <v>943</v>
      </c>
      <c r="I55" s="4">
        <v>1005</v>
      </c>
      <c r="J55" s="4">
        <v>2736</v>
      </c>
      <c r="K55" s="4">
        <v>1834</v>
      </c>
      <c r="L55">
        <v>962</v>
      </c>
      <c r="M55" s="4">
        <f>Table1[[#This Row],[Visit Cost]]+Table1[[#This Row],[Lab Cost]]+Table1[[#This Row],[Medicine Cost]]+Table1[[#This Row],[Room Charges]]</f>
        <v>6537</v>
      </c>
      <c r="N55" s="5">
        <v>45938</v>
      </c>
      <c r="O55">
        <f>Table1[[#This Row],[Discharge Date]]-Table1[[#This Row],[Visit Date]]</f>
        <v>56</v>
      </c>
      <c r="P55" t="s">
        <v>949</v>
      </c>
      <c r="Q55" s="4">
        <v>0</v>
      </c>
      <c r="R55" s="4">
        <f>Table1[[#This Row],[Total Revenue]]-Table1[[#This Row],[Insurance Claim Amount]]</f>
        <v>6537</v>
      </c>
      <c r="S55">
        <v>4</v>
      </c>
      <c r="T55" t="str">
        <f t="shared" si="0"/>
        <v>Aug</v>
      </c>
      <c r="U55">
        <f t="shared" si="1"/>
        <v>2025</v>
      </c>
    </row>
    <row r="56" spans="1:21" x14ac:dyDescent="0.3">
      <c r="A56" t="s">
        <v>118</v>
      </c>
      <c r="B56" t="s">
        <v>119</v>
      </c>
      <c r="C56" t="s">
        <v>47</v>
      </c>
      <c r="D56" t="s">
        <v>252</v>
      </c>
      <c r="E56" t="s">
        <v>930</v>
      </c>
      <c r="F56">
        <v>45707</v>
      </c>
      <c r="G56" t="s">
        <v>935</v>
      </c>
      <c r="H56" t="s">
        <v>940</v>
      </c>
      <c r="I56" s="4">
        <v>2033</v>
      </c>
      <c r="J56" s="4">
        <v>2000</v>
      </c>
      <c r="K56" s="4">
        <v>1590</v>
      </c>
      <c r="L56">
        <v>1764</v>
      </c>
      <c r="M56" s="4">
        <f>Table1[[#This Row],[Visit Cost]]+Table1[[#This Row],[Lab Cost]]+Table1[[#This Row],[Medicine Cost]]+Table1[[#This Row],[Room Charges]]</f>
        <v>7387</v>
      </c>
      <c r="N56" s="5">
        <v>45715</v>
      </c>
      <c r="O56">
        <f>Table1[[#This Row],[Discharge Date]]-Table1[[#This Row],[Visit Date]]</f>
        <v>8</v>
      </c>
      <c r="P56" t="s">
        <v>949</v>
      </c>
      <c r="Q56" s="4">
        <v>0</v>
      </c>
      <c r="R56" s="4">
        <f>Table1[[#This Row],[Total Revenue]]-Table1[[#This Row],[Insurance Claim Amount]]</f>
        <v>7387</v>
      </c>
      <c r="S56">
        <v>3</v>
      </c>
      <c r="T56" t="str">
        <f t="shared" si="0"/>
        <v>Feb</v>
      </c>
      <c r="U56">
        <f t="shared" si="1"/>
        <v>2025</v>
      </c>
    </row>
    <row r="57" spans="1:21" x14ac:dyDescent="0.3">
      <c r="A57" t="s">
        <v>120</v>
      </c>
      <c r="B57" t="s">
        <v>121</v>
      </c>
      <c r="C57" t="s">
        <v>38</v>
      </c>
      <c r="D57" t="s">
        <v>164</v>
      </c>
      <c r="E57" t="s">
        <v>932</v>
      </c>
      <c r="F57">
        <v>45912</v>
      </c>
      <c r="G57" t="s">
        <v>936</v>
      </c>
      <c r="H57" t="s">
        <v>940</v>
      </c>
      <c r="I57" s="4">
        <v>1992</v>
      </c>
      <c r="J57" s="4">
        <v>830</v>
      </c>
      <c r="K57" s="4">
        <v>2390</v>
      </c>
      <c r="L57">
        <v>2291</v>
      </c>
      <c r="M57" s="4">
        <f>Table1[[#This Row],[Visit Cost]]+Table1[[#This Row],[Lab Cost]]+Table1[[#This Row],[Medicine Cost]]+Table1[[#This Row],[Room Charges]]</f>
        <v>7503</v>
      </c>
      <c r="N57" s="5">
        <v>46022</v>
      </c>
      <c r="O57">
        <f>Table1[[#This Row],[Discharge Date]]-Table1[[#This Row],[Visit Date]]</f>
        <v>110</v>
      </c>
      <c r="P57" t="s">
        <v>949</v>
      </c>
      <c r="Q57" s="4">
        <v>0</v>
      </c>
      <c r="R57" s="4">
        <f>Table1[[#This Row],[Total Revenue]]-Table1[[#This Row],[Insurance Claim Amount]]</f>
        <v>7503</v>
      </c>
      <c r="S57">
        <v>5</v>
      </c>
      <c r="T57" t="str">
        <f t="shared" si="0"/>
        <v>Sep</v>
      </c>
      <c r="U57">
        <f t="shared" si="1"/>
        <v>2025</v>
      </c>
    </row>
    <row r="58" spans="1:21" x14ac:dyDescent="0.3">
      <c r="A58" t="s">
        <v>122</v>
      </c>
      <c r="B58" t="s">
        <v>123</v>
      </c>
      <c r="C58" t="s">
        <v>6</v>
      </c>
      <c r="D58" t="s">
        <v>85</v>
      </c>
      <c r="E58" t="s">
        <v>929</v>
      </c>
      <c r="F58">
        <v>45850</v>
      </c>
      <c r="G58" t="s">
        <v>937</v>
      </c>
      <c r="H58" t="s">
        <v>942</v>
      </c>
      <c r="I58" s="4">
        <v>1399</v>
      </c>
      <c r="J58" s="4">
        <v>4708</v>
      </c>
      <c r="K58" s="4">
        <v>1019</v>
      </c>
      <c r="L58">
        <v>2017</v>
      </c>
      <c r="M58" s="4">
        <f>Table1[[#This Row],[Visit Cost]]+Table1[[#This Row],[Lab Cost]]+Table1[[#This Row],[Medicine Cost]]+Table1[[#This Row],[Room Charges]]</f>
        <v>9143</v>
      </c>
      <c r="N58" s="5">
        <v>45925</v>
      </c>
      <c r="O58">
        <f>Table1[[#This Row],[Discharge Date]]-Table1[[#This Row],[Visit Date]]</f>
        <v>75</v>
      </c>
      <c r="P58" t="s">
        <v>949</v>
      </c>
      <c r="Q58" s="4">
        <v>0</v>
      </c>
      <c r="R58" s="4">
        <f>Table1[[#This Row],[Total Revenue]]-Table1[[#This Row],[Insurance Claim Amount]]</f>
        <v>9143</v>
      </c>
      <c r="S58">
        <v>2</v>
      </c>
      <c r="T58" t="str">
        <f t="shared" si="0"/>
        <v>Jul</v>
      </c>
      <c r="U58">
        <f t="shared" si="1"/>
        <v>2025</v>
      </c>
    </row>
    <row r="59" spans="1:21" x14ac:dyDescent="0.3">
      <c r="A59" t="s">
        <v>124</v>
      </c>
      <c r="B59" t="s">
        <v>125</v>
      </c>
      <c r="C59" t="s">
        <v>38</v>
      </c>
      <c r="D59" t="s">
        <v>164</v>
      </c>
      <c r="E59" t="s">
        <v>930</v>
      </c>
      <c r="F59">
        <v>45776</v>
      </c>
      <c r="G59" t="s">
        <v>938</v>
      </c>
      <c r="H59" t="s">
        <v>941</v>
      </c>
      <c r="I59" s="4">
        <v>1300</v>
      </c>
      <c r="J59" s="4">
        <v>767</v>
      </c>
      <c r="K59" s="4">
        <v>2173</v>
      </c>
      <c r="L59">
        <v>2132</v>
      </c>
      <c r="M59" s="4">
        <f>Table1[[#This Row],[Visit Cost]]+Table1[[#This Row],[Lab Cost]]+Table1[[#This Row],[Medicine Cost]]+Table1[[#This Row],[Room Charges]]</f>
        <v>6372</v>
      </c>
      <c r="N59" s="5">
        <v>45879</v>
      </c>
      <c r="O59">
        <f>Table1[[#This Row],[Discharge Date]]-Table1[[#This Row],[Visit Date]]</f>
        <v>103</v>
      </c>
      <c r="P59" t="s">
        <v>948</v>
      </c>
      <c r="Q59" s="4">
        <v>2323</v>
      </c>
      <c r="R59" s="4">
        <f>Table1[[#This Row],[Total Revenue]]-Table1[[#This Row],[Insurance Claim Amount]]</f>
        <v>4049</v>
      </c>
      <c r="S59">
        <v>3</v>
      </c>
      <c r="T59" t="str">
        <f t="shared" si="0"/>
        <v>Apr</v>
      </c>
      <c r="U59">
        <f t="shared" si="1"/>
        <v>2025</v>
      </c>
    </row>
    <row r="60" spans="1:21" x14ac:dyDescent="0.3">
      <c r="A60" t="s">
        <v>126</v>
      </c>
      <c r="B60" t="s">
        <v>87</v>
      </c>
      <c r="C60" t="s">
        <v>6</v>
      </c>
      <c r="D60" t="s">
        <v>252</v>
      </c>
      <c r="E60" t="s">
        <v>933</v>
      </c>
      <c r="F60">
        <v>45696</v>
      </c>
      <c r="G60" t="s">
        <v>936</v>
      </c>
      <c r="H60" t="s">
        <v>940</v>
      </c>
      <c r="I60" s="4">
        <v>1971</v>
      </c>
      <c r="J60" s="4">
        <v>1266</v>
      </c>
      <c r="K60" s="4">
        <v>2823</v>
      </c>
      <c r="L60">
        <v>2331</v>
      </c>
      <c r="M60" s="4">
        <f>Table1[[#This Row],[Visit Cost]]+Table1[[#This Row],[Lab Cost]]+Table1[[#This Row],[Medicine Cost]]+Table1[[#This Row],[Room Charges]]</f>
        <v>8391</v>
      </c>
      <c r="N60" s="5">
        <v>45784</v>
      </c>
      <c r="O60">
        <f>Table1[[#This Row],[Discharge Date]]-Table1[[#This Row],[Visit Date]]</f>
        <v>88</v>
      </c>
      <c r="P60" t="s">
        <v>948</v>
      </c>
      <c r="Q60" s="4">
        <v>2175</v>
      </c>
      <c r="R60" s="4">
        <f>Table1[[#This Row],[Total Revenue]]-Table1[[#This Row],[Insurance Claim Amount]]</f>
        <v>6216</v>
      </c>
      <c r="S60">
        <v>3</v>
      </c>
      <c r="T60" t="str">
        <f t="shared" si="0"/>
        <v>Feb</v>
      </c>
      <c r="U60">
        <f t="shared" si="1"/>
        <v>2025</v>
      </c>
    </row>
    <row r="61" spans="1:21" x14ac:dyDescent="0.3">
      <c r="A61" t="s">
        <v>127</v>
      </c>
      <c r="B61" t="s">
        <v>61</v>
      </c>
      <c r="C61" t="s">
        <v>11</v>
      </c>
      <c r="D61" t="s">
        <v>252</v>
      </c>
      <c r="E61" t="s">
        <v>931</v>
      </c>
      <c r="F61">
        <v>45871</v>
      </c>
      <c r="G61" t="s">
        <v>935</v>
      </c>
      <c r="H61" t="s">
        <v>943</v>
      </c>
      <c r="I61" s="4">
        <v>607</v>
      </c>
      <c r="J61" s="4">
        <v>2200</v>
      </c>
      <c r="K61" s="4">
        <v>1500</v>
      </c>
      <c r="L61">
        <v>899</v>
      </c>
      <c r="M61" s="4">
        <f>Table1[[#This Row],[Visit Cost]]+Table1[[#This Row],[Lab Cost]]+Table1[[#This Row],[Medicine Cost]]+Table1[[#This Row],[Room Charges]]</f>
        <v>5206</v>
      </c>
      <c r="N61" s="5">
        <v>45910</v>
      </c>
      <c r="O61">
        <f>Table1[[#This Row],[Discharge Date]]-Table1[[#This Row],[Visit Date]]</f>
        <v>39</v>
      </c>
      <c r="P61" t="s">
        <v>948</v>
      </c>
      <c r="Q61" s="4">
        <v>3116</v>
      </c>
      <c r="R61" s="4">
        <f>Table1[[#This Row],[Total Revenue]]-Table1[[#This Row],[Insurance Claim Amount]]</f>
        <v>2090</v>
      </c>
      <c r="S61">
        <v>5</v>
      </c>
      <c r="T61" t="str">
        <f t="shared" si="0"/>
        <v>Aug</v>
      </c>
      <c r="U61">
        <f t="shared" si="1"/>
        <v>2025</v>
      </c>
    </row>
    <row r="62" spans="1:21" x14ac:dyDescent="0.3">
      <c r="A62" t="s">
        <v>128</v>
      </c>
      <c r="B62" t="s">
        <v>129</v>
      </c>
      <c r="C62" t="s">
        <v>16</v>
      </c>
      <c r="D62" t="s">
        <v>164</v>
      </c>
      <c r="E62" t="s">
        <v>930</v>
      </c>
      <c r="F62">
        <v>46002</v>
      </c>
      <c r="G62" t="s">
        <v>936</v>
      </c>
      <c r="H62" t="s">
        <v>944</v>
      </c>
      <c r="I62" s="4">
        <v>879</v>
      </c>
      <c r="J62" s="4">
        <v>4409</v>
      </c>
      <c r="K62" s="4">
        <v>1254</v>
      </c>
      <c r="L62">
        <v>2225</v>
      </c>
      <c r="M62" s="4">
        <f>Table1[[#This Row],[Visit Cost]]+Table1[[#This Row],[Lab Cost]]+Table1[[#This Row],[Medicine Cost]]+Table1[[#This Row],[Room Charges]]</f>
        <v>8767</v>
      </c>
      <c r="N62" s="5">
        <v>46054</v>
      </c>
      <c r="O62">
        <f>Table1[[#This Row],[Discharge Date]]-Table1[[#This Row],[Visit Date]]</f>
        <v>52</v>
      </c>
      <c r="P62" t="s">
        <v>949</v>
      </c>
      <c r="Q62" s="4">
        <v>0</v>
      </c>
      <c r="R62" s="4">
        <f>Table1[[#This Row],[Total Revenue]]-Table1[[#This Row],[Insurance Claim Amount]]</f>
        <v>8767</v>
      </c>
      <c r="S62">
        <v>5</v>
      </c>
      <c r="T62" t="str">
        <f t="shared" si="0"/>
        <v>Dec</v>
      </c>
      <c r="U62">
        <f t="shared" si="1"/>
        <v>2025</v>
      </c>
    </row>
    <row r="63" spans="1:21" x14ac:dyDescent="0.3">
      <c r="A63" t="s">
        <v>130</v>
      </c>
      <c r="B63" t="s">
        <v>131</v>
      </c>
      <c r="C63" t="s">
        <v>29</v>
      </c>
      <c r="D63" t="s">
        <v>926</v>
      </c>
      <c r="E63" t="s">
        <v>932</v>
      </c>
      <c r="F63">
        <v>45921</v>
      </c>
      <c r="G63" t="s">
        <v>937</v>
      </c>
      <c r="H63" t="s">
        <v>943</v>
      </c>
      <c r="I63" s="4">
        <v>944</v>
      </c>
      <c r="J63" s="4">
        <v>3566</v>
      </c>
      <c r="K63" s="4">
        <v>1084</v>
      </c>
      <c r="L63">
        <v>1313</v>
      </c>
      <c r="M63" s="4">
        <f>Table1[[#This Row],[Visit Cost]]+Table1[[#This Row],[Lab Cost]]+Table1[[#This Row],[Medicine Cost]]+Table1[[#This Row],[Room Charges]]</f>
        <v>6907</v>
      </c>
      <c r="N63" s="5">
        <v>45990</v>
      </c>
      <c r="O63">
        <f>Table1[[#This Row],[Discharge Date]]-Table1[[#This Row],[Visit Date]]</f>
        <v>69</v>
      </c>
      <c r="P63" t="s">
        <v>948</v>
      </c>
      <c r="Q63" s="4">
        <v>9242</v>
      </c>
      <c r="R63" s="4">
        <f>Table1[[#This Row],[Total Revenue]]-Table1[[#This Row],[Insurance Claim Amount]]</f>
        <v>-2335</v>
      </c>
      <c r="S63">
        <v>5</v>
      </c>
      <c r="T63" t="str">
        <f t="shared" si="0"/>
        <v>Sep</v>
      </c>
      <c r="U63">
        <f t="shared" si="1"/>
        <v>2025</v>
      </c>
    </row>
    <row r="64" spans="1:21" x14ac:dyDescent="0.3">
      <c r="A64" t="s">
        <v>132</v>
      </c>
      <c r="B64" t="s">
        <v>133</v>
      </c>
      <c r="C64" t="s">
        <v>6</v>
      </c>
      <c r="D64" t="s">
        <v>252</v>
      </c>
      <c r="E64" t="s">
        <v>933</v>
      </c>
      <c r="F64">
        <v>45836</v>
      </c>
      <c r="G64" t="s">
        <v>938</v>
      </c>
      <c r="H64" t="s">
        <v>944</v>
      </c>
      <c r="I64" s="4">
        <v>1394</v>
      </c>
      <c r="J64" s="4">
        <v>1300</v>
      </c>
      <c r="K64" s="4">
        <v>2979</v>
      </c>
      <c r="L64">
        <v>2439</v>
      </c>
      <c r="M64" s="4">
        <f>Table1[[#This Row],[Visit Cost]]+Table1[[#This Row],[Lab Cost]]+Table1[[#This Row],[Medicine Cost]]+Table1[[#This Row],[Room Charges]]</f>
        <v>8112</v>
      </c>
      <c r="N64" s="5">
        <v>45860</v>
      </c>
      <c r="O64">
        <f>Table1[[#This Row],[Discharge Date]]-Table1[[#This Row],[Visit Date]]</f>
        <v>24</v>
      </c>
      <c r="P64" t="s">
        <v>948</v>
      </c>
      <c r="Q64" s="4">
        <v>4721</v>
      </c>
      <c r="R64" s="4">
        <f>Table1[[#This Row],[Total Revenue]]-Table1[[#This Row],[Insurance Claim Amount]]</f>
        <v>3391</v>
      </c>
      <c r="S64">
        <v>2</v>
      </c>
      <c r="T64" t="str">
        <f t="shared" si="0"/>
        <v>Jun</v>
      </c>
      <c r="U64">
        <f t="shared" si="1"/>
        <v>2025</v>
      </c>
    </row>
    <row r="65" spans="1:21" x14ac:dyDescent="0.3">
      <c r="A65" t="s">
        <v>134</v>
      </c>
      <c r="B65" t="s">
        <v>82</v>
      </c>
      <c r="C65" t="s">
        <v>29</v>
      </c>
      <c r="D65" t="s">
        <v>926</v>
      </c>
      <c r="E65" t="s">
        <v>929</v>
      </c>
      <c r="F65">
        <v>45788</v>
      </c>
      <c r="G65" t="s">
        <v>935</v>
      </c>
      <c r="H65" t="s">
        <v>941</v>
      </c>
      <c r="I65" s="4">
        <v>1275</v>
      </c>
      <c r="J65" s="4">
        <v>2000</v>
      </c>
      <c r="K65" s="4">
        <v>1600</v>
      </c>
      <c r="L65">
        <v>1723</v>
      </c>
      <c r="M65" s="4">
        <f>Table1[[#This Row],[Visit Cost]]+Table1[[#This Row],[Lab Cost]]+Table1[[#This Row],[Medicine Cost]]+Table1[[#This Row],[Room Charges]]</f>
        <v>6598</v>
      </c>
      <c r="N65" s="5">
        <v>45824</v>
      </c>
      <c r="O65">
        <f>Table1[[#This Row],[Discharge Date]]-Table1[[#This Row],[Visit Date]]</f>
        <v>36</v>
      </c>
      <c r="P65" t="s">
        <v>949</v>
      </c>
      <c r="Q65" s="4">
        <v>0</v>
      </c>
      <c r="R65" s="4">
        <f>Table1[[#This Row],[Total Revenue]]-Table1[[#This Row],[Insurance Claim Amount]]</f>
        <v>6598</v>
      </c>
      <c r="S65">
        <v>2</v>
      </c>
      <c r="T65" t="str">
        <f t="shared" si="0"/>
        <v>May</v>
      </c>
      <c r="U65">
        <f t="shared" si="1"/>
        <v>2025</v>
      </c>
    </row>
    <row r="66" spans="1:21" x14ac:dyDescent="0.3">
      <c r="A66" t="s">
        <v>135</v>
      </c>
      <c r="B66" t="s">
        <v>136</v>
      </c>
      <c r="C66" t="s">
        <v>6</v>
      </c>
      <c r="D66" t="s">
        <v>252</v>
      </c>
      <c r="E66" t="s">
        <v>931</v>
      </c>
      <c r="F66">
        <v>45921</v>
      </c>
      <c r="G66" t="s">
        <v>936</v>
      </c>
      <c r="H66" t="s">
        <v>943</v>
      </c>
      <c r="I66" s="4">
        <v>1850</v>
      </c>
      <c r="J66" s="4">
        <v>2349</v>
      </c>
      <c r="K66" s="4">
        <v>1423</v>
      </c>
      <c r="L66">
        <v>2267</v>
      </c>
      <c r="M66" s="4">
        <f>Table1[[#This Row],[Visit Cost]]+Table1[[#This Row],[Lab Cost]]+Table1[[#This Row],[Medicine Cost]]+Table1[[#This Row],[Room Charges]]</f>
        <v>7889</v>
      </c>
      <c r="N66" s="5">
        <v>45978</v>
      </c>
      <c r="O66">
        <f>Table1[[#This Row],[Discharge Date]]-Table1[[#This Row],[Visit Date]]</f>
        <v>57</v>
      </c>
      <c r="P66" t="s">
        <v>948</v>
      </c>
      <c r="Q66" s="4">
        <v>3760</v>
      </c>
      <c r="R66" s="4">
        <f>Table1[[#This Row],[Total Revenue]]-Table1[[#This Row],[Insurance Claim Amount]]</f>
        <v>4129</v>
      </c>
      <c r="S66">
        <v>4</v>
      </c>
      <c r="T66" t="str">
        <f t="shared" si="0"/>
        <v>Sep</v>
      </c>
      <c r="U66">
        <f t="shared" si="1"/>
        <v>2025</v>
      </c>
    </row>
    <row r="67" spans="1:21" x14ac:dyDescent="0.3">
      <c r="A67" t="s">
        <v>137</v>
      </c>
      <c r="B67" t="s">
        <v>138</v>
      </c>
      <c r="C67" t="s">
        <v>47</v>
      </c>
      <c r="D67" t="s">
        <v>927</v>
      </c>
      <c r="E67" t="s">
        <v>931</v>
      </c>
      <c r="F67">
        <v>45747</v>
      </c>
      <c r="G67" t="s">
        <v>938</v>
      </c>
      <c r="H67" t="s">
        <v>944</v>
      </c>
      <c r="I67" s="4">
        <v>1465</v>
      </c>
      <c r="J67" s="4">
        <v>2157</v>
      </c>
      <c r="K67" s="4">
        <v>2309</v>
      </c>
      <c r="L67">
        <v>2367</v>
      </c>
      <c r="M67" s="4">
        <f>Table1[[#This Row],[Visit Cost]]+Table1[[#This Row],[Lab Cost]]+Table1[[#This Row],[Medicine Cost]]+Table1[[#This Row],[Room Charges]]</f>
        <v>8298</v>
      </c>
      <c r="N67" s="5">
        <v>45889</v>
      </c>
      <c r="O67">
        <f>Table1[[#This Row],[Discharge Date]]-Table1[[#This Row],[Visit Date]]</f>
        <v>142</v>
      </c>
      <c r="P67" t="s">
        <v>948</v>
      </c>
      <c r="Q67" s="4">
        <v>5918</v>
      </c>
      <c r="R67" s="4">
        <f>Table1[[#This Row],[Total Revenue]]-Table1[[#This Row],[Insurance Claim Amount]]</f>
        <v>2380</v>
      </c>
      <c r="S67">
        <v>1</v>
      </c>
      <c r="T67" t="str">
        <f t="shared" ref="T67:T130" si="2">TEXT(F67,"MMM")</f>
        <v>Mar</v>
      </c>
      <c r="U67">
        <f t="shared" ref="U67:U130" si="3">YEAR(F67)</f>
        <v>2025</v>
      </c>
    </row>
    <row r="68" spans="1:21" x14ac:dyDescent="0.3">
      <c r="A68" t="s">
        <v>139</v>
      </c>
      <c r="B68" t="s">
        <v>140</v>
      </c>
      <c r="C68" t="s">
        <v>6</v>
      </c>
      <c r="D68" t="s">
        <v>80</v>
      </c>
      <c r="E68" t="s">
        <v>930</v>
      </c>
      <c r="F68">
        <v>45812</v>
      </c>
      <c r="G68" t="s">
        <v>937</v>
      </c>
      <c r="H68" t="s">
        <v>942</v>
      </c>
      <c r="I68" s="4">
        <v>1065</v>
      </c>
      <c r="J68" s="4">
        <v>2090</v>
      </c>
      <c r="K68" s="4">
        <v>500</v>
      </c>
      <c r="L68">
        <v>1420</v>
      </c>
      <c r="M68" s="4">
        <f>Table1[[#This Row],[Visit Cost]]+Table1[[#This Row],[Lab Cost]]+Table1[[#This Row],[Medicine Cost]]+Table1[[#This Row],[Room Charges]]</f>
        <v>5075</v>
      </c>
      <c r="N68" s="5">
        <v>45950</v>
      </c>
      <c r="O68">
        <f>Table1[[#This Row],[Discharge Date]]-Table1[[#This Row],[Visit Date]]</f>
        <v>138</v>
      </c>
      <c r="P68" t="s">
        <v>949</v>
      </c>
      <c r="Q68" s="4">
        <v>0</v>
      </c>
      <c r="R68" s="4">
        <f>Table1[[#This Row],[Total Revenue]]-Table1[[#This Row],[Insurance Claim Amount]]</f>
        <v>5075</v>
      </c>
      <c r="S68">
        <v>2</v>
      </c>
      <c r="T68" t="str">
        <f t="shared" si="2"/>
        <v>Jun</v>
      </c>
      <c r="U68">
        <f t="shared" si="3"/>
        <v>2025</v>
      </c>
    </row>
    <row r="69" spans="1:21" x14ac:dyDescent="0.3">
      <c r="A69" t="s">
        <v>141</v>
      </c>
      <c r="B69" t="s">
        <v>142</v>
      </c>
      <c r="C69" t="s">
        <v>47</v>
      </c>
      <c r="D69" t="s">
        <v>252</v>
      </c>
      <c r="E69" t="s">
        <v>929</v>
      </c>
      <c r="F69">
        <v>45740</v>
      </c>
      <c r="G69" t="s">
        <v>936</v>
      </c>
      <c r="H69" t="s">
        <v>941</v>
      </c>
      <c r="I69" s="4">
        <v>689</v>
      </c>
      <c r="J69" s="4">
        <v>1080</v>
      </c>
      <c r="K69" s="4">
        <v>710</v>
      </c>
      <c r="L69">
        <v>1387</v>
      </c>
      <c r="M69" s="4">
        <f>Table1[[#This Row],[Visit Cost]]+Table1[[#This Row],[Lab Cost]]+Table1[[#This Row],[Medicine Cost]]+Table1[[#This Row],[Room Charges]]</f>
        <v>3866</v>
      </c>
      <c r="N69" s="5">
        <v>45885</v>
      </c>
      <c r="O69">
        <f>Table1[[#This Row],[Discharge Date]]-Table1[[#This Row],[Visit Date]]</f>
        <v>145</v>
      </c>
      <c r="P69" t="s">
        <v>949</v>
      </c>
      <c r="Q69" s="4">
        <v>0</v>
      </c>
      <c r="R69" s="4">
        <f>Table1[[#This Row],[Total Revenue]]-Table1[[#This Row],[Insurance Claim Amount]]</f>
        <v>3866</v>
      </c>
      <c r="S69">
        <v>2</v>
      </c>
      <c r="T69" t="str">
        <f t="shared" si="2"/>
        <v>Mar</v>
      </c>
      <c r="U69">
        <f t="shared" si="3"/>
        <v>2025</v>
      </c>
    </row>
    <row r="70" spans="1:21" x14ac:dyDescent="0.3">
      <c r="A70" t="s">
        <v>143</v>
      </c>
      <c r="B70" t="s">
        <v>144</v>
      </c>
      <c r="C70" t="s">
        <v>38</v>
      </c>
      <c r="D70" t="s">
        <v>164</v>
      </c>
      <c r="E70" t="s">
        <v>932</v>
      </c>
      <c r="F70">
        <v>45720</v>
      </c>
      <c r="G70" t="s">
        <v>935</v>
      </c>
      <c r="H70" t="s">
        <v>940</v>
      </c>
      <c r="I70" s="4">
        <v>947</v>
      </c>
      <c r="J70" s="4">
        <v>3059</v>
      </c>
      <c r="K70" s="4">
        <v>1415</v>
      </c>
      <c r="L70">
        <v>1660</v>
      </c>
      <c r="M70" s="4">
        <f>Table1[[#This Row],[Visit Cost]]+Table1[[#This Row],[Lab Cost]]+Table1[[#This Row],[Medicine Cost]]+Table1[[#This Row],[Room Charges]]</f>
        <v>7081</v>
      </c>
      <c r="N70" s="5">
        <v>45786</v>
      </c>
      <c r="O70">
        <f>Table1[[#This Row],[Discharge Date]]-Table1[[#This Row],[Visit Date]]</f>
        <v>66</v>
      </c>
      <c r="P70" t="s">
        <v>948</v>
      </c>
      <c r="Q70" s="4">
        <v>7210</v>
      </c>
      <c r="R70" s="4">
        <f>Table1[[#This Row],[Total Revenue]]-Table1[[#This Row],[Insurance Claim Amount]]</f>
        <v>-129</v>
      </c>
      <c r="S70">
        <v>2</v>
      </c>
      <c r="T70" t="str">
        <f t="shared" si="2"/>
        <v>Mar</v>
      </c>
      <c r="U70">
        <f t="shared" si="3"/>
        <v>2025</v>
      </c>
    </row>
    <row r="71" spans="1:21" x14ac:dyDescent="0.3">
      <c r="A71" t="s">
        <v>145</v>
      </c>
      <c r="B71" t="s">
        <v>146</v>
      </c>
      <c r="C71" t="s">
        <v>11</v>
      </c>
      <c r="D71" t="s">
        <v>925</v>
      </c>
      <c r="E71" t="s">
        <v>933</v>
      </c>
      <c r="F71">
        <v>45689</v>
      </c>
      <c r="G71" t="s">
        <v>936</v>
      </c>
      <c r="H71" t="s">
        <v>941</v>
      </c>
      <c r="I71" s="4">
        <v>1900</v>
      </c>
      <c r="J71" s="4">
        <v>2634</v>
      </c>
      <c r="K71" s="4">
        <v>2229</v>
      </c>
      <c r="L71">
        <v>1383</v>
      </c>
      <c r="M71" s="4">
        <f>Table1[[#This Row],[Visit Cost]]+Table1[[#This Row],[Lab Cost]]+Table1[[#This Row],[Medicine Cost]]+Table1[[#This Row],[Room Charges]]</f>
        <v>8146</v>
      </c>
      <c r="N71" s="5">
        <v>45798</v>
      </c>
      <c r="O71">
        <f>Table1[[#This Row],[Discharge Date]]-Table1[[#This Row],[Visit Date]]</f>
        <v>109</v>
      </c>
      <c r="P71" t="s">
        <v>948</v>
      </c>
      <c r="Q71" s="4">
        <v>4851</v>
      </c>
      <c r="R71" s="4">
        <f>Table1[[#This Row],[Total Revenue]]-Table1[[#This Row],[Insurance Claim Amount]]</f>
        <v>3295</v>
      </c>
      <c r="S71">
        <v>3</v>
      </c>
      <c r="T71" t="str">
        <f t="shared" si="2"/>
        <v>Feb</v>
      </c>
      <c r="U71">
        <f t="shared" si="3"/>
        <v>2025</v>
      </c>
    </row>
    <row r="72" spans="1:21" x14ac:dyDescent="0.3">
      <c r="A72" t="s">
        <v>147</v>
      </c>
      <c r="B72" t="s">
        <v>148</v>
      </c>
      <c r="C72" t="s">
        <v>6</v>
      </c>
      <c r="D72" t="s">
        <v>925</v>
      </c>
      <c r="E72" t="s">
        <v>933</v>
      </c>
      <c r="F72">
        <v>45781</v>
      </c>
      <c r="G72" t="s">
        <v>938</v>
      </c>
      <c r="H72" t="s">
        <v>941</v>
      </c>
      <c r="I72" s="4">
        <v>800</v>
      </c>
      <c r="J72" s="4">
        <v>2411</v>
      </c>
      <c r="K72" s="4">
        <v>1585</v>
      </c>
      <c r="L72">
        <v>1225</v>
      </c>
      <c r="M72" s="4">
        <f>Table1[[#This Row],[Visit Cost]]+Table1[[#This Row],[Lab Cost]]+Table1[[#This Row],[Medicine Cost]]+Table1[[#This Row],[Room Charges]]</f>
        <v>6021</v>
      </c>
      <c r="N72" s="5">
        <v>45889</v>
      </c>
      <c r="O72">
        <f>Table1[[#This Row],[Discharge Date]]-Table1[[#This Row],[Visit Date]]</f>
        <v>108</v>
      </c>
      <c r="P72" t="s">
        <v>949</v>
      </c>
      <c r="Q72" s="4">
        <v>0</v>
      </c>
      <c r="R72" s="4">
        <f>Table1[[#This Row],[Total Revenue]]-Table1[[#This Row],[Insurance Claim Amount]]</f>
        <v>6021</v>
      </c>
      <c r="S72">
        <v>3</v>
      </c>
      <c r="T72" t="str">
        <f t="shared" si="2"/>
        <v>May</v>
      </c>
      <c r="U72">
        <f t="shared" si="3"/>
        <v>2025</v>
      </c>
    </row>
    <row r="73" spans="1:21" x14ac:dyDescent="0.3">
      <c r="A73" t="s">
        <v>149</v>
      </c>
      <c r="B73" t="s">
        <v>150</v>
      </c>
      <c r="C73" t="s">
        <v>38</v>
      </c>
      <c r="D73" t="s">
        <v>927</v>
      </c>
      <c r="E73" t="s">
        <v>931</v>
      </c>
      <c r="F73">
        <v>45998</v>
      </c>
      <c r="G73" t="s">
        <v>937</v>
      </c>
      <c r="H73" t="s">
        <v>941</v>
      </c>
      <c r="I73" s="4">
        <v>857</v>
      </c>
      <c r="J73" s="4">
        <v>4671</v>
      </c>
      <c r="K73" s="4">
        <v>2353</v>
      </c>
      <c r="L73">
        <v>1699</v>
      </c>
      <c r="M73" s="4">
        <f>Table1[[#This Row],[Visit Cost]]+Table1[[#This Row],[Lab Cost]]+Table1[[#This Row],[Medicine Cost]]+Table1[[#This Row],[Room Charges]]</f>
        <v>9580</v>
      </c>
      <c r="N73" s="5">
        <v>46112</v>
      </c>
      <c r="O73">
        <f>Table1[[#This Row],[Discharge Date]]-Table1[[#This Row],[Visit Date]]</f>
        <v>114</v>
      </c>
      <c r="P73" t="s">
        <v>949</v>
      </c>
      <c r="Q73" s="4">
        <v>0</v>
      </c>
      <c r="R73" s="4">
        <f>Table1[[#This Row],[Total Revenue]]-Table1[[#This Row],[Insurance Claim Amount]]</f>
        <v>9580</v>
      </c>
      <c r="S73">
        <v>5</v>
      </c>
      <c r="T73" t="str">
        <f t="shared" si="2"/>
        <v>Dec</v>
      </c>
      <c r="U73">
        <f t="shared" si="3"/>
        <v>2025</v>
      </c>
    </row>
    <row r="74" spans="1:21" x14ac:dyDescent="0.3">
      <c r="A74" t="s">
        <v>151</v>
      </c>
      <c r="B74" t="s">
        <v>152</v>
      </c>
      <c r="C74" t="s">
        <v>38</v>
      </c>
      <c r="D74" t="s">
        <v>927</v>
      </c>
      <c r="E74" t="s">
        <v>930</v>
      </c>
      <c r="F74">
        <v>45686</v>
      </c>
      <c r="G74" t="s">
        <v>935</v>
      </c>
      <c r="H74" t="s">
        <v>944</v>
      </c>
      <c r="I74" s="4">
        <v>870</v>
      </c>
      <c r="J74" s="4">
        <v>1900</v>
      </c>
      <c r="K74" s="4">
        <v>1009</v>
      </c>
      <c r="L74" s="4">
        <v>5794</v>
      </c>
      <c r="M74" s="4">
        <f>Table1[[#This Row],[Visit Cost]]+Table1[[#This Row],[Lab Cost]]+Table1[[#This Row],[Medicine Cost]]+Table1[[#This Row],[Room Charges]]</f>
        <v>9573</v>
      </c>
      <c r="N74" s="5">
        <v>45772</v>
      </c>
      <c r="O74">
        <f>Table1[[#This Row],[Discharge Date]]-Table1[[#This Row],[Visit Date]]</f>
        <v>86</v>
      </c>
      <c r="P74" t="s">
        <v>948</v>
      </c>
      <c r="Q74" s="4">
        <v>5344</v>
      </c>
      <c r="R74" s="4">
        <f>Table1[[#This Row],[Total Revenue]]-Table1[[#This Row],[Insurance Claim Amount]]</f>
        <v>4229</v>
      </c>
      <c r="S74">
        <v>3</v>
      </c>
      <c r="T74" t="str">
        <f t="shared" si="2"/>
        <v>Jan</v>
      </c>
      <c r="U74">
        <f t="shared" si="3"/>
        <v>2025</v>
      </c>
    </row>
    <row r="75" spans="1:21" x14ac:dyDescent="0.3">
      <c r="A75" t="s">
        <v>153</v>
      </c>
      <c r="B75" t="s">
        <v>154</v>
      </c>
      <c r="C75" t="s">
        <v>47</v>
      </c>
      <c r="D75" t="s">
        <v>926</v>
      </c>
      <c r="E75" t="s">
        <v>932</v>
      </c>
      <c r="F75">
        <v>46008</v>
      </c>
      <c r="G75" t="s">
        <v>936</v>
      </c>
      <c r="H75" t="s">
        <v>941</v>
      </c>
      <c r="I75" s="4">
        <v>1358</v>
      </c>
      <c r="J75" s="4">
        <v>1223</v>
      </c>
      <c r="K75" s="4">
        <v>2188</v>
      </c>
      <c r="L75" s="4">
        <v>8148</v>
      </c>
      <c r="M75" s="4">
        <f>Table1[[#This Row],[Visit Cost]]+Table1[[#This Row],[Lab Cost]]+Table1[[#This Row],[Medicine Cost]]+Table1[[#This Row],[Room Charges]]</f>
        <v>12917</v>
      </c>
      <c r="N75" s="5">
        <v>46068</v>
      </c>
      <c r="O75">
        <f>Table1[[#This Row],[Discharge Date]]-Table1[[#This Row],[Visit Date]]</f>
        <v>60</v>
      </c>
      <c r="P75" t="s">
        <v>949</v>
      </c>
      <c r="Q75" s="4">
        <v>0</v>
      </c>
      <c r="R75" s="4">
        <f>Table1[[#This Row],[Total Revenue]]-Table1[[#This Row],[Insurance Claim Amount]]</f>
        <v>12917</v>
      </c>
      <c r="S75">
        <v>1</v>
      </c>
      <c r="T75" t="str">
        <f t="shared" si="2"/>
        <v>Dec</v>
      </c>
      <c r="U75">
        <f t="shared" si="3"/>
        <v>2025</v>
      </c>
    </row>
    <row r="76" spans="1:21" x14ac:dyDescent="0.3">
      <c r="A76" t="s">
        <v>155</v>
      </c>
      <c r="B76" t="s">
        <v>156</v>
      </c>
      <c r="C76" t="s">
        <v>11</v>
      </c>
      <c r="D76" t="s">
        <v>164</v>
      </c>
      <c r="E76" t="s">
        <v>929</v>
      </c>
      <c r="F76">
        <v>45867</v>
      </c>
      <c r="G76" t="s">
        <v>938</v>
      </c>
      <c r="H76" t="s">
        <v>942</v>
      </c>
      <c r="I76" s="4">
        <v>2223</v>
      </c>
      <c r="J76" s="4">
        <v>0</v>
      </c>
      <c r="K76" s="4">
        <v>1511</v>
      </c>
      <c r="L76" s="4">
        <v>3384</v>
      </c>
      <c r="M76" s="4">
        <f>Table1[[#This Row],[Visit Cost]]+Table1[[#This Row],[Lab Cost]]+Table1[[#This Row],[Medicine Cost]]+Table1[[#This Row],[Room Charges]]</f>
        <v>7118</v>
      </c>
      <c r="N76" s="5">
        <v>46005</v>
      </c>
      <c r="O76">
        <f>Table1[[#This Row],[Discharge Date]]-Table1[[#This Row],[Visit Date]]</f>
        <v>138</v>
      </c>
      <c r="P76" t="s">
        <v>949</v>
      </c>
      <c r="Q76" s="4">
        <v>0</v>
      </c>
      <c r="R76" s="4">
        <f>Table1[[#This Row],[Total Revenue]]-Table1[[#This Row],[Insurance Claim Amount]]</f>
        <v>7118</v>
      </c>
      <c r="S76">
        <v>4</v>
      </c>
      <c r="T76" t="str">
        <f t="shared" si="2"/>
        <v>Jul</v>
      </c>
      <c r="U76">
        <f t="shared" si="3"/>
        <v>2025</v>
      </c>
    </row>
    <row r="77" spans="1:21" x14ac:dyDescent="0.3">
      <c r="A77" t="s">
        <v>157</v>
      </c>
      <c r="B77" t="s">
        <v>158</v>
      </c>
      <c r="C77" t="s">
        <v>6</v>
      </c>
      <c r="D77" t="s">
        <v>252</v>
      </c>
      <c r="E77" t="s">
        <v>929</v>
      </c>
      <c r="F77">
        <v>45996</v>
      </c>
      <c r="G77" t="s">
        <v>937</v>
      </c>
      <c r="H77" t="s">
        <v>944</v>
      </c>
      <c r="I77" s="4">
        <v>800</v>
      </c>
      <c r="J77" s="4">
        <v>500</v>
      </c>
      <c r="K77" s="4">
        <v>1000</v>
      </c>
      <c r="L77" s="4">
        <v>3800</v>
      </c>
      <c r="M77" s="4">
        <f>Table1[[#This Row],[Visit Cost]]+Table1[[#This Row],[Lab Cost]]+Table1[[#This Row],[Medicine Cost]]+Table1[[#This Row],[Room Charges]]</f>
        <v>6100</v>
      </c>
      <c r="N77" s="5">
        <v>46032</v>
      </c>
      <c r="O77">
        <f>Table1[[#This Row],[Discharge Date]]-Table1[[#This Row],[Visit Date]]</f>
        <v>36</v>
      </c>
      <c r="P77" t="s">
        <v>948</v>
      </c>
      <c r="Q77" s="4">
        <v>1010</v>
      </c>
      <c r="R77" s="4">
        <f>Table1[[#This Row],[Total Revenue]]-Table1[[#This Row],[Insurance Claim Amount]]</f>
        <v>5090</v>
      </c>
      <c r="S77">
        <v>1</v>
      </c>
      <c r="T77" t="str">
        <f t="shared" si="2"/>
        <v>Dec</v>
      </c>
      <c r="U77">
        <f t="shared" si="3"/>
        <v>2025</v>
      </c>
    </row>
    <row r="78" spans="1:21" x14ac:dyDescent="0.3">
      <c r="A78" t="s">
        <v>159</v>
      </c>
      <c r="B78" t="s">
        <v>160</v>
      </c>
      <c r="C78" t="s">
        <v>47</v>
      </c>
      <c r="D78" t="s">
        <v>252</v>
      </c>
      <c r="E78" t="s">
        <v>933</v>
      </c>
      <c r="F78">
        <v>46005</v>
      </c>
      <c r="G78" t="s">
        <v>936</v>
      </c>
      <c r="H78" t="s">
        <v>943</v>
      </c>
      <c r="I78" s="4">
        <v>679</v>
      </c>
      <c r="J78" s="4">
        <v>4134</v>
      </c>
      <c r="K78" s="4">
        <v>522</v>
      </c>
      <c r="L78" s="4">
        <v>5500</v>
      </c>
      <c r="M78" s="4">
        <f>Table1[[#This Row],[Visit Cost]]+Table1[[#This Row],[Lab Cost]]+Table1[[#This Row],[Medicine Cost]]+Table1[[#This Row],[Room Charges]]</f>
        <v>10835</v>
      </c>
      <c r="N78" s="5">
        <v>46112</v>
      </c>
      <c r="O78">
        <f>Table1[[#This Row],[Discharge Date]]-Table1[[#This Row],[Visit Date]]</f>
        <v>107</v>
      </c>
      <c r="P78" t="s">
        <v>948</v>
      </c>
      <c r="Q78" s="4">
        <v>10772</v>
      </c>
      <c r="R78" s="4">
        <f>Table1[[#This Row],[Total Revenue]]-Table1[[#This Row],[Insurance Claim Amount]]</f>
        <v>63</v>
      </c>
      <c r="S78">
        <v>5</v>
      </c>
      <c r="T78" t="str">
        <f t="shared" si="2"/>
        <v>Dec</v>
      </c>
      <c r="U78">
        <f t="shared" si="3"/>
        <v>2025</v>
      </c>
    </row>
    <row r="79" spans="1:21" x14ac:dyDescent="0.3">
      <c r="A79" t="s">
        <v>161</v>
      </c>
      <c r="B79" t="s">
        <v>84</v>
      </c>
      <c r="C79" t="s">
        <v>29</v>
      </c>
      <c r="D79" t="s">
        <v>926</v>
      </c>
      <c r="E79" t="s">
        <v>932</v>
      </c>
      <c r="F79">
        <v>45716</v>
      </c>
      <c r="G79" t="s">
        <v>935</v>
      </c>
      <c r="H79" t="s">
        <v>943</v>
      </c>
      <c r="I79" s="4">
        <v>900</v>
      </c>
      <c r="J79" s="4">
        <v>3191</v>
      </c>
      <c r="K79" s="4">
        <v>1323</v>
      </c>
      <c r="L79" s="4">
        <v>5952</v>
      </c>
      <c r="M79" s="4">
        <f>Table1[[#This Row],[Visit Cost]]+Table1[[#This Row],[Lab Cost]]+Table1[[#This Row],[Medicine Cost]]+Table1[[#This Row],[Room Charges]]</f>
        <v>11366</v>
      </c>
      <c r="N79" s="5">
        <v>45823</v>
      </c>
      <c r="O79">
        <f>Table1[[#This Row],[Discharge Date]]-Table1[[#This Row],[Visit Date]]</f>
        <v>107</v>
      </c>
      <c r="P79" t="s">
        <v>949</v>
      </c>
      <c r="Q79" s="4">
        <v>0</v>
      </c>
      <c r="R79" s="4">
        <f>Table1[[#This Row],[Total Revenue]]-Table1[[#This Row],[Insurance Claim Amount]]</f>
        <v>11366</v>
      </c>
      <c r="S79">
        <v>4</v>
      </c>
      <c r="T79" t="str">
        <f t="shared" si="2"/>
        <v>Feb</v>
      </c>
      <c r="U79">
        <f t="shared" si="3"/>
        <v>2025</v>
      </c>
    </row>
    <row r="80" spans="1:21" x14ac:dyDescent="0.3">
      <c r="A80" t="s">
        <v>162</v>
      </c>
      <c r="B80" t="s">
        <v>163</v>
      </c>
      <c r="C80" t="s">
        <v>11</v>
      </c>
      <c r="D80" t="s">
        <v>164</v>
      </c>
      <c r="E80" t="s">
        <v>930</v>
      </c>
      <c r="F80">
        <v>45832</v>
      </c>
      <c r="G80" t="s">
        <v>936</v>
      </c>
      <c r="H80" t="s">
        <v>941</v>
      </c>
      <c r="I80" s="4">
        <v>2111</v>
      </c>
      <c r="J80" s="4">
        <v>600</v>
      </c>
      <c r="K80" s="4">
        <v>242</v>
      </c>
      <c r="L80">
        <v>1067</v>
      </c>
      <c r="M80" s="4">
        <f>Table1[[#This Row],[Visit Cost]]+Table1[[#This Row],[Lab Cost]]+Table1[[#This Row],[Medicine Cost]]+Table1[[#This Row],[Room Charges]]</f>
        <v>4020</v>
      </c>
      <c r="N80" s="5">
        <v>45843</v>
      </c>
      <c r="O80">
        <f>Table1[[#This Row],[Discharge Date]]-Table1[[#This Row],[Visit Date]]</f>
        <v>11</v>
      </c>
      <c r="P80" t="s">
        <v>949</v>
      </c>
      <c r="Q80" s="4">
        <v>0</v>
      </c>
      <c r="R80" s="4">
        <f>Table1[[#This Row],[Total Revenue]]-Table1[[#This Row],[Insurance Claim Amount]]</f>
        <v>4020</v>
      </c>
      <c r="S80">
        <v>1</v>
      </c>
      <c r="T80" t="str">
        <f t="shared" si="2"/>
        <v>Jun</v>
      </c>
      <c r="U80">
        <f t="shared" si="3"/>
        <v>2025</v>
      </c>
    </row>
    <row r="81" spans="1:21" x14ac:dyDescent="0.3">
      <c r="A81" t="s">
        <v>165</v>
      </c>
      <c r="B81" t="s">
        <v>166</v>
      </c>
      <c r="C81" t="s">
        <v>38</v>
      </c>
      <c r="D81" t="s">
        <v>164</v>
      </c>
      <c r="E81" t="s">
        <v>931</v>
      </c>
      <c r="F81">
        <v>45812</v>
      </c>
      <c r="G81" t="s">
        <v>938</v>
      </c>
      <c r="H81" t="s">
        <v>943</v>
      </c>
      <c r="I81" s="4">
        <v>2249</v>
      </c>
      <c r="J81" s="4">
        <v>1000</v>
      </c>
      <c r="K81" s="4">
        <v>2803</v>
      </c>
      <c r="L81">
        <v>2017</v>
      </c>
      <c r="M81" s="4">
        <f>Table1[[#This Row],[Visit Cost]]+Table1[[#This Row],[Lab Cost]]+Table1[[#This Row],[Medicine Cost]]+Table1[[#This Row],[Room Charges]]</f>
        <v>8069</v>
      </c>
      <c r="N81" s="5">
        <v>45819</v>
      </c>
      <c r="O81">
        <f>Table1[[#This Row],[Discharge Date]]-Table1[[#This Row],[Visit Date]]</f>
        <v>7</v>
      </c>
      <c r="P81" t="s">
        <v>949</v>
      </c>
      <c r="Q81" s="4">
        <v>0</v>
      </c>
      <c r="R81" s="4">
        <f>Table1[[#This Row],[Total Revenue]]-Table1[[#This Row],[Insurance Claim Amount]]</f>
        <v>8069</v>
      </c>
      <c r="S81">
        <v>1</v>
      </c>
      <c r="T81" t="str">
        <f t="shared" si="2"/>
        <v>Jun</v>
      </c>
      <c r="U81">
        <f t="shared" si="3"/>
        <v>2025</v>
      </c>
    </row>
    <row r="82" spans="1:21" x14ac:dyDescent="0.3">
      <c r="A82" t="s">
        <v>167</v>
      </c>
      <c r="B82" t="s">
        <v>168</v>
      </c>
      <c r="C82" t="s">
        <v>6</v>
      </c>
      <c r="D82" t="s">
        <v>80</v>
      </c>
      <c r="E82" t="s">
        <v>932</v>
      </c>
      <c r="F82">
        <v>45823</v>
      </c>
      <c r="G82" t="s">
        <v>937</v>
      </c>
      <c r="H82" t="s">
        <v>944</v>
      </c>
      <c r="I82" s="4">
        <v>1685</v>
      </c>
      <c r="J82" s="4">
        <v>4560</v>
      </c>
      <c r="K82" s="4">
        <v>828</v>
      </c>
      <c r="L82">
        <v>2081</v>
      </c>
      <c r="M82" s="4">
        <f>Table1[[#This Row],[Visit Cost]]+Table1[[#This Row],[Lab Cost]]+Table1[[#This Row],[Medicine Cost]]+Table1[[#This Row],[Room Charges]]</f>
        <v>9154</v>
      </c>
      <c r="N82" s="5">
        <v>45946</v>
      </c>
      <c r="O82">
        <f>Table1[[#This Row],[Discharge Date]]-Table1[[#This Row],[Visit Date]]</f>
        <v>123</v>
      </c>
      <c r="P82" t="s">
        <v>948</v>
      </c>
      <c r="Q82" s="4">
        <v>10269</v>
      </c>
      <c r="R82" s="4">
        <f>Table1[[#This Row],[Total Revenue]]-Table1[[#This Row],[Insurance Claim Amount]]</f>
        <v>-1115</v>
      </c>
      <c r="S82">
        <v>1</v>
      </c>
      <c r="T82" t="str">
        <f t="shared" si="2"/>
        <v>Jun</v>
      </c>
      <c r="U82">
        <f t="shared" si="3"/>
        <v>2025</v>
      </c>
    </row>
    <row r="83" spans="1:21" x14ac:dyDescent="0.3">
      <c r="A83" t="s">
        <v>169</v>
      </c>
      <c r="B83" t="s">
        <v>170</v>
      </c>
      <c r="C83" t="s">
        <v>38</v>
      </c>
      <c r="D83" t="s">
        <v>926</v>
      </c>
      <c r="E83" t="s">
        <v>930</v>
      </c>
      <c r="F83">
        <v>45769</v>
      </c>
      <c r="G83" t="s">
        <v>936</v>
      </c>
      <c r="H83" t="s">
        <v>943</v>
      </c>
      <c r="I83" s="4">
        <v>1231</v>
      </c>
      <c r="J83" s="4">
        <v>4034</v>
      </c>
      <c r="K83" s="4">
        <v>726</v>
      </c>
      <c r="L83">
        <v>866</v>
      </c>
      <c r="M83" s="4">
        <f>Table1[[#This Row],[Visit Cost]]+Table1[[#This Row],[Lab Cost]]+Table1[[#This Row],[Medicine Cost]]+Table1[[#This Row],[Room Charges]]</f>
        <v>6857</v>
      </c>
      <c r="N83" s="5">
        <v>45840</v>
      </c>
      <c r="O83">
        <f>Table1[[#This Row],[Discharge Date]]-Table1[[#This Row],[Visit Date]]</f>
        <v>71</v>
      </c>
      <c r="P83" t="s">
        <v>948</v>
      </c>
      <c r="Q83" s="4">
        <v>9967</v>
      </c>
      <c r="R83" s="4">
        <f>Table1[[#This Row],[Total Revenue]]-Table1[[#This Row],[Insurance Claim Amount]]</f>
        <v>-3110</v>
      </c>
      <c r="S83">
        <v>2</v>
      </c>
      <c r="T83" t="str">
        <f t="shared" si="2"/>
        <v>Apr</v>
      </c>
      <c r="U83">
        <f t="shared" si="3"/>
        <v>2025</v>
      </c>
    </row>
    <row r="84" spans="1:21" x14ac:dyDescent="0.3">
      <c r="A84" t="s">
        <v>171</v>
      </c>
      <c r="B84" t="s">
        <v>172</v>
      </c>
      <c r="C84" t="s">
        <v>38</v>
      </c>
      <c r="D84" t="s">
        <v>926</v>
      </c>
      <c r="E84" t="s">
        <v>931</v>
      </c>
      <c r="F84">
        <v>45827</v>
      </c>
      <c r="G84" t="s">
        <v>935</v>
      </c>
      <c r="H84" t="s">
        <v>940</v>
      </c>
      <c r="I84" s="4">
        <v>2069</v>
      </c>
      <c r="J84" s="4">
        <v>1498</v>
      </c>
      <c r="K84" s="4">
        <v>1571</v>
      </c>
      <c r="L84">
        <v>1423</v>
      </c>
      <c r="M84" s="4">
        <f>Table1[[#This Row],[Visit Cost]]+Table1[[#This Row],[Lab Cost]]+Table1[[#This Row],[Medicine Cost]]+Table1[[#This Row],[Room Charges]]</f>
        <v>6561</v>
      </c>
      <c r="N84" s="5">
        <v>45834</v>
      </c>
      <c r="O84">
        <f>Table1[[#This Row],[Discharge Date]]-Table1[[#This Row],[Visit Date]]</f>
        <v>7</v>
      </c>
      <c r="P84" t="s">
        <v>948</v>
      </c>
      <c r="Q84" s="4">
        <v>4491</v>
      </c>
      <c r="R84" s="4">
        <f>Table1[[#This Row],[Total Revenue]]-Table1[[#This Row],[Insurance Claim Amount]]</f>
        <v>2070</v>
      </c>
      <c r="S84">
        <v>5</v>
      </c>
      <c r="T84" t="str">
        <f t="shared" si="2"/>
        <v>Jun</v>
      </c>
      <c r="U84">
        <f t="shared" si="3"/>
        <v>2025</v>
      </c>
    </row>
    <row r="85" spans="1:21" x14ac:dyDescent="0.3">
      <c r="A85" t="s">
        <v>173</v>
      </c>
      <c r="B85" t="s">
        <v>174</v>
      </c>
      <c r="C85" t="s">
        <v>16</v>
      </c>
      <c r="D85" t="s">
        <v>925</v>
      </c>
      <c r="E85" t="s">
        <v>933</v>
      </c>
      <c r="F85">
        <v>45812</v>
      </c>
      <c r="G85" t="s">
        <v>938</v>
      </c>
      <c r="H85" t="s">
        <v>944</v>
      </c>
      <c r="I85" s="4">
        <v>1077</v>
      </c>
      <c r="J85" s="4">
        <v>1002</v>
      </c>
      <c r="K85" s="4">
        <v>548</v>
      </c>
      <c r="L85">
        <v>2412</v>
      </c>
      <c r="M85" s="4">
        <f>Table1[[#This Row],[Visit Cost]]+Table1[[#This Row],[Lab Cost]]+Table1[[#This Row],[Medicine Cost]]+Table1[[#This Row],[Room Charges]]</f>
        <v>5039</v>
      </c>
      <c r="N85" s="5">
        <v>45889</v>
      </c>
      <c r="O85">
        <f>Table1[[#This Row],[Discharge Date]]-Table1[[#This Row],[Visit Date]]</f>
        <v>77</v>
      </c>
      <c r="P85" t="s">
        <v>948</v>
      </c>
      <c r="Q85" s="4">
        <v>2463</v>
      </c>
      <c r="R85" s="4">
        <f>Table1[[#This Row],[Total Revenue]]-Table1[[#This Row],[Insurance Claim Amount]]</f>
        <v>2576</v>
      </c>
      <c r="S85">
        <v>4</v>
      </c>
      <c r="T85" t="str">
        <f t="shared" si="2"/>
        <v>Jun</v>
      </c>
      <c r="U85">
        <f t="shared" si="3"/>
        <v>2025</v>
      </c>
    </row>
    <row r="86" spans="1:21" x14ac:dyDescent="0.3">
      <c r="A86" t="s">
        <v>175</v>
      </c>
      <c r="B86" t="s">
        <v>176</v>
      </c>
      <c r="C86" t="s">
        <v>16</v>
      </c>
      <c r="D86" t="s">
        <v>926</v>
      </c>
      <c r="E86" t="s">
        <v>929</v>
      </c>
      <c r="F86">
        <v>45879</v>
      </c>
      <c r="G86" t="s">
        <v>936</v>
      </c>
      <c r="H86" t="s">
        <v>941</v>
      </c>
      <c r="I86" s="4">
        <v>2000</v>
      </c>
      <c r="J86" s="4">
        <v>4777</v>
      </c>
      <c r="K86" s="4">
        <v>561</v>
      </c>
      <c r="L86">
        <v>2426</v>
      </c>
      <c r="M86" s="4">
        <f>Table1[[#This Row],[Visit Cost]]+Table1[[#This Row],[Lab Cost]]+Table1[[#This Row],[Medicine Cost]]+Table1[[#This Row],[Room Charges]]</f>
        <v>9764</v>
      </c>
      <c r="N86" s="5">
        <v>45997</v>
      </c>
      <c r="O86">
        <f>Table1[[#This Row],[Discharge Date]]-Table1[[#This Row],[Visit Date]]</f>
        <v>118</v>
      </c>
      <c r="P86" t="s">
        <v>948</v>
      </c>
      <c r="Q86" s="4">
        <v>5982</v>
      </c>
      <c r="R86" s="4">
        <f>Table1[[#This Row],[Total Revenue]]-Table1[[#This Row],[Insurance Claim Amount]]</f>
        <v>3782</v>
      </c>
      <c r="S86">
        <v>3</v>
      </c>
      <c r="T86" t="str">
        <f t="shared" si="2"/>
        <v>Aug</v>
      </c>
      <c r="U86">
        <f t="shared" si="3"/>
        <v>2025</v>
      </c>
    </row>
    <row r="87" spans="1:21" x14ac:dyDescent="0.3">
      <c r="A87" t="s">
        <v>177</v>
      </c>
      <c r="B87" t="s">
        <v>178</v>
      </c>
      <c r="C87" t="s">
        <v>47</v>
      </c>
      <c r="D87" t="s">
        <v>80</v>
      </c>
      <c r="E87" t="s">
        <v>931</v>
      </c>
      <c r="F87">
        <v>45743</v>
      </c>
      <c r="G87" t="s">
        <v>937</v>
      </c>
      <c r="H87" t="s">
        <v>945</v>
      </c>
      <c r="I87" s="4">
        <v>2207</v>
      </c>
      <c r="J87" s="4">
        <v>4772</v>
      </c>
      <c r="K87" s="4">
        <v>2465</v>
      </c>
      <c r="L87">
        <v>2445</v>
      </c>
      <c r="M87" s="4">
        <f>Table1[[#This Row],[Visit Cost]]+Table1[[#This Row],[Lab Cost]]+Table1[[#This Row],[Medicine Cost]]+Table1[[#This Row],[Room Charges]]</f>
        <v>11889</v>
      </c>
      <c r="N87" s="5">
        <v>45883</v>
      </c>
      <c r="O87">
        <f>Table1[[#This Row],[Discharge Date]]-Table1[[#This Row],[Visit Date]]</f>
        <v>140</v>
      </c>
      <c r="P87" t="s">
        <v>949</v>
      </c>
      <c r="Q87" s="4">
        <v>0</v>
      </c>
      <c r="R87" s="4">
        <f>Table1[[#This Row],[Total Revenue]]-Table1[[#This Row],[Insurance Claim Amount]]</f>
        <v>11889</v>
      </c>
      <c r="S87">
        <v>2</v>
      </c>
      <c r="T87" t="str">
        <f t="shared" si="2"/>
        <v>Mar</v>
      </c>
      <c r="U87">
        <f t="shared" si="3"/>
        <v>2025</v>
      </c>
    </row>
    <row r="88" spans="1:21" x14ac:dyDescent="0.3">
      <c r="A88" t="s">
        <v>179</v>
      </c>
      <c r="B88" t="s">
        <v>180</v>
      </c>
      <c r="C88" t="s">
        <v>11</v>
      </c>
      <c r="D88" t="s">
        <v>85</v>
      </c>
      <c r="E88" t="s">
        <v>929</v>
      </c>
      <c r="F88">
        <v>45830</v>
      </c>
      <c r="G88" t="s">
        <v>935</v>
      </c>
      <c r="H88" t="s">
        <v>944</v>
      </c>
      <c r="I88" s="4">
        <v>685</v>
      </c>
      <c r="J88" s="4">
        <v>1500</v>
      </c>
      <c r="K88" s="4">
        <v>2872</v>
      </c>
      <c r="L88">
        <v>1486</v>
      </c>
      <c r="M88" s="4">
        <f>Table1[[#This Row],[Visit Cost]]+Table1[[#This Row],[Lab Cost]]+Table1[[#This Row],[Medicine Cost]]+Table1[[#This Row],[Room Charges]]</f>
        <v>6543</v>
      </c>
      <c r="N88" s="5">
        <v>45837</v>
      </c>
      <c r="O88">
        <f>Table1[[#This Row],[Discharge Date]]-Table1[[#This Row],[Visit Date]]</f>
        <v>7</v>
      </c>
      <c r="P88" t="s">
        <v>948</v>
      </c>
      <c r="Q88" s="4">
        <v>1493</v>
      </c>
      <c r="R88" s="4">
        <f>Table1[[#This Row],[Total Revenue]]-Table1[[#This Row],[Insurance Claim Amount]]</f>
        <v>5050</v>
      </c>
      <c r="S88">
        <v>1</v>
      </c>
      <c r="T88" t="str">
        <f t="shared" si="2"/>
        <v>Jun</v>
      </c>
      <c r="U88">
        <f t="shared" si="3"/>
        <v>2025</v>
      </c>
    </row>
    <row r="89" spans="1:21" x14ac:dyDescent="0.3">
      <c r="A89" t="s">
        <v>181</v>
      </c>
      <c r="B89" t="s">
        <v>182</v>
      </c>
      <c r="C89" t="s">
        <v>16</v>
      </c>
      <c r="D89" t="s">
        <v>924</v>
      </c>
      <c r="E89" t="s">
        <v>933</v>
      </c>
      <c r="F89">
        <v>45858</v>
      </c>
      <c r="G89" t="s">
        <v>936</v>
      </c>
      <c r="H89" t="s">
        <v>942</v>
      </c>
      <c r="I89" s="4">
        <v>906</v>
      </c>
      <c r="J89" s="4">
        <v>3733</v>
      </c>
      <c r="K89" s="4">
        <v>2045</v>
      </c>
      <c r="L89">
        <v>943</v>
      </c>
      <c r="M89" s="4">
        <f>Table1[[#This Row],[Visit Cost]]+Table1[[#This Row],[Lab Cost]]+Table1[[#This Row],[Medicine Cost]]+Table1[[#This Row],[Room Charges]]</f>
        <v>7627</v>
      </c>
      <c r="N89" s="5">
        <v>45918</v>
      </c>
      <c r="O89">
        <f>Table1[[#This Row],[Discharge Date]]-Table1[[#This Row],[Visit Date]]</f>
        <v>60</v>
      </c>
      <c r="P89" t="s">
        <v>948</v>
      </c>
      <c r="Q89" s="4">
        <v>2881</v>
      </c>
      <c r="R89" s="4">
        <f>Table1[[#This Row],[Total Revenue]]-Table1[[#This Row],[Insurance Claim Amount]]</f>
        <v>4746</v>
      </c>
      <c r="S89">
        <v>3</v>
      </c>
      <c r="T89" t="str">
        <f t="shared" si="2"/>
        <v>Jul</v>
      </c>
      <c r="U89">
        <f t="shared" si="3"/>
        <v>2025</v>
      </c>
    </row>
    <row r="90" spans="1:21" x14ac:dyDescent="0.3">
      <c r="A90" t="s">
        <v>183</v>
      </c>
      <c r="B90" t="s">
        <v>184</v>
      </c>
      <c r="C90" t="s">
        <v>11</v>
      </c>
      <c r="D90" t="s">
        <v>164</v>
      </c>
      <c r="E90" t="s">
        <v>932</v>
      </c>
      <c r="F90">
        <v>45762</v>
      </c>
      <c r="G90" t="s">
        <v>938</v>
      </c>
      <c r="H90" t="s">
        <v>942</v>
      </c>
      <c r="I90" s="4">
        <v>1550</v>
      </c>
      <c r="J90" s="4">
        <v>3518</v>
      </c>
      <c r="K90" s="4">
        <v>2077</v>
      </c>
      <c r="L90">
        <v>2308</v>
      </c>
      <c r="M90" s="4">
        <f>Table1[[#This Row],[Visit Cost]]+Table1[[#This Row],[Lab Cost]]+Table1[[#This Row],[Medicine Cost]]+Table1[[#This Row],[Room Charges]]</f>
        <v>9453</v>
      </c>
      <c r="N90" s="5">
        <v>45895</v>
      </c>
      <c r="O90">
        <f>Table1[[#This Row],[Discharge Date]]-Table1[[#This Row],[Visit Date]]</f>
        <v>133</v>
      </c>
      <c r="P90" t="s">
        <v>948</v>
      </c>
      <c r="Q90" s="4">
        <v>5045</v>
      </c>
      <c r="R90" s="4">
        <f>Table1[[#This Row],[Total Revenue]]-Table1[[#This Row],[Insurance Claim Amount]]</f>
        <v>4408</v>
      </c>
      <c r="S90">
        <v>1</v>
      </c>
      <c r="T90" t="str">
        <f t="shared" si="2"/>
        <v>Apr</v>
      </c>
      <c r="U90">
        <f t="shared" si="3"/>
        <v>2025</v>
      </c>
    </row>
    <row r="91" spans="1:21" x14ac:dyDescent="0.3">
      <c r="A91" t="s">
        <v>185</v>
      </c>
      <c r="B91" t="s">
        <v>186</v>
      </c>
      <c r="C91" t="s">
        <v>6</v>
      </c>
      <c r="D91" t="s">
        <v>85</v>
      </c>
      <c r="E91" t="s">
        <v>930</v>
      </c>
      <c r="F91">
        <v>45919</v>
      </c>
      <c r="G91" t="s">
        <v>937</v>
      </c>
      <c r="H91" t="s">
        <v>945</v>
      </c>
      <c r="I91" s="4">
        <v>2336</v>
      </c>
      <c r="J91" s="4">
        <v>4818</v>
      </c>
      <c r="K91" s="4">
        <v>2914</v>
      </c>
      <c r="L91">
        <v>1056</v>
      </c>
      <c r="M91" s="4">
        <f>Table1[[#This Row],[Visit Cost]]+Table1[[#This Row],[Lab Cost]]+Table1[[#This Row],[Medicine Cost]]+Table1[[#This Row],[Room Charges]]</f>
        <v>11124</v>
      </c>
      <c r="N91" s="5">
        <v>45972</v>
      </c>
      <c r="O91">
        <f>Table1[[#This Row],[Discharge Date]]-Table1[[#This Row],[Visit Date]]</f>
        <v>53</v>
      </c>
      <c r="P91" t="s">
        <v>949</v>
      </c>
      <c r="Q91" s="4">
        <v>0</v>
      </c>
      <c r="R91" s="4">
        <f>Table1[[#This Row],[Total Revenue]]-Table1[[#This Row],[Insurance Claim Amount]]</f>
        <v>11124</v>
      </c>
      <c r="S91">
        <v>1</v>
      </c>
      <c r="T91" t="str">
        <f t="shared" si="2"/>
        <v>Sep</v>
      </c>
      <c r="U91">
        <f t="shared" si="3"/>
        <v>2025</v>
      </c>
    </row>
    <row r="92" spans="1:21" x14ac:dyDescent="0.3">
      <c r="A92" t="s">
        <v>187</v>
      </c>
      <c r="B92" t="s">
        <v>188</v>
      </c>
      <c r="C92" t="s">
        <v>47</v>
      </c>
      <c r="D92" t="s">
        <v>252</v>
      </c>
      <c r="E92" t="s">
        <v>930</v>
      </c>
      <c r="F92">
        <v>45749</v>
      </c>
      <c r="G92" t="s">
        <v>936</v>
      </c>
      <c r="H92" t="s">
        <v>945</v>
      </c>
      <c r="I92" s="4">
        <v>1851</v>
      </c>
      <c r="J92" s="4">
        <v>4379</v>
      </c>
      <c r="K92" s="4">
        <v>2070</v>
      </c>
      <c r="L92">
        <v>1885</v>
      </c>
      <c r="M92" s="4">
        <f>Table1[[#This Row],[Visit Cost]]+Table1[[#This Row],[Lab Cost]]+Table1[[#This Row],[Medicine Cost]]+Table1[[#This Row],[Room Charges]]</f>
        <v>10185</v>
      </c>
      <c r="N92" s="5">
        <v>45827</v>
      </c>
      <c r="O92">
        <f>Table1[[#This Row],[Discharge Date]]-Table1[[#This Row],[Visit Date]]</f>
        <v>78</v>
      </c>
      <c r="P92" t="s">
        <v>948</v>
      </c>
      <c r="Q92" s="4">
        <v>15338</v>
      </c>
      <c r="R92" s="4">
        <f>Table1[[#This Row],[Total Revenue]]-Table1[[#This Row],[Insurance Claim Amount]]</f>
        <v>-5153</v>
      </c>
      <c r="S92">
        <v>5</v>
      </c>
      <c r="T92" t="str">
        <f t="shared" si="2"/>
        <v>Apr</v>
      </c>
      <c r="U92">
        <f t="shared" si="3"/>
        <v>2025</v>
      </c>
    </row>
    <row r="93" spans="1:21" x14ac:dyDescent="0.3">
      <c r="A93" t="s">
        <v>189</v>
      </c>
      <c r="B93" t="s">
        <v>190</v>
      </c>
      <c r="C93" t="s">
        <v>6</v>
      </c>
      <c r="D93" t="s">
        <v>85</v>
      </c>
      <c r="E93" t="s">
        <v>932</v>
      </c>
      <c r="F93">
        <v>45757</v>
      </c>
      <c r="G93" t="s">
        <v>935</v>
      </c>
      <c r="H93" t="s">
        <v>945</v>
      </c>
      <c r="I93" s="4">
        <v>2372</v>
      </c>
      <c r="J93" s="4">
        <v>3418</v>
      </c>
      <c r="K93" s="4">
        <v>573</v>
      </c>
      <c r="L93">
        <v>1597</v>
      </c>
      <c r="M93" s="4">
        <f>Table1[[#This Row],[Visit Cost]]+Table1[[#This Row],[Lab Cost]]+Table1[[#This Row],[Medicine Cost]]+Table1[[#This Row],[Room Charges]]</f>
        <v>7960</v>
      </c>
      <c r="N93" s="5">
        <v>45817</v>
      </c>
      <c r="O93">
        <f>Table1[[#This Row],[Discharge Date]]-Table1[[#This Row],[Visit Date]]</f>
        <v>60</v>
      </c>
      <c r="P93" t="s">
        <v>948</v>
      </c>
      <c r="Q93" s="4">
        <v>10103</v>
      </c>
      <c r="R93" s="4">
        <f>Table1[[#This Row],[Total Revenue]]-Table1[[#This Row],[Insurance Claim Amount]]</f>
        <v>-2143</v>
      </c>
      <c r="S93">
        <v>2</v>
      </c>
      <c r="T93" t="str">
        <f t="shared" si="2"/>
        <v>Apr</v>
      </c>
      <c r="U93">
        <f t="shared" si="3"/>
        <v>2025</v>
      </c>
    </row>
    <row r="94" spans="1:21" x14ac:dyDescent="0.3">
      <c r="A94" t="s">
        <v>191</v>
      </c>
      <c r="B94" t="s">
        <v>192</v>
      </c>
      <c r="C94" t="s">
        <v>16</v>
      </c>
      <c r="D94" t="s">
        <v>925</v>
      </c>
      <c r="E94" t="s">
        <v>931</v>
      </c>
      <c r="F94">
        <v>45913</v>
      </c>
      <c r="G94" t="s">
        <v>936</v>
      </c>
      <c r="H94" t="s">
        <v>944</v>
      </c>
      <c r="I94" s="4">
        <v>1925</v>
      </c>
      <c r="J94" s="4">
        <v>3722</v>
      </c>
      <c r="K94" s="4">
        <v>1548</v>
      </c>
      <c r="L94">
        <v>2306</v>
      </c>
      <c r="M94" s="4">
        <f>Table1[[#This Row],[Visit Cost]]+Table1[[#This Row],[Lab Cost]]+Table1[[#This Row],[Medicine Cost]]+Table1[[#This Row],[Room Charges]]</f>
        <v>9501</v>
      </c>
      <c r="N94" s="5">
        <v>45997</v>
      </c>
      <c r="O94">
        <f>Table1[[#This Row],[Discharge Date]]-Table1[[#This Row],[Visit Date]]</f>
        <v>84</v>
      </c>
      <c r="P94" t="s">
        <v>948</v>
      </c>
      <c r="Q94" s="4">
        <v>15125</v>
      </c>
      <c r="R94" s="4">
        <f>Table1[[#This Row],[Total Revenue]]-Table1[[#This Row],[Insurance Claim Amount]]</f>
        <v>-5624</v>
      </c>
      <c r="S94">
        <v>2</v>
      </c>
      <c r="T94" t="str">
        <f t="shared" si="2"/>
        <v>Sep</v>
      </c>
      <c r="U94">
        <f t="shared" si="3"/>
        <v>2025</v>
      </c>
    </row>
    <row r="95" spans="1:21" x14ac:dyDescent="0.3">
      <c r="A95" t="s">
        <v>193</v>
      </c>
      <c r="B95" t="s">
        <v>194</v>
      </c>
      <c r="C95" t="s">
        <v>47</v>
      </c>
      <c r="D95" t="s">
        <v>80</v>
      </c>
      <c r="E95" t="s">
        <v>929</v>
      </c>
      <c r="F95">
        <v>45991</v>
      </c>
      <c r="G95" t="s">
        <v>938</v>
      </c>
      <c r="H95" t="s">
        <v>940</v>
      </c>
      <c r="I95" s="4">
        <v>1083</v>
      </c>
      <c r="J95" s="4">
        <v>2275</v>
      </c>
      <c r="K95" s="4">
        <v>1949</v>
      </c>
      <c r="L95" s="4">
        <v>5340</v>
      </c>
      <c r="M95" s="4">
        <f>Table1[[#This Row],[Visit Cost]]+Table1[[#This Row],[Lab Cost]]+Table1[[#This Row],[Medicine Cost]]+Table1[[#This Row],[Room Charges]]</f>
        <v>10647</v>
      </c>
      <c r="N95" s="5">
        <v>46062</v>
      </c>
      <c r="O95">
        <f>Table1[[#This Row],[Discharge Date]]-Table1[[#This Row],[Visit Date]]</f>
        <v>71</v>
      </c>
      <c r="P95" t="s">
        <v>949</v>
      </c>
      <c r="Q95" s="4">
        <v>0</v>
      </c>
      <c r="R95" s="4">
        <f>Table1[[#This Row],[Total Revenue]]-Table1[[#This Row],[Insurance Claim Amount]]</f>
        <v>10647</v>
      </c>
      <c r="S95">
        <v>1</v>
      </c>
      <c r="T95" t="str">
        <f t="shared" si="2"/>
        <v>Nov</v>
      </c>
      <c r="U95">
        <f t="shared" si="3"/>
        <v>2025</v>
      </c>
    </row>
    <row r="96" spans="1:21" x14ac:dyDescent="0.3">
      <c r="A96" t="s">
        <v>195</v>
      </c>
      <c r="B96" t="s">
        <v>196</v>
      </c>
      <c r="C96" t="s">
        <v>16</v>
      </c>
      <c r="D96" t="s">
        <v>925</v>
      </c>
      <c r="E96" t="s">
        <v>933</v>
      </c>
      <c r="F96">
        <v>45911</v>
      </c>
      <c r="G96" t="s">
        <v>937</v>
      </c>
      <c r="H96" t="s">
        <v>942</v>
      </c>
      <c r="I96" s="4">
        <v>1854</v>
      </c>
      <c r="J96" s="4">
        <v>4061</v>
      </c>
      <c r="K96" s="4">
        <v>1162</v>
      </c>
      <c r="L96" s="4">
        <v>8275</v>
      </c>
      <c r="M96" s="4">
        <f>Table1[[#This Row],[Visit Cost]]+Table1[[#This Row],[Lab Cost]]+Table1[[#This Row],[Medicine Cost]]+Table1[[#This Row],[Room Charges]]</f>
        <v>15352</v>
      </c>
      <c r="N96" s="5">
        <v>45981</v>
      </c>
      <c r="O96">
        <f>Table1[[#This Row],[Discharge Date]]-Table1[[#This Row],[Visit Date]]</f>
        <v>70</v>
      </c>
      <c r="P96" t="s">
        <v>949</v>
      </c>
      <c r="Q96" s="4">
        <v>0</v>
      </c>
      <c r="R96" s="4">
        <f>Table1[[#This Row],[Total Revenue]]-Table1[[#This Row],[Insurance Claim Amount]]</f>
        <v>15352</v>
      </c>
      <c r="S96">
        <v>3</v>
      </c>
      <c r="T96" t="str">
        <f t="shared" si="2"/>
        <v>Sep</v>
      </c>
      <c r="U96">
        <f t="shared" si="3"/>
        <v>2025</v>
      </c>
    </row>
    <row r="97" spans="1:21" x14ac:dyDescent="0.3">
      <c r="A97" t="s">
        <v>197</v>
      </c>
      <c r="B97" t="s">
        <v>198</v>
      </c>
      <c r="C97" t="s">
        <v>11</v>
      </c>
      <c r="D97" t="s">
        <v>252</v>
      </c>
      <c r="E97" t="s">
        <v>933</v>
      </c>
      <c r="F97">
        <v>45834</v>
      </c>
      <c r="G97" t="s">
        <v>936</v>
      </c>
      <c r="H97" t="s">
        <v>942</v>
      </c>
      <c r="I97" s="4">
        <v>2426</v>
      </c>
      <c r="J97" s="4">
        <v>1740</v>
      </c>
      <c r="K97" s="4">
        <v>1644</v>
      </c>
      <c r="L97" s="4">
        <v>5522</v>
      </c>
      <c r="M97" s="4">
        <f>Table1[[#This Row],[Visit Cost]]+Table1[[#This Row],[Lab Cost]]+Table1[[#This Row],[Medicine Cost]]+Table1[[#This Row],[Room Charges]]</f>
        <v>11332</v>
      </c>
      <c r="N97" s="5">
        <v>45924</v>
      </c>
      <c r="O97">
        <f>Table1[[#This Row],[Discharge Date]]-Table1[[#This Row],[Visit Date]]</f>
        <v>90</v>
      </c>
      <c r="P97" t="s">
        <v>948</v>
      </c>
      <c r="Q97" s="4">
        <v>2146</v>
      </c>
      <c r="R97" s="4">
        <f>Table1[[#This Row],[Total Revenue]]-Table1[[#This Row],[Insurance Claim Amount]]</f>
        <v>9186</v>
      </c>
      <c r="S97">
        <v>4</v>
      </c>
      <c r="T97" t="str">
        <f t="shared" si="2"/>
        <v>Jun</v>
      </c>
      <c r="U97">
        <f t="shared" si="3"/>
        <v>2025</v>
      </c>
    </row>
    <row r="98" spans="1:21" x14ac:dyDescent="0.3">
      <c r="A98" t="s">
        <v>199</v>
      </c>
      <c r="B98" t="s">
        <v>200</v>
      </c>
      <c r="C98" t="s">
        <v>29</v>
      </c>
      <c r="D98" t="s">
        <v>926</v>
      </c>
      <c r="E98" t="s">
        <v>930</v>
      </c>
      <c r="F98">
        <v>45811</v>
      </c>
      <c r="G98" t="s">
        <v>935</v>
      </c>
      <c r="H98" t="s">
        <v>945</v>
      </c>
      <c r="I98" s="4">
        <v>551</v>
      </c>
      <c r="J98" s="4">
        <v>1133</v>
      </c>
      <c r="K98" s="4">
        <v>2029</v>
      </c>
      <c r="L98" s="4">
        <v>8405</v>
      </c>
      <c r="M98" s="4">
        <f>Table1[[#This Row],[Visit Cost]]+Table1[[#This Row],[Lab Cost]]+Table1[[#This Row],[Medicine Cost]]+Table1[[#This Row],[Room Charges]]</f>
        <v>12118</v>
      </c>
      <c r="N98" s="5">
        <v>45865</v>
      </c>
      <c r="O98">
        <f>Table1[[#This Row],[Discharge Date]]-Table1[[#This Row],[Visit Date]]</f>
        <v>54</v>
      </c>
      <c r="P98" t="s">
        <v>948</v>
      </c>
      <c r="Q98" s="4">
        <v>2899</v>
      </c>
      <c r="R98" s="4">
        <f>Table1[[#This Row],[Total Revenue]]-Table1[[#This Row],[Insurance Claim Amount]]</f>
        <v>9219</v>
      </c>
      <c r="S98">
        <v>4</v>
      </c>
      <c r="T98" t="str">
        <f t="shared" si="2"/>
        <v>Jun</v>
      </c>
      <c r="U98">
        <f t="shared" si="3"/>
        <v>2025</v>
      </c>
    </row>
    <row r="99" spans="1:21" x14ac:dyDescent="0.3">
      <c r="A99" t="s">
        <v>201</v>
      </c>
      <c r="B99" t="s">
        <v>202</v>
      </c>
      <c r="C99" t="s">
        <v>6</v>
      </c>
      <c r="D99" t="s">
        <v>80</v>
      </c>
      <c r="E99" t="s">
        <v>929</v>
      </c>
      <c r="F99">
        <v>45790</v>
      </c>
      <c r="G99" t="s">
        <v>938</v>
      </c>
      <c r="H99" t="s">
        <v>943</v>
      </c>
      <c r="I99" s="4">
        <v>2022</v>
      </c>
      <c r="J99" s="4">
        <v>1400</v>
      </c>
      <c r="K99" s="4">
        <v>709</v>
      </c>
      <c r="L99">
        <v>1021</v>
      </c>
      <c r="M99" s="4">
        <f>Table1[[#This Row],[Visit Cost]]+Table1[[#This Row],[Lab Cost]]+Table1[[#This Row],[Medicine Cost]]+Table1[[#This Row],[Room Charges]]</f>
        <v>5152</v>
      </c>
      <c r="N99" s="5">
        <v>45809</v>
      </c>
      <c r="O99">
        <f>Table1[[#This Row],[Discharge Date]]-Table1[[#This Row],[Visit Date]]</f>
        <v>19</v>
      </c>
      <c r="P99" t="s">
        <v>949</v>
      </c>
      <c r="Q99" s="4">
        <v>0</v>
      </c>
      <c r="R99" s="4">
        <f>Table1[[#This Row],[Total Revenue]]-Table1[[#This Row],[Insurance Claim Amount]]</f>
        <v>5152</v>
      </c>
      <c r="S99">
        <v>1</v>
      </c>
      <c r="T99" t="str">
        <f t="shared" si="2"/>
        <v>May</v>
      </c>
      <c r="U99">
        <f t="shared" si="3"/>
        <v>2025</v>
      </c>
    </row>
    <row r="100" spans="1:21" x14ac:dyDescent="0.3">
      <c r="A100" t="s">
        <v>203</v>
      </c>
      <c r="B100" t="s">
        <v>204</v>
      </c>
      <c r="C100" t="s">
        <v>29</v>
      </c>
      <c r="D100" t="s">
        <v>926</v>
      </c>
      <c r="E100" t="s">
        <v>931</v>
      </c>
      <c r="F100">
        <v>45743</v>
      </c>
      <c r="G100" t="s">
        <v>936</v>
      </c>
      <c r="H100" t="s">
        <v>940</v>
      </c>
      <c r="I100" s="4">
        <v>1598</v>
      </c>
      <c r="J100" s="4">
        <v>582</v>
      </c>
      <c r="K100" s="4">
        <v>597</v>
      </c>
      <c r="L100">
        <v>1899</v>
      </c>
      <c r="M100" s="4">
        <f>Table1[[#This Row],[Visit Cost]]+Table1[[#This Row],[Lab Cost]]+Table1[[#This Row],[Medicine Cost]]+Table1[[#This Row],[Room Charges]]</f>
        <v>4676</v>
      </c>
      <c r="N100" s="5">
        <v>45780</v>
      </c>
      <c r="O100">
        <f>Table1[[#This Row],[Discharge Date]]-Table1[[#This Row],[Visit Date]]</f>
        <v>37</v>
      </c>
      <c r="P100" t="s">
        <v>948</v>
      </c>
      <c r="Q100" s="4">
        <v>1740</v>
      </c>
      <c r="R100" s="4">
        <f>Table1[[#This Row],[Total Revenue]]-Table1[[#This Row],[Insurance Claim Amount]]</f>
        <v>2936</v>
      </c>
      <c r="S100">
        <v>4</v>
      </c>
      <c r="T100" t="str">
        <f t="shared" si="2"/>
        <v>Mar</v>
      </c>
      <c r="U100">
        <f t="shared" si="3"/>
        <v>2025</v>
      </c>
    </row>
    <row r="101" spans="1:21" x14ac:dyDescent="0.3">
      <c r="A101" t="s">
        <v>205</v>
      </c>
      <c r="B101" t="s">
        <v>123</v>
      </c>
      <c r="C101" t="s">
        <v>16</v>
      </c>
      <c r="D101" t="s">
        <v>252</v>
      </c>
      <c r="E101" t="s">
        <v>932</v>
      </c>
      <c r="F101">
        <v>45754</v>
      </c>
      <c r="G101" t="s">
        <v>937</v>
      </c>
      <c r="H101" t="s">
        <v>943</v>
      </c>
      <c r="I101" s="4">
        <v>549</v>
      </c>
      <c r="J101" s="4">
        <v>2369</v>
      </c>
      <c r="K101" s="4">
        <v>2085</v>
      </c>
      <c r="L101">
        <v>2187</v>
      </c>
      <c r="M101" s="4">
        <f>Table1[[#This Row],[Visit Cost]]+Table1[[#This Row],[Lab Cost]]+Table1[[#This Row],[Medicine Cost]]+Table1[[#This Row],[Room Charges]]</f>
        <v>7190</v>
      </c>
      <c r="N101" s="5">
        <v>45892</v>
      </c>
      <c r="O101">
        <f>Table1[[#This Row],[Discharge Date]]-Table1[[#This Row],[Visit Date]]</f>
        <v>138</v>
      </c>
      <c r="P101" t="s">
        <v>949</v>
      </c>
      <c r="Q101" s="4">
        <v>0</v>
      </c>
      <c r="R101" s="4">
        <f>Table1[[#This Row],[Total Revenue]]-Table1[[#This Row],[Insurance Claim Amount]]</f>
        <v>7190</v>
      </c>
      <c r="S101">
        <v>5</v>
      </c>
      <c r="T101" t="str">
        <f t="shared" si="2"/>
        <v>Apr</v>
      </c>
      <c r="U101">
        <f t="shared" si="3"/>
        <v>2025</v>
      </c>
    </row>
    <row r="102" spans="1:21" x14ac:dyDescent="0.3">
      <c r="A102" t="s">
        <v>206</v>
      </c>
      <c r="B102" t="s">
        <v>207</v>
      </c>
      <c r="C102" t="s">
        <v>11</v>
      </c>
      <c r="D102" t="s">
        <v>925</v>
      </c>
      <c r="E102" t="s">
        <v>929</v>
      </c>
      <c r="F102">
        <v>45797</v>
      </c>
      <c r="G102" t="s">
        <v>935</v>
      </c>
      <c r="H102" t="s">
        <v>945</v>
      </c>
      <c r="I102" s="4">
        <v>710</v>
      </c>
      <c r="J102" s="4">
        <v>698</v>
      </c>
      <c r="K102" s="4">
        <v>2010</v>
      </c>
      <c r="L102">
        <v>2208</v>
      </c>
      <c r="M102" s="4">
        <f>Table1[[#This Row],[Visit Cost]]+Table1[[#This Row],[Lab Cost]]+Table1[[#This Row],[Medicine Cost]]+Table1[[#This Row],[Room Charges]]</f>
        <v>5626</v>
      </c>
      <c r="N102" s="5">
        <v>45867</v>
      </c>
      <c r="O102">
        <f>Table1[[#This Row],[Discharge Date]]-Table1[[#This Row],[Visit Date]]</f>
        <v>70</v>
      </c>
      <c r="P102" t="s">
        <v>949</v>
      </c>
      <c r="Q102" s="4">
        <v>0</v>
      </c>
      <c r="R102" s="4">
        <f>Table1[[#This Row],[Total Revenue]]-Table1[[#This Row],[Insurance Claim Amount]]</f>
        <v>5626</v>
      </c>
      <c r="S102">
        <v>4</v>
      </c>
      <c r="T102" t="str">
        <f t="shared" si="2"/>
        <v>May</v>
      </c>
      <c r="U102">
        <f t="shared" si="3"/>
        <v>2025</v>
      </c>
    </row>
    <row r="103" spans="1:21" x14ac:dyDescent="0.3">
      <c r="A103" t="s">
        <v>208</v>
      </c>
      <c r="B103" t="s">
        <v>209</v>
      </c>
      <c r="C103" t="s">
        <v>47</v>
      </c>
      <c r="D103" t="s">
        <v>80</v>
      </c>
      <c r="E103" t="s">
        <v>932</v>
      </c>
      <c r="F103">
        <v>45943</v>
      </c>
      <c r="G103" t="s">
        <v>936</v>
      </c>
      <c r="H103" t="s">
        <v>945</v>
      </c>
      <c r="I103" s="4">
        <v>2228</v>
      </c>
      <c r="J103" s="4">
        <v>3628</v>
      </c>
      <c r="K103" s="4">
        <v>2944</v>
      </c>
      <c r="L103">
        <v>2485</v>
      </c>
      <c r="M103" s="4">
        <f>Table1[[#This Row],[Visit Cost]]+Table1[[#This Row],[Lab Cost]]+Table1[[#This Row],[Medicine Cost]]+Table1[[#This Row],[Room Charges]]</f>
        <v>11285</v>
      </c>
      <c r="N103" s="5">
        <v>45993</v>
      </c>
      <c r="O103">
        <f>Table1[[#This Row],[Discharge Date]]-Table1[[#This Row],[Visit Date]]</f>
        <v>50</v>
      </c>
      <c r="P103" t="s">
        <v>948</v>
      </c>
      <c r="Q103" s="4">
        <v>2610</v>
      </c>
      <c r="R103" s="4">
        <f>Table1[[#This Row],[Total Revenue]]-Table1[[#This Row],[Insurance Claim Amount]]</f>
        <v>8675</v>
      </c>
      <c r="S103">
        <v>3</v>
      </c>
      <c r="T103" t="str">
        <f t="shared" si="2"/>
        <v>Oct</v>
      </c>
      <c r="U103">
        <f t="shared" si="3"/>
        <v>2025</v>
      </c>
    </row>
    <row r="104" spans="1:21" x14ac:dyDescent="0.3">
      <c r="A104" t="s">
        <v>210</v>
      </c>
      <c r="B104" t="s">
        <v>211</v>
      </c>
      <c r="C104" t="s">
        <v>38</v>
      </c>
      <c r="D104" t="s">
        <v>927</v>
      </c>
      <c r="E104" t="s">
        <v>930</v>
      </c>
      <c r="F104">
        <v>45821</v>
      </c>
      <c r="G104" t="s">
        <v>938</v>
      </c>
      <c r="H104" t="s">
        <v>945</v>
      </c>
      <c r="I104" s="4">
        <v>1897</v>
      </c>
      <c r="J104" s="4">
        <v>991</v>
      </c>
      <c r="K104" s="4">
        <v>2210</v>
      </c>
      <c r="L104">
        <v>892</v>
      </c>
      <c r="M104" s="4">
        <f>Table1[[#This Row],[Visit Cost]]+Table1[[#This Row],[Lab Cost]]+Table1[[#This Row],[Medicine Cost]]+Table1[[#This Row],[Room Charges]]</f>
        <v>5990</v>
      </c>
      <c r="N104" s="5">
        <v>45964</v>
      </c>
      <c r="O104">
        <f>Table1[[#This Row],[Discharge Date]]-Table1[[#This Row],[Visit Date]]</f>
        <v>143</v>
      </c>
      <c r="P104" t="s">
        <v>949</v>
      </c>
      <c r="Q104" s="4">
        <v>0</v>
      </c>
      <c r="R104" s="4">
        <f>Table1[[#This Row],[Total Revenue]]-Table1[[#This Row],[Insurance Claim Amount]]</f>
        <v>5990</v>
      </c>
      <c r="S104">
        <v>5</v>
      </c>
      <c r="T104" t="str">
        <f t="shared" si="2"/>
        <v>Jun</v>
      </c>
      <c r="U104">
        <f t="shared" si="3"/>
        <v>2025</v>
      </c>
    </row>
    <row r="105" spans="1:21" x14ac:dyDescent="0.3">
      <c r="A105" t="s">
        <v>212</v>
      </c>
      <c r="B105" t="s">
        <v>213</v>
      </c>
      <c r="C105" t="s">
        <v>16</v>
      </c>
      <c r="D105" t="s">
        <v>925</v>
      </c>
      <c r="E105" t="s">
        <v>931</v>
      </c>
      <c r="F105">
        <v>45729</v>
      </c>
      <c r="G105" t="s">
        <v>937</v>
      </c>
      <c r="H105" t="s">
        <v>945</v>
      </c>
      <c r="I105" s="4">
        <v>1000</v>
      </c>
      <c r="J105" s="4">
        <v>3100</v>
      </c>
      <c r="K105" s="4">
        <v>1250</v>
      </c>
      <c r="L105">
        <v>2406</v>
      </c>
      <c r="M105" s="4">
        <f>Table1[[#This Row],[Visit Cost]]+Table1[[#This Row],[Lab Cost]]+Table1[[#This Row],[Medicine Cost]]+Table1[[#This Row],[Room Charges]]</f>
        <v>7756</v>
      </c>
      <c r="N105" s="5">
        <v>45774</v>
      </c>
      <c r="O105">
        <f>Table1[[#This Row],[Discharge Date]]-Table1[[#This Row],[Visit Date]]</f>
        <v>45</v>
      </c>
      <c r="P105" t="s">
        <v>949</v>
      </c>
      <c r="Q105" s="4">
        <v>0</v>
      </c>
      <c r="R105" s="4">
        <f>Table1[[#This Row],[Total Revenue]]-Table1[[#This Row],[Insurance Claim Amount]]</f>
        <v>7756</v>
      </c>
      <c r="S105">
        <v>3</v>
      </c>
      <c r="T105" t="str">
        <f t="shared" si="2"/>
        <v>Mar</v>
      </c>
      <c r="U105">
        <f t="shared" si="3"/>
        <v>2025</v>
      </c>
    </row>
    <row r="106" spans="1:21" x14ac:dyDescent="0.3">
      <c r="A106" t="s">
        <v>214</v>
      </c>
      <c r="B106" t="s">
        <v>215</v>
      </c>
      <c r="C106" t="s">
        <v>47</v>
      </c>
      <c r="D106" t="s">
        <v>80</v>
      </c>
      <c r="E106" t="s">
        <v>933</v>
      </c>
      <c r="F106">
        <v>45728</v>
      </c>
      <c r="G106" t="s">
        <v>936</v>
      </c>
      <c r="H106" t="s">
        <v>944</v>
      </c>
      <c r="I106" s="4">
        <v>917</v>
      </c>
      <c r="J106" s="4">
        <v>1600</v>
      </c>
      <c r="K106" s="4">
        <v>2735</v>
      </c>
      <c r="L106">
        <v>1831</v>
      </c>
      <c r="M106" s="4">
        <f>Table1[[#This Row],[Visit Cost]]+Table1[[#This Row],[Lab Cost]]+Table1[[#This Row],[Medicine Cost]]+Table1[[#This Row],[Room Charges]]</f>
        <v>7083</v>
      </c>
      <c r="N106" s="5">
        <v>45738</v>
      </c>
      <c r="O106">
        <f>Table1[[#This Row],[Discharge Date]]-Table1[[#This Row],[Visit Date]]</f>
        <v>10</v>
      </c>
      <c r="P106" t="s">
        <v>949</v>
      </c>
      <c r="Q106" s="4">
        <v>0</v>
      </c>
      <c r="R106" s="4">
        <f>Table1[[#This Row],[Total Revenue]]-Table1[[#This Row],[Insurance Claim Amount]]</f>
        <v>7083</v>
      </c>
      <c r="S106">
        <v>5</v>
      </c>
      <c r="T106" t="str">
        <f t="shared" si="2"/>
        <v>Mar</v>
      </c>
      <c r="U106">
        <f t="shared" si="3"/>
        <v>2025</v>
      </c>
    </row>
    <row r="107" spans="1:21" x14ac:dyDescent="0.3">
      <c r="A107" t="s">
        <v>216</v>
      </c>
      <c r="B107" t="s">
        <v>217</v>
      </c>
      <c r="C107" t="s">
        <v>11</v>
      </c>
      <c r="D107" t="s">
        <v>924</v>
      </c>
      <c r="E107" t="s">
        <v>932</v>
      </c>
      <c r="F107">
        <v>45860</v>
      </c>
      <c r="G107" t="s">
        <v>935</v>
      </c>
      <c r="H107" t="s">
        <v>942</v>
      </c>
      <c r="I107" s="4">
        <v>800</v>
      </c>
      <c r="J107" s="4">
        <v>1727</v>
      </c>
      <c r="K107" s="4">
        <v>1650</v>
      </c>
      <c r="L107">
        <v>2107</v>
      </c>
      <c r="M107" s="4">
        <f>Table1[[#This Row],[Visit Cost]]+Table1[[#This Row],[Lab Cost]]+Table1[[#This Row],[Medicine Cost]]+Table1[[#This Row],[Room Charges]]</f>
        <v>6284</v>
      </c>
      <c r="N107" s="5">
        <v>45889</v>
      </c>
      <c r="O107">
        <f>Table1[[#This Row],[Discharge Date]]-Table1[[#This Row],[Visit Date]]</f>
        <v>29</v>
      </c>
      <c r="P107" t="s">
        <v>948</v>
      </c>
      <c r="Q107" s="4">
        <v>3461</v>
      </c>
      <c r="R107" s="4">
        <f>Table1[[#This Row],[Total Revenue]]-Table1[[#This Row],[Insurance Claim Amount]]</f>
        <v>2823</v>
      </c>
      <c r="S107">
        <v>1</v>
      </c>
      <c r="T107" t="str">
        <f t="shared" si="2"/>
        <v>Jul</v>
      </c>
      <c r="U107">
        <f t="shared" si="3"/>
        <v>2025</v>
      </c>
    </row>
    <row r="108" spans="1:21" x14ac:dyDescent="0.3">
      <c r="A108" t="s">
        <v>218</v>
      </c>
      <c r="B108" t="s">
        <v>219</v>
      </c>
      <c r="C108" t="s">
        <v>6</v>
      </c>
      <c r="D108" t="s">
        <v>80</v>
      </c>
      <c r="E108" t="s">
        <v>933</v>
      </c>
      <c r="F108">
        <v>45773</v>
      </c>
      <c r="G108" t="s">
        <v>936</v>
      </c>
      <c r="H108" t="s">
        <v>945</v>
      </c>
      <c r="I108" s="4">
        <v>1453</v>
      </c>
      <c r="J108" s="4">
        <v>2495</v>
      </c>
      <c r="K108" s="4">
        <v>1701</v>
      </c>
      <c r="L108">
        <v>1030</v>
      </c>
      <c r="M108" s="4">
        <f>Table1[[#This Row],[Visit Cost]]+Table1[[#This Row],[Lab Cost]]+Table1[[#This Row],[Medicine Cost]]+Table1[[#This Row],[Room Charges]]</f>
        <v>6679</v>
      </c>
      <c r="N108" s="5">
        <v>45881</v>
      </c>
      <c r="O108">
        <f>Table1[[#This Row],[Discharge Date]]-Table1[[#This Row],[Visit Date]]</f>
        <v>108</v>
      </c>
      <c r="P108" t="s">
        <v>949</v>
      </c>
      <c r="Q108" s="4">
        <v>0</v>
      </c>
      <c r="R108" s="4">
        <f>Table1[[#This Row],[Total Revenue]]-Table1[[#This Row],[Insurance Claim Amount]]</f>
        <v>6679</v>
      </c>
      <c r="S108">
        <v>2</v>
      </c>
      <c r="T108" t="str">
        <f t="shared" si="2"/>
        <v>Apr</v>
      </c>
      <c r="U108">
        <f t="shared" si="3"/>
        <v>2025</v>
      </c>
    </row>
    <row r="109" spans="1:21" x14ac:dyDescent="0.3">
      <c r="A109" t="s">
        <v>220</v>
      </c>
      <c r="B109" t="s">
        <v>140</v>
      </c>
      <c r="C109" t="s">
        <v>29</v>
      </c>
      <c r="D109" t="s">
        <v>926</v>
      </c>
      <c r="E109" t="s">
        <v>929</v>
      </c>
      <c r="F109">
        <v>45985</v>
      </c>
      <c r="G109" t="s">
        <v>938</v>
      </c>
      <c r="H109" t="s">
        <v>943</v>
      </c>
      <c r="I109" s="4">
        <v>1332</v>
      </c>
      <c r="J109" s="4">
        <v>3962</v>
      </c>
      <c r="K109" s="4">
        <v>2562</v>
      </c>
      <c r="L109">
        <v>2310</v>
      </c>
      <c r="M109" s="4">
        <f>Table1[[#This Row],[Visit Cost]]+Table1[[#This Row],[Lab Cost]]+Table1[[#This Row],[Medicine Cost]]+Table1[[#This Row],[Room Charges]]</f>
        <v>10166</v>
      </c>
      <c r="N109" s="5">
        <v>46054</v>
      </c>
      <c r="O109">
        <f>Table1[[#This Row],[Discharge Date]]-Table1[[#This Row],[Visit Date]]</f>
        <v>69</v>
      </c>
      <c r="P109" t="s">
        <v>948</v>
      </c>
      <c r="Q109" s="4">
        <v>15002</v>
      </c>
      <c r="R109" s="4">
        <f>Table1[[#This Row],[Total Revenue]]-Table1[[#This Row],[Insurance Claim Amount]]</f>
        <v>-4836</v>
      </c>
      <c r="S109">
        <v>3</v>
      </c>
      <c r="T109" t="str">
        <f t="shared" si="2"/>
        <v>Nov</v>
      </c>
      <c r="U109">
        <f t="shared" si="3"/>
        <v>2025</v>
      </c>
    </row>
    <row r="110" spans="1:21" x14ac:dyDescent="0.3">
      <c r="A110" t="s">
        <v>221</v>
      </c>
      <c r="B110" t="s">
        <v>222</v>
      </c>
      <c r="C110" t="s">
        <v>16</v>
      </c>
      <c r="D110" t="s">
        <v>252</v>
      </c>
      <c r="E110" t="s">
        <v>931</v>
      </c>
      <c r="F110">
        <v>46018</v>
      </c>
      <c r="G110" t="s">
        <v>937</v>
      </c>
      <c r="H110" t="s">
        <v>941</v>
      </c>
      <c r="I110" s="4">
        <v>2055</v>
      </c>
      <c r="J110" s="4">
        <v>3179</v>
      </c>
      <c r="K110" s="4">
        <v>2164</v>
      </c>
      <c r="L110">
        <v>2057</v>
      </c>
      <c r="M110" s="4">
        <f>Table1[[#This Row],[Visit Cost]]+Table1[[#This Row],[Lab Cost]]+Table1[[#This Row],[Medicine Cost]]+Table1[[#This Row],[Room Charges]]</f>
        <v>9455</v>
      </c>
      <c r="N110" s="5">
        <v>46112</v>
      </c>
      <c r="O110">
        <f>Table1[[#This Row],[Discharge Date]]-Table1[[#This Row],[Visit Date]]</f>
        <v>94</v>
      </c>
      <c r="P110" t="s">
        <v>948</v>
      </c>
      <c r="Q110" s="4">
        <v>1906</v>
      </c>
      <c r="R110" s="4">
        <f>Table1[[#This Row],[Total Revenue]]-Table1[[#This Row],[Insurance Claim Amount]]</f>
        <v>7549</v>
      </c>
      <c r="S110">
        <v>2</v>
      </c>
      <c r="T110" t="str">
        <f t="shared" si="2"/>
        <v>Dec</v>
      </c>
      <c r="U110">
        <f t="shared" si="3"/>
        <v>2025</v>
      </c>
    </row>
    <row r="111" spans="1:21" x14ac:dyDescent="0.3">
      <c r="A111" t="s">
        <v>223</v>
      </c>
      <c r="B111" t="s">
        <v>224</v>
      </c>
      <c r="C111" t="s">
        <v>11</v>
      </c>
      <c r="D111" t="s">
        <v>164</v>
      </c>
      <c r="E111" t="s">
        <v>930</v>
      </c>
      <c r="F111">
        <v>45988</v>
      </c>
      <c r="G111" t="s">
        <v>936</v>
      </c>
      <c r="H111" t="s">
        <v>944</v>
      </c>
      <c r="I111" s="4">
        <v>2073</v>
      </c>
      <c r="J111" s="4">
        <v>3873</v>
      </c>
      <c r="K111" s="4">
        <v>292</v>
      </c>
      <c r="L111">
        <v>941</v>
      </c>
      <c r="M111" s="4">
        <f>Table1[[#This Row],[Visit Cost]]+Table1[[#This Row],[Lab Cost]]+Table1[[#This Row],[Medicine Cost]]+Table1[[#This Row],[Room Charges]]</f>
        <v>7179</v>
      </c>
      <c r="N111" s="5">
        <v>46074</v>
      </c>
      <c r="O111">
        <f>Table1[[#This Row],[Discharge Date]]-Table1[[#This Row],[Visit Date]]</f>
        <v>86</v>
      </c>
      <c r="P111" t="s">
        <v>949</v>
      </c>
      <c r="Q111" s="4">
        <v>0</v>
      </c>
      <c r="R111" s="4">
        <f>Table1[[#This Row],[Total Revenue]]-Table1[[#This Row],[Insurance Claim Amount]]</f>
        <v>7179</v>
      </c>
      <c r="S111">
        <v>2</v>
      </c>
      <c r="T111" t="str">
        <f t="shared" si="2"/>
        <v>Nov</v>
      </c>
      <c r="U111">
        <f t="shared" si="3"/>
        <v>2025</v>
      </c>
    </row>
    <row r="112" spans="1:21" x14ac:dyDescent="0.3">
      <c r="A112" t="s">
        <v>225</v>
      </c>
      <c r="B112" t="s">
        <v>79</v>
      </c>
      <c r="C112" t="s">
        <v>29</v>
      </c>
      <c r="D112" t="s">
        <v>85</v>
      </c>
      <c r="E112" t="s">
        <v>931</v>
      </c>
      <c r="F112">
        <v>45679</v>
      </c>
      <c r="G112" t="s">
        <v>935</v>
      </c>
      <c r="H112" t="s">
        <v>941</v>
      </c>
      <c r="I112" s="4">
        <v>1655</v>
      </c>
      <c r="J112" s="4">
        <v>0</v>
      </c>
      <c r="K112" s="4">
        <v>2413</v>
      </c>
      <c r="L112">
        <v>1107</v>
      </c>
      <c r="M112" s="4">
        <f>Table1[[#This Row],[Visit Cost]]+Table1[[#This Row],[Lab Cost]]+Table1[[#This Row],[Medicine Cost]]+Table1[[#This Row],[Room Charges]]</f>
        <v>5175</v>
      </c>
      <c r="N112" s="5">
        <v>45778</v>
      </c>
      <c r="O112">
        <f>Table1[[#This Row],[Discharge Date]]-Table1[[#This Row],[Visit Date]]</f>
        <v>99</v>
      </c>
      <c r="P112" t="s">
        <v>948</v>
      </c>
      <c r="Q112" s="4">
        <v>1119</v>
      </c>
      <c r="R112" s="4">
        <f>Table1[[#This Row],[Total Revenue]]-Table1[[#This Row],[Insurance Claim Amount]]</f>
        <v>4056</v>
      </c>
      <c r="S112">
        <v>3</v>
      </c>
      <c r="T112" t="str">
        <f t="shared" si="2"/>
        <v>Jan</v>
      </c>
      <c r="U112">
        <f t="shared" si="3"/>
        <v>2025</v>
      </c>
    </row>
    <row r="113" spans="1:21" x14ac:dyDescent="0.3">
      <c r="A113" t="s">
        <v>226</v>
      </c>
      <c r="B113" t="s">
        <v>227</v>
      </c>
      <c r="C113" t="s">
        <v>11</v>
      </c>
      <c r="D113" t="s">
        <v>164</v>
      </c>
      <c r="E113" t="s">
        <v>930</v>
      </c>
      <c r="F113">
        <v>45945</v>
      </c>
      <c r="G113" t="s">
        <v>938</v>
      </c>
      <c r="H113" t="s">
        <v>942</v>
      </c>
      <c r="I113" s="4">
        <v>1106</v>
      </c>
      <c r="J113" s="4">
        <v>700</v>
      </c>
      <c r="K113" s="4">
        <v>457</v>
      </c>
      <c r="L113">
        <v>1669</v>
      </c>
      <c r="M113" s="4">
        <f>Table1[[#This Row],[Visit Cost]]+Table1[[#This Row],[Lab Cost]]+Table1[[#This Row],[Medicine Cost]]+Table1[[#This Row],[Room Charges]]</f>
        <v>3932</v>
      </c>
      <c r="N113" s="5">
        <v>45962</v>
      </c>
      <c r="O113">
        <f>Table1[[#This Row],[Discharge Date]]-Table1[[#This Row],[Visit Date]]</f>
        <v>17</v>
      </c>
      <c r="P113" t="s">
        <v>949</v>
      </c>
      <c r="Q113" s="4">
        <v>0</v>
      </c>
      <c r="R113" s="4">
        <f>Table1[[#This Row],[Total Revenue]]-Table1[[#This Row],[Insurance Claim Amount]]</f>
        <v>3932</v>
      </c>
      <c r="S113">
        <v>4</v>
      </c>
      <c r="T113" t="str">
        <f t="shared" si="2"/>
        <v>Oct</v>
      </c>
      <c r="U113">
        <f t="shared" si="3"/>
        <v>2025</v>
      </c>
    </row>
    <row r="114" spans="1:21" x14ac:dyDescent="0.3">
      <c r="A114" t="s">
        <v>228</v>
      </c>
      <c r="B114" t="s">
        <v>229</v>
      </c>
      <c r="C114" t="s">
        <v>29</v>
      </c>
      <c r="D114" t="s">
        <v>926</v>
      </c>
      <c r="E114" t="s">
        <v>933</v>
      </c>
      <c r="F114">
        <v>45924</v>
      </c>
      <c r="G114" t="s">
        <v>936</v>
      </c>
      <c r="H114" t="s">
        <v>940</v>
      </c>
      <c r="I114" s="4">
        <v>1918</v>
      </c>
      <c r="J114" s="4">
        <v>1112</v>
      </c>
      <c r="K114" s="4">
        <v>1426</v>
      </c>
      <c r="L114">
        <v>1757</v>
      </c>
      <c r="M114" s="4">
        <f>Table1[[#This Row],[Visit Cost]]+Table1[[#This Row],[Lab Cost]]+Table1[[#This Row],[Medicine Cost]]+Table1[[#This Row],[Room Charges]]</f>
        <v>6213</v>
      </c>
      <c r="N114" s="5">
        <v>46022</v>
      </c>
      <c r="O114">
        <f>Table1[[#This Row],[Discharge Date]]-Table1[[#This Row],[Visit Date]]</f>
        <v>98</v>
      </c>
      <c r="P114" t="s">
        <v>948</v>
      </c>
      <c r="Q114" s="4">
        <v>3857</v>
      </c>
      <c r="R114" s="4">
        <f>Table1[[#This Row],[Total Revenue]]-Table1[[#This Row],[Insurance Claim Amount]]</f>
        <v>2356</v>
      </c>
      <c r="S114">
        <v>2</v>
      </c>
      <c r="T114" t="str">
        <f t="shared" si="2"/>
        <v>Sep</v>
      </c>
      <c r="U114">
        <f t="shared" si="3"/>
        <v>2025</v>
      </c>
    </row>
    <row r="115" spans="1:21" x14ac:dyDescent="0.3">
      <c r="A115" t="s">
        <v>230</v>
      </c>
      <c r="B115" t="s">
        <v>231</v>
      </c>
      <c r="C115" t="s">
        <v>11</v>
      </c>
      <c r="D115" t="s">
        <v>924</v>
      </c>
      <c r="E115" t="s">
        <v>932</v>
      </c>
      <c r="F115">
        <v>45970</v>
      </c>
      <c r="G115" t="s">
        <v>937</v>
      </c>
      <c r="H115" t="s">
        <v>943</v>
      </c>
      <c r="I115" s="4">
        <v>2399</v>
      </c>
      <c r="J115" s="4">
        <v>1260</v>
      </c>
      <c r="K115" s="4">
        <v>1189</v>
      </c>
      <c r="L115" s="4">
        <v>3972</v>
      </c>
      <c r="M115" s="4">
        <f>Table1[[#This Row],[Visit Cost]]+Table1[[#This Row],[Lab Cost]]+Table1[[#This Row],[Medicine Cost]]+Table1[[#This Row],[Room Charges]]</f>
        <v>8820</v>
      </c>
      <c r="N115" s="5">
        <v>46101</v>
      </c>
      <c r="O115">
        <f>Table1[[#This Row],[Discharge Date]]-Table1[[#This Row],[Visit Date]]</f>
        <v>131</v>
      </c>
      <c r="P115" t="s">
        <v>949</v>
      </c>
      <c r="Q115" s="4">
        <v>0</v>
      </c>
      <c r="R115" s="4">
        <f>Table1[[#This Row],[Total Revenue]]-Table1[[#This Row],[Insurance Claim Amount]]</f>
        <v>8820</v>
      </c>
      <c r="S115">
        <v>1</v>
      </c>
      <c r="T115" t="str">
        <f t="shared" si="2"/>
        <v>Nov</v>
      </c>
      <c r="U115">
        <f t="shared" si="3"/>
        <v>2025</v>
      </c>
    </row>
    <row r="116" spans="1:21" x14ac:dyDescent="0.3">
      <c r="A116" t="s">
        <v>232</v>
      </c>
      <c r="B116" t="s">
        <v>233</v>
      </c>
      <c r="C116" t="s">
        <v>38</v>
      </c>
      <c r="D116" t="s">
        <v>924</v>
      </c>
      <c r="E116" t="s">
        <v>929</v>
      </c>
      <c r="F116">
        <v>45682</v>
      </c>
      <c r="G116" t="s">
        <v>935</v>
      </c>
      <c r="H116" t="s">
        <v>940</v>
      </c>
      <c r="I116" s="4">
        <v>1385</v>
      </c>
      <c r="J116" s="4">
        <v>3064</v>
      </c>
      <c r="K116" s="4">
        <v>2577</v>
      </c>
      <c r="L116" s="4">
        <v>2760</v>
      </c>
      <c r="M116" s="4">
        <f>Table1[[#This Row],[Visit Cost]]+Table1[[#This Row],[Lab Cost]]+Table1[[#This Row],[Medicine Cost]]+Table1[[#This Row],[Room Charges]]</f>
        <v>9786</v>
      </c>
      <c r="N116" s="5">
        <v>45764</v>
      </c>
      <c r="O116">
        <f>Table1[[#This Row],[Discharge Date]]-Table1[[#This Row],[Visit Date]]</f>
        <v>82</v>
      </c>
      <c r="P116" t="s">
        <v>948</v>
      </c>
      <c r="Q116" s="4">
        <v>3697</v>
      </c>
      <c r="R116" s="4">
        <f>Table1[[#This Row],[Total Revenue]]-Table1[[#This Row],[Insurance Claim Amount]]</f>
        <v>6089</v>
      </c>
      <c r="S116">
        <v>3</v>
      </c>
      <c r="T116" t="str">
        <f t="shared" si="2"/>
        <v>Jan</v>
      </c>
      <c r="U116">
        <f t="shared" si="3"/>
        <v>2025</v>
      </c>
    </row>
    <row r="117" spans="1:21" x14ac:dyDescent="0.3">
      <c r="A117" t="s">
        <v>234</v>
      </c>
      <c r="B117" t="s">
        <v>235</v>
      </c>
      <c r="C117" t="s">
        <v>16</v>
      </c>
      <c r="D117" t="s">
        <v>252</v>
      </c>
      <c r="E117" t="s">
        <v>930</v>
      </c>
      <c r="F117">
        <v>45969</v>
      </c>
      <c r="G117" t="s">
        <v>936</v>
      </c>
      <c r="H117" t="s">
        <v>940</v>
      </c>
      <c r="I117" s="4">
        <v>1387</v>
      </c>
      <c r="J117" s="4">
        <v>1207</v>
      </c>
      <c r="K117" s="4">
        <v>1096</v>
      </c>
      <c r="L117" s="4">
        <v>2323</v>
      </c>
      <c r="M117" s="4">
        <f>Table1[[#This Row],[Visit Cost]]+Table1[[#This Row],[Lab Cost]]+Table1[[#This Row],[Medicine Cost]]+Table1[[#This Row],[Room Charges]]</f>
        <v>6013</v>
      </c>
      <c r="N117" s="5">
        <v>46104</v>
      </c>
      <c r="O117">
        <f>Table1[[#This Row],[Discharge Date]]-Table1[[#This Row],[Visit Date]]</f>
        <v>135</v>
      </c>
      <c r="P117" t="s">
        <v>948</v>
      </c>
      <c r="Q117" s="4">
        <v>5716</v>
      </c>
      <c r="R117" s="4">
        <f>Table1[[#This Row],[Total Revenue]]-Table1[[#This Row],[Insurance Claim Amount]]</f>
        <v>297</v>
      </c>
      <c r="S117">
        <v>4</v>
      </c>
      <c r="T117" t="str">
        <f t="shared" si="2"/>
        <v>Nov</v>
      </c>
      <c r="U117">
        <f t="shared" si="3"/>
        <v>2025</v>
      </c>
    </row>
    <row r="118" spans="1:21" x14ac:dyDescent="0.3">
      <c r="A118" t="s">
        <v>236</v>
      </c>
      <c r="B118" t="s">
        <v>237</v>
      </c>
      <c r="C118" t="s">
        <v>11</v>
      </c>
      <c r="D118" t="s">
        <v>85</v>
      </c>
      <c r="E118" t="s">
        <v>929</v>
      </c>
      <c r="F118">
        <v>45672</v>
      </c>
      <c r="G118" t="s">
        <v>938</v>
      </c>
      <c r="H118" t="s">
        <v>942</v>
      </c>
      <c r="I118" s="4">
        <v>1115</v>
      </c>
      <c r="J118" s="4">
        <v>1630</v>
      </c>
      <c r="K118" s="4">
        <v>1380</v>
      </c>
      <c r="L118" s="4">
        <v>3709</v>
      </c>
      <c r="M118" s="4">
        <f>Table1[[#This Row],[Visit Cost]]+Table1[[#This Row],[Lab Cost]]+Table1[[#This Row],[Medicine Cost]]+Table1[[#This Row],[Room Charges]]</f>
        <v>7834</v>
      </c>
      <c r="N118" s="5">
        <v>45769</v>
      </c>
      <c r="O118">
        <f>Table1[[#This Row],[Discharge Date]]-Table1[[#This Row],[Visit Date]]</f>
        <v>97</v>
      </c>
      <c r="P118" t="s">
        <v>948</v>
      </c>
      <c r="Q118" s="4">
        <v>7462</v>
      </c>
      <c r="R118" s="4">
        <f>Table1[[#This Row],[Total Revenue]]-Table1[[#This Row],[Insurance Claim Amount]]</f>
        <v>372</v>
      </c>
      <c r="S118">
        <v>3</v>
      </c>
      <c r="T118" t="str">
        <f t="shared" si="2"/>
        <v>Jan</v>
      </c>
      <c r="U118">
        <f t="shared" si="3"/>
        <v>2025</v>
      </c>
    </row>
    <row r="119" spans="1:21" x14ac:dyDescent="0.3">
      <c r="A119" t="s">
        <v>238</v>
      </c>
      <c r="B119" t="s">
        <v>239</v>
      </c>
      <c r="C119" t="s">
        <v>29</v>
      </c>
      <c r="D119" t="s">
        <v>924</v>
      </c>
      <c r="E119" t="s">
        <v>931</v>
      </c>
      <c r="F119">
        <v>45812</v>
      </c>
      <c r="G119" t="s">
        <v>937</v>
      </c>
      <c r="H119" t="s">
        <v>945</v>
      </c>
      <c r="I119" s="4">
        <v>727</v>
      </c>
      <c r="J119" s="4">
        <v>3745</v>
      </c>
      <c r="K119" s="4">
        <v>2360</v>
      </c>
      <c r="L119" s="4">
        <v>8919</v>
      </c>
      <c r="M119" s="4">
        <f>Table1[[#This Row],[Visit Cost]]+Table1[[#This Row],[Lab Cost]]+Table1[[#This Row],[Medicine Cost]]+Table1[[#This Row],[Room Charges]]</f>
        <v>15751</v>
      </c>
      <c r="N119" s="5">
        <v>45912</v>
      </c>
      <c r="O119">
        <f>Table1[[#This Row],[Discharge Date]]-Table1[[#This Row],[Visit Date]]</f>
        <v>100</v>
      </c>
      <c r="P119" t="s">
        <v>948</v>
      </c>
      <c r="Q119" s="4">
        <v>12221</v>
      </c>
      <c r="R119" s="4">
        <f>Table1[[#This Row],[Total Revenue]]-Table1[[#This Row],[Insurance Claim Amount]]</f>
        <v>3530</v>
      </c>
      <c r="S119">
        <v>3</v>
      </c>
      <c r="T119" t="str">
        <f t="shared" si="2"/>
        <v>Jun</v>
      </c>
      <c r="U119">
        <f t="shared" si="3"/>
        <v>2025</v>
      </c>
    </row>
    <row r="120" spans="1:21" x14ac:dyDescent="0.3">
      <c r="A120" t="s">
        <v>240</v>
      </c>
      <c r="B120" t="s">
        <v>241</v>
      </c>
      <c r="C120" t="s">
        <v>38</v>
      </c>
      <c r="D120" t="s">
        <v>927</v>
      </c>
      <c r="E120" t="s">
        <v>932</v>
      </c>
      <c r="F120">
        <v>45915</v>
      </c>
      <c r="G120" t="s">
        <v>936</v>
      </c>
      <c r="H120" t="s">
        <v>940</v>
      </c>
      <c r="I120" s="4">
        <v>700</v>
      </c>
      <c r="J120" s="4">
        <v>1458</v>
      </c>
      <c r="K120" s="4">
        <v>922</v>
      </c>
      <c r="L120" s="4">
        <v>1125</v>
      </c>
      <c r="M120" s="4">
        <f>Table1[[#This Row],[Visit Cost]]+Table1[[#This Row],[Lab Cost]]+Table1[[#This Row],[Medicine Cost]]+Table1[[#This Row],[Room Charges]]</f>
        <v>4205</v>
      </c>
      <c r="N120" s="5">
        <v>46022</v>
      </c>
      <c r="O120">
        <f>Table1[[#This Row],[Discharge Date]]-Table1[[#This Row],[Visit Date]]</f>
        <v>107</v>
      </c>
      <c r="P120" t="s">
        <v>949</v>
      </c>
      <c r="Q120" s="4">
        <v>0</v>
      </c>
      <c r="R120" s="4">
        <f>Table1[[#This Row],[Total Revenue]]-Table1[[#This Row],[Insurance Claim Amount]]</f>
        <v>4205</v>
      </c>
      <c r="S120">
        <v>3</v>
      </c>
      <c r="T120" t="str">
        <f t="shared" si="2"/>
        <v>Sep</v>
      </c>
      <c r="U120">
        <f t="shared" si="3"/>
        <v>2025</v>
      </c>
    </row>
    <row r="121" spans="1:21" x14ac:dyDescent="0.3">
      <c r="A121" t="s">
        <v>242</v>
      </c>
      <c r="B121" t="s">
        <v>243</v>
      </c>
      <c r="C121" t="s">
        <v>38</v>
      </c>
      <c r="D121" t="s">
        <v>926</v>
      </c>
      <c r="E121" t="s">
        <v>933</v>
      </c>
      <c r="F121">
        <v>46011</v>
      </c>
      <c r="G121" t="s">
        <v>935</v>
      </c>
      <c r="H121" t="s">
        <v>940</v>
      </c>
      <c r="I121" s="4">
        <v>1219</v>
      </c>
      <c r="J121" s="4">
        <v>3089</v>
      </c>
      <c r="K121" s="4">
        <v>208</v>
      </c>
      <c r="L121" s="4">
        <v>5655</v>
      </c>
      <c r="M121" s="4">
        <f>Table1[[#This Row],[Visit Cost]]+Table1[[#This Row],[Lab Cost]]+Table1[[#This Row],[Medicine Cost]]+Table1[[#This Row],[Room Charges]]</f>
        <v>10171</v>
      </c>
      <c r="N121" s="5">
        <v>46092</v>
      </c>
      <c r="O121">
        <f>Table1[[#This Row],[Discharge Date]]-Table1[[#This Row],[Visit Date]]</f>
        <v>81</v>
      </c>
      <c r="P121" t="s">
        <v>949</v>
      </c>
      <c r="Q121" s="4">
        <v>0</v>
      </c>
      <c r="R121" s="4">
        <f>Table1[[#This Row],[Total Revenue]]-Table1[[#This Row],[Insurance Claim Amount]]</f>
        <v>10171</v>
      </c>
      <c r="S121">
        <v>2</v>
      </c>
      <c r="T121" t="str">
        <f t="shared" si="2"/>
        <v>Dec</v>
      </c>
      <c r="U121">
        <f t="shared" si="3"/>
        <v>2025</v>
      </c>
    </row>
    <row r="122" spans="1:21" x14ac:dyDescent="0.3">
      <c r="A122" t="s">
        <v>244</v>
      </c>
      <c r="B122" t="s">
        <v>245</v>
      </c>
      <c r="C122" t="s">
        <v>16</v>
      </c>
      <c r="D122" t="s">
        <v>925</v>
      </c>
      <c r="E122" t="s">
        <v>933</v>
      </c>
      <c r="F122">
        <v>45920</v>
      </c>
      <c r="G122" t="s">
        <v>936</v>
      </c>
      <c r="H122" t="s">
        <v>940</v>
      </c>
      <c r="I122" s="4">
        <v>522</v>
      </c>
      <c r="J122" s="4">
        <v>2300</v>
      </c>
      <c r="K122" s="4">
        <v>1750</v>
      </c>
      <c r="L122" s="4">
        <v>3389</v>
      </c>
      <c r="M122" s="4">
        <f>Table1[[#This Row],[Visit Cost]]+Table1[[#This Row],[Lab Cost]]+Table1[[#This Row],[Medicine Cost]]+Table1[[#This Row],[Room Charges]]</f>
        <v>7961</v>
      </c>
      <c r="N122" s="5">
        <v>45952</v>
      </c>
      <c r="O122">
        <f>Table1[[#This Row],[Discharge Date]]-Table1[[#This Row],[Visit Date]]</f>
        <v>32</v>
      </c>
      <c r="P122" t="s">
        <v>949</v>
      </c>
      <c r="Q122" s="4">
        <v>0</v>
      </c>
      <c r="R122" s="4">
        <f>Table1[[#This Row],[Total Revenue]]-Table1[[#This Row],[Insurance Claim Amount]]</f>
        <v>7961</v>
      </c>
      <c r="S122">
        <v>2</v>
      </c>
      <c r="T122" t="str">
        <f t="shared" si="2"/>
        <v>Sep</v>
      </c>
      <c r="U122">
        <f t="shared" si="3"/>
        <v>2025</v>
      </c>
    </row>
    <row r="123" spans="1:21" x14ac:dyDescent="0.3">
      <c r="A123" t="s">
        <v>246</v>
      </c>
      <c r="B123" t="s">
        <v>247</v>
      </c>
      <c r="C123" t="s">
        <v>29</v>
      </c>
      <c r="D123" t="s">
        <v>926</v>
      </c>
      <c r="E123" t="s">
        <v>931</v>
      </c>
      <c r="F123">
        <v>45713</v>
      </c>
      <c r="G123" t="s">
        <v>938</v>
      </c>
      <c r="H123" t="s">
        <v>940</v>
      </c>
      <c r="I123" s="4">
        <v>1804</v>
      </c>
      <c r="J123" s="4">
        <v>500</v>
      </c>
      <c r="K123" s="4">
        <v>308</v>
      </c>
      <c r="L123">
        <v>1030</v>
      </c>
      <c r="M123" s="4">
        <f>Table1[[#This Row],[Visit Cost]]+Table1[[#This Row],[Lab Cost]]+Table1[[#This Row],[Medicine Cost]]+Table1[[#This Row],[Room Charges]]</f>
        <v>3642</v>
      </c>
      <c r="N123" s="5">
        <v>45720</v>
      </c>
      <c r="O123">
        <f>Table1[[#This Row],[Discharge Date]]-Table1[[#This Row],[Visit Date]]</f>
        <v>7</v>
      </c>
      <c r="P123" t="s">
        <v>948</v>
      </c>
      <c r="Q123" s="4">
        <v>1850</v>
      </c>
      <c r="R123" s="4">
        <f>Table1[[#This Row],[Total Revenue]]-Table1[[#This Row],[Insurance Claim Amount]]</f>
        <v>1792</v>
      </c>
      <c r="S123">
        <v>3</v>
      </c>
      <c r="T123" t="str">
        <f t="shared" si="2"/>
        <v>Feb</v>
      </c>
      <c r="U123">
        <f t="shared" si="3"/>
        <v>2025</v>
      </c>
    </row>
    <row r="124" spans="1:21" x14ac:dyDescent="0.3">
      <c r="A124" t="s">
        <v>248</v>
      </c>
      <c r="B124" t="s">
        <v>249</v>
      </c>
      <c r="C124" t="s">
        <v>6</v>
      </c>
      <c r="D124" t="s">
        <v>85</v>
      </c>
      <c r="E124" t="s">
        <v>929</v>
      </c>
      <c r="F124">
        <v>45820</v>
      </c>
      <c r="G124" t="s">
        <v>937</v>
      </c>
      <c r="H124" t="s">
        <v>943</v>
      </c>
      <c r="I124" s="4">
        <v>769</v>
      </c>
      <c r="J124" s="4">
        <v>3682</v>
      </c>
      <c r="K124" s="4">
        <v>2820</v>
      </c>
      <c r="L124">
        <v>2310</v>
      </c>
      <c r="M124" s="4">
        <f>Table1[[#This Row],[Visit Cost]]+Table1[[#This Row],[Lab Cost]]+Table1[[#This Row],[Medicine Cost]]+Table1[[#This Row],[Room Charges]]</f>
        <v>9581</v>
      </c>
      <c r="N124" s="5">
        <v>45916</v>
      </c>
      <c r="O124">
        <f>Table1[[#This Row],[Discharge Date]]-Table1[[#This Row],[Visit Date]]</f>
        <v>96</v>
      </c>
      <c r="P124" t="s">
        <v>949</v>
      </c>
      <c r="Q124" s="4">
        <v>0</v>
      </c>
      <c r="R124" s="4">
        <f>Table1[[#This Row],[Total Revenue]]-Table1[[#This Row],[Insurance Claim Amount]]</f>
        <v>9581</v>
      </c>
      <c r="S124">
        <v>4</v>
      </c>
      <c r="T124" t="str">
        <f t="shared" si="2"/>
        <v>Jun</v>
      </c>
      <c r="U124">
        <f t="shared" si="3"/>
        <v>2025</v>
      </c>
    </row>
    <row r="125" spans="1:21" x14ac:dyDescent="0.3">
      <c r="A125" t="s">
        <v>250</v>
      </c>
      <c r="B125" t="s">
        <v>251</v>
      </c>
      <c r="C125" t="s">
        <v>47</v>
      </c>
      <c r="D125" t="s">
        <v>252</v>
      </c>
      <c r="E125" t="s">
        <v>930</v>
      </c>
      <c r="F125">
        <v>45977</v>
      </c>
      <c r="G125" t="s">
        <v>936</v>
      </c>
      <c r="H125" t="s">
        <v>945</v>
      </c>
      <c r="I125" s="4">
        <v>1320</v>
      </c>
      <c r="J125" s="4">
        <v>656</v>
      </c>
      <c r="K125" s="4">
        <v>1950</v>
      </c>
      <c r="L125">
        <v>2057</v>
      </c>
      <c r="M125" s="4">
        <f>Table1[[#This Row],[Visit Cost]]+Table1[[#This Row],[Lab Cost]]+Table1[[#This Row],[Medicine Cost]]+Table1[[#This Row],[Room Charges]]</f>
        <v>5983</v>
      </c>
      <c r="N125" s="5">
        <v>46015</v>
      </c>
      <c r="O125">
        <f>Table1[[#This Row],[Discharge Date]]-Table1[[#This Row],[Visit Date]]</f>
        <v>38</v>
      </c>
      <c r="P125" t="s">
        <v>948</v>
      </c>
      <c r="Q125" s="4">
        <v>3205</v>
      </c>
      <c r="R125" s="4">
        <f>Table1[[#This Row],[Total Revenue]]-Table1[[#This Row],[Insurance Claim Amount]]</f>
        <v>2778</v>
      </c>
      <c r="S125">
        <v>3</v>
      </c>
      <c r="T125" t="str">
        <f t="shared" si="2"/>
        <v>Nov</v>
      </c>
      <c r="U125">
        <f t="shared" si="3"/>
        <v>2025</v>
      </c>
    </row>
    <row r="126" spans="1:21" x14ac:dyDescent="0.3">
      <c r="A126" t="s">
        <v>253</v>
      </c>
      <c r="B126" t="s">
        <v>166</v>
      </c>
      <c r="C126" t="s">
        <v>11</v>
      </c>
      <c r="D126" t="s">
        <v>164</v>
      </c>
      <c r="E126" t="s">
        <v>932</v>
      </c>
      <c r="F126">
        <v>45834</v>
      </c>
      <c r="G126" t="s">
        <v>935</v>
      </c>
      <c r="H126" t="s">
        <v>941</v>
      </c>
      <c r="I126" s="4">
        <v>1653</v>
      </c>
      <c r="J126" s="4">
        <v>650</v>
      </c>
      <c r="K126" s="4">
        <v>1648</v>
      </c>
      <c r="L126">
        <v>941</v>
      </c>
      <c r="M126" s="4">
        <f>Table1[[#This Row],[Visit Cost]]+Table1[[#This Row],[Lab Cost]]+Table1[[#This Row],[Medicine Cost]]+Table1[[#This Row],[Room Charges]]</f>
        <v>4892</v>
      </c>
      <c r="N126" s="5">
        <v>45854</v>
      </c>
      <c r="O126">
        <f>Table1[[#This Row],[Discharge Date]]-Table1[[#This Row],[Visit Date]]</f>
        <v>20</v>
      </c>
      <c r="P126" t="s">
        <v>948</v>
      </c>
      <c r="Q126" s="4">
        <v>1525</v>
      </c>
      <c r="R126" s="4">
        <f>Table1[[#This Row],[Total Revenue]]-Table1[[#This Row],[Insurance Claim Amount]]</f>
        <v>3367</v>
      </c>
      <c r="S126">
        <v>3</v>
      </c>
      <c r="T126" t="str">
        <f t="shared" si="2"/>
        <v>Jun</v>
      </c>
      <c r="U126">
        <f t="shared" si="3"/>
        <v>2025</v>
      </c>
    </row>
    <row r="127" spans="1:21" x14ac:dyDescent="0.3">
      <c r="A127" t="s">
        <v>254</v>
      </c>
      <c r="B127" t="s">
        <v>255</v>
      </c>
      <c r="C127" t="s">
        <v>47</v>
      </c>
      <c r="D127" t="s">
        <v>252</v>
      </c>
      <c r="E127" t="s">
        <v>932</v>
      </c>
      <c r="F127">
        <v>46019</v>
      </c>
      <c r="G127" t="s">
        <v>938</v>
      </c>
      <c r="H127" t="s">
        <v>943</v>
      </c>
      <c r="I127" s="4">
        <v>1813</v>
      </c>
      <c r="J127" s="4">
        <v>3915</v>
      </c>
      <c r="K127" s="4">
        <v>1387</v>
      </c>
      <c r="L127">
        <v>1107</v>
      </c>
      <c r="M127" s="4">
        <f>Table1[[#This Row],[Visit Cost]]+Table1[[#This Row],[Lab Cost]]+Table1[[#This Row],[Medicine Cost]]+Table1[[#This Row],[Room Charges]]</f>
        <v>8222</v>
      </c>
      <c r="N127" s="5">
        <v>46112</v>
      </c>
      <c r="O127">
        <f>Table1[[#This Row],[Discharge Date]]-Table1[[#This Row],[Visit Date]]</f>
        <v>93</v>
      </c>
      <c r="P127" t="s">
        <v>948</v>
      </c>
      <c r="Q127" s="4">
        <v>15956</v>
      </c>
      <c r="R127" s="4">
        <f>Table1[[#This Row],[Total Revenue]]-Table1[[#This Row],[Insurance Claim Amount]]</f>
        <v>-7734</v>
      </c>
      <c r="S127">
        <v>4</v>
      </c>
      <c r="T127" t="str">
        <f t="shared" si="2"/>
        <v>Dec</v>
      </c>
      <c r="U127">
        <f t="shared" si="3"/>
        <v>2025</v>
      </c>
    </row>
    <row r="128" spans="1:21" x14ac:dyDescent="0.3">
      <c r="A128" t="s">
        <v>256</v>
      </c>
      <c r="B128" t="s">
        <v>257</v>
      </c>
      <c r="C128" t="s">
        <v>29</v>
      </c>
      <c r="D128" t="s">
        <v>926</v>
      </c>
      <c r="E128" t="s">
        <v>933</v>
      </c>
      <c r="F128">
        <v>45777</v>
      </c>
      <c r="G128" t="s">
        <v>936</v>
      </c>
      <c r="H128" t="s">
        <v>945</v>
      </c>
      <c r="I128" s="4">
        <v>563</v>
      </c>
      <c r="J128" s="4">
        <v>4520</v>
      </c>
      <c r="K128" s="4">
        <v>2526</v>
      </c>
      <c r="L128">
        <v>1669</v>
      </c>
      <c r="M128" s="4">
        <f>Table1[[#This Row],[Visit Cost]]+Table1[[#This Row],[Lab Cost]]+Table1[[#This Row],[Medicine Cost]]+Table1[[#This Row],[Room Charges]]</f>
        <v>9278</v>
      </c>
      <c r="N128" s="5">
        <v>45899</v>
      </c>
      <c r="O128">
        <f>Table1[[#This Row],[Discharge Date]]-Table1[[#This Row],[Visit Date]]</f>
        <v>122</v>
      </c>
      <c r="P128" t="s">
        <v>949</v>
      </c>
      <c r="Q128" s="4">
        <v>0</v>
      </c>
      <c r="R128" s="4">
        <f>Table1[[#This Row],[Total Revenue]]-Table1[[#This Row],[Insurance Claim Amount]]</f>
        <v>9278</v>
      </c>
      <c r="S128">
        <v>1</v>
      </c>
      <c r="T128" t="str">
        <f t="shared" si="2"/>
        <v>Apr</v>
      </c>
      <c r="U128">
        <f t="shared" si="3"/>
        <v>2025</v>
      </c>
    </row>
    <row r="129" spans="1:21" x14ac:dyDescent="0.3">
      <c r="A129" t="s">
        <v>258</v>
      </c>
      <c r="B129" t="s">
        <v>259</v>
      </c>
      <c r="C129" t="s">
        <v>11</v>
      </c>
      <c r="D129" t="s">
        <v>164</v>
      </c>
      <c r="E129" t="s">
        <v>930</v>
      </c>
      <c r="F129">
        <v>45869</v>
      </c>
      <c r="G129" t="s">
        <v>937</v>
      </c>
      <c r="H129" t="s">
        <v>940</v>
      </c>
      <c r="I129" s="4">
        <v>989</v>
      </c>
      <c r="J129" s="4">
        <v>4760</v>
      </c>
      <c r="K129" s="4">
        <v>1339</v>
      </c>
      <c r="L129">
        <v>1757</v>
      </c>
      <c r="M129" s="4">
        <f>Table1[[#This Row],[Visit Cost]]+Table1[[#This Row],[Lab Cost]]+Table1[[#This Row],[Medicine Cost]]+Table1[[#This Row],[Room Charges]]</f>
        <v>8845</v>
      </c>
      <c r="N129" s="5">
        <v>45953</v>
      </c>
      <c r="O129">
        <f>Table1[[#This Row],[Discharge Date]]-Table1[[#This Row],[Visit Date]]</f>
        <v>84</v>
      </c>
      <c r="P129" t="s">
        <v>949</v>
      </c>
      <c r="Q129" s="4">
        <v>0</v>
      </c>
      <c r="R129" s="4">
        <f>Table1[[#This Row],[Total Revenue]]-Table1[[#This Row],[Insurance Claim Amount]]</f>
        <v>8845</v>
      </c>
      <c r="S129">
        <v>1</v>
      </c>
      <c r="T129" t="str">
        <f t="shared" si="2"/>
        <v>Jul</v>
      </c>
      <c r="U129">
        <f t="shared" si="3"/>
        <v>2025</v>
      </c>
    </row>
    <row r="130" spans="1:21" x14ac:dyDescent="0.3">
      <c r="A130" t="s">
        <v>260</v>
      </c>
      <c r="B130" t="s">
        <v>261</v>
      </c>
      <c r="C130" t="s">
        <v>6</v>
      </c>
      <c r="D130" t="s">
        <v>85</v>
      </c>
      <c r="E130" t="s">
        <v>931</v>
      </c>
      <c r="F130">
        <v>45994</v>
      </c>
      <c r="G130" t="s">
        <v>935</v>
      </c>
      <c r="H130" t="s">
        <v>944</v>
      </c>
      <c r="I130" s="4">
        <v>1108</v>
      </c>
      <c r="J130" s="4">
        <v>3050</v>
      </c>
      <c r="K130" s="4">
        <v>734</v>
      </c>
      <c r="L130">
        <v>962</v>
      </c>
      <c r="M130" s="4">
        <f>Table1[[#This Row],[Visit Cost]]+Table1[[#This Row],[Lab Cost]]+Table1[[#This Row],[Medicine Cost]]+Table1[[#This Row],[Room Charges]]</f>
        <v>5854</v>
      </c>
      <c r="N130" s="5">
        <v>46078</v>
      </c>
      <c r="O130">
        <f>Table1[[#This Row],[Discharge Date]]-Table1[[#This Row],[Visit Date]]</f>
        <v>84</v>
      </c>
      <c r="P130" t="s">
        <v>949</v>
      </c>
      <c r="Q130" s="4">
        <v>0</v>
      </c>
      <c r="R130" s="4">
        <f>Table1[[#This Row],[Total Revenue]]-Table1[[#This Row],[Insurance Claim Amount]]</f>
        <v>5854</v>
      </c>
      <c r="S130">
        <v>3</v>
      </c>
      <c r="T130" t="str">
        <f t="shared" si="2"/>
        <v>Dec</v>
      </c>
      <c r="U130">
        <f t="shared" si="3"/>
        <v>2025</v>
      </c>
    </row>
    <row r="131" spans="1:21" x14ac:dyDescent="0.3">
      <c r="A131" t="s">
        <v>262</v>
      </c>
      <c r="B131" t="s">
        <v>263</v>
      </c>
      <c r="C131" t="s">
        <v>16</v>
      </c>
      <c r="D131" t="s">
        <v>164</v>
      </c>
      <c r="E131" t="s">
        <v>929</v>
      </c>
      <c r="F131">
        <v>45867</v>
      </c>
      <c r="G131" t="s">
        <v>936</v>
      </c>
      <c r="H131" t="s">
        <v>944</v>
      </c>
      <c r="I131" s="4">
        <v>886</v>
      </c>
      <c r="J131" s="4">
        <v>1750</v>
      </c>
      <c r="K131" s="4">
        <v>1308</v>
      </c>
      <c r="L131" s="4">
        <v>2178</v>
      </c>
      <c r="M131" s="4">
        <f>Table1[[#This Row],[Visit Cost]]+Table1[[#This Row],[Lab Cost]]+Table1[[#This Row],[Medicine Cost]]+Table1[[#This Row],[Room Charges]]</f>
        <v>6122</v>
      </c>
      <c r="N131" s="5">
        <v>45905</v>
      </c>
      <c r="O131">
        <f>Table1[[#This Row],[Discharge Date]]-Table1[[#This Row],[Visit Date]]</f>
        <v>38</v>
      </c>
      <c r="P131" t="s">
        <v>948</v>
      </c>
      <c r="Q131" s="4">
        <v>4500</v>
      </c>
      <c r="R131" s="4">
        <f>Table1[[#This Row],[Total Revenue]]-Table1[[#This Row],[Insurance Claim Amount]]</f>
        <v>1622</v>
      </c>
      <c r="S131">
        <v>5</v>
      </c>
      <c r="T131" t="str">
        <f t="shared" ref="T131:T194" si="4">TEXT(F131,"MMM")</f>
        <v>Jul</v>
      </c>
      <c r="U131">
        <f t="shared" ref="U131:U194" si="5">YEAR(F131)</f>
        <v>2025</v>
      </c>
    </row>
    <row r="132" spans="1:21" x14ac:dyDescent="0.3">
      <c r="A132" t="s">
        <v>264</v>
      </c>
      <c r="B132" t="s">
        <v>265</v>
      </c>
      <c r="C132" t="s">
        <v>47</v>
      </c>
      <c r="D132" t="s">
        <v>252</v>
      </c>
      <c r="E132" t="s">
        <v>929</v>
      </c>
      <c r="F132">
        <v>45835</v>
      </c>
      <c r="G132" t="s">
        <v>938</v>
      </c>
      <c r="H132" t="s">
        <v>941</v>
      </c>
      <c r="I132" s="4">
        <v>619</v>
      </c>
      <c r="J132" s="4">
        <v>2518</v>
      </c>
      <c r="K132" s="4">
        <v>2305</v>
      </c>
      <c r="L132" s="4">
        <v>3167</v>
      </c>
      <c r="M132" s="4">
        <f>Table1[[#This Row],[Visit Cost]]+Table1[[#This Row],[Lab Cost]]+Table1[[#This Row],[Medicine Cost]]+Table1[[#This Row],[Room Charges]]</f>
        <v>8609</v>
      </c>
      <c r="N132" s="5">
        <v>45894</v>
      </c>
      <c r="O132">
        <f>Table1[[#This Row],[Discharge Date]]-Table1[[#This Row],[Visit Date]]</f>
        <v>59</v>
      </c>
      <c r="P132" t="s">
        <v>948</v>
      </c>
      <c r="Q132" s="4">
        <v>2332</v>
      </c>
      <c r="R132" s="4">
        <f>Table1[[#This Row],[Total Revenue]]-Table1[[#This Row],[Insurance Claim Amount]]</f>
        <v>6277</v>
      </c>
      <c r="S132">
        <v>2</v>
      </c>
      <c r="T132" t="str">
        <f t="shared" si="4"/>
        <v>Jun</v>
      </c>
      <c r="U132">
        <f t="shared" si="5"/>
        <v>2025</v>
      </c>
    </row>
    <row r="133" spans="1:21" x14ac:dyDescent="0.3">
      <c r="A133" t="s">
        <v>266</v>
      </c>
      <c r="B133" t="s">
        <v>267</v>
      </c>
      <c r="C133" t="s">
        <v>47</v>
      </c>
      <c r="D133" t="s">
        <v>80</v>
      </c>
      <c r="E133" t="s">
        <v>931</v>
      </c>
      <c r="F133">
        <v>45690</v>
      </c>
      <c r="G133" t="s">
        <v>937</v>
      </c>
      <c r="H133" t="s">
        <v>942</v>
      </c>
      <c r="I133" s="4">
        <v>1212</v>
      </c>
      <c r="J133" s="4">
        <v>1382</v>
      </c>
      <c r="K133" s="4">
        <v>2002</v>
      </c>
      <c r="L133" s="4">
        <v>1282</v>
      </c>
      <c r="M133" s="4">
        <f>Table1[[#This Row],[Visit Cost]]+Table1[[#This Row],[Lab Cost]]+Table1[[#This Row],[Medicine Cost]]+Table1[[#This Row],[Room Charges]]</f>
        <v>5878</v>
      </c>
      <c r="N133" s="5">
        <v>45801</v>
      </c>
      <c r="O133">
        <f>Table1[[#This Row],[Discharge Date]]-Table1[[#This Row],[Visit Date]]</f>
        <v>111</v>
      </c>
      <c r="P133" t="s">
        <v>949</v>
      </c>
      <c r="Q133" s="4">
        <v>0</v>
      </c>
      <c r="R133" s="4">
        <f>Table1[[#This Row],[Total Revenue]]-Table1[[#This Row],[Insurance Claim Amount]]</f>
        <v>5878</v>
      </c>
      <c r="S133">
        <v>1</v>
      </c>
      <c r="T133" t="str">
        <f t="shared" si="4"/>
        <v>Feb</v>
      </c>
      <c r="U133">
        <f t="shared" si="5"/>
        <v>2025</v>
      </c>
    </row>
    <row r="134" spans="1:21" x14ac:dyDescent="0.3">
      <c r="A134" t="s">
        <v>268</v>
      </c>
      <c r="B134" t="s">
        <v>269</v>
      </c>
      <c r="C134" t="s">
        <v>29</v>
      </c>
      <c r="D134" t="s">
        <v>926</v>
      </c>
      <c r="E134" t="s">
        <v>932</v>
      </c>
      <c r="F134">
        <v>45873</v>
      </c>
      <c r="G134" t="s">
        <v>936</v>
      </c>
      <c r="H134" t="s">
        <v>940</v>
      </c>
      <c r="I134" s="4">
        <v>1000</v>
      </c>
      <c r="J134" s="4">
        <v>1978</v>
      </c>
      <c r="K134" s="4">
        <v>2455</v>
      </c>
      <c r="L134" s="4">
        <v>3012</v>
      </c>
      <c r="M134" s="4">
        <f>Table1[[#This Row],[Visit Cost]]+Table1[[#This Row],[Lab Cost]]+Table1[[#This Row],[Medicine Cost]]+Table1[[#This Row],[Room Charges]]</f>
        <v>8445</v>
      </c>
      <c r="N134" s="5">
        <v>45988</v>
      </c>
      <c r="O134">
        <f>Table1[[#This Row],[Discharge Date]]-Table1[[#This Row],[Visit Date]]</f>
        <v>115</v>
      </c>
      <c r="P134" t="s">
        <v>948</v>
      </c>
      <c r="Q134" s="4">
        <v>4144</v>
      </c>
      <c r="R134" s="4">
        <f>Table1[[#This Row],[Total Revenue]]-Table1[[#This Row],[Insurance Claim Amount]]</f>
        <v>4301</v>
      </c>
      <c r="S134">
        <v>1</v>
      </c>
      <c r="T134" t="str">
        <f t="shared" si="4"/>
        <v>Aug</v>
      </c>
      <c r="U134">
        <f t="shared" si="5"/>
        <v>2025</v>
      </c>
    </row>
    <row r="135" spans="1:21" x14ac:dyDescent="0.3">
      <c r="A135" t="s">
        <v>270</v>
      </c>
      <c r="B135" t="s">
        <v>271</v>
      </c>
      <c r="C135" t="s">
        <v>6</v>
      </c>
      <c r="D135" t="s">
        <v>925</v>
      </c>
      <c r="E135" t="s">
        <v>933</v>
      </c>
      <c r="F135">
        <v>45883</v>
      </c>
      <c r="G135" t="s">
        <v>935</v>
      </c>
      <c r="H135" t="s">
        <v>945</v>
      </c>
      <c r="I135" s="4">
        <v>2434</v>
      </c>
      <c r="J135" s="4">
        <v>850</v>
      </c>
      <c r="K135" s="4">
        <v>540</v>
      </c>
      <c r="L135">
        <v>1764</v>
      </c>
      <c r="M135" s="4">
        <f>Table1[[#This Row],[Visit Cost]]+Table1[[#This Row],[Lab Cost]]+Table1[[#This Row],[Medicine Cost]]+Table1[[#This Row],[Room Charges]]</f>
        <v>5588</v>
      </c>
      <c r="N135" s="5">
        <v>45898</v>
      </c>
      <c r="O135">
        <f>Table1[[#This Row],[Discharge Date]]-Table1[[#This Row],[Visit Date]]</f>
        <v>15</v>
      </c>
      <c r="P135" t="s">
        <v>949</v>
      </c>
      <c r="Q135" s="4">
        <v>0</v>
      </c>
      <c r="R135" s="4">
        <f>Table1[[#This Row],[Total Revenue]]-Table1[[#This Row],[Insurance Claim Amount]]</f>
        <v>5588</v>
      </c>
      <c r="S135">
        <v>4</v>
      </c>
      <c r="T135" t="str">
        <f t="shared" si="4"/>
        <v>Aug</v>
      </c>
      <c r="U135">
        <f t="shared" si="5"/>
        <v>2025</v>
      </c>
    </row>
    <row r="136" spans="1:21" x14ac:dyDescent="0.3">
      <c r="A136" t="s">
        <v>272</v>
      </c>
      <c r="B136" t="s">
        <v>273</v>
      </c>
      <c r="C136" t="s">
        <v>6</v>
      </c>
      <c r="D136" t="s">
        <v>252</v>
      </c>
      <c r="E136" t="s">
        <v>930</v>
      </c>
      <c r="F136">
        <v>45731</v>
      </c>
      <c r="G136" t="s">
        <v>936</v>
      </c>
      <c r="H136" t="s">
        <v>944</v>
      </c>
      <c r="I136" s="4">
        <v>2000</v>
      </c>
      <c r="J136" s="4">
        <v>2500</v>
      </c>
      <c r="K136" s="4">
        <v>2800</v>
      </c>
      <c r="L136">
        <v>2291</v>
      </c>
      <c r="M136" s="4">
        <f>Table1[[#This Row],[Visit Cost]]+Table1[[#This Row],[Lab Cost]]+Table1[[#This Row],[Medicine Cost]]+Table1[[#This Row],[Room Charges]]</f>
        <v>9591</v>
      </c>
      <c r="N136" s="5">
        <v>45771</v>
      </c>
      <c r="O136">
        <f>Table1[[#This Row],[Discharge Date]]-Table1[[#This Row],[Visit Date]]</f>
        <v>40</v>
      </c>
      <c r="P136" t="s">
        <v>948</v>
      </c>
      <c r="Q136" s="4">
        <v>6000</v>
      </c>
      <c r="R136" s="4">
        <f>Table1[[#This Row],[Total Revenue]]-Table1[[#This Row],[Insurance Claim Amount]]</f>
        <v>3591</v>
      </c>
      <c r="S136">
        <v>2</v>
      </c>
      <c r="T136" t="str">
        <f t="shared" si="4"/>
        <v>Mar</v>
      </c>
      <c r="U136">
        <f t="shared" si="5"/>
        <v>2025</v>
      </c>
    </row>
    <row r="137" spans="1:21" x14ac:dyDescent="0.3">
      <c r="A137" t="s">
        <v>274</v>
      </c>
      <c r="B137" t="s">
        <v>275</v>
      </c>
      <c r="C137" t="s">
        <v>38</v>
      </c>
      <c r="D137" t="s">
        <v>927</v>
      </c>
      <c r="E137" t="s">
        <v>930</v>
      </c>
      <c r="F137">
        <v>45708</v>
      </c>
      <c r="G137" t="s">
        <v>938</v>
      </c>
      <c r="H137" t="s">
        <v>943</v>
      </c>
      <c r="I137" s="4">
        <v>1200</v>
      </c>
      <c r="J137" s="4">
        <v>4970</v>
      </c>
      <c r="K137" s="4">
        <v>2317</v>
      </c>
      <c r="L137">
        <v>2017</v>
      </c>
      <c r="M137" s="4">
        <f>Table1[[#This Row],[Visit Cost]]+Table1[[#This Row],[Lab Cost]]+Table1[[#This Row],[Medicine Cost]]+Table1[[#This Row],[Room Charges]]</f>
        <v>10504</v>
      </c>
      <c r="N137" s="5">
        <v>45816</v>
      </c>
      <c r="O137">
        <f>Table1[[#This Row],[Discharge Date]]-Table1[[#This Row],[Visit Date]]</f>
        <v>108</v>
      </c>
      <c r="P137" t="s">
        <v>949</v>
      </c>
      <c r="Q137" s="4">
        <v>0</v>
      </c>
      <c r="R137" s="4">
        <f>Table1[[#This Row],[Total Revenue]]-Table1[[#This Row],[Insurance Claim Amount]]</f>
        <v>10504</v>
      </c>
      <c r="S137">
        <v>3</v>
      </c>
      <c r="T137" t="str">
        <f t="shared" si="4"/>
        <v>Feb</v>
      </c>
      <c r="U137">
        <f t="shared" si="5"/>
        <v>2025</v>
      </c>
    </row>
    <row r="138" spans="1:21" x14ac:dyDescent="0.3">
      <c r="A138" t="s">
        <v>276</v>
      </c>
      <c r="B138" t="s">
        <v>277</v>
      </c>
      <c r="C138" t="s">
        <v>16</v>
      </c>
      <c r="D138" t="s">
        <v>164</v>
      </c>
      <c r="E138" t="s">
        <v>933</v>
      </c>
      <c r="F138">
        <v>45663</v>
      </c>
      <c r="G138" t="s">
        <v>937</v>
      </c>
      <c r="H138" t="s">
        <v>940</v>
      </c>
      <c r="I138" s="4">
        <v>1612</v>
      </c>
      <c r="J138" s="4">
        <v>1680</v>
      </c>
      <c r="K138" s="4">
        <v>2085</v>
      </c>
      <c r="L138">
        <v>2132</v>
      </c>
      <c r="M138" s="4">
        <f>Table1[[#This Row],[Visit Cost]]+Table1[[#This Row],[Lab Cost]]+Table1[[#This Row],[Medicine Cost]]+Table1[[#This Row],[Room Charges]]</f>
        <v>7509</v>
      </c>
      <c r="N138" s="5">
        <v>45701</v>
      </c>
      <c r="O138">
        <f>Table1[[#This Row],[Discharge Date]]-Table1[[#This Row],[Visit Date]]</f>
        <v>38</v>
      </c>
      <c r="P138" t="s">
        <v>949</v>
      </c>
      <c r="Q138" s="4">
        <v>0</v>
      </c>
      <c r="R138" s="4">
        <f>Table1[[#This Row],[Total Revenue]]-Table1[[#This Row],[Insurance Claim Amount]]</f>
        <v>7509</v>
      </c>
      <c r="S138">
        <v>4</v>
      </c>
      <c r="T138" t="str">
        <f t="shared" si="4"/>
        <v>Jan</v>
      </c>
      <c r="U138">
        <f t="shared" si="5"/>
        <v>2025</v>
      </c>
    </row>
    <row r="139" spans="1:21" x14ac:dyDescent="0.3">
      <c r="A139" t="s">
        <v>278</v>
      </c>
      <c r="B139" t="s">
        <v>279</v>
      </c>
      <c r="C139" t="s">
        <v>6</v>
      </c>
      <c r="D139" t="s">
        <v>85</v>
      </c>
      <c r="E139" t="s">
        <v>932</v>
      </c>
      <c r="F139">
        <v>45685</v>
      </c>
      <c r="G139" t="s">
        <v>936</v>
      </c>
      <c r="H139" t="s">
        <v>943</v>
      </c>
      <c r="I139" s="4">
        <v>1302</v>
      </c>
      <c r="J139" s="4">
        <v>1760</v>
      </c>
      <c r="K139" s="4">
        <v>1830</v>
      </c>
      <c r="L139">
        <v>2331</v>
      </c>
      <c r="M139" s="4">
        <f>Table1[[#This Row],[Visit Cost]]+Table1[[#This Row],[Lab Cost]]+Table1[[#This Row],[Medicine Cost]]+Table1[[#This Row],[Room Charges]]</f>
        <v>7223</v>
      </c>
      <c r="N139" s="5">
        <v>45726</v>
      </c>
      <c r="O139">
        <f>Table1[[#This Row],[Discharge Date]]-Table1[[#This Row],[Visit Date]]</f>
        <v>41</v>
      </c>
      <c r="P139" t="s">
        <v>948</v>
      </c>
      <c r="Q139" s="4">
        <v>1000</v>
      </c>
      <c r="R139" s="4">
        <f>Table1[[#This Row],[Total Revenue]]-Table1[[#This Row],[Insurance Claim Amount]]</f>
        <v>6223</v>
      </c>
      <c r="S139">
        <v>4</v>
      </c>
      <c r="T139" t="str">
        <f t="shared" si="4"/>
        <v>Jan</v>
      </c>
      <c r="U139">
        <f t="shared" si="5"/>
        <v>2025</v>
      </c>
    </row>
    <row r="140" spans="1:21" x14ac:dyDescent="0.3">
      <c r="A140" t="s">
        <v>280</v>
      </c>
      <c r="B140" t="s">
        <v>281</v>
      </c>
      <c r="C140" t="s">
        <v>16</v>
      </c>
      <c r="D140" t="s">
        <v>925</v>
      </c>
      <c r="E140" t="s">
        <v>929</v>
      </c>
      <c r="F140">
        <v>45869</v>
      </c>
      <c r="G140" t="s">
        <v>935</v>
      </c>
      <c r="H140" t="s">
        <v>943</v>
      </c>
      <c r="I140" s="4">
        <v>727</v>
      </c>
      <c r="J140" s="4">
        <v>4961</v>
      </c>
      <c r="K140" s="4">
        <v>2563</v>
      </c>
      <c r="L140">
        <v>899</v>
      </c>
      <c r="M140" s="4">
        <f>Table1[[#This Row],[Visit Cost]]+Table1[[#This Row],[Lab Cost]]+Table1[[#This Row],[Medicine Cost]]+Table1[[#This Row],[Room Charges]]</f>
        <v>9150</v>
      </c>
      <c r="N140" s="5">
        <v>45951</v>
      </c>
      <c r="O140">
        <f>Table1[[#This Row],[Discharge Date]]-Table1[[#This Row],[Visit Date]]</f>
        <v>82</v>
      </c>
      <c r="P140" t="s">
        <v>948</v>
      </c>
      <c r="Q140" s="4">
        <v>8360</v>
      </c>
      <c r="R140" s="4">
        <f>Table1[[#This Row],[Total Revenue]]-Table1[[#This Row],[Insurance Claim Amount]]</f>
        <v>790</v>
      </c>
      <c r="S140">
        <v>4</v>
      </c>
      <c r="T140" t="str">
        <f t="shared" si="4"/>
        <v>Jul</v>
      </c>
      <c r="U140">
        <f t="shared" si="5"/>
        <v>2025</v>
      </c>
    </row>
    <row r="141" spans="1:21" x14ac:dyDescent="0.3">
      <c r="A141" t="s">
        <v>282</v>
      </c>
      <c r="B141" t="s">
        <v>283</v>
      </c>
      <c r="C141" t="s">
        <v>16</v>
      </c>
      <c r="D141" t="s">
        <v>925</v>
      </c>
      <c r="E141" t="s">
        <v>931</v>
      </c>
      <c r="F141">
        <v>45985</v>
      </c>
      <c r="G141" t="s">
        <v>938</v>
      </c>
      <c r="H141" t="s">
        <v>944</v>
      </c>
      <c r="I141" s="4">
        <v>510</v>
      </c>
      <c r="J141" s="4">
        <v>3483</v>
      </c>
      <c r="K141" s="4">
        <v>1506</v>
      </c>
      <c r="L141">
        <v>2225</v>
      </c>
      <c r="M141" s="4">
        <f>Table1[[#This Row],[Visit Cost]]+Table1[[#This Row],[Lab Cost]]+Table1[[#This Row],[Medicine Cost]]+Table1[[#This Row],[Room Charges]]</f>
        <v>7724</v>
      </c>
      <c r="N141" s="5">
        <v>46112</v>
      </c>
      <c r="O141">
        <f>Table1[[#This Row],[Discharge Date]]-Table1[[#This Row],[Visit Date]]</f>
        <v>127</v>
      </c>
      <c r="P141" t="s">
        <v>949</v>
      </c>
      <c r="Q141" s="4">
        <v>0</v>
      </c>
      <c r="R141" s="4">
        <f>Table1[[#This Row],[Total Revenue]]-Table1[[#This Row],[Insurance Claim Amount]]</f>
        <v>7724</v>
      </c>
      <c r="S141">
        <v>2</v>
      </c>
      <c r="T141" t="str">
        <f t="shared" si="4"/>
        <v>Nov</v>
      </c>
      <c r="U141">
        <f t="shared" si="5"/>
        <v>2025</v>
      </c>
    </row>
    <row r="142" spans="1:21" x14ac:dyDescent="0.3">
      <c r="A142" t="s">
        <v>284</v>
      </c>
      <c r="B142" t="s">
        <v>285</v>
      </c>
      <c r="C142" t="s">
        <v>16</v>
      </c>
      <c r="D142" t="s">
        <v>925</v>
      </c>
      <c r="E142" t="s">
        <v>931</v>
      </c>
      <c r="F142">
        <v>46000</v>
      </c>
      <c r="G142" t="s">
        <v>936</v>
      </c>
      <c r="H142" t="s">
        <v>945</v>
      </c>
      <c r="I142" s="4">
        <v>1102</v>
      </c>
      <c r="J142" s="4">
        <v>1840</v>
      </c>
      <c r="K142" s="4">
        <v>694</v>
      </c>
      <c r="L142">
        <v>1313</v>
      </c>
      <c r="M142" s="4">
        <f>Table1[[#This Row],[Visit Cost]]+Table1[[#This Row],[Lab Cost]]+Table1[[#This Row],[Medicine Cost]]+Table1[[#This Row],[Room Charges]]</f>
        <v>4949</v>
      </c>
      <c r="N142" s="5">
        <v>46112</v>
      </c>
      <c r="O142">
        <f>Table1[[#This Row],[Discharge Date]]-Table1[[#This Row],[Visit Date]]</f>
        <v>112</v>
      </c>
      <c r="P142" t="s">
        <v>949</v>
      </c>
      <c r="Q142" s="4">
        <v>0</v>
      </c>
      <c r="R142" s="4">
        <f>Table1[[#This Row],[Total Revenue]]-Table1[[#This Row],[Insurance Claim Amount]]</f>
        <v>4949</v>
      </c>
      <c r="S142">
        <v>5</v>
      </c>
      <c r="T142" t="str">
        <f t="shared" si="4"/>
        <v>Dec</v>
      </c>
      <c r="U142">
        <f t="shared" si="5"/>
        <v>2025</v>
      </c>
    </row>
    <row r="143" spans="1:21" x14ac:dyDescent="0.3">
      <c r="A143" t="s">
        <v>286</v>
      </c>
      <c r="B143" t="s">
        <v>287</v>
      </c>
      <c r="C143" t="s">
        <v>16</v>
      </c>
      <c r="D143" t="s">
        <v>164</v>
      </c>
      <c r="E143" t="s">
        <v>932</v>
      </c>
      <c r="F143">
        <v>45783</v>
      </c>
      <c r="G143" t="s">
        <v>937</v>
      </c>
      <c r="H143" t="s">
        <v>943</v>
      </c>
      <c r="I143" s="4">
        <v>1747</v>
      </c>
      <c r="J143" s="4">
        <v>0</v>
      </c>
      <c r="K143" s="4">
        <v>1252</v>
      </c>
      <c r="L143">
        <v>2439</v>
      </c>
      <c r="M143" s="4">
        <f>Table1[[#This Row],[Visit Cost]]+Table1[[#This Row],[Lab Cost]]+Table1[[#This Row],[Medicine Cost]]+Table1[[#This Row],[Room Charges]]</f>
        <v>5438</v>
      </c>
      <c r="N143" s="5">
        <v>45835</v>
      </c>
      <c r="O143">
        <f>Table1[[#This Row],[Discharge Date]]-Table1[[#This Row],[Visit Date]]</f>
        <v>52</v>
      </c>
      <c r="P143" t="s">
        <v>949</v>
      </c>
      <c r="Q143" s="4">
        <v>0</v>
      </c>
      <c r="R143" s="4">
        <f>Table1[[#This Row],[Total Revenue]]-Table1[[#This Row],[Insurance Claim Amount]]</f>
        <v>5438</v>
      </c>
      <c r="S143">
        <v>4</v>
      </c>
      <c r="T143" t="str">
        <f t="shared" si="4"/>
        <v>May</v>
      </c>
      <c r="U143">
        <f t="shared" si="5"/>
        <v>2025</v>
      </c>
    </row>
    <row r="144" spans="1:21" x14ac:dyDescent="0.3">
      <c r="A144" t="s">
        <v>288</v>
      </c>
      <c r="B144" t="s">
        <v>289</v>
      </c>
      <c r="C144" t="s">
        <v>11</v>
      </c>
      <c r="D144" t="s">
        <v>924</v>
      </c>
      <c r="E144" t="s">
        <v>933</v>
      </c>
      <c r="F144">
        <v>45997</v>
      </c>
      <c r="G144" t="s">
        <v>935</v>
      </c>
      <c r="H144" t="s">
        <v>945</v>
      </c>
      <c r="I144" s="4">
        <v>2442</v>
      </c>
      <c r="J144" s="4">
        <v>1250</v>
      </c>
      <c r="K144" s="4">
        <v>1937</v>
      </c>
      <c r="L144">
        <v>1723</v>
      </c>
      <c r="M144" s="4">
        <f>Table1[[#This Row],[Visit Cost]]+Table1[[#This Row],[Lab Cost]]+Table1[[#This Row],[Medicine Cost]]+Table1[[#This Row],[Room Charges]]</f>
        <v>7352</v>
      </c>
      <c r="N144" s="5">
        <v>46011</v>
      </c>
      <c r="O144">
        <f>Table1[[#This Row],[Discharge Date]]-Table1[[#This Row],[Visit Date]]</f>
        <v>14</v>
      </c>
      <c r="P144" t="s">
        <v>949</v>
      </c>
      <c r="Q144" s="4">
        <v>0</v>
      </c>
      <c r="R144" s="4">
        <f>Table1[[#This Row],[Total Revenue]]-Table1[[#This Row],[Insurance Claim Amount]]</f>
        <v>7352</v>
      </c>
      <c r="S144">
        <v>2</v>
      </c>
      <c r="T144" t="str">
        <f t="shared" si="4"/>
        <v>Dec</v>
      </c>
      <c r="U144">
        <f t="shared" si="5"/>
        <v>2025</v>
      </c>
    </row>
    <row r="145" spans="1:21" x14ac:dyDescent="0.3">
      <c r="A145" t="s">
        <v>290</v>
      </c>
      <c r="B145" t="s">
        <v>291</v>
      </c>
      <c r="C145" t="s">
        <v>6</v>
      </c>
      <c r="D145" t="s">
        <v>252</v>
      </c>
      <c r="E145" t="s">
        <v>929</v>
      </c>
      <c r="F145">
        <v>45911</v>
      </c>
      <c r="G145" t="s">
        <v>936</v>
      </c>
      <c r="H145" t="s">
        <v>940</v>
      </c>
      <c r="I145" s="4">
        <v>1900</v>
      </c>
      <c r="J145" s="4">
        <v>890</v>
      </c>
      <c r="K145" s="4">
        <v>1743</v>
      </c>
      <c r="L145" s="4">
        <v>3391</v>
      </c>
      <c r="M145" s="4">
        <f>Table1[[#This Row],[Visit Cost]]+Table1[[#This Row],[Lab Cost]]+Table1[[#This Row],[Medicine Cost]]+Table1[[#This Row],[Room Charges]]</f>
        <v>7924</v>
      </c>
      <c r="N145" s="5">
        <v>45947</v>
      </c>
      <c r="O145">
        <f>Table1[[#This Row],[Discharge Date]]-Table1[[#This Row],[Visit Date]]</f>
        <v>36</v>
      </c>
      <c r="P145" t="s">
        <v>948</v>
      </c>
      <c r="Q145" s="4">
        <v>424</v>
      </c>
      <c r="R145" s="4">
        <f>Table1[[#This Row],[Total Revenue]]-Table1[[#This Row],[Insurance Claim Amount]]</f>
        <v>7500</v>
      </c>
      <c r="S145">
        <v>3</v>
      </c>
      <c r="T145" t="str">
        <f t="shared" si="4"/>
        <v>Sep</v>
      </c>
      <c r="U145">
        <f t="shared" si="5"/>
        <v>2025</v>
      </c>
    </row>
    <row r="146" spans="1:21" x14ac:dyDescent="0.3">
      <c r="A146" t="s">
        <v>292</v>
      </c>
      <c r="B146" t="s">
        <v>293</v>
      </c>
      <c r="C146" t="s">
        <v>47</v>
      </c>
      <c r="D146" t="s">
        <v>252</v>
      </c>
      <c r="E146" t="s">
        <v>930</v>
      </c>
      <c r="F146">
        <v>45701</v>
      </c>
      <c r="G146" t="s">
        <v>938</v>
      </c>
      <c r="H146" t="s">
        <v>944</v>
      </c>
      <c r="I146" s="4">
        <v>1832</v>
      </c>
      <c r="J146" s="4">
        <v>4907</v>
      </c>
      <c r="K146" s="4">
        <v>1114</v>
      </c>
      <c r="L146" s="4">
        <v>9435</v>
      </c>
      <c r="M146" s="4">
        <f>Table1[[#This Row],[Visit Cost]]+Table1[[#This Row],[Lab Cost]]+Table1[[#This Row],[Medicine Cost]]+Table1[[#This Row],[Room Charges]]</f>
        <v>17288</v>
      </c>
      <c r="N146" s="5">
        <v>45817</v>
      </c>
      <c r="O146">
        <f>Table1[[#This Row],[Discharge Date]]-Table1[[#This Row],[Visit Date]]</f>
        <v>116</v>
      </c>
      <c r="P146" t="s">
        <v>948</v>
      </c>
      <c r="Q146" s="4">
        <v>2467</v>
      </c>
      <c r="R146" s="4">
        <f>Table1[[#This Row],[Total Revenue]]-Table1[[#This Row],[Insurance Claim Amount]]</f>
        <v>14821</v>
      </c>
      <c r="S146">
        <v>1</v>
      </c>
      <c r="T146" t="str">
        <f t="shared" si="4"/>
        <v>Feb</v>
      </c>
      <c r="U146">
        <f t="shared" si="5"/>
        <v>2025</v>
      </c>
    </row>
    <row r="147" spans="1:21" x14ac:dyDescent="0.3">
      <c r="A147" t="s">
        <v>294</v>
      </c>
      <c r="B147" t="s">
        <v>10</v>
      </c>
      <c r="C147" t="s">
        <v>16</v>
      </c>
      <c r="D147" t="s">
        <v>164</v>
      </c>
      <c r="E147" t="s">
        <v>933</v>
      </c>
      <c r="F147">
        <v>45918</v>
      </c>
      <c r="G147" t="s">
        <v>937</v>
      </c>
      <c r="H147" t="s">
        <v>944</v>
      </c>
      <c r="I147" s="4">
        <v>2469</v>
      </c>
      <c r="J147" s="4">
        <v>738</v>
      </c>
      <c r="K147" s="4">
        <v>2470</v>
      </c>
      <c r="L147" s="4">
        <v>2557</v>
      </c>
      <c r="M147" s="4">
        <f>Table1[[#This Row],[Visit Cost]]+Table1[[#This Row],[Lab Cost]]+Table1[[#This Row],[Medicine Cost]]+Table1[[#This Row],[Room Charges]]</f>
        <v>8234</v>
      </c>
      <c r="N147" s="5">
        <v>46007</v>
      </c>
      <c r="O147">
        <f>Table1[[#This Row],[Discharge Date]]-Table1[[#This Row],[Visit Date]]</f>
        <v>89</v>
      </c>
      <c r="P147" t="s">
        <v>949</v>
      </c>
      <c r="Q147" s="4">
        <v>0</v>
      </c>
      <c r="R147" s="4">
        <f>Table1[[#This Row],[Total Revenue]]-Table1[[#This Row],[Insurance Claim Amount]]</f>
        <v>8234</v>
      </c>
      <c r="S147">
        <v>3</v>
      </c>
      <c r="T147" t="str">
        <f t="shared" si="4"/>
        <v>Sep</v>
      </c>
      <c r="U147">
        <f t="shared" si="5"/>
        <v>2025</v>
      </c>
    </row>
    <row r="148" spans="1:21" x14ac:dyDescent="0.3">
      <c r="A148" t="s">
        <v>295</v>
      </c>
      <c r="B148" t="s">
        <v>296</v>
      </c>
      <c r="C148" t="s">
        <v>16</v>
      </c>
      <c r="D148" t="s">
        <v>252</v>
      </c>
      <c r="E148" t="s">
        <v>930</v>
      </c>
      <c r="F148">
        <v>45969</v>
      </c>
      <c r="G148" t="s">
        <v>936</v>
      </c>
      <c r="H148" t="s">
        <v>944</v>
      </c>
      <c r="I148" s="4">
        <v>1577</v>
      </c>
      <c r="J148" s="4">
        <v>3295</v>
      </c>
      <c r="K148" s="4">
        <v>513</v>
      </c>
      <c r="L148" s="4">
        <v>7104</v>
      </c>
      <c r="M148" s="4">
        <f>Table1[[#This Row],[Visit Cost]]+Table1[[#This Row],[Lab Cost]]+Table1[[#This Row],[Medicine Cost]]+Table1[[#This Row],[Room Charges]]</f>
        <v>12489</v>
      </c>
      <c r="N148" s="5">
        <v>46052</v>
      </c>
      <c r="O148">
        <f>Table1[[#This Row],[Discharge Date]]-Table1[[#This Row],[Visit Date]]</f>
        <v>83</v>
      </c>
      <c r="P148" t="s">
        <v>948</v>
      </c>
      <c r="Q148" s="4">
        <v>3310</v>
      </c>
      <c r="R148" s="4">
        <f>Table1[[#This Row],[Total Revenue]]-Table1[[#This Row],[Insurance Claim Amount]]</f>
        <v>9179</v>
      </c>
      <c r="S148">
        <v>1</v>
      </c>
      <c r="T148" t="str">
        <f t="shared" si="4"/>
        <v>Nov</v>
      </c>
      <c r="U148">
        <f t="shared" si="5"/>
        <v>2025</v>
      </c>
    </row>
    <row r="149" spans="1:21" x14ac:dyDescent="0.3">
      <c r="A149" t="s">
        <v>297</v>
      </c>
      <c r="B149" t="s">
        <v>298</v>
      </c>
      <c r="C149" t="s">
        <v>11</v>
      </c>
      <c r="D149" t="s">
        <v>252</v>
      </c>
      <c r="E149" t="s">
        <v>931</v>
      </c>
      <c r="F149">
        <v>45992</v>
      </c>
      <c r="G149" t="s">
        <v>935</v>
      </c>
      <c r="H149" t="s">
        <v>940</v>
      </c>
      <c r="I149" s="4">
        <v>1093</v>
      </c>
      <c r="J149" s="4">
        <v>3974</v>
      </c>
      <c r="K149" s="4">
        <v>2190</v>
      </c>
      <c r="L149" s="4">
        <v>7190</v>
      </c>
      <c r="M149" s="4">
        <f>Table1[[#This Row],[Visit Cost]]+Table1[[#This Row],[Lab Cost]]+Table1[[#This Row],[Medicine Cost]]+Table1[[#This Row],[Room Charges]]</f>
        <v>14447</v>
      </c>
      <c r="N149" s="5">
        <v>46112</v>
      </c>
      <c r="O149">
        <f>Table1[[#This Row],[Discharge Date]]-Table1[[#This Row],[Visit Date]]</f>
        <v>120</v>
      </c>
      <c r="P149" t="s">
        <v>948</v>
      </c>
      <c r="Q149" s="4">
        <v>7692</v>
      </c>
      <c r="R149" s="4">
        <f>Table1[[#This Row],[Total Revenue]]-Table1[[#This Row],[Insurance Claim Amount]]</f>
        <v>6755</v>
      </c>
      <c r="S149">
        <v>3</v>
      </c>
      <c r="T149" t="str">
        <f t="shared" si="4"/>
        <v>Dec</v>
      </c>
      <c r="U149">
        <f t="shared" si="5"/>
        <v>2025</v>
      </c>
    </row>
    <row r="150" spans="1:21" x14ac:dyDescent="0.3">
      <c r="A150" t="s">
        <v>299</v>
      </c>
      <c r="B150" t="s">
        <v>300</v>
      </c>
      <c r="C150" t="s">
        <v>6</v>
      </c>
      <c r="D150" t="s">
        <v>927</v>
      </c>
      <c r="E150" t="s">
        <v>932</v>
      </c>
      <c r="F150">
        <v>45975</v>
      </c>
      <c r="G150" t="s">
        <v>936</v>
      </c>
      <c r="H150" t="s">
        <v>942</v>
      </c>
      <c r="I150" s="4">
        <v>579</v>
      </c>
      <c r="J150" s="4">
        <v>2600</v>
      </c>
      <c r="K150" s="4">
        <v>440</v>
      </c>
      <c r="L150" s="4">
        <v>1250</v>
      </c>
      <c r="M150" s="4">
        <f>Table1[[#This Row],[Visit Cost]]+Table1[[#This Row],[Lab Cost]]+Table1[[#This Row],[Medicine Cost]]+Table1[[#This Row],[Room Charges]]</f>
        <v>4869</v>
      </c>
      <c r="N150" s="5">
        <v>46006</v>
      </c>
      <c r="O150">
        <f>Table1[[#This Row],[Discharge Date]]-Table1[[#This Row],[Visit Date]]</f>
        <v>31</v>
      </c>
      <c r="P150" t="s">
        <v>948</v>
      </c>
      <c r="Q150" s="4">
        <v>2041</v>
      </c>
      <c r="R150" s="4">
        <f>Table1[[#This Row],[Total Revenue]]-Table1[[#This Row],[Insurance Claim Amount]]</f>
        <v>2828</v>
      </c>
      <c r="S150">
        <v>3</v>
      </c>
      <c r="T150" t="str">
        <f t="shared" si="4"/>
        <v>Nov</v>
      </c>
      <c r="U150">
        <f t="shared" si="5"/>
        <v>2025</v>
      </c>
    </row>
    <row r="151" spans="1:21" x14ac:dyDescent="0.3">
      <c r="A151" t="s">
        <v>301</v>
      </c>
      <c r="B151" t="s">
        <v>302</v>
      </c>
      <c r="C151" t="s">
        <v>16</v>
      </c>
      <c r="D151" t="s">
        <v>164</v>
      </c>
      <c r="E151" t="s">
        <v>929</v>
      </c>
      <c r="F151">
        <v>45753</v>
      </c>
      <c r="G151" t="s">
        <v>938</v>
      </c>
      <c r="H151" t="s">
        <v>945</v>
      </c>
      <c r="I151" s="4">
        <v>804</v>
      </c>
      <c r="J151" s="4">
        <v>1207</v>
      </c>
      <c r="K151" s="4">
        <v>1841</v>
      </c>
      <c r="L151">
        <v>899</v>
      </c>
      <c r="M151" s="4">
        <f>Table1[[#This Row],[Visit Cost]]+Table1[[#This Row],[Lab Cost]]+Table1[[#This Row],[Medicine Cost]]+Table1[[#This Row],[Room Charges]]</f>
        <v>4751</v>
      </c>
      <c r="N151" s="5">
        <v>45768</v>
      </c>
      <c r="O151">
        <f>Table1[[#This Row],[Discharge Date]]-Table1[[#This Row],[Visit Date]]</f>
        <v>15</v>
      </c>
      <c r="P151" t="s">
        <v>948</v>
      </c>
      <c r="Q151" s="4">
        <v>1202</v>
      </c>
      <c r="R151" s="4">
        <f>Table1[[#This Row],[Total Revenue]]-Table1[[#This Row],[Insurance Claim Amount]]</f>
        <v>3549</v>
      </c>
      <c r="S151">
        <v>4</v>
      </c>
      <c r="T151" t="str">
        <f t="shared" si="4"/>
        <v>Apr</v>
      </c>
      <c r="U151">
        <f t="shared" si="5"/>
        <v>2025</v>
      </c>
    </row>
    <row r="152" spans="1:21" x14ac:dyDescent="0.3">
      <c r="A152" t="s">
        <v>303</v>
      </c>
      <c r="B152" t="s">
        <v>304</v>
      </c>
      <c r="C152" t="s">
        <v>6</v>
      </c>
      <c r="D152" t="s">
        <v>85</v>
      </c>
      <c r="E152" t="s">
        <v>932</v>
      </c>
      <c r="F152">
        <v>45748</v>
      </c>
      <c r="G152" t="s">
        <v>937</v>
      </c>
      <c r="H152" t="s">
        <v>945</v>
      </c>
      <c r="I152" s="4">
        <v>1000</v>
      </c>
      <c r="J152" s="4">
        <v>3733</v>
      </c>
      <c r="K152" s="4">
        <v>733</v>
      </c>
      <c r="L152">
        <v>2225</v>
      </c>
      <c r="M152" s="4">
        <f>Table1[[#This Row],[Visit Cost]]+Table1[[#This Row],[Lab Cost]]+Table1[[#This Row],[Medicine Cost]]+Table1[[#This Row],[Room Charges]]</f>
        <v>7691</v>
      </c>
      <c r="N152" s="5">
        <v>45862</v>
      </c>
      <c r="O152">
        <f>Table1[[#This Row],[Discharge Date]]-Table1[[#This Row],[Visit Date]]</f>
        <v>114</v>
      </c>
      <c r="P152" t="s">
        <v>948</v>
      </c>
      <c r="Q152" s="4">
        <v>9180</v>
      </c>
      <c r="R152" s="4">
        <f>Table1[[#This Row],[Total Revenue]]-Table1[[#This Row],[Insurance Claim Amount]]</f>
        <v>-1489</v>
      </c>
      <c r="S152">
        <v>3</v>
      </c>
      <c r="T152" t="str">
        <f t="shared" si="4"/>
        <v>Apr</v>
      </c>
      <c r="U152">
        <f t="shared" si="5"/>
        <v>2025</v>
      </c>
    </row>
    <row r="153" spans="1:21" x14ac:dyDescent="0.3">
      <c r="A153" t="s">
        <v>305</v>
      </c>
      <c r="B153" t="s">
        <v>306</v>
      </c>
      <c r="C153" t="s">
        <v>11</v>
      </c>
      <c r="D153" t="s">
        <v>252</v>
      </c>
      <c r="E153" t="s">
        <v>929</v>
      </c>
      <c r="F153">
        <v>45910</v>
      </c>
      <c r="G153" t="s">
        <v>936</v>
      </c>
      <c r="H153" t="s">
        <v>940</v>
      </c>
      <c r="I153" s="4">
        <v>1539</v>
      </c>
      <c r="J153" s="4">
        <v>2665</v>
      </c>
      <c r="K153" s="4">
        <v>2676</v>
      </c>
      <c r="L153">
        <v>1313</v>
      </c>
      <c r="M153" s="4">
        <f>Table1[[#This Row],[Visit Cost]]+Table1[[#This Row],[Lab Cost]]+Table1[[#This Row],[Medicine Cost]]+Table1[[#This Row],[Room Charges]]</f>
        <v>8193</v>
      </c>
      <c r="N153" s="5">
        <v>46008</v>
      </c>
      <c r="O153">
        <f>Table1[[#This Row],[Discharge Date]]-Table1[[#This Row],[Visit Date]]</f>
        <v>98</v>
      </c>
      <c r="P153" t="s">
        <v>948</v>
      </c>
      <c r="Q153" s="4">
        <v>4606</v>
      </c>
      <c r="R153" s="4">
        <f>Table1[[#This Row],[Total Revenue]]-Table1[[#This Row],[Insurance Claim Amount]]</f>
        <v>3587</v>
      </c>
      <c r="S153">
        <v>5</v>
      </c>
      <c r="T153" t="str">
        <f t="shared" si="4"/>
        <v>Sep</v>
      </c>
      <c r="U153">
        <f t="shared" si="5"/>
        <v>2025</v>
      </c>
    </row>
    <row r="154" spans="1:21" x14ac:dyDescent="0.3">
      <c r="A154" t="s">
        <v>307</v>
      </c>
      <c r="B154" t="s">
        <v>308</v>
      </c>
      <c r="C154" t="s">
        <v>11</v>
      </c>
      <c r="D154" t="s">
        <v>925</v>
      </c>
      <c r="E154" t="s">
        <v>930</v>
      </c>
      <c r="F154">
        <v>45686</v>
      </c>
      <c r="G154" t="s">
        <v>935</v>
      </c>
      <c r="H154" t="s">
        <v>943</v>
      </c>
      <c r="I154" s="4">
        <v>1731</v>
      </c>
      <c r="J154" s="4">
        <v>1741</v>
      </c>
      <c r="K154" s="4">
        <v>2547</v>
      </c>
      <c r="L154">
        <v>2439</v>
      </c>
      <c r="M154" s="4">
        <f>Table1[[#This Row],[Visit Cost]]+Table1[[#This Row],[Lab Cost]]+Table1[[#This Row],[Medicine Cost]]+Table1[[#This Row],[Room Charges]]</f>
        <v>8458</v>
      </c>
      <c r="N154" s="5">
        <v>45743</v>
      </c>
      <c r="O154">
        <f>Table1[[#This Row],[Discharge Date]]-Table1[[#This Row],[Visit Date]]</f>
        <v>57</v>
      </c>
      <c r="P154" t="s">
        <v>949</v>
      </c>
      <c r="Q154" s="4">
        <v>0</v>
      </c>
      <c r="R154" s="4">
        <f>Table1[[#This Row],[Total Revenue]]-Table1[[#This Row],[Insurance Claim Amount]]</f>
        <v>8458</v>
      </c>
      <c r="S154">
        <v>1</v>
      </c>
      <c r="T154" t="str">
        <f t="shared" si="4"/>
        <v>Jan</v>
      </c>
      <c r="U154">
        <f t="shared" si="5"/>
        <v>2025</v>
      </c>
    </row>
    <row r="155" spans="1:21" x14ac:dyDescent="0.3">
      <c r="A155" t="s">
        <v>309</v>
      </c>
      <c r="B155" t="s">
        <v>310</v>
      </c>
      <c r="C155" t="s">
        <v>38</v>
      </c>
      <c r="D155" t="s">
        <v>164</v>
      </c>
      <c r="E155" t="s">
        <v>933</v>
      </c>
      <c r="F155">
        <v>45662</v>
      </c>
      <c r="G155" t="s">
        <v>938</v>
      </c>
      <c r="H155" t="s">
        <v>942</v>
      </c>
      <c r="I155" s="4">
        <v>887</v>
      </c>
      <c r="J155" s="4">
        <v>2891</v>
      </c>
      <c r="K155" s="4">
        <v>1908</v>
      </c>
      <c r="L155">
        <v>1723</v>
      </c>
      <c r="M155" s="4">
        <f>Table1[[#This Row],[Visit Cost]]+Table1[[#This Row],[Lab Cost]]+Table1[[#This Row],[Medicine Cost]]+Table1[[#This Row],[Room Charges]]</f>
        <v>7409</v>
      </c>
      <c r="N155" s="5">
        <v>45767</v>
      </c>
      <c r="O155">
        <f>Table1[[#This Row],[Discharge Date]]-Table1[[#This Row],[Visit Date]]</f>
        <v>105</v>
      </c>
      <c r="P155" t="s">
        <v>949</v>
      </c>
      <c r="Q155" s="4">
        <v>0</v>
      </c>
      <c r="R155" s="4">
        <f>Table1[[#This Row],[Total Revenue]]-Table1[[#This Row],[Insurance Claim Amount]]</f>
        <v>7409</v>
      </c>
      <c r="S155">
        <v>1</v>
      </c>
      <c r="T155" t="str">
        <f t="shared" si="4"/>
        <v>Jan</v>
      </c>
      <c r="U155">
        <f t="shared" si="5"/>
        <v>2025</v>
      </c>
    </row>
    <row r="156" spans="1:21" x14ac:dyDescent="0.3">
      <c r="A156" t="s">
        <v>311</v>
      </c>
      <c r="B156" t="s">
        <v>312</v>
      </c>
      <c r="C156" t="s">
        <v>47</v>
      </c>
      <c r="D156" t="s">
        <v>252</v>
      </c>
      <c r="E156" t="s">
        <v>931</v>
      </c>
      <c r="F156">
        <v>45788</v>
      </c>
      <c r="G156" t="s">
        <v>936</v>
      </c>
      <c r="H156" t="s">
        <v>941</v>
      </c>
      <c r="I156" s="4">
        <v>549</v>
      </c>
      <c r="J156" s="4">
        <v>2773</v>
      </c>
      <c r="K156" s="4">
        <v>1194</v>
      </c>
      <c r="L156">
        <v>2267</v>
      </c>
      <c r="M156" s="4">
        <f>Table1[[#This Row],[Visit Cost]]+Table1[[#This Row],[Lab Cost]]+Table1[[#This Row],[Medicine Cost]]+Table1[[#This Row],[Room Charges]]</f>
        <v>6783</v>
      </c>
      <c r="N156" s="5">
        <v>45897</v>
      </c>
      <c r="O156">
        <f>Table1[[#This Row],[Discharge Date]]-Table1[[#This Row],[Visit Date]]</f>
        <v>109</v>
      </c>
      <c r="P156" t="s">
        <v>949</v>
      </c>
      <c r="Q156" s="4">
        <v>0</v>
      </c>
      <c r="R156" s="4">
        <f>Table1[[#This Row],[Total Revenue]]-Table1[[#This Row],[Insurance Claim Amount]]</f>
        <v>6783</v>
      </c>
      <c r="S156">
        <v>4</v>
      </c>
      <c r="T156" t="str">
        <f t="shared" si="4"/>
        <v>May</v>
      </c>
      <c r="U156">
        <f t="shared" si="5"/>
        <v>2025</v>
      </c>
    </row>
    <row r="157" spans="1:21" x14ac:dyDescent="0.3">
      <c r="A157" t="s">
        <v>313</v>
      </c>
      <c r="B157" t="s">
        <v>314</v>
      </c>
      <c r="C157" t="s">
        <v>38</v>
      </c>
      <c r="D157" t="s">
        <v>926</v>
      </c>
      <c r="E157" t="s">
        <v>931</v>
      </c>
      <c r="F157">
        <v>45722</v>
      </c>
      <c r="G157" t="s">
        <v>937</v>
      </c>
      <c r="H157" t="s">
        <v>941</v>
      </c>
      <c r="I157" s="4">
        <v>2335</v>
      </c>
      <c r="J157" s="4">
        <v>799</v>
      </c>
      <c r="K157" s="4">
        <v>706</v>
      </c>
      <c r="L157">
        <v>2367</v>
      </c>
      <c r="M157" s="4">
        <f>Table1[[#This Row],[Visit Cost]]+Table1[[#This Row],[Lab Cost]]+Table1[[#This Row],[Medicine Cost]]+Table1[[#This Row],[Room Charges]]</f>
        <v>6207</v>
      </c>
      <c r="N157" s="5">
        <v>45773</v>
      </c>
      <c r="O157">
        <f>Table1[[#This Row],[Discharge Date]]-Table1[[#This Row],[Visit Date]]</f>
        <v>51</v>
      </c>
      <c r="P157" t="s">
        <v>949</v>
      </c>
      <c r="Q157" s="4">
        <v>0</v>
      </c>
      <c r="R157" s="4">
        <f>Table1[[#This Row],[Total Revenue]]-Table1[[#This Row],[Insurance Claim Amount]]</f>
        <v>6207</v>
      </c>
      <c r="S157">
        <v>5</v>
      </c>
      <c r="T157" t="str">
        <f t="shared" si="4"/>
        <v>Mar</v>
      </c>
      <c r="U157">
        <f t="shared" si="5"/>
        <v>2025</v>
      </c>
    </row>
    <row r="158" spans="1:21" x14ac:dyDescent="0.3">
      <c r="A158" t="s">
        <v>315</v>
      </c>
      <c r="B158" t="s">
        <v>316</v>
      </c>
      <c r="C158" t="s">
        <v>6</v>
      </c>
      <c r="D158" t="s">
        <v>85</v>
      </c>
      <c r="E158" t="s">
        <v>933</v>
      </c>
      <c r="F158">
        <v>45715</v>
      </c>
      <c r="G158" t="s">
        <v>935</v>
      </c>
      <c r="H158" t="s">
        <v>943</v>
      </c>
      <c r="I158" s="4">
        <v>1244</v>
      </c>
      <c r="J158" s="4">
        <v>4317</v>
      </c>
      <c r="K158" s="4">
        <v>1552</v>
      </c>
      <c r="L158">
        <v>1420</v>
      </c>
      <c r="M158" s="4">
        <f>Table1[[#This Row],[Visit Cost]]+Table1[[#This Row],[Lab Cost]]+Table1[[#This Row],[Medicine Cost]]+Table1[[#This Row],[Room Charges]]</f>
        <v>8533</v>
      </c>
      <c r="N158" s="5">
        <v>45794</v>
      </c>
      <c r="O158">
        <f>Table1[[#This Row],[Discharge Date]]-Table1[[#This Row],[Visit Date]]</f>
        <v>79</v>
      </c>
      <c r="P158" t="s">
        <v>948</v>
      </c>
      <c r="Q158" s="4">
        <v>9791</v>
      </c>
      <c r="R158" s="4">
        <f>Table1[[#This Row],[Total Revenue]]-Table1[[#This Row],[Insurance Claim Amount]]</f>
        <v>-1258</v>
      </c>
      <c r="S158">
        <v>2</v>
      </c>
      <c r="T158" t="str">
        <f t="shared" si="4"/>
        <v>Feb</v>
      </c>
      <c r="U158">
        <f t="shared" si="5"/>
        <v>2025</v>
      </c>
    </row>
    <row r="159" spans="1:21" x14ac:dyDescent="0.3">
      <c r="A159" t="s">
        <v>317</v>
      </c>
      <c r="B159" t="s">
        <v>207</v>
      </c>
      <c r="C159" t="s">
        <v>6</v>
      </c>
      <c r="D159" t="s">
        <v>85</v>
      </c>
      <c r="E159" t="s">
        <v>932</v>
      </c>
      <c r="F159">
        <v>45890</v>
      </c>
      <c r="G159" t="s">
        <v>936</v>
      </c>
      <c r="H159" t="s">
        <v>943</v>
      </c>
      <c r="I159" s="4">
        <v>1684</v>
      </c>
      <c r="J159" s="4">
        <v>1450</v>
      </c>
      <c r="K159" s="4">
        <v>2627</v>
      </c>
      <c r="L159">
        <v>1387</v>
      </c>
      <c r="M159" s="4">
        <f>Table1[[#This Row],[Visit Cost]]+Table1[[#This Row],[Lab Cost]]+Table1[[#This Row],[Medicine Cost]]+Table1[[#This Row],[Room Charges]]</f>
        <v>7148</v>
      </c>
      <c r="N159" s="5">
        <v>45921</v>
      </c>
      <c r="O159">
        <f>Table1[[#This Row],[Discharge Date]]-Table1[[#This Row],[Visit Date]]</f>
        <v>31</v>
      </c>
      <c r="P159" t="s">
        <v>948</v>
      </c>
      <c r="Q159" s="4">
        <v>6231</v>
      </c>
      <c r="R159" s="4">
        <f>Table1[[#This Row],[Total Revenue]]-Table1[[#This Row],[Insurance Claim Amount]]</f>
        <v>917</v>
      </c>
      <c r="S159">
        <v>5</v>
      </c>
      <c r="T159" t="str">
        <f t="shared" si="4"/>
        <v>Aug</v>
      </c>
      <c r="U159">
        <f t="shared" si="5"/>
        <v>2025</v>
      </c>
    </row>
    <row r="160" spans="1:21" x14ac:dyDescent="0.3">
      <c r="A160" t="s">
        <v>318</v>
      </c>
      <c r="B160" t="s">
        <v>319</v>
      </c>
      <c r="C160" t="s">
        <v>38</v>
      </c>
      <c r="D160" t="s">
        <v>926</v>
      </c>
      <c r="E160" t="s">
        <v>930</v>
      </c>
      <c r="F160">
        <v>45716</v>
      </c>
      <c r="G160" t="s">
        <v>938</v>
      </c>
      <c r="H160" t="s">
        <v>941</v>
      </c>
      <c r="I160" s="4">
        <v>984</v>
      </c>
      <c r="J160" s="4">
        <v>1350</v>
      </c>
      <c r="K160" s="4">
        <v>1073</v>
      </c>
      <c r="L160">
        <v>1660</v>
      </c>
      <c r="M160" s="4">
        <f>Table1[[#This Row],[Visit Cost]]+Table1[[#This Row],[Lab Cost]]+Table1[[#This Row],[Medicine Cost]]+Table1[[#This Row],[Room Charges]]</f>
        <v>5067</v>
      </c>
      <c r="N160" s="5">
        <v>45722</v>
      </c>
      <c r="O160">
        <f>Table1[[#This Row],[Discharge Date]]-Table1[[#This Row],[Visit Date]]</f>
        <v>6</v>
      </c>
      <c r="P160" t="s">
        <v>948</v>
      </c>
      <c r="Q160" s="4">
        <v>4500</v>
      </c>
      <c r="R160" s="4">
        <f>Table1[[#This Row],[Total Revenue]]-Table1[[#This Row],[Insurance Claim Amount]]</f>
        <v>567</v>
      </c>
      <c r="S160">
        <v>4</v>
      </c>
      <c r="T160" t="str">
        <f t="shared" si="4"/>
        <v>Feb</v>
      </c>
      <c r="U160">
        <f t="shared" si="5"/>
        <v>2025</v>
      </c>
    </row>
    <row r="161" spans="1:21" x14ac:dyDescent="0.3">
      <c r="A161" t="s">
        <v>320</v>
      </c>
      <c r="B161" t="s">
        <v>321</v>
      </c>
      <c r="C161" t="s">
        <v>16</v>
      </c>
      <c r="D161" t="s">
        <v>926</v>
      </c>
      <c r="E161" t="s">
        <v>929</v>
      </c>
      <c r="F161">
        <v>45762</v>
      </c>
      <c r="G161" t="s">
        <v>937</v>
      </c>
      <c r="H161" t="s">
        <v>941</v>
      </c>
      <c r="I161" s="4">
        <v>600</v>
      </c>
      <c r="J161" s="4">
        <v>554</v>
      </c>
      <c r="K161" s="4">
        <v>2484</v>
      </c>
      <c r="L161" s="4">
        <v>7362</v>
      </c>
      <c r="M161" s="4">
        <f>Table1[[#This Row],[Visit Cost]]+Table1[[#This Row],[Lab Cost]]+Table1[[#This Row],[Medicine Cost]]+Table1[[#This Row],[Room Charges]]</f>
        <v>11000</v>
      </c>
      <c r="N161" s="5">
        <v>45878</v>
      </c>
      <c r="O161">
        <f>Table1[[#This Row],[Discharge Date]]-Table1[[#This Row],[Visit Date]]</f>
        <v>116</v>
      </c>
      <c r="P161" t="s">
        <v>949</v>
      </c>
      <c r="Q161" s="4">
        <v>0</v>
      </c>
      <c r="R161" s="4">
        <f>Table1[[#This Row],[Total Revenue]]-Table1[[#This Row],[Insurance Claim Amount]]</f>
        <v>11000</v>
      </c>
      <c r="S161">
        <v>5</v>
      </c>
      <c r="T161" t="str">
        <f t="shared" si="4"/>
        <v>Apr</v>
      </c>
      <c r="U161">
        <f t="shared" si="5"/>
        <v>2025</v>
      </c>
    </row>
    <row r="162" spans="1:21" x14ac:dyDescent="0.3">
      <c r="A162" t="s">
        <v>322</v>
      </c>
      <c r="B162" t="s">
        <v>323</v>
      </c>
      <c r="C162" t="s">
        <v>6</v>
      </c>
      <c r="D162" t="s">
        <v>85</v>
      </c>
      <c r="E162" t="s">
        <v>929</v>
      </c>
      <c r="F162">
        <v>45680</v>
      </c>
      <c r="G162" t="s">
        <v>936</v>
      </c>
      <c r="H162" t="s">
        <v>940</v>
      </c>
      <c r="I162" s="4">
        <v>861</v>
      </c>
      <c r="J162" s="4">
        <v>2352</v>
      </c>
      <c r="K162" s="4">
        <v>2251</v>
      </c>
      <c r="L162" s="4">
        <v>4201</v>
      </c>
      <c r="M162" s="4">
        <f>Table1[[#This Row],[Visit Cost]]+Table1[[#This Row],[Lab Cost]]+Table1[[#This Row],[Medicine Cost]]+Table1[[#This Row],[Room Charges]]</f>
        <v>9665</v>
      </c>
      <c r="N162" s="5">
        <v>45823</v>
      </c>
      <c r="O162">
        <f>Table1[[#This Row],[Discharge Date]]-Table1[[#This Row],[Visit Date]]</f>
        <v>143</v>
      </c>
      <c r="P162" t="s">
        <v>948</v>
      </c>
      <c r="Q162" s="4">
        <v>3296</v>
      </c>
      <c r="R162" s="4">
        <f>Table1[[#This Row],[Total Revenue]]-Table1[[#This Row],[Insurance Claim Amount]]</f>
        <v>6369</v>
      </c>
      <c r="S162">
        <v>3</v>
      </c>
      <c r="T162" t="str">
        <f t="shared" si="4"/>
        <v>Jan</v>
      </c>
      <c r="U162">
        <f t="shared" si="5"/>
        <v>2025</v>
      </c>
    </row>
    <row r="163" spans="1:21" x14ac:dyDescent="0.3">
      <c r="A163" t="s">
        <v>324</v>
      </c>
      <c r="B163" t="s">
        <v>325</v>
      </c>
      <c r="C163" t="s">
        <v>11</v>
      </c>
      <c r="D163" t="s">
        <v>164</v>
      </c>
      <c r="E163" t="s">
        <v>930</v>
      </c>
      <c r="F163">
        <v>45903</v>
      </c>
      <c r="G163" t="s">
        <v>935</v>
      </c>
      <c r="H163" t="s">
        <v>942</v>
      </c>
      <c r="I163" s="4">
        <v>850</v>
      </c>
      <c r="J163" s="4">
        <v>500</v>
      </c>
      <c r="K163" s="4">
        <v>1668</v>
      </c>
      <c r="L163" s="4">
        <v>3000</v>
      </c>
      <c r="M163" s="4">
        <f>Table1[[#This Row],[Visit Cost]]+Table1[[#This Row],[Lab Cost]]+Table1[[#This Row],[Medicine Cost]]+Table1[[#This Row],[Room Charges]]</f>
        <v>6018</v>
      </c>
      <c r="N163" s="5">
        <v>45930</v>
      </c>
      <c r="O163">
        <f>Table1[[#This Row],[Discharge Date]]-Table1[[#This Row],[Visit Date]]</f>
        <v>27</v>
      </c>
      <c r="P163" t="s">
        <v>949</v>
      </c>
      <c r="Q163" s="4">
        <v>0</v>
      </c>
      <c r="R163" s="4">
        <f>Table1[[#This Row],[Total Revenue]]-Table1[[#This Row],[Insurance Claim Amount]]</f>
        <v>6018</v>
      </c>
      <c r="S163">
        <v>4</v>
      </c>
      <c r="T163" t="str">
        <f t="shared" si="4"/>
        <v>Sep</v>
      </c>
      <c r="U163">
        <f t="shared" si="5"/>
        <v>2025</v>
      </c>
    </row>
    <row r="164" spans="1:21" x14ac:dyDescent="0.3">
      <c r="A164" t="s">
        <v>326</v>
      </c>
      <c r="B164" t="s">
        <v>304</v>
      </c>
      <c r="C164" t="s">
        <v>11</v>
      </c>
      <c r="D164" t="s">
        <v>164</v>
      </c>
      <c r="E164" t="s">
        <v>932</v>
      </c>
      <c r="F164">
        <v>45691</v>
      </c>
      <c r="G164" t="s">
        <v>936</v>
      </c>
      <c r="H164" t="s">
        <v>940</v>
      </c>
      <c r="I164" s="4">
        <v>1071</v>
      </c>
      <c r="J164" s="4">
        <v>1500</v>
      </c>
      <c r="K164" s="4">
        <v>1500</v>
      </c>
      <c r="L164" s="4">
        <v>4500</v>
      </c>
      <c r="M164" s="4">
        <f>Table1[[#This Row],[Visit Cost]]+Table1[[#This Row],[Lab Cost]]+Table1[[#This Row],[Medicine Cost]]+Table1[[#This Row],[Room Charges]]</f>
        <v>8571</v>
      </c>
      <c r="N164" s="5">
        <v>45730</v>
      </c>
      <c r="O164">
        <f>Table1[[#This Row],[Discharge Date]]-Table1[[#This Row],[Visit Date]]</f>
        <v>39</v>
      </c>
      <c r="P164" t="s">
        <v>949</v>
      </c>
      <c r="Q164" s="4">
        <v>0</v>
      </c>
      <c r="R164" s="4">
        <f>Table1[[#This Row],[Total Revenue]]-Table1[[#This Row],[Insurance Claim Amount]]</f>
        <v>8571</v>
      </c>
      <c r="S164">
        <v>3</v>
      </c>
      <c r="T164" t="str">
        <f t="shared" si="4"/>
        <v>Feb</v>
      </c>
      <c r="U164">
        <f t="shared" si="5"/>
        <v>2025</v>
      </c>
    </row>
    <row r="165" spans="1:21" x14ac:dyDescent="0.3">
      <c r="A165" t="s">
        <v>327</v>
      </c>
      <c r="B165" t="s">
        <v>328</v>
      </c>
      <c r="C165" t="s">
        <v>11</v>
      </c>
      <c r="D165" t="s">
        <v>164</v>
      </c>
      <c r="E165" t="s">
        <v>931</v>
      </c>
      <c r="F165">
        <v>45808</v>
      </c>
      <c r="G165" t="s">
        <v>938</v>
      </c>
      <c r="H165" t="s">
        <v>940</v>
      </c>
      <c r="I165" s="4">
        <v>1610</v>
      </c>
      <c r="J165" s="4">
        <v>4637</v>
      </c>
      <c r="K165" s="4">
        <v>1733</v>
      </c>
      <c r="L165" s="4">
        <v>8948</v>
      </c>
      <c r="M165" s="4">
        <f>Table1[[#This Row],[Visit Cost]]+Table1[[#This Row],[Lab Cost]]+Table1[[#This Row],[Medicine Cost]]+Table1[[#This Row],[Room Charges]]</f>
        <v>16928</v>
      </c>
      <c r="N165" s="5">
        <v>45879</v>
      </c>
      <c r="O165">
        <f>Table1[[#This Row],[Discharge Date]]-Table1[[#This Row],[Visit Date]]</f>
        <v>71</v>
      </c>
      <c r="P165" t="s">
        <v>948</v>
      </c>
      <c r="Q165" s="4">
        <v>2638</v>
      </c>
      <c r="R165" s="4">
        <f>Table1[[#This Row],[Total Revenue]]-Table1[[#This Row],[Insurance Claim Amount]]</f>
        <v>14290</v>
      </c>
      <c r="S165">
        <v>5</v>
      </c>
      <c r="T165" t="str">
        <f t="shared" si="4"/>
        <v>May</v>
      </c>
      <c r="U165">
        <f t="shared" si="5"/>
        <v>2025</v>
      </c>
    </row>
    <row r="166" spans="1:21" x14ac:dyDescent="0.3">
      <c r="A166" t="s">
        <v>329</v>
      </c>
      <c r="B166" t="s">
        <v>330</v>
      </c>
      <c r="C166" t="s">
        <v>11</v>
      </c>
      <c r="D166" t="s">
        <v>164</v>
      </c>
      <c r="E166" t="s">
        <v>933</v>
      </c>
      <c r="F166">
        <v>45792</v>
      </c>
      <c r="G166" t="s">
        <v>937</v>
      </c>
      <c r="H166" t="s">
        <v>943</v>
      </c>
      <c r="I166" s="4">
        <v>1200</v>
      </c>
      <c r="J166" s="4">
        <v>2687</v>
      </c>
      <c r="K166" s="4">
        <v>1681</v>
      </c>
      <c r="L166" s="4">
        <v>6929</v>
      </c>
      <c r="M166" s="4">
        <f>Table1[[#This Row],[Visit Cost]]+Table1[[#This Row],[Lab Cost]]+Table1[[#This Row],[Medicine Cost]]+Table1[[#This Row],[Room Charges]]</f>
        <v>12497</v>
      </c>
      <c r="N166" s="5">
        <v>45921</v>
      </c>
      <c r="O166">
        <f>Table1[[#This Row],[Discharge Date]]-Table1[[#This Row],[Visit Date]]</f>
        <v>129</v>
      </c>
      <c r="P166" t="s">
        <v>949</v>
      </c>
      <c r="Q166" s="4">
        <v>0</v>
      </c>
      <c r="R166" s="4">
        <f>Table1[[#This Row],[Total Revenue]]-Table1[[#This Row],[Insurance Claim Amount]]</f>
        <v>12497</v>
      </c>
      <c r="S166">
        <v>1</v>
      </c>
      <c r="T166" t="str">
        <f t="shared" si="4"/>
        <v>May</v>
      </c>
      <c r="U166">
        <f t="shared" si="5"/>
        <v>2025</v>
      </c>
    </row>
    <row r="167" spans="1:21" x14ac:dyDescent="0.3">
      <c r="A167" t="s">
        <v>331</v>
      </c>
      <c r="B167" t="s">
        <v>180</v>
      </c>
      <c r="C167" t="s">
        <v>6</v>
      </c>
      <c r="D167" t="s">
        <v>252</v>
      </c>
      <c r="E167" t="s">
        <v>930</v>
      </c>
      <c r="F167">
        <v>45718</v>
      </c>
      <c r="G167" t="s">
        <v>936</v>
      </c>
      <c r="H167" t="s">
        <v>945</v>
      </c>
      <c r="I167" s="4">
        <v>1356</v>
      </c>
      <c r="J167" s="4">
        <v>3223</v>
      </c>
      <c r="K167" s="4">
        <v>2336</v>
      </c>
      <c r="L167" s="4">
        <v>7137</v>
      </c>
      <c r="M167" s="4">
        <f>Table1[[#This Row],[Visit Cost]]+Table1[[#This Row],[Lab Cost]]+Table1[[#This Row],[Medicine Cost]]+Table1[[#This Row],[Room Charges]]</f>
        <v>14052</v>
      </c>
      <c r="N167" s="5">
        <v>45775</v>
      </c>
      <c r="O167">
        <f>Table1[[#This Row],[Discharge Date]]-Table1[[#This Row],[Visit Date]]</f>
        <v>57</v>
      </c>
      <c r="P167" t="s">
        <v>949</v>
      </c>
      <c r="Q167" s="4">
        <v>0</v>
      </c>
      <c r="R167" s="4">
        <f>Table1[[#This Row],[Total Revenue]]-Table1[[#This Row],[Insurance Claim Amount]]</f>
        <v>14052</v>
      </c>
      <c r="S167">
        <v>2</v>
      </c>
      <c r="T167" t="str">
        <f t="shared" si="4"/>
        <v>Mar</v>
      </c>
      <c r="U167">
        <f t="shared" si="5"/>
        <v>2025</v>
      </c>
    </row>
    <row r="168" spans="1:21" x14ac:dyDescent="0.3">
      <c r="A168" t="s">
        <v>332</v>
      </c>
      <c r="B168" t="s">
        <v>333</v>
      </c>
      <c r="C168" t="s">
        <v>29</v>
      </c>
      <c r="D168" t="s">
        <v>926</v>
      </c>
      <c r="E168" t="s">
        <v>931</v>
      </c>
      <c r="F168">
        <v>45863</v>
      </c>
      <c r="G168" t="s">
        <v>935</v>
      </c>
      <c r="H168" t="s">
        <v>945</v>
      </c>
      <c r="I168" s="4">
        <v>1066</v>
      </c>
      <c r="J168" s="4">
        <v>2459</v>
      </c>
      <c r="K168" s="4">
        <v>506</v>
      </c>
      <c r="L168" s="4">
        <v>4500</v>
      </c>
      <c r="M168" s="4">
        <f>Table1[[#This Row],[Visit Cost]]+Table1[[#This Row],[Lab Cost]]+Table1[[#This Row],[Medicine Cost]]+Table1[[#This Row],[Room Charges]]</f>
        <v>8531</v>
      </c>
      <c r="N168" s="5">
        <v>45900</v>
      </c>
      <c r="O168">
        <f>Table1[[#This Row],[Discharge Date]]-Table1[[#This Row],[Visit Date]]</f>
        <v>37</v>
      </c>
      <c r="P168" t="s">
        <v>948</v>
      </c>
      <c r="Q168" s="4">
        <v>4923</v>
      </c>
      <c r="R168" s="4">
        <f>Table1[[#This Row],[Total Revenue]]-Table1[[#This Row],[Insurance Claim Amount]]</f>
        <v>3608</v>
      </c>
      <c r="S168">
        <v>4</v>
      </c>
      <c r="T168" t="str">
        <f t="shared" si="4"/>
        <v>Jul</v>
      </c>
      <c r="U168">
        <f t="shared" si="5"/>
        <v>2025</v>
      </c>
    </row>
    <row r="169" spans="1:21" x14ac:dyDescent="0.3">
      <c r="A169" t="s">
        <v>334</v>
      </c>
      <c r="B169" t="s">
        <v>335</v>
      </c>
      <c r="C169" t="s">
        <v>11</v>
      </c>
      <c r="D169" t="s">
        <v>164</v>
      </c>
      <c r="E169" t="s">
        <v>933</v>
      </c>
      <c r="F169">
        <v>45961</v>
      </c>
      <c r="G169" t="s">
        <v>938</v>
      </c>
      <c r="H169" t="s">
        <v>940</v>
      </c>
      <c r="I169" s="4">
        <v>694</v>
      </c>
      <c r="J169" s="4">
        <v>2584</v>
      </c>
      <c r="K169" s="4">
        <v>1099</v>
      </c>
      <c r="L169" s="4">
        <v>5582</v>
      </c>
      <c r="M169" s="4">
        <f>Table1[[#This Row],[Visit Cost]]+Table1[[#This Row],[Lab Cost]]+Table1[[#This Row],[Medicine Cost]]+Table1[[#This Row],[Room Charges]]</f>
        <v>9959</v>
      </c>
      <c r="N169" s="5">
        <v>46025</v>
      </c>
      <c r="O169">
        <f>Table1[[#This Row],[Discharge Date]]-Table1[[#This Row],[Visit Date]]</f>
        <v>64</v>
      </c>
      <c r="P169" t="s">
        <v>949</v>
      </c>
      <c r="Q169" s="4">
        <v>0</v>
      </c>
      <c r="R169" s="4">
        <f>Table1[[#This Row],[Total Revenue]]-Table1[[#This Row],[Insurance Claim Amount]]</f>
        <v>9959</v>
      </c>
      <c r="S169">
        <v>2</v>
      </c>
      <c r="T169" t="str">
        <f t="shared" si="4"/>
        <v>Oct</v>
      </c>
      <c r="U169">
        <f t="shared" si="5"/>
        <v>2025</v>
      </c>
    </row>
    <row r="170" spans="1:21" x14ac:dyDescent="0.3">
      <c r="A170" t="s">
        <v>336</v>
      </c>
      <c r="B170" t="s">
        <v>337</v>
      </c>
      <c r="C170" t="s">
        <v>29</v>
      </c>
      <c r="D170" t="s">
        <v>926</v>
      </c>
      <c r="E170" t="s">
        <v>929</v>
      </c>
      <c r="F170">
        <v>45700</v>
      </c>
      <c r="G170" t="s">
        <v>936</v>
      </c>
      <c r="H170" t="s">
        <v>940</v>
      </c>
      <c r="I170" s="4">
        <v>882</v>
      </c>
      <c r="J170" s="4">
        <v>1800</v>
      </c>
      <c r="K170" s="4">
        <v>2832</v>
      </c>
      <c r="L170">
        <v>1757</v>
      </c>
      <c r="M170" s="4">
        <f>Table1[[#This Row],[Visit Cost]]+Table1[[#This Row],[Lab Cost]]+Table1[[#This Row],[Medicine Cost]]+Table1[[#This Row],[Room Charges]]</f>
        <v>7271</v>
      </c>
      <c r="N170" s="5">
        <v>45709</v>
      </c>
      <c r="O170">
        <f>Table1[[#This Row],[Discharge Date]]-Table1[[#This Row],[Visit Date]]</f>
        <v>9</v>
      </c>
      <c r="P170" t="s">
        <v>949</v>
      </c>
      <c r="Q170" s="4">
        <v>0</v>
      </c>
      <c r="R170" s="4">
        <f>Table1[[#This Row],[Total Revenue]]-Table1[[#This Row],[Insurance Claim Amount]]</f>
        <v>7271</v>
      </c>
      <c r="S170">
        <v>1</v>
      </c>
      <c r="T170" t="str">
        <f t="shared" si="4"/>
        <v>Feb</v>
      </c>
      <c r="U170">
        <f t="shared" si="5"/>
        <v>2025</v>
      </c>
    </row>
    <row r="171" spans="1:21" x14ac:dyDescent="0.3">
      <c r="A171" t="s">
        <v>338</v>
      </c>
      <c r="B171" t="s">
        <v>339</v>
      </c>
      <c r="C171" t="s">
        <v>11</v>
      </c>
      <c r="D171" t="s">
        <v>925</v>
      </c>
      <c r="E171" t="s">
        <v>932</v>
      </c>
      <c r="F171">
        <v>45849</v>
      </c>
      <c r="G171" t="s">
        <v>937</v>
      </c>
      <c r="H171" t="s">
        <v>940</v>
      </c>
      <c r="I171" s="4">
        <v>2056</v>
      </c>
      <c r="J171" s="4">
        <v>4639</v>
      </c>
      <c r="K171" s="4">
        <v>2310</v>
      </c>
      <c r="L171">
        <v>962</v>
      </c>
      <c r="M171" s="4">
        <f>Table1[[#This Row],[Visit Cost]]+Table1[[#This Row],[Lab Cost]]+Table1[[#This Row],[Medicine Cost]]+Table1[[#This Row],[Room Charges]]</f>
        <v>9967</v>
      </c>
      <c r="N171" s="5">
        <v>45910</v>
      </c>
      <c r="O171">
        <f>Table1[[#This Row],[Discharge Date]]-Table1[[#This Row],[Visit Date]]</f>
        <v>61</v>
      </c>
      <c r="P171" t="s">
        <v>949</v>
      </c>
      <c r="Q171" s="4">
        <v>0</v>
      </c>
      <c r="R171" s="4">
        <f>Table1[[#This Row],[Total Revenue]]-Table1[[#This Row],[Insurance Claim Amount]]</f>
        <v>9967</v>
      </c>
      <c r="S171">
        <v>2</v>
      </c>
      <c r="T171" t="str">
        <f t="shared" si="4"/>
        <v>Jul</v>
      </c>
      <c r="U171">
        <f t="shared" si="5"/>
        <v>2025</v>
      </c>
    </row>
    <row r="172" spans="1:21" x14ac:dyDescent="0.3">
      <c r="A172" t="s">
        <v>340</v>
      </c>
      <c r="B172" t="s">
        <v>341</v>
      </c>
      <c r="C172" t="s">
        <v>6</v>
      </c>
      <c r="D172" t="s">
        <v>85</v>
      </c>
      <c r="E172" t="s">
        <v>933</v>
      </c>
      <c r="F172">
        <v>46009</v>
      </c>
      <c r="G172" t="s">
        <v>935</v>
      </c>
      <c r="H172" t="s">
        <v>941</v>
      </c>
      <c r="I172" s="4">
        <v>1677</v>
      </c>
      <c r="J172" s="4">
        <v>2698</v>
      </c>
      <c r="K172" s="4">
        <v>2247</v>
      </c>
      <c r="L172">
        <v>1764</v>
      </c>
      <c r="M172" s="4">
        <f>Table1[[#This Row],[Visit Cost]]+Table1[[#This Row],[Lab Cost]]+Table1[[#This Row],[Medicine Cost]]+Table1[[#This Row],[Room Charges]]</f>
        <v>8386</v>
      </c>
      <c r="N172" s="5">
        <v>46112</v>
      </c>
      <c r="O172">
        <f>Table1[[#This Row],[Discharge Date]]-Table1[[#This Row],[Visit Date]]</f>
        <v>103</v>
      </c>
      <c r="P172" t="s">
        <v>949</v>
      </c>
      <c r="Q172" s="4">
        <v>0</v>
      </c>
      <c r="R172" s="4">
        <f>Table1[[#This Row],[Total Revenue]]-Table1[[#This Row],[Insurance Claim Amount]]</f>
        <v>8386</v>
      </c>
      <c r="S172">
        <v>3</v>
      </c>
      <c r="T172" t="str">
        <f t="shared" si="4"/>
        <v>Dec</v>
      </c>
      <c r="U172">
        <f t="shared" si="5"/>
        <v>2025</v>
      </c>
    </row>
    <row r="173" spans="1:21" x14ac:dyDescent="0.3">
      <c r="A173" t="s">
        <v>342</v>
      </c>
      <c r="B173" t="s">
        <v>343</v>
      </c>
      <c r="C173" t="s">
        <v>11</v>
      </c>
      <c r="D173" t="s">
        <v>85</v>
      </c>
      <c r="E173" t="s">
        <v>932</v>
      </c>
      <c r="F173">
        <v>45884</v>
      </c>
      <c r="G173" t="s">
        <v>936</v>
      </c>
      <c r="H173" t="s">
        <v>945</v>
      </c>
      <c r="I173" s="4">
        <v>2100</v>
      </c>
      <c r="J173" s="4">
        <v>2589</v>
      </c>
      <c r="K173" s="4">
        <v>2787</v>
      </c>
      <c r="L173">
        <v>2291</v>
      </c>
      <c r="M173" s="4">
        <f>Table1[[#This Row],[Visit Cost]]+Table1[[#This Row],[Lab Cost]]+Table1[[#This Row],[Medicine Cost]]+Table1[[#This Row],[Room Charges]]</f>
        <v>9767</v>
      </c>
      <c r="N173" s="5">
        <v>45970</v>
      </c>
      <c r="O173">
        <f>Table1[[#This Row],[Discharge Date]]-Table1[[#This Row],[Visit Date]]</f>
        <v>86</v>
      </c>
      <c r="P173" t="s">
        <v>949</v>
      </c>
      <c r="Q173" s="4">
        <v>0</v>
      </c>
      <c r="R173" s="4">
        <f>Table1[[#This Row],[Total Revenue]]-Table1[[#This Row],[Insurance Claim Amount]]</f>
        <v>9767</v>
      </c>
      <c r="S173">
        <v>4</v>
      </c>
      <c r="T173" t="str">
        <f t="shared" si="4"/>
        <v>Aug</v>
      </c>
      <c r="U173">
        <f t="shared" si="5"/>
        <v>2025</v>
      </c>
    </row>
    <row r="174" spans="1:21" x14ac:dyDescent="0.3">
      <c r="A174" t="s">
        <v>344</v>
      </c>
      <c r="B174" t="s">
        <v>345</v>
      </c>
      <c r="C174" t="s">
        <v>38</v>
      </c>
      <c r="D174" t="s">
        <v>927</v>
      </c>
      <c r="E174" t="s">
        <v>929</v>
      </c>
      <c r="F174">
        <v>45992</v>
      </c>
      <c r="G174" t="s">
        <v>938</v>
      </c>
      <c r="H174" t="s">
        <v>940</v>
      </c>
      <c r="I174" s="4">
        <v>1703</v>
      </c>
      <c r="J174" s="4">
        <v>4114</v>
      </c>
      <c r="K174" s="4">
        <v>485</v>
      </c>
      <c r="L174">
        <v>2017</v>
      </c>
      <c r="M174" s="4">
        <f>Table1[[#This Row],[Visit Cost]]+Table1[[#This Row],[Lab Cost]]+Table1[[#This Row],[Medicine Cost]]+Table1[[#This Row],[Room Charges]]</f>
        <v>8319</v>
      </c>
      <c r="N174" s="5">
        <v>46086</v>
      </c>
      <c r="O174">
        <f>Table1[[#This Row],[Discharge Date]]-Table1[[#This Row],[Visit Date]]</f>
        <v>94</v>
      </c>
      <c r="P174" t="s">
        <v>949</v>
      </c>
      <c r="Q174" s="4">
        <v>0</v>
      </c>
      <c r="R174" s="4">
        <f>Table1[[#This Row],[Total Revenue]]-Table1[[#This Row],[Insurance Claim Amount]]</f>
        <v>8319</v>
      </c>
      <c r="S174">
        <v>2</v>
      </c>
      <c r="T174" t="str">
        <f t="shared" si="4"/>
        <v>Dec</v>
      </c>
      <c r="U174">
        <f t="shared" si="5"/>
        <v>2025</v>
      </c>
    </row>
    <row r="175" spans="1:21" x14ac:dyDescent="0.3">
      <c r="A175" t="s">
        <v>346</v>
      </c>
      <c r="B175" t="s">
        <v>347</v>
      </c>
      <c r="C175" t="s">
        <v>11</v>
      </c>
      <c r="D175" t="s">
        <v>164</v>
      </c>
      <c r="E175" t="s">
        <v>930</v>
      </c>
      <c r="F175">
        <v>45740</v>
      </c>
      <c r="G175" t="s">
        <v>937</v>
      </c>
      <c r="H175" t="s">
        <v>940</v>
      </c>
      <c r="I175" s="4">
        <v>1119</v>
      </c>
      <c r="J175" s="4">
        <v>3116</v>
      </c>
      <c r="K175" s="4">
        <v>362</v>
      </c>
      <c r="L175">
        <v>2132</v>
      </c>
      <c r="M175" s="4">
        <f>Table1[[#This Row],[Visit Cost]]+Table1[[#This Row],[Lab Cost]]+Table1[[#This Row],[Medicine Cost]]+Table1[[#This Row],[Room Charges]]</f>
        <v>6729</v>
      </c>
      <c r="N175" s="5">
        <v>45818</v>
      </c>
      <c r="O175">
        <f>Table1[[#This Row],[Discharge Date]]-Table1[[#This Row],[Visit Date]]</f>
        <v>78</v>
      </c>
      <c r="P175" t="s">
        <v>948</v>
      </c>
      <c r="Q175" s="4">
        <v>3915</v>
      </c>
      <c r="R175" s="4">
        <f>Table1[[#This Row],[Total Revenue]]-Table1[[#This Row],[Insurance Claim Amount]]</f>
        <v>2814</v>
      </c>
      <c r="S175">
        <v>4</v>
      </c>
      <c r="T175" t="str">
        <f t="shared" si="4"/>
        <v>Mar</v>
      </c>
      <c r="U175">
        <f t="shared" si="5"/>
        <v>2025</v>
      </c>
    </row>
    <row r="176" spans="1:21" x14ac:dyDescent="0.3">
      <c r="A176" t="s">
        <v>348</v>
      </c>
      <c r="B176" t="s">
        <v>349</v>
      </c>
      <c r="C176" t="s">
        <v>38</v>
      </c>
      <c r="D176" t="s">
        <v>164</v>
      </c>
      <c r="E176" t="s">
        <v>931</v>
      </c>
      <c r="F176">
        <v>45887</v>
      </c>
      <c r="G176" t="s">
        <v>936</v>
      </c>
      <c r="H176" t="s">
        <v>944</v>
      </c>
      <c r="I176" s="4">
        <v>500</v>
      </c>
      <c r="J176" s="4">
        <v>2555</v>
      </c>
      <c r="K176" s="4">
        <v>2585</v>
      </c>
      <c r="L176">
        <v>2331</v>
      </c>
      <c r="M176" s="4">
        <f>Table1[[#This Row],[Visit Cost]]+Table1[[#This Row],[Lab Cost]]+Table1[[#This Row],[Medicine Cost]]+Table1[[#This Row],[Room Charges]]</f>
        <v>7971</v>
      </c>
      <c r="N176" s="5">
        <v>45996</v>
      </c>
      <c r="O176">
        <f>Table1[[#This Row],[Discharge Date]]-Table1[[#This Row],[Visit Date]]</f>
        <v>109</v>
      </c>
      <c r="P176" t="s">
        <v>949</v>
      </c>
      <c r="Q176" s="4">
        <v>0</v>
      </c>
      <c r="R176" s="4">
        <f>Table1[[#This Row],[Total Revenue]]-Table1[[#This Row],[Insurance Claim Amount]]</f>
        <v>7971</v>
      </c>
      <c r="S176">
        <v>1</v>
      </c>
      <c r="T176" t="str">
        <f t="shared" si="4"/>
        <v>Aug</v>
      </c>
      <c r="U176">
        <f t="shared" si="5"/>
        <v>2025</v>
      </c>
    </row>
    <row r="177" spans="1:21" x14ac:dyDescent="0.3">
      <c r="A177" t="s">
        <v>350</v>
      </c>
      <c r="B177" t="s">
        <v>351</v>
      </c>
      <c r="C177" t="s">
        <v>6</v>
      </c>
      <c r="D177" t="s">
        <v>80</v>
      </c>
      <c r="E177" t="s">
        <v>931</v>
      </c>
      <c r="F177">
        <v>45683</v>
      </c>
      <c r="G177" t="s">
        <v>935</v>
      </c>
      <c r="H177" t="s">
        <v>940</v>
      </c>
      <c r="I177" s="4">
        <v>2225</v>
      </c>
      <c r="J177" s="4">
        <v>3619</v>
      </c>
      <c r="K177" s="4">
        <v>1249</v>
      </c>
      <c r="L177">
        <v>899</v>
      </c>
      <c r="M177" s="4">
        <f>Table1[[#This Row],[Visit Cost]]+Table1[[#This Row],[Lab Cost]]+Table1[[#This Row],[Medicine Cost]]+Table1[[#This Row],[Room Charges]]</f>
        <v>7992</v>
      </c>
      <c r="N177" s="5">
        <v>45744</v>
      </c>
      <c r="O177">
        <f>Table1[[#This Row],[Discharge Date]]-Table1[[#This Row],[Visit Date]]</f>
        <v>61</v>
      </c>
      <c r="P177" t="s">
        <v>949</v>
      </c>
      <c r="Q177" s="4">
        <v>0</v>
      </c>
      <c r="R177" s="4">
        <f>Table1[[#This Row],[Total Revenue]]-Table1[[#This Row],[Insurance Claim Amount]]</f>
        <v>7992</v>
      </c>
      <c r="S177">
        <v>3</v>
      </c>
      <c r="T177" t="str">
        <f t="shared" si="4"/>
        <v>Jan</v>
      </c>
      <c r="U177">
        <f t="shared" si="5"/>
        <v>2025</v>
      </c>
    </row>
    <row r="178" spans="1:21" x14ac:dyDescent="0.3">
      <c r="A178" t="s">
        <v>352</v>
      </c>
      <c r="B178" t="s">
        <v>353</v>
      </c>
      <c r="C178" t="s">
        <v>47</v>
      </c>
      <c r="D178" t="s">
        <v>80</v>
      </c>
      <c r="E178" t="s">
        <v>933</v>
      </c>
      <c r="F178">
        <v>45685</v>
      </c>
      <c r="G178" t="s">
        <v>936</v>
      </c>
      <c r="H178" t="s">
        <v>944</v>
      </c>
      <c r="I178" s="4">
        <v>1704</v>
      </c>
      <c r="J178" s="4">
        <v>4909</v>
      </c>
      <c r="K178" s="4">
        <v>1910</v>
      </c>
      <c r="L178">
        <v>2225</v>
      </c>
      <c r="M178" s="4">
        <f>Table1[[#This Row],[Visit Cost]]+Table1[[#This Row],[Lab Cost]]+Table1[[#This Row],[Medicine Cost]]+Table1[[#This Row],[Room Charges]]</f>
        <v>10748</v>
      </c>
      <c r="N178" s="5">
        <v>45821</v>
      </c>
      <c r="O178">
        <f>Table1[[#This Row],[Discharge Date]]-Table1[[#This Row],[Visit Date]]</f>
        <v>136</v>
      </c>
      <c r="P178" t="s">
        <v>948</v>
      </c>
      <c r="Q178" s="4">
        <v>9605</v>
      </c>
      <c r="R178" s="4">
        <f>Table1[[#This Row],[Total Revenue]]-Table1[[#This Row],[Insurance Claim Amount]]</f>
        <v>1143</v>
      </c>
      <c r="S178">
        <v>1</v>
      </c>
      <c r="T178" t="str">
        <f t="shared" si="4"/>
        <v>Jan</v>
      </c>
      <c r="U178">
        <f t="shared" si="5"/>
        <v>2025</v>
      </c>
    </row>
    <row r="179" spans="1:21" x14ac:dyDescent="0.3">
      <c r="A179" t="s">
        <v>354</v>
      </c>
      <c r="B179" t="s">
        <v>355</v>
      </c>
      <c r="C179" t="s">
        <v>11</v>
      </c>
      <c r="D179" t="s">
        <v>164</v>
      </c>
      <c r="E179" t="s">
        <v>930</v>
      </c>
      <c r="F179">
        <v>45860</v>
      </c>
      <c r="G179" t="s">
        <v>938</v>
      </c>
      <c r="H179" t="s">
        <v>944</v>
      </c>
      <c r="I179" s="4">
        <v>1630</v>
      </c>
      <c r="J179" s="4">
        <v>2338</v>
      </c>
      <c r="K179" s="4">
        <v>437</v>
      </c>
      <c r="L179">
        <v>1313</v>
      </c>
      <c r="M179" s="4">
        <f>Table1[[#This Row],[Visit Cost]]+Table1[[#This Row],[Lab Cost]]+Table1[[#This Row],[Medicine Cost]]+Table1[[#This Row],[Room Charges]]</f>
        <v>5718</v>
      </c>
      <c r="N179" s="5">
        <v>45901</v>
      </c>
      <c r="O179">
        <f>Table1[[#This Row],[Discharge Date]]-Table1[[#This Row],[Visit Date]]</f>
        <v>41</v>
      </c>
      <c r="P179" t="s">
        <v>949</v>
      </c>
      <c r="Q179" s="4">
        <v>0</v>
      </c>
      <c r="R179" s="4">
        <f>Table1[[#This Row],[Total Revenue]]-Table1[[#This Row],[Insurance Claim Amount]]</f>
        <v>5718</v>
      </c>
      <c r="S179">
        <v>3</v>
      </c>
      <c r="T179" t="str">
        <f t="shared" si="4"/>
        <v>Jul</v>
      </c>
      <c r="U179">
        <f t="shared" si="5"/>
        <v>2025</v>
      </c>
    </row>
    <row r="180" spans="1:21" x14ac:dyDescent="0.3">
      <c r="A180" t="s">
        <v>356</v>
      </c>
      <c r="B180" t="s">
        <v>357</v>
      </c>
      <c r="C180" t="s">
        <v>38</v>
      </c>
      <c r="D180" t="s">
        <v>924</v>
      </c>
      <c r="E180" t="s">
        <v>932</v>
      </c>
      <c r="F180">
        <v>45963</v>
      </c>
      <c r="G180" t="s">
        <v>937</v>
      </c>
      <c r="H180" t="s">
        <v>945</v>
      </c>
      <c r="I180" s="4">
        <v>1314</v>
      </c>
      <c r="J180" s="4">
        <v>2216</v>
      </c>
      <c r="K180" s="4">
        <v>1829</v>
      </c>
      <c r="L180">
        <v>2439</v>
      </c>
      <c r="M180" s="4">
        <f>Table1[[#This Row],[Visit Cost]]+Table1[[#This Row],[Lab Cost]]+Table1[[#This Row],[Medicine Cost]]+Table1[[#This Row],[Room Charges]]</f>
        <v>7798</v>
      </c>
      <c r="N180" s="5">
        <v>46014</v>
      </c>
      <c r="O180">
        <f>Table1[[#This Row],[Discharge Date]]-Table1[[#This Row],[Visit Date]]</f>
        <v>51</v>
      </c>
      <c r="P180" t="s">
        <v>949</v>
      </c>
      <c r="Q180" s="4">
        <v>0</v>
      </c>
      <c r="R180" s="4">
        <f>Table1[[#This Row],[Total Revenue]]-Table1[[#This Row],[Insurance Claim Amount]]</f>
        <v>7798</v>
      </c>
      <c r="S180">
        <v>3</v>
      </c>
      <c r="T180" t="str">
        <f t="shared" si="4"/>
        <v>Nov</v>
      </c>
      <c r="U180">
        <f t="shared" si="5"/>
        <v>2025</v>
      </c>
    </row>
    <row r="181" spans="1:21" x14ac:dyDescent="0.3">
      <c r="A181" t="s">
        <v>358</v>
      </c>
      <c r="B181" t="s">
        <v>359</v>
      </c>
      <c r="C181" t="s">
        <v>29</v>
      </c>
      <c r="D181" t="s">
        <v>926</v>
      </c>
      <c r="E181" t="s">
        <v>929</v>
      </c>
      <c r="F181">
        <v>45896</v>
      </c>
      <c r="G181" t="s">
        <v>936</v>
      </c>
      <c r="H181" t="s">
        <v>941</v>
      </c>
      <c r="I181" s="4">
        <v>1308</v>
      </c>
      <c r="J181" s="4">
        <v>2707</v>
      </c>
      <c r="K181" s="4">
        <v>757</v>
      </c>
      <c r="L181">
        <v>1723</v>
      </c>
      <c r="M181" s="4">
        <f>Table1[[#This Row],[Visit Cost]]+Table1[[#This Row],[Lab Cost]]+Table1[[#This Row],[Medicine Cost]]+Table1[[#This Row],[Room Charges]]</f>
        <v>6495</v>
      </c>
      <c r="N181" s="5">
        <v>46022</v>
      </c>
      <c r="O181">
        <f>Table1[[#This Row],[Discharge Date]]-Table1[[#This Row],[Visit Date]]</f>
        <v>126</v>
      </c>
      <c r="P181" t="s">
        <v>948</v>
      </c>
      <c r="Q181" s="4">
        <v>9</v>
      </c>
      <c r="R181" s="4">
        <f>Table1[[#This Row],[Total Revenue]]-Table1[[#This Row],[Insurance Claim Amount]]</f>
        <v>6486</v>
      </c>
      <c r="S181">
        <v>5</v>
      </c>
      <c r="T181" t="str">
        <f t="shared" si="4"/>
        <v>Aug</v>
      </c>
      <c r="U181">
        <f t="shared" si="5"/>
        <v>2025</v>
      </c>
    </row>
    <row r="182" spans="1:21" x14ac:dyDescent="0.3">
      <c r="A182" t="s">
        <v>360</v>
      </c>
      <c r="B182" t="s">
        <v>361</v>
      </c>
      <c r="C182" t="s">
        <v>16</v>
      </c>
      <c r="D182" t="s">
        <v>925</v>
      </c>
      <c r="E182" t="s">
        <v>932</v>
      </c>
      <c r="F182">
        <v>45686</v>
      </c>
      <c r="G182" t="s">
        <v>935</v>
      </c>
      <c r="H182" t="s">
        <v>942</v>
      </c>
      <c r="I182" s="4">
        <v>1450</v>
      </c>
      <c r="J182" s="4">
        <v>2500</v>
      </c>
      <c r="K182" s="4">
        <v>2697</v>
      </c>
      <c r="L182">
        <v>2267</v>
      </c>
      <c r="M182" s="4">
        <f>Table1[[#This Row],[Visit Cost]]+Table1[[#This Row],[Lab Cost]]+Table1[[#This Row],[Medicine Cost]]+Table1[[#This Row],[Room Charges]]</f>
        <v>8914</v>
      </c>
      <c r="N182" s="5">
        <v>45732</v>
      </c>
      <c r="O182">
        <f>Table1[[#This Row],[Discharge Date]]-Table1[[#This Row],[Visit Date]]</f>
        <v>46</v>
      </c>
      <c r="P182" t="s">
        <v>948</v>
      </c>
      <c r="Q182" s="4">
        <v>6216</v>
      </c>
      <c r="R182" s="4">
        <f>Table1[[#This Row],[Total Revenue]]-Table1[[#This Row],[Insurance Claim Amount]]</f>
        <v>2698</v>
      </c>
      <c r="S182">
        <v>5</v>
      </c>
      <c r="T182" t="str">
        <f t="shared" si="4"/>
        <v>Jan</v>
      </c>
      <c r="U182">
        <f t="shared" si="5"/>
        <v>2025</v>
      </c>
    </row>
    <row r="183" spans="1:21" x14ac:dyDescent="0.3">
      <c r="A183" t="s">
        <v>362</v>
      </c>
      <c r="B183" t="s">
        <v>363</v>
      </c>
      <c r="C183" t="s">
        <v>38</v>
      </c>
      <c r="D183" t="s">
        <v>926</v>
      </c>
      <c r="E183" t="s">
        <v>931</v>
      </c>
      <c r="F183">
        <v>46021</v>
      </c>
      <c r="G183" t="s">
        <v>938</v>
      </c>
      <c r="H183" t="s">
        <v>941</v>
      </c>
      <c r="I183" s="4">
        <v>1664</v>
      </c>
      <c r="J183" s="4">
        <v>538</v>
      </c>
      <c r="K183" s="4">
        <v>1916</v>
      </c>
      <c r="L183">
        <v>2367</v>
      </c>
      <c r="M183" s="4">
        <f>Table1[[#This Row],[Visit Cost]]+Table1[[#This Row],[Lab Cost]]+Table1[[#This Row],[Medicine Cost]]+Table1[[#This Row],[Room Charges]]</f>
        <v>6485</v>
      </c>
      <c r="N183" s="5">
        <v>46093</v>
      </c>
      <c r="O183">
        <f>Table1[[#This Row],[Discharge Date]]-Table1[[#This Row],[Visit Date]]</f>
        <v>72</v>
      </c>
      <c r="P183" t="s">
        <v>949</v>
      </c>
      <c r="Q183" s="4">
        <v>0</v>
      </c>
      <c r="R183" s="4">
        <f>Table1[[#This Row],[Total Revenue]]-Table1[[#This Row],[Insurance Claim Amount]]</f>
        <v>6485</v>
      </c>
      <c r="S183">
        <v>5</v>
      </c>
      <c r="T183" t="str">
        <f t="shared" si="4"/>
        <v>Dec</v>
      </c>
      <c r="U183">
        <f t="shared" si="5"/>
        <v>2025</v>
      </c>
    </row>
    <row r="184" spans="1:21" x14ac:dyDescent="0.3">
      <c r="A184" t="s">
        <v>364</v>
      </c>
      <c r="B184" t="s">
        <v>365</v>
      </c>
      <c r="C184" t="s">
        <v>29</v>
      </c>
      <c r="D184" t="s">
        <v>85</v>
      </c>
      <c r="E184" t="s">
        <v>929</v>
      </c>
      <c r="F184">
        <v>45950</v>
      </c>
      <c r="G184" t="s">
        <v>936</v>
      </c>
      <c r="H184" t="s">
        <v>942</v>
      </c>
      <c r="I184" s="4">
        <v>1199</v>
      </c>
      <c r="J184" s="4">
        <v>4648</v>
      </c>
      <c r="K184" s="4">
        <v>464</v>
      </c>
      <c r="L184">
        <v>1420</v>
      </c>
      <c r="M184" s="4">
        <f>Table1[[#This Row],[Visit Cost]]+Table1[[#This Row],[Lab Cost]]+Table1[[#This Row],[Medicine Cost]]+Table1[[#This Row],[Room Charges]]</f>
        <v>7731</v>
      </c>
      <c r="N184" s="5">
        <v>46057</v>
      </c>
      <c r="O184">
        <f>Table1[[#This Row],[Discharge Date]]-Table1[[#This Row],[Visit Date]]</f>
        <v>107</v>
      </c>
      <c r="P184" t="s">
        <v>949</v>
      </c>
      <c r="Q184" s="4">
        <v>0</v>
      </c>
      <c r="R184" s="4">
        <f>Table1[[#This Row],[Total Revenue]]-Table1[[#This Row],[Insurance Claim Amount]]</f>
        <v>7731</v>
      </c>
      <c r="S184">
        <v>5</v>
      </c>
      <c r="T184" t="str">
        <f t="shared" si="4"/>
        <v>Oct</v>
      </c>
      <c r="U184">
        <f t="shared" si="5"/>
        <v>2025</v>
      </c>
    </row>
    <row r="185" spans="1:21" x14ac:dyDescent="0.3">
      <c r="A185" t="s">
        <v>366</v>
      </c>
      <c r="B185" t="s">
        <v>367</v>
      </c>
      <c r="C185" t="s">
        <v>16</v>
      </c>
      <c r="D185" t="s">
        <v>927</v>
      </c>
      <c r="E185" t="s">
        <v>933</v>
      </c>
      <c r="F185">
        <v>45802</v>
      </c>
      <c r="G185" t="s">
        <v>937</v>
      </c>
      <c r="H185" t="s">
        <v>943</v>
      </c>
      <c r="I185" s="4">
        <v>1464</v>
      </c>
      <c r="J185" s="4">
        <v>2180</v>
      </c>
      <c r="K185" s="4">
        <v>1576</v>
      </c>
      <c r="L185">
        <v>1387</v>
      </c>
      <c r="M185" s="4">
        <f>Table1[[#This Row],[Visit Cost]]+Table1[[#This Row],[Lab Cost]]+Table1[[#This Row],[Medicine Cost]]+Table1[[#This Row],[Room Charges]]</f>
        <v>6607</v>
      </c>
      <c r="N185" s="5">
        <v>45896</v>
      </c>
      <c r="O185">
        <f>Table1[[#This Row],[Discharge Date]]-Table1[[#This Row],[Visit Date]]</f>
        <v>94</v>
      </c>
      <c r="P185" t="s">
        <v>948</v>
      </c>
      <c r="Q185" s="4">
        <v>4853</v>
      </c>
      <c r="R185" s="4">
        <f>Table1[[#This Row],[Total Revenue]]-Table1[[#This Row],[Insurance Claim Amount]]</f>
        <v>1754</v>
      </c>
      <c r="S185">
        <v>2</v>
      </c>
      <c r="T185" t="str">
        <f t="shared" si="4"/>
        <v>May</v>
      </c>
      <c r="U185">
        <f t="shared" si="5"/>
        <v>2025</v>
      </c>
    </row>
    <row r="186" spans="1:21" x14ac:dyDescent="0.3">
      <c r="A186" t="s">
        <v>368</v>
      </c>
      <c r="B186" t="s">
        <v>369</v>
      </c>
      <c r="C186" t="s">
        <v>29</v>
      </c>
      <c r="D186" t="s">
        <v>80</v>
      </c>
      <c r="E186" t="s">
        <v>930</v>
      </c>
      <c r="F186">
        <v>45703</v>
      </c>
      <c r="G186" t="s">
        <v>935</v>
      </c>
      <c r="H186" t="s">
        <v>941</v>
      </c>
      <c r="I186" s="4">
        <v>1331</v>
      </c>
      <c r="J186" s="4">
        <v>3262</v>
      </c>
      <c r="K186" s="4">
        <v>733</v>
      </c>
      <c r="L186">
        <v>1660</v>
      </c>
      <c r="M186" s="4">
        <f>Table1[[#This Row],[Visit Cost]]+Table1[[#This Row],[Lab Cost]]+Table1[[#This Row],[Medicine Cost]]+Table1[[#This Row],[Room Charges]]</f>
        <v>6986</v>
      </c>
      <c r="N186" s="5">
        <v>45740</v>
      </c>
      <c r="O186">
        <f>Table1[[#This Row],[Discharge Date]]-Table1[[#This Row],[Visit Date]]</f>
        <v>37</v>
      </c>
      <c r="P186" t="s">
        <v>949</v>
      </c>
      <c r="Q186" s="4">
        <v>0</v>
      </c>
      <c r="R186" s="4">
        <f>Table1[[#This Row],[Total Revenue]]-Table1[[#This Row],[Insurance Claim Amount]]</f>
        <v>6986</v>
      </c>
      <c r="S186">
        <v>1</v>
      </c>
      <c r="T186" t="str">
        <f t="shared" si="4"/>
        <v>Feb</v>
      </c>
      <c r="U186">
        <f t="shared" si="5"/>
        <v>2025</v>
      </c>
    </row>
    <row r="187" spans="1:21" x14ac:dyDescent="0.3">
      <c r="A187" t="s">
        <v>370</v>
      </c>
      <c r="B187" t="s">
        <v>371</v>
      </c>
      <c r="C187" t="s">
        <v>29</v>
      </c>
      <c r="D187" t="s">
        <v>926</v>
      </c>
      <c r="E187" t="s">
        <v>929</v>
      </c>
      <c r="F187">
        <v>45987</v>
      </c>
      <c r="G187" t="s">
        <v>936</v>
      </c>
      <c r="H187" t="s">
        <v>945</v>
      </c>
      <c r="I187" s="4">
        <v>1365</v>
      </c>
      <c r="J187" s="4">
        <v>975</v>
      </c>
      <c r="K187" s="4">
        <v>352</v>
      </c>
      <c r="L187">
        <v>1383</v>
      </c>
      <c r="M187" s="4">
        <f>Table1[[#This Row],[Visit Cost]]+Table1[[#This Row],[Lab Cost]]+Table1[[#This Row],[Medicine Cost]]+Table1[[#This Row],[Room Charges]]</f>
        <v>4075</v>
      </c>
      <c r="N187" s="5">
        <v>46070</v>
      </c>
      <c r="O187">
        <f>Table1[[#This Row],[Discharge Date]]-Table1[[#This Row],[Visit Date]]</f>
        <v>83</v>
      </c>
      <c r="P187" t="s">
        <v>949</v>
      </c>
      <c r="Q187" s="4">
        <v>0</v>
      </c>
      <c r="R187" s="4">
        <f>Table1[[#This Row],[Total Revenue]]-Table1[[#This Row],[Insurance Claim Amount]]</f>
        <v>4075</v>
      </c>
      <c r="S187">
        <v>4</v>
      </c>
      <c r="T187" t="str">
        <f t="shared" si="4"/>
        <v>Nov</v>
      </c>
      <c r="U187">
        <f t="shared" si="5"/>
        <v>2025</v>
      </c>
    </row>
    <row r="188" spans="1:21" x14ac:dyDescent="0.3">
      <c r="A188" t="s">
        <v>372</v>
      </c>
      <c r="B188" t="s">
        <v>373</v>
      </c>
      <c r="C188" t="s">
        <v>6</v>
      </c>
      <c r="D188" t="s">
        <v>85</v>
      </c>
      <c r="E188" t="s">
        <v>933</v>
      </c>
      <c r="F188">
        <v>45788</v>
      </c>
      <c r="G188" t="s">
        <v>938</v>
      </c>
      <c r="H188" t="s">
        <v>940</v>
      </c>
      <c r="I188" s="4">
        <v>1370</v>
      </c>
      <c r="J188" s="4">
        <v>3451</v>
      </c>
      <c r="K188" s="4">
        <v>1401</v>
      </c>
      <c r="L188">
        <v>1225</v>
      </c>
      <c r="M188" s="4">
        <f>Table1[[#This Row],[Visit Cost]]+Table1[[#This Row],[Lab Cost]]+Table1[[#This Row],[Medicine Cost]]+Table1[[#This Row],[Room Charges]]</f>
        <v>7447</v>
      </c>
      <c r="N188" s="5">
        <v>45852</v>
      </c>
      <c r="O188">
        <f>Table1[[#This Row],[Discharge Date]]-Table1[[#This Row],[Visit Date]]</f>
        <v>64</v>
      </c>
      <c r="P188" t="s">
        <v>949</v>
      </c>
      <c r="Q188" s="4">
        <v>0</v>
      </c>
      <c r="R188" s="4">
        <f>Table1[[#This Row],[Total Revenue]]-Table1[[#This Row],[Insurance Claim Amount]]</f>
        <v>7447</v>
      </c>
      <c r="S188">
        <v>1</v>
      </c>
      <c r="T188" t="str">
        <f t="shared" si="4"/>
        <v>May</v>
      </c>
      <c r="U188">
        <f t="shared" si="5"/>
        <v>2025</v>
      </c>
    </row>
    <row r="189" spans="1:21" x14ac:dyDescent="0.3">
      <c r="A189" t="s">
        <v>374</v>
      </c>
      <c r="B189" t="s">
        <v>375</v>
      </c>
      <c r="C189" t="s">
        <v>16</v>
      </c>
      <c r="D189" t="s">
        <v>925</v>
      </c>
      <c r="E189" t="s">
        <v>931</v>
      </c>
      <c r="F189">
        <v>45765</v>
      </c>
      <c r="G189" t="s">
        <v>937</v>
      </c>
      <c r="H189" t="s">
        <v>942</v>
      </c>
      <c r="I189" s="4">
        <v>1920</v>
      </c>
      <c r="J189" s="4">
        <v>2725</v>
      </c>
      <c r="K189" s="4">
        <v>494</v>
      </c>
      <c r="L189">
        <v>1699</v>
      </c>
      <c r="M189" s="4">
        <f>Table1[[#This Row],[Visit Cost]]+Table1[[#This Row],[Lab Cost]]+Table1[[#This Row],[Medicine Cost]]+Table1[[#This Row],[Room Charges]]</f>
        <v>6838</v>
      </c>
      <c r="N189" s="5">
        <v>45839</v>
      </c>
      <c r="O189">
        <f>Table1[[#This Row],[Discharge Date]]-Table1[[#This Row],[Visit Date]]</f>
        <v>74</v>
      </c>
      <c r="P189" t="s">
        <v>948</v>
      </c>
      <c r="Q189" s="4">
        <v>5408</v>
      </c>
      <c r="R189" s="4">
        <f>Table1[[#This Row],[Total Revenue]]-Table1[[#This Row],[Insurance Claim Amount]]</f>
        <v>1430</v>
      </c>
      <c r="S189">
        <v>4</v>
      </c>
      <c r="T189" t="str">
        <f t="shared" si="4"/>
        <v>Apr</v>
      </c>
      <c r="U189">
        <f t="shared" si="5"/>
        <v>2025</v>
      </c>
    </row>
    <row r="190" spans="1:21" x14ac:dyDescent="0.3">
      <c r="A190" t="s">
        <v>376</v>
      </c>
      <c r="B190" t="s">
        <v>377</v>
      </c>
      <c r="C190" t="s">
        <v>16</v>
      </c>
      <c r="D190" t="s">
        <v>924</v>
      </c>
      <c r="E190" t="s">
        <v>932</v>
      </c>
      <c r="F190">
        <v>45772</v>
      </c>
      <c r="G190" t="s">
        <v>936</v>
      </c>
      <c r="H190" t="s">
        <v>941</v>
      </c>
      <c r="I190" s="4">
        <v>1175</v>
      </c>
      <c r="J190" s="4">
        <v>1383</v>
      </c>
      <c r="K190" s="4">
        <v>2198</v>
      </c>
      <c r="L190" s="4">
        <v>2005</v>
      </c>
      <c r="M190" s="4">
        <f>Table1[[#This Row],[Visit Cost]]+Table1[[#This Row],[Lab Cost]]+Table1[[#This Row],[Medicine Cost]]+Table1[[#This Row],[Room Charges]]</f>
        <v>6761</v>
      </c>
      <c r="N190" s="5">
        <v>45853</v>
      </c>
      <c r="O190">
        <f>Table1[[#This Row],[Discharge Date]]-Table1[[#This Row],[Visit Date]]</f>
        <v>81</v>
      </c>
      <c r="P190" t="s">
        <v>949</v>
      </c>
      <c r="Q190" s="4">
        <v>0</v>
      </c>
      <c r="R190" s="4">
        <f>Table1[[#This Row],[Total Revenue]]-Table1[[#This Row],[Insurance Claim Amount]]</f>
        <v>6761</v>
      </c>
      <c r="S190">
        <v>2</v>
      </c>
      <c r="T190" t="str">
        <f t="shared" si="4"/>
        <v>Apr</v>
      </c>
      <c r="U190">
        <f t="shared" si="5"/>
        <v>2025</v>
      </c>
    </row>
    <row r="191" spans="1:21" x14ac:dyDescent="0.3">
      <c r="A191" t="s">
        <v>378</v>
      </c>
      <c r="B191" t="s">
        <v>302</v>
      </c>
      <c r="C191" t="s">
        <v>47</v>
      </c>
      <c r="D191" t="s">
        <v>252</v>
      </c>
      <c r="E191" t="s">
        <v>930</v>
      </c>
      <c r="F191">
        <v>45838</v>
      </c>
      <c r="G191" t="s">
        <v>935</v>
      </c>
      <c r="H191" t="s">
        <v>945</v>
      </c>
      <c r="I191" s="4">
        <v>1865</v>
      </c>
      <c r="J191" s="4">
        <v>1850</v>
      </c>
      <c r="K191" s="4">
        <v>1045</v>
      </c>
      <c r="L191" s="4">
        <v>3500</v>
      </c>
      <c r="M191" s="4">
        <f>Table1[[#This Row],[Visit Cost]]+Table1[[#This Row],[Lab Cost]]+Table1[[#This Row],[Medicine Cost]]+Table1[[#This Row],[Room Charges]]</f>
        <v>8260</v>
      </c>
      <c r="N191" s="5">
        <v>45865</v>
      </c>
      <c r="O191">
        <f>Table1[[#This Row],[Discharge Date]]-Table1[[#This Row],[Visit Date]]</f>
        <v>27</v>
      </c>
      <c r="P191" t="s">
        <v>948</v>
      </c>
      <c r="Q191" s="4">
        <v>1500</v>
      </c>
      <c r="R191" s="4">
        <f>Table1[[#This Row],[Total Revenue]]-Table1[[#This Row],[Insurance Claim Amount]]</f>
        <v>6760</v>
      </c>
      <c r="S191">
        <v>5</v>
      </c>
      <c r="T191" t="str">
        <f t="shared" si="4"/>
        <v>Jun</v>
      </c>
      <c r="U191">
        <f t="shared" si="5"/>
        <v>2025</v>
      </c>
    </row>
    <row r="192" spans="1:21" x14ac:dyDescent="0.3">
      <c r="A192" t="s">
        <v>379</v>
      </c>
      <c r="B192" t="s">
        <v>380</v>
      </c>
      <c r="C192" t="s">
        <v>16</v>
      </c>
      <c r="D192" t="s">
        <v>164</v>
      </c>
      <c r="E192" t="s">
        <v>930</v>
      </c>
      <c r="F192">
        <v>45984</v>
      </c>
      <c r="G192" t="s">
        <v>936</v>
      </c>
      <c r="H192" t="s">
        <v>942</v>
      </c>
      <c r="I192" s="4">
        <v>939</v>
      </c>
      <c r="J192" s="4">
        <v>2922</v>
      </c>
      <c r="K192" s="4">
        <v>2542</v>
      </c>
      <c r="L192" s="4">
        <v>4085</v>
      </c>
      <c r="M192" s="4">
        <f>Table1[[#This Row],[Visit Cost]]+Table1[[#This Row],[Lab Cost]]+Table1[[#This Row],[Medicine Cost]]+Table1[[#This Row],[Room Charges]]</f>
        <v>10488</v>
      </c>
      <c r="N192" s="5">
        <v>46033</v>
      </c>
      <c r="O192">
        <f>Table1[[#This Row],[Discharge Date]]-Table1[[#This Row],[Visit Date]]</f>
        <v>49</v>
      </c>
      <c r="P192" t="s">
        <v>948</v>
      </c>
      <c r="Q192" s="4">
        <v>6394</v>
      </c>
      <c r="R192" s="4">
        <f>Table1[[#This Row],[Total Revenue]]-Table1[[#This Row],[Insurance Claim Amount]]</f>
        <v>4094</v>
      </c>
      <c r="S192">
        <v>4</v>
      </c>
      <c r="T192" t="str">
        <f t="shared" si="4"/>
        <v>Nov</v>
      </c>
      <c r="U192">
        <f t="shared" si="5"/>
        <v>2025</v>
      </c>
    </row>
    <row r="193" spans="1:21" x14ac:dyDescent="0.3">
      <c r="A193" t="s">
        <v>381</v>
      </c>
      <c r="B193" t="s">
        <v>382</v>
      </c>
      <c r="C193" t="s">
        <v>16</v>
      </c>
      <c r="D193" t="s">
        <v>924</v>
      </c>
      <c r="E193" t="s">
        <v>932</v>
      </c>
      <c r="F193">
        <v>45907</v>
      </c>
      <c r="G193" t="s">
        <v>938</v>
      </c>
      <c r="H193" t="s">
        <v>944</v>
      </c>
      <c r="I193" s="4">
        <v>2052</v>
      </c>
      <c r="J193" s="4">
        <v>4596</v>
      </c>
      <c r="K193" s="4">
        <v>452</v>
      </c>
      <c r="L193" s="4">
        <v>7000</v>
      </c>
      <c r="M193" s="4">
        <f>Table1[[#This Row],[Visit Cost]]+Table1[[#This Row],[Lab Cost]]+Table1[[#This Row],[Medicine Cost]]+Table1[[#This Row],[Room Charges]]</f>
        <v>14100</v>
      </c>
      <c r="N193" s="5">
        <v>46019</v>
      </c>
      <c r="O193">
        <f>Table1[[#This Row],[Discharge Date]]-Table1[[#This Row],[Visit Date]]</f>
        <v>112</v>
      </c>
      <c r="P193" t="s">
        <v>949</v>
      </c>
      <c r="Q193" s="4">
        <v>0</v>
      </c>
      <c r="R193" s="4">
        <f>Table1[[#This Row],[Total Revenue]]-Table1[[#This Row],[Insurance Claim Amount]]</f>
        <v>14100</v>
      </c>
      <c r="S193">
        <v>4</v>
      </c>
      <c r="T193" t="str">
        <f t="shared" si="4"/>
        <v>Sep</v>
      </c>
      <c r="U193">
        <f t="shared" si="5"/>
        <v>2025</v>
      </c>
    </row>
    <row r="194" spans="1:21" x14ac:dyDescent="0.3">
      <c r="A194" t="s">
        <v>383</v>
      </c>
      <c r="B194" t="s">
        <v>384</v>
      </c>
      <c r="C194" t="s">
        <v>16</v>
      </c>
      <c r="D194" t="s">
        <v>924</v>
      </c>
      <c r="E194" t="s">
        <v>933</v>
      </c>
      <c r="F194">
        <v>45924</v>
      </c>
      <c r="G194" t="s">
        <v>937</v>
      </c>
      <c r="H194" t="s">
        <v>944</v>
      </c>
      <c r="I194" s="4">
        <v>1671</v>
      </c>
      <c r="J194" s="4">
        <v>717</v>
      </c>
      <c r="K194" s="4">
        <v>753</v>
      </c>
      <c r="L194" s="4">
        <v>9117</v>
      </c>
      <c r="M194" s="4">
        <f>Table1[[#This Row],[Visit Cost]]+Table1[[#This Row],[Lab Cost]]+Table1[[#This Row],[Medicine Cost]]+Table1[[#This Row],[Room Charges]]</f>
        <v>12258</v>
      </c>
      <c r="N194" s="5">
        <v>46022</v>
      </c>
      <c r="O194">
        <f>Table1[[#This Row],[Discharge Date]]-Table1[[#This Row],[Visit Date]]</f>
        <v>98</v>
      </c>
      <c r="P194" t="s">
        <v>948</v>
      </c>
      <c r="Q194" s="4">
        <v>2339</v>
      </c>
      <c r="R194" s="4">
        <f>Table1[[#This Row],[Total Revenue]]-Table1[[#This Row],[Insurance Claim Amount]]</f>
        <v>9919</v>
      </c>
      <c r="S194">
        <v>3</v>
      </c>
      <c r="T194" t="str">
        <f t="shared" si="4"/>
        <v>Sep</v>
      </c>
      <c r="U194">
        <f t="shared" si="5"/>
        <v>2025</v>
      </c>
    </row>
    <row r="195" spans="1:21" x14ac:dyDescent="0.3">
      <c r="A195" t="s">
        <v>385</v>
      </c>
      <c r="B195" t="s">
        <v>386</v>
      </c>
      <c r="C195" t="s">
        <v>6</v>
      </c>
      <c r="D195" t="s">
        <v>85</v>
      </c>
      <c r="E195" t="s">
        <v>931</v>
      </c>
      <c r="F195">
        <v>45978</v>
      </c>
      <c r="G195" t="s">
        <v>936</v>
      </c>
      <c r="H195" t="s">
        <v>943</v>
      </c>
      <c r="I195" s="4">
        <v>1503</v>
      </c>
      <c r="J195" s="4">
        <v>652</v>
      </c>
      <c r="K195" s="4">
        <v>2837</v>
      </c>
      <c r="L195" s="4">
        <v>2355</v>
      </c>
      <c r="M195" s="4">
        <f>Table1[[#This Row],[Visit Cost]]+Table1[[#This Row],[Lab Cost]]+Table1[[#This Row],[Medicine Cost]]+Table1[[#This Row],[Room Charges]]</f>
        <v>7347</v>
      </c>
      <c r="N195" s="5">
        <v>46054</v>
      </c>
      <c r="O195">
        <f>Table1[[#This Row],[Discharge Date]]-Table1[[#This Row],[Visit Date]]</f>
        <v>76</v>
      </c>
      <c r="P195" t="s">
        <v>948</v>
      </c>
      <c r="Q195" s="4">
        <v>5978</v>
      </c>
      <c r="R195" s="4">
        <f>Table1[[#This Row],[Total Revenue]]-Table1[[#This Row],[Insurance Claim Amount]]</f>
        <v>1369</v>
      </c>
      <c r="S195">
        <v>4</v>
      </c>
      <c r="T195" t="str">
        <f t="shared" ref="T195:T258" si="6">TEXT(F195,"MMM")</f>
        <v>Nov</v>
      </c>
      <c r="U195">
        <f t="shared" ref="U195:U258" si="7">YEAR(F195)</f>
        <v>2025</v>
      </c>
    </row>
    <row r="196" spans="1:21" x14ac:dyDescent="0.3">
      <c r="A196" t="s">
        <v>387</v>
      </c>
      <c r="B196" t="s">
        <v>388</v>
      </c>
      <c r="C196" t="s">
        <v>6</v>
      </c>
      <c r="D196" t="s">
        <v>927</v>
      </c>
      <c r="E196" t="s">
        <v>929</v>
      </c>
      <c r="F196">
        <v>45988</v>
      </c>
      <c r="G196" t="s">
        <v>935</v>
      </c>
      <c r="H196" t="s">
        <v>940</v>
      </c>
      <c r="I196" s="4">
        <v>625</v>
      </c>
      <c r="J196" s="4">
        <v>500</v>
      </c>
      <c r="K196" s="4">
        <v>2016</v>
      </c>
      <c r="L196" s="4">
        <v>1800</v>
      </c>
      <c r="M196" s="4">
        <f>Table1[[#This Row],[Visit Cost]]+Table1[[#This Row],[Lab Cost]]+Table1[[#This Row],[Medicine Cost]]+Table1[[#This Row],[Room Charges]]</f>
        <v>4941</v>
      </c>
      <c r="N196" s="5">
        <v>46001</v>
      </c>
      <c r="O196">
        <f>Table1[[#This Row],[Discharge Date]]-Table1[[#This Row],[Visit Date]]</f>
        <v>13</v>
      </c>
      <c r="P196" t="s">
        <v>948</v>
      </c>
      <c r="Q196" s="4">
        <v>1931</v>
      </c>
      <c r="R196" s="4">
        <f>Table1[[#This Row],[Total Revenue]]-Table1[[#This Row],[Insurance Claim Amount]]</f>
        <v>3010</v>
      </c>
      <c r="S196">
        <v>2</v>
      </c>
      <c r="T196" t="str">
        <f t="shared" si="6"/>
        <v>Nov</v>
      </c>
      <c r="U196">
        <f t="shared" si="7"/>
        <v>2025</v>
      </c>
    </row>
    <row r="197" spans="1:21" x14ac:dyDescent="0.3">
      <c r="A197" t="s">
        <v>389</v>
      </c>
      <c r="B197" t="s">
        <v>390</v>
      </c>
      <c r="C197" t="s">
        <v>16</v>
      </c>
      <c r="D197" t="s">
        <v>252</v>
      </c>
      <c r="E197" t="s">
        <v>933</v>
      </c>
      <c r="F197">
        <v>45798</v>
      </c>
      <c r="G197" t="s">
        <v>938</v>
      </c>
      <c r="H197" t="s">
        <v>943</v>
      </c>
      <c r="I197" s="4">
        <v>1011</v>
      </c>
      <c r="J197" s="4">
        <v>4338</v>
      </c>
      <c r="K197" s="4">
        <v>2518</v>
      </c>
      <c r="L197" s="4">
        <v>3158</v>
      </c>
      <c r="M197" s="4">
        <f>Table1[[#This Row],[Visit Cost]]+Table1[[#This Row],[Lab Cost]]+Table1[[#This Row],[Medicine Cost]]+Table1[[#This Row],[Room Charges]]</f>
        <v>11025</v>
      </c>
      <c r="N197" s="5">
        <v>45932</v>
      </c>
      <c r="O197">
        <f>Table1[[#This Row],[Discharge Date]]-Table1[[#This Row],[Visit Date]]</f>
        <v>134</v>
      </c>
      <c r="P197" t="s">
        <v>948</v>
      </c>
      <c r="Q197" s="4">
        <v>715</v>
      </c>
      <c r="R197" s="4">
        <f>Table1[[#This Row],[Total Revenue]]-Table1[[#This Row],[Insurance Claim Amount]]</f>
        <v>10310</v>
      </c>
      <c r="S197">
        <v>4</v>
      </c>
      <c r="T197" t="str">
        <f t="shared" si="6"/>
        <v>May</v>
      </c>
      <c r="U197">
        <f t="shared" si="7"/>
        <v>2025</v>
      </c>
    </row>
    <row r="198" spans="1:21" x14ac:dyDescent="0.3">
      <c r="A198" t="s">
        <v>391</v>
      </c>
      <c r="B198" t="s">
        <v>163</v>
      </c>
      <c r="C198" t="s">
        <v>11</v>
      </c>
      <c r="D198" t="s">
        <v>925</v>
      </c>
      <c r="E198" t="s">
        <v>929</v>
      </c>
      <c r="F198">
        <v>45820</v>
      </c>
      <c r="G198" t="s">
        <v>936</v>
      </c>
      <c r="H198" t="s">
        <v>942</v>
      </c>
      <c r="I198" s="4">
        <v>1400</v>
      </c>
      <c r="J198" s="4">
        <v>3206</v>
      </c>
      <c r="K198" s="4">
        <v>2619</v>
      </c>
      <c r="L198" s="4">
        <v>1401</v>
      </c>
      <c r="M198" s="4">
        <f>Table1[[#This Row],[Visit Cost]]+Table1[[#This Row],[Lab Cost]]+Table1[[#This Row],[Medicine Cost]]+Table1[[#This Row],[Room Charges]]</f>
        <v>8626</v>
      </c>
      <c r="N198" s="5">
        <v>45952</v>
      </c>
      <c r="O198">
        <f>Table1[[#This Row],[Discharge Date]]-Table1[[#This Row],[Visit Date]]</f>
        <v>132</v>
      </c>
      <c r="P198" t="s">
        <v>949</v>
      </c>
      <c r="Q198" s="4">
        <v>0</v>
      </c>
      <c r="R198" s="4">
        <f>Table1[[#This Row],[Total Revenue]]-Table1[[#This Row],[Insurance Claim Amount]]</f>
        <v>8626</v>
      </c>
      <c r="S198">
        <v>3</v>
      </c>
      <c r="T198" t="str">
        <f t="shared" si="6"/>
        <v>Jun</v>
      </c>
      <c r="U198">
        <f t="shared" si="7"/>
        <v>2025</v>
      </c>
    </row>
    <row r="199" spans="1:21" x14ac:dyDescent="0.3">
      <c r="A199" t="s">
        <v>392</v>
      </c>
      <c r="B199" t="s">
        <v>97</v>
      </c>
      <c r="C199" t="s">
        <v>6</v>
      </c>
      <c r="D199" t="s">
        <v>927</v>
      </c>
      <c r="E199" t="s">
        <v>930</v>
      </c>
      <c r="F199">
        <v>45711</v>
      </c>
      <c r="G199" t="s">
        <v>937</v>
      </c>
      <c r="H199" t="s">
        <v>945</v>
      </c>
      <c r="I199" s="4">
        <v>2067</v>
      </c>
      <c r="J199" s="4">
        <v>2104</v>
      </c>
      <c r="K199" s="4">
        <v>286</v>
      </c>
      <c r="L199" s="4">
        <v>7039</v>
      </c>
      <c r="M199" s="4">
        <f>Table1[[#This Row],[Visit Cost]]+Table1[[#This Row],[Lab Cost]]+Table1[[#This Row],[Medicine Cost]]+Table1[[#This Row],[Room Charges]]</f>
        <v>11496</v>
      </c>
      <c r="N199" s="5">
        <v>45776</v>
      </c>
      <c r="O199">
        <f>Table1[[#This Row],[Discharge Date]]-Table1[[#This Row],[Visit Date]]</f>
        <v>65</v>
      </c>
      <c r="P199" t="s">
        <v>948</v>
      </c>
      <c r="Q199" s="4">
        <v>6145</v>
      </c>
      <c r="R199" s="4">
        <f>Table1[[#This Row],[Total Revenue]]-Table1[[#This Row],[Insurance Claim Amount]]</f>
        <v>5351</v>
      </c>
      <c r="S199">
        <v>5</v>
      </c>
      <c r="T199" t="str">
        <f t="shared" si="6"/>
        <v>Feb</v>
      </c>
      <c r="U199">
        <f t="shared" si="7"/>
        <v>2025</v>
      </c>
    </row>
    <row r="200" spans="1:21" x14ac:dyDescent="0.3">
      <c r="A200" t="s">
        <v>393</v>
      </c>
      <c r="B200" t="s">
        <v>394</v>
      </c>
      <c r="C200" t="s">
        <v>47</v>
      </c>
      <c r="D200" t="s">
        <v>80</v>
      </c>
      <c r="E200" t="s">
        <v>931</v>
      </c>
      <c r="F200">
        <v>45997</v>
      </c>
      <c r="G200" t="s">
        <v>935</v>
      </c>
      <c r="H200" t="s">
        <v>945</v>
      </c>
      <c r="I200" s="4">
        <v>545</v>
      </c>
      <c r="J200" s="4">
        <v>0</v>
      </c>
      <c r="K200" s="4">
        <v>2708</v>
      </c>
      <c r="L200" s="4">
        <v>4770</v>
      </c>
      <c r="M200" s="4">
        <f>Table1[[#This Row],[Visit Cost]]+Table1[[#This Row],[Lab Cost]]+Table1[[#This Row],[Medicine Cost]]+Table1[[#This Row],[Room Charges]]</f>
        <v>8023</v>
      </c>
      <c r="N200" s="5">
        <v>46112</v>
      </c>
      <c r="O200">
        <f>Table1[[#This Row],[Discharge Date]]-Table1[[#This Row],[Visit Date]]</f>
        <v>115</v>
      </c>
      <c r="P200" t="s">
        <v>949</v>
      </c>
      <c r="Q200" s="4">
        <v>0</v>
      </c>
      <c r="R200" s="4">
        <f>Table1[[#This Row],[Total Revenue]]-Table1[[#This Row],[Insurance Claim Amount]]</f>
        <v>8023</v>
      </c>
      <c r="S200">
        <v>1</v>
      </c>
      <c r="T200" t="str">
        <f t="shared" si="6"/>
        <v>Dec</v>
      </c>
      <c r="U200">
        <f t="shared" si="7"/>
        <v>2025</v>
      </c>
    </row>
    <row r="201" spans="1:21" x14ac:dyDescent="0.3">
      <c r="A201" t="s">
        <v>395</v>
      </c>
      <c r="B201" t="s">
        <v>396</v>
      </c>
      <c r="C201" t="s">
        <v>6</v>
      </c>
      <c r="D201" t="s">
        <v>85</v>
      </c>
      <c r="E201" t="s">
        <v>932</v>
      </c>
      <c r="F201">
        <v>45853</v>
      </c>
      <c r="G201" t="s">
        <v>936</v>
      </c>
      <c r="H201" t="s">
        <v>943</v>
      </c>
      <c r="I201" s="4">
        <v>2302</v>
      </c>
      <c r="J201" s="4">
        <v>3700</v>
      </c>
      <c r="K201" s="4">
        <v>1124</v>
      </c>
      <c r="L201" s="4">
        <v>4648</v>
      </c>
      <c r="M201" s="4">
        <f>Table1[[#This Row],[Visit Cost]]+Table1[[#This Row],[Lab Cost]]+Table1[[#This Row],[Medicine Cost]]+Table1[[#This Row],[Room Charges]]</f>
        <v>11774</v>
      </c>
      <c r="N201" s="5">
        <v>45940</v>
      </c>
      <c r="O201">
        <f>Table1[[#This Row],[Discharge Date]]-Table1[[#This Row],[Visit Date]]</f>
        <v>87</v>
      </c>
      <c r="P201" t="s">
        <v>949</v>
      </c>
      <c r="Q201" s="4">
        <v>0</v>
      </c>
      <c r="R201" s="4">
        <f>Table1[[#This Row],[Total Revenue]]-Table1[[#This Row],[Insurance Claim Amount]]</f>
        <v>11774</v>
      </c>
      <c r="S201">
        <v>4</v>
      </c>
      <c r="T201" t="str">
        <f t="shared" si="6"/>
        <v>Jul</v>
      </c>
      <c r="U201">
        <f t="shared" si="7"/>
        <v>2025</v>
      </c>
    </row>
    <row r="202" spans="1:21" x14ac:dyDescent="0.3">
      <c r="A202" t="s">
        <v>397</v>
      </c>
      <c r="B202" t="s">
        <v>398</v>
      </c>
      <c r="C202" t="s">
        <v>16</v>
      </c>
      <c r="D202" t="s">
        <v>925</v>
      </c>
      <c r="E202" t="s">
        <v>931</v>
      </c>
      <c r="F202">
        <v>45829</v>
      </c>
      <c r="G202" t="s">
        <v>938</v>
      </c>
      <c r="H202" t="s">
        <v>940</v>
      </c>
      <c r="I202" s="4">
        <v>2421</v>
      </c>
      <c r="J202" s="4">
        <v>850</v>
      </c>
      <c r="K202" s="4">
        <v>599</v>
      </c>
      <c r="L202" s="4">
        <v>1200</v>
      </c>
      <c r="M202" s="4">
        <f>Table1[[#This Row],[Visit Cost]]+Table1[[#This Row],[Lab Cost]]+Table1[[#This Row],[Medicine Cost]]+Table1[[#This Row],[Room Charges]]</f>
        <v>5070</v>
      </c>
      <c r="N202" s="5">
        <v>45842</v>
      </c>
      <c r="O202">
        <f>Table1[[#This Row],[Discharge Date]]-Table1[[#This Row],[Visit Date]]</f>
        <v>13</v>
      </c>
      <c r="P202" t="s">
        <v>948</v>
      </c>
      <c r="Q202" s="4">
        <v>2191</v>
      </c>
      <c r="R202" s="4">
        <f>Table1[[#This Row],[Total Revenue]]-Table1[[#This Row],[Insurance Claim Amount]]</f>
        <v>2879</v>
      </c>
      <c r="S202">
        <v>3</v>
      </c>
      <c r="T202" t="str">
        <f t="shared" si="6"/>
        <v>Jun</v>
      </c>
      <c r="U202">
        <f t="shared" si="7"/>
        <v>2025</v>
      </c>
    </row>
    <row r="203" spans="1:21" x14ac:dyDescent="0.3">
      <c r="A203" t="s">
        <v>399</v>
      </c>
      <c r="B203" t="s">
        <v>400</v>
      </c>
      <c r="C203" t="s">
        <v>47</v>
      </c>
      <c r="D203" t="s">
        <v>252</v>
      </c>
      <c r="E203" t="s">
        <v>932</v>
      </c>
      <c r="F203">
        <v>46009</v>
      </c>
      <c r="G203" t="s">
        <v>937</v>
      </c>
      <c r="H203" t="s">
        <v>940</v>
      </c>
      <c r="I203" s="4">
        <v>1811</v>
      </c>
      <c r="J203" s="4">
        <v>1950</v>
      </c>
      <c r="K203" s="4">
        <v>2271</v>
      </c>
      <c r="L203" s="4">
        <v>4000</v>
      </c>
      <c r="M203" s="4">
        <f>Table1[[#This Row],[Visit Cost]]+Table1[[#This Row],[Lab Cost]]+Table1[[#This Row],[Medicine Cost]]+Table1[[#This Row],[Room Charges]]</f>
        <v>10032</v>
      </c>
      <c r="N203" s="5">
        <v>46043</v>
      </c>
      <c r="O203">
        <f>Table1[[#This Row],[Discharge Date]]-Table1[[#This Row],[Visit Date]]</f>
        <v>34</v>
      </c>
      <c r="P203" t="s">
        <v>948</v>
      </c>
      <c r="Q203" s="4">
        <v>388</v>
      </c>
      <c r="R203" s="4">
        <f>Table1[[#This Row],[Total Revenue]]-Table1[[#This Row],[Insurance Claim Amount]]</f>
        <v>9644</v>
      </c>
      <c r="S203">
        <v>4</v>
      </c>
      <c r="T203" t="str">
        <f t="shared" si="6"/>
        <v>Dec</v>
      </c>
      <c r="U203">
        <f t="shared" si="7"/>
        <v>2025</v>
      </c>
    </row>
    <row r="204" spans="1:21" x14ac:dyDescent="0.3">
      <c r="A204" t="s">
        <v>401</v>
      </c>
      <c r="B204" t="s">
        <v>402</v>
      </c>
      <c r="C204" t="s">
        <v>16</v>
      </c>
      <c r="D204" t="s">
        <v>927</v>
      </c>
      <c r="E204" t="s">
        <v>929</v>
      </c>
      <c r="F204">
        <v>46021</v>
      </c>
      <c r="G204" t="s">
        <v>936</v>
      </c>
      <c r="H204" t="s">
        <v>942</v>
      </c>
      <c r="I204" s="4">
        <v>1198</v>
      </c>
      <c r="J204" s="4">
        <v>3159</v>
      </c>
      <c r="K204" s="4">
        <v>2771</v>
      </c>
      <c r="L204" s="4">
        <v>6112</v>
      </c>
      <c r="M204" s="4">
        <f>Table1[[#This Row],[Visit Cost]]+Table1[[#This Row],[Lab Cost]]+Table1[[#This Row],[Medicine Cost]]+Table1[[#This Row],[Room Charges]]</f>
        <v>13240</v>
      </c>
      <c r="N204" s="5">
        <v>46112</v>
      </c>
      <c r="O204">
        <f>Table1[[#This Row],[Discharge Date]]-Table1[[#This Row],[Visit Date]]</f>
        <v>91</v>
      </c>
      <c r="P204" t="s">
        <v>948</v>
      </c>
      <c r="Q204" s="4">
        <v>2656</v>
      </c>
      <c r="R204" s="4">
        <f>Table1[[#This Row],[Total Revenue]]-Table1[[#This Row],[Insurance Claim Amount]]</f>
        <v>10584</v>
      </c>
      <c r="S204">
        <v>2</v>
      </c>
      <c r="T204" t="str">
        <f t="shared" si="6"/>
        <v>Dec</v>
      </c>
      <c r="U204">
        <f t="shared" si="7"/>
        <v>2025</v>
      </c>
    </row>
    <row r="205" spans="1:21" x14ac:dyDescent="0.3">
      <c r="A205" t="s">
        <v>403</v>
      </c>
      <c r="B205" t="s">
        <v>404</v>
      </c>
      <c r="C205" t="s">
        <v>11</v>
      </c>
      <c r="D205" t="s">
        <v>164</v>
      </c>
      <c r="E205" t="s">
        <v>933</v>
      </c>
      <c r="F205">
        <v>45744</v>
      </c>
      <c r="G205" t="s">
        <v>935</v>
      </c>
      <c r="H205" t="s">
        <v>940</v>
      </c>
      <c r="I205" s="4">
        <v>2237</v>
      </c>
      <c r="J205" s="4">
        <v>2169</v>
      </c>
      <c r="K205" s="4">
        <v>820</v>
      </c>
      <c r="L205" s="4">
        <v>9809</v>
      </c>
      <c r="M205" s="4">
        <f>Table1[[#This Row],[Visit Cost]]+Table1[[#This Row],[Lab Cost]]+Table1[[#This Row],[Medicine Cost]]+Table1[[#This Row],[Room Charges]]</f>
        <v>15035</v>
      </c>
      <c r="N205" s="5">
        <v>45870</v>
      </c>
      <c r="O205">
        <f>Table1[[#This Row],[Discharge Date]]-Table1[[#This Row],[Visit Date]]</f>
        <v>126</v>
      </c>
      <c r="P205" t="s">
        <v>949</v>
      </c>
      <c r="Q205" s="4">
        <v>0</v>
      </c>
      <c r="R205" s="4">
        <f>Table1[[#This Row],[Total Revenue]]-Table1[[#This Row],[Insurance Claim Amount]]</f>
        <v>15035</v>
      </c>
      <c r="S205">
        <v>3</v>
      </c>
      <c r="T205" t="str">
        <f t="shared" si="6"/>
        <v>Mar</v>
      </c>
      <c r="U205">
        <f t="shared" si="7"/>
        <v>2025</v>
      </c>
    </row>
    <row r="206" spans="1:21" x14ac:dyDescent="0.3">
      <c r="A206" t="s">
        <v>405</v>
      </c>
      <c r="B206" t="s">
        <v>406</v>
      </c>
      <c r="C206" t="s">
        <v>38</v>
      </c>
      <c r="D206" t="s">
        <v>927</v>
      </c>
      <c r="E206" t="s">
        <v>930</v>
      </c>
      <c r="F206">
        <v>45862</v>
      </c>
      <c r="G206" t="s">
        <v>936</v>
      </c>
      <c r="H206" t="s">
        <v>943</v>
      </c>
      <c r="I206" s="4">
        <v>2289</v>
      </c>
      <c r="J206" s="4">
        <v>4874</v>
      </c>
      <c r="K206" s="4">
        <v>832</v>
      </c>
      <c r="L206" s="4">
        <v>7659</v>
      </c>
      <c r="M206" s="4">
        <f>Table1[[#This Row],[Visit Cost]]+Table1[[#This Row],[Lab Cost]]+Table1[[#This Row],[Medicine Cost]]+Table1[[#This Row],[Room Charges]]</f>
        <v>15654</v>
      </c>
      <c r="N206" s="5">
        <v>45923</v>
      </c>
      <c r="O206">
        <f>Table1[[#This Row],[Discharge Date]]-Table1[[#This Row],[Visit Date]]</f>
        <v>61</v>
      </c>
      <c r="P206" t="s">
        <v>948</v>
      </c>
      <c r="Q206" s="4">
        <v>14943</v>
      </c>
      <c r="R206" s="4">
        <f>Table1[[#This Row],[Total Revenue]]-Table1[[#This Row],[Insurance Claim Amount]]</f>
        <v>711</v>
      </c>
      <c r="S206">
        <v>5</v>
      </c>
      <c r="T206" t="str">
        <f t="shared" si="6"/>
        <v>Jul</v>
      </c>
      <c r="U206">
        <f t="shared" si="7"/>
        <v>2025</v>
      </c>
    </row>
    <row r="207" spans="1:21" x14ac:dyDescent="0.3">
      <c r="A207" t="s">
        <v>407</v>
      </c>
      <c r="B207" t="s">
        <v>310</v>
      </c>
      <c r="C207" t="s">
        <v>29</v>
      </c>
      <c r="D207" t="s">
        <v>85</v>
      </c>
      <c r="E207" t="s">
        <v>930</v>
      </c>
      <c r="F207">
        <v>45849</v>
      </c>
      <c r="G207" t="s">
        <v>938</v>
      </c>
      <c r="H207" t="s">
        <v>942</v>
      </c>
      <c r="I207" s="4">
        <v>1611</v>
      </c>
      <c r="J207" s="4">
        <v>3633</v>
      </c>
      <c r="K207" s="4">
        <v>1303</v>
      </c>
      <c r="L207" s="4">
        <v>5594</v>
      </c>
      <c r="M207" s="4">
        <f>Table1[[#This Row],[Visit Cost]]+Table1[[#This Row],[Lab Cost]]+Table1[[#This Row],[Medicine Cost]]+Table1[[#This Row],[Room Charges]]</f>
        <v>12141</v>
      </c>
      <c r="N207" s="5">
        <v>45899</v>
      </c>
      <c r="O207">
        <f>Table1[[#This Row],[Discharge Date]]-Table1[[#This Row],[Visit Date]]</f>
        <v>50</v>
      </c>
      <c r="P207" t="s">
        <v>949</v>
      </c>
      <c r="Q207" s="4">
        <v>0</v>
      </c>
      <c r="R207" s="4">
        <f>Table1[[#This Row],[Total Revenue]]-Table1[[#This Row],[Insurance Claim Amount]]</f>
        <v>12141</v>
      </c>
      <c r="S207">
        <v>4</v>
      </c>
      <c r="T207" t="str">
        <f t="shared" si="6"/>
        <v>Jul</v>
      </c>
      <c r="U207">
        <f t="shared" si="7"/>
        <v>2025</v>
      </c>
    </row>
    <row r="208" spans="1:21" x14ac:dyDescent="0.3">
      <c r="A208" t="s">
        <v>408</v>
      </c>
      <c r="B208" t="s">
        <v>409</v>
      </c>
      <c r="C208" t="s">
        <v>16</v>
      </c>
      <c r="D208" t="s">
        <v>927</v>
      </c>
      <c r="E208" t="s">
        <v>931</v>
      </c>
      <c r="F208">
        <v>45830</v>
      </c>
      <c r="G208" t="s">
        <v>937</v>
      </c>
      <c r="H208" t="s">
        <v>941</v>
      </c>
      <c r="I208" s="4">
        <v>1122</v>
      </c>
      <c r="J208" s="4">
        <v>600</v>
      </c>
      <c r="K208" s="4">
        <v>996</v>
      </c>
      <c r="L208" s="4">
        <v>2783</v>
      </c>
      <c r="M208" s="4">
        <f>Table1[[#This Row],[Visit Cost]]+Table1[[#This Row],[Lab Cost]]+Table1[[#This Row],[Medicine Cost]]+Table1[[#This Row],[Room Charges]]</f>
        <v>5501</v>
      </c>
      <c r="N208" s="5">
        <v>45903</v>
      </c>
      <c r="O208">
        <f>Table1[[#This Row],[Discharge Date]]-Table1[[#This Row],[Visit Date]]</f>
        <v>73</v>
      </c>
      <c r="P208" t="s">
        <v>948</v>
      </c>
      <c r="Q208" s="4">
        <v>5282</v>
      </c>
      <c r="R208" s="4">
        <f>Table1[[#This Row],[Total Revenue]]-Table1[[#This Row],[Insurance Claim Amount]]</f>
        <v>219</v>
      </c>
      <c r="S208">
        <v>2</v>
      </c>
      <c r="T208" t="str">
        <f t="shared" si="6"/>
        <v>Jun</v>
      </c>
      <c r="U208">
        <f t="shared" si="7"/>
        <v>2025</v>
      </c>
    </row>
    <row r="209" spans="1:21" x14ac:dyDescent="0.3">
      <c r="A209" t="s">
        <v>410</v>
      </c>
      <c r="B209" t="s">
        <v>411</v>
      </c>
      <c r="C209" t="s">
        <v>29</v>
      </c>
      <c r="D209" t="s">
        <v>924</v>
      </c>
      <c r="E209" t="s">
        <v>932</v>
      </c>
      <c r="F209">
        <v>45877</v>
      </c>
      <c r="G209" t="s">
        <v>936</v>
      </c>
      <c r="H209" t="s">
        <v>945</v>
      </c>
      <c r="I209" s="4">
        <v>1698</v>
      </c>
      <c r="J209" s="4">
        <v>2500</v>
      </c>
      <c r="K209" s="4">
        <v>2089</v>
      </c>
      <c r="L209" s="4">
        <v>1913</v>
      </c>
      <c r="M209" s="4">
        <f>Table1[[#This Row],[Visit Cost]]+Table1[[#This Row],[Lab Cost]]+Table1[[#This Row],[Medicine Cost]]+Table1[[#This Row],[Room Charges]]</f>
        <v>8200</v>
      </c>
      <c r="N209" s="5">
        <v>45908</v>
      </c>
      <c r="O209">
        <f>Table1[[#This Row],[Discharge Date]]-Table1[[#This Row],[Visit Date]]</f>
        <v>31</v>
      </c>
      <c r="P209" t="s">
        <v>948</v>
      </c>
      <c r="Q209" s="4">
        <v>3930</v>
      </c>
      <c r="R209" s="4">
        <f>Table1[[#This Row],[Total Revenue]]-Table1[[#This Row],[Insurance Claim Amount]]</f>
        <v>4270</v>
      </c>
      <c r="S209">
        <v>1</v>
      </c>
      <c r="T209" t="str">
        <f t="shared" si="6"/>
        <v>Aug</v>
      </c>
      <c r="U209">
        <f t="shared" si="7"/>
        <v>2025</v>
      </c>
    </row>
    <row r="210" spans="1:21" x14ac:dyDescent="0.3">
      <c r="A210" t="s">
        <v>412</v>
      </c>
      <c r="B210" t="s">
        <v>413</v>
      </c>
      <c r="C210" t="s">
        <v>47</v>
      </c>
      <c r="D210" t="s">
        <v>252</v>
      </c>
      <c r="E210" t="s">
        <v>933</v>
      </c>
      <c r="F210">
        <v>45737</v>
      </c>
      <c r="G210" t="s">
        <v>935</v>
      </c>
      <c r="H210" t="s">
        <v>943</v>
      </c>
      <c r="I210" s="4">
        <v>2073</v>
      </c>
      <c r="J210" s="4">
        <v>4561</v>
      </c>
      <c r="K210" s="4">
        <v>931</v>
      </c>
      <c r="L210" s="4">
        <v>1636</v>
      </c>
      <c r="M210" s="4">
        <f>Table1[[#This Row],[Visit Cost]]+Table1[[#This Row],[Lab Cost]]+Table1[[#This Row],[Medicine Cost]]+Table1[[#This Row],[Room Charges]]</f>
        <v>9201</v>
      </c>
      <c r="N210" s="5">
        <v>45828</v>
      </c>
      <c r="O210">
        <f>Table1[[#This Row],[Discharge Date]]-Table1[[#This Row],[Visit Date]]</f>
        <v>91</v>
      </c>
      <c r="P210" t="s">
        <v>948</v>
      </c>
      <c r="Q210" s="4">
        <v>4046</v>
      </c>
      <c r="R210" s="4">
        <f>Table1[[#This Row],[Total Revenue]]-Table1[[#This Row],[Insurance Claim Amount]]</f>
        <v>5155</v>
      </c>
      <c r="S210">
        <v>5</v>
      </c>
      <c r="T210" t="str">
        <f t="shared" si="6"/>
        <v>Mar</v>
      </c>
      <c r="U210">
        <f t="shared" si="7"/>
        <v>2025</v>
      </c>
    </row>
    <row r="211" spans="1:21" x14ac:dyDescent="0.3">
      <c r="A211" t="s">
        <v>414</v>
      </c>
      <c r="B211" t="s">
        <v>415</v>
      </c>
      <c r="C211" t="s">
        <v>11</v>
      </c>
      <c r="D211" t="s">
        <v>164</v>
      </c>
      <c r="E211" t="s">
        <v>929</v>
      </c>
      <c r="F211">
        <v>45752</v>
      </c>
      <c r="G211" t="s">
        <v>938</v>
      </c>
      <c r="H211" t="s">
        <v>944</v>
      </c>
      <c r="I211" s="4">
        <v>2117</v>
      </c>
      <c r="J211" s="4">
        <v>4285</v>
      </c>
      <c r="K211" s="4">
        <v>1281</v>
      </c>
      <c r="L211" s="4">
        <v>5024</v>
      </c>
      <c r="M211" s="4">
        <f>Table1[[#This Row],[Visit Cost]]+Table1[[#This Row],[Lab Cost]]+Table1[[#This Row],[Medicine Cost]]+Table1[[#This Row],[Room Charges]]</f>
        <v>12707</v>
      </c>
      <c r="N211" s="5">
        <v>45838</v>
      </c>
      <c r="O211">
        <f>Table1[[#This Row],[Discharge Date]]-Table1[[#This Row],[Visit Date]]</f>
        <v>86</v>
      </c>
      <c r="P211" t="s">
        <v>948</v>
      </c>
      <c r="Q211" s="4">
        <v>223</v>
      </c>
      <c r="R211" s="4">
        <f>Table1[[#This Row],[Total Revenue]]-Table1[[#This Row],[Insurance Claim Amount]]</f>
        <v>12484</v>
      </c>
      <c r="S211">
        <v>1</v>
      </c>
      <c r="T211" t="str">
        <f t="shared" si="6"/>
        <v>Apr</v>
      </c>
      <c r="U211">
        <f t="shared" si="7"/>
        <v>2025</v>
      </c>
    </row>
    <row r="212" spans="1:21" x14ac:dyDescent="0.3">
      <c r="A212" t="s">
        <v>416</v>
      </c>
      <c r="B212" t="s">
        <v>351</v>
      </c>
      <c r="C212" t="s">
        <v>29</v>
      </c>
      <c r="D212" t="s">
        <v>926</v>
      </c>
      <c r="E212" t="s">
        <v>929</v>
      </c>
      <c r="F212">
        <v>45929</v>
      </c>
      <c r="G212" t="s">
        <v>936</v>
      </c>
      <c r="H212" t="s">
        <v>940</v>
      </c>
      <c r="I212" s="4">
        <v>1824</v>
      </c>
      <c r="J212" s="4">
        <v>3894</v>
      </c>
      <c r="K212" s="4">
        <v>2588</v>
      </c>
      <c r="L212" s="4">
        <v>8898</v>
      </c>
      <c r="M212" s="4">
        <f>Table1[[#This Row],[Visit Cost]]+Table1[[#This Row],[Lab Cost]]+Table1[[#This Row],[Medicine Cost]]+Table1[[#This Row],[Room Charges]]</f>
        <v>17204</v>
      </c>
      <c r="N212" s="5">
        <v>46022</v>
      </c>
      <c r="O212">
        <f>Table1[[#This Row],[Discharge Date]]-Table1[[#This Row],[Visit Date]]</f>
        <v>93</v>
      </c>
      <c r="P212" t="s">
        <v>948</v>
      </c>
      <c r="Q212" s="4">
        <v>758</v>
      </c>
      <c r="R212" s="4">
        <f>Table1[[#This Row],[Total Revenue]]-Table1[[#This Row],[Insurance Claim Amount]]</f>
        <v>16446</v>
      </c>
      <c r="S212">
        <v>4</v>
      </c>
      <c r="T212" t="str">
        <f t="shared" si="6"/>
        <v>Sep</v>
      </c>
      <c r="U212">
        <f t="shared" si="7"/>
        <v>2025</v>
      </c>
    </row>
    <row r="213" spans="1:21" x14ac:dyDescent="0.3">
      <c r="A213" t="s">
        <v>417</v>
      </c>
      <c r="B213" t="s">
        <v>418</v>
      </c>
      <c r="C213" t="s">
        <v>11</v>
      </c>
      <c r="D213" t="s">
        <v>164</v>
      </c>
      <c r="E213" t="s">
        <v>933</v>
      </c>
      <c r="F213">
        <v>45817</v>
      </c>
      <c r="G213" t="s">
        <v>937</v>
      </c>
      <c r="H213" t="s">
        <v>945</v>
      </c>
      <c r="I213" s="4">
        <v>948</v>
      </c>
      <c r="J213" s="4">
        <v>2409</v>
      </c>
      <c r="K213" s="4">
        <v>2420</v>
      </c>
      <c r="L213" s="4">
        <v>2500</v>
      </c>
      <c r="M213" s="4">
        <f>Table1[[#This Row],[Visit Cost]]+Table1[[#This Row],[Lab Cost]]+Table1[[#This Row],[Medicine Cost]]+Table1[[#This Row],[Room Charges]]</f>
        <v>8277</v>
      </c>
      <c r="N213" s="5">
        <v>45864</v>
      </c>
      <c r="O213">
        <f>Table1[[#This Row],[Discharge Date]]-Table1[[#This Row],[Visit Date]]</f>
        <v>47</v>
      </c>
      <c r="P213" t="s">
        <v>948</v>
      </c>
      <c r="Q213" s="4">
        <v>3000</v>
      </c>
      <c r="R213" s="4">
        <f>Table1[[#This Row],[Total Revenue]]-Table1[[#This Row],[Insurance Claim Amount]]</f>
        <v>5277</v>
      </c>
      <c r="S213">
        <v>3</v>
      </c>
      <c r="T213" t="str">
        <f t="shared" si="6"/>
        <v>Jun</v>
      </c>
      <c r="U213">
        <f t="shared" si="7"/>
        <v>2025</v>
      </c>
    </row>
    <row r="214" spans="1:21" x14ac:dyDescent="0.3">
      <c r="A214" t="s">
        <v>419</v>
      </c>
      <c r="B214" t="s">
        <v>363</v>
      </c>
      <c r="C214" t="s">
        <v>47</v>
      </c>
      <c r="D214" t="s">
        <v>252</v>
      </c>
      <c r="E214" t="s">
        <v>931</v>
      </c>
      <c r="F214">
        <v>46001</v>
      </c>
      <c r="G214" t="s">
        <v>935</v>
      </c>
      <c r="H214" t="s">
        <v>940</v>
      </c>
      <c r="I214" s="4">
        <v>1426</v>
      </c>
      <c r="J214" s="4">
        <v>1332</v>
      </c>
      <c r="K214" s="4">
        <v>2090</v>
      </c>
      <c r="L214" s="4">
        <v>3571</v>
      </c>
      <c r="M214" s="4">
        <f>Table1[[#This Row],[Visit Cost]]+Table1[[#This Row],[Lab Cost]]+Table1[[#This Row],[Medicine Cost]]+Table1[[#This Row],[Room Charges]]</f>
        <v>8419</v>
      </c>
      <c r="N214" s="5">
        <v>46101</v>
      </c>
      <c r="O214">
        <f>Table1[[#This Row],[Discharge Date]]-Table1[[#This Row],[Visit Date]]</f>
        <v>100</v>
      </c>
      <c r="P214" t="s">
        <v>948</v>
      </c>
      <c r="Q214" s="4">
        <v>692</v>
      </c>
      <c r="R214" s="4">
        <f>Table1[[#This Row],[Total Revenue]]-Table1[[#This Row],[Insurance Claim Amount]]</f>
        <v>7727</v>
      </c>
      <c r="S214">
        <v>1</v>
      </c>
      <c r="T214" t="str">
        <f t="shared" si="6"/>
        <v>Dec</v>
      </c>
      <c r="U214">
        <f t="shared" si="7"/>
        <v>2025</v>
      </c>
    </row>
    <row r="215" spans="1:21" x14ac:dyDescent="0.3">
      <c r="A215" t="s">
        <v>420</v>
      </c>
      <c r="B215" t="s">
        <v>421</v>
      </c>
      <c r="C215" t="s">
        <v>16</v>
      </c>
      <c r="D215" t="s">
        <v>924</v>
      </c>
      <c r="E215" t="s">
        <v>930</v>
      </c>
      <c r="F215">
        <v>45845</v>
      </c>
      <c r="G215" t="s">
        <v>936</v>
      </c>
      <c r="H215" t="s">
        <v>944</v>
      </c>
      <c r="I215" s="4">
        <v>1164</v>
      </c>
      <c r="J215" s="4">
        <v>2103</v>
      </c>
      <c r="K215" s="4">
        <v>1373</v>
      </c>
      <c r="L215" s="4">
        <v>3752</v>
      </c>
      <c r="M215" s="4">
        <f>Table1[[#This Row],[Visit Cost]]+Table1[[#This Row],[Lab Cost]]+Table1[[#This Row],[Medicine Cost]]+Table1[[#This Row],[Room Charges]]</f>
        <v>8392</v>
      </c>
      <c r="N215" s="5">
        <v>45897</v>
      </c>
      <c r="O215">
        <f>Table1[[#This Row],[Discharge Date]]-Table1[[#This Row],[Visit Date]]</f>
        <v>52</v>
      </c>
      <c r="P215" t="s">
        <v>949</v>
      </c>
      <c r="Q215" s="4">
        <v>0</v>
      </c>
      <c r="R215" s="4">
        <f>Table1[[#This Row],[Total Revenue]]-Table1[[#This Row],[Insurance Claim Amount]]</f>
        <v>8392</v>
      </c>
      <c r="S215">
        <v>5</v>
      </c>
      <c r="T215" t="str">
        <f t="shared" si="6"/>
        <v>Jul</v>
      </c>
      <c r="U215">
        <f t="shared" si="7"/>
        <v>2025</v>
      </c>
    </row>
    <row r="216" spans="1:21" x14ac:dyDescent="0.3">
      <c r="A216" t="s">
        <v>422</v>
      </c>
      <c r="B216" t="s">
        <v>423</v>
      </c>
      <c r="C216" t="s">
        <v>16</v>
      </c>
      <c r="D216" t="s">
        <v>926</v>
      </c>
      <c r="E216" t="s">
        <v>932</v>
      </c>
      <c r="F216">
        <v>45702</v>
      </c>
      <c r="G216" t="s">
        <v>938</v>
      </c>
      <c r="H216" t="s">
        <v>945</v>
      </c>
      <c r="I216" s="4">
        <v>1911</v>
      </c>
      <c r="J216" s="4">
        <v>2398</v>
      </c>
      <c r="K216" s="4">
        <v>384</v>
      </c>
      <c r="L216" s="4">
        <v>3669</v>
      </c>
      <c r="M216" s="4">
        <f>Table1[[#This Row],[Visit Cost]]+Table1[[#This Row],[Lab Cost]]+Table1[[#This Row],[Medicine Cost]]+Table1[[#This Row],[Room Charges]]</f>
        <v>8362</v>
      </c>
      <c r="N216" s="5">
        <v>45735</v>
      </c>
      <c r="O216">
        <f>Table1[[#This Row],[Discharge Date]]-Table1[[#This Row],[Visit Date]]</f>
        <v>33</v>
      </c>
      <c r="P216" t="s">
        <v>949</v>
      </c>
      <c r="Q216" s="4">
        <v>0</v>
      </c>
      <c r="R216" s="4">
        <f>Table1[[#This Row],[Total Revenue]]-Table1[[#This Row],[Insurance Claim Amount]]</f>
        <v>8362</v>
      </c>
      <c r="S216">
        <v>1</v>
      </c>
      <c r="T216" t="str">
        <f t="shared" si="6"/>
        <v>Feb</v>
      </c>
      <c r="U216">
        <f t="shared" si="7"/>
        <v>2025</v>
      </c>
    </row>
    <row r="217" spans="1:21" x14ac:dyDescent="0.3">
      <c r="A217" t="s">
        <v>424</v>
      </c>
      <c r="B217" t="s">
        <v>425</v>
      </c>
      <c r="C217" t="s">
        <v>11</v>
      </c>
      <c r="D217" t="s">
        <v>164</v>
      </c>
      <c r="E217" t="s">
        <v>932</v>
      </c>
      <c r="F217">
        <v>45948</v>
      </c>
      <c r="G217" t="s">
        <v>937</v>
      </c>
      <c r="H217" t="s">
        <v>945</v>
      </c>
      <c r="I217" s="4">
        <v>2034</v>
      </c>
      <c r="J217" s="4">
        <v>2459</v>
      </c>
      <c r="K217" s="4">
        <v>1370</v>
      </c>
      <c r="L217" s="4">
        <v>9983</v>
      </c>
      <c r="M217" s="4">
        <f>Table1[[#This Row],[Visit Cost]]+Table1[[#This Row],[Lab Cost]]+Table1[[#This Row],[Medicine Cost]]+Table1[[#This Row],[Room Charges]]</f>
        <v>15846</v>
      </c>
      <c r="N217" s="5">
        <v>46104</v>
      </c>
      <c r="O217">
        <f>Table1[[#This Row],[Discharge Date]]-Table1[[#This Row],[Visit Date]]</f>
        <v>156</v>
      </c>
      <c r="P217" t="s">
        <v>948</v>
      </c>
      <c r="Q217" s="4">
        <v>13902</v>
      </c>
      <c r="R217" s="4">
        <f>Table1[[#This Row],[Total Revenue]]-Table1[[#This Row],[Insurance Claim Amount]]</f>
        <v>1944</v>
      </c>
      <c r="S217">
        <v>5</v>
      </c>
      <c r="T217" t="str">
        <f t="shared" si="6"/>
        <v>Oct</v>
      </c>
      <c r="U217">
        <f t="shared" si="7"/>
        <v>2025</v>
      </c>
    </row>
    <row r="218" spans="1:21" x14ac:dyDescent="0.3">
      <c r="A218" t="s">
        <v>426</v>
      </c>
      <c r="B218" t="s">
        <v>427</v>
      </c>
      <c r="C218" t="s">
        <v>47</v>
      </c>
      <c r="D218" t="s">
        <v>252</v>
      </c>
      <c r="E218" t="s">
        <v>930</v>
      </c>
      <c r="F218">
        <v>45906</v>
      </c>
      <c r="G218" t="s">
        <v>936</v>
      </c>
      <c r="H218" t="s">
        <v>943</v>
      </c>
      <c r="I218" s="4">
        <v>1169</v>
      </c>
      <c r="J218" s="4">
        <v>3250</v>
      </c>
      <c r="K218" s="4">
        <v>1879</v>
      </c>
      <c r="L218" s="4">
        <v>4396</v>
      </c>
      <c r="M218" s="4">
        <f>Table1[[#This Row],[Visit Cost]]+Table1[[#This Row],[Lab Cost]]+Table1[[#This Row],[Medicine Cost]]+Table1[[#This Row],[Room Charges]]</f>
        <v>10694</v>
      </c>
      <c r="N218" s="5">
        <v>46022</v>
      </c>
      <c r="O218">
        <f>Table1[[#This Row],[Discharge Date]]-Table1[[#This Row],[Visit Date]]</f>
        <v>116</v>
      </c>
      <c r="P218" t="s">
        <v>949</v>
      </c>
      <c r="Q218" s="4">
        <v>0</v>
      </c>
      <c r="R218" s="4">
        <f>Table1[[#This Row],[Total Revenue]]-Table1[[#This Row],[Insurance Claim Amount]]</f>
        <v>10694</v>
      </c>
      <c r="S218">
        <v>1</v>
      </c>
      <c r="T218" t="str">
        <f t="shared" si="6"/>
        <v>Sep</v>
      </c>
      <c r="U218">
        <f t="shared" si="7"/>
        <v>2025</v>
      </c>
    </row>
    <row r="219" spans="1:21" x14ac:dyDescent="0.3">
      <c r="A219" t="s">
        <v>428</v>
      </c>
      <c r="B219" t="s">
        <v>429</v>
      </c>
      <c r="C219" t="s">
        <v>6</v>
      </c>
      <c r="D219" t="s">
        <v>85</v>
      </c>
      <c r="E219" t="s">
        <v>933</v>
      </c>
      <c r="F219">
        <v>45740</v>
      </c>
      <c r="G219" t="s">
        <v>935</v>
      </c>
      <c r="H219" t="s">
        <v>944</v>
      </c>
      <c r="I219" s="4">
        <v>1471</v>
      </c>
      <c r="J219" s="4">
        <v>1742</v>
      </c>
      <c r="K219" s="4">
        <v>2856</v>
      </c>
      <c r="L219" s="4">
        <v>4000</v>
      </c>
      <c r="M219" s="4">
        <f>Table1[[#This Row],[Visit Cost]]+Table1[[#This Row],[Lab Cost]]+Table1[[#This Row],[Medicine Cost]]+Table1[[#This Row],[Room Charges]]</f>
        <v>10069</v>
      </c>
      <c r="N219" s="5">
        <v>45859</v>
      </c>
      <c r="O219">
        <f>Table1[[#This Row],[Discharge Date]]-Table1[[#This Row],[Visit Date]]</f>
        <v>119</v>
      </c>
      <c r="P219" t="s">
        <v>949</v>
      </c>
      <c r="Q219" s="4">
        <v>0</v>
      </c>
      <c r="R219" s="4">
        <f>Table1[[#This Row],[Total Revenue]]-Table1[[#This Row],[Insurance Claim Amount]]</f>
        <v>10069</v>
      </c>
      <c r="S219">
        <v>1</v>
      </c>
      <c r="T219" t="str">
        <f t="shared" si="6"/>
        <v>Mar</v>
      </c>
      <c r="U219">
        <f t="shared" si="7"/>
        <v>2025</v>
      </c>
    </row>
    <row r="220" spans="1:21" x14ac:dyDescent="0.3">
      <c r="A220" t="s">
        <v>430</v>
      </c>
      <c r="B220" t="s">
        <v>431</v>
      </c>
      <c r="C220" t="s">
        <v>6</v>
      </c>
      <c r="D220" t="s">
        <v>80</v>
      </c>
      <c r="E220" t="s">
        <v>929</v>
      </c>
      <c r="F220">
        <v>45853</v>
      </c>
      <c r="G220" t="s">
        <v>936</v>
      </c>
      <c r="H220" t="s">
        <v>942</v>
      </c>
      <c r="I220" s="4">
        <v>1760</v>
      </c>
      <c r="J220" s="4">
        <v>4323</v>
      </c>
      <c r="K220" s="4">
        <v>1177</v>
      </c>
      <c r="L220" s="4">
        <v>4483</v>
      </c>
      <c r="M220" s="4">
        <f>Table1[[#This Row],[Visit Cost]]+Table1[[#This Row],[Lab Cost]]+Table1[[#This Row],[Medicine Cost]]+Table1[[#This Row],[Room Charges]]</f>
        <v>11743</v>
      </c>
      <c r="N220" s="5">
        <v>45919</v>
      </c>
      <c r="O220">
        <f>Table1[[#This Row],[Discharge Date]]-Table1[[#This Row],[Visit Date]]</f>
        <v>66</v>
      </c>
      <c r="P220" t="s">
        <v>949</v>
      </c>
      <c r="Q220" s="4">
        <v>0</v>
      </c>
      <c r="R220" s="4">
        <f>Table1[[#This Row],[Total Revenue]]-Table1[[#This Row],[Insurance Claim Amount]]</f>
        <v>11743</v>
      </c>
      <c r="S220">
        <v>5</v>
      </c>
      <c r="T220" t="str">
        <f t="shared" si="6"/>
        <v>Jul</v>
      </c>
      <c r="U220">
        <f t="shared" si="7"/>
        <v>2025</v>
      </c>
    </row>
    <row r="221" spans="1:21" x14ac:dyDescent="0.3">
      <c r="A221" t="s">
        <v>432</v>
      </c>
      <c r="B221" t="s">
        <v>433</v>
      </c>
      <c r="C221" t="s">
        <v>11</v>
      </c>
      <c r="D221" t="s">
        <v>164</v>
      </c>
      <c r="E221" t="s">
        <v>931</v>
      </c>
      <c r="F221">
        <v>46022</v>
      </c>
      <c r="G221" t="s">
        <v>938</v>
      </c>
      <c r="H221" t="s">
        <v>942</v>
      </c>
      <c r="I221" s="4">
        <v>2164</v>
      </c>
      <c r="J221" s="4">
        <v>2663</v>
      </c>
      <c r="K221" s="4">
        <v>2691</v>
      </c>
      <c r="L221" s="4">
        <v>5362</v>
      </c>
      <c r="M221" s="4">
        <f>Table1[[#This Row],[Visit Cost]]+Table1[[#This Row],[Lab Cost]]+Table1[[#This Row],[Medicine Cost]]+Table1[[#This Row],[Room Charges]]</f>
        <v>12880</v>
      </c>
      <c r="N221" s="5">
        <v>46112</v>
      </c>
      <c r="O221">
        <f>Table1[[#This Row],[Discharge Date]]-Table1[[#This Row],[Visit Date]]</f>
        <v>90</v>
      </c>
      <c r="P221" t="s">
        <v>949</v>
      </c>
      <c r="Q221" s="4">
        <v>0</v>
      </c>
      <c r="R221" s="4">
        <f>Table1[[#This Row],[Total Revenue]]-Table1[[#This Row],[Insurance Claim Amount]]</f>
        <v>12880</v>
      </c>
      <c r="S221">
        <v>2</v>
      </c>
      <c r="T221" t="str">
        <f t="shared" si="6"/>
        <v>Dec</v>
      </c>
      <c r="U221">
        <f t="shared" si="7"/>
        <v>2025</v>
      </c>
    </row>
    <row r="222" spans="1:21" x14ac:dyDescent="0.3">
      <c r="A222" t="s">
        <v>434</v>
      </c>
      <c r="B222" t="s">
        <v>435</v>
      </c>
      <c r="C222" t="s">
        <v>29</v>
      </c>
      <c r="D222" t="s">
        <v>924</v>
      </c>
      <c r="E222" t="s">
        <v>933</v>
      </c>
      <c r="F222">
        <v>45802</v>
      </c>
      <c r="G222" t="s">
        <v>937</v>
      </c>
      <c r="H222" t="s">
        <v>945</v>
      </c>
      <c r="I222" s="4">
        <v>747</v>
      </c>
      <c r="J222" s="4">
        <v>3277</v>
      </c>
      <c r="K222" s="4">
        <v>2739</v>
      </c>
      <c r="L222" s="4">
        <v>3000</v>
      </c>
      <c r="M222" s="4">
        <f>Table1[[#This Row],[Visit Cost]]+Table1[[#This Row],[Lab Cost]]+Table1[[#This Row],[Medicine Cost]]+Table1[[#This Row],[Room Charges]]</f>
        <v>9763</v>
      </c>
      <c r="N222" s="5">
        <v>45839</v>
      </c>
      <c r="O222">
        <f>Table1[[#This Row],[Discharge Date]]-Table1[[#This Row],[Visit Date]]</f>
        <v>37</v>
      </c>
      <c r="P222" t="s">
        <v>948</v>
      </c>
      <c r="Q222" s="4">
        <v>8405</v>
      </c>
      <c r="R222" s="4">
        <f>Table1[[#This Row],[Total Revenue]]-Table1[[#This Row],[Insurance Claim Amount]]</f>
        <v>1358</v>
      </c>
      <c r="S222">
        <v>4</v>
      </c>
      <c r="T222" t="str">
        <f t="shared" si="6"/>
        <v>May</v>
      </c>
      <c r="U222">
        <f t="shared" si="7"/>
        <v>2025</v>
      </c>
    </row>
    <row r="223" spans="1:21" x14ac:dyDescent="0.3">
      <c r="A223" t="s">
        <v>436</v>
      </c>
      <c r="B223" t="s">
        <v>437</v>
      </c>
      <c r="C223" t="s">
        <v>47</v>
      </c>
      <c r="D223" t="s">
        <v>927</v>
      </c>
      <c r="E223" t="s">
        <v>931</v>
      </c>
      <c r="F223">
        <v>45683</v>
      </c>
      <c r="G223" t="s">
        <v>936</v>
      </c>
      <c r="H223" t="s">
        <v>944</v>
      </c>
      <c r="I223" s="4">
        <v>1704</v>
      </c>
      <c r="J223" s="4">
        <v>1219</v>
      </c>
      <c r="K223" s="4">
        <v>1390</v>
      </c>
      <c r="L223" s="4">
        <v>6471</v>
      </c>
      <c r="M223" s="4">
        <f>Table1[[#This Row],[Visit Cost]]+Table1[[#This Row],[Lab Cost]]+Table1[[#This Row],[Medicine Cost]]+Table1[[#This Row],[Room Charges]]</f>
        <v>10784</v>
      </c>
      <c r="N223" s="5">
        <v>45807</v>
      </c>
      <c r="O223">
        <f>Table1[[#This Row],[Discharge Date]]-Table1[[#This Row],[Visit Date]]</f>
        <v>124</v>
      </c>
      <c r="P223" t="s">
        <v>949</v>
      </c>
      <c r="Q223" s="4">
        <v>0</v>
      </c>
      <c r="R223" s="4">
        <f>Table1[[#This Row],[Total Revenue]]-Table1[[#This Row],[Insurance Claim Amount]]</f>
        <v>10784</v>
      </c>
      <c r="S223">
        <v>2</v>
      </c>
      <c r="T223" t="str">
        <f t="shared" si="6"/>
        <v>Jan</v>
      </c>
      <c r="U223">
        <f t="shared" si="7"/>
        <v>2025</v>
      </c>
    </row>
    <row r="224" spans="1:21" x14ac:dyDescent="0.3">
      <c r="A224" t="s">
        <v>438</v>
      </c>
      <c r="B224" t="s">
        <v>439</v>
      </c>
      <c r="C224" t="s">
        <v>16</v>
      </c>
      <c r="D224" t="s">
        <v>926</v>
      </c>
      <c r="E224" t="s">
        <v>929</v>
      </c>
      <c r="F224">
        <v>45717</v>
      </c>
      <c r="G224" t="s">
        <v>935</v>
      </c>
      <c r="H224" t="s">
        <v>945</v>
      </c>
      <c r="I224" s="4">
        <v>2301</v>
      </c>
      <c r="J224" s="4">
        <v>4689</v>
      </c>
      <c r="K224" s="4">
        <v>2009</v>
      </c>
      <c r="L224" s="4">
        <v>8861</v>
      </c>
      <c r="M224" s="4">
        <f>Table1[[#This Row],[Visit Cost]]+Table1[[#This Row],[Lab Cost]]+Table1[[#This Row],[Medicine Cost]]+Table1[[#This Row],[Room Charges]]</f>
        <v>17860</v>
      </c>
      <c r="N224" s="5">
        <v>45786</v>
      </c>
      <c r="O224">
        <f>Table1[[#This Row],[Discharge Date]]-Table1[[#This Row],[Visit Date]]</f>
        <v>69</v>
      </c>
      <c r="P224" t="s">
        <v>948</v>
      </c>
      <c r="Q224" s="4">
        <v>4561</v>
      </c>
      <c r="R224" s="4">
        <f>Table1[[#This Row],[Total Revenue]]-Table1[[#This Row],[Insurance Claim Amount]]</f>
        <v>13299</v>
      </c>
      <c r="S224">
        <v>3</v>
      </c>
      <c r="T224" t="str">
        <f t="shared" si="6"/>
        <v>Mar</v>
      </c>
      <c r="U224">
        <f t="shared" si="7"/>
        <v>2025</v>
      </c>
    </row>
    <row r="225" spans="1:21" x14ac:dyDescent="0.3">
      <c r="A225" t="s">
        <v>440</v>
      </c>
      <c r="B225" t="s">
        <v>441</v>
      </c>
      <c r="C225" t="s">
        <v>6</v>
      </c>
      <c r="D225" t="s">
        <v>252</v>
      </c>
      <c r="E225" t="s">
        <v>932</v>
      </c>
      <c r="F225">
        <v>45995</v>
      </c>
      <c r="G225" t="s">
        <v>938</v>
      </c>
      <c r="H225" t="s">
        <v>944</v>
      </c>
      <c r="I225" s="4">
        <v>1298</v>
      </c>
      <c r="J225" s="4">
        <v>2474</v>
      </c>
      <c r="K225" s="4">
        <v>2459</v>
      </c>
      <c r="L225" s="4">
        <v>2000</v>
      </c>
      <c r="M225" s="4">
        <f>Table1[[#This Row],[Visit Cost]]+Table1[[#This Row],[Lab Cost]]+Table1[[#This Row],[Medicine Cost]]+Table1[[#This Row],[Room Charges]]</f>
        <v>8231</v>
      </c>
      <c r="N225" s="5">
        <v>46112</v>
      </c>
      <c r="O225">
        <f>Table1[[#This Row],[Discharge Date]]-Table1[[#This Row],[Visit Date]]</f>
        <v>117</v>
      </c>
      <c r="P225" t="s">
        <v>949</v>
      </c>
      <c r="Q225" s="4">
        <v>0</v>
      </c>
      <c r="R225" s="4">
        <f>Table1[[#This Row],[Total Revenue]]-Table1[[#This Row],[Insurance Claim Amount]]</f>
        <v>8231</v>
      </c>
      <c r="S225">
        <v>1</v>
      </c>
      <c r="T225" t="str">
        <f t="shared" si="6"/>
        <v>Dec</v>
      </c>
      <c r="U225">
        <f t="shared" si="7"/>
        <v>2025</v>
      </c>
    </row>
    <row r="226" spans="1:21" x14ac:dyDescent="0.3">
      <c r="A226" t="s">
        <v>442</v>
      </c>
      <c r="B226" t="s">
        <v>443</v>
      </c>
      <c r="C226" t="s">
        <v>38</v>
      </c>
      <c r="D226" t="s">
        <v>80</v>
      </c>
      <c r="E226" t="s">
        <v>930</v>
      </c>
      <c r="F226">
        <v>45860</v>
      </c>
      <c r="G226" t="s">
        <v>936</v>
      </c>
      <c r="H226" t="s">
        <v>943</v>
      </c>
      <c r="I226" s="4">
        <v>833</v>
      </c>
      <c r="J226" s="4">
        <v>3234</v>
      </c>
      <c r="K226" s="4">
        <v>878</v>
      </c>
      <c r="L226" s="4">
        <v>2308</v>
      </c>
      <c r="M226" s="4">
        <f>Table1[[#This Row],[Visit Cost]]+Table1[[#This Row],[Lab Cost]]+Table1[[#This Row],[Medicine Cost]]+Table1[[#This Row],[Room Charges]]</f>
        <v>7253</v>
      </c>
      <c r="N226" s="5">
        <v>45893</v>
      </c>
      <c r="O226">
        <f>Table1[[#This Row],[Discharge Date]]-Table1[[#This Row],[Visit Date]]</f>
        <v>33</v>
      </c>
      <c r="P226" t="s">
        <v>949</v>
      </c>
      <c r="Q226" s="4">
        <v>0</v>
      </c>
      <c r="R226" s="4">
        <f>Table1[[#This Row],[Total Revenue]]-Table1[[#This Row],[Insurance Claim Amount]]</f>
        <v>7253</v>
      </c>
      <c r="S226">
        <v>4</v>
      </c>
      <c r="T226" t="str">
        <f t="shared" si="6"/>
        <v>Jul</v>
      </c>
      <c r="U226">
        <f t="shared" si="7"/>
        <v>2025</v>
      </c>
    </row>
    <row r="227" spans="1:21" x14ac:dyDescent="0.3">
      <c r="A227" t="s">
        <v>444</v>
      </c>
      <c r="B227" t="s">
        <v>445</v>
      </c>
      <c r="C227" t="s">
        <v>11</v>
      </c>
      <c r="D227" t="s">
        <v>924</v>
      </c>
      <c r="E227" t="s">
        <v>930</v>
      </c>
      <c r="F227">
        <v>45659</v>
      </c>
      <c r="G227" t="s">
        <v>937</v>
      </c>
      <c r="H227" t="s">
        <v>942</v>
      </c>
      <c r="I227" s="4">
        <v>1568</v>
      </c>
      <c r="J227" s="4">
        <v>731</v>
      </c>
      <c r="K227" s="4">
        <v>1159</v>
      </c>
      <c r="L227" s="4">
        <v>2643</v>
      </c>
      <c r="M227" s="4">
        <f>Table1[[#This Row],[Visit Cost]]+Table1[[#This Row],[Lab Cost]]+Table1[[#This Row],[Medicine Cost]]+Table1[[#This Row],[Room Charges]]</f>
        <v>6101</v>
      </c>
      <c r="N227" s="5">
        <v>45797</v>
      </c>
      <c r="O227">
        <f>Table1[[#This Row],[Discharge Date]]-Table1[[#This Row],[Visit Date]]</f>
        <v>138</v>
      </c>
      <c r="P227" t="s">
        <v>949</v>
      </c>
      <c r="Q227" s="4">
        <v>0</v>
      </c>
      <c r="R227" s="4">
        <f>Table1[[#This Row],[Total Revenue]]-Table1[[#This Row],[Insurance Claim Amount]]</f>
        <v>6101</v>
      </c>
      <c r="S227">
        <v>1</v>
      </c>
      <c r="T227" t="str">
        <f t="shared" si="6"/>
        <v>Jan</v>
      </c>
      <c r="U227">
        <f t="shared" si="7"/>
        <v>2025</v>
      </c>
    </row>
    <row r="228" spans="1:21" x14ac:dyDescent="0.3">
      <c r="A228" t="s">
        <v>446</v>
      </c>
      <c r="B228" t="s">
        <v>447</v>
      </c>
      <c r="C228" t="s">
        <v>29</v>
      </c>
      <c r="D228" t="s">
        <v>926</v>
      </c>
      <c r="E228" t="s">
        <v>932</v>
      </c>
      <c r="F228">
        <v>45777</v>
      </c>
      <c r="G228" t="s">
        <v>935</v>
      </c>
      <c r="H228" t="s">
        <v>941</v>
      </c>
      <c r="I228" s="4">
        <v>1689</v>
      </c>
      <c r="J228" s="4">
        <v>950</v>
      </c>
      <c r="K228" s="4">
        <v>1676</v>
      </c>
      <c r="L228" s="4">
        <v>3500</v>
      </c>
      <c r="M228" s="4">
        <f>Table1[[#This Row],[Visit Cost]]+Table1[[#This Row],[Lab Cost]]+Table1[[#This Row],[Medicine Cost]]+Table1[[#This Row],[Room Charges]]</f>
        <v>7815</v>
      </c>
      <c r="N228" s="5">
        <v>45788</v>
      </c>
      <c r="O228">
        <f>Table1[[#This Row],[Discharge Date]]-Table1[[#This Row],[Visit Date]]</f>
        <v>11</v>
      </c>
      <c r="P228" t="s">
        <v>948</v>
      </c>
      <c r="Q228" s="4">
        <v>6500</v>
      </c>
      <c r="R228" s="4">
        <f>Table1[[#This Row],[Total Revenue]]-Table1[[#This Row],[Insurance Claim Amount]]</f>
        <v>1315</v>
      </c>
      <c r="S228">
        <v>5</v>
      </c>
      <c r="T228" t="str">
        <f t="shared" si="6"/>
        <v>Apr</v>
      </c>
      <c r="U228">
        <f t="shared" si="7"/>
        <v>2025</v>
      </c>
    </row>
    <row r="229" spans="1:21" x14ac:dyDescent="0.3">
      <c r="A229" t="s">
        <v>448</v>
      </c>
      <c r="B229" t="s">
        <v>8</v>
      </c>
      <c r="C229" t="s">
        <v>16</v>
      </c>
      <c r="D229" t="s">
        <v>926</v>
      </c>
      <c r="E229" t="s">
        <v>931</v>
      </c>
      <c r="F229">
        <v>45964</v>
      </c>
      <c r="G229" t="s">
        <v>936</v>
      </c>
      <c r="H229" t="s">
        <v>941</v>
      </c>
      <c r="I229" s="4">
        <v>1635</v>
      </c>
      <c r="J229" s="4">
        <v>1478</v>
      </c>
      <c r="K229" s="4">
        <v>1421</v>
      </c>
      <c r="L229" s="4">
        <v>5044</v>
      </c>
      <c r="M229" s="4">
        <f>Table1[[#This Row],[Visit Cost]]+Table1[[#This Row],[Lab Cost]]+Table1[[#This Row],[Medicine Cost]]+Table1[[#This Row],[Room Charges]]</f>
        <v>9578</v>
      </c>
      <c r="N229" s="5">
        <v>46026</v>
      </c>
      <c r="O229">
        <f>Table1[[#This Row],[Discharge Date]]-Table1[[#This Row],[Visit Date]]</f>
        <v>62</v>
      </c>
      <c r="P229" t="s">
        <v>949</v>
      </c>
      <c r="Q229" s="4">
        <v>0</v>
      </c>
      <c r="R229" s="4">
        <f>Table1[[#This Row],[Total Revenue]]-Table1[[#This Row],[Insurance Claim Amount]]</f>
        <v>9578</v>
      </c>
      <c r="S229">
        <v>1</v>
      </c>
      <c r="T229" t="str">
        <f t="shared" si="6"/>
        <v>Nov</v>
      </c>
      <c r="U229">
        <f t="shared" si="7"/>
        <v>2025</v>
      </c>
    </row>
    <row r="230" spans="1:21" x14ac:dyDescent="0.3">
      <c r="A230" t="s">
        <v>449</v>
      </c>
      <c r="B230" t="s">
        <v>142</v>
      </c>
      <c r="C230" t="s">
        <v>11</v>
      </c>
      <c r="D230" t="s">
        <v>85</v>
      </c>
      <c r="E230" t="s">
        <v>933</v>
      </c>
      <c r="F230">
        <v>45939</v>
      </c>
      <c r="G230" t="s">
        <v>938</v>
      </c>
      <c r="H230" t="s">
        <v>945</v>
      </c>
      <c r="I230" s="4">
        <v>1115</v>
      </c>
      <c r="J230" s="4">
        <v>1154</v>
      </c>
      <c r="K230" s="4">
        <v>1302</v>
      </c>
      <c r="L230" s="4">
        <v>1800</v>
      </c>
      <c r="M230" s="4">
        <f>Table1[[#This Row],[Visit Cost]]+Table1[[#This Row],[Lab Cost]]+Table1[[#This Row],[Medicine Cost]]+Table1[[#This Row],[Room Charges]]</f>
        <v>5371</v>
      </c>
      <c r="N230" s="5">
        <v>45968</v>
      </c>
      <c r="O230">
        <f>Table1[[#This Row],[Discharge Date]]-Table1[[#This Row],[Visit Date]]</f>
        <v>29</v>
      </c>
      <c r="P230" t="s">
        <v>948</v>
      </c>
      <c r="Q230" s="4">
        <v>788</v>
      </c>
      <c r="R230" s="4">
        <f>Table1[[#This Row],[Total Revenue]]-Table1[[#This Row],[Insurance Claim Amount]]</f>
        <v>4583</v>
      </c>
      <c r="S230">
        <v>1</v>
      </c>
      <c r="T230" t="str">
        <f t="shared" si="6"/>
        <v>Oct</v>
      </c>
      <c r="U230">
        <f t="shared" si="7"/>
        <v>2025</v>
      </c>
    </row>
    <row r="231" spans="1:21" x14ac:dyDescent="0.3">
      <c r="A231" t="s">
        <v>450</v>
      </c>
      <c r="B231" t="s">
        <v>451</v>
      </c>
      <c r="C231" t="s">
        <v>38</v>
      </c>
      <c r="D231" t="s">
        <v>927</v>
      </c>
      <c r="E231" t="s">
        <v>929</v>
      </c>
      <c r="F231">
        <v>45797</v>
      </c>
      <c r="G231" t="s">
        <v>937</v>
      </c>
      <c r="H231" t="s">
        <v>942</v>
      </c>
      <c r="I231" s="4">
        <v>1619</v>
      </c>
      <c r="J231" s="4">
        <v>1463</v>
      </c>
      <c r="K231" s="4">
        <v>1914</v>
      </c>
      <c r="L231" s="4">
        <v>3500</v>
      </c>
      <c r="M231" s="4">
        <f>Table1[[#This Row],[Visit Cost]]+Table1[[#This Row],[Lab Cost]]+Table1[[#This Row],[Medicine Cost]]+Table1[[#This Row],[Room Charges]]</f>
        <v>8496</v>
      </c>
      <c r="N231" s="5">
        <v>45897</v>
      </c>
      <c r="O231">
        <f>Table1[[#This Row],[Discharge Date]]-Table1[[#This Row],[Visit Date]]</f>
        <v>100</v>
      </c>
      <c r="P231" t="s">
        <v>948</v>
      </c>
      <c r="Q231" s="4">
        <v>7933</v>
      </c>
      <c r="R231" s="4">
        <f>Table1[[#This Row],[Total Revenue]]-Table1[[#This Row],[Insurance Claim Amount]]</f>
        <v>563</v>
      </c>
      <c r="S231">
        <v>5</v>
      </c>
      <c r="T231" t="str">
        <f t="shared" si="6"/>
        <v>May</v>
      </c>
      <c r="U231">
        <f t="shared" si="7"/>
        <v>2025</v>
      </c>
    </row>
    <row r="232" spans="1:21" x14ac:dyDescent="0.3">
      <c r="A232" t="s">
        <v>452</v>
      </c>
      <c r="B232" t="s">
        <v>453</v>
      </c>
      <c r="C232" t="s">
        <v>11</v>
      </c>
      <c r="D232" t="s">
        <v>924</v>
      </c>
      <c r="E232" t="s">
        <v>931</v>
      </c>
      <c r="F232">
        <v>45834</v>
      </c>
      <c r="G232" t="s">
        <v>936</v>
      </c>
      <c r="H232" t="s">
        <v>940</v>
      </c>
      <c r="I232" s="4">
        <v>1913</v>
      </c>
      <c r="J232" s="4">
        <v>1117</v>
      </c>
      <c r="K232" s="4">
        <v>714</v>
      </c>
      <c r="L232" s="4">
        <v>1360</v>
      </c>
      <c r="M232" s="4">
        <f>Table1[[#This Row],[Visit Cost]]+Table1[[#This Row],[Lab Cost]]+Table1[[#This Row],[Medicine Cost]]+Table1[[#This Row],[Room Charges]]</f>
        <v>5104</v>
      </c>
      <c r="N232" s="5">
        <v>45876</v>
      </c>
      <c r="O232">
        <f>Table1[[#This Row],[Discharge Date]]-Table1[[#This Row],[Visit Date]]</f>
        <v>42</v>
      </c>
      <c r="P232" t="s">
        <v>949</v>
      </c>
      <c r="Q232" s="4">
        <v>0</v>
      </c>
      <c r="R232" s="4">
        <f>Table1[[#This Row],[Total Revenue]]-Table1[[#This Row],[Insurance Claim Amount]]</f>
        <v>5104</v>
      </c>
      <c r="S232">
        <v>5</v>
      </c>
      <c r="T232" t="str">
        <f t="shared" si="6"/>
        <v>Jun</v>
      </c>
      <c r="U232">
        <f t="shared" si="7"/>
        <v>2025</v>
      </c>
    </row>
    <row r="233" spans="1:21" x14ac:dyDescent="0.3">
      <c r="A233" t="s">
        <v>454</v>
      </c>
      <c r="B233" t="s">
        <v>455</v>
      </c>
      <c r="C233" t="s">
        <v>6</v>
      </c>
      <c r="D233" t="s">
        <v>252</v>
      </c>
      <c r="E233" t="s">
        <v>933</v>
      </c>
      <c r="F233">
        <v>45845</v>
      </c>
      <c r="G233" t="s">
        <v>935</v>
      </c>
      <c r="H233" t="s">
        <v>941</v>
      </c>
      <c r="I233" s="4">
        <v>956</v>
      </c>
      <c r="J233" s="4">
        <v>4214</v>
      </c>
      <c r="K233" s="4">
        <v>484</v>
      </c>
      <c r="L233" s="4">
        <v>8540</v>
      </c>
      <c r="M233" s="4">
        <f>Table1[[#This Row],[Visit Cost]]+Table1[[#This Row],[Lab Cost]]+Table1[[#This Row],[Medicine Cost]]+Table1[[#This Row],[Room Charges]]</f>
        <v>14194</v>
      </c>
      <c r="N233" s="5">
        <v>45908</v>
      </c>
      <c r="O233">
        <f>Table1[[#This Row],[Discharge Date]]-Table1[[#This Row],[Visit Date]]</f>
        <v>63</v>
      </c>
      <c r="P233" t="s">
        <v>948</v>
      </c>
      <c r="Q233" s="4">
        <v>8650</v>
      </c>
      <c r="R233" s="4">
        <f>Table1[[#This Row],[Total Revenue]]-Table1[[#This Row],[Insurance Claim Amount]]</f>
        <v>5544</v>
      </c>
      <c r="S233">
        <v>2</v>
      </c>
      <c r="T233" t="str">
        <f t="shared" si="6"/>
        <v>Jul</v>
      </c>
      <c r="U233">
        <f t="shared" si="7"/>
        <v>2025</v>
      </c>
    </row>
    <row r="234" spans="1:21" x14ac:dyDescent="0.3">
      <c r="A234" t="s">
        <v>456</v>
      </c>
      <c r="B234" t="s">
        <v>457</v>
      </c>
      <c r="C234" t="s">
        <v>11</v>
      </c>
      <c r="D234" t="s">
        <v>164</v>
      </c>
      <c r="E234" t="s">
        <v>932</v>
      </c>
      <c r="F234">
        <v>45753</v>
      </c>
      <c r="G234" t="s">
        <v>936</v>
      </c>
      <c r="H234" t="s">
        <v>945</v>
      </c>
      <c r="I234" s="4">
        <v>563</v>
      </c>
      <c r="J234" s="4">
        <v>564</v>
      </c>
      <c r="K234" s="4">
        <v>987</v>
      </c>
      <c r="L234" s="4">
        <v>1000</v>
      </c>
      <c r="M234" s="4">
        <f>Table1[[#This Row],[Visit Cost]]+Table1[[#This Row],[Lab Cost]]+Table1[[#This Row],[Medicine Cost]]+Table1[[#This Row],[Room Charges]]</f>
        <v>3114</v>
      </c>
      <c r="N234" s="5">
        <v>45864</v>
      </c>
      <c r="O234">
        <f>Table1[[#This Row],[Discharge Date]]-Table1[[#This Row],[Visit Date]]</f>
        <v>111</v>
      </c>
      <c r="P234" t="s">
        <v>949</v>
      </c>
      <c r="Q234" s="4">
        <v>0</v>
      </c>
      <c r="R234" s="4">
        <f>Table1[[#This Row],[Total Revenue]]-Table1[[#This Row],[Insurance Claim Amount]]</f>
        <v>3114</v>
      </c>
      <c r="S234">
        <v>1</v>
      </c>
      <c r="T234" t="str">
        <f t="shared" si="6"/>
        <v>Apr</v>
      </c>
      <c r="U234">
        <f t="shared" si="7"/>
        <v>2025</v>
      </c>
    </row>
    <row r="235" spans="1:21" x14ac:dyDescent="0.3">
      <c r="A235" t="s">
        <v>458</v>
      </c>
      <c r="B235" t="s">
        <v>459</v>
      </c>
      <c r="C235" t="s">
        <v>29</v>
      </c>
      <c r="D235" t="s">
        <v>926</v>
      </c>
      <c r="E235" t="s">
        <v>930</v>
      </c>
      <c r="F235">
        <v>45961</v>
      </c>
      <c r="G235" t="s">
        <v>938</v>
      </c>
      <c r="H235" t="s">
        <v>945</v>
      </c>
      <c r="I235" s="4">
        <v>818</v>
      </c>
      <c r="J235" s="4">
        <v>3181</v>
      </c>
      <c r="K235" s="4">
        <v>906</v>
      </c>
      <c r="L235" s="4">
        <v>2068</v>
      </c>
      <c r="M235" s="4">
        <f>Table1[[#This Row],[Visit Cost]]+Table1[[#This Row],[Lab Cost]]+Table1[[#This Row],[Medicine Cost]]+Table1[[#This Row],[Room Charges]]</f>
        <v>6973</v>
      </c>
      <c r="N235" s="5">
        <v>45991</v>
      </c>
      <c r="O235">
        <f>Table1[[#This Row],[Discharge Date]]-Table1[[#This Row],[Visit Date]]</f>
        <v>30</v>
      </c>
      <c r="P235" t="s">
        <v>949</v>
      </c>
      <c r="Q235" s="4">
        <v>0</v>
      </c>
      <c r="R235" s="4">
        <f>Table1[[#This Row],[Total Revenue]]-Table1[[#This Row],[Insurance Claim Amount]]</f>
        <v>6973</v>
      </c>
      <c r="S235">
        <v>3</v>
      </c>
      <c r="T235" t="str">
        <f t="shared" si="6"/>
        <v>Oct</v>
      </c>
      <c r="U235">
        <f t="shared" si="7"/>
        <v>2025</v>
      </c>
    </row>
    <row r="236" spans="1:21" x14ac:dyDescent="0.3">
      <c r="A236" t="s">
        <v>460</v>
      </c>
      <c r="B236" t="s">
        <v>461</v>
      </c>
      <c r="C236" t="s">
        <v>16</v>
      </c>
      <c r="D236" t="s">
        <v>927</v>
      </c>
      <c r="E236" t="s">
        <v>929</v>
      </c>
      <c r="F236">
        <v>45849</v>
      </c>
      <c r="G236" t="s">
        <v>937</v>
      </c>
      <c r="H236" t="s">
        <v>943</v>
      </c>
      <c r="I236" s="4">
        <v>2090</v>
      </c>
      <c r="J236" s="4">
        <v>4389</v>
      </c>
      <c r="K236" s="4">
        <v>2161</v>
      </c>
      <c r="L236" s="4">
        <v>9365</v>
      </c>
      <c r="M236" s="4">
        <f>Table1[[#This Row],[Visit Cost]]+Table1[[#This Row],[Lab Cost]]+Table1[[#This Row],[Medicine Cost]]+Table1[[#This Row],[Room Charges]]</f>
        <v>18005</v>
      </c>
      <c r="N236" s="5">
        <v>45913</v>
      </c>
      <c r="O236">
        <f>Table1[[#This Row],[Discharge Date]]-Table1[[#This Row],[Visit Date]]</f>
        <v>64</v>
      </c>
      <c r="P236" t="s">
        <v>948</v>
      </c>
      <c r="Q236" s="4">
        <v>54</v>
      </c>
      <c r="R236" s="4">
        <f>Table1[[#This Row],[Total Revenue]]-Table1[[#This Row],[Insurance Claim Amount]]</f>
        <v>17951</v>
      </c>
      <c r="S236">
        <v>3</v>
      </c>
      <c r="T236" t="str">
        <f t="shared" si="6"/>
        <v>Jul</v>
      </c>
      <c r="U236">
        <f t="shared" si="7"/>
        <v>2025</v>
      </c>
    </row>
    <row r="237" spans="1:21" x14ac:dyDescent="0.3">
      <c r="A237" t="s">
        <v>462</v>
      </c>
      <c r="B237" t="s">
        <v>463</v>
      </c>
      <c r="C237" t="s">
        <v>6</v>
      </c>
      <c r="D237" t="s">
        <v>80</v>
      </c>
      <c r="E237" t="s">
        <v>932</v>
      </c>
      <c r="F237">
        <v>45928</v>
      </c>
      <c r="G237" t="s">
        <v>936</v>
      </c>
      <c r="H237" t="s">
        <v>940</v>
      </c>
      <c r="I237" s="4">
        <v>2263</v>
      </c>
      <c r="J237" s="4">
        <v>3569</v>
      </c>
      <c r="K237" s="4">
        <v>2248</v>
      </c>
      <c r="L237" s="4">
        <v>4795</v>
      </c>
      <c r="M237" s="4">
        <f>Table1[[#This Row],[Visit Cost]]+Table1[[#This Row],[Lab Cost]]+Table1[[#This Row],[Medicine Cost]]+Table1[[#This Row],[Room Charges]]</f>
        <v>12875</v>
      </c>
      <c r="N237" s="5">
        <v>46022</v>
      </c>
      <c r="O237">
        <f>Table1[[#This Row],[Discharge Date]]-Table1[[#This Row],[Visit Date]]</f>
        <v>94</v>
      </c>
      <c r="P237" t="s">
        <v>949</v>
      </c>
      <c r="Q237" s="4">
        <v>0</v>
      </c>
      <c r="R237" s="4">
        <f>Table1[[#This Row],[Total Revenue]]-Table1[[#This Row],[Insurance Claim Amount]]</f>
        <v>12875</v>
      </c>
      <c r="S237">
        <v>1</v>
      </c>
      <c r="T237" t="str">
        <f t="shared" si="6"/>
        <v>Sep</v>
      </c>
      <c r="U237">
        <f t="shared" si="7"/>
        <v>2025</v>
      </c>
    </row>
    <row r="238" spans="1:21" x14ac:dyDescent="0.3">
      <c r="A238" t="s">
        <v>464</v>
      </c>
      <c r="B238" t="s">
        <v>465</v>
      </c>
      <c r="C238" t="s">
        <v>38</v>
      </c>
      <c r="D238" t="s">
        <v>926</v>
      </c>
      <c r="E238" t="s">
        <v>930</v>
      </c>
      <c r="F238">
        <v>45882</v>
      </c>
      <c r="G238" t="s">
        <v>935</v>
      </c>
      <c r="H238" t="s">
        <v>945</v>
      </c>
      <c r="I238" s="4">
        <v>1614</v>
      </c>
      <c r="J238" s="4">
        <v>3408</v>
      </c>
      <c r="K238" s="4">
        <v>2394</v>
      </c>
      <c r="L238" s="4">
        <v>4924</v>
      </c>
      <c r="M238" s="4">
        <f>Table1[[#This Row],[Visit Cost]]+Table1[[#This Row],[Lab Cost]]+Table1[[#This Row],[Medicine Cost]]+Table1[[#This Row],[Room Charges]]</f>
        <v>12340</v>
      </c>
      <c r="N238" s="5">
        <v>45932</v>
      </c>
      <c r="O238">
        <f>Table1[[#This Row],[Discharge Date]]-Table1[[#This Row],[Visit Date]]</f>
        <v>50</v>
      </c>
      <c r="P238" t="s">
        <v>948</v>
      </c>
      <c r="Q238" s="4">
        <v>1707</v>
      </c>
      <c r="R238" s="4">
        <f>Table1[[#This Row],[Total Revenue]]-Table1[[#This Row],[Insurance Claim Amount]]</f>
        <v>10633</v>
      </c>
      <c r="S238">
        <v>2</v>
      </c>
      <c r="T238" t="str">
        <f t="shared" si="6"/>
        <v>Aug</v>
      </c>
      <c r="U238">
        <f t="shared" si="7"/>
        <v>2025</v>
      </c>
    </row>
    <row r="239" spans="1:21" x14ac:dyDescent="0.3">
      <c r="A239" t="s">
        <v>466</v>
      </c>
      <c r="B239" t="s">
        <v>467</v>
      </c>
      <c r="C239" t="s">
        <v>6</v>
      </c>
      <c r="D239" t="s">
        <v>80</v>
      </c>
      <c r="E239" t="s">
        <v>933</v>
      </c>
      <c r="F239">
        <v>45662</v>
      </c>
      <c r="G239" t="s">
        <v>938</v>
      </c>
      <c r="H239" t="s">
        <v>944</v>
      </c>
      <c r="I239" s="4">
        <v>2094</v>
      </c>
      <c r="J239" s="4">
        <v>664</v>
      </c>
      <c r="K239" s="4">
        <v>250</v>
      </c>
      <c r="L239" s="4">
        <v>7886</v>
      </c>
      <c r="M239" s="4">
        <f>Table1[[#This Row],[Visit Cost]]+Table1[[#This Row],[Lab Cost]]+Table1[[#This Row],[Medicine Cost]]+Table1[[#This Row],[Room Charges]]</f>
        <v>10894</v>
      </c>
      <c r="N239" s="5">
        <v>45757</v>
      </c>
      <c r="O239">
        <f>Table1[[#This Row],[Discharge Date]]-Table1[[#This Row],[Visit Date]]</f>
        <v>95</v>
      </c>
      <c r="P239" t="s">
        <v>949</v>
      </c>
      <c r="Q239" s="4">
        <v>0</v>
      </c>
      <c r="R239" s="4">
        <f>Table1[[#This Row],[Total Revenue]]-Table1[[#This Row],[Insurance Claim Amount]]</f>
        <v>10894</v>
      </c>
      <c r="S239">
        <v>2</v>
      </c>
      <c r="T239" t="str">
        <f t="shared" si="6"/>
        <v>Jan</v>
      </c>
      <c r="U239">
        <f t="shared" si="7"/>
        <v>2025</v>
      </c>
    </row>
    <row r="240" spans="1:21" x14ac:dyDescent="0.3">
      <c r="A240" t="s">
        <v>468</v>
      </c>
      <c r="B240" t="s">
        <v>469</v>
      </c>
      <c r="C240" t="s">
        <v>29</v>
      </c>
      <c r="D240" t="s">
        <v>926</v>
      </c>
      <c r="E240" t="s">
        <v>931</v>
      </c>
      <c r="F240">
        <v>45903</v>
      </c>
      <c r="G240" t="s">
        <v>936</v>
      </c>
      <c r="H240" t="s">
        <v>941</v>
      </c>
      <c r="I240" s="4">
        <v>1519</v>
      </c>
      <c r="J240" s="4">
        <v>2291</v>
      </c>
      <c r="K240" s="4">
        <v>1216</v>
      </c>
      <c r="L240" s="4">
        <v>6000</v>
      </c>
      <c r="M240" s="4">
        <f>Table1[[#This Row],[Visit Cost]]+Table1[[#This Row],[Lab Cost]]+Table1[[#This Row],[Medicine Cost]]+Table1[[#This Row],[Room Charges]]</f>
        <v>11026</v>
      </c>
      <c r="N240" s="5">
        <v>46012</v>
      </c>
      <c r="O240">
        <f>Table1[[#This Row],[Discharge Date]]-Table1[[#This Row],[Visit Date]]</f>
        <v>109</v>
      </c>
      <c r="P240" t="s">
        <v>948</v>
      </c>
      <c r="Q240" s="4">
        <v>10308</v>
      </c>
      <c r="R240" s="4">
        <f>Table1[[#This Row],[Total Revenue]]-Table1[[#This Row],[Insurance Claim Amount]]</f>
        <v>718</v>
      </c>
      <c r="S240">
        <v>5</v>
      </c>
      <c r="T240" t="str">
        <f t="shared" si="6"/>
        <v>Sep</v>
      </c>
      <c r="U240">
        <f t="shared" si="7"/>
        <v>2025</v>
      </c>
    </row>
    <row r="241" spans="1:21" x14ac:dyDescent="0.3">
      <c r="A241" t="s">
        <v>470</v>
      </c>
      <c r="B241" t="s">
        <v>471</v>
      </c>
      <c r="C241" t="s">
        <v>38</v>
      </c>
      <c r="D241" t="s">
        <v>926</v>
      </c>
      <c r="E241" t="s">
        <v>929</v>
      </c>
      <c r="F241">
        <v>45977</v>
      </c>
      <c r="G241" t="s">
        <v>937</v>
      </c>
      <c r="H241" t="s">
        <v>940</v>
      </c>
      <c r="I241" s="4">
        <v>715</v>
      </c>
      <c r="J241" s="4">
        <v>2262</v>
      </c>
      <c r="K241" s="4">
        <v>2323</v>
      </c>
      <c r="L241" s="4">
        <v>2215</v>
      </c>
      <c r="M241" s="4">
        <f>Table1[[#This Row],[Visit Cost]]+Table1[[#This Row],[Lab Cost]]+Table1[[#This Row],[Medicine Cost]]+Table1[[#This Row],[Room Charges]]</f>
        <v>7515</v>
      </c>
      <c r="N241" s="5">
        <v>46033</v>
      </c>
      <c r="O241">
        <f>Table1[[#This Row],[Discharge Date]]-Table1[[#This Row],[Visit Date]]</f>
        <v>56</v>
      </c>
      <c r="P241" t="s">
        <v>949</v>
      </c>
      <c r="Q241" s="4">
        <v>0</v>
      </c>
      <c r="R241" s="4">
        <f>Table1[[#This Row],[Total Revenue]]-Table1[[#This Row],[Insurance Claim Amount]]</f>
        <v>7515</v>
      </c>
      <c r="S241">
        <v>2</v>
      </c>
      <c r="T241" t="str">
        <f t="shared" si="6"/>
        <v>Nov</v>
      </c>
      <c r="U241">
        <f t="shared" si="7"/>
        <v>2025</v>
      </c>
    </row>
    <row r="242" spans="1:21" x14ac:dyDescent="0.3">
      <c r="A242" t="s">
        <v>472</v>
      </c>
      <c r="B242" t="s">
        <v>13</v>
      </c>
      <c r="C242" t="s">
        <v>38</v>
      </c>
      <c r="D242" t="s">
        <v>164</v>
      </c>
      <c r="E242" t="s">
        <v>929</v>
      </c>
      <c r="F242">
        <v>45671</v>
      </c>
      <c r="G242" t="s">
        <v>935</v>
      </c>
      <c r="H242" t="s">
        <v>942</v>
      </c>
      <c r="I242" s="4">
        <v>907</v>
      </c>
      <c r="J242" s="4">
        <v>4532</v>
      </c>
      <c r="K242" s="4">
        <v>2303</v>
      </c>
      <c r="L242" s="4">
        <v>7447</v>
      </c>
      <c r="M242" s="4">
        <f>Table1[[#This Row],[Visit Cost]]+Table1[[#This Row],[Lab Cost]]+Table1[[#This Row],[Medicine Cost]]+Table1[[#This Row],[Room Charges]]</f>
        <v>15189</v>
      </c>
      <c r="N242" s="5">
        <v>45765</v>
      </c>
      <c r="O242">
        <f>Table1[[#This Row],[Discharge Date]]-Table1[[#This Row],[Visit Date]]</f>
        <v>94</v>
      </c>
      <c r="P242" t="s">
        <v>949</v>
      </c>
      <c r="Q242" s="4">
        <v>0</v>
      </c>
      <c r="R242" s="4">
        <f>Table1[[#This Row],[Total Revenue]]-Table1[[#This Row],[Insurance Claim Amount]]</f>
        <v>15189</v>
      </c>
      <c r="S242">
        <v>4</v>
      </c>
      <c r="T242" t="str">
        <f t="shared" si="6"/>
        <v>Jan</v>
      </c>
      <c r="U242">
        <f t="shared" si="7"/>
        <v>2025</v>
      </c>
    </row>
    <row r="243" spans="1:21" x14ac:dyDescent="0.3">
      <c r="A243" t="s">
        <v>473</v>
      </c>
      <c r="B243" t="s">
        <v>474</v>
      </c>
      <c r="C243" t="s">
        <v>29</v>
      </c>
      <c r="D243" t="s">
        <v>926</v>
      </c>
      <c r="E243" t="s">
        <v>931</v>
      </c>
      <c r="F243">
        <v>45978</v>
      </c>
      <c r="G243" t="s">
        <v>936</v>
      </c>
      <c r="H243" t="s">
        <v>944</v>
      </c>
      <c r="I243" s="4">
        <v>617</v>
      </c>
      <c r="J243" s="4">
        <v>3926</v>
      </c>
      <c r="K243" s="4">
        <v>1869</v>
      </c>
      <c r="L243" s="4">
        <v>3083</v>
      </c>
      <c r="M243" s="4">
        <f>Table1[[#This Row],[Visit Cost]]+Table1[[#This Row],[Lab Cost]]+Table1[[#This Row],[Medicine Cost]]+Table1[[#This Row],[Room Charges]]</f>
        <v>9495</v>
      </c>
      <c r="N243" s="5">
        <v>46059</v>
      </c>
      <c r="O243">
        <f>Table1[[#This Row],[Discharge Date]]-Table1[[#This Row],[Visit Date]]</f>
        <v>81</v>
      </c>
      <c r="P243" t="s">
        <v>948</v>
      </c>
      <c r="Q243" s="4">
        <v>7074</v>
      </c>
      <c r="R243" s="4">
        <f>Table1[[#This Row],[Total Revenue]]-Table1[[#This Row],[Insurance Claim Amount]]</f>
        <v>2421</v>
      </c>
      <c r="S243">
        <v>5</v>
      </c>
      <c r="T243" t="str">
        <f t="shared" si="6"/>
        <v>Nov</v>
      </c>
      <c r="U243">
        <f t="shared" si="7"/>
        <v>2025</v>
      </c>
    </row>
    <row r="244" spans="1:21" x14ac:dyDescent="0.3">
      <c r="A244" t="s">
        <v>475</v>
      </c>
      <c r="B244" t="s">
        <v>437</v>
      </c>
      <c r="C244" t="s">
        <v>38</v>
      </c>
      <c r="D244" t="s">
        <v>164</v>
      </c>
      <c r="E244" t="s">
        <v>930</v>
      </c>
      <c r="F244">
        <v>45805</v>
      </c>
      <c r="G244" t="s">
        <v>938</v>
      </c>
      <c r="H244" t="s">
        <v>943</v>
      </c>
      <c r="I244" s="4">
        <v>2165</v>
      </c>
      <c r="J244" s="4">
        <v>3640</v>
      </c>
      <c r="K244" s="4">
        <v>2044</v>
      </c>
      <c r="L244" s="4">
        <v>9209</v>
      </c>
      <c r="M244" s="4">
        <f>Table1[[#This Row],[Visit Cost]]+Table1[[#This Row],[Lab Cost]]+Table1[[#This Row],[Medicine Cost]]+Table1[[#This Row],[Room Charges]]</f>
        <v>17058</v>
      </c>
      <c r="N244" s="5">
        <v>45869</v>
      </c>
      <c r="O244">
        <f>Table1[[#This Row],[Discharge Date]]-Table1[[#This Row],[Visit Date]]</f>
        <v>64</v>
      </c>
      <c r="P244" t="s">
        <v>949</v>
      </c>
      <c r="Q244" s="4">
        <v>0</v>
      </c>
      <c r="R244" s="4">
        <f>Table1[[#This Row],[Total Revenue]]-Table1[[#This Row],[Insurance Claim Amount]]</f>
        <v>17058</v>
      </c>
      <c r="S244">
        <v>5</v>
      </c>
      <c r="T244" t="str">
        <f t="shared" si="6"/>
        <v>May</v>
      </c>
      <c r="U244">
        <f t="shared" si="7"/>
        <v>2025</v>
      </c>
    </row>
    <row r="245" spans="1:21" x14ac:dyDescent="0.3">
      <c r="A245" t="s">
        <v>476</v>
      </c>
      <c r="B245" t="s">
        <v>156</v>
      </c>
      <c r="C245" t="s">
        <v>11</v>
      </c>
      <c r="D245" t="s">
        <v>164</v>
      </c>
      <c r="E245" t="s">
        <v>932</v>
      </c>
      <c r="F245">
        <v>45893</v>
      </c>
      <c r="G245" t="s">
        <v>937</v>
      </c>
      <c r="H245" t="s">
        <v>945</v>
      </c>
      <c r="I245" s="4">
        <v>1040</v>
      </c>
      <c r="J245" s="4">
        <v>3352</v>
      </c>
      <c r="K245" s="4">
        <v>1207</v>
      </c>
      <c r="L245" s="4">
        <v>2000</v>
      </c>
      <c r="M245" s="4">
        <f>Table1[[#This Row],[Visit Cost]]+Table1[[#This Row],[Lab Cost]]+Table1[[#This Row],[Medicine Cost]]+Table1[[#This Row],[Room Charges]]</f>
        <v>7599</v>
      </c>
      <c r="N245" s="5">
        <v>45911</v>
      </c>
      <c r="O245">
        <f>Table1[[#This Row],[Discharge Date]]-Table1[[#This Row],[Visit Date]]</f>
        <v>18</v>
      </c>
      <c r="P245" t="s">
        <v>948</v>
      </c>
      <c r="Q245" s="4">
        <v>823</v>
      </c>
      <c r="R245" s="4">
        <f>Table1[[#This Row],[Total Revenue]]-Table1[[#This Row],[Insurance Claim Amount]]</f>
        <v>6776</v>
      </c>
      <c r="S245">
        <v>4</v>
      </c>
      <c r="T245" t="str">
        <f t="shared" si="6"/>
        <v>Aug</v>
      </c>
      <c r="U245">
        <f t="shared" si="7"/>
        <v>2025</v>
      </c>
    </row>
    <row r="246" spans="1:21" x14ac:dyDescent="0.3">
      <c r="A246" t="s">
        <v>477</v>
      </c>
      <c r="B246" t="s">
        <v>478</v>
      </c>
      <c r="C246" t="s">
        <v>11</v>
      </c>
      <c r="D246" t="s">
        <v>924</v>
      </c>
      <c r="E246" t="s">
        <v>933</v>
      </c>
      <c r="F246">
        <v>45673</v>
      </c>
      <c r="G246" t="s">
        <v>936</v>
      </c>
      <c r="H246" t="s">
        <v>944</v>
      </c>
      <c r="I246" s="4">
        <v>1244</v>
      </c>
      <c r="J246" s="4">
        <v>3361</v>
      </c>
      <c r="K246" s="4">
        <v>2227</v>
      </c>
      <c r="L246" s="4">
        <v>7064</v>
      </c>
      <c r="M246" s="4">
        <f>Table1[[#This Row],[Visit Cost]]+Table1[[#This Row],[Lab Cost]]+Table1[[#This Row],[Medicine Cost]]+Table1[[#This Row],[Room Charges]]</f>
        <v>13896</v>
      </c>
      <c r="N246" s="5">
        <v>45750</v>
      </c>
      <c r="O246">
        <f>Table1[[#This Row],[Discharge Date]]-Table1[[#This Row],[Visit Date]]</f>
        <v>77</v>
      </c>
      <c r="P246" t="s">
        <v>948</v>
      </c>
      <c r="Q246" s="4">
        <v>2796</v>
      </c>
      <c r="R246" s="4">
        <f>Table1[[#This Row],[Total Revenue]]-Table1[[#This Row],[Insurance Claim Amount]]</f>
        <v>11100</v>
      </c>
      <c r="S246">
        <v>2</v>
      </c>
      <c r="T246" t="str">
        <f t="shared" si="6"/>
        <v>Jan</v>
      </c>
      <c r="U246">
        <f t="shared" si="7"/>
        <v>2025</v>
      </c>
    </row>
    <row r="247" spans="1:21" x14ac:dyDescent="0.3">
      <c r="A247" t="s">
        <v>479</v>
      </c>
      <c r="B247" t="s">
        <v>480</v>
      </c>
      <c r="C247" t="s">
        <v>16</v>
      </c>
      <c r="D247" t="s">
        <v>925</v>
      </c>
      <c r="E247" t="s">
        <v>933</v>
      </c>
      <c r="F247">
        <v>45795</v>
      </c>
      <c r="G247" t="s">
        <v>935</v>
      </c>
      <c r="H247" t="s">
        <v>945</v>
      </c>
      <c r="I247" s="4">
        <v>2343</v>
      </c>
      <c r="J247" s="4">
        <v>1666</v>
      </c>
      <c r="K247" s="4">
        <v>2605</v>
      </c>
      <c r="L247" s="4">
        <v>1500</v>
      </c>
      <c r="M247" s="4">
        <f>Table1[[#This Row],[Visit Cost]]+Table1[[#This Row],[Lab Cost]]+Table1[[#This Row],[Medicine Cost]]+Table1[[#This Row],[Room Charges]]</f>
        <v>8114</v>
      </c>
      <c r="N247" s="5">
        <v>45820</v>
      </c>
      <c r="O247">
        <f>Table1[[#This Row],[Discharge Date]]-Table1[[#This Row],[Visit Date]]</f>
        <v>25</v>
      </c>
      <c r="P247" t="s">
        <v>948</v>
      </c>
      <c r="Q247" s="4">
        <v>4960</v>
      </c>
      <c r="R247" s="4">
        <f>Table1[[#This Row],[Total Revenue]]-Table1[[#This Row],[Insurance Claim Amount]]</f>
        <v>3154</v>
      </c>
      <c r="S247">
        <v>2</v>
      </c>
      <c r="T247" t="str">
        <f t="shared" si="6"/>
        <v>May</v>
      </c>
      <c r="U247">
        <f t="shared" si="7"/>
        <v>2025</v>
      </c>
    </row>
    <row r="248" spans="1:21" x14ac:dyDescent="0.3">
      <c r="A248" t="s">
        <v>481</v>
      </c>
      <c r="B248" t="s">
        <v>482</v>
      </c>
      <c r="C248" t="s">
        <v>29</v>
      </c>
      <c r="D248" t="s">
        <v>926</v>
      </c>
      <c r="E248" t="s">
        <v>929</v>
      </c>
      <c r="F248">
        <v>45771</v>
      </c>
      <c r="G248" t="s">
        <v>936</v>
      </c>
      <c r="H248" t="s">
        <v>940</v>
      </c>
      <c r="I248" s="4">
        <v>1073</v>
      </c>
      <c r="J248" s="4">
        <v>3818</v>
      </c>
      <c r="K248" s="4">
        <v>2748</v>
      </c>
      <c r="L248" s="4">
        <v>3334</v>
      </c>
      <c r="M248" s="4">
        <f>Table1[[#This Row],[Visit Cost]]+Table1[[#This Row],[Lab Cost]]+Table1[[#This Row],[Medicine Cost]]+Table1[[#This Row],[Room Charges]]</f>
        <v>10973</v>
      </c>
      <c r="N248" s="5">
        <v>45803</v>
      </c>
      <c r="O248">
        <f>Table1[[#This Row],[Discharge Date]]-Table1[[#This Row],[Visit Date]]</f>
        <v>32</v>
      </c>
      <c r="P248" t="s">
        <v>949</v>
      </c>
      <c r="Q248" s="4">
        <v>0</v>
      </c>
      <c r="R248" s="4">
        <f>Table1[[#This Row],[Total Revenue]]-Table1[[#This Row],[Insurance Claim Amount]]</f>
        <v>10973</v>
      </c>
      <c r="S248">
        <v>1</v>
      </c>
      <c r="T248" t="str">
        <f t="shared" si="6"/>
        <v>Apr</v>
      </c>
      <c r="U248">
        <f t="shared" si="7"/>
        <v>2025</v>
      </c>
    </row>
    <row r="249" spans="1:21" x14ac:dyDescent="0.3">
      <c r="A249" t="s">
        <v>483</v>
      </c>
      <c r="B249" t="s">
        <v>484</v>
      </c>
      <c r="C249" t="s">
        <v>16</v>
      </c>
      <c r="D249" t="s">
        <v>924</v>
      </c>
      <c r="E249" t="s">
        <v>932</v>
      </c>
      <c r="F249">
        <v>45960</v>
      </c>
      <c r="G249" t="s">
        <v>938</v>
      </c>
      <c r="H249" t="s">
        <v>941</v>
      </c>
      <c r="I249" s="4">
        <v>1909</v>
      </c>
      <c r="J249" s="4">
        <v>4377</v>
      </c>
      <c r="K249" s="4">
        <v>1381</v>
      </c>
      <c r="L249" s="4">
        <v>4657</v>
      </c>
      <c r="M249" s="4">
        <f>Table1[[#This Row],[Visit Cost]]+Table1[[#This Row],[Lab Cost]]+Table1[[#This Row],[Medicine Cost]]+Table1[[#This Row],[Room Charges]]</f>
        <v>12324</v>
      </c>
      <c r="N249" s="5">
        <v>46022</v>
      </c>
      <c r="O249">
        <f>Table1[[#This Row],[Discharge Date]]-Table1[[#This Row],[Visit Date]]</f>
        <v>62</v>
      </c>
      <c r="P249" t="s">
        <v>948</v>
      </c>
      <c r="Q249" s="4">
        <v>8281</v>
      </c>
      <c r="R249" s="4">
        <f>Table1[[#This Row],[Total Revenue]]-Table1[[#This Row],[Insurance Claim Amount]]</f>
        <v>4043</v>
      </c>
      <c r="S249">
        <v>4</v>
      </c>
      <c r="T249" t="str">
        <f t="shared" si="6"/>
        <v>Oct</v>
      </c>
      <c r="U249">
        <f t="shared" si="7"/>
        <v>2025</v>
      </c>
    </row>
    <row r="250" spans="1:21" x14ac:dyDescent="0.3">
      <c r="A250" t="s">
        <v>485</v>
      </c>
      <c r="B250" t="s">
        <v>486</v>
      </c>
      <c r="C250" t="s">
        <v>29</v>
      </c>
      <c r="D250" t="s">
        <v>926</v>
      </c>
      <c r="E250" t="s">
        <v>931</v>
      </c>
      <c r="F250">
        <v>45899</v>
      </c>
      <c r="G250" t="s">
        <v>937</v>
      </c>
      <c r="H250" t="s">
        <v>942</v>
      </c>
      <c r="I250" s="4">
        <v>1447</v>
      </c>
      <c r="J250" s="4">
        <v>3165</v>
      </c>
      <c r="K250" s="4">
        <v>2443</v>
      </c>
      <c r="L250" s="4">
        <v>7683</v>
      </c>
      <c r="M250" s="4">
        <f>Table1[[#This Row],[Visit Cost]]+Table1[[#This Row],[Lab Cost]]+Table1[[#This Row],[Medicine Cost]]+Table1[[#This Row],[Room Charges]]</f>
        <v>14738</v>
      </c>
      <c r="N250" s="5">
        <v>46022</v>
      </c>
      <c r="O250">
        <f>Table1[[#This Row],[Discharge Date]]-Table1[[#This Row],[Visit Date]]</f>
        <v>123</v>
      </c>
      <c r="P250" t="s">
        <v>949</v>
      </c>
      <c r="Q250" s="4">
        <v>0</v>
      </c>
      <c r="R250" s="4">
        <f>Table1[[#This Row],[Total Revenue]]-Table1[[#This Row],[Insurance Claim Amount]]</f>
        <v>14738</v>
      </c>
      <c r="S250">
        <v>4</v>
      </c>
      <c r="T250" t="str">
        <f t="shared" si="6"/>
        <v>Aug</v>
      </c>
      <c r="U250">
        <f t="shared" si="7"/>
        <v>2025</v>
      </c>
    </row>
    <row r="251" spans="1:21" x14ac:dyDescent="0.3">
      <c r="A251" t="s">
        <v>487</v>
      </c>
      <c r="B251" t="s">
        <v>269</v>
      </c>
      <c r="C251" t="s">
        <v>38</v>
      </c>
      <c r="D251" t="s">
        <v>924</v>
      </c>
      <c r="E251" t="s">
        <v>930</v>
      </c>
      <c r="F251">
        <v>45678</v>
      </c>
      <c r="G251" t="s">
        <v>936</v>
      </c>
      <c r="H251" t="s">
        <v>944</v>
      </c>
      <c r="I251" s="4">
        <v>2033</v>
      </c>
      <c r="J251" s="4">
        <v>4750</v>
      </c>
      <c r="K251" s="4">
        <v>2463</v>
      </c>
      <c r="L251" s="4">
        <v>8895</v>
      </c>
      <c r="M251" s="4">
        <f>Table1[[#This Row],[Visit Cost]]+Table1[[#This Row],[Lab Cost]]+Table1[[#This Row],[Medicine Cost]]+Table1[[#This Row],[Room Charges]]</f>
        <v>18141</v>
      </c>
      <c r="N251" s="5">
        <v>45743</v>
      </c>
      <c r="O251">
        <f>Table1[[#This Row],[Discharge Date]]-Table1[[#This Row],[Visit Date]]</f>
        <v>65</v>
      </c>
      <c r="P251" t="s">
        <v>949</v>
      </c>
      <c r="Q251" s="4">
        <v>0</v>
      </c>
      <c r="R251" s="4">
        <f>Table1[[#This Row],[Total Revenue]]-Table1[[#This Row],[Insurance Claim Amount]]</f>
        <v>18141</v>
      </c>
      <c r="S251">
        <v>3</v>
      </c>
      <c r="T251" t="str">
        <f t="shared" si="6"/>
        <v>Jan</v>
      </c>
      <c r="U251">
        <f t="shared" si="7"/>
        <v>2025</v>
      </c>
    </row>
    <row r="252" spans="1:21" x14ac:dyDescent="0.3">
      <c r="A252" t="s">
        <v>488</v>
      </c>
      <c r="B252" t="s">
        <v>469</v>
      </c>
      <c r="C252" t="s">
        <v>11</v>
      </c>
      <c r="D252" t="s">
        <v>164</v>
      </c>
      <c r="E252" t="s">
        <v>930</v>
      </c>
      <c r="F252">
        <v>45781</v>
      </c>
      <c r="G252" t="s">
        <v>935</v>
      </c>
      <c r="H252" t="s">
        <v>942</v>
      </c>
      <c r="I252" s="4">
        <v>2495</v>
      </c>
      <c r="J252" s="4">
        <v>987</v>
      </c>
      <c r="K252" s="4">
        <v>558</v>
      </c>
      <c r="L252" s="4">
        <v>3367</v>
      </c>
      <c r="M252" s="4">
        <f>Table1[[#This Row],[Visit Cost]]+Table1[[#This Row],[Lab Cost]]+Table1[[#This Row],[Medicine Cost]]+Table1[[#This Row],[Room Charges]]</f>
        <v>7407</v>
      </c>
      <c r="N252" s="5">
        <v>45904</v>
      </c>
      <c r="O252">
        <f>Table1[[#This Row],[Discharge Date]]-Table1[[#This Row],[Visit Date]]</f>
        <v>123</v>
      </c>
      <c r="P252" t="s">
        <v>949</v>
      </c>
      <c r="Q252" s="4">
        <v>0</v>
      </c>
      <c r="R252" s="4">
        <f>Table1[[#This Row],[Total Revenue]]-Table1[[#This Row],[Insurance Claim Amount]]</f>
        <v>7407</v>
      </c>
      <c r="S252">
        <v>5</v>
      </c>
      <c r="T252" t="str">
        <f t="shared" si="6"/>
        <v>May</v>
      </c>
      <c r="U252">
        <f t="shared" si="7"/>
        <v>2025</v>
      </c>
    </row>
    <row r="253" spans="1:21" x14ac:dyDescent="0.3">
      <c r="A253" t="s">
        <v>489</v>
      </c>
      <c r="B253" t="s">
        <v>229</v>
      </c>
      <c r="C253" t="s">
        <v>29</v>
      </c>
      <c r="D253" t="s">
        <v>926</v>
      </c>
      <c r="E253" t="s">
        <v>932</v>
      </c>
      <c r="F253">
        <v>45865</v>
      </c>
      <c r="G253" t="s">
        <v>938</v>
      </c>
      <c r="H253" t="s">
        <v>941</v>
      </c>
      <c r="I253" s="4">
        <v>1785</v>
      </c>
      <c r="J253" s="4">
        <v>2324</v>
      </c>
      <c r="K253" s="4">
        <v>2259</v>
      </c>
      <c r="L253" s="4">
        <v>6753</v>
      </c>
      <c r="M253" s="4">
        <f>Table1[[#This Row],[Visit Cost]]+Table1[[#This Row],[Lab Cost]]+Table1[[#This Row],[Medicine Cost]]+Table1[[#This Row],[Room Charges]]</f>
        <v>13121</v>
      </c>
      <c r="N253" s="5">
        <v>45920</v>
      </c>
      <c r="O253">
        <f>Table1[[#This Row],[Discharge Date]]-Table1[[#This Row],[Visit Date]]</f>
        <v>55</v>
      </c>
      <c r="P253" t="s">
        <v>948</v>
      </c>
      <c r="Q253" s="4">
        <v>9071</v>
      </c>
      <c r="R253" s="4">
        <f>Table1[[#This Row],[Total Revenue]]-Table1[[#This Row],[Insurance Claim Amount]]</f>
        <v>4050</v>
      </c>
      <c r="S253">
        <v>3</v>
      </c>
      <c r="T253" t="str">
        <f t="shared" si="6"/>
        <v>Jul</v>
      </c>
      <c r="U253">
        <f t="shared" si="7"/>
        <v>2025</v>
      </c>
    </row>
    <row r="254" spans="1:21" x14ac:dyDescent="0.3">
      <c r="A254" t="s">
        <v>490</v>
      </c>
      <c r="B254" t="s">
        <v>491</v>
      </c>
      <c r="C254" t="s">
        <v>29</v>
      </c>
      <c r="D254" t="s">
        <v>926</v>
      </c>
      <c r="E254" t="s">
        <v>931</v>
      </c>
      <c r="F254">
        <v>45828</v>
      </c>
      <c r="G254" t="s">
        <v>936</v>
      </c>
      <c r="H254" t="s">
        <v>943</v>
      </c>
      <c r="I254" s="4">
        <v>1512</v>
      </c>
      <c r="J254" s="4">
        <v>4728</v>
      </c>
      <c r="K254" s="4">
        <v>859</v>
      </c>
      <c r="L254" s="4">
        <v>2081</v>
      </c>
      <c r="M254" s="4">
        <f>Table1[[#This Row],[Visit Cost]]+Table1[[#This Row],[Lab Cost]]+Table1[[#This Row],[Medicine Cost]]+Table1[[#This Row],[Room Charges]]</f>
        <v>9180</v>
      </c>
      <c r="N254" s="5">
        <v>45893</v>
      </c>
      <c r="O254">
        <f>Table1[[#This Row],[Discharge Date]]-Table1[[#This Row],[Visit Date]]</f>
        <v>65</v>
      </c>
      <c r="P254" t="s">
        <v>949</v>
      </c>
      <c r="Q254" s="4">
        <v>0</v>
      </c>
      <c r="R254" s="4">
        <f>Table1[[#This Row],[Total Revenue]]-Table1[[#This Row],[Insurance Claim Amount]]</f>
        <v>9180</v>
      </c>
      <c r="S254">
        <v>4</v>
      </c>
      <c r="T254" t="str">
        <f t="shared" si="6"/>
        <v>Jun</v>
      </c>
      <c r="U254">
        <f t="shared" si="7"/>
        <v>2025</v>
      </c>
    </row>
    <row r="255" spans="1:21" x14ac:dyDescent="0.3">
      <c r="A255" t="s">
        <v>492</v>
      </c>
      <c r="B255" t="s">
        <v>493</v>
      </c>
      <c r="C255" t="s">
        <v>29</v>
      </c>
      <c r="D255" t="s">
        <v>926</v>
      </c>
      <c r="E255" t="s">
        <v>929</v>
      </c>
      <c r="F255">
        <v>45740</v>
      </c>
      <c r="G255" t="s">
        <v>937</v>
      </c>
      <c r="H255" t="s">
        <v>941</v>
      </c>
      <c r="I255" s="4">
        <v>950</v>
      </c>
      <c r="J255" s="4">
        <v>1146</v>
      </c>
      <c r="K255" s="4">
        <v>1567</v>
      </c>
      <c r="L255" s="4">
        <v>4928</v>
      </c>
      <c r="M255" s="4">
        <f>Table1[[#This Row],[Visit Cost]]+Table1[[#This Row],[Lab Cost]]+Table1[[#This Row],[Medicine Cost]]+Table1[[#This Row],[Room Charges]]</f>
        <v>8591</v>
      </c>
      <c r="N255" s="5">
        <v>45787</v>
      </c>
      <c r="O255">
        <f>Table1[[#This Row],[Discharge Date]]-Table1[[#This Row],[Visit Date]]</f>
        <v>47</v>
      </c>
      <c r="P255" t="s">
        <v>948</v>
      </c>
      <c r="Q255" s="4">
        <v>3439</v>
      </c>
      <c r="R255" s="4">
        <f>Table1[[#This Row],[Total Revenue]]-Table1[[#This Row],[Insurance Claim Amount]]</f>
        <v>5152</v>
      </c>
      <c r="S255">
        <v>3</v>
      </c>
      <c r="T255" t="str">
        <f t="shared" si="6"/>
        <v>Mar</v>
      </c>
      <c r="U255">
        <f t="shared" si="7"/>
        <v>2025</v>
      </c>
    </row>
    <row r="256" spans="1:21" x14ac:dyDescent="0.3">
      <c r="A256" t="s">
        <v>494</v>
      </c>
      <c r="B256" t="s">
        <v>495</v>
      </c>
      <c r="C256" t="s">
        <v>16</v>
      </c>
      <c r="D256" t="s">
        <v>164</v>
      </c>
      <c r="E256" t="s">
        <v>933</v>
      </c>
      <c r="F256">
        <v>45899</v>
      </c>
      <c r="G256" t="s">
        <v>935</v>
      </c>
      <c r="H256" t="s">
        <v>944</v>
      </c>
      <c r="I256" s="4">
        <v>1262</v>
      </c>
      <c r="J256" s="4">
        <v>2042</v>
      </c>
      <c r="K256" s="4">
        <v>672</v>
      </c>
      <c r="L256" s="4">
        <v>4008</v>
      </c>
      <c r="M256" s="4">
        <f>Table1[[#This Row],[Visit Cost]]+Table1[[#This Row],[Lab Cost]]+Table1[[#This Row],[Medicine Cost]]+Table1[[#This Row],[Room Charges]]</f>
        <v>7984</v>
      </c>
      <c r="N256" s="5">
        <v>46022</v>
      </c>
      <c r="O256">
        <f>Table1[[#This Row],[Discharge Date]]-Table1[[#This Row],[Visit Date]]</f>
        <v>123</v>
      </c>
      <c r="P256" t="s">
        <v>948</v>
      </c>
      <c r="Q256" s="4">
        <v>7612</v>
      </c>
      <c r="R256" s="4">
        <f>Table1[[#This Row],[Total Revenue]]-Table1[[#This Row],[Insurance Claim Amount]]</f>
        <v>372</v>
      </c>
      <c r="S256">
        <v>4</v>
      </c>
      <c r="T256" t="str">
        <f t="shared" si="6"/>
        <v>Aug</v>
      </c>
      <c r="U256">
        <f t="shared" si="7"/>
        <v>2025</v>
      </c>
    </row>
    <row r="257" spans="1:21" x14ac:dyDescent="0.3">
      <c r="A257" t="s">
        <v>496</v>
      </c>
      <c r="B257" t="s">
        <v>497</v>
      </c>
      <c r="C257" t="s">
        <v>6</v>
      </c>
      <c r="D257" t="s">
        <v>925</v>
      </c>
      <c r="E257" t="s">
        <v>933</v>
      </c>
      <c r="F257">
        <v>45760</v>
      </c>
      <c r="G257" t="s">
        <v>936</v>
      </c>
      <c r="H257" t="s">
        <v>944</v>
      </c>
      <c r="I257" s="4">
        <v>1525</v>
      </c>
      <c r="J257" s="4">
        <v>610</v>
      </c>
      <c r="K257" s="4">
        <v>2633</v>
      </c>
      <c r="L257" s="4">
        <v>5000</v>
      </c>
      <c r="M257" s="4">
        <f>Table1[[#This Row],[Visit Cost]]+Table1[[#This Row],[Lab Cost]]+Table1[[#This Row],[Medicine Cost]]+Table1[[#This Row],[Room Charges]]</f>
        <v>9768</v>
      </c>
      <c r="N257" s="5">
        <v>45790</v>
      </c>
      <c r="O257">
        <f>Table1[[#This Row],[Discharge Date]]-Table1[[#This Row],[Visit Date]]</f>
        <v>30</v>
      </c>
      <c r="P257" t="s">
        <v>948</v>
      </c>
      <c r="Q257" s="4">
        <v>6800</v>
      </c>
      <c r="R257" s="4">
        <f>Table1[[#This Row],[Total Revenue]]-Table1[[#This Row],[Insurance Claim Amount]]</f>
        <v>2968</v>
      </c>
      <c r="S257">
        <v>4</v>
      </c>
      <c r="T257" t="str">
        <f t="shared" si="6"/>
        <v>Apr</v>
      </c>
      <c r="U257">
        <f t="shared" si="7"/>
        <v>2025</v>
      </c>
    </row>
    <row r="258" spans="1:21" x14ac:dyDescent="0.3">
      <c r="A258" t="s">
        <v>498</v>
      </c>
      <c r="B258" t="s">
        <v>499</v>
      </c>
      <c r="C258" t="s">
        <v>47</v>
      </c>
      <c r="D258" t="s">
        <v>927</v>
      </c>
      <c r="E258" t="s">
        <v>931</v>
      </c>
      <c r="F258">
        <v>45846</v>
      </c>
      <c r="G258" t="s">
        <v>938</v>
      </c>
      <c r="H258" t="s">
        <v>943</v>
      </c>
      <c r="I258" s="4">
        <v>1062</v>
      </c>
      <c r="J258" s="4">
        <v>1362</v>
      </c>
      <c r="K258" s="4">
        <v>555</v>
      </c>
      <c r="L258" s="4">
        <v>2200</v>
      </c>
      <c r="M258" s="4">
        <f>Table1[[#This Row],[Visit Cost]]+Table1[[#This Row],[Lab Cost]]+Table1[[#This Row],[Medicine Cost]]+Table1[[#This Row],[Room Charges]]</f>
        <v>5179</v>
      </c>
      <c r="N258" s="5">
        <v>45858</v>
      </c>
      <c r="O258">
        <f>Table1[[#This Row],[Discharge Date]]-Table1[[#This Row],[Visit Date]]</f>
        <v>12</v>
      </c>
      <c r="P258" t="s">
        <v>948</v>
      </c>
      <c r="Q258" s="4">
        <v>4911</v>
      </c>
      <c r="R258" s="4">
        <f>Table1[[#This Row],[Total Revenue]]-Table1[[#This Row],[Insurance Claim Amount]]</f>
        <v>268</v>
      </c>
      <c r="S258">
        <v>3</v>
      </c>
      <c r="T258" t="str">
        <f t="shared" si="6"/>
        <v>Jul</v>
      </c>
      <c r="U258">
        <f t="shared" si="7"/>
        <v>2025</v>
      </c>
    </row>
    <row r="259" spans="1:21" x14ac:dyDescent="0.3">
      <c r="A259" t="s">
        <v>500</v>
      </c>
      <c r="B259" t="s">
        <v>501</v>
      </c>
      <c r="C259" t="s">
        <v>16</v>
      </c>
      <c r="D259" t="s">
        <v>925</v>
      </c>
      <c r="E259" t="s">
        <v>932</v>
      </c>
      <c r="F259">
        <v>45860</v>
      </c>
      <c r="G259" t="s">
        <v>937</v>
      </c>
      <c r="H259" t="s">
        <v>940</v>
      </c>
      <c r="I259" s="4">
        <v>740</v>
      </c>
      <c r="J259" s="4">
        <v>726</v>
      </c>
      <c r="K259" s="4">
        <v>1912</v>
      </c>
      <c r="L259" s="4">
        <v>6804</v>
      </c>
      <c r="M259" s="4">
        <f>Table1[[#This Row],[Visit Cost]]+Table1[[#This Row],[Lab Cost]]+Table1[[#This Row],[Medicine Cost]]+Table1[[#This Row],[Room Charges]]</f>
        <v>10182</v>
      </c>
      <c r="N259" s="5">
        <v>45939</v>
      </c>
      <c r="O259">
        <f>Table1[[#This Row],[Discharge Date]]-Table1[[#This Row],[Visit Date]]</f>
        <v>79</v>
      </c>
      <c r="P259" t="s">
        <v>948</v>
      </c>
      <c r="Q259" s="4">
        <v>4381</v>
      </c>
      <c r="R259" s="4">
        <f>Table1[[#This Row],[Total Revenue]]-Table1[[#This Row],[Insurance Claim Amount]]</f>
        <v>5801</v>
      </c>
      <c r="S259">
        <v>5</v>
      </c>
      <c r="T259" t="str">
        <f t="shared" ref="T259:T322" si="8">TEXT(F259,"MMM")</f>
        <v>Jul</v>
      </c>
      <c r="U259">
        <f t="shared" ref="U259:U322" si="9">YEAR(F259)</f>
        <v>2025</v>
      </c>
    </row>
    <row r="260" spans="1:21" x14ac:dyDescent="0.3">
      <c r="A260" t="s">
        <v>502</v>
      </c>
      <c r="B260" t="s">
        <v>503</v>
      </c>
      <c r="C260" t="s">
        <v>6</v>
      </c>
      <c r="D260" t="s">
        <v>252</v>
      </c>
      <c r="E260" t="s">
        <v>930</v>
      </c>
      <c r="F260">
        <v>45862</v>
      </c>
      <c r="G260" t="s">
        <v>936</v>
      </c>
      <c r="H260" t="s">
        <v>940</v>
      </c>
      <c r="I260" s="4">
        <v>2389</v>
      </c>
      <c r="J260" s="4">
        <v>3946</v>
      </c>
      <c r="K260" s="4">
        <v>1331</v>
      </c>
      <c r="L260" s="4">
        <v>4948</v>
      </c>
      <c r="M260" s="4">
        <f>Table1[[#This Row],[Visit Cost]]+Table1[[#This Row],[Lab Cost]]+Table1[[#This Row],[Medicine Cost]]+Table1[[#This Row],[Room Charges]]</f>
        <v>12614</v>
      </c>
      <c r="N260" s="5">
        <v>45954</v>
      </c>
      <c r="O260">
        <f>Table1[[#This Row],[Discharge Date]]-Table1[[#This Row],[Visit Date]]</f>
        <v>92</v>
      </c>
      <c r="P260" t="s">
        <v>949</v>
      </c>
      <c r="Q260" s="4">
        <v>0</v>
      </c>
      <c r="R260" s="4">
        <f>Table1[[#This Row],[Total Revenue]]-Table1[[#This Row],[Insurance Claim Amount]]</f>
        <v>12614</v>
      </c>
      <c r="S260">
        <v>2</v>
      </c>
      <c r="T260" t="str">
        <f t="shared" si="8"/>
        <v>Jul</v>
      </c>
      <c r="U260">
        <f t="shared" si="9"/>
        <v>2025</v>
      </c>
    </row>
    <row r="261" spans="1:21" x14ac:dyDescent="0.3">
      <c r="A261" t="s">
        <v>504</v>
      </c>
      <c r="B261" t="s">
        <v>505</v>
      </c>
      <c r="C261" t="s">
        <v>11</v>
      </c>
      <c r="D261" t="s">
        <v>164</v>
      </c>
      <c r="E261" t="s">
        <v>929</v>
      </c>
      <c r="F261">
        <v>45718</v>
      </c>
      <c r="G261" t="s">
        <v>935</v>
      </c>
      <c r="H261" t="s">
        <v>943</v>
      </c>
      <c r="I261" s="4">
        <v>1040</v>
      </c>
      <c r="J261" s="4">
        <v>4566</v>
      </c>
      <c r="K261" s="4">
        <v>733</v>
      </c>
      <c r="L261" s="4">
        <v>4146</v>
      </c>
      <c r="M261" s="4">
        <f>Table1[[#This Row],[Visit Cost]]+Table1[[#This Row],[Lab Cost]]+Table1[[#This Row],[Medicine Cost]]+Table1[[#This Row],[Room Charges]]</f>
        <v>10485</v>
      </c>
      <c r="N261" s="5">
        <v>45767</v>
      </c>
      <c r="O261">
        <f>Table1[[#This Row],[Discharge Date]]-Table1[[#This Row],[Visit Date]]</f>
        <v>49</v>
      </c>
      <c r="P261" t="s">
        <v>949</v>
      </c>
      <c r="Q261" s="4">
        <v>0</v>
      </c>
      <c r="R261" s="4">
        <f>Table1[[#This Row],[Total Revenue]]-Table1[[#This Row],[Insurance Claim Amount]]</f>
        <v>10485</v>
      </c>
      <c r="S261">
        <v>5</v>
      </c>
      <c r="T261" t="str">
        <f t="shared" si="8"/>
        <v>Mar</v>
      </c>
      <c r="U261">
        <f t="shared" si="9"/>
        <v>2025</v>
      </c>
    </row>
    <row r="262" spans="1:21" x14ac:dyDescent="0.3">
      <c r="A262" t="s">
        <v>506</v>
      </c>
      <c r="B262" t="s">
        <v>93</v>
      </c>
      <c r="C262" t="s">
        <v>11</v>
      </c>
      <c r="D262" t="s">
        <v>925</v>
      </c>
      <c r="E262" t="s">
        <v>929</v>
      </c>
      <c r="F262">
        <v>45908</v>
      </c>
      <c r="G262" t="s">
        <v>936</v>
      </c>
      <c r="H262" t="s">
        <v>943</v>
      </c>
      <c r="I262" s="4">
        <v>1345</v>
      </c>
      <c r="J262" s="4">
        <v>1557</v>
      </c>
      <c r="K262" s="4">
        <v>1594</v>
      </c>
      <c r="L262" s="4">
        <v>4006</v>
      </c>
      <c r="M262" s="4">
        <f>Table1[[#This Row],[Visit Cost]]+Table1[[#This Row],[Lab Cost]]+Table1[[#This Row],[Medicine Cost]]+Table1[[#This Row],[Room Charges]]</f>
        <v>8502</v>
      </c>
      <c r="N262" s="5">
        <v>45982</v>
      </c>
      <c r="O262">
        <f>Table1[[#This Row],[Discharge Date]]-Table1[[#This Row],[Visit Date]]</f>
        <v>74</v>
      </c>
      <c r="P262" t="s">
        <v>949</v>
      </c>
      <c r="Q262" s="4">
        <v>0</v>
      </c>
      <c r="R262" s="4">
        <f>Table1[[#This Row],[Total Revenue]]-Table1[[#This Row],[Insurance Claim Amount]]</f>
        <v>8502</v>
      </c>
      <c r="S262">
        <v>4</v>
      </c>
      <c r="T262" t="str">
        <f t="shared" si="8"/>
        <v>Sep</v>
      </c>
      <c r="U262">
        <f t="shared" si="9"/>
        <v>2025</v>
      </c>
    </row>
    <row r="263" spans="1:21" x14ac:dyDescent="0.3">
      <c r="A263" t="s">
        <v>507</v>
      </c>
      <c r="B263" t="s">
        <v>508</v>
      </c>
      <c r="C263" t="s">
        <v>16</v>
      </c>
      <c r="D263" t="s">
        <v>252</v>
      </c>
      <c r="E263" t="s">
        <v>932</v>
      </c>
      <c r="F263">
        <v>45679</v>
      </c>
      <c r="G263" t="s">
        <v>938</v>
      </c>
      <c r="H263" t="s">
        <v>942</v>
      </c>
      <c r="I263" s="4">
        <v>736</v>
      </c>
      <c r="J263" s="4">
        <v>2237</v>
      </c>
      <c r="K263" s="4">
        <v>815</v>
      </c>
      <c r="L263" s="4">
        <v>7415</v>
      </c>
      <c r="M263" s="4">
        <f>Table1[[#This Row],[Visit Cost]]+Table1[[#This Row],[Lab Cost]]+Table1[[#This Row],[Medicine Cost]]+Table1[[#This Row],[Room Charges]]</f>
        <v>11203</v>
      </c>
      <c r="N263" s="5">
        <v>45707</v>
      </c>
      <c r="O263">
        <f>Table1[[#This Row],[Discharge Date]]-Table1[[#This Row],[Visit Date]]</f>
        <v>28</v>
      </c>
      <c r="P263" t="s">
        <v>949</v>
      </c>
      <c r="Q263" s="4">
        <v>0</v>
      </c>
      <c r="R263" s="4">
        <f>Table1[[#This Row],[Total Revenue]]-Table1[[#This Row],[Insurance Claim Amount]]</f>
        <v>11203</v>
      </c>
      <c r="S263">
        <v>2</v>
      </c>
      <c r="T263" t="str">
        <f t="shared" si="8"/>
        <v>Jan</v>
      </c>
      <c r="U263">
        <f t="shared" si="9"/>
        <v>2025</v>
      </c>
    </row>
    <row r="264" spans="1:21" x14ac:dyDescent="0.3">
      <c r="A264" t="s">
        <v>509</v>
      </c>
      <c r="B264" t="s">
        <v>510</v>
      </c>
      <c r="C264" t="s">
        <v>29</v>
      </c>
      <c r="D264" t="s">
        <v>926</v>
      </c>
      <c r="E264" t="s">
        <v>933</v>
      </c>
      <c r="F264">
        <v>45997</v>
      </c>
      <c r="G264" t="s">
        <v>937</v>
      </c>
      <c r="H264" t="s">
        <v>944</v>
      </c>
      <c r="I264" s="4">
        <v>2052</v>
      </c>
      <c r="J264" s="4">
        <v>657</v>
      </c>
      <c r="K264" s="4">
        <v>666</v>
      </c>
      <c r="L264" s="4">
        <v>3000</v>
      </c>
      <c r="M264" s="4">
        <f>Table1[[#This Row],[Visit Cost]]+Table1[[#This Row],[Lab Cost]]+Table1[[#This Row],[Medicine Cost]]+Table1[[#This Row],[Room Charges]]</f>
        <v>6375</v>
      </c>
      <c r="N264" s="5">
        <v>46112</v>
      </c>
      <c r="O264">
        <f>Table1[[#This Row],[Discharge Date]]-Table1[[#This Row],[Visit Date]]</f>
        <v>115</v>
      </c>
      <c r="P264" t="s">
        <v>948</v>
      </c>
      <c r="Q264" s="4">
        <v>3000</v>
      </c>
      <c r="R264" s="4">
        <f>Table1[[#This Row],[Total Revenue]]-Table1[[#This Row],[Insurance Claim Amount]]</f>
        <v>3375</v>
      </c>
      <c r="S264">
        <v>1</v>
      </c>
      <c r="T264" t="str">
        <f t="shared" si="8"/>
        <v>Dec</v>
      </c>
      <c r="U264">
        <f t="shared" si="9"/>
        <v>2025</v>
      </c>
    </row>
    <row r="265" spans="1:21" x14ac:dyDescent="0.3">
      <c r="A265" t="s">
        <v>511</v>
      </c>
      <c r="B265" t="s">
        <v>152</v>
      </c>
      <c r="C265" t="s">
        <v>16</v>
      </c>
      <c r="D265" t="s">
        <v>924</v>
      </c>
      <c r="E265" t="s">
        <v>931</v>
      </c>
      <c r="F265">
        <v>45778</v>
      </c>
      <c r="G265" t="s">
        <v>936</v>
      </c>
      <c r="H265" t="s">
        <v>942</v>
      </c>
      <c r="I265" s="4">
        <v>824</v>
      </c>
      <c r="J265" s="4">
        <v>2309</v>
      </c>
      <c r="K265" s="4">
        <v>2328</v>
      </c>
      <c r="L265" s="4">
        <v>6022</v>
      </c>
      <c r="M265" s="4">
        <f>Table1[[#This Row],[Visit Cost]]+Table1[[#This Row],[Lab Cost]]+Table1[[#This Row],[Medicine Cost]]+Table1[[#This Row],[Room Charges]]</f>
        <v>11483</v>
      </c>
      <c r="N265" s="5">
        <v>45915</v>
      </c>
      <c r="O265">
        <f>Table1[[#This Row],[Discharge Date]]-Table1[[#This Row],[Visit Date]]</f>
        <v>137</v>
      </c>
      <c r="P265" t="s">
        <v>949</v>
      </c>
      <c r="Q265" s="4">
        <v>0</v>
      </c>
      <c r="R265" s="4">
        <f>Table1[[#This Row],[Total Revenue]]-Table1[[#This Row],[Insurance Claim Amount]]</f>
        <v>11483</v>
      </c>
      <c r="S265">
        <v>5</v>
      </c>
      <c r="T265" t="str">
        <f t="shared" si="8"/>
        <v>May</v>
      </c>
      <c r="U265">
        <f t="shared" si="9"/>
        <v>2025</v>
      </c>
    </row>
    <row r="266" spans="1:21" x14ac:dyDescent="0.3">
      <c r="A266" t="s">
        <v>512</v>
      </c>
      <c r="B266" t="s">
        <v>513</v>
      </c>
      <c r="C266" t="s">
        <v>11</v>
      </c>
      <c r="D266" t="s">
        <v>252</v>
      </c>
      <c r="E266" t="s">
        <v>930</v>
      </c>
      <c r="F266">
        <v>45854</v>
      </c>
      <c r="G266" t="s">
        <v>935</v>
      </c>
      <c r="H266" t="s">
        <v>945</v>
      </c>
      <c r="I266" s="4">
        <v>2084</v>
      </c>
      <c r="J266" s="4">
        <v>1164</v>
      </c>
      <c r="K266" s="4">
        <v>1656</v>
      </c>
      <c r="L266" s="4">
        <v>9405</v>
      </c>
      <c r="M266" s="4">
        <f>Table1[[#This Row],[Visit Cost]]+Table1[[#This Row],[Lab Cost]]+Table1[[#This Row],[Medicine Cost]]+Table1[[#This Row],[Room Charges]]</f>
        <v>14309</v>
      </c>
      <c r="N266" s="5">
        <v>45944</v>
      </c>
      <c r="O266">
        <f>Table1[[#This Row],[Discharge Date]]-Table1[[#This Row],[Visit Date]]</f>
        <v>90</v>
      </c>
      <c r="P266" t="s">
        <v>948</v>
      </c>
      <c r="Q266" s="4">
        <v>7248</v>
      </c>
      <c r="R266" s="4">
        <f>Table1[[#This Row],[Total Revenue]]-Table1[[#This Row],[Insurance Claim Amount]]</f>
        <v>7061</v>
      </c>
      <c r="S266">
        <v>2</v>
      </c>
      <c r="T266" t="str">
        <f t="shared" si="8"/>
        <v>Jul</v>
      </c>
      <c r="U266">
        <f t="shared" si="9"/>
        <v>2025</v>
      </c>
    </row>
    <row r="267" spans="1:21" x14ac:dyDescent="0.3">
      <c r="A267" t="s">
        <v>514</v>
      </c>
      <c r="B267" t="s">
        <v>515</v>
      </c>
      <c r="C267" t="s">
        <v>11</v>
      </c>
      <c r="D267" t="s">
        <v>164</v>
      </c>
      <c r="E267" t="s">
        <v>930</v>
      </c>
      <c r="F267">
        <v>46005</v>
      </c>
      <c r="G267" t="s">
        <v>938</v>
      </c>
      <c r="H267" t="s">
        <v>942</v>
      </c>
      <c r="I267" s="4">
        <v>1629</v>
      </c>
      <c r="J267" s="4">
        <v>511</v>
      </c>
      <c r="K267" s="4">
        <v>1961</v>
      </c>
      <c r="L267" s="4">
        <v>4955</v>
      </c>
      <c r="M267" s="4">
        <f>Table1[[#This Row],[Visit Cost]]+Table1[[#This Row],[Lab Cost]]+Table1[[#This Row],[Medicine Cost]]+Table1[[#This Row],[Room Charges]]</f>
        <v>9056</v>
      </c>
      <c r="N267" s="5">
        <v>46064</v>
      </c>
      <c r="O267">
        <f>Table1[[#This Row],[Discharge Date]]-Table1[[#This Row],[Visit Date]]</f>
        <v>59</v>
      </c>
      <c r="P267" t="s">
        <v>949</v>
      </c>
      <c r="Q267" s="4">
        <v>0</v>
      </c>
      <c r="R267" s="4">
        <f>Table1[[#This Row],[Total Revenue]]-Table1[[#This Row],[Insurance Claim Amount]]</f>
        <v>9056</v>
      </c>
      <c r="S267">
        <v>2</v>
      </c>
      <c r="T267" t="str">
        <f t="shared" si="8"/>
        <v>Dec</v>
      </c>
      <c r="U267">
        <f t="shared" si="9"/>
        <v>2025</v>
      </c>
    </row>
    <row r="268" spans="1:21" x14ac:dyDescent="0.3">
      <c r="A268" t="s">
        <v>516</v>
      </c>
      <c r="B268" t="s">
        <v>517</v>
      </c>
      <c r="C268" t="s">
        <v>38</v>
      </c>
      <c r="D268" t="s">
        <v>926</v>
      </c>
      <c r="E268" t="s">
        <v>931</v>
      </c>
      <c r="F268">
        <v>45815</v>
      </c>
      <c r="G268" t="s">
        <v>936</v>
      </c>
      <c r="H268" t="s">
        <v>941</v>
      </c>
      <c r="I268" s="4">
        <v>1974</v>
      </c>
      <c r="J268" s="4">
        <v>780</v>
      </c>
      <c r="K268" s="4">
        <v>951</v>
      </c>
      <c r="L268" s="4">
        <v>2967</v>
      </c>
      <c r="M268" s="4">
        <f>Table1[[#This Row],[Visit Cost]]+Table1[[#This Row],[Lab Cost]]+Table1[[#This Row],[Medicine Cost]]+Table1[[#This Row],[Room Charges]]</f>
        <v>6672</v>
      </c>
      <c r="N268" s="5">
        <v>45876</v>
      </c>
      <c r="O268">
        <f>Table1[[#This Row],[Discharge Date]]-Table1[[#This Row],[Visit Date]]</f>
        <v>61</v>
      </c>
      <c r="P268" t="s">
        <v>948</v>
      </c>
      <c r="Q268" s="4">
        <v>5907</v>
      </c>
      <c r="R268" s="4">
        <f>Table1[[#This Row],[Total Revenue]]-Table1[[#This Row],[Insurance Claim Amount]]</f>
        <v>765</v>
      </c>
      <c r="S268">
        <v>1</v>
      </c>
      <c r="T268" t="str">
        <f t="shared" si="8"/>
        <v>Jun</v>
      </c>
      <c r="U268">
        <f t="shared" si="9"/>
        <v>2025</v>
      </c>
    </row>
    <row r="269" spans="1:21" x14ac:dyDescent="0.3">
      <c r="A269" t="s">
        <v>518</v>
      </c>
      <c r="B269" t="s">
        <v>519</v>
      </c>
      <c r="C269" t="s">
        <v>6</v>
      </c>
      <c r="D269" t="s">
        <v>252</v>
      </c>
      <c r="E269" t="s">
        <v>933</v>
      </c>
      <c r="F269">
        <v>45692</v>
      </c>
      <c r="G269" t="s">
        <v>937</v>
      </c>
      <c r="H269" t="s">
        <v>944</v>
      </c>
      <c r="I269" s="4">
        <v>636</v>
      </c>
      <c r="J269" s="4">
        <v>4081</v>
      </c>
      <c r="K269" s="4">
        <v>2726</v>
      </c>
      <c r="L269" s="4">
        <v>4423</v>
      </c>
      <c r="M269" s="4">
        <f>Table1[[#This Row],[Visit Cost]]+Table1[[#This Row],[Lab Cost]]+Table1[[#This Row],[Medicine Cost]]+Table1[[#This Row],[Room Charges]]</f>
        <v>11866</v>
      </c>
      <c r="N269" s="5">
        <v>45759</v>
      </c>
      <c r="O269">
        <f>Table1[[#This Row],[Discharge Date]]-Table1[[#This Row],[Visit Date]]</f>
        <v>67</v>
      </c>
      <c r="P269" t="s">
        <v>948</v>
      </c>
      <c r="Q269" s="4">
        <v>11842</v>
      </c>
      <c r="R269" s="4">
        <f>Table1[[#This Row],[Total Revenue]]-Table1[[#This Row],[Insurance Claim Amount]]</f>
        <v>24</v>
      </c>
      <c r="S269">
        <v>4</v>
      </c>
      <c r="T269" t="str">
        <f t="shared" si="8"/>
        <v>Feb</v>
      </c>
      <c r="U269">
        <f t="shared" si="9"/>
        <v>2025</v>
      </c>
    </row>
    <row r="270" spans="1:21" x14ac:dyDescent="0.3">
      <c r="A270" t="s">
        <v>520</v>
      </c>
      <c r="B270" t="s">
        <v>521</v>
      </c>
      <c r="C270" t="s">
        <v>6</v>
      </c>
      <c r="D270" t="s">
        <v>85</v>
      </c>
      <c r="E270" t="s">
        <v>932</v>
      </c>
      <c r="F270">
        <v>45735</v>
      </c>
      <c r="G270" t="s">
        <v>935</v>
      </c>
      <c r="H270" t="s">
        <v>940</v>
      </c>
      <c r="I270" s="4">
        <v>2110</v>
      </c>
      <c r="J270" s="4">
        <v>3531</v>
      </c>
      <c r="K270" s="4">
        <v>2930</v>
      </c>
      <c r="L270" s="4">
        <v>2741</v>
      </c>
      <c r="M270" s="4">
        <f>Table1[[#This Row],[Visit Cost]]+Table1[[#This Row],[Lab Cost]]+Table1[[#This Row],[Medicine Cost]]+Table1[[#This Row],[Room Charges]]</f>
        <v>11312</v>
      </c>
      <c r="N270" s="5">
        <v>45793</v>
      </c>
      <c r="O270">
        <f>Table1[[#This Row],[Discharge Date]]-Table1[[#This Row],[Visit Date]]</f>
        <v>58</v>
      </c>
      <c r="P270" t="s">
        <v>948</v>
      </c>
      <c r="Q270" s="4">
        <v>7559</v>
      </c>
      <c r="R270" s="4">
        <f>Table1[[#This Row],[Total Revenue]]-Table1[[#This Row],[Insurance Claim Amount]]</f>
        <v>3753</v>
      </c>
      <c r="S270">
        <v>3</v>
      </c>
      <c r="T270" t="str">
        <f t="shared" si="8"/>
        <v>Mar</v>
      </c>
      <c r="U270">
        <f t="shared" si="9"/>
        <v>2025</v>
      </c>
    </row>
    <row r="271" spans="1:21" x14ac:dyDescent="0.3">
      <c r="A271" t="s">
        <v>522</v>
      </c>
      <c r="B271" t="s">
        <v>523</v>
      </c>
      <c r="C271" t="s">
        <v>38</v>
      </c>
      <c r="D271" t="s">
        <v>926</v>
      </c>
      <c r="E271" t="s">
        <v>929</v>
      </c>
      <c r="F271">
        <v>45659</v>
      </c>
      <c r="G271" t="s">
        <v>936</v>
      </c>
      <c r="H271" t="s">
        <v>942</v>
      </c>
      <c r="I271" s="4">
        <v>1113</v>
      </c>
      <c r="J271" s="4">
        <v>4383</v>
      </c>
      <c r="K271" s="4">
        <v>2383</v>
      </c>
      <c r="L271" s="4">
        <v>8402</v>
      </c>
      <c r="M271" s="4">
        <f>Table1[[#This Row],[Visit Cost]]+Table1[[#This Row],[Lab Cost]]+Table1[[#This Row],[Medicine Cost]]+Table1[[#This Row],[Room Charges]]</f>
        <v>16281</v>
      </c>
      <c r="N271" s="5">
        <v>45692</v>
      </c>
      <c r="O271">
        <f>Table1[[#This Row],[Discharge Date]]-Table1[[#This Row],[Visit Date]]</f>
        <v>33</v>
      </c>
      <c r="P271" t="s">
        <v>948</v>
      </c>
      <c r="Q271" s="4">
        <v>3411</v>
      </c>
      <c r="R271" s="4">
        <f>Table1[[#This Row],[Total Revenue]]-Table1[[#This Row],[Insurance Claim Amount]]</f>
        <v>12870</v>
      </c>
      <c r="S271">
        <v>2</v>
      </c>
      <c r="T271" t="str">
        <f t="shared" si="8"/>
        <v>Jan</v>
      </c>
      <c r="U271">
        <f t="shared" si="9"/>
        <v>2025</v>
      </c>
    </row>
    <row r="272" spans="1:21" x14ac:dyDescent="0.3">
      <c r="A272" t="s">
        <v>524</v>
      </c>
      <c r="B272" t="s">
        <v>525</v>
      </c>
      <c r="C272" t="s">
        <v>16</v>
      </c>
      <c r="D272" t="s">
        <v>925</v>
      </c>
      <c r="E272" t="s">
        <v>932</v>
      </c>
      <c r="F272">
        <v>45714</v>
      </c>
      <c r="G272" t="s">
        <v>938</v>
      </c>
      <c r="H272" t="s">
        <v>940</v>
      </c>
      <c r="I272" s="4">
        <v>605</v>
      </c>
      <c r="J272" s="4">
        <v>4994</v>
      </c>
      <c r="K272" s="4">
        <v>2560</v>
      </c>
      <c r="L272" s="4">
        <v>7262</v>
      </c>
      <c r="M272" s="4">
        <f>Table1[[#This Row],[Visit Cost]]+Table1[[#This Row],[Lab Cost]]+Table1[[#This Row],[Medicine Cost]]+Table1[[#This Row],[Room Charges]]</f>
        <v>15421</v>
      </c>
      <c r="N272" s="5">
        <v>45781</v>
      </c>
      <c r="O272">
        <f>Table1[[#This Row],[Discharge Date]]-Table1[[#This Row],[Visit Date]]</f>
        <v>67</v>
      </c>
      <c r="P272" t="s">
        <v>949</v>
      </c>
      <c r="Q272" s="4">
        <v>0</v>
      </c>
      <c r="R272" s="4">
        <f>Table1[[#This Row],[Total Revenue]]-Table1[[#This Row],[Insurance Claim Amount]]</f>
        <v>15421</v>
      </c>
      <c r="S272">
        <v>5</v>
      </c>
      <c r="T272" t="str">
        <f t="shared" si="8"/>
        <v>Feb</v>
      </c>
      <c r="U272">
        <f t="shared" si="9"/>
        <v>2025</v>
      </c>
    </row>
    <row r="273" spans="1:21" x14ac:dyDescent="0.3">
      <c r="A273" t="s">
        <v>526</v>
      </c>
      <c r="B273" t="s">
        <v>71</v>
      </c>
      <c r="C273" t="s">
        <v>6</v>
      </c>
      <c r="D273" t="s">
        <v>927</v>
      </c>
      <c r="E273" t="s">
        <v>933</v>
      </c>
      <c r="F273">
        <v>45946</v>
      </c>
      <c r="G273" t="s">
        <v>937</v>
      </c>
      <c r="H273" t="s">
        <v>940</v>
      </c>
      <c r="I273" s="4">
        <v>1000</v>
      </c>
      <c r="J273" s="4">
        <v>850</v>
      </c>
      <c r="K273" s="4">
        <v>2940</v>
      </c>
      <c r="L273" s="4">
        <v>8690</v>
      </c>
      <c r="M273" s="4">
        <f>Table1[[#This Row],[Visit Cost]]+Table1[[#This Row],[Lab Cost]]+Table1[[#This Row],[Medicine Cost]]+Table1[[#This Row],[Room Charges]]</f>
        <v>13480</v>
      </c>
      <c r="N273" s="5">
        <v>45992</v>
      </c>
      <c r="O273">
        <f>Table1[[#This Row],[Discharge Date]]-Table1[[#This Row],[Visit Date]]</f>
        <v>46</v>
      </c>
      <c r="P273" t="s">
        <v>949</v>
      </c>
      <c r="Q273" s="4">
        <v>0</v>
      </c>
      <c r="R273" s="4">
        <f>Table1[[#This Row],[Total Revenue]]-Table1[[#This Row],[Insurance Claim Amount]]</f>
        <v>13480</v>
      </c>
      <c r="S273">
        <v>3</v>
      </c>
      <c r="T273" t="str">
        <f t="shared" si="8"/>
        <v>Oct</v>
      </c>
      <c r="U273">
        <f t="shared" si="9"/>
        <v>2025</v>
      </c>
    </row>
    <row r="274" spans="1:21" x14ac:dyDescent="0.3">
      <c r="A274" t="s">
        <v>527</v>
      </c>
      <c r="B274" t="s">
        <v>528</v>
      </c>
      <c r="C274" t="s">
        <v>6</v>
      </c>
      <c r="D274" t="s">
        <v>80</v>
      </c>
      <c r="E274" t="s">
        <v>929</v>
      </c>
      <c r="F274">
        <v>45688</v>
      </c>
      <c r="G274" t="s">
        <v>936</v>
      </c>
      <c r="H274" t="s">
        <v>944</v>
      </c>
      <c r="I274" s="4">
        <v>1618</v>
      </c>
      <c r="J274" s="4">
        <v>2981</v>
      </c>
      <c r="K274" s="4">
        <v>2090</v>
      </c>
      <c r="L274" s="4">
        <v>6176</v>
      </c>
      <c r="M274" s="4">
        <f>Table1[[#This Row],[Visit Cost]]+Table1[[#This Row],[Lab Cost]]+Table1[[#This Row],[Medicine Cost]]+Table1[[#This Row],[Room Charges]]</f>
        <v>12865</v>
      </c>
      <c r="N274" s="5">
        <v>45748</v>
      </c>
      <c r="O274">
        <f>Table1[[#This Row],[Discharge Date]]-Table1[[#This Row],[Visit Date]]</f>
        <v>60</v>
      </c>
      <c r="P274" t="s">
        <v>948</v>
      </c>
      <c r="Q274" s="4">
        <v>8057</v>
      </c>
      <c r="R274" s="4">
        <f>Table1[[#This Row],[Total Revenue]]-Table1[[#This Row],[Insurance Claim Amount]]</f>
        <v>4808</v>
      </c>
      <c r="S274">
        <v>5</v>
      </c>
      <c r="T274" t="str">
        <f t="shared" si="8"/>
        <v>Jan</v>
      </c>
      <c r="U274">
        <f t="shared" si="9"/>
        <v>2025</v>
      </c>
    </row>
    <row r="275" spans="1:21" x14ac:dyDescent="0.3">
      <c r="A275" t="s">
        <v>529</v>
      </c>
      <c r="B275" t="s">
        <v>158</v>
      </c>
      <c r="C275" t="s">
        <v>29</v>
      </c>
      <c r="D275" t="s">
        <v>926</v>
      </c>
      <c r="E275" t="s">
        <v>930</v>
      </c>
      <c r="F275">
        <v>45871</v>
      </c>
      <c r="G275" t="s">
        <v>935</v>
      </c>
      <c r="H275" t="s">
        <v>945</v>
      </c>
      <c r="I275" s="4">
        <v>1411</v>
      </c>
      <c r="J275" s="4">
        <v>977</v>
      </c>
      <c r="K275" s="4">
        <v>1695</v>
      </c>
      <c r="L275" s="4">
        <v>3000</v>
      </c>
      <c r="M275" s="4">
        <f>Table1[[#This Row],[Visit Cost]]+Table1[[#This Row],[Lab Cost]]+Table1[[#This Row],[Medicine Cost]]+Table1[[#This Row],[Room Charges]]</f>
        <v>7083</v>
      </c>
      <c r="N275" s="5">
        <v>45887</v>
      </c>
      <c r="O275">
        <f>Table1[[#This Row],[Discharge Date]]-Table1[[#This Row],[Visit Date]]</f>
        <v>16</v>
      </c>
      <c r="P275" t="s">
        <v>949</v>
      </c>
      <c r="Q275" s="4">
        <v>0</v>
      </c>
      <c r="R275" s="4">
        <f>Table1[[#This Row],[Total Revenue]]-Table1[[#This Row],[Insurance Claim Amount]]</f>
        <v>7083</v>
      </c>
      <c r="S275">
        <v>2</v>
      </c>
      <c r="T275" t="str">
        <f t="shared" si="8"/>
        <v>Aug</v>
      </c>
      <c r="U275">
        <f t="shared" si="9"/>
        <v>2025</v>
      </c>
    </row>
    <row r="276" spans="1:21" x14ac:dyDescent="0.3">
      <c r="A276" t="s">
        <v>530</v>
      </c>
      <c r="B276" t="s">
        <v>10</v>
      </c>
      <c r="C276" t="s">
        <v>47</v>
      </c>
      <c r="D276" t="s">
        <v>252</v>
      </c>
      <c r="E276" t="s">
        <v>931</v>
      </c>
      <c r="F276">
        <v>45896</v>
      </c>
      <c r="G276" t="s">
        <v>936</v>
      </c>
      <c r="H276" t="s">
        <v>940</v>
      </c>
      <c r="I276" s="4">
        <v>1667</v>
      </c>
      <c r="J276" s="4">
        <v>3291</v>
      </c>
      <c r="K276" s="4">
        <v>2108</v>
      </c>
      <c r="L276" s="4">
        <v>1600</v>
      </c>
      <c r="M276" s="4">
        <f>Table1[[#This Row],[Visit Cost]]+Table1[[#This Row],[Lab Cost]]+Table1[[#This Row],[Medicine Cost]]+Table1[[#This Row],[Room Charges]]</f>
        <v>8666</v>
      </c>
      <c r="N276" s="5">
        <v>45916</v>
      </c>
      <c r="O276">
        <f>Table1[[#This Row],[Discharge Date]]-Table1[[#This Row],[Visit Date]]</f>
        <v>20</v>
      </c>
      <c r="P276" t="s">
        <v>948</v>
      </c>
      <c r="Q276" s="4">
        <v>3888</v>
      </c>
      <c r="R276" s="4">
        <f>Table1[[#This Row],[Total Revenue]]-Table1[[#This Row],[Insurance Claim Amount]]</f>
        <v>4778</v>
      </c>
      <c r="S276">
        <v>4</v>
      </c>
      <c r="T276" t="str">
        <f t="shared" si="8"/>
        <v>Aug</v>
      </c>
      <c r="U276">
        <f t="shared" si="9"/>
        <v>2025</v>
      </c>
    </row>
    <row r="277" spans="1:21" x14ac:dyDescent="0.3">
      <c r="A277" t="s">
        <v>531</v>
      </c>
      <c r="B277" t="s">
        <v>532</v>
      </c>
      <c r="C277" t="s">
        <v>16</v>
      </c>
      <c r="D277" t="s">
        <v>924</v>
      </c>
      <c r="E277" t="s">
        <v>931</v>
      </c>
      <c r="F277">
        <v>45708</v>
      </c>
      <c r="G277" t="s">
        <v>938</v>
      </c>
      <c r="H277" t="s">
        <v>940</v>
      </c>
      <c r="I277" s="4">
        <v>2315</v>
      </c>
      <c r="J277" s="4">
        <v>2493</v>
      </c>
      <c r="K277" s="4">
        <v>1845</v>
      </c>
      <c r="L277" s="4">
        <v>1650</v>
      </c>
      <c r="M277" s="4">
        <f>Table1[[#This Row],[Visit Cost]]+Table1[[#This Row],[Lab Cost]]+Table1[[#This Row],[Medicine Cost]]+Table1[[#This Row],[Room Charges]]</f>
        <v>8303</v>
      </c>
      <c r="N277" s="5">
        <v>45719</v>
      </c>
      <c r="O277">
        <f>Table1[[#This Row],[Discharge Date]]-Table1[[#This Row],[Visit Date]]</f>
        <v>11</v>
      </c>
      <c r="P277" t="s">
        <v>948</v>
      </c>
      <c r="Q277" s="4">
        <v>3000</v>
      </c>
      <c r="R277" s="4">
        <f>Table1[[#This Row],[Total Revenue]]-Table1[[#This Row],[Insurance Claim Amount]]</f>
        <v>5303</v>
      </c>
      <c r="S277">
        <v>2</v>
      </c>
      <c r="T277" t="str">
        <f t="shared" si="8"/>
        <v>Feb</v>
      </c>
      <c r="U277">
        <f t="shared" si="9"/>
        <v>2025</v>
      </c>
    </row>
    <row r="278" spans="1:21" x14ac:dyDescent="0.3">
      <c r="A278" t="s">
        <v>533</v>
      </c>
      <c r="B278" t="s">
        <v>534</v>
      </c>
      <c r="C278" t="s">
        <v>16</v>
      </c>
      <c r="D278" t="s">
        <v>927</v>
      </c>
      <c r="E278" t="s">
        <v>930</v>
      </c>
      <c r="F278">
        <v>45932</v>
      </c>
      <c r="G278" t="s">
        <v>937</v>
      </c>
      <c r="H278" t="s">
        <v>940</v>
      </c>
      <c r="I278" s="4">
        <v>1903</v>
      </c>
      <c r="J278" s="4">
        <v>4284</v>
      </c>
      <c r="K278" s="4">
        <v>2365</v>
      </c>
      <c r="L278" s="4">
        <v>8346</v>
      </c>
      <c r="M278" s="4">
        <f>Table1[[#This Row],[Visit Cost]]+Table1[[#This Row],[Lab Cost]]+Table1[[#This Row],[Medicine Cost]]+Table1[[#This Row],[Room Charges]]</f>
        <v>16898</v>
      </c>
      <c r="N278" s="5">
        <v>45994</v>
      </c>
      <c r="O278">
        <f>Table1[[#This Row],[Discharge Date]]-Table1[[#This Row],[Visit Date]]</f>
        <v>62</v>
      </c>
      <c r="P278" t="s">
        <v>948</v>
      </c>
      <c r="Q278" s="4">
        <v>11651</v>
      </c>
      <c r="R278" s="4">
        <f>Table1[[#This Row],[Total Revenue]]-Table1[[#This Row],[Insurance Claim Amount]]</f>
        <v>5247</v>
      </c>
      <c r="S278">
        <v>2</v>
      </c>
      <c r="T278" t="str">
        <f t="shared" si="8"/>
        <v>Oct</v>
      </c>
      <c r="U278">
        <f t="shared" si="9"/>
        <v>2025</v>
      </c>
    </row>
    <row r="279" spans="1:21" x14ac:dyDescent="0.3">
      <c r="A279" t="s">
        <v>535</v>
      </c>
      <c r="B279" t="s">
        <v>536</v>
      </c>
      <c r="C279" t="s">
        <v>6</v>
      </c>
      <c r="D279" t="s">
        <v>85</v>
      </c>
      <c r="E279" t="s">
        <v>932</v>
      </c>
      <c r="F279">
        <v>45675</v>
      </c>
      <c r="G279" t="s">
        <v>936</v>
      </c>
      <c r="H279" t="s">
        <v>941</v>
      </c>
      <c r="I279" s="4">
        <v>1830</v>
      </c>
      <c r="J279" s="4">
        <v>2722</v>
      </c>
      <c r="K279" s="4">
        <v>1022</v>
      </c>
      <c r="L279" s="4">
        <v>2209</v>
      </c>
      <c r="M279" s="4">
        <f>Table1[[#This Row],[Visit Cost]]+Table1[[#This Row],[Lab Cost]]+Table1[[#This Row],[Medicine Cost]]+Table1[[#This Row],[Room Charges]]</f>
        <v>7783</v>
      </c>
      <c r="N279" s="5">
        <v>45791</v>
      </c>
      <c r="O279">
        <f>Table1[[#This Row],[Discharge Date]]-Table1[[#This Row],[Visit Date]]</f>
        <v>116</v>
      </c>
      <c r="P279" t="s">
        <v>948</v>
      </c>
      <c r="Q279" s="4">
        <v>3771</v>
      </c>
      <c r="R279" s="4">
        <f>Table1[[#This Row],[Total Revenue]]-Table1[[#This Row],[Insurance Claim Amount]]</f>
        <v>4012</v>
      </c>
      <c r="S279">
        <v>1</v>
      </c>
      <c r="T279" t="str">
        <f t="shared" si="8"/>
        <v>Jan</v>
      </c>
      <c r="U279">
        <f t="shared" si="9"/>
        <v>2025</v>
      </c>
    </row>
    <row r="280" spans="1:21" x14ac:dyDescent="0.3">
      <c r="A280" t="s">
        <v>537</v>
      </c>
      <c r="B280" t="s">
        <v>538</v>
      </c>
      <c r="C280" t="s">
        <v>16</v>
      </c>
      <c r="D280" t="s">
        <v>926</v>
      </c>
      <c r="E280" t="s">
        <v>933</v>
      </c>
      <c r="F280">
        <v>46018</v>
      </c>
      <c r="G280" t="s">
        <v>935</v>
      </c>
      <c r="H280" t="s">
        <v>945</v>
      </c>
      <c r="I280" s="4">
        <v>970</v>
      </c>
      <c r="J280" s="4">
        <v>4304</v>
      </c>
      <c r="K280" s="4">
        <v>1758</v>
      </c>
      <c r="L280" s="4">
        <v>6651</v>
      </c>
      <c r="M280" s="4">
        <f>Table1[[#This Row],[Visit Cost]]+Table1[[#This Row],[Lab Cost]]+Table1[[#This Row],[Medicine Cost]]+Table1[[#This Row],[Room Charges]]</f>
        <v>13683</v>
      </c>
      <c r="N280" s="5">
        <v>46112</v>
      </c>
      <c r="O280">
        <f>Table1[[#This Row],[Discharge Date]]-Table1[[#This Row],[Visit Date]]</f>
        <v>94</v>
      </c>
      <c r="P280" t="s">
        <v>949</v>
      </c>
      <c r="Q280" s="4">
        <v>0</v>
      </c>
      <c r="R280" s="4">
        <f>Table1[[#This Row],[Total Revenue]]-Table1[[#This Row],[Insurance Claim Amount]]</f>
        <v>13683</v>
      </c>
      <c r="S280">
        <v>3</v>
      </c>
      <c r="T280" t="str">
        <f t="shared" si="8"/>
        <v>Dec</v>
      </c>
      <c r="U280">
        <f t="shared" si="9"/>
        <v>2025</v>
      </c>
    </row>
    <row r="281" spans="1:21" x14ac:dyDescent="0.3">
      <c r="A281" t="s">
        <v>539</v>
      </c>
      <c r="B281" t="s">
        <v>540</v>
      </c>
      <c r="C281" t="s">
        <v>38</v>
      </c>
      <c r="D281" t="s">
        <v>164</v>
      </c>
      <c r="E281" t="s">
        <v>929</v>
      </c>
      <c r="F281">
        <v>45987</v>
      </c>
      <c r="G281" t="s">
        <v>938</v>
      </c>
      <c r="H281" t="s">
        <v>945</v>
      </c>
      <c r="I281" s="4">
        <v>1374</v>
      </c>
      <c r="J281" s="4">
        <v>3305</v>
      </c>
      <c r="K281" s="4">
        <v>1497</v>
      </c>
      <c r="L281" s="4">
        <v>9257</v>
      </c>
      <c r="M281" s="4">
        <f>Table1[[#This Row],[Visit Cost]]+Table1[[#This Row],[Lab Cost]]+Table1[[#This Row],[Medicine Cost]]+Table1[[#This Row],[Room Charges]]</f>
        <v>15433</v>
      </c>
      <c r="N281" s="5">
        <v>46040</v>
      </c>
      <c r="O281">
        <f>Table1[[#This Row],[Discharge Date]]-Table1[[#This Row],[Visit Date]]</f>
        <v>53</v>
      </c>
      <c r="P281" t="s">
        <v>949</v>
      </c>
      <c r="Q281" s="4">
        <v>0</v>
      </c>
      <c r="R281" s="4">
        <f>Table1[[#This Row],[Total Revenue]]-Table1[[#This Row],[Insurance Claim Amount]]</f>
        <v>15433</v>
      </c>
      <c r="S281">
        <v>3</v>
      </c>
      <c r="T281" t="str">
        <f t="shared" si="8"/>
        <v>Nov</v>
      </c>
      <c r="U281">
        <f t="shared" si="9"/>
        <v>2025</v>
      </c>
    </row>
    <row r="282" spans="1:21" x14ac:dyDescent="0.3">
      <c r="A282" t="s">
        <v>541</v>
      </c>
      <c r="B282" t="s">
        <v>542</v>
      </c>
      <c r="C282" t="s">
        <v>6</v>
      </c>
      <c r="D282" t="s">
        <v>80</v>
      </c>
      <c r="E282" t="s">
        <v>933</v>
      </c>
      <c r="F282">
        <v>45691</v>
      </c>
      <c r="G282" t="s">
        <v>936</v>
      </c>
      <c r="H282" t="s">
        <v>941</v>
      </c>
      <c r="I282" s="4">
        <v>615</v>
      </c>
      <c r="J282" s="4">
        <v>1183</v>
      </c>
      <c r="K282" s="4">
        <v>2582</v>
      </c>
      <c r="L282" s="4">
        <v>1339</v>
      </c>
      <c r="M282" s="4">
        <f>Table1[[#This Row],[Visit Cost]]+Table1[[#This Row],[Lab Cost]]+Table1[[#This Row],[Medicine Cost]]+Table1[[#This Row],[Room Charges]]</f>
        <v>5719</v>
      </c>
      <c r="N282" s="5">
        <v>45832</v>
      </c>
      <c r="O282">
        <f>Table1[[#This Row],[Discharge Date]]-Table1[[#This Row],[Visit Date]]</f>
        <v>141</v>
      </c>
      <c r="P282" t="s">
        <v>949</v>
      </c>
      <c r="Q282" s="4">
        <v>0</v>
      </c>
      <c r="R282" s="4">
        <f>Table1[[#This Row],[Total Revenue]]-Table1[[#This Row],[Insurance Claim Amount]]</f>
        <v>5719</v>
      </c>
      <c r="S282">
        <v>4</v>
      </c>
      <c r="T282" t="str">
        <f t="shared" si="8"/>
        <v>Feb</v>
      </c>
      <c r="U282">
        <f t="shared" si="9"/>
        <v>2025</v>
      </c>
    </row>
    <row r="283" spans="1:21" x14ac:dyDescent="0.3">
      <c r="A283" t="s">
        <v>543</v>
      </c>
      <c r="B283" t="s">
        <v>544</v>
      </c>
      <c r="C283" t="s">
        <v>38</v>
      </c>
      <c r="D283" t="s">
        <v>924</v>
      </c>
      <c r="E283" t="s">
        <v>929</v>
      </c>
      <c r="F283">
        <v>45831</v>
      </c>
      <c r="G283" t="s">
        <v>937</v>
      </c>
      <c r="H283" t="s">
        <v>943</v>
      </c>
      <c r="I283" s="4">
        <v>1447</v>
      </c>
      <c r="J283" s="4">
        <v>3223</v>
      </c>
      <c r="K283" s="4">
        <v>2588</v>
      </c>
      <c r="L283" s="4">
        <v>5990</v>
      </c>
      <c r="M283" s="4">
        <f>Table1[[#This Row],[Visit Cost]]+Table1[[#This Row],[Lab Cost]]+Table1[[#This Row],[Medicine Cost]]+Table1[[#This Row],[Room Charges]]</f>
        <v>13248</v>
      </c>
      <c r="N283" s="5">
        <v>45872</v>
      </c>
      <c r="O283">
        <f>Table1[[#This Row],[Discharge Date]]-Table1[[#This Row],[Visit Date]]</f>
        <v>41</v>
      </c>
      <c r="P283" t="s">
        <v>948</v>
      </c>
      <c r="Q283" s="4">
        <v>13068</v>
      </c>
      <c r="R283" s="4">
        <f>Table1[[#This Row],[Total Revenue]]-Table1[[#This Row],[Insurance Claim Amount]]</f>
        <v>180</v>
      </c>
      <c r="S283">
        <v>2</v>
      </c>
      <c r="T283" t="str">
        <f t="shared" si="8"/>
        <v>Jun</v>
      </c>
      <c r="U283">
        <f t="shared" si="9"/>
        <v>2025</v>
      </c>
    </row>
    <row r="284" spans="1:21" x14ac:dyDescent="0.3">
      <c r="A284" t="s">
        <v>545</v>
      </c>
      <c r="B284" t="s">
        <v>71</v>
      </c>
      <c r="C284" t="s">
        <v>6</v>
      </c>
      <c r="D284" t="s">
        <v>80</v>
      </c>
      <c r="E284" t="s">
        <v>930</v>
      </c>
      <c r="F284">
        <v>45949</v>
      </c>
      <c r="G284" t="s">
        <v>935</v>
      </c>
      <c r="H284" t="s">
        <v>944</v>
      </c>
      <c r="I284" s="4">
        <v>659</v>
      </c>
      <c r="J284" s="4">
        <v>3811</v>
      </c>
      <c r="K284" s="4">
        <v>2289</v>
      </c>
      <c r="L284" s="4">
        <v>9543</v>
      </c>
      <c r="M284" s="4">
        <f>Table1[[#This Row],[Visit Cost]]+Table1[[#This Row],[Lab Cost]]+Table1[[#This Row],[Medicine Cost]]+Table1[[#This Row],[Room Charges]]</f>
        <v>16302</v>
      </c>
      <c r="N284" s="5">
        <v>46027</v>
      </c>
      <c r="O284">
        <f>Table1[[#This Row],[Discharge Date]]-Table1[[#This Row],[Visit Date]]</f>
        <v>78</v>
      </c>
      <c r="P284" t="s">
        <v>949</v>
      </c>
      <c r="Q284" s="4">
        <v>0</v>
      </c>
      <c r="R284" s="4">
        <f>Table1[[#This Row],[Total Revenue]]-Table1[[#This Row],[Insurance Claim Amount]]</f>
        <v>16302</v>
      </c>
      <c r="S284">
        <v>3</v>
      </c>
      <c r="T284" t="str">
        <f t="shared" si="8"/>
        <v>Oct</v>
      </c>
      <c r="U284">
        <f t="shared" si="9"/>
        <v>2025</v>
      </c>
    </row>
    <row r="285" spans="1:21" x14ac:dyDescent="0.3">
      <c r="A285" t="s">
        <v>546</v>
      </c>
      <c r="B285" t="s">
        <v>547</v>
      </c>
      <c r="C285" t="s">
        <v>47</v>
      </c>
      <c r="D285" t="s">
        <v>252</v>
      </c>
      <c r="E285" t="s">
        <v>931</v>
      </c>
      <c r="F285">
        <v>45872</v>
      </c>
      <c r="G285" t="s">
        <v>936</v>
      </c>
      <c r="H285" t="s">
        <v>941</v>
      </c>
      <c r="I285" s="4">
        <v>965</v>
      </c>
      <c r="J285" s="4">
        <v>4371</v>
      </c>
      <c r="K285" s="4">
        <v>2054</v>
      </c>
      <c r="L285" s="4">
        <v>3120</v>
      </c>
      <c r="M285" s="4">
        <f>Table1[[#This Row],[Visit Cost]]+Table1[[#This Row],[Lab Cost]]+Table1[[#This Row],[Medicine Cost]]+Table1[[#This Row],[Room Charges]]</f>
        <v>10510</v>
      </c>
      <c r="N285" s="5">
        <v>45960</v>
      </c>
      <c r="O285">
        <f>Table1[[#This Row],[Discharge Date]]-Table1[[#This Row],[Visit Date]]</f>
        <v>88</v>
      </c>
      <c r="P285" t="s">
        <v>948</v>
      </c>
      <c r="Q285" s="4">
        <v>7654</v>
      </c>
      <c r="R285" s="4">
        <f>Table1[[#This Row],[Total Revenue]]-Table1[[#This Row],[Insurance Claim Amount]]</f>
        <v>2856</v>
      </c>
      <c r="S285">
        <v>1</v>
      </c>
      <c r="T285" t="str">
        <f t="shared" si="8"/>
        <v>Aug</v>
      </c>
      <c r="U285">
        <f t="shared" si="9"/>
        <v>2025</v>
      </c>
    </row>
    <row r="286" spans="1:21" x14ac:dyDescent="0.3">
      <c r="A286" t="s">
        <v>548</v>
      </c>
      <c r="B286" t="s">
        <v>549</v>
      </c>
      <c r="C286" t="s">
        <v>38</v>
      </c>
      <c r="D286" t="s">
        <v>926</v>
      </c>
      <c r="E286" t="s">
        <v>932</v>
      </c>
      <c r="F286">
        <v>45916</v>
      </c>
      <c r="G286" t="s">
        <v>938</v>
      </c>
      <c r="H286" t="s">
        <v>940</v>
      </c>
      <c r="I286" s="4">
        <v>1600</v>
      </c>
      <c r="J286" s="4">
        <v>3888</v>
      </c>
      <c r="K286" s="4">
        <v>392</v>
      </c>
      <c r="L286" s="4">
        <v>5186</v>
      </c>
      <c r="M286" s="4">
        <f>Table1[[#This Row],[Visit Cost]]+Table1[[#This Row],[Lab Cost]]+Table1[[#This Row],[Medicine Cost]]+Table1[[#This Row],[Room Charges]]</f>
        <v>11066</v>
      </c>
      <c r="N286" s="5">
        <v>45961</v>
      </c>
      <c r="O286">
        <f>Table1[[#This Row],[Discharge Date]]-Table1[[#This Row],[Visit Date]]</f>
        <v>45</v>
      </c>
      <c r="P286" t="s">
        <v>949</v>
      </c>
      <c r="Q286" s="4">
        <v>0</v>
      </c>
      <c r="R286" s="4">
        <f>Table1[[#This Row],[Total Revenue]]-Table1[[#This Row],[Insurance Claim Amount]]</f>
        <v>11066</v>
      </c>
      <c r="S286">
        <v>4</v>
      </c>
      <c r="T286" t="str">
        <f t="shared" si="8"/>
        <v>Sep</v>
      </c>
      <c r="U286">
        <f t="shared" si="9"/>
        <v>2025</v>
      </c>
    </row>
    <row r="287" spans="1:21" x14ac:dyDescent="0.3">
      <c r="A287" t="s">
        <v>550</v>
      </c>
      <c r="B287" t="s">
        <v>551</v>
      </c>
      <c r="C287" t="s">
        <v>6</v>
      </c>
      <c r="D287" t="s">
        <v>80</v>
      </c>
      <c r="E287" t="s">
        <v>932</v>
      </c>
      <c r="F287">
        <v>45818</v>
      </c>
      <c r="G287" t="s">
        <v>937</v>
      </c>
      <c r="H287" t="s">
        <v>945</v>
      </c>
      <c r="I287" s="4">
        <v>1279</v>
      </c>
      <c r="J287" s="4">
        <v>1637</v>
      </c>
      <c r="K287" s="4">
        <v>1185</v>
      </c>
      <c r="L287" s="4">
        <v>4236</v>
      </c>
      <c r="M287" s="4">
        <f>Table1[[#This Row],[Visit Cost]]+Table1[[#This Row],[Lab Cost]]+Table1[[#This Row],[Medicine Cost]]+Table1[[#This Row],[Room Charges]]</f>
        <v>8337</v>
      </c>
      <c r="N287" s="5">
        <v>45885</v>
      </c>
      <c r="O287">
        <f>Table1[[#This Row],[Discharge Date]]-Table1[[#This Row],[Visit Date]]</f>
        <v>67</v>
      </c>
      <c r="P287" t="s">
        <v>948</v>
      </c>
      <c r="Q287" s="4">
        <v>3858</v>
      </c>
      <c r="R287" s="4">
        <f>Table1[[#This Row],[Total Revenue]]-Table1[[#This Row],[Insurance Claim Amount]]</f>
        <v>4479</v>
      </c>
      <c r="S287">
        <v>2</v>
      </c>
      <c r="T287" t="str">
        <f t="shared" si="8"/>
        <v>Jun</v>
      </c>
      <c r="U287">
        <f t="shared" si="9"/>
        <v>2025</v>
      </c>
    </row>
    <row r="288" spans="1:21" x14ac:dyDescent="0.3">
      <c r="A288" t="s">
        <v>552</v>
      </c>
      <c r="B288" t="s">
        <v>553</v>
      </c>
      <c r="C288" t="s">
        <v>47</v>
      </c>
      <c r="D288" t="s">
        <v>252</v>
      </c>
      <c r="E288" t="s">
        <v>931</v>
      </c>
      <c r="F288">
        <v>45889</v>
      </c>
      <c r="G288" t="s">
        <v>936</v>
      </c>
      <c r="H288" t="s">
        <v>941</v>
      </c>
      <c r="I288" s="4">
        <v>2373</v>
      </c>
      <c r="J288" s="4">
        <v>4378</v>
      </c>
      <c r="K288" s="4">
        <v>757</v>
      </c>
      <c r="L288" s="4">
        <v>6894</v>
      </c>
      <c r="M288" s="4">
        <f>Table1[[#This Row],[Visit Cost]]+Table1[[#This Row],[Lab Cost]]+Table1[[#This Row],[Medicine Cost]]+Table1[[#This Row],[Room Charges]]</f>
        <v>14402</v>
      </c>
      <c r="N288" s="5">
        <v>45974</v>
      </c>
      <c r="O288">
        <f>Table1[[#This Row],[Discharge Date]]-Table1[[#This Row],[Visit Date]]</f>
        <v>85</v>
      </c>
      <c r="P288" t="s">
        <v>948</v>
      </c>
      <c r="Q288" s="4">
        <v>5273</v>
      </c>
      <c r="R288" s="4">
        <f>Table1[[#This Row],[Total Revenue]]-Table1[[#This Row],[Insurance Claim Amount]]</f>
        <v>9129</v>
      </c>
      <c r="S288">
        <v>2</v>
      </c>
      <c r="T288" t="str">
        <f t="shared" si="8"/>
        <v>Aug</v>
      </c>
      <c r="U288">
        <f t="shared" si="9"/>
        <v>2025</v>
      </c>
    </row>
    <row r="289" spans="1:21" x14ac:dyDescent="0.3">
      <c r="A289" t="s">
        <v>554</v>
      </c>
      <c r="B289" t="s">
        <v>555</v>
      </c>
      <c r="C289" t="s">
        <v>16</v>
      </c>
      <c r="D289" t="s">
        <v>926</v>
      </c>
      <c r="E289" t="s">
        <v>933</v>
      </c>
      <c r="F289">
        <v>45815</v>
      </c>
      <c r="G289" t="s">
        <v>935</v>
      </c>
      <c r="H289" t="s">
        <v>944</v>
      </c>
      <c r="I289" s="4">
        <v>1523</v>
      </c>
      <c r="J289" s="4">
        <v>3153</v>
      </c>
      <c r="K289" s="4">
        <v>1925</v>
      </c>
      <c r="L289" s="4">
        <v>1700</v>
      </c>
      <c r="M289" s="4">
        <f>Table1[[#This Row],[Visit Cost]]+Table1[[#This Row],[Lab Cost]]+Table1[[#This Row],[Medicine Cost]]+Table1[[#This Row],[Room Charges]]</f>
        <v>8301</v>
      </c>
      <c r="N289" s="5">
        <v>45841</v>
      </c>
      <c r="O289">
        <f>Table1[[#This Row],[Discharge Date]]-Table1[[#This Row],[Visit Date]]</f>
        <v>26</v>
      </c>
      <c r="P289" t="s">
        <v>948</v>
      </c>
      <c r="Q289" s="4">
        <v>6899</v>
      </c>
      <c r="R289" s="4">
        <f>Table1[[#This Row],[Total Revenue]]-Table1[[#This Row],[Insurance Claim Amount]]</f>
        <v>1402</v>
      </c>
      <c r="S289">
        <v>4</v>
      </c>
      <c r="T289" t="str">
        <f t="shared" si="8"/>
        <v>Jun</v>
      </c>
      <c r="U289">
        <f t="shared" si="9"/>
        <v>2025</v>
      </c>
    </row>
    <row r="290" spans="1:21" x14ac:dyDescent="0.3">
      <c r="A290" t="s">
        <v>556</v>
      </c>
      <c r="B290" t="s">
        <v>557</v>
      </c>
      <c r="C290" t="s">
        <v>29</v>
      </c>
      <c r="D290" t="s">
        <v>926</v>
      </c>
      <c r="E290" t="s">
        <v>929</v>
      </c>
      <c r="F290">
        <v>46011</v>
      </c>
      <c r="G290" t="s">
        <v>936</v>
      </c>
      <c r="H290" t="s">
        <v>941</v>
      </c>
      <c r="I290" s="4">
        <v>2096</v>
      </c>
      <c r="J290" s="4">
        <v>4540</v>
      </c>
      <c r="K290" s="4">
        <v>1991</v>
      </c>
      <c r="L290" s="4">
        <v>4603</v>
      </c>
      <c r="M290" s="4">
        <f>Table1[[#This Row],[Visit Cost]]+Table1[[#This Row],[Lab Cost]]+Table1[[#This Row],[Medicine Cost]]+Table1[[#This Row],[Room Charges]]</f>
        <v>13230</v>
      </c>
      <c r="N290" s="5">
        <v>46092</v>
      </c>
      <c r="O290">
        <f>Table1[[#This Row],[Discharge Date]]-Table1[[#This Row],[Visit Date]]</f>
        <v>81</v>
      </c>
      <c r="P290" t="s">
        <v>948</v>
      </c>
      <c r="Q290" s="4">
        <v>4456</v>
      </c>
      <c r="R290" s="4">
        <f>Table1[[#This Row],[Total Revenue]]-Table1[[#This Row],[Insurance Claim Amount]]</f>
        <v>8774</v>
      </c>
      <c r="S290">
        <v>3</v>
      </c>
      <c r="T290" t="str">
        <f t="shared" si="8"/>
        <v>Dec</v>
      </c>
      <c r="U290">
        <f t="shared" si="9"/>
        <v>2025</v>
      </c>
    </row>
    <row r="291" spans="1:21" x14ac:dyDescent="0.3">
      <c r="A291" t="s">
        <v>558</v>
      </c>
      <c r="B291" t="s">
        <v>559</v>
      </c>
      <c r="C291" t="s">
        <v>16</v>
      </c>
      <c r="D291" t="s">
        <v>252</v>
      </c>
      <c r="E291" t="s">
        <v>930</v>
      </c>
      <c r="F291">
        <v>45869</v>
      </c>
      <c r="G291" t="s">
        <v>938</v>
      </c>
      <c r="H291" t="s">
        <v>941</v>
      </c>
      <c r="I291" s="4">
        <v>2386</v>
      </c>
      <c r="J291" s="4">
        <v>3816</v>
      </c>
      <c r="K291" s="4">
        <v>1399</v>
      </c>
      <c r="L291" s="4">
        <v>3460</v>
      </c>
      <c r="M291" s="4">
        <f>Table1[[#This Row],[Visit Cost]]+Table1[[#This Row],[Lab Cost]]+Table1[[#This Row],[Medicine Cost]]+Table1[[#This Row],[Room Charges]]</f>
        <v>11061</v>
      </c>
      <c r="N291" s="5">
        <v>45997</v>
      </c>
      <c r="O291">
        <f>Table1[[#This Row],[Discharge Date]]-Table1[[#This Row],[Visit Date]]</f>
        <v>128</v>
      </c>
      <c r="P291" t="s">
        <v>948</v>
      </c>
      <c r="Q291" s="4">
        <v>4818</v>
      </c>
      <c r="R291" s="4">
        <f>Table1[[#This Row],[Total Revenue]]-Table1[[#This Row],[Insurance Claim Amount]]</f>
        <v>6243</v>
      </c>
      <c r="S291">
        <v>5</v>
      </c>
      <c r="T291" t="str">
        <f t="shared" si="8"/>
        <v>Jul</v>
      </c>
      <c r="U291">
        <f t="shared" si="9"/>
        <v>2025</v>
      </c>
    </row>
    <row r="292" spans="1:21" x14ac:dyDescent="0.3">
      <c r="A292" t="s">
        <v>560</v>
      </c>
      <c r="B292" t="s">
        <v>561</v>
      </c>
      <c r="C292" t="s">
        <v>29</v>
      </c>
      <c r="D292" t="s">
        <v>924</v>
      </c>
      <c r="E292" t="s">
        <v>930</v>
      </c>
      <c r="F292">
        <v>45874</v>
      </c>
      <c r="G292" t="s">
        <v>937</v>
      </c>
      <c r="H292" t="s">
        <v>945</v>
      </c>
      <c r="I292" s="4">
        <v>2213</v>
      </c>
      <c r="J292" s="4">
        <v>3914</v>
      </c>
      <c r="K292" s="4">
        <v>1782</v>
      </c>
      <c r="L292" s="4">
        <v>9501</v>
      </c>
      <c r="M292" s="4">
        <f>Table1[[#This Row],[Visit Cost]]+Table1[[#This Row],[Lab Cost]]+Table1[[#This Row],[Medicine Cost]]+Table1[[#This Row],[Room Charges]]</f>
        <v>17410</v>
      </c>
      <c r="N292" s="5">
        <v>45949</v>
      </c>
      <c r="O292">
        <f>Table1[[#This Row],[Discharge Date]]-Table1[[#This Row],[Visit Date]]</f>
        <v>75</v>
      </c>
      <c r="P292" t="s">
        <v>949</v>
      </c>
      <c r="Q292" s="4">
        <v>0</v>
      </c>
      <c r="R292" s="4">
        <f>Table1[[#This Row],[Total Revenue]]-Table1[[#This Row],[Insurance Claim Amount]]</f>
        <v>17410</v>
      </c>
      <c r="S292">
        <v>3</v>
      </c>
      <c r="T292" t="str">
        <f t="shared" si="8"/>
        <v>Aug</v>
      </c>
      <c r="U292">
        <f t="shared" si="9"/>
        <v>2025</v>
      </c>
    </row>
    <row r="293" spans="1:21" x14ac:dyDescent="0.3">
      <c r="A293" t="s">
        <v>562</v>
      </c>
      <c r="B293" t="s">
        <v>563</v>
      </c>
      <c r="C293" t="s">
        <v>29</v>
      </c>
      <c r="D293" t="s">
        <v>926</v>
      </c>
      <c r="E293" t="s">
        <v>932</v>
      </c>
      <c r="F293">
        <v>45971</v>
      </c>
      <c r="G293" t="s">
        <v>936</v>
      </c>
      <c r="H293" t="s">
        <v>945</v>
      </c>
      <c r="I293" s="4">
        <v>1458</v>
      </c>
      <c r="J293" s="4">
        <v>3651</v>
      </c>
      <c r="K293" s="4">
        <v>700</v>
      </c>
      <c r="L293" s="4">
        <v>3677</v>
      </c>
      <c r="M293" s="4">
        <f>Table1[[#This Row],[Visit Cost]]+Table1[[#This Row],[Lab Cost]]+Table1[[#This Row],[Medicine Cost]]+Table1[[#This Row],[Room Charges]]</f>
        <v>9486</v>
      </c>
      <c r="N293" s="5">
        <v>46052</v>
      </c>
      <c r="O293">
        <f>Table1[[#This Row],[Discharge Date]]-Table1[[#This Row],[Visit Date]]</f>
        <v>81</v>
      </c>
      <c r="P293" t="s">
        <v>948</v>
      </c>
      <c r="Q293" s="4">
        <v>7551</v>
      </c>
      <c r="R293" s="4">
        <f>Table1[[#This Row],[Total Revenue]]-Table1[[#This Row],[Insurance Claim Amount]]</f>
        <v>1935</v>
      </c>
      <c r="S293">
        <v>4</v>
      </c>
      <c r="T293" t="str">
        <f t="shared" si="8"/>
        <v>Nov</v>
      </c>
      <c r="U293">
        <f t="shared" si="9"/>
        <v>2025</v>
      </c>
    </row>
    <row r="294" spans="1:21" x14ac:dyDescent="0.3">
      <c r="A294" t="s">
        <v>564</v>
      </c>
      <c r="B294" t="s">
        <v>565</v>
      </c>
      <c r="C294" t="s">
        <v>11</v>
      </c>
      <c r="D294" t="s">
        <v>924</v>
      </c>
      <c r="E294" t="s">
        <v>929</v>
      </c>
      <c r="F294">
        <v>45700</v>
      </c>
      <c r="G294" t="s">
        <v>935</v>
      </c>
      <c r="H294" t="s">
        <v>940</v>
      </c>
      <c r="I294" s="4">
        <v>999</v>
      </c>
      <c r="J294" s="4">
        <v>2884</v>
      </c>
      <c r="K294" s="4">
        <v>1724</v>
      </c>
      <c r="L294" s="4">
        <v>7548</v>
      </c>
      <c r="M294" s="4">
        <f>Table1[[#This Row],[Visit Cost]]+Table1[[#This Row],[Lab Cost]]+Table1[[#This Row],[Medicine Cost]]+Table1[[#This Row],[Room Charges]]</f>
        <v>13155</v>
      </c>
      <c r="N294" s="5">
        <v>45831</v>
      </c>
      <c r="O294">
        <f>Table1[[#This Row],[Discharge Date]]-Table1[[#This Row],[Visit Date]]</f>
        <v>131</v>
      </c>
      <c r="P294" t="s">
        <v>948</v>
      </c>
      <c r="Q294" s="4">
        <v>12596</v>
      </c>
      <c r="R294" s="4">
        <f>Table1[[#This Row],[Total Revenue]]-Table1[[#This Row],[Insurance Claim Amount]]</f>
        <v>559</v>
      </c>
      <c r="S294">
        <v>1</v>
      </c>
      <c r="T294" t="str">
        <f t="shared" si="8"/>
        <v>Feb</v>
      </c>
      <c r="U294">
        <f t="shared" si="9"/>
        <v>2025</v>
      </c>
    </row>
    <row r="295" spans="1:21" x14ac:dyDescent="0.3">
      <c r="A295" t="s">
        <v>566</v>
      </c>
      <c r="B295" t="s">
        <v>567</v>
      </c>
      <c r="C295" t="s">
        <v>38</v>
      </c>
      <c r="D295" t="s">
        <v>926</v>
      </c>
      <c r="E295" t="s">
        <v>933</v>
      </c>
      <c r="F295">
        <v>45853</v>
      </c>
      <c r="G295" t="s">
        <v>938</v>
      </c>
      <c r="H295" t="s">
        <v>940</v>
      </c>
      <c r="I295" s="4">
        <v>1011</v>
      </c>
      <c r="J295" s="4">
        <v>2099</v>
      </c>
      <c r="K295" s="4">
        <v>2400</v>
      </c>
      <c r="L295" s="4">
        <v>8159</v>
      </c>
      <c r="M295" s="4">
        <f>Table1[[#This Row],[Visit Cost]]+Table1[[#This Row],[Lab Cost]]+Table1[[#This Row],[Medicine Cost]]+Table1[[#This Row],[Room Charges]]</f>
        <v>13669</v>
      </c>
      <c r="N295" s="5">
        <v>45923</v>
      </c>
      <c r="O295">
        <f>Table1[[#This Row],[Discharge Date]]-Table1[[#This Row],[Visit Date]]</f>
        <v>70</v>
      </c>
      <c r="P295" t="s">
        <v>948</v>
      </c>
      <c r="Q295" s="4">
        <v>11968</v>
      </c>
      <c r="R295" s="4">
        <f>Table1[[#This Row],[Total Revenue]]-Table1[[#This Row],[Insurance Claim Amount]]</f>
        <v>1701</v>
      </c>
      <c r="S295">
        <v>4</v>
      </c>
      <c r="T295" t="str">
        <f t="shared" si="8"/>
        <v>Jul</v>
      </c>
      <c r="U295">
        <f t="shared" si="9"/>
        <v>2025</v>
      </c>
    </row>
    <row r="296" spans="1:21" x14ac:dyDescent="0.3">
      <c r="A296" t="s">
        <v>568</v>
      </c>
      <c r="B296" t="s">
        <v>144</v>
      </c>
      <c r="C296" t="s">
        <v>6</v>
      </c>
      <c r="D296" t="s">
        <v>85</v>
      </c>
      <c r="E296" t="s">
        <v>931</v>
      </c>
      <c r="F296">
        <v>45761</v>
      </c>
      <c r="G296" t="s">
        <v>936</v>
      </c>
      <c r="H296" t="s">
        <v>940</v>
      </c>
      <c r="I296" s="4">
        <v>1024</v>
      </c>
      <c r="J296" s="4">
        <v>800</v>
      </c>
      <c r="K296" s="4">
        <v>1255</v>
      </c>
      <c r="L296" s="4">
        <v>6800</v>
      </c>
      <c r="M296" s="4">
        <f>Table1[[#This Row],[Visit Cost]]+Table1[[#This Row],[Lab Cost]]+Table1[[#This Row],[Medicine Cost]]+Table1[[#This Row],[Room Charges]]</f>
        <v>9879</v>
      </c>
      <c r="N296" s="5">
        <v>45790</v>
      </c>
      <c r="O296">
        <f>Table1[[#This Row],[Discharge Date]]-Table1[[#This Row],[Visit Date]]</f>
        <v>29</v>
      </c>
      <c r="P296" t="s">
        <v>948</v>
      </c>
      <c r="Q296" s="4">
        <v>9831</v>
      </c>
      <c r="R296" s="4">
        <f>Table1[[#This Row],[Total Revenue]]-Table1[[#This Row],[Insurance Claim Amount]]</f>
        <v>48</v>
      </c>
      <c r="S296">
        <v>1</v>
      </c>
      <c r="T296" t="str">
        <f t="shared" si="8"/>
        <v>Apr</v>
      </c>
      <c r="U296">
        <f t="shared" si="9"/>
        <v>2025</v>
      </c>
    </row>
    <row r="297" spans="1:21" x14ac:dyDescent="0.3">
      <c r="A297" t="s">
        <v>569</v>
      </c>
      <c r="B297" t="s">
        <v>471</v>
      </c>
      <c r="C297" t="s">
        <v>11</v>
      </c>
      <c r="D297" t="s">
        <v>925</v>
      </c>
      <c r="E297" t="s">
        <v>933</v>
      </c>
      <c r="F297">
        <v>45799</v>
      </c>
      <c r="G297" t="s">
        <v>937</v>
      </c>
      <c r="H297" t="s">
        <v>943</v>
      </c>
      <c r="I297" s="4">
        <v>1410</v>
      </c>
      <c r="J297" s="4">
        <v>1511</v>
      </c>
      <c r="K297" s="4">
        <v>1584</v>
      </c>
      <c r="L297" s="4">
        <v>2893</v>
      </c>
      <c r="M297" s="4">
        <f>Table1[[#This Row],[Visit Cost]]+Table1[[#This Row],[Lab Cost]]+Table1[[#This Row],[Medicine Cost]]+Table1[[#This Row],[Room Charges]]</f>
        <v>7398</v>
      </c>
      <c r="N297" s="5">
        <v>45899</v>
      </c>
      <c r="O297">
        <f>Table1[[#This Row],[Discharge Date]]-Table1[[#This Row],[Visit Date]]</f>
        <v>100</v>
      </c>
      <c r="P297" t="s">
        <v>948</v>
      </c>
      <c r="Q297" s="4">
        <v>6212</v>
      </c>
      <c r="R297" s="4">
        <f>Table1[[#This Row],[Total Revenue]]-Table1[[#This Row],[Insurance Claim Amount]]</f>
        <v>1186</v>
      </c>
      <c r="S297">
        <v>1</v>
      </c>
      <c r="T297" t="str">
        <f t="shared" si="8"/>
        <v>May</v>
      </c>
      <c r="U297">
        <f t="shared" si="9"/>
        <v>2025</v>
      </c>
    </row>
    <row r="298" spans="1:21" x14ac:dyDescent="0.3">
      <c r="A298" t="s">
        <v>570</v>
      </c>
      <c r="B298" t="s">
        <v>571</v>
      </c>
      <c r="C298" t="s">
        <v>11</v>
      </c>
      <c r="D298" t="s">
        <v>164</v>
      </c>
      <c r="E298" t="s">
        <v>930</v>
      </c>
      <c r="F298">
        <v>45798</v>
      </c>
      <c r="G298" t="s">
        <v>935</v>
      </c>
      <c r="H298" t="s">
        <v>945</v>
      </c>
      <c r="I298" s="4">
        <v>1265</v>
      </c>
      <c r="J298" s="4">
        <v>4719</v>
      </c>
      <c r="K298" s="4">
        <v>2557</v>
      </c>
      <c r="L298" s="4">
        <v>1000</v>
      </c>
      <c r="M298" s="4">
        <f>Table1[[#This Row],[Visit Cost]]+Table1[[#This Row],[Lab Cost]]+Table1[[#This Row],[Medicine Cost]]+Table1[[#This Row],[Room Charges]]</f>
        <v>9541</v>
      </c>
      <c r="N298" s="5">
        <v>45813</v>
      </c>
      <c r="O298">
        <f>Table1[[#This Row],[Discharge Date]]-Table1[[#This Row],[Visit Date]]</f>
        <v>15</v>
      </c>
      <c r="P298" t="s">
        <v>948</v>
      </c>
      <c r="Q298" s="4">
        <v>5369</v>
      </c>
      <c r="R298" s="4">
        <f>Table1[[#This Row],[Total Revenue]]-Table1[[#This Row],[Insurance Claim Amount]]</f>
        <v>4172</v>
      </c>
      <c r="S298">
        <v>4</v>
      </c>
      <c r="T298" t="str">
        <f t="shared" si="8"/>
        <v>May</v>
      </c>
      <c r="U298">
        <f t="shared" si="9"/>
        <v>2025</v>
      </c>
    </row>
    <row r="299" spans="1:21" x14ac:dyDescent="0.3">
      <c r="A299" t="s">
        <v>572</v>
      </c>
      <c r="B299" t="s">
        <v>573</v>
      </c>
      <c r="C299" t="s">
        <v>16</v>
      </c>
      <c r="D299" t="s">
        <v>252</v>
      </c>
      <c r="E299" t="s">
        <v>931</v>
      </c>
      <c r="F299">
        <v>45992</v>
      </c>
      <c r="G299" t="s">
        <v>936</v>
      </c>
      <c r="H299" t="s">
        <v>941</v>
      </c>
      <c r="I299" s="4">
        <v>1035</v>
      </c>
      <c r="J299" s="4">
        <v>2230</v>
      </c>
      <c r="K299" s="4">
        <v>2619</v>
      </c>
      <c r="L299" s="4">
        <v>800</v>
      </c>
      <c r="M299" s="4">
        <f>Table1[[#This Row],[Visit Cost]]+Table1[[#This Row],[Lab Cost]]+Table1[[#This Row],[Medicine Cost]]+Table1[[#This Row],[Room Charges]]</f>
        <v>6684</v>
      </c>
      <c r="N299" s="5">
        <v>46010</v>
      </c>
      <c r="O299">
        <f>Table1[[#This Row],[Discharge Date]]-Table1[[#This Row],[Visit Date]]</f>
        <v>18</v>
      </c>
      <c r="P299" t="s">
        <v>949</v>
      </c>
      <c r="Q299" s="4">
        <v>0</v>
      </c>
      <c r="R299" s="4">
        <f>Table1[[#This Row],[Total Revenue]]-Table1[[#This Row],[Insurance Claim Amount]]</f>
        <v>6684</v>
      </c>
      <c r="S299">
        <v>5</v>
      </c>
      <c r="T299" t="str">
        <f t="shared" si="8"/>
        <v>Dec</v>
      </c>
      <c r="U299">
        <f t="shared" si="9"/>
        <v>2025</v>
      </c>
    </row>
    <row r="300" spans="1:21" x14ac:dyDescent="0.3">
      <c r="A300" t="s">
        <v>574</v>
      </c>
      <c r="B300" t="s">
        <v>575</v>
      </c>
      <c r="C300" t="s">
        <v>16</v>
      </c>
      <c r="D300" t="s">
        <v>252</v>
      </c>
      <c r="E300" t="s">
        <v>932</v>
      </c>
      <c r="F300">
        <v>45660</v>
      </c>
      <c r="G300" t="s">
        <v>938</v>
      </c>
      <c r="H300" t="s">
        <v>942</v>
      </c>
      <c r="I300" s="4">
        <v>827</v>
      </c>
      <c r="J300" s="4">
        <v>599</v>
      </c>
      <c r="K300" s="4">
        <v>2128</v>
      </c>
      <c r="L300" s="4">
        <v>1897</v>
      </c>
      <c r="M300" s="4">
        <f>Table1[[#This Row],[Visit Cost]]+Table1[[#This Row],[Lab Cost]]+Table1[[#This Row],[Medicine Cost]]+Table1[[#This Row],[Room Charges]]</f>
        <v>5451</v>
      </c>
      <c r="N300" s="5">
        <v>45765</v>
      </c>
      <c r="O300">
        <f>Table1[[#This Row],[Discharge Date]]-Table1[[#This Row],[Visit Date]]</f>
        <v>105</v>
      </c>
      <c r="P300" t="s">
        <v>948</v>
      </c>
      <c r="Q300" s="4">
        <v>2551</v>
      </c>
      <c r="R300" s="4">
        <f>Table1[[#This Row],[Total Revenue]]-Table1[[#This Row],[Insurance Claim Amount]]</f>
        <v>2900</v>
      </c>
      <c r="S300">
        <v>1</v>
      </c>
      <c r="T300" t="str">
        <f t="shared" si="8"/>
        <v>Jan</v>
      </c>
      <c r="U300">
        <f t="shared" si="9"/>
        <v>2025</v>
      </c>
    </row>
    <row r="301" spans="1:21" x14ac:dyDescent="0.3">
      <c r="A301" t="s">
        <v>576</v>
      </c>
      <c r="B301" t="s">
        <v>577</v>
      </c>
      <c r="C301" t="s">
        <v>38</v>
      </c>
      <c r="D301" t="s">
        <v>927</v>
      </c>
      <c r="E301" t="s">
        <v>929</v>
      </c>
      <c r="F301">
        <v>45833</v>
      </c>
      <c r="G301" t="s">
        <v>937</v>
      </c>
      <c r="H301" t="s">
        <v>941</v>
      </c>
      <c r="I301" s="4">
        <v>1055</v>
      </c>
      <c r="J301" s="4">
        <v>2679</v>
      </c>
      <c r="K301" s="4">
        <v>2798</v>
      </c>
      <c r="L301" s="4">
        <v>4675</v>
      </c>
      <c r="M301" s="4">
        <f>Table1[[#This Row],[Visit Cost]]+Table1[[#This Row],[Lab Cost]]+Table1[[#This Row],[Medicine Cost]]+Table1[[#This Row],[Room Charges]]</f>
        <v>11207</v>
      </c>
      <c r="N301" s="5">
        <v>45937</v>
      </c>
      <c r="O301">
        <f>Table1[[#This Row],[Discharge Date]]-Table1[[#This Row],[Visit Date]]</f>
        <v>104</v>
      </c>
      <c r="P301" t="s">
        <v>948</v>
      </c>
      <c r="Q301" s="4">
        <v>2819</v>
      </c>
      <c r="R301" s="4">
        <f>Table1[[#This Row],[Total Revenue]]-Table1[[#This Row],[Insurance Claim Amount]]</f>
        <v>8388</v>
      </c>
      <c r="S301">
        <v>2</v>
      </c>
      <c r="T301" t="str">
        <f t="shared" si="8"/>
        <v>Jun</v>
      </c>
      <c r="U301">
        <f t="shared" si="9"/>
        <v>2025</v>
      </c>
    </row>
    <row r="302" spans="1:21" x14ac:dyDescent="0.3">
      <c r="A302" t="s">
        <v>578</v>
      </c>
      <c r="B302" t="s">
        <v>579</v>
      </c>
      <c r="C302" t="s">
        <v>11</v>
      </c>
      <c r="D302" t="s">
        <v>924</v>
      </c>
      <c r="E302" t="s">
        <v>932</v>
      </c>
      <c r="F302">
        <v>45712</v>
      </c>
      <c r="G302" t="s">
        <v>936</v>
      </c>
      <c r="H302" t="s">
        <v>945</v>
      </c>
      <c r="I302" s="4">
        <v>2306</v>
      </c>
      <c r="J302" s="4">
        <v>2439</v>
      </c>
      <c r="K302" s="4">
        <v>848</v>
      </c>
      <c r="L302" s="4">
        <v>4524</v>
      </c>
      <c r="M302" s="4">
        <f>Table1[[#This Row],[Visit Cost]]+Table1[[#This Row],[Lab Cost]]+Table1[[#This Row],[Medicine Cost]]+Table1[[#This Row],[Room Charges]]</f>
        <v>10117</v>
      </c>
      <c r="N302" s="5">
        <v>45792</v>
      </c>
      <c r="O302">
        <f>Table1[[#This Row],[Discharge Date]]-Table1[[#This Row],[Visit Date]]</f>
        <v>80</v>
      </c>
      <c r="P302" t="s">
        <v>948</v>
      </c>
      <c r="Q302" s="4">
        <v>1400</v>
      </c>
      <c r="R302" s="4">
        <f>Table1[[#This Row],[Total Revenue]]-Table1[[#This Row],[Insurance Claim Amount]]</f>
        <v>8717</v>
      </c>
      <c r="S302">
        <v>4</v>
      </c>
      <c r="T302" t="str">
        <f t="shared" si="8"/>
        <v>Feb</v>
      </c>
      <c r="U302">
        <f t="shared" si="9"/>
        <v>2025</v>
      </c>
    </row>
    <row r="303" spans="1:21" x14ac:dyDescent="0.3">
      <c r="A303" t="s">
        <v>580</v>
      </c>
      <c r="B303" t="s">
        <v>581</v>
      </c>
      <c r="C303" t="s">
        <v>6</v>
      </c>
      <c r="D303" t="s">
        <v>80</v>
      </c>
      <c r="E303" t="s">
        <v>931</v>
      </c>
      <c r="F303">
        <v>45676</v>
      </c>
      <c r="G303" t="s">
        <v>935</v>
      </c>
      <c r="H303" t="s">
        <v>940</v>
      </c>
      <c r="I303" s="4">
        <v>1700</v>
      </c>
      <c r="J303" s="4">
        <v>3200</v>
      </c>
      <c r="K303" s="4">
        <v>445</v>
      </c>
      <c r="L303" s="4">
        <v>6121</v>
      </c>
      <c r="M303" s="4">
        <f>Table1[[#This Row],[Visit Cost]]+Table1[[#This Row],[Lab Cost]]+Table1[[#This Row],[Medicine Cost]]+Table1[[#This Row],[Room Charges]]</f>
        <v>11466</v>
      </c>
      <c r="N303" s="5">
        <v>45704</v>
      </c>
      <c r="O303">
        <f>Table1[[#This Row],[Discharge Date]]-Table1[[#This Row],[Visit Date]]</f>
        <v>28</v>
      </c>
      <c r="P303" t="s">
        <v>948</v>
      </c>
      <c r="Q303" s="4">
        <v>6421</v>
      </c>
      <c r="R303" s="4">
        <f>Table1[[#This Row],[Total Revenue]]-Table1[[#This Row],[Insurance Claim Amount]]</f>
        <v>5045</v>
      </c>
      <c r="S303">
        <v>2</v>
      </c>
      <c r="T303" t="str">
        <f t="shared" si="8"/>
        <v>Jan</v>
      </c>
      <c r="U303">
        <f t="shared" si="9"/>
        <v>2025</v>
      </c>
    </row>
    <row r="304" spans="1:21" x14ac:dyDescent="0.3">
      <c r="A304" t="s">
        <v>582</v>
      </c>
      <c r="B304" t="s">
        <v>583</v>
      </c>
      <c r="C304" t="s">
        <v>6</v>
      </c>
      <c r="D304" t="s">
        <v>927</v>
      </c>
      <c r="E304" t="s">
        <v>930</v>
      </c>
      <c r="F304">
        <v>45729</v>
      </c>
      <c r="G304" t="s">
        <v>936</v>
      </c>
      <c r="H304" t="s">
        <v>945</v>
      </c>
      <c r="I304" s="4">
        <v>1914</v>
      </c>
      <c r="J304" s="4">
        <v>1941</v>
      </c>
      <c r="K304" s="4">
        <v>2570</v>
      </c>
      <c r="L304" s="4">
        <v>2500</v>
      </c>
      <c r="M304" s="4">
        <f>Table1[[#This Row],[Visit Cost]]+Table1[[#This Row],[Lab Cost]]+Table1[[#This Row],[Medicine Cost]]+Table1[[#This Row],[Room Charges]]</f>
        <v>8925</v>
      </c>
      <c r="N304" s="5">
        <v>45841</v>
      </c>
      <c r="O304">
        <f>Table1[[#This Row],[Discharge Date]]-Table1[[#This Row],[Visit Date]]</f>
        <v>112</v>
      </c>
      <c r="P304" t="s">
        <v>949</v>
      </c>
      <c r="Q304" s="4">
        <v>0</v>
      </c>
      <c r="R304" s="4">
        <f>Table1[[#This Row],[Total Revenue]]-Table1[[#This Row],[Insurance Claim Amount]]</f>
        <v>8925</v>
      </c>
      <c r="S304">
        <v>4</v>
      </c>
      <c r="T304" t="str">
        <f t="shared" si="8"/>
        <v>Mar</v>
      </c>
      <c r="U304">
        <f t="shared" si="9"/>
        <v>2025</v>
      </c>
    </row>
    <row r="305" spans="1:21" x14ac:dyDescent="0.3">
      <c r="A305" t="s">
        <v>584</v>
      </c>
      <c r="B305" t="s">
        <v>585</v>
      </c>
      <c r="C305" t="s">
        <v>47</v>
      </c>
      <c r="D305" t="s">
        <v>252</v>
      </c>
      <c r="E305" t="s">
        <v>930</v>
      </c>
      <c r="F305">
        <v>45954</v>
      </c>
      <c r="G305" t="s">
        <v>938</v>
      </c>
      <c r="H305" t="s">
        <v>945</v>
      </c>
      <c r="I305" s="4">
        <v>1895</v>
      </c>
      <c r="J305" s="4">
        <v>3235</v>
      </c>
      <c r="K305" s="4">
        <v>900</v>
      </c>
      <c r="L305" s="4">
        <v>3800</v>
      </c>
      <c r="M305" s="4">
        <f>Table1[[#This Row],[Visit Cost]]+Table1[[#This Row],[Lab Cost]]+Table1[[#This Row],[Medicine Cost]]+Table1[[#This Row],[Room Charges]]</f>
        <v>9830</v>
      </c>
      <c r="N305" s="5">
        <v>45983</v>
      </c>
      <c r="O305">
        <f>Table1[[#This Row],[Discharge Date]]-Table1[[#This Row],[Visit Date]]</f>
        <v>29</v>
      </c>
      <c r="P305" t="s">
        <v>948</v>
      </c>
      <c r="Q305" s="4">
        <v>6729</v>
      </c>
      <c r="R305" s="4">
        <f>Table1[[#This Row],[Total Revenue]]-Table1[[#This Row],[Insurance Claim Amount]]</f>
        <v>3101</v>
      </c>
      <c r="S305">
        <v>2</v>
      </c>
      <c r="T305" t="str">
        <f t="shared" si="8"/>
        <v>Oct</v>
      </c>
      <c r="U305">
        <f t="shared" si="9"/>
        <v>2025</v>
      </c>
    </row>
    <row r="306" spans="1:21" x14ac:dyDescent="0.3">
      <c r="A306" t="s">
        <v>586</v>
      </c>
      <c r="B306" t="s">
        <v>285</v>
      </c>
      <c r="C306" t="s">
        <v>38</v>
      </c>
      <c r="D306" t="s">
        <v>927</v>
      </c>
      <c r="E306" t="s">
        <v>932</v>
      </c>
      <c r="F306">
        <v>45763</v>
      </c>
      <c r="G306" t="s">
        <v>937</v>
      </c>
      <c r="H306" t="s">
        <v>942</v>
      </c>
      <c r="I306" s="4">
        <v>1420</v>
      </c>
      <c r="J306" s="4">
        <v>4255</v>
      </c>
      <c r="K306" s="4">
        <v>2136</v>
      </c>
      <c r="L306" s="4">
        <v>2006</v>
      </c>
      <c r="M306" s="4">
        <f>Table1[[#This Row],[Visit Cost]]+Table1[[#This Row],[Lab Cost]]+Table1[[#This Row],[Medicine Cost]]+Table1[[#This Row],[Room Charges]]</f>
        <v>9817</v>
      </c>
      <c r="N306" s="5">
        <v>45849</v>
      </c>
      <c r="O306">
        <f>Table1[[#This Row],[Discharge Date]]-Table1[[#This Row],[Visit Date]]</f>
        <v>86</v>
      </c>
      <c r="P306" t="s">
        <v>949</v>
      </c>
      <c r="Q306" s="4">
        <v>0</v>
      </c>
      <c r="R306" s="4">
        <f>Table1[[#This Row],[Total Revenue]]-Table1[[#This Row],[Insurance Claim Amount]]</f>
        <v>9817</v>
      </c>
      <c r="S306">
        <v>2</v>
      </c>
      <c r="T306" t="str">
        <f t="shared" si="8"/>
        <v>Apr</v>
      </c>
      <c r="U306">
        <f t="shared" si="9"/>
        <v>2025</v>
      </c>
    </row>
    <row r="307" spans="1:21" x14ac:dyDescent="0.3">
      <c r="A307" t="s">
        <v>587</v>
      </c>
      <c r="B307" t="s">
        <v>588</v>
      </c>
      <c r="C307" t="s">
        <v>47</v>
      </c>
      <c r="D307" t="s">
        <v>80</v>
      </c>
      <c r="E307" t="s">
        <v>931</v>
      </c>
      <c r="F307">
        <v>45777</v>
      </c>
      <c r="G307" t="s">
        <v>936</v>
      </c>
      <c r="H307" t="s">
        <v>942</v>
      </c>
      <c r="I307" s="4">
        <v>913</v>
      </c>
      <c r="J307" s="4">
        <v>3883</v>
      </c>
      <c r="K307" s="4">
        <v>1647</v>
      </c>
      <c r="L307" s="4">
        <v>5276</v>
      </c>
      <c r="M307" s="4">
        <f>Table1[[#This Row],[Visit Cost]]+Table1[[#This Row],[Lab Cost]]+Table1[[#This Row],[Medicine Cost]]+Table1[[#This Row],[Room Charges]]</f>
        <v>11719</v>
      </c>
      <c r="N307" s="5">
        <v>45921</v>
      </c>
      <c r="O307">
        <f>Table1[[#This Row],[Discharge Date]]-Table1[[#This Row],[Visit Date]]</f>
        <v>144</v>
      </c>
      <c r="P307" t="s">
        <v>949</v>
      </c>
      <c r="Q307" s="4">
        <v>0</v>
      </c>
      <c r="R307" s="4">
        <f>Table1[[#This Row],[Total Revenue]]-Table1[[#This Row],[Insurance Claim Amount]]</f>
        <v>11719</v>
      </c>
      <c r="S307">
        <v>3</v>
      </c>
      <c r="T307" t="str">
        <f t="shared" si="8"/>
        <v>Apr</v>
      </c>
      <c r="U307">
        <f t="shared" si="9"/>
        <v>2025</v>
      </c>
    </row>
    <row r="308" spans="1:21" x14ac:dyDescent="0.3">
      <c r="A308" t="s">
        <v>589</v>
      </c>
      <c r="B308" t="s">
        <v>590</v>
      </c>
      <c r="C308" t="s">
        <v>38</v>
      </c>
      <c r="D308" t="s">
        <v>926</v>
      </c>
      <c r="E308" t="s">
        <v>929</v>
      </c>
      <c r="F308">
        <v>46013</v>
      </c>
      <c r="G308" t="s">
        <v>935</v>
      </c>
      <c r="H308" t="s">
        <v>945</v>
      </c>
      <c r="I308" s="4">
        <v>2146</v>
      </c>
      <c r="J308" s="4">
        <v>1031</v>
      </c>
      <c r="K308" s="4">
        <v>2648</v>
      </c>
      <c r="L308" s="4">
        <v>6208</v>
      </c>
      <c r="M308" s="4">
        <f>Table1[[#This Row],[Visit Cost]]+Table1[[#This Row],[Lab Cost]]+Table1[[#This Row],[Medicine Cost]]+Table1[[#This Row],[Room Charges]]</f>
        <v>12033</v>
      </c>
      <c r="N308" s="5">
        <v>46112</v>
      </c>
      <c r="O308">
        <f>Table1[[#This Row],[Discharge Date]]-Table1[[#This Row],[Visit Date]]</f>
        <v>99</v>
      </c>
      <c r="P308" t="s">
        <v>949</v>
      </c>
      <c r="Q308" s="4">
        <v>0</v>
      </c>
      <c r="R308" s="4">
        <f>Table1[[#This Row],[Total Revenue]]-Table1[[#This Row],[Insurance Claim Amount]]</f>
        <v>12033</v>
      </c>
      <c r="S308">
        <v>1</v>
      </c>
      <c r="T308" t="str">
        <f t="shared" si="8"/>
        <v>Dec</v>
      </c>
      <c r="U308">
        <f t="shared" si="9"/>
        <v>2025</v>
      </c>
    </row>
    <row r="309" spans="1:21" x14ac:dyDescent="0.3">
      <c r="A309" t="s">
        <v>591</v>
      </c>
      <c r="B309" t="s">
        <v>592</v>
      </c>
      <c r="C309" t="s">
        <v>16</v>
      </c>
      <c r="D309" t="s">
        <v>164</v>
      </c>
      <c r="E309" t="s">
        <v>933</v>
      </c>
      <c r="F309">
        <v>45961</v>
      </c>
      <c r="G309" t="s">
        <v>938</v>
      </c>
      <c r="H309" t="s">
        <v>942</v>
      </c>
      <c r="I309" s="4">
        <v>1897</v>
      </c>
      <c r="J309" s="4">
        <v>580</v>
      </c>
      <c r="K309" s="4">
        <v>2312</v>
      </c>
      <c r="L309" s="4">
        <v>1200</v>
      </c>
      <c r="M309" s="4">
        <f>Table1[[#This Row],[Visit Cost]]+Table1[[#This Row],[Lab Cost]]+Table1[[#This Row],[Medicine Cost]]+Table1[[#This Row],[Room Charges]]</f>
        <v>5989</v>
      </c>
      <c r="N309" s="5">
        <v>45970</v>
      </c>
      <c r="O309">
        <f>Table1[[#This Row],[Discharge Date]]-Table1[[#This Row],[Visit Date]]</f>
        <v>9</v>
      </c>
      <c r="P309" t="s">
        <v>949</v>
      </c>
      <c r="Q309" s="4">
        <v>0</v>
      </c>
      <c r="R309" s="4">
        <f>Table1[[#This Row],[Total Revenue]]-Table1[[#This Row],[Insurance Claim Amount]]</f>
        <v>5989</v>
      </c>
      <c r="S309">
        <v>3</v>
      </c>
      <c r="T309" t="str">
        <f t="shared" si="8"/>
        <v>Oct</v>
      </c>
      <c r="U309">
        <f t="shared" si="9"/>
        <v>2025</v>
      </c>
    </row>
    <row r="310" spans="1:21" x14ac:dyDescent="0.3">
      <c r="A310" t="s">
        <v>593</v>
      </c>
      <c r="B310" t="s">
        <v>594</v>
      </c>
      <c r="C310" t="s">
        <v>6</v>
      </c>
      <c r="D310" t="s">
        <v>85</v>
      </c>
      <c r="E310" t="s">
        <v>933</v>
      </c>
      <c r="F310">
        <v>46021</v>
      </c>
      <c r="G310" t="s">
        <v>936</v>
      </c>
      <c r="H310" t="s">
        <v>940</v>
      </c>
      <c r="I310" s="4">
        <v>991</v>
      </c>
      <c r="J310" s="4">
        <v>1993</v>
      </c>
      <c r="K310" s="4">
        <v>2927</v>
      </c>
      <c r="L310" s="4">
        <v>5186</v>
      </c>
      <c r="M310" s="4">
        <f>Table1[[#This Row],[Visit Cost]]+Table1[[#This Row],[Lab Cost]]+Table1[[#This Row],[Medicine Cost]]+Table1[[#This Row],[Room Charges]]</f>
        <v>11097</v>
      </c>
      <c r="N310" s="5">
        <v>46112</v>
      </c>
      <c r="O310">
        <f>Table1[[#This Row],[Discharge Date]]-Table1[[#This Row],[Visit Date]]</f>
        <v>91</v>
      </c>
      <c r="P310" t="s">
        <v>948</v>
      </c>
      <c r="Q310" s="4">
        <v>6577</v>
      </c>
      <c r="R310" s="4">
        <f>Table1[[#This Row],[Total Revenue]]-Table1[[#This Row],[Insurance Claim Amount]]</f>
        <v>4520</v>
      </c>
      <c r="S310">
        <v>3</v>
      </c>
      <c r="T310" t="str">
        <f t="shared" si="8"/>
        <v>Dec</v>
      </c>
      <c r="U310">
        <f t="shared" si="9"/>
        <v>2025</v>
      </c>
    </row>
    <row r="311" spans="1:21" x14ac:dyDescent="0.3">
      <c r="A311" t="s">
        <v>595</v>
      </c>
      <c r="B311" t="s">
        <v>596</v>
      </c>
      <c r="C311" t="s">
        <v>11</v>
      </c>
      <c r="D311" t="s">
        <v>925</v>
      </c>
      <c r="E311" t="s">
        <v>931</v>
      </c>
      <c r="F311">
        <v>45997</v>
      </c>
      <c r="G311" t="s">
        <v>937</v>
      </c>
      <c r="H311" t="s">
        <v>944</v>
      </c>
      <c r="I311" s="4">
        <v>2052</v>
      </c>
      <c r="J311" s="4">
        <v>2810</v>
      </c>
      <c r="K311" s="4">
        <v>1339</v>
      </c>
      <c r="L311" s="4">
        <v>6301</v>
      </c>
      <c r="M311" s="4">
        <f>Table1[[#This Row],[Visit Cost]]+Table1[[#This Row],[Lab Cost]]+Table1[[#This Row],[Medicine Cost]]+Table1[[#This Row],[Room Charges]]</f>
        <v>12502</v>
      </c>
      <c r="N311" s="5">
        <v>46055</v>
      </c>
      <c r="O311">
        <f>Table1[[#This Row],[Discharge Date]]-Table1[[#This Row],[Visit Date]]</f>
        <v>58</v>
      </c>
      <c r="P311" t="s">
        <v>948</v>
      </c>
      <c r="Q311" s="4">
        <v>6401</v>
      </c>
      <c r="R311" s="4">
        <f>Table1[[#This Row],[Total Revenue]]-Table1[[#This Row],[Insurance Claim Amount]]</f>
        <v>6101</v>
      </c>
      <c r="S311">
        <v>1</v>
      </c>
      <c r="T311" t="str">
        <f t="shared" si="8"/>
        <v>Dec</v>
      </c>
      <c r="U311">
        <f t="shared" si="9"/>
        <v>2025</v>
      </c>
    </row>
    <row r="312" spans="1:21" x14ac:dyDescent="0.3">
      <c r="A312" t="s">
        <v>597</v>
      </c>
      <c r="B312" t="s">
        <v>598</v>
      </c>
      <c r="C312" t="s">
        <v>38</v>
      </c>
      <c r="D312" t="s">
        <v>926</v>
      </c>
      <c r="E312" t="s">
        <v>932</v>
      </c>
      <c r="F312">
        <v>45818</v>
      </c>
      <c r="G312" t="s">
        <v>935</v>
      </c>
      <c r="H312" t="s">
        <v>943</v>
      </c>
      <c r="I312" s="4">
        <v>1551</v>
      </c>
      <c r="J312" s="4">
        <v>2476</v>
      </c>
      <c r="K312" s="4">
        <v>771</v>
      </c>
      <c r="L312" s="4">
        <v>2900</v>
      </c>
      <c r="M312" s="4">
        <f>Table1[[#This Row],[Visit Cost]]+Table1[[#This Row],[Lab Cost]]+Table1[[#This Row],[Medicine Cost]]+Table1[[#This Row],[Room Charges]]</f>
        <v>7698</v>
      </c>
      <c r="N312" s="5">
        <v>45857</v>
      </c>
      <c r="O312">
        <f>Table1[[#This Row],[Discharge Date]]-Table1[[#This Row],[Visit Date]]</f>
        <v>39</v>
      </c>
      <c r="P312" t="s">
        <v>948</v>
      </c>
      <c r="Q312" s="4">
        <v>6700</v>
      </c>
      <c r="R312" s="4">
        <f>Table1[[#This Row],[Total Revenue]]-Table1[[#This Row],[Insurance Claim Amount]]</f>
        <v>998</v>
      </c>
      <c r="S312">
        <v>2</v>
      </c>
      <c r="T312" t="str">
        <f t="shared" si="8"/>
        <v>Jun</v>
      </c>
      <c r="U312">
        <f t="shared" si="9"/>
        <v>2025</v>
      </c>
    </row>
    <row r="313" spans="1:21" x14ac:dyDescent="0.3">
      <c r="A313" t="s">
        <v>599</v>
      </c>
      <c r="B313" t="s">
        <v>600</v>
      </c>
      <c r="C313" t="s">
        <v>11</v>
      </c>
      <c r="D313" t="s">
        <v>924</v>
      </c>
      <c r="E313" t="s">
        <v>930</v>
      </c>
      <c r="F313">
        <v>45973</v>
      </c>
      <c r="G313" t="s">
        <v>936</v>
      </c>
      <c r="H313" t="s">
        <v>940</v>
      </c>
      <c r="I313" s="4">
        <v>2323</v>
      </c>
      <c r="J313" s="4">
        <v>633</v>
      </c>
      <c r="K313" s="4">
        <v>2226</v>
      </c>
      <c r="L313" s="4">
        <v>5073</v>
      </c>
      <c r="M313" s="4">
        <f>Table1[[#This Row],[Visit Cost]]+Table1[[#This Row],[Lab Cost]]+Table1[[#This Row],[Medicine Cost]]+Table1[[#This Row],[Room Charges]]</f>
        <v>10255</v>
      </c>
      <c r="N313" s="5">
        <v>46112</v>
      </c>
      <c r="O313">
        <f>Table1[[#This Row],[Discharge Date]]-Table1[[#This Row],[Visit Date]]</f>
        <v>139</v>
      </c>
      <c r="P313" t="s">
        <v>949</v>
      </c>
      <c r="Q313" s="4">
        <v>0</v>
      </c>
      <c r="R313" s="4">
        <f>Table1[[#This Row],[Total Revenue]]-Table1[[#This Row],[Insurance Claim Amount]]</f>
        <v>10255</v>
      </c>
      <c r="S313">
        <v>2</v>
      </c>
      <c r="T313" t="str">
        <f t="shared" si="8"/>
        <v>Nov</v>
      </c>
      <c r="U313">
        <f t="shared" si="9"/>
        <v>2025</v>
      </c>
    </row>
    <row r="314" spans="1:21" x14ac:dyDescent="0.3">
      <c r="A314" t="s">
        <v>601</v>
      </c>
      <c r="B314" t="s">
        <v>602</v>
      </c>
      <c r="C314" t="s">
        <v>16</v>
      </c>
      <c r="D314" t="s">
        <v>926</v>
      </c>
      <c r="E314" t="s">
        <v>929</v>
      </c>
      <c r="F314">
        <v>45832</v>
      </c>
      <c r="G314" t="s">
        <v>938</v>
      </c>
      <c r="H314" t="s">
        <v>942</v>
      </c>
      <c r="I314" s="4">
        <v>996</v>
      </c>
      <c r="J314" s="4">
        <v>1440</v>
      </c>
      <c r="K314" s="4">
        <v>2796</v>
      </c>
      <c r="L314" s="4">
        <v>3995</v>
      </c>
      <c r="M314" s="4">
        <f>Table1[[#This Row],[Visit Cost]]+Table1[[#This Row],[Lab Cost]]+Table1[[#This Row],[Medicine Cost]]+Table1[[#This Row],[Room Charges]]</f>
        <v>9227</v>
      </c>
      <c r="N314" s="5">
        <v>45881</v>
      </c>
      <c r="O314">
        <f>Table1[[#This Row],[Discharge Date]]-Table1[[#This Row],[Visit Date]]</f>
        <v>49</v>
      </c>
      <c r="P314" t="s">
        <v>949</v>
      </c>
      <c r="Q314" s="4">
        <v>0</v>
      </c>
      <c r="R314" s="4">
        <f>Table1[[#This Row],[Total Revenue]]-Table1[[#This Row],[Insurance Claim Amount]]</f>
        <v>9227</v>
      </c>
      <c r="S314">
        <v>3</v>
      </c>
      <c r="T314" t="str">
        <f t="shared" si="8"/>
        <v>Jun</v>
      </c>
      <c r="U314">
        <f t="shared" si="9"/>
        <v>2025</v>
      </c>
    </row>
    <row r="315" spans="1:21" x14ac:dyDescent="0.3">
      <c r="A315" t="s">
        <v>603</v>
      </c>
      <c r="B315" t="s">
        <v>604</v>
      </c>
      <c r="C315" t="s">
        <v>47</v>
      </c>
      <c r="D315" t="s">
        <v>252</v>
      </c>
      <c r="E315" t="s">
        <v>929</v>
      </c>
      <c r="F315">
        <v>45955</v>
      </c>
      <c r="G315" t="s">
        <v>937</v>
      </c>
      <c r="H315" t="s">
        <v>942</v>
      </c>
      <c r="I315" s="4">
        <v>1586</v>
      </c>
      <c r="J315" s="4">
        <v>1423</v>
      </c>
      <c r="K315" s="4">
        <v>339</v>
      </c>
      <c r="L315" s="4">
        <v>3601</v>
      </c>
      <c r="M315" s="4">
        <f>Table1[[#This Row],[Visit Cost]]+Table1[[#This Row],[Lab Cost]]+Table1[[#This Row],[Medicine Cost]]+Table1[[#This Row],[Room Charges]]</f>
        <v>6949</v>
      </c>
      <c r="N315" s="5">
        <v>46037</v>
      </c>
      <c r="O315">
        <f>Table1[[#This Row],[Discharge Date]]-Table1[[#This Row],[Visit Date]]</f>
        <v>82</v>
      </c>
      <c r="P315" t="s">
        <v>949</v>
      </c>
      <c r="Q315" s="4">
        <v>0</v>
      </c>
      <c r="R315" s="4">
        <f>Table1[[#This Row],[Total Revenue]]-Table1[[#This Row],[Insurance Claim Amount]]</f>
        <v>6949</v>
      </c>
      <c r="S315">
        <v>5</v>
      </c>
      <c r="T315" t="str">
        <f t="shared" si="8"/>
        <v>Oct</v>
      </c>
      <c r="U315">
        <f t="shared" si="9"/>
        <v>2025</v>
      </c>
    </row>
    <row r="316" spans="1:21" x14ac:dyDescent="0.3">
      <c r="A316" t="s">
        <v>605</v>
      </c>
      <c r="B316" t="s">
        <v>606</v>
      </c>
      <c r="C316" t="s">
        <v>11</v>
      </c>
      <c r="D316" t="s">
        <v>164</v>
      </c>
      <c r="E316" t="s">
        <v>932</v>
      </c>
      <c r="F316">
        <v>45728</v>
      </c>
      <c r="G316" t="s">
        <v>936</v>
      </c>
      <c r="H316" t="s">
        <v>943</v>
      </c>
      <c r="I316" s="4">
        <v>829</v>
      </c>
      <c r="J316" s="4">
        <v>4757</v>
      </c>
      <c r="K316" s="4">
        <v>1068</v>
      </c>
      <c r="L316" s="4">
        <v>2554</v>
      </c>
      <c r="M316" s="4">
        <f>Table1[[#This Row],[Visit Cost]]+Table1[[#This Row],[Lab Cost]]+Table1[[#This Row],[Medicine Cost]]+Table1[[#This Row],[Room Charges]]</f>
        <v>9208</v>
      </c>
      <c r="N316" s="5">
        <v>45821</v>
      </c>
      <c r="O316">
        <f>Table1[[#This Row],[Discharge Date]]-Table1[[#This Row],[Visit Date]]</f>
        <v>93</v>
      </c>
      <c r="P316" t="s">
        <v>949</v>
      </c>
      <c r="Q316" s="4">
        <v>0</v>
      </c>
      <c r="R316" s="4">
        <f>Table1[[#This Row],[Total Revenue]]-Table1[[#This Row],[Insurance Claim Amount]]</f>
        <v>9208</v>
      </c>
      <c r="S316">
        <v>1</v>
      </c>
      <c r="T316" t="str">
        <f t="shared" si="8"/>
        <v>Mar</v>
      </c>
      <c r="U316">
        <f t="shared" si="9"/>
        <v>2025</v>
      </c>
    </row>
    <row r="317" spans="1:21" x14ac:dyDescent="0.3">
      <c r="A317" t="s">
        <v>607</v>
      </c>
      <c r="B317" t="s">
        <v>480</v>
      </c>
      <c r="C317" t="s">
        <v>16</v>
      </c>
      <c r="D317" t="s">
        <v>925</v>
      </c>
      <c r="E317" t="s">
        <v>933</v>
      </c>
      <c r="F317">
        <v>45957</v>
      </c>
      <c r="G317" t="s">
        <v>935</v>
      </c>
      <c r="H317" t="s">
        <v>941</v>
      </c>
      <c r="I317" s="4">
        <v>1264</v>
      </c>
      <c r="J317" s="4">
        <v>4638</v>
      </c>
      <c r="K317" s="4">
        <v>2753</v>
      </c>
      <c r="L317" s="4">
        <v>7340</v>
      </c>
      <c r="M317" s="4">
        <f>Table1[[#This Row],[Visit Cost]]+Table1[[#This Row],[Lab Cost]]+Table1[[#This Row],[Medicine Cost]]+Table1[[#This Row],[Room Charges]]</f>
        <v>15995</v>
      </c>
      <c r="N317" s="5">
        <v>46104</v>
      </c>
      <c r="O317">
        <f>Table1[[#This Row],[Discharge Date]]-Table1[[#This Row],[Visit Date]]</f>
        <v>147</v>
      </c>
      <c r="P317" t="s">
        <v>948</v>
      </c>
      <c r="Q317" s="4">
        <v>3959</v>
      </c>
      <c r="R317" s="4">
        <f>Table1[[#This Row],[Total Revenue]]-Table1[[#This Row],[Insurance Claim Amount]]</f>
        <v>12036</v>
      </c>
      <c r="S317">
        <v>5</v>
      </c>
      <c r="T317" t="str">
        <f t="shared" si="8"/>
        <v>Oct</v>
      </c>
      <c r="U317">
        <f t="shared" si="9"/>
        <v>2025</v>
      </c>
    </row>
    <row r="318" spans="1:21" x14ac:dyDescent="0.3">
      <c r="A318" t="s">
        <v>608</v>
      </c>
      <c r="B318" t="s">
        <v>609</v>
      </c>
      <c r="C318" t="s">
        <v>16</v>
      </c>
      <c r="D318" t="s">
        <v>924</v>
      </c>
      <c r="E318" t="s">
        <v>931</v>
      </c>
      <c r="F318">
        <v>45972</v>
      </c>
      <c r="G318" t="s">
        <v>936</v>
      </c>
      <c r="H318" t="s">
        <v>941</v>
      </c>
      <c r="I318" s="4">
        <v>773</v>
      </c>
      <c r="J318" s="4">
        <v>968</v>
      </c>
      <c r="K318" s="4">
        <v>1726</v>
      </c>
      <c r="L318" s="4">
        <v>5839</v>
      </c>
      <c r="M318" s="4">
        <f>Table1[[#This Row],[Visit Cost]]+Table1[[#This Row],[Lab Cost]]+Table1[[#This Row],[Medicine Cost]]+Table1[[#This Row],[Room Charges]]</f>
        <v>9306</v>
      </c>
      <c r="N318" s="5">
        <v>46056</v>
      </c>
      <c r="O318">
        <f>Table1[[#This Row],[Discharge Date]]-Table1[[#This Row],[Visit Date]]</f>
        <v>84</v>
      </c>
      <c r="P318" t="s">
        <v>949</v>
      </c>
      <c r="Q318" s="4">
        <v>0</v>
      </c>
      <c r="R318" s="4">
        <f>Table1[[#This Row],[Total Revenue]]-Table1[[#This Row],[Insurance Claim Amount]]</f>
        <v>9306</v>
      </c>
      <c r="S318">
        <v>1</v>
      </c>
      <c r="T318" t="str">
        <f t="shared" si="8"/>
        <v>Nov</v>
      </c>
      <c r="U318">
        <f t="shared" si="9"/>
        <v>2025</v>
      </c>
    </row>
    <row r="319" spans="1:21" x14ac:dyDescent="0.3">
      <c r="A319" t="s">
        <v>610</v>
      </c>
      <c r="B319" t="s">
        <v>606</v>
      </c>
      <c r="C319" t="s">
        <v>11</v>
      </c>
      <c r="D319" t="s">
        <v>925</v>
      </c>
      <c r="E319" t="s">
        <v>930</v>
      </c>
      <c r="F319">
        <v>45885</v>
      </c>
      <c r="G319" t="s">
        <v>938</v>
      </c>
      <c r="H319" t="s">
        <v>944</v>
      </c>
      <c r="I319" s="4">
        <v>2027</v>
      </c>
      <c r="J319" s="4">
        <v>1800</v>
      </c>
      <c r="K319" s="4">
        <v>2052</v>
      </c>
      <c r="L319" s="4">
        <v>1350</v>
      </c>
      <c r="M319" s="4">
        <f>Table1[[#This Row],[Visit Cost]]+Table1[[#This Row],[Lab Cost]]+Table1[[#This Row],[Medicine Cost]]+Table1[[#This Row],[Room Charges]]</f>
        <v>7229</v>
      </c>
      <c r="N319" s="5">
        <v>45894</v>
      </c>
      <c r="O319">
        <f>Table1[[#This Row],[Discharge Date]]-Table1[[#This Row],[Visit Date]]</f>
        <v>9</v>
      </c>
      <c r="P319" t="s">
        <v>949</v>
      </c>
      <c r="Q319" s="4">
        <v>0</v>
      </c>
      <c r="R319" s="4">
        <f>Table1[[#This Row],[Total Revenue]]-Table1[[#This Row],[Insurance Claim Amount]]</f>
        <v>7229</v>
      </c>
      <c r="S319">
        <v>3</v>
      </c>
      <c r="T319" t="str">
        <f t="shared" si="8"/>
        <v>Aug</v>
      </c>
      <c r="U319">
        <f t="shared" si="9"/>
        <v>2025</v>
      </c>
    </row>
    <row r="320" spans="1:21" x14ac:dyDescent="0.3">
      <c r="A320" t="s">
        <v>611</v>
      </c>
      <c r="B320" t="s">
        <v>612</v>
      </c>
      <c r="C320" t="s">
        <v>11</v>
      </c>
      <c r="D320" t="s">
        <v>85</v>
      </c>
      <c r="E320" t="s">
        <v>930</v>
      </c>
      <c r="F320">
        <v>45864</v>
      </c>
      <c r="G320" t="s">
        <v>937</v>
      </c>
      <c r="H320" t="s">
        <v>940</v>
      </c>
      <c r="I320" s="4">
        <v>2114</v>
      </c>
      <c r="J320" s="4">
        <v>3497</v>
      </c>
      <c r="K320" s="4">
        <v>2402</v>
      </c>
      <c r="L320" s="4">
        <v>2679</v>
      </c>
      <c r="M320" s="4">
        <f>Table1[[#This Row],[Visit Cost]]+Table1[[#This Row],[Lab Cost]]+Table1[[#This Row],[Medicine Cost]]+Table1[[#This Row],[Room Charges]]</f>
        <v>10692</v>
      </c>
      <c r="N320" s="5">
        <v>45950</v>
      </c>
      <c r="O320">
        <f>Table1[[#This Row],[Discharge Date]]-Table1[[#This Row],[Visit Date]]</f>
        <v>86</v>
      </c>
      <c r="P320" t="s">
        <v>949</v>
      </c>
      <c r="Q320" s="4">
        <v>0</v>
      </c>
      <c r="R320" s="4">
        <f>Table1[[#This Row],[Total Revenue]]-Table1[[#This Row],[Insurance Claim Amount]]</f>
        <v>10692</v>
      </c>
      <c r="S320">
        <v>5</v>
      </c>
      <c r="T320" t="str">
        <f t="shared" si="8"/>
        <v>Jul</v>
      </c>
      <c r="U320">
        <f t="shared" si="9"/>
        <v>2025</v>
      </c>
    </row>
    <row r="321" spans="1:21" x14ac:dyDescent="0.3">
      <c r="A321" t="s">
        <v>613</v>
      </c>
      <c r="B321" t="s">
        <v>109</v>
      </c>
      <c r="C321" t="s">
        <v>11</v>
      </c>
      <c r="D321" t="s">
        <v>164</v>
      </c>
      <c r="E321" t="s">
        <v>931</v>
      </c>
      <c r="F321">
        <v>45685</v>
      </c>
      <c r="G321" t="s">
        <v>936</v>
      </c>
      <c r="H321" t="s">
        <v>943</v>
      </c>
      <c r="I321" s="4">
        <v>1587</v>
      </c>
      <c r="J321" s="4">
        <v>943</v>
      </c>
      <c r="K321" s="4">
        <v>2109</v>
      </c>
      <c r="L321" s="4">
        <v>8862</v>
      </c>
      <c r="M321" s="4">
        <f>Table1[[#This Row],[Visit Cost]]+Table1[[#This Row],[Lab Cost]]+Table1[[#This Row],[Medicine Cost]]+Table1[[#This Row],[Room Charges]]</f>
        <v>13501</v>
      </c>
      <c r="N321" s="5">
        <v>45816</v>
      </c>
      <c r="O321">
        <f>Table1[[#This Row],[Discharge Date]]-Table1[[#This Row],[Visit Date]]</f>
        <v>131</v>
      </c>
      <c r="P321" t="s">
        <v>949</v>
      </c>
      <c r="Q321" s="4">
        <v>0</v>
      </c>
      <c r="R321" s="4">
        <f>Table1[[#This Row],[Total Revenue]]-Table1[[#This Row],[Insurance Claim Amount]]</f>
        <v>13501</v>
      </c>
      <c r="S321">
        <v>3</v>
      </c>
      <c r="T321" t="str">
        <f t="shared" si="8"/>
        <v>Jan</v>
      </c>
      <c r="U321">
        <f t="shared" si="9"/>
        <v>2025</v>
      </c>
    </row>
    <row r="322" spans="1:21" x14ac:dyDescent="0.3">
      <c r="A322" t="s">
        <v>614</v>
      </c>
      <c r="B322" t="s">
        <v>615</v>
      </c>
      <c r="C322" t="s">
        <v>11</v>
      </c>
      <c r="D322" t="s">
        <v>85</v>
      </c>
      <c r="E322" t="s">
        <v>933</v>
      </c>
      <c r="F322">
        <v>45688</v>
      </c>
      <c r="G322" t="s">
        <v>935</v>
      </c>
      <c r="H322" t="s">
        <v>945</v>
      </c>
      <c r="I322" s="4">
        <v>1776</v>
      </c>
      <c r="J322" s="4">
        <v>1200</v>
      </c>
      <c r="K322" s="4">
        <v>2795</v>
      </c>
      <c r="L322" s="4">
        <v>1050</v>
      </c>
      <c r="M322" s="4">
        <f>Table1[[#This Row],[Visit Cost]]+Table1[[#This Row],[Lab Cost]]+Table1[[#This Row],[Medicine Cost]]+Table1[[#This Row],[Room Charges]]</f>
        <v>6821</v>
      </c>
      <c r="N322" s="5">
        <v>45710</v>
      </c>
      <c r="O322">
        <f>Table1[[#This Row],[Discharge Date]]-Table1[[#This Row],[Visit Date]]</f>
        <v>22</v>
      </c>
      <c r="P322" t="s">
        <v>949</v>
      </c>
      <c r="Q322" s="4">
        <v>0</v>
      </c>
      <c r="R322" s="4">
        <f>Table1[[#This Row],[Total Revenue]]-Table1[[#This Row],[Insurance Claim Amount]]</f>
        <v>6821</v>
      </c>
      <c r="S322">
        <v>3</v>
      </c>
      <c r="T322" t="str">
        <f t="shared" si="8"/>
        <v>Jan</v>
      </c>
      <c r="U322">
        <f t="shared" si="9"/>
        <v>2025</v>
      </c>
    </row>
    <row r="323" spans="1:21" x14ac:dyDescent="0.3">
      <c r="A323" t="s">
        <v>616</v>
      </c>
      <c r="B323" t="s">
        <v>617</v>
      </c>
      <c r="C323" t="s">
        <v>16</v>
      </c>
      <c r="D323" t="s">
        <v>252</v>
      </c>
      <c r="E323" t="s">
        <v>932</v>
      </c>
      <c r="F323">
        <v>45869</v>
      </c>
      <c r="G323" t="s">
        <v>938</v>
      </c>
      <c r="H323" t="s">
        <v>942</v>
      </c>
      <c r="I323" s="4">
        <v>1071</v>
      </c>
      <c r="J323" s="4">
        <v>3996</v>
      </c>
      <c r="K323" s="4">
        <v>609</v>
      </c>
      <c r="L323" s="4">
        <v>9911</v>
      </c>
      <c r="M323" s="4">
        <f>Table1[[#This Row],[Visit Cost]]+Table1[[#This Row],[Lab Cost]]+Table1[[#This Row],[Medicine Cost]]+Table1[[#This Row],[Room Charges]]</f>
        <v>15587</v>
      </c>
      <c r="N323" s="5">
        <v>45981</v>
      </c>
      <c r="O323">
        <f>Table1[[#This Row],[Discharge Date]]-Table1[[#This Row],[Visit Date]]</f>
        <v>112</v>
      </c>
      <c r="P323" t="s">
        <v>949</v>
      </c>
      <c r="Q323" s="4">
        <v>0</v>
      </c>
      <c r="R323" s="4">
        <f>Table1[[#This Row],[Total Revenue]]-Table1[[#This Row],[Insurance Claim Amount]]</f>
        <v>15587</v>
      </c>
      <c r="S323">
        <v>2</v>
      </c>
      <c r="T323" t="str">
        <f t="shared" ref="T323:T386" si="10">TEXT(F323,"MMM")</f>
        <v>Jul</v>
      </c>
      <c r="U323">
        <f t="shared" ref="U323:U386" si="11">YEAR(F323)</f>
        <v>2025</v>
      </c>
    </row>
    <row r="324" spans="1:21" x14ac:dyDescent="0.3">
      <c r="A324" t="s">
        <v>618</v>
      </c>
      <c r="B324" t="s">
        <v>619</v>
      </c>
      <c r="C324" t="s">
        <v>29</v>
      </c>
      <c r="D324" t="s">
        <v>926</v>
      </c>
      <c r="E324" t="s">
        <v>929</v>
      </c>
      <c r="F324">
        <v>45864</v>
      </c>
      <c r="G324" t="s">
        <v>936</v>
      </c>
      <c r="H324" t="s">
        <v>940</v>
      </c>
      <c r="I324" s="4">
        <v>2347</v>
      </c>
      <c r="J324" s="4">
        <v>2354</v>
      </c>
      <c r="K324" s="4">
        <v>2092</v>
      </c>
      <c r="L324" s="4">
        <v>3310</v>
      </c>
      <c r="M324" s="4">
        <f>Table1[[#This Row],[Visit Cost]]+Table1[[#This Row],[Lab Cost]]+Table1[[#This Row],[Medicine Cost]]+Table1[[#This Row],[Room Charges]]</f>
        <v>10103</v>
      </c>
      <c r="N324" s="5">
        <v>45997</v>
      </c>
      <c r="O324">
        <f>Table1[[#This Row],[Discharge Date]]-Table1[[#This Row],[Visit Date]]</f>
        <v>133</v>
      </c>
      <c r="P324" t="s">
        <v>948</v>
      </c>
      <c r="Q324" s="4">
        <v>4247</v>
      </c>
      <c r="R324" s="4">
        <f>Table1[[#This Row],[Total Revenue]]-Table1[[#This Row],[Insurance Claim Amount]]</f>
        <v>5856</v>
      </c>
      <c r="S324">
        <v>4</v>
      </c>
      <c r="T324" t="str">
        <f t="shared" si="10"/>
        <v>Jul</v>
      </c>
      <c r="U324">
        <f t="shared" si="11"/>
        <v>2025</v>
      </c>
    </row>
    <row r="325" spans="1:21" x14ac:dyDescent="0.3">
      <c r="A325" t="s">
        <v>620</v>
      </c>
      <c r="B325" t="s">
        <v>621</v>
      </c>
      <c r="C325" t="s">
        <v>29</v>
      </c>
      <c r="D325" t="s">
        <v>926</v>
      </c>
      <c r="E325" t="s">
        <v>931</v>
      </c>
      <c r="F325">
        <v>45789</v>
      </c>
      <c r="G325" t="s">
        <v>937</v>
      </c>
      <c r="H325" t="s">
        <v>942</v>
      </c>
      <c r="I325" s="4">
        <v>1774</v>
      </c>
      <c r="J325" s="4">
        <v>2417</v>
      </c>
      <c r="K325" s="4">
        <v>581</v>
      </c>
      <c r="L325" s="4">
        <v>3130</v>
      </c>
      <c r="M325" s="4">
        <f>Table1[[#This Row],[Visit Cost]]+Table1[[#This Row],[Lab Cost]]+Table1[[#This Row],[Medicine Cost]]+Table1[[#This Row],[Room Charges]]</f>
        <v>7902</v>
      </c>
      <c r="N325" s="5">
        <v>45843</v>
      </c>
      <c r="O325">
        <f>Table1[[#This Row],[Discharge Date]]-Table1[[#This Row],[Visit Date]]</f>
        <v>54</v>
      </c>
      <c r="P325" t="s">
        <v>948</v>
      </c>
      <c r="Q325" s="4">
        <v>7392</v>
      </c>
      <c r="R325" s="4">
        <f>Table1[[#This Row],[Total Revenue]]-Table1[[#This Row],[Insurance Claim Amount]]</f>
        <v>510</v>
      </c>
      <c r="S325">
        <v>3</v>
      </c>
      <c r="T325" t="str">
        <f t="shared" si="10"/>
        <v>May</v>
      </c>
      <c r="U325">
        <f t="shared" si="11"/>
        <v>2025</v>
      </c>
    </row>
    <row r="326" spans="1:21" x14ac:dyDescent="0.3">
      <c r="A326" t="s">
        <v>622</v>
      </c>
      <c r="B326" t="s">
        <v>623</v>
      </c>
      <c r="C326" t="s">
        <v>29</v>
      </c>
      <c r="D326" t="s">
        <v>926</v>
      </c>
      <c r="E326" t="s">
        <v>933</v>
      </c>
      <c r="F326">
        <v>45916</v>
      </c>
      <c r="G326" t="s">
        <v>935</v>
      </c>
      <c r="H326" t="s">
        <v>945</v>
      </c>
      <c r="I326" s="4">
        <v>2424</v>
      </c>
      <c r="J326" s="4">
        <v>3068</v>
      </c>
      <c r="K326" s="4">
        <v>1054</v>
      </c>
      <c r="L326" s="4">
        <v>9447</v>
      </c>
      <c r="M326" s="4">
        <f>Table1[[#This Row],[Visit Cost]]+Table1[[#This Row],[Lab Cost]]+Table1[[#This Row],[Medicine Cost]]+Table1[[#This Row],[Room Charges]]</f>
        <v>15993</v>
      </c>
      <c r="N326" s="5">
        <v>45971</v>
      </c>
      <c r="O326">
        <f>Table1[[#This Row],[Discharge Date]]-Table1[[#This Row],[Visit Date]]</f>
        <v>55</v>
      </c>
      <c r="P326" t="s">
        <v>949</v>
      </c>
      <c r="Q326" s="4">
        <v>0</v>
      </c>
      <c r="R326" s="4">
        <f>Table1[[#This Row],[Total Revenue]]-Table1[[#This Row],[Insurance Claim Amount]]</f>
        <v>15993</v>
      </c>
      <c r="S326">
        <v>2</v>
      </c>
      <c r="T326" t="str">
        <f t="shared" si="10"/>
        <v>Sep</v>
      </c>
      <c r="U326">
        <f t="shared" si="11"/>
        <v>2025</v>
      </c>
    </row>
    <row r="327" spans="1:21" x14ac:dyDescent="0.3">
      <c r="A327" t="s">
        <v>624</v>
      </c>
      <c r="B327" t="s">
        <v>625</v>
      </c>
      <c r="C327" t="s">
        <v>38</v>
      </c>
      <c r="D327" t="s">
        <v>926</v>
      </c>
      <c r="E327" t="s">
        <v>929</v>
      </c>
      <c r="F327">
        <v>45994</v>
      </c>
      <c r="G327" t="s">
        <v>936</v>
      </c>
      <c r="H327" t="s">
        <v>945</v>
      </c>
      <c r="I327" s="4">
        <v>1300</v>
      </c>
      <c r="J327" s="4">
        <v>1800</v>
      </c>
      <c r="K327" s="4">
        <v>1356</v>
      </c>
      <c r="L327" s="4">
        <v>2042</v>
      </c>
      <c r="M327" s="4">
        <f>Table1[[#This Row],[Visit Cost]]+Table1[[#This Row],[Lab Cost]]+Table1[[#This Row],[Medicine Cost]]+Table1[[#This Row],[Room Charges]]</f>
        <v>6498</v>
      </c>
      <c r="N327" s="5">
        <v>46108</v>
      </c>
      <c r="O327">
        <f>Table1[[#This Row],[Discharge Date]]-Table1[[#This Row],[Visit Date]]</f>
        <v>114</v>
      </c>
      <c r="P327" t="s">
        <v>949</v>
      </c>
      <c r="Q327" s="4">
        <v>0</v>
      </c>
      <c r="R327" s="4">
        <f>Table1[[#This Row],[Total Revenue]]-Table1[[#This Row],[Insurance Claim Amount]]</f>
        <v>6498</v>
      </c>
      <c r="S327">
        <v>3</v>
      </c>
      <c r="T327" t="str">
        <f t="shared" si="10"/>
        <v>Dec</v>
      </c>
      <c r="U327">
        <f t="shared" si="11"/>
        <v>2025</v>
      </c>
    </row>
    <row r="328" spans="1:21" x14ac:dyDescent="0.3">
      <c r="A328" t="s">
        <v>626</v>
      </c>
      <c r="B328" t="s">
        <v>627</v>
      </c>
      <c r="C328" t="s">
        <v>29</v>
      </c>
      <c r="D328" t="s">
        <v>85</v>
      </c>
      <c r="E328" t="s">
        <v>930</v>
      </c>
      <c r="F328">
        <v>45855</v>
      </c>
      <c r="G328" t="s">
        <v>938</v>
      </c>
      <c r="H328" t="s">
        <v>945</v>
      </c>
      <c r="I328" s="4">
        <v>2213</v>
      </c>
      <c r="J328" s="4">
        <v>1038</v>
      </c>
      <c r="K328" s="4">
        <v>2418</v>
      </c>
      <c r="L328" s="4">
        <v>6844</v>
      </c>
      <c r="M328" s="4">
        <f>Table1[[#This Row],[Visit Cost]]+Table1[[#This Row],[Lab Cost]]+Table1[[#This Row],[Medicine Cost]]+Table1[[#This Row],[Room Charges]]</f>
        <v>12513</v>
      </c>
      <c r="N328" s="5">
        <v>45951</v>
      </c>
      <c r="O328">
        <f>Table1[[#This Row],[Discharge Date]]-Table1[[#This Row],[Visit Date]]</f>
        <v>96</v>
      </c>
      <c r="P328" t="s">
        <v>948</v>
      </c>
      <c r="Q328" s="4">
        <v>9190</v>
      </c>
      <c r="R328" s="4">
        <f>Table1[[#This Row],[Total Revenue]]-Table1[[#This Row],[Insurance Claim Amount]]</f>
        <v>3323</v>
      </c>
      <c r="S328">
        <v>2</v>
      </c>
      <c r="T328" t="str">
        <f t="shared" si="10"/>
        <v>Jul</v>
      </c>
      <c r="U328">
        <f t="shared" si="11"/>
        <v>2025</v>
      </c>
    </row>
    <row r="329" spans="1:21" x14ac:dyDescent="0.3">
      <c r="A329" t="s">
        <v>628</v>
      </c>
      <c r="B329" t="s">
        <v>629</v>
      </c>
      <c r="C329" t="s">
        <v>38</v>
      </c>
      <c r="D329" t="s">
        <v>164</v>
      </c>
      <c r="E329" t="s">
        <v>930</v>
      </c>
      <c r="F329">
        <v>45951</v>
      </c>
      <c r="G329" t="s">
        <v>937</v>
      </c>
      <c r="H329" t="s">
        <v>940</v>
      </c>
      <c r="I329" s="4">
        <v>2108</v>
      </c>
      <c r="J329" s="4">
        <v>1000</v>
      </c>
      <c r="K329" s="4">
        <v>2054</v>
      </c>
      <c r="L329" s="4">
        <v>1150</v>
      </c>
      <c r="M329" s="4">
        <f>Table1[[#This Row],[Visit Cost]]+Table1[[#This Row],[Lab Cost]]+Table1[[#This Row],[Medicine Cost]]+Table1[[#This Row],[Room Charges]]</f>
        <v>6312</v>
      </c>
      <c r="N329" s="5">
        <v>45966</v>
      </c>
      <c r="O329">
        <f>Table1[[#This Row],[Discharge Date]]-Table1[[#This Row],[Visit Date]]</f>
        <v>15</v>
      </c>
      <c r="P329" t="s">
        <v>948</v>
      </c>
      <c r="Q329" s="4">
        <v>483</v>
      </c>
      <c r="R329" s="4">
        <f>Table1[[#This Row],[Total Revenue]]-Table1[[#This Row],[Insurance Claim Amount]]</f>
        <v>5829</v>
      </c>
      <c r="S329">
        <v>2</v>
      </c>
      <c r="T329" t="str">
        <f t="shared" si="10"/>
        <v>Oct</v>
      </c>
      <c r="U329">
        <f t="shared" si="11"/>
        <v>2025</v>
      </c>
    </row>
    <row r="330" spans="1:21" x14ac:dyDescent="0.3">
      <c r="A330" t="s">
        <v>630</v>
      </c>
      <c r="B330" t="s">
        <v>388</v>
      </c>
      <c r="C330" t="s">
        <v>11</v>
      </c>
      <c r="D330" t="s">
        <v>924</v>
      </c>
      <c r="E330" t="s">
        <v>932</v>
      </c>
      <c r="F330">
        <v>45835</v>
      </c>
      <c r="G330" t="s">
        <v>936</v>
      </c>
      <c r="H330" t="s">
        <v>944</v>
      </c>
      <c r="I330" s="4">
        <v>1661</v>
      </c>
      <c r="J330" s="4">
        <v>2948</v>
      </c>
      <c r="K330" s="4">
        <v>1621</v>
      </c>
      <c r="L330" s="4">
        <v>6786</v>
      </c>
      <c r="M330" s="4">
        <f>Table1[[#This Row],[Visit Cost]]+Table1[[#This Row],[Lab Cost]]+Table1[[#This Row],[Medicine Cost]]+Table1[[#This Row],[Room Charges]]</f>
        <v>13016</v>
      </c>
      <c r="N330" s="5">
        <v>45901</v>
      </c>
      <c r="O330">
        <f>Table1[[#This Row],[Discharge Date]]-Table1[[#This Row],[Visit Date]]</f>
        <v>66</v>
      </c>
      <c r="P330" t="s">
        <v>949</v>
      </c>
      <c r="Q330" s="4">
        <v>0</v>
      </c>
      <c r="R330" s="4">
        <f>Table1[[#This Row],[Total Revenue]]-Table1[[#This Row],[Insurance Claim Amount]]</f>
        <v>13016</v>
      </c>
      <c r="S330">
        <v>5</v>
      </c>
      <c r="T330" t="str">
        <f t="shared" si="10"/>
        <v>Jun</v>
      </c>
      <c r="U330">
        <f t="shared" si="11"/>
        <v>2025</v>
      </c>
    </row>
    <row r="331" spans="1:21" x14ac:dyDescent="0.3">
      <c r="A331" t="s">
        <v>631</v>
      </c>
      <c r="B331" t="s">
        <v>156</v>
      </c>
      <c r="C331" t="s">
        <v>47</v>
      </c>
      <c r="D331" t="s">
        <v>80</v>
      </c>
      <c r="E331" t="s">
        <v>929</v>
      </c>
      <c r="F331">
        <v>46020</v>
      </c>
      <c r="G331" t="s">
        <v>935</v>
      </c>
      <c r="H331" t="s">
        <v>942</v>
      </c>
      <c r="I331" s="4">
        <v>1229</v>
      </c>
      <c r="J331" s="4">
        <v>3466</v>
      </c>
      <c r="K331" s="4">
        <v>712</v>
      </c>
      <c r="L331" s="4">
        <v>5551</v>
      </c>
      <c r="M331" s="4">
        <f>Table1[[#This Row],[Visit Cost]]+Table1[[#This Row],[Lab Cost]]+Table1[[#This Row],[Medicine Cost]]+Table1[[#This Row],[Room Charges]]</f>
        <v>10958</v>
      </c>
      <c r="N331" s="5">
        <v>46112</v>
      </c>
      <c r="O331">
        <f>Table1[[#This Row],[Discharge Date]]-Table1[[#This Row],[Visit Date]]</f>
        <v>92</v>
      </c>
      <c r="P331" t="s">
        <v>949</v>
      </c>
      <c r="Q331" s="4">
        <v>0</v>
      </c>
      <c r="R331" s="4">
        <f>Table1[[#This Row],[Total Revenue]]-Table1[[#This Row],[Insurance Claim Amount]]</f>
        <v>10958</v>
      </c>
      <c r="S331">
        <v>5</v>
      </c>
      <c r="T331" t="str">
        <f t="shared" si="10"/>
        <v>Dec</v>
      </c>
      <c r="U331">
        <f t="shared" si="11"/>
        <v>2025</v>
      </c>
    </row>
    <row r="332" spans="1:21" x14ac:dyDescent="0.3">
      <c r="A332" t="s">
        <v>632</v>
      </c>
      <c r="B332" t="s">
        <v>26</v>
      </c>
      <c r="C332" t="s">
        <v>16</v>
      </c>
      <c r="D332" t="s">
        <v>924</v>
      </c>
      <c r="E332" t="s">
        <v>933</v>
      </c>
      <c r="F332">
        <v>45980</v>
      </c>
      <c r="G332" t="s">
        <v>936</v>
      </c>
      <c r="H332" t="s">
        <v>944</v>
      </c>
      <c r="I332" s="4">
        <v>834</v>
      </c>
      <c r="J332" s="4">
        <v>1310</v>
      </c>
      <c r="K332" s="4">
        <v>2944</v>
      </c>
      <c r="L332" s="4">
        <v>1400</v>
      </c>
      <c r="M332" s="4">
        <f>Table1[[#This Row],[Visit Cost]]+Table1[[#This Row],[Lab Cost]]+Table1[[#This Row],[Medicine Cost]]+Table1[[#This Row],[Room Charges]]</f>
        <v>6488</v>
      </c>
      <c r="N332" s="5">
        <v>45986</v>
      </c>
      <c r="O332">
        <f>Table1[[#This Row],[Discharge Date]]-Table1[[#This Row],[Visit Date]]</f>
        <v>6</v>
      </c>
      <c r="P332" t="s">
        <v>948</v>
      </c>
      <c r="Q332" s="4">
        <v>2061</v>
      </c>
      <c r="R332" s="4">
        <f>Table1[[#This Row],[Total Revenue]]-Table1[[#This Row],[Insurance Claim Amount]]</f>
        <v>4427</v>
      </c>
      <c r="S332">
        <v>4</v>
      </c>
      <c r="T332" t="str">
        <f t="shared" si="10"/>
        <v>Nov</v>
      </c>
      <c r="U332">
        <f t="shared" si="11"/>
        <v>2025</v>
      </c>
    </row>
    <row r="333" spans="1:21" x14ac:dyDescent="0.3">
      <c r="A333" t="s">
        <v>633</v>
      </c>
      <c r="B333" t="s">
        <v>257</v>
      </c>
      <c r="C333" t="s">
        <v>11</v>
      </c>
      <c r="D333" t="s">
        <v>924</v>
      </c>
      <c r="E333" t="s">
        <v>931</v>
      </c>
      <c r="F333">
        <v>45683</v>
      </c>
      <c r="G333" t="s">
        <v>938</v>
      </c>
      <c r="H333" t="s">
        <v>945</v>
      </c>
      <c r="I333" s="4">
        <v>1591</v>
      </c>
      <c r="J333" s="4">
        <v>4494</v>
      </c>
      <c r="K333" s="4">
        <v>537</v>
      </c>
      <c r="L333" s="4">
        <v>3000</v>
      </c>
      <c r="M333" s="4">
        <f>Table1[[#This Row],[Visit Cost]]+Table1[[#This Row],[Lab Cost]]+Table1[[#This Row],[Medicine Cost]]+Table1[[#This Row],[Room Charges]]</f>
        <v>9622</v>
      </c>
      <c r="N333" s="5">
        <v>45710</v>
      </c>
      <c r="O333">
        <f>Table1[[#This Row],[Discharge Date]]-Table1[[#This Row],[Visit Date]]</f>
        <v>27</v>
      </c>
      <c r="P333" t="s">
        <v>949</v>
      </c>
      <c r="Q333" s="4">
        <v>0</v>
      </c>
      <c r="R333" s="4">
        <f>Table1[[#This Row],[Total Revenue]]-Table1[[#This Row],[Insurance Claim Amount]]</f>
        <v>9622</v>
      </c>
      <c r="S333">
        <v>2</v>
      </c>
      <c r="T333" t="str">
        <f t="shared" si="10"/>
        <v>Jan</v>
      </c>
      <c r="U333">
        <f t="shared" si="11"/>
        <v>2025</v>
      </c>
    </row>
    <row r="334" spans="1:21" x14ac:dyDescent="0.3">
      <c r="A334" t="s">
        <v>634</v>
      </c>
      <c r="B334" t="s">
        <v>635</v>
      </c>
      <c r="C334" t="s">
        <v>38</v>
      </c>
      <c r="D334" t="s">
        <v>164</v>
      </c>
      <c r="E334" t="s">
        <v>933</v>
      </c>
      <c r="F334">
        <v>45879</v>
      </c>
      <c r="G334" t="s">
        <v>937</v>
      </c>
      <c r="H334" t="s">
        <v>942</v>
      </c>
      <c r="I334" s="4">
        <v>1609</v>
      </c>
      <c r="J334" s="4">
        <v>2107</v>
      </c>
      <c r="K334" s="4">
        <v>1076</v>
      </c>
      <c r="L334" s="4">
        <v>7764</v>
      </c>
      <c r="M334" s="4">
        <f>Table1[[#This Row],[Visit Cost]]+Table1[[#This Row],[Lab Cost]]+Table1[[#This Row],[Medicine Cost]]+Table1[[#This Row],[Room Charges]]</f>
        <v>12556</v>
      </c>
      <c r="N334" s="5">
        <v>45968</v>
      </c>
      <c r="O334">
        <f>Table1[[#This Row],[Discharge Date]]-Table1[[#This Row],[Visit Date]]</f>
        <v>89</v>
      </c>
      <c r="P334" t="s">
        <v>949</v>
      </c>
      <c r="Q334" s="4">
        <v>0</v>
      </c>
      <c r="R334" s="4">
        <f>Table1[[#This Row],[Total Revenue]]-Table1[[#This Row],[Insurance Claim Amount]]</f>
        <v>12556</v>
      </c>
      <c r="S334">
        <v>1</v>
      </c>
      <c r="T334" t="str">
        <f t="shared" si="10"/>
        <v>Aug</v>
      </c>
      <c r="U334">
        <f t="shared" si="11"/>
        <v>2025</v>
      </c>
    </row>
    <row r="335" spans="1:21" x14ac:dyDescent="0.3">
      <c r="A335" t="s">
        <v>636</v>
      </c>
      <c r="B335" t="s">
        <v>423</v>
      </c>
      <c r="C335" t="s">
        <v>47</v>
      </c>
      <c r="D335" t="s">
        <v>925</v>
      </c>
      <c r="E335" t="s">
        <v>930</v>
      </c>
      <c r="F335">
        <v>45912</v>
      </c>
      <c r="G335" t="s">
        <v>936</v>
      </c>
      <c r="H335" t="s">
        <v>940</v>
      </c>
      <c r="I335" s="4">
        <v>1890</v>
      </c>
      <c r="J335" s="4">
        <v>4167</v>
      </c>
      <c r="K335" s="4">
        <v>595</v>
      </c>
      <c r="L335" s="4">
        <v>3144</v>
      </c>
      <c r="M335" s="4">
        <f>Table1[[#This Row],[Visit Cost]]+Table1[[#This Row],[Lab Cost]]+Table1[[#This Row],[Medicine Cost]]+Table1[[#This Row],[Room Charges]]</f>
        <v>9796</v>
      </c>
      <c r="N335" s="5">
        <v>45964</v>
      </c>
      <c r="O335">
        <f>Table1[[#This Row],[Discharge Date]]-Table1[[#This Row],[Visit Date]]</f>
        <v>52</v>
      </c>
      <c r="P335" t="s">
        <v>949</v>
      </c>
      <c r="Q335" s="4">
        <v>0</v>
      </c>
      <c r="R335" s="4">
        <f>Table1[[#This Row],[Total Revenue]]-Table1[[#This Row],[Insurance Claim Amount]]</f>
        <v>9796</v>
      </c>
      <c r="S335">
        <v>3</v>
      </c>
      <c r="T335" t="str">
        <f t="shared" si="10"/>
        <v>Sep</v>
      </c>
      <c r="U335">
        <f t="shared" si="11"/>
        <v>2025</v>
      </c>
    </row>
    <row r="336" spans="1:21" x14ac:dyDescent="0.3">
      <c r="A336" t="s">
        <v>637</v>
      </c>
      <c r="B336" t="s">
        <v>289</v>
      </c>
      <c r="C336" t="s">
        <v>6</v>
      </c>
      <c r="D336" t="s">
        <v>80</v>
      </c>
      <c r="E336" t="s">
        <v>931</v>
      </c>
      <c r="F336">
        <v>45706</v>
      </c>
      <c r="G336" t="s">
        <v>935</v>
      </c>
      <c r="H336" t="s">
        <v>940</v>
      </c>
      <c r="I336" s="4">
        <v>1856</v>
      </c>
      <c r="J336" s="4">
        <v>3458</v>
      </c>
      <c r="K336" s="4">
        <v>1127</v>
      </c>
      <c r="L336" s="4">
        <v>1841</v>
      </c>
      <c r="M336" s="4">
        <f>Table1[[#This Row],[Visit Cost]]+Table1[[#This Row],[Lab Cost]]+Table1[[#This Row],[Medicine Cost]]+Table1[[#This Row],[Room Charges]]</f>
        <v>8282</v>
      </c>
      <c r="N336" s="5">
        <v>45779</v>
      </c>
      <c r="O336">
        <f>Table1[[#This Row],[Discharge Date]]-Table1[[#This Row],[Visit Date]]</f>
        <v>73</v>
      </c>
      <c r="P336" t="s">
        <v>948</v>
      </c>
      <c r="Q336" s="4">
        <v>2722</v>
      </c>
      <c r="R336" s="4">
        <f>Table1[[#This Row],[Total Revenue]]-Table1[[#This Row],[Insurance Claim Amount]]</f>
        <v>5560</v>
      </c>
      <c r="S336">
        <v>4</v>
      </c>
      <c r="T336" t="str">
        <f t="shared" si="10"/>
        <v>Feb</v>
      </c>
      <c r="U336">
        <f t="shared" si="11"/>
        <v>2025</v>
      </c>
    </row>
    <row r="337" spans="1:21" x14ac:dyDescent="0.3">
      <c r="A337" t="s">
        <v>638</v>
      </c>
      <c r="B337" t="s">
        <v>639</v>
      </c>
      <c r="C337" t="s">
        <v>11</v>
      </c>
      <c r="D337" t="s">
        <v>924</v>
      </c>
      <c r="E337" t="s">
        <v>932</v>
      </c>
      <c r="F337">
        <v>45661</v>
      </c>
      <c r="G337" t="s">
        <v>938</v>
      </c>
      <c r="H337" t="s">
        <v>942</v>
      </c>
      <c r="I337" s="4">
        <v>520</v>
      </c>
      <c r="J337" s="4">
        <v>4406</v>
      </c>
      <c r="K337" s="4">
        <v>2746</v>
      </c>
      <c r="L337" s="4">
        <v>2268</v>
      </c>
      <c r="M337" s="4">
        <f>Table1[[#This Row],[Visit Cost]]+Table1[[#This Row],[Lab Cost]]+Table1[[#This Row],[Medicine Cost]]+Table1[[#This Row],[Room Charges]]</f>
        <v>9940</v>
      </c>
      <c r="N337" s="5">
        <v>45800</v>
      </c>
      <c r="O337">
        <f>Table1[[#This Row],[Discharge Date]]-Table1[[#This Row],[Visit Date]]</f>
        <v>139</v>
      </c>
      <c r="P337" t="s">
        <v>949</v>
      </c>
      <c r="Q337" s="4">
        <v>0</v>
      </c>
      <c r="R337" s="4">
        <f>Table1[[#This Row],[Total Revenue]]-Table1[[#This Row],[Insurance Claim Amount]]</f>
        <v>9940</v>
      </c>
      <c r="S337">
        <v>5</v>
      </c>
      <c r="T337" t="str">
        <f t="shared" si="10"/>
        <v>Jan</v>
      </c>
      <c r="U337">
        <f t="shared" si="11"/>
        <v>2025</v>
      </c>
    </row>
    <row r="338" spans="1:21" x14ac:dyDescent="0.3">
      <c r="A338" t="s">
        <v>640</v>
      </c>
      <c r="B338" t="s">
        <v>641</v>
      </c>
      <c r="C338" t="s">
        <v>6</v>
      </c>
      <c r="D338" t="s">
        <v>925</v>
      </c>
      <c r="E338" t="s">
        <v>929</v>
      </c>
      <c r="F338">
        <v>45959</v>
      </c>
      <c r="G338" t="s">
        <v>936</v>
      </c>
      <c r="H338" t="s">
        <v>942</v>
      </c>
      <c r="I338" s="4">
        <v>1608</v>
      </c>
      <c r="J338" s="4">
        <v>2070</v>
      </c>
      <c r="K338" s="4">
        <v>1133</v>
      </c>
      <c r="L338" s="4">
        <v>4000</v>
      </c>
      <c r="M338" s="4">
        <f>Table1[[#This Row],[Visit Cost]]+Table1[[#This Row],[Lab Cost]]+Table1[[#This Row],[Medicine Cost]]+Table1[[#This Row],[Room Charges]]</f>
        <v>8811</v>
      </c>
      <c r="N338" s="5">
        <v>45992</v>
      </c>
      <c r="O338">
        <f>Table1[[#This Row],[Discharge Date]]-Table1[[#This Row],[Visit Date]]</f>
        <v>33</v>
      </c>
      <c r="P338" t="s">
        <v>948</v>
      </c>
      <c r="Q338" s="4">
        <v>8263</v>
      </c>
      <c r="R338" s="4">
        <f>Table1[[#This Row],[Total Revenue]]-Table1[[#This Row],[Insurance Claim Amount]]</f>
        <v>548</v>
      </c>
      <c r="S338">
        <v>4</v>
      </c>
      <c r="T338" t="str">
        <f t="shared" si="10"/>
        <v>Oct</v>
      </c>
      <c r="U338">
        <f t="shared" si="11"/>
        <v>2025</v>
      </c>
    </row>
    <row r="339" spans="1:21" x14ac:dyDescent="0.3">
      <c r="A339" t="s">
        <v>642</v>
      </c>
      <c r="B339" t="s">
        <v>224</v>
      </c>
      <c r="C339" t="s">
        <v>16</v>
      </c>
      <c r="D339" t="s">
        <v>924</v>
      </c>
      <c r="E339" t="s">
        <v>932</v>
      </c>
      <c r="F339">
        <v>45838</v>
      </c>
      <c r="G339" t="s">
        <v>937</v>
      </c>
      <c r="H339" t="s">
        <v>941</v>
      </c>
      <c r="I339" s="4">
        <v>1257</v>
      </c>
      <c r="J339" s="4">
        <v>1992</v>
      </c>
      <c r="K339" s="4">
        <v>288</v>
      </c>
      <c r="L339" s="4">
        <v>5654</v>
      </c>
      <c r="M339" s="4">
        <f>Table1[[#This Row],[Visit Cost]]+Table1[[#This Row],[Lab Cost]]+Table1[[#This Row],[Medicine Cost]]+Table1[[#This Row],[Room Charges]]</f>
        <v>9191</v>
      </c>
      <c r="N339" s="5">
        <v>45899</v>
      </c>
      <c r="O339">
        <f>Table1[[#This Row],[Discharge Date]]-Table1[[#This Row],[Visit Date]]</f>
        <v>61</v>
      </c>
      <c r="P339" t="s">
        <v>948</v>
      </c>
      <c r="Q339" s="4">
        <v>791</v>
      </c>
      <c r="R339" s="4">
        <f>Table1[[#This Row],[Total Revenue]]-Table1[[#This Row],[Insurance Claim Amount]]</f>
        <v>8400</v>
      </c>
      <c r="S339">
        <v>3</v>
      </c>
      <c r="T339" t="str">
        <f t="shared" si="10"/>
        <v>Jun</v>
      </c>
      <c r="U339">
        <f t="shared" si="11"/>
        <v>2025</v>
      </c>
    </row>
    <row r="340" spans="1:21" x14ac:dyDescent="0.3">
      <c r="A340" t="s">
        <v>643</v>
      </c>
      <c r="B340" t="s">
        <v>103</v>
      </c>
      <c r="C340" t="s">
        <v>6</v>
      </c>
      <c r="D340" t="s">
        <v>925</v>
      </c>
      <c r="E340" t="s">
        <v>931</v>
      </c>
      <c r="F340">
        <v>45815</v>
      </c>
      <c r="G340" t="s">
        <v>935</v>
      </c>
      <c r="H340" t="s">
        <v>944</v>
      </c>
      <c r="I340" s="4">
        <v>1663</v>
      </c>
      <c r="J340" s="4">
        <v>2353</v>
      </c>
      <c r="K340" s="4">
        <v>2655</v>
      </c>
      <c r="L340" s="4">
        <v>2594</v>
      </c>
      <c r="M340" s="4">
        <f>Table1[[#This Row],[Visit Cost]]+Table1[[#This Row],[Lab Cost]]+Table1[[#This Row],[Medicine Cost]]+Table1[[#This Row],[Room Charges]]</f>
        <v>9265</v>
      </c>
      <c r="N340" s="5">
        <v>45848</v>
      </c>
      <c r="O340">
        <f>Table1[[#This Row],[Discharge Date]]-Table1[[#This Row],[Visit Date]]</f>
        <v>33</v>
      </c>
      <c r="P340" t="s">
        <v>949</v>
      </c>
      <c r="Q340" s="4">
        <v>0</v>
      </c>
      <c r="R340" s="4">
        <f>Table1[[#This Row],[Total Revenue]]-Table1[[#This Row],[Insurance Claim Amount]]</f>
        <v>9265</v>
      </c>
      <c r="S340">
        <v>3</v>
      </c>
      <c r="T340" t="str">
        <f t="shared" si="10"/>
        <v>Jun</v>
      </c>
      <c r="U340">
        <f t="shared" si="11"/>
        <v>2025</v>
      </c>
    </row>
    <row r="341" spans="1:21" x14ac:dyDescent="0.3">
      <c r="A341" t="s">
        <v>644</v>
      </c>
      <c r="B341" t="s">
        <v>418</v>
      </c>
      <c r="C341" t="s">
        <v>16</v>
      </c>
      <c r="D341" t="s">
        <v>924</v>
      </c>
      <c r="E341" t="s">
        <v>930</v>
      </c>
      <c r="F341">
        <v>46023</v>
      </c>
      <c r="G341" t="s">
        <v>936</v>
      </c>
      <c r="H341" t="s">
        <v>941</v>
      </c>
      <c r="I341" s="4">
        <v>786</v>
      </c>
      <c r="J341" s="4">
        <v>0</v>
      </c>
      <c r="K341" s="4">
        <v>2506</v>
      </c>
      <c r="L341" s="4">
        <v>1710</v>
      </c>
      <c r="M341" s="4">
        <f>Table1[[#This Row],[Visit Cost]]+Table1[[#This Row],[Lab Cost]]+Table1[[#This Row],[Medicine Cost]]+Table1[[#This Row],[Room Charges]]</f>
        <v>5002</v>
      </c>
      <c r="N341" s="5">
        <v>46062</v>
      </c>
      <c r="O341">
        <f>Table1[[#This Row],[Discharge Date]]-Table1[[#This Row],[Visit Date]]</f>
        <v>39</v>
      </c>
      <c r="P341" t="s">
        <v>948</v>
      </c>
      <c r="Q341" s="4">
        <v>4162</v>
      </c>
      <c r="R341" s="4">
        <f>Table1[[#This Row],[Total Revenue]]-Table1[[#This Row],[Insurance Claim Amount]]</f>
        <v>840</v>
      </c>
      <c r="S341">
        <v>3</v>
      </c>
      <c r="T341" t="str">
        <f t="shared" si="10"/>
        <v>Jan</v>
      </c>
      <c r="U341">
        <f t="shared" si="11"/>
        <v>2026</v>
      </c>
    </row>
    <row r="342" spans="1:21" x14ac:dyDescent="0.3">
      <c r="A342" t="s">
        <v>645</v>
      </c>
      <c r="B342" t="s">
        <v>646</v>
      </c>
      <c r="C342" t="s">
        <v>29</v>
      </c>
      <c r="D342" t="s">
        <v>926</v>
      </c>
      <c r="E342" t="s">
        <v>930</v>
      </c>
      <c r="F342">
        <v>45765</v>
      </c>
      <c r="G342" t="s">
        <v>938</v>
      </c>
      <c r="H342" t="s">
        <v>944</v>
      </c>
      <c r="I342" s="4">
        <v>1875</v>
      </c>
      <c r="J342" s="4">
        <v>4221</v>
      </c>
      <c r="K342" s="4">
        <v>2237</v>
      </c>
      <c r="L342" s="4">
        <v>3884</v>
      </c>
      <c r="M342" s="4">
        <f>Table1[[#This Row],[Visit Cost]]+Table1[[#This Row],[Lab Cost]]+Table1[[#This Row],[Medicine Cost]]+Table1[[#This Row],[Room Charges]]</f>
        <v>12217</v>
      </c>
      <c r="N342" s="5">
        <v>45837</v>
      </c>
      <c r="O342">
        <f>Table1[[#This Row],[Discharge Date]]-Table1[[#This Row],[Visit Date]]</f>
        <v>72</v>
      </c>
      <c r="P342" t="s">
        <v>949</v>
      </c>
      <c r="Q342" s="4">
        <v>0</v>
      </c>
      <c r="R342" s="4">
        <f>Table1[[#This Row],[Total Revenue]]-Table1[[#This Row],[Insurance Claim Amount]]</f>
        <v>12217</v>
      </c>
      <c r="S342">
        <v>1</v>
      </c>
      <c r="T342" t="str">
        <f t="shared" si="10"/>
        <v>Apr</v>
      </c>
      <c r="U342">
        <f t="shared" si="11"/>
        <v>2025</v>
      </c>
    </row>
    <row r="343" spans="1:21" x14ac:dyDescent="0.3">
      <c r="A343" t="s">
        <v>647</v>
      </c>
      <c r="B343" t="s">
        <v>648</v>
      </c>
      <c r="C343" t="s">
        <v>11</v>
      </c>
      <c r="D343" t="s">
        <v>85</v>
      </c>
      <c r="E343" t="s">
        <v>932</v>
      </c>
      <c r="F343">
        <v>45912</v>
      </c>
      <c r="G343" t="s">
        <v>937</v>
      </c>
      <c r="H343" t="s">
        <v>944</v>
      </c>
      <c r="I343" s="4">
        <v>730</v>
      </c>
      <c r="J343" s="4">
        <v>4413</v>
      </c>
      <c r="K343" s="4">
        <v>2823</v>
      </c>
      <c r="L343" s="4">
        <v>7994</v>
      </c>
      <c r="M343" s="4">
        <f>Table1[[#This Row],[Visit Cost]]+Table1[[#This Row],[Lab Cost]]+Table1[[#This Row],[Medicine Cost]]+Table1[[#This Row],[Room Charges]]</f>
        <v>15960</v>
      </c>
      <c r="N343" s="5">
        <v>45984</v>
      </c>
      <c r="O343">
        <f>Table1[[#This Row],[Discharge Date]]-Table1[[#This Row],[Visit Date]]</f>
        <v>72</v>
      </c>
      <c r="P343" t="s">
        <v>948</v>
      </c>
      <c r="Q343" s="4">
        <v>12601</v>
      </c>
      <c r="R343" s="4">
        <f>Table1[[#This Row],[Total Revenue]]-Table1[[#This Row],[Insurance Claim Amount]]</f>
        <v>3359</v>
      </c>
      <c r="S343">
        <v>3</v>
      </c>
      <c r="T343" t="str">
        <f t="shared" si="10"/>
        <v>Sep</v>
      </c>
      <c r="U343">
        <f t="shared" si="11"/>
        <v>2025</v>
      </c>
    </row>
    <row r="344" spans="1:21" x14ac:dyDescent="0.3">
      <c r="A344" t="s">
        <v>649</v>
      </c>
      <c r="B344" t="s">
        <v>650</v>
      </c>
      <c r="C344" t="s">
        <v>16</v>
      </c>
      <c r="D344" t="s">
        <v>926</v>
      </c>
      <c r="E344" t="s">
        <v>931</v>
      </c>
      <c r="F344">
        <v>45892</v>
      </c>
      <c r="G344" t="s">
        <v>936</v>
      </c>
      <c r="H344" t="s">
        <v>941</v>
      </c>
      <c r="I344" s="4">
        <v>2315</v>
      </c>
      <c r="J344" s="4">
        <v>2514</v>
      </c>
      <c r="K344" s="4">
        <v>588</v>
      </c>
      <c r="L344" s="4">
        <v>7445</v>
      </c>
      <c r="M344" s="4">
        <f>Table1[[#This Row],[Visit Cost]]+Table1[[#This Row],[Lab Cost]]+Table1[[#This Row],[Medicine Cost]]+Table1[[#This Row],[Room Charges]]</f>
        <v>12862</v>
      </c>
      <c r="N344" s="5">
        <v>45949</v>
      </c>
      <c r="O344">
        <f>Table1[[#This Row],[Discharge Date]]-Table1[[#This Row],[Visit Date]]</f>
        <v>57</v>
      </c>
      <c r="P344" t="s">
        <v>948</v>
      </c>
      <c r="Q344" s="4">
        <v>5314</v>
      </c>
      <c r="R344" s="4">
        <f>Table1[[#This Row],[Total Revenue]]-Table1[[#This Row],[Insurance Claim Amount]]</f>
        <v>7548</v>
      </c>
      <c r="S344">
        <v>2</v>
      </c>
      <c r="T344" t="str">
        <f t="shared" si="10"/>
        <v>Aug</v>
      </c>
      <c r="U344">
        <f t="shared" si="11"/>
        <v>2025</v>
      </c>
    </row>
    <row r="345" spans="1:21" x14ac:dyDescent="0.3">
      <c r="A345" t="s">
        <v>651</v>
      </c>
      <c r="B345" t="s">
        <v>652</v>
      </c>
      <c r="C345" t="s">
        <v>38</v>
      </c>
      <c r="D345" t="s">
        <v>164</v>
      </c>
      <c r="E345" t="s">
        <v>929</v>
      </c>
      <c r="F345">
        <v>45972</v>
      </c>
      <c r="G345" t="s">
        <v>935</v>
      </c>
      <c r="H345" t="s">
        <v>941</v>
      </c>
      <c r="I345" s="4">
        <v>1647</v>
      </c>
      <c r="J345" s="4">
        <v>1600</v>
      </c>
      <c r="K345" s="4">
        <v>2157</v>
      </c>
      <c r="L345" s="4">
        <v>3804</v>
      </c>
      <c r="M345" s="4">
        <f>Table1[[#This Row],[Visit Cost]]+Table1[[#This Row],[Lab Cost]]+Table1[[#This Row],[Medicine Cost]]+Table1[[#This Row],[Room Charges]]</f>
        <v>9208</v>
      </c>
      <c r="N345" s="5">
        <v>46088</v>
      </c>
      <c r="O345">
        <f>Table1[[#This Row],[Discharge Date]]-Table1[[#This Row],[Visit Date]]</f>
        <v>116</v>
      </c>
      <c r="P345" t="s">
        <v>948</v>
      </c>
      <c r="Q345" s="4">
        <v>141</v>
      </c>
      <c r="R345" s="4">
        <f>Table1[[#This Row],[Total Revenue]]-Table1[[#This Row],[Insurance Claim Amount]]</f>
        <v>9067</v>
      </c>
      <c r="S345">
        <v>2</v>
      </c>
      <c r="T345" t="str">
        <f t="shared" si="10"/>
        <v>Nov</v>
      </c>
      <c r="U345">
        <f t="shared" si="11"/>
        <v>2025</v>
      </c>
    </row>
    <row r="346" spans="1:21" x14ac:dyDescent="0.3">
      <c r="A346" t="s">
        <v>653</v>
      </c>
      <c r="B346" t="s">
        <v>534</v>
      </c>
      <c r="C346" t="s">
        <v>29</v>
      </c>
      <c r="D346" t="s">
        <v>926</v>
      </c>
      <c r="E346" t="s">
        <v>933</v>
      </c>
      <c r="F346">
        <v>45705</v>
      </c>
      <c r="G346" t="s">
        <v>936</v>
      </c>
      <c r="H346" t="s">
        <v>942</v>
      </c>
      <c r="I346" s="4">
        <v>626</v>
      </c>
      <c r="J346" s="4">
        <v>4215</v>
      </c>
      <c r="K346" s="4">
        <v>475</v>
      </c>
      <c r="L346" s="4">
        <v>8953</v>
      </c>
      <c r="M346" s="4">
        <f>Table1[[#This Row],[Visit Cost]]+Table1[[#This Row],[Lab Cost]]+Table1[[#This Row],[Medicine Cost]]+Table1[[#This Row],[Room Charges]]</f>
        <v>14269</v>
      </c>
      <c r="N346" s="5">
        <v>45799</v>
      </c>
      <c r="O346">
        <f>Table1[[#This Row],[Discharge Date]]-Table1[[#This Row],[Visit Date]]</f>
        <v>94</v>
      </c>
      <c r="P346" t="s">
        <v>948</v>
      </c>
      <c r="Q346" s="4">
        <v>4342</v>
      </c>
      <c r="R346" s="4">
        <f>Table1[[#This Row],[Total Revenue]]-Table1[[#This Row],[Insurance Claim Amount]]</f>
        <v>9927</v>
      </c>
      <c r="S346">
        <v>2</v>
      </c>
      <c r="T346" t="str">
        <f t="shared" si="10"/>
        <v>Feb</v>
      </c>
      <c r="U346">
        <f t="shared" si="11"/>
        <v>2025</v>
      </c>
    </row>
    <row r="347" spans="1:21" x14ac:dyDescent="0.3">
      <c r="A347" t="s">
        <v>654</v>
      </c>
      <c r="B347" t="s">
        <v>655</v>
      </c>
      <c r="C347" t="s">
        <v>6</v>
      </c>
      <c r="D347" t="s">
        <v>252</v>
      </c>
      <c r="E347" t="s">
        <v>933</v>
      </c>
      <c r="F347">
        <v>45976</v>
      </c>
      <c r="G347" t="s">
        <v>938</v>
      </c>
      <c r="H347" t="s">
        <v>941</v>
      </c>
      <c r="I347" s="4">
        <v>694</v>
      </c>
      <c r="J347" s="4">
        <v>3085</v>
      </c>
      <c r="K347" s="4">
        <v>1057</v>
      </c>
      <c r="L347" s="4">
        <v>3606</v>
      </c>
      <c r="M347" s="4">
        <f>Table1[[#This Row],[Visit Cost]]+Table1[[#This Row],[Lab Cost]]+Table1[[#This Row],[Medicine Cost]]+Table1[[#This Row],[Room Charges]]</f>
        <v>8442</v>
      </c>
      <c r="N347" s="5">
        <v>46032</v>
      </c>
      <c r="O347">
        <f>Table1[[#This Row],[Discharge Date]]-Table1[[#This Row],[Visit Date]]</f>
        <v>56</v>
      </c>
      <c r="P347" t="s">
        <v>949</v>
      </c>
      <c r="Q347" s="4">
        <v>0</v>
      </c>
      <c r="R347" s="4">
        <f>Table1[[#This Row],[Total Revenue]]-Table1[[#This Row],[Insurance Claim Amount]]</f>
        <v>8442</v>
      </c>
      <c r="S347">
        <v>5</v>
      </c>
      <c r="T347" t="str">
        <f t="shared" si="10"/>
        <v>Nov</v>
      </c>
      <c r="U347">
        <f t="shared" si="11"/>
        <v>2025</v>
      </c>
    </row>
    <row r="348" spans="1:21" x14ac:dyDescent="0.3">
      <c r="A348" t="s">
        <v>656</v>
      </c>
      <c r="B348" t="s">
        <v>657</v>
      </c>
      <c r="C348" t="s">
        <v>16</v>
      </c>
      <c r="D348" t="s">
        <v>924</v>
      </c>
      <c r="E348" t="s">
        <v>931</v>
      </c>
      <c r="F348">
        <v>45930</v>
      </c>
      <c r="G348" t="s">
        <v>937</v>
      </c>
      <c r="H348" t="s">
        <v>945</v>
      </c>
      <c r="I348" s="4">
        <v>2367</v>
      </c>
      <c r="J348" s="4">
        <v>3189</v>
      </c>
      <c r="K348" s="4">
        <v>1219</v>
      </c>
      <c r="L348" s="4">
        <v>100</v>
      </c>
      <c r="M348" s="4">
        <f>Table1[[#This Row],[Visit Cost]]+Table1[[#This Row],[Lab Cost]]+Table1[[#This Row],[Medicine Cost]]+Table1[[#This Row],[Room Charges]]</f>
        <v>6875</v>
      </c>
      <c r="N348" s="5">
        <v>45943</v>
      </c>
      <c r="O348">
        <f>Table1[[#This Row],[Discharge Date]]-Table1[[#This Row],[Visit Date]]</f>
        <v>13</v>
      </c>
      <c r="P348" t="s">
        <v>948</v>
      </c>
      <c r="Q348" s="4">
        <v>3433</v>
      </c>
      <c r="R348" s="4">
        <f>Table1[[#This Row],[Total Revenue]]-Table1[[#This Row],[Insurance Claim Amount]]</f>
        <v>3442</v>
      </c>
      <c r="S348">
        <v>3</v>
      </c>
      <c r="T348" t="str">
        <f t="shared" si="10"/>
        <v>Sep</v>
      </c>
      <c r="U348">
        <f t="shared" si="11"/>
        <v>2025</v>
      </c>
    </row>
    <row r="349" spans="1:21" x14ac:dyDescent="0.3">
      <c r="A349" t="s">
        <v>658</v>
      </c>
      <c r="B349" t="s">
        <v>659</v>
      </c>
      <c r="C349" t="s">
        <v>6</v>
      </c>
      <c r="D349" t="s">
        <v>80</v>
      </c>
      <c r="E349" t="s">
        <v>932</v>
      </c>
      <c r="F349">
        <v>45700</v>
      </c>
      <c r="G349" t="s">
        <v>936</v>
      </c>
      <c r="H349" t="s">
        <v>943</v>
      </c>
      <c r="I349" s="4">
        <v>840</v>
      </c>
      <c r="J349" s="4">
        <v>823</v>
      </c>
      <c r="K349" s="4">
        <v>2925</v>
      </c>
      <c r="L349" s="4">
        <v>5425</v>
      </c>
      <c r="M349" s="4">
        <f>Table1[[#This Row],[Visit Cost]]+Table1[[#This Row],[Lab Cost]]+Table1[[#This Row],[Medicine Cost]]+Table1[[#This Row],[Room Charges]]</f>
        <v>10013</v>
      </c>
      <c r="N349" s="5">
        <v>45746</v>
      </c>
      <c r="O349">
        <f>Table1[[#This Row],[Discharge Date]]-Table1[[#This Row],[Visit Date]]</f>
        <v>46</v>
      </c>
      <c r="P349" t="s">
        <v>948</v>
      </c>
      <c r="Q349" s="4">
        <v>4765</v>
      </c>
      <c r="R349" s="4">
        <f>Table1[[#This Row],[Total Revenue]]-Table1[[#This Row],[Insurance Claim Amount]]</f>
        <v>5248</v>
      </c>
      <c r="S349">
        <v>3</v>
      </c>
      <c r="T349" t="str">
        <f t="shared" si="10"/>
        <v>Feb</v>
      </c>
      <c r="U349">
        <f t="shared" si="11"/>
        <v>2025</v>
      </c>
    </row>
    <row r="350" spans="1:21" x14ac:dyDescent="0.3">
      <c r="A350" t="s">
        <v>660</v>
      </c>
      <c r="B350" t="s">
        <v>661</v>
      </c>
      <c r="C350" t="s">
        <v>6</v>
      </c>
      <c r="D350" t="s">
        <v>85</v>
      </c>
      <c r="E350" t="s">
        <v>930</v>
      </c>
      <c r="F350">
        <v>45824</v>
      </c>
      <c r="G350" t="s">
        <v>935</v>
      </c>
      <c r="H350" t="s">
        <v>944</v>
      </c>
      <c r="I350" s="4">
        <v>1152</v>
      </c>
      <c r="J350" s="4">
        <v>2387</v>
      </c>
      <c r="K350" s="4">
        <v>1519</v>
      </c>
      <c r="L350" s="4">
        <v>1980</v>
      </c>
      <c r="M350" s="4">
        <f>Table1[[#This Row],[Visit Cost]]+Table1[[#This Row],[Lab Cost]]+Table1[[#This Row],[Medicine Cost]]+Table1[[#This Row],[Room Charges]]</f>
        <v>7038</v>
      </c>
      <c r="N350" s="5">
        <v>45972</v>
      </c>
      <c r="O350">
        <f>Table1[[#This Row],[Discharge Date]]-Table1[[#This Row],[Visit Date]]</f>
        <v>148</v>
      </c>
      <c r="P350" t="s">
        <v>949</v>
      </c>
      <c r="Q350" s="4">
        <v>0</v>
      </c>
      <c r="R350" s="4">
        <f>Table1[[#This Row],[Total Revenue]]-Table1[[#This Row],[Insurance Claim Amount]]</f>
        <v>7038</v>
      </c>
      <c r="S350">
        <v>5</v>
      </c>
      <c r="T350" t="str">
        <f t="shared" si="10"/>
        <v>Jun</v>
      </c>
      <c r="U350">
        <f t="shared" si="11"/>
        <v>2025</v>
      </c>
    </row>
    <row r="351" spans="1:21" x14ac:dyDescent="0.3">
      <c r="A351" t="s">
        <v>662</v>
      </c>
      <c r="B351" t="s">
        <v>663</v>
      </c>
      <c r="C351" t="s">
        <v>6</v>
      </c>
      <c r="D351" t="s">
        <v>80</v>
      </c>
      <c r="E351" t="s">
        <v>929</v>
      </c>
      <c r="F351">
        <v>45842</v>
      </c>
      <c r="G351" t="s">
        <v>938</v>
      </c>
      <c r="H351" t="s">
        <v>941</v>
      </c>
      <c r="I351" s="4">
        <v>2496</v>
      </c>
      <c r="J351" s="4">
        <v>1745</v>
      </c>
      <c r="K351" s="4">
        <v>2413</v>
      </c>
      <c r="L351" s="4">
        <v>800</v>
      </c>
      <c r="M351" s="4">
        <f>Table1[[#This Row],[Visit Cost]]+Table1[[#This Row],[Lab Cost]]+Table1[[#This Row],[Medicine Cost]]+Table1[[#This Row],[Room Charges]]</f>
        <v>7454</v>
      </c>
      <c r="N351" s="5">
        <v>45852</v>
      </c>
      <c r="O351">
        <f>Table1[[#This Row],[Discharge Date]]-Table1[[#This Row],[Visit Date]]</f>
        <v>10</v>
      </c>
      <c r="P351" t="s">
        <v>948</v>
      </c>
      <c r="Q351" s="4">
        <v>2500</v>
      </c>
      <c r="R351" s="4">
        <f>Table1[[#This Row],[Total Revenue]]-Table1[[#This Row],[Insurance Claim Amount]]</f>
        <v>4954</v>
      </c>
      <c r="S351">
        <v>3</v>
      </c>
      <c r="T351" t="str">
        <f t="shared" si="10"/>
        <v>Jul</v>
      </c>
      <c r="U351">
        <f t="shared" si="11"/>
        <v>2025</v>
      </c>
    </row>
    <row r="352" spans="1:21" x14ac:dyDescent="0.3">
      <c r="A352" t="s">
        <v>664</v>
      </c>
      <c r="B352" t="s">
        <v>665</v>
      </c>
      <c r="C352" t="s">
        <v>11</v>
      </c>
      <c r="D352" t="s">
        <v>924</v>
      </c>
      <c r="E352" t="s">
        <v>929</v>
      </c>
      <c r="F352">
        <v>45876</v>
      </c>
      <c r="G352" t="s">
        <v>936</v>
      </c>
      <c r="H352" t="s">
        <v>940</v>
      </c>
      <c r="I352" s="4">
        <v>1008</v>
      </c>
      <c r="J352" s="4">
        <v>784</v>
      </c>
      <c r="K352" s="4">
        <v>835</v>
      </c>
      <c r="L352" s="4">
        <v>1998</v>
      </c>
      <c r="M352" s="4">
        <f>Table1[[#This Row],[Visit Cost]]+Table1[[#This Row],[Lab Cost]]+Table1[[#This Row],[Medicine Cost]]+Table1[[#This Row],[Room Charges]]</f>
        <v>4625</v>
      </c>
      <c r="N352" s="5">
        <v>45956</v>
      </c>
      <c r="O352">
        <f>Table1[[#This Row],[Discharge Date]]-Table1[[#This Row],[Visit Date]]</f>
        <v>80</v>
      </c>
      <c r="P352" t="s">
        <v>948</v>
      </c>
      <c r="Q352" s="4">
        <v>432</v>
      </c>
      <c r="R352" s="4">
        <f>Table1[[#This Row],[Total Revenue]]-Table1[[#This Row],[Insurance Claim Amount]]</f>
        <v>4193</v>
      </c>
      <c r="S352">
        <v>3</v>
      </c>
      <c r="T352" t="str">
        <f t="shared" si="10"/>
        <v>Aug</v>
      </c>
      <c r="U352">
        <f t="shared" si="11"/>
        <v>2025</v>
      </c>
    </row>
    <row r="353" spans="1:21" x14ac:dyDescent="0.3">
      <c r="A353" t="s">
        <v>666</v>
      </c>
      <c r="B353" t="s">
        <v>667</v>
      </c>
      <c r="C353" t="s">
        <v>11</v>
      </c>
      <c r="D353" t="s">
        <v>164</v>
      </c>
      <c r="E353" t="s">
        <v>932</v>
      </c>
      <c r="F353">
        <v>45777</v>
      </c>
      <c r="G353" t="s">
        <v>937</v>
      </c>
      <c r="H353" t="s">
        <v>944</v>
      </c>
      <c r="I353" s="4">
        <v>1891</v>
      </c>
      <c r="J353" s="4">
        <v>1934</v>
      </c>
      <c r="K353" s="4">
        <v>1243</v>
      </c>
      <c r="L353" s="4">
        <v>7164</v>
      </c>
      <c r="M353" s="4">
        <f>Table1[[#This Row],[Visit Cost]]+Table1[[#This Row],[Lab Cost]]+Table1[[#This Row],[Medicine Cost]]+Table1[[#This Row],[Room Charges]]</f>
        <v>12232</v>
      </c>
      <c r="N353" s="5">
        <v>45895</v>
      </c>
      <c r="O353">
        <f>Table1[[#This Row],[Discharge Date]]-Table1[[#This Row],[Visit Date]]</f>
        <v>118</v>
      </c>
      <c r="P353" t="s">
        <v>949</v>
      </c>
      <c r="Q353" s="4">
        <v>0</v>
      </c>
      <c r="R353" s="4">
        <f>Table1[[#This Row],[Total Revenue]]-Table1[[#This Row],[Insurance Claim Amount]]</f>
        <v>12232</v>
      </c>
      <c r="S353">
        <v>2</v>
      </c>
      <c r="T353" t="str">
        <f t="shared" si="10"/>
        <v>Apr</v>
      </c>
      <c r="U353">
        <f t="shared" si="11"/>
        <v>2025</v>
      </c>
    </row>
    <row r="354" spans="1:21" x14ac:dyDescent="0.3">
      <c r="A354" t="s">
        <v>668</v>
      </c>
      <c r="B354" t="s">
        <v>669</v>
      </c>
      <c r="C354" t="s">
        <v>11</v>
      </c>
      <c r="D354" t="s">
        <v>85</v>
      </c>
      <c r="E354" t="s">
        <v>933</v>
      </c>
      <c r="F354">
        <v>45659</v>
      </c>
      <c r="G354" t="s">
        <v>935</v>
      </c>
      <c r="H354" t="s">
        <v>945</v>
      </c>
      <c r="I354" s="4">
        <v>1900</v>
      </c>
      <c r="J354" s="4">
        <v>2100</v>
      </c>
      <c r="K354" s="4">
        <v>1599</v>
      </c>
      <c r="L354" s="4">
        <v>2992</v>
      </c>
      <c r="M354" s="4">
        <f>Table1[[#This Row],[Visit Cost]]+Table1[[#This Row],[Lab Cost]]+Table1[[#This Row],[Medicine Cost]]+Table1[[#This Row],[Room Charges]]</f>
        <v>8591</v>
      </c>
      <c r="N354" s="5">
        <v>45728</v>
      </c>
      <c r="O354">
        <f>Table1[[#This Row],[Discharge Date]]-Table1[[#This Row],[Visit Date]]</f>
        <v>69</v>
      </c>
      <c r="P354" t="s">
        <v>949</v>
      </c>
      <c r="Q354" s="4">
        <v>0</v>
      </c>
      <c r="R354" s="4">
        <f>Table1[[#This Row],[Total Revenue]]-Table1[[#This Row],[Insurance Claim Amount]]</f>
        <v>8591</v>
      </c>
      <c r="S354">
        <v>4</v>
      </c>
      <c r="T354" t="str">
        <f t="shared" si="10"/>
        <v>Jan</v>
      </c>
      <c r="U354">
        <f t="shared" si="11"/>
        <v>2025</v>
      </c>
    </row>
    <row r="355" spans="1:21" x14ac:dyDescent="0.3">
      <c r="A355" t="s">
        <v>670</v>
      </c>
      <c r="B355" t="s">
        <v>156</v>
      </c>
      <c r="C355" t="s">
        <v>29</v>
      </c>
      <c r="D355" t="s">
        <v>926</v>
      </c>
      <c r="E355" t="s">
        <v>931</v>
      </c>
      <c r="F355">
        <v>45792</v>
      </c>
      <c r="G355" t="s">
        <v>936</v>
      </c>
      <c r="H355" t="s">
        <v>943</v>
      </c>
      <c r="I355" s="4">
        <v>2314</v>
      </c>
      <c r="J355" s="4">
        <v>2122</v>
      </c>
      <c r="K355" s="4">
        <v>1831</v>
      </c>
      <c r="L355" s="4">
        <v>3843</v>
      </c>
      <c r="M355" s="4">
        <f>Table1[[#This Row],[Visit Cost]]+Table1[[#This Row],[Lab Cost]]+Table1[[#This Row],[Medicine Cost]]+Table1[[#This Row],[Room Charges]]</f>
        <v>10110</v>
      </c>
      <c r="N355" s="5">
        <v>45873</v>
      </c>
      <c r="O355">
        <f>Table1[[#This Row],[Discharge Date]]-Table1[[#This Row],[Visit Date]]</f>
        <v>81</v>
      </c>
      <c r="P355" t="s">
        <v>949</v>
      </c>
      <c r="Q355" s="4">
        <v>0</v>
      </c>
      <c r="R355" s="4">
        <f>Table1[[#This Row],[Total Revenue]]-Table1[[#This Row],[Insurance Claim Amount]]</f>
        <v>10110</v>
      </c>
      <c r="S355">
        <v>4</v>
      </c>
      <c r="T355" t="str">
        <f t="shared" si="10"/>
        <v>May</v>
      </c>
      <c r="U355">
        <f t="shared" si="11"/>
        <v>2025</v>
      </c>
    </row>
    <row r="356" spans="1:21" x14ac:dyDescent="0.3">
      <c r="A356" t="s">
        <v>671</v>
      </c>
      <c r="B356" t="s">
        <v>672</v>
      </c>
      <c r="C356" t="s">
        <v>16</v>
      </c>
      <c r="D356" t="s">
        <v>252</v>
      </c>
      <c r="E356" t="s">
        <v>930</v>
      </c>
      <c r="F356">
        <v>45711</v>
      </c>
      <c r="G356" t="s">
        <v>938</v>
      </c>
      <c r="H356" t="s">
        <v>942</v>
      </c>
      <c r="I356" s="4">
        <v>951</v>
      </c>
      <c r="J356" s="4">
        <v>4031</v>
      </c>
      <c r="K356" s="4">
        <v>1034</v>
      </c>
      <c r="L356" s="4">
        <v>7171</v>
      </c>
      <c r="M356" s="4">
        <f>Table1[[#This Row],[Visit Cost]]+Table1[[#This Row],[Lab Cost]]+Table1[[#This Row],[Medicine Cost]]+Table1[[#This Row],[Room Charges]]</f>
        <v>13187</v>
      </c>
      <c r="N356" s="5">
        <v>45835</v>
      </c>
      <c r="O356">
        <f>Table1[[#This Row],[Discharge Date]]-Table1[[#This Row],[Visit Date]]</f>
        <v>124</v>
      </c>
      <c r="P356" t="s">
        <v>949</v>
      </c>
      <c r="Q356" s="4">
        <v>0</v>
      </c>
      <c r="R356" s="4">
        <f>Table1[[#This Row],[Total Revenue]]-Table1[[#This Row],[Insurance Claim Amount]]</f>
        <v>13187</v>
      </c>
      <c r="S356">
        <v>1</v>
      </c>
      <c r="T356" t="str">
        <f t="shared" si="10"/>
        <v>Feb</v>
      </c>
      <c r="U356">
        <f t="shared" si="11"/>
        <v>2025</v>
      </c>
    </row>
    <row r="357" spans="1:21" x14ac:dyDescent="0.3">
      <c r="A357" t="s">
        <v>673</v>
      </c>
      <c r="B357" t="s">
        <v>674</v>
      </c>
      <c r="C357" t="s">
        <v>16</v>
      </c>
      <c r="D357" t="s">
        <v>927</v>
      </c>
      <c r="E357" t="s">
        <v>930</v>
      </c>
      <c r="F357">
        <v>45805</v>
      </c>
      <c r="G357" t="s">
        <v>937</v>
      </c>
      <c r="H357" t="s">
        <v>940</v>
      </c>
      <c r="I357" s="4">
        <v>2030</v>
      </c>
      <c r="J357" s="4">
        <v>2189</v>
      </c>
      <c r="K357" s="4">
        <v>746</v>
      </c>
      <c r="L357" s="4">
        <v>900</v>
      </c>
      <c r="M357" s="4">
        <f>Table1[[#This Row],[Visit Cost]]+Table1[[#This Row],[Lab Cost]]+Table1[[#This Row],[Medicine Cost]]+Table1[[#This Row],[Room Charges]]</f>
        <v>5865</v>
      </c>
      <c r="N357" s="5">
        <v>45812</v>
      </c>
      <c r="O357">
        <f>Table1[[#This Row],[Discharge Date]]-Table1[[#This Row],[Visit Date]]</f>
        <v>7</v>
      </c>
      <c r="P357" t="s">
        <v>949</v>
      </c>
      <c r="Q357" s="4">
        <v>0</v>
      </c>
      <c r="R357" s="4">
        <f>Table1[[#This Row],[Total Revenue]]-Table1[[#This Row],[Insurance Claim Amount]]</f>
        <v>5865</v>
      </c>
      <c r="S357">
        <v>2</v>
      </c>
      <c r="T357" t="str">
        <f t="shared" si="10"/>
        <v>May</v>
      </c>
      <c r="U357">
        <f t="shared" si="11"/>
        <v>2025</v>
      </c>
    </row>
    <row r="358" spans="1:21" x14ac:dyDescent="0.3">
      <c r="A358" t="s">
        <v>675</v>
      </c>
      <c r="B358" t="s">
        <v>676</v>
      </c>
      <c r="C358" t="s">
        <v>29</v>
      </c>
      <c r="D358" t="s">
        <v>926</v>
      </c>
      <c r="E358" t="s">
        <v>931</v>
      </c>
      <c r="F358">
        <v>45825</v>
      </c>
      <c r="G358" t="s">
        <v>936</v>
      </c>
      <c r="H358" t="s">
        <v>944</v>
      </c>
      <c r="I358" s="4">
        <v>1787</v>
      </c>
      <c r="J358" s="4">
        <v>3204</v>
      </c>
      <c r="K358" s="4">
        <v>1110</v>
      </c>
      <c r="L358" s="4">
        <v>6261</v>
      </c>
      <c r="M358" s="4">
        <f>Table1[[#This Row],[Visit Cost]]+Table1[[#This Row],[Lab Cost]]+Table1[[#This Row],[Medicine Cost]]+Table1[[#This Row],[Room Charges]]</f>
        <v>12362</v>
      </c>
      <c r="N358" s="5">
        <v>45869</v>
      </c>
      <c r="O358">
        <f>Table1[[#This Row],[Discharge Date]]-Table1[[#This Row],[Visit Date]]</f>
        <v>44</v>
      </c>
      <c r="P358" t="s">
        <v>949</v>
      </c>
      <c r="Q358" s="4">
        <v>0</v>
      </c>
      <c r="R358" s="4">
        <f>Table1[[#This Row],[Total Revenue]]-Table1[[#This Row],[Insurance Claim Amount]]</f>
        <v>12362</v>
      </c>
      <c r="S358">
        <v>3</v>
      </c>
      <c r="T358" t="str">
        <f t="shared" si="10"/>
        <v>Jun</v>
      </c>
      <c r="U358">
        <f t="shared" si="11"/>
        <v>2025</v>
      </c>
    </row>
    <row r="359" spans="1:21" x14ac:dyDescent="0.3">
      <c r="A359" t="s">
        <v>677</v>
      </c>
      <c r="B359" t="s">
        <v>678</v>
      </c>
      <c r="C359" t="s">
        <v>11</v>
      </c>
      <c r="D359" t="s">
        <v>252</v>
      </c>
      <c r="E359" t="s">
        <v>933</v>
      </c>
      <c r="F359">
        <v>45835</v>
      </c>
      <c r="G359" t="s">
        <v>935</v>
      </c>
      <c r="H359" t="s">
        <v>945</v>
      </c>
      <c r="I359" s="4">
        <v>2252</v>
      </c>
      <c r="J359" s="4">
        <v>1149</v>
      </c>
      <c r="K359" s="4">
        <v>2723</v>
      </c>
      <c r="L359" s="4">
        <v>5826</v>
      </c>
      <c r="M359" s="4">
        <f>Table1[[#This Row],[Visit Cost]]+Table1[[#This Row],[Lab Cost]]+Table1[[#This Row],[Medicine Cost]]+Table1[[#This Row],[Room Charges]]</f>
        <v>11950</v>
      </c>
      <c r="N359" s="5">
        <v>45905</v>
      </c>
      <c r="O359">
        <f>Table1[[#This Row],[Discharge Date]]-Table1[[#This Row],[Visit Date]]</f>
        <v>70</v>
      </c>
      <c r="P359" t="s">
        <v>948</v>
      </c>
      <c r="Q359" s="4">
        <v>2051</v>
      </c>
      <c r="R359" s="4">
        <f>Table1[[#This Row],[Total Revenue]]-Table1[[#This Row],[Insurance Claim Amount]]</f>
        <v>9899</v>
      </c>
      <c r="S359">
        <v>2</v>
      </c>
      <c r="T359" t="str">
        <f t="shared" si="10"/>
        <v>Jun</v>
      </c>
      <c r="U359">
        <f t="shared" si="11"/>
        <v>2025</v>
      </c>
    </row>
    <row r="360" spans="1:21" x14ac:dyDescent="0.3">
      <c r="A360" t="s">
        <v>679</v>
      </c>
      <c r="B360" t="s">
        <v>680</v>
      </c>
      <c r="C360" t="s">
        <v>6</v>
      </c>
      <c r="D360" t="s">
        <v>80</v>
      </c>
      <c r="E360" t="s">
        <v>932</v>
      </c>
      <c r="F360">
        <v>45830</v>
      </c>
      <c r="G360" t="s">
        <v>936</v>
      </c>
      <c r="H360" t="s">
        <v>941</v>
      </c>
      <c r="I360" s="4">
        <v>746</v>
      </c>
      <c r="J360" s="4">
        <v>2460</v>
      </c>
      <c r="K360" s="4">
        <v>501</v>
      </c>
      <c r="L360" s="4">
        <v>2000</v>
      </c>
      <c r="M360" s="4">
        <f>Table1[[#This Row],[Visit Cost]]+Table1[[#This Row],[Lab Cost]]+Table1[[#This Row],[Medicine Cost]]+Table1[[#This Row],[Room Charges]]</f>
        <v>5707</v>
      </c>
      <c r="N360" s="5">
        <v>45935</v>
      </c>
      <c r="O360">
        <f>Table1[[#This Row],[Discharge Date]]-Table1[[#This Row],[Visit Date]]</f>
        <v>105</v>
      </c>
      <c r="P360" t="s">
        <v>949</v>
      </c>
      <c r="Q360" s="4">
        <v>0</v>
      </c>
      <c r="R360" s="4">
        <f>Table1[[#This Row],[Total Revenue]]-Table1[[#This Row],[Insurance Claim Amount]]</f>
        <v>5707</v>
      </c>
      <c r="S360">
        <v>3</v>
      </c>
      <c r="T360" t="str">
        <f t="shared" si="10"/>
        <v>Jun</v>
      </c>
      <c r="U360">
        <f t="shared" si="11"/>
        <v>2025</v>
      </c>
    </row>
    <row r="361" spans="1:21" x14ac:dyDescent="0.3">
      <c r="A361" t="s">
        <v>681</v>
      </c>
      <c r="B361" t="s">
        <v>682</v>
      </c>
      <c r="C361" t="s">
        <v>16</v>
      </c>
      <c r="D361" t="s">
        <v>925</v>
      </c>
      <c r="E361" t="s">
        <v>929</v>
      </c>
      <c r="F361">
        <v>45668</v>
      </c>
      <c r="G361" t="s">
        <v>938</v>
      </c>
      <c r="H361" t="s">
        <v>944</v>
      </c>
      <c r="I361" s="4">
        <v>926</v>
      </c>
      <c r="J361" s="4">
        <v>1163</v>
      </c>
      <c r="K361" s="4">
        <v>1940</v>
      </c>
      <c r="L361" s="4">
        <v>5479</v>
      </c>
      <c r="M361" s="4">
        <f>Table1[[#This Row],[Visit Cost]]+Table1[[#This Row],[Lab Cost]]+Table1[[#This Row],[Medicine Cost]]+Table1[[#This Row],[Room Charges]]</f>
        <v>9508</v>
      </c>
      <c r="N361" s="5">
        <v>45705</v>
      </c>
      <c r="O361">
        <f>Table1[[#This Row],[Discharge Date]]-Table1[[#This Row],[Visit Date]]</f>
        <v>37</v>
      </c>
      <c r="P361" t="s">
        <v>949</v>
      </c>
      <c r="Q361" s="4">
        <v>0</v>
      </c>
      <c r="R361" s="4">
        <f>Table1[[#This Row],[Total Revenue]]-Table1[[#This Row],[Insurance Claim Amount]]</f>
        <v>9508</v>
      </c>
      <c r="S361">
        <v>3</v>
      </c>
      <c r="T361" t="str">
        <f t="shared" si="10"/>
        <v>Jan</v>
      </c>
      <c r="U361">
        <f t="shared" si="11"/>
        <v>2025</v>
      </c>
    </row>
    <row r="362" spans="1:21" x14ac:dyDescent="0.3">
      <c r="A362" t="s">
        <v>683</v>
      </c>
      <c r="B362" t="s">
        <v>684</v>
      </c>
      <c r="C362" t="s">
        <v>47</v>
      </c>
      <c r="D362" t="s">
        <v>80</v>
      </c>
      <c r="E362" t="s">
        <v>933</v>
      </c>
      <c r="F362">
        <v>45887</v>
      </c>
      <c r="G362" t="s">
        <v>937</v>
      </c>
      <c r="H362" t="s">
        <v>942</v>
      </c>
      <c r="I362" s="4">
        <v>2402</v>
      </c>
      <c r="J362" s="4">
        <v>1103</v>
      </c>
      <c r="K362" s="4">
        <v>891</v>
      </c>
      <c r="L362" s="4">
        <v>6093</v>
      </c>
      <c r="M362" s="4">
        <f>Table1[[#This Row],[Visit Cost]]+Table1[[#This Row],[Lab Cost]]+Table1[[#This Row],[Medicine Cost]]+Table1[[#This Row],[Room Charges]]</f>
        <v>10489</v>
      </c>
      <c r="N362" s="5">
        <v>45955</v>
      </c>
      <c r="O362">
        <f>Table1[[#This Row],[Discharge Date]]-Table1[[#This Row],[Visit Date]]</f>
        <v>68</v>
      </c>
      <c r="P362" t="s">
        <v>949</v>
      </c>
      <c r="Q362" s="4">
        <v>0</v>
      </c>
      <c r="R362" s="4">
        <f>Table1[[#This Row],[Total Revenue]]-Table1[[#This Row],[Insurance Claim Amount]]</f>
        <v>10489</v>
      </c>
      <c r="S362">
        <v>5</v>
      </c>
      <c r="T362" t="str">
        <f t="shared" si="10"/>
        <v>Aug</v>
      </c>
      <c r="U362">
        <f t="shared" si="11"/>
        <v>2025</v>
      </c>
    </row>
    <row r="363" spans="1:21" x14ac:dyDescent="0.3">
      <c r="A363" t="s">
        <v>685</v>
      </c>
      <c r="B363" t="s">
        <v>686</v>
      </c>
      <c r="C363" t="s">
        <v>11</v>
      </c>
      <c r="D363" t="s">
        <v>164</v>
      </c>
      <c r="E363" t="s">
        <v>933</v>
      </c>
      <c r="F363">
        <v>45834</v>
      </c>
      <c r="G363" t="s">
        <v>936</v>
      </c>
      <c r="H363" t="s">
        <v>942</v>
      </c>
      <c r="I363" s="4">
        <v>1020</v>
      </c>
      <c r="J363" s="4">
        <v>4321</v>
      </c>
      <c r="K363" s="4">
        <v>1945</v>
      </c>
      <c r="L363" s="4">
        <v>6243</v>
      </c>
      <c r="M363" s="4">
        <f>Table1[[#This Row],[Visit Cost]]+Table1[[#This Row],[Lab Cost]]+Table1[[#This Row],[Medicine Cost]]+Table1[[#This Row],[Room Charges]]</f>
        <v>13529</v>
      </c>
      <c r="N363" s="5">
        <v>45975</v>
      </c>
      <c r="O363">
        <f>Table1[[#This Row],[Discharge Date]]-Table1[[#This Row],[Visit Date]]</f>
        <v>141</v>
      </c>
      <c r="P363" t="s">
        <v>948</v>
      </c>
      <c r="Q363" s="4">
        <v>6398</v>
      </c>
      <c r="R363" s="4">
        <f>Table1[[#This Row],[Total Revenue]]-Table1[[#This Row],[Insurance Claim Amount]]</f>
        <v>7131</v>
      </c>
      <c r="S363">
        <v>4</v>
      </c>
      <c r="T363" t="str">
        <f t="shared" si="10"/>
        <v>Jun</v>
      </c>
      <c r="U363">
        <f t="shared" si="11"/>
        <v>2025</v>
      </c>
    </row>
    <row r="364" spans="1:21" x14ac:dyDescent="0.3">
      <c r="A364" t="s">
        <v>687</v>
      </c>
      <c r="B364" t="s">
        <v>688</v>
      </c>
      <c r="C364" t="s">
        <v>47</v>
      </c>
      <c r="D364" t="s">
        <v>252</v>
      </c>
      <c r="E364" t="s">
        <v>931</v>
      </c>
      <c r="F364">
        <v>45778</v>
      </c>
      <c r="G364" t="s">
        <v>935</v>
      </c>
      <c r="H364" t="s">
        <v>942</v>
      </c>
      <c r="I364" s="4">
        <v>643</v>
      </c>
      <c r="J364" s="4">
        <v>4058</v>
      </c>
      <c r="K364" s="4">
        <v>2093</v>
      </c>
      <c r="L364" s="4">
        <v>2676</v>
      </c>
      <c r="M364" s="4">
        <f>Table1[[#This Row],[Visit Cost]]+Table1[[#This Row],[Lab Cost]]+Table1[[#This Row],[Medicine Cost]]+Table1[[#This Row],[Room Charges]]</f>
        <v>9470</v>
      </c>
      <c r="N364" s="5">
        <v>45855</v>
      </c>
      <c r="O364">
        <f>Table1[[#This Row],[Discharge Date]]-Table1[[#This Row],[Visit Date]]</f>
        <v>77</v>
      </c>
      <c r="P364" t="s">
        <v>949</v>
      </c>
      <c r="Q364" s="4">
        <v>0</v>
      </c>
      <c r="R364" s="4">
        <f>Table1[[#This Row],[Total Revenue]]-Table1[[#This Row],[Insurance Claim Amount]]</f>
        <v>9470</v>
      </c>
      <c r="S364">
        <v>3</v>
      </c>
      <c r="T364" t="str">
        <f t="shared" si="10"/>
        <v>May</v>
      </c>
      <c r="U364">
        <f t="shared" si="11"/>
        <v>2025</v>
      </c>
    </row>
    <row r="365" spans="1:21" x14ac:dyDescent="0.3">
      <c r="A365" t="s">
        <v>689</v>
      </c>
      <c r="B365" t="s">
        <v>690</v>
      </c>
      <c r="C365" t="s">
        <v>16</v>
      </c>
      <c r="D365" t="s">
        <v>252</v>
      </c>
      <c r="E365" t="s">
        <v>932</v>
      </c>
      <c r="F365">
        <v>45704</v>
      </c>
      <c r="G365" t="s">
        <v>938</v>
      </c>
      <c r="H365" t="s">
        <v>945</v>
      </c>
      <c r="I365" s="4">
        <v>1090</v>
      </c>
      <c r="J365" s="4">
        <v>2411</v>
      </c>
      <c r="K365" s="4">
        <v>1435</v>
      </c>
      <c r="L365" s="4">
        <v>6000</v>
      </c>
      <c r="M365" s="4">
        <f>Table1[[#This Row],[Visit Cost]]+Table1[[#This Row],[Lab Cost]]+Table1[[#This Row],[Medicine Cost]]+Table1[[#This Row],[Room Charges]]</f>
        <v>10936</v>
      </c>
      <c r="N365" s="5">
        <v>45748</v>
      </c>
      <c r="O365">
        <f>Table1[[#This Row],[Discharge Date]]-Table1[[#This Row],[Visit Date]]</f>
        <v>44</v>
      </c>
      <c r="P365" t="s">
        <v>948</v>
      </c>
      <c r="Q365" s="4">
        <v>36</v>
      </c>
      <c r="R365" s="4">
        <f>Table1[[#This Row],[Total Revenue]]-Table1[[#This Row],[Insurance Claim Amount]]</f>
        <v>10900</v>
      </c>
      <c r="S365">
        <v>4</v>
      </c>
      <c r="T365" t="str">
        <f t="shared" si="10"/>
        <v>Feb</v>
      </c>
      <c r="U365">
        <f t="shared" si="11"/>
        <v>2025</v>
      </c>
    </row>
    <row r="366" spans="1:21" x14ac:dyDescent="0.3">
      <c r="A366" t="s">
        <v>691</v>
      </c>
      <c r="B366" t="s">
        <v>692</v>
      </c>
      <c r="C366" t="s">
        <v>38</v>
      </c>
      <c r="D366" t="s">
        <v>80</v>
      </c>
      <c r="E366" t="s">
        <v>930</v>
      </c>
      <c r="F366">
        <v>45809</v>
      </c>
      <c r="G366" t="s">
        <v>936</v>
      </c>
      <c r="H366" t="s">
        <v>942</v>
      </c>
      <c r="I366" s="4">
        <v>1550</v>
      </c>
      <c r="J366" s="4">
        <v>1359</v>
      </c>
      <c r="K366" s="4">
        <v>2098</v>
      </c>
      <c r="L366" s="4">
        <v>3000</v>
      </c>
      <c r="M366" s="4">
        <f>Table1[[#This Row],[Visit Cost]]+Table1[[#This Row],[Lab Cost]]+Table1[[#This Row],[Medicine Cost]]+Table1[[#This Row],[Room Charges]]</f>
        <v>8007</v>
      </c>
      <c r="N366" s="5">
        <v>45847</v>
      </c>
      <c r="O366">
        <f>Table1[[#This Row],[Discharge Date]]-Table1[[#This Row],[Visit Date]]</f>
        <v>38</v>
      </c>
      <c r="P366" t="s">
        <v>949</v>
      </c>
      <c r="Q366" s="4">
        <v>0</v>
      </c>
      <c r="R366" s="4">
        <f>Table1[[#This Row],[Total Revenue]]-Table1[[#This Row],[Insurance Claim Amount]]</f>
        <v>8007</v>
      </c>
      <c r="S366">
        <v>4</v>
      </c>
      <c r="T366" t="str">
        <f t="shared" si="10"/>
        <v>Jun</v>
      </c>
      <c r="U366">
        <f t="shared" si="11"/>
        <v>2025</v>
      </c>
    </row>
    <row r="367" spans="1:21" x14ac:dyDescent="0.3">
      <c r="A367" t="s">
        <v>693</v>
      </c>
      <c r="B367" t="s">
        <v>694</v>
      </c>
      <c r="C367" t="s">
        <v>29</v>
      </c>
      <c r="D367" t="s">
        <v>926</v>
      </c>
      <c r="E367" t="s">
        <v>929</v>
      </c>
      <c r="F367">
        <v>45949</v>
      </c>
      <c r="G367" t="s">
        <v>937</v>
      </c>
      <c r="H367" t="s">
        <v>941</v>
      </c>
      <c r="I367" s="4">
        <v>536</v>
      </c>
      <c r="J367" s="4">
        <v>650</v>
      </c>
      <c r="K367" s="4">
        <v>935</v>
      </c>
      <c r="L367" s="4">
        <v>3770</v>
      </c>
      <c r="M367" s="4">
        <f>Table1[[#This Row],[Visit Cost]]+Table1[[#This Row],[Lab Cost]]+Table1[[#This Row],[Medicine Cost]]+Table1[[#This Row],[Room Charges]]</f>
        <v>5891</v>
      </c>
      <c r="N367" s="5">
        <v>46064</v>
      </c>
      <c r="O367">
        <f>Table1[[#This Row],[Discharge Date]]-Table1[[#This Row],[Visit Date]]</f>
        <v>115</v>
      </c>
      <c r="P367" t="s">
        <v>948</v>
      </c>
      <c r="Q367" s="4">
        <v>3046</v>
      </c>
      <c r="R367" s="4">
        <f>Table1[[#This Row],[Total Revenue]]-Table1[[#This Row],[Insurance Claim Amount]]</f>
        <v>2845</v>
      </c>
      <c r="S367">
        <v>4</v>
      </c>
      <c r="T367" t="str">
        <f t="shared" si="10"/>
        <v>Oct</v>
      </c>
      <c r="U367">
        <f t="shared" si="11"/>
        <v>2025</v>
      </c>
    </row>
    <row r="368" spans="1:21" x14ac:dyDescent="0.3">
      <c r="A368" t="s">
        <v>695</v>
      </c>
      <c r="B368" t="s">
        <v>696</v>
      </c>
      <c r="C368" t="s">
        <v>6</v>
      </c>
      <c r="D368" t="s">
        <v>252</v>
      </c>
      <c r="E368" t="s">
        <v>929</v>
      </c>
      <c r="F368">
        <v>45993</v>
      </c>
      <c r="G368" t="s">
        <v>935</v>
      </c>
      <c r="H368" t="s">
        <v>945</v>
      </c>
      <c r="I368" s="4">
        <v>2003</v>
      </c>
      <c r="J368" s="4">
        <v>1400</v>
      </c>
      <c r="K368" s="4">
        <v>1143</v>
      </c>
      <c r="L368" s="4">
        <v>4444</v>
      </c>
      <c r="M368" s="4">
        <f>Table1[[#This Row],[Visit Cost]]+Table1[[#This Row],[Lab Cost]]+Table1[[#This Row],[Medicine Cost]]+Table1[[#This Row],[Room Charges]]</f>
        <v>8990</v>
      </c>
      <c r="N368" s="5">
        <v>46112</v>
      </c>
      <c r="O368">
        <f>Table1[[#This Row],[Discharge Date]]-Table1[[#This Row],[Visit Date]]</f>
        <v>119</v>
      </c>
      <c r="P368" t="s">
        <v>949</v>
      </c>
      <c r="Q368" s="4">
        <v>0</v>
      </c>
      <c r="R368" s="4">
        <f>Table1[[#This Row],[Total Revenue]]-Table1[[#This Row],[Insurance Claim Amount]]</f>
        <v>8990</v>
      </c>
      <c r="S368">
        <v>5</v>
      </c>
      <c r="T368" t="str">
        <f t="shared" si="10"/>
        <v>Dec</v>
      </c>
      <c r="U368">
        <f t="shared" si="11"/>
        <v>2025</v>
      </c>
    </row>
    <row r="369" spans="1:21" x14ac:dyDescent="0.3">
      <c r="A369" t="s">
        <v>697</v>
      </c>
      <c r="B369" t="s">
        <v>109</v>
      </c>
      <c r="C369" t="s">
        <v>38</v>
      </c>
      <c r="D369" t="s">
        <v>80</v>
      </c>
      <c r="E369" t="s">
        <v>932</v>
      </c>
      <c r="F369">
        <v>45800</v>
      </c>
      <c r="G369" t="s">
        <v>936</v>
      </c>
      <c r="H369" t="s">
        <v>942</v>
      </c>
      <c r="I369" s="4">
        <v>1573</v>
      </c>
      <c r="J369" s="4">
        <v>500</v>
      </c>
      <c r="K369" s="4">
        <v>2095</v>
      </c>
      <c r="L369" s="4">
        <v>850</v>
      </c>
      <c r="M369" s="4">
        <f>Table1[[#This Row],[Visit Cost]]+Table1[[#This Row],[Lab Cost]]+Table1[[#This Row],[Medicine Cost]]+Table1[[#This Row],[Room Charges]]</f>
        <v>5018</v>
      </c>
      <c r="N369" s="5">
        <v>45816</v>
      </c>
      <c r="O369">
        <f>Table1[[#This Row],[Discharge Date]]-Table1[[#This Row],[Visit Date]]</f>
        <v>16</v>
      </c>
      <c r="P369" t="s">
        <v>948</v>
      </c>
      <c r="Q369" s="4">
        <v>2239</v>
      </c>
      <c r="R369" s="4">
        <f>Table1[[#This Row],[Total Revenue]]-Table1[[#This Row],[Insurance Claim Amount]]</f>
        <v>2779</v>
      </c>
      <c r="S369">
        <v>3</v>
      </c>
      <c r="T369" t="str">
        <f t="shared" si="10"/>
        <v>May</v>
      </c>
      <c r="U369">
        <f t="shared" si="11"/>
        <v>2025</v>
      </c>
    </row>
    <row r="370" spans="1:21" x14ac:dyDescent="0.3">
      <c r="A370" t="s">
        <v>698</v>
      </c>
      <c r="B370" t="s">
        <v>699</v>
      </c>
      <c r="C370" t="s">
        <v>11</v>
      </c>
      <c r="D370" t="s">
        <v>164</v>
      </c>
      <c r="E370" t="s">
        <v>933</v>
      </c>
      <c r="F370">
        <v>45916</v>
      </c>
      <c r="G370" t="s">
        <v>938</v>
      </c>
      <c r="H370" t="s">
        <v>941</v>
      </c>
      <c r="I370" s="4">
        <v>2204</v>
      </c>
      <c r="J370" s="4">
        <v>2549</v>
      </c>
      <c r="K370" s="4">
        <v>1447</v>
      </c>
      <c r="L370" s="4">
        <v>7854</v>
      </c>
      <c r="M370" s="4">
        <f>Table1[[#This Row],[Visit Cost]]+Table1[[#This Row],[Lab Cost]]+Table1[[#This Row],[Medicine Cost]]+Table1[[#This Row],[Room Charges]]</f>
        <v>14054</v>
      </c>
      <c r="N370" s="5">
        <v>46022</v>
      </c>
      <c r="O370">
        <f>Table1[[#This Row],[Discharge Date]]-Table1[[#This Row],[Visit Date]]</f>
        <v>106</v>
      </c>
      <c r="P370" t="s">
        <v>949</v>
      </c>
      <c r="Q370" s="4">
        <v>0</v>
      </c>
      <c r="R370" s="4">
        <f>Table1[[#This Row],[Total Revenue]]-Table1[[#This Row],[Insurance Claim Amount]]</f>
        <v>14054</v>
      </c>
      <c r="S370">
        <v>5</v>
      </c>
      <c r="T370" t="str">
        <f t="shared" si="10"/>
        <v>Sep</v>
      </c>
      <c r="U370">
        <f t="shared" si="11"/>
        <v>2025</v>
      </c>
    </row>
    <row r="371" spans="1:21" x14ac:dyDescent="0.3">
      <c r="A371" t="s">
        <v>700</v>
      </c>
      <c r="B371" t="s">
        <v>701</v>
      </c>
      <c r="C371" t="s">
        <v>38</v>
      </c>
      <c r="D371" t="s">
        <v>927</v>
      </c>
      <c r="E371" t="s">
        <v>931</v>
      </c>
      <c r="F371">
        <v>45902</v>
      </c>
      <c r="G371" t="s">
        <v>937</v>
      </c>
      <c r="H371" t="s">
        <v>942</v>
      </c>
      <c r="I371" s="4">
        <v>1889</v>
      </c>
      <c r="J371" s="4">
        <v>500</v>
      </c>
      <c r="K371" s="4">
        <v>1171</v>
      </c>
      <c r="L371" s="4">
        <v>4618</v>
      </c>
      <c r="M371" s="4">
        <f>Table1[[#This Row],[Visit Cost]]+Table1[[#This Row],[Lab Cost]]+Table1[[#This Row],[Medicine Cost]]+Table1[[#This Row],[Room Charges]]</f>
        <v>8178</v>
      </c>
      <c r="N371" s="5">
        <v>46011</v>
      </c>
      <c r="O371">
        <f>Table1[[#This Row],[Discharge Date]]-Table1[[#This Row],[Visit Date]]</f>
        <v>109</v>
      </c>
      <c r="P371" t="s">
        <v>949</v>
      </c>
      <c r="Q371" s="4">
        <v>0</v>
      </c>
      <c r="R371" s="4">
        <f>Table1[[#This Row],[Total Revenue]]-Table1[[#This Row],[Insurance Claim Amount]]</f>
        <v>8178</v>
      </c>
      <c r="S371">
        <v>3</v>
      </c>
      <c r="T371" t="str">
        <f t="shared" si="10"/>
        <v>Sep</v>
      </c>
      <c r="U371">
        <f t="shared" si="11"/>
        <v>2025</v>
      </c>
    </row>
    <row r="372" spans="1:21" x14ac:dyDescent="0.3">
      <c r="A372" t="s">
        <v>702</v>
      </c>
      <c r="B372" t="s">
        <v>703</v>
      </c>
      <c r="C372" t="s">
        <v>29</v>
      </c>
      <c r="D372" t="s">
        <v>85</v>
      </c>
      <c r="E372" t="s">
        <v>930</v>
      </c>
      <c r="F372">
        <v>45927</v>
      </c>
      <c r="G372" t="s">
        <v>936</v>
      </c>
      <c r="H372" t="s">
        <v>944</v>
      </c>
      <c r="I372" s="4">
        <v>2232</v>
      </c>
      <c r="J372" s="4">
        <v>2551</v>
      </c>
      <c r="K372" s="4">
        <v>1850</v>
      </c>
      <c r="L372" s="4">
        <v>2672</v>
      </c>
      <c r="M372" s="4">
        <f>Table1[[#This Row],[Visit Cost]]+Table1[[#This Row],[Lab Cost]]+Table1[[#This Row],[Medicine Cost]]+Table1[[#This Row],[Room Charges]]</f>
        <v>9305</v>
      </c>
      <c r="N372" s="5">
        <v>46008</v>
      </c>
      <c r="O372">
        <f>Table1[[#This Row],[Discharge Date]]-Table1[[#This Row],[Visit Date]]</f>
        <v>81</v>
      </c>
      <c r="P372" t="s">
        <v>949</v>
      </c>
      <c r="Q372" s="4">
        <v>0</v>
      </c>
      <c r="R372" s="4">
        <f>Table1[[#This Row],[Total Revenue]]-Table1[[#This Row],[Insurance Claim Amount]]</f>
        <v>9305</v>
      </c>
      <c r="S372">
        <v>1</v>
      </c>
      <c r="T372" t="str">
        <f t="shared" si="10"/>
        <v>Sep</v>
      </c>
      <c r="U372">
        <f t="shared" si="11"/>
        <v>2025</v>
      </c>
    </row>
    <row r="373" spans="1:21" x14ac:dyDescent="0.3">
      <c r="A373" t="s">
        <v>704</v>
      </c>
      <c r="B373" t="s">
        <v>705</v>
      </c>
      <c r="C373" t="s">
        <v>16</v>
      </c>
      <c r="D373" t="s">
        <v>252</v>
      </c>
      <c r="E373" t="s">
        <v>930</v>
      </c>
      <c r="F373">
        <v>45894</v>
      </c>
      <c r="G373" t="s">
        <v>935</v>
      </c>
      <c r="H373" t="s">
        <v>940</v>
      </c>
      <c r="I373" s="4">
        <v>506</v>
      </c>
      <c r="J373" s="4">
        <v>1171</v>
      </c>
      <c r="K373" s="4">
        <v>518</v>
      </c>
      <c r="L373" s="4">
        <v>8833</v>
      </c>
      <c r="M373" s="4">
        <f>Table1[[#This Row],[Visit Cost]]+Table1[[#This Row],[Lab Cost]]+Table1[[#This Row],[Medicine Cost]]+Table1[[#This Row],[Room Charges]]</f>
        <v>11028</v>
      </c>
      <c r="N373" s="5">
        <v>46022</v>
      </c>
      <c r="O373">
        <f>Table1[[#This Row],[Discharge Date]]-Table1[[#This Row],[Visit Date]]</f>
        <v>128</v>
      </c>
      <c r="P373" t="s">
        <v>949</v>
      </c>
      <c r="Q373" s="4">
        <v>0</v>
      </c>
      <c r="R373" s="4">
        <f>Table1[[#This Row],[Total Revenue]]-Table1[[#This Row],[Insurance Claim Amount]]</f>
        <v>11028</v>
      </c>
      <c r="S373">
        <v>3</v>
      </c>
      <c r="T373" t="str">
        <f t="shared" si="10"/>
        <v>Aug</v>
      </c>
      <c r="U373">
        <f t="shared" si="11"/>
        <v>2025</v>
      </c>
    </row>
    <row r="374" spans="1:21" x14ac:dyDescent="0.3">
      <c r="A374" t="s">
        <v>706</v>
      </c>
      <c r="B374" t="s">
        <v>707</v>
      </c>
      <c r="C374" t="s">
        <v>11</v>
      </c>
      <c r="D374" t="s">
        <v>925</v>
      </c>
      <c r="E374" t="s">
        <v>931</v>
      </c>
      <c r="F374">
        <v>45916</v>
      </c>
      <c r="G374" t="s">
        <v>936</v>
      </c>
      <c r="H374" t="s">
        <v>945</v>
      </c>
      <c r="I374" s="4">
        <v>1548</v>
      </c>
      <c r="J374" s="4">
        <v>600</v>
      </c>
      <c r="K374" s="4">
        <v>334</v>
      </c>
      <c r="L374" s="4">
        <v>6657</v>
      </c>
      <c r="M374" s="4">
        <f>Table1[[#This Row],[Visit Cost]]+Table1[[#This Row],[Lab Cost]]+Table1[[#This Row],[Medicine Cost]]+Table1[[#This Row],[Room Charges]]</f>
        <v>9139</v>
      </c>
      <c r="N374" s="5">
        <v>46022</v>
      </c>
      <c r="O374">
        <f>Table1[[#This Row],[Discharge Date]]-Table1[[#This Row],[Visit Date]]</f>
        <v>106</v>
      </c>
      <c r="P374" t="s">
        <v>949</v>
      </c>
      <c r="Q374" s="4">
        <v>0</v>
      </c>
      <c r="R374" s="4">
        <f>Table1[[#This Row],[Total Revenue]]-Table1[[#This Row],[Insurance Claim Amount]]</f>
        <v>9139</v>
      </c>
      <c r="S374">
        <v>5</v>
      </c>
      <c r="T374" t="str">
        <f t="shared" si="10"/>
        <v>Sep</v>
      </c>
      <c r="U374">
        <f t="shared" si="11"/>
        <v>2025</v>
      </c>
    </row>
    <row r="375" spans="1:21" x14ac:dyDescent="0.3">
      <c r="A375" t="s">
        <v>708</v>
      </c>
      <c r="B375" t="s">
        <v>590</v>
      </c>
      <c r="C375" t="s">
        <v>6</v>
      </c>
      <c r="D375" t="s">
        <v>925</v>
      </c>
      <c r="E375" t="s">
        <v>933</v>
      </c>
      <c r="F375">
        <v>45784</v>
      </c>
      <c r="G375" t="s">
        <v>938</v>
      </c>
      <c r="H375" t="s">
        <v>942</v>
      </c>
      <c r="I375" s="4">
        <v>815</v>
      </c>
      <c r="J375" s="4">
        <v>700</v>
      </c>
      <c r="K375" s="4">
        <v>811</v>
      </c>
      <c r="L375" s="4">
        <v>4277</v>
      </c>
      <c r="M375" s="4">
        <f>Table1[[#This Row],[Visit Cost]]+Table1[[#This Row],[Lab Cost]]+Table1[[#This Row],[Medicine Cost]]+Table1[[#This Row],[Room Charges]]</f>
        <v>6603</v>
      </c>
      <c r="N375" s="5">
        <v>45893</v>
      </c>
      <c r="O375">
        <f>Table1[[#This Row],[Discharge Date]]-Table1[[#This Row],[Visit Date]]</f>
        <v>109</v>
      </c>
      <c r="P375" t="s">
        <v>949</v>
      </c>
      <c r="Q375" s="4">
        <v>0</v>
      </c>
      <c r="R375" s="4">
        <f>Table1[[#This Row],[Total Revenue]]-Table1[[#This Row],[Insurance Claim Amount]]</f>
        <v>6603</v>
      </c>
      <c r="S375">
        <v>1</v>
      </c>
      <c r="T375" t="str">
        <f t="shared" si="10"/>
        <v>May</v>
      </c>
      <c r="U375">
        <f t="shared" si="11"/>
        <v>2025</v>
      </c>
    </row>
    <row r="376" spans="1:21" x14ac:dyDescent="0.3">
      <c r="A376" t="s">
        <v>709</v>
      </c>
      <c r="B376" t="s">
        <v>696</v>
      </c>
      <c r="C376" t="s">
        <v>16</v>
      </c>
      <c r="D376" t="s">
        <v>926</v>
      </c>
      <c r="E376" t="s">
        <v>932</v>
      </c>
      <c r="F376">
        <v>45847</v>
      </c>
      <c r="G376" t="s">
        <v>937</v>
      </c>
      <c r="H376" t="s">
        <v>943</v>
      </c>
      <c r="I376" s="4">
        <v>1323</v>
      </c>
      <c r="J376" s="4">
        <v>4283</v>
      </c>
      <c r="K376" s="4">
        <v>2319</v>
      </c>
      <c r="L376" s="4">
        <v>7973</v>
      </c>
      <c r="M376" s="4">
        <f>Table1[[#This Row],[Visit Cost]]+Table1[[#This Row],[Lab Cost]]+Table1[[#This Row],[Medicine Cost]]+Table1[[#This Row],[Room Charges]]</f>
        <v>15898</v>
      </c>
      <c r="N376" s="5">
        <v>45912</v>
      </c>
      <c r="O376">
        <f>Table1[[#This Row],[Discharge Date]]-Table1[[#This Row],[Visit Date]]</f>
        <v>65</v>
      </c>
      <c r="P376" t="s">
        <v>948</v>
      </c>
      <c r="Q376" s="4">
        <v>9268</v>
      </c>
      <c r="R376" s="4">
        <f>Table1[[#This Row],[Total Revenue]]-Table1[[#This Row],[Insurance Claim Amount]]</f>
        <v>6630</v>
      </c>
      <c r="S376">
        <v>5</v>
      </c>
      <c r="T376" t="str">
        <f t="shared" si="10"/>
        <v>Jul</v>
      </c>
      <c r="U376">
        <f t="shared" si="11"/>
        <v>2025</v>
      </c>
    </row>
    <row r="377" spans="1:21" x14ac:dyDescent="0.3">
      <c r="A377" t="s">
        <v>710</v>
      </c>
      <c r="B377" t="s">
        <v>471</v>
      </c>
      <c r="C377" t="s">
        <v>16</v>
      </c>
      <c r="D377" t="s">
        <v>925</v>
      </c>
      <c r="E377" t="s">
        <v>929</v>
      </c>
      <c r="F377">
        <v>45975</v>
      </c>
      <c r="G377" t="s">
        <v>936</v>
      </c>
      <c r="H377" t="s">
        <v>944</v>
      </c>
      <c r="I377" s="4">
        <v>1546</v>
      </c>
      <c r="J377" s="4">
        <v>600</v>
      </c>
      <c r="K377" s="4">
        <v>2176</v>
      </c>
      <c r="L377" s="4">
        <v>1500</v>
      </c>
      <c r="M377" s="4">
        <f>Table1[[#This Row],[Visit Cost]]+Table1[[#This Row],[Lab Cost]]+Table1[[#This Row],[Medicine Cost]]+Table1[[#This Row],[Room Charges]]</f>
        <v>5822</v>
      </c>
      <c r="N377" s="5">
        <v>46001</v>
      </c>
      <c r="O377">
        <f>Table1[[#This Row],[Discharge Date]]-Table1[[#This Row],[Visit Date]]</f>
        <v>26</v>
      </c>
      <c r="P377" t="s">
        <v>948</v>
      </c>
      <c r="Q377" s="4">
        <v>4437</v>
      </c>
      <c r="R377" s="4">
        <f>Table1[[#This Row],[Total Revenue]]-Table1[[#This Row],[Insurance Claim Amount]]</f>
        <v>1385</v>
      </c>
      <c r="S377">
        <v>1</v>
      </c>
      <c r="T377" t="str">
        <f t="shared" si="10"/>
        <v>Nov</v>
      </c>
      <c r="U377">
        <f t="shared" si="11"/>
        <v>2025</v>
      </c>
    </row>
    <row r="378" spans="1:21" x14ac:dyDescent="0.3">
      <c r="A378" t="s">
        <v>711</v>
      </c>
      <c r="B378" t="s">
        <v>712</v>
      </c>
      <c r="C378" t="s">
        <v>38</v>
      </c>
      <c r="D378" t="s">
        <v>926</v>
      </c>
      <c r="E378" t="s">
        <v>931</v>
      </c>
      <c r="F378">
        <v>45810</v>
      </c>
      <c r="G378" t="s">
        <v>935</v>
      </c>
      <c r="H378" t="s">
        <v>943</v>
      </c>
      <c r="I378" s="4">
        <v>800</v>
      </c>
      <c r="J378" s="4">
        <v>3018</v>
      </c>
      <c r="K378" s="4">
        <v>2529</v>
      </c>
      <c r="L378" s="4">
        <v>6696</v>
      </c>
      <c r="M378" s="4">
        <f>Table1[[#This Row],[Visit Cost]]+Table1[[#This Row],[Lab Cost]]+Table1[[#This Row],[Medicine Cost]]+Table1[[#This Row],[Room Charges]]</f>
        <v>13043</v>
      </c>
      <c r="N378" s="5">
        <v>45856</v>
      </c>
      <c r="O378">
        <f>Table1[[#This Row],[Discharge Date]]-Table1[[#This Row],[Visit Date]]</f>
        <v>46</v>
      </c>
      <c r="P378" t="s">
        <v>949</v>
      </c>
      <c r="Q378" s="4">
        <v>0</v>
      </c>
      <c r="R378" s="4">
        <f>Table1[[#This Row],[Total Revenue]]-Table1[[#This Row],[Insurance Claim Amount]]</f>
        <v>13043</v>
      </c>
      <c r="S378">
        <v>3</v>
      </c>
      <c r="T378" t="str">
        <f t="shared" si="10"/>
        <v>Jun</v>
      </c>
      <c r="U378">
        <f t="shared" si="11"/>
        <v>2025</v>
      </c>
    </row>
    <row r="379" spans="1:21" x14ac:dyDescent="0.3">
      <c r="A379" t="s">
        <v>713</v>
      </c>
      <c r="B379" t="s">
        <v>714</v>
      </c>
      <c r="C379" t="s">
        <v>47</v>
      </c>
      <c r="D379" t="s">
        <v>925</v>
      </c>
      <c r="E379" t="s">
        <v>933</v>
      </c>
      <c r="F379">
        <v>45754</v>
      </c>
      <c r="G379" t="s">
        <v>938</v>
      </c>
      <c r="H379" t="s">
        <v>944</v>
      </c>
      <c r="I379" s="4">
        <v>1539</v>
      </c>
      <c r="J379" s="4">
        <v>1000</v>
      </c>
      <c r="K379" s="4">
        <v>2151</v>
      </c>
      <c r="L379" s="4">
        <v>5011</v>
      </c>
      <c r="M379" s="4">
        <f>Table1[[#This Row],[Visit Cost]]+Table1[[#This Row],[Lab Cost]]+Table1[[#This Row],[Medicine Cost]]+Table1[[#This Row],[Room Charges]]</f>
        <v>9701</v>
      </c>
      <c r="N379" s="5">
        <v>45855</v>
      </c>
      <c r="O379">
        <f>Table1[[#This Row],[Discharge Date]]-Table1[[#This Row],[Visit Date]]</f>
        <v>101</v>
      </c>
      <c r="P379" t="s">
        <v>948</v>
      </c>
      <c r="Q379" s="4">
        <v>6000</v>
      </c>
      <c r="R379" s="4">
        <f>Table1[[#This Row],[Total Revenue]]-Table1[[#This Row],[Insurance Claim Amount]]</f>
        <v>3701</v>
      </c>
      <c r="S379">
        <v>2</v>
      </c>
      <c r="T379" t="str">
        <f t="shared" si="10"/>
        <v>Apr</v>
      </c>
      <c r="U379">
        <f t="shared" si="11"/>
        <v>2025</v>
      </c>
    </row>
    <row r="380" spans="1:21" x14ac:dyDescent="0.3">
      <c r="A380" t="s">
        <v>715</v>
      </c>
      <c r="B380" t="s">
        <v>447</v>
      </c>
      <c r="C380" t="s">
        <v>38</v>
      </c>
      <c r="D380" t="s">
        <v>80</v>
      </c>
      <c r="E380" t="s">
        <v>929</v>
      </c>
      <c r="F380">
        <v>45973</v>
      </c>
      <c r="G380" t="s">
        <v>936</v>
      </c>
      <c r="H380" t="s">
        <v>940</v>
      </c>
      <c r="I380" s="4">
        <v>941</v>
      </c>
      <c r="J380" s="4">
        <v>2179</v>
      </c>
      <c r="K380" s="4">
        <v>1552</v>
      </c>
      <c r="L380" s="4">
        <v>5415</v>
      </c>
      <c r="M380" s="4">
        <f>Table1[[#This Row],[Visit Cost]]+Table1[[#This Row],[Lab Cost]]+Table1[[#This Row],[Medicine Cost]]+Table1[[#This Row],[Room Charges]]</f>
        <v>10087</v>
      </c>
      <c r="N380" s="5">
        <v>46075</v>
      </c>
      <c r="O380">
        <f>Table1[[#This Row],[Discharge Date]]-Table1[[#This Row],[Visit Date]]</f>
        <v>102</v>
      </c>
      <c r="P380" t="s">
        <v>948</v>
      </c>
      <c r="Q380" s="4">
        <v>4985</v>
      </c>
      <c r="R380" s="4">
        <f>Table1[[#This Row],[Total Revenue]]-Table1[[#This Row],[Insurance Claim Amount]]</f>
        <v>5102</v>
      </c>
      <c r="S380">
        <v>2</v>
      </c>
      <c r="T380" t="str">
        <f t="shared" si="10"/>
        <v>Nov</v>
      </c>
      <c r="U380">
        <f t="shared" si="11"/>
        <v>2025</v>
      </c>
    </row>
    <row r="381" spans="1:21" x14ac:dyDescent="0.3">
      <c r="A381" t="s">
        <v>716</v>
      </c>
      <c r="B381" t="s">
        <v>717</v>
      </c>
      <c r="C381" t="s">
        <v>16</v>
      </c>
      <c r="D381" t="s">
        <v>925</v>
      </c>
      <c r="E381" t="s">
        <v>930</v>
      </c>
      <c r="F381">
        <v>45820</v>
      </c>
      <c r="G381" t="s">
        <v>937</v>
      </c>
      <c r="H381" t="s">
        <v>940</v>
      </c>
      <c r="I381" s="4">
        <v>1079</v>
      </c>
      <c r="J381" s="4">
        <v>800</v>
      </c>
      <c r="K381" s="4">
        <v>861</v>
      </c>
      <c r="L381" s="4">
        <v>6299</v>
      </c>
      <c r="M381" s="4">
        <f>Table1[[#This Row],[Visit Cost]]+Table1[[#This Row],[Lab Cost]]+Table1[[#This Row],[Medicine Cost]]+Table1[[#This Row],[Room Charges]]</f>
        <v>9039</v>
      </c>
      <c r="N381" s="5">
        <v>45922</v>
      </c>
      <c r="O381">
        <f>Table1[[#This Row],[Discharge Date]]-Table1[[#This Row],[Visit Date]]</f>
        <v>102</v>
      </c>
      <c r="P381" t="s">
        <v>949</v>
      </c>
      <c r="Q381" s="4">
        <v>0</v>
      </c>
      <c r="R381" s="4">
        <f>Table1[[#This Row],[Total Revenue]]-Table1[[#This Row],[Insurance Claim Amount]]</f>
        <v>9039</v>
      </c>
      <c r="S381">
        <v>5</v>
      </c>
      <c r="T381" t="str">
        <f t="shared" si="10"/>
        <v>Jun</v>
      </c>
      <c r="U381">
        <f t="shared" si="11"/>
        <v>2025</v>
      </c>
    </row>
    <row r="382" spans="1:21" x14ac:dyDescent="0.3">
      <c r="A382" t="s">
        <v>718</v>
      </c>
      <c r="B382" t="s">
        <v>719</v>
      </c>
      <c r="C382" t="s">
        <v>38</v>
      </c>
      <c r="D382" t="s">
        <v>926</v>
      </c>
      <c r="E382" t="s">
        <v>930</v>
      </c>
      <c r="F382">
        <v>45713</v>
      </c>
      <c r="G382" t="s">
        <v>935</v>
      </c>
      <c r="H382" t="s">
        <v>940</v>
      </c>
      <c r="I382" s="4">
        <v>835</v>
      </c>
      <c r="J382" s="4">
        <v>4481</v>
      </c>
      <c r="K382" s="4">
        <v>1072</v>
      </c>
      <c r="L382" s="4">
        <v>6987</v>
      </c>
      <c r="M382" s="4">
        <f>Table1[[#This Row],[Visit Cost]]+Table1[[#This Row],[Lab Cost]]+Table1[[#This Row],[Medicine Cost]]+Table1[[#This Row],[Room Charges]]</f>
        <v>13375</v>
      </c>
      <c r="N382" s="5">
        <v>45810</v>
      </c>
      <c r="O382">
        <f>Table1[[#This Row],[Discharge Date]]-Table1[[#This Row],[Visit Date]]</f>
        <v>97</v>
      </c>
      <c r="P382" t="s">
        <v>949</v>
      </c>
      <c r="Q382" s="4">
        <v>0</v>
      </c>
      <c r="R382" s="4">
        <f>Table1[[#This Row],[Total Revenue]]-Table1[[#This Row],[Insurance Claim Amount]]</f>
        <v>13375</v>
      </c>
      <c r="S382">
        <v>4</v>
      </c>
      <c r="T382" t="str">
        <f t="shared" si="10"/>
        <v>Feb</v>
      </c>
      <c r="U382">
        <f t="shared" si="11"/>
        <v>2025</v>
      </c>
    </row>
    <row r="383" spans="1:21" x14ac:dyDescent="0.3">
      <c r="A383" t="s">
        <v>720</v>
      </c>
      <c r="B383" t="s">
        <v>721</v>
      </c>
      <c r="C383" t="s">
        <v>29</v>
      </c>
      <c r="D383" t="s">
        <v>926</v>
      </c>
      <c r="E383" t="s">
        <v>932</v>
      </c>
      <c r="F383">
        <v>45817</v>
      </c>
      <c r="G383" t="s">
        <v>936</v>
      </c>
      <c r="H383" t="s">
        <v>940</v>
      </c>
      <c r="I383" s="4">
        <v>1607</v>
      </c>
      <c r="J383" s="4">
        <v>630</v>
      </c>
      <c r="K383" s="4">
        <v>277</v>
      </c>
      <c r="L383" s="4">
        <v>7407</v>
      </c>
      <c r="M383" s="4">
        <f>Table1[[#This Row],[Visit Cost]]+Table1[[#This Row],[Lab Cost]]+Table1[[#This Row],[Medicine Cost]]+Table1[[#This Row],[Room Charges]]</f>
        <v>9921</v>
      </c>
      <c r="N383" s="5">
        <v>45942</v>
      </c>
      <c r="O383">
        <f>Table1[[#This Row],[Discharge Date]]-Table1[[#This Row],[Visit Date]]</f>
        <v>125</v>
      </c>
      <c r="P383" t="s">
        <v>949</v>
      </c>
      <c r="Q383" s="4">
        <v>0</v>
      </c>
      <c r="R383" s="4">
        <f>Table1[[#This Row],[Total Revenue]]-Table1[[#This Row],[Insurance Claim Amount]]</f>
        <v>9921</v>
      </c>
      <c r="S383">
        <v>2</v>
      </c>
      <c r="T383" t="str">
        <f t="shared" si="10"/>
        <v>Jun</v>
      </c>
      <c r="U383">
        <f t="shared" si="11"/>
        <v>2025</v>
      </c>
    </row>
    <row r="384" spans="1:21" x14ac:dyDescent="0.3">
      <c r="A384" t="s">
        <v>722</v>
      </c>
      <c r="B384" t="s">
        <v>493</v>
      </c>
      <c r="C384" t="s">
        <v>16</v>
      </c>
      <c r="D384" t="s">
        <v>924</v>
      </c>
      <c r="E384" t="s">
        <v>929</v>
      </c>
      <c r="F384">
        <v>45685</v>
      </c>
      <c r="G384" t="s">
        <v>938</v>
      </c>
      <c r="H384" t="s">
        <v>945</v>
      </c>
      <c r="I384" s="4">
        <v>1472</v>
      </c>
      <c r="J384" s="4">
        <v>2317</v>
      </c>
      <c r="K384" s="4">
        <v>2716</v>
      </c>
      <c r="L384" s="4">
        <v>4838</v>
      </c>
      <c r="M384" s="4">
        <f>Table1[[#This Row],[Visit Cost]]+Table1[[#This Row],[Lab Cost]]+Table1[[#This Row],[Medicine Cost]]+Table1[[#This Row],[Room Charges]]</f>
        <v>11343</v>
      </c>
      <c r="N384" s="5">
        <v>45780</v>
      </c>
      <c r="O384">
        <f>Table1[[#This Row],[Discharge Date]]-Table1[[#This Row],[Visit Date]]</f>
        <v>95</v>
      </c>
      <c r="P384" t="s">
        <v>949</v>
      </c>
      <c r="Q384" s="4">
        <v>0</v>
      </c>
      <c r="R384" s="4">
        <f>Table1[[#This Row],[Total Revenue]]-Table1[[#This Row],[Insurance Claim Amount]]</f>
        <v>11343</v>
      </c>
      <c r="S384">
        <v>4</v>
      </c>
      <c r="T384" t="str">
        <f t="shared" si="10"/>
        <v>Jan</v>
      </c>
      <c r="U384">
        <f t="shared" si="11"/>
        <v>2025</v>
      </c>
    </row>
    <row r="385" spans="1:21" x14ac:dyDescent="0.3">
      <c r="A385" t="s">
        <v>723</v>
      </c>
      <c r="B385" t="s">
        <v>724</v>
      </c>
      <c r="C385" t="s">
        <v>11</v>
      </c>
      <c r="D385" t="s">
        <v>924</v>
      </c>
      <c r="E385" t="s">
        <v>933</v>
      </c>
      <c r="F385">
        <v>45721</v>
      </c>
      <c r="G385" t="s">
        <v>937</v>
      </c>
      <c r="H385" t="s">
        <v>941</v>
      </c>
      <c r="I385" s="4">
        <v>1335</v>
      </c>
      <c r="J385" s="4">
        <v>991</v>
      </c>
      <c r="K385" s="4">
        <v>2969</v>
      </c>
      <c r="L385" s="4">
        <v>9610</v>
      </c>
      <c r="M385" s="4">
        <f>Table1[[#This Row],[Visit Cost]]+Table1[[#This Row],[Lab Cost]]+Table1[[#This Row],[Medicine Cost]]+Table1[[#This Row],[Room Charges]]</f>
        <v>14905</v>
      </c>
      <c r="N385" s="5">
        <v>45812</v>
      </c>
      <c r="O385">
        <f>Table1[[#This Row],[Discharge Date]]-Table1[[#This Row],[Visit Date]]</f>
        <v>91</v>
      </c>
      <c r="P385" t="s">
        <v>948</v>
      </c>
      <c r="Q385" s="4">
        <v>7292</v>
      </c>
      <c r="R385" s="4">
        <f>Table1[[#This Row],[Total Revenue]]-Table1[[#This Row],[Insurance Claim Amount]]</f>
        <v>7613</v>
      </c>
      <c r="S385">
        <v>1</v>
      </c>
      <c r="T385" t="str">
        <f t="shared" si="10"/>
        <v>Mar</v>
      </c>
      <c r="U385">
        <f t="shared" si="11"/>
        <v>2025</v>
      </c>
    </row>
    <row r="386" spans="1:21" x14ac:dyDescent="0.3">
      <c r="A386" t="s">
        <v>725</v>
      </c>
      <c r="B386" t="s">
        <v>140</v>
      </c>
      <c r="C386" t="s">
        <v>38</v>
      </c>
      <c r="D386" t="s">
        <v>80</v>
      </c>
      <c r="E386" t="s">
        <v>931</v>
      </c>
      <c r="F386">
        <v>45802</v>
      </c>
      <c r="G386" t="s">
        <v>936</v>
      </c>
      <c r="H386" t="s">
        <v>941</v>
      </c>
      <c r="I386" s="4">
        <v>2376</v>
      </c>
      <c r="J386" s="4">
        <v>3869</v>
      </c>
      <c r="K386" s="4">
        <v>1970</v>
      </c>
      <c r="L386" s="4">
        <v>8910</v>
      </c>
      <c r="M386" s="4">
        <f>Table1[[#This Row],[Visit Cost]]+Table1[[#This Row],[Lab Cost]]+Table1[[#This Row],[Medicine Cost]]+Table1[[#This Row],[Room Charges]]</f>
        <v>17125</v>
      </c>
      <c r="N386" s="5">
        <v>45862</v>
      </c>
      <c r="O386">
        <f>Table1[[#This Row],[Discharge Date]]-Table1[[#This Row],[Visit Date]]</f>
        <v>60</v>
      </c>
      <c r="P386" t="s">
        <v>948</v>
      </c>
      <c r="Q386" s="4">
        <v>15205</v>
      </c>
      <c r="R386" s="4">
        <f>Table1[[#This Row],[Total Revenue]]-Table1[[#This Row],[Insurance Claim Amount]]</f>
        <v>1920</v>
      </c>
      <c r="S386">
        <v>1</v>
      </c>
      <c r="T386" t="str">
        <f t="shared" si="10"/>
        <v>May</v>
      </c>
      <c r="U386">
        <f t="shared" si="11"/>
        <v>2025</v>
      </c>
    </row>
    <row r="387" spans="1:21" x14ac:dyDescent="0.3">
      <c r="A387" t="s">
        <v>726</v>
      </c>
      <c r="B387" t="s">
        <v>727</v>
      </c>
      <c r="C387" t="s">
        <v>16</v>
      </c>
      <c r="D387" t="s">
        <v>252</v>
      </c>
      <c r="E387" t="s">
        <v>932</v>
      </c>
      <c r="F387">
        <v>45803</v>
      </c>
      <c r="G387" t="s">
        <v>935</v>
      </c>
      <c r="H387" t="s">
        <v>943</v>
      </c>
      <c r="I387" s="4">
        <v>684</v>
      </c>
      <c r="J387" s="4">
        <v>700</v>
      </c>
      <c r="K387" s="4">
        <v>1641</v>
      </c>
      <c r="L387" s="4">
        <v>1000</v>
      </c>
      <c r="M387" s="4">
        <f>Table1[[#This Row],[Visit Cost]]+Table1[[#This Row],[Lab Cost]]+Table1[[#This Row],[Medicine Cost]]+Table1[[#This Row],[Room Charges]]</f>
        <v>4025</v>
      </c>
      <c r="N387" s="5">
        <v>45823</v>
      </c>
      <c r="O387">
        <f>Table1[[#This Row],[Discharge Date]]-Table1[[#This Row],[Visit Date]]</f>
        <v>20</v>
      </c>
      <c r="P387" t="s">
        <v>949</v>
      </c>
      <c r="Q387" s="4">
        <v>0</v>
      </c>
      <c r="R387" s="4">
        <f>Table1[[#This Row],[Total Revenue]]-Table1[[#This Row],[Insurance Claim Amount]]</f>
        <v>4025</v>
      </c>
      <c r="S387">
        <v>2</v>
      </c>
      <c r="T387" t="str">
        <f t="shared" ref="T387:T450" si="12">TEXT(F387,"MMM")</f>
        <v>May</v>
      </c>
      <c r="U387">
        <f t="shared" ref="U387:U450" si="13">YEAR(F387)</f>
        <v>2025</v>
      </c>
    </row>
    <row r="388" spans="1:21" x14ac:dyDescent="0.3">
      <c r="A388" t="s">
        <v>728</v>
      </c>
      <c r="B388" t="s">
        <v>729</v>
      </c>
      <c r="C388" t="s">
        <v>38</v>
      </c>
      <c r="D388" t="s">
        <v>164</v>
      </c>
      <c r="E388" t="s">
        <v>933</v>
      </c>
      <c r="F388">
        <v>45722</v>
      </c>
      <c r="G388" t="s">
        <v>936</v>
      </c>
      <c r="H388" t="s">
        <v>941</v>
      </c>
      <c r="I388" s="4">
        <v>1063</v>
      </c>
      <c r="J388" s="4">
        <v>659</v>
      </c>
      <c r="K388" s="4">
        <v>632</v>
      </c>
      <c r="L388" s="4">
        <v>3838</v>
      </c>
      <c r="M388" s="4">
        <f>Table1[[#This Row],[Visit Cost]]+Table1[[#This Row],[Lab Cost]]+Table1[[#This Row],[Medicine Cost]]+Table1[[#This Row],[Room Charges]]</f>
        <v>6192</v>
      </c>
      <c r="N388" s="5">
        <v>45836</v>
      </c>
      <c r="O388">
        <f>Table1[[#This Row],[Discharge Date]]-Table1[[#This Row],[Visit Date]]</f>
        <v>114</v>
      </c>
      <c r="P388" t="s">
        <v>948</v>
      </c>
      <c r="Q388" s="4">
        <v>2320</v>
      </c>
      <c r="R388" s="4">
        <f>Table1[[#This Row],[Total Revenue]]-Table1[[#This Row],[Insurance Claim Amount]]</f>
        <v>3872</v>
      </c>
      <c r="S388">
        <v>2</v>
      </c>
      <c r="T388" t="str">
        <f t="shared" si="12"/>
        <v>Mar</v>
      </c>
      <c r="U388">
        <f t="shared" si="13"/>
        <v>2025</v>
      </c>
    </row>
    <row r="389" spans="1:21" x14ac:dyDescent="0.3">
      <c r="A389" t="s">
        <v>730</v>
      </c>
      <c r="B389" t="s">
        <v>731</v>
      </c>
      <c r="C389" t="s">
        <v>47</v>
      </c>
      <c r="D389" t="s">
        <v>252</v>
      </c>
      <c r="E389" t="s">
        <v>930</v>
      </c>
      <c r="F389">
        <v>45866</v>
      </c>
      <c r="G389" t="s">
        <v>938</v>
      </c>
      <c r="H389" t="s">
        <v>944</v>
      </c>
      <c r="I389" s="4">
        <v>1650</v>
      </c>
      <c r="J389" s="4">
        <v>1093</v>
      </c>
      <c r="K389" s="4">
        <v>1530</v>
      </c>
      <c r="L389" s="4">
        <v>3591</v>
      </c>
      <c r="M389" s="4">
        <f>Table1[[#This Row],[Visit Cost]]+Table1[[#This Row],[Lab Cost]]+Table1[[#This Row],[Medicine Cost]]+Table1[[#This Row],[Room Charges]]</f>
        <v>7864</v>
      </c>
      <c r="N389" s="5">
        <v>45898</v>
      </c>
      <c r="O389">
        <f>Table1[[#This Row],[Discharge Date]]-Table1[[#This Row],[Visit Date]]</f>
        <v>32</v>
      </c>
      <c r="P389" t="s">
        <v>948</v>
      </c>
      <c r="Q389" s="4">
        <v>3916</v>
      </c>
      <c r="R389" s="4">
        <f>Table1[[#This Row],[Total Revenue]]-Table1[[#This Row],[Insurance Claim Amount]]</f>
        <v>3948</v>
      </c>
      <c r="S389">
        <v>5</v>
      </c>
      <c r="T389" t="str">
        <f t="shared" si="12"/>
        <v>Jul</v>
      </c>
      <c r="U389">
        <f t="shared" si="13"/>
        <v>2025</v>
      </c>
    </row>
    <row r="390" spans="1:21" x14ac:dyDescent="0.3">
      <c r="A390" t="s">
        <v>732</v>
      </c>
      <c r="B390" t="s">
        <v>733</v>
      </c>
      <c r="C390" t="s">
        <v>29</v>
      </c>
      <c r="D390" t="s">
        <v>924</v>
      </c>
      <c r="E390" t="s">
        <v>930</v>
      </c>
      <c r="F390">
        <v>45921</v>
      </c>
      <c r="G390" t="s">
        <v>937</v>
      </c>
      <c r="H390" t="s">
        <v>941</v>
      </c>
      <c r="I390" s="4">
        <v>2133</v>
      </c>
      <c r="J390" s="4">
        <v>1799</v>
      </c>
      <c r="K390" s="4">
        <v>819</v>
      </c>
      <c r="L390" s="4">
        <v>4308</v>
      </c>
      <c r="M390" s="4">
        <f>Table1[[#This Row],[Visit Cost]]+Table1[[#This Row],[Lab Cost]]+Table1[[#This Row],[Medicine Cost]]+Table1[[#This Row],[Room Charges]]</f>
        <v>9059</v>
      </c>
      <c r="N390" s="5">
        <v>45995</v>
      </c>
      <c r="O390">
        <f>Table1[[#This Row],[Discharge Date]]-Table1[[#This Row],[Visit Date]]</f>
        <v>74</v>
      </c>
      <c r="P390" t="s">
        <v>949</v>
      </c>
      <c r="Q390" s="4">
        <v>0</v>
      </c>
      <c r="R390" s="4">
        <f>Table1[[#This Row],[Total Revenue]]-Table1[[#This Row],[Insurance Claim Amount]]</f>
        <v>9059</v>
      </c>
      <c r="S390">
        <v>3</v>
      </c>
      <c r="T390" t="str">
        <f t="shared" si="12"/>
        <v>Sep</v>
      </c>
      <c r="U390">
        <f t="shared" si="13"/>
        <v>2025</v>
      </c>
    </row>
    <row r="391" spans="1:21" x14ac:dyDescent="0.3">
      <c r="A391" t="s">
        <v>734</v>
      </c>
      <c r="B391" t="s">
        <v>735</v>
      </c>
      <c r="C391" t="s">
        <v>6</v>
      </c>
      <c r="D391" t="s">
        <v>927</v>
      </c>
      <c r="E391" t="s">
        <v>933</v>
      </c>
      <c r="F391">
        <v>46021</v>
      </c>
      <c r="G391" t="s">
        <v>936</v>
      </c>
      <c r="H391" t="s">
        <v>941</v>
      </c>
      <c r="I391" s="4">
        <v>2430</v>
      </c>
      <c r="J391" s="4">
        <v>4441</v>
      </c>
      <c r="K391" s="4">
        <v>1715</v>
      </c>
      <c r="L391" s="4">
        <v>5914</v>
      </c>
      <c r="M391" s="4">
        <f>Table1[[#This Row],[Visit Cost]]+Table1[[#This Row],[Lab Cost]]+Table1[[#This Row],[Medicine Cost]]+Table1[[#This Row],[Room Charges]]</f>
        <v>14500</v>
      </c>
      <c r="N391" s="5">
        <v>46112</v>
      </c>
      <c r="O391">
        <f>Table1[[#This Row],[Discharge Date]]-Table1[[#This Row],[Visit Date]]</f>
        <v>91</v>
      </c>
      <c r="P391" t="s">
        <v>949</v>
      </c>
      <c r="Q391" s="4">
        <v>0</v>
      </c>
      <c r="R391" s="4">
        <f>Table1[[#This Row],[Total Revenue]]-Table1[[#This Row],[Insurance Claim Amount]]</f>
        <v>14500</v>
      </c>
      <c r="S391">
        <v>3</v>
      </c>
      <c r="T391" t="str">
        <f t="shared" si="12"/>
        <v>Dec</v>
      </c>
      <c r="U391">
        <f t="shared" si="13"/>
        <v>2025</v>
      </c>
    </row>
    <row r="392" spans="1:21" x14ac:dyDescent="0.3">
      <c r="A392" t="s">
        <v>736</v>
      </c>
      <c r="B392" t="s">
        <v>341</v>
      </c>
      <c r="C392" t="s">
        <v>47</v>
      </c>
      <c r="D392" t="s">
        <v>80</v>
      </c>
      <c r="E392" t="s">
        <v>932</v>
      </c>
      <c r="F392">
        <v>45996</v>
      </c>
      <c r="G392" t="s">
        <v>935</v>
      </c>
      <c r="H392" t="s">
        <v>945</v>
      </c>
      <c r="I392" s="4">
        <v>1285</v>
      </c>
      <c r="J392" s="4">
        <v>1350</v>
      </c>
      <c r="K392" s="4">
        <v>2125</v>
      </c>
      <c r="L392" s="4">
        <v>10700</v>
      </c>
      <c r="M392" s="4">
        <f>Table1[[#This Row],[Visit Cost]]+Table1[[#This Row],[Lab Cost]]+Table1[[#This Row],[Medicine Cost]]+Table1[[#This Row],[Room Charges]]</f>
        <v>15460</v>
      </c>
      <c r="N392" s="5">
        <v>46011</v>
      </c>
      <c r="O392">
        <f>Table1[[#This Row],[Discharge Date]]-Table1[[#This Row],[Visit Date]]</f>
        <v>15</v>
      </c>
      <c r="P392" t="s">
        <v>948</v>
      </c>
      <c r="Q392" s="4">
        <v>7859</v>
      </c>
      <c r="R392" s="4">
        <f>Table1[[#This Row],[Total Revenue]]-Table1[[#This Row],[Insurance Claim Amount]]</f>
        <v>7601</v>
      </c>
      <c r="S392">
        <v>1</v>
      </c>
      <c r="T392" t="str">
        <f t="shared" si="12"/>
        <v>Dec</v>
      </c>
      <c r="U392">
        <f t="shared" si="13"/>
        <v>2025</v>
      </c>
    </row>
    <row r="393" spans="1:21" x14ac:dyDescent="0.3">
      <c r="A393" t="s">
        <v>737</v>
      </c>
      <c r="B393" t="s">
        <v>738</v>
      </c>
      <c r="C393" t="s">
        <v>47</v>
      </c>
      <c r="D393" t="s">
        <v>927</v>
      </c>
      <c r="E393" t="s">
        <v>929</v>
      </c>
      <c r="F393">
        <v>45773</v>
      </c>
      <c r="G393" t="s">
        <v>938</v>
      </c>
      <c r="H393" t="s">
        <v>941</v>
      </c>
      <c r="I393" s="4">
        <v>2365</v>
      </c>
      <c r="J393" s="4">
        <v>3454</v>
      </c>
      <c r="K393" s="4">
        <v>965</v>
      </c>
      <c r="L393" s="4">
        <v>3240</v>
      </c>
      <c r="M393" s="4">
        <f>Table1[[#This Row],[Visit Cost]]+Table1[[#This Row],[Lab Cost]]+Table1[[#This Row],[Medicine Cost]]+Table1[[#This Row],[Room Charges]]</f>
        <v>10024</v>
      </c>
      <c r="N393" s="5">
        <v>45839</v>
      </c>
      <c r="O393">
        <f>Table1[[#This Row],[Discharge Date]]-Table1[[#This Row],[Visit Date]]</f>
        <v>66</v>
      </c>
      <c r="P393" t="s">
        <v>949</v>
      </c>
      <c r="Q393" s="4">
        <v>0</v>
      </c>
      <c r="R393" s="4">
        <f>Table1[[#This Row],[Total Revenue]]-Table1[[#This Row],[Insurance Claim Amount]]</f>
        <v>10024</v>
      </c>
      <c r="S393">
        <v>2</v>
      </c>
      <c r="T393" t="str">
        <f t="shared" si="12"/>
        <v>Apr</v>
      </c>
      <c r="U393">
        <f t="shared" si="13"/>
        <v>2025</v>
      </c>
    </row>
    <row r="394" spans="1:21" x14ac:dyDescent="0.3">
      <c r="A394" t="s">
        <v>739</v>
      </c>
      <c r="B394" t="s">
        <v>740</v>
      </c>
      <c r="C394" t="s">
        <v>29</v>
      </c>
      <c r="D394" t="s">
        <v>926</v>
      </c>
      <c r="E394" t="s">
        <v>931</v>
      </c>
      <c r="F394">
        <v>45880</v>
      </c>
      <c r="G394" t="s">
        <v>936</v>
      </c>
      <c r="H394" t="s">
        <v>944</v>
      </c>
      <c r="I394" s="4">
        <v>1276</v>
      </c>
      <c r="J394" s="4">
        <v>3855</v>
      </c>
      <c r="K394" s="4">
        <v>2226</v>
      </c>
      <c r="L394" s="4">
        <v>5329</v>
      </c>
      <c r="M394" s="4">
        <f>Table1[[#This Row],[Visit Cost]]+Table1[[#This Row],[Lab Cost]]+Table1[[#This Row],[Medicine Cost]]+Table1[[#This Row],[Room Charges]]</f>
        <v>12686</v>
      </c>
      <c r="N394" s="5">
        <v>45971</v>
      </c>
      <c r="O394">
        <f>Table1[[#This Row],[Discharge Date]]-Table1[[#This Row],[Visit Date]]</f>
        <v>91</v>
      </c>
      <c r="P394" t="s">
        <v>948</v>
      </c>
      <c r="Q394" s="4">
        <v>1193</v>
      </c>
      <c r="R394" s="4">
        <f>Table1[[#This Row],[Total Revenue]]-Table1[[#This Row],[Insurance Claim Amount]]</f>
        <v>11493</v>
      </c>
      <c r="S394">
        <v>2</v>
      </c>
      <c r="T394" t="str">
        <f t="shared" si="12"/>
        <v>Aug</v>
      </c>
      <c r="U394">
        <f t="shared" si="13"/>
        <v>2025</v>
      </c>
    </row>
    <row r="395" spans="1:21" x14ac:dyDescent="0.3">
      <c r="A395" t="s">
        <v>741</v>
      </c>
      <c r="B395" t="s">
        <v>742</v>
      </c>
      <c r="C395" t="s">
        <v>16</v>
      </c>
      <c r="D395" t="s">
        <v>926</v>
      </c>
      <c r="E395" t="s">
        <v>931</v>
      </c>
      <c r="F395">
        <v>45734</v>
      </c>
      <c r="G395" t="s">
        <v>937</v>
      </c>
      <c r="H395" t="s">
        <v>945</v>
      </c>
      <c r="I395" s="4">
        <v>1459</v>
      </c>
      <c r="J395" s="4">
        <v>2289</v>
      </c>
      <c r="K395" s="4">
        <v>2755</v>
      </c>
      <c r="L395" s="4">
        <v>8511</v>
      </c>
      <c r="M395" s="4">
        <f>Table1[[#This Row],[Visit Cost]]+Table1[[#This Row],[Lab Cost]]+Table1[[#This Row],[Medicine Cost]]+Table1[[#This Row],[Room Charges]]</f>
        <v>15014</v>
      </c>
      <c r="N395" s="5">
        <v>45864</v>
      </c>
      <c r="O395">
        <f>Table1[[#This Row],[Discharge Date]]-Table1[[#This Row],[Visit Date]]</f>
        <v>130</v>
      </c>
      <c r="P395" t="s">
        <v>948</v>
      </c>
      <c r="Q395" s="4">
        <v>11260</v>
      </c>
      <c r="R395" s="4">
        <f>Table1[[#This Row],[Total Revenue]]-Table1[[#This Row],[Insurance Claim Amount]]</f>
        <v>3754</v>
      </c>
      <c r="S395">
        <v>1</v>
      </c>
      <c r="T395" t="str">
        <f t="shared" si="12"/>
        <v>Mar</v>
      </c>
      <c r="U395">
        <f t="shared" si="13"/>
        <v>2025</v>
      </c>
    </row>
    <row r="396" spans="1:21" x14ac:dyDescent="0.3">
      <c r="A396" t="s">
        <v>743</v>
      </c>
      <c r="B396" t="s">
        <v>744</v>
      </c>
      <c r="C396" t="s">
        <v>6</v>
      </c>
      <c r="D396" t="s">
        <v>85</v>
      </c>
      <c r="E396" t="s">
        <v>932</v>
      </c>
      <c r="F396">
        <v>45671</v>
      </c>
      <c r="G396" t="s">
        <v>935</v>
      </c>
      <c r="H396" t="s">
        <v>945</v>
      </c>
      <c r="I396" s="4">
        <v>1586</v>
      </c>
      <c r="J396" s="4">
        <v>1250</v>
      </c>
      <c r="K396" s="4">
        <v>786</v>
      </c>
      <c r="L396" s="4">
        <v>1300</v>
      </c>
      <c r="M396" s="4">
        <f>Table1[[#This Row],[Visit Cost]]+Table1[[#This Row],[Lab Cost]]+Table1[[#This Row],[Medicine Cost]]+Table1[[#This Row],[Room Charges]]</f>
        <v>4922</v>
      </c>
      <c r="N396" s="5">
        <v>45688</v>
      </c>
      <c r="O396">
        <f>Table1[[#This Row],[Discharge Date]]-Table1[[#This Row],[Visit Date]]</f>
        <v>17</v>
      </c>
      <c r="P396" t="s">
        <v>948</v>
      </c>
      <c r="Q396" s="4">
        <v>3101</v>
      </c>
      <c r="R396" s="4">
        <f>Table1[[#This Row],[Total Revenue]]-Table1[[#This Row],[Insurance Claim Amount]]</f>
        <v>1821</v>
      </c>
      <c r="S396">
        <v>2</v>
      </c>
      <c r="T396" t="str">
        <f t="shared" si="12"/>
        <v>Jan</v>
      </c>
      <c r="U396">
        <f t="shared" si="13"/>
        <v>2025</v>
      </c>
    </row>
    <row r="397" spans="1:21" x14ac:dyDescent="0.3">
      <c r="A397" t="s">
        <v>745</v>
      </c>
      <c r="B397" t="s">
        <v>746</v>
      </c>
      <c r="C397" t="s">
        <v>29</v>
      </c>
      <c r="D397" t="s">
        <v>85</v>
      </c>
      <c r="E397" t="s">
        <v>933</v>
      </c>
      <c r="F397">
        <v>45893</v>
      </c>
      <c r="G397" t="s">
        <v>936</v>
      </c>
      <c r="H397" t="s">
        <v>940</v>
      </c>
      <c r="I397" s="4">
        <v>1691</v>
      </c>
      <c r="J397" s="4">
        <v>606</v>
      </c>
      <c r="K397" s="4">
        <v>2396</v>
      </c>
      <c r="L397" s="4">
        <v>9339</v>
      </c>
      <c r="M397" s="4">
        <f>Table1[[#This Row],[Visit Cost]]+Table1[[#This Row],[Lab Cost]]+Table1[[#This Row],[Medicine Cost]]+Table1[[#This Row],[Room Charges]]</f>
        <v>14032</v>
      </c>
      <c r="N397" s="5">
        <v>46022</v>
      </c>
      <c r="O397">
        <f>Table1[[#This Row],[Discharge Date]]-Table1[[#This Row],[Visit Date]]</f>
        <v>129</v>
      </c>
      <c r="P397" t="s">
        <v>949</v>
      </c>
      <c r="Q397" s="4">
        <v>0</v>
      </c>
      <c r="R397" s="4">
        <f>Table1[[#This Row],[Total Revenue]]-Table1[[#This Row],[Insurance Claim Amount]]</f>
        <v>14032</v>
      </c>
      <c r="S397">
        <v>3</v>
      </c>
      <c r="T397" t="str">
        <f t="shared" si="12"/>
        <v>Aug</v>
      </c>
      <c r="U397">
        <f t="shared" si="13"/>
        <v>2025</v>
      </c>
    </row>
    <row r="398" spans="1:21" x14ac:dyDescent="0.3">
      <c r="A398" t="s">
        <v>747</v>
      </c>
      <c r="B398" t="s">
        <v>748</v>
      </c>
      <c r="C398" t="s">
        <v>6</v>
      </c>
      <c r="D398" t="s">
        <v>927</v>
      </c>
      <c r="E398" t="s">
        <v>929</v>
      </c>
      <c r="F398">
        <v>45677</v>
      </c>
      <c r="G398" t="s">
        <v>938</v>
      </c>
      <c r="H398" t="s">
        <v>945</v>
      </c>
      <c r="I398" s="4">
        <v>1324</v>
      </c>
      <c r="J398" s="4">
        <v>934</v>
      </c>
      <c r="K398" s="4">
        <v>824</v>
      </c>
      <c r="L398" s="4">
        <v>8575</v>
      </c>
      <c r="M398" s="4">
        <f>Table1[[#This Row],[Visit Cost]]+Table1[[#This Row],[Lab Cost]]+Table1[[#This Row],[Medicine Cost]]+Table1[[#This Row],[Room Charges]]</f>
        <v>11657</v>
      </c>
      <c r="N398" s="5">
        <v>45761</v>
      </c>
      <c r="O398">
        <f>Table1[[#This Row],[Discharge Date]]-Table1[[#This Row],[Visit Date]]</f>
        <v>84</v>
      </c>
      <c r="P398" t="s">
        <v>948</v>
      </c>
      <c r="Q398" s="4">
        <v>9664</v>
      </c>
      <c r="R398" s="4">
        <f>Table1[[#This Row],[Total Revenue]]-Table1[[#This Row],[Insurance Claim Amount]]</f>
        <v>1993</v>
      </c>
      <c r="S398">
        <v>1</v>
      </c>
      <c r="T398" t="str">
        <f t="shared" si="12"/>
        <v>Jan</v>
      </c>
      <c r="U398">
        <f t="shared" si="13"/>
        <v>2025</v>
      </c>
    </row>
    <row r="399" spans="1:21" x14ac:dyDescent="0.3">
      <c r="A399" t="s">
        <v>749</v>
      </c>
      <c r="B399" t="s">
        <v>750</v>
      </c>
      <c r="C399" t="s">
        <v>6</v>
      </c>
      <c r="D399" t="s">
        <v>252</v>
      </c>
      <c r="E399" t="s">
        <v>930</v>
      </c>
      <c r="F399">
        <v>45777</v>
      </c>
      <c r="G399" t="s">
        <v>937</v>
      </c>
      <c r="H399" t="s">
        <v>942</v>
      </c>
      <c r="I399" s="4">
        <v>1303</v>
      </c>
      <c r="J399" s="4">
        <v>502</v>
      </c>
      <c r="K399" s="4">
        <v>854</v>
      </c>
      <c r="L399" s="4">
        <v>4727</v>
      </c>
      <c r="M399" s="4">
        <f>Table1[[#This Row],[Visit Cost]]+Table1[[#This Row],[Lab Cost]]+Table1[[#This Row],[Medicine Cost]]+Table1[[#This Row],[Room Charges]]</f>
        <v>7386</v>
      </c>
      <c r="N399" s="5">
        <v>45850</v>
      </c>
      <c r="O399">
        <f>Table1[[#This Row],[Discharge Date]]-Table1[[#This Row],[Visit Date]]</f>
        <v>73</v>
      </c>
      <c r="P399" t="s">
        <v>948</v>
      </c>
      <c r="Q399" s="4">
        <v>5935</v>
      </c>
      <c r="R399" s="4">
        <f>Table1[[#This Row],[Total Revenue]]-Table1[[#This Row],[Insurance Claim Amount]]</f>
        <v>1451</v>
      </c>
      <c r="S399">
        <v>1</v>
      </c>
      <c r="T399" t="str">
        <f t="shared" si="12"/>
        <v>Apr</v>
      </c>
      <c r="U399">
        <f t="shared" si="13"/>
        <v>2025</v>
      </c>
    </row>
    <row r="400" spans="1:21" x14ac:dyDescent="0.3">
      <c r="A400" t="s">
        <v>751</v>
      </c>
      <c r="B400" t="s">
        <v>752</v>
      </c>
      <c r="C400" t="s">
        <v>11</v>
      </c>
      <c r="D400" t="s">
        <v>164</v>
      </c>
      <c r="E400" t="s">
        <v>933</v>
      </c>
      <c r="F400">
        <v>45856</v>
      </c>
      <c r="G400" t="s">
        <v>936</v>
      </c>
      <c r="H400" t="s">
        <v>944</v>
      </c>
      <c r="I400" s="4">
        <v>1553</v>
      </c>
      <c r="J400" s="4">
        <v>4199</v>
      </c>
      <c r="K400" s="4">
        <v>710</v>
      </c>
      <c r="L400" s="4">
        <v>4539</v>
      </c>
      <c r="M400" s="4">
        <f>Table1[[#This Row],[Visit Cost]]+Table1[[#This Row],[Lab Cost]]+Table1[[#This Row],[Medicine Cost]]+Table1[[#This Row],[Room Charges]]</f>
        <v>11001</v>
      </c>
      <c r="N400" s="5">
        <v>45938</v>
      </c>
      <c r="O400">
        <f>Table1[[#This Row],[Discharge Date]]-Table1[[#This Row],[Visit Date]]</f>
        <v>82</v>
      </c>
      <c r="P400" t="s">
        <v>948</v>
      </c>
      <c r="Q400" s="4">
        <v>3118</v>
      </c>
      <c r="R400" s="4">
        <f>Table1[[#This Row],[Total Revenue]]-Table1[[#This Row],[Insurance Claim Amount]]</f>
        <v>7883</v>
      </c>
      <c r="S400">
        <v>1</v>
      </c>
      <c r="T400" t="str">
        <f t="shared" si="12"/>
        <v>Jul</v>
      </c>
      <c r="U400">
        <f t="shared" si="13"/>
        <v>2025</v>
      </c>
    </row>
    <row r="401" spans="1:21" x14ac:dyDescent="0.3">
      <c r="A401" t="s">
        <v>753</v>
      </c>
      <c r="B401" t="s">
        <v>754</v>
      </c>
      <c r="C401" t="s">
        <v>38</v>
      </c>
      <c r="D401" t="s">
        <v>164</v>
      </c>
      <c r="E401" t="s">
        <v>930</v>
      </c>
      <c r="F401">
        <v>45941</v>
      </c>
      <c r="G401" t="s">
        <v>935</v>
      </c>
      <c r="H401" t="s">
        <v>941</v>
      </c>
      <c r="I401" s="4">
        <v>509</v>
      </c>
      <c r="J401" s="4">
        <v>1700</v>
      </c>
      <c r="K401" s="4">
        <v>1596</v>
      </c>
      <c r="L401" s="4">
        <v>1900</v>
      </c>
      <c r="M401" s="4">
        <f>Table1[[#This Row],[Visit Cost]]+Table1[[#This Row],[Lab Cost]]+Table1[[#This Row],[Medicine Cost]]+Table1[[#This Row],[Room Charges]]</f>
        <v>5705</v>
      </c>
      <c r="N401" s="5">
        <v>45960</v>
      </c>
      <c r="O401">
        <f>Table1[[#This Row],[Discharge Date]]-Table1[[#This Row],[Visit Date]]</f>
        <v>19</v>
      </c>
      <c r="P401" t="s">
        <v>948</v>
      </c>
      <c r="Q401" s="4">
        <v>3433</v>
      </c>
      <c r="R401" s="4">
        <f>Table1[[#This Row],[Total Revenue]]-Table1[[#This Row],[Insurance Claim Amount]]</f>
        <v>2272</v>
      </c>
      <c r="S401">
        <v>2</v>
      </c>
      <c r="T401" t="str">
        <f t="shared" si="12"/>
        <v>Oct</v>
      </c>
      <c r="U401">
        <f t="shared" si="13"/>
        <v>2025</v>
      </c>
    </row>
    <row r="402" spans="1:21" x14ac:dyDescent="0.3">
      <c r="A402" t="s">
        <v>755</v>
      </c>
      <c r="B402" t="s">
        <v>333</v>
      </c>
      <c r="C402" t="s">
        <v>11</v>
      </c>
      <c r="D402" t="s">
        <v>252</v>
      </c>
      <c r="E402" t="s">
        <v>931</v>
      </c>
      <c r="F402">
        <v>45894</v>
      </c>
      <c r="G402" t="s">
        <v>936</v>
      </c>
      <c r="H402" t="s">
        <v>942</v>
      </c>
      <c r="I402" s="4">
        <v>1839</v>
      </c>
      <c r="J402" s="4">
        <v>500</v>
      </c>
      <c r="K402" s="4">
        <v>1279</v>
      </c>
      <c r="L402" s="4">
        <v>3500</v>
      </c>
      <c r="M402" s="4">
        <f>Table1[[#This Row],[Visit Cost]]+Table1[[#This Row],[Lab Cost]]+Table1[[#This Row],[Medicine Cost]]+Table1[[#This Row],[Room Charges]]</f>
        <v>7118</v>
      </c>
      <c r="N402" s="5">
        <v>46000</v>
      </c>
      <c r="O402">
        <f>Table1[[#This Row],[Discharge Date]]-Table1[[#This Row],[Visit Date]]</f>
        <v>106</v>
      </c>
      <c r="P402" t="s">
        <v>949</v>
      </c>
      <c r="Q402" s="4">
        <v>0</v>
      </c>
      <c r="R402" s="4">
        <f>Table1[[#This Row],[Total Revenue]]-Table1[[#This Row],[Insurance Claim Amount]]</f>
        <v>7118</v>
      </c>
      <c r="S402">
        <v>5</v>
      </c>
      <c r="T402" t="str">
        <f t="shared" si="12"/>
        <v>Aug</v>
      </c>
      <c r="U402">
        <f t="shared" si="13"/>
        <v>2025</v>
      </c>
    </row>
    <row r="403" spans="1:21" x14ac:dyDescent="0.3">
      <c r="A403" t="s">
        <v>756</v>
      </c>
      <c r="B403" t="s">
        <v>757</v>
      </c>
      <c r="C403" t="s">
        <v>38</v>
      </c>
      <c r="D403" t="s">
        <v>924</v>
      </c>
      <c r="E403" t="s">
        <v>932</v>
      </c>
      <c r="F403">
        <v>45690</v>
      </c>
      <c r="G403" t="s">
        <v>938</v>
      </c>
      <c r="H403" t="s">
        <v>942</v>
      </c>
      <c r="I403" s="4">
        <v>762</v>
      </c>
      <c r="J403" s="4">
        <v>0</v>
      </c>
      <c r="K403" s="4">
        <v>1982</v>
      </c>
      <c r="L403" s="4">
        <v>8028</v>
      </c>
      <c r="M403" s="4">
        <f>Table1[[#This Row],[Visit Cost]]+Table1[[#This Row],[Lab Cost]]+Table1[[#This Row],[Medicine Cost]]+Table1[[#This Row],[Room Charges]]</f>
        <v>10772</v>
      </c>
      <c r="N403" s="5">
        <v>45828</v>
      </c>
      <c r="O403">
        <f>Table1[[#This Row],[Discharge Date]]-Table1[[#This Row],[Visit Date]]</f>
        <v>138</v>
      </c>
      <c r="P403" t="s">
        <v>948</v>
      </c>
      <c r="Q403" s="4">
        <v>1928</v>
      </c>
      <c r="R403" s="4">
        <f>Table1[[#This Row],[Total Revenue]]-Table1[[#This Row],[Insurance Claim Amount]]</f>
        <v>8844</v>
      </c>
      <c r="S403">
        <v>5</v>
      </c>
      <c r="T403" t="str">
        <f t="shared" si="12"/>
        <v>Feb</v>
      </c>
      <c r="U403">
        <f t="shared" si="13"/>
        <v>2025</v>
      </c>
    </row>
    <row r="404" spans="1:21" x14ac:dyDescent="0.3">
      <c r="A404" t="s">
        <v>758</v>
      </c>
      <c r="B404" t="s">
        <v>759</v>
      </c>
      <c r="C404" t="s">
        <v>47</v>
      </c>
      <c r="D404" t="s">
        <v>926</v>
      </c>
      <c r="E404" t="s">
        <v>929</v>
      </c>
      <c r="F404">
        <v>45984</v>
      </c>
      <c r="G404" t="s">
        <v>937</v>
      </c>
      <c r="H404" t="s">
        <v>944</v>
      </c>
      <c r="I404" s="4">
        <v>1521</v>
      </c>
      <c r="J404" s="4">
        <v>500</v>
      </c>
      <c r="K404" s="4">
        <v>1500</v>
      </c>
      <c r="L404" s="4">
        <v>8000</v>
      </c>
      <c r="M404" s="4">
        <f>Table1[[#This Row],[Visit Cost]]+Table1[[#This Row],[Lab Cost]]+Table1[[#This Row],[Medicine Cost]]+Table1[[#This Row],[Room Charges]]</f>
        <v>11521</v>
      </c>
      <c r="N404" s="5">
        <v>46057</v>
      </c>
      <c r="O404">
        <f>Table1[[#This Row],[Discharge Date]]-Table1[[#This Row],[Visit Date]]</f>
        <v>73</v>
      </c>
      <c r="P404" t="s">
        <v>949</v>
      </c>
      <c r="Q404" s="4">
        <v>0</v>
      </c>
      <c r="R404" s="4">
        <f>Table1[[#This Row],[Total Revenue]]-Table1[[#This Row],[Insurance Claim Amount]]</f>
        <v>11521</v>
      </c>
      <c r="S404">
        <v>3</v>
      </c>
      <c r="T404" t="str">
        <f t="shared" si="12"/>
        <v>Nov</v>
      </c>
      <c r="U404">
        <f t="shared" si="13"/>
        <v>2025</v>
      </c>
    </row>
    <row r="405" spans="1:21" x14ac:dyDescent="0.3">
      <c r="A405" t="s">
        <v>760</v>
      </c>
      <c r="B405" t="s">
        <v>761</v>
      </c>
      <c r="C405" t="s">
        <v>29</v>
      </c>
      <c r="D405" t="s">
        <v>926</v>
      </c>
      <c r="E405" t="s">
        <v>932</v>
      </c>
      <c r="F405">
        <v>45942</v>
      </c>
      <c r="G405" t="s">
        <v>936</v>
      </c>
      <c r="H405" t="s">
        <v>940</v>
      </c>
      <c r="I405" s="4">
        <v>1423</v>
      </c>
      <c r="J405" s="4">
        <v>2355</v>
      </c>
      <c r="K405" s="4">
        <v>990</v>
      </c>
      <c r="L405" s="4">
        <v>8307</v>
      </c>
      <c r="M405" s="4">
        <f>Table1[[#This Row],[Visit Cost]]+Table1[[#This Row],[Lab Cost]]+Table1[[#This Row],[Medicine Cost]]+Table1[[#This Row],[Room Charges]]</f>
        <v>13075</v>
      </c>
      <c r="N405" s="5">
        <v>46069</v>
      </c>
      <c r="O405">
        <f>Table1[[#This Row],[Discharge Date]]-Table1[[#This Row],[Visit Date]]</f>
        <v>127</v>
      </c>
      <c r="P405" t="s">
        <v>949</v>
      </c>
      <c r="Q405" s="4">
        <v>0</v>
      </c>
      <c r="R405" s="4">
        <f>Table1[[#This Row],[Total Revenue]]-Table1[[#This Row],[Insurance Claim Amount]]</f>
        <v>13075</v>
      </c>
      <c r="S405">
        <v>2</v>
      </c>
      <c r="T405" t="str">
        <f t="shared" si="12"/>
        <v>Oct</v>
      </c>
      <c r="U405">
        <f t="shared" si="13"/>
        <v>2025</v>
      </c>
    </row>
    <row r="406" spans="1:21" x14ac:dyDescent="0.3">
      <c r="A406" t="s">
        <v>762</v>
      </c>
      <c r="B406" t="s">
        <v>763</v>
      </c>
      <c r="C406" t="s">
        <v>47</v>
      </c>
      <c r="D406" t="s">
        <v>80</v>
      </c>
      <c r="E406" t="s">
        <v>929</v>
      </c>
      <c r="F406">
        <v>45683</v>
      </c>
      <c r="G406" t="s">
        <v>935</v>
      </c>
      <c r="H406" t="s">
        <v>943</v>
      </c>
      <c r="I406" s="4">
        <v>1000</v>
      </c>
      <c r="J406" s="4">
        <v>2345</v>
      </c>
      <c r="K406" s="4">
        <v>2215</v>
      </c>
      <c r="L406" s="4">
        <v>4800</v>
      </c>
      <c r="M406" s="4">
        <f>Table1[[#This Row],[Visit Cost]]+Table1[[#This Row],[Lab Cost]]+Table1[[#This Row],[Medicine Cost]]+Table1[[#This Row],[Room Charges]]</f>
        <v>10360</v>
      </c>
      <c r="N406" s="5">
        <v>45722</v>
      </c>
      <c r="O406">
        <f>Table1[[#This Row],[Discharge Date]]-Table1[[#This Row],[Visit Date]]</f>
        <v>39</v>
      </c>
      <c r="P406" t="s">
        <v>949</v>
      </c>
      <c r="Q406" s="4">
        <v>0</v>
      </c>
      <c r="R406" s="4">
        <f>Table1[[#This Row],[Total Revenue]]-Table1[[#This Row],[Insurance Claim Amount]]</f>
        <v>10360</v>
      </c>
      <c r="S406">
        <v>1</v>
      </c>
      <c r="T406" t="str">
        <f t="shared" si="12"/>
        <v>Jan</v>
      </c>
      <c r="U406">
        <f t="shared" si="13"/>
        <v>2025</v>
      </c>
    </row>
    <row r="407" spans="1:21" x14ac:dyDescent="0.3">
      <c r="A407" t="s">
        <v>764</v>
      </c>
      <c r="B407" t="s">
        <v>765</v>
      </c>
      <c r="C407" t="s">
        <v>29</v>
      </c>
      <c r="D407" t="s">
        <v>924</v>
      </c>
      <c r="E407" t="s">
        <v>930</v>
      </c>
      <c r="F407">
        <v>45741</v>
      </c>
      <c r="G407" t="s">
        <v>938</v>
      </c>
      <c r="H407" t="s">
        <v>940</v>
      </c>
      <c r="I407" s="4">
        <v>1915</v>
      </c>
      <c r="J407" s="4">
        <v>4989</v>
      </c>
      <c r="K407" s="4">
        <v>931</v>
      </c>
      <c r="L407" s="4">
        <v>2679</v>
      </c>
      <c r="M407" s="4">
        <f>Table1[[#This Row],[Visit Cost]]+Table1[[#This Row],[Lab Cost]]+Table1[[#This Row],[Medicine Cost]]+Table1[[#This Row],[Room Charges]]</f>
        <v>10514</v>
      </c>
      <c r="N407" s="5">
        <v>45806</v>
      </c>
      <c r="O407">
        <f>Table1[[#This Row],[Discharge Date]]-Table1[[#This Row],[Visit Date]]</f>
        <v>65</v>
      </c>
      <c r="P407" t="s">
        <v>949</v>
      </c>
      <c r="Q407" s="4">
        <v>0</v>
      </c>
      <c r="R407" s="4">
        <f>Table1[[#This Row],[Total Revenue]]-Table1[[#This Row],[Insurance Claim Amount]]</f>
        <v>10514</v>
      </c>
      <c r="S407">
        <v>4</v>
      </c>
      <c r="T407" t="str">
        <f t="shared" si="12"/>
        <v>Mar</v>
      </c>
      <c r="U407">
        <f t="shared" si="13"/>
        <v>2025</v>
      </c>
    </row>
    <row r="408" spans="1:21" x14ac:dyDescent="0.3">
      <c r="A408" t="s">
        <v>766</v>
      </c>
      <c r="B408" t="s">
        <v>767</v>
      </c>
      <c r="C408" t="s">
        <v>38</v>
      </c>
      <c r="D408" t="s">
        <v>80</v>
      </c>
      <c r="E408" t="s">
        <v>933</v>
      </c>
      <c r="F408">
        <v>45982</v>
      </c>
      <c r="G408" t="s">
        <v>936</v>
      </c>
      <c r="H408" t="s">
        <v>944</v>
      </c>
      <c r="I408" s="4">
        <v>1200</v>
      </c>
      <c r="J408" s="4">
        <v>4541</v>
      </c>
      <c r="K408" s="4">
        <v>2931</v>
      </c>
      <c r="L408" s="4">
        <v>1055</v>
      </c>
      <c r="M408" s="4">
        <f>Table1[[#This Row],[Visit Cost]]+Table1[[#This Row],[Lab Cost]]+Table1[[#This Row],[Medicine Cost]]+Table1[[#This Row],[Room Charges]]</f>
        <v>9727</v>
      </c>
      <c r="N408" s="5">
        <v>46020</v>
      </c>
      <c r="O408">
        <f>Table1[[#This Row],[Discharge Date]]-Table1[[#This Row],[Visit Date]]</f>
        <v>38</v>
      </c>
      <c r="P408" t="s">
        <v>948</v>
      </c>
      <c r="Q408" s="4">
        <v>9517</v>
      </c>
      <c r="R408" s="4">
        <f>Table1[[#This Row],[Total Revenue]]-Table1[[#This Row],[Insurance Claim Amount]]</f>
        <v>210</v>
      </c>
      <c r="S408">
        <v>2</v>
      </c>
      <c r="T408" t="str">
        <f t="shared" si="12"/>
        <v>Nov</v>
      </c>
      <c r="U408">
        <f t="shared" si="13"/>
        <v>2025</v>
      </c>
    </row>
    <row r="409" spans="1:21" x14ac:dyDescent="0.3">
      <c r="A409" t="s">
        <v>768</v>
      </c>
      <c r="B409" t="s">
        <v>769</v>
      </c>
      <c r="C409" t="s">
        <v>11</v>
      </c>
      <c r="D409" t="s">
        <v>924</v>
      </c>
      <c r="E409" t="s">
        <v>931</v>
      </c>
      <c r="F409">
        <v>45727</v>
      </c>
      <c r="G409" t="s">
        <v>937</v>
      </c>
      <c r="H409" t="s">
        <v>940</v>
      </c>
      <c r="I409" s="4">
        <v>1582</v>
      </c>
      <c r="J409" s="4">
        <v>651</v>
      </c>
      <c r="K409" s="4">
        <v>1353</v>
      </c>
      <c r="L409" s="4">
        <v>2000</v>
      </c>
      <c r="M409" s="4">
        <f>Table1[[#This Row],[Visit Cost]]+Table1[[#This Row],[Lab Cost]]+Table1[[#This Row],[Medicine Cost]]+Table1[[#This Row],[Room Charges]]</f>
        <v>5586</v>
      </c>
      <c r="N409" s="5">
        <v>45735</v>
      </c>
      <c r="O409">
        <f>Table1[[#This Row],[Discharge Date]]-Table1[[#This Row],[Visit Date]]</f>
        <v>8</v>
      </c>
      <c r="P409" t="s">
        <v>948</v>
      </c>
      <c r="Q409" s="4">
        <v>4663</v>
      </c>
      <c r="R409" s="4">
        <f>Table1[[#This Row],[Total Revenue]]-Table1[[#This Row],[Insurance Claim Amount]]</f>
        <v>923</v>
      </c>
      <c r="S409">
        <v>2</v>
      </c>
      <c r="T409" t="str">
        <f t="shared" si="12"/>
        <v>Mar</v>
      </c>
      <c r="U409">
        <f t="shared" si="13"/>
        <v>2025</v>
      </c>
    </row>
    <row r="410" spans="1:21" x14ac:dyDescent="0.3">
      <c r="A410" t="s">
        <v>770</v>
      </c>
      <c r="B410" t="s">
        <v>771</v>
      </c>
      <c r="C410" t="s">
        <v>16</v>
      </c>
      <c r="D410" t="s">
        <v>924</v>
      </c>
      <c r="E410" t="s">
        <v>931</v>
      </c>
      <c r="F410">
        <v>45952</v>
      </c>
      <c r="G410" t="s">
        <v>935</v>
      </c>
      <c r="H410" t="s">
        <v>943</v>
      </c>
      <c r="I410" s="4">
        <v>1600</v>
      </c>
      <c r="J410" s="4">
        <v>2393</v>
      </c>
      <c r="K410" s="4">
        <v>2903</v>
      </c>
      <c r="L410" s="4">
        <v>3701</v>
      </c>
      <c r="M410" s="4">
        <f>Table1[[#This Row],[Visit Cost]]+Table1[[#This Row],[Lab Cost]]+Table1[[#This Row],[Medicine Cost]]+Table1[[#This Row],[Room Charges]]</f>
        <v>10597</v>
      </c>
      <c r="N410" s="5">
        <v>45989</v>
      </c>
      <c r="O410">
        <f>Table1[[#This Row],[Discharge Date]]-Table1[[#This Row],[Visit Date]]</f>
        <v>37</v>
      </c>
      <c r="P410" t="s">
        <v>948</v>
      </c>
      <c r="Q410" s="4">
        <v>742</v>
      </c>
      <c r="R410" s="4">
        <f>Table1[[#This Row],[Total Revenue]]-Table1[[#This Row],[Insurance Claim Amount]]</f>
        <v>9855</v>
      </c>
      <c r="S410">
        <v>1</v>
      </c>
      <c r="T410" t="str">
        <f t="shared" si="12"/>
        <v>Oct</v>
      </c>
      <c r="U410">
        <f t="shared" si="13"/>
        <v>2025</v>
      </c>
    </row>
    <row r="411" spans="1:21" x14ac:dyDescent="0.3">
      <c r="A411" t="s">
        <v>772</v>
      </c>
      <c r="B411" t="s">
        <v>773</v>
      </c>
      <c r="C411" t="s">
        <v>29</v>
      </c>
      <c r="D411" t="s">
        <v>924</v>
      </c>
      <c r="E411" t="s">
        <v>933</v>
      </c>
      <c r="F411">
        <v>45720</v>
      </c>
      <c r="G411" t="s">
        <v>936</v>
      </c>
      <c r="H411" t="s">
        <v>941</v>
      </c>
      <c r="I411" s="4">
        <v>2184</v>
      </c>
      <c r="J411" s="4">
        <v>2943</v>
      </c>
      <c r="K411" s="4">
        <v>2055</v>
      </c>
      <c r="L411" s="4">
        <v>6995</v>
      </c>
      <c r="M411" s="4">
        <f>Table1[[#This Row],[Visit Cost]]+Table1[[#This Row],[Lab Cost]]+Table1[[#This Row],[Medicine Cost]]+Table1[[#This Row],[Room Charges]]</f>
        <v>14177</v>
      </c>
      <c r="N411" s="5">
        <v>45770</v>
      </c>
      <c r="O411">
        <f>Table1[[#This Row],[Discharge Date]]-Table1[[#This Row],[Visit Date]]</f>
        <v>50</v>
      </c>
      <c r="P411" t="s">
        <v>949</v>
      </c>
      <c r="Q411" s="4">
        <v>0</v>
      </c>
      <c r="R411" s="4">
        <f>Table1[[#This Row],[Total Revenue]]-Table1[[#This Row],[Insurance Claim Amount]]</f>
        <v>14177</v>
      </c>
      <c r="S411">
        <v>2</v>
      </c>
      <c r="T411" t="str">
        <f t="shared" si="12"/>
        <v>Mar</v>
      </c>
      <c r="U411">
        <f t="shared" si="13"/>
        <v>2025</v>
      </c>
    </row>
    <row r="412" spans="1:21" x14ac:dyDescent="0.3">
      <c r="A412" t="s">
        <v>774</v>
      </c>
      <c r="B412" t="s">
        <v>775</v>
      </c>
      <c r="C412" t="s">
        <v>11</v>
      </c>
      <c r="D412" t="s">
        <v>924</v>
      </c>
      <c r="E412" t="s">
        <v>932</v>
      </c>
      <c r="F412">
        <v>45939</v>
      </c>
      <c r="G412" t="s">
        <v>938</v>
      </c>
      <c r="H412" t="s">
        <v>942</v>
      </c>
      <c r="I412" s="4">
        <v>2087</v>
      </c>
      <c r="J412" s="4">
        <v>3717</v>
      </c>
      <c r="K412" s="4">
        <v>2554</v>
      </c>
      <c r="L412" s="4">
        <v>7028</v>
      </c>
      <c r="M412" s="4">
        <f>Table1[[#This Row],[Visit Cost]]+Table1[[#This Row],[Lab Cost]]+Table1[[#This Row],[Medicine Cost]]+Table1[[#This Row],[Room Charges]]</f>
        <v>15386</v>
      </c>
      <c r="N412" s="5">
        <v>46019</v>
      </c>
      <c r="O412">
        <f>Table1[[#This Row],[Discharge Date]]-Table1[[#This Row],[Visit Date]]</f>
        <v>80</v>
      </c>
      <c r="P412" t="s">
        <v>949</v>
      </c>
      <c r="Q412" s="4">
        <v>0</v>
      </c>
      <c r="R412" s="4">
        <f>Table1[[#This Row],[Total Revenue]]-Table1[[#This Row],[Insurance Claim Amount]]</f>
        <v>15386</v>
      </c>
      <c r="S412">
        <v>3</v>
      </c>
      <c r="T412" t="str">
        <f t="shared" si="12"/>
        <v>Oct</v>
      </c>
      <c r="U412">
        <f t="shared" si="13"/>
        <v>2025</v>
      </c>
    </row>
    <row r="413" spans="1:21" x14ac:dyDescent="0.3">
      <c r="A413" t="s">
        <v>776</v>
      </c>
      <c r="B413" t="s">
        <v>724</v>
      </c>
      <c r="C413" t="s">
        <v>6</v>
      </c>
      <c r="D413" t="s">
        <v>80</v>
      </c>
      <c r="E413" t="s">
        <v>930</v>
      </c>
      <c r="F413">
        <v>45725</v>
      </c>
      <c r="G413" t="s">
        <v>937</v>
      </c>
      <c r="H413" t="s">
        <v>943</v>
      </c>
      <c r="I413" s="4">
        <v>744</v>
      </c>
      <c r="J413" s="4">
        <v>3655</v>
      </c>
      <c r="K413" s="4">
        <v>436</v>
      </c>
      <c r="L413" s="4">
        <v>4810</v>
      </c>
      <c r="M413" s="4">
        <f>Table1[[#This Row],[Visit Cost]]+Table1[[#This Row],[Lab Cost]]+Table1[[#This Row],[Medicine Cost]]+Table1[[#This Row],[Room Charges]]</f>
        <v>9645</v>
      </c>
      <c r="N413" s="5">
        <v>45853</v>
      </c>
      <c r="O413">
        <f>Table1[[#This Row],[Discharge Date]]-Table1[[#This Row],[Visit Date]]</f>
        <v>128</v>
      </c>
      <c r="P413" t="s">
        <v>949</v>
      </c>
      <c r="Q413" s="4">
        <v>0</v>
      </c>
      <c r="R413" s="4">
        <f>Table1[[#This Row],[Total Revenue]]-Table1[[#This Row],[Insurance Claim Amount]]</f>
        <v>9645</v>
      </c>
      <c r="S413">
        <v>1</v>
      </c>
      <c r="T413" t="str">
        <f t="shared" si="12"/>
        <v>Mar</v>
      </c>
      <c r="U413">
        <f t="shared" si="13"/>
        <v>2025</v>
      </c>
    </row>
    <row r="414" spans="1:21" x14ac:dyDescent="0.3">
      <c r="A414" t="s">
        <v>777</v>
      </c>
      <c r="B414" t="s">
        <v>778</v>
      </c>
      <c r="C414" t="s">
        <v>11</v>
      </c>
      <c r="D414" t="s">
        <v>925</v>
      </c>
      <c r="E414" t="s">
        <v>929</v>
      </c>
      <c r="F414">
        <v>45700</v>
      </c>
      <c r="G414" t="s">
        <v>936</v>
      </c>
      <c r="H414" t="s">
        <v>942</v>
      </c>
      <c r="I414" s="4">
        <v>1400</v>
      </c>
      <c r="J414" s="4">
        <v>721</v>
      </c>
      <c r="K414" s="4">
        <v>2003</v>
      </c>
      <c r="L414" s="4">
        <v>4616</v>
      </c>
      <c r="M414" s="4">
        <f>Table1[[#This Row],[Visit Cost]]+Table1[[#This Row],[Lab Cost]]+Table1[[#This Row],[Medicine Cost]]+Table1[[#This Row],[Room Charges]]</f>
        <v>8740</v>
      </c>
      <c r="N414" s="5">
        <v>45728</v>
      </c>
      <c r="O414">
        <f>Table1[[#This Row],[Discharge Date]]-Table1[[#This Row],[Visit Date]]</f>
        <v>28</v>
      </c>
      <c r="P414" t="s">
        <v>949</v>
      </c>
      <c r="Q414" s="4">
        <v>0</v>
      </c>
      <c r="R414" s="4">
        <f>Table1[[#This Row],[Total Revenue]]-Table1[[#This Row],[Insurance Claim Amount]]</f>
        <v>8740</v>
      </c>
      <c r="S414">
        <v>1</v>
      </c>
      <c r="T414" t="str">
        <f t="shared" si="12"/>
        <v>Feb</v>
      </c>
      <c r="U414">
        <f t="shared" si="13"/>
        <v>2025</v>
      </c>
    </row>
    <row r="415" spans="1:21" x14ac:dyDescent="0.3">
      <c r="A415" t="s">
        <v>779</v>
      </c>
      <c r="B415" t="s">
        <v>780</v>
      </c>
      <c r="C415" t="s">
        <v>29</v>
      </c>
      <c r="D415" t="s">
        <v>85</v>
      </c>
      <c r="E415" t="s">
        <v>929</v>
      </c>
      <c r="F415">
        <v>45694</v>
      </c>
      <c r="G415" t="s">
        <v>935</v>
      </c>
      <c r="H415" t="s">
        <v>942</v>
      </c>
      <c r="I415" s="4">
        <v>1730</v>
      </c>
      <c r="J415" s="4">
        <v>800</v>
      </c>
      <c r="K415" s="4">
        <v>2522</v>
      </c>
      <c r="L415" s="4">
        <v>2500</v>
      </c>
      <c r="M415" s="4">
        <f>Table1[[#This Row],[Visit Cost]]+Table1[[#This Row],[Lab Cost]]+Table1[[#This Row],[Medicine Cost]]+Table1[[#This Row],[Room Charges]]</f>
        <v>7552</v>
      </c>
      <c r="N415" s="5">
        <v>45797</v>
      </c>
      <c r="O415">
        <f>Table1[[#This Row],[Discharge Date]]-Table1[[#This Row],[Visit Date]]</f>
        <v>103</v>
      </c>
      <c r="P415" t="s">
        <v>948</v>
      </c>
      <c r="Q415" s="4">
        <v>4000</v>
      </c>
      <c r="R415" s="4">
        <f>Table1[[#This Row],[Total Revenue]]-Table1[[#This Row],[Insurance Claim Amount]]</f>
        <v>3552</v>
      </c>
      <c r="S415">
        <v>1</v>
      </c>
      <c r="T415" t="str">
        <f t="shared" si="12"/>
        <v>Feb</v>
      </c>
      <c r="U415">
        <f t="shared" si="13"/>
        <v>2025</v>
      </c>
    </row>
    <row r="416" spans="1:21" x14ac:dyDescent="0.3">
      <c r="A416" t="s">
        <v>781</v>
      </c>
      <c r="B416" t="s">
        <v>782</v>
      </c>
      <c r="C416" t="s">
        <v>29</v>
      </c>
      <c r="D416" t="s">
        <v>926</v>
      </c>
      <c r="E416" t="s">
        <v>930</v>
      </c>
      <c r="F416">
        <v>45863</v>
      </c>
      <c r="G416" t="s">
        <v>936</v>
      </c>
      <c r="H416" t="s">
        <v>942</v>
      </c>
      <c r="I416" s="4">
        <v>1774</v>
      </c>
      <c r="J416" s="4">
        <v>2174</v>
      </c>
      <c r="K416" s="4">
        <v>460</v>
      </c>
      <c r="L416" s="4">
        <v>1000</v>
      </c>
      <c r="M416" s="4">
        <f>Table1[[#This Row],[Visit Cost]]+Table1[[#This Row],[Lab Cost]]+Table1[[#This Row],[Medicine Cost]]+Table1[[#This Row],[Room Charges]]</f>
        <v>5408</v>
      </c>
      <c r="N416" s="5">
        <v>45971</v>
      </c>
      <c r="O416">
        <f>Table1[[#This Row],[Discharge Date]]-Table1[[#This Row],[Visit Date]]</f>
        <v>108</v>
      </c>
      <c r="P416" t="s">
        <v>949</v>
      </c>
      <c r="Q416" s="4">
        <v>0</v>
      </c>
      <c r="R416" s="4">
        <f>Table1[[#This Row],[Total Revenue]]-Table1[[#This Row],[Insurance Claim Amount]]</f>
        <v>5408</v>
      </c>
      <c r="S416">
        <v>2</v>
      </c>
      <c r="T416" t="str">
        <f t="shared" si="12"/>
        <v>Jul</v>
      </c>
      <c r="U416">
        <f t="shared" si="13"/>
        <v>2025</v>
      </c>
    </row>
    <row r="417" spans="1:21" x14ac:dyDescent="0.3">
      <c r="A417" t="s">
        <v>783</v>
      </c>
      <c r="B417" t="s">
        <v>263</v>
      </c>
      <c r="C417" t="s">
        <v>38</v>
      </c>
      <c r="D417" t="s">
        <v>924</v>
      </c>
      <c r="E417" t="s">
        <v>932</v>
      </c>
      <c r="F417">
        <v>45800</v>
      </c>
      <c r="G417" t="s">
        <v>938</v>
      </c>
      <c r="H417" t="s">
        <v>943</v>
      </c>
      <c r="I417" s="4">
        <v>862</v>
      </c>
      <c r="J417" s="4">
        <v>4083</v>
      </c>
      <c r="K417" s="4">
        <v>636</v>
      </c>
      <c r="L417" s="4">
        <v>8044</v>
      </c>
      <c r="M417" s="4">
        <f>Table1[[#This Row],[Visit Cost]]+Table1[[#This Row],[Lab Cost]]+Table1[[#This Row],[Medicine Cost]]+Table1[[#This Row],[Room Charges]]</f>
        <v>13625</v>
      </c>
      <c r="N417" s="5">
        <v>45929</v>
      </c>
      <c r="O417">
        <f>Table1[[#This Row],[Discharge Date]]-Table1[[#This Row],[Visit Date]]</f>
        <v>129</v>
      </c>
      <c r="P417" t="s">
        <v>949</v>
      </c>
      <c r="Q417" s="4">
        <v>0</v>
      </c>
      <c r="R417" s="4">
        <f>Table1[[#This Row],[Total Revenue]]-Table1[[#This Row],[Insurance Claim Amount]]</f>
        <v>13625</v>
      </c>
      <c r="S417">
        <v>2</v>
      </c>
      <c r="T417" t="str">
        <f t="shared" si="12"/>
        <v>May</v>
      </c>
      <c r="U417">
        <f t="shared" si="13"/>
        <v>2025</v>
      </c>
    </row>
    <row r="418" spans="1:21" x14ac:dyDescent="0.3">
      <c r="A418" t="s">
        <v>784</v>
      </c>
      <c r="B418" t="s">
        <v>785</v>
      </c>
      <c r="C418" t="s">
        <v>16</v>
      </c>
      <c r="D418" t="s">
        <v>925</v>
      </c>
      <c r="E418" t="s">
        <v>931</v>
      </c>
      <c r="F418">
        <v>46021</v>
      </c>
      <c r="G418" t="s">
        <v>937</v>
      </c>
      <c r="H418" t="s">
        <v>942</v>
      </c>
      <c r="I418" s="4">
        <v>1806</v>
      </c>
      <c r="J418" s="4">
        <v>670</v>
      </c>
      <c r="K418" s="4">
        <v>2150</v>
      </c>
      <c r="L418" s="4">
        <v>9344</v>
      </c>
      <c r="M418" s="4">
        <f>Table1[[#This Row],[Visit Cost]]+Table1[[#This Row],[Lab Cost]]+Table1[[#This Row],[Medicine Cost]]+Table1[[#This Row],[Room Charges]]</f>
        <v>13970</v>
      </c>
      <c r="N418" s="5">
        <v>46082</v>
      </c>
      <c r="O418">
        <f>Table1[[#This Row],[Discharge Date]]-Table1[[#This Row],[Visit Date]]</f>
        <v>61</v>
      </c>
      <c r="P418" t="s">
        <v>948</v>
      </c>
      <c r="Q418" s="4">
        <v>5062</v>
      </c>
      <c r="R418" s="4">
        <f>Table1[[#This Row],[Total Revenue]]-Table1[[#This Row],[Insurance Claim Amount]]</f>
        <v>8908</v>
      </c>
      <c r="S418">
        <v>5</v>
      </c>
      <c r="T418" t="str">
        <f t="shared" si="12"/>
        <v>Dec</v>
      </c>
      <c r="U418">
        <f t="shared" si="13"/>
        <v>2025</v>
      </c>
    </row>
    <row r="419" spans="1:21" x14ac:dyDescent="0.3">
      <c r="A419" t="s">
        <v>786</v>
      </c>
      <c r="B419" t="s">
        <v>18</v>
      </c>
      <c r="C419" t="s">
        <v>29</v>
      </c>
      <c r="D419" t="s">
        <v>926</v>
      </c>
      <c r="E419" t="s">
        <v>933</v>
      </c>
      <c r="F419">
        <v>46020</v>
      </c>
      <c r="G419" t="s">
        <v>936</v>
      </c>
      <c r="H419" t="s">
        <v>943</v>
      </c>
      <c r="I419" s="4">
        <v>1410</v>
      </c>
      <c r="J419" s="4">
        <v>4432</v>
      </c>
      <c r="K419" s="4">
        <v>1834</v>
      </c>
      <c r="L419" s="4">
        <v>4000</v>
      </c>
      <c r="M419" s="4">
        <f>Table1[[#This Row],[Visit Cost]]+Table1[[#This Row],[Lab Cost]]+Table1[[#This Row],[Medicine Cost]]+Table1[[#This Row],[Room Charges]]</f>
        <v>11676</v>
      </c>
      <c r="N419" s="5">
        <v>46049</v>
      </c>
      <c r="O419">
        <f>Table1[[#This Row],[Discharge Date]]-Table1[[#This Row],[Visit Date]]</f>
        <v>29</v>
      </c>
      <c r="P419" t="s">
        <v>949</v>
      </c>
      <c r="Q419" s="4">
        <v>0</v>
      </c>
      <c r="R419" s="4">
        <f>Table1[[#This Row],[Total Revenue]]-Table1[[#This Row],[Insurance Claim Amount]]</f>
        <v>11676</v>
      </c>
      <c r="S419">
        <v>2</v>
      </c>
      <c r="T419" t="str">
        <f t="shared" si="12"/>
        <v>Dec</v>
      </c>
      <c r="U419">
        <f t="shared" si="13"/>
        <v>2025</v>
      </c>
    </row>
    <row r="420" spans="1:21" x14ac:dyDescent="0.3">
      <c r="A420" t="s">
        <v>787</v>
      </c>
      <c r="B420" t="s">
        <v>107</v>
      </c>
      <c r="C420" t="s">
        <v>16</v>
      </c>
      <c r="D420" t="s">
        <v>925</v>
      </c>
      <c r="E420" t="s">
        <v>930</v>
      </c>
      <c r="F420">
        <v>45677</v>
      </c>
      <c r="G420" t="s">
        <v>935</v>
      </c>
      <c r="H420" t="s">
        <v>944</v>
      </c>
      <c r="I420" s="4">
        <v>1318</v>
      </c>
      <c r="J420" s="4">
        <v>1352</v>
      </c>
      <c r="K420" s="4">
        <v>307</v>
      </c>
      <c r="L420" s="4">
        <v>1066</v>
      </c>
      <c r="M420" s="4">
        <f>Table1[[#This Row],[Visit Cost]]+Table1[[#This Row],[Lab Cost]]+Table1[[#This Row],[Medicine Cost]]+Table1[[#This Row],[Room Charges]]</f>
        <v>4043</v>
      </c>
      <c r="N420" s="5">
        <v>45806</v>
      </c>
      <c r="O420">
        <f>Table1[[#This Row],[Discharge Date]]-Table1[[#This Row],[Visit Date]]</f>
        <v>129</v>
      </c>
      <c r="P420" t="s">
        <v>948</v>
      </c>
      <c r="Q420" s="4">
        <v>3205</v>
      </c>
      <c r="R420" s="4">
        <f>Table1[[#This Row],[Total Revenue]]-Table1[[#This Row],[Insurance Claim Amount]]</f>
        <v>838</v>
      </c>
      <c r="S420">
        <v>4</v>
      </c>
      <c r="T420" t="str">
        <f t="shared" si="12"/>
        <v>Jan</v>
      </c>
      <c r="U420">
        <f t="shared" si="13"/>
        <v>2025</v>
      </c>
    </row>
    <row r="421" spans="1:21" x14ac:dyDescent="0.3">
      <c r="A421" t="s">
        <v>788</v>
      </c>
      <c r="B421" t="s">
        <v>176</v>
      </c>
      <c r="C421" t="s">
        <v>16</v>
      </c>
      <c r="D421" t="s">
        <v>925</v>
      </c>
      <c r="E421" t="s">
        <v>931</v>
      </c>
      <c r="F421">
        <v>45927</v>
      </c>
      <c r="G421" t="s">
        <v>938</v>
      </c>
      <c r="H421" t="s">
        <v>945</v>
      </c>
      <c r="I421" s="4">
        <v>598</v>
      </c>
      <c r="J421" s="4">
        <v>1276</v>
      </c>
      <c r="K421" s="4">
        <v>2276</v>
      </c>
      <c r="L421" s="4">
        <v>5105</v>
      </c>
      <c r="M421" s="4">
        <f>Table1[[#This Row],[Visit Cost]]+Table1[[#This Row],[Lab Cost]]+Table1[[#This Row],[Medicine Cost]]+Table1[[#This Row],[Room Charges]]</f>
        <v>9255</v>
      </c>
      <c r="N421" s="5">
        <v>46022</v>
      </c>
      <c r="O421">
        <f>Table1[[#This Row],[Discharge Date]]-Table1[[#This Row],[Visit Date]]</f>
        <v>95</v>
      </c>
      <c r="P421" t="s">
        <v>948</v>
      </c>
      <c r="Q421" s="4">
        <v>2086</v>
      </c>
      <c r="R421" s="4">
        <f>Table1[[#This Row],[Total Revenue]]-Table1[[#This Row],[Insurance Claim Amount]]</f>
        <v>7169</v>
      </c>
      <c r="S421">
        <v>5</v>
      </c>
      <c r="T421" t="str">
        <f t="shared" si="12"/>
        <v>Sep</v>
      </c>
      <c r="U421">
        <f t="shared" si="13"/>
        <v>2025</v>
      </c>
    </row>
    <row r="422" spans="1:21" x14ac:dyDescent="0.3">
      <c r="A422" t="s">
        <v>789</v>
      </c>
      <c r="B422" t="s">
        <v>790</v>
      </c>
      <c r="C422" t="s">
        <v>38</v>
      </c>
      <c r="D422" t="s">
        <v>926</v>
      </c>
      <c r="E422" t="s">
        <v>933</v>
      </c>
      <c r="F422">
        <v>45962</v>
      </c>
      <c r="G422" t="s">
        <v>936</v>
      </c>
      <c r="H422" t="s">
        <v>944</v>
      </c>
      <c r="I422" s="4">
        <v>697</v>
      </c>
      <c r="J422" s="4">
        <v>1735</v>
      </c>
      <c r="K422" s="4">
        <v>823</v>
      </c>
      <c r="L422" s="4">
        <v>9270</v>
      </c>
      <c r="M422" s="4">
        <f>Table1[[#This Row],[Visit Cost]]+Table1[[#This Row],[Lab Cost]]+Table1[[#This Row],[Medicine Cost]]+Table1[[#This Row],[Room Charges]]</f>
        <v>12525</v>
      </c>
      <c r="N422" s="5">
        <v>46019</v>
      </c>
      <c r="O422">
        <f>Table1[[#This Row],[Discharge Date]]-Table1[[#This Row],[Visit Date]]</f>
        <v>57</v>
      </c>
      <c r="P422" t="s">
        <v>948</v>
      </c>
      <c r="Q422" s="4">
        <v>9923</v>
      </c>
      <c r="R422" s="4">
        <f>Table1[[#This Row],[Total Revenue]]-Table1[[#This Row],[Insurance Claim Amount]]</f>
        <v>2602</v>
      </c>
      <c r="S422">
        <v>4</v>
      </c>
      <c r="T422" t="str">
        <f t="shared" si="12"/>
        <v>Nov</v>
      </c>
      <c r="U422">
        <f t="shared" si="13"/>
        <v>2025</v>
      </c>
    </row>
    <row r="423" spans="1:21" x14ac:dyDescent="0.3">
      <c r="A423" t="s">
        <v>791</v>
      </c>
      <c r="B423" t="s">
        <v>459</v>
      </c>
      <c r="C423" t="s">
        <v>47</v>
      </c>
      <c r="D423" t="s">
        <v>252</v>
      </c>
      <c r="E423" t="s">
        <v>929</v>
      </c>
      <c r="F423">
        <v>45788</v>
      </c>
      <c r="G423" t="s">
        <v>937</v>
      </c>
      <c r="H423" t="s">
        <v>943</v>
      </c>
      <c r="I423" s="4">
        <v>1035</v>
      </c>
      <c r="J423" s="4">
        <v>2184</v>
      </c>
      <c r="K423" s="4">
        <v>2218</v>
      </c>
      <c r="L423" s="4">
        <v>3100</v>
      </c>
      <c r="M423" s="4">
        <f>Table1[[#This Row],[Visit Cost]]+Table1[[#This Row],[Lab Cost]]+Table1[[#This Row],[Medicine Cost]]+Table1[[#This Row],[Room Charges]]</f>
        <v>8537</v>
      </c>
      <c r="N423" s="5">
        <v>45827</v>
      </c>
      <c r="O423">
        <f>Table1[[#This Row],[Discharge Date]]-Table1[[#This Row],[Visit Date]]</f>
        <v>39</v>
      </c>
      <c r="P423" t="s">
        <v>949</v>
      </c>
      <c r="Q423" s="4">
        <v>0</v>
      </c>
      <c r="R423" s="4">
        <f>Table1[[#This Row],[Total Revenue]]-Table1[[#This Row],[Insurance Claim Amount]]</f>
        <v>8537</v>
      </c>
      <c r="S423">
        <v>1</v>
      </c>
      <c r="T423" t="str">
        <f t="shared" si="12"/>
        <v>May</v>
      </c>
      <c r="U423">
        <f t="shared" si="13"/>
        <v>2025</v>
      </c>
    </row>
    <row r="424" spans="1:21" x14ac:dyDescent="0.3">
      <c r="A424" t="s">
        <v>792</v>
      </c>
      <c r="B424" t="s">
        <v>196</v>
      </c>
      <c r="C424" t="s">
        <v>38</v>
      </c>
      <c r="D424" t="s">
        <v>927</v>
      </c>
      <c r="E424" t="s">
        <v>932</v>
      </c>
      <c r="F424">
        <v>45668</v>
      </c>
      <c r="G424" t="s">
        <v>935</v>
      </c>
      <c r="H424" t="s">
        <v>945</v>
      </c>
      <c r="I424" s="4">
        <v>2479</v>
      </c>
      <c r="J424" s="4">
        <v>2000</v>
      </c>
      <c r="K424" s="4">
        <v>813</v>
      </c>
      <c r="L424" s="4">
        <v>1700</v>
      </c>
      <c r="M424" s="4">
        <f>Table1[[#This Row],[Visit Cost]]+Table1[[#This Row],[Lab Cost]]+Table1[[#This Row],[Medicine Cost]]+Table1[[#This Row],[Room Charges]]</f>
        <v>6992</v>
      </c>
      <c r="N424" s="5">
        <v>45677</v>
      </c>
      <c r="O424">
        <f>Table1[[#This Row],[Discharge Date]]-Table1[[#This Row],[Visit Date]]</f>
        <v>9</v>
      </c>
      <c r="P424" t="s">
        <v>949</v>
      </c>
      <c r="Q424" s="4">
        <v>0</v>
      </c>
      <c r="R424" s="4">
        <f>Table1[[#This Row],[Total Revenue]]-Table1[[#This Row],[Insurance Claim Amount]]</f>
        <v>6992</v>
      </c>
      <c r="S424">
        <v>3</v>
      </c>
      <c r="T424" t="str">
        <f t="shared" si="12"/>
        <v>Jan</v>
      </c>
      <c r="U424">
        <f t="shared" si="13"/>
        <v>2025</v>
      </c>
    </row>
    <row r="425" spans="1:21" x14ac:dyDescent="0.3">
      <c r="A425" t="s">
        <v>793</v>
      </c>
      <c r="B425" t="s">
        <v>794</v>
      </c>
      <c r="C425" t="s">
        <v>11</v>
      </c>
      <c r="D425" t="s">
        <v>924</v>
      </c>
      <c r="E425" t="s">
        <v>933</v>
      </c>
      <c r="F425">
        <v>45742</v>
      </c>
      <c r="G425" t="s">
        <v>936</v>
      </c>
      <c r="H425" t="s">
        <v>942</v>
      </c>
      <c r="I425" s="4">
        <v>1407</v>
      </c>
      <c r="J425" s="4">
        <v>4969</v>
      </c>
      <c r="K425" s="4">
        <v>423</v>
      </c>
      <c r="L425" s="4">
        <v>5782</v>
      </c>
      <c r="M425" s="4">
        <f>Table1[[#This Row],[Visit Cost]]+Table1[[#This Row],[Lab Cost]]+Table1[[#This Row],[Medicine Cost]]+Table1[[#This Row],[Room Charges]]</f>
        <v>12581</v>
      </c>
      <c r="N425" s="5">
        <v>45828</v>
      </c>
      <c r="O425">
        <f>Table1[[#This Row],[Discharge Date]]-Table1[[#This Row],[Visit Date]]</f>
        <v>86</v>
      </c>
      <c r="P425" t="s">
        <v>948</v>
      </c>
      <c r="Q425" s="4">
        <v>7418</v>
      </c>
      <c r="R425" s="4">
        <f>Table1[[#This Row],[Total Revenue]]-Table1[[#This Row],[Insurance Claim Amount]]</f>
        <v>5163</v>
      </c>
      <c r="S425">
        <v>4</v>
      </c>
      <c r="T425" t="str">
        <f t="shared" si="12"/>
        <v>Mar</v>
      </c>
      <c r="U425">
        <f t="shared" si="13"/>
        <v>2025</v>
      </c>
    </row>
    <row r="426" spans="1:21" x14ac:dyDescent="0.3">
      <c r="A426" t="s">
        <v>795</v>
      </c>
      <c r="B426" t="s">
        <v>796</v>
      </c>
      <c r="C426" t="s">
        <v>38</v>
      </c>
      <c r="D426" t="s">
        <v>924</v>
      </c>
      <c r="E426" t="s">
        <v>932</v>
      </c>
      <c r="F426">
        <v>45943</v>
      </c>
      <c r="G426" t="s">
        <v>938</v>
      </c>
      <c r="H426" t="s">
        <v>942</v>
      </c>
      <c r="I426" s="4">
        <v>750</v>
      </c>
      <c r="J426" s="4">
        <v>1893</v>
      </c>
      <c r="K426" s="4">
        <v>1485</v>
      </c>
      <c r="L426" s="4">
        <v>3984</v>
      </c>
      <c r="M426" s="4">
        <f>Table1[[#This Row],[Visit Cost]]+Table1[[#This Row],[Lab Cost]]+Table1[[#This Row],[Medicine Cost]]+Table1[[#This Row],[Room Charges]]</f>
        <v>8112</v>
      </c>
      <c r="N426" s="5">
        <v>46084</v>
      </c>
      <c r="O426">
        <f>Table1[[#This Row],[Discharge Date]]-Table1[[#This Row],[Visit Date]]</f>
        <v>141</v>
      </c>
      <c r="P426" t="s">
        <v>948</v>
      </c>
      <c r="Q426" s="4">
        <v>1448</v>
      </c>
      <c r="R426" s="4">
        <f>Table1[[#This Row],[Total Revenue]]-Table1[[#This Row],[Insurance Claim Amount]]</f>
        <v>6664</v>
      </c>
      <c r="S426">
        <v>4</v>
      </c>
      <c r="T426" t="str">
        <f t="shared" si="12"/>
        <v>Oct</v>
      </c>
      <c r="U426">
        <f t="shared" si="13"/>
        <v>2025</v>
      </c>
    </row>
    <row r="427" spans="1:21" x14ac:dyDescent="0.3">
      <c r="A427" t="s">
        <v>797</v>
      </c>
      <c r="B427" t="s">
        <v>798</v>
      </c>
      <c r="C427" t="s">
        <v>16</v>
      </c>
      <c r="D427" t="s">
        <v>927</v>
      </c>
      <c r="E427" t="s">
        <v>929</v>
      </c>
      <c r="F427">
        <v>45924</v>
      </c>
      <c r="G427" t="s">
        <v>937</v>
      </c>
      <c r="H427" t="s">
        <v>940</v>
      </c>
      <c r="I427" s="4">
        <v>2307</v>
      </c>
      <c r="J427" s="4">
        <v>2933</v>
      </c>
      <c r="K427" s="4">
        <v>2024</v>
      </c>
      <c r="L427" s="4">
        <v>7505</v>
      </c>
      <c r="M427" s="4">
        <f>Table1[[#This Row],[Visit Cost]]+Table1[[#This Row],[Lab Cost]]+Table1[[#This Row],[Medicine Cost]]+Table1[[#This Row],[Room Charges]]</f>
        <v>14769</v>
      </c>
      <c r="N427" s="5">
        <v>46022</v>
      </c>
      <c r="O427">
        <f>Table1[[#This Row],[Discharge Date]]-Table1[[#This Row],[Visit Date]]</f>
        <v>98</v>
      </c>
      <c r="P427" t="s">
        <v>948</v>
      </c>
      <c r="Q427" s="4">
        <v>10946</v>
      </c>
      <c r="R427" s="4">
        <f>Table1[[#This Row],[Total Revenue]]-Table1[[#This Row],[Insurance Claim Amount]]</f>
        <v>3823</v>
      </c>
      <c r="S427">
        <v>2</v>
      </c>
      <c r="T427" t="str">
        <f t="shared" si="12"/>
        <v>Sep</v>
      </c>
      <c r="U427">
        <f t="shared" si="13"/>
        <v>2025</v>
      </c>
    </row>
    <row r="428" spans="1:21" x14ac:dyDescent="0.3">
      <c r="A428" t="s">
        <v>799</v>
      </c>
      <c r="B428" t="s">
        <v>433</v>
      </c>
      <c r="C428" t="s">
        <v>38</v>
      </c>
      <c r="D428" t="s">
        <v>926</v>
      </c>
      <c r="E428" t="s">
        <v>930</v>
      </c>
      <c r="F428">
        <v>45902</v>
      </c>
      <c r="G428" t="s">
        <v>936</v>
      </c>
      <c r="H428" t="s">
        <v>945</v>
      </c>
      <c r="I428" s="4">
        <v>926</v>
      </c>
      <c r="J428" s="4">
        <v>1783</v>
      </c>
      <c r="K428" s="4">
        <v>2322</v>
      </c>
      <c r="L428" s="4">
        <v>9908</v>
      </c>
      <c r="M428" s="4">
        <f>Table1[[#This Row],[Visit Cost]]+Table1[[#This Row],[Lab Cost]]+Table1[[#This Row],[Medicine Cost]]+Table1[[#This Row],[Room Charges]]</f>
        <v>14939</v>
      </c>
      <c r="N428" s="5">
        <v>45977</v>
      </c>
      <c r="O428">
        <f>Table1[[#This Row],[Discharge Date]]-Table1[[#This Row],[Visit Date]]</f>
        <v>75</v>
      </c>
      <c r="P428" t="s">
        <v>949</v>
      </c>
      <c r="Q428" s="4">
        <v>0</v>
      </c>
      <c r="R428" s="4">
        <f>Table1[[#This Row],[Total Revenue]]-Table1[[#This Row],[Insurance Claim Amount]]</f>
        <v>14939</v>
      </c>
      <c r="S428">
        <v>3</v>
      </c>
      <c r="T428" t="str">
        <f t="shared" si="12"/>
        <v>Sep</v>
      </c>
      <c r="U428">
        <f t="shared" si="13"/>
        <v>2025</v>
      </c>
    </row>
    <row r="429" spans="1:21" x14ac:dyDescent="0.3">
      <c r="A429" t="s">
        <v>800</v>
      </c>
      <c r="B429" t="s">
        <v>801</v>
      </c>
      <c r="C429" t="s">
        <v>6</v>
      </c>
      <c r="D429" t="s">
        <v>85</v>
      </c>
      <c r="E429" t="s">
        <v>931</v>
      </c>
      <c r="F429">
        <v>46001</v>
      </c>
      <c r="G429" t="s">
        <v>935</v>
      </c>
      <c r="H429" t="s">
        <v>941</v>
      </c>
      <c r="I429" s="4">
        <v>2399</v>
      </c>
      <c r="J429" s="4">
        <v>4549</v>
      </c>
      <c r="K429" s="4">
        <v>2803</v>
      </c>
      <c r="L429" s="4">
        <v>6641</v>
      </c>
      <c r="M429" s="4">
        <f>Table1[[#This Row],[Visit Cost]]+Table1[[#This Row],[Lab Cost]]+Table1[[#This Row],[Medicine Cost]]+Table1[[#This Row],[Room Charges]]</f>
        <v>16392</v>
      </c>
      <c r="N429" s="5">
        <v>46063</v>
      </c>
      <c r="O429">
        <f>Table1[[#This Row],[Discharge Date]]-Table1[[#This Row],[Visit Date]]</f>
        <v>62</v>
      </c>
      <c r="P429" t="s">
        <v>949</v>
      </c>
      <c r="Q429" s="4">
        <v>0</v>
      </c>
      <c r="R429" s="4">
        <f>Table1[[#This Row],[Total Revenue]]-Table1[[#This Row],[Insurance Claim Amount]]</f>
        <v>16392</v>
      </c>
      <c r="S429">
        <v>4</v>
      </c>
      <c r="T429" t="str">
        <f t="shared" si="12"/>
        <v>Dec</v>
      </c>
      <c r="U429">
        <f t="shared" si="13"/>
        <v>2025</v>
      </c>
    </row>
    <row r="430" spans="1:21" x14ac:dyDescent="0.3">
      <c r="A430" t="s">
        <v>802</v>
      </c>
      <c r="B430" t="s">
        <v>803</v>
      </c>
      <c r="C430" t="s">
        <v>11</v>
      </c>
      <c r="D430" t="s">
        <v>164</v>
      </c>
      <c r="E430" t="s">
        <v>931</v>
      </c>
      <c r="F430">
        <v>45780</v>
      </c>
      <c r="G430" t="s">
        <v>936</v>
      </c>
      <c r="H430" t="s">
        <v>943</v>
      </c>
      <c r="I430" s="4">
        <v>1092</v>
      </c>
      <c r="J430" s="4">
        <v>806</v>
      </c>
      <c r="K430" s="4">
        <v>952</v>
      </c>
      <c r="L430" s="4">
        <v>2926</v>
      </c>
      <c r="M430" s="4">
        <f>Table1[[#This Row],[Visit Cost]]+Table1[[#This Row],[Lab Cost]]+Table1[[#This Row],[Medicine Cost]]+Table1[[#This Row],[Room Charges]]</f>
        <v>5776</v>
      </c>
      <c r="N430" s="5">
        <v>45918</v>
      </c>
      <c r="O430">
        <f>Table1[[#This Row],[Discharge Date]]-Table1[[#This Row],[Visit Date]]</f>
        <v>138</v>
      </c>
      <c r="P430" t="s">
        <v>948</v>
      </c>
      <c r="Q430" s="4">
        <v>4529</v>
      </c>
      <c r="R430" s="4">
        <f>Table1[[#This Row],[Total Revenue]]-Table1[[#This Row],[Insurance Claim Amount]]</f>
        <v>1247</v>
      </c>
      <c r="S430">
        <v>3</v>
      </c>
      <c r="T430" t="str">
        <f t="shared" si="12"/>
        <v>May</v>
      </c>
      <c r="U430">
        <f t="shared" si="13"/>
        <v>2025</v>
      </c>
    </row>
    <row r="431" spans="1:21" x14ac:dyDescent="0.3">
      <c r="A431" t="s">
        <v>804</v>
      </c>
      <c r="B431" t="s">
        <v>805</v>
      </c>
      <c r="C431" t="s">
        <v>29</v>
      </c>
      <c r="D431" t="s">
        <v>926</v>
      </c>
      <c r="E431" t="s">
        <v>933</v>
      </c>
      <c r="F431">
        <v>45664</v>
      </c>
      <c r="G431" t="s">
        <v>938</v>
      </c>
      <c r="H431" t="s">
        <v>942</v>
      </c>
      <c r="I431" s="4">
        <v>524</v>
      </c>
      <c r="J431" s="4">
        <v>700</v>
      </c>
      <c r="K431" s="4">
        <v>685</v>
      </c>
      <c r="L431" s="4">
        <v>890</v>
      </c>
      <c r="M431" s="4">
        <f>Table1[[#This Row],[Visit Cost]]+Table1[[#This Row],[Lab Cost]]+Table1[[#This Row],[Medicine Cost]]+Table1[[#This Row],[Room Charges]]</f>
        <v>2799</v>
      </c>
      <c r="N431" s="5">
        <v>45671</v>
      </c>
      <c r="O431">
        <f>Table1[[#This Row],[Discharge Date]]-Table1[[#This Row],[Visit Date]]</f>
        <v>7</v>
      </c>
      <c r="P431" t="s">
        <v>948</v>
      </c>
      <c r="Q431" s="4">
        <v>1800</v>
      </c>
      <c r="R431" s="4">
        <f>Table1[[#This Row],[Total Revenue]]-Table1[[#This Row],[Insurance Claim Amount]]</f>
        <v>999</v>
      </c>
      <c r="S431">
        <v>4</v>
      </c>
      <c r="T431" t="str">
        <f t="shared" si="12"/>
        <v>Jan</v>
      </c>
      <c r="U431">
        <f t="shared" si="13"/>
        <v>2025</v>
      </c>
    </row>
    <row r="432" spans="1:21" x14ac:dyDescent="0.3">
      <c r="A432" t="s">
        <v>806</v>
      </c>
      <c r="B432" t="s">
        <v>807</v>
      </c>
      <c r="C432" t="s">
        <v>16</v>
      </c>
      <c r="D432" t="s">
        <v>252</v>
      </c>
      <c r="E432" t="s">
        <v>930</v>
      </c>
      <c r="F432">
        <v>45815</v>
      </c>
      <c r="G432" t="s">
        <v>937</v>
      </c>
      <c r="H432" t="s">
        <v>942</v>
      </c>
      <c r="I432" s="4">
        <v>2058</v>
      </c>
      <c r="J432" s="4">
        <v>4938</v>
      </c>
      <c r="K432" s="4">
        <v>586</v>
      </c>
      <c r="L432" s="4">
        <v>4919</v>
      </c>
      <c r="M432" s="4">
        <f>Table1[[#This Row],[Visit Cost]]+Table1[[#This Row],[Lab Cost]]+Table1[[#This Row],[Medicine Cost]]+Table1[[#This Row],[Room Charges]]</f>
        <v>12501</v>
      </c>
      <c r="N432" s="5">
        <v>45964</v>
      </c>
      <c r="O432">
        <f>Table1[[#This Row],[Discharge Date]]-Table1[[#This Row],[Visit Date]]</f>
        <v>149</v>
      </c>
      <c r="P432" t="s">
        <v>948</v>
      </c>
      <c r="Q432" s="4">
        <v>1491</v>
      </c>
      <c r="R432" s="4">
        <f>Table1[[#This Row],[Total Revenue]]-Table1[[#This Row],[Insurance Claim Amount]]</f>
        <v>11010</v>
      </c>
      <c r="S432">
        <v>1</v>
      </c>
      <c r="T432" t="str">
        <f t="shared" si="12"/>
        <v>Jun</v>
      </c>
      <c r="U432">
        <f t="shared" si="13"/>
        <v>2025</v>
      </c>
    </row>
    <row r="433" spans="1:21" x14ac:dyDescent="0.3">
      <c r="A433" t="s">
        <v>808</v>
      </c>
      <c r="B433" t="s">
        <v>809</v>
      </c>
      <c r="C433" t="s">
        <v>29</v>
      </c>
      <c r="D433" t="s">
        <v>926</v>
      </c>
      <c r="E433" t="s">
        <v>932</v>
      </c>
      <c r="F433">
        <v>45704</v>
      </c>
      <c r="G433" t="s">
        <v>936</v>
      </c>
      <c r="H433" t="s">
        <v>943</v>
      </c>
      <c r="I433" s="4">
        <v>763</v>
      </c>
      <c r="J433" s="4">
        <v>3049</v>
      </c>
      <c r="K433" s="4">
        <v>2314</v>
      </c>
      <c r="L433" s="4">
        <v>2732</v>
      </c>
      <c r="M433" s="4">
        <f>Table1[[#This Row],[Visit Cost]]+Table1[[#This Row],[Lab Cost]]+Table1[[#This Row],[Medicine Cost]]+Table1[[#This Row],[Room Charges]]</f>
        <v>8858</v>
      </c>
      <c r="N433" s="5">
        <v>45835</v>
      </c>
      <c r="O433">
        <f>Table1[[#This Row],[Discharge Date]]-Table1[[#This Row],[Visit Date]]</f>
        <v>131</v>
      </c>
      <c r="P433" t="s">
        <v>949</v>
      </c>
      <c r="Q433" s="4">
        <v>0</v>
      </c>
      <c r="R433" s="4">
        <f>Table1[[#This Row],[Total Revenue]]-Table1[[#This Row],[Insurance Claim Amount]]</f>
        <v>8858</v>
      </c>
      <c r="S433">
        <v>3</v>
      </c>
      <c r="T433" t="str">
        <f t="shared" si="12"/>
        <v>Feb</v>
      </c>
      <c r="U433">
        <f t="shared" si="13"/>
        <v>2025</v>
      </c>
    </row>
    <row r="434" spans="1:21" x14ac:dyDescent="0.3">
      <c r="A434" t="s">
        <v>810</v>
      </c>
      <c r="B434" t="s">
        <v>811</v>
      </c>
      <c r="C434" t="s">
        <v>38</v>
      </c>
      <c r="D434" t="s">
        <v>927</v>
      </c>
      <c r="E434" t="s">
        <v>929</v>
      </c>
      <c r="F434">
        <v>45725</v>
      </c>
      <c r="G434" t="s">
        <v>935</v>
      </c>
      <c r="H434" t="s">
        <v>941</v>
      </c>
      <c r="I434" s="4">
        <v>1345</v>
      </c>
      <c r="J434" s="4">
        <v>2295</v>
      </c>
      <c r="K434" s="4">
        <v>2869</v>
      </c>
      <c r="L434" s="4">
        <v>5551</v>
      </c>
      <c r="M434" s="4">
        <f>Table1[[#This Row],[Visit Cost]]+Table1[[#This Row],[Lab Cost]]+Table1[[#This Row],[Medicine Cost]]+Table1[[#This Row],[Room Charges]]</f>
        <v>12060</v>
      </c>
      <c r="N434" s="5">
        <v>45805</v>
      </c>
      <c r="O434">
        <f>Table1[[#This Row],[Discharge Date]]-Table1[[#This Row],[Visit Date]]</f>
        <v>80</v>
      </c>
      <c r="P434" t="s">
        <v>948</v>
      </c>
      <c r="Q434" s="4">
        <v>3207</v>
      </c>
      <c r="R434" s="4">
        <f>Table1[[#This Row],[Total Revenue]]-Table1[[#This Row],[Insurance Claim Amount]]</f>
        <v>8853</v>
      </c>
      <c r="S434">
        <v>3</v>
      </c>
      <c r="T434" t="str">
        <f t="shared" si="12"/>
        <v>Mar</v>
      </c>
      <c r="U434">
        <f t="shared" si="13"/>
        <v>2025</v>
      </c>
    </row>
    <row r="435" spans="1:21" x14ac:dyDescent="0.3">
      <c r="A435" t="s">
        <v>812</v>
      </c>
      <c r="B435" t="s">
        <v>813</v>
      </c>
      <c r="C435" t="s">
        <v>38</v>
      </c>
      <c r="D435" t="s">
        <v>85</v>
      </c>
      <c r="E435" t="s">
        <v>932</v>
      </c>
      <c r="F435">
        <v>45765</v>
      </c>
      <c r="G435" t="s">
        <v>938</v>
      </c>
      <c r="H435" t="s">
        <v>944</v>
      </c>
      <c r="I435" s="4">
        <v>551</v>
      </c>
      <c r="J435" s="4">
        <v>2682</v>
      </c>
      <c r="K435" s="4">
        <v>1629</v>
      </c>
      <c r="L435" s="4">
        <v>5603</v>
      </c>
      <c r="M435" s="4">
        <f>Table1[[#This Row],[Visit Cost]]+Table1[[#This Row],[Lab Cost]]+Table1[[#This Row],[Medicine Cost]]+Table1[[#This Row],[Room Charges]]</f>
        <v>10465</v>
      </c>
      <c r="N435" s="5">
        <v>45899</v>
      </c>
      <c r="O435">
        <f>Table1[[#This Row],[Discharge Date]]-Table1[[#This Row],[Visit Date]]</f>
        <v>134</v>
      </c>
      <c r="P435" t="s">
        <v>949</v>
      </c>
      <c r="Q435" s="4">
        <v>0</v>
      </c>
      <c r="R435" s="4">
        <f>Table1[[#This Row],[Total Revenue]]-Table1[[#This Row],[Insurance Claim Amount]]</f>
        <v>10465</v>
      </c>
      <c r="S435">
        <v>4</v>
      </c>
      <c r="T435" t="str">
        <f t="shared" si="12"/>
        <v>Apr</v>
      </c>
      <c r="U435">
        <f t="shared" si="13"/>
        <v>2025</v>
      </c>
    </row>
    <row r="436" spans="1:21" x14ac:dyDescent="0.3">
      <c r="A436" t="s">
        <v>814</v>
      </c>
      <c r="B436" t="s">
        <v>457</v>
      </c>
      <c r="C436" t="s">
        <v>38</v>
      </c>
      <c r="D436" t="s">
        <v>926</v>
      </c>
      <c r="E436" t="s">
        <v>931</v>
      </c>
      <c r="F436">
        <v>45661</v>
      </c>
      <c r="G436" t="s">
        <v>936</v>
      </c>
      <c r="H436" t="s">
        <v>942</v>
      </c>
      <c r="I436" s="4">
        <v>2299</v>
      </c>
      <c r="J436" s="4">
        <v>4452</v>
      </c>
      <c r="K436" s="4">
        <v>2242</v>
      </c>
      <c r="L436" s="4">
        <v>1683</v>
      </c>
      <c r="M436" s="4">
        <f>Table1[[#This Row],[Visit Cost]]+Table1[[#This Row],[Lab Cost]]+Table1[[#This Row],[Medicine Cost]]+Table1[[#This Row],[Room Charges]]</f>
        <v>10676</v>
      </c>
      <c r="N436" s="5">
        <v>45773</v>
      </c>
      <c r="O436">
        <f>Table1[[#This Row],[Discharge Date]]-Table1[[#This Row],[Visit Date]]</f>
        <v>112</v>
      </c>
      <c r="P436" t="s">
        <v>949</v>
      </c>
      <c r="Q436" s="4">
        <v>0</v>
      </c>
      <c r="R436" s="4">
        <f>Table1[[#This Row],[Total Revenue]]-Table1[[#This Row],[Insurance Claim Amount]]</f>
        <v>10676</v>
      </c>
      <c r="S436">
        <v>3</v>
      </c>
      <c r="T436" t="str">
        <f t="shared" si="12"/>
        <v>Jan</v>
      </c>
      <c r="U436">
        <f t="shared" si="13"/>
        <v>2025</v>
      </c>
    </row>
    <row r="437" spans="1:21" x14ac:dyDescent="0.3">
      <c r="A437" t="s">
        <v>815</v>
      </c>
      <c r="B437" t="s">
        <v>816</v>
      </c>
      <c r="C437" t="s">
        <v>16</v>
      </c>
      <c r="D437" t="s">
        <v>924</v>
      </c>
      <c r="E437" t="s">
        <v>929</v>
      </c>
      <c r="F437">
        <v>46023</v>
      </c>
      <c r="G437" t="s">
        <v>937</v>
      </c>
      <c r="H437" t="s">
        <v>943</v>
      </c>
      <c r="I437" s="4">
        <v>916</v>
      </c>
      <c r="J437" s="4">
        <v>4717</v>
      </c>
      <c r="K437" s="4">
        <v>1048</v>
      </c>
      <c r="L437" s="4">
        <v>4984</v>
      </c>
      <c r="M437" s="4">
        <f>Table1[[#This Row],[Visit Cost]]+Table1[[#This Row],[Lab Cost]]+Table1[[#This Row],[Medicine Cost]]+Table1[[#This Row],[Room Charges]]</f>
        <v>11665</v>
      </c>
      <c r="N437" s="5">
        <v>46076</v>
      </c>
      <c r="O437">
        <f>Table1[[#This Row],[Discharge Date]]-Table1[[#This Row],[Visit Date]]</f>
        <v>53</v>
      </c>
      <c r="P437" t="s">
        <v>949</v>
      </c>
      <c r="Q437" s="4">
        <v>0</v>
      </c>
      <c r="R437" s="4">
        <f>Table1[[#This Row],[Total Revenue]]-Table1[[#This Row],[Insurance Claim Amount]]</f>
        <v>11665</v>
      </c>
      <c r="S437">
        <v>5</v>
      </c>
      <c r="T437" t="str">
        <f t="shared" si="12"/>
        <v>Jan</v>
      </c>
      <c r="U437">
        <f t="shared" si="13"/>
        <v>2026</v>
      </c>
    </row>
    <row r="438" spans="1:21" x14ac:dyDescent="0.3">
      <c r="A438" t="s">
        <v>817</v>
      </c>
      <c r="B438" t="s">
        <v>818</v>
      </c>
      <c r="C438" t="s">
        <v>16</v>
      </c>
      <c r="D438" t="s">
        <v>927</v>
      </c>
      <c r="E438" t="s">
        <v>933</v>
      </c>
      <c r="F438">
        <v>45712</v>
      </c>
      <c r="G438" t="s">
        <v>935</v>
      </c>
      <c r="H438" t="s">
        <v>940</v>
      </c>
      <c r="I438" s="4">
        <v>1596</v>
      </c>
      <c r="J438" s="4">
        <v>1954</v>
      </c>
      <c r="K438" s="4">
        <v>1145</v>
      </c>
      <c r="L438" s="4">
        <v>4093</v>
      </c>
      <c r="M438" s="4">
        <f>Table1[[#This Row],[Visit Cost]]+Table1[[#This Row],[Lab Cost]]+Table1[[#This Row],[Medicine Cost]]+Table1[[#This Row],[Room Charges]]</f>
        <v>8788</v>
      </c>
      <c r="N438" s="5">
        <v>45746</v>
      </c>
      <c r="O438">
        <f>Table1[[#This Row],[Discharge Date]]-Table1[[#This Row],[Visit Date]]</f>
        <v>34</v>
      </c>
      <c r="P438" t="s">
        <v>949</v>
      </c>
      <c r="Q438" s="4">
        <v>0</v>
      </c>
      <c r="R438" s="4">
        <f>Table1[[#This Row],[Total Revenue]]-Table1[[#This Row],[Insurance Claim Amount]]</f>
        <v>8788</v>
      </c>
      <c r="S438">
        <v>4</v>
      </c>
      <c r="T438" t="str">
        <f t="shared" si="12"/>
        <v>Feb</v>
      </c>
      <c r="U438">
        <f t="shared" si="13"/>
        <v>2025</v>
      </c>
    </row>
    <row r="439" spans="1:21" x14ac:dyDescent="0.3">
      <c r="A439" t="s">
        <v>819</v>
      </c>
      <c r="B439" t="s">
        <v>585</v>
      </c>
      <c r="C439" t="s">
        <v>16</v>
      </c>
      <c r="D439" t="s">
        <v>926</v>
      </c>
      <c r="E439" t="s">
        <v>930</v>
      </c>
      <c r="F439">
        <v>46016</v>
      </c>
      <c r="G439" t="s">
        <v>936</v>
      </c>
      <c r="H439" t="s">
        <v>940</v>
      </c>
      <c r="I439" s="4">
        <v>2370</v>
      </c>
      <c r="J439" s="4">
        <v>4108</v>
      </c>
      <c r="K439" s="4">
        <v>265</v>
      </c>
      <c r="L439" s="4">
        <v>4541</v>
      </c>
      <c r="M439" s="4">
        <f>Table1[[#This Row],[Visit Cost]]+Table1[[#This Row],[Lab Cost]]+Table1[[#This Row],[Medicine Cost]]+Table1[[#This Row],[Room Charges]]</f>
        <v>11284</v>
      </c>
      <c r="N439" s="5">
        <v>46088</v>
      </c>
      <c r="O439">
        <f>Table1[[#This Row],[Discharge Date]]-Table1[[#This Row],[Visit Date]]</f>
        <v>72</v>
      </c>
      <c r="P439" t="s">
        <v>948</v>
      </c>
      <c r="Q439" s="4">
        <v>1293</v>
      </c>
      <c r="R439" s="4">
        <f>Table1[[#This Row],[Total Revenue]]-Table1[[#This Row],[Insurance Claim Amount]]</f>
        <v>9991</v>
      </c>
      <c r="S439">
        <v>2</v>
      </c>
      <c r="T439" t="str">
        <f t="shared" si="12"/>
        <v>Dec</v>
      </c>
      <c r="U439">
        <f t="shared" si="13"/>
        <v>2025</v>
      </c>
    </row>
    <row r="440" spans="1:21" x14ac:dyDescent="0.3">
      <c r="A440" t="s">
        <v>820</v>
      </c>
      <c r="B440" t="s">
        <v>821</v>
      </c>
      <c r="C440" t="s">
        <v>38</v>
      </c>
      <c r="D440" t="s">
        <v>926</v>
      </c>
      <c r="E440" t="s">
        <v>929</v>
      </c>
      <c r="F440">
        <v>45872</v>
      </c>
      <c r="G440" t="s">
        <v>938</v>
      </c>
      <c r="H440" t="s">
        <v>940</v>
      </c>
      <c r="I440" s="4">
        <v>2263</v>
      </c>
      <c r="J440" s="4">
        <v>950</v>
      </c>
      <c r="K440" s="4">
        <v>583</v>
      </c>
      <c r="L440" s="4">
        <v>2300</v>
      </c>
      <c r="M440" s="4">
        <f>Table1[[#This Row],[Visit Cost]]+Table1[[#This Row],[Lab Cost]]+Table1[[#This Row],[Medicine Cost]]+Table1[[#This Row],[Room Charges]]</f>
        <v>6096</v>
      </c>
      <c r="N440" s="5">
        <v>45894</v>
      </c>
      <c r="O440">
        <f>Table1[[#This Row],[Discharge Date]]-Table1[[#This Row],[Visit Date]]</f>
        <v>22</v>
      </c>
      <c r="P440" t="s">
        <v>949</v>
      </c>
      <c r="Q440" s="4">
        <v>0</v>
      </c>
      <c r="R440" s="4">
        <f>Table1[[#This Row],[Total Revenue]]-Table1[[#This Row],[Insurance Claim Amount]]</f>
        <v>6096</v>
      </c>
      <c r="S440">
        <v>5</v>
      </c>
      <c r="T440" t="str">
        <f t="shared" si="12"/>
        <v>Aug</v>
      </c>
      <c r="U440">
        <f t="shared" si="13"/>
        <v>2025</v>
      </c>
    </row>
    <row r="441" spans="1:21" x14ac:dyDescent="0.3">
      <c r="A441" t="s">
        <v>822</v>
      </c>
      <c r="B441" t="s">
        <v>823</v>
      </c>
      <c r="C441" t="s">
        <v>29</v>
      </c>
      <c r="D441" t="s">
        <v>85</v>
      </c>
      <c r="E441" t="s">
        <v>933</v>
      </c>
      <c r="F441">
        <v>45974</v>
      </c>
      <c r="G441" t="s">
        <v>937</v>
      </c>
      <c r="H441" t="s">
        <v>940</v>
      </c>
      <c r="I441" s="4">
        <v>1395</v>
      </c>
      <c r="J441" s="4">
        <v>1057</v>
      </c>
      <c r="K441" s="4">
        <v>1883</v>
      </c>
      <c r="L441" s="4">
        <v>5243</v>
      </c>
      <c r="M441" s="4">
        <f>Table1[[#This Row],[Visit Cost]]+Table1[[#This Row],[Lab Cost]]+Table1[[#This Row],[Medicine Cost]]+Table1[[#This Row],[Room Charges]]</f>
        <v>9578</v>
      </c>
      <c r="N441" s="5">
        <v>46048</v>
      </c>
      <c r="O441">
        <f>Table1[[#This Row],[Discharge Date]]-Table1[[#This Row],[Visit Date]]</f>
        <v>74</v>
      </c>
      <c r="P441" t="s">
        <v>949</v>
      </c>
      <c r="Q441" s="4">
        <v>0</v>
      </c>
      <c r="R441" s="4">
        <f>Table1[[#This Row],[Total Revenue]]-Table1[[#This Row],[Insurance Claim Amount]]</f>
        <v>9578</v>
      </c>
      <c r="S441">
        <v>1</v>
      </c>
      <c r="T441" t="str">
        <f t="shared" si="12"/>
        <v>Nov</v>
      </c>
      <c r="U441">
        <f t="shared" si="13"/>
        <v>2025</v>
      </c>
    </row>
    <row r="442" spans="1:21" x14ac:dyDescent="0.3">
      <c r="A442" t="s">
        <v>824</v>
      </c>
      <c r="B442" t="s">
        <v>825</v>
      </c>
      <c r="C442" t="s">
        <v>16</v>
      </c>
      <c r="D442" t="s">
        <v>925</v>
      </c>
      <c r="E442" t="s">
        <v>931</v>
      </c>
      <c r="F442">
        <v>45947</v>
      </c>
      <c r="G442" t="s">
        <v>936</v>
      </c>
      <c r="H442" t="s">
        <v>944</v>
      </c>
      <c r="I442" s="4">
        <v>824</v>
      </c>
      <c r="J442" s="4">
        <v>602</v>
      </c>
      <c r="K442" s="4">
        <v>1496</v>
      </c>
      <c r="L442" s="4">
        <v>3879</v>
      </c>
      <c r="M442" s="4">
        <f>Table1[[#This Row],[Visit Cost]]+Table1[[#This Row],[Lab Cost]]+Table1[[#This Row],[Medicine Cost]]+Table1[[#This Row],[Room Charges]]</f>
        <v>6801</v>
      </c>
      <c r="N442" s="5">
        <v>46047</v>
      </c>
      <c r="O442">
        <f>Table1[[#This Row],[Discharge Date]]-Table1[[#This Row],[Visit Date]]</f>
        <v>100</v>
      </c>
      <c r="P442" t="s">
        <v>948</v>
      </c>
      <c r="Q442" s="4">
        <v>3003</v>
      </c>
      <c r="R442" s="4">
        <f>Table1[[#This Row],[Total Revenue]]-Table1[[#This Row],[Insurance Claim Amount]]</f>
        <v>3798</v>
      </c>
      <c r="S442">
        <v>4</v>
      </c>
      <c r="T442" t="str">
        <f t="shared" si="12"/>
        <v>Oct</v>
      </c>
      <c r="U442">
        <f t="shared" si="13"/>
        <v>2025</v>
      </c>
    </row>
    <row r="443" spans="1:21" x14ac:dyDescent="0.3">
      <c r="A443" t="s">
        <v>826</v>
      </c>
      <c r="B443" t="s">
        <v>827</v>
      </c>
      <c r="C443" t="s">
        <v>29</v>
      </c>
      <c r="D443" t="s">
        <v>85</v>
      </c>
      <c r="E443" t="s">
        <v>932</v>
      </c>
      <c r="F443">
        <v>45722</v>
      </c>
      <c r="G443" t="s">
        <v>937</v>
      </c>
      <c r="H443" t="s">
        <v>941</v>
      </c>
      <c r="I443" s="4">
        <v>1345</v>
      </c>
      <c r="J443" s="4">
        <v>804</v>
      </c>
      <c r="K443" s="4">
        <v>356</v>
      </c>
      <c r="L443" s="4">
        <v>9666</v>
      </c>
      <c r="M443" s="4">
        <f>Table1[[#This Row],[Visit Cost]]+Table1[[#This Row],[Lab Cost]]+Table1[[#This Row],[Medicine Cost]]+Table1[[#This Row],[Room Charges]]</f>
        <v>12171</v>
      </c>
      <c r="N443" s="5">
        <v>45793</v>
      </c>
      <c r="O443">
        <f>Table1[[#This Row],[Discharge Date]]-Table1[[#This Row],[Visit Date]]</f>
        <v>71</v>
      </c>
      <c r="P443" t="s">
        <v>948</v>
      </c>
      <c r="Q443" s="4">
        <v>11236</v>
      </c>
      <c r="R443" s="4">
        <f>Table1[[#This Row],[Total Revenue]]-Table1[[#This Row],[Insurance Claim Amount]]</f>
        <v>935</v>
      </c>
      <c r="S443">
        <v>1</v>
      </c>
      <c r="T443" t="str">
        <f t="shared" si="12"/>
        <v>Mar</v>
      </c>
      <c r="U443">
        <f t="shared" si="13"/>
        <v>2025</v>
      </c>
    </row>
    <row r="444" spans="1:21" x14ac:dyDescent="0.3">
      <c r="A444" t="s">
        <v>828</v>
      </c>
      <c r="B444" t="s">
        <v>829</v>
      </c>
      <c r="C444" t="s">
        <v>16</v>
      </c>
      <c r="D444" t="s">
        <v>252</v>
      </c>
      <c r="E444" t="s">
        <v>930</v>
      </c>
      <c r="F444">
        <v>45796</v>
      </c>
      <c r="G444" t="s">
        <v>936</v>
      </c>
      <c r="H444" t="s">
        <v>942</v>
      </c>
      <c r="I444" s="4">
        <v>1014</v>
      </c>
      <c r="J444" s="4">
        <v>1096</v>
      </c>
      <c r="K444" s="4">
        <v>707</v>
      </c>
      <c r="L444" s="4">
        <v>8945</v>
      </c>
      <c r="M444" s="4">
        <f>Table1[[#This Row],[Visit Cost]]+Table1[[#This Row],[Lab Cost]]+Table1[[#This Row],[Medicine Cost]]+Table1[[#This Row],[Room Charges]]</f>
        <v>11762</v>
      </c>
      <c r="N444" s="5">
        <v>45882</v>
      </c>
      <c r="O444">
        <f>Table1[[#This Row],[Discharge Date]]-Table1[[#This Row],[Visit Date]]</f>
        <v>86</v>
      </c>
      <c r="P444" t="s">
        <v>948</v>
      </c>
      <c r="Q444" s="4">
        <v>1608</v>
      </c>
      <c r="R444" s="4">
        <f>Table1[[#This Row],[Total Revenue]]-Table1[[#This Row],[Insurance Claim Amount]]</f>
        <v>10154</v>
      </c>
      <c r="S444">
        <v>2</v>
      </c>
      <c r="T444" t="str">
        <f t="shared" si="12"/>
        <v>May</v>
      </c>
      <c r="U444">
        <f t="shared" si="13"/>
        <v>2025</v>
      </c>
    </row>
    <row r="445" spans="1:21" x14ac:dyDescent="0.3">
      <c r="A445" t="s">
        <v>830</v>
      </c>
      <c r="B445" t="s">
        <v>577</v>
      </c>
      <c r="C445" t="s">
        <v>47</v>
      </c>
      <c r="D445" t="s">
        <v>252</v>
      </c>
      <c r="E445" t="s">
        <v>930</v>
      </c>
      <c r="F445">
        <v>45981</v>
      </c>
      <c r="G445" t="s">
        <v>935</v>
      </c>
      <c r="H445" t="s">
        <v>940</v>
      </c>
      <c r="I445" s="4">
        <v>874</v>
      </c>
      <c r="J445" s="4">
        <v>4043</v>
      </c>
      <c r="K445" s="4">
        <v>2431</v>
      </c>
      <c r="L445" s="4">
        <v>8374</v>
      </c>
      <c r="M445" s="4">
        <f>Table1[[#This Row],[Visit Cost]]+Table1[[#This Row],[Lab Cost]]+Table1[[#This Row],[Medicine Cost]]+Table1[[#This Row],[Room Charges]]</f>
        <v>15722</v>
      </c>
      <c r="N445" s="5">
        <v>46073</v>
      </c>
      <c r="O445">
        <f>Table1[[#This Row],[Discharge Date]]-Table1[[#This Row],[Visit Date]]</f>
        <v>92</v>
      </c>
      <c r="P445" t="s">
        <v>949</v>
      </c>
      <c r="Q445" s="4">
        <v>0</v>
      </c>
      <c r="R445" s="4">
        <f>Table1[[#This Row],[Total Revenue]]-Table1[[#This Row],[Insurance Claim Amount]]</f>
        <v>15722</v>
      </c>
      <c r="S445">
        <v>3</v>
      </c>
      <c r="T445" t="str">
        <f t="shared" si="12"/>
        <v>Nov</v>
      </c>
      <c r="U445">
        <f t="shared" si="13"/>
        <v>2025</v>
      </c>
    </row>
    <row r="446" spans="1:21" x14ac:dyDescent="0.3">
      <c r="A446" t="s">
        <v>831</v>
      </c>
      <c r="B446" t="s">
        <v>832</v>
      </c>
      <c r="C446" t="s">
        <v>6</v>
      </c>
      <c r="D446" t="s">
        <v>252</v>
      </c>
      <c r="E446" t="s">
        <v>932</v>
      </c>
      <c r="F446">
        <v>45776</v>
      </c>
      <c r="G446" t="s">
        <v>938</v>
      </c>
      <c r="H446" t="s">
        <v>943</v>
      </c>
      <c r="I446" s="4">
        <v>2280</v>
      </c>
      <c r="J446" s="4">
        <v>1600</v>
      </c>
      <c r="K446" s="4">
        <v>2363</v>
      </c>
      <c r="L446" s="4">
        <v>2000</v>
      </c>
      <c r="M446" s="4">
        <f>Table1[[#This Row],[Visit Cost]]+Table1[[#This Row],[Lab Cost]]+Table1[[#This Row],[Medicine Cost]]+Table1[[#This Row],[Room Charges]]</f>
        <v>8243</v>
      </c>
      <c r="N446" s="5">
        <v>45785</v>
      </c>
      <c r="O446">
        <f>Table1[[#This Row],[Discharge Date]]-Table1[[#This Row],[Visit Date]]</f>
        <v>9</v>
      </c>
      <c r="P446" t="s">
        <v>949</v>
      </c>
      <c r="Q446" s="4">
        <v>0</v>
      </c>
      <c r="R446" s="4">
        <f>Table1[[#This Row],[Total Revenue]]-Table1[[#This Row],[Insurance Claim Amount]]</f>
        <v>8243</v>
      </c>
      <c r="S446">
        <v>3</v>
      </c>
      <c r="T446" t="str">
        <f t="shared" si="12"/>
        <v>Apr</v>
      </c>
      <c r="U446">
        <f t="shared" si="13"/>
        <v>2025</v>
      </c>
    </row>
    <row r="447" spans="1:21" x14ac:dyDescent="0.3">
      <c r="A447" t="s">
        <v>833</v>
      </c>
      <c r="B447" t="s">
        <v>834</v>
      </c>
      <c r="C447" t="s">
        <v>16</v>
      </c>
      <c r="D447" t="s">
        <v>252</v>
      </c>
      <c r="E447" t="s">
        <v>933</v>
      </c>
      <c r="F447">
        <v>45747</v>
      </c>
      <c r="G447" t="s">
        <v>936</v>
      </c>
      <c r="H447" t="s">
        <v>945</v>
      </c>
      <c r="I447" s="4">
        <v>2381</v>
      </c>
      <c r="J447" s="4">
        <v>1512</v>
      </c>
      <c r="K447" s="4">
        <v>1249</v>
      </c>
      <c r="L447" s="4">
        <v>4776</v>
      </c>
      <c r="M447" s="4">
        <f>Table1[[#This Row],[Visit Cost]]+Table1[[#This Row],[Lab Cost]]+Table1[[#This Row],[Medicine Cost]]+Table1[[#This Row],[Room Charges]]</f>
        <v>9918</v>
      </c>
      <c r="N447" s="5">
        <v>45852</v>
      </c>
      <c r="O447">
        <f>Table1[[#This Row],[Discharge Date]]-Table1[[#This Row],[Visit Date]]</f>
        <v>105</v>
      </c>
      <c r="P447" t="s">
        <v>948</v>
      </c>
      <c r="Q447" s="4">
        <v>6500</v>
      </c>
      <c r="R447" s="4">
        <f>Table1[[#This Row],[Total Revenue]]-Table1[[#This Row],[Insurance Claim Amount]]</f>
        <v>3418</v>
      </c>
      <c r="S447">
        <v>5</v>
      </c>
      <c r="T447" t="str">
        <f t="shared" si="12"/>
        <v>Mar</v>
      </c>
      <c r="U447">
        <f t="shared" si="13"/>
        <v>2025</v>
      </c>
    </row>
    <row r="448" spans="1:21" x14ac:dyDescent="0.3">
      <c r="A448" t="s">
        <v>835</v>
      </c>
      <c r="B448" t="s">
        <v>836</v>
      </c>
      <c r="C448" t="s">
        <v>38</v>
      </c>
      <c r="D448" t="s">
        <v>164</v>
      </c>
      <c r="E448" t="s">
        <v>931</v>
      </c>
      <c r="F448">
        <v>45714</v>
      </c>
      <c r="G448" t="s">
        <v>937</v>
      </c>
      <c r="H448" t="s">
        <v>944</v>
      </c>
      <c r="I448" s="4">
        <v>659</v>
      </c>
      <c r="J448" s="4">
        <v>3524</v>
      </c>
      <c r="K448" s="4">
        <v>1286</v>
      </c>
      <c r="L448" s="4">
        <v>5310</v>
      </c>
      <c r="M448" s="4">
        <f>Table1[[#This Row],[Visit Cost]]+Table1[[#This Row],[Lab Cost]]+Table1[[#This Row],[Medicine Cost]]+Table1[[#This Row],[Room Charges]]</f>
        <v>10779</v>
      </c>
      <c r="N448" s="5">
        <v>45828</v>
      </c>
      <c r="O448">
        <f>Table1[[#This Row],[Discharge Date]]-Table1[[#This Row],[Visit Date]]</f>
        <v>114</v>
      </c>
      <c r="P448" t="s">
        <v>948</v>
      </c>
      <c r="Q448" s="4">
        <v>1923</v>
      </c>
      <c r="R448" s="4">
        <f>Table1[[#This Row],[Total Revenue]]-Table1[[#This Row],[Insurance Claim Amount]]</f>
        <v>8856</v>
      </c>
      <c r="S448">
        <v>1</v>
      </c>
      <c r="T448" t="str">
        <f t="shared" si="12"/>
        <v>Feb</v>
      </c>
      <c r="U448">
        <f t="shared" si="13"/>
        <v>2025</v>
      </c>
    </row>
    <row r="449" spans="1:21" x14ac:dyDescent="0.3">
      <c r="A449" t="s">
        <v>837</v>
      </c>
      <c r="B449" t="s">
        <v>838</v>
      </c>
      <c r="C449" t="s">
        <v>47</v>
      </c>
      <c r="D449" t="s">
        <v>80</v>
      </c>
      <c r="E449" t="s">
        <v>929</v>
      </c>
      <c r="F449">
        <v>45815</v>
      </c>
      <c r="G449" t="s">
        <v>935</v>
      </c>
      <c r="H449" t="s">
        <v>944</v>
      </c>
      <c r="I449" s="4">
        <v>1500</v>
      </c>
      <c r="J449" s="4">
        <v>2100</v>
      </c>
      <c r="K449" s="4">
        <v>2416</v>
      </c>
      <c r="L449" s="4">
        <v>3500</v>
      </c>
      <c r="M449" s="4">
        <f>Table1[[#This Row],[Visit Cost]]+Table1[[#This Row],[Lab Cost]]+Table1[[#This Row],[Medicine Cost]]+Table1[[#This Row],[Room Charges]]</f>
        <v>9516</v>
      </c>
      <c r="N449" s="5">
        <v>45854</v>
      </c>
      <c r="O449">
        <f>Table1[[#This Row],[Discharge Date]]-Table1[[#This Row],[Visit Date]]</f>
        <v>39</v>
      </c>
      <c r="P449" t="s">
        <v>949</v>
      </c>
      <c r="Q449" s="4">
        <v>0</v>
      </c>
      <c r="R449" s="4">
        <f>Table1[[#This Row],[Total Revenue]]-Table1[[#This Row],[Insurance Claim Amount]]</f>
        <v>9516</v>
      </c>
      <c r="S449">
        <v>1</v>
      </c>
      <c r="T449" t="str">
        <f t="shared" si="12"/>
        <v>Jun</v>
      </c>
      <c r="U449">
        <f t="shared" si="13"/>
        <v>2025</v>
      </c>
    </row>
    <row r="450" spans="1:21" x14ac:dyDescent="0.3">
      <c r="A450" t="s">
        <v>839</v>
      </c>
      <c r="B450" t="s">
        <v>247</v>
      </c>
      <c r="C450" t="s">
        <v>11</v>
      </c>
      <c r="D450" t="s">
        <v>164</v>
      </c>
      <c r="E450" t="s">
        <v>933</v>
      </c>
      <c r="F450">
        <v>45816</v>
      </c>
      <c r="G450" t="s">
        <v>936</v>
      </c>
      <c r="H450" t="s">
        <v>941</v>
      </c>
      <c r="I450" s="4">
        <v>1600</v>
      </c>
      <c r="J450" s="4">
        <v>963</v>
      </c>
      <c r="K450" s="4">
        <v>1003</v>
      </c>
      <c r="L450" s="4">
        <v>3034</v>
      </c>
      <c r="M450" s="4">
        <f>Table1[[#This Row],[Visit Cost]]+Table1[[#This Row],[Lab Cost]]+Table1[[#This Row],[Medicine Cost]]+Table1[[#This Row],[Room Charges]]</f>
        <v>6600</v>
      </c>
      <c r="N450" s="5">
        <v>45862</v>
      </c>
      <c r="O450">
        <f>Table1[[#This Row],[Discharge Date]]-Table1[[#This Row],[Visit Date]]</f>
        <v>46</v>
      </c>
      <c r="P450" t="s">
        <v>948</v>
      </c>
      <c r="Q450" s="4">
        <v>3800</v>
      </c>
      <c r="R450" s="4">
        <f>Table1[[#This Row],[Total Revenue]]-Table1[[#This Row],[Insurance Claim Amount]]</f>
        <v>2800</v>
      </c>
      <c r="S450">
        <v>4</v>
      </c>
      <c r="T450" t="str">
        <f t="shared" si="12"/>
        <v>Jun</v>
      </c>
      <c r="U450">
        <f t="shared" si="13"/>
        <v>2025</v>
      </c>
    </row>
    <row r="451" spans="1:21" x14ac:dyDescent="0.3">
      <c r="A451" t="s">
        <v>840</v>
      </c>
      <c r="B451" t="s">
        <v>192</v>
      </c>
      <c r="C451" t="s">
        <v>11</v>
      </c>
      <c r="D451" t="s">
        <v>924</v>
      </c>
      <c r="E451" t="s">
        <v>929</v>
      </c>
      <c r="F451">
        <v>45993</v>
      </c>
      <c r="G451" t="s">
        <v>938</v>
      </c>
      <c r="H451" t="s">
        <v>945</v>
      </c>
      <c r="I451" s="4">
        <v>2096</v>
      </c>
      <c r="J451" s="4">
        <v>3099</v>
      </c>
      <c r="K451" s="4">
        <v>930</v>
      </c>
      <c r="L451" s="4">
        <v>1800</v>
      </c>
      <c r="M451" s="4">
        <f>Table1[[#This Row],[Visit Cost]]+Table1[[#This Row],[Lab Cost]]+Table1[[#This Row],[Medicine Cost]]+Table1[[#This Row],[Room Charges]]</f>
        <v>7925</v>
      </c>
      <c r="N451" s="5">
        <v>46093</v>
      </c>
      <c r="O451">
        <f>Table1[[#This Row],[Discharge Date]]-Table1[[#This Row],[Visit Date]]</f>
        <v>100</v>
      </c>
      <c r="P451" t="s">
        <v>949</v>
      </c>
      <c r="Q451" s="4">
        <v>0</v>
      </c>
      <c r="R451" s="4">
        <f>Table1[[#This Row],[Total Revenue]]-Table1[[#This Row],[Insurance Claim Amount]]</f>
        <v>7925</v>
      </c>
      <c r="S451">
        <v>5</v>
      </c>
      <c r="T451" t="str">
        <f t="shared" ref="T451:T501" si="14">TEXT(F451,"MMM")</f>
        <v>Dec</v>
      </c>
      <c r="U451">
        <f t="shared" ref="U451:U501" si="15">YEAR(F451)</f>
        <v>2025</v>
      </c>
    </row>
    <row r="452" spans="1:21" x14ac:dyDescent="0.3">
      <c r="A452" t="s">
        <v>841</v>
      </c>
      <c r="B452" t="s">
        <v>547</v>
      </c>
      <c r="C452" t="s">
        <v>6</v>
      </c>
      <c r="D452" t="s">
        <v>85</v>
      </c>
      <c r="E452" t="s">
        <v>930</v>
      </c>
      <c r="F452">
        <v>45755</v>
      </c>
      <c r="G452" t="s">
        <v>937</v>
      </c>
      <c r="H452" t="s">
        <v>945</v>
      </c>
      <c r="I452" s="4">
        <v>1267</v>
      </c>
      <c r="J452" s="4">
        <v>693</v>
      </c>
      <c r="K452" s="4">
        <v>2823</v>
      </c>
      <c r="L452" s="4">
        <v>9049</v>
      </c>
      <c r="M452" s="4">
        <f>Table1[[#This Row],[Visit Cost]]+Table1[[#This Row],[Lab Cost]]+Table1[[#This Row],[Medicine Cost]]+Table1[[#This Row],[Room Charges]]</f>
        <v>13832</v>
      </c>
      <c r="N452" s="5">
        <v>45830</v>
      </c>
      <c r="O452">
        <f>Table1[[#This Row],[Discharge Date]]-Table1[[#This Row],[Visit Date]]</f>
        <v>75</v>
      </c>
      <c r="P452" t="s">
        <v>948</v>
      </c>
      <c r="Q452" s="4">
        <v>1000</v>
      </c>
      <c r="R452" s="4">
        <f>Table1[[#This Row],[Total Revenue]]-Table1[[#This Row],[Insurance Claim Amount]]</f>
        <v>12832</v>
      </c>
      <c r="S452">
        <v>4</v>
      </c>
      <c r="T452" t="str">
        <f t="shared" si="14"/>
        <v>Apr</v>
      </c>
      <c r="U452">
        <f t="shared" si="15"/>
        <v>2025</v>
      </c>
    </row>
    <row r="453" spans="1:21" x14ac:dyDescent="0.3">
      <c r="A453" t="s">
        <v>842</v>
      </c>
      <c r="B453" t="s">
        <v>843</v>
      </c>
      <c r="C453" t="s">
        <v>47</v>
      </c>
      <c r="D453" t="s">
        <v>80</v>
      </c>
      <c r="E453" t="s">
        <v>931</v>
      </c>
      <c r="F453">
        <v>45975</v>
      </c>
      <c r="G453" t="s">
        <v>936</v>
      </c>
      <c r="H453" t="s">
        <v>941</v>
      </c>
      <c r="I453" s="4">
        <v>2291</v>
      </c>
      <c r="J453" s="4">
        <v>1300</v>
      </c>
      <c r="K453" s="4">
        <v>2588</v>
      </c>
      <c r="L453" s="4">
        <v>2200</v>
      </c>
      <c r="M453" s="4">
        <f>Table1[[#This Row],[Visit Cost]]+Table1[[#This Row],[Lab Cost]]+Table1[[#This Row],[Medicine Cost]]+Table1[[#This Row],[Room Charges]]</f>
        <v>8379</v>
      </c>
      <c r="N453" s="5">
        <v>45989</v>
      </c>
      <c r="O453">
        <f>Table1[[#This Row],[Discharge Date]]-Table1[[#This Row],[Visit Date]]</f>
        <v>14</v>
      </c>
      <c r="P453" t="s">
        <v>949</v>
      </c>
      <c r="Q453" s="4">
        <v>0</v>
      </c>
      <c r="R453" s="4">
        <f>Table1[[#This Row],[Total Revenue]]-Table1[[#This Row],[Insurance Claim Amount]]</f>
        <v>8379</v>
      </c>
      <c r="S453">
        <v>2</v>
      </c>
      <c r="T453" t="str">
        <f t="shared" si="14"/>
        <v>Nov</v>
      </c>
      <c r="U453">
        <f t="shared" si="15"/>
        <v>2025</v>
      </c>
    </row>
    <row r="454" spans="1:21" x14ac:dyDescent="0.3">
      <c r="A454" t="s">
        <v>844</v>
      </c>
      <c r="B454" t="s">
        <v>845</v>
      </c>
      <c r="C454" t="s">
        <v>16</v>
      </c>
      <c r="D454" t="s">
        <v>252</v>
      </c>
      <c r="E454" t="s">
        <v>932</v>
      </c>
      <c r="F454">
        <v>45947</v>
      </c>
      <c r="G454" t="s">
        <v>935</v>
      </c>
      <c r="H454" t="s">
        <v>944</v>
      </c>
      <c r="I454" s="4">
        <v>1715</v>
      </c>
      <c r="J454" s="4">
        <v>800</v>
      </c>
      <c r="K454" s="4">
        <v>2062</v>
      </c>
      <c r="L454" s="4">
        <v>7696</v>
      </c>
      <c r="M454" s="4">
        <f>Table1[[#This Row],[Visit Cost]]+Table1[[#This Row],[Lab Cost]]+Table1[[#This Row],[Medicine Cost]]+Table1[[#This Row],[Room Charges]]</f>
        <v>12273</v>
      </c>
      <c r="N454" s="5">
        <v>46112</v>
      </c>
      <c r="O454">
        <f>Table1[[#This Row],[Discharge Date]]-Table1[[#This Row],[Visit Date]]</f>
        <v>165</v>
      </c>
      <c r="P454" t="s">
        <v>948</v>
      </c>
      <c r="Q454" s="4">
        <v>2631</v>
      </c>
      <c r="R454" s="4">
        <f>Table1[[#This Row],[Total Revenue]]-Table1[[#This Row],[Insurance Claim Amount]]</f>
        <v>9642</v>
      </c>
      <c r="S454">
        <v>4</v>
      </c>
      <c r="T454" t="str">
        <f t="shared" si="14"/>
        <v>Oct</v>
      </c>
      <c r="U454">
        <f t="shared" si="15"/>
        <v>2025</v>
      </c>
    </row>
    <row r="455" spans="1:21" x14ac:dyDescent="0.3">
      <c r="A455" t="s">
        <v>846</v>
      </c>
      <c r="B455" t="s">
        <v>484</v>
      </c>
      <c r="C455" t="s">
        <v>6</v>
      </c>
      <c r="D455" t="s">
        <v>252</v>
      </c>
      <c r="E455" t="s">
        <v>931</v>
      </c>
      <c r="F455">
        <v>45952</v>
      </c>
      <c r="G455" t="s">
        <v>936</v>
      </c>
      <c r="H455" t="s">
        <v>944</v>
      </c>
      <c r="I455" s="4">
        <v>2337</v>
      </c>
      <c r="J455" s="4">
        <v>2450</v>
      </c>
      <c r="K455" s="4">
        <v>1401</v>
      </c>
      <c r="L455" s="4">
        <v>2450</v>
      </c>
      <c r="M455" s="4">
        <f>Table1[[#This Row],[Visit Cost]]+Table1[[#This Row],[Lab Cost]]+Table1[[#This Row],[Medicine Cost]]+Table1[[#This Row],[Room Charges]]</f>
        <v>8638</v>
      </c>
      <c r="N455" s="5">
        <v>46040</v>
      </c>
      <c r="O455">
        <f>Table1[[#This Row],[Discharge Date]]-Table1[[#This Row],[Visit Date]]</f>
        <v>88</v>
      </c>
      <c r="P455" t="s">
        <v>949</v>
      </c>
      <c r="Q455" s="4">
        <v>0</v>
      </c>
      <c r="R455" s="4">
        <f>Table1[[#This Row],[Total Revenue]]-Table1[[#This Row],[Insurance Claim Amount]]</f>
        <v>8638</v>
      </c>
      <c r="S455">
        <v>2</v>
      </c>
      <c r="T455" t="str">
        <f t="shared" si="14"/>
        <v>Oct</v>
      </c>
      <c r="U455">
        <f t="shared" si="15"/>
        <v>2025</v>
      </c>
    </row>
    <row r="456" spans="1:21" x14ac:dyDescent="0.3">
      <c r="A456" t="s">
        <v>847</v>
      </c>
      <c r="B456" t="s">
        <v>848</v>
      </c>
      <c r="C456" t="s">
        <v>16</v>
      </c>
      <c r="D456" t="s">
        <v>925</v>
      </c>
      <c r="E456" t="s">
        <v>932</v>
      </c>
      <c r="F456">
        <v>45709</v>
      </c>
      <c r="G456" t="s">
        <v>938</v>
      </c>
      <c r="H456" t="s">
        <v>940</v>
      </c>
      <c r="I456" s="4">
        <v>1103</v>
      </c>
      <c r="J456" s="4">
        <v>2313</v>
      </c>
      <c r="K456" s="4">
        <v>2903</v>
      </c>
      <c r="L456" s="4">
        <v>8505</v>
      </c>
      <c r="M456" s="4">
        <f>Table1[[#This Row],[Visit Cost]]+Table1[[#This Row],[Lab Cost]]+Table1[[#This Row],[Medicine Cost]]+Table1[[#This Row],[Room Charges]]</f>
        <v>14824</v>
      </c>
      <c r="N456" s="5">
        <v>45796</v>
      </c>
      <c r="O456">
        <f>Table1[[#This Row],[Discharge Date]]-Table1[[#This Row],[Visit Date]]</f>
        <v>87</v>
      </c>
      <c r="P456" t="s">
        <v>949</v>
      </c>
      <c r="Q456" s="4">
        <v>0</v>
      </c>
      <c r="R456" s="4">
        <f>Table1[[#This Row],[Total Revenue]]-Table1[[#This Row],[Insurance Claim Amount]]</f>
        <v>14824</v>
      </c>
      <c r="S456">
        <v>1</v>
      </c>
      <c r="T456" t="str">
        <f t="shared" si="14"/>
        <v>Feb</v>
      </c>
      <c r="U456">
        <f t="shared" si="15"/>
        <v>2025</v>
      </c>
    </row>
    <row r="457" spans="1:21" x14ac:dyDescent="0.3">
      <c r="A457" t="s">
        <v>849</v>
      </c>
      <c r="B457" t="s">
        <v>850</v>
      </c>
      <c r="C457" t="s">
        <v>16</v>
      </c>
      <c r="D457" t="s">
        <v>927</v>
      </c>
      <c r="E457" t="s">
        <v>929</v>
      </c>
      <c r="F457">
        <v>46015</v>
      </c>
      <c r="G457" t="s">
        <v>937</v>
      </c>
      <c r="H457" t="s">
        <v>940</v>
      </c>
      <c r="I457" s="4">
        <v>2119</v>
      </c>
      <c r="J457" s="4">
        <v>1725</v>
      </c>
      <c r="K457" s="4">
        <v>2193</v>
      </c>
      <c r="L457" s="4">
        <v>9073</v>
      </c>
      <c r="M457" s="4">
        <f>Table1[[#This Row],[Visit Cost]]+Table1[[#This Row],[Lab Cost]]+Table1[[#This Row],[Medicine Cost]]+Table1[[#This Row],[Room Charges]]</f>
        <v>15110</v>
      </c>
      <c r="N457" s="5">
        <v>46112</v>
      </c>
      <c r="O457">
        <f>Table1[[#This Row],[Discharge Date]]-Table1[[#This Row],[Visit Date]]</f>
        <v>97</v>
      </c>
      <c r="P457" t="s">
        <v>949</v>
      </c>
      <c r="Q457" s="4">
        <v>0</v>
      </c>
      <c r="R457" s="4">
        <f>Table1[[#This Row],[Total Revenue]]-Table1[[#This Row],[Insurance Claim Amount]]</f>
        <v>15110</v>
      </c>
      <c r="S457">
        <v>4</v>
      </c>
      <c r="T457" t="str">
        <f t="shared" si="14"/>
        <v>Dec</v>
      </c>
      <c r="U457">
        <f t="shared" si="15"/>
        <v>2025</v>
      </c>
    </row>
    <row r="458" spans="1:21" x14ac:dyDescent="0.3">
      <c r="A458" t="s">
        <v>851</v>
      </c>
      <c r="B458" t="s">
        <v>852</v>
      </c>
      <c r="C458" t="s">
        <v>11</v>
      </c>
      <c r="D458" t="s">
        <v>85</v>
      </c>
      <c r="E458" t="s">
        <v>933</v>
      </c>
      <c r="F458">
        <v>45873</v>
      </c>
      <c r="G458" t="s">
        <v>936</v>
      </c>
      <c r="H458" t="s">
        <v>945</v>
      </c>
      <c r="I458" s="4">
        <v>2292</v>
      </c>
      <c r="J458" s="4">
        <v>4708</v>
      </c>
      <c r="K458" s="4">
        <v>2548</v>
      </c>
      <c r="L458" s="4">
        <v>1255</v>
      </c>
      <c r="M458" s="4">
        <f>Table1[[#This Row],[Visit Cost]]+Table1[[#This Row],[Lab Cost]]+Table1[[#This Row],[Medicine Cost]]+Table1[[#This Row],[Room Charges]]</f>
        <v>10803</v>
      </c>
      <c r="N458" s="5">
        <v>45981</v>
      </c>
      <c r="O458">
        <f>Table1[[#This Row],[Discharge Date]]-Table1[[#This Row],[Visit Date]]</f>
        <v>108</v>
      </c>
      <c r="P458" t="s">
        <v>949</v>
      </c>
      <c r="Q458" s="4">
        <v>0</v>
      </c>
      <c r="R458" s="4">
        <f>Table1[[#This Row],[Total Revenue]]-Table1[[#This Row],[Insurance Claim Amount]]</f>
        <v>10803</v>
      </c>
      <c r="S458">
        <v>4</v>
      </c>
      <c r="T458" t="str">
        <f t="shared" si="14"/>
        <v>Aug</v>
      </c>
      <c r="U458">
        <f t="shared" si="15"/>
        <v>2025</v>
      </c>
    </row>
    <row r="459" spans="1:21" x14ac:dyDescent="0.3">
      <c r="A459" t="s">
        <v>853</v>
      </c>
      <c r="B459" t="s">
        <v>794</v>
      </c>
      <c r="C459" t="s">
        <v>47</v>
      </c>
      <c r="D459" t="s">
        <v>80</v>
      </c>
      <c r="E459" t="s">
        <v>930</v>
      </c>
      <c r="F459">
        <v>45837</v>
      </c>
      <c r="G459" t="s">
        <v>935</v>
      </c>
      <c r="H459" t="s">
        <v>941</v>
      </c>
      <c r="I459" s="4">
        <v>1293</v>
      </c>
      <c r="J459" s="4">
        <v>1300</v>
      </c>
      <c r="K459" s="4">
        <v>2301</v>
      </c>
      <c r="L459" s="4">
        <v>4500</v>
      </c>
      <c r="M459" s="4">
        <f>Table1[[#This Row],[Visit Cost]]+Table1[[#This Row],[Lab Cost]]+Table1[[#This Row],[Medicine Cost]]+Table1[[#This Row],[Room Charges]]</f>
        <v>9394</v>
      </c>
      <c r="N459" s="5">
        <v>45943</v>
      </c>
      <c r="O459">
        <f>Table1[[#This Row],[Discharge Date]]-Table1[[#This Row],[Visit Date]]</f>
        <v>106</v>
      </c>
      <c r="P459" t="s">
        <v>948</v>
      </c>
      <c r="Q459" s="4">
        <v>2744</v>
      </c>
      <c r="R459" s="4">
        <f>Table1[[#This Row],[Total Revenue]]-Table1[[#This Row],[Insurance Claim Amount]]</f>
        <v>6650</v>
      </c>
      <c r="S459">
        <v>3</v>
      </c>
      <c r="T459" t="str">
        <f t="shared" si="14"/>
        <v>Jun</v>
      </c>
      <c r="U459">
        <f t="shared" si="15"/>
        <v>2025</v>
      </c>
    </row>
    <row r="460" spans="1:21" x14ac:dyDescent="0.3">
      <c r="A460" t="s">
        <v>854</v>
      </c>
      <c r="B460" t="s">
        <v>363</v>
      </c>
      <c r="C460" t="s">
        <v>38</v>
      </c>
      <c r="D460" t="s">
        <v>924</v>
      </c>
      <c r="E460" t="s">
        <v>930</v>
      </c>
      <c r="F460">
        <v>45673</v>
      </c>
      <c r="G460" t="s">
        <v>938</v>
      </c>
      <c r="H460" t="s">
        <v>943</v>
      </c>
      <c r="I460" s="4">
        <v>1700</v>
      </c>
      <c r="J460" s="4">
        <v>3953</v>
      </c>
      <c r="K460" s="4">
        <v>970</v>
      </c>
      <c r="L460" s="4">
        <v>2520</v>
      </c>
      <c r="M460" s="4">
        <f>Table1[[#This Row],[Visit Cost]]+Table1[[#This Row],[Lab Cost]]+Table1[[#This Row],[Medicine Cost]]+Table1[[#This Row],[Room Charges]]</f>
        <v>9143</v>
      </c>
      <c r="N460" s="5">
        <v>45709</v>
      </c>
      <c r="O460">
        <f>Table1[[#This Row],[Discharge Date]]-Table1[[#This Row],[Visit Date]]</f>
        <v>36</v>
      </c>
      <c r="P460" t="s">
        <v>949</v>
      </c>
      <c r="Q460" s="4">
        <v>0</v>
      </c>
      <c r="R460" s="4">
        <f>Table1[[#This Row],[Total Revenue]]-Table1[[#This Row],[Insurance Claim Amount]]</f>
        <v>9143</v>
      </c>
      <c r="S460">
        <v>2</v>
      </c>
      <c r="T460" t="str">
        <f t="shared" si="14"/>
        <v>Jan</v>
      </c>
      <c r="U460">
        <f t="shared" si="15"/>
        <v>2025</v>
      </c>
    </row>
    <row r="461" spans="1:21" x14ac:dyDescent="0.3">
      <c r="A461" t="s">
        <v>855</v>
      </c>
      <c r="B461" t="s">
        <v>557</v>
      </c>
      <c r="C461" t="s">
        <v>16</v>
      </c>
      <c r="D461" t="s">
        <v>927</v>
      </c>
      <c r="E461" t="s">
        <v>931</v>
      </c>
      <c r="F461">
        <v>45730</v>
      </c>
      <c r="G461" t="s">
        <v>936</v>
      </c>
      <c r="H461" t="s">
        <v>941</v>
      </c>
      <c r="I461" s="4">
        <v>990</v>
      </c>
      <c r="J461" s="4">
        <v>1433</v>
      </c>
      <c r="K461" s="4">
        <v>2958</v>
      </c>
      <c r="L461" s="4">
        <v>3022</v>
      </c>
      <c r="M461" s="4">
        <f>Table1[[#This Row],[Visit Cost]]+Table1[[#This Row],[Lab Cost]]+Table1[[#This Row],[Medicine Cost]]+Table1[[#This Row],[Room Charges]]</f>
        <v>8403</v>
      </c>
      <c r="N461" s="5">
        <v>45862</v>
      </c>
      <c r="O461">
        <f>Table1[[#This Row],[Discharge Date]]-Table1[[#This Row],[Visit Date]]</f>
        <v>132</v>
      </c>
      <c r="P461" t="s">
        <v>949</v>
      </c>
      <c r="Q461" s="4">
        <v>0</v>
      </c>
      <c r="R461" s="4">
        <f>Table1[[#This Row],[Total Revenue]]-Table1[[#This Row],[Insurance Claim Amount]]</f>
        <v>8403</v>
      </c>
      <c r="S461">
        <v>1</v>
      </c>
      <c r="T461" t="str">
        <f t="shared" si="14"/>
        <v>Mar</v>
      </c>
      <c r="U461">
        <f t="shared" si="15"/>
        <v>2025</v>
      </c>
    </row>
    <row r="462" spans="1:21" x14ac:dyDescent="0.3">
      <c r="A462" t="s">
        <v>856</v>
      </c>
      <c r="B462" t="s">
        <v>857</v>
      </c>
      <c r="C462" t="s">
        <v>47</v>
      </c>
      <c r="D462" t="s">
        <v>926</v>
      </c>
      <c r="E462" t="s">
        <v>932</v>
      </c>
      <c r="F462">
        <v>45919</v>
      </c>
      <c r="G462" t="s">
        <v>937</v>
      </c>
      <c r="H462" t="s">
        <v>941</v>
      </c>
      <c r="I462" s="4">
        <v>2014</v>
      </c>
      <c r="J462" s="4">
        <v>3517</v>
      </c>
      <c r="K462" s="4">
        <v>1822</v>
      </c>
      <c r="L462" s="4">
        <v>6541</v>
      </c>
      <c r="M462" s="4">
        <f>Table1[[#This Row],[Visit Cost]]+Table1[[#This Row],[Lab Cost]]+Table1[[#This Row],[Medicine Cost]]+Table1[[#This Row],[Room Charges]]</f>
        <v>13894</v>
      </c>
      <c r="N462" s="5">
        <v>45999</v>
      </c>
      <c r="O462">
        <f>Table1[[#This Row],[Discharge Date]]-Table1[[#This Row],[Visit Date]]</f>
        <v>80</v>
      </c>
      <c r="P462" t="s">
        <v>949</v>
      </c>
      <c r="Q462" s="4">
        <v>0</v>
      </c>
      <c r="R462" s="4">
        <f>Table1[[#This Row],[Total Revenue]]-Table1[[#This Row],[Insurance Claim Amount]]</f>
        <v>13894</v>
      </c>
      <c r="S462">
        <v>1</v>
      </c>
      <c r="T462" t="str">
        <f t="shared" si="14"/>
        <v>Sep</v>
      </c>
      <c r="U462">
        <f t="shared" si="15"/>
        <v>2025</v>
      </c>
    </row>
    <row r="463" spans="1:21" x14ac:dyDescent="0.3">
      <c r="A463" t="s">
        <v>858</v>
      </c>
      <c r="B463" t="s">
        <v>859</v>
      </c>
      <c r="C463" t="s">
        <v>11</v>
      </c>
      <c r="D463" t="s">
        <v>924</v>
      </c>
      <c r="E463" t="s">
        <v>933</v>
      </c>
      <c r="F463">
        <v>45762</v>
      </c>
      <c r="G463" t="s">
        <v>935</v>
      </c>
      <c r="H463" t="s">
        <v>943</v>
      </c>
      <c r="I463" s="4">
        <v>2089</v>
      </c>
      <c r="J463" s="4">
        <v>1250</v>
      </c>
      <c r="K463" s="4">
        <v>584</v>
      </c>
      <c r="L463" s="4">
        <v>2250</v>
      </c>
      <c r="M463" s="4">
        <f>Table1[[#This Row],[Visit Cost]]+Table1[[#This Row],[Lab Cost]]+Table1[[#This Row],[Medicine Cost]]+Table1[[#This Row],[Room Charges]]</f>
        <v>6173</v>
      </c>
      <c r="N463" s="5">
        <v>45785</v>
      </c>
      <c r="O463">
        <f>Table1[[#This Row],[Discharge Date]]-Table1[[#This Row],[Visit Date]]</f>
        <v>23</v>
      </c>
      <c r="P463" t="s">
        <v>948</v>
      </c>
      <c r="Q463" s="4">
        <v>2814</v>
      </c>
      <c r="R463" s="4">
        <f>Table1[[#This Row],[Total Revenue]]-Table1[[#This Row],[Insurance Claim Amount]]</f>
        <v>3359</v>
      </c>
      <c r="S463">
        <v>2</v>
      </c>
      <c r="T463" t="str">
        <f t="shared" si="14"/>
        <v>Apr</v>
      </c>
      <c r="U463">
        <f t="shared" si="15"/>
        <v>2025</v>
      </c>
    </row>
    <row r="464" spans="1:21" x14ac:dyDescent="0.3">
      <c r="A464" t="s">
        <v>860</v>
      </c>
      <c r="B464" t="s">
        <v>861</v>
      </c>
      <c r="C464" t="s">
        <v>16</v>
      </c>
      <c r="D464" t="s">
        <v>926</v>
      </c>
      <c r="E464" t="s">
        <v>929</v>
      </c>
      <c r="F464">
        <v>45762</v>
      </c>
      <c r="G464" t="s">
        <v>936</v>
      </c>
      <c r="H464" t="s">
        <v>945</v>
      </c>
      <c r="I464" s="4">
        <v>619</v>
      </c>
      <c r="J464" s="4">
        <v>2937</v>
      </c>
      <c r="K464" s="4">
        <v>1754</v>
      </c>
      <c r="L464" s="4">
        <v>2068</v>
      </c>
      <c r="M464" s="4">
        <f>Table1[[#This Row],[Visit Cost]]+Table1[[#This Row],[Lab Cost]]+Table1[[#This Row],[Medicine Cost]]+Table1[[#This Row],[Room Charges]]</f>
        <v>7378</v>
      </c>
      <c r="N464" s="5">
        <v>45911</v>
      </c>
      <c r="O464">
        <f>Table1[[#This Row],[Discharge Date]]-Table1[[#This Row],[Visit Date]]</f>
        <v>149</v>
      </c>
      <c r="P464" t="s">
        <v>949</v>
      </c>
      <c r="Q464" s="4">
        <v>0</v>
      </c>
      <c r="R464" s="4">
        <f>Table1[[#This Row],[Total Revenue]]-Table1[[#This Row],[Insurance Claim Amount]]</f>
        <v>7378</v>
      </c>
      <c r="S464">
        <v>4</v>
      </c>
      <c r="T464" t="str">
        <f t="shared" si="14"/>
        <v>Apr</v>
      </c>
      <c r="U464">
        <f t="shared" si="15"/>
        <v>2025</v>
      </c>
    </row>
    <row r="465" spans="1:21" x14ac:dyDescent="0.3">
      <c r="A465" t="s">
        <v>862</v>
      </c>
      <c r="B465" t="s">
        <v>863</v>
      </c>
      <c r="C465" t="s">
        <v>38</v>
      </c>
      <c r="D465" t="s">
        <v>924</v>
      </c>
      <c r="E465" t="s">
        <v>929</v>
      </c>
      <c r="F465">
        <v>46021</v>
      </c>
      <c r="G465" t="s">
        <v>938</v>
      </c>
      <c r="H465" t="s">
        <v>943</v>
      </c>
      <c r="I465" s="4">
        <v>1246</v>
      </c>
      <c r="J465" s="4">
        <v>4511</v>
      </c>
      <c r="K465" s="4">
        <v>1525</v>
      </c>
      <c r="L465" s="4">
        <v>3000</v>
      </c>
      <c r="M465" s="4">
        <f>Table1[[#This Row],[Visit Cost]]+Table1[[#This Row],[Lab Cost]]+Table1[[#This Row],[Medicine Cost]]+Table1[[#This Row],[Room Charges]]</f>
        <v>10282</v>
      </c>
      <c r="N465" s="5">
        <v>46064</v>
      </c>
      <c r="O465">
        <f>Table1[[#This Row],[Discharge Date]]-Table1[[#This Row],[Visit Date]]</f>
        <v>43</v>
      </c>
      <c r="P465" t="s">
        <v>948</v>
      </c>
      <c r="Q465" s="4">
        <v>2765</v>
      </c>
      <c r="R465" s="4">
        <f>Table1[[#This Row],[Total Revenue]]-Table1[[#This Row],[Insurance Claim Amount]]</f>
        <v>7517</v>
      </c>
      <c r="S465">
        <v>3</v>
      </c>
      <c r="T465" t="str">
        <f t="shared" si="14"/>
        <v>Dec</v>
      </c>
      <c r="U465">
        <f t="shared" si="15"/>
        <v>2025</v>
      </c>
    </row>
    <row r="466" spans="1:21" x14ac:dyDescent="0.3">
      <c r="A466" t="s">
        <v>864</v>
      </c>
      <c r="B466" t="s">
        <v>757</v>
      </c>
      <c r="C466" t="s">
        <v>38</v>
      </c>
      <c r="D466" t="s">
        <v>927</v>
      </c>
      <c r="E466" t="s">
        <v>933</v>
      </c>
      <c r="F466">
        <v>45701</v>
      </c>
      <c r="G466" t="s">
        <v>937</v>
      </c>
      <c r="H466" t="s">
        <v>940</v>
      </c>
      <c r="I466" s="4">
        <v>2402</v>
      </c>
      <c r="J466" s="4">
        <v>1992</v>
      </c>
      <c r="K466" s="4">
        <v>2071</v>
      </c>
      <c r="L466" s="4">
        <v>3315</v>
      </c>
      <c r="M466" s="4">
        <f>Table1[[#This Row],[Visit Cost]]+Table1[[#This Row],[Lab Cost]]+Table1[[#This Row],[Medicine Cost]]+Table1[[#This Row],[Room Charges]]</f>
        <v>9780</v>
      </c>
      <c r="N466" s="5">
        <v>45777</v>
      </c>
      <c r="O466">
        <f>Table1[[#This Row],[Discharge Date]]-Table1[[#This Row],[Visit Date]]</f>
        <v>76</v>
      </c>
      <c r="P466" t="s">
        <v>948</v>
      </c>
      <c r="Q466" s="4">
        <v>8170</v>
      </c>
      <c r="R466" s="4">
        <f>Table1[[#This Row],[Total Revenue]]-Table1[[#This Row],[Insurance Claim Amount]]</f>
        <v>1610</v>
      </c>
      <c r="S466">
        <v>3</v>
      </c>
      <c r="T466" t="str">
        <f t="shared" si="14"/>
        <v>Feb</v>
      </c>
      <c r="U466">
        <f t="shared" si="15"/>
        <v>2025</v>
      </c>
    </row>
    <row r="467" spans="1:21" x14ac:dyDescent="0.3">
      <c r="A467" t="s">
        <v>865</v>
      </c>
      <c r="B467" t="s">
        <v>866</v>
      </c>
      <c r="C467" t="s">
        <v>16</v>
      </c>
      <c r="D467" t="s">
        <v>926</v>
      </c>
      <c r="E467" t="s">
        <v>931</v>
      </c>
      <c r="F467">
        <v>45951</v>
      </c>
      <c r="G467" t="s">
        <v>936</v>
      </c>
      <c r="H467" t="s">
        <v>943</v>
      </c>
      <c r="I467" s="4">
        <v>858</v>
      </c>
      <c r="J467" s="4">
        <v>3323</v>
      </c>
      <c r="K467" s="4">
        <v>1932</v>
      </c>
      <c r="L467" s="4">
        <v>4939</v>
      </c>
      <c r="M467" s="4">
        <f>Table1[[#This Row],[Visit Cost]]+Table1[[#This Row],[Lab Cost]]+Table1[[#This Row],[Medicine Cost]]+Table1[[#This Row],[Room Charges]]</f>
        <v>11052</v>
      </c>
      <c r="N467" s="5">
        <v>45999</v>
      </c>
      <c r="O467">
        <f>Table1[[#This Row],[Discharge Date]]-Table1[[#This Row],[Visit Date]]</f>
        <v>48</v>
      </c>
      <c r="P467" t="s">
        <v>948</v>
      </c>
      <c r="Q467" s="4">
        <v>132</v>
      </c>
      <c r="R467" s="4">
        <f>Table1[[#This Row],[Total Revenue]]-Table1[[#This Row],[Insurance Claim Amount]]</f>
        <v>10920</v>
      </c>
      <c r="S467">
        <v>4</v>
      </c>
      <c r="T467" t="str">
        <f t="shared" si="14"/>
        <v>Oct</v>
      </c>
      <c r="U467">
        <f t="shared" si="15"/>
        <v>2025</v>
      </c>
    </row>
    <row r="468" spans="1:21" x14ac:dyDescent="0.3">
      <c r="A468" t="s">
        <v>867</v>
      </c>
      <c r="B468" t="s">
        <v>868</v>
      </c>
      <c r="C468" t="s">
        <v>29</v>
      </c>
      <c r="D468" t="s">
        <v>926</v>
      </c>
      <c r="E468" t="s">
        <v>930</v>
      </c>
      <c r="F468">
        <v>46008</v>
      </c>
      <c r="G468" t="s">
        <v>935</v>
      </c>
      <c r="H468" t="s">
        <v>945</v>
      </c>
      <c r="I468" s="4">
        <v>2028</v>
      </c>
      <c r="J468" s="4">
        <v>950</v>
      </c>
      <c r="K468" s="4">
        <v>2307</v>
      </c>
      <c r="L468" s="4">
        <v>1950</v>
      </c>
      <c r="M468" s="4">
        <f>Table1[[#This Row],[Visit Cost]]+Table1[[#This Row],[Lab Cost]]+Table1[[#This Row],[Medicine Cost]]+Table1[[#This Row],[Room Charges]]</f>
        <v>7235</v>
      </c>
      <c r="N468" s="5">
        <v>46023</v>
      </c>
      <c r="O468">
        <f>Table1[[#This Row],[Discharge Date]]-Table1[[#This Row],[Visit Date]]</f>
        <v>15</v>
      </c>
      <c r="P468" t="s">
        <v>949</v>
      </c>
      <c r="Q468" s="4">
        <v>0</v>
      </c>
      <c r="R468" s="4">
        <f>Table1[[#This Row],[Total Revenue]]-Table1[[#This Row],[Insurance Claim Amount]]</f>
        <v>7235</v>
      </c>
      <c r="S468">
        <v>3</v>
      </c>
      <c r="T468" t="str">
        <f t="shared" si="14"/>
        <v>Dec</v>
      </c>
      <c r="U468">
        <f t="shared" si="15"/>
        <v>2025</v>
      </c>
    </row>
    <row r="469" spans="1:21" x14ac:dyDescent="0.3">
      <c r="A469" t="s">
        <v>869</v>
      </c>
      <c r="B469" t="s">
        <v>870</v>
      </c>
      <c r="C469" t="s">
        <v>6</v>
      </c>
      <c r="D469" t="s">
        <v>252</v>
      </c>
      <c r="E469" t="s">
        <v>932</v>
      </c>
      <c r="F469">
        <v>45744</v>
      </c>
      <c r="G469" t="s">
        <v>936</v>
      </c>
      <c r="H469" t="s">
        <v>945</v>
      </c>
      <c r="I469" s="4">
        <v>1188</v>
      </c>
      <c r="J469" s="4">
        <v>2171</v>
      </c>
      <c r="K469" s="4">
        <v>1406</v>
      </c>
      <c r="L469" s="4">
        <v>7744</v>
      </c>
      <c r="M469" s="4">
        <f>Table1[[#This Row],[Visit Cost]]+Table1[[#This Row],[Lab Cost]]+Table1[[#This Row],[Medicine Cost]]+Table1[[#This Row],[Room Charges]]</f>
        <v>12509</v>
      </c>
      <c r="N469" s="5">
        <v>45884</v>
      </c>
      <c r="O469">
        <f>Table1[[#This Row],[Discharge Date]]-Table1[[#This Row],[Visit Date]]</f>
        <v>140</v>
      </c>
      <c r="P469" t="s">
        <v>949</v>
      </c>
      <c r="Q469" s="4">
        <v>0</v>
      </c>
      <c r="R469" s="4">
        <f>Table1[[#This Row],[Total Revenue]]-Table1[[#This Row],[Insurance Claim Amount]]</f>
        <v>12509</v>
      </c>
      <c r="S469">
        <v>3</v>
      </c>
      <c r="T469" t="str">
        <f t="shared" si="14"/>
        <v>Mar</v>
      </c>
      <c r="U469">
        <f t="shared" si="15"/>
        <v>2025</v>
      </c>
    </row>
    <row r="470" spans="1:21" x14ac:dyDescent="0.3">
      <c r="A470" t="s">
        <v>871</v>
      </c>
      <c r="B470" t="s">
        <v>796</v>
      </c>
      <c r="C470" t="s">
        <v>38</v>
      </c>
      <c r="D470" t="s">
        <v>926</v>
      </c>
      <c r="E470" t="s">
        <v>932</v>
      </c>
      <c r="F470">
        <v>45760</v>
      </c>
      <c r="G470" t="s">
        <v>938</v>
      </c>
      <c r="H470" t="s">
        <v>944</v>
      </c>
      <c r="I470" s="4">
        <v>1563</v>
      </c>
      <c r="J470" s="4">
        <v>2157</v>
      </c>
      <c r="K470" s="4">
        <v>613</v>
      </c>
      <c r="L470" s="4">
        <v>1296</v>
      </c>
      <c r="M470" s="4">
        <f>Table1[[#This Row],[Visit Cost]]+Table1[[#This Row],[Lab Cost]]+Table1[[#This Row],[Medicine Cost]]+Table1[[#This Row],[Room Charges]]</f>
        <v>5629</v>
      </c>
      <c r="N470" s="5">
        <v>45903</v>
      </c>
      <c r="O470">
        <f>Table1[[#This Row],[Discharge Date]]-Table1[[#This Row],[Visit Date]]</f>
        <v>143</v>
      </c>
      <c r="P470" t="s">
        <v>949</v>
      </c>
      <c r="Q470" s="4">
        <v>0</v>
      </c>
      <c r="R470" s="4">
        <f>Table1[[#This Row],[Total Revenue]]-Table1[[#This Row],[Insurance Claim Amount]]</f>
        <v>5629</v>
      </c>
      <c r="S470">
        <v>3</v>
      </c>
      <c r="T470" t="str">
        <f t="shared" si="14"/>
        <v>Apr</v>
      </c>
      <c r="U470">
        <f t="shared" si="15"/>
        <v>2025</v>
      </c>
    </row>
    <row r="471" spans="1:21" x14ac:dyDescent="0.3">
      <c r="A471" t="s">
        <v>872</v>
      </c>
      <c r="B471" t="s">
        <v>467</v>
      </c>
      <c r="C471" t="s">
        <v>38</v>
      </c>
      <c r="D471" t="s">
        <v>80</v>
      </c>
      <c r="E471" t="s">
        <v>930</v>
      </c>
      <c r="F471">
        <v>46004</v>
      </c>
      <c r="G471" t="s">
        <v>937</v>
      </c>
      <c r="H471" t="s">
        <v>940</v>
      </c>
      <c r="I471" s="4">
        <v>816</v>
      </c>
      <c r="J471" s="4">
        <v>1264</v>
      </c>
      <c r="K471" s="4">
        <v>1841</v>
      </c>
      <c r="L471" s="4">
        <v>1474</v>
      </c>
      <c r="M471" s="4">
        <f>Table1[[#This Row],[Visit Cost]]+Table1[[#This Row],[Lab Cost]]+Table1[[#This Row],[Medicine Cost]]+Table1[[#This Row],[Room Charges]]</f>
        <v>5395</v>
      </c>
      <c r="N471" s="5">
        <v>46112</v>
      </c>
      <c r="O471">
        <f>Table1[[#This Row],[Discharge Date]]-Table1[[#This Row],[Visit Date]]</f>
        <v>108</v>
      </c>
      <c r="P471" t="s">
        <v>949</v>
      </c>
      <c r="Q471" s="4">
        <v>0</v>
      </c>
      <c r="R471" s="4">
        <f>Table1[[#This Row],[Total Revenue]]-Table1[[#This Row],[Insurance Claim Amount]]</f>
        <v>5395</v>
      </c>
      <c r="S471">
        <v>5</v>
      </c>
      <c r="T471" t="str">
        <f t="shared" si="14"/>
        <v>Dec</v>
      </c>
      <c r="U471">
        <f t="shared" si="15"/>
        <v>2025</v>
      </c>
    </row>
    <row r="472" spans="1:21" x14ac:dyDescent="0.3">
      <c r="A472" t="s">
        <v>873</v>
      </c>
      <c r="B472" t="s">
        <v>874</v>
      </c>
      <c r="C472" t="s">
        <v>29</v>
      </c>
      <c r="D472" t="s">
        <v>926</v>
      </c>
      <c r="E472" t="s">
        <v>933</v>
      </c>
      <c r="F472">
        <v>45797</v>
      </c>
      <c r="G472" t="s">
        <v>936</v>
      </c>
      <c r="H472" t="s">
        <v>943</v>
      </c>
      <c r="I472" s="4">
        <v>1111</v>
      </c>
      <c r="J472" s="4">
        <v>4184</v>
      </c>
      <c r="K472" s="4">
        <v>2894</v>
      </c>
      <c r="L472" s="4">
        <v>6197</v>
      </c>
      <c r="M472" s="4">
        <f>Table1[[#This Row],[Visit Cost]]+Table1[[#This Row],[Lab Cost]]+Table1[[#This Row],[Medicine Cost]]+Table1[[#This Row],[Room Charges]]</f>
        <v>14386</v>
      </c>
      <c r="N472" s="5">
        <v>45872</v>
      </c>
      <c r="O472">
        <f>Table1[[#This Row],[Discharge Date]]-Table1[[#This Row],[Visit Date]]</f>
        <v>75</v>
      </c>
      <c r="P472" t="s">
        <v>948</v>
      </c>
      <c r="Q472" s="4">
        <v>338</v>
      </c>
      <c r="R472" s="4">
        <f>Table1[[#This Row],[Total Revenue]]-Table1[[#This Row],[Insurance Claim Amount]]</f>
        <v>14048</v>
      </c>
      <c r="S472">
        <v>3</v>
      </c>
      <c r="T472" t="str">
        <f t="shared" si="14"/>
        <v>May</v>
      </c>
      <c r="U472">
        <f t="shared" si="15"/>
        <v>2025</v>
      </c>
    </row>
    <row r="473" spans="1:21" x14ac:dyDescent="0.3">
      <c r="A473" t="s">
        <v>875</v>
      </c>
      <c r="B473" t="s">
        <v>152</v>
      </c>
      <c r="C473" t="s">
        <v>38</v>
      </c>
      <c r="D473" t="s">
        <v>926</v>
      </c>
      <c r="E473" t="s">
        <v>929</v>
      </c>
      <c r="F473">
        <v>45973</v>
      </c>
      <c r="G473" t="s">
        <v>935</v>
      </c>
      <c r="H473" t="s">
        <v>945</v>
      </c>
      <c r="I473" s="4">
        <v>2468</v>
      </c>
      <c r="J473" s="4">
        <v>2270</v>
      </c>
      <c r="K473" s="4">
        <v>779</v>
      </c>
      <c r="L473" s="4">
        <v>3100</v>
      </c>
      <c r="M473" s="4">
        <f>Table1[[#This Row],[Visit Cost]]+Table1[[#This Row],[Lab Cost]]+Table1[[#This Row],[Medicine Cost]]+Table1[[#This Row],[Room Charges]]</f>
        <v>8617</v>
      </c>
      <c r="N473" s="5">
        <v>46078</v>
      </c>
      <c r="O473">
        <f>Table1[[#This Row],[Discharge Date]]-Table1[[#This Row],[Visit Date]]</f>
        <v>105</v>
      </c>
      <c r="P473" t="s">
        <v>949</v>
      </c>
      <c r="Q473" s="4">
        <v>0</v>
      </c>
      <c r="R473" s="4">
        <f>Table1[[#This Row],[Total Revenue]]-Table1[[#This Row],[Insurance Claim Amount]]</f>
        <v>8617</v>
      </c>
      <c r="S473">
        <v>4</v>
      </c>
      <c r="T473" t="str">
        <f t="shared" si="14"/>
        <v>Nov</v>
      </c>
      <c r="U473">
        <f t="shared" si="15"/>
        <v>2025</v>
      </c>
    </row>
    <row r="474" spans="1:21" x14ac:dyDescent="0.3">
      <c r="A474" t="s">
        <v>876</v>
      </c>
      <c r="B474" t="s">
        <v>877</v>
      </c>
      <c r="C474" t="s">
        <v>29</v>
      </c>
      <c r="D474" t="s">
        <v>926</v>
      </c>
      <c r="E474" t="s">
        <v>931</v>
      </c>
      <c r="F474">
        <v>45825</v>
      </c>
      <c r="G474" t="s">
        <v>938</v>
      </c>
      <c r="H474" t="s">
        <v>941</v>
      </c>
      <c r="I474" s="4">
        <v>2476</v>
      </c>
      <c r="J474" s="4">
        <v>2500</v>
      </c>
      <c r="K474" s="4">
        <v>2679</v>
      </c>
      <c r="L474" s="4">
        <v>2769</v>
      </c>
      <c r="M474" s="4">
        <f>Table1[[#This Row],[Visit Cost]]+Table1[[#This Row],[Lab Cost]]+Table1[[#This Row],[Medicine Cost]]+Table1[[#This Row],[Room Charges]]</f>
        <v>10424</v>
      </c>
      <c r="N474" s="5">
        <v>45945</v>
      </c>
      <c r="O474">
        <f>Table1[[#This Row],[Discharge Date]]-Table1[[#This Row],[Visit Date]]</f>
        <v>120</v>
      </c>
      <c r="P474" t="s">
        <v>948</v>
      </c>
      <c r="Q474" s="4">
        <v>7000</v>
      </c>
      <c r="R474" s="4">
        <f>Table1[[#This Row],[Total Revenue]]-Table1[[#This Row],[Insurance Claim Amount]]</f>
        <v>3424</v>
      </c>
      <c r="S474">
        <v>1</v>
      </c>
      <c r="T474" t="str">
        <f t="shared" si="14"/>
        <v>Jun</v>
      </c>
      <c r="U474">
        <f t="shared" si="15"/>
        <v>2025</v>
      </c>
    </row>
    <row r="475" spans="1:21" x14ac:dyDescent="0.3">
      <c r="A475" t="s">
        <v>878</v>
      </c>
      <c r="B475" t="s">
        <v>879</v>
      </c>
      <c r="C475" t="s">
        <v>16</v>
      </c>
      <c r="D475" t="s">
        <v>85</v>
      </c>
      <c r="E475" t="s">
        <v>933</v>
      </c>
      <c r="F475">
        <v>45925</v>
      </c>
      <c r="G475" t="s">
        <v>936</v>
      </c>
      <c r="H475" t="s">
        <v>943</v>
      </c>
      <c r="I475" s="4">
        <v>766</v>
      </c>
      <c r="J475" s="4">
        <v>3038</v>
      </c>
      <c r="K475" s="4">
        <v>812</v>
      </c>
      <c r="L475" s="4">
        <v>8843</v>
      </c>
      <c r="M475" s="4">
        <f>Table1[[#This Row],[Visit Cost]]+Table1[[#This Row],[Lab Cost]]+Table1[[#This Row],[Medicine Cost]]+Table1[[#This Row],[Room Charges]]</f>
        <v>13459</v>
      </c>
      <c r="N475" s="5">
        <v>46022</v>
      </c>
      <c r="O475">
        <f>Table1[[#This Row],[Discharge Date]]-Table1[[#This Row],[Visit Date]]</f>
        <v>97</v>
      </c>
      <c r="P475" t="s">
        <v>949</v>
      </c>
      <c r="Q475" s="4">
        <v>0</v>
      </c>
      <c r="R475" s="4">
        <f>Table1[[#This Row],[Total Revenue]]-Table1[[#This Row],[Insurance Claim Amount]]</f>
        <v>13459</v>
      </c>
      <c r="S475">
        <v>2</v>
      </c>
      <c r="T475" t="str">
        <f t="shared" si="14"/>
        <v>Sep</v>
      </c>
      <c r="U475">
        <f t="shared" si="15"/>
        <v>2025</v>
      </c>
    </row>
    <row r="476" spans="1:21" x14ac:dyDescent="0.3">
      <c r="A476" t="s">
        <v>880</v>
      </c>
      <c r="B476" t="s">
        <v>33</v>
      </c>
      <c r="C476" t="s">
        <v>16</v>
      </c>
      <c r="D476" t="s">
        <v>927</v>
      </c>
      <c r="E476" t="s">
        <v>931</v>
      </c>
      <c r="F476">
        <v>45704</v>
      </c>
      <c r="G476" t="s">
        <v>937</v>
      </c>
      <c r="H476" t="s">
        <v>943</v>
      </c>
      <c r="I476" s="4">
        <v>2154</v>
      </c>
      <c r="J476" s="4">
        <v>1524</v>
      </c>
      <c r="K476" s="4">
        <v>1843</v>
      </c>
      <c r="L476" s="4">
        <v>1477</v>
      </c>
      <c r="M476" s="4">
        <f>Table1[[#This Row],[Visit Cost]]+Table1[[#This Row],[Lab Cost]]+Table1[[#This Row],[Medicine Cost]]+Table1[[#This Row],[Room Charges]]</f>
        <v>6998</v>
      </c>
      <c r="N476" s="5">
        <v>45791</v>
      </c>
      <c r="O476">
        <f>Table1[[#This Row],[Discharge Date]]-Table1[[#This Row],[Visit Date]]</f>
        <v>87</v>
      </c>
      <c r="P476" t="s">
        <v>948</v>
      </c>
      <c r="Q476" s="4">
        <v>6138</v>
      </c>
      <c r="R476" s="4">
        <f>Table1[[#This Row],[Total Revenue]]-Table1[[#This Row],[Insurance Claim Amount]]</f>
        <v>860</v>
      </c>
      <c r="S476">
        <v>3</v>
      </c>
      <c r="T476" t="str">
        <f t="shared" si="14"/>
        <v>Feb</v>
      </c>
      <c r="U476">
        <f t="shared" si="15"/>
        <v>2025</v>
      </c>
    </row>
    <row r="477" spans="1:21" x14ac:dyDescent="0.3">
      <c r="A477" t="s">
        <v>881</v>
      </c>
      <c r="B477" t="s">
        <v>882</v>
      </c>
      <c r="C477" t="s">
        <v>38</v>
      </c>
      <c r="D477" t="s">
        <v>80</v>
      </c>
      <c r="E477" t="s">
        <v>929</v>
      </c>
      <c r="F477">
        <v>45695</v>
      </c>
      <c r="G477" t="s">
        <v>935</v>
      </c>
      <c r="H477" t="s">
        <v>943</v>
      </c>
      <c r="I477" s="4">
        <v>1108</v>
      </c>
      <c r="J477" s="4">
        <v>2792</v>
      </c>
      <c r="K477" s="4">
        <v>1975</v>
      </c>
      <c r="L477" s="4">
        <v>7688</v>
      </c>
      <c r="M477" s="4">
        <f>Table1[[#This Row],[Visit Cost]]+Table1[[#This Row],[Lab Cost]]+Table1[[#This Row],[Medicine Cost]]+Table1[[#This Row],[Room Charges]]</f>
        <v>13563</v>
      </c>
      <c r="N477" s="5">
        <v>45774</v>
      </c>
      <c r="O477">
        <f>Table1[[#This Row],[Discharge Date]]-Table1[[#This Row],[Visit Date]]</f>
        <v>79</v>
      </c>
      <c r="P477" t="s">
        <v>949</v>
      </c>
      <c r="Q477" s="4">
        <v>0</v>
      </c>
      <c r="R477" s="4">
        <f>Table1[[#This Row],[Total Revenue]]-Table1[[#This Row],[Insurance Claim Amount]]</f>
        <v>13563</v>
      </c>
      <c r="S477">
        <v>2</v>
      </c>
      <c r="T477" t="str">
        <f t="shared" si="14"/>
        <v>Feb</v>
      </c>
      <c r="U477">
        <f t="shared" si="15"/>
        <v>2025</v>
      </c>
    </row>
    <row r="478" spans="1:21" x14ac:dyDescent="0.3">
      <c r="A478" t="s">
        <v>883</v>
      </c>
      <c r="B478" t="s">
        <v>287</v>
      </c>
      <c r="C478" t="s">
        <v>6</v>
      </c>
      <c r="D478" t="s">
        <v>925</v>
      </c>
      <c r="E478" t="s">
        <v>932</v>
      </c>
      <c r="F478">
        <v>45843</v>
      </c>
      <c r="G478" t="s">
        <v>936</v>
      </c>
      <c r="H478" t="s">
        <v>941</v>
      </c>
      <c r="I478" s="4">
        <v>700</v>
      </c>
      <c r="J478" s="4">
        <v>0</v>
      </c>
      <c r="K478" s="4">
        <v>2635</v>
      </c>
      <c r="L478" s="4">
        <v>9434</v>
      </c>
      <c r="M478" s="4">
        <f>Table1[[#This Row],[Visit Cost]]+Table1[[#This Row],[Lab Cost]]+Table1[[#This Row],[Medicine Cost]]+Table1[[#This Row],[Room Charges]]</f>
        <v>12769</v>
      </c>
      <c r="N478" s="5">
        <v>45989</v>
      </c>
      <c r="O478">
        <f>Table1[[#This Row],[Discharge Date]]-Table1[[#This Row],[Visit Date]]</f>
        <v>146</v>
      </c>
      <c r="P478" t="s">
        <v>948</v>
      </c>
      <c r="Q478" s="4">
        <v>12528</v>
      </c>
      <c r="R478" s="4">
        <f>Table1[[#This Row],[Total Revenue]]-Table1[[#This Row],[Insurance Claim Amount]]</f>
        <v>241</v>
      </c>
      <c r="S478">
        <v>1</v>
      </c>
      <c r="T478" t="str">
        <f t="shared" si="14"/>
        <v>Jul</v>
      </c>
      <c r="U478">
        <f t="shared" si="15"/>
        <v>2025</v>
      </c>
    </row>
    <row r="479" spans="1:21" x14ac:dyDescent="0.3">
      <c r="A479" t="s">
        <v>884</v>
      </c>
      <c r="B479" t="s">
        <v>178</v>
      </c>
      <c r="C479" t="s">
        <v>11</v>
      </c>
      <c r="D479" t="s">
        <v>164</v>
      </c>
      <c r="E479" t="s">
        <v>930</v>
      </c>
      <c r="F479">
        <v>45694</v>
      </c>
      <c r="G479" t="s">
        <v>938</v>
      </c>
      <c r="H479" t="s">
        <v>940</v>
      </c>
      <c r="I479" s="4">
        <v>1752</v>
      </c>
      <c r="J479" s="4">
        <v>2128</v>
      </c>
      <c r="K479" s="4">
        <v>1772</v>
      </c>
      <c r="L479" s="4">
        <v>6111</v>
      </c>
      <c r="M479" s="4">
        <f>Table1[[#This Row],[Visit Cost]]+Table1[[#This Row],[Lab Cost]]+Table1[[#This Row],[Medicine Cost]]+Table1[[#This Row],[Room Charges]]</f>
        <v>11763</v>
      </c>
      <c r="N479" s="5">
        <v>45797</v>
      </c>
      <c r="O479">
        <f>Table1[[#This Row],[Discharge Date]]-Table1[[#This Row],[Visit Date]]</f>
        <v>103</v>
      </c>
      <c r="P479" t="s">
        <v>948</v>
      </c>
      <c r="Q479" s="4">
        <v>8752</v>
      </c>
      <c r="R479" s="4">
        <f>Table1[[#This Row],[Total Revenue]]-Table1[[#This Row],[Insurance Claim Amount]]</f>
        <v>3011</v>
      </c>
      <c r="S479">
        <v>4</v>
      </c>
      <c r="T479" t="str">
        <f t="shared" si="14"/>
        <v>Feb</v>
      </c>
      <c r="U479">
        <f t="shared" si="15"/>
        <v>2025</v>
      </c>
    </row>
    <row r="480" spans="1:21" x14ac:dyDescent="0.3">
      <c r="A480" t="s">
        <v>885</v>
      </c>
      <c r="B480" t="s">
        <v>583</v>
      </c>
      <c r="C480" t="s">
        <v>16</v>
      </c>
      <c r="D480" t="s">
        <v>164</v>
      </c>
      <c r="E480" t="s">
        <v>930</v>
      </c>
      <c r="F480">
        <v>45667</v>
      </c>
      <c r="G480" t="s">
        <v>937</v>
      </c>
      <c r="H480" t="s">
        <v>944</v>
      </c>
      <c r="I480" s="4">
        <v>623</v>
      </c>
      <c r="J480" s="4">
        <v>1300</v>
      </c>
      <c r="K480" s="4">
        <v>1748</v>
      </c>
      <c r="L480" s="4">
        <v>3000</v>
      </c>
      <c r="M480" s="4">
        <f>Table1[[#This Row],[Visit Cost]]+Table1[[#This Row],[Lab Cost]]+Table1[[#This Row],[Medicine Cost]]+Table1[[#This Row],[Room Charges]]</f>
        <v>6671</v>
      </c>
      <c r="N480" s="5">
        <v>45677</v>
      </c>
      <c r="O480">
        <f>Table1[[#This Row],[Discharge Date]]-Table1[[#This Row],[Visit Date]]</f>
        <v>10</v>
      </c>
      <c r="P480" t="s">
        <v>949</v>
      </c>
      <c r="Q480" s="4">
        <v>0</v>
      </c>
      <c r="R480" s="4">
        <f>Table1[[#This Row],[Total Revenue]]-Table1[[#This Row],[Insurance Claim Amount]]</f>
        <v>6671</v>
      </c>
      <c r="S480">
        <v>4</v>
      </c>
      <c r="T480" t="str">
        <f t="shared" si="14"/>
        <v>Jan</v>
      </c>
      <c r="U480">
        <f t="shared" si="15"/>
        <v>2025</v>
      </c>
    </row>
    <row r="481" spans="1:21" x14ac:dyDescent="0.3">
      <c r="A481" t="s">
        <v>886</v>
      </c>
      <c r="B481" t="s">
        <v>887</v>
      </c>
      <c r="C481" t="s">
        <v>29</v>
      </c>
      <c r="D481" t="s">
        <v>926</v>
      </c>
      <c r="E481" t="s">
        <v>932</v>
      </c>
      <c r="F481">
        <v>45910</v>
      </c>
      <c r="G481" t="s">
        <v>936</v>
      </c>
      <c r="H481" t="s">
        <v>940</v>
      </c>
      <c r="I481" s="4">
        <v>1603</v>
      </c>
      <c r="J481" s="4">
        <v>4172</v>
      </c>
      <c r="K481" s="4">
        <v>2288</v>
      </c>
      <c r="L481" s="4">
        <v>7238</v>
      </c>
      <c r="M481" s="4">
        <f>Table1[[#This Row],[Visit Cost]]+Table1[[#This Row],[Lab Cost]]+Table1[[#This Row],[Medicine Cost]]+Table1[[#This Row],[Room Charges]]</f>
        <v>15301</v>
      </c>
      <c r="N481" s="5">
        <v>45986</v>
      </c>
      <c r="O481">
        <f>Table1[[#This Row],[Discharge Date]]-Table1[[#This Row],[Visit Date]]</f>
        <v>76</v>
      </c>
      <c r="P481" t="s">
        <v>948</v>
      </c>
      <c r="Q481" s="4">
        <v>11276</v>
      </c>
      <c r="R481" s="4">
        <f>Table1[[#This Row],[Total Revenue]]-Table1[[#This Row],[Insurance Claim Amount]]</f>
        <v>4025</v>
      </c>
      <c r="S481">
        <v>3</v>
      </c>
      <c r="T481" t="str">
        <f t="shared" si="14"/>
        <v>Sep</v>
      </c>
      <c r="U481">
        <f t="shared" si="15"/>
        <v>2025</v>
      </c>
    </row>
    <row r="482" spans="1:21" x14ac:dyDescent="0.3">
      <c r="A482" t="s">
        <v>888</v>
      </c>
      <c r="B482" t="s">
        <v>5</v>
      </c>
      <c r="C482" t="s">
        <v>38</v>
      </c>
      <c r="D482" t="s">
        <v>924</v>
      </c>
      <c r="E482" t="s">
        <v>931</v>
      </c>
      <c r="F482">
        <v>46014</v>
      </c>
      <c r="G482" t="s">
        <v>935</v>
      </c>
      <c r="H482" t="s">
        <v>943</v>
      </c>
      <c r="I482" s="4">
        <v>1189</v>
      </c>
      <c r="J482" s="4">
        <v>826</v>
      </c>
      <c r="K482" s="4">
        <v>477</v>
      </c>
      <c r="L482" s="4">
        <v>1900</v>
      </c>
      <c r="M482" s="4">
        <f>Table1[[#This Row],[Visit Cost]]+Table1[[#This Row],[Lab Cost]]+Table1[[#This Row],[Medicine Cost]]+Table1[[#This Row],[Room Charges]]</f>
        <v>4392</v>
      </c>
      <c r="N482" s="5">
        <v>46052</v>
      </c>
      <c r="O482">
        <f>Table1[[#This Row],[Discharge Date]]-Table1[[#This Row],[Visit Date]]</f>
        <v>38</v>
      </c>
      <c r="P482" t="s">
        <v>948</v>
      </c>
      <c r="Q482" s="4">
        <v>3000</v>
      </c>
      <c r="R482" s="4">
        <f>Table1[[#This Row],[Total Revenue]]-Table1[[#This Row],[Insurance Claim Amount]]</f>
        <v>1392</v>
      </c>
      <c r="S482">
        <v>2</v>
      </c>
      <c r="T482" t="str">
        <f t="shared" si="14"/>
        <v>Dec</v>
      </c>
      <c r="U482">
        <f t="shared" si="15"/>
        <v>2025</v>
      </c>
    </row>
    <row r="483" spans="1:21" x14ac:dyDescent="0.3">
      <c r="A483" t="s">
        <v>889</v>
      </c>
      <c r="B483" t="s">
        <v>890</v>
      </c>
      <c r="C483" t="s">
        <v>6</v>
      </c>
      <c r="D483" t="s">
        <v>85</v>
      </c>
      <c r="E483" t="s">
        <v>933</v>
      </c>
      <c r="F483">
        <v>45843</v>
      </c>
      <c r="G483" t="s">
        <v>936</v>
      </c>
      <c r="H483" t="s">
        <v>940</v>
      </c>
      <c r="I483" s="4">
        <v>2468</v>
      </c>
      <c r="J483" s="4">
        <v>1457</v>
      </c>
      <c r="K483" s="4">
        <v>2264</v>
      </c>
      <c r="L483" s="4">
        <v>7846</v>
      </c>
      <c r="M483" s="4">
        <f>Table1[[#This Row],[Visit Cost]]+Table1[[#This Row],[Lab Cost]]+Table1[[#This Row],[Medicine Cost]]+Table1[[#This Row],[Room Charges]]</f>
        <v>14035</v>
      </c>
      <c r="N483" s="5">
        <v>45896</v>
      </c>
      <c r="O483">
        <f>Table1[[#This Row],[Discharge Date]]-Table1[[#This Row],[Visit Date]]</f>
        <v>53</v>
      </c>
      <c r="P483" t="s">
        <v>948</v>
      </c>
      <c r="Q483" s="4">
        <v>11437</v>
      </c>
      <c r="R483" s="4">
        <f>Table1[[#This Row],[Total Revenue]]-Table1[[#This Row],[Insurance Claim Amount]]</f>
        <v>2598</v>
      </c>
      <c r="S483">
        <v>4</v>
      </c>
      <c r="T483" t="str">
        <f t="shared" si="14"/>
        <v>Jul</v>
      </c>
      <c r="U483">
        <f t="shared" si="15"/>
        <v>2025</v>
      </c>
    </row>
    <row r="484" spans="1:21" x14ac:dyDescent="0.3">
      <c r="A484" t="s">
        <v>891</v>
      </c>
      <c r="B484" t="s">
        <v>825</v>
      </c>
      <c r="C484" t="s">
        <v>6</v>
      </c>
      <c r="D484" t="s">
        <v>252</v>
      </c>
      <c r="E484" t="s">
        <v>929</v>
      </c>
      <c r="F484">
        <v>45894</v>
      </c>
      <c r="G484" t="s">
        <v>938</v>
      </c>
      <c r="H484" t="s">
        <v>943</v>
      </c>
      <c r="I484" s="4">
        <v>1672</v>
      </c>
      <c r="J484" s="4">
        <v>3170</v>
      </c>
      <c r="K484" s="4">
        <v>489</v>
      </c>
      <c r="L484" s="4">
        <v>1800</v>
      </c>
      <c r="M484" s="4">
        <f>Table1[[#This Row],[Visit Cost]]+Table1[[#This Row],[Lab Cost]]+Table1[[#This Row],[Medicine Cost]]+Table1[[#This Row],[Room Charges]]</f>
        <v>7131</v>
      </c>
      <c r="N484" s="5">
        <v>45929</v>
      </c>
      <c r="O484">
        <f>Table1[[#This Row],[Discharge Date]]-Table1[[#This Row],[Visit Date]]</f>
        <v>35</v>
      </c>
      <c r="P484" t="s">
        <v>949</v>
      </c>
      <c r="Q484" s="4">
        <v>0</v>
      </c>
      <c r="R484" s="4">
        <f>Table1[[#This Row],[Total Revenue]]-Table1[[#This Row],[Insurance Claim Amount]]</f>
        <v>7131</v>
      </c>
      <c r="S484">
        <v>5</v>
      </c>
      <c r="T484" t="str">
        <f t="shared" si="14"/>
        <v>Aug</v>
      </c>
      <c r="U484">
        <f t="shared" si="15"/>
        <v>2025</v>
      </c>
    </row>
    <row r="485" spans="1:21" x14ac:dyDescent="0.3">
      <c r="A485" t="s">
        <v>892</v>
      </c>
      <c r="B485" t="s">
        <v>893</v>
      </c>
      <c r="C485" t="s">
        <v>29</v>
      </c>
      <c r="D485" t="s">
        <v>926</v>
      </c>
      <c r="E485" t="s">
        <v>931</v>
      </c>
      <c r="F485">
        <v>45751</v>
      </c>
      <c r="G485" t="s">
        <v>937</v>
      </c>
      <c r="H485" t="s">
        <v>944</v>
      </c>
      <c r="I485" s="4">
        <v>2372</v>
      </c>
      <c r="J485" s="4">
        <v>3063</v>
      </c>
      <c r="K485" s="4">
        <v>1628</v>
      </c>
      <c r="L485" s="4">
        <v>3211</v>
      </c>
      <c r="M485" s="4">
        <f>Table1[[#This Row],[Visit Cost]]+Table1[[#This Row],[Lab Cost]]+Table1[[#This Row],[Medicine Cost]]+Table1[[#This Row],[Room Charges]]</f>
        <v>10274</v>
      </c>
      <c r="N485" s="5">
        <v>45807</v>
      </c>
      <c r="O485">
        <f>Table1[[#This Row],[Discharge Date]]-Table1[[#This Row],[Visit Date]]</f>
        <v>56</v>
      </c>
      <c r="P485" t="s">
        <v>948</v>
      </c>
      <c r="Q485" s="4">
        <v>2090</v>
      </c>
      <c r="R485" s="4">
        <f>Table1[[#This Row],[Total Revenue]]-Table1[[#This Row],[Insurance Claim Amount]]</f>
        <v>8184</v>
      </c>
      <c r="S485">
        <v>3</v>
      </c>
      <c r="T485" t="str">
        <f t="shared" si="14"/>
        <v>Apr</v>
      </c>
      <c r="U485">
        <f t="shared" si="15"/>
        <v>2025</v>
      </c>
    </row>
    <row r="486" spans="1:21" x14ac:dyDescent="0.3">
      <c r="A486" t="s">
        <v>894</v>
      </c>
      <c r="B486" t="s">
        <v>809</v>
      </c>
      <c r="C486" t="s">
        <v>38</v>
      </c>
      <c r="D486" t="s">
        <v>926</v>
      </c>
      <c r="E486" t="s">
        <v>933</v>
      </c>
      <c r="F486">
        <v>45661</v>
      </c>
      <c r="G486" t="s">
        <v>936</v>
      </c>
      <c r="H486" t="s">
        <v>940</v>
      </c>
      <c r="I486" s="4">
        <v>1141</v>
      </c>
      <c r="J486" s="4">
        <v>1372</v>
      </c>
      <c r="K486" s="4">
        <v>2039</v>
      </c>
      <c r="L486" s="4">
        <v>3000</v>
      </c>
      <c r="M486" s="4">
        <f>Table1[[#This Row],[Visit Cost]]+Table1[[#This Row],[Lab Cost]]+Table1[[#This Row],[Medicine Cost]]+Table1[[#This Row],[Room Charges]]</f>
        <v>7552</v>
      </c>
      <c r="N486" s="5">
        <v>45765</v>
      </c>
      <c r="O486">
        <f>Table1[[#This Row],[Discharge Date]]-Table1[[#This Row],[Visit Date]]</f>
        <v>104</v>
      </c>
      <c r="P486" t="s">
        <v>949</v>
      </c>
      <c r="Q486" s="4">
        <v>0</v>
      </c>
      <c r="R486" s="4">
        <f>Table1[[#This Row],[Total Revenue]]-Table1[[#This Row],[Insurance Claim Amount]]</f>
        <v>7552</v>
      </c>
      <c r="S486">
        <v>1</v>
      </c>
      <c r="T486" t="str">
        <f t="shared" si="14"/>
        <v>Jan</v>
      </c>
      <c r="U486">
        <f t="shared" si="15"/>
        <v>2025</v>
      </c>
    </row>
    <row r="487" spans="1:21" x14ac:dyDescent="0.3">
      <c r="A487" t="s">
        <v>895</v>
      </c>
      <c r="B487" t="s">
        <v>896</v>
      </c>
      <c r="C487" t="s">
        <v>11</v>
      </c>
      <c r="D487" t="s">
        <v>252</v>
      </c>
      <c r="E487" t="s">
        <v>932</v>
      </c>
      <c r="F487">
        <v>45842</v>
      </c>
      <c r="G487" t="s">
        <v>935</v>
      </c>
      <c r="H487" t="s">
        <v>940</v>
      </c>
      <c r="I487" s="4">
        <v>1634</v>
      </c>
      <c r="J487" s="4">
        <v>1050</v>
      </c>
      <c r="K487" s="4">
        <v>2437</v>
      </c>
      <c r="L487" s="4">
        <v>1650</v>
      </c>
      <c r="M487" s="4">
        <f>Table1[[#This Row],[Visit Cost]]+Table1[[#This Row],[Lab Cost]]+Table1[[#This Row],[Medicine Cost]]+Table1[[#This Row],[Room Charges]]</f>
        <v>6771</v>
      </c>
      <c r="N487" s="5">
        <v>45859</v>
      </c>
      <c r="O487">
        <f>Table1[[#This Row],[Discharge Date]]-Table1[[#This Row],[Visit Date]]</f>
        <v>17</v>
      </c>
      <c r="P487" t="s">
        <v>949</v>
      </c>
      <c r="Q487" s="4">
        <v>0</v>
      </c>
      <c r="R487" s="4">
        <f>Table1[[#This Row],[Total Revenue]]-Table1[[#This Row],[Insurance Claim Amount]]</f>
        <v>6771</v>
      </c>
      <c r="S487">
        <v>2</v>
      </c>
      <c r="T487" t="str">
        <f t="shared" si="14"/>
        <v>Jul</v>
      </c>
      <c r="U487">
        <f t="shared" si="15"/>
        <v>2025</v>
      </c>
    </row>
    <row r="488" spans="1:21" x14ac:dyDescent="0.3">
      <c r="A488" t="s">
        <v>897</v>
      </c>
      <c r="B488" t="s">
        <v>69</v>
      </c>
      <c r="C488" t="s">
        <v>11</v>
      </c>
      <c r="D488" t="s">
        <v>924</v>
      </c>
      <c r="E488" t="s">
        <v>930</v>
      </c>
      <c r="F488">
        <v>45751</v>
      </c>
      <c r="G488" t="s">
        <v>938</v>
      </c>
      <c r="H488" t="s">
        <v>945</v>
      </c>
      <c r="I488" s="4">
        <v>1713</v>
      </c>
      <c r="J488" s="4">
        <v>1758</v>
      </c>
      <c r="K488" s="4">
        <v>2115</v>
      </c>
      <c r="L488" s="4">
        <v>5881</v>
      </c>
      <c r="M488" s="4">
        <f>Table1[[#This Row],[Visit Cost]]+Table1[[#This Row],[Lab Cost]]+Table1[[#This Row],[Medicine Cost]]+Table1[[#This Row],[Room Charges]]</f>
        <v>11467</v>
      </c>
      <c r="N488" s="5">
        <v>45830</v>
      </c>
      <c r="O488">
        <f>Table1[[#This Row],[Discharge Date]]-Table1[[#This Row],[Visit Date]]</f>
        <v>79</v>
      </c>
      <c r="P488" t="s">
        <v>949</v>
      </c>
      <c r="Q488" s="4">
        <v>0</v>
      </c>
      <c r="R488" s="4">
        <f>Table1[[#This Row],[Total Revenue]]-Table1[[#This Row],[Insurance Claim Amount]]</f>
        <v>11467</v>
      </c>
      <c r="S488">
        <v>4</v>
      </c>
      <c r="T488" t="str">
        <f t="shared" si="14"/>
        <v>Apr</v>
      </c>
      <c r="U488">
        <f t="shared" si="15"/>
        <v>2025</v>
      </c>
    </row>
    <row r="489" spans="1:21" x14ac:dyDescent="0.3">
      <c r="A489" t="s">
        <v>898</v>
      </c>
      <c r="B489" t="s">
        <v>899</v>
      </c>
      <c r="C489" t="s">
        <v>29</v>
      </c>
      <c r="D489" t="s">
        <v>926</v>
      </c>
      <c r="E489" t="s">
        <v>929</v>
      </c>
      <c r="F489">
        <v>45740</v>
      </c>
      <c r="G489" t="s">
        <v>936</v>
      </c>
      <c r="H489" t="s">
        <v>943</v>
      </c>
      <c r="I489" s="4">
        <v>1777</v>
      </c>
      <c r="J489" s="4">
        <v>1071</v>
      </c>
      <c r="K489" s="4">
        <v>1576</v>
      </c>
      <c r="L489" s="4">
        <v>2000</v>
      </c>
      <c r="M489" s="4">
        <f>Table1[[#This Row],[Visit Cost]]+Table1[[#This Row],[Lab Cost]]+Table1[[#This Row],[Medicine Cost]]+Table1[[#This Row],[Room Charges]]</f>
        <v>6424</v>
      </c>
      <c r="N489" s="5">
        <v>45844</v>
      </c>
      <c r="O489">
        <f>Table1[[#This Row],[Discharge Date]]-Table1[[#This Row],[Visit Date]]</f>
        <v>104</v>
      </c>
      <c r="P489" t="s">
        <v>948</v>
      </c>
      <c r="Q489" s="4">
        <v>4587</v>
      </c>
      <c r="R489" s="4">
        <f>Table1[[#This Row],[Total Revenue]]-Table1[[#This Row],[Insurance Claim Amount]]</f>
        <v>1837</v>
      </c>
      <c r="S489">
        <v>3</v>
      </c>
      <c r="T489" t="str">
        <f t="shared" si="14"/>
        <v>Mar</v>
      </c>
      <c r="U489">
        <f t="shared" si="15"/>
        <v>2025</v>
      </c>
    </row>
    <row r="490" spans="1:21" x14ac:dyDescent="0.3">
      <c r="A490" t="s">
        <v>900</v>
      </c>
      <c r="B490" t="s">
        <v>901</v>
      </c>
      <c r="C490" t="s">
        <v>16</v>
      </c>
      <c r="D490" t="s">
        <v>925</v>
      </c>
      <c r="E490" t="s">
        <v>932</v>
      </c>
      <c r="F490">
        <v>45731</v>
      </c>
      <c r="G490" t="s">
        <v>937</v>
      </c>
      <c r="H490" t="s">
        <v>942</v>
      </c>
      <c r="I490" s="4">
        <v>1663</v>
      </c>
      <c r="J490" s="4">
        <v>1501</v>
      </c>
      <c r="K490" s="4">
        <v>2608</v>
      </c>
      <c r="L490" s="4">
        <v>5768</v>
      </c>
      <c r="M490" s="4">
        <f>Table1[[#This Row],[Visit Cost]]+Table1[[#This Row],[Lab Cost]]+Table1[[#This Row],[Medicine Cost]]+Table1[[#This Row],[Room Charges]]</f>
        <v>11540</v>
      </c>
      <c r="N490" s="5">
        <v>45862</v>
      </c>
      <c r="O490">
        <f>Table1[[#This Row],[Discharge Date]]-Table1[[#This Row],[Visit Date]]</f>
        <v>131</v>
      </c>
      <c r="P490" t="s">
        <v>948</v>
      </c>
      <c r="Q490" s="4">
        <v>2707</v>
      </c>
      <c r="R490" s="4">
        <f>Table1[[#This Row],[Total Revenue]]-Table1[[#This Row],[Insurance Claim Amount]]</f>
        <v>8833</v>
      </c>
      <c r="S490">
        <v>1</v>
      </c>
      <c r="T490" t="str">
        <f t="shared" si="14"/>
        <v>Mar</v>
      </c>
      <c r="U490">
        <f t="shared" si="15"/>
        <v>2025</v>
      </c>
    </row>
    <row r="491" spans="1:21" x14ac:dyDescent="0.3">
      <c r="A491" t="s">
        <v>902</v>
      </c>
      <c r="B491" t="s">
        <v>903</v>
      </c>
      <c r="C491" t="s">
        <v>38</v>
      </c>
      <c r="D491" t="s">
        <v>927</v>
      </c>
      <c r="E491" t="s">
        <v>930</v>
      </c>
      <c r="F491">
        <v>45729</v>
      </c>
      <c r="G491" t="s">
        <v>935</v>
      </c>
      <c r="H491" t="s">
        <v>944</v>
      </c>
      <c r="I491" s="4">
        <v>1720</v>
      </c>
      <c r="J491" s="4">
        <v>4364</v>
      </c>
      <c r="K491" s="4">
        <v>1890</v>
      </c>
      <c r="L491" s="4">
        <v>4176</v>
      </c>
      <c r="M491" s="4">
        <f>Table1[[#This Row],[Visit Cost]]+Table1[[#This Row],[Lab Cost]]+Table1[[#This Row],[Medicine Cost]]+Table1[[#This Row],[Room Charges]]</f>
        <v>12150</v>
      </c>
      <c r="N491" s="5">
        <v>45800</v>
      </c>
      <c r="O491">
        <f>Table1[[#This Row],[Discharge Date]]-Table1[[#This Row],[Visit Date]]</f>
        <v>71</v>
      </c>
      <c r="P491" t="s">
        <v>949</v>
      </c>
      <c r="Q491" s="4">
        <v>0</v>
      </c>
      <c r="R491" s="4">
        <f>Table1[[#This Row],[Total Revenue]]-Table1[[#This Row],[Insurance Claim Amount]]</f>
        <v>12150</v>
      </c>
      <c r="S491">
        <v>2</v>
      </c>
      <c r="T491" t="str">
        <f t="shared" si="14"/>
        <v>Mar</v>
      </c>
      <c r="U491">
        <f t="shared" si="15"/>
        <v>2025</v>
      </c>
    </row>
    <row r="492" spans="1:21" x14ac:dyDescent="0.3">
      <c r="A492" t="s">
        <v>904</v>
      </c>
      <c r="B492" t="s">
        <v>905</v>
      </c>
      <c r="C492" t="s">
        <v>29</v>
      </c>
      <c r="D492" t="s">
        <v>926</v>
      </c>
      <c r="E492" t="s">
        <v>933</v>
      </c>
      <c r="F492">
        <v>45755</v>
      </c>
      <c r="G492" t="s">
        <v>936</v>
      </c>
      <c r="H492" t="s">
        <v>942</v>
      </c>
      <c r="I492" s="4">
        <v>1307</v>
      </c>
      <c r="J492" s="4">
        <v>980</v>
      </c>
      <c r="K492" s="4">
        <v>1915</v>
      </c>
      <c r="L492" s="4">
        <v>2500</v>
      </c>
      <c r="M492" s="4">
        <f>Table1[[#This Row],[Visit Cost]]+Table1[[#This Row],[Lab Cost]]+Table1[[#This Row],[Medicine Cost]]+Table1[[#This Row],[Room Charges]]</f>
        <v>6702</v>
      </c>
      <c r="N492" s="5">
        <v>45796</v>
      </c>
      <c r="O492">
        <f>Table1[[#This Row],[Discharge Date]]-Table1[[#This Row],[Visit Date]]</f>
        <v>41</v>
      </c>
      <c r="P492" t="s">
        <v>948</v>
      </c>
      <c r="Q492" s="4">
        <v>4800</v>
      </c>
      <c r="R492" s="4">
        <f>Table1[[#This Row],[Total Revenue]]-Table1[[#This Row],[Insurance Claim Amount]]</f>
        <v>1902</v>
      </c>
      <c r="S492">
        <v>1</v>
      </c>
      <c r="T492" t="str">
        <f t="shared" si="14"/>
        <v>Apr</v>
      </c>
      <c r="U492">
        <f t="shared" si="15"/>
        <v>2025</v>
      </c>
    </row>
    <row r="493" spans="1:21" x14ac:dyDescent="0.3">
      <c r="A493" t="s">
        <v>906</v>
      </c>
      <c r="B493" t="s">
        <v>907</v>
      </c>
      <c r="C493" t="s">
        <v>11</v>
      </c>
      <c r="D493" t="s">
        <v>85</v>
      </c>
      <c r="E493" t="s">
        <v>931</v>
      </c>
      <c r="F493">
        <v>45821</v>
      </c>
      <c r="G493" t="s">
        <v>938</v>
      </c>
      <c r="H493" t="s">
        <v>942</v>
      </c>
      <c r="I493" s="4">
        <v>1882</v>
      </c>
      <c r="J493" s="4">
        <v>2049</v>
      </c>
      <c r="K493" s="4">
        <v>2778</v>
      </c>
      <c r="L493" s="4">
        <v>1747</v>
      </c>
      <c r="M493" s="4">
        <f>Table1[[#This Row],[Visit Cost]]+Table1[[#This Row],[Lab Cost]]+Table1[[#This Row],[Medicine Cost]]+Table1[[#This Row],[Room Charges]]</f>
        <v>8456</v>
      </c>
      <c r="N493" s="5">
        <v>45931</v>
      </c>
      <c r="O493">
        <f>Table1[[#This Row],[Discharge Date]]-Table1[[#This Row],[Visit Date]]</f>
        <v>110</v>
      </c>
      <c r="P493" t="s">
        <v>948</v>
      </c>
      <c r="Q493" s="4">
        <v>5026</v>
      </c>
      <c r="R493" s="4">
        <f>Table1[[#This Row],[Total Revenue]]-Table1[[#This Row],[Insurance Claim Amount]]</f>
        <v>3430</v>
      </c>
      <c r="S493">
        <v>3</v>
      </c>
      <c r="T493" t="str">
        <f t="shared" si="14"/>
        <v>Jun</v>
      </c>
      <c r="U493">
        <f t="shared" si="15"/>
        <v>2025</v>
      </c>
    </row>
    <row r="494" spans="1:21" x14ac:dyDescent="0.3">
      <c r="A494" t="s">
        <v>908</v>
      </c>
      <c r="B494" t="s">
        <v>909</v>
      </c>
      <c r="C494" t="s">
        <v>29</v>
      </c>
      <c r="D494" t="s">
        <v>85</v>
      </c>
      <c r="E494" t="s">
        <v>929</v>
      </c>
      <c r="F494">
        <v>45717</v>
      </c>
      <c r="G494" t="s">
        <v>937</v>
      </c>
      <c r="H494" t="s">
        <v>942</v>
      </c>
      <c r="I494" s="4">
        <v>1130</v>
      </c>
      <c r="J494" s="4">
        <v>4063</v>
      </c>
      <c r="K494" s="4">
        <v>1794</v>
      </c>
      <c r="L494" s="4">
        <v>1071</v>
      </c>
      <c r="M494" s="4">
        <f>Table1[[#This Row],[Visit Cost]]+Table1[[#This Row],[Lab Cost]]+Table1[[#This Row],[Medicine Cost]]+Table1[[#This Row],[Room Charges]]</f>
        <v>8058</v>
      </c>
      <c r="N494" s="5">
        <v>45776</v>
      </c>
      <c r="O494">
        <f>Table1[[#This Row],[Discharge Date]]-Table1[[#This Row],[Visit Date]]</f>
        <v>59</v>
      </c>
      <c r="P494" t="s">
        <v>948</v>
      </c>
      <c r="Q494" s="4">
        <v>7131</v>
      </c>
      <c r="R494" s="4">
        <f>Table1[[#This Row],[Total Revenue]]-Table1[[#This Row],[Insurance Claim Amount]]</f>
        <v>927</v>
      </c>
      <c r="S494">
        <v>5</v>
      </c>
      <c r="T494" t="str">
        <f t="shared" si="14"/>
        <v>Mar</v>
      </c>
      <c r="U494">
        <f t="shared" si="15"/>
        <v>2025</v>
      </c>
    </row>
    <row r="495" spans="1:21" x14ac:dyDescent="0.3">
      <c r="A495" t="s">
        <v>910</v>
      </c>
      <c r="B495" t="s">
        <v>911</v>
      </c>
      <c r="C495" t="s">
        <v>47</v>
      </c>
      <c r="D495" t="s">
        <v>252</v>
      </c>
      <c r="E495" t="s">
        <v>929</v>
      </c>
      <c r="F495">
        <v>45823</v>
      </c>
      <c r="G495" t="s">
        <v>936</v>
      </c>
      <c r="H495" t="s">
        <v>944</v>
      </c>
      <c r="I495" s="4">
        <v>1496</v>
      </c>
      <c r="J495" s="4">
        <v>3855</v>
      </c>
      <c r="K495" s="4">
        <v>943</v>
      </c>
      <c r="L495" s="4">
        <v>3022</v>
      </c>
      <c r="M495" s="4">
        <f>Table1[[#This Row],[Visit Cost]]+Table1[[#This Row],[Lab Cost]]+Table1[[#This Row],[Medicine Cost]]+Table1[[#This Row],[Room Charges]]</f>
        <v>9316</v>
      </c>
      <c r="N495" s="5">
        <v>45899</v>
      </c>
      <c r="O495">
        <f>Table1[[#This Row],[Discharge Date]]-Table1[[#This Row],[Visit Date]]</f>
        <v>76</v>
      </c>
      <c r="P495" t="s">
        <v>949</v>
      </c>
      <c r="Q495" s="4">
        <v>0</v>
      </c>
      <c r="R495" s="4">
        <f>Table1[[#This Row],[Total Revenue]]-Table1[[#This Row],[Insurance Claim Amount]]</f>
        <v>9316</v>
      </c>
      <c r="S495">
        <v>3</v>
      </c>
      <c r="T495" t="str">
        <f t="shared" si="14"/>
        <v>Jun</v>
      </c>
      <c r="U495">
        <f t="shared" si="15"/>
        <v>2025</v>
      </c>
    </row>
    <row r="496" spans="1:21" x14ac:dyDescent="0.3">
      <c r="A496" t="s">
        <v>912</v>
      </c>
      <c r="B496" t="s">
        <v>913</v>
      </c>
      <c r="C496" t="s">
        <v>38</v>
      </c>
      <c r="D496" t="s">
        <v>924</v>
      </c>
      <c r="E496" t="s">
        <v>931</v>
      </c>
      <c r="F496">
        <v>45970</v>
      </c>
      <c r="G496" t="s">
        <v>935</v>
      </c>
      <c r="H496" t="s">
        <v>940</v>
      </c>
      <c r="I496" s="4">
        <v>1800</v>
      </c>
      <c r="J496" s="4">
        <v>2630</v>
      </c>
      <c r="K496" s="4">
        <v>1628</v>
      </c>
      <c r="L496" s="4">
        <v>5192</v>
      </c>
      <c r="M496" s="4">
        <f>Table1[[#This Row],[Visit Cost]]+Table1[[#This Row],[Lab Cost]]+Table1[[#This Row],[Medicine Cost]]+Table1[[#This Row],[Room Charges]]</f>
        <v>11250</v>
      </c>
      <c r="N496" s="5">
        <v>46112</v>
      </c>
      <c r="O496">
        <f>Table1[[#This Row],[Discharge Date]]-Table1[[#This Row],[Visit Date]]</f>
        <v>142</v>
      </c>
      <c r="P496" t="s">
        <v>948</v>
      </c>
      <c r="Q496" s="4">
        <v>7159</v>
      </c>
      <c r="R496" s="4">
        <f>Table1[[#This Row],[Total Revenue]]-Table1[[#This Row],[Insurance Claim Amount]]</f>
        <v>4091</v>
      </c>
      <c r="S496">
        <v>5</v>
      </c>
      <c r="T496" t="str">
        <f t="shared" si="14"/>
        <v>Nov</v>
      </c>
      <c r="U496">
        <f t="shared" si="15"/>
        <v>2025</v>
      </c>
    </row>
    <row r="497" spans="1:21" x14ac:dyDescent="0.3">
      <c r="A497" t="s">
        <v>914</v>
      </c>
      <c r="B497" t="s">
        <v>915</v>
      </c>
      <c r="C497" t="s">
        <v>38</v>
      </c>
      <c r="D497" t="s">
        <v>926</v>
      </c>
      <c r="E497" t="s">
        <v>930</v>
      </c>
      <c r="F497">
        <v>45893</v>
      </c>
      <c r="G497" t="s">
        <v>936</v>
      </c>
      <c r="H497" t="s">
        <v>943</v>
      </c>
      <c r="I497" s="4">
        <v>763</v>
      </c>
      <c r="J497" s="4">
        <v>4477</v>
      </c>
      <c r="K497" s="4">
        <v>2865</v>
      </c>
      <c r="L497" s="4">
        <v>2143</v>
      </c>
      <c r="M497" s="4">
        <f>Table1[[#This Row],[Visit Cost]]+Table1[[#This Row],[Lab Cost]]+Table1[[#This Row],[Medicine Cost]]+Table1[[#This Row],[Room Charges]]</f>
        <v>10248</v>
      </c>
      <c r="N497" s="5">
        <v>45941</v>
      </c>
      <c r="O497">
        <f>Table1[[#This Row],[Discharge Date]]-Table1[[#This Row],[Visit Date]]</f>
        <v>48</v>
      </c>
      <c r="P497" t="s">
        <v>949</v>
      </c>
      <c r="Q497" s="4">
        <v>0</v>
      </c>
      <c r="R497" s="4">
        <f>Table1[[#This Row],[Total Revenue]]-Table1[[#This Row],[Insurance Claim Amount]]</f>
        <v>10248</v>
      </c>
      <c r="S497">
        <v>1</v>
      </c>
      <c r="T497" t="str">
        <f t="shared" si="14"/>
        <v>Aug</v>
      </c>
      <c r="U497">
        <f t="shared" si="15"/>
        <v>2025</v>
      </c>
    </row>
    <row r="498" spans="1:21" x14ac:dyDescent="0.3">
      <c r="A498" t="s">
        <v>916</v>
      </c>
      <c r="B498" t="s">
        <v>917</v>
      </c>
      <c r="C498" t="s">
        <v>11</v>
      </c>
      <c r="D498" t="s">
        <v>925</v>
      </c>
      <c r="E498" t="s">
        <v>932</v>
      </c>
      <c r="F498">
        <v>46018</v>
      </c>
      <c r="G498" t="s">
        <v>938</v>
      </c>
      <c r="H498" t="s">
        <v>943</v>
      </c>
      <c r="I498" s="4">
        <v>1800</v>
      </c>
      <c r="J498" s="4">
        <v>3431</v>
      </c>
      <c r="K498" s="4">
        <v>2923</v>
      </c>
      <c r="L498" s="4">
        <v>3500</v>
      </c>
      <c r="M498" s="4">
        <f>Table1[[#This Row],[Visit Cost]]+Table1[[#This Row],[Lab Cost]]+Table1[[#This Row],[Medicine Cost]]+Table1[[#This Row],[Room Charges]]</f>
        <v>11654</v>
      </c>
      <c r="N498" s="5">
        <v>46063</v>
      </c>
      <c r="O498">
        <f>Table1[[#This Row],[Discharge Date]]-Table1[[#This Row],[Visit Date]]</f>
        <v>45</v>
      </c>
      <c r="P498" t="s">
        <v>948</v>
      </c>
      <c r="Q498" s="4">
        <v>1483</v>
      </c>
      <c r="R498" s="4">
        <f>Table1[[#This Row],[Total Revenue]]-Table1[[#This Row],[Insurance Claim Amount]]</f>
        <v>10171</v>
      </c>
      <c r="S498">
        <v>2</v>
      </c>
      <c r="T498" t="str">
        <f t="shared" si="14"/>
        <v>Dec</v>
      </c>
      <c r="U498">
        <f t="shared" si="15"/>
        <v>2025</v>
      </c>
    </row>
    <row r="499" spans="1:21" x14ac:dyDescent="0.3">
      <c r="A499" t="s">
        <v>918</v>
      </c>
      <c r="B499" t="s">
        <v>919</v>
      </c>
      <c r="C499" t="s">
        <v>16</v>
      </c>
      <c r="D499" t="s">
        <v>252</v>
      </c>
      <c r="E499" t="s">
        <v>933</v>
      </c>
      <c r="F499">
        <v>45726</v>
      </c>
      <c r="G499" t="s">
        <v>937</v>
      </c>
      <c r="H499" t="s">
        <v>945</v>
      </c>
      <c r="I499" s="4">
        <v>2280</v>
      </c>
      <c r="J499" s="4">
        <v>1000</v>
      </c>
      <c r="K499" s="4">
        <v>1141</v>
      </c>
      <c r="L499" s="4">
        <v>1700</v>
      </c>
      <c r="M499" s="4">
        <f>Table1[[#This Row],[Visit Cost]]+Table1[[#This Row],[Lab Cost]]+Table1[[#This Row],[Medicine Cost]]+Table1[[#This Row],[Room Charges]]</f>
        <v>6121</v>
      </c>
      <c r="N499" s="5">
        <v>45741</v>
      </c>
      <c r="O499">
        <f>Table1[[#This Row],[Discharge Date]]-Table1[[#This Row],[Visit Date]]</f>
        <v>15</v>
      </c>
      <c r="P499" t="s">
        <v>949</v>
      </c>
      <c r="Q499" s="4">
        <v>0</v>
      </c>
      <c r="R499" s="4">
        <f>Table1[[#This Row],[Total Revenue]]-Table1[[#This Row],[Insurance Claim Amount]]</f>
        <v>6121</v>
      </c>
      <c r="S499">
        <v>1</v>
      </c>
      <c r="T499" t="str">
        <f t="shared" si="14"/>
        <v>Mar</v>
      </c>
      <c r="U499">
        <f t="shared" si="15"/>
        <v>2025</v>
      </c>
    </row>
    <row r="500" spans="1:21" x14ac:dyDescent="0.3">
      <c r="A500" t="s">
        <v>920</v>
      </c>
      <c r="B500" t="s">
        <v>921</v>
      </c>
      <c r="C500" t="s">
        <v>47</v>
      </c>
      <c r="D500" t="s">
        <v>927</v>
      </c>
      <c r="E500" t="s">
        <v>933</v>
      </c>
      <c r="F500">
        <v>45673</v>
      </c>
      <c r="G500" t="s">
        <v>936</v>
      </c>
      <c r="H500" t="s">
        <v>942</v>
      </c>
      <c r="I500" s="4">
        <v>1497</v>
      </c>
      <c r="J500" s="4">
        <v>3421</v>
      </c>
      <c r="K500" s="4">
        <v>1616</v>
      </c>
      <c r="L500" s="4">
        <v>6218</v>
      </c>
      <c r="M500" s="4">
        <f>Table1[[#This Row],[Visit Cost]]+Table1[[#This Row],[Lab Cost]]+Table1[[#This Row],[Medicine Cost]]+Table1[[#This Row],[Room Charges]]</f>
        <v>12752</v>
      </c>
      <c r="N500" s="5">
        <v>45796</v>
      </c>
      <c r="O500">
        <f>Table1[[#This Row],[Discharge Date]]-Table1[[#This Row],[Visit Date]]</f>
        <v>123</v>
      </c>
      <c r="P500" t="s">
        <v>948</v>
      </c>
      <c r="Q500" s="4">
        <v>8096</v>
      </c>
      <c r="R500" s="4">
        <f>Table1[[#This Row],[Total Revenue]]-Table1[[#This Row],[Insurance Claim Amount]]</f>
        <v>4656</v>
      </c>
      <c r="S500">
        <v>4</v>
      </c>
      <c r="T500" t="str">
        <f t="shared" si="14"/>
        <v>Jan</v>
      </c>
      <c r="U500">
        <f t="shared" si="15"/>
        <v>2025</v>
      </c>
    </row>
    <row r="501" spans="1:21" x14ac:dyDescent="0.3">
      <c r="A501" t="s">
        <v>922</v>
      </c>
      <c r="B501" t="s">
        <v>692</v>
      </c>
      <c r="C501" t="s">
        <v>16</v>
      </c>
      <c r="D501" t="s">
        <v>164</v>
      </c>
      <c r="E501" t="s">
        <v>929</v>
      </c>
      <c r="F501">
        <v>45864</v>
      </c>
      <c r="G501" t="s">
        <v>935</v>
      </c>
      <c r="H501" t="s">
        <v>943</v>
      </c>
      <c r="I501" s="4">
        <v>865</v>
      </c>
      <c r="J501" s="4">
        <v>1985</v>
      </c>
      <c r="K501" s="4">
        <v>2986</v>
      </c>
      <c r="L501" s="4">
        <v>9680</v>
      </c>
      <c r="M501" s="4">
        <f>Table1[[#This Row],[Visit Cost]]+Table1[[#This Row],[Lab Cost]]+Table1[[#This Row],[Medicine Cost]]+Table1[[#This Row],[Room Charges]]</f>
        <v>15516</v>
      </c>
      <c r="N501" s="5">
        <v>45927</v>
      </c>
      <c r="O501">
        <f>Table1[[#This Row],[Discharge Date]]-Table1[[#This Row],[Visit Date]]</f>
        <v>63</v>
      </c>
      <c r="P501" t="s">
        <v>948</v>
      </c>
      <c r="Q501" s="4">
        <v>1831</v>
      </c>
      <c r="R501" s="4">
        <f>Table1[[#This Row],[Total Revenue]]-Table1[[#This Row],[Insurance Claim Amount]]</f>
        <v>13685</v>
      </c>
      <c r="S501">
        <v>4</v>
      </c>
      <c r="T501" t="str">
        <f t="shared" si="14"/>
        <v>Jul</v>
      </c>
      <c r="U501">
        <f t="shared" si="15"/>
        <v>2025</v>
      </c>
    </row>
    <row r="503" spans="1:21" x14ac:dyDescent="0.3">
      <c r="H503" s="4"/>
      <c r="M503" s="5"/>
      <c r="N503"/>
      <c r="P503" s="4"/>
      <c r="R50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2E6D-371B-4AB1-8971-B11CFECA3843}">
  <dimension ref="B1:CW42"/>
  <sheetViews>
    <sheetView showGridLines="0" topLeftCell="BZ1" zoomScaleNormal="100" workbookViewId="0"/>
  </sheetViews>
  <sheetFormatPr defaultRowHeight="14.4" x14ac:dyDescent="0.3"/>
  <cols>
    <col min="2" max="2" width="12.33203125" bestFit="1" customWidth="1"/>
    <col min="4" max="4" width="12.77734375" bestFit="1" customWidth="1"/>
    <col min="5" max="5" width="19.6640625" bestFit="1" customWidth="1"/>
    <col min="6" max="6" width="22.77734375" bestFit="1" customWidth="1"/>
    <col min="7" max="7" width="20" bestFit="1" customWidth="1"/>
    <col min="8" max="8" width="22" bestFit="1" customWidth="1"/>
    <col min="9" max="9" width="25.21875" bestFit="1" customWidth="1"/>
    <col min="11" max="11" width="22.6640625" bestFit="1" customWidth="1"/>
    <col min="12" max="12" width="6.33203125" bestFit="1" customWidth="1"/>
    <col min="15" max="15" width="22.21875" bestFit="1" customWidth="1"/>
    <col min="16" max="16" width="17.109375" bestFit="1" customWidth="1"/>
    <col min="17" max="18" width="10.5546875" bestFit="1" customWidth="1"/>
    <col min="20" max="20" width="12.44140625" bestFit="1" customWidth="1"/>
    <col min="21" max="21" width="22.21875" bestFit="1" customWidth="1"/>
    <col min="23" max="23" width="16" bestFit="1" customWidth="1"/>
    <col min="24" max="24" width="22.6640625" bestFit="1" customWidth="1"/>
    <col min="26" max="26" width="12.44140625" bestFit="1" customWidth="1"/>
    <col min="27" max="27" width="12.33203125" bestFit="1" customWidth="1"/>
    <col min="29" max="29" width="12.44140625" bestFit="1" customWidth="1"/>
    <col min="30" max="30" width="12.33203125" bestFit="1" customWidth="1"/>
    <col min="34" max="34" width="18.6640625" bestFit="1" customWidth="1"/>
    <col min="35" max="35" width="27.6640625" bestFit="1" customWidth="1"/>
    <col min="36" max="36" width="25.88671875" bestFit="1" customWidth="1"/>
    <col min="38" max="38" width="12.44140625" bestFit="1" customWidth="1"/>
    <col min="39" max="39" width="18.6640625" bestFit="1" customWidth="1"/>
    <col min="41" max="41" width="12.44140625" bestFit="1" customWidth="1"/>
    <col min="42" max="42" width="18.6640625" bestFit="1" customWidth="1"/>
    <col min="44" max="44" width="14.21875" bestFit="1" customWidth="1"/>
    <col min="45" max="46" width="19" bestFit="1" customWidth="1"/>
    <col min="47" max="47" width="15" bestFit="1" customWidth="1"/>
    <col min="49" max="49" width="12.44140625" bestFit="1" customWidth="1"/>
    <col min="50" max="50" width="18.6640625" bestFit="1" customWidth="1"/>
    <col min="54" max="54" width="12.44140625" bestFit="1" customWidth="1"/>
    <col min="55" max="55" width="18.6640625" bestFit="1" customWidth="1"/>
    <col min="57" max="57" width="12.44140625" bestFit="1" customWidth="1"/>
    <col min="58" max="58" width="16.33203125" bestFit="1" customWidth="1"/>
    <col min="60" max="60" width="19.6640625" bestFit="1" customWidth="1"/>
    <col min="61" max="61" width="30.5546875" bestFit="1" customWidth="1"/>
    <col min="63" max="63" width="10.21875" bestFit="1" customWidth="1"/>
    <col min="64" max="64" width="12.44140625" customWidth="1"/>
    <col min="65" max="65" width="12.44140625" bestFit="1" customWidth="1"/>
    <col min="66" max="66" width="29.33203125" bestFit="1" customWidth="1"/>
    <col min="67" max="67" width="14.21875" customWidth="1"/>
    <col min="68" max="68" width="12.33203125" customWidth="1"/>
    <col min="69" max="69" width="14.6640625" bestFit="1" customWidth="1"/>
    <col min="70" max="70" width="21.44140625" bestFit="1" customWidth="1"/>
    <col min="72" max="72" width="14.5546875" bestFit="1" customWidth="1"/>
    <col min="73" max="73" width="22.77734375" bestFit="1" customWidth="1"/>
    <col min="74" max="74" width="10.5546875" bestFit="1" customWidth="1"/>
    <col min="75" max="75" width="16.33203125" bestFit="1" customWidth="1"/>
    <col min="76" max="76" width="15.5546875" bestFit="1" customWidth="1"/>
    <col min="77" max="78" width="10.5546875" bestFit="1" customWidth="1"/>
    <col min="83" max="83" width="12.44140625" bestFit="1" customWidth="1"/>
    <col min="84" max="84" width="16.33203125" bestFit="1" customWidth="1"/>
    <col min="85" max="85" width="11.21875" customWidth="1"/>
    <col min="86" max="86" width="7.44140625" customWidth="1"/>
    <col min="87" max="87" width="12.44140625" bestFit="1" customWidth="1"/>
    <col min="88" max="88" width="16.33203125" bestFit="1" customWidth="1"/>
    <col min="89" max="89" width="22" customWidth="1"/>
    <col min="90" max="90" width="12.44140625" bestFit="1" customWidth="1"/>
    <col min="91" max="91" width="21.44140625" bestFit="1" customWidth="1"/>
    <col min="92" max="92" width="12.5546875" customWidth="1"/>
    <col min="93" max="93" width="8.21875" bestFit="1" customWidth="1"/>
    <col min="94" max="94" width="12.44140625" bestFit="1" customWidth="1"/>
    <col min="95" max="95" width="25.88671875" bestFit="1" customWidth="1"/>
    <col min="96" max="96" width="10.77734375" customWidth="1"/>
    <col min="97" max="97" width="12.44140625" bestFit="1" customWidth="1"/>
    <col min="98" max="98" width="16.33203125" bestFit="1" customWidth="1"/>
    <col min="99" max="99" width="17.109375" bestFit="1" customWidth="1"/>
    <col min="100" max="100" width="30.109375" bestFit="1" customWidth="1"/>
    <col min="101" max="101" width="5.88671875" bestFit="1" customWidth="1"/>
    <col min="102" max="102" width="4.88671875" bestFit="1" customWidth="1"/>
    <col min="103" max="103" width="10.77734375" bestFit="1" customWidth="1"/>
  </cols>
  <sheetData>
    <row r="1" spans="2:101" x14ac:dyDescent="0.3">
      <c r="BM1" s="18" t="s">
        <v>1001</v>
      </c>
      <c r="BN1" s="18"/>
      <c r="BO1" s="18"/>
      <c r="BP1" s="18"/>
      <c r="CE1" s="18" t="s">
        <v>1002</v>
      </c>
      <c r="CF1" s="18"/>
      <c r="CG1" s="18"/>
      <c r="CI1" t="s">
        <v>1004</v>
      </c>
      <c r="CL1" t="s">
        <v>1006</v>
      </c>
      <c r="CP1" t="s">
        <v>1008</v>
      </c>
      <c r="CS1" s="14" t="s">
        <v>1011</v>
      </c>
      <c r="CT1" s="14"/>
    </row>
    <row r="2" spans="2:101" x14ac:dyDescent="0.3">
      <c r="K2" s="1" t="s">
        <v>934</v>
      </c>
      <c r="L2" t="s">
        <v>959</v>
      </c>
      <c r="BM2" s="18"/>
      <c r="BN2" s="18"/>
      <c r="BQ2" s="1" t="s">
        <v>934</v>
      </c>
      <c r="BR2" t="s">
        <v>959</v>
      </c>
      <c r="CE2" s="18" t="s">
        <v>1003</v>
      </c>
      <c r="CF2" s="18"/>
      <c r="CI2" s="18" t="s">
        <v>1005</v>
      </c>
      <c r="CJ2" s="18"/>
      <c r="CL2" s="18" t="s">
        <v>1007</v>
      </c>
      <c r="CM2" s="18"/>
      <c r="CP2" s="18" t="s">
        <v>1009</v>
      </c>
      <c r="CQ2" s="18"/>
      <c r="CS2" s="13" t="s">
        <v>1012</v>
      </c>
      <c r="CT2" s="13"/>
      <c r="CU2" s="15"/>
      <c r="CV2" s="15"/>
      <c r="CW2" s="15"/>
    </row>
    <row r="3" spans="2:101" x14ac:dyDescent="0.3">
      <c r="CL3" s="18"/>
      <c r="CM3" s="18"/>
      <c r="CS3" s="13"/>
    </row>
    <row r="4" spans="2:101" x14ac:dyDescent="0.3">
      <c r="B4" t="s">
        <v>955</v>
      </c>
      <c r="D4" t="s">
        <v>988</v>
      </c>
      <c r="F4" t="s">
        <v>989</v>
      </c>
      <c r="H4" t="s">
        <v>957</v>
      </c>
      <c r="I4" t="s">
        <v>956</v>
      </c>
      <c r="K4" t="s">
        <v>958</v>
      </c>
      <c r="O4" s="1" t="s">
        <v>960</v>
      </c>
      <c r="P4" s="1" t="s">
        <v>947</v>
      </c>
      <c r="T4" s="1" t="s">
        <v>953</v>
      </c>
      <c r="U4" t="s">
        <v>960</v>
      </c>
      <c r="W4" s="1" t="s">
        <v>953</v>
      </c>
      <c r="X4" t="s">
        <v>958</v>
      </c>
      <c r="Z4" s="1" t="s">
        <v>953</v>
      </c>
      <c r="AA4" t="s">
        <v>955</v>
      </c>
      <c r="AC4" s="1" t="s">
        <v>953</v>
      </c>
      <c r="AD4" t="s">
        <v>955</v>
      </c>
      <c r="AH4" t="s">
        <v>981</v>
      </c>
      <c r="AI4" t="s">
        <v>982</v>
      </c>
      <c r="AJ4" t="s">
        <v>983</v>
      </c>
      <c r="AL4" s="1" t="s">
        <v>953</v>
      </c>
      <c r="AM4" t="s">
        <v>981</v>
      </c>
      <c r="AO4" s="1" t="s">
        <v>953</v>
      </c>
      <c r="AP4" t="s">
        <v>981</v>
      </c>
      <c r="AR4" t="s">
        <v>984</v>
      </c>
      <c r="AS4" t="s">
        <v>985</v>
      </c>
      <c r="AT4" t="s">
        <v>986</v>
      </c>
      <c r="AU4" t="s">
        <v>1010</v>
      </c>
      <c r="AW4" s="1" t="s">
        <v>953</v>
      </c>
      <c r="AX4" t="s">
        <v>981</v>
      </c>
      <c r="BB4" s="1" t="s">
        <v>953</v>
      </c>
      <c r="BC4" t="s">
        <v>981</v>
      </c>
      <c r="BE4" s="1" t="s">
        <v>953</v>
      </c>
      <c r="BF4" t="s">
        <v>987</v>
      </c>
      <c r="BH4" s="1" t="s">
        <v>953</v>
      </c>
      <c r="BI4" t="s">
        <v>998</v>
      </c>
      <c r="BM4" s="1" t="s">
        <v>953</v>
      </c>
      <c r="BN4" t="s">
        <v>998</v>
      </c>
      <c r="BQ4" s="1" t="s">
        <v>953</v>
      </c>
      <c r="BR4" t="s">
        <v>1000</v>
      </c>
      <c r="BT4" s="1" t="s">
        <v>953</v>
      </c>
      <c r="BU4" t="s">
        <v>989</v>
      </c>
      <c r="BW4" s="1" t="s">
        <v>987</v>
      </c>
      <c r="BX4" s="1" t="s">
        <v>999</v>
      </c>
      <c r="CE4" s="1" t="s">
        <v>953</v>
      </c>
      <c r="CF4" t="s">
        <v>987</v>
      </c>
      <c r="CI4" s="1" t="s">
        <v>953</v>
      </c>
      <c r="CJ4" t="s">
        <v>987</v>
      </c>
      <c r="CL4" s="1" t="s">
        <v>953</v>
      </c>
      <c r="CM4" t="s">
        <v>1000</v>
      </c>
      <c r="CP4" s="1" t="s">
        <v>953</v>
      </c>
      <c r="CQ4" t="s">
        <v>983</v>
      </c>
      <c r="CS4" s="1" t="s">
        <v>953</v>
      </c>
      <c r="CT4" t="s">
        <v>987</v>
      </c>
    </row>
    <row r="5" spans="2:101" x14ac:dyDescent="0.3">
      <c r="B5" s="19">
        <v>500</v>
      </c>
      <c r="D5" s="4">
        <v>4701124</v>
      </c>
      <c r="F5" s="4">
        <v>9402.2479999999996</v>
      </c>
      <c r="H5" s="19">
        <v>5</v>
      </c>
      <c r="I5" s="19">
        <v>2.9140000000000001</v>
      </c>
      <c r="K5" s="19">
        <v>500</v>
      </c>
      <c r="O5" s="1" t="s">
        <v>953</v>
      </c>
      <c r="P5" t="s">
        <v>948</v>
      </c>
      <c r="Q5" t="s">
        <v>949</v>
      </c>
      <c r="R5" t="s">
        <v>954</v>
      </c>
      <c r="T5" s="2" t="s">
        <v>948</v>
      </c>
      <c r="U5" s="19">
        <v>255</v>
      </c>
      <c r="W5" s="2" t="s">
        <v>937</v>
      </c>
      <c r="X5" s="19">
        <v>107</v>
      </c>
      <c r="Z5" s="2" t="s">
        <v>961</v>
      </c>
      <c r="AA5" s="19">
        <v>51</v>
      </c>
      <c r="AC5" s="2" t="s">
        <v>933</v>
      </c>
      <c r="AD5" s="19">
        <v>101</v>
      </c>
      <c r="AH5" s="4">
        <v>4701124</v>
      </c>
      <c r="AI5" s="4">
        <v>1310391</v>
      </c>
      <c r="AJ5" s="4">
        <v>3390733</v>
      </c>
      <c r="AL5" s="2" t="s">
        <v>16</v>
      </c>
      <c r="AM5" s="4">
        <v>1055341</v>
      </c>
      <c r="AO5" s="2" t="s">
        <v>961</v>
      </c>
      <c r="AP5" s="4">
        <v>459051</v>
      </c>
      <c r="AR5" s="4">
        <v>1197632</v>
      </c>
      <c r="AS5" s="4">
        <v>827687</v>
      </c>
      <c r="AT5" s="4">
        <v>1940004</v>
      </c>
      <c r="AU5" s="4">
        <v>735801</v>
      </c>
      <c r="AW5" s="7" t="s">
        <v>990</v>
      </c>
      <c r="AX5" s="4">
        <v>403928</v>
      </c>
      <c r="BB5" s="2" t="s">
        <v>941</v>
      </c>
      <c r="BC5" s="4">
        <v>702542</v>
      </c>
      <c r="BE5" s="2" t="s">
        <v>944</v>
      </c>
      <c r="BF5" s="19">
        <v>77</v>
      </c>
      <c r="BH5" s="2" t="s">
        <v>944</v>
      </c>
      <c r="BI5" s="8">
        <v>2.6883116883116882</v>
      </c>
      <c r="BM5" s="2" t="s">
        <v>47</v>
      </c>
      <c r="BN5" s="8">
        <v>2.6666666666666665</v>
      </c>
      <c r="BO5" s="8"/>
      <c r="BQ5" s="2" t="s">
        <v>11</v>
      </c>
      <c r="BR5" s="6">
        <v>79.563829787234042</v>
      </c>
      <c r="BT5" s="2" t="s">
        <v>6</v>
      </c>
      <c r="BU5" s="12">
        <v>0.956932209561838</v>
      </c>
      <c r="BW5" s="1" t="s">
        <v>953</v>
      </c>
      <c r="BX5" t="s">
        <v>948</v>
      </c>
      <c r="BY5" t="s">
        <v>949</v>
      </c>
      <c r="BZ5" t="s">
        <v>954</v>
      </c>
      <c r="CE5" s="2" t="s">
        <v>926</v>
      </c>
      <c r="CF5" s="19">
        <v>98</v>
      </c>
      <c r="CI5" s="2" t="s">
        <v>961</v>
      </c>
      <c r="CJ5" s="19">
        <v>51</v>
      </c>
      <c r="CL5" s="2" t="s">
        <v>927</v>
      </c>
      <c r="CM5" s="6">
        <v>80.914893617021278</v>
      </c>
      <c r="CP5" s="2" t="s">
        <v>926</v>
      </c>
      <c r="CQ5" s="4">
        <v>686787</v>
      </c>
      <c r="CS5" s="2">
        <v>1</v>
      </c>
      <c r="CT5" s="16">
        <v>0.19400000000000001</v>
      </c>
    </row>
    <row r="6" spans="2:101" x14ac:dyDescent="0.3">
      <c r="O6" s="2" t="s">
        <v>85</v>
      </c>
      <c r="P6" s="19">
        <v>28</v>
      </c>
      <c r="Q6" s="19">
        <v>26</v>
      </c>
      <c r="R6" s="19">
        <v>54</v>
      </c>
      <c r="T6" s="2" t="s">
        <v>949</v>
      </c>
      <c r="U6" s="19">
        <v>245</v>
      </c>
      <c r="W6" s="2" t="s">
        <v>938</v>
      </c>
      <c r="X6" s="19">
        <v>108</v>
      </c>
      <c r="Z6" s="2" t="s">
        <v>962</v>
      </c>
      <c r="AA6" s="19">
        <v>42</v>
      </c>
      <c r="AC6" s="2" t="s">
        <v>932</v>
      </c>
      <c r="AD6" s="19">
        <v>99</v>
      </c>
      <c r="AL6" s="2" t="s">
        <v>11</v>
      </c>
      <c r="AM6" s="4">
        <v>872326</v>
      </c>
      <c r="AO6" s="2" t="s">
        <v>962</v>
      </c>
      <c r="AP6" s="4">
        <v>407094</v>
      </c>
      <c r="AW6" s="7" t="s">
        <v>991</v>
      </c>
      <c r="AX6" s="4">
        <v>617462</v>
      </c>
      <c r="BB6" s="2" t="s">
        <v>944</v>
      </c>
      <c r="BC6" s="4">
        <v>743582</v>
      </c>
      <c r="BE6" s="2" t="s">
        <v>941</v>
      </c>
      <c r="BF6" s="19">
        <v>79</v>
      </c>
      <c r="BH6" s="2" t="s">
        <v>941</v>
      </c>
      <c r="BI6" s="8">
        <v>2.7974683544303796</v>
      </c>
      <c r="BM6" s="2" t="s">
        <v>6</v>
      </c>
      <c r="BN6" s="8">
        <v>2.7906976744186047</v>
      </c>
      <c r="BO6" s="8"/>
      <c r="BQ6" s="2" t="s">
        <v>47</v>
      </c>
      <c r="BR6" s="6">
        <v>78.588235294117652</v>
      </c>
      <c r="BT6" s="2" t="s">
        <v>11</v>
      </c>
      <c r="BU6" s="12">
        <v>0.98700479181013245</v>
      </c>
      <c r="BW6" s="2" t="s">
        <v>6</v>
      </c>
      <c r="BX6" s="19">
        <v>44</v>
      </c>
      <c r="BY6" s="19">
        <v>42</v>
      </c>
      <c r="BZ6" s="19">
        <v>86</v>
      </c>
      <c r="CE6" s="2" t="s">
        <v>252</v>
      </c>
      <c r="CF6" s="19">
        <v>71</v>
      </c>
      <c r="CI6" s="2" t="s">
        <v>962</v>
      </c>
      <c r="CJ6" s="19">
        <v>42</v>
      </c>
      <c r="CL6" s="2" t="s">
        <v>252</v>
      </c>
      <c r="CM6" s="6">
        <v>79.718309859154928</v>
      </c>
      <c r="CP6" s="2" t="s">
        <v>164</v>
      </c>
      <c r="CQ6" s="4">
        <v>483251</v>
      </c>
      <c r="CS6" s="2">
        <v>2</v>
      </c>
      <c r="CT6" s="16">
        <v>0.22</v>
      </c>
    </row>
    <row r="7" spans="2:101" x14ac:dyDescent="0.3">
      <c r="I7" t="str">
        <f>REPT(_xlfn.UNICHAR(9733),ROUND('Pivot Table'!I5,0)) &amp; REPT(_xlfn.UNICHAR(9734),5-ROUND('Pivot Table'!I5,0))</f>
        <v>★★★☆☆</v>
      </c>
      <c r="O7" s="2" t="s">
        <v>926</v>
      </c>
      <c r="P7" s="19">
        <v>51</v>
      </c>
      <c r="Q7" s="19">
        <v>47</v>
      </c>
      <c r="R7" s="19">
        <v>98</v>
      </c>
      <c r="T7" s="2" t="s">
        <v>954</v>
      </c>
      <c r="U7" s="19">
        <v>500</v>
      </c>
      <c r="W7" s="2" t="s">
        <v>935</v>
      </c>
      <c r="X7" s="19">
        <v>109</v>
      </c>
      <c r="Z7" s="2" t="s">
        <v>963</v>
      </c>
      <c r="AA7" s="19">
        <v>39</v>
      </c>
      <c r="AC7" s="2" t="s">
        <v>929</v>
      </c>
      <c r="AD7" s="19">
        <v>99</v>
      </c>
      <c r="AL7" s="2" t="s">
        <v>38</v>
      </c>
      <c r="AM7" s="4">
        <v>790639</v>
      </c>
      <c r="AO7" s="2" t="s">
        <v>963</v>
      </c>
      <c r="AP7" s="4">
        <v>381346</v>
      </c>
      <c r="AW7" s="7" t="s">
        <v>992</v>
      </c>
      <c r="AX7" s="4">
        <v>830041</v>
      </c>
      <c r="BB7" s="2" t="s">
        <v>943</v>
      </c>
      <c r="BC7" s="4">
        <v>763599</v>
      </c>
      <c r="BE7" s="2" t="s">
        <v>943</v>
      </c>
      <c r="BF7" s="19">
        <v>81</v>
      </c>
      <c r="BH7" s="2" t="s">
        <v>940</v>
      </c>
      <c r="BI7" s="8">
        <v>2.8762886597938144</v>
      </c>
      <c r="BM7" s="2" t="s">
        <v>29</v>
      </c>
      <c r="BN7" s="8">
        <v>2.9054054054054053</v>
      </c>
      <c r="BO7" s="8"/>
      <c r="BQ7" s="2" t="s">
        <v>38</v>
      </c>
      <c r="BR7" s="6">
        <v>75.928571428571431</v>
      </c>
      <c r="BT7" s="2" t="s">
        <v>38</v>
      </c>
      <c r="BU7" s="12">
        <v>1.0010764497617004</v>
      </c>
      <c r="BW7" s="2" t="s">
        <v>11</v>
      </c>
      <c r="BX7" s="19">
        <v>42</v>
      </c>
      <c r="BY7" s="19">
        <v>52</v>
      </c>
      <c r="BZ7" s="19">
        <v>94</v>
      </c>
      <c r="CE7" s="2" t="s">
        <v>164</v>
      </c>
      <c r="CF7" s="19">
        <v>68</v>
      </c>
      <c r="CI7" s="2" t="s">
        <v>963</v>
      </c>
      <c r="CJ7" s="19">
        <v>39</v>
      </c>
      <c r="CL7" s="2" t="s">
        <v>80</v>
      </c>
      <c r="CM7" s="6">
        <v>79.297872340425528</v>
      </c>
      <c r="CP7" s="2" t="s">
        <v>252</v>
      </c>
      <c r="CQ7" s="4">
        <v>477178</v>
      </c>
      <c r="CS7" s="2">
        <v>3</v>
      </c>
      <c r="CT7" s="16">
        <v>0.222</v>
      </c>
    </row>
    <row r="8" spans="2:101" x14ac:dyDescent="0.3">
      <c r="O8" s="2" t="s">
        <v>927</v>
      </c>
      <c r="P8" s="19">
        <v>25</v>
      </c>
      <c r="Q8" s="19">
        <v>22</v>
      </c>
      <c r="R8" s="19">
        <v>47</v>
      </c>
      <c r="W8" s="2" t="s">
        <v>936</v>
      </c>
      <c r="X8" s="19">
        <v>176</v>
      </c>
      <c r="Z8" s="2" t="s">
        <v>964</v>
      </c>
      <c r="AA8" s="19">
        <v>41</v>
      </c>
      <c r="AC8" s="2" t="s">
        <v>931</v>
      </c>
      <c r="AD8" s="19">
        <v>100</v>
      </c>
      <c r="AL8" s="2" t="s">
        <v>6</v>
      </c>
      <c r="AM8" s="4">
        <v>773769</v>
      </c>
      <c r="AO8" s="2" t="s">
        <v>964</v>
      </c>
      <c r="AP8" s="4">
        <v>358765</v>
      </c>
      <c r="AW8" s="7" t="s">
        <v>993</v>
      </c>
      <c r="AX8" s="4">
        <v>949467</v>
      </c>
      <c r="BB8" s="2" t="s">
        <v>942</v>
      </c>
      <c r="BC8" s="4">
        <v>767511</v>
      </c>
      <c r="BE8" s="2" t="s">
        <v>945</v>
      </c>
      <c r="BF8" s="19">
        <v>83</v>
      </c>
      <c r="BH8" s="2" t="s">
        <v>942</v>
      </c>
      <c r="BI8" s="8">
        <v>3.0120481927710845</v>
      </c>
      <c r="BM8" s="2" t="s">
        <v>11</v>
      </c>
      <c r="BN8" s="8">
        <v>2.9361702127659575</v>
      </c>
      <c r="BO8" s="8"/>
      <c r="BQ8" s="2" t="s">
        <v>16</v>
      </c>
      <c r="BR8" s="6">
        <v>74.747747747747752</v>
      </c>
      <c r="BT8" s="2" t="s">
        <v>16</v>
      </c>
      <c r="BU8" s="12">
        <v>1.0112024886576676</v>
      </c>
      <c r="BW8" s="2" t="s">
        <v>16</v>
      </c>
      <c r="BX8" s="19">
        <v>64</v>
      </c>
      <c r="BY8" s="19">
        <v>47</v>
      </c>
      <c r="BZ8" s="19">
        <v>111</v>
      </c>
      <c r="CE8" s="2" t="s">
        <v>924</v>
      </c>
      <c r="CF8" s="19">
        <v>63</v>
      </c>
      <c r="CI8" s="2" t="s">
        <v>964</v>
      </c>
      <c r="CJ8" s="19">
        <v>41</v>
      </c>
      <c r="CL8" s="2" t="s">
        <v>85</v>
      </c>
      <c r="CM8" s="6">
        <v>78.574074074074076</v>
      </c>
      <c r="CP8" s="2" t="s">
        <v>924</v>
      </c>
      <c r="CQ8" s="4">
        <v>458237</v>
      </c>
      <c r="CS8" s="2">
        <v>4</v>
      </c>
      <c r="CT8" s="16">
        <v>0.20599999999999999</v>
      </c>
    </row>
    <row r="9" spans="2:101" x14ac:dyDescent="0.3">
      <c r="O9" s="2" t="s">
        <v>925</v>
      </c>
      <c r="P9" s="19">
        <v>27</v>
      </c>
      <c r="Q9" s="19">
        <v>25</v>
      </c>
      <c r="R9" s="19">
        <v>52</v>
      </c>
      <c r="W9" s="2" t="s">
        <v>954</v>
      </c>
      <c r="X9" s="19">
        <v>500</v>
      </c>
      <c r="Z9" s="2" t="s">
        <v>965</v>
      </c>
      <c r="AA9" s="19">
        <v>39</v>
      </c>
      <c r="AC9" s="2" t="s">
        <v>930</v>
      </c>
      <c r="AD9" s="19">
        <v>101</v>
      </c>
      <c r="AL9" s="2" t="s">
        <v>29</v>
      </c>
      <c r="AM9" s="4">
        <v>708827</v>
      </c>
      <c r="AO9" s="2" t="s">
        <v>965</v>
      </c>
      <c r="AP9" s="4">
        <v>343609</v>
      </c>
      <c r="AW9" s="7" t="s">
        <v>994</v>
      </c>
      <c r="AX9" s="4">
        <v>883892</v>
      </c>
      <c r="BB9" s="2" t="s">
        <v>945</v>
      </c>
      <c r="BC9" s="4">
        <v>796781</v>
      </c>
      <c r="BE9" s="2" t="s">
        <v>942</v>
      </c>
      <c r="BF9" s="19">
        <v>83</v>
      </c>
      <c r="BH9" s="2" t="s">
        <v>943</v>
      </c>
      <c r="BI9" s="8">
        <v>3.0370370370370372</v>
      </c>
      <c r="BM9" s="2" t="s">
        <v>38</v>
      </c>
      <c r="BN9" s="8">
        <v>2.9523809523809526</v>
      </c>
      <c r="BO9" s="8"/>
      <c r="BQ9" s="2" t="s">
        <v>6</v>
      </c>
      <c r="BR9" s="6">
        <v>74.058139534883722</v>
      </c>
      <c r="BT9" s="2" t="s">
        <v>29</v>
      </c>
      <c r="BU9" s="12">
        <v>1.0187716004984386</v>
      </c>
      <c r="BW9" s="2" t="s">
        <v>47</v>
      </c>
      <c r="BX9" s="19">
        <v>24</v>
      </c>
      <c r="BY9" s="19">
        <v>27</v>
      </c>
      <c r="BZ9" s="19">
        <v>51</v>
      </c>
      <c r="CE9" s="2" t="s">
        <v>85</v>
      </c>
      <c r="CF9" s="19">
        <v>54</v>
      </c>
      <c r="CI9" s="2" t="s">
        <v>965</v>
      </c>
      <c r="CJ9" s="19">
        <v>39</v>
      </c>
      <c r="CL9" s="2" t="s">
        <v>925</v>
      </c>
      <c r="CM9" s="6">
        <v>73.92307692307692</v>
      </c>
      <c r="CP9" s="2" t="s">
        <v>80</v>
      </c>
      <c r="CQ9" s="4">
        <v>338980</v>
      </c>
      <c r="CS9" s="2">
        <v>5</v>
      </c>
      <c r="CT9" s="16">
        <v>0.158</v>
      </c>
    </row>
    <row r="10" spans="2:101" x14ac:dyDescent="0.3">
      <c r="O10" s="2" t="s">
        <v>164</v>
      </c>
      <c r="P10" s="19">
        <v>31</v>
      </c>
      <c r="Q10" s="19">
        <v>37</v>
      </c>
      <c r="R10" s="19">
        <v>68</v>
      </c>
      <c r="Z10" s="2" t="s">
        <v>966</v>
      </c>
      <c r="AA10" s="19">
        <v>52</v>
      </c>
      <c r="AC10" s="2" t="s">
        <v>954</v>
      </c>
      <c r="AD10" s="19">
        <v>500</v>
      </c>
      <c r="AL10" s="2" t="s">
        <v>47</v>
      </c>
      <c r="AM10" s="4">
        <v>500222</v>
      </c>
      <c r="AO10" s="2" t="s">
        <v>966</v>
      </c>
      <c r="AP10" s="4">
        <v>456287</v>
      </c>
      <c r="AW10" s="7" t="s">
        <v>995</v>
      </c>
      <c r="AX10" s="4">
        <v>599758</v>
      </c>
      <c r="BB10" s="2" t="s">
        <v>940</v>
      </c>
      <c r="BC10" s="4">
        <v>927109</v>
      </c>
      <c r="BE10" s="2" t="s">
        <v>940</v>
      </c>
      <c r="BF10" s="19">
        <v>97</v>
      </c>
      <c r="BH10" s="2" t="s">
        <v>945</v>
      </c>
      <c r="BI10" s="8">
        <v>3.0602409638554215</v>
      </c>
      <c r="BM10" s="2" t="s">
        <v>16</v>
      </c>
      <c r="BN10" s="8">
        <v>3.0810810810810811</v>
      </c>
      <c r="BO10" s="8"/>
      <c r="BQ10" s="2" t="s">
        <v>29</v>
      </c>
      <c r="BR10" s="6">
        <v>73.71621621621621</v>
      </c>
      <c r="BT10" s="2" t="s">
        <v>47</v>
      </c>
      <c r="BU10" s="12">
        <v>1.0431839821502178</v>
      </c>
      <c r="BW10" s="2" t="s">
        <v>38</v>
      </c>
      <c r="BX10" s="19">
        <v>40</v>
      </c>
      <c r="BY10" s="19">
        <v>44</v>
      </c>
      <c r="BZ10" s="19">
        <v>84</v>
      </c>
      <c r="CE10" s="2" t="s">
        <v>925</v>
      </c>
      <c r="CF10" s="19">
        <v>52</v>
      </c>
      <c r="CI10" s="2" t="s">
        <v>966</v>
      </c>
      <c r="CJ10" s="19">
        <v>52</v>
      </c>
      <c r="CL10" s="2" t="s">
        <v>924</v>
      </c>
      <c r="CM10" s="6">
        <v>73.603174603174608</v>
      </c>
      <c r="CP10" s="2" t="s">
        <v>85</v>
      </c>
      <c r="CQ10" s="4">
        <v>324608</v>
      </c>
      <c r="CS10" s="2" t="s">
        <v>954</v>
      </c>
      <c r="CT10" s="16">
        <v>1</v>
      </c>
    </row>
    <row r="11" spans="2:101" x14ac:dyDescent="0.3">
      <c r="O11" s="2" t="s">
        <v>80</v>
      </c>
      <c r="P11" s="19">
        <v>18</v>
      </c>
      <c r="Q11" s="19">
        <v>29</v>
      </c>
      <c r="R11" s="19">
        <v>47</v>
      </c>
      <c r="Z11" s="2" t="s">
        <v>967</v>
      </c>
      <c r="AA11" s="19">
        <v>41</v>
      </c>
      <c r="AL11" s="2" t="s">
        <v>954</v>
      </c>
      <c r="AM11" s="4">
        <v>4701124</v>
      </c>
      <c r="AO11" s="2" t="s">
        <v>967</v>
      </c>
      <c r="AP11" s="4">
        <v>423566</v>
      </c>
      <c r="AW11" s="7" t="s">
        <v>996</v>
      </c>
      <c r="AX11" s="4">
        <v>379963</v>
      </c>
      <c r="BB11" s="2" t="s">
        <v>954</v>
      </c>
      <c r="BC11" s="4">
        <v>4701124</v>
      </c>
      <c r="BE11" s="2" t="s">
        <v>954</v>
      </c>
      <c r="BF11" s="19">
        <v>500</v>
      </c>
      <c r="BH11" s="2" t="s">
        <v>954</v>
      </c>
      <c r="BI11" s="8">
        <v>2.9140000000000001</v>
      </c>
      <c r="BM11" s="2" t="s">
        <v>954</v>
      </c>
      <c r="BN11" s="8">
        <v>2.9140000000000001</v>
      </c>
      <c r="BO11" s="8"/>
      <c r="BQ11" s="2" t="s">
        <v>954</v>
      </c>
      <c r="BR11" s="6">
        <v>75.971999999999994</v>
      </c>
      <c r="BT11" s="2" t="s">
        <v>954</v>
      </c>
      <c r="BU11" s="10">
        <v>1</v>
      </c>
      <c r="BW11" s="2" t="s">
        <v>29</v>
      </c>
      <c r="BX11" s="19">
        <v>41</v>
      </c>
      <c r="BY11" s="19">
        <v>33</v>
      </c>
      <c r="BZ11" s="19">
        <v>74</v>
      </c>
      <c r="CE11" s="2" t="s">
        <v>80</v>
      </c>
      <c r="CF11" s="19">
        <v>47</v>
      </c>
      <c r="CI11" s="2" t="s">
        <v>967</v>
      </c>
      <c r="CJ11" s="19">
        <v>41</v>
      </c>
      <c r="CL11" s="2" t="s">
        <v>164</v>
      </c>
      <c r="CM11" s="6">
        <v>73.367647058823536</v>
      </c>
      <c r="CP11" s="2" t="s">
        <v>925</v>
      </c>
      <c r="CQ11" s="4">
        <v>323616</v>
      </c>
    </row>
    <row r="12" spans="2:101" x14ac:dyDescent="0.3">
      <c r="O12" s="2" t="s">
        <v>252</v>
      </c>
      <c r="P12" s="19">
        <v>43</v>
      </c>
      <c r="Q12" s="19">
        <v>28</v>
      </c>
      <c r="R12" s="19">
        <v>71</v>
      </c>
      <c r="Z12" s="2" t="s">
        <v>968</v>
      </c>
      <c r="AA12" s="19">
        <v>33</v>
      </c>
      <c r="AO12" s="2" t="s">
        <v>968</v>
      </c>
      <c r="AP12" s="4">
        <v>307723</v>
      </c>
      <c r="AW12" s="7" t="s">
        <v>997</v>
      </c>
      <c r="AX12" s="4">
        <v>36613</v>
      </c>
      <c r="BW12" s="2" t="s">
        <v>954</v>
      </c>
      <c r="BX12" s="19">
        <v>255</v>
      </c>
      <c r="BY12" s="19">
        <v>245</v>
      </c>
      <c r="BZ12" s="19">
        <v>500</v>
      </c>
      <c r="CE12" s="2" t="s">
        <v>927</v>
      </c>
      <c r="CF12" s="19">
        <v>47</v>
      </c>
      <c r="CI12" s="2" t="s">
        <v>968</v>
      </c>
      <c r="CJ12" s="19">
        <v>33</v>
      </c>
      <c r="CL12" s="2" t="s">
        <v>926</v>
      </c>
      <c r="CM12" s="6">
        <v>72.275510204081627</v>
      </c>
      <c r="CP12" s="2" t="s">
        <v>927</v>
      </c>
      <c r="CQ12" s="4">
        <v>298076</v>
      </c>
    </row>
    <row r="13" spans="2:101" x14ac:dyDescent="0.3">
      <c r="O13" s="2" t="s">
        <v>924</v>
      </c>
      <c r="P13" s="19">
        <v>32</v>
      </c>
      <c r="Q13" s="19">
        <v>31</v>
      </c>
      <c r="R13" s="19">
        <v>63</v>
      </c>
      <c r="Z13" s="2" t="s">
        <v>969</v>
      </c>
      <c r="AA13" s="19">
        <v>43</v>
      </c>
      <c r="AO13" s="2" t="s">
        <v>969</v>
      </c>
      <c r="AP13" s="4">
        <v>439416</v>
      </c>
      <c r="AW13" s="7" t="s">
        <v>954</v>
      </c>
      <c r="AX13" s="4">
        <v>4701124</v>
      </c>
      <c r="BU13" s="11"/>
      <c r="CE13" s="2" t="s">
        <v>954</v>
      </c>
      <c r="CF13" s="19">
        <v>500</v>
      </c>
      <c r="CI13" s="2" t="s">
        <v>969</v>
      </c>
      <c r="CJ13" s="19">
        <v>43</v>
      </c>
      <c r="CL13" s="2" t="s">
        <v>954</v>
      </c>
      <c r="CM13" s="6">
        <v>75.971999999999994</v>
      </c>
      <c r="CP13" s="2" t="s">
        <v>954</v>
      </c>
      <c r="CQ13" s="4">
        <v>3390733</v>
      </c>
    </row>
    <row r="14" spans="2:101" x14ac:dyDescent="0.3">
      <c r="O14" s="2" t="s">
        <v>954</v>
      </c>
      <c r="P14" s="19">
        <v>255</v>
      </c>
      <c r="Q14" s="19">
        <v>245</v>
      </c>
      <c r="R14" s="19">
        <v>500</v>
      </c>
      <c r="Z14" s="2" t="s">
        <v>970</v>
      </c>
      <c r="AA14" s="19">
        <v>34</v>
      </c>
      <c r="AO14" s="2" t="s">
        <v>970</v>
      </c>
      <c r="AP14" s="4">
        <v>325937</v>
      </c>
      <c r="BO14" s="8"/>
      <c r="BU14" s="11"/>
      <c r="CI14" s="2" t="s">
        <v>970</v>
      </c>
      <c r="CJ14" s="19">
        <v>34</v>
      </c>
    </row>
    <row r="15" spans="2:101" x14ac:dyDescent="0.3">
      <c r="Z15" s="2" t="s">
        <v>971</v>
      </c>
      <c r="AA15" s="19">
        <v>38</v>
      </c>
      <c r="AO15" s="2" t="s">
        <v>971</v>
      </c>
      <c r="AP15" s="4">
        <v>335945</v>
      </c>
      <c r="BO15" s="8"/>
      <c r="BU15" s="11"/>
      <c r="CI15" s="2" t="s">
        <v>971</v>
      </c>
      <c r="CJ15" s="19">
        <v>38</v>
      </c>
    </row>
    <row r="16" spans="2:101" x14ac:dyDescent="0.3">
      <c r="Z16" s="2" t="s">
        <v>972</v>
      </c>
      <c r="AA16" s="19">
        <v>47</v>
      </c>
      <c r="AO16" s="2" t="s">
        <v>972</v>
      </c>
      <c r="AP16" s="4">
        <v>462385</v>
      </c>
      <c r="BH16" t="str">
        <f>BH5</f>
        <v>Karan Mehta</v>
      </c>
      <c r="BI16" s="9" t="str">
        <f>REPT(_xlfn.UNICHAR(9733),INT(BI5)) &amp; IF(MOD(BI5,1)&gt;=0.5,_xlfn.UNICHAR(10032),"") &amp; REPT(_xlfn.UNICHAR(9734),5-INT(BI5)-IF(MOD(B2,1)&gt;=0.5,1,0))</f>
        <v>★★✰☆☆☆</v>
      </c>
      <c r="BJ16" t="str">
        <f>TEXT(BI5,"0.0")</f>
        <v>2.7</v>
      </c>
      <c r="BO16" s="8"/>
      <c r="BU16" s="11"/>
      <c r="CI16" s="2" t="s">
        <v>972</v>
      </c>
      <c r="CJ16" s="19">
        <v>47</v>
      </c>
    </row>
    <row r="17" spans="26:92" x14ac:dyDescent="0.3">
      <c r="Z17" s="2" t="s">
        <v>954</v>
      </c>
      <c r="AA17" s="19">
        <v>500</v>
      </c>
      <c r="AO17" s="2" t="s">
        <v>954</v>
      </c>
      <c r="AP17" s="4">
        <v>4701124</v>
      </c>
      <c r="BH17" t="str">
        <f t="shared" ref="BH17:BH21" si="0">BH6</f>
        <v>Priya Singh</v>
      </c>
      <c r="BI17" s="9" t="str">
        <f>REPT(_xlfn.UNICHAR(9733),INT(BI6)) &amp; IF(MOD(BI6,1)&gt;=0.5,_xlfn.UNICHAR(10032),"") &amp; REPT(_xlfn.UNICHAR(9734),5-INT(BI6)-IF(MOD(B3,1)&gt;=0.5,1,0))</f>
        <v>★★✰☆☆☆</v>
      </c>
      <c r="BJ17" t="str">
        <f t="shared" ref="BJ17:BJ21" si="1">TEXT(BI6,"0.0")</f>
        <v>2.8</v>
      </c>
      <c r="BO17" s="8"/>
      <c r="BU17" s="11"/>
      <c r="CI17" s="2" t="s">
        <v>954</v>
      </c>
      <c r="CJ17" s="19">
        <v>500</v>
      </c>
    </row>
    <row r="18" spans="26:92" x14ac:dyDescent="0.3">
      <c r="BH18" t="str">
        <f t="shared" si="0"/>
        <v>Sneha Verma</v>
      </c>
      <c r="BI18" s="9" t="str">
        <f>REPT(_xlfn.UNICHAR(9733),INT(BI7)) &amp; IF(MOD(BI7,1)&gt;=0.5,_xlfn.UNICHAR(10032),"") &amp; REPT(_xlfn.UNICHAR(9734),5-INT(BI7)-IF(MOD(BI7,1)&gt;=0.5,1,0))</f>
        <v>★★✰☆☆</v>
      </c>
      <c r="BJ18" t="str">
        <f t="shared" si="1"/>
        <v>2.9</v>
      </c>
      <c r="BO18" s="8"/>
      <c r="BU18" s="11"/>
    </row>
    <row r="19" spans="26:92" x14ac:dyDescent="0.3">
      <c r="BH19" t="str">
        <f t="shared" si="0"/>
        <v>Aarav Sharma</v>
      </c>
      <c r="BI19" s="9" t="str">
        <f>REPT(_xlfn.UNICHAR(9733),INT(BI8)) &amp; IF(MOD(BI8,1)&gt;=0.5,_xlfn.UNICHAR(10032),"") &amp; REPT(_xlfn.UNICHAR(9734),5-INT(BI8)-IF(MOD(B5,1)&gt;=0.5,1,0))</f>
        <v>★★★☆☆</v>
      </c>
      <c r="BJ19" t="str">
        <f t="shared" si="1"/>
        <v>3.0</v>
      </c>
      <c r="BO19" s="8"/>
      <c r="CM19" s="18"/>
      <c r="CN19" s="18"/>
    </row>
    <row r="20" spans="26:92" x14ac:dyDescent="0.3">
      <c r="BH20" t="str">
        <f t="shared" si="0"/>
        <v>Rahul Kapoor</v>
      </c>
      <c r="BI20" s="9" t="str">
        <f>REPT(_xlfn.UNICHAR(9733),INT(BI9)) &amp; IF(MOD(BI9,1)&gt;=0.5,_xlfn.UNICHAR(10032),"") &amp; REPT(_xlfn.UNICHAR(9734),5-INT(BI9)-IF(MOD(B6,1)&gt;=0.5,1,0))</f>
        <v>★★★☆☆</v>
      </c>
      <c r="BJ20" t="str">
        <f t="shared" si="1"/>
        <v>3.0</v>
      </c>
    </row>
    <row r="21" spans="26:92" x14ac:dyDescent="0.3">
      <c r="BH21" t="str">
        <f t="shared" si="0"/>
        <v>Riya Gupta</v>
      </c>
      <c r="BI21" s="9" t="str">
        <f>REPT(_xlfn.UNICHAR(9733),INT(BI10)) &amp; IF(MOD(BI10,1)&gt;=0.5,_xlfn.UNICHAR(10032),"") &amp; REPT(_xlfn.UNICHAR(9734),5-INT(BI10)-IF(MOD(B7,1)&gt;=0.5,1,0))</f>
        <v>★★★☆☆</v>
      </c>
      <c r="BJ21" t="str">
        <f t="shared" si="1"/>
        <v>3.1</v>
      </c>
    </row>
    <row r="33" spans="83:91" x14ac:dyDescent="0.3">
      <c r="CE33" t="str">
        <f>CE5</f>
        <v>COVID-19</v>
      </c>
      <c r="CF33">
        <f>CF5</f>
        <v>98</v>
      </c>
    </row>
    <row r="34" spans="83:91" x14ac:dyDescent="0.3">
      <c r="CE34" t="str">
        <f>CE6</f>
        <v>Migraine</v>
      </c>
      <c r="CF34">
        <f t="shared" ref="CF34:CF40" si="2">CF6</f>
        <v>71</v>
      </c>
    </row>
    <row r="35" spans="83:91" x14ac:dyDescent="0.3">
      <c r="CE35" t="str">
        <f t="shared" ref="CE35:CE39" si="3">CE7</f>
        <v>Fracture</v>
      </c>
      <c r="CF35">
        <f t="shared" si="2"/>
        <v>68</v>
      </c>
      <c r="CM35" s="6"/>
    </row>
    <row r="36" spans="83:91" x14ac:dyDescent="0.3">
      <c r="CE36" t="str">
        <f t="shared" si="3"/>
        <v>Skin Allergy</v>
      </c>
      <c r="CF36">
        <f t="shared" si="2"/>
        <v>63</v>
      </c>
      <c r="CM36" s="6"/>
    </row>
    <row r="37" spans="83:91" x14ac:dyDescent="0.3">
      <c r="CE37" t="str">
        <f t="shared" si="3"/>
        <v>Asthma</v>
      </c>
      <c r="CF37">
        <f t="shared" si="2"/>
        <v>54</v>
      </c>
      <c r="CM37" s="6"/>
    </row>
    <row r="38" spans="83:91" x14ac:dyDescent="0.3">
      <c r="CE38" t="str">
        <f t="shared" si="3"/>
        <v>Flu</v>
      </c>
      <c r="CF38">
        <f t="shared" si="2"/>
        <v>52</v>
      </c>
      <c r="CM38" s="6"/>
    </row>
    <row r="39" spans="83:91" x14ac:dyDescent="0.3">
      <c r="CE39" t="str">
        <f t="shared" si="3"/>
        <v>Hypertension</v>
      </c>
      <c r="CF39">
        <f t="shared" si="2"/>
        <v>47</v>
      </c>
      <c r="CM39" s="6"/>
    </row>
    <row r="40" spans="83:91" x14ac:dyDescent="0.3">
      <c r="CE40" t="str">
        <f>CE12</f>
        <v>Diabetes</v>
      </c>
      <c r="CF40">
        <f t="shared" si="2"/>
        <v>47</v>
      </c>
      <c r="CM40" s="6"/>
    </row>
    <row r="41" spans="83:91" x14ac:dyDescent="0.3">
      <c r="CM41" s="6"/>
    </row>
    <row r="42" spans="83:91" x14ac:dyDescent="0.3">
      <c r="CM42" s="6"/>
    </row>
  </sheetData>
  <mergeCells count="9">
    <mergeCell ref="CM19:CN19"/>
    <mergeCell ref="CL2:CM2"/>
    <mergeCell ref="CL3:CM3"/>
    <mergeCell ref="CP2:CQ2"/>
    <mergeCell ref="BM1:BP1"/>
    <mergeCell ref="BM2:BN2"/>
    <mergeCell ref="CE2:CF2"/>
    <mergeCell ref="CE1:CG1"/>
    <mergeCell ref="CI2:CJ2"/>
  </mergeCells>
  <pageMargins left="0.7" right="0.7" top="0.75" bottom="0.75" header="0.3" footer="0.3"/>
  <drawing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2852-DF8D-42AA-9FEB-F24171BF4A58}">
  <dimension ref="A1"/>
  <sheetViews>
    <sheetView showGridLines="0" tabSelected="1" zoomScale="80" zoomScaleNormal="80" workbookViewId="0"/>
  </sheetViews>
  <sheetFormatPr defaultRowHeight="14.4" x14ac:dyDescent="0.3"/>
  <cols>
    <col min="1" max="16384" width="8.88671875" style="3"/>
  </cols>
  <sheetData/>
  <sheetProtection autoFilter="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5560-1D89-4A83-8D03-887D842D38B0}">
  <dimension ref="A1"/>
  <sheetViews>
    <sheetView showGridLines="0" zoomScale="80" zoomScaleNormal="80"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E6BC9-343A-46EF-B075-0368CDD19DB1}">
  <dimension ref="A1"/>
  <sheetViews>
    <sheetView showGridLines="0" zoomScale="80" zoomScaleNormal="80"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D500-D852-430A-B4A3-103D4A7CF778}">
  <dimension ref="A1"/>
  <sheetViews>
    <sheetView showGridLines="0" zoomScale="80" zoomScaleNormal="80"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BCAC-F13E-4202-A3EF-C8BB651C0190}">
  <dimension ref="A1"/>
  <sheetViews>
    <sheetView showGridLines="0" zoomScale="80" zoomScaleNormal="80"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Pivot Table</vt:lpstr>
      <vt:lpstr>Overview</vt:lpstr>
      <vt:lpstr>Financial Analysis</vt:lpstr>
      <vt:lpstr>Doctor Performance</vt:lpstr>
      <vt:lpstr>Department Performance</vt:lpstr>
      <vt:lpstr>Patient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Singhal</dc:creator>
  <cp:lastModifiedBy>Khushi Singhal</cp:lastModifiedBy>
  <dcterms:created xsi:type="dcterms:W3CDTF">2026-04-14T08:52:21Z</dcterms:created>
  <dcterms:modified xsi:type="dcterms:W3CDTF">2026-08-23T07:53:58Z</dcterms:modified>
</cp:coreProperties>
</file>