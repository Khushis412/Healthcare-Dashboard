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35eda6f8e9cb60f2/Desktop/DASHBOARDS/"/>
    </mc:Choice>
  </mc:AlternateContent>
  <xr:revisionPtr revIDLastSave="1390" documentId="13_ncr:1_{DE7F3B79-E32D-4D3A-A644-22136AC4168C}" xr6:coauthVersionLast="47" xr6:coauthVersionMax="47" xr10:uidLastSave="{D6AB00D7-15AD-4172-B628-280941D3DC42}"/>
  <bookViews>
    <workbookView xWindow="-108" yWindow="-108" windowWidth="23256" windowHeight="13896" activeTab="2" xr2:uid="{84C91723-C13D-4848-BD8B-1881183D3C6A}"/>
  </bookViews>
  <sheets>
    <sheet name="Raw Data" sheetId="1" r:id="rId1"/>
    <sheet name="Pivot Tables" sheetId="4" r:id="rId2"/>
    <sheet name="Dashboard" sheetId="3" r:id="rId3"/>
  </sheets>
  <definedNames>
    <definedName name="Slicer_Department">#N/A</definedName>
    <definedName name="Slicer_Gender">#N/A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 i="1" l="1" a="1"/>
  <c r="AA3" i="1" a="1"/>
  <c r="AA3" i="1"/>
  <c r="AA4" i="1" a="1"/>
  <c r="AA4" i="1"/>
  <c r="AA5" i="1" a="1"/>
  <c r="AA6" i="1" a="1"/>
  <c r="AA7" i="1" a="1"/>
  <c r="AA7" i="1"/>
  <c r="AA8" i="1" a="1"/>
  <c r="AA9" i="1" a="1"/>
  <c r="AA10" i="1" a="1"/>
  <c r="AA10" i="1"/>
  <c r="AA11" i="1" a="1"/>
  <c r="AA11" i="1"/>
  <c r="AA12" i="1" a="1"/>
  <c r="AA13" i="1" a="1"/>
  <c r="AA14" i="1" a="1"/>
  <c r="AA14" i="1"/>
  <c r="AA15" i="1" a="1"/>
  <c r="AA16" i="1" a="1"/>
  <c r="AA17" i="1" a="1"/>
  <c r="AA17" i="1"/>
  <c r="AA18" i="1" a="1"/>
  <c r="AA19" i="1" a="1"/>
  <c r="AA20" i="1" a="1"/>
  <c r="AA20" i="1"/>
  <c r="AA21" i="1" a="1"/>
  <c r="AA22" i="1" a="1"/>
  <c r="AA23" i="1" a="1"/>
  <c r="AA24" i="1" a="1"/>
  <c r="AA25" i="1" a="1"/>
  <c r="AA26" i="1" a="1"/>
  <c r="AA26" i="1"/>
  <c r="AA27" i="1" a="1"/>
  <c r="AA28" i="1" a="1"/>
  <c r="AA29" i="1" a="1"/>
  <c r="AA29" i="1"/>
  <c r="AA30" i="1" a="1"/>
  <c r="AA31" i="1" a="1"/>
  <c r="AA32" i="1" a="1"/>
  <c r="AA32" i="1"/>
  <c r="AA33" i="1" a="1"/>
  <c r="AA34" i="1" a="1"/>
  <c r="AA35" i="1" a="1"/>
  <c r="AA36" i="1" a="1"/>
  <c r="AA37" i="1" a="1"/>
  <c r="AA38" i="1" a="1"/>
  <c r="AA39" i="1" a="1"/>
  <c r="AA40" i="1" a="1"/>
  <c r="AA41" i="1" a="1"/>
  <c r="AA42" i="1" a="1"/>
  <c r="AA43" i="1" a="1"/>
  <c r="AA44" i="1" a="1"/>
  <c r="AA44" i="1"/>
  <c r="AA45" i="1" a="1"/>
  <c r="AA46" i="1" a="1"/>
  <c r="AA47" i="1" a="1"/>
  <c r="AA47" i="1"/>
  <c r="AA48" i="1" a="1"/>
  <c r="AA49" i="1" a="1"/>
  <c r="AA49" i="1"/>
  <c r="AA50" i="1" a="1"/>
  <c r="AA51" i="1" a="1"/>
  <c r="AA52" i="1" a="1"/>
  <c r="AA53" i="1" a="1"/>
  <c r="AA53" i="1"/>
  <c r="AA54" i="1" a="1"/>
  <c r="AA55" i="1" a="1"/>
  <c r="AA56" i="1" a="1"/>
  <c r="AA57" i="1" a="1"/>
  <c r="AA58" i="1" a="1"/>
  <c r="AA58" i="1"/>
  <c r="AA59" i="1" a="1"/>
  <c r="AA60" i="1" a="1"/>
  <c r="AA61" i="1" a="1"/>
  <c r="AA62" i="1" a="1"/>
  <c r="AA63" i="1" a="1"/>
  <c r="AA63" i="1"/>
  <c r="AA64" i="1" a="1"/>
  <c r="AA64" i="1"/>
  <c r="AA65" i="1" a="1"/>
  <c r="AA66" i="1" a="1"/>
  <c r="AA67" i="1" a="1"/>
  <c r="AA67" i="1"/>
  <c r="AA68" i="1" a="1"/>
  <c r="AA69" i="1" a="1"/>
  <c r="AA70" i="1" a="1"/>
  <c r="AA70" i="1"/>
  <c r="AA71" i="1" a="1"/>
  <c r="AA72" i="1" a="1"/>
  <c r="AA73" i="1" a="1"/>
  <c r="AA73" i="1"/>
  <c r="AA74" i="1" a="1"/>
  <c r="AA75" i="1" a="1"/>
  <c r="AA76" i="1" a="1"/>
  <c r="AA76" i="1"/>
  <c r="AA77" i="1" a="1"/>
  <c r="AA78" i="1" a="1"/>
  <c r="AA79" i="1" a="1"/>
  <c r="AA80" i="1" a="1"/>
  <c r="AA81" i="1" a="1"/>
  <c r="AA82" i="1" a="1"/>
  <c r="AA83" i="1" a="1"/>
  <c r="AA84" i="1" a="1"/>
  <c r="AA85" i="1" a="1"/>
  <c r="AA86" i="1" a="1"/>
  <c r="AA87" i="1" a="1"/>
  <c r="AA88" i="1" a="1"/>
  <c r="AA89" i="1" a="1"/>
  <c r="AA90" i="1" a="1"/>
  <c r="AA91" i="1" a="1"/>
  <c r="AA92" i="1" a="1"/>
  <c r="AA93" i="1" a="1"/>
  <c r="AA94" i="1" a="1"/>
  <c r="AA95" i="1" a="1"/>
  <c r="AA96" i="1" a="1"/>
  <c r="AA97" i="1" a="1"/>
  <c r="AA98" i="1" a="1"/>
  <c r="AA99" i="1" a="1"/>
  <c r="AA100" i="1" a="1"/>
  <c r="AA101" i="1" a="1"/>
  <c r="AA102" i="1" a="1"/>
  <c r="AA103" i="1" a="1"/>
  <c r="AA104" i="1" a="1"/>
  <c r="AA105" i="1" a="1"/>
  <c r="AA106" i="1" a="1"/>
  <c r="AA107" i="1" a="1"/>
  <c r="AA108" i="1" a="1"/>
  <c r="AA109" i="1" a="1"/>
  <c r="AA110" i="1" a="1"/>
  <c r="AA111" i="1" a="1"/>
  <c r="AA112" i="1" a="1"/>
  <c r="AA113" i="1" a="1"/>
  <c r="AA114" i="1" a="1"/>
  <c r="AA115" i="1" a="1"/>
  <c r="AA116" i="1" a="1"/>
  <c r="AA117" i="1" a="1"/>
  <c r="AA118" i="1" a="1"/>
  <c r="AA119" i="1" a="1"/>
  <c r="AA120" i="1" a="1"/>
  <c r="AA121" i="1" a="1"/>
  <c r="AA122" i="1" a="1"/>
  <c r="AA123" i="1" a="1"/>
  <c r="AA124" i="1" a="1"/>
  <c r="AA125" i="1" a="1"/>
  <c r="AA126" i="1" a="1"/>
  <c r="AA127" i="1" a="1"/>
  <c r="AA128" i="1" a="1"/>
  <c r="AA129" i="1" a="1"/>
  <c r="AA130" i="1" a="1"/>
  <c r="AA131" i="1" a="1"/>
  <c r="AA132" i="1" a="1"/>
  <c r="AA133" i="1" a="1"/>
  <c r="AA134" i="1" a="1"/>
  <c r="AA135" i="1" a="1"/>
  <c r="AA135" i="1"/>
  <c r="AA136" i="1" a="1"/>
  <c r="AA137" i="1" a="1"/>
  <c r="AA138" i="1" a="1"/>
  <c r="AA139" i="1" a="1"/>
  <c r="AA140" i="1" a="1"/>
  <c r="AA141" i="1" a="1"/>
  <c r="AA142" i="1" a="1"/>
  <c r="AA143" i="1" a="1"/>
  <c r="AA144" i="1" a="1"/>
  <c r="AA145" i="1" a="1"/>
  <c r="AA146" i="1" a="1"/>
  <c r="AA146" i="1"/>
  <c r="AA147" i="1" a="1"/>
  <c r="AA148" i="1" a="1"/>
  <c r="AA149" i="1" a="1"/>
  <c r="AA150" i="1" a="1"/>
  <c r="AA151" i="1" a="1"/>
  <c r="AA152" i="1" a="1"/>
  <c r="AA153" i="1" a="1"/>
  <c r="AA154" i="1" a="1"/>
  <c r="AA155" i="1" a="1"/>
  <c r="AA156" i="1" a="1"/>
  <c r="AA157" i="1" a="1"/>
  <c r="AA158" i="1" a="1"/>
  <c r="AA159" i="1" a="1"/>
  <c r="AA160" i="1" a="1"/>
  <c r="AA161" i="1" a="1"/>
  <c r="AA162" i="1" a="1"/>
  <c r="AA163" i="1" a="1"/>
  <c r="AA164" i="1" a="1"/>
  <c r="AA165" i="1" a="1"/>
  <c r="AA166" i="1" a="1"/>
  <c r="AA167" i="1" a="1"/>
  <c r="AA168" i="1" a="1"/>
  <c r="AA169" i="1" a="1"/>
  <c r="AA170" i="1" a="1"/>
  <c r="AA171" i="1" a="1"/>
  <c r="AA172" i="1" a="1"/>
  <c r="AA173" i="1" a="1"/>
  <c r="AA174" i="1" a="1"/>
  <c r="AA175" i="1" a="1"/>
  <c r="AA176" i="1" a="1"/>
  <c r="AA177" i="1" a="1"/>
  <c r="AA178" i="1" a="1"/>
  <c r="AA179" i="1" a="1"/>
  <c r="AA180" i="1" a="1"/>
  <c r="AA181" i="1" a="1"/>
  <c r="AA182" i="1" a="1"/>
  <c r="AA183" i="1" a="1"/>
  <c r="AA184" i="1" a="1"/>
  <c r="AA185" i="1" a="1"/>
  <c r="AA186" i="1" a="1"/>
  <c r="AA187" i="1" a="1"/>
  <c r="AA188" i="1" a="1"/>
  <c r="AA189" i="1" a="1"/>
  <c r="AA190" i="1" a="1"/>
  <c r="AA191" i="1" a="1"/>
  <c r="AA192" i="1" a="1"/>
  <c r="AA193" i="1" a="1"/>
  <c r="AA194" i="1" a="1"/>
  <c r="AA195" i="1" a="1"/>
  <c r="AA196" i="1" a="1"/>
  <c r="AA197" i="1" a="1"/>
  <c r="AA198" i="1" a="1"/>
  <c r="AA199" i="1" a="1"/>
  <c r="AA200" i="1" a="1"/>
  <c r="AA201" i="1" a="1"/>
  <c r="J13" i="4"/>
  <c r="G12" i="4"/>
  <c r="G13" i="4"/>
  <c r="G14" i="4"/>
  <c r="G15" i="4"/>
  <c r="G11" i="4"/>
  <c r="F12" i="4"/>
  <c r="F13" i="4"/>
  <c r="F14" i="4"/>
  <c r="F15" i="4"/>
  <c r="F11" i="4"/>
  <c r="Z12" i="4"/>
  <c r="Z13" i="4"/>
  <c r="Z14" i="4"/>
  <c r="Z11" i="4"/>
  <c r="T13" i="4"/>
  <c r="T14" i="4"/>
  <c r="T15" i="4"/>
  <c r="T16" i="4"/>
  <c r="T17" i="4"/>
  <c r="T12" i="4"/>
  <c r="O13" i="4"/>
  <c r="O11" i="4"/>
  <c r="O12" i="4"/>
  <c r="O10" i="4"/>
  <c r="J18" i="4"/>
  <c r="J14" i="4"/>
  <c r="J15" i="4"/>
  <c r="J16" i="4"/>
  <c r="J17" i="4"/>
  <c r="E12" i="4"/>
  <c r="E13" i="4"/>
  <c r="E14" i="4"/>
  <c r="E15" i="4"/>
  <c r="E11" i="4"/>
  <c r="C11" i="4"/>
  <c r="C12" i="4"/>
  <c r="C10" i="4"/>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66" i="1"/>
  <c r="G66" i="1" s="1"/>
  <c r="F67" i="1"/>
  <c r="G67" i="1" s="1"/>
  <c r="F68" i="1"/>
  <c r="G68" i="1" s="1"/>
  <c r="F69" i="1"/>
  <c r="G69" i="1" s="1"/>
  <c r="F70" i="1"/>
  <c r="G70" i="1" s="1"/>
  <c r="F71" i="1"/>
  <c r="G71" i="1" s="1"/>
  <c r="F72" i="1"/>
  <c r="G72" i="1" s="1"/>
  <c r="F73" i="1"/>
  <c r="G73" i="1" s="1"/>
  <c r="F74" i="1"/>
  <c r="G74" i="1" s="1"/>
  <c r="F75" i="1"/>
  <c r="G75" i="1" s="1"/>
  <c r="F76" i="1"/>
  <c r="G76" i="1" s="1"/>
  <c r="F77" i="1"/>
  <c r="G77" i="1" s="1"/>
  <c r="F78" i="1"/>
  <c r="G78" i="1" s="1"/>
  <c r="F79" i="1"/>
  <c r="G79" i="1" s="1"/>
  <c r="F80" i="1"/>
  <c r="G80" i="1" s="1"/>
  <c r="F81" i="1"/>
  <c r="G81" i="1" s="1"/>
  <c r="F82" i="1"/>
  <c r="G82" i="1" s="1"/>
  <c r="F83" i="1"/>
  <c r="G83" i="1" s="1"/>
  <c r="F84" i="1"/>
  <c r="G84" i="1" s="1"/>
  <c r="F85" i="1"/>
  <c r="G85" i="1" s="1"/>
  <c r="F86" i="1"/>
  <c r="G86" i="1" s="1"/>
  <c r="F87" i="1"/>
  <c r="G87" i="1" s="1"/>
  <c r="F88" i="1"/>
  <c r="G88" i="1" s="1"/>
  <c r="F89" i="1"/>
  <c r="G89" i="1" s="1"/>
  <c r="F90" i="1"/>
  <c r="G90" i="1" s="1"/>
  <c r="F91" i="1"/>
  <c r="G91" i="1" s="1"/>
  <c r="F92" i="1"/>
  <c r="G92" i="1" s="1"/>
  <c r="F93" i="1"/>
  <c r="G93" i="1" s="1"/>
  <c r="F94" i="1"/>
  <c r="G94" i="1" s="1"/>
  <c r="F95" i="1"/>
  <c r="G95" i="1" s="1"/>
  <c r="F96" i="1"/>
  <c r="G96" i="1" s="1"/>
  <c r="F97" i="1"/>
  <c r="G97" i="1" s="1"/>
  <c r="F98" i="1"/>
  <c r="G98" i="1" s="1"/>
  <c r="F99" i="1"/>
  <c r="G99" i="1" s="1"/>
  <c r="F100" i="1"/>
  <c r="G100" i="1" s="1"/>
  <c r="F101" i="1"/>
  <c r="G101" i="1" s="1"/>
  <c r="F102" i="1"/>
  <c r="G102" i="1" s="1"/>
  <c r="F103" i="1"/>
  <c r="G103" i="1" s="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F122" i="1"/>
  <c r="G122" i="1" s="1"/>
  <c r="F123" i="1"/>
  <c r="G123" i="1" s="1"/>
  <c r="F124" i="1"/>
  <c r="G124" i="1" s="1"/>
  <c r="F125" i="1"/>
  <c r="G125" i="1" s="1"/>
  <c r="F126" i="1"/>
  <c r="G126" i="1" s="1"/>
  <c r="F127" i="1"/>
  <c r="G127" i="1" s="1"/>
  <c r="F128" i="1"/>
  <c r="G128" i="1" s="1"/>
  <c r="F129" i="1"/>
  <c r="G129" i="1" s="1"/>
  <c r="F130" i="1"/>
  <c r="G130" i="1" s="1"/>
  <c r="F131" i="1"/>
  <c r="G131" i="1" s="1"/>
  <c r="F132" i="1"/>
  <c r="G132" i="1" s="1"/>
  <c r="F133" i="1"/>
  <c r="G133" i="1" s="1"/>
  <c r="F134" i="1"/>
  <c r="G134" i="1" s="1"/>
  <c r="F135" i="1"/>
  <c r="G135" i="1" s="1"/>
  <c r="F136" i="1"/>
  <c r="G136" i="1" s="1"/>
  <c r="F137" i="1"/>
  <c r="G137" i="1" s="1"/>
  <c r="F138" i="1"/>
  <c r="G138" i="1" s="1"/>
  <c r="F139" i="1"/>
  <c r="G139" i="1" s="1"/>
  <c r="F140" i="1"/>
  <c r="G140" i="1" s="1"/>
  <c r="F141" i="1"/>
  <c r="G141" i="1" s="1"/>
  <c r="F142" i="1"/>
  <c r="G142" i="1" s="1"/>
  <c r="F143" i="1"/>
  <c r="G143" i="1" s="1"/>
  <c r="F144" i="1"/>
  <c r="G144" i="1" s="1"/>
  <c r="F145" i="1"/>
  <c r="G145" i="1" s="1"/>
  <c r="F146" i="1"/>
  <c r="G146" i="1" s="1"/>
  <c r="F147" i="1"/>
  <c r="G147" i="1" s="1"/>
  <c r="F148" i="1"/>
  <c r="G148" i="1" s="1"/>
  <c r="F149" i="1"/>
  <c r="G149" i="1" s="1"/>
  <c r="F150" i="1"/>
  <c r="G150" i="1" s="1"/>
  <c r="F151" i="1"/>
  <c r="G151" i="1" s="1"/>
  <c r="F152" i="1"/>
  <c r="G152" i="1" s="1"/>
  <c r="F153" i="1"/>
  <c r="G153" i="1" s="1"/>
  <c r="F154" i="1"/>
  <c r="G154" i="1" s="1"/>
  <c r="F155" i="1"/>
  <c r="G155" i="1" s="1"/>
  <c r="F156" i="1"/>
  <c r="G156" i="1" s="1"/>
  <c r="F157" i="1"/>
  <c r="G157" i="1" s="1"/>
  <c r="F158" i="1"/>
  <c r="G158" i="1" s="1"/>
  <c r="F159" i="1"/>
  <c r="G159" i="1" s="1"/>
  <c r="F160" i="1"/>
  <c r="G160" i="1" s="1"/>
  <c r="F161" i="1"/>
  <c r="G161" i="1" s="1"/>
  <c r="F162" i="1"/>
  <c r="G162" i="1" s="1"/>
  <c r="F163" i="1"/>
  <c r="G163" i="1" s="1"/>
  <c r="F164" i="1"/>
  <c r="G164" i="1" s="1"/>
  <c r="F165" i="1"/>
  <c r="G165" i="1" s="1"/>
  <c r="F166" i="1"/>
  <c r="G166" i="1" s="1"/>
  <c r="F167" i="1"/>
  <c r="G167" i="1" s="1"/>
  <c r="F168" i="1"/>
  <c r="G168" i="1" s="1"/>
  <c r="F169" i="1"/>
  <c r="G169" i="1" s="1"/>
  <c r="F170" i="1"/>
  <c r="G170" i="1" s="1"/>
  <c r="F171" i="1"/>
  <c r="G171" i="1" s="1"/>
  <c r="F172" i="1"/>
  <c r="G172" i="1" s="1"/>
  <c r="F173" i="1"/>
  <c r="G173" i="1" s="1"/>
  <c r="F174" i="1"/>
  <c r="G174" i="1" s="1"/>
  <c r="F175" i="1"/>
  <c r="G175" i="1" s="1"/>
  <c r="F176" i="1"/>
  <c r="G176" i="1" s="1"/>
  <c r="F177" i="1"/>
  <c r="G177" i="1" s="1"/>
  <c r="F178" i="1"/>
  <c r="G178" i="1" s="1"/>
  <c r="F179" i="1"/>
  <c r="G179" i="1" s="1"/>
  <c r="F180" i="1"/>
  <c r="G180" i="1" s="1"/>
  <c r="F181" i="1"/>
  <c r="G181" i="1" s="1"/>
  <c r="F182" i="1"/>
  <c r="G182" i="1" s="1"/>
  <c r="F183" i="1"/>
  <c r="G183" i="1" s="1"/>
  <c r="F184" i="1"/>
  <c r="G184" i="1" s="1"/>
  <c r="F185" i="1"/>
  <c r="G185" i="1" s="1"/>
  <c r="F186" i="1"/>
  <c r="G186" i="1" s="1"/>
  <c r="F187" i="1"/>
  <c r="G187" i="1" s="1"/>
  <c r="F188" i="1"/>
  <c r="G188" i="1" s="1"/>
  <c r="F189" i="1"/>
  <c r="G189" i="1" s="1"/>
  <c r="F190" i="1"/>
  <c r="G190" i="1" s="1"/>
  <c r="F191" i="1"/>
  <c r="G191" i="1" s="1"/>
  <c r="F192" i="1"/>
  <c r="G192" i="1" s="1"/>
  <c r="F193" i="1"/>
  <c r="G193" i="1" s="1"/>
  <c r="F194" i="1"/>
  <c r="G194" i="1" s="1"/>
  <c r="F195" i="1"/>
  <c r="G195" i="1" s="1"/>
  <c r="F196" i="1"/>
  <c r="G196" i="1" s="1"/>
  <c r="F197" i="1"/>
  <c r="G197" i="1" s="1"/>
  <c r="F198" i="1"/>
  <c r="G198" i="1" s="1"/>
  <c r="F199" i="1"/>
  <c r="G199" i="1" s="1"/>
  <c r="F200" i="1"/>
  <c r="G200" i="1" s="1"/>
  <c r="F201" i="1"/>
  <c r="G201" i="1" s="1"/>
  <c r="F2" i="1"/>
  <c r="G2" i="1" s="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 i="1"/>
  <c r="D3" i="1"/>
  <c r="D4" i="1"/>
  <c r="D5" i="1"/>
  <c r="D6" i="1"/>
  <c r="D7" i="1"/>
  <c r="D8" i="1"/>
  <c r="D9" i="1"/>
  <c r="D10" i="1"/>
  <c r="D11" i="1"/>
  <c r="D12" i="1"/>
  <c r="D13" i="1"/>
  <c r="D14" i="1"/>
  <c r="D15" i="1"/>
  <c r="D16" i="1"/>
  <c r="D17" i="1"/>
  <c r="D18" i="1"/>
  <c r="D19" i="1"/>
  <c r="D20" i="1"/>
  <c r="D21" i="1"/>
  <c r="D22" i="1"/>
  <c r="J22" i="4"/>
  <c r="J21" i="4"/>
  <c r="J23" i="4" s="1"/>
  <c r="AA128" i="1" l="1"/>
  <c r="AA118" i="1"/>
  <c r="AA119" i="1"/>
  <c r="AA123" i="1"/>
  <c r="AA117" i="1"/>
  <c r="AA120" i="1"/>
  <c r="AA60" i="1"/>
  <c r="AA103" i="1"/>
  <c r="AA105" i="1"/>
  <c r="AA107" i="1"/>
  <c r="AA109" i="1"/>
  <c r="AA111" i="1"/>
  <c r="AA113" i="1"/>
  <c r="AA115" i="1"/>
  <c r="AA104" i="1"/>
  <c r="AA106" i="1"/>
  <c r="AA108" i="1"/>
  <c r="AA110" i="1"/>
  <c r="AA112" i="1"/>
  <c r="AA114" i="1"/>
  <c r="AA116" i="1"/>
  <c r="AA153" i="1"/>
  <c r="AA121" i="1"/>
  <c r="AA124" i="1"/>
  <c r="AA126" i="1"/>
  <c r="AA129" i="1"/>
  <c r="AA131" i="1"/>
  <c r="AA133" i="1"/>
  <c r="AA136" i="1"/>
  <c r="AA138" i="1"/>
  <c r="AA140" i="1"/>
  <c r="AA144" i="1"/>
  <c r="AA147" i="1"/>
  <c r="AA149" i="1"/>
  <c r="AA151" i="1"/>
  <c r="AA154" i="1"/>
  <c r="AA156" i="1"/>
  <c r="AA183" i="1"/>
  <c r="AA201" i="1"/>
  <c r="AA122" i="1"/>
  <c r="AA125" i="1"/>
  <c r="AA127" i="1"/>
  <c r="AA130" i="1"/>
  <c r="AA132" i="1"/>
  <c r="AA134" i="1"/>
  <c r="AA137" i="1"/>
  <c r="AA139" i="1"/>
  <c r="AA141" i="1"/>
  <c r="AA143" i="1"/>
  <c r="AA145" i="1"/>
  <c r="AA148" i="1"/>
  <c r="AA150" i="1"/>
  <c r="AA152" i="1"/>
  <c r="AA155" i="1"/>
  <c r="AA163" i="1"/>
  <c r="AA165" i="1"/>
  <c r="AA179" i="1"/>
  <c r="AA5" i="1"/>
  <c r="AA8" i="1"/>
  <c r="AA12" i="1"/>
  <c r="AA15" i="1"/>
  <c r="AA18" i="1"/>
  <c r="AA21" i="1"/>
  <c r="AA24" i="1"/>
  <c r="AA27" i="1"/>
  <c r="AA45" i="1"/>
  <c r="AA181" i="1"/>
  <c r="AA2" i="1"/>
  <c r="AA6" i="1"/>
  <c r="AA9" i="1"/>
  <c r="AA13" i="1"/>
  <c r="AA16" i="1"/>
  <c r="AA19" i="1"/>
  <c r="AA25" i="1"/>
  <c r="AA28" i="1"/>
  <c r="AA43" i="1"/>
  <c r="AA46" i="1"/>
  <c r="AA23" i="1"/>
  <c r="AA31" i="1"/>
  <c r="AA34" i="1"/>
  <c r="AA36" i="1"/>
  <c r="AA38" i="1"/>
  <c r="AA40" i="1"/>
  <c r="AA85" i="1"/>
  <c r="AA98" i="1"/>
  <c r="AA101" i="1"/>
  <c r="AA100" i="1"/>
  <c r="AA102" i="1"/>
  <c r="AA142" i="1"/>
  <c r="AA189" i="1"/>
  <c r="AA191" i="1"/>
  <c r="AA197" i="1"/>
  <c r="AA199" i="1"/>
  <c r="AA22" i="1"/>
  <c r="AA30" i="1"/>
  <c r="AA33" i="1"/>
  <c r="AA35" i="1"/>
  <c r="AA37" i="1"/>
  <c r="AA39" i="1"/>
  <c r="AA41" i="1"/>
  <c r="AA99" i="1"/>
  <c r="AA42" i="1"/>
  <c r="AA79" i="1"/>
  <c r="AA88" i="1"/>
  <c r="AA93" i="1"/>
  <c r="AA97" i="1"/>
  <c r="AA90" i="1"/>
  <c r="AA96" i="1"/>
  <c r="AA92" i="1"/>
  <c r="AA95" i="1"/>
  <c r="AA91" i="1"/>
  <c r="AA82" i="1"/>
  <c r="AA94" i="1"/>
  <c r="AA48" i="1"/>
  <c r="AA52" i="1"/>
  <c r="AA55" i="1"/>
  <c r="AA57" i="1"/>
  <c r="AA59" i="1"/>
  <c r="AA62" i="1"/>
  <c r="AA66" i="1"/>
  <c r="AA69" i="1"/>
  <c r="AA72" i="1"/>
  <c r="AA75" i="1"/>
  <c r="AA78" i="1"/>
  <c r="AA81" i="1"/>
  <c r="AA84" i="1"/>
  <c r="AA87" i="1"/>
  <c r="AA50" i="1"/>
  <c r="AA51" i="1"/>
  <c r="AA54" i="1"/>
  <c r="AA56" i="1"/>
  <c r="AA61" i="1"/>
  <c r="AA65" i="1"/>
  <c r="AA68" i="1"/>
  <c r="AA71" i="1"/>
  <c r="AA74" i="1"/>
  <c r="AA77" i="1"/>
  <c r="AA80" i="1"/>
  <c r="AA83" i="1"/>
  <c r="AA86" i="1"/>
  <c r="AA89" i="1"/>
  <c r="AA157" i="1"/>
  <c r="AA158" i="1"/>
  <c r="AA160" i="1"/>
  <c r="AA162" i="1"/>
  <c r="AA164" i="1"/>
  <c r="AA167" i="1"/>
  <c r="AA169" i="1"/>
  <c r="AA171" i="1"/>
  <c r="AA173" i="1"/>
  <c r="AA175" i="1"/>
  <c r="AA177" i="1"/>
  <c r="AA180" i="1"/>
  <c r="AA184" i="1"/>
  <c r="AA186" i="1"/>
  <c r="AA188" i="1"/>
  <c r="AA192" i="1"/>
  <c r="AA194" i="1"/>
  <c r="AA196" i="1"/>
  <c r="AA200" i="1"/>
  <c r="AA159" i="1"/>
  <c r="AA161" i="1"/>
  <c r="AA166" i="1"/>
  <c r="AA168" i="1"/>
  <c r="AA170" i="1"/>
  <c r="AA172" i="1"/>
  <c r="AA174" i="1"/>
  <c r="AA176" i="1"/>
  <c r="AA178" i="1"/>
  <c r="AA182" i="1"/>
  <c r="AA185" i="1"/>
  <c r="AA187" i="1"/>
  <c r="AA190" i="1"/>
  <c r="AA193" i="1"/>
  <c r="AA195" i="1"/>
  <c r="AA198" i="1"/>
  <c r="Z15" i="4"/>
  <c r="K22" i="4"/>
  <c r="L22" i="4" s="1"/>
  <c r="K21" i="4"/>
  <c r="L21" i="4" s="1"/>
  <c r="N15" i="4"/>
  <c r="O15" i="4" s="1"/>
  <c r="N17" i="4"/>
  <c r="O17" i="4" s="1"/>
  <c r="N16" i="4"/>
  <c r="O16" i="4" s="1"/>
  <c r="C1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<sst xmlns="http://schemas.openxmlformats.org/spreadsheetml/2006/main" count="3519" uniqueCount="897">
  <si>
    <t>E001</t>
  </si>
  <si>
    <t>E002</t>
  </si>
  <si>
    <t>E003</t>
  </si>
  <si>
    <t>E004</t>
  </si>
  <si>
    <t>E005</t>
  </si>
  <si>
    <t>E006</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</si>
  <si>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</si>
  <si>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</si>
  <si>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</si>
  <si>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</si>
  <si>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</si>
  <si>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</si>
  <si>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</si>
  <si>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</si>
  <si>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</si>
  <si>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</si>
  <si>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</si>
  <si>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</si>
  <si>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</si>
  <si>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</si>
  <si>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</si>
  <si>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</si>
  <si>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</si>
  <si>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</si>
  <si>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</si>
  <si>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</si>
  <si>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</si>
  <si>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</si>
  <si>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</si>
  <si>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</si>
  <si>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</si>
  <si>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</si>
  <si>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</si>
  <si>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</si>
  <si>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</si>
  <si>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</si>
  <si>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</si>
  <si>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</si>
  <si>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</si>
  <si>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</si>
  <si>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</si>
  <si>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</si>
  <si>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</si>
  <si>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</si>
  <si>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</si>
  <si>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</si>
  <si>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</si>
  <si>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</si>
  <si>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</si>
  <si>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</si>
  <si>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</si>
  <si>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</si>
  <si>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</si>
  <si>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</si>
  <si>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</si>
  <si>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</si>
  <si>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</si>
  <si>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</si>
  <si>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</si>
  <si>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</si>
  <si>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</si>
  <si>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</si>
  <si>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</si>
  <si>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</si>
  <si>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</si>
  <si>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</si>
  <si>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</si>
  <si>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</si>
  <si>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</si>
  <si>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</si>
  <si>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</si>
  <si>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</si>
  <si>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</si>
  <si>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</si>
  <si>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</si>
  <si>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</si>
  <si>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</si>
  <si>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</si>
  <si>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</si>
  <si>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</si>
  <si>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</si>
  <si>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</si>
  <si>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</si>
  <si>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</si>
  <si>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</si>
  <si>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</si>
  <si>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</si>
  <si>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</si>
  <si>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</si>
  <si>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</si>
  <si>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</si>
  <si>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</si>
  <si>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</si>
  <si>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</si>
  <si>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</si>
  <si>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</si>
  <si>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</si>
  <si>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</si>
  <si>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</si>
  <si>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</si>
  <si>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E101</t>
  </si>
  <si>
    <t>E102</t>
  </si>
  <si>
    <t>E103</t>
  </si>
  <si>
    <t>E104</t>
  </si>
  <si>
    <t>E105</t>
  </si>
  <si>
    <t>E106</t>
  </si>
  <si>
    <t>E107</t>
  </si>
  <si>
    <t>E108</t>
  </si>
  <si>
    <t>E109</t>
  </si>
  <si>
    <t>E110</t>
  </si>
  <si>
    <t>E111</t>
  </si>
  <si>
    <t>E112</t>
  </si>
  <si>
    <t>E113</t>
  </si>
  <si>
    <t>E114</t>
  </si>
  <si>
    <t>E115</t>
  </si>
  <si>
    <t>E116</t>
  </si>
  <si>
    <t>E117</t>
  </si>
  <si>
    <t>E118</t>
  </si>
  <si>
    <t>E119</t>
  </si>
  <si>
    <t>E120</t>
  </si>
  <si>
    <t>E121</t>
  </si>
  <si>
    <t>E122</t>
  </si>
  <si>
    <t>E123</t>
  </si>
  <si>
    <t>E124</t>
  </si>
  <si>
    <t>E125</t>
  </si>
  <si>
    <t>E126</t>
  </si>
  <si>
    <t>E127</t>
  </si>
  <si>
    <t>E128</t>
  </si>
  <si>
    <t>E129</t>
  </si>
  <si>
    <t>E130</t>
  </si>
  <si>
    <t>E131</t>
  </si>
  <si>
    <t>E132</t>
  </si>
  <si>
    <t>E133</t>
  </si>
  <si>
    <t>E134</t>
  </si>
  <si>
    <t>E135</t>
  </si>
  <si>
    <t>E136</t>
  </si>
  <si>
    <t>E137</t>
  </si>
  <si>
    <t>E138</t>
  </si>
  <si>
    <t>E139</t>
  </si>
  <si>
    <t>E140</t>
  </si>
  <si>
    <t>E141</t>
  </si>
  <si>
    <t>E142</t>
  </si>
  <si>
    <t>E143</t>
  </si>
  <si>
    <t>E144</t>
  </si>
  <si>
    <t>E145</t>
  </si>
  <si>
    <t>E146</t>
  </si>
  <si>
    <t>E147</t>
  </si>
  <si>
    <t>E148</t>
  </si>
  <si>
    <t>E149</t>
  </si>
  <si>
    <t>E150</t>
  </si>
  <si>
    <t>E151</t>
  </si>
  <si>
    <t>E152</t>
  </si>
  <si>
    <t>E153</t>
  </si>
  <si>
    <t>E154</t>
  </si>
  <si>
    <t>E155</t>
  </si>
  <si>
    <t>E156</t>
  </si>
  <si>
    <t>E157</t>
  </si>
  <si>
    <t>E158</t>
  </si>
  <si>
    <t>E159</t>
  </si>
  <si>
    <t>E160</t>
  </si>
  <si>
    <t>E161</t>
  </si>
  <si>
    <t>E162</t>
  </si>
  <si>
    <t>E163</t>
  </si>
  <si>
    <t>E164</t>
  </si>
  <si>
    <t>E165</t>
  </si>
  <si>
    <t>E166</t>
  </si>
  <si>
    <t>E167</t>
  </si>
  <si>
    <t>E168</t>
  </si>
  <si>
    <t>E169</t>
  </si>
  <si>
    <t>E170</t>
  </si>
  <si>
    <t>E171</t>
  </si>
  <si>
    <t>E172</t>
  </si>
  <si>
    <t>E173</t>
  </si>
  <si>
    <t>E174</t>
  </si>
  <si>
    <t>E175</t>
  </si>
  <si>
    <t>E176</t>
  </si>
  <si>
    <t>E177</t>
  </si>
  <si>
    <t>E178</t>
  </si>
  <si>
    <t>E179</t>
  </si>
  <si>
    <t>E180</t>
  </si>
  <si>
    <t>E181</t>
  </si>
  <si>
    <t>E182</t>
  </si>
  <si>
    <t>E183</t>
  </si>
  <si>
    <t>E184</t>
  </si>
  <si>
    <t>E185</t>
  </si>
  <si>
    <t>E186</t>
  </si>
  <si>
    <t>E187</t>
  </si>
  <si>
    <t>E188</t>
  </si>
  <si>
    <t>E189</t>
  </si>
  <si>
    <t>E190</t>
  </si>
  <si>
    <t>E191</t>
  </si>
  <si>
    <t>E192</t>
  </si>
  <si>
    <t>E193</t>
  </si>
  <si>
    <t>E194</t>
  </si>
  <si>
    <t>E195</t>
  </si>
  <si>
    <t>E196</t>
  </si>
  <si>
    <t>E197</t>
  </si>
  <si>
    <t>E198</t>
  </si>
  <si>
    <t>E199</t>
  </si>
  <si>
    <t>E200</t>
  </si>
  <si>
    <t>Emp_ID</t>
  </si>
  <si>
    <t>Aarav Sharma</t>
  </si>
  <si>
    <t>Mr.</t>
  </si>
  <si>
    <t>Ananya Patel</t>
  </si>
  <si>
    <t>Ms.</t>
  </si>
  <si>
    <t>Rohan Kapoor</t>
  </si>
  <si>
    <t>Sneha Singh</t>
  </si>
  <si>
    <t>Aditya Mehra</t>
  </si>
  <si>
    <t>Kavya Joshi</t>
  </si>
  <si>
    <t>Siddharth Nair</t>
  </si>
  <si>
    <t>Meera Iyer</t>
  </si>
  <si>
    <t>Rajesh Deshmukh</t>
  </si>
  <si>
    <t>Ishita Chatterjee</t>
  </si>
  <si>
    <t>Harsh Malhotra</t>
  </si>
  <si>
    <t>Tanya Bhatia</t>
  </si>
  <si>
    <t>Varun Khanna</t>
  </si>
  <si>
    <t>Aditi Rao</t>
  </si>
  <si>
    <t>Yash Saxena</t>
  </si>
  <si>
    <t>Nisha Verma</t>
  </si>
  <si>
    <t>Mohit Kulkarni</t>
  </si>
  <si>
    <t>Komal Reddy</t>
  </si>
  <si>
    <t>Sandeep Banerjee</t>
  </si>
  <si>
    <t>Radhika Gupta</t>
  </si>
  <si>
    <t>Chirag Mishra</t>
  </si>
  <si>
    <t>Divya Thakur</t>
  </si>
  <si>
    <t>Abhishek Menon</t>
  </si>
  <si>
    <t>Sonali Dutta</t>
  </si>
  <si>
    <t>Sameer Pillai</t>
  </si>
  <si>
    <t>Shruti Mehra</t>
  </si>
  <si>
    <t>Ajay Saxena</t>
  </si>
  <si>
    <t>Pallavi Kapoor</t>
  </si>
  <si>
    <t>Kunal Joshi</t>
  </si>
  <si>
    <t>Shreya Nair</t>
  </si>
  <si>
    <t>Pranav Iyer</t>
  </si>
  <si>
    <t>Pooja Deshmukh</t>
  </si>
  <si>
    <t>Deepak Malhotra</t>
  </si>
  <si>
    <t>Alisha Bhatia</t>
  </si>
  <si>
    <t>Kartik Khanna</t>
  </si>
  <si>
    <t>Swati Rao</t>
  </si>
  <si>
    <t>Nikhil Saxena</t>
  </si>
  <si>
    <t>Ishita Verma</t>
  </si>
  <si>
    <t>Rohit Kulkarni</t>
  </si>
  <si>
    <t>Bhavna Reddy</t>
  </si>
  <si>
    <t>Manish Banerjee</t>
  </si>
  <si>
    <t>Charu Gupta</t>
  </si>
  <si>
    <t>Devendra Mishra</t>
  </si>
  <si>
    <t>Jyoti Thakur</t>
  </si>
  <si>
    <t>Chirag Menon</t>
  </si>
  <si>
    <t>Riya Dutta</t>
  </si>
  <si>
    <t>Aniket Pillai</t>
  </si>
  <si>
    <t>Sneha Mehra</t>
  </si>
  <si>
    <t>Salutation</t>
  </si>
  <si>
    <t>Arvind Sharma</t>
  </si>
  <si>
    <t>Ritu Kapoor</t>
  </si>
  <si>
    <t>Suresh Singh</t>
  </si>
  <si>
    <t>Nandini Joshi</t>
  </si>
  <si>
    <t>Prakash Nair</t>
  </si>
  <si>
    <t>Shweta Iyer</t>
  </si>
  <si>
    <t>Anil Deshmukh</t>
  </si>
  <si>
    <t>Kritika Chatterjee</t>
  </si>
  <si>
    <t>Vijay Malhotra</t>
  </si>
  <si>
    <t>Poonam Bhatia</t>
  </si>
  <si>
    <t>Rajeev Khanna</t>
  </si>
  <si>
    <t>Sneha Rao</t>
  </si>
  <si>
    <t>Manoj Saxena</t>
  </si>
  <si>
    <t>Aishwarya Verma</t>
  </si>
  <si>
    <t>Ramesh Kulkarni</t>
  </si>
  <si>
    <t>Priyanka Reddy</t>
  </si>
  <si>
    <t>Ashwin Banerjee</t>
  </si>
  <si>
    <t>Kavita Gupta</t>
  </si>
  <si>
    <t>Shyam Mishra</t>
  </si>
  <si>
    <t>Rekha Thakur</t>
  </si>
  <si>
    <t>Gopal Menon</t>
  </si>
  <si>
    <t>Anjali Dutta</t>
  </si>
  <si>
    <t>Nitin Pillai</t>
  </si>
  <si>
    <t>Divya Mehra</t>
  </si>
  <si>
    <t>Harish Sharma</t>
  </si>
  <si>
    <t>Roshni Kapoor</t>
  </si>
  <si>
    <t>Vinod Singh</t>
  </si>
  <si>
    <t>Tanvi Joshi</t>
  </si>
  <si>
    <t>Ajit Nair</t>
  </si>
  <si>
    <t>Bhavna Iyer</t>
  </si>
  <si>
    <t>Keshav Deshmukh</t>
  </si>
  <si>
    <t>Shruti Chatterjee</t>
  </si>
  <si>
    <t>Om Malhotra</t>
  </si>
  <si>
    <t>Pallavi Bhatia</t>
  </si>
  <si>
    <t>Raghav Khanna</t>
  </si>
  <si>
    <t>Kusum Rao</t>
  </si>
  <si>
    <t>Sunil Saxena</t>
  </si>
  <si>
    <t>Neha Verma</t>
  </si>
  <si>
    <t>Dheeraj Kulkarni</t>
  </si>
  <si>
    <t>Alka Reddy</t>
  </si>
  <si>
    <t>Jatin Banerjee</t>
  </si>
  <si>
    <t>Mohan Mishra</t>
  </si>
  <si>
    <t>Shalini Thakur</t>
  </si>
  <si>
    <t>Kiran Menon</t>
  </si>
  <si>
    <t>Payal Dutta</t>
  </si>
  <si>
    <t>Ashok Pillai</t>
  </si>
  <si>
    <t>Geeta Mehra</t>
  </si>
  <si>
    <t>Raghunath Sharma</t>
  </si>
  <si>
    <t>Simran Kapoor</t>
  </si>
  <si>
    <t>Devendra Singh</t>
  </si>
  <si>
    <t>Lavanya Joshi</t>
  </si>
  <si>
    <t>Sandeep Nair</t>
  </si>
  <si>
    <t>Ishita Iyer</t>
  </si>
  <si>
    <t>Raj Malhotra</t>
  </si>
  <si>
    <t>Sonali Bhatia</t>
  </si>
  <si>
    <t>Vivek Khanna</t>
  </si>
  <si>
    <t>Radhika Rao</t>
  </si>
  <si>
    <t>Anup Saxena</t>
  </si>
  <si>
    <t>Snehal Verma</t>
  </si>
  <si>
    <t>Gaurav Kulkarni</t>
  </si>
  <si>
    <t>Nisha Reddy</t>
  </si>
  <si>
    <t>Dinesh Banerjee</t>
  </si>
  <si>
    <t>Pallavi Gupta</t>
  </si>
  <si>
    <t>Suraj Mishra</t>
  </si>
  <si>
    <t>Kusum Thakur</t>
  </si>
  <si>
    <t>Ajay Menon</t>
  </si>
  <si>
    <t>Shreya Dutta</t>
  </si>
  <si>
    <t>Kartik Pillai</t>
  </si>
  <si>
    <t>Alisha Mehra</t>
  </si>
  <si>
    <t>Rohit Sharma</t>
  </si>
  <si>
    <t>Priya Kapoor</t>
  </si>
  <si>
    <t>Arjun Singh</t>
  </si>
  <si>
    <t>Meera Joshi</t>
  </si>
  <si>
    <t>Kunal Nair</t>
  </si>
  <si>
    <t>Tanya Iyer</t>
  </si>
  <si>
    <t>Ishika Chatterjee</t>
  </si>
  <si>
    <t>Swati Bhatia</t>
  </si>
  <si>
    <t>Vivek Sharma</t>
  </si>
  <si>
    <t>Neha Joshi</t>
  </si>
  <si>
    <t>Karan Nair</t>
  </si>
  <si>
    <t>Ishika Iyer</t>
  </si>
  <si>
    <t>Rahul Deshmukh</t>
  </si>
  <si>
    <t>Simran Chatterjee</t>
  </si>
  <si>
    <t>Shalini Verma</t>
  </si>
  <si>
    <t>Anupam Sharma</t>
  </si>
  <si>
    <t>Radhika Kapoor</t>
  </si>
  <si>
    <t>Saurabh Singh</t>
  </si>
  <si>
    <t>Ishita Joshi</t>
  </si>
  <si>
    <t>Rajat Nair</t>
  </si>
  <si>
    <t>Sneha Iyer</t>
  </si>
  <si>
    <t>Deepak Deshmukh</t>
  </si>
  <si>
    <t>Kavya Chatterjee</t>
  </si>
  <si>
    <t>Amit Malhotra</t>
  </si>
  <si>
    <t>Shreya Bhatia</t>
  </si>
  <si>
    <t>Lokesh Khanna</t>
  </si>
  <si>
    <t>Tanvi Rao</t>
  </si>
  <si>
    <t>Pradeep Saxena</t>
  </si>
  <si>
    <t>Anjali Verma</t>
  </si>
  <si>
    <t>Sushil Kulkarni</t>
  </si>
  <si>
    <t>Rohan Banerjee</t>
  </si>
  <si>
    <t>Ashutosh Mishra</t>
  </si>
  <si>
    <t>Vivek Menon</t>
  </si>
  <si>
    <t>Divya Dutta</t>
  </si>
  <si>
    <t>Sanjeev Pillai</t>
  </si>
  <si>
    <t>Meera Mehra</t>
  </si>
  <si>
    <t>Karan Sharma</t>
  </si>
  <si>
    <t>Arvind Singh</t>
  </si>
  <si>
    <t>Mohit Nair</t>
  </si>
  <si>
    <t>Kritika Iyer</t>
  </si>
  <si>
    <t>Rakesh Deshmukh</t>
  </si>
  <si>
    <t>Sonali Chatterjee</t>
  </si>
  <si>
    <t>Ajay Malhotra</t>
  </si>
  <si>
    <t>Shalini Bhatia</t>
  </si>
  <si>
    <t>Gaurav Khanna</t>
  </si>
  <si>
    <t>Dinesh Kulkarni</t>
  </si>
  <si>
    <t>Rajeev Banerjee</t>
  </si>
  <si>
    <t>Manoj Mishra</t>
  </si>
  <si>
    <t>Pooja Thakur</t>
  </si>
  <si>
    <t>Sandeep Menon</t>
  </si>
  <si>
    <t>Roshni Dutta</t>
  </si>
  <si>
    <t>Nikhil Sharma</t>
  </si>
  <si>
    <t>Anirudh Sharma</t>
  </si>
  <si>
    <t>Kavya Kapoor</t>
  </si>
  <si>
    <t>Sandeep Singh</t>
  </si>
  <si>
    <t>Roshni Joshi</t>
  </si>
  <si>
    <t>Tanvi Iyer</t>
  </si>
  <si>
    <t>Ajay Deshmukh</t>
  </si>
  <si>
    <t>Snehal Chatterjee</t>
  </si>
  <si>
    <t>Raghav Malhotra</t>
  </si>
  <si>
    <t>Kritika Bhatia</t>
  </si>
  <si>
    <t>Aishwarya Rao</t>
  </si>
  <si>
    <t>Sanjay Saxena</t>
  </si>
  <si>
    <t>Arvind Kulkarni</t>
  </si>
  <si>
    <t>Mohan Banerjee</t>
  </si>
  <si>
    <t>Dinesh Mishra</t>
  </si>
  <si>
    <t>Rajeev Menon</t>
  </si>
  <si>
    <t>Ramesh Singh</t>
  </si>
  <si>
    <t>Swati Chatterjee</t>
  </si>
  <si>
    <t>Harendra Sharma</t>
  </si>
  <si>
    <t>Supriya Kapoor</t>
  </si>
  <si>
    <t>Naveen Singh</t>
  </si>
  <si>
    <t>Ishani Joshi</t>
  </si>
  <si>
    <t>Shashank Nair</t>
  </si>
  <si>
    <t>Ritu Iyer</t>
  </si>
  <si>
    <t>Parag Deshmukh</t>
  </si>
  <si>
    <t>Manisha Chatterjee</t>
  </si>
  <si>
    <t>Anmol Malhotra</t>
  </si>
  <si>
    <t>Sneha Bhatia</t>
  </si>
  <si>
    <t>Dev Khanna</t>
  </si>
  <si>
    <t>Kavita Rao</t>
  </si>
  <si>
    <t>Arpit Saxena</t>
  </si>
  <si>
    <t>Shubhi Verma</t>
  </si>
  <si>
    <t>Full Name</t>
  </si>
  <si>
    <t>Gender</t>
  </si>
  <si>
    <t>Birth Date</t>
  </si>
  <si>
    <t>Age</t>
  </si>
  <si>
    <t>Age Group</t>
  </si>
  <si>
    <t>Christian</t>
  </si>
  <si>
    <t>Muslim</t>
  </si>
  <si>
    <t>Hindu</t>
  </si>
  <si>
    <t>Sikh</t>
  </si>
  <si>
    <t>Nationality</t>
  </si>
  <si>
    <t>Indian</t>
  </si>
  <si>
    <t>Marital Status</t>
  </si>
  <si>
    <t>Single</t>
  </si>
  <si>
    <t>Married</t>
  </si>
  <si>
    <t>Divorced</t>
  </si>
  <si>
    <t>Mobile Phones</t>
  </si>
  <si>
    <t>+917917253213</t>
  </si>
  <si>
    <t>+918444071576</t>
  </si>
  <si>
    <t>+916834258762</t>
  </si>
  <si>
    <t>+917443152850</t>
  </si>
  <si>
    <t>+916176347805</t>
  </si>
  <si>
    <t>+917381525248</t>
  </si>
  <si>
    <t>+917990275860</t>
  </si>
  <si>
    <t>+917723323667</t>
  </si>
  <si>
    <t>+917465882147</t>
  </si>
  <si>
    <t>+917112884575</t>
  </si>
  <si>
    <t>+916362303156</t>
  </si>
  <si>
    <t>+917695460964</t>
  </si>
  <si>
    <t>+919372207379</t>
  </si>
  <si>
    <t>+918666076731</t>
  </si>
  <si>
    <t>+919410824773</t>
  </si>
  <si>
    <t>+916888900040</t>
  </si>
  <si>
    <t>+917399120769</t>
  </si>
  <si>
    <t>+916566569026</t>
  </si>
  <si>
    <t>+916626284364</t>
  </si>
  <si>
    <t>+918925969788</t>
  </si>
  <si>
    <t>+919152339072</t>
  </si>
  <si>
    <t>+917634421009</t>
  </si>
  <si>
    <t>+919179915260</t>
  </si>
  <si>
    <t>+916291128312</t>
  </si>
  <si>
    <t>+918452539297</t>
  </si>
  <si>
    <t>+916267095330</t>
  </si>
  <si>
    <t>+917322845023</t>
  </si>
  <si>
    <t>+916914089232</t>
  </si>
  <si>
    <t>+918734806152</t>
  </si>
  <si>
    <t>+918323421363</t>
  </si>
  <si>
    <t>+919703360203</t>
  </si>
  <si>
    <t>+918320525318</t>
  </si>
  <si>
    <t>+918596861333</t>
  </si>
  <si>
    <t>+917221643586</t>
  </si>
  <si>
    <t>+919729703694</t>
  </si>
  <si>
    <t>+918353544377</t>
  </si>
  <si>
    <t>+918643487357</t>
  </si>
  <si>
    <t>+918354977364</t>
  </si>
  <si>
    <t>+919429012805</t>
  </si>
  <si>
    <t>+919687719726</t>
  </si>
  <si>
    <t>+919392206761</t>
  </si>
  <si>
    <t>+919443394472</t>
  </si>
  <si>
    <t>+916819492670</t>
  </si>
  <si>
    <t>+916978202355</t>
  </si>
  <si>
    <t>+919533079495</t>
  </si>
  <si>
    <t>+919985793249</t>
  </si>
  <si>
    <t>+917441925661</t>
  </si>
  <si>
    <t>+918156793557</t>
  </si>
  <si>
    <t>+916242248105</t>
  </si>
  <si>
    <t>+919240660893</t>
  </si>
  <si>
    <t>+919682517096</t>
  </si>
  <si>
    <t>+918755236844</t>
  </si>
  <si>
    <t>+919571628276</t>
  </si>
  <si>
    <t>+918713967638</t>
  </si>
  <si>
    <t>+918766486865</t>
  </si>
  <si>
    <t>+919493305971</t>
  </si>
  <si>
    <t>+917682619130</t>
  </si>
  <si>
    <t>+916968305777</t>
  </si>
  <si>
    <t>+918584268737</t>
  </si>
  <si>
    <t>+916607854977</t>
  </si>
  <si>
    <t>+917895074970</t>
  </si>
  <si>
    <t>+919632964230</t>
  </si>
  <si>
    <t>+919415942787</t>
  </si>
  <si>
    <t>+919390960095</t>
  </si>
  <si>
    <t>+916487724620</t>
  </si>
  <si>
    <t>+917436095309</t>
  </si>
  <si>
    <t>+919446640825</t>
  </si>
  <si>
    <t>+918633966626</t>
  </si>
  <si>
    <t>+917389900939</t>
  </si>
  <si>
    <t>+918462749227</t>
  </si>
  <si>
    <t>+916834433699</t>
  </si>
  <si>
    <t>+918848274933</t>
  </si>
  <si>
    <t>+917518778140</t>
  </si>
  <si>
    <t>+919778087054</t>
  </si>
  <si>
    <t>+916903473270</t>
  </si>
  <si>
    <t>+918715952913</t>
  </si>
  <si>
    <t>+917128797412</t>
  </si>
  <si>
    <t>+919644547187</t>
  </si>
  <si>
    <t>+916237379202</t>
  </si>
  <si>
    <t>+919794314997</t>
  </si>
  <si>
    <t>+916437441003</t>
  </si>
  <si>
    <t>+916991239288</t>
  </si>
  <si>
    <t>+917157927618</t>
  </si>
  <si>
    <t>+918490593396</t>
  </si>
  <si>
    <t>+916488514614</t>
  </si>
  <si>
    <t>+916373084061</t>
  </si>
  <si>
    <t>+919130692409</t>
  </si>
  <si>
    <t>+919957963183</t>
  </si>
  <si>
    <t>+916323926768</t>
  </si>
  <si>
    <t>+919965110358</t>
  </si>
  <si>
    <t>+916510902458</t>
  </si>
  <si>
    <t>+918760893057</t>
  </si>
  <si>
    <t>+918502610208</t>
  </si>
  <si>
    <t>+917877746068</t>
  </si>
  <si>
    <t>+919664426388</t>
  </si>
  <si>
    <t>+918858012449</t>
  </si>
  <si>
    <t>+917197730357</t>
  </si>
  <si>
    <t>+916435431548</t>
  </si>
  <si>
    <t>+918522543298</t>
  </si>
  <si>
    <t>+919812270932</t>
  </si>
  <si>
    <t>+917226325091</t>
  </si>
  <si>
    <t>+917254536114</t>
  </si>
  <si>
    <t>+917446995378</t>
  </si>
  <si>
    <t>+916201256874</t>
  </si>
  <si>
    <t>+916925604585</t>
  </si>
  <si>
    <t>+916682719897</t>
  </si>
  <si>
    <t>+917691311171</t>
  </si>
  <si>
    <t>+916745192474</t>
  </si>
  <si>
    <t>+917987384110</t>
  </si>
  <si>
    <t>+916328150326</t>
  </si>
  <si>
    <t>+919467794494</t>
  </si>
  <si>
    <t>+916163661381</t>
  </si>
  <si>
    <t>+917675926087</t>
  </si>
  <si>
    <t>+918442458266</t>
  </si>
  <si>
    <t>+917216540937</t>
  </si>
  <si>
    <t>+917742331420</t>
  </si>
  <si>
    <t>+916113600563</t>
  </si>
  <si>
    <t>+919226016334</t>
  </si>
  <si>
    <t>+918801846435</t>
  </si>
  <si>
    <t>+916213263945</t>
  </si>
  <si>
    <t>+919665872617</t>
  </si>
  <si>
    <t>+919854916845</t>
  </si>
  <si>
    <t>+919352703700</t>
  </si>
  <si>
    <t>+917782822465</t>
  </si>
  <si>
    <t>+918543655017</t>
  </si>
  <si>
    <t>+916199163104</t>
  </si>
  <si>
    <t>+917926477819</t>
  </si>
  <si>
    <t>+918847997827</t>
  </si>
  <si>
    <t>+916247394095</t>
  </si>
  <si>
    <t>+919456050802</t>
  </si>
  <si>
    <t>+918281250573</t>
  </si>
  <si>
    <t>+917522796066</t>
  </si>
  <si>
    <t>+917221639777</t>
  </si>
  <si>
    <t>+917943867405</t>
  </si>
  <si>
    <t>+917159433261</t>
  </si>
  <si>
    <t>+918614433112</t>
  </si>
  <si>
    <t>+918788652919</t>
  </si>
  <si>
    <t>+917789607851</t>
  </si>
  <si>
    <t>+918125823623</t>
  </si>
  <si>
    <t>+919892140740</t>
  </si>
  <si>
    <t>+919283475052</t>
  </si>
  <si>
    <t>+918840573784</t>
  </si>
  <si>
    <t>+916476174493</t>
  </si>
  <si>
    <t>+919302194388</t>
  </si>
  <si>
    <t>+916210135950</t>
  </si>
  <si>
    <t>+916655288229</t>
  </si>
  <si>
    <t>+916340904751</t>
  </si>
  <si>
    <t>+918965595018</t>
  </si>
  <si>
    <t>+918538541133</t>
  </si>
  <si>
    <t>+916517299301</t>
  </si>
  <si>
    <t>+917388034639</t>
  </si>
  <si>
    <t>+918919068757</t>
  </si>
  <si>
    <t>+916562892891</t>
  </si>
  <si>
    <t>+916689550413</t>
  </si>
  <si>
    <t>+916226422715</t>
  </si>
  <si>
    <t>+919403479092</t>
  </si>
  <si>
    <t>+918861871887</t>
  </si>
  <si>
    <t>+917339192478</t>
  </si>
  <si>
    <t>+917224012167</t>
  </si>
  <si>
    <t>+919463662523</t>
  </si>
  <si>
    <t>+918270122732</t>
  </si>
  <si>
    <t>+919339869528</t>
  </si>
  <si>
    <t>+918335419989</t>
  </si>
  <si>
    <t>+917142502841</t>
  </si>
  <si>
    <t>+919235704391</t>
  </si>
  <si>
    <t>+919201430202</t>
  </si>
  <si>
    <t>+918790009345</t>
  </si>
  <si>
    <t>+916312371337</t>
  </si>
  <si>
    <t>+917244160211</t>
  </si>
  <si>
    <t>+917264004562</t>
  </si>
  <si>
    <t>+918850718902</t>
  </si>
  <si>
    <t>+916422823802</t>
  </si>
  <si>
    <t>+917281400408</t>
  </si>
  <si>
    <t>+917534812744</t>
  </si>
  <si>
    <t>+917763938051</t>
  </si>
  <si>
    <t>+917580524882</t>
  </si>
  <si>
    <t>+919410584306</t>
  </si>
  <si>
    <t>+916876530284</t>
  </si>
  <si>
    <t>+916421127273</t>
  </si>
  <si>
    <t>+917420253591</t>
  </si>
  <si>
    <t>+917230004322</t>
  </si>
  <si>
    <t>+917144662807</t>
  </si>
  <si>
    <t>+917891578554</t>
  </si>
  <si>
    <t>+916329216601</t>
  </si>
  <si>
    <t>+918434636687</t>
  </si>
  <si>
    <t>+918993235411</t>
  </si>
  <si>
    <t>+919970506157</t>
  </si>
  <si>
    <t>+918255123245</t>
  </si>
  <si>
    <t>+918379521219</t>
  </si>
  <si>
    <t>+918358613334</t>
  </si>
  <si>
    <t>+918737706933</t>
  </si>
  <si>
    <t>+916327738423</t>
  </si>
  <si>
    <t>+919153299843</t>
  </si>
  <si>
    <t>+917628267530</t>
  </si>
  <si>
    <t>+918204677386</t>
  </si>
  <si>
    <t>+919725397614</t>
  </si>
  <si>
    <t>+917450495627</t>
  </si>
  <si>
    <t>+916745407370</t>
  </si>
  <si>
    <t>+918996204582</t>
  </si>
  <si>
    <t>+917654647237</t>
  </si>
  <si>
    <t>Hire Date</t>
  </si>
  <si>
    <t>Employement Status</t>
  </si>
  <si>
    <t>Department</t>
  </si>
  <si>
    <t>Designation</t>
  </si>
  <si>
    <t>Finance</t>
  </si>
  <si>
    <t>Sales</t>
  </si>
  <si>
    <t>Marketing</t>
  </si>
  <si>
    <t>Production</t>
  </si>
  <si>
    <t>Management</t>
  </si>
  <si>
    <t>Senior Officer</t>
  </si>
  <si>
    <t>Senior Executive</t>
  </si>
  <si>
    <t>Senior Manager</t>
  </si>
  <si>
    <t>Officer</t>
  </si>
  <si>
    <t>Staff</t>
  </si>
  <si>
    <t>President</t>
  </si>
  <si>
    <t>Manager</t>
  </si>
  <si>
    <t>Executive</t>
  </si>
  <si>
    <t>Office Executive</t>
  </si>
  <si>
    <t>Non-Manager</t>
  </si>
  <si>
    <t>Job-level</t>
  </si>
  <si>
    <t>user1@gmail.com</t>
  </si>
  <si>
    <t>user2@gmail.com</t>
  </si>
  <si>
    <t>user3@gmail.com</t>
  </si>
  <si>
    <t>user4@gmail.com</t>
  </si>
  <si>
    <t>user5@gmail.com</t>
  </si>
  <si>
    <t>user6@gmail.com</t>
  </si>
  <si>
    <t>user7@gmail.com</t>
  </si>
  <si>
    <t>user8@gmail.com</t>
  </si>
  <si>
    <t>user9@gmail.com</t>
  </si>
  <si>
    <t>user10@gmail.com</t>
  </si>
  <si>
    <t>user11@gmail.com</t>
  </si>
  <si>
    <t>user12@gmail.com</t>
  </si>
  <si>
    <t>user13@gmail.com</t>
  </si>
  <si>
    <t>user14@gmail.com</t>
  </si>
  <si>
    <t>user15@gmail.com</t>
  </si>
  <si>
    <t>user16@gmail.com</t>
  </si>
  <si>
    <t>user17@gmail.com</t>
  </si>
  <si>
    <t>user18@gmail.com</t>
  </si>
  <si>
    <t>user19@gmail.com</t>
  </si>
  <si>
    <t>user20@gmail.com</t>
  </si>
  <si>
    <t>user21@gmail.com</t>
  </si>
  <si>
    <t>user22@gmail.com</t>
  </si>
  <si>
    <t>user23@gmail.com</t>
  </si>
  <si>
    <t>user24@gmail.com</t>
  </si>
  <si>
    <t>user25@gmail.com</t>
  </si>
  <si>
    <t>user26@gmail.com</t>
  </si>
  <si>
    <t>user27@gmail.com</t>
  </si>
  <si>
    <t>user28@gmail.com</t>
  </si>
  <si>
    <t>user29@gmail.com</t>
  </si>
  <si>
    <t>user30@gmail.com</t>
  </si>
  <si>
    <t>user31@gmail.com</t>
  </si>
  <si>
    <t>user32@gmail.com</t>
  </si>
  <si>
    <t>user33@gmail.com</t>
  </si>
  <si>
    <t>user34@gmail.com</t>
  </si>
  <si>
    <t>user35@gmail.com</t>
  </si>
  <si>
    <t>user36@gmail.com</t>
  </si>
  <si>
    <t>user37@gmail.com</t>
  </si>
  <si>
    <t>user38@gmail.com</t>
  </si>
  <si>
    <t>user39@gmail.com</t>
  </si>
  <si>
    <t>user40@gmail.com</t>
  </si>
  <si>
    <t>user41@gmail.com</t>
  </si>
  <si>
    <t>user42@gmail.com</t>
  </si>
  <si>
    <t>user43@gmail.com</t>
  </si>
  <si>
    <t>user44@gmail.com</t>
  </si>
  <si>
    <t>user45@gmail.com</t>
  </si>
  <si>
    <t>user46@gmail.com</t>
  </si>
  <si>
    <t>user47@gmail.com</t>
  </si>
  <si>
    <t>user48@gmail.com</t>
  </si>
  <si>
    <t>user49@gmail.com</t>
  </si>
  <si>
    <t>user50@gmail.com</t>
  </si>
  <si>
    <t>user51@gmail.com</t>
  </si>
  <si>
    <t>user52@gmail.com</t>
  </si>
  <si>
    <t>user53@gmail.com</t>
  </si>
  <si>
    <t>user54@gmail.com</t>
  </si>
  <si>
    <t>user55@gmail.com</t>
  </si>
  <si>
    <t>user56@gmail.com</t>
  </si>
  <si>
    <t>user57@gmail.com</t>
  </si>
  <si>
    <t>user58@gmail.com</t>
  </si>
  <si>
    <t>user59@gmail.com</t>
  </si>
  <si>
    <t>user60@gmail.com</t>
  </si>
  <si>
    <t>user61@gmail.com</t>
  </si>
  <si>
    <t>user62@gmail.com</t>
  </si>
  <si>
    <t>user63@gmail.com</t>
  </si>
  <si>
    <t>user64@gmail.com</t>
  </si>
  <si>
    <t>user65@gmail.com</t>
  </si>
  <si>
    <t>user66@gmail.com</t>
  </si>
  <si>
    <t>user67@gmail.com</t>
  </si>
  <si>
    <t>user68@gmail.com</t>
  </si>
  <si>
    <t>user69@gmail.com</t>
  </si>
  <si>
    <t>user70@gmail.com</t>
  </si>
  <si>
    <t>user71@gmail.com</t>
  </si>
  <si>
    <t>user72@gmail.com</t>
  </si>
  <si>
    <t>user73@gmail.com</t>
  </si>
  <si>
    <t>user74@gmail.com</t>
  </si>
  <si>
    <t>user75@gmail.com</t>
  </si>
  <si>
    <t>user76@gmail.com</t>
  </si>
  <si>
    <t>user77@gmail.com</t>
  </si>
  <si>
    <t>user78@gmail.com</t>
  </si>
  <si>
    <t>user79@gmail.com</t>
  </si>
  <si>
    <t>user80@gmail.com</t>
  </si>
  <si>
    <t>user81@gmail.com</t>
  </si>
  <si>
    <t>user82@gmail.com</t>
  </si>
  <si>
    <t>user83@gmail.com</t>
  </si>
  <si>
    <t>user84@gmail.com</t>
  </si>
  <si>
    <t>user85@gmail.com</t>
  </si>
  <si>
    <t>user86@gmail.com</t>
  </si>
  <si>
    <t>user87@gmail.com</t>
  </si>
  <si>
    <t>user88@gmail.com</t>
  </si>
  <si>
    <t>user89@gmail.com</t>
  </si>
  <si>
    <t>user90@gmail.com</t>
  </si>
  <si>
    <t>user91@gmail.com</t>
  </si>
  <si>
    <t>user92@gmail.com</t>
  </si>
  <si>
    <t>user93@gmail.com</t>
  </si>
  <si>
    <t>user94@gmail.com</t>
  </si>
  <si>
    <t>user95@gmail.com</t>
  </si>
  <si>
    <t>user96@gmail.com</t>
  </si>
  <si>
    <t>user97@gmail.com</t>
  </si>
  <si>
    <t>user98@gmail.com</t>
  </si>
  <si>
    <t>user99@gmail.com</t>
  </si>
  <si>
    <t>user100@gmail.com</t>
  </si>
  <si>
    <t>user101@gmail.com</t>
  </si>
  <si>
    <t>user102@gmail.com</t>
  </si>
  <si>
    <t>user103@gmail.com</t>
  </si>
  <si>
    <t>user104@gmail.com</t>
  </si>
  <si>
    <t>user105@gmail.com</t>
  </si>
  <si>
    <t>user106@gmail.com</t>
  </si>
  <si>
    <t>user107@gmail.com</t>
  </si>
  <si>
    <t>user108@gmail.com</t>
  </si>
  <si>
    <t>user109@gmail.com</t>
  </si>
  <si>
    <t>user110@gmail.com</t>
  </si>
  <si>
    <t>user111@gmail.com</t>
  </si>
  <si>
    <t>user112@gmail.com</t>
  </si>
  <si>
    <t>user113@gmail.com</t>
  </si>
  <si>
    <t>user114@gmail.com</t>
  </si>
  <si>
    <t>user115@gmail.com</t>
  </si>
  <si>
    <t>user116@gmail.com</t>
  </si>
  <si>
    <t>user117@gmail.com</t>
  </si>
  <si>
    <t>user118@gmail.com</t>
  </si>
  <si>
    <t>user119@gmail.com</t>
  </si>
  <si>
    <t>user120@gmail.com</t>
  </si>
  <si>
    <t>user121@gmail.com</t>
  </si>
  <si>
    <t>user122@gmail.com</t>
  </si>
  <si>
    <t>user123@gmail.com</t>
  </si>
  <si>
    <t>user124@gmail.com</t>
  </si>
  <si>
    <t>user125@gmail.com</t>
  </si>
  <si>
    <t>user126@gmail.com</t>
  </si>
  <si>
    <t>user127@gmail.com</t>
  </si>
  <si>
    <t>user128@gmail.com</t>
  </si>
  <si>
    <t>user129@gmail.com</t>
  </si>
  <si>
    <t>user130@gmail.com</t>
  </si>
  <si>
    <t>user131@gmail.com</t>
  </si>
  <si>
    <t>user132@gmail.com</t>
  </si>
  <si>
    <t>user133@gmail.com</t>
  </si>
  <si>
    <t>user134@gmail.com</t>
  </si>
  <si>
    <t>user135@gmail.com</t>
  </si>
  <si>
    <t>user136@gmail.com</t>
  </si>
  <si>
    <t>user137@gmail.com</t>
  </si>
  <si>
    <t>user138@gmail.com</t>
  </si>
  <si>
    <t>user139@gmail.com</t>
  </si>
  <si>
    <t>user140@gmail.com</t>
  </si>
  <si>
    <t>user141@gmail.com</t>
  </si>
  <si>
    <t>user142@gmail.com</t>
  </si>
  <si>
    <t>user143@gmail.com</t>
  </si>
  <si>
    <t>user144@gmail.com</t>
  </si>
  <si>
    <t>user145@gmail.com</t>
  </si>
  <si>
    <t>user146@gmail.com</t>
  </si>
  <si>
    <t>user147@gmail.com</t>
  </si>
  <si>
    <t>user148@gmail.com</t>
  </si>
  <si>
    <t>user149@gmail.com</t>
  </si>
  <si>
    <t>user150@gmail.com</t>
  </si>
  <si>
    <t>user151@gmail.com</t>
  </si>
  <si>
    <t>user152@gmail.com</t>
  </si>
  <si>
    <t>user153@gmail.com</t>
  </si>
  <si>
    <t>user154@gmail.com</t>
  </si>
  <si>
    <t>user155@gmail.com</t>
  </si>
  <si>
    <t>user156@gmail.com</t>
  </si>
  <si>
    <t>user157@gmail.com</t>
  </si>
  <si>
    <t>user158@gmail.com</t>
  </si>
  <si>
    <t>user159@gmail.com</t>
  </si>
  <si>
    <t>user160@gmail.com</t>
  </si>
  <si>
    <t>user161@gmail.com</t>
  </si>
  <si>
    <t>user162@gmail.com</t>
  </si>
  <si>
    <t>user163@gmail.com</t>
  </si>
  <si>
    <t>user164@gmail.com</t>
  </si>
  <si>
    <t>user165@gmail.com</t>
  </si>
  <si>
    <t>user166@gmail.com</t>
  </si>
  <si>
    <t>user167@gmail.com</t>
  </si>
  <si>
    <t>user168@gmail.com</t>
  </si>
  <si>
    <t>user169@gmail.com</t>
  </si>
  <si>
    <t>user170@gmail.com</t>
  </si>
  <si>
    <t>user171@gmail.com</t>
  </si>
  <si>
    <t>user172@gmail.com</t>
  </si>
  <si>
    <t>user173@gmail.com</t>
  </si>
  <si>
    <t>user174@gmail.com</t>
  </si>
  <si>
    <t>user175@gmail.com</t>
  </si>
  <si>
    <t>user176@gmail.com</t>
  </si>
  <si>
    <t>user177@gmail.com</t>
  </si>
  <si>
    <t>user178@gmail.com</t>
  </si>
  <si>
    <t>user179@gmail.com</t>
  </si>
  <si>
    <t>user180@gmail.com</t>
  </si>
  <si>
    <t>user181@gmail.com</t>
  </si>
  <si>
    <t>user182@gmail.com</t>
  </si>
  <si>
    <t>user183@gmail.com</t>
  </si>
  <si>
    <t>user184@gmail.com</t>
  </si>
  <si>
    <t>user185@gmail.com</t>
  </si>
  <si>
    <t>user186@gmail.com</t>
  </si>
  <si>
    <t>user187@gmail.com</t>
  </si>
  <si>
    <t>user188@gmail.com</t>
  </si>
  <si>
    <t>user189@gmail.com</t>
  </si>
  <si>
    <t>user190@gmail.com</t>
  </si>
  <si>
    <t>user191@gmail.com</t>
  </si>
  <si>
    <t>user192@gmail.com</t>
  </si>
  <si>
    <t>user193@gmail.com</t>
  </si>
  <si>
    <t>user194@gmail.com</t>
  </si>
  <si>
    <t>user195@gmail.com</t>
  </si>
  <si>
    <t>user196@gmail.com</t>
  </si>
  <si>
    <t>user197@gmail.com</t>
  </si>
  <si>
    <t>user198@gmail.com</t>
  </si>
  <si>
    <t>user199@gmail.com</t>
  </si>
  <si>
    <t>user200@gmail.com</t>
  </si>
  <si>
    <t>E-mail</t>
  </si>
  <si>
    <t>Religious Faith</t>
  </si>
  <si>
    <t>Region</t>
  </si>
  <si>
    <t>East</t>
  </si>
  <si>
    <t>West</t>
  </si>
  <si>
    <t>North</t>
  </si>
  <si>
    <t>South</t>
  </si>
  <si>
    <t>Full Time</t>
  </si>
  <si>
    <t>Part Time</t>
  </si>
  <si>
    <t>Contract</t>
  </si>
  <si>
    <t>Work-Location</t>
  </si>
  <si>
    <t>Branch Office</t>
  </si>
  <si>
    <t>Head Office</t>
  </si>
  <si>
    <t>Remote</t>
  </si>
  <si>
    <t>Salary</t>
  </si>
  <si>
    <t>Pay Grade</t>
  </si>
  <si>
    <t>A</t>
  </si>
  <si>
    <t>C</t>
  </si>
  <si>
    <t>B</t>
  </si>
  <si>
    <t>D</t>
  </si>
  <si>
    <t>Bonus/Allowances</t>
  </si>
  <si>
    <t>Insurance Details</t>
  </si>
  <si>
    <t>Health</t>
  </si>
  <si>
    <t>None</t>
  </si>
  <si>
    <t>Health + Dental</t>
  </si>
  <si>
    <t>Leave Taken</t>
  </si>
  <si>
    <t>Performance Rating</t>
  </si>
  <si>
    <t>Skills</t>
  </si>
  <si>
    <t>Design</t>
  </si>
  <si>
    <t>Excel</t>
  </si>
  <si>
    <t>Python</t>
  </si>
  <si>
    <t>Communication</t>
  </si>
  <si>
    <t>Row Labels</t>
  </si>
  <si>
    <t>Grand Total</t>
  </si>
  <si>
    <t>Count of Full Name</t>
  </si>
  <si>
    <t>Total</t>
  </si>
  <si>
    <t>Num ber of employees to employment status</t>
  </si>
  <si>
    <t>Sum of Salary</t>
  </si>
  <si>
    <t>Salaries to Department</t>
  </si>
  <si>
    <t>10-20</t>
  </si>
  <si>
    <t>20-30</t>
  </si>
  <si>
    <t>30-40</t>
  </si>
  <si>
    <t>40-50</t>
  </si>
  <si>
    <t>50-60</t>
  </si>
  <si>
    <t>Male</t>
  </si>
  <si>
    <t>Female</t>
  </si>
  <si>
    <t>Column Labels</t>
  </si>
  <si>
    <t>Age range to Gender</t>
  </si>
  <si>
    <t>Workplace</t>
  </si>
  <si>
    <t>total</t>
  </si>
  <si>
    <t>Sum of Leave Taken</t>
  </si>
  <si>
    <t>Regions</t>
  </si>
  <si>
    <t>Average of Performance Rating</t>
  </si>
  <si>
    <t>Departments</t>
  </si>
  <si>
    <t>Count of Gender</t>
  </si>
  <si>
    <t>(All)</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</si>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</sst>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 #,##0;[Red]&quot;₹&quot;\ \-#,##0"/>
    <numFmt numFmtId="164" formatCode="0.0"/>
  </numFmts>
  <fonts count="5" x14ac:knownFonts="1">
    <font>
      <sz val="11"/>
      <color theme="1"/>
      <name val="Aptos Narrow"/>
      <family val="2"/>
      <scheme val="minor"/>
    </font>
    <font>
      <sz val="8"/>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0" fillId="0" borderId="0" xfId="0" applyAlignment="1">
      <alignment vertical="center" wrapText="1"/>
    </xf>
    <xf numFmtId="0" fontId="0" fillId="0" borderId="0" xfId="0" applyAlignment="1">
      <alignment vertical="center"/>
    </xf>
    <xf numFmtId="14" fontId="0" fillId="0" borderId="0" xfId="0" applyNumberFormat="1"/>
    <xf numFmtId="0" fontId="0" fillId="2" borderId="0" xfId="0" applyFill="1"/>
    <xf numFmtId="6" fontId="0" fillId="0" borderId="0" xfId="0" applyNumberFormat="1"/>
    <xf numFmtId="0" fontId="0" fillId="0" borderId="0" xfId="0" pivotButton="1"/>
    <xf numFmtId="0" fontId="0" fillId="0" borderId="0" xfId="0" applyAlignment="1">
      <alignment horizontal="left"/>
    </xf>
    <xf numFmtId="9" fontId="2" fillId="0" borderId="0" xfId="1" applyFont="1"/>
    <xf numFmtId="9" fontId="0" fillId="0" borderId="0" xfId="0" applyNumberFormat="1"/>
    <xf numFmtId="2" fontId="0" fillId="0" borderId="0" xfId="0" applyNumberFormat="1"/>
    <xf numFmtId="164" fontId="0" fillId="0" borderId="0" xfId="0" applyNumberFormat="1"/>
    <xf numFmtId="164" fontId="3" fillId="0" borderId="0" xfId="0" applyNumberFormat="1" applyFont="1"/>
    <xf numFmtId="0" fontId="4" fillId="3" borderId="0" xfId="0" applyFont="1" applyFill="1" applyAlignment="1">
      <alignment horizontal="center"/>
    </xf>
    <xf numFmtId="0" fontId="3" fillId="3" borderId="0" xfId="0" applyFont="1" applyFill="1" applyAlignment="1">
      <alignment horizontal="center"/>
    </xf>
    <xf numFmtId="0" fontId="0" fillId="0" borderId="0" xfId="0" applyNumberFormat="1"/>
  </cellXfs>
  <cellStyles count="2">
    <cellStyle name="Normal" xfId="0" builtinId="0"/>
    <cellStyle name="Percent" xfId="1" builtinId="5"/>
  </cellStyles>
  <dxfs count="21">
    <dxf>
      <numFmt numFmtId="2" formatCode="0.00"/>
    </dxf>
    <dxf>
      <numFmt numFmtId="164" formatCode="0.0"/>
    </dxf>
    <dxf>
      <numFmt numFmtId="2" formatCode="0.00"/>
    </dxf>
    <dxf>
      <numFmt numFmtId="164" formatCode="0.0"/>
    </dxf>
    <dxf>
      <numFmt numFmtId="2" formatCode="0.00"/>
    </dxf>
    <dxf>
      <numFmt numFmtId="164" formatCode="0.0"/>
    </dxf>
    <dxf>
      <numFmt numFmtId="164" formatCode="0.0"/>
    </dxf>
    <dxf>
      <numFmt numFmtId="2" formatCode="0.00"/>
    </dxf>
    <dxf>
      <numFmt numFmtId="10" formatCode="&quot;₹&quot;\ #,##0;[Red]&quot;₹&quot;\ \-#,##0"/>
    </dxf>
    <dxf>
      <numFmt numFmtId="10" formatCode="&quot;₹&quot;\ #,##0;[Red]&quot;₹&quot;\ \-#,##0"/>
    </dxf>
    <dxf>
      <numFmt numFmtId="10" formatCode="&quot;₹&quot;\ #,##0;[Red]&quot;₹&quot;\ \-#,##0"/>
    </dxf>
    <dxf>
      <numFmt numFmtId="0" formatCode="General"/>
    </dxf>
    <dxf>
      <numFmt numFmtId="10" formatCode="&quot;₹&quot;\ #,##0;[Red]&quot;₹&quot;\ \-#,##0"/>
    </dxf>
    <dxf>
      <numFmt numFmtId="10" formatCode="&quot;₹&quot;\ #,##0;[Red]&quot;₹&quot;\ \-#,##0"/>
    </dxf>
    <dxf>
      <numFmt numFmtId="10" formatCode="&quot;₹&quot;\ #,##0;[Red]&quot;₹&quot;\ \-#,##0"/>
    </dxf>
    <dxf>
      <numFmt numFmtId="19" formatCode="dd/mm/yyyy"/>
    </dxf>
    <dxf>
      <numFmt numFmtId="19" formatCode="dd/mm/yyyy"/>
    </dxf>
    <dxf>
      <alignment horizontal="general" vertical="center" textRotation="0" wrapText="0" indent="0" justifyLastLine="0" shrinkToFit="0" readingOrder="0"/>
    </dxf>
    <dxf>
      <alignment horizontal="general" vertical="center" textRotation="0" wrapText="1" indent="0" justifyLastLine="0" shrinkToFit="0" readingOrder="0"/>
    </dxf>
    <dxf>
      <font>
        <b/>
        <i val="0"/>
        <sz val="2"/>
        <color rgb="FF1F1F1F"/>
      </font>
      <fill>
        <patternFill>
          <fgColor rgb="FF1F1F1F"/>
          <bgColor rgb="FF1F1F1F"/>
        </patternFill>
      </fill>
    </dxf>
    <dxf>
      <fill>
        <patternFill>
          <fgColor rgb="FF1F1F1F"/>
          <bgColor rgb="FF1F1F1F"/>
        </patternFill>
      </fill>
    </dxf>
  </dxfs>
  <tableStyles count="1" defaultTableStyle="TableStyleMedium2" defaultPivotStyle="PivotStyleLight16">
    <tableStyle name="Slicer Style 1" pivot="0" table="0" count="7" xr9:uid="{551209C6-EF77-4671-A31B-A7E39796DAA2}">
      <tableStyleElement type="wholeTable" dxfId="20"/>
      <tableStyleElement type="headerRow" dxfId="19"/>
    </tableStyle>
  </tableStyles>
  <colors>
    <mruColors>
      <color rgb="FF1F1F1F"/>
      <color rgb="FFE5B244"/>
      <color rgb="FF77933C"/>
      <color rgb="FF948A54"/>
      <color rgb="FF282828"/>
      <color rgb="FF141420"/>
      <color rgb="FF1B263B"/>
      <color rgb="FF0D1B2A"/>
    </mruColors>
  </colors>
  <extLst>
    <ext xmlns:x14="http://schemas.microsoft.com/office/spreadsheetml/2009/9/main" uri="{46F421CA-312F-682f-3DD2-61675219B42D}">
      <x14:dxfs count="5">
        <dxf>
          <fill>
            <patternFill>
              <fgColor rgb="FFFFC000"/>
              <bgColor rgb="FFFFC000"/>
            </patternFill>
          </fill>
          <border>
            <left style="thin">
              <color rgb="FF1F1F1F"/>
            </left>
            <right style="thin">
              <color rgb="FF1F1F1F"/>
            </right>
            <top style="thin">
              <color rgb="FF1F1F1F"/>
            </top>
            <bottom style="thin">
              <color rgb="FF1F1F1F"/>
            </bottom>
          </border>
        </dxf>
        <dxf>
          <font>
            <color rgb="FFE5B244"/>
          </font>
          <fill>
            <patternFill>
              <bgColor theme="1"/>
            </patternFill>
          </fill>
          <border>
            <left style="thin">
              <color rgb="FF1F1F1F"/>
            </left>
            <right style="thin">
              <color rgb="FF1F1F1F"/>
            </right>
            <top style="thin">
              <color rgb="FF1F1F1F"/>
            </top>
            <bottom style="thin">
              <color rgb="FF1F1F1F"/>
            </bottom>
          </border>
        </dxf>
        <dxf>
          <font>
            <color rgb="FFE5B244"/>
          </font>
        </dxf>
        <dxf>
          <font>
            <color rgb="FF1F1F1F"/>
          </font>
          <fill>
            <patternFill>
              <bgColor rgb="FFFFC000"/>
            </patternFill>
          </fill>
          <border>
            <left style="thin">
              <color rgb="FF1F1F1F"/>
            </left>
            <right style="thin">
              <color rgb="FF1F1F1F"/>
            </right>
            <top style="thin">
              <color rgb="FF1F1F1F"/>
            </top>
            <bottom style="thin">
              <color rgb="FF1F1F1F"/>
            </bottom>
          </border>
        </dxf>
        <dxf>
          <font>
            <b/>
            <i val="0"/>
            <color rgb="FFE5B244"/>
          </font>
          <fill>
            <patternFill>
              <fgColor theme="1"/>
              <bgColor theme="1"/>
            </patternFill>
          </fill>
          <border>
            <left style="thin">
              <color theme="1"/>
            </left>
            <right style="thin">
              <color theme="1"/>
            </right>
            <top style="thin">
              <color theme="1"/>
            </top>
            <bottom style="thin">
              <color theme="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147136824348803"/>
          <c:y val="0"/>
          <c:w val="0.79828429738652062"/>
          <c:h val="0.88746512989842841"/>
        </c:manualLayout>
      </c:layout>
      <c:pieChart>
        <c:varyColors val="1"/>
        <c:ser>
          <c:idx val="0"/>
          <c:order val="0"/>
          <c:spPr>
            <a:ln w="31750">
              <a:solidFill>
                <a:srgbClr val="1F1F1F"/>
              </a:solidFill>
            </a:ln>
          </c:spPr>
          <c:dPt>
            <c:idx val="0"/>
            <c:bubble3D val="0"/>
            <c:spPr>
              <a:solidFill>
                <a:srgbClr val="FFC000"/>
              </a:solidFill>
              <a:ln w="31750">
                <a:solidFill>
                  <a:srgbClr val="1F1F1F"/>
                </a:solidFill>
              </a:ln>
              <a:effectLst/>
            </c:spPr>
            <c:extLst>
              <c:ext xmlns:c16="http://schemas.microsoft.com/office/drawing/2014/chart" uri="{C3380CC4-5D6E-409C-BE32-E72D297353CC}">
                <c16:uniqueId val="{00000001-CC3C-4E3C-8A3E-292786FA3148}"/>
              </c:ext>
            </c:extLst>
          </c:dPt>
          <c:dPt>
            <c:idx val="1"/>
            <c:bubble3D val="0"/>
            <c:spPr>
              <a:solidFill>
                <a:schemeClr val="bg2">
                  <a:lumMod val="50000"/>
                </a:schemeClr>
              </a:solidFill>
              <a:ln w="31750">
                <a:solidFill>
                  <a:srgbClr val="1F1F1F"/>
                </a:solidFill>
              </a:ln>
              <a:effectLst/>
            </c:spPr>
            <c:extLst>
              <c:ext xmlns:c16="http://schemas.microsoft.com/office/drawing/2014/chart" uri="{C3380CC4-5D6E-409C-BE32-E72D297353CC}">
                <c16:uniqueId val="{00000003-CC3C-4E3C-8A3E-292786FA3148}"/>
              </c:ext>
            </c:extLst>
          </c:dPt>
          <c:dPt>
            <c:idx val="2"/>
            <c:bubble3D val="0"/>
            <c:spPr>
              <a:solidFill>
                <a:schemeClr val="bg2">
                  <a:lumMod val="90000"/>
                </a:schemeClr>
              </a:solidFill>
              <a:ln w="31750">
                <a:solidFill>
                  <a:srgbClr val="1F1F1F"/>
                </a:solidFill>
              </a:ln>
              <a:effectLst/>
            </c:spPr>
            <c:extLst>
              <c:ext xmlns:c16="http://schemas.microsoft.com/office/drawing/2014/chart" uri="{C3380CC4-5D6E-409C-BE32-E72D297353CC}">
                <c16:uniqueId val="{00000005-CC3C-4E3C-8A3E-292786FA3148}"/>
              </c:ext>
            </c:extLst>
          </c:dPt>
          <c:cat>
            <c:strRef>
              <c:f>'Pivot Tables'!$B$10:$B$12</c:f>
              <c:strCache>
                <c:ptCount val="3"/>
                <c:pt idx="0">
                  <c:v>Contract</c:v>
                </c:pt>
                <c:pt idx="1">
                  <c:v>Full Time</c:v>
                </c:pt>
                <c:pt idx="2">
                  <c:v>Part Time</c:v>
                </c:pt>
              </c:strCache>
            </c:strRef>
          </c:cat>
          <c:val>
            <c:numRef>
              <c:f>'Pivot Tables'!$C$10:$C$12</c:f>
              <c:numCache>
                <c:formatCode>General</c:formatCode>
                <c:ptCount val="3"/>
                <c:pt idx="0">
                  <c:v>34</c:v>
                </c:pt>
                <c:pt idx="1">
                  <c:v>83</c:v>
                </c:pt>
                <c:pt idx="2">
                  <c:v>83</c:v>
                </c:pt>
              </c:numCache>
            </c:numRef>
          </c:val>
          <c:extLst>
            <c:ext xmlns:c16="http://schemas.microsoft.com/office/drawing/2014/chart" uri="{C3380CC4-5D6E-409C-BE32-E72D297353CC}">
              <c16:uniqueId val="{00000006-CC3C-4E3C-8A3E-292786FA314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[HR.xlsx]Pivot Tables!Age range</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679444659585266E-2"/>
          <c:y val="7.549772020663785E-2"/>
          <c:w val="0.96864111068082948"/>
          <c:h val="0.80014883373045742"/>
        </c:manualLayout>
      </c:layout>
      <c:barChart>
        <c:barDir val="col"/>
        <c:grouping val="clustered"/>
        <c:varyColors val="0"/>
        <c:ser>
          <c:idx val="0"/>
          <c:order val="0"/>
          <c:tx>
            <c:strRef>
              <c:f>'Pivot Tables'!$J$4:$J$5</c:f>
              <c:strCache>
                <c:ptCount val="1"/>
                <c:pt idx="0">
                  <c:v>Female</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E5B24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Tables'!$I$6:$I$11</c:f>
              <c:strCache>
                <c:ptCount val="5"/>
                <c:pt idx="0">
                  <c:v>10-20</c:v>
                </c:pt>
                <c:pt idx="1">
                  <c:v>20-30</c:v>
                </c:pt>
                <c:pt idx="2">
                  <c:v>30-40</c:v>
                </c:pt>
                <c:pt idx="3">
                  <c:v>40-50</c:v>
                </c:pt>
                <c:pt idx="4">
                  <c:v>50-60</c:v>
                </c:pt>
              </c:strCache>
            </c:strRef>
          </c:cat>
          <c:val>
            <c:numRef>
              <c:f>'Pivot Tables'!$J$6:$J$11</c:f>
              <c:numCache>
                <c:formatCode>General</c:formatCode>
                <c:ptCount val="5"/>
                <c:pt idx="0">
                  <c:v>0</c:v>
                </c:pt>
                <c:pt idx="1">
                  <c:v>25</c:v>
                </c:pt>
                <c:pt idx="2">
                  <c:v>28</c:v>
                </c:pt>
                <c:pt idx="3">
                  <c:v>28</c:v>
                </c:pt>
                <c:pt idx="4">
                  <c:v>18</c:v>
                </c:pt>
              </c:numCache>
            </c:numRef>
          </c:val>
          <c:extLst>
            <c:ext xmlns:c16="http://schemas.microsoft.com/office/drawing/2014/chart" uri="{C3380CC4-5D6E-409C-BE32-E72D297353CC}">
              <c16:uniqueId val="{00000000-CCAC-414C-A803-6E844CBB41EC}"/>
            </c:ext>
          </c:extLst>
        </c:ser>
        <c:ser>
          <c:idx val="1"/>
          <c:order val="1"/>
          <c:tx>
            <c:strRef>
              <c:f>'Pivot Tables'!$K$4:$K$5</c:f>
              <c:strCache>
                <c:ptCount val="1"/>
                <c:pt idx="0">
                  <c:v>Male</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Tables'!$I$6:$I$11</c:f>
              <c:strCache>
                <c:ptCount val="5"/>
                <c:pt idx="0">
                  <c:v>10-20</c:v>
                </c:pt>
                <c:pt idx="1">
                  <c:v>20-30</c:v>
                </c:pt>
                <c:pt idx="2">
                  <c:v>30-40</c:v>
                </c:pt>
                <c:pt idx="3">
                  <c:v>40-50</c:v>
                </c:pt>
                <c:pt idx="4">
                  <c:v>50-60</c:v>
                </c:pt>
              </c:strCache>
            </c:strRef>
          </c:cat>
          <c:val>
            <c:numRef>
              <c:f>'Pivot Tables'!$K$6:$K$11</c:f>
              <c:numCache>
                <c:formatCode>General</c:formatCode>
                <c:ptCount val="5"/>
                <c:pt idx="0">
                  <c:v>5</c:v>
                </c:pt>
                <c:pt idx="1">
                  <c:v>30</c:v>
                </c:pt>
                <c:pt idx="2">
                  <c:v>25</c:v>
                </c:pt>
                <c:pt idx="3">
                  <c:v>28</c:v>
                </c:pt>
                <c:pt idx="4">
                  <c:v>13</c:v>
                </c:pt>
              </c:numCache>
            </c:numRef>
          </c:val>
          <c:extLst>
            <c:ext xmlns:c16="http://schemas.microsoft.com/office/drawing/2014/chart" uri="{C3380CC4-5D6E-409C-BE32-E72D297353CC}">
              <c16:uniqueId val="{00000006-1A28-49BF-95DA-C27BCA0803FC}"/>
            </c:ext>
          </c:extLst>
        </c:ser>
        <c:dLbls>
          <c:dLblPos val="outEnd"/>
          <c:showLegendKey val="0"/>
          <c:showVal val="1"/>
          <c:showCatName val="0"/>
          <c:showSerName val="0"/>
          <c:showPercent val="0"/>
          <c:showBubbleSize val="0"/>
        </c:dLbls>
        <c:gapWidth val="219"/>
        <c:overlap val="-27"/>
        <c:axId val="1405709568"/>
        <c:axId val="1405693248"/>
      </c:barChart>
      <c:catAx>
        <c:axId val="140570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05693248"/>
        <c:crosses val="autoZero"/>
        <c:auto val="1"/>
        <c:lblAlgn val="ctr"/>
        <c:lblOffset val="100"/>
        <c:noMultiLvlLbl val="0"/>
      </c:catAx>
      <c:valAx>
        <c:axId val="1405693248"/>
        <c:scaling>
          <c:orientation val="minMax"/>
        </c:scaling>
        <c:delete val="1"/>
        <c:axPos val="l"/>
        <c:majorGridlines>
          <c:spPr>
            <a:ln w="9525" cap="flat" cmpd="sng" algn="ctr">
              <a:solidFill>
                <a:srgbClr val="E5B244">
                  <a:alpha val="35000"/>
                </a:srgbClr>
              </a:solidFill>
              <a:prstDash val="dashDot"/>
              <a:round/>
            </a:ln>
            <a:effectLst/>
          </c:spPr>
        </c:majorGridlines>
        <c:numFmt formatCode="General" sourceLinked="1"/>
        <c:majorTickMark val="none"/>
        <c:minorTickMark val="none"/>
        <c:tickLblPos val="nextTo"/>
        <c:crossAx val="1405709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163969344225014E-2"/>
          <c:y val="0.12391380282679583"/>
          <c:w val="0.83367206131154992"/>
          <c:h val="0.72738963378104915"/>
        </c:manualLayout>
      </c:layout>
      <c:barChart>
        <c:barDir val="bar"/>
        <c:grouping val="percentStacked"/>
        <c:varyColors val="0"/>
        <c:ser>
          <c:idx val="0"/>
          <c:order val="0"/>
          <c:spPr>
            <a:solidFill>
              <a:srgbClr val="E5B244"/>
            </a:solidFill>
            <a:ln>
              <a:noFill/>
            </a:ln>
            <a:effectLst/>
          </c:spPr>
          <c:invertIfNegative val="0"/>
          <c:val>
            <c:numRef>
              <c:f>'Pivot Tables'!$N$15</c:f>
              <c:numCache>
                <c:formatCode>0%</c:formatCode>
                <c:ptCount val="1"/>
                <c:pt idx="0">
                  <c:v>0.36</c:v>
                </c:pt>
              </c:numCache>
            </c:numRef>
          </c:val>
          <c:extLst>
            <c:ext xmlns:c16="http://schemas.microsoft.com/office/drawing/2014/chart" uri="{C3380CC4-5D6E-409C-BE32-E72D297353CC}">
              <c16:uniqueId val="{00000000-AA9E-4861-8E96-AC3399DF7066}"/>
            </c:ext>
          </c:extLst>
        </c:ser>
        <c:ser>
          <c:idx val="1"/>
          <c:order val="1"/>
          <c:spPr>
            <a:solidFill>
              <a:srgbClr val="1F1F1F"/>
            </a:solidFill>
            <a:ln>
              <a:noFill/>
            </a:ln>
            <a:effectLst/>
          </c:spPr>
          <c:invertIfNegative val="0"/>
          <c:val>
            <c:numRef>
              <c:f>'Pivot Tables'!$O$15</c:f>
              <c:numCache>
                <c:formatCode>0%</c:formatCode>
                <c:ptCount val="1"/>
                <c:pt idx="0">
                  <c:v>0.64</c:v>
                </c:pt>
              </c:numCache>
            </c:numRef>
          </c:val>
          <c:extLst>
            <c:ext xmlns:c16="http://schemas.microsoft.com/office/drawing/2014/chart" uri="{C3380CC4-5D6E-409C-BE32-E72D297353CC}">
              <c16:uniqueId val="{00000001-AA9E-4861-8E96-AC3399DF7066}"/>
            </c:ext>
          </c:extLst>
        </c:ser>
        <c:dLbls>
          <c:showLegendKey val="0"/>
          <c:showVal val="0"/>
          <c:showCatName val="0"/>
          <c:showSerName val="0"/>
          <c:showPercent val="0"/>
          <c:showBubbleSize val="0"/>
        </c:dLbls>
        <c:gapWidth val="150"/>
        <c:overlap val="100"/>
        <c:axId val="1572838384"/>
        <c:axId val="1572835504"/>
      </c:barChart>
      <c:catAx>
        <c:axId val="1572838384"/>
        <c:scaling>
          <c:orientation val="minMax"/>
        </c:scaling>
        <c:delete val="1"/>
        <c:axPos val="l"/>
        <c:majorTickMark val="none"/>
        <c:minorTickMark val="none"/>
        <c:tickLblPos val="nextTo"/>
        <c:crossAx val="1572835504"/>
        <c:crosses val="autoZero"/>
        <c:auto val="1"/>
        <c:lblAlgn val="ctr"/>
        <c:lblOffset val="100"/>
        <c:noMultiLvlLbl val="0"/>
      </c:catAx>
      <c:valAx>
        <c:axId val="1572835504"/>
        <c:scaling>
          <c:orientation val="minMax"/>
        </c:scaling>
        <c:delete val="1"/>
        <c:axPos val="b"/>
        <c:numFmt formatCode="0%" sourceLinked="1"/>
        <c:majorTickMark val="none"/>
        <c:minorTickMark val="none"/>
        <c:tickLblPos val="nextTo"/>
        <c:crossAx val="157283838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434174023467486E-2"/>
          <c:y val="0"/>
          <c:w val="0.84513165195306506"/>
          <c:h val="1"/>
        </c:manualLayout>
      </c:layout>
      <c:barChart>
        <c:barDir val="bar"/>
        <c:grouping val="percentStacked"/>
        <c:varyColors val="0"/>
        <c:ser>
          <c:idx val="0"/>
          <c:order val="0"/>
          <c:spPr>
            <a:solidFill>
              <a:srgbClr val="E5B244"/>
            </a:solidFill>
            <a:ln>
              <a:noFill/>
            </a:ln>
            <a:effectLst/>
          </c:spPr>
          <c:invertIfNegative val="0"/>
          <c:val>
            <c:numRef>
              <c:f>'Pivot Tables'!$N$16</c:f>
              <c:numCache>
                <c:formatCode>0%</c:formatCode>
                <c:ptCount val="1"/>
                <c:pt idx="0">
                  <c:v>0.35499999999999998</c:v>
                </c:pt>
              </c:numCache>
            </c:numRef>
          </c:val>
          <c:extLst>
            <c:ext xmlns:c16="http://schemas.microsoft.com/office/drawing/2014/chart" uri="{C3380CC4-5D6E-409C-BE32-E72D297353CC}">
              <c16:uniqueId val="{00000000-346A-43DF-9E3F-114E2244FDE1}"/>
            </c:ext>
          </c:extLst>
        </c:ser>
        <c:ser>
          <c:idx val="1"/>
          <c:order val="1"/>
          <c:spPr>
            <a:solidFill>
              <a:srgbClr val="1F1F1F"/>
            </a:solidFill>
            <a:ln>
              <a:noFill/>
            </a:ln>
            <a:effectLst/>
          </c:spPr>
          <c:invertIfNegative val="0"/>
          <c:val>
            <c:numRef>
              <c:f>'Pivot Tables'!$O$16</c:f>
              <c:numCache>
                <c:formatCode>0%</c:formatCode>
                <c:ptCount val="1"/>
                <c:pt idx="0">
                  <c:v>0.64500000000000002</c:v>
                </c:pt>
              </c:numCache>
            </c:numRef>
          </c:val>
          <c:extLst>
            <c:ext xmlns:c16="http://schemas.microsoft.com/office/drawing/2014/chart" uri="{C3380CC4-5D6E-409C-BE32-E72D297353CC}">
              <c16:uniqueId val="{00000001-346A-43DF-9E3F-114E2244FDE1}"/>
            </c:ext>
          </c:extLst>
        </c:ser>
        <c:dLbls>
          <c:showLegendKey val="0"/>
          <c:showVal val="0"/>
          <c:showCatName val="0"/>
          <c:showSerName val="0"/>
          <c:showPercent val="0"/>
          <c:showBubbleSize val="0"/>
        </c:dLbls>
        <c:gapWidth val="150"/>
        <c:overlap val="100"/>
        <c:axId val="1572786544"/>
        <c:axId val="1572790384"/>
      </c:barChart>
      <c:catAx>
        <c:axId val="1572786544"/>
        <c:scaling>
          <c:orientation val="minMax"/>
        </c:scaling>
        <c:delete val="1"/>
        <c:axPos val="l"/>
        <c:majorTickMark val="none"/>
        <c:minorTickMark val="none"/>
        <c:tickLblPos val="nextTo"/>
        <c:crossAx val="1572790384"/>
        <c:crosses val="autoZero"/>
        <c:auto val="1"/>
        <c:lblAlgn val="ctr"/>
        <c:lblOffset val="100"/>
        <c:noMultiLvlLbl val="0"/>
      </c:catAx>
      <c:valAx>
        <c:axId val="1572790384"/>
        <c:scaling>
          <c:orientation val="minMax"/>
        </c:scaling>
        <c:delete val="1"/>
        <c:axPos val="b"/>
        <c:numFmt formatCode="0%" sourceLinked="1"/>
        <c:majorTickMark val="none"/>
        <c:minorTickMark val="none"/>
        <c:tickLblPos val="nextTo"/>
        <c:crossAx val="157278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6601671309192196E-2"/>
          <c:y val="0"/>
          <c:w val="0.84679665738161558"/>
          <c:h val="1"/>
        </c:manualLayout>
      </c:layout>
      <c:barChart>
        <c:barDir val="bar"/>
        <c:grouping val="percentStacked"/>
        <c:varyColors val="0"/>
        <c:ser>
          <c:idx val="0"/>
          <c:order val="0"/>
          <c:spPr>
            <a:solidFill>
              <a:srgbClr val="E5B244"/>
            </a:solidFill>
            <a:ln>
              <a:noFill/>
            </a:ln>
            <a:effectLst/>
          </c:spPr>
          <c:invertIfNegative val="0"/>
          <c:val>
            <c:numRef>
              <c:f>'Pivot Tables'!$N$17</c:f>
              <c:numCache>
                <c:formatCode>0%</c:formatCode>
                <c:ptCount val="1"/>
                <c:pt idx="0">
                  <c:v>0.28499999999999998</c:v>
                </c:pt>
              </c:numCache>
            </c:numRef>
          </c:val>
          <c:extLst>
            <c:ext xmlns:c16="http://schemas.microsoft.com/office/drawing/2014/chart" uri="{C3380CC4-5D6E-409C-BE32-E72D297353CC}">
              <c16:uniqueId val="{00000000-F9D7-4FFF-892A-533A41EE3898}"/>
            </c:ext>
          </c:extLst>
        </c:ser>
        <c:ser>
          <c:idx val="1"/>
          <c:order val="1"/>
          <c:spPr>
            <a:solidFill>
              <a:srgbClr val="1F1F1F"/>
            </a:solidFill>
            <a:ln>
              <a:noFill/>
            </a:ln>
            <a:effectLst/>
          </c:spPr>
          <c:invertIfNegative val="0"/>
          <c:val>
            <c:numRef>
              <c:f>'Pivot Tables'!$O$17</c:f>
              <c:numCache>
                <c:formatCode>0%</c:formatCode>
                <c:ptCount val="1"/>
                <c:pt idx="0">
                  <c:v>0.71500000000000008</c:v>
                </c:pt>
              </c:numCache>
            </c:numRef>
          </c:val>
          <c:extLst>
            <c:ext xmlns:c16="http://schemas.microsoft.com/office/drawing/2014/chart" uri="{C3380CC4-5D6E-409C-BE32-E72D297353CC}">
              <c16:uniqueId val="{00000001-F9D7-4FFF-892A-533A41EE3898}"/>
            </c:ext>
          </c:extLst>
        </c:ser>
        <c:dLbls>
          <c:showLegendKey val="0"/>
          <c:showVal val="0"/>
          <c:showCatName val="0"/>
          <c:showSerName val="0"/>
          <c:showPercent val="0"/>
          <c:showBubbleSize val="0"/>
        </c:dLbls>
        <c:gapWidth val="150"/>
        <c:overlap val="100"/>
        <c:axId val="1572789904"/>
        <c:axId val="1572792784"/>
      </c:barChart>
      <c:catAx>
        <c:axId val="1572789904"/>
        <c:scaling>
          <c:orientation val="minMax"/>
        </c:scaling>
        <c:delete val="1"/>
        <c:axPos val="l"/>
        <c:numFmt formatCode="General" sourceLinked="1"/>
        <c:majorTickMark val="none"/>
        <c:minorTickMark val="none"/>
        <c:tickLblPos val="nextTo"/>
        <c:crossAx val="1572792784"/>
        <c:crosses val="autoZero"/>
        <c:auto val="1"/>
        <c:lblAlgn val="ctr"/>
        <c:lblOffset val="100"/>
        <c:noMultiLvlLbl val="0"/>
      </c:catAx>
      <c:valAx>
        <c:axId val="1572792784"/>
        <c:scaling>
          <c:orientation val="minMax"/>
        </c:scaling>
        <c:delete val="1"/>
        <c:axPos val="b"/>
        <c:numFmt formatCode="0%" sourceLinked="1"/>
        <c:majorTickMark val="none"/>
        <c:minorTickMark val="none"/>
        <c:tickLblPos val="nextTo"/>
        <c:crossAx val="15727899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46914771834527"/>
          <c:y val="9.6467369975404615E-2"/>
          <c:w val="0.74353538412065234"/>
          <c:h val="0.82194098425075235"/>
        </c:manualLayout>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2AA0-4B38-AF17-57EC618C0151}"/>
              </c:ext>
            </c:extLst>
          </c:dPt>
          <c:dPt>
            <c:idx val="1"/>
            <c:bubble3D val="0"/>
            <c:spPr>
              <a:solidFill>
                <a:srgbClr val="1F1F1F"/>
              </a:solidFill>
              <a:ln w="19050">
                <a:noFill/>
              </a:ln>
              <a:effectLst/>
            </c:spPr>
            <c:extLst>
              <c:ext xmlns:c16="http://schemas.microsoft.com/office/drawing/2014/chart" uri="{C3380CC4-5D6E-409C-BE32-E72D297353CC}">
                <c16:uniqueId val="{00000003-2AA0-4B38-AF17-57EC618C0151}"/>
              </c:ext>
            </c:extLst>
          </c:dPt>
          <c:val>
            <c:numRef>
              <c:f>'Pivot Tables'!$K$21:$L$21</c:f>
              <c:numCache>
                <c:formatCode>0%</c:formatCode>
                <c:ptCount val="2"/>
                <c:pt idx="0">
                  <c:v>0.505</c:v>
                </c:pt>
                <c:pt idx="1">
                  <c:v>0.495</c:v>
                </c:pt>
              </c:numCache>
            </c:numRef>
          </c:val>
          <c:extLst>
            <c:ext xmlns:c16="http://schemas.microsoft.com/office/drawing/2014/chart" uri="{C3380CC4-5D6E-409C-BE32-E72D297353CC}">
              <c16:uniqueId val="{00000004-2AA0-4B38-AF17-57EC618C015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929535529058773"/>
          <c:y val="7.5445871260358705E-2"/>
          <c:w val="0.78934519399358494"/>
          <c:h val="0.86081790636546707"/>
        </c:manualLayout>
      </c:layout>
      <c:doughnut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AD91-4819-B51E-9C48DB8B7D9A}"/>
              </c:ext>
            </c:extLst>
          </c:dPt>
          <c:dPt>
            <c:idx val="1"/>
            <c:bubble3D val="0"/>
            <c:spPr>
              <a:solidFill>
                <a:srgbClr val="1F1F1F"/>
              </a:solidFill>
              <a:ln w="19050">
                <a:noFill/>
              </a:ln>
              <a:effectLst/>
            </c:spPr>
            <c:extLst>
              <c:ext xmlns:c16="http://schemas.microsoft.com/office/drawing/2014/chart" uri="{C3380CC4-5D6E-409C-BE32-E72D297353CC}">
                <c16:uniqueId val="{00000003-AD91-4819-B51E-9C48DB8B7D9A}"/>
              </c:ext>
            </c:extLst>
          </c:dPt>
          <c:val>
            <c:numRef>
              <c:f>'Pivot Tables'!$K$22:$L$22</c:f>
              <c:numCache>
                <c:formatCode>0%</c:formatCode>
                <c:ptCount val="2"/>
                <c:pt idx="0">
                  <c:v>0.495</c:v>
                </c:pt>
                <c:pt idx="1">
                  <c:v>0.505</c:v>
                </c:pt>
              </c:numCache>
            </c:numRef>
          </c:val>
          <c:extLst>
            <c:ext xmlns:c16="http://schemas.microsoft.com/office/drawing/2014/chart" uri="{C3380CC4-5D6E-409C-BE32-E72D297353CC}">
              <c16:uniqueId val="{00000004-AD91-4819-B51E-9C48DB8B7D9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914085639324863E-2"/>
          <c:y val="6.0707562502281424E-2"/>
          <c:w val="0.92027492595416061"/>
          <c:h val="0.69646783287739478"/>
        </c:manualLayout>
      </c:layout>
      <c:barChart>
        <c:barDir val="col"/>
        <c:grouping val="clustered"/>
        <c:varyColors val="0"/>
        <c:ser>
          <c:idx val="0"/>
          <c:order val="0"/>
          <c:tx>
            <c:strRef>
              <c:f>'Pivot Tables'!$E$11</c:f>
              <c:strCache>
                <c:ptCount val="1"/>
                <c:pt idx="0">
                  <c:v>Finance</c:v>
                </c:pt>
              </c:strCache>
            </c:strRef>
          </c:tx>
          <c:spPr>
            <a:solidFill>
              <a:srgbClr val="77933C"/>
            </a:solidFill>
            <a:ln>
              <a:noFill/>
            </a:ln>
            <a:effectLst/>
          </c:spPr>
          <c:invertIfNegative val="0"/>
          <c:val>
            <c:numRef>
              <c:f>'Pivot Tables'!$G$11</c:f>
              <c:numCache>
                <c:formatCode>General</c:formatCode>
                <c:ptCount val="1"/>
                <c:pt idx="0">
                  <c:v>275</c:v>
                </c:pt>
              </c:numCache>
            </c:numRef>
          </c:val>
          <c:extLst>
            <c:ext xmlns:c16="http://schemas.microsoft.com/office/drawing/2014/chart" uri="{C3380CC4-5D6E-409C-BE32-E72D297353CC}">
              <c16:uniqueId val="{00000000-FAA3-49C1-B645-9E1C13F32FA9}"/>
            </c:ext>
          </c:extLst>
        </c:ser>
        <c:ser>
          <c:idx val="1"/>
          <c:order val="1"/>
          <c:tx>
            <c:strRef>
              <c:f>'Pivot Tables'!$E$12</c:f>
              <c:strCache>
                <c:ptCount val="1"/>
                <c:pt idx="0">
                  <c:v>Marketing</c:v>
                </c:pt>
              </c:strCache>
            </c:strRef>
          </c:tx>
          <c:spPr>
            <a:solidFill>
              <a:schemeClr val="bg2">
                <a:lumMod val="50000"/>
              </a:schemeClr>
            </a:solidFill>
            <a:ln>
              <a:noFill/>
            </a:ln>
            <a:effectLst/>
          </c:spPr>
          <c:invertIfNegative val="0"/>
          <c:val>
            <c:numRef>
              <c:f>'Pivot Tables'!$G$12</c:f>
              <c:numCache>
                <c:formatCode>General</c:formatCode>
                <c:ptCount val="1"/>
                <c:pt idx="0">
                  <c:v>261</c:v>
                </c:pt>
              </c:numCache>
            </c:numRef>
          </c:val>
          <c:extLst>
            <c:ext xmlns:c16="http://schemas.microsoft.com/office/drawing/2014/chart" uri="{C3380CC4-5D6E-409C-BE32-E72D297353CC}">
              <c16:uniqueId val="{00000001-FAA3-49C1-B645-9E1C13F32FA9}"/>
            </c:ext>
          </c:extLst>
        </c:ser>
        <c:ser>
          <c:idx val="2"/>
          <c:order val="2"/>
          <c:tx>
            <c:strRef>
              <c:f>'Pivot Tables'!$E$13</c:f>
              <c:strCache>
                <c:ptCount val="1"/>
                <c:pt idx="0">
                  <c:v>Production</c:v>
                </c:pt>
              </c:strCache>
            </c:strRef>
          </c:tx>
          <c:spPr>
            <a:solidFill>
              <a:srgbClr val="948A54"/>
            </a:solidFill>
            <a:ln>
              <a:noFill/>
            </a:ln>
            <a:effectLst/>
          </c:spPr>
          <c:invertIfNegative val="0"/>
          <c:val>
            <c:numRef>
              <c:f>'Pivot Tables'!$G$13</c:f>
              <c:numCache>
                <c:formatCode>General</c:formatCode>
                <c:ptCount val="1"/>
                <c:pt idx="0">
                  <c:v>249</c:v>
                </c:pt>
              </c:numCache>
            </c:numRef>
          </c:val>
          <c:extLst>
            <c:ext xmlns:c16="http://schemas.microsoft.com/office/drawing/2014/chart" uri="{C3380CC4-5D6E-409C-BE32-E72D297353CC}">
              <c16:uniqueId val="{00000002-FAA3-49C1-B645-9E1C13F32FA9}"/>
            </c:ext>
          </c:extLst>
        </c:ser>
        <c:ser>
          <c:idx val="3"/>
          <c:order val="3"/>
          <c:tx>
            <c:strRef>
              <c:f>'Pivot Tables'!$E$14</c:f>
              <c:strCache>
                <c:ptCount val="1"/>
                <c:pt idx="0">
                  <c:v>Sales</c:v>
                </c:pt>
              </c:strCache>
            </c:strRef>
          </c:tx>
          <c:spPr>
            <a:solidFill>
              <a:schemeClr val="bg1">
                <a:lumMod val="85000"/>
              </a:schemeClr>
            </a:solidFill>
            <a:ln>
              <a:noFill/>
            </a:ln>
            <a:effectLst/>
          </c:spPr>
          <c:invertIfNegative val="0"/>
          <c:val>
            <c:numRef>
              <c:f>'Pivot Tables'!$G$14</c:f>
              <c:numCache>
                <c:formatCode>General</c:formatCode>
                <c:ptCount val="1"/>
                <c:pt idx="0">
                  <c:v>245</c:v>
                </c:pt>
              </c:numCache>
            </c:numRef>
          </c:val>
          <c:extLst>
            <c:ext xmlns:c16="http://schemas.microsoft.com/office/drawing/2014/chart" uri="{C3380CC4-5D6E-409C-BE32-E72D297353CC}">
              <c16:uniqueId val="{00000003-FAA3-49C1-B645-9E1C13F32FA9}"/>
            </c:ext>
          </c:extLst>
        </c:ser>
        <c:ser>
          <c:idx val="4"/>
          <c:order val="4"/>
          <c:tx>
            <c:strRef>
              <c:f>'Pivot Tables'!$E$15</c:f>
              <c:strCache>
                <c:ptCount val="1"/>
                <c:pt idx="0">
                  <c:v>Grand Total</c:v>
                </c:pt>
              </c:strCache>
            </c:strRef>
          </c:tx>
          <c:spPr>
            <a:solidFill>
              <a:srgbClr val="E5B244"/>
            </a:solidFill>
            <a:ln>
              <a:noFill/>
            </a:ln>
            <a:effectLst/>
          </c:spPr>
          <c:invertIfNegative val="0"/>
          <c:val>
            <c:numRef>
              <c:f>'Pivot Tables'!$G$15</c:f>
              <c:numCache>
                <c:formatCode>General</c:formatCode>
                <c:ptCount val="1"/>
                <c:pt idx="0">
                  <c:v>1030</c:v>
                </c:pt>
              </c:numCache>
            </c:numRef>
          </c:val>
          <c:extLst>
            <c:ext xmlns:c16="http://schemas.microsoft.com/office/drawing/2014/chart" uri="{C3380CC4-5D6E-409C-BE32-E72D297353CC}">
              <c16:uniqueId val="{00000004-FAA3-49C1-B645-9E1C13F32FA9}"/>
            </c:ext>
          </c:extLst>
        </c:ser>
        <c:dLbls>
          <c:showLegendKey val="0"/>
          <c:showVal val="0"/>
          <c:showCatName val="0"/>
          <c:showSerName val="0"/>
          <c:showPercent val="0"/>
          <c:showBubbleSize val="0"/>
        </c:dLbls>
        <c:gapWidth val="219"/>
        <c:overlap val="-27"/>
        <c:axId val="1361077328"/>
        <c:axId val="1361077808"/>
      </c:barChart>
      <c:catAx>
        <c:axId val="1361077328"/>
        <c:scaling>
          <c:orientation val="minMax"/>
        </c:scaling>
        <c:delete val="1"/>
        <c:axPos val="b"/>
        <c:numFmt formatCode="General" sourceLinked="1"/>
        <c:majorTickMark val="none"/>
        <c:minorTickMark val="none"/>
        <c:tickLblPos val="nextTo"/>
        <c:crossAx val="1361077808"/>
        <c:crosses val="autoZero"/>
        <c:auto val="1"/>
        <c:lblAlgn val="ctr"/>
        <c:lblOffset val="100"/>
        <c:noMultiLvlLbl val="0"/>
      </c:catAx>
      <c:valAx>
        <c:axId val="1361077808"/>
        <c:scaling>
          <c:orientation val="minMax"/>
        </c:scaling>
        <c:delete val="1"/>
        <c:axPos val="l"/>
        <c:majorGridlines>
          <c:spPr>
            <a:ln w="9525" cap="rnd" cmpd="sng" algn="ctr">
              <a:solidFill>
                <a:srgbClr val="E5B244">
                  <a:alpha val="35000"/>
                </a:srgbClr>
              </a:solidFill>
              <a:prstDash val="lgDashDotDot"/>
              <a:round/>
            </a:ln>
            <a:effectLst/>
          </c:spPr>
        </c:majorGridlines>
        <c:numFmt formatCode="General" sourceLinked="1"/>
        <c:majorTickMark val="none"/>
        <c:minorTickMark val="none"/>
        <c:tickLblPos val="nextTo"/>
        <c:crossAx val="1361077328"/>
        <c:crosses val="autoZero"/>
        <c:crossBetween val="between"/>
      </c:valAx>
      <c:spPr>
        <a:noFill/>
        <a:ln>
          <a:noFill/>
        </a:ln>
        <a:effectLst/>
      </c:spPr>
    </c:plotArea>
    <c:legend>
      <c:legendPos val="b"/>
      <c:layout>
        <c:manualLayout>
          <c:xMode val="edge"/>
          <c:yMode val="edge"/>
          <c:x val="0"/>
          <c:y val="0.76333794876748828"/>
          <c:w val="1"/>
          <c:h val="0.211764509252300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[HR.xlsx]Pivot Tables!PivotTable4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87994919243628"/>
          <c:y val="6.3792963616506784E-2"/>
          <c:w val="0.77174422765434258"/>
          <c:h val="0.89482747624210723"/>
        </c:manualLayout>
      </c:layout>
      <c:barChart>
        <c:barDir val="bar"/>
        <c:grouping val="clustered"/>
        <c:varyColors val="0"/>
        <c:ser>
          <c:idx val="0"/>
          <c:order val="0"/>
          <c:tx>
            <c:strRef>
              <c:f>'Pivot Tables'!$W$4</c:f>
              <c:strCache>
                <c:ptCount val="1"/>
                <c:pt idx="0">
                  <c:v>Total</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Tables'!$V$5:$V$9</c:f>
              <c:strCache>
                <c:ptCount val="4"/>
                <c:pt idx="0">
                  <c:v>East</c:v>
                </c:pt>
                <c:pt idx="1">
                  <c:v>North</c:v>
                </c:pt>
                <c:pt idx="2">
                  <c:v>South</c:v>
                </c:pt>
                <c:pt idx="3">
                  <c:v>West</c:v>
                </c:pt>
              </c:strCache>
            </c:strRef>
          </c:cat>
          <c:val>
            <c:numRef>
              <c:f>'Pivot Tables'!$W$5:$W$9</c:f>
              <c:numCache>
                <c:formatCode>General</c:formatCode>
                <c:ptCount val="4"/>
                <c:pt idx="0">
                  <c:v>46</c:v>
                </c:pt>
                <c:pt idx="1">
                  <c:v>51</c:v>
                </c:pt>
                <c:pt idx="2">
                  <c:v>49</c:v>
                </c:pt>
                <c:pt idx="3">
                  <c:v>54</c:v>
                </c:pt>
              </c:numCache>
            </c:numRef>
          </c:val>
          <c:extLst>
            <c:ext xmlns:c16="http://schemas.microsoft.com/office/drawing/2014/chart" uri="{C3380CC4-5D6E-409C-BE32-E72D297353CC}">
              <c16:uniqueId val="{00000000-48AA-444A-A2A5-587110793CF4}"/>
            </c:ext>
          </c:extLst>
        </c:ser>
        <c:dLbls>
          <c:showLegendKey val="0"/>
          <c:showVal val="0"/>
          <c:showCatName val="0"/>
          <c:showSerName val="0"/>
          <c:showPercent val="0"/>
          <c:showBubbleSize val="0"/>
        </c:dLbls>
        <c:gapWidth val="28"/>
        <c:axId val="121209471"/>
        <c:axId val="121212351"/>
      </c:barChart>
      <c:catAx>
        <c:axId val="12120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900" b="0" i="0" u="none" strike="noStrike" kern="1200" baseline="0">
                <a:solidFill>
                  <a:schemeClr val="bg1"/>
                </a:solidFill>
                <a:latin typeface="+mn-lt"/>
                <a:ea typeface="+mn-ea"/>
                <a:cs typeface="+mn-cs"/>
              </a:defRPr>
            </a:pPr>
            <a:endParaRPr lang="en-US"/>
          </a:p>
        </c:txPr>
        <c:crossAx val="121212351"/>
        <c:crosses val="autoZero"/>
        <c:auto val="1"/>
        <c:lblAlgn val="ctr"/>
        <c:lblOffset val="100"/>
        <c:noMultiLvlLbl val="0"/>
      </c:catAx>
      <c:valAx>
        <c:axId val="121212351"/>
        <c:scaling>
          <c:orientation val="minMax"/>
        </c:scaling>
        <c:delete val="1"/>
        <c:axPos val="b"/>
        <c:numFmt formatCode="General" sourceLinked="1"/>
        <c:majorTickMark val="none"/>
        <c:minorTickMark val="none"/>
        <c:tickLblPos val="nextTo"/>
        <c:crossAx val="12120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3.png"/><Relationship Id="rId18" Type="http://schemas.microsoft.com/office/2007/relationships/hdphoto" Target="../media/hdphoto4.wdp"/><Relationship Id="rId3" Type="http://schemas.openxmlformats.org/officeDocument/2006/relationships/chart" Target="../charts/chart3.xml"/><Relationship Id="rId7" Type="http://schemas.microsoft.com/office/2007/relationships/hdphoto" Target="../media/hdphoto1.wdp"/><Relationship Id="rId12" Type="http://schemas.openxmlformats.org/officeDocument/2006/relationships/chart" Target="../charts/chart9.xml"/><Relationship Id="rId17" Type="http://schemas.openxmlformats.org/officeDocument/2006/relationships/image" Target="../media/image5.png"/><Relationship Id="rId2" Type="http://schemas.openxmlformats.org/officeDocument/2006/relationships/chart" Target="../charts/chart2.xml"/><Relationship Id="rId16" Type="http://schemas.microsoft.com/office/2007/relationships/hdphoto" Target="../media/hdphoto3.wdp"/><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8.xml"/><Relationship Id="rId5" Type="http://schemas.openxmlformats.org/officeDocument/2006/relationships/chart" Target="../charts/chart5.xml"/><Relationship Id="rId15" Type="http://schemas.openxmlformats.org/officeDocument/2006/relationships/image" Target="../media/image4.png"/><Relationship Id="rId10" Type="http://schemas.openxmlformats.org/officeDocument/2006/relationships/chart" Target="../charts/chart7.xml"/><Relationship Id="rId4" Type="http://schemas.openxmlformats.org/officeDocument/2006/relationships/chart" Target="../charts/chart4.xml"/><Relationship Id="rId9" Type="http://schemas.openxmlformats.org/officeDocument/2006/relationships/chart" Target="../charts/chart6.xml"/><Relationship Id="rId1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76800</xdr:colOff>
      <xdr:row>34</xdr:row>
      <xdr:rowOff>146850</xdr:rowOff>
    </xdr:to>
    <xdr:sp macro="" textlink="">
      <xdr:nvSpPr>
        <xdr:cNvPr id="2" name="Rectangle: Rounded Corners 1">
          <a:extLst>
            <a:ext uri="{FF2B5EF4-FFF2-40B4-BE49-F238E27FC236}">
              <a16:creationId xmlns:a16="http://schemas.microsoft.com/office/drawing/2014/main" id="{8FDFEF0A-11E5-ED04-47F8-CAD8125E449C}"/>
            </a:ext>
          </a:extLst>
        </xdr:cNvPr>
        <xdr:cNvSpPr/>
      </xdr:nvSpPr>
      <xdr:spPr>
        <a:xfrm>
          <a:off x="0" y="0"/>
          <a:ext cx="10440000" cy="6479917"/>
        </a:xfrm>
        <a:prstGeom prst="roundRect">
          <a:avLst>
            <a:gd name="adj" fmla="val 3665"/>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178170</xdr:colOff>
      <xdr:row>24</xdr:row>
      <xdr:rowOff>29784</xdr:rowOff>
    </xdr:from>
    <xdr:to>
      <xdr:col>3</xdr:col>
      <xdr:colOff>268387</xdr:colOff>
      <xdr:row>33</xdr:row>
      <xdr:rowOff>177254</xdr:rowOff>
    </xdr:to>
    <xdr:sp macro="" textlink="">
      <xdr:nvSpPr>
        <xdr:cNvPr id="4" name="Rectangle: Rounded Corners 3">
          <a:extLst>
            <a:ext uri="{FF2B5EF4-FFF2-40B4-BE49-F238E27FC236}">
              <a16:creationId xmlns:a16="http://schemas.microsoft.com/office/drawing/2014/main" id="{344B8814-5CC1-5C17-730F-02A8C167D303}"/>
            </a:ext>
          </a:extLst>
        </xdr:cNvPr>
        <xdr:cNvSpPr/>
      </xdr:nvSpPr>
      <xdr:spPr>
        <a:xfrm>
          <a:off x="178170" y="4500184"/>
          <a:ext cx="1919017" cy="1823870"/>
        </a:xfrm>
        <a:prstGeom prst="roundRect">
          <a:avLst>
            <a:gd name="adj" fmla="val 66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178170</xdr:colOff>
      <xdr:row>7</xdr:row>
      <xdr:rowOff>25939</xdr:rowOff>
    </xdr:from>
    <xdr:to>
      <xdr:col>3</xdr:col>
      <xdr:colOff>268387</xdr:colOff>
      <xdr:row>23</xdr:row>
      <xdr:rowOff>76107</xdr:rowOff>
    </xdr:to>
    <xdr:sp macro="" textlink="">
      <xdr:nvSpPr>
        <xdr:cNvPr id="3" name="Rectangle: Rounded Corners 2">
          <a:extLst>
            <a:ext uri="{FF2B5EF4-FFF2-40B4-BE49-F238E27FC236}">
              <a16:creationId xmlns:a16="http://schemas.microsoft.com/office/drawing/2014/main" id="{8ABF9C52-49A6-41A4-AD8F-7980087182FC}"/>
            </a:ext>
          </a:extLst>
        </xdr:cNvPr>
        <xdr:cNvSpPr/>
      </xdr:nvSpPr>
      <xdr:spPr>
        <a:xfrm>
          <a:off x="178170" y="1329806"/>
          <a:ext cx="1919017" cy="3030434"/>
        </a:xfrm>
        <a:prstGeom prst="roundRect">
          <a:avLst>
            <a:gd name="adj" fmla="val 66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417991</xdr:colOff>
      <xdr:row>21</xdr:row>
      <xdr:rowOff>40627</xdr:rowOff>
    </xdr:from>
    <xdr:to>
      <xdr:col>7</xdr:col>
      <xdr:colOff>442280</xdr:colOff>
      <xdr:row>33</xdr:row>
      <xdr:rowOff>177254</xdr:rowOff>
    </xdr:to>
    <xdr:sp macro="" textlink="">
      <xdr:nvSpPr>
        <xdr:cNvPr id="5" name="Rectangle: Rounded Corners 4">
          <a:extLst>
            <a:ext uri="{FF2B5EF4-FFF2-40B4-BE49-F238E27FC236}">
              <a16:creationId xmlns:a16="http://schemas.microsoft.com/office/drawing/2014/main" id="{9E200BD8-A6BD-4A7C-A651-7D83E68CCC0F}"/>
            </a:ext>
          </a:extLst>
        </xdr:cNvPr>
        <xdr:cNvSpPr/>
      </xdr:nvSpPr>
      <xdr:spPr>
        <a:xfrm>
          <a:off x="2246791" y="3952227"/>
          <a:ext cx="2462689" cy="2371827"/>
        </a:xfrm>
        <a:prstGeom prst="roundRect">
          <a:avLst>
            <a:gd name="adj" fmla="val 66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39340</xdr:colOff>
      <xdr:row>21</xdr:row>
      <xdr:rowOff>40627</xdr:rowOff>
    </xdr:from>
    <xdr:to>
      <xdr:col>12</xdr:col>
      <xdr:colOff>63629</xdr:colOff>
      <xdr:row>33</xdr:row>
      <xdr:rowOff>177254</xdr:rowOff>
    </xdr:to>
    <xdr:sp macro="" textlink="">
      <xdr:nvSpPr>
        <xdr:cNvPr id="6" name="Rectangle: Rounded Corners 5">
          <a:extLst>
            <a:ext uri="{FF2B5EF4-FFF2-40B4-BE49-F238E27FC236}">
              <a16:creationId xmlns:a16="http://schemas.microsoft.com/office/drawing/2014/main" id="{AB448E5C-728F-460E-A30E-F2469C5A91AA}"/>
            </a:ext>
          </a:extLst>
        </xdr:cNvPr>
        <xdr:cNvSpPr/>
      </xdr:nvSpPr>
      <xdr:spPr>
        <a:xfrm>
          <a:off x="4916140" y="3952227"/>
          <a:ext cx="2462689" cy="2371827"/>
        </a:xfrm>
        <a:prstGeom prst="roundRect">
          <a:avLst>
            <a:gd name="adj" fmla="val 6613"/>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44848</xdr:colOff>
      <xdr:row>7</xdr:row>
      <xdr:rowOff>71845</xdr:rowOff>
    </xdr:from>
    <xdr:to>
      <xdr:col>12</xdr:col>
      <xdr:colOff>69137</xdr:colOff>
      <xdr:row>20</xdr:row>
      <xdr:rowOff>22205</xdr:rowOff>
    </xdr:to>
    <xdr:sp macro="" textlink="">
      <xdr:nvSpPr>
        <xdr:cNvPr id="7" name="Rectangle: Rounded Corners 6">
          <a:extLst>
            <a:ext uri="{FF2B5EF4-FFF2-40B4-BE49-F238E27FC236}">
              <a16:creationId xmlns:a16="http://schemas.microsoft.com/office/drawing/2014/main" id="{25C9C5AC-89AF-4A20-ABB6-1CBB3B3A053C}"/>
            </a:ext>
          </a:extLst>
        </xdr:cNvPr>
        <xdr:cNvSpPr/>
      </xdr:nvSpPr>
      <xdr:spPr>
        <a:xfrm>
          <a:off x="4921648" y="1375712"/>
          <a:ext cx="2462689" cy="2371826"/>
        </a:xfrm>
        <a:prstGeom prst="roundRect">
          <a:avLst>
            <a:gd name="adj" fmla="val 66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427516</xdr:colOff>
      <xdr:row>7</xdr:row>
      <xdr:rowOff>107991</xdr:rowOff>
    </xdr:from>
    <xdr:to>
      <xdr:col>7</xdr:col>
      <xdr:colOff>451805</xdr:colOff>
      <xdr:row>14</xdr:row>
      <xdr:rowOff>33280</xdr:rowOff>
    </xdr:to>
    <xdr:sp macro="" textlink="">
      <xdr:nvSpPr>
        <xdr:cNvPr id="8" name="Rectangle: Rounded Corners 7">
          <a:extLst>
            <a:ext uri="{FF2B5EF4-FFF2-40B4-BE49-F238E27FC236}">
              <a16:creationId xmlns:a16="http://schemas.microsoft.com/office/drawing/2014/main" id="{E19B07F2-28CC-4F9B-B28C-129E7D0ADA7A}"/>
            </a:ext>
          </a:extLst>
        </xdr:cNvPr>
        <xdr:cNvSpPr/>
      </xdr:nvSpPr>
      <xdr:spPr>
        <a:xfrm>
          <a:off x="2256316" y="1374816"/>
          <a:ext cx="2462689" cy="1192114"/>
        </a:xfrm>
        <a:prstGeom prst="roundRect">
          <a:avLst>
            <a:gd name="adj" fmla="val 66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396671</xdr:colOff>
      <xdr:row>14</xdr:row>
      <xdr:rowOff>129617</xdr:rowOff>
    </xdr:from>
    <xdr:to>
      <xdr:col>5</xdr:col>
      <xdr:colOff>354815</xdr:colOff>
      <xdr:row>20</xdr:row>
      <xdr:rowOff>107930</xdr:rowOff>
    </xdr:to>
    <xdr:sp macro="" textlink="">
      <xdr:nvSpPr>
        <xdr:cNvPr id="9" name="Rectangle: Rounded Corners 8">
          <a:extLst>
            <a:ext uri="{FF2B5EF4-FFF2-40B4-BE49-F238E27FC236}">
              <a16:creationId xmlns:a16="http://schemas.microsoft.com/office/drawing/2014/main" id="{8F329B4F-619A-41DA-8CC6-DF2EBF769440}"/>
            </a:ext>
          </a:extLst>
        </xdr:cNvPr>
        <xdr:cNvSpPr/>
      </xdr:nvSpPr>
      <xdr:spPr>
        <a:xfrm>
          <a:off x="2225471" y="2663267"/>
          <a:ext cx="1177344" cy="1064163"/>
        </a:xfrm>
        <a:prstGeom prst="roundRect">
          <a:avLst>
            <a:gd name="adj" fmla="val 66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457263</xdr:colOff>
      <xdr:row>14</xdr:row>
      <xdr:rowOff>129617</xdr:rowOff>
    </xdr:from>
    <xdr:to>
      <xdr:col>7</xdr:col>
      <xdr:colOff>415408</xdr:colOff>
      <xdr:row>20</xdr:row>
      <xdr:rowOff>107930</xdr:rowOff>
    </xdr:to>
    <xdr:sp macro="" textlink="">
      <xdr:nvSpPr>
        <xdr:cNvPr id="10" name="Rectangle: Rounded Corners 9">
          <a:extLst>
            <a:ext uri="{FF2B5EF4-FFF2-40B4-BE49-F238E27FC236}">
              <a16:creationId xmlns:a16="http://schemas.microsoft.com/office/drawing/2014/main" id="{CBCEB990-87B9-48C1-944A-522DACB9556A}"/>
            </a:ext>
          </a:extLst>
        </xdr:cNvPr>
        <xdr:cNvSpPr/>
      </xdr:nvSpPr>
      <xdr:spPr>
        <a:xfrm>
          <a:off x="3505263" y="2663267"/>
          <a:ext cx="1177345" cy="1064163"/>
        </a:xfrm>
        <a:prstGeom prst="roundRect">
          <a:avLst>
            <a:gd name="adj" fmla="val 6613"/>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471142</xdr:colOff>
      <xdr:row>28</xdr:row>
      <xdr:rowOff>7165</xdr:rowOff>
    </xdr:from>
    <xdr:to>
      <xdr:col>14</xdr:col>
      <xdr:colOff>367942</xdr:colOff>
      <xdr:row>34</xdr:row>
      <xdr:rowOff>5565</xdr:rowOff>
    </xdr:to>
    <xdr:sp macro="" textlink="">
      <xdr:nvSpPr>
        <xdr:cNvPr id="11" name="Rectangle: Rounded Corners 10">
          <a:extLst>
            <a:ext uri="{FF2B5EF4-FFF2-40B4-BE49-F238E27FC236}">
              <a16:creationId xmlns:a16="http://schemas.microsoft.com/office/drawing/2014/main" id="{EB40F15D-5C0F-4B36-A9E1-22A26C5573AD}"/>
            </a:ext>
          </a:extLst>
        </xdr:cNvPr>
        <xdr:cNvSpPr/>
      </xdr:nvSpPr>
      <xdr:spPr>
        <a:xfrm>
          <a:off x="7786342" y="5222632"/>
          <a:ext cx="1116000" cy="1116000"/>
        </a:xfrm>
        <a:prstGeom prst="roundRect">
          <a:avLst>
            <a:gd name="adj" fmla="val 1511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513369</xdr:colOff>
      <xdr:row>28</xdr:row>
      <xdr:rowOff>12674</xdr:rowOff>
    </xdr:from>
    <xdr:to>
      <xdr:col>16</xdr:col>
      <xdr:colOff>410169</xdr:colOff>
      <xdr:row>34</xdr:row>
      <xdr:rowOff>11074</xdr:rowOff>
    </xdr:to>
    <xdr:sp macro="" textlink="">
      <xdr:nvSpPr>
        <xdr:cNvPr id="12" name="Rectangle: Rounded Corners 11">
          <a:extLst>
            <a:ext uri="{FF2B5EF4-FFF2-40B4-BE49-F238E27FC236}">
              <a16:creationId xmlns:a16="http://schemas.microsoft.com/office/drawing/2014/main" id="{7C6F6C22-09AC-471E-91C5-01BC6720152C}"/>
            </a:ext>
          </a:extLst>
        </xdr:cNvPr>
        <xdr:cNvSpPr/>
      </xdr:nvSpPr>
      <xdr:spPr>
        <a:xfrm>
          <a:off x="9047769" y="5228141"/>
          <a:ext cx="1116000" cy="1116000"/>
        </a:xfrm>
        <a:prstGeom prst="roundRect">
          <a:avLst>
            <a:gd name="adj" fmla="val 1511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491336</xdr:colOff>
      <xdr:row>21</xdr:row>
      <xdr:rowOff>135465</xdr:rowOff>
    </xdr:from>
    <xdr:to>
      <xdr:col>16</xdr:col>
      <xdr:colOff>388136</xdr:colOff>
      <xdr:row>27</xdr:row>
      <xdr:rowOff>133865</xdr:rowOff>
    </xdr:to>
    <xdr:sp macro="" textlink="">
      <xdr:nvSpPr>
        <xdr:cNvPr id="13" name="Rectangle: Rounded Corners 12">
          <a:extLst>
            <a:ext uri="{FF2B5EF4-FFF2-40B4-BE49-F238E27FC236}">
              <a16:creationId xmlns:a16="http://schemas.microsoft.com/office/drawing/2014/main" id="{354EB9FE-6114-4FB7-9F23-D288DF8749FD}"/>
            </a:ext>
          </a:extLst>
        </xdr:cNvPr>
        <xdr:cNvSpPr/>
      </xdr:nvSpPr>
      <xdr:spPr>
        <a:xfrm>
          <a:off x="9025736" y="4047065"/>
          <a:ext cx="1116000" cy="1116000"/>
        </a:xfrm>
        <a:prstGeom prst="roundRect">
          <a:avLst>
            <a:gd name="adj" fmla="val 1511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297425</xdr:colOff>
      <xdr:row>10</xdr:row>
      <xdr:rowOff>33193</xdr:rowOff>
    </xdr:from>
    <xdr:to>
      <xdr:col>16</xdr:col>
      <xdr:colOff>415315</xdr:colOff>
      <xdr:row>19</xdr:row>
      <xdr:rowOff>160866</xdr:rowOff>
    </xdr:to>
    <xdr:sp macro="" textlink="">
      <xdr:nvSpPr>
        <xdr:cNvPr id="15" name="Rectangle: Rounded Corners 14">
          <a:extLst>
            <a:ext uri="{FF2B5EF4-FFF2-40B4-BE49-F238E27FC236}">
              <a16:creationId xmlns:a16="http://schemas.microsoft.com/office/drawing/2014/main" id="{C73CBA92-92A1-4364-87A1-3F1BCD3BF856}"/>
            </a:ext>
          </a:extLst>
        </xdr:cNvPr>
        <xdr:cNvSpPr/>
      </xdr:nvSpPr>
      <xdr:spPr>
        <a:xfrm>
          <a:off x="7612625" y="1895860"/>
          <a:ext cx="2556290" cy="1804073"/>
        </a:xfrm>
        <a:prstGeom prst="roundRect">
          <a:avLst>
            <a:gd name="adj" fmla="val 1511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285999</xdr:colOff>
      <xdr:row>0</xdr:row>
      <xdr:rowOff>174664</xdr:rowOff>
    </xdr:from>
    <xdr:to>
      <xdr:col>16</xdr:col>
      <xdr:colOff>403889</xdr:colOff>
      <xdr:row>9</xdr:row>
      <xdr:rowOff>55083</xdr:rowOff>
    </xdr:to>
    <xdr:sp macro="" textlink="">
      <xdr:nvSpPr>
        <xdr:cNvPr id="16" name="Rectangle: Rounded Corners 15">
          <a:extLst>
            <a:ext uri="{FF2B5EF4-FFF2-40B4-BE49-F238E27FC236}">
              <a16:creationId xmlns:a16="http://schemas.microsoft.com/office/drawing/2014/main" id="{0AB07220-6B46-456D-A1F0-6367C2BDC217}"/>
            </a:ext>
          </a:extLst>
        </xdr:cNvPr>
        <xdr:cNvSpPr/>
      </xdr:nvSpPr>
      <xdr:spPr>
        <a:xfrm>
          <a:off x="7601199" y="174664"/>
          <a:ext cx="2556290" cy="1556819"/>
        </a:xfrm>
        <a:prstGeom prst="roundRect">
          <a:avLst>
            <a:gd name="adj" fmla="val 15114"/>
          </a:avLst>
        </a:prstGeom>
        <a:solidFill>
          <a:srgbClr val="2828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474129</xdr:colOff>
      <xdr:row>21</xdr:row>
      <xdr:rowOff>160867</xdr:rowOff>
    </xdr:from>
    <xdr:ext cx="826060" cy="609013"/>
    <xdr:sp macro="" textlink="">
      <xdr:nvSpPr>
        <xdr:cNvPr id="18" name="TextBox 17">
          <a:extLst>
            <a:ext uri="{FF2B5EF4-FFF2-40B4-BE49-F238E27FC236}">
              <a16:creationId xmlns:a16="http://schemas.microsoft.com/office/drawing/2014/main" id="{4C74BF66-6BE0-9C2F-581C-7CDB711F14C8}"/>
            </a:ext>
          </a:extLst>
        </xdr:cNvPr>
        <xdr:cNvSpPr txBox="1"/>
      </xdr:nvSpPr>
      <xdr:spPr>
        <a:xfrm>
          <a:off x="9008529" y="4072467"/>
          <a:ext cx="82606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Part</a:t>
          </a:r>
        </a:p>
        <a:p>
          <a:r>
            <a:rPr lang="en-IN" sz="1100" b="1">
              <a:solidFill>
                <a:schemeClr val="bg1"/>
              </a:solidFill>
            </a:rPr>
            <a:t>time</a:t>
          </a:r>
        </a:p>
        <a:p>
          <a:r>
            <a:rPr lang="en-IN" sz="1100" b="1">
              <a:solidFill>
                <a:schemeClr val="bg1"/>
              </a:solidFill>
            </a:rPr>
            <a:t>employees</a:t>
          </a:r>
        </a:p>
      </xdr:txBody>
    </xdr:sp>
    <xdr:clientData/>
  </xdr:oneCellAnchor>
  <xdr:oneCellAnchor>
    <xdr:from>
      <xdr:col>15</xdr:col>
      <xdr:colOff>245534</xdr:colOff>
      <xdr:row>24</xdr:row>
      <xdr:rowOff>67734</xdr:rowOff>
    </xdr:from>
    <xdr:ext cx="698653" cy="647357"/>
    <xdr:sp macro="" textlink="'Pivot Tables'!C12">
      <xdr:nvSpPr>
        <xdr:cNvPr id="19" name="TextBox 18">
          <a:extLst>
            <a:ext uri="{FF2B5EF4-FFF2-40B4-BE49-F238E27FC236}">
              <a16:creationId xmlns:a16="http://schemas.microsoft.com/office/drawing/2014/main" id="{378DEC30-0C82-AB43-2DEF-B7E317AD2178}"/>
            </a:ext>
          </a:extLst>
        </xdr:cNvPr>
        <xdr:cNvSpPr txBox="1"/>
      </xdr:nvSpPr>
      <xdr:spPr>
        <a:xfrm>
          <a:off x="9389534" y="4538134"/>
          <a:ext cx="698653" cy="6473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F3F49C8-1034-4AB7-A523-889023C08056}" type="TxLink">
            <a:rPr lang="en-US" sz="3600" b="1" i="0" u="none" strike="noStrike">
              <a:solidFill>
                <a:schemeClr val="bg1"/>
              </a:solidFill>
              <a:latin typeface="Century" panose="02040604050505020304" pitchFamily="18" charset="0"/>
            </a:rPr>
            <a:pPr/>
            <a:t>83</a:t>
          </a:fld>
          <a:endParaRPr lang="en-IN" sz="3600" b="1">
            <a:solidFill>
              <a:schemeClr val="bg1"/>
            </a:solidFill>
            <a:latin typeface="Century" panose="02040604050505020304" pitchFamily="18" charset="0"/>
          </a:endParaRPr>
        </a:p>
      </xdr:txBody>
    </xdr:sp>
    <xdr:clientData/>
  </xdr:oneCellAnchor>
  <xdr:oneCellAnchor>
    <xdr:from>
      <xdr:col>14</xdr:col>
      <xdr:colOff>507997</xdr:colOff>
      <xdr:row>28</xdr:row>
      <xdr:rowOff>42332</xdr:rowOff>
    </xdr:from>
    <xdr:ext cx="826060" cy="609013"/>
    <xdr:sp macro="" textlink="">
      <xdr:nvSpPr>
        <xdr:cNvPr id="20" name="TextBox 19">
          <a:extLst>
            <a:ext uri="{FF2B5EF4-FFF2-40B4-BE49-F238E27FC236}">
              <a16:creationId xmlns:a16="http://schemas.microsoft.com/office/drawing/2014/main" id="{B11D6B36-78DA-453D-9317-1FC2A2BEDAAC}"/>
            </a:ext>
          </a:extLst>
        </xdr:cNvPr>
        <xdr:cNvSpPr txBox="1"/>
      </xdr:nvSpPr>
      <xdr:spPr>
        <a:xfrm>
          <a:off x="9042397" y="5257799"/>
          <a:ext cx="82606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Full</a:t>
          </a:r>
        </a:p>
        <a:p>
          <a:r>
            <a:rPr lang="en-IN" sz="1100" b="1">
              <a:solidFill>
                <a:schemeClr val="bg1"/>
              </a:solidFill>
            </a:rPr>
            <a:t>time</a:t>
          </a:r>
        </a:p>
        <a:p>
          <a:r>
            <a:rPr lang="en-IN" sz="1100" b="1">
              <a:solidFill>
                <a:schemeClr val="bg1"/>
              </a:solidFill>
            </a:rPr>
            <a:t>employees</a:t>
          </a:r>
        </a:p>
      </xdr:txBody>
    </xdr:sp>
    <xdr:clientData/>
  </xdr:oneCellAnchor>
  <xdr:oneCellAnchor>
    <xdr:from>
      <xdr:col>15</xdr:col>
      <xdr:colOff>287866</xdr:colOff>
      <xdr:row>30</xdr:row>
      <xdr:rowOff>143935</xdr:rowOff>
    </xdr:from>
    <xdr:ext cx="698140" cy="647357"/>
    <xdr:sp macro="" textlink="'Pivot Tables'!C11">
      <xdr:nvSpPr>
        <xdr:cNvPr id="21" name="TextBox 20">
          <a:extLst>
            <a:ext uri="{FF2B5EF4-FFF2-40B4-BE49-F238E27FC236}">
              <a16:creationId xmlns:a16="http://schemas.microsoft.com/office/drawing/2014/main" id="{ED376324-3BB7-4C1E-A63B-D1A9AA6039DD}"/>
            </a:ext>
          </a:extLst>
        </xdr:cNvPr>
        <xdr:cNvSpPr txBox="1"/>
      </xdr:nvSpPr>
      <xdr:spPr>
        <a:xfrm>
          <a:off x="9431866" y="5731935"/>
          <a:ext cx="698140" cy="6473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98215ED-AF11-48F7-939F-1875CB2C6A6E}" type="TxLink">
            <a:rPr lang="en-US" sz="3600" b="1" i="0" u="none" strike="noStrike">
              <a:solidFill>
                <a:schemeClr val="bg1"/>
              </a:solidFill>
              <a:latin typeface="Century" panose="02040604050505020304" pitchFamily="18" charset="0"/>
            </a:rPr>
            <a:pPr/>
            <a:t>83</a:t>
          </a:fld>
          <a:endParaRPr lang="en-IN" sz="8800" b="1">
            <a:solidFill>
              <a:schemeClr val="bg1"/>
            </a:solidFill>
            <a:latin typeface="Century" panose="02040604050505020304" pitchFamily="18" charset="0"/>
          </a:endParaRPr>
        </a:p>
      </xdr:txBody>
    </xdr:sp>
    <xdr:clientData/>
  </xdr:oneCellAnchor>
  <xdr:oneCellAnchor>
    <xdr:from>
      <xdr:col>12</xdr:col>
      <xdr:colOff>448724</xdr:colOff>
      <xdr:row>28</xdr:row>
      <xdr:rowOff>33865</xdr:rowOff>
    </xdr:from>
    <xdr:ext cx="852734" cy="609013"/>
    <xdr:sp macro="" textlink="">
      <xdr:nvSpPr>
        <xdr:cNvPr id="22" name="TextBox 21">
          <a:extLst>
            <a:ext uri="{FF2B5EF4-FFF2-40B4-BE49-F238E27FC236}">
              <a16:creationId xmlns:a16="http://schemas.microsoft.com/office/drawing/2014/main" id="{DA8877FF-2D38-4CE7-AE6B-76E76263D0F0}"/>
            </a:ext>
          </a:extLst>
        </xdr:cNvPr>
        <xdr:cNvSpPr txBox="1"/>
      </xdr:nvSpPr>
      <xdr:spPr>
        <a:xfrm>
          <a:off x="7763924" y="5249332"/>
          <a:ext cx="852734"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solidFill>
                <a:schemeClr val="bg1"/>
              </a:solidFill>
            </a:rPr>
            <a:t>Employees </a:t>
          </a:r>
        </a:p>
        <a:p>
          <a:r>
            <a:rPr lang="en-IN" sz="1100" b="1">
              <a:solidFill>
                <a:schemeClr val="bg1"/>
              </a:solidFill>
            </a:rPr>
            <a:t>with</a:t>
          </a:r>
          <a:r>
            <a:rPr lang="en-IN" sz="1100" b="1" baseline="0">
              <a:solidFill>
                <a:schemeClr val="bg1"/>
              </a:solidFill>
            </a:rPr>
            <a:t> </a:t>
          </a:r>
        </a:p>
        <a:p>
          <a:r>
            <a:rPr lang="en-IN" sz="1100" b="1" baseline="0">
              <a:solidFill>
                <a:schemeClr val="bg1"/>
              </a:solidFill>
            </a:rPr>
            <a:t>contracts</a:t>
          </a:r>
          <a:endParaRPr lang="en-IN" sz="1100" b="1">
            <a:solidFill>
              <a:schemeClr val="bg1"/>
            </a:solidFill>
          </a:endParaRPr>
        </a:p>
      </xdr:txBody>
    </xdr:sp>
    <xdr:clientData/>
  </xdr:oneCellAnchor>
  <xdr:oneCellAnchor>
    <xdr:from>
      <xdr:col>13</xdr:col>
      <xdr:colOff>262468</xdr:colOff>
      <xdr:row>30</xdr:row>
      <xdr:rowOff>143935</xdr:rowOff>
    </xdr:from>
    <xdr:ext cx="698140" cy="647357"/>
    <xdr:sp macro="" textlink="'Pivot Tables'!C10">
      <xdr:nvSpPr>
        <xdr:cNvPr id="23" name="TextBox 22">
          <a:extLst>
            <a:ext uri="{FF2B5EF4-FFF2-40B4-BE49-F238E27FC236}">
              <a16:creationId xmlns:a16="http://schemas.microsoft.com/office/drawing/2014/main" id="{A2095B20-8BE4-4698-8650-C638FFBD01C6}"/>
            </a:ext>
          </a:extLst>
        </xdr:cNvPr>
        <xdr:cNvSpPr txBox="1"/>
      </xdr:nvSpPr>
      <xdr:spPr>
        <a:xfrm>
          <a:off x="8187268" y="5731935"/>
          <a:ext cx="698140" cy="6473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167C03A-8BE4-437B-B7F8-BD9DDB92CD8D}" type="TxLink">
            <a:rPr lang="en-US" sz="3600" b="1" i="0" u="none" strike="noStrike">
              <a:solidFill>
                <a:schemeClr val="bg1"/>
              </a:solidFill>
              <a:latin typeface="Century" panose="02040604050505020304" pitchFamily="18" charset="0"/>
            </a:rPr>
            <a:pPr/>
            <a:t>34</a:t>
          </a:fld>
          <a:endParaRPr lang="en-IN" sz="41300" b="1">
            <a:solidFill>
              <a:schemeClr val="bg1"/>
            </a:solidFill>
            <a:latin typeface="Century" panose="02040604050505020304" pitchFamily="18" charset="0"/>
          </a:endParaRPr>
        </a:p>
      </xdr:txBody>
    </xdr:sp>
    <xdr:clientData/>
  </xdr:oneCellAnchor>
  <xdr:oneCellAnchor>
    <xdr:from>
      <xdr:col>8</xdr:col>
      <xdr:colOff>93110</xdr:colOff>
      <xdr:row>24</xdr:row>
      <xdr:rowOff>143938</xdr:rowOff>
    </xdr:from>
    <xdr:ext cx="1333442" cy="342851"/>
    <xdr:sp macro="" textlink="">
      <xdr:nvSpPr>
        <xdr:cNvPr id="24" name="TextBox 23">
          <a:extLst>
            <a:ext uri="{FF2B5EF4-FFF2-40B4-BE49-F238E27FC236}">
              <a16:creationId xmlns:a16="http://schemas.microsoft.com/office/drawing/2014/main" id="{0200ED0C-93AD-431D-A70D-D737A66835FB}"/>
            </a:ext>
          </a:extLst>
        </xdr:cNvPr>
        <xdr:cNvSpPr txBox="1"/>
      </xdr:nvSpPr>
      <xdr:spPr>
        <a:xfrm>
          <a:off x="4969910" y="4614338"/>
          <a:ext cx="133344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1">
              <a:solidFill>
                <a:schemeClr val="bg1"/>
              </a:solidFill>
            </a:rPr>
            <a:t>Total Salaries</a:t>
          </a:r>
        </a:p>
      </xdr:txBody>
    </xdr:sp>
    <xdr:clientData/>
  </xdr:oneCellAnchor>
  <xdr:oneCellAnchor>
    <xdr:from>
      <xdr:col>8</xdr:col>
      <xdr:colOff>126978</xdr:colOff>
      <xdr:row>26</xdr:row>
      <xdr:rowOff>82555</xdr:rowOff>
    </xdr:from>
    <xdr:ext cx="858568" cy="342851"/>
    <xdr:sp macro="" textlink="">
      <xdr:nvSpPr>
        <xdr:cNvPr id="25" name="TextBox 24">
          <a:extLst>
            <a:ext uri="{FF2B5EF4-FFF2-40B4-BE49-F238E27FC236}">
              <a16:creationId xmlns:a16="http://schemas.microsoft.com/office/drawing/2014/main" id="{7FC73AF4-729C-45E1-A1B4-E5B4C3D060D5}"/>
            </a:ext>
          </a:extLst>
        </xdr:cNvPr>
        <xdr:cNvSpPr txBox="1"/>
      </xdr:nvSpPr>
      <xdr:spPr>
        <a:xfrm>
          <a:off x="5003778" y="4925488"/>
          <a:ext cx="85856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0">
              <a:solidFill>
                <a:schemeClr val="bg1"/>
              </a:solidFill>
            </a:rPr>
            <a:t>Finance</a:t>
          </a:r>
        </a:p>
      </xdr:txBody>
    </xdr:sp>
    <xdr:clientData/>
  </xdr:oneCellAnchor>
  <xdr:oneCellAnchor>
    <xdr:from>
      <xdr:col>8</xdr:col>
      <xdr:colOff>135439</xdr:colOff>
      <xdr:row>28</xdr:row>
      <xdr:rowOff>21171</xdr:rowOff>
    </xdr:from>
    <xdr:ext cx="1029000" cy="342851"/>
    <xdr:sp macro="" textlink="">
      <xdr:nvSpPr>
        <xdr:cNvPr id="30" name="TextBox 29">
          <a:extLst>
            <a:ext uri="{FF2B5EF4-FFF2-40B4-BE49-F238E27FC236}">
              <a16:creationId xmlns:a16="http://schemas.microsoft.com/office/drawing/2014/main" id="{FCB4F0B1-0FE9-4044-8624-E0981198B0A5}"/>
            </a:ext>
          </a:extLst>
        </xdr:cNvPr>
        <xdr:cNvSpPr txBox="1"/>
      </xdr:nvSpPr>
      <xdr:spPr>
        <a:xfrm>
          <a:off x="5012239" y="5236638"/>
          <a:ext cx="102900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0">
              <a:solidFill>
                <a:schemeClr val="bg1"/>
              </a:solidFill>
            </a:rPr>
            <a:t>Marketing</a:t>
          </a:r>
        </a:p>
      </xdr:txBody>
    </xdr:sp>
    <xdr:clientData/>
  </xdr:oneCellAnchor>
  <xdr:oneCellAnchor>
    <xdr:from>
      <xdr:col>8</xdr:col>
      <xdr:colOff>118505</xdr:colOff>
      <xdr:row>29</xdr:row>
      <xdr:rowOff>146055</xdr:rowOff>
    </xdr:from>
    <xdr:ext cx="1120691" cy="342851"/>
    <xdr:sp macro="" textlink="">
      <xdr:nvSpPr>
        <xdr:cNvPr id="31" name="TextBox 30">
          <a:extLst>
            <a:ext uri="{FF2B5EF4-FFF2-40B4-BE49-F238E27FC236}">
              <a16:creationId xmlns:a16="http://schemas.microsoft.com/office/drawing/2014/main" id="{3EF3E6FD-8EF5-4088-8BA3-D5B9507B20E1}"/>
            </a:ext>
          </a:extLst>
        </xdr:cNvPr>
        <xdr:cNvSpPr txBox="1"/>
      </xdr:nvSpPr>
      <xdr:spPr>
        <a:xfrm>
          <a:off x="4995305" y="5547788"/>
          <a:ext cx="112069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0">
              <a:solidFill>
                <a:schemeClr val="bg1"/>
              </a:solidFill>
            </a:rPr>
            <a:t>Production</a:t>
          </a:r>
        </a:p>
      </xdr:txBody>
    </xdr:sp>
    <xdr:clientData/>
  </xdr:oneCellAnchor>
  <xdr:oneCellAnchor>
    <xdr:from>
      <xdr:col>8</xdr:col>
      <xdr:colOff>110040</xdr:colOff>
      <xdr:row>31</xdr:row>
      <xdr:rowOff>84672</xdr:rowOff>
    </xdr:from>
    <xdr:ext cx="651269" cy="342851"/>
    <xdr:sp macro="" textlink="">
      <xdr:nvSpPr>
        <xdr:cNvPr id="32" name="TextBox 31">
          <a:extLst>
            <a:ext uri="{FF2B5EF4-FFF2-40B4-BE49-F238E27FC236}">
              <a16:creationId xmlns:a16="http://schemas.microsoft.com/office/drawing/2014/main" id="{15420438-54AE-4865-9E20-B22964C8A37A}"/>
            </a:ext>
          </a:extLst>
        </xdr:cNvPr>
        <xdr:cNvSpPr txBox="1"/>
      </xdr:nvSpPr>
      <xdr:spPr>
        <a:xfrm>
          <a:off x="4986840" y="5858939"/>
          <a:ext cx="651269"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600" b="0">
              <a:solidFill>
                <a:schemeClr val="bg1"/>
              </a:solidFill>
            </a:rPr>
            <a:t>Sales</a:t>
          </a:r>
        </a:p>
      </xdr:txBody>
    </xdr:sp>
    <xdr:clientData/>
  </xdr:oneCellAnchor>
  <xdr:twoCellAnchor>
    <xdr:from>
      <xdr:col>10</xdr:col>
      <xdr:colOff>253999</xdr:colOff>
      <xdr:row>26</xdr:row>
      <xdr:rowOff>171449</xdr:rowOff>
    </xdr:from>
    <xdr:to>
      <xdr:col>12</xdr:col>
      <xdr:colOff>42799</xdr:colOff>
      <xdr:row>28</xdr:row>
      <xdr:rowOff>50915</xdr:rowOff>
    </xdr:to>
    <xdr:sp macro="" textlink="">
      <xdr:nvSpPr>
        <xdr:cNvPr id="39" name="Rectangle: Rounded Corners 38">
          <a:extLst>
            <a:ext uri="{FF2B5EF4-FFF2-40B4-BE49-F238E27FC236}">
              <a16:creationId xmlns:a16="http://schemas.microsoft.com/office/drawing/2014/main" id="{FED8D5DA-614A-49FE-BDAF-B72F3CC60C7E}"/>
            </a:ext>
          </a:extLst>
        </xdr:cNvPr>
        <xdr:cNvSpPr/>
      </xdr:nvSpPr>
      <xdr:spPr>
        <a:xfrm>
          <a:off x="6349999" y="5014382"/>
          <a:ext cx="1008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253999</xdr:colOff>
      <xdr:row>25</xdr:row>
      <xdr:rowOff>33865</xdr:rowOff>
    </xdr:from>
    <xdr:to>
      <xdr:col>12</xdr:col>
      <xdr:colOff>42799</xdr:colOff>
      <xdr:row>26</xdr:row>
      <xdr:rowOff>99599</xdr:rowOff>
    </xdr:to>
    <xdr:sp macro="" textlink="">
      <xdr:nvSpPr>
        <xdr:cNvPr id="38" name="Rectangle: Rounded Corners 37">
          <a:extLst>
            <a:ext uri="{FF2B5EF4-FFF2-40B4-BE49-F238E27FC236}">
              <a16:creationId xmlns:a16="http://schemas.microsoft.com/office/drawing/2014/main" id="{D5058CDB-7A7F-CA12-1D6D-205AC173318F}"/>
            </a:ext>
          </a:extLst>
        </xdr:cNvPr>
        <xdr:cNvSpPr/>
      </xdr:nvSpPr>
      <xdr:spPr>
        <a:xfrm>
          <a:off x="6349999" y="4690532"/>
          <a:ext cx="1008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339178</xdr:colOff>
      <xdr:row>25</xdr:row>
      <xdr:rowOff>35962</xdr:rowOff>
    </xdr:from>
    <xdr:ext cx="964688" cy="264560"/>
    <xdr:sp macro="" textlink="'Pivot Tables'!F15">
      <xdr:nvSpPr>
        <xdr:cNvPr id="33" name="TextBox 32">
          <a:extLst>
            <a:ext uri="{FF2B5EF4-FFF2-40B4-BE49-F238E27FC236}">
              <a16:creationId xmlns:a16="http://schemas.microsoft.com/office/drawing/2014/main" id="{ABC89820-0808-4D4C-A4CC-3B21D720A20E}"/>
            </a:ext>
          </a:extLst>
        </xdr:cNvPr>
        <xdr:cNvSpPr txBox="1"/>
      </xdr:nvSpPr>
      <xdr:spPr>
        <a:xfrm>
          <a:off x="6435178" y="4692629"/>
          <a:ext cx="96468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D4A73D48-0B06-4EC9-BFA4-E016A673D331}" type="TxLink">
            <a:rPr lang="en-US" sz="1100" b="0" i="0" u="none" strike="noStrike">
              <a:solidFill>
                <a:schemeClr val="bg1"/>
              </a:solidFill>
              <a:latin typeface="Aptos Narrow"/>
              <a:ea typeface="+mn-ea"/>
              <a:cs typeface="+mn-cs"/>
            </a:rPr>
            <a:pPr marL="0" indent="0"/>
            <a:t>₹ 1,88,13,500</a:t>
          </a:fld>
          <a:endParaRPr lang="en-IN" sz="1100" b="0" i="0" u="none" strike="noStrike">
            <a:solidFill>
              <a:schemeClr val="bg1"/>
            </a:solidFill>
            <a:latin typeface="Aptos Narrow"/>
            <a:ea typeface="+mn-ea"/>
            <a:cs typeface="+mn-cs"/>
          </a:endParaRPr>
        </a:p>
      </xdr:txBody>
    </xdr:sp>
    <xdr:clientData/>
  </xdr:oneCellAnchor>
  <xdr:oneCellAnchor>
    <xdr:from>
      <xdr:col>10</xdr:col>
      <xdr:colOff>447413</xdr:colOff>
      <xdr:row>26</xdr:row>
      <xdr:rowOff>160846</xdr:rowOff>
    </xdr:from>
    <xdr:ext cx="856453" cy="264560"/>
    <xdr:sp macro="" textlink="'Pivot Tables'!F11">
      <xdr:nvSpPr>
        <xdr:cNvPr id="34" name="TextBox 33">
          <a:extLst>
            <a:ext uri="{FF2B5EF4-FFF2-40B4-BE49-F238E27FC236}">
              <a16:creationId xmlns:a16="http://schemas.microsoft.com/office/drawing/2014/main" id="{B91A3437-B4D8-4373-B7F0-F966434970DF}"/>
            </a:ext>
          </a:extLst>
        </xdr:cNvPr>
        <xdr:cNvSpPr txBox="1"/>
      </xdr:nvSpPr>
      <xdr:spPr>
        <a:xfrm>
          <a:off x="6543413" y="5003779"/>
          <a:ext cx="8564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C5075A28-AFBF-41D1-91F5-FCC59819BCF0}" type="TxLink">
            <a:rPr lang="en-US" sz="1100" b="0" i="0" u="none" strike="noStrike">
              <a:solidFill>
                <a:schemeClr val="bg1"/>
              </a:solidFill>
              <a:latin typeface="Aptos Narrow"/>
              <a:ea typeface="+mn-ea"/>
              <a:cs typeface="+mn-cs"/>
            </a:rPr>
            <a:pPr marL="0" indent="0"/>
            <a:t>₹ 48,04,500</a:t>
          </a:fld>
          <a:endParaRPr lang="en-IN" sz="1100" b="0" i="0" u="none" strike="noStrike">
            <a:solidFill>
              <a:schemeClr val="bg1"/>
            </a:solidFill>
            <a:latin typeface="Aptos Narrow"/>
            <a:ea typeface="+mn-ea"/>
            <a:cs typeface="+mn-cs"/>
          </a:endParaRPr>
        </a:p>
      </xdr:txBody>
    </xdr:sp>
    <xdr:clientData/>
  </xdr:oneCellAnchor>
  <xdr:oneCellAnchor>
    <xdr:from>
      <xdr:col>10</xdr:col>
      <xdr:colOff>394276</xdr:colOff>
      <xdr:row>28</xdr:row>
      <xdr:rowOff>99462</xdr:rowOff>
    </xdr:from>
    <xdr:ext cx="856453" cy="264560"/>
    <xdr:sp macro="" textlink="'Pivot Tables'!F12">
      <xdr:nvSpPr>
        <xdr:cNvPr id="35" name="TextBox 34">
          <a:extLst>
            <a:ext uri="{FF2B5EF4-FFF2-40B4-BE49-F238E27FC236}">
              <a16:creationId xmlns:a16="http://schemas.microsoft.com/office/drawing/2014/main" id="{01CCCF0C-2FF3-41F4-9BFE-24E1F5AC1777}"/>
            </a:ext>
          </a:extLst>
        </xdr:cNvPr>
        <xdr:cNvSpPr txBox="1"/>
      </xdr:nvSpPr>
      <xdr:spPr>
        <a:xfrm>
          <a:off x="6490276" y="5314929"/>
          <a:ext cx="8564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4E7A0B0-EE36-4C16-95FC-25505644F9DA}" type="TxLink">
            <a:rPr lang="en-US" sz="1100" b="0" i="0" u="none" strike="noStrike">
              <a:solidFill>
                <a:schemeClr val="bg1"/>
              </a:solidFill>
              <a:latin typeface="Aptos Narrow"/>
            </a:rPr>
            <a:pPr/>
            <a:t>₹ 47,63,700</a:t>
          </a:fld>
          <a:endParaRPr lang="en-IN" sz="1600" b="1">
            <a:solidFill>
              <a:schemeClr val="bg1"/>
            </a:solidFill>
          </a:endParaRPr>
        </a:p>
      </xdr:txBody>
    </xdr:sp>
    <xdr:clientData/>
  </xdr:oneCellAnchor>
  <xdr:oneCellAnchor>
    <xdr:from>
      <xdr:col>10</xdr:col>
      <xdr:colOff>394276</xdr:colOff>
      <xdr:row>30</xdr:row>
      <xdr:rowOff>38079</xdr:rowOff>
    </xdr:from>
    <xdr:ext cx="856453" cy="264560"/>
    <xdr:sp macro="" textlink="'Pivot Tables'!F13">
      <xdr:nvSpPr>
        <xdr:cNvPr id="36" name="TextBox 35">
          <a:extLst>
            <a:ext uri="{FF2B5EF4-FFF2-40B4-BE49-F238E27FC236}">
              <a16:creationId xmlns:a16="http://schemas.microsoft.com/office/drawing/2014/main" id="{0ADB1380-3811-4A93-BDCC-1DF13FE4A6B5}"/>
            </a:ext>
          </a:extLst>
        </xdr:cNvPr>
        <xdr:cNvSpPr txBox="1"/>
      </xdr:nvSpPr>
      <xdr:spPr>
        <a:xfrm>
          <a:off x="6490276" y="5626079"/>
          <a:ext cx="8564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1560AB9-C9A9-469F-B0CA-792D76FA5A2D}" type="TxLink">
            <a:rPr lang="en-US" sz="1100" b="0" i="0" u="none" strike="noStrike">
              <a:solidFill>
                <a:schemeClr val="bg1"/>
              </a:solidFill>
              <a:latin typeface="Aptos Narrow"/>
            </a:rPr>
            <a:pPr/>
            <a:t>₹ 47,44,300</a:t>
          </a:fld>
          <a:endParaRPr lang="en-IN" sz="1600" b="1">
            <a:solidFill>
              <a:schemeClr val="bg1"/>
            </a:solidFill>
          </a:endParaRPr>
        </a:p>
      </xdr:txBody>
    </xdr:sp>
    <xdr:clientData/>
  </xdr:oneCellAnchor>
  <xdr:oneCellAnchor>
    <xdr:from>
      <xdr:col>10</xdr:col>
      <xdr:colOff>394276</xdr:colOff>
      <xdr:row>31</xdr:row>
      <xdr:rowOff>162963</xdr:rowOff>
    </xdr:from>
    <xdr:ext cx="856453" cy="264560"/>
    <xdr:sp macro="" textlink="'Pivot Tables'!F14">
      <xdr:nvSpPr>
        <xdr:cNvPr id="37" name="TextBox 36">
          <a:extLst>
            <a:ext uri="{FF2B5EF4-FFF2-40B4-BE49-F238E27FC236}">
              <a16:creationId xmlns:a16="http://schemas.microsoft.com/office/drawing/2014/main" id="{3B7A4402-96A0-4117-8856-062D1644ADA3}"/>
            </a:ext>
          </a:extLst>
        </xdr:cNvPr>
        <xdr:cNvSpPr txBox="1"/>
      </xdr:nvSpPr>
      <xdr:spPr>
        <a:xfrm>
          <a:off x="6490276" y="5937230"/>
          <a:ext cx="8564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BE9A922-299F-4313-945F-B2C3A84A3346}" type="TxLink">
            <a:rPr lang="en-US" sz="1100" b="0" i="0" u="none" strike="noStrike">
              <a:solidFill>
                <a:schemeClr val="bg1"/>
              </a:solidFill>
              <a:latin typeface="Aptos Narrow"/>
            </a:rPr>
            <a:pPr/>
            <a:t>₹ 45,01,000</a:t>
          </a:fld>
          <a:endParaRPr lang="en-IN" sz="1600" b="1">
            <a:solidFill>
              <a:schemeClr val="bg1"/>
            </a:solidFill>
          </a:endParaRPr>
        </a:p>
      </xdr:txBody>
    </xdr:sp>
    <xdr:clientData/>
  </xdr:oneCellAnchor>
  <xdr:twoCellAnchor>
    <xdr:from>
      <xdr:col>10</xdr:col>
      <xdr:colOff>253999</xdr:colOff>
      <xdr:row>28</xdr:row>
      <xdr:rowOff>122765</xdr:rowOff>
    </xdr:from>
    <xdr:to>
      <xdr:col>12</xdr:col>
      <xdr:colOff>42799</xdr:colOff>
      <xdr:row>30</xdr:row>
      <xdr:rowOff>2232</xdr:rowOff>
    </xdr:to>
    <xdr:sp macro="" textlink="">
      <xdr:nvSpPr>
        <xdr:cNvPr id="40" name="Rectangle: Rounded Corners 39">
          <a:extLst>
            <a:ext uri="{FF2B5EF4-FFF2-40B4-BE49-F238E27FC236}">
              <a16:creationId xmlns:a16="http://schemas.microsoft.com/office/drawing/2014/main" id="{F7990BDD-0FA1-4EB6-A62F-3B298A0A6D52}"/>
            </a:ext>
          </a:extLst>
        </xdr:cNvPr>
        <xdr:cNvSpPr/>
      </xdr:nvSpPr>
      <xdr:spPr>
        <a:xfrm>
          <a:off x="6349999" y="5338232"/>
          <a:ext cx="1008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253999</xdr:colOff>
      <xdr:row>30</xdr:row>
      <xdr:rowOff>74082</xdr:rowOff>
    </xdr:from>
    <xdr:to>
      <xdr:col>12</xdr:col>
      <xdr:colOff>42799</xdr:colOff>
      <xdr:row>31</xdr:row>
      <xdr:rowOff>139815</xdr:rowOff>
    </xdr:to>
    <xdr:sp macro="" textlink="">
      <xdr:nvSpPr>
        <xdr:cNvPr id="41" name="Rectangle: Rounded Corners 40">
          <a:extLst>
            <a:ext uri="{FF2B5EF4-FFF2-40B4-BE49-F238E27FC236}">
              <a16:creationId xmlns:a16="http://schemas.microsoft.com/office/drawing/2014/main" id="{BA42E439-C4B5-4A26-A157-946861B624D8}"/>
            </a:ext>
          </a:extLst>
        </xdr:cNvPr>
        <xdr:cNvSpPr/>
      </xdr:nvSpPr>
      <xdr:spPr>
        <a:xfrm>
          <a:off x="6349999" y="5662082"/>
          <a:ext cx="1008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253999</xdr:colOff>
      <xdr:row>32</xdr:row>
      <xdr:rowOff>25398</xdr:rowOff>
    </xdr:from>
    <xdr:to>
      <xdr:col>12</xdr:col>
      <xdr:colOff>42799</xdr:colOff>
      <xdr:row>33</xdr:row>
      <xdr:rowOff>91131</xdr:rowOff>
    </xdr:to>
    <xdr:sp macro="" textlink="">
      <xdr:nvSpPr>
        <xdr:cNvPr id="42" name="Rectangle: Rounded Corners 41">
          <a:extLst>
            <a:ext uri="{FF2B5EF4-FFF2-40B4-BE49-F238E27FC236}">
              <a16:creationId xmlns:a16="http://schemas.microsoft.com/office/drawing/2014/main" id="{0456A21B-9179-43BF-9702-0C14D75D3C2C}"/>
            </a:ext>
          </a:extLst>
        </xdr:cNvPr>
        <xdr:cNvSpPr/>
      </xdr:nvSpPr>
      <xdr:spPr>
        <a:xfrm>
          <a:off x="6349999" y="5985931"/>
          <a:ext cx="1008000" cy="252000"/>
        </a:xfrm>
        <a:prstGeom prst="roundRect">
          <a:avLst/>
        </a:prstGeom>
        <a:solidFill>
          <a:srgbClr val="1F1F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447413</xdr:colOff>
      <xdr:row>28</xdr:row>
      <xdr:rowOff>126979</xdr:rowOff>
    </xdr:from>
    <xdr:ext cx="856453" cy="264560"/>
    <xdr:sp macro="" textlink="'Pivot Tables'!F12">
      <xdr:nvSpPr>
        <xdr:cNvPr id="43" name="TextBox 42">
          <a:extLst>
            <a:ext uri="{FF2B5EF4-FFF2-40B4-BE49-F238E27FC236}">
              <a16:creationId xmlns:a16="http://schemas.microsoft.com/office/drawing/2014/main" id="{120E17BD-30EA-452F-9C51-65D4544FD389}"/>
            </a:ext>
          </a:extLst>
        </xdr:cNvPr>
        <xdr:cNvSpPr txBox="1"/>
      </xdr:nvSpPr>
      <xdr:spPr>
        <a:xfrm>
          <a:off x="6543413" y="5342446"/>
          <a:ext cx="85645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37A322D-D528-4802-9D25-573B9FA8C177}" type="TxLink">
            <a:rPr lang="en-US" sz="1100" b="0" i="0" u="none" strike="noStrike">
              <a:solidFill>
                <a:schemeClr val="bg1"/>
              </a:solidFill>
              <a:latin typeface="Aptos Narrow"/>
            </a:rPr>
            <a:pPr/>
            <a:t>₹ 47,63,700</a:t>
          </a:fld>
          <a:endParaRPr lang="en-IN" sz="1600" b="0">
            <a:solidFill>
              <a:schemeClr val="bg1"/>
            </a:solidFill>
          </a:endParaRPr>
        </a:p>
      </xdr:txBody>
    </xdr:sp>
    <xdr:clientData/>
  </xdr:oneCellAnchor>
  <xdr:oneCellAnchor>
    <xdr:from>
      <xdr:col>10</xdr:col>
      <xdr:colOff>428141</xdr:colOff>
      <xdr:row>30</xdr:row>
      <xdr:rowOff>84646</xdr:rowOff>
    </xdr:from>
    <xdr:ext cx="875725" cy="264560"/>
    <xdr:sp macro="" textlink="'Pivot Tables'!F13">
      <xdr:nvSpPr>
        <xdr:cNvPr id="44" name="TextBox 43">
          <a:extLst>
            <a:ext uri="{FF2B5EF4-FFF2-40B4-BE49-F238E27FC236}">
              <a16:creationId xmlns:a16="http://schemas.microsoft.com/office/drawing/2014/main" id="{8F52140A-53F8-4841-9097-6F902C251800}"/>
            </a:ext>
          </a:extLst>
        </xdr:cNvPr>
        <xdr:cNvSpPr txBox="1"/>
      </xdr:nvSpPr>
      <xdr:spPr>
        <a:xfrm>
          <a:off x="6524141" y="5672646"/>
          <a:ext cx="8757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0360E7E-B723-4F4B-B5AE-FD2C979E6561}" type="TxLink">
            <a:rPr lang="en-US" sz="1100" b="0" i="0" u="none" strike="noStrike">
              <a:solidFill>
                <a:schemeClr val="bg1"/>
              </a:solidFill>
              <a:latin typeface="Aptos Narrow"/>
            </a:rPr>
            <a:pPr/>
            <a:t>₹ 47,44,300</a:t>
          </a:fld>
          <a:endParaRPr lang="en-IN" sz="1600" b="0">
            <a:solidFill>
              <a:schemeClr val="bg1"/>
            </a:solidFill>
          </a:endParaRPr>
        </a:p>
      </xdr:txBody>
    </xdr:sp>
    <xdr:clientData/>
  </xdr:oneCellAnchor>
  <xdr:oneCellAnchor>
    <xdr:from>
      <xdr:col>10</xdr:col>
      <xdr:colOff>368875</xdr:colOff>
      <xdr:row>32</xdr:row>
      <xdr:rowOff>16913</xdr:rowOff>
    </xdr:from>
    <xdr:ext cx="934991" cy="264560"/>
    <xdr:sp macro="" textlink="'Pivot Tables'!F14">
      <xdr:nvSpPr>
        <xdr:cNvPr id="45" name="TextBox 44">
          <a:extLst>
            <a:ext uri="{FF2B5EF4-FFF2-40B4-BE49-F238E27FC236}">
              <a16:creationId xmlns:a16="http://schemas.microsoft.com/office/drawing/2014/main" id="{810F1A3F-1629-4712-9EE4-2BC2CF3C5EC3}"/>
            </a:ext>
          </a:extLst>
        </xdr:cNvPr>
        <xdr:cNvSpPr txBox="1"/>
      </xdr:nvSpPr>
      <xdr:spPr>
        <a:xfrm>
          <a:off x="6464875" y="5977446"/>
          <a:ext cx="9349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1035482-60C7-4052-ADB1-F0FFEE2C3A5A}" type="TxLink">
            <a:rPr lang="en-US" sz="1100" b="0" i="0" u="none" strike="noStrike">
              <a:solidFill>
                <a:schemeClr val="bg1"/>
              </a:solidFill>
              <a:latin typeface="Aptos Narrow"/>
            </a:rPr>
            <a:pPr/>
            <a:t>₹ 45,01,000</a:t>
          </a:fld>
          <a:endParaRPr lang="en-IN" sz="1600" b="0">
            <a:solidFill>
              <a:schemeClr val="bg1"/>
            </a:solidFill>
          </a:endParaRPr>
        </a:p>
      </xdr:txBody>
    </xdr:sp>
    <xdr:clientData/>
  </xdr:oneCellAnchor>
  <xdr:oneCellAnchor>
    <xdr:from>
      <xdr:col>8</xdr:col>
      <xdr:colOff>126979</xdr:colOff>
      <xdr:row>21</xdr:row>
      <xdr:rowOff>50801</xdr:rowOff>
    </xdr:from>
    <xdr:ext cx="922817" cy="374077"/>
    <xdr:sp macro="" textlink="">
      <xdr:nvSpPr>
        <xdr:cNvPr id="46" name="TextBox 45">
          <a:extLst>
            <a:ext uri="{FF2B5EF4-FFF2-40B4-BE49-F238E27FC236}">
              <a16:creationId xmlns:a16="http://schemas.microsoft.com/office/drawing/2014/main" id="{B3F1F602-CBF9-44E1-A7F3-613E217D0B8E}"/>
            </a:ext>
          </a:extLst>
        </xdr:cNvPr>
        <xdr:cNvSpPr txBox="1"/>
      </xdr:nvSpPr>
      <xdr:spPr>
        <a:xfrm>
          <a:off x="5003779" y="3962401"/>
          <a:ext cx="922817"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0">
              <a:solidFill>
                <a:srgbClr val="E5B244"/>
              </a:solidFill>
            </a:rPr>
            <a:t>Salaries</a:t>
          </a:r>
        </a:p>
      </xdr:txBody>
    </xdr:sp>
    <xdr:clientData/>
  </xdr:oneCellAnchor>
  <xdr:oneCellAnchor>
    <xdr:from>
      <xdr:col>8</xdr:col>
      <xdr:colOff>84642</xdr:colOff>
      <xdr:row>22</xdr:row>
      <xdr:rowOff>118538</xdr:rowOff>
    </xdr:from>
    <xdr:ext cx="1890646" cy="280205"/>
    <xdr:sp macro="" textlink="">
      <xdr:nvSpPr>
        <xdr:cNvPr id="47" name="TextBox 46">
          <a:extLst>
            <a:ext uri="{FF2B5EF4-FFF2-40B4-BE49-F238E27FC236}">
              <a16:creationId xmlns:a16="http://schemas.microsoft.com/office/drawing/2014/main" id="{70EC1921-D075-4B20-B364-120C4D93DCF7}"/>
            </a:ext>
          </a:extLst>
        </xdr:cNvPr>
        <xdr:cNvSpPr txBox="1"/>
      </xdr:nvSpPr>
      <xdr:spPr>
        <a:xfrm>
          <a:off x="4961442" y="4216405"/>
          <a:ext cx="18906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50000"/>
                  <a:lumOff val="50000"/>
                </a:schemeClr>
              </a:solidFill>
            </a:rPr>
            <a:t>Salary</a:t>
          </a:r>
          <a:r>
            <a:rPr lang="en-IN" sz="1200" b="1" baseline="0">
              <a:solidFill>
                <a:schemeClr val="tx1">
                  <a:lumMod val="50000"/>
                  <a:lumOff val="50000"/>
                </a:schemeClr>
              </a:solidFill>
            </a:rPr>
            <a:t>  amount by job titles</a:t>
          </a:r>
          <a:endParaRPr lang="en-IN" sz="1200" b="1">
            <a:solidFill>
              <a:schemeClr val="tx1">
                <a:lumMod val="50000"/>
                <a:lumOff val="50000"/>
              </a:schemeClr>
            </a:solidFill>
          </a:endParaRPr>
        </a:p>
      </xdr:txBody>
    </xdr:sp>
    <xdr:clientData/>
  </xdr:oneCellAnchor>
  <xdr:oneCellAnchor>
    <xdr:from>
      <xdr:col>12</xdr:col>
      <xdr:colOff>474132</xdr:colOff>
      <xdr:row>20</xdr:row>
      <xdr:rowOff>33863</xdr:rowOff>
    </xdr:from>
    <xdr:ext cx="2582333" cy="311496"/>
    <xdr:sp macro="" textlink="">
      <xdr:nvSpPr>
        <xdr:cNvPr id="49" name="TextBox 48">
          <a:extLst>
            <a:ext uri="{FF2B5EF4-FFF2-40B4-BE49-F238E27FC236}">
              <a16:creationId xmlns:a16="http://schemas.microsoft.com/office/drawing/2014/main" id="{5820CBCF-ED3B-4FC6-A556-27AFDBBE1C93}"/>
            </a:ext>
          </a:extLst>
        </xdr:cNvPr>
        <xdr:cNvSpPr txBox="1"/>
      </xdr:nvSpPr>
      <xdr:spPr>
        <a:xfrm>
          <a:off x="7789332" y="3759196"/>
          <a:ext cx="25823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0">
              <a:solidFill>
                <a:srgbClr val="E5B244"/>
              </a:solidFill>
            </a:rPr>
            <a:t>Employments status Breakdown</a:t>
          </a:r>
        </a:p>
      </xdr:txBody>
    </xdr:sp>
    <xdr:clientData/>
  </xdr:oneCellAnchor>
  <xdr:twoCellAnchor>
    <xdr:from>
      <xdr:col>12</xdr:col>
      <xdr:colOff>253991</xdr:colOff>
      <xdr:row>21</xdr:row>
      <xdr:rowOff>169334</xdr:rowOff>
    </xdr:from>
    <xdr:to>
      <xdr:col>14</xdr:col>
      <xdr:colOff>414867</xdr:colOff>
      <xdr:row>28</xdr:row>
      <xdr:rowOff>89467</xdr:rowOff>
    </xdr:to>
    <xdr:graphicFrame macro="">
      <xdr:nvGraphicFramePr>
        <xdr:cNvPr id="50" name="Chart 1">
          <a:extLst>
            <a:ext uri="{FF2B5EF4-FFF2-40B4-BE49-F238E27FC236}">
              <a16:creationId xmlns:a16="http://schemas.microsoft.com/office/drawing/2014/main" id="{30311698-5321-6F6F-D355-1EC36987A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152400</xdr:colOff>
      <xdr:row>22</xdr:row>
      <xdr:rowOff>50798</xdr:rowOff>
    </xdr:from>
    <xdr:to>
      <xdr:col>16</xdr:col>
      <xdr:colOff>304800</xdr:colOff>
      <xdr:row>23</xdr:row>
      <xdr:rowOff>8532</xdr:rowOff>
    </xdr:to>
    <xdr:sp macro="" textlink="">
      <xdr:nvSpPr>
        <xdr:cNvPr id="51" name="Oval 50">
          <a:extLst>
            <a:ext uri="{FF2B5EF4-FFF2-40B4-BE49-F238E27FC236}">
              <a16:creationId xmlns:a16="http://schemas.microsoft.com/office/drawing/2014/main" id="{72D0EFD0-A4F6-7C74-E9B1-E9F8F3800DB1}"/>
            </a:ext>
          </a:extLst>
        </xdr:cNvPr>
        <xdr:cNvSpPr/>
      </xdr:nvSpPr>
      <xdr:spPr>
        <a:xfrm>
          <a:off x="9906000" y="4148665"/>
          <a:ext cx="152400" cy="144000"/>
        </a:xfrm>
        <a:prstGeom prst="ellipse">
          <a:avLst/>
        </a:prstGeom>
        <a:solidFill>
          <a:schemeClr val="bg2">
            <a:lumMod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126999</xdr:colOff>
      <xdr:row>28</xdr:row>
      <xdr:rowOff>135466</xdr:rowOff>
    </xdr:from>
    <xdr:to>
      <xdr:col>14</xdr:col>
      <xdr:colOff>279399</xdr:colOff>
      <xdr:row>29</xdr:row>
      <xdr:rowOff>93200</xdr:rowOff>
    </xdr:to>
    <xdr:sp macro="" textlink="">
      <xdr:nvSpPr>
        <xdr:cNvPr id="52" name="Oval 51">
          <a:extLst>
            <a:ext uri="{FF2B5EF4-FFF2-40B4-BE49-F238E27FC236}">
              <a16:creationId xmlns:a16="http://schemas.microsoft.com/office/drawing/2014/main" id="{5DCA3AF3-CBD4-46B1-B3FC-3B2A3A6B4118}"/>
            </a:ext>
          </a:extLst>
        </xdr:cNvPr>
        <xdr:cNvSpPr/>
      </xdr:nvSpPr>
      <xdr:spPr>
        <a:xfrm>
          <a:off x="8661399" y="5350933"/>
          <a:ext cx="152400" cy="144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135463</xdr:colOff>
      <xdr:row>28</xdr:row>
      <xdr:rowOff>101596</xdr:rowOff>
    </xdr:from>
    <xdr:to>
      <xdr:col>16</xdr:col>
      <xdr:colOff>287863</xdr:colOff>
      <xdr:row>29</xdr:row>
      <xdr:rowOff>59330</xdr:rowOff>
    </xdr:to>
    <xdr:sp macro="" textlink="">
      <xdr:nvSpPr>
        <xdr:cNvPr id="53" name="Oval 52">
          <a:extLst>
            <a:ext uri="{FF2B5EF4-FFF2-40B4-BE49-F238E27FC236}">
              <a16:creationId xmlns:a16="http://schemas.microsoft.com/office/drawing/2014/main" id="{196C7BFC-1A49-4463-A669-6452F1084D10}"/>
            </a:ext>
          </a:extLst>
        </xdr:cNvPr>
        <xdr:cNvSpPr/>
      </xdr:nvSpPr>
      <xdr:spPr>
        <a:xfrm>
          <a:off x="9889063" y="5317063"/>
          <a:ext cx="152400" cy="144000"/>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448732</xdr:colOff>
      <xdr:row>24</xdr:row>
      <xdr:rowOff>160867</xdr:rowOff>
    </xdr:from>
    <xdr:to>
      <xdr:col>7</xdr:col>
      <xdr:colOff>440265</xdr:colOff>
      <xdr:row>34</xdr:row>
      <xdr:rowOff>30058</xdr:rowOff>
    </xdr:to>
    <xdr:graphicFrame macro="">
      <xdr:nvGraphicFramePr>
        <xdr:cNvPr id="54" name="Chart 2">
          <a:extLst>
            <a:ext uri="{FF2B5EF4-FFF2-40B4-BE49-F238E27FC236}">
              <a16:creationId xmlns:a16="http://schemas.microsoft.com/office/drawing/2014/main" id="{47650D16-7A4D-CCBE-12D0-4ED692D21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3</xdr:col>
      <xdr:colOff>507999</xdr:colOff>
      <xdr:row>21</xdr:row>
      <xdr:rowOff>50798</xdr:rowOff>
    </xdr:from>
    <xdr:ext cx="1140440" cy="374077"/>
    <xdr:sp macro="" textlink="">
      <xdr:nvSpPr>
        <xdr:cNvPr id="14" name="TextBox 13">
          <a:extLst>
            <a:ext uri="{FF2B5EF4-FFF2-40B4-BE49-F238E27FC236}">
              <a16:creationId xmlns:a16="http://schemas.microsoft.com/office/drawing/2014/main" id="{D287FD52-2AF1-476E-A8B3-EBFC9D580C3A}"/>
            </a:ext>
          </a:extLst>
        </xdr:cNvPr>
        <xdr:cNvSpPr txBox="1"/>
      </xdr:nvSpPr>
      <xdr:spPr>
        <a:xfrm>
          <a:off x="2336799" y="3962398"/>
          <a:ext cx="1140440"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0">
              <a:solidFill>
                <a:srgbClr val="E5B244"/>
              </a:solidFill>
            </a:rPr>
            <a:t>Age Range</a:t>
          </a:r>
        </a:p>
      </xdr:txBody>
    </xdr:sp>
    <xdr:clientData/>
  </xdr:oneCellAnchor>
  <xdr:oneCellAnchor>
    <xdr:from>
      <xdr:col>3</xdr:col>
      <xdr:colOff>431795</xdr:colOff>
      <xdr:row>22</xdr:row>
      <xdr:rowOff>110068</xdr:rowOff>
    </xdr:from>
    <xdr:ext cx="2616203" cy="436786"/>
    <xdr:sp macro="" textlink="">
      <xdr:nvSpPr>
        <xdr:cNvPr id="17" name="TextBox 16">
          <a:extLst>
            <a:ext uri="{FF2B5EF4-FFF2-40B4-BE49-F238E27FC236}">
              <a16:creationId xmlns:a16="http://schemas.microsoft.com/office/drawing/2014/main" id="{D9CDB15A-8031-4C46-9985-D4B6DBDEBDD4}"/>
            </a:ext>
          </a:extLst>
        </xdr:cNvPr>
        <xdr:cNvSpPr txBox="1"/>
      </xdr:nvSpPr>
      <xdr:spPr>
        <a:xfrm>
          <a:off x="2260595" y="4207935"/>
          <a:ext cx="2616203" cy="43678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baseline="0">
              <a:solidFill>
                <a:schemeClr val="tx1">
                  <a:lumMod val="50000"/>
                  <a:lumOff val="50000"/>
                </a:schemeClr>
              </a:solidFill>
            </a:rPr>
            <a:t>no. of employees acording to age ranges and gender</a:t>
          </a:r>
        </a:p>
      </xdr:txBody>
    </xdr:sp>
    <xdr:clientData/>
  </xdr:oneCellAnchor>
  <xdr:oneCellAnchor>
    <xdr:from>
      <xdr:col>7</xdr:col>
      <xdr:colOff>8443</xdr:colOff>
      <xdr:row>23</xdr:row>
      <xdr:rowOff>160871</xdr:rowOff>
    </xdr:from>
    <xdr:ext cx="469809" cy="233205"/>
    <xdr:sp macro="" textlink="">
      <xdr:nvSpPr>
        <xdr:cNvPr id="28" name="TextBox 27">
          <a:extLst>
            <a:ext uri="{FF2B5EF4-FFF2-40B4-BE49-F238E27FC236}">
              <a16:creationId xmlns:a16="http://schemas.microsoft.com/office/drawing/2014/main" id="{CA04DE67-1F43-45C5-8123-DA659808BA91}"/>
            </a:ext>
          </a:extLst>
        </xdr:cNvPr>
        <xdr:cNvSpPr txBox="1"/>
      </xdr:nvSpPr>
      <xdr:spPr>
        <a:xfrm>
          <a:off x="4275643" y="4445004"/>
          <a:ext cx="469809"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b="1">
              <a:solidFill>
                <a:schemeClr val="bg1"/>
              </a:solidFill>
            </a:rPr>
            <a:t>Males</a:t>
          </a:r>
        </a:p>
      </xdr:txBody>
    </xdr:sp>
    <xdr:clientData/>
  </xdr:oneCellAnchor>
  <xdr:oneCellAnchor>
    <xdr:from>
      <xdr:col>5</xdr:col>
      <xdr:colOff>592644</xdr:colOff>
      <xdr:row>23</xdr:row>
      <xdr:rowOff>160871</xdr:rowOff>
    </xdr:from>
    <xdr:ext cx="591957" cy="233205"/>
    <xdr:sp macro="" textlink="">
      <xdr:nvSpPr>
        <xdr:cNvPr id="29" name="TextBox 28">
          <a:extLst>
            <a:ext uri="{FF2B5EF4-FFF2-40B4-BE49-F238E27FC236}">
              <a16:creationId xmlns:a16="http://schemas.microsoft.com/office/drawing/2014/main" id="{F8E5995D-4B2C-49D1-B411-2E77D8FD87AD}"/>
            </a:ext>
          </a:extLst>
        </xdr:cNvPr>
        <xdr:cNvSpPr txBox="1"/>
      </xdr:nvSpPr>
      <xdr:spPr>
        <a:xfrm>
          <a:off x="3640644" y="4445004"/>
          <a:ext cx="59195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900" b="1">
              <a:solidFill>
                <a:schemeClr val="bg1"/>
              </a:solidFill>
            </a:rPr>
            <a:t>Females</a:t>
          </a:r>
        </a:p>
      </xdr:txBody>
    </xdr:sp>
    <xdr:clientData/>
  </xdr:oneCellAnchor>
  <xdr:twoCellAnchor>
    <xdr:from>
      <xdr:col>5</xdr:col>
      <xdr:colOff>584202</xdr:colOff>
      <xdr:row>24</xdr:row>
      <xdr:rowOff>50800</xdr:rowOff>
    </xdr:from>
    <xdr:to>
      <xdr:col>6</xdr:col>
      <xdr:colOff>46602</xdr:colOff>
      <xdr:row>24</xdr:row>
      <xdr:rowOff>122800</xdr:rowOff>
    </xdr:to>
    <xdr:sp macro="" textlink="">
      <xdr:nvSpPr>
        <xdr:cNvPr id="48" name="Oval 47">
          <a:extLst>
            <a:ext uri="{FF2B5EF4-FFF2-40B4-BE49-F238E27FC236}">
              <a16:creationId xmlns:a16="http://schemas.microsoft.com/office/drawing/2014/main" id="{DDB4E4D6-3FF5-4536-AEB7-F3E8116A6389}"/>
            </a:ext>
          </a:extLst>
        </xdr:cNvPr>
        <xdr:cNvSpPr/>
      </xdr:nvSpPr>
      <xdr:spPr>
        <a:xfrm>
          <a:off x="3632202" y="4521200"/>
          <a:ext cx="72000" cy="72000"/>
        </a:xfrm>
        <a:prstGeom prst="ellipse">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584203</xdr:colOff>
      <xdr:row>24</xdr:row>
      <xdr:rowOff>59265</xdr:rowOff>
    </xdr:from>
    <xdr:to>
      <xdr:col>7</xdr:col>
      <xdr:colOff>46603</xdr:colOff>
      <xdr:row>24</xdr:row>
      <xdr:rowOff>131265</xdr:rowOff>
    </xdr:to>
    <xdr:sp macro="" textlink="">
      <xdr:nvSpPr>
        <xdr:cNvPr id="55" name="Oval 54">
          <a:extLst>
            <a:ext uri="{FF2B5EF4-FFF2-40B4-BE49-F238E27FC236}">
              <a16:creationId xmlns:a16="http://schemas.microsoft.com/office/drawing/2014/main" id="{DB172EEA-0F9A-4838-A292-069E85C78920}"/>
            </a:ext>
          </a:extLst>
        </xdr:cNvPr>
        <xdr:cNvSpPr/>
      </xdr:nvSpPr>
      <xdr:spPr>
        <a:xfrm>
          <a:off x="4241803" y="4529665"/>
          <a:ext cx="72000" cy="72000"/>
        </a:xfrm>
        <a:prstGeom prst="ellipse">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253838</xdr:colOff>
      <xdr:row>27</xdr:row>
      <xdr:rowOff>110064</xdr:rowOff>
    </xdr:from>
    <xdr:to>
      <xdr:col>3</xdr:col>
      <xdr:colOff>4600</xdr:colOff>
      <xdr:row>29</xdr:row>
      <xdr:rowOff>160867</xdr:rowOff>
    </xdr:to>
    <xdr:graphicFrame macro="">
      <xdr:nvGraphicFramePr>
        <xdr:cNvPr id="26" name="Chart 1">
          <a:extLst>
            <a:ext uri="{FF2B5EF4-FFF2-40B4-BE49-F238E27FC236}">
              <a16:creationId xmlns:a16="http://schemas.microsoft.com/office/drawing/2014/main" id="{C28C4251-F762-02BB-A015-BBEF96CCCD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253838</xdr:colOff>
      <xdr:row>30</xdr:row>
      <xdr:rowOff>42362</xdr:rowOff>
    </xdr:from>
    <xdr:to>
      <xdr:col>3</xdr:col>
      <xdr:colOff>5049</xdr:colOff>
      <xdr:row>31</xdr:row>
      <xdr:rowOff>184957</xdr:rowOff>
    </xdr:to>
    <xdr:graphicFrame macro="">
      <xdr:nvGraphicFramePr>
        <xdr:cNvPr id="27" name="Chart 2">
          <a:extLst>
            <a:ext uri="{FF2B5EF4-FFF2-40B4-BE49-F238E27FC236}">
              <a16:creationId xmlns:a16="http://schemas.microsoft.com/office/drawing/2014/main" id="{EAE4B610-6ECA-C2C7-F780-2C9175BA8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253838</xdr:colOff>
      <xdr:row>32</xdr:row>
      <xdr:rowOff>101600</xdr:rowOff>
    </xdr:from>
    <xdr:to>
      <xdr:col>3</xdr:col>
      <xdr:colOff>4600</xdr:colOff>
      <xdr:row>34</xdr:row>
      <xdr:rowOff>59267</xdr:rowOff>
    </xdr:to>
    <xdr:graphicFrame macro="">
      <xdr:nvGraphicFramePr>
        <xdr:cNvPr id="56" name="Chart 3">
          <a:extLst>
            <a:ext uri="{FF2B5EF4-FFF2-40B4-BE49-F238E27FC236}">
              <a16:creationId xmlns:a16="http://schemas.microsoft.com/office/drawing/2014/main" id="{F406CC2E-DD87-AC32-DC7E-576404DFD3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253838</xdr:colOff>
      <xdr:row>26</xdr:row>
      <xdr:rowOff>110552</xdr:rowOff>
    </xdr:from>
    <xdr:ext cx="1518658" cy="380515"/>
    <xdr:sp macro="" textlink="">
      <xdr:nvSpPr>
        <xdr:cNvPr id="57" name="TextBox 56">
          <a:extLst>
            <a:ext uri="{FF2B5EF4-FFF2-40B4-BE49-F238E27FC236}">
              <a16:creationId xmlns:a16="http://schemas.microsoft.com/office/drawing/2014/main" id="{CE9A8EDB-CD89-43AE-85F7-A2AFECE81FE3}"/>
            </a:ext>
          </a:extLst>
        </xdr:cNvPr>
        <xdr:cNvSpPr txBox="1"/>
      </xdr:nvSpPr>
      <xdr:spPr>
        <a:xfrm>
          <a:off x="253838" y="4953485"/>
          <a:ext cx="1518658" cy="3805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rPr>
            <a:t>Branch</a:t>
          </a:r>
          <a:r>
            <a:rPr lang="en-IN" sz="1600" b="0" baseline="0">
              <a:solidFill>
                <a:schemeClr val="bg1"/>
              </a:solidFill>
            </a:rPr>
            <a:t> Office</a:t>
          </a:r>
          <a:endParaRPr lang="en-IN" sz="1600" b="0">
            <a:solidFill>
              <a:schemeClr val="bg1"/>
            </a:solidFill>
          </a:endParaRPr>
        </a:p>
      </xdr:txBody>
    </xdr:sp>
    <xdr:clientData/>
  </xdr:oneCellAnchor>
  <xdr:oneCellAnchor>
    <xdr:from>
      <xdr:col>0</xdr:col>
      <xdr:colOff>253838</xdr:colOff>
      <xdr:row>29</xdr:row>
      <xdr:rowOff>23771</xdr:rowOff>
    </xdr:from>
    <xdr:ext cx="1604480" cy="331829"/>
    <xdr:sp macro="" textlink="">
      <xdr:nvSpPr>
        <xdr:cNvPr id="58" name="TextBox 57">
          <a:extLst>
            <a:ext uri="{FF2B5EF4-FFF2-40B4-BE49-F238E27FC236}">
              <a16:creationId xmlns:a16="http://schemas.microsoft.com/office/drawing/2014/main" id="{412D3BD3-A930-4822-A735-553089B84120}"/>
            </a:ext>
          </a:extLst>
        </xdr:cNvPr>
        <xdr:cNvSpPr txBox="1"/>
      </xdr:nvSpPr>
      <xdr:spPr>
        <a:xfrm>
          <a:off x="253838" y="5425504"/>
          <a:ext cx="1604480" cy="331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0">
              <a:solidFill>
                <a:schemeClr val="bg1"/>
              </a:solidFill>
            </a:rPr>
            <a:t>Head Office</a:t>
          </a:r>
        </a:p>
      </xdr:txBody>
    </xdr:sp>
    <xdr:clientData/>
  </xdr:oneCellAnchor>
  <xdr:oneCellAnchor>
    <xdr:from>
      <xdr:col>0</xdr:col>
      <xdr:colOff>253838</xdr:colOff>
      <xdr:row>31</xdr:row>
      <xdr:rowOff>69953</xdr:rowOff>
    </xdr:from>
    <xdr:ext cx="981482" cy="243529"/>
    <xdr:sp macro="" textlink="">
      <xdr:nvSpPr>
        <xdr:cNvPr id="59" name="TextBox 58">
          <a:extLst>
            <a:ext uri="{FF2B5EF4-FFF2-40B4-BE49-F238E27FC236}">
              <a16:creationId xmlns:a16="http://schemas.microsoft.com/office/drawing/2014/main" id="{1016EBBF-40C8-4C87-AFB9-5E361351B8D5}"/>
            </a:ext>
          </a:extLst>
        </xdr:cNvPr>
        <xdr:cNvSpPr txBox="1"/>
      </xdr:nvSpPr>
      <xdr:spPr>
        <a:xfrm>
          <a:off x="253838" y="5844220"/>
          <a:ext cx="981482" cy="243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0">
              <a:solidFill>
                <a:schemeClr val="bg1"/>
              </a:solidFill>
            </a:rPr>
            <a:t>Remote</a:t>
          </a:r>
        </a:p>
      </xdr:txBody>
    </xdr:sp>
    <xdr:clientData/>
  </xdr:oneCellAnchor>
  <xdr:oneCellAnchor>
    <xdr:from>
      <xdr:col>0</xdr:col>
      <xdr:colOff>178170</xdr:colOff>
      <xdr:row>24</xdr:row>
      <xdr:rowOff>29784</xdr:rowOff>
    </xdr:from>
    <xdr:ext cx="1505669" cy="374077"/>
    <xdr:sp macro="" textlink="">
      <xdr:nvSpPr>
        <xdr:cNvPr id="60" name="TextBox 59">
          <a:extLst>
            <a:ext uri="{FF2B5EF4-FFF2-40B4-BE49-F238E27FC236}">
              <a16:creationId xmlns:a16="http://schemas.microsoft.com/office/drawing/2014/main" id="{2CFB94C5-ECD2-41A4-BE91-BEEAFE53F390}"/>
            </a:ext>
          </a:extLst>
        </xdr:cNvPr>
        <xdr:cNvSpPr txBox="1"/>
      </xdr:nvSpPr>
      <xdr:spPr>
        <a:xfrm>
          <a:off x="178170" y="4500184"/>
          <a:ext cx="1505669"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0">
              <a:solidFill>
                <a:srgbClr val="E5B244"/>
              </a:solidFill>
            </a:rPr>
            <a:t>Work Location</a:t>
          </a:r>
        </a:p>
      </xdr:txBody>
    </xdr:sp>
    <xdr:clientData/>
  </xdr:oneCellAnchor>
  <xdr:oneCellAnchor>
    <xdr:from>
      <xdr:col>0</xdr:col>
      <xdr:colOff>186635</xdr:colOff>
      <xdr:row>25</xdr:row>
      <xdr:rowOff>97521</xdr:rowOff>
    </xdr:from>
    <xdr:ext cx="1734001" cy="280205"/>
    <xdr:sp macro="" textlink="">
      <xdr:nvSpPr>
        <xdr:cNvPr id="61" name="TextBox 60">
          <a:extLst>
            <a:ext uri="{FF2B5EF4-FFF2-40B4-BE49-F238E27FC236}">
              <a16:creationId xmlns:a16="http://schemas.microsoft.com/office/drawing/2014/main" id="{9B9BEFE8-9DE6-417C-8C13-6B438A01F297}"/>
            </a:ext>
          </a:extLst>
        </xdr:cNvPr>
        <xdr:cNvSpPr txBox="1"/>
      </xdr:nvSpPr>
      <xdr:spPr>
        <a:xfrm>
          <a:off x="186635" y="4754188"/>
          <a:ext cx="1734001"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50000"/>
                  <a:lumOff val="50000"/>
                </a:schemeClr>
              </a:solidFill>
            </a:rPr>
            <a:t>Employees to workplace</a:t>
          </a:r>
        </a:p>
      </xdr:txBody>
    </xdr:sp>
    <xdr:clientData/>
  </xdr:oneCellAnchor>
  <xdr:oneCellAnchor>
    <xdr:from>
      <xdr:col>2</xdr:col>
      <xdr:colOff>406399</xdr:colOff>
      <xdr:row>28</xdr:row>
      <xdr:rowOff>1</xdr:rowOff>
    </xdr:from>
    <xdr:ext cx="474134" cy="254000"/>
    <xdr:sp macro="" textlink="'Pivot Tables'!N15">
      <xdr:nvSpPr>
        <xdr:cNvPr id="62" name="TextBox 61">
          <a:extLst>
            <a:ext uri="{FF2B5EF4-FFF2-40B4-BE49-F238E27FC236}">
              <a16:creationId xmlns:a16="http://schemas.microsoft.com/office/drawing/2014/main" id="{D2A7D072-8F78-467C-A713-3E32CC5E523B}"/>
            </a:ext>
          </a:extLst>
        </xdr:cNvPr>
        <xdr:cNvSpPr txBox="1"/>
      </xdr:nvSpPr>
      <xdr:spPr>
        <a:xfrm>
          <a:off x="1625599" y="5215468"/>
          <a:ext cx="474134" cy="254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9A812A9-4F3B-420F-8922-91DEE934101F}" type="TxLink">
            <a:rPr lang="en-US" sz="1200" b="0" i="0" u="none" strike="noStrike">
              <a:solidFill>
                <a:schemeClr val="bg1"/>
              </a:solidFill>
              <a:latin typeface="Aptos Narrow"/>
            </a:rPr>
            <a:pPr/>
            <a:t>36%</a:t>
          </a:fld>
          <a:endParaRPr lang="en-IN" sz="1800" b="0">
            <a:solidFill>
              <a:schemeClr val="bg1"/>
            </a:solidFill>
          </a:endParaRPr>
        </a:p>
      </xdr:txBody>
    </xdr:sp>
    <xdr:clientData/>
  </xdr:oneCellAnchor>
  <xdr:oneCellAnchor>
    <xdr:from>
      <xdr:col>2</xdr:col>
      <xdr:colOff>431800</xdr:colOff>
      <xdr:row>30</xdr:row>
      <xdr:rowOff>67733</xdr:rowOff>
    </xdr:from>
    <xdr:ext cx="457200" cy="270933"/>
    <xdr:sp macro="" textlink="'Pivot Tables'!N16">
      <xdr:nvSpPr>
        <xdr:cNvPr id="63" name="TextBox 62">
          <a:extLst>
            <a:ext uri="{FF2B5EF4-FFF2-40B4-BE49-F238E27FC236}">
              <a16:creationId xmlns:a16="http://schemas.microsoft.com/office/drawing/2014/main" id="{0C2FE54A-C4FF-4898-8713-4B656B37FB7B}"/>
            </a:ext>
          </a:extLst>
        </xdr:cNvPr>
        <xdr:cNvSpPr txBox="1"/>
      </xdr:nvSpPr>
      <xdr:spPr>
        <a:xfrm>
          <a:off x="1651000" y="5655733"/>
          <a:ext cx="457200" cy="2709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355263C-B3BA-4B67-B8AF-042A83765567}" type="TxLink">
            <a:rPr lang="en-US" sz="1200" b="0" i="0" u="none" strike="noStrike">
              <a:solidFill>
                <a:schemeClr val="bg1"/>
              </a:solidFill>
              <a:latin typeface="Aptos Narrow"/>
            </a:rPr>
            <a:pPr/>
            <a:t>36%</a:t>
          </a:fld>
          <a:endParaRPr lang="en-IN" sz="1800" b="0">
            <a:solidFill>
              <a:schemeClr val="bg1"/>
            </a:solidFill>
          </a:endParaRPr>
        </a:p>
      </xdr:txBody>
    </xdr:sp>
    <xdr:clientData/>
  </xdr:oneCellAnchor>
  <xdr:oneCellAnchor>
    <xdr:from>
      <xdr:col>2</xdr:col>
      <xdr:colOff>448733</xdr:colOff>
      <xdr:row>32</xdr:row>
      <xdr:rowOff>135466</xdr:rowOff>
    </xdr:from>
    <xdr:ext cx="499534" cy="287867"/>
    <xdr:sp macro="" textlink="'Pivot Tables'!N17">
      <xdr:nvSpPr>
        <xdr:cNvPr id="65" name="TextBox 64">
          <a:extLst>
            <a:ext uri="{FF2B5EF4-FFF2-40B4-BE49-F238E27FC236}">
              <a16:creationId xmlns:a16="http://schemas.microsoft.com/office/drawing/2014/main" id="{21A8B101-7318-4990-9CF2-E0E2A5AE4201}"/>
            </a:ext>
          </a:extLst>
        </xdr:cNvPr>
        <xdr:cNvSpPr txBox="1"/>
      </xdr:nvSpPr>
      <xdr:spPr>
        <a:xfrm>
          <a:off x="1667933" y="6095999"/>
          <a:ext cx="499534" cy="2878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0304035-640D-4ABD-BE52-5B858232B672}" type="TxLink">
            <a:rPr lang="en-US" sz="1200" b="0" i="0" u="none" strike="noStrike">
              <a:solidFill>
                <a:schemeClr val="bg1"/>
              </a:solidFill>
              <a:latin typeface="Aptos Narrow"/>
            </a:rPr>
            <a:pPr/>
            <a:t>29%</a:t>
          </a:fld>
          <a:endParaRPr lang="en-IN" sz="1800" b="0">
            <a:solidFill>
              <a:schemeClr val="bg1"/>
            </a:solidFill>
          </a:endParaRPr>
        </a:p>
      </xdr:txBody>
    </xdr:sp>
    <xdr:clientData/>
  </xdr:oneCellAnchor>
  <xdr:oneCellAnchor>
    <xdr:from>
      <xdr:col>0</xdr:col>
      <xdr:colOff>288242</xdr:colOff>
      <xdr:row>16</xdr:row>
      <xdr:rowOff>57690</xdr:rowOff>
    </xdr:from>
    <xdr:ext cx="675826" cy="311496"/>
    <xdr:sp macro="" textlink="">
      <xdr:nvSpPr>
        <xdr:cNvPr id="67" name="TextBox 66">
          <a:extLst>
            <a:ext uri="{FF2B5EF4-FFF2-40B4-BE49-F238E27FC236}">
              <a16:creationId xmlns:a16="http://schemas.microsoft.com/office/drawing/2014/main" id="{F074A6E7-5E2C-4E99-9516-1166D41EACE5}"/>
            </a:ext>
          </a:extLst>
        </xdr:cNvPr>
        <xdr:cNvSpPr txBox="1"/>
      </xdr:nvSpPr>
      <xdr:spPr>
        <a:xfrm>
          <a:off x="288242" y="3037957"/>
          <a:ext cx="67582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solidFill>
                <a:schemeClr val="bg1"/>
              </a:solidFill>
            </a:rPr>
            <a:t>Design</a:t>
          </a:r>
        </a:p>
      </xdr:txBody>
    </xdr:sp>
    <xdr:clientData/>
  </xdr:oneCellAnchor>
  <xdr:oneCellAnchor>
    <xdr:from>
      <xdr:col>0</xdr:col>
      <xdr:colOff>296703</xdr:colOff>
      <xdr:row>17</xdr:row>
      <xdr:rowOff>182574</xdr:rowOff>
    </xdr:from>
    <xdr:ext cx="565732" cy="311496"/>
    <xdr:sp macro="" textlink="">
      <xdr:nvSpPr>
        <xdr:cNvPr id="68" name="TextBox 67">
          <a:extLst>
            <a:ext uri="{FF2B5EF4-FFF2-40B4-BE49-F238E27FC236}">
              <a16:creationId xmlns:a16="http://schemas.microsoft.com/office/drawing/2014/main" id="{4A2FA673-F17B-44D2-AA64-E01C4D4D22D0}"/>
            </a:ext>
          </a:extLst>
        </xdr:cNvPr>
        <xdr:cNvSpPr txBox="1"/>
      </xdr:nvSpPr>
      <xdr:spPr>
        <a:xfrm>
          <a:off x="296703" y="3349107"/>
          <a:ext cx="56573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solidFill>
                <a:schemeClr val="bg1"/>
              </a:solidFill>
            </a:rPr>
            <a:t>Excel</a:t>
          </a:r>
        </a:p>
      </xdr:txBody>
    </xdr:sp>
    <xdr:clientData/>
  </xdr:oneCellAnchor>
  <xdr:oneCellAnchor>
    <xdr:from>
      <xdr:col>0</xdr:col>
      <xdr:colOff>279769</xdr:colOff>
      <xdr:row>19</xdr:row>
      <xdr:rowOff>121190</xdr:rowOff>
    </xdr:from>
    <xdr:ext cx="1120243" cy="311496"/>
    <xdr:sp macro="" textlink="">
      <xdr:nvSpPr>
        <xdr:cNvPr id="69" name="TextBox 68">
          <a:extLst>
            <a:ext uri="{FF2B5EF4-FFF2-40B4-BE49-F238E27FC236}">
              <a16:creationId xmlns:a16="http://schemas.microsoft.com/office/drawing/2014/main" id="{195ED611-5F0C-43E0-8D81-4CD8B11AEDB9}"/>
            </a:ext>
          </a:extLst>
        </xdr:cNvPr>
        <xdr:cNvSpPr txBox="1"/>
      </xdr:nvSpPr>
      <xdr:spPr>
        <a:xfrm>
          <a:off x="279769" y="3660257"/>
          <a:ext cx="112024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solidFill>
                <a:schemeClr val="bg1"/>
              </a:solidFill>
            </a:rPr>
            <a:t>Management</a:t>
          </a:r>
        </a:p>
      </xdr:txBody>
    </xdr:sp>
    <xdr:clientData/>
  </xdr:oneCellAnchor>
  <xdr:oneCellAnchor>
    <xdr:from>
      <xdr:col>0</xdr:col>
      <xdr:colOff>271304</xdr:colOff>
      <xdr:row>21</xdr:row>
      <xdr:rowOff>59808</xdr:rowOff>
    </xdr:from>
    <xdr:ext cx="679801" cy="311496"/>
    <xdr:sp macro="" textlink="">
      <xdr:nvSpPr>
        <xdr:cNvPr id="70" name="TextBox 69">
          <a:extLst>
            <a:ext uri="{FF2B5EF4-FFF2-40B4-BE49-F238E27FC236}">
              <a16:creationId xmlns:a16="http://schemas.microsoft.com/office/drawing/2014/main" id="{98CFFB71-8833-4DB2-9AFB-3B8ABB534E97}"/>
            </a:ext>
          </a:extLst>
        </xdr:cNvPr>
        <xdr:cNvSpPr txBox="1"/>
      </xdr:nvSpPr>
      <xdr:spPr>
        <a:xfrm>
          <a:off x="271304" y="3971408"/>
          <a:ext cx="67980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solidFill>
                <a:schemeClr val="bg1"/>
              </a:solidFill>
            </a:rPr>
            <a:t>Python</a:t>
          </a:r>
        </a:p>
      </xdr:txBody>
    </xdr:sp>
    <xdr:clientData/>
  </xdr:oneCellAnchor>
  <xdr:oneCellAnchor>
    <xdr:from>
      <xdr:col>0</xdr:col>
      <xdr:colOff>305174</xdr:colOff>
      <xdr:row>14</xdr:row>
      <xdr:rowOff>108489</xdr:rowOff>
    </xdr:from>
    <xdr:ext cx="1342162" cy="311496"/>
    <xdr:sp macro="" textlink="">
      <xdr:nvSpPr>
        <xdr:cNvPr id="71" name="TextBox 70">
          <a:extLst>
            <a:ext uri="{FF2B5EF4-FFF2-40B4-BE49-F238E27FC236}">
              <a16:creationId xmlns:a16="http://schemas.microsoft.com/office/drawing/2014/main" id="{5EC39198-F248-45D6-9932-4553D766479B}"/>
            </a:ext>
          </a:extLst>
        </xdr:cNvPr>
        <xdr:cNvSpPr txBox="1"/>
      </xdr:nvSpPr>
      <xdr:spPr>
        <a:xfrm>
          <a:off x="305174" y="2716222"/>
          <a:ext cx="134216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0">
              <a:solidFill>
                <a:schemeClr val="bg1"/>
              </a:solidFill>
            </a:rPr>
            <a:t>Communication</a:t>
          </a:r>
        </a:p>
      </xdr:txBody>
    </xdr:sp>
    <xdr:clientData/>
  </xdr:oneCellAnchor>
  <xdr:oneCellAnchor>
    <xdr:from>
      <xdr:col>2</xdr:col>
      <xdr:colOff>491438</xdr:colOff>
      <xdr:row>14</xdr:row>
      <xdr:rowOff>133889</xdr:rowOff>
    </xdr:from>
    <xdr:ext cx="380630" cy="238645"/>
    <xdr:sp macro="" textlink="'Pivot Tables'!T12">
      <xdr:nvSpPr>
        <xdr:cNvPr id="72" name="TextBox 71">
          <a:extLst>
            <a:ext uri="{FF2B5EF4-FFF2-40B4-BE49-F238E27FC236}">
              <a16:creationId xmlns:a16="http://schemas.microsoft.com/office/drawing/2014/main" id="{755224C0-07A4-408C-9DE3-8816ACB311F7}"/>
            </a:ext>
          </a:extLst>
        </xdr:cNvPr>
        <xdr:cNvSpPr txBox="1"/>
      </xdr:nvSpPr>
      <xdr:spPr>
        <a:xfrm>
          <a:off x="1710638" y="2741622"/>
          <a:ext cx="380630" cy="2386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A2DA1E7C-643D-41B8-9E46-C7B0D9C39212}" type="TxLink">
            <a:rPr lang="en-US" sz="1500" b="1" i="0" u="none" strike="noStrike">
              <a:solidFill>
                <a:srgbClr val="E5B244"/>
              </a:solidFill>
              <a:latin typeface="Aptos Narrow"/>
            </a:rPr>
            <a:pPr algn="l"/>
            <a:t>39</a:t>
          </a:fld>
          <a:endParaRPr lang="en-IN" sz="1500" b="1">
            <a:solidFill>
              <a:srgbClr val="E5B244"/>
            </a:solidFill>
          </a:endParaRPr>
        </a:p>
      </xdr:txBody>
    </xdr:sp>
    <xdr:clientData/>
  </xdr:oneCellAnchor>
  <xdr:oneCellAnchor>
    <xdr:from>
      <xdr:col>2</xdr:col>
      <xdr:colOff>491438</xdr:colOff>
      <xdr:row>16</xdr:row>
      <xdr:rowOff>83089</xdr:rowOff>
    </xdr:from>
    <xdr:ext cx="380630" cy="213244"/>
    <xdr:sp macro="" textlink="'Pivot Tables'!T13">
      <xdr:nvSpPr>
        <xdr:cNvPr id="76" name="TextBox 75">
          <a:extLst>
            <a:ext uri="{FF2B5EF4-FFF2-40B4-BE49-F238E27FC236}">
              <a16:creationId xmlns:a16="http://schemas.microsoft.com/office/drawing/2014/main" id="{89FE0E65-3929-4CAE-9F69-481607889DD3}"/>
            </a:ext>
          </a:extLst>
        </xdr:cNvPr>
        <xdr:cNvSpPr txBox="1"/>
      </xdr:nvSpPr>
      <xdr:spPr>
        <a:xfrm>
          <a:off x="1710638" y="3063356"/>
          <a:ext cx="380630" cy="21324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67044BE8-7FF9-4E87-90C3-1D816640F4E0}" type="TxLink">
            <a:rPr lang="en-US" sz="1500" b="1" i="0" u="none" strike="noStrike">
              <a:solidFill>
                <a:srgbClr val="E5B244"/>
              </a:solidFill>
              <a:latin typeface="Aptos Narrow"/>
            </a:rPr>
            <a:pPr algn="l"/>
            <a:t>39</a:t>
          </a:fld>
          <a:endParaRPr lang="en-IN" sz="1500" b="1">
            <a:solidFill>
              <a:srgbClr val="E5B244"/>
            </a:solidFill>
          </a:endParaRPr>
        </a:p>
      </xdr:txBody>
    </xdr:sp>
    <xdr:clientData/>
  </xdr:oneCellAnchor>
  <xdr:oneCellAnchor>
    <xdr:from>
      <xdr:col>2</xdr:col>
      <xdr:colOff>491438</xdr:colOff>
      <xdr:row>18</xdr:row>
      <xdr:rowOff>23822</xdr:rowOff>
    </xdr:from>
    <xdr:ext cx="380630" cy="221711"/>
    <xdr:sp macro="" textlink="'Pivot Tables'!T14">
      <xdr:nvSpPr>
        <xdr:cNvPr id="78" name="TextBox 77">
          <a:extLst>
            <a:ext uri="{FF2B5EF4-FFF2-40B4-BE49-F238E27FC236}">
              <a16:creationId xmlns:a16="http://schemas.microsoft.com/office/drawing/2014/main" id="{39177DDA-E1FB-4952-A822-F8BE6F434CD4}"/>
            </a:ext>
          </a:extLst>
        </xdr:cNvPr>
        <xdr:cNvSpPr txBox="1"/>
      </xdr:nvSpPr>
      <xdr:spPr>
        <a:xfrm>
          <a:off x="1710638" y="3376622"/>
          <a:ext cx="380630" cy="22171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8BAF3AC9-67E3-40DE-9828-588C0E66328C}" type="TxLink">
            <a:rPr lang="en-US" sz="1500" b="1" i="0" u="none" strike="noStrike">
              <a:solidFill>
                <a:srgbClr val="E5B244"/>
              </a:solidFill>
              <a:latin typeface="Aptos Narrow"/>
            </a:rPr>
            <a:pPr algn="l"/>
            <a:t>45</a:t>
          </a:fld>
          <a:endParaRPr lang="en-IN" sz="1500" b="1">
            <a:solidFill>
              <a:srgbClr val="E5B244"/>
            </a:solidFill>
          </a:endParaRPr>
        </a:p>
      </xdr:txBody>
    </xdr:sp>
    <xdr:clientData/>
  </xdr:oneCellAnchor>
  <xdr:oneCellAnchor>
    <xdr:from>
      <xdr:col>2</xdr:col>
      <xdr:colOff>491438</xdr:colOff>
      <xdr:row>19</xdr:row>
      <xdr:rowOff>176223</xdr:rowOff>
    </xdr:from>
    <xdr:ext cx="380630" cy="204778"/>
    <xdr:sp macro="" textlink="'Pivot Tables'!T15">
      <xdr:nvSpPr>
        <xdr:cNvPr id="79" name="TextBox 78">
          <a:extLst>
            <a:ext uri="{FF2B5EF4-FFF2-40B4-BE49-F238E27FC236}">
              <a16:creationId xmlns:a16="http://schemas.microsoft.com/office/drawing/2014/main" id="{3866FEB8-721F-4336-8F71-98BFAB22577A}"/>
            </a:ext>
          </a:extLst>
        </xdr:cNvPr>
        <xdr:cNvSpPr txBox="1"/>
      </xdr:nvSpPr>
      <xdr:spPr>
        <a:xfrm>
          <a:off x="1710638" y="3715290"/>
          <a:ext cx="380630" cy="204778"/>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283235D3-B728-4BD0-9E1F-DA19B1F35663}" type="TxLink">
            <a:rPr lang="en-US" sz="1500" b="1" i="0" u="none" strike="noStrike">
              <a:solidFill>
                <a:srgbClr val="E5B244"/>
              </a:solidFill>
              <a:latin typeface="Aptos Narrow"/>
            </a:rPr>
            <a:pPr algn="l"/>
            <a:t>39</a:t>
          </a:fld>
          <a:endParaRPr lang="en-IN" sz="1500" b="1">
            <a:solidFill>
              <a:srgbClr val="E5B244"/>
            </a:solidFill>
          </a:endParaRPr>
        </a:p>
      </xdr:txBody>
    </xdr:sp>
    <xdr:clientData/>
  </xdr:oneCellAnchor>
  <xdr:oneCellAnchor>
    <xdr:from>
      <xdr:col>2</xdr:col>
      <xdr:colOff>491438</xdr:colOff>
      <xdr:row>21</xdr:row>
      <xdr:rowOff>108488</xdr:rowOff>
    </xdr:from>
    <xdr:ext cx="380630" cy="204779"/>
    <xdr:sp macro="" textlink="'Pivot Tables'!T16">
      <xdr:nvSpPr>
        <xdr:cNvPr id="80" name="TextBox 79">
          <a:extLst>
            <a:ext uri="{FF2B5EF4-FFF2-40B4-BE49-F238E27FC236}">
              <a16:creationId xmlns:a16="http://schemas.microsoft.com/office/drawing/2014/main" id="{AFC1EF53-2B97-44DC-94E3-B32505463E3C}"/>
            </a:ext>
          </a:extLst>
        </xdr:cNvPr>
        <xdr:cNvSpPr txBox="1"/>
      </xdr:nvSpPr>
      <xdr:spPr>
        <a:xfrm>
          <a:off x="1710638" y="4020088"/>
          <a:ext cx="380630" cy="20477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fld id="{E35CB2CF-469F-40FF-92F4-D43B938FA46F}" type="TxLink">
            <a:rPr lang="en-US" sz="1500" b="1" i="0" u="none" strike="noStrike">
              <a:solidFill>
                <a:srgbClr val="E5B244"/>
              </a:solidFill>
              <a:latin typeface="Aptos Narrow"/>
            </a:rPr>
            <a:pPr algn="l"/>
            <a:t>38</a:t>
          </a:fld>
          <a:endParaRPr lang="en-IN" sz="1500" b="1">
            <a:solidFill>
              <a:srgbClr val="E5B244"/>
            </a:solidFill>
          </a:endParaRPr>
        </a:p>
      </xdr:txBody>
    </xdr:sp>
    <xdr:clientData/>
  </xdr:oneCellAnchor>
  <xdr:oneCellAnchor>
    <xdr:from>
      <xdr:col>0</xdr:col>
      <xdr:colOff>237065</xdr:colOff>
      <xdr:row>10</xdr:row>
      <xdr:rowOff>177796</xdr:rowOff>
    </xdr:from>
    <xdr:ext cx="1244600" cy="736603"/>
    <xdr:sp macro="" textlink="">
      <xdr:nvSpPr>
        <xdr:cNvPr id="81" name="TextBox 80">
          <a:extLst>
            <a:ext uri="{FF2B5EF4-FFF2-40B4-BE49-F238E27FC236}">
              <a16:creationId xmlns:a16="http://schemas.microsoft.com/office/drawing/2014/main" id="{D669E674-8BE0-44BD-9746-18E7D98BCBA5}"/>
            </a:ext>
          </a:extLst>
        </xdr:cNvPr>
        <xdr:cNvSpPr txBox="1"/>
      </xdr:nvSpPr>
      <xdr:spPr>
        <a:xfrm>
          <a:off x="237065" y="2040463"/>
          <a:ext cx="1244600" cy="7366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800" b="1">
              <a:solidFill>
                <a:srgbClr val="E5B244"/>
              </a:solidFill>
            </a:rPr>
            <a:t>Skills </a:t>
          </a:r>
        </a:p>
        <a:p>
          <a:r>
            <a:rPr lang="en-IN" sz="1800" b="1">
              <a:solidFill>
                <a:srgbClr val="E5B244"/>
              </a:solidFill>
            </a:rPr>
            <a:t>BreakDown</a:t>
          </a:r>
        </a:p>
      </xdr:txBody>
    </xdr:sp>
    <xdr:clientData/>
  </xdr:oneCellAnchor>
  <xdr:twoCellAnchor editAs="oneCell">
    <xdr:from>
      <xdr:col>0</xdr:col>
      <xdr:colOff>335280</xdr:colOff>
      <xdr:row>6</xdr:row>
      <xdr:rowOff>137160</xdr:rowOff>
    </xdr:from>
    <xdr:to>
      <xdr:col>3</xdr:col>
      <xdr:colOff>144779</xdr:colOff>
      <xdr:row>12</xdr:row>
      <xdr:rowOff>137160</xdr:rowOff>
    </xdr:to>
    <xdr:pic>
      <xdr:nvPicPr>
        <xdr:cNvPr id="83" name="Picture 82">
          <a:extLst>
            <a:ext uri="{FF2B5EF4-FFF2-40B4-BE49-F238E27FC236}">
              <a16:creationId xmlns:a16="http://schemas.microsoft.com/office/drawing/2014/main" id="{DE5D8BE1-7610-06CC-0D16-3490FA0934A1}"/>
            </a:ext>
          </a:extLst>
        </xdr:cNvPr>
        <xdr:cNvPicPr>
          <a:picLocks noChangeAspect="1"/>
        </xdr:cNvPicPr>
      </xdr:nvPicPr>
      <xdr:blipFill>
        <a:blip xmlns:r="http://schemas.openxmlformats.org/officeDocument/2006/relationships" r:embed="rId6" cstate="print">
          <a:extLst>
            <a:ext uri="{BEBA8EAE-BF5A-486C-A8C5-ECC9F3942E4B}">
              <a14:imgProps xmlns:a14="http://schemas.microsoft.com/office/drawing/2010/main">
                <a14:imgLayer r:embed="rId7">
                  <a14:imgEffect>
                    <a14:backgroundRemoval t="10000" b="90000" l="10000" r="90000">
                      <a14:foregroundMark x1="65590" y1="31606" x2="65590" y2="31606"/>
                      <a14:foregroundMark x1="48447" y1="20211" x2="48447" y2="20211"/>
                      <a14:foregroundMark x1="33043" y1="31459" x2="33043" y2="31459"/>
                      <a14:foregroundMark x1="52422" y1="55536" x2="52422" y2="55536"/>
                      <a14:foregroundMark x1="51677" y1="70299" x2="51677" y2="70299"/>
                      <a14:foregroundMark x1="38385" y1="70123" x2="38385" y2="70123"/>
                      <a14:foregroundMark x1="38385" y1="70123" x2="38385" y2="70123"/>
                      <a14:foregroundMark x1="62112" y1="71178" x2="62112" y2="71178"/>
                      <a14:foregroundMark x1="62112" y1="71178" x2="62112" y2="71178"/>
                      <a14:foregroundMark x1="76522" y1="68014" x2="76522" y2="68014"/>
                      <a14:foregroundMark x1="78509" y1="68014" x2="78509" y2="68014"/>
                      <a14:foregroundMark x1="21366" y1="68190" x2="21366" y2="68190"/>
                      <a14:foregroundMark x1="23478" y1="67487" x2="23478" y2="67487"/>
                      <a14:foregroundMark x1="28944" y1="27768" x2="28944" y2="27768"/>
                      <a14:foregroundMark x1="28944" y1="27768" x2="28944" y2="27768"/>
                      <a14:foregroundMark x1="40994" y1="34622" x2="40994" y2="34622"/>
                      <a14:foregroundMark x1="41366" y1="20562" x2="41366" y2="20562"/>
                      <a14:foregroundMark x1="35404" y1="15993" x2="35404" y2="15993"/>
                      <a14:foregroundMark x1="47826" y1="13884" x2="47826" y2="13884"/>
                      <a14:foregroundMark x1="56149" y1="16344" x2="56149" y2="16344"/>
                      <a14:foregroundMark x1="61366" y1="23374" x2="61366" y2="23374"/>
                      <a14:foregroundMark x1="66335" y1="18278" x2="66335" y2="18278"/>
                      <a14:foregroundMark x1="71304" y1="27592" x2="71304" y2="27592"/>
                      <a14:foregroundMark x1="71304" y1="27417" x2="71304" y2="27417"/>
                      <a14:foregroundMark x1="60373" y1="35501" x2="60373" y2="35501"/>
                    </a14:backgroundRemoval>
                  </a14:imgEffect>
                </a14:imgLayer>
              </a14:imgProps>
            </a:ext>
            <a:ext uri="{28A0092B-C50C-407E-A947-70E740481C1C}">
              <a14:useLocalDpi xmlns:a14="http://schemas.microsoft.com/office/drawing/2010/main" val="0"/>
            </a:ext>
          </a:extLst>
        </a:blip>
        <a:stretch>
          <a:fillRect/>
        </a:stretch>
      </xdr:blipFill>
      <xdr:spPr>
        <a:xfrm>
          <a:off x="335280" y="1234440"/>
          <a:ext cx="1638299" cy="1097280"/>
        </a:xfrm>
        <a:prstGeom prst="rect">
          <a:avLst/>
        </a:prstGeom>
        <a:ln>
          <a:noFill/>
        </a:ln>
      </xdr:spPr>
    </xdr:pic>
    <xdr:clientData/>
  </xdr:twoCellAnchor>
  <xdr:oneCellAnchor>
    <xdr:from>
      <xdr:col>3</xdr:col>
      <xdr:colOff>485988</xdr:colOff>
      <xdr:row>7</xdr:row>
      <xdr:rowOff>76199</xdr:rowOff>
    </xdr:from>
    <xdr:ext cx="1907541" cy="320042"/>
    <xdr:sp macro="" textlink="">
      <xdr:nvSpPr>
        <xdr:cNvPr id="84" name="TextBox 83">
          <a:extLst>
            <a:ext uri="{FF2B5EF4-FFF2-40B4-BE49-F238E27FC236}">
              <a16:creationId xmlns:a16="http://schemas.microsoft.com/office/drawing/2014/main" id="{76FB70C2-6D24-4F34-B544-3A5DACA531C4}"/>
            </a:ext>
          </a:extLst>
        </xdr:cNvPr>
        <xdr:cNvSpPr txBox="1"/>
      </xdr:nvSpPr>
      <xdr:spPr>
        <a:xfrm>
          <a:off x="2314788" y="1380066"/>
          <a:ext cx="1907541" cy="3200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0">
              <a:solidFill>
                <a:srgbClr val="E5B244"/>
              </a:solidFill>
            </a:rPr>
            <a:t>Employees Number</a:t>
          </a:r>
        </a:p>
      </xdr:txBody>
    </xdr:sp>
    <xdr:clientData/>
  </xdr:oneCellAnchor>
  <xdr:oneCellAnchor>
    <xdr:from>
      <xdr:col>3</xdr:col>
      <xdr:colOff>462279</xdr:colOff>
      <xdr:row>8</xdr:row>
      <xdr:rowOff>120359</xdr:rowOff>
    </xdr:from>
    <xdr:ext cx="1017928" cy="579121"/>
    <xdr:sp macro="" textlink="'Pivot Tables'!AB5">
      <xdr:nvSpPr>
        <xdr:cNvPr id="85" name="TextBox 84">
          <a:extLst>
            <a:ext uri="{FF2B5EF4-FFF2-40B4-BE49-F238E27FC236}">
              <a16:creationId xmlns:a16="http://schemas.microsoft.com/office/drawing/2014/main" id="{DEE702E3-B5EA-42A5-87EF-32E4E07EBBD9}"/>
            </a:ext>
          </a:extLst>
        </xdr:cNvPr>
        <xdr:cNvSpPr txBox="1"/>
      </xdr:nvSpPr>
      <xdr:spPr>
        <a:xfrm>
          <a:off x="2301589" y="1591807"/>
          <a:ext cx="1017928" cy="579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45C8AA86-0440-421A-82B9-16906E959802}" type="TxLink">
            <a:rPr lang="en-US" sz="4400" b="1" i="0" u="none" strike="noStrike">
              <a:solidFill>
                <a:schemeClr val="bg1"/>
              </a:solidFill>
              <a:latin typeface="Calisto MT" panose="02040603050505030304" pitchFamily="18" charset="0"/>
              <a:ea typeface="+mn-ea"/>
              <a:cs typeface="+mn-cs"/>
            </a:rPr>
            <a:pPr marL="0" indent="0"/>
            <a:t>200</a:t>
          </a:fld>
          <a:endParaRPr lang="en-US" sz="4400" b="1" i="0" u="none" strike="noStrike">
            <a:solidFill>
              <a:schemeClr val="bg1"/>
            </a:solidFill>
            <a:latin typeface="Calisto MT" panose="02040603050505030304" pitchFamily="18" charset="0"/>
            <a:ea typeface="+mn-ea"/>
            <a:cs typeface="+mn-cs"/>
          </a:endParaRPr>
        </a:p>
      </xdr:txBody>
    </xdr:sp>
    <xdr:clientData/>
  </xdr:oneCellAnchor>
  <xdr:oneCellAnchor>
    <xdr:from>
      <xdr:col>3</xdr:col>
      <xdr:colOff>424179</xdr:colOff>
      <xdr:row>11</xdr:row>
      <xdr:rowOff>160019</xdr:rowOff>
    </xdr:from>
    <xdr:ext cx="1625602" cy="320042"/>
    <xdr:sp macro="" textlink="">
      <xdr:nvSpPr>
        <xdr:cNvPr id="86" name="TextBox 85">
          <a:extLst>
            <a:ext uri="{FF2B5EF4-FFF2-40B4-BE49-F238E27FC236}">
              <a16:creationId xmlns:a16="http://schemas.microsoft.com/office/drawing/2014/main" id="{29B73D90-3F52-4062-BBF4-A29BB8954BA8}"/>
            </a:ext>
          </a:extLst>
        </xdr:cNvPr>
        <xdr:cNvSpPr txBox="1"/>
      </xdr:nvSpPr>
      <xdr:spPr>
        <a:xfrm>
          <a:off x="2252979" y="2150744"/>
          <a:ext cx="1625602" cy="3200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0">
              <a:solidFill>
                <a:schemeClr val="bg1"/>
              </a:solidFill>
              <a:latin typeface="+mj-lt"/>
            </a:rPr>
            <a:t>Total Employees </a:t>
          </a:r>
        </a:p>
      </xdr:txBody>
    </xdr:sp>
    <xdr:clientData/>
  </xdr:oneCellAnchor>
  <xdr:twoCellAnchor editAs="oneCell">
    <xdr:from>
      <xdr:col>6</xdr:col>
      <xdr:colOff>47626</xdr:colOff>
      <xdr:row>9</xdr:row>
      <xdr:rowOff>60962</xdr:rowOff>
    </xdr:from>
    <xdr:to>
      <xdr:col>7</xdr:col>
      <xdr:colOff>352426</xdr:colOff>
      <xdr:row>13</xdr:row>
      <xdr:rowOff>118111</xdr:rowOff>
    </xdr:to>
    <xdr:pic>
      <xdr:nvPicPr>
        <xdr:cNvPr id="93" name="Picture 92">
          <a:extLst>
            <a:ext uri="{FF2B5EF4-FFF2-40B4-BE49-F238E27FC236}">
              <a16:creationId xmlns:a16="http://schemas.microsoft.com/office/drawing/2014/main" id="{0276E9CE-1C67-4FC2-AFA3-0F1097469763}"/>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3705226" y="1689737"/>
          <a:ext cx="914400" cy="781049"/>
        </a:xfrm>
        <a:prstGeom prst="rect">
          <a:avLst/>
        </a:prstGeom>
        <a:noFill/>
      </xdr:spPr>
    </xdr:pic>
    <xdr:clientData/>
  </xdr:twoCellAnchor>
  <xdr:twoCellAnchor>
    <xdr:from>
      <xdr:col>3</xdr:col>
      <xdr:colOff>551792</xdr:colOff>
      <xdr:row>15</xdr:row>
      <xdr:rowOff>131381</xdr:rowOff>
    </xdr:from>
    <xdr:to>
      <xdr:col>5</xdr:col>
      <xdr:colOff>352444</xdr:colOff>
      <xdr:row>20</xdr:row>
      <xdr:rowOff>109176</xdr:rowOff>
    </xdr:to>
    <xdr:graphicFrame macro="">
      <xdr:nvGraphicFramePr>
        <xdr:cNvPr id="64" name="Chart 1">
          <a:extLst>
            <a:ext uri="{FF2B5EF4-FFF2-40B4-BE49-F238E27FC236}">
              <a16:creationId xmlns:a16="http://schemas.microsoft.com/office/drawing/2014/main" id="{0FFB98B3-2007-47FF-51BA-1D8931795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516759</xdr:colOff>
      <xdr:row>15</xdr:row>
      <xdr:rowOff>175169</xdr:rowOff>
    </xdr:from>
    <xdr:to>
      <xdr:col>7</xdr:col>
      <xdr:colOff>316552</xdr:colOff>
      <xdr:row>20</xdr:row>
      <xdr:rowOff>108714</xdr:rowOff>
    </xdr:to>
    <xdr:graphicFrame macro="">
      <xdr:nvGraphicFramePr>
        <xdr:cNvPr id="66" name="Chart 2">
          <a:extLst>
            <a:ext uri="{FF2B5EF4-FFF2-40B4-BE49-F238E27FC236}">
              <a16:creationId xmlns:a16="http://schemas.microsoft.com/office/drawing/2014/main" id="{9B45E3B5-1312-6BC7-7396-564B526A07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3</xdr:col>
      <xdr:colOff>390808</xdr:colOff>
      <xdr:row>14</xdr:row>
      <xdr:rowOff>116137</xdr:rowOff>
    </xdr:from>
    <xdr:ext cx="774089" cy="320042"/>
    <xdr:sp macro="" textlink="">
      <xdr:nvSpPr>
        <xdr:cNvPr id="73" name="TextBox 72">
          <a:extLst>
            <a:ext uri="{FF2B5EF4-FFF2-40B4-BE49-F238E27FC236}">
              <a16:creationId xmlns:a16="http://schemas.microsoft.com/office/drawing/2014/main" id="{B92427EB-3EE0-4E3B-9E14-57FE85CA51DF}"/>
            </a:ext>
          </a:extLst>
        </xdr:cNvPr>
        <xdr:cNvSpPr txBox="1"/>
      </xdr:nvSpPr>
      <xdr:spPr>
        <a:xfrm>
          <a:off x="2230118" y="2691171"/>
          <a:ext cx="774089" cy="3200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0">
              <a:solidFill>
                <a:srgbClr val="E5B244"/>
              </a:solidFill>
            </a:rPr>
            <a:t>Males</a:t>
          </a:r>
        </a:p>
      </xdr:txBody>
    </xdr:sp>
    <xdr:clientData/>
  </xdr:oneCellAnchor>
  <xdr:oneCellAnchor>
    <xdr:from>
      <xdr:col>5</xdr:col>
      <xdr:colOff>464380</xdr:colOff>
      <xdr:row>14</xdr:row>
      <xdr:rowOff>116137</xdr:rowOff>
    </xdr:from>
    <xdr:ext cx="774089" cy="320042"/>
    <xdr:sp macro="" textlink="">
      <xdr:nvSpPr>
        <xdr:cNvPr id="74" name="TextBox 73">
          <a:extLst>
            <a:ext uri="{FF2B5EF4-FFF2-40B4-BE49-F238E27FC236}">
              <a16:creationId xmlns:a16="http://schemas.microsoft.com/office/drawing/2014/main" id="{E9F75BC3-61D8-4E84-8F7D-D95E9F553F17}"/>
            </a:ext>
          </a:extLst>
        </xdr:cNvPr>
        <xdr:cNvSpPr txBox="1"/>
      </xdr:nvSpPr>
      <xdr:spPr>
        <a:xfrm>
          <a:off x="3529897" y="2691171"/>
          <a:ext cx="774089" cy="3200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600" b="0">
              <a:solidFill>
                <a:srgbClr val="E5B244"/>
              </a:solidFill>
            </a:rPr>
            <a:t>Females</a:t>
          </a:r>
        </a:p>
      </xdr:txBody>
    </xdr:sp>
    <xdr:clientData/>
  </xdr:oneCellAnchor>
  <xdr:oneCellAnchor>
    <xdr:from>
      <xdr:col>4</xdr:col>
      <xdr:colOff>245244</xdr:colOff>
      <xdr:row>17</xdr:row>
      <xdr:rowOff>52550</xdr:rowOff>
    </xdr:from>
    <xdr:ext cx="534276" cy="350346"/>
    <xdr:sp macro="" textlink="'Pivot Tables'!K21">
      <xdr:nvSpPr>
        <xdr:cNvPr id="77" name="TextBox 76">
          <a:extLst>
            <a:ext uri="{FF2B5EF4-FFF2-40B4-BE49-F238E27FC236}">
              <a16:creationId xmlns:a16="http://schemas.microsoft.com/office/drawing/2014/main" id="{47D6CDAE-8FCB-481F-AAFB-4F3BAF23B053}"/>
            </a:ext>
          </a:extLst>
        </xdr:cNvPr>
        <xdr:cNvSpPr txBox="1"/>
      </xdr:nvSpPr>
      <xdr:spPr>
        <a:xfrm>
          <a:off x="2697658" y="3179378"/>
          <a:ext cx="534276" cy="350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12812AF-05DE-4338-A52B-EC2CCA241659}" type="TxLink">
            <a:rPr lang="en-US" sz="1400" b="1" i="0" u="none" strike="noStrike">
              <a:solidFill>
                <a:schemeClr val="bg1"/>
              </a:solidFill>
              <a:latin typeface="Aptos Narrow"/>
            </a:rPr>
            <a:pPr/>
            <a:t>51%</a:t>
          </a:fld>
          <a:endParaRPr lang="en-IN" sz="2400" b="1">
            <a:solidFill>
              <a:schemeClr val="bg1"/>
            </a:solidFill>
          </a:endParaRPr>
        </a:p>
      </xdr:txBody>
    </xdr:sp>
    <xdr:clientData/>
  </xdr:oneCellAnchor>
  <xdr:oneCellAnchor>
    <xdr:from>
      <xdr:col>6</xdr:col>
      <xdr:colOff>187437</xdr:colOff>
      <xdr:row>17</xdr:row>
      <xdr:rowOff>73571</xdr:rowOff>
    </xdr:from>
    <xdr:ext cx="565804" cy="350346"/>
    <xdr:sp macro="" textlink="'Pivot Tables'!K22">
      <xdr:nvSpPr>
        <xdr:cNvPr id="82" name="TextBox 81">
          <a:extLst>
            <a:ext uri="{FF2B5EF4-FFF2-40B4-BE49-F238E27FC236}">
              <a16:creationId xmlns:a16="http://schemas.microsoft.com/office/drawing/2014/main" id="{DF8BD108-72DE-4814-835C-5A2850845E6A}"/>
            </a:ext>
          </a:extLst>
        </xdr:cNvPr>
        <xdr:cNvSpPr txBox="1"/>
      </xdr:nvSpPr>
      <xdr:spPr>
        <a:xfrm>
          <a:off x="3866058" y="3200399"/>
          <a:ext cx="565804" cy="350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6281413-F710-46A5-897B-3178141BA73F}" type="TxLink">
            <a:rPr lang="en-US" sz="1400" b="1" i="0" u="none" strike="noStrike">
              <a:solidFill>
                <a:schemeClr val="bg1"/>
              </a:solidFill>
              <a:latin typeface="Aptos Narrow"/>
            </a:rPr>
            <a:pPr/>
            <a:t>50%</a:t>
          </a:fld>
          <a:endParaRPr lang="en-IN" sz="3200" b="1">
            <a:solidFill>
              <a:schemeClr val="bg1"/>
            </a:solidFill>
          </a:endParaRPr>
        </a:p>
      </xdr:txBody>
    </xdr:sp>
    <xdr:clientData/>
  </xdr:oneCellAnchor>
  <xdr:twoCellAnchor>
    <xdr:from>
      <xdr:col>8</xdr:col>
      <xdr:colOff>52551</xdr:colOff>
      <xdr:row>10</xdr:row>
      <xdr:rowOff>25400</xdr:rowOff>
    </xdr:from>
    <xdr:to>
      <xdr:col>12</xdr:col>
      <xdr:colOff>148897</xdr:colOff>
      <xdr:row>20</xdr:row>
      <xdr:rowOff>17516</xdr:rowOff>
    </xdr:to>
    <xdr:graphicFrame macro="">
      <xdr:nvGraphicFramePr>
        <xdr:cNvPr id="88" name="Chart 5">
          <a:extLst>
            <a:ext uri="{FF2B5EF4-FFF2-40B4-BE49-F238E27FC236}">
              <a16:creationId xmlns:a16="http://schemas.microsoft.com/office/drawing/2014/main" id="{29C8D831-8480-EF70-80A6-069B199DE9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8</xdr:col>
      <xdr:colOff>104116</xdr:colOff>
      <xdr:row>7</xdr:row>
      <xdr:rowOff>71845</xdr:rowOff>
    </xdr:from>
    <xdr:ext cx="1536446" cy="374077"/>
    <xdr:sp macro="" textlink="">
      <xdr:nvSpPr>
        <xdr:cNvPr id="75" name="TextBox 74">
          <a:extLst>
            <a:ext uri="{FF2B5EF4-FFF2-40B4-BE49-F238E27FC236}">
              <a16:creationId xmlns:a16="http://schemas.microsoft.com/office/drawing/2014/main" id="{7ED2EF74-F1B8-423D-939D-93784FE724A9}"/>
            </a:ext>
          </a:extLst>
        </xdr:cNvPr>
        <xdr:cNvSpPr txBox="1"/>
      </xdr:nvSpPr>
      <xdr:spPr>
        <a:xfrm>
          <a:off x="4980916" y="1375712"/>
          <a:ext cx="153644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0">
              <a:solidFill>
                <a:srgbClr val="E5B244"/>
              </a:solidFill>
            </a:rPr>
            <a:t>Leave Tracking</a:t>
          </a:r>
        </a:p>
      </xdr:txBody>
    </xdr:sp>
    <xdr:clientData/>
  </xdr:oneCellAnchor>
  <xdr:oneCellAnchor>
    <xdr:from>
      <xdr:col>8</xdr:col>
      <xdr:colOff>95648</xdr:colOff>
      <xdr:row>8</xdr:row>
      <xdr:rowOff>148050</xdr:rowOff>
    </xdr:from>
    <xdr:ext cx="1633139" cy="280205"/>
    <xdr:sp macro="" textlink="">
      <xdr:nvSpPr>
        <xdr:cNvPr id="87" name="TextBox 86">
          <a:extLst>
            <a:ext uri="{FF2B5EF4-FFF2-40B4-BE49-F238E27FC236}">
              <a16:creationId xmlns:a16="http://schemas.microsoft.com/office/drawing/2014/main" id="{33ABE8B0-FD8E-4658-88DD-C78DDB6DE077}"/>
            </a:ext>
          </a:extLst>
        </xdr:cNvPr>
        <xdr:cNvSpPr txBox="1"/>
      </xdr:nvSpPr>
      <xdr:spPr>
        <a:xfrm>
          <a:off x="4972448" y="1638183"/>
          <a:ext cx="163313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50000"/>
                  <a:lumOff val="50000"/>
                </a:schemeClr>
              </a:solidFill>
            </a:rPr>
            <a:t>Leave taken by job</a:t>
          </a:r>
          <a:r>
            <a:rPr lang="en-IN" sz="1200" b="1" baseline="0">
              <a:solidFill>
                <a:schemeClr val="tx1">
                  <a:lumMod val="50000"/>
                  <a:lumOff val="50000"/>
                </a:schemeClr>
              </a:solidFill>
            </a:rPr>
            <a:t> title</a:t>
          </a:r>
          <a:endParaRPr lang="en-IN" sz="1200" b="1">
            <a:solidFill>
              <a:schemeClr val="tx1">
                <a:lumMod val="50000"/>
                <a:lumOff val="50000"/>
              </a:schemeClr>
            </a:solidFill>
          </a:endParaRPr>
        </a:p>
      </xdr:txBody>
    </xdr:sp>
    <xdr:clientData/>
  </xdr:oneCellAnchor>
  <xdr:twoCellAnchor>
    <xdr:from>
      <xdr:col>12</xdr:col>
      <xdr:colOff>321733</xdr:colOff>
      <xdr:row>12</xdr:row>
      <xdr:rowOff>135467</xdr:rowOff>
    </xdr:from>
    <xdr:to>
      <xdr:col>16</xdr:col>
      <xdr:colOff>457200</xdr:colOff>
      <xdr:row>19</xdr:row>
      <xdr:rowOff>101599</xdr:rowOff>
    </xdr:to>
    <xdr:graphicFrame macro="">
      <xdr:nvGraphicFramePr>
        <xdr:cNvPr id="89" name="Chart 1">
          <a:extLst>
            <a:ext uri="{FF2B5EF4-FFF2-40B4-BE49-F238E27FC236}">
              <a16:creationId xmlns:a16="http://schemas.microsoft.com/office/drawing/2014/main" id="{E31EA480-0DBF-7906-B967-8EBD3F0A95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12</xdr:col>
      <xdr:colOff>432895</xdr:colOff>
      <xdr:row>10</xdr:row>
      <xdr:rowOff>33193</xdr:rowOff>
    </xdr:from>
    <xdr:ext cx="916213" cy="374077"/>
    <xdr:sp macro="" textlink="">
      <xdr:nvSpPr>
        <xdr:cNvPr id="90" name="TextBox 89">
          <a:extLst>
            <a:ext uri="{FF2B5EF4-FFF2-40B4-BE49-F238E27FC236}">
              <a16:creationId xmlns:a16="http://schemas.microsoft.com/office/drawing/2014/main" id="{759A805A-7350-4080-B3C4-85DD118CAF60}"/>
            </a:ext>
          </a:extLst>
        </xdr:cNvPr>
        <xdr:cNvSpPr txBox="1"/>
      </xdr:nvSpPr>
      <xdr:spPr>
        <a:xfrm>
          <a:off x="7748095" y="1895860"/>
          <a:ext cx="916213"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0">
              <a:solidFill>
                <a:srgbClr val="E5B244"/>
              </a:solidFill>
            </a:rPr>
            <a:t>Regions</a:t>
          </a:r>
        </a:p>
      </xdr:txBody>
    </xdr:sp>
    <xdr:clientData/>
  </xdr:oneCellAnchor>
  <xdr:oneCellAnchor>
    <xdr:from>
      <xdr:col>12</xdr:col>
      <xdr:colOff>305890</xdr:colOff>
      <xdr:row>11</xdr:row>
      <xdr:rowOff>100931</xdr:rowOff>
    </xdr:from>
    <xdr:ext cx="1551963" cy="280205"/>
    <xdr:sp macro="" textlink="">
      <xdr:nvSpPr>
        <xdr:cNvPr id="91" name="TextBox 90">
          <a:extLst>
            <a:ext uri="{FF2B5EF4-FFF2-40B4-BE49-F238E27FC236}">
              <a16:creationId xmlns:a16="http://schemas.microsoft.com/office/drawing/2014/main" id="{C5C1DAEC-CE25-4574-85D6-A7E465EA90D7}"/>
            </a:ext>
          </a:extLst>
        </xdr:cNvPr>
        <xdr:cNvSpPr txBox="1"/>
      </xdr:nvSpPr>
      <xdr:spPr>
        <a:xfrm>
          <a:off x="7621090" y="2149864"/>
          <a:ext cx="155196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50000"/>
                  <a:lumOff val="50000"/>
                </a:schemeClr>
              </a:solidFill>
            </a:rPr>
            <a:t>Employees</a:t>
          </a:r>
          <a:r>
            <a:rPr lang="en-IN" sz="1200" b="1" baseline="0">
              <a:solidFill>
                <a:schemeClr val="tx1">
                  <a:lumMod val="50000"/>
                  <a:lumOff val="50000"/>
                </a:schemeClr>
              </a:solidFill>
            </a:rPr>
            <a:t> per region</a:t>
          </a:r>
          <a:endParaRPr lang="en-IN" sz="1200" b="1">
            <a:solidFill>
              <a:schemeClr val="tx1">
                <a:lumMod val="50000"/>
                <a:lumOff val="50000"/>
              </a:schemeClr>
            </a:solidFill>
          </a:endParaRPr>
        </a:p>
      </xdr:txBody>
    </xdr:sp>
    <xdr:clientData/>
  </xdr:oneCellAnchor>
  <xdr:oneCellAnchor>
    <xdr:from>
      <xdr:col>12</xdr:col>
      <xdr:colOff>442633</xdr:colOff>
      <xdr:row>3</xdr:row>
      <xdr:rowOff>166194</xdr:rowOff>
    </xdr:from>
    <xdr:ext cx="1064434" cy="579121"/>
    <xdr:sp macro="" textlink="'Pivot Tables'!Z15">
      <xdr:nvSpPr>
        <xdr:cNvPr id="95" name="TextBox 94">
          <a:extLst>
            <a:ext uri="{FF2B5EF4-FFF2-40B4-BE49-F238E27FC236}">
              <a16:creationId xmlns:a16="http://schemas.microsoft.com/office/drawing/2014/main" id="{49B7FFFD-1AC1-9145-14FF-1FF5C2ADE079}"/>
            </a:ext>
          </a:extLst>
        </xdr:cNvPr>
        <xdr:cNvSpPr txBox="1"/>
      </xdr:nvSpPr>
      <xdr:spPr>
        <a:xfrm>
          <a:off x="7757833" y="724994"/>
          <a:ext cx="1064434" cy="5791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fld id="{BEB8ADA4-C7A8-4678-BBBA-80FC0F49F9E6}" type="TxLink">
            <a:rPr lang="en-US" sz="4400" b="1" i="0" u="none" strike="noStrike">
              <a:solidFill>
                <a:schemeClr val="bg1"/>
              </a:solidFill>
              <a:latin typeface="Calisto MT" panose="02040603050505030304" pitchFamily="18" charset="0"/>
              <a:ea typeface="+mn-ea"/>
              <a:cs typeface="+mn-cs"/>
            </a:rPr>
            <a:pPr marL="0" indent="0"/>
            <a:t>2.1</a:t>
          </a:fld>
          <a:endParaRPr lang="en-IN" sz="4400" b="1" i="0" u="none" strike="noStrike">
            <a:solidFill>
              <a:schemeClr val="bg1"/>
            </a:solidFill>
            <a:latin typeface="Calisto MT" panose="02040603050505030304" pitchFamily="18" charset="0"/>
            <a:ea typeface="+mn-ea"/>
            <a:cs typeface="+mn-cs"/>
          </a:endParaRPr>
        </a:p>
      </xdr:txBody>
    </xdr:sp>
    <xdr:clientData/>
  </xdr:oneCellAnchor>
  <xdr:oneCellAnchor>
    <xdr:from>
      <xdr:col>12</xdr:col>
      <xdr:colOff>429933</xdr:colOff>
      <xdr:row>7</xdr:row>
      <xdr:rowOff>30095</xdr:rowOff>
    </xdr:from>
    <xdr:ext cx="1441201" cy="320042"/>
    <xdr:sp macro="" textlink="">
      <xdr:nvSpPr>
        <xdr:cNvPr id="96" name="TextBox 95">
          <a:extLst>
            <a:ext uri="{FF2B5EF4-FFF2-40B4-BE49-F238E27FC236}">
              <a16:creationId xmlns:a16="http://schemas.microsoft.com/office/drawing/2014/main" id="{BE393AE9-24E9-3871-34D9-3DA7D948A84A}"/>
            </a:ext>
          </a:extLst>
        </xdr:cNvPr>
        <xdr:cNvSpPr txBox="1"/>
      </xdr:nvSpPr>
      <xdr:spPr>
        <a:xfrm>
          <a:off x="7745133" y="1333962"/>
          <a:ext cx="1441201" cy="3200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100" b="0">
              <a:solidFill>
                <a:schemeClr val="bg1"/>
              </a:solidFill>
              <a:latin typeface="+mj-lt"/>
            </a:rPr>
            <a:t>Average Rating</a:t>
          </a:r>
        </a:p>
      </xdr:txBody>
    </xdr:sp>
    <xdr:clientData/>
  </xdr:oneCellAnchor>
  <xdr:twoCellAnchor editAs="oneCell">
    <xdr:from>
      <xdr:col>14</xdr:col>
      <xdr:colOff>516467</xdr:colOff>
      <xdr:row>3</xdr:row>
      <xdr:rowOff>127000</xdr:rowOff>
    </xdr:from>
    <xdr:to>
      <xdr:col>16</xdr:col>
      <xdr:colOff>355600</xdr:colOff>
      <xdr:row>8</xdr:row>
      <xdr:rowOff>160867</xdr:rowOff>
    </xdr:to>
    <xdr:pic>
      <xdr:nvPicPr>
        <xdr:cNvPr id="98" name="Picture 97">
          <a:extLst>
            <a:ext uri="{FF2B5EF4-FFF2-40B4-BE49-F238E27FC236}">
              <a16:creationId xmlns:a16="http://schemas.microsoft.com/office/drawing/2014/main" id="{66E7C99E-87E9-54A9-3F5E-48E22C5665F1}"/>
            </a:ext>
          </a:extLst>
        </xdr:cNvPr>
        <xdr:cNvPicPr>
          <a:picLocks noChangeAspect="1"/>
        </xdr:cNvPicPr>
      </xdr:nvPicPr>
      <xdr:blipFill>
        <a:blip xmlns:r="http://schemas.openxmlformats.org/officeDocument/2006/relationships" r:embed="rId13" cstate="print">
          <a:lum bright="70000" contrast="-70000"/>
          <a:extLst>
            <a:ext uri="{BEBA8EAE-BF5A-486C-A8C5-ECC9F3942E4B}">
              <a14:imgProps xmlns:a14="http://schemas.microsoft.com/office/drawing/2010/main">
                <a14:imgLayer r:embed="rId14">
                  <a14:imgEffect>
                    <a14:colorTemperature colorTemp="7200"/>
                  </a14:imgEffect>
                </a14:imgLayer>
              </a14:imgProps>
            </a:ext>
            <a:ext uri="{28A0092B-C50C-407E-A947-70E740481C1C}">
              <a14:useLocalDpi xmlns:a14="http://schemas.microsoft.com/office/drawing/2010/main" val="0"/>
            </a:ext>
          </a:extLst>
        </a:blip>
        <a:stretch>
          <a:fillRect/>
        </a:stretch>
      </xdr:blipFill>
      <xdr:spPr>
        <a:xfrm>
          <a:off x="9050867" y="685800"/>
          <a:ext cx="1058333" cy="965200"/>
        </a:xfrm>
        <a:prstGeom prst="rect">
          <a:avLst/>
        </a:prstGeom>
        <a:noFill/>
      </xdr:spPr>
    </xdr:pic>
    <xdr:clientData/>
  </xdr:twoCellAnchor>
  <xdr:oneCellAnchor>
    <xdr:from>
      <xdr:col>12</xdr:col>
      <xdr:colOff>324250</xdr:colOff>
      <xdr:row>1</xdr:row>
      <xdr:rowOff>54911</xdr:rowOff>
    </xdr:from>
    <xdr:ext cx="2000291" cy="374077"/>
    <xdr:sp macro="" textlink="">
      <xdr:nvSpPr>
        <xdr:cNvPr id="99" name="TextBox 98">
          <a:extLst>
            <a:ext uri="{FF2B5EF4-FFF2-40B4-BE49-F238E27FC236}">
              <a16:creationId xmlns:a16="http://schemas.microsoft.com/office/drawing/2014/main" id="{99F3B578-EDBE-E94F-2BF6-5EB30CA2FAFF}"/>
            </a:ext>
          </a:extLst>
        </xdr:cNvPr>
        <xdr:cNvSpPr txBox="1"/>
      </xdr:nvSpPr>
      <xdr:spPr>
        <a:xfrm>
          <a:off x="7639450" y="241178"/>
          <a:ext cx="2000291"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800" b="0">
              <a:solidFill>
                <a:srgbClr val="E5B244"/>
              </a:solidFill>
            </a:rPr>
            <a:t>Performance Rating</a:t>
          </a:r>
        </a:p>
      </xdr:txBody>
    </xdr:sp>
    <xdr:clientData/>
  </xdr:oneCellAnchor>
  <xdr:oneCellAnchor>
    <xdr:from>
      <xdr:col>12</xdr:col>
      <xdr:colOff>408916</xdr:colOff>
      <xdr:row>2</xdr:row>
      <xdr:rowOff>131116</xdr:rowOff>
    </xdr:from>
    <xdr:ext cx="1722138" cy="256737"/>
    <xdr:sp macro="" textlink="">
      <xdr:nvSpPr>
        <xdr:cNvPr id="100" name="TextBox 99">
          <a:extLst>
            <a:ext uri="{FF2B5EF4-FFF2-40B4-BE49-F238E27FC236}">
              <a16:creationId xmlns:a16="http://schemas.microsoft.com/office/drawing/2014/main" id="{79718F2B-DC47-A9DA-9937-329309434FDE}"/>
            </a:ext>
          </a:extLst>
        </xdr:cNvPr>
        <xdr:cNvSpPr txBox="1"/>
      </xdr:nvSpPr>
      <xdr:spPr>
        <a:xfrm>
          <a:off x="7724116" y="503649"/>
          <a:ext cx="1722138"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b="1">
              <a:solidFill>
                <a:schemeClr val="tx1">
                  <a:lumMod val="50000"/>
                  <a:lumOff val="50000"/>
                </a:schemeClr>
              </a:solidFill>
            </a:rPr>
            <a:t>Average</a:t>
          </a:r>
          <a:r>
            <a:rPr lang="en-IN" sz="1050" b="1" baseline="0">
              <a:solidFill>
                <a:schemeClr val="tx1">
                  <a:lumMod val="50000"/>
                  <a:lumOff val="50000"/>
                </a:schemeClr>
              </a:solidFill>
            </a:rPr>
            <a:t> performance rating</a:t>
          </a:r>
          <a:endParaRPr lang="en-IN" sz="1050" b="1">
            <a:solidFill>
              <a:schemeClr val="tx1">
                <a:lumMod val="50000"/>
                <a:lumOff val="50000"/>
              </a:schemeClr>
            </a:solidFill>
          </a:endParaRPr>
        </a:p>
      </xdr:txBody>
    </xdr:sp>
    <xdr:clientData/>
  </xdr:oneCellAnchor>
  <xdr:twoCellAnchor>
    <xdr:from>
      <xdr:col>12</xdr:col>
      <xdr:colOff>321736</xdr:colOff>
      <xdr:row>2</xdr:row>
      <xdr:rowOff>25401</xdr:rowOff>
    </xdr:from>
    <xdr:to>
      <xdr:col>12</xdr:col>
      <xdr:colOff>393736</xdr:colOff>
      <xdr:row>2</xdr:row>
      <xdr:rowOff>97401</xdr:rowOff>
    </xdr:to>
    <xdr:sp macro="" textlink="">
      <xdr:nvSpPr>
        <xdr:cNvPr id="101" name="Oval 100">
          <a:extLst>
            <a:ext uri="{FF2B5EF4-FFF2-40B4-BE49-F238E27FC236}">
              <a16:creationId xmlns:a16="http://schemas.microsoft.com/office/drawing/2014/main" id="{3129459A-D150-2083-E3EE-621E0EE60C38}"/>
            </a:ext>
          </a:extLst>
        </xdr:cNvPr>
        <xdr:cNvSpPr/>
      </xdr:nvSpPr>
      <xdr:spPr>
        <a:xfrm>
          <a:off x="7636936" y="397934"/>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414870</xdr:colOff>
      <xdr:row>10</xdr:row>
      <xdr:rowOff>177801</xdr:rowOff>
    </xdr:from>
    <xdr:to>
      <xdr:col>12</xdr:col>
      <xdr:colOff>486870</xdr:colOff>
      <xdr:row>11</xdr:row>
      <xdr:rowOff>63535</xdr:rowOff>
    </xdr:to>
    <xdr:sp macro="" textlink="">
      <xdr:nvSpPr>
        <xdr:cNvPr id="102" name="Oval 101">
          <a:extLst>
            <a:ext uri="{FF2B5EF4-FFF2-40B4-BE49-F238E27FC236}">
              <a16:creationId xmlns:a16="http://schemas.microsoft.com/office/drawing/2014/main" id="{5476C1F2-CC59-474B-81E2-670234C42BB7}"/>
            </a:ext>
          </a:extLst>
        </xdr:cNvPr>
        <xdr:cNvSpPr/>
      </xdr:nvSpPr>
      <xdr:spPr>
        <a:xfrm>
          <a:off x="7730070" y="2040468"/>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93137</xdr:colOff>
      <xdr:row>8</xdr:row>
      <xdr:rowOff>42335</xdr:rowOff>
    </xdr:from>
    <xdr:to>
      <xdr:col>8</xdr:col>
      <xdr:colOff>165137</xdr:colOff>
      <xdr:row>8</xdr:row>
      <xdr:rowOff>114335</xdr:rowOff>
    </xdr:to>
    <xdr:sp macro="" textlink="">
      <xdr:nvSpPr>
        <xdr:cNvPr id="103" name="Oval 102">
          <a:extLst>
            <a:ext uri="{FF2B5EF4-FFF2-40B4-BE49-F238E27FC236}">
              <a16:creationId xmlns:a16="http://schemas.microsoft.com/office/drawing/2014/main" id="{E4A8D0B8-01C7-472B-AB61-A6322E4AEE45}"/>
            </a:ext>
          </a:extLst>
        </xdr:cNvPr>
        <xdr:cNvSpPr/>
      </xdr:nvSpPr>
      <xdr:spPr>
        <a:xfrm>
          <a:off x="4969937" y="1532468"/>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474140</xdr:colOff>
      <xdr:row>8</xdr:row>
      <xdr:rowOff>33868</xdr:rowOff>
    </xdr:from>
    <xdr:to>
      <xdr:col>3</xdr:col>
      <xdr:colOff>546140</xdr:colOff>
      <xdr:row>8</xdr:row>
      <xdr:rowOff>105868</xdr:rowOff>
    </xdr:to>
    <xdr:sp macro="" textlink="">
      <xdr:nvSpPr>
        <xdr:cNvPr id="104" name="Oval 103">
          <a:extLst>
            <a:ext uri="{FF2B5EF4-FFF2-40B4-BE49-F238E27FC236}">
              <a16:creationId xmlns:a16="http://schemas.microsoft.com/office/drawing/2014/main" id="{F759CC60-8DE3-410D-9C28-34C9B8B5362D}"/>
            </a:ext>
          </a:extLst>
        </xdr:cNvPr>
        <xdr:cNvSpPr/>
      </xdr:nvSpPr>
      <xdr:spPr>
        <a:xfrm>
          <a:off x="2302940" y="1524001"/>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3</xdr:col>
      <xdr:colOff>482602</xdr:colOff>
      <xdr:row>22</xdr:row>
      <xdr:rowOff>0</xdr:rowOff>
    </xdr:from>
    <xdr:to>
      <xdr:col>3</xdr:col>
      <xdr:colOff>554602</xdr:colOff>
      <xdr:row>22</xdr:row>
      <xdr:rowOff>72000</xdr:rowOff>
    </xdr:to>
    <xdr:sp macro="" textlink="">
      <xdr:nvSpPr>
        <xdr:cNvPr id="105" name="Oval 104">
          <a:extLst>
            <a:ext uri="{FF2B5EF4-FFF2-40B4-BE49-F238E27FC236}">
              <a16:creationId xmlns:a16="http://schemas.microsoft.com/office/drawing/2014/main" id="{CC2BC83A-DD32-4A64-B521-1E1006F073A2}"/>
            </a:ext>
          </a:extLst>
        </xdr:cNvPr>
        <xdr:cNvSpPr/>
      </xdr:nvSpPr>
      <xdr:spPr>
        <a:xfrm>
          <a:off x="2311402" y="4097867"/>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101603</xdr:colOff>
      <xdr:row>22</xdr:row>
      <xdr:rowOff>8468</xdr:rowOff>
    </xdr:from>
    <xdr:to>
      <xdr:col>8</xdr:col>
      <xdr:colOff>173603</xdr:colOff>
      <xdr:row>22</xdr:row>
      <xdr:rowOff>80468</xdr:rowOff>
    </xdr:to>
    <xdr:sp macro="" textlink="">
      <xdr:nvSpPr>
        <xdr:cNvPr id="106" name="Oval 105">
          <a:extLst>
            <a:ext uri="{FF2B5EF4-FFF2-40B4-BE49-F238E27FC236}">
              <a16:creationId xmlns:a16="http://schemas.microsoft.com/office/drawing/2014/main" id="{468CDD7E-C310-4324-8DCE-52FD97523BF9}"/>
            </a:ext>
          </a:extLst>
        </xdr:cNvPr>
        <xdr:cNvSpPr/>
      </xdr:nvSpPr>
      <xdr:spPr>
        <a:xfrm>
          <a:off x="4978403" y="4106335"/>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254004</xdr:colOff>
      <xdr:row>15</xdr:row>
      <xdr:rowOff>50801</xdr:rowOff>
    </xdr:from>
    <xdr:to>
      <xdr:col>0</xdr:col>
      <xdr:colOff>326004</xdr:colOff>
      <xdr:row>15</xdr:row>
      <xdr:rowOff>122801</xdr:rowOff>
    </xdr:to>
    <xdr:sp macro="" textlink="">
      <xdr:nvSpPr>
        <xdr:cNvPr id="107" name="Oval 106">
          <a:extLst>
            <a:ext uri="{FF2B5EF4-FFF2-40B4-BE49-F238E27FC236}">
              <a16:creationId xmlns:a16="http://schemas.microsoft.com/office/drawing/2014/main" id="{74CB3A1A-0AF3-4B3E-A027-D7A827476D9D}"/>
            </a:ext>
          </a:extLst>
        </xdr:cNvPr>
        <xdr:cNvSpPr/>
      </xdr:nvSpPr>
      <xdr:spPr>
        <a:xfrm>
          <a:off x="254004" y="2844801"/>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237071</xdr:colOff>
      <xdr:row>17</xdr:row>
      <xdr:rowOff>1</xdr:rowOff>
    </xdr:from>
    <xdr:to>
      <xdr:col>0</xdr:col>
      <xdr:colOff>309071</xdr:colOff>
      <xdr:row>17</xdr:row>
      <xdr:rowOff>72001</xdr:rowOff>
    </xdr:to>
    <xdr:sp macro="" textlink="">
      <xdr:nvSpPr>
        <xdr:cNvPr id="108" name="Oval 107">
          <a:extLst>
            <a:ext uri="{FF2B5EF4-FFF2-40B4-BE49-F238E27FC236}">
              <a16:creationId xmlns:a16="http://schemas.microsoft.com/office/drawing/2014/main" id="{AF66E04C-C31B-43AB-9709-BF93C3C3012A}"/>
            </a:ext>
          </a:extLst>
        </xdr:cNvPr>
        <xdr:cNvSpPr/>
      </xdr:nvSpPr>
      <xdr:spPr>
        <a:xfrm>
          <a:off x="237071" y="3166534"/>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237071</xdr:colOff>
      <xdr:row>18</xdr:row>
      <xdr:rowOff>118534</xdr:rowOff>
    </xdr:from>
    <xdr:to>
      <xdr:col>0</xdr:col>
      <xdr:colOff>309071</xdr:colOff>
      <xdr:row>19</xdr:row>
      <xdr:rowOff>4267</xdr:rowOff>
    </xdr:to>
    <xdr:sp macro="" textlink="">
      <xdr:nvSpPr>
        <xdr:cNvPr id="109" name="Oval 108">
          <a:extLst>
            <a:ext uri="{FF2B5EF4-FFF2-40B4-BE49-F238E27FC236}">
              <a16:creationId xmlns:a16="http://schemas.microsoft.com/office/drawing/2014/main" id="{BCA7A9BE-3317-47BE-9812-6E34D8D62AEE}"/>
            </a:ext>
          </a:extLst>
        </xdr:cNvPr>
        <xdr:cNvSpPr/>
      </xdr:nvSpPr>
      <xdr:spPr>
        <a:xfrm>
          <a:off x="237071" y="3471334"/>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245537</xdr:colOff>
      <xdr:row>20</xdr:row>
      <xdr:rowOff>50801</xdr:rowOff>
    </xdr:from>
    <xdr:to>
      <xdr:col>0</xdr:col>
      <xdr:colOff>317537</xdr:colOff>
      <xdr:row>20</xdr:row>
      <xdr:rowOff>122801</xdr:rowOff>
    </xdr:to>
    <xdr:sp macro="" textlink="">
      <xdr:nvSpPr>
        <xdr:cNvPr id="110" name="Oval 109">
          <a:extLst>
            <a:ext uri="{FF2B5EF4-FFF2-40B4-BE49-F238E27FC236}">
              <a16:creationId xmlns:a16="http://schemas.microsoft.com/office/drawing/2014/main" id="{AA553145-9B92-4D01-8020-10B3EAF922D4}"/>
            </a:ext>
          </a:extLst>
        </xdr:cNvPr>
        <xdr:cNvSpPr/>
      </xdr:nvSpPr>
      <xdr:spPr>
        <a:xfrm>
          <a:off x="245537" y="3776134"/>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245537</xdr:colOff>
      <xdr:row>21</xdr:row>
      <xdr:rowOff>160868</xdr:rowOff>
    </xdr:from>
    <xdr:to>
      <xdr:col>0</xdr:col>
      <xdr:colOff>317537</xdr:colOff>
      <xdr:row>22</xdr:row>
      <xdr:rowOff>46601</xdr:rowOff>
    </xdr:to>
    <xdr:sp macro="" textlink="">
      <xdr:nvSpPr>
        <xdr:cNvPr id="111" name="Oval 110">
          <a:extLst>
            <a:ext uri="{FF2B5EF4-FFF2-40B4-BE49-F238E27FC236}">
              <a16:creationId xmlns:a16="http://schemas.microsoft.com/office/drawing/2014/main" id="{2E1F7667-4285-45D4-8FF8-CE8CF99C3435}"/>
            </a:ext>
          </a:extLst>
        </xdr:cNvPr>
        <xdr:cNvSpPr/>
      </xdr:nvSpPr>
      <xdr:spPr>
        <a:xfrm>
          <a:off x="245537" y="4072468"/>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245536</xdr:colOff>
      <xdr:row>11</xdr:row>
      <xdr:rowOff>101596</xdr:rowOff>
    </xdr:from>
    <xdr:to>
      <xdr:col>0</xdr:col>
      <xdr:colOff>254002</xdr:colOff>
      <xdr:row>14</xdr:row>
      <xdr:rowOff>10796</xdr:rowOff>
    </xdr:to>
    <xdr:cxnSp macro="">
      <xdr:nvCxnSpPr>
        <xdr:cNvPr id="113" name="Straight Connector 112">
          <a:extLst>
            <a:ext uri="{FF2B5EF4-FFF2-40B4-BE49-F238E27FC236}">
              <a16:creationId xmlns:a16="http://schemas.microsoft.com/office/drawing/2014/main" id="{4F0B78E3-90EF-E6CB-87BE-92475EA2E22A}"/>
            </a:ext>
          </a:extLst>
        </xdr:cNvPr>
        <xdr:cNvCxnSpPr/>
      </xdr:nvCxnSpPr>
      <xdr:spPr>
        <a:xfrm>
          <a:off x="245536" y="2150529"/>
          <a:ext cx="8466" cy="468000"/>
        </a:xfrm>
        <a:prstGeom prst="line">
          <a:avLst/>
        </a:prstGeom>
        <a:ln w="25400" cap="sq">
          <a:solidFill>
            <a:schemeClr val="bg1">
              <a:lumMod val="8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279400</xdr:colOff>
      <xdr:row>3</xdr:row>
      <xdr:rowOff>33866</xdr:rowOff>
    </xdr:from>
    <xdr:to>
      <xdr:col>1</xdr:col>
      <xdr:colOff>321732</xdr:colOff>
      <xdr:row>5</xdr:row>
      <xdr:rowOff>80509</xdr:rowOff>
    </xdr:to>
    <xdr:pic>
      <xdr:nvPicPr>
        <xdr:cNvPr id="116" name="Picture 115">
          <a:extLst>
            <a:ext uri="{FF2B5EF4-FFF2-40B4-BE49-F238E27FC236}">
              <a16:creationId xmlns:a16="http://schemas.microsoft.com/office/drawing/2014/main" id="{C90AF427-23B1-ACCF-5CAD-AAA36C695814}"/>
            </a:ext>
          </a:extLst>
        </xdr:cNvPr>
        <xdr:cNvPicPr>
          <a:picLocks noChangeAspect="1"/>
        </xdr:cNvPicPr>
      </xdr:nvPicPr>
      <xdr:blipFill>
        <a:blip xmlns:r="http://schemas.openxmlformats.org/officeDocument/2006/relationships" r:embed="rId15" cstate="print">
          <a:lum bright="70000" contrast="-70000"/>
          <a:extLst>
            <a:ext uri="{BEBA8EAE-BF5A-486C-A8C5-ECC9F3942E4B}">
              <a14:imgProps xmlns:a14="http://schemas.microsoft.com/office/drawing/2010/main">
                <a14:imgLayer r:embed="rId16">
                  <a14:imgEffect>
                    <a14:backgroundRemoval t="3509" b="96272" l="4409" r="94790">
                      <a14:foregroundMark x1="42084" y1="22807" x2="42084" y2="22807"/>
                      <a14:foregroundMark x1="43287" y1="8114" x2="43287" y2="8114"/>
                      <a14:foregroundMark x1="66934" y1="7237" x2="66934" y2="7237"/>
                      <a14:foregroundMark x1="82365" y1="6579" x2="82365" y2="6579"/>
                      <a14:foregroundMark x1="43287" y1="5702" x2="43287" y2="5702"/>
                      <a14:foregroundMark x1="42886" y1="5702" x2="42886" y2="5702"/>
                      <a14:foregroundMark x1="42886" y1="5702" x2="44890" y2="7237"/>
                      <a14:foregroundMark x1="46493" y1="3509" x2="46493" y2="3509"/>
                      <a14:foregroundMark x1="46493" y1="3509" x2="46493" y2="3509"/>
                      <a14:foregroundMark x1="82365" y1="30263" x2="82365" y2="30263"/>
                      <a14:foregroundMark x1="82365" y1="30263" x2="82365" y2="30263"/>
                      <a14:foregroundMark x1="41683" y1="77193" x2="41683" y2="77193"/>
                      <a14:foregroundMark x1="94790" y1="69737" x2="94790" y2="69737"/>
                      <a14:foregroundMark x1="10621" y1="82237" x2="10621" y2="82237"/>
                      <a14:foregroundMark x1="12224" y1="86184" x2="12224" y2="86184"/>
                      <a14:foregroundMark x1="12224" y1="86184" x2="12224" y2="86184"/>
                      <a14:foregroundMark x1="12224" y1="86623" x2="12224" y2="86623"/>
                      <a14:foregroundMark x1="12224" y1="86623" x2="12224" y2="86623"/>
                      <a14:foregroundMark x1="12224" y1="86623" x2="12224" y2="86623"/>
                      <a14:foregroundMark x1="11423" y1="85746" x2="11423" y2="85746"/>
                      <a14:foregroundMark x1="11423" y1="85746" x2="11423" y2="85746"/>
                      <a14:foregroundMark x1="11423" y1="85746" x2="8216" y2="80921"/>
                      <a14:foregroundMark x1="14228" y1="94737" x2="15030" y2="96491"/>
                      <a14:foregroundMark x1="4409" y1="79605" x2="4810" y2="82237"/>
                      <a14:foregroundMark x1="64529" y1="28947" x2="64529" y2="28947"/>
                    </a14:backgroundRemoval>
                  </a14:imgEffect>
                </a14:imgLayer>
              </a14:imgProps>
            </a:ext>
            <a:ext uri="{28A0092B-C50C-407E-A947-70E740481C1C}">
              <a14:useLocalDpi xmlns:a14="http://schemas.microsoft.com/office/drawing/2010/main" val="0"/>
            </a:ext>
          </a:extLst>
        </a:blip>
        <a:stretch>
          <a:fillRect/>
        </a:stretch>
      </xdr:blipFill>
      <xdr:spPr>
        <a:xfrm>
          <a:off x="279400" y="592666"/>
          <a:ext cx="651932" cy="419176"/>
        </a:xfrm>
        <a:prstGeom prst="rect">
          <a:avLst/>
        </a:prstGeom>
        <a:noFill/>
      </xdr:spPr>
    </xdr:pic>
    <xdr:clientData/>
  </xdr:twoCellAnchor>
  <xdr:twoCellAnchor editAs="oneCell">
    <xdr:from>
      <xdr:col>0</xdr:col>
      <xdr:colOff>118533</xdr:colOff>
      <xdr:row>0</xdr:row>
      <xdr:rowOff>59269</xdr:rowOff>
    </xdr:from>
    <xdr:to>
      <xdr:col>1</xdr:col>
      <xdr:colOff>592666</xdr:colOff>
      <xdr:row>5</xdr:row>
      <xdr:rowOff>8470</xdr:rowOff>
    </xdr:to>
    <xdr:pic>
      <xdr:nvPicPr>
        <xdr:cNvPr id="120" name="Picture 119">
          <a:extLst>
            <a:ext uri="{FF2B5EF4-FFF2-40B4-BE49-F238E27FC236}">
              <a16:creationId xmlns:a16="http://schemas.microsoft.com/office/drawing/2014/main" id="{F1EF3F38-6640-E024-7A08-71351FEACFC8}"/>
            </a:ext>
          </a:extLst>
        </xdr:cNvPr>
        <xdr:cNvPicPr>
          <a:picLocks noChangeAspect="1"/>
        </xdr:cNvPicPr>
      </xdr:nvPicPr>
      <xdr:blipFill rotWithShape="1">
        <a:blip xmlns:r="http://schemas.openxmlformats.org/officeDocument/2006/relationships" r:embed="rId17" cstate="print">
          <a:lum bright="70000" contrast="-70000"/>
          <a:extLst>
            <a:ext uri="{BEBA8EAE-BF5A-486C-A8C5-ECC9F3942E4B}">
              <a14:imgProps xmlns:a14="http://schemas.microsoft.com/office/drawing/2010/main">
                <a14:imgLayer r:embed="rId18">
                  <a14:imgEffect>
                    <a14:backgroundRemoval t="10000" b="90000" l="10000" r="90000">
                      <a14:foregroundMark x1="35744" y1="36878" x2="35744" y2="36878"/>
                      <a14:foregroundMark x1="62619" y1="43785" x2="62619" y2="43785"/>
                      <a14:foregroundMark x1="62619" y1="43785" x2="62619" y2="43785"/>
                      <a14:foregroundMark x1="60164" y1="47514" x2="60164" y2="47514"/>
                      <a14:foregroundMark x1="33697" y1="58702" x2="33697" y2="58702"/>
                      <a14:foregroundMark x1="33697" y1="58702" x2="33697" y2="58702"/>
                      <a14:foregroundMark x1="69441" y1="58978" x2="69441" y2="58978"/>
                      <a14:backgroundMark x1="33151" y1="41160" x2="33151" y2="41160"/>
                      <a14:backgroundMark x1="34379" y1="38950" x2="34379" y2="38950"/>
                      <a14:backgroundMark x1="34379" y1="37431" x2="34379" y2="37431"/>
                      <a14:backgroundMark x1="38745" y1="37845" x2="38745" y2="37845"/>
                      <a14:backgroundMark x1="53206" y1="37155" x2="53206" y2="37155"/>
                      <a14:backgroundMark x1="44065" y1="57320" x2="44065" y2="57320"/>
                    </a14:backgroundRemoval>
                  </a14:imgEffect>
                </a14:imgLayer>
              </a14:imgProps>
            </a:ext>
            <a:ext uri="{28A0092B-C50C-407E-A947-70E740481C1C}">
              <a14:useLocalDpi xmlns:a14="http://schemas.microsoft.com/office/drawing/2010/main" val="0"/>
            </a:ext>
          </a:extLst>
        </a:blip>
        <a:srcRect l="-3044" t="14940" r="5583" b="-2902"/>
        <a:stretch>
          <a:fillRect/>
        </a:stretch>
      </xdr:blipFill>
      <xdr:spPr>
        <a:xfrm>
          <a:off x="118533" y="59269"/>
          <a:ext cx="1083733" cy="880534"/>
        </a:xfrm>
        <a:prstGeom prst="rect">
          <a:avLst/>
        </a:prstGeom>
        <a:noFill/>
      </xdr:spPr>
    </xdr:pic>
    <xdr:clientData/>
  </xdr:twoCellAnchor>
  <xdr:oneCellAnchor>
    <xdr:from>
      <xdr:col>1</xdr:col>
      <xdr:colOff>355599</xdr:colOff>
      <xdr:row>0</xdr:row>
      <xdr:rowOff>110063</xdr:rowOff>
    </xdr:from>
    <xdr:ext cx="812801" cy="626536"/>
    <xdr:sp macro="" textlink="">
      <xdr:nvSpPr>
        <xdr:cNvPr id="121" name="TextBox 120">
          <a:extLst>
            <a:ext uri="{FF2B5EF4-FFF2-40B4-BE49-F238E27FC236}">
              <a16:creationId xmlns:a16="http://schemas.microsoft.com/office/drawing/2014/main" id="{16B94BC4-E40B-863A-3E96-2352FBA49418}"/>
            </a:ext>
          </a:extLst>
        </xdr:cNvPr>
        <xdr:cNvSpPr txBox="1"/>
      </xdr:nvSpPr>
      <xdr:spPr>
        <a:xfrm>
          <a:off x="965199" y="110063"/>
          <a:ext cx="812801" cy="6265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200" b="1">
              <a:solidFill>
                <a:srgbClr val="E5B244"/>
              </a:solidFill>
            </a:rPr>
            <a:t>HR</a:t>
          </a:r>
        </a:p>
      </xdr:txBody>
    </xdr:sp>
    <xdr:clientData/>
  </xdr:oneCellAnchor>
  <xdr:oneCellAnchor>
    <xdr:from>
      <xdr:col>1</xdr:col>
      <xdr:colOff>380998</xdr:colOff>
      <xdr:row>2</xdr:row>
      <xdr:rowOff>135465</xdr:rowOff>
    </xdr:from>
    <xdr:ext cx="1642535" cy="414870"/>
    <xdr:sp macro="" textlink="">
      <xdr:nvSpPr>
        <xdr:cNvPr id="122" name="TextBox 121">
          <a:extLst>
            <a:ext uri="{FF2B5EF4-FFF2-40B4-BE49-F238E27FC236}">
              <a16:creationId xmlns:a16="http://schemas.microsoft.com/office/drawing/2014/main" id="{06402AA7-E22F-85D9-83FD-8530969819FC}"/>
            </a:ext>
          </a:extLst>
        </xdr:cNvPr>
        <xdr:cNvSpPr txBox="1"/>
      </xdr:nvSpPr>
      <xdr:spPr>
        <a:xfrm>
          <a:off x="990598" y="507998"/>
          <a:ext cx="1642535" cy="4148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000" b="1">
              <a:solidFill>
                <a:srgbClr val="E5B244"/>
              </a:solidFill>
              <a:latin typeface="+mn-lt"/>
              <a:ea typeface="+mn-ea"/>
              <a:cs typeface="+mn-cs"/>
            </a:rPr>
            <a:t>Dashboard</a:t>
          </a:r>
        </a:p>
      </xdr:txBody>
    </xdr:sp>
    <xdr:clientData/>
  </xdr:oneCellAnchor>
  <xdr:oneCellAnchor>
    <xdr:from>
      <xdr:col>1</xdr:col>
      <xdr:colOff>324242</xdr:colOff>
      <xdr:row>4</xdr:row>
      <xdr:rowOff>71848</xdr:rowOff>
    </xdr:from>
    <xdr:ext cx="2707857" cy="280205"/>
    <xdr:sp macro="" textlink="">
      <xdr:nvSpPr>
        <xdr:cNvPr id="123" name="TextBox 122">
          <a:extLst>
            <a:ext uri="{FF2B5EF4-FFF2-40B4-BE49-F238E27FC236}">
              <a16:creationId xmlns:a16="http://schemas.microsoft.com/office/drawing/2014/main" id="{77AA6188-2635-85C6-04DE-D93712C4E025}"/>
            </a:ext>
          </a:extLst>
        </xdr:cNvPr>
        <xdr:cNvSpPr txBox="1"/>
      </xdr:nvSpPr>
      <xdr:spPr>
        <a:xfrm>
          <a:off x="933842" y="816915"/>
          <a:ext cx="2707857"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solidFill>
                <a:schemeClr val="tx1">
                  <a:lumMod val="50000"/>
                  <a:lumOff val="50000"/>
                </a:schemeClr>
              </a:solidFill>
            </a:rPr>
            <a:t>Analyze and monitor the HR</a:t>
          </a:r>
          <a:r>
            <a:rPr lang="en-IN" sz="1200" b="1" baseline="0">
              <a:solidFill>
                <a:schemeClr val="tx1">
                  <a:lumMod val="50000"/>
                  <a:lumOff val="50000"/>
                </a:schemeClr>
              </a:solidFill>
            </a:rPr>
            <a:t> department</a:t>
          </a:r>
          <a:endParaRPr lang="en-IN" sz="1200" b="1">
            <a:solidFill>
              <a:schemeClr val="tx1">
                <a:lumMod val="50000"/>
                <a:lumOff val="50000"/>
              </a:schemeClr>
            </a:solidFill>
          </a:endParaRPr>
        </a:p>
      </xdr:txBody>
    </xdr:sp>
    <xdr:clientData/>
  </xdr:oneCellAnchor>
  <xdr:twoCellAnchor editAs="oneCell">
    <xdr:from>
      <xdr:col>5</xdr:col>
      <xdr:colOff>499534</xdr:colOff>
      <xdr:row>2</xdr:row>
      <xdr:rowOff>118534</xdr:rowOff>
    </xdr:from>
    <xdr:to>
      <xdr:col>8</xdr:col>
      <xdr:colOff>508668</xdr:colOff>
      <xdr:row>6</xdr:row>
      <xdr:rowOff>76200</xdr:rowOff>
    </xdr:to>
    <mc:AlternateContent xmlns:mc="http://schemas.openxmlformats.org/markup-compatibility/2006" xmlns:a14="http://schemas.microsoft.com/office/drawing/2010/main">
      <mc:Choice Requires="a14">
        <xdr:graphicFrame macro="">
          <xdr:nvGraphicFramePr>
            <xdr:cNvPr id="124" name="Gender">
              <a:extLst>
                <a:ext uri="{FF2B5EF4-FFF2-40B4-BE49-F238E27FC236}">
                  <a16:creationId xmlns:a16="http://schemas.microsoft.com/office/drawing/2014/main" id="{C6C16DD8-6FD3-4741-8276-B00DA3608A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547534" y="491067"/>
              <a:ext cx="1837934" cy="7027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474131</xdr:colOff>
      <xdr:row>1</xdr:row>
      <xdr:rowOff>171025</xdr:rowOff>
    </xdr:from>
    <xdr:to>
      <xdr:col>12</xdr:col>
      <xdr:colOff>231731</xdr:colOff>
      <xdr:row>6</xdr:row>
      <xdr:rowOff>160865</xdr:rowOff>
    </xdr:to>
    <mc:AlternateContent xmlns:mc="http://schemas.openxmlformats.org/markup-compatibility/2006" xmlns:a14="http://schemas.microsoft.com/office/drawing/2010/main">
      <mc:Choice Requires="a14">
        <xdr:graphicFrame macro="">
          <xdr:nvGraphicFramePr>
            <xdr:cNvPr id="125" name="Department">
              <a:extLst>
                <a:ext uri="{FF2B5EF4-FFF2-40B4-BE49-F238E27FC236}">
                  <a16:creationId xmlns:a16="http://schemas.microsoft.com/office/drawing/2014/main" id="{56870639-6392-4F15-8DB9-0C6F873D622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350931" y="357292"/>
              <a:ext cx="2196000" cy="921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8</xdr:col>
      <xdr:colOff>578257</xdr:colOff>
      <xdr:row>1</xdr:row>
      <xdr:rowOff>122646</xdr:rowOff>
    </xdr:from>
    <xdr:ext cx="1544077" cy="287964"/>
    <xdr:sp macro="" textlink="">
      <xdr:nvSpPr>
        <xdr:cNvPr id="126" name="TextBox 125">
          <a:extLst>
            <a:ext uri="{FF2B5EF4-FFF2-40B4-BE49-F238E27FC236}">
              <a16:creationId xmlns:a16="http://schemas.microsoft.com/office/drawing/2014/main" id="{120BC10D-E5E4-48C3-9DC6-937BB1F4ED50}"/>
            </a:ext>
          </a:extLst>
        </xdr:cNvPr>
        <xdr:cNvSpPr txBox="1"/>
      </xdr:nvSpPr>
      <xdr:spPr>
        <a:xfrm>
          <a:off x="5455057" y="308913"/>
          <a:ext cx="1544077" cy="2879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50" b="1">
              <a:solidFill>
                <a:schemeClr val="bg1"/>
              </a:solidFill>
            </a:rPr>
            <a:t>Filter by Department</a:t>
          </a:r>
        </a:p>
      </xdr:txBody>
    </xdr:sp>
    <xdr:clientData/>
  </xdr:oneCellAnchor>
  <xdr:oneCellAnchor>
    <xdr:from>
      <xdr:col>5</xdr:col>
      <xdr:colOff>595192</xdr:colOff>
      <xdr:row>2</xdr:row>
      <xdr:rowOff>84673</xdr:rowOff>
    </xdr:from>
    <xdr:ext cx="1284407" cy="355600"/>
    <xdr:sp macro="" textlink="">
      <xdr:nvSpPr>
        <xdr:cNvPr id="127" name="TextBox 126">
          <a:extLst>
            <a:ext uri="{FF2B5EF4-FFF2-40B4-BE49-F238E27FC236}">
              <a16:creationId xmlns:a16="http://schemas.microsoft.com/office/drawing/2014/main" id="{96673C07-0BE0-DCC8-E3EE-D038C4DC318F}"/>
            </a:ext>
          </a:extLst>
        </xdr:cNvPr>
        <xdr:cNvSpPr txBox="1"/>
      </xdr:nvSpPr>
      <xdr:spPr>
        <a:xfrm>
          <a:off x="3643192" y="457206"/>
          <a:ext cx="1284407" cy="355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250" b="1">
              <a:solidFill>
                <a:schemeClr val="bg1"/>
              </a:solidFill>
            </a:rPr>
            <a:t>Filter by Gender</a:t>
          </a:r>
        </a:p>
      </xdr:txBody>
    </xdr:sp>
    <xdr:clientData/>
  </xdr:oneCellAnchor>
  <xdr:twoCellAnchor>
    <xdr:from>
      <xdr:col>5</xdr:col>
      <xdr:colOff>558806</xdr:colOff>
      <xdr:row>2</xdr:row>
      <xdr:rowOff>177802</xdr:rowOff>
    </xdr:from>
    <xdr:to>
      <xdr:col>6</xdr:col>
      <xdr:colOff>21206</xdr:colOff>
      <xdr:row>3</xdr:row>
      <xdr:rowOff>63535</xdr:rowOff>
    </xdr:to>
    <xdr:sp macro="" textlink="">
      <xdr:nvSpPr>
        <xdr:cNvPr id="128" name="Oval 127">
          <a:extLst>
            <a:ext uri="{FF2B5EF4-FFF2-40B4-BE49-F238E27FC236}">
              <a16:creationId xmlns:a16="http://schemas.microsoft.com/office/drawing/2014/main" id="{2E1DDCCF-884B-48A6-AD90-0EDFB83F5301}"/>
            </a:ext>
          </a:extLst>
        </xdr:cNvPr>
        <xdr:cNvSpPr/>
      </xdr:nvSpPr>
      <xdr:spPr>
        <a:xfrm>
          <a:off x="3606806" y="550335"/>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567272</xdr:colOff>
      <xdr:row>2</xdr:row>
      <xdr:rowOff>59270</xdr:rowOff>
    </xdr:from>
    <xdr:to>
      <xdr:col>9</xdr:col>
      <xdr:colOff>29672</xdr:colOff>
      <xdr:row>2</xdr:row>
      <xdr:rowOff>131270</xdr:rowOff>
    </xdr:to>
    <xdr:sp macro="" textlink="">
      <xdr:nvSpPr>
        <xdr:cNvPr id="129" name="Oval 128">
          <a:extLst>
            <a:ext uri="{FF2B5EF4-FFF2-40B4-BE49-F238E27FC236}">
              <a16:creationId xmlns:a16="http://schemas.microsoft.com/office/drawing/2014/main" id="{C4C490EC-88D6-02C0-8891-0B8205460075}"/>
            </a:ext>
          </a:extLst>
        </xdr:cNvPr>
        <xdr:cNvSpPr/>
      </xdr:nvSpPr>
      <xdr:spPr>
        <a:xfrm>
          <a:off x="5444072" y="431803"/>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423338</xdr:colOff>
      <xdr:row>20</xdr:row>
      <xdr:rowOff>160868</xdr:rowOff>
    </xdr:from>
    <xdr:to>
      <xdr:col>12</xdr:col>
      <xdr:colOff>495338</xdr:colOff>
      <xdr:row>21</xdr:row>
      <xdr:rowOff>46601</xdr:rowOff>
    </xdr:to>
    <xdr:sp macro="" textlink="">
      <xdr:nvSpPr>
        <xdr:cNvPr id="130" name="Oval 129">
          <a:extLst>
            <a:ext uri="{FF2B5EF4-FFF2-40B4-BE49-F238E27FC236}">
              <a16:creationId xmlns:a16="http://schemas.microsoft.com/office/drawing/2014/main" id="{BF3475C6-FD59-1053-678A-467885980D07}"/>
            </a:ext>
          </a:extLst>
        </xdr:cNvPr>
        <xdr:cNvSpPr/>
      </xdr:nvSpPr>
      <xdr:spPr>
        <a:xfrm>
          <a:off x="7738538" y="3886201"/>
          <a:ext cx="72000" cy="72000"/>
        </a:xfrm>
        <a:prstGeom prst="ellipse">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Singhal" refreshedDate="46115.009115972221" createdVersion="8" refreshedVersion="8" minRefreshableVersion="3" recordCount="200" xr:uid="{31CB6923-41D0-44C4-BB1C-C63929A0045F}">
  <cacheSource type="worksheet">
    <worksheetSource name="Table1"/>
  </cacheSource>
  <cacheFields count="26">
    <cacheField name="Emp_ID" numFmtId="0">
      <sharedItems/>
    </cacheField>
    <cacheField name="Salutation" numFmtId="0">
      <sharedItems/>
    </cacheField>
    <cacheField name="Full Name" numFmtId="0">
      <sharedItems count="200">
        <s v="Aarav Sharma"/>
        <s v="Ananya Patel"/>
        <s v="Rohan Kapoor"/>
        <s v="Sneha Singh"/>
        <s v="Aditya Mehra"/>
        <s v="Kavya Joshi"/>
        <s v="Siddharth Nair"/>
        <s v="Meera Iyer"/>
        <s v="Rajesh Deshmukh"/>
        <s v="Ishita Chatterjee"/>
        <s v="Harsh Malhotra"/>
        <s v="Tanya Bhatia"/>
        <s v="Varun Khanna"/>
        <s v="Aditi Rao"/>
        <s v="Yash Saxena"/>
        <s v="Nisha Verma"/>
        <s v="Mohit Kulkarni"/>
        <s v="Komal Reddy"/>
        <s v="Sandeep Banerjee"/>
        <s v="Radhika Gupta"/>
        <s v="Chirag Mishra"/>
        <s v="Divya Thakur"/>
        <s v="Abhishek Menon"/>
        <s v="Sonali Dutta"/>
        <s v="Sameer Pillai"/>
        <s v="Shruti Mehra"/>
        <s v="Ajay Saxena"/>
        <s v="Pallavi Kapoor"/>
        <s v="Kunal Joshi"/>
        <s v="Shreya Nair"/>
        <s v="Pranav Iyer"/>
        <s v="Pooja Deshmukh"/>
        <s v="Deepak Malhotra"/>
        <s v="Alisha Bhatia"/>
        <s v="Kartik Khanna"/>
        <s v="Swati Rao"/>
        <s v="Nikhil Saxena"/>
        <s v="Ishita Verma"/>
        <s v="Rohit Kulkarni"/>
        <s v="Bhavna Reddy"/>
        <s v="Manish Banerjee"/>
        <s v="Charu Gupta"/>
        <s v="Devendra Mishra"/>
        <s v="Jyoti Thakur"/>
        <s v="Chirag Menon"/>
        <s v="Riya Dutta"/>
        <s v="Aniket Pillai"/>
        <s v="Sneha Mehra"/>
        <s v="Arvind Sharma"/>
        <s v="Ritu Kapoor"/>
        <s v="Suresh Singh"/>
        <s v="Nandini Joshi"/>
        <s v="Prakash Nair"/>
        <s v="Shweta Iyer"/>
        <s v="Anil Deshmukh"/>
        <s v="Kritika Chatterjee"/>
        <s v="Vijay Malhotra"/>
        <s v="Poonam Bhatia"/>
        <s v="Rajeev Khanna"/>
        <s v="Sneha Rao"/>
        <s v="Manoj Saxena"/>
        <s v="Aishwarya Verma"/>
        <s v="Ramesh Kulkarni"/>
        <s v="Priyanka Reddy"/>
        <s v="Ashwin Banerjee"/>
        <s v="Kavita Gupta"/>
        <s v="Shyam Mishra"/>
        <s v="Rekha Thakur"/>
        <s v="Gopal Menon"/>
        <s v="Anjali Dutta"/>
        <s v="Nitin Pillai"/>
        <s v="Divya Mehra"/>
        <s v="Harish Sharma"/>
        <s v="Roshni Kapoor"/>
        <s v="Vinod Singh"/>
        <s v="Tanvi Joshi"/>
        <s v="Ajit Nair"/>
        <s v="Bhavna Iyer"/>
        <s v="Keshav Deshmukh"/>
        <s v="Shruti Chatterjee"/>
        <s v="Om Malhotra"/>
        <s v="Pallavi Bhatia"/>
        <s v="Raghav Khanna"/>
        <s v="Kusum Rao"/>
        <s v="Sunil Saxena"/>
        <s v="Neha Verma"/>
        <s v="Dheeraj Kulkarni"/>
        <s v="Alka Reddy"/>
        <s v="Jatin Banerjee"/>
        <s v="Mohan Mishra"/>
        <s v="Shalini Thakur"/>
        <s v="Kiran Menon"/>
        <s v="Payal Dutta"/>
        <s v="Ashok Pillai"/>
        <s v="Geeta Mehra"/>
        <s v="Raghunath Sharma"/>
        <s v="Simran Kapoor"/>
        <s v="Devendra Singh"/>
        <s v="Lavanya Joshi"/>
        <s v="Sandeep Nair"/>
        <s v="Ishita Iyer"/>
        <s v="Raj Malhotra"/>
        <s v="Sonali Bhatia"/>
        <s v="Vivek Khanna"/>
        <s v="Radhika Rao"/>
        <s v="Anup Saxena"/>
        <s v="Snehal Verma"/>
        <s v="Gaurav Kulkarni"/>
        <s v="Nisha Reddy"/>
        <s v="Dinesh Banerjee"/>
        <s v="Pallavi Gupta"/>
        <s v="Suraj Mishra"/>
        <s v="Kusum Thakur"/>
        <s v="Ajay Menon"/>
        <s v="Shreya Dutta"/>
        <s v="Kartik Pillai"/>
        <s v="Alisha Mehra"/>
        <s v="Rohit Sharma"/>
        <s v="Priya Kapoor"/>
        <s v="Arjun Singh"/>
        <s v="Meera Joshi"/>
        <s v="Kunal Nair"/>
        <s v="Tanya Iyer"/>
        <s v="Ishika Chatterjee"/>
        <s v="Swati Bhatia"/>
        <s v="Vivek Sharma"/>
        <s v="Neha Joshi"/>
        <s v="Karan Nair"/>
        <s v="Ishika Iyer"/>
        <s v="Rahul Deshmukh"/>
        <s v="Simran Chatterjee"/>
        <s v="Anupam Sharma"/>
        <s v="Radhika Kapoor"/>
        <s v="Saurabh Singh"/>
        <s v="Ishita Joshi"/>
        <s v="Rajat Nair"/>
        <s v="Sneha Iyer"/>
        <s v="Deepak Deshmukh"/>
        <s v="Kavya Chatterjee"/>
        <s v="Amit Malhotra"/>
        <s v="Shreya Bhatia"/>
        <s v="Lokesh Khanna"/>
        <s v="Tanvi Rao"/>
        <s v="Pradeep Saxena"/>
        <s v="Anjali Verma"/>
        <s v="Sushil Kulkarni"/>
        <s v="Rohan Banerjee"/>
        <s v="Ashutosh Mishra"/>
        <s v="Vivek Menon"/>
        <s v="Divya Dutta"/>
        <s v="Sanjeev Pillai"/>
        <s v="Meera Mehra"/>
        <s v="Karan Sharma"/>
        <s v="Arvind Singh"/>
        <s v="Mohit Nair"/>
        <s v="Kritika Iyer"/>
        <s v="Rakesh Deshmukh"/>
        <s v="Sonali Chatterjee"/>
        <s v="Ajay Malhotra"/>
        <s v="Shalini Bhatia"/>
        <s v="Gaurav Khanna"/>
        <s v="Dinesh Kulkarni"/>
        <s v="Rajeev Banerjee"/>
        <s v="Manoj Mishra"/>
        <s v="Pooja Thakur"/>
        <s v="Sandeep Menon"/>
        <s v="Roshni Dutta"/>
        <s v="Nikhil Sharma"/>
        <s v="Anirudh Sharma"/>
        <s v="Kavya Kapoor"/>
        <s v="Sandeep Singh"/>
        <s v="Roshni Joshi"/>
        <s v="Tanvi Iyer"/>
        <s v="Ajay Deshmukh"/>
        <s v="Snehal Chatterjee"/>
        <s v="Raghav Malhotra"/>
        <s v="Kritika Bhatia"/>
        <s v="Aishwarya Rao"/>
        <s v="Sanjay Saxena"/>
        <s v="Shalini Verma"/>
        <s v="Arvind Kulkarni"/>
        <s v="Mohan Banerjee"/>
        <s v="Dinesh Mishra"/>
        <s v="Rajeev Menon"/>
        <s v="Ramesh Singh"/>
        <s v="Swati Chatterjee"/>
        <s v="Harendra Sharma"/>
        <s v="Supriya Kapoor"/>
        <s v="Naveen Singh"/>
        <s v="Ishani Joshi"/>
        <s v="Shashank Nair"/>
        <s v="Ritu Iyer"/>
        <s v="Parag Deshmukh"/>
        <s v="Manisha Chatterjee"/>
        <s v="Anmol Malhotra"/>
        <s v="Sneha Bhatia"/>
        <s v="Dev Khanna"/>
        <s v="Kavita Rao"/>
        <s v="Arpit Saxena"/>
        <s v="Shubhi Verma"/>
      </sharedItems>
    </cacheField>
    <cacheField name="Gender" numFmtId="0">
      <sharedItems count="2">
        <s v="Male"/>
        <s v="Female"/>
      </sharedItems>
    </cacheField>
    <cacheField name="Birth Date" numFmtId="14">
      <sharedItems containsSemiMixedTypes="0" containsNonDate="0" containsDate="1" containsString="0" minDate="1970-01-10T00:00:00" maxDate="2006-10-25T00:00:00"/>
    </cacheField>
    <cacheField name="Age" numFmtId="0">
      <sharedItems containsSemiMixedTypes="0" containsString="0" containsNumber="1" containsInteger="1" minValue="19" maxValue="56"/>
    </cacheField>
    <cacheField name="Age Group" numFmtId="0">
      <sharedItems count="5">
        <s v="30-40"/>
        <s v="50-60"/>
        <s v="40-50"/>
        <s v="20-30"/>
        <s v="10-20"/>
      </sharedItems>
    </cacheField>
    <cacheField name="Region" numFmtId="0">
      <sharedItems count="4">
        <s v="East"/>
        <s v="West"/>
        <s v="North"/>
        <s v="South"/>
      </sharedItems>
    </cacheField>
    <cacheField name="Religious Faith" numFmtId="0">
      <sharedItems/>
    </cacheField>
    <cacheField name="Nationality" numFmtId="0">
      <sharedItems/>
    </cacheField>
    <cacheField name="Marital Status" numFmtId="0">
      <sharedItems/>
    </cacheField>
    <cacheField name="Mobile Phones" numFmtId="0">
      <sharedItems/>
    </cacheField>
    <cacheField name="Hire Date" numFmtId="14">
      <sharedItems containsSemiMixedTypes="0" containsNonDate="0" containsDate="1" containsString="0" minDate="1995-01-01T00:00:00" maxDate="2025-12-05T00:00:00"/>
    </cacheField>
    <cacheField name="Employement Status" numFmtId="0">
      <sharedItems count="3">
        <s v="Full Time"/>
        <s v="Part Time"/>
        <s v="Contract"/>
      </sharedItems>
    </cacheField>
    <cacheField name="Department" numFmtId="0">
      <sharedItems count="9">
        <s v="Sales"/>
        <s v="Finance"/>
        <s v="Production"/>
        <s v="Marketing"/>
        <s v="Administration" u="1"/>
        <s v="Information Technology" u="1"/>
        <s v="Logistics" u="1"/>
        <s v="Management" u="1"/>
        <s v="Human Resources" u="1"/>
      </sharedItems>
    </cacheField>
    <cacheField name="Designation" numFmtId="0">
      <sharedItems/>
    </cacheField>
    <cacheField name="Job-level" numFmtId="0">
      <sharedItems/>
    </cacheField>
    <cacheField name="Work-Location" numFmtId="0">
      <sharedItems count="3">
        <s v="Branch Office"/>
        <s v="Head Office"/>
        <s v="Remote"/>
      </sharedItems>
    </cacheField>
    <cacheField name="Salary" numFmtId="6">
      <sharedItems containsSemiMixedTypes="0" containsString="0" containsNumber="1" containsInteger="1" minValue="51000" maxValue="155000"/>
    </cacheField>
    <cacheField name="Pay Grade" numFmtId="6">
      <sharedItems/>
    </cacheField>
    <cacheField name="Bonus/Allowances" numFmtId="6">
      <sharedItems containsSemiMixedTypes="0" containsString="0" containsNumber="1" containsInteger="1" minValue="1100" maxValue="3400"/>
    </cacheField>
    <cacheField name="Insurance Details" numFmtId="6">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Skills" numFmtId="0">
      <sharedItems count="5">
        <s v="Design"/>
        <s v="Management"/>
        <s v="Excel"/>
        <s v="Python"/>
        <s v="Communication"/>
      </sharedItems>
    </cacheField>
    <cacheField name="E-mail" numFmtId="0">
      <sharedItems/>
    </cacheField>
  </cacheFields>
  <extLst>
    <ext xmlns:x14="http://schemas.microsoft.com/office/spreadsheetml/2009/9/main" uri="{725AE2AE-9491-48be-B2B4-4EB974FC3084}">
      <x14:pivotCacheDefinition pivotCacheId="8683839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E001"/>
    <s v="Mr."/>
    <x v="0"/>
    <x v="0"/>
    <d v="1994-10-08T00:00:00"/>
    <n v="31"/>
    <x v="0"/>
    <x v="0"/>
    <s v="Christian"/>
    <s v="Indian"/>
    <s v="Single"/>
    <s v="+917917253213"/>
    <d v="2015-04-29T00:00:00"/>
    <x v="0"/>
    <x v="0"/>
    <s v="Executive"/>
    <s v="Manager"/>
    <x v="0"/>
    <n v="85000"/>
    <s v="A"/>
    <n v="1500"/>
    <s v="Health"/>
    <n v="3"/>
    <n v="3"/>
    <x v="0"/>
    <s v="user1@gmail.com"/>
  </r>
  <r>
    <s v="E002"/>
    <s v="Ms."/>
    <x v="1"/>
    <x v="1"/>
    <d v="1992-04-07T00:00:00"/>
    <n v="33"/>
    <x v="0"/>
    <x v="1"/>
    <s v="Christian"/>
    <s v="Indian"/>
    <s v="Single"/>
    <s v="+918444071576"/>
    <d v="2010-07-04T00:00:00"/>
    <x v="1"/>
    <x v="1"/>
    <s v="Senior Executive"/>
    <s v="Non-Manager"/>
    <x v="1"/>
    <n v="72000"/>
    <s v="C"/>
    <n v="2200"/>
    <s v="None"/>
    <n v="5"/>
    <n v="2"/>
    <x v="1"/>
    <s v="user2@gmail.com"/>
  </r>
  <r>
    <s v="E003"/>
    <s v="Mr."/>
    <x v="2"/>
    <x v="0"/>
    <d v="1989-09-02T00:00:00"/>
    <n v="36"/>
    <x v="0"/>
    <x v="2"/>
    <s v="Christian"/>
    <s v="Indian"/>
    <s v="Married"/>
    <s v="+916834258762"/>
    <d v="2017-02-26T00:00:00"/>
    <x v="0"/>
    <x v="2"/>
    <s v="Executive"/>
    <s v="Non-Manager"/>
    <x v="2"/>
    <n v="110000"/>
    <s v="B"/>
    <n v="1800"/>
    <s v="Health"/>
    <n v="2"/>
    <n v="1"/>
    <x v="2"/>
    <s v="user3@gmail.com"/>
  </r>
  <r>
    <s v="E004"/>
    <s v="Ms."/>
    <x v="3"/>
    <x v="1"/>
    <d v="1972-07-15T00:00:00"/>
    <n v="53"/>
    <x v="1"/>
    <x v="3"/>
    <s v="Muslim"/>
    <s v="Indian"/>
    <s v="Married"/>
    <s v="+917443152850"/>
    <d v="1995-01-01T00:00:00"/>
    <x v="2"/>
    <x v="3"/>
    <s v="Officer"/>
    <s v="Non-Manager"/>
    <x v="0"/>
    <n v="95000"/>
    <s v="D"/>
    <n v="2600"/>
    <s v="Health + Dental"/>
    <n v="7"/>
    <n v="2"/>
    <x v="3"/>
    <s v="user4@gmail.com"/>
  </r>
  <r>
    <s v="E005"/>
    <s v="Mr."/>
    <x v="4"/>
    <x v="0"/>
    <d v="1989-06-25T00:00:00"/>
    <n v="36"/>
    <x v="0"/>
    <x v="0"/>
    <s v="Hindu"/>
    <s v="Indian"/>
    <s v="Single"/>
    <s v="+916176347805"/>
    <d v="2016-05-14T00:00:00"/>
    <x v="1"/>
    <x v="0"/>
    <s v="Senior Executive"/>
    <s v="Non-Manager"/>
    <x v="1"/>
    <n v="130000"/>
    <s v="A"/>
    <n v="3100"/>
    <s v="None"/>
    <n v="1"/>
    <n v="3"/>
    <x v="4"/>
    <s v="user5@gmail.com"/>
  </r>
  <r>
    <s v="E006"/>
    <s v="Ms."/>
    <x v="5"/>
    <x v="1"/>
    <d v="1983-08-23T00:00:00"/>
    <n v="42"/>
    <x v="2"/>
    <x v="2"/>
    <s v="Sikh"/>
    <s v="Indian"/>
    <s v="Single"/>
    <s v="+917381525248"/>
    <d v="2002-06-15T00:00:00"/>
    <x v="0"/>
    <x v="2"/>
    <s v="Staff"/>
    <s v="Non-Manager"/>
    <x v="0"/>
    <n v="78000"/>
    <s v="B"/>
    <n v="1200"/>
    <s v="Health"/>
    <n v="6"/>
    <n v="1"/>
    <x v="2"/>
    <s v="user6@gmail.com"/>
  </r>
  <r>
    <s v="E007"/>
    <s v="Mr."/>
    <x v="6"/>
    <x v="0"/>
    <d v="2003-07-28T00:00:00"/>
    <n v="22"/>
    <x v="3"/>
    <x v="1"/>
    <s v="Christian"/>
    <s v="Indian"/>
    <s v="Single"/>
    <s v="+917990275860"/>
    <d v="2022-07-14T00:00:00"/>
    <x v="1"/>
    <x v="1"/>
    <s v="Executive"/>
    <s v="Non-Manager"/>
    <x v="2"/>
    <n v="56000"/>
    <s v="C"/>
    <n v="2400"/>
    <s v="None"/>
    <n v="4"/>
    <n v="2"/>
    <x v="0"/>
    <s v="user7@gmail.com"/>
  </r>
  <r>
    <s v="E008"/>
    <s v="Ms."/>
    <x v="7"/>
    <x v="1"/>
    <d v="1971-02-23T00:00:00"/>
    <n v="55"/>
    <x v="1"/>
    <x v="3"/>
    <s v="Hindu"/>
    <s v="Indian"/>
    <s v="Single"/>
    <s v="+917723323667"/>
    <d v="2000-11-01T00:00:00"/>
    <x v="0"/>
    <x v="3"/>
    <s v="Staff"/>
    <s v="Manager"/>
    <x v="1"/>
    <n v="118000"/>
    <s v="A"/>
    <n v="2700"/>
    <s v="Health"/>
    <n v="8"/>
    <n v="3"/>
    <x v="1"/>
    <s v="user8@gmail.com"/>
  </r>
  <r>
    <s v="E009"/>
    <s v="Mr."/>
    <x v="8"/>
    <x v="0"/>
    <d v="1979-02-17T00:00:00"/>
    <n v="47"/>
    <x v="2"/>
    <x v="3"/>
    <s v="Hindu"/>
    <s v="Indian"/>
    <s v="Single"/>
    <s v="+917465882147"/>
    <d v="2005-11-06T00:00:00"/>
    <x v="2"/>
    <x v="0"/>
    <s v="Staff"/>
    <s v="Non-Manager"/>
    <x v="0"/>
    <n v="99000"/>
    <s v="D"/>
    <n v="1900"/>
    <s v="Health + Dental"/>
    <n v="2"/>
    <n v="1"/>
    <x v="3"/>
    <s v="user9@gmail.com"/>
  </r>
  <r>
    <s v="E010"/>
    <s v="Ms."/>
    <x v="9"/>
    <x v="1"/>
    <d v="1974-05-31T00:00:00"/>
    <n v="51"/>
    <x v="1"/>
    <x v="0"/>
    <s v="Muslim"/>
    <s v="Indian"/>
    <s v="Single"/>
    <s v="+917112884575"/>
    <d v="1999-06-29T00:00:00"/>
    <x v="1"/>
    <x v="1"/>
    <s v="Officer"/>
    <s v="Non-Manager"/>
    <x v="2"/>
    <n v="102000"/>
    <s v="B"/>
    <n v="2100"/>
    <s v="None"/>
    <n v="3"/>
    <n v="2"/>
    <x v="4"/>
    <s v="user10@gmail.com"/>
  </r>
  <r>
    <s v="E011"/>
    <s v="Mr."/>
    <x v="10"/>
    <x v="0"/>
    <d v="1989-06-27T00:00:00"/>
    <n v="36"/>
    <x v="0"/>
    <x v="2"/>
    <s v="Christian"/>
    <s v="Indian"/>
    <s v="Married"/>
    <s v="+916362303156"/>
    <d v="2015-11-01T00:00:00"/>
    <x v="0"/>
    <x v="3"/>
    <s v="Staff"/>
    <s v="Non-Manager"/>
    <x v="1"/>
    <n v="67000"/>
    <s v="C"/>
    <n v="1300"/>
    <s v="Health"/>
    <n v="5"/>
    <n v="3"/>
    <x v="2"/>
    <s v="user11@gmail.com"/>
  </r>
  <r>
    <s v="E012"/>
    <s v="Ms."/>
    <x v="11"/>
    <x v="1"/>
    <d v="2004-03-31T00:00:00"/>
    <n v="22"/>
    <x v="3"/>
    <x v="1"/>
    <s v="Hindu"/>
    <s v="Indian"/>
    <s v="Single"/>
    <s v="+917695460964"/>
    <d v="2022-09-01T00:00:00"/>
    <x v="1"/>
    <x v="2"/>
    <s v="Officer"/>
    <s v="Non-Manager"/>
    <x v="0"/>
    <n v="89000"/>
    <s v="A"/>
    <n v="2500"/>
    <s v="None"/>
    <n v="1"/>
    <n v="1"/>
    <x v="0"/>
    <s v="user12@gmail.com"/>
  </r>
  <r>
    <s v="E013"/>
    <s v="Mr."/>
    <x v="12"/>
    <x v="0"/>
    <d v="1973-12-06T00:00:00"/>
    <n v="52"/>
    <x v="1"/>
    <x v="1"/>
    <s v="Muslim"/>
    <s v="Indian"/>
    <s v="Single"/>
    <s v="+919372207379"/>
    <d v="1997-12-14T00:00:00"/>
    <x v="0"/>
    <x v="0"/>
    <s v="Staff"/>
    <s v="Non-Manager"/>
    <x v="1"/>
    <n v="121000"/>
    <s v="B"/>
    <n v="2800"/>
    <s v="Health"/>
    <n v="7"/>
    <n v="2"/>
    <x v="1"/>
    <s v="user13@gmail.com"/>
  </r>
  <r>
    <s v="E014"/>
    <s v="Ms."/>
    <x v="13"/>
    <x v="1"/>
    <d v="1989-09-22T00:00:00"/>
    <n v="36"/>
    <x v="0"/>
    <x v="1"/>
    <s v="Christian"/>
    <s v="Indian"/>
    <s v="Single"/>
    <s v="+918666076731"/>
    <d v="2016-07-25T00:00:00"/>
    <x v="1"/>
    <x v="1"/>
    <s v="Senior Officer"/>
    <s v="Non-Manager"/>
    <x v="2"/>
    <n v="76000"/>
    <s v="D"/>
    <n v="1700"/>
    <s v="None"/>
    <n v="6"/>
    <n v="3"/>
    <x v="4"/>
    <s v="user14@gmail.com"/>
  </r>
  <r>
    <s v="E015"/>
    <s v="Mr."/>
    <x v="14"/>
    <x v="0"/>
    <d v="1984-05-13T00:00:00"/>
    <n v="41"/>
    <x v="2"/>
    <x v="2"/>
    <s v="Hindu"/>
    <s v="Indian"/>
    <s v="Married"/>
    <s v="+919410824773"/>
    <d v="2005-02-14T00:00:00"/>
    <x v="2"/>
    <x v="2"/>
    <s v="Staff"/>
    <s v="Non-Manager"/>
    <x v="0"/>
    <n v="54000"/>
    <s v="C"/>
    <n v="3200"/>
    <s v="Health + Dental"/>
    <n v="4"/>
    <n v="1"/>
    <x v="3"/>
    <s v="user15@gmail.com"/>
  </r>
  <r>
    <s v="E016"/>
    <s v="Ms."/>
    <x v="15"/>
    <x v="1"/>
    <d v="1993-01-18T00:00:00"/>
    <n v="33"/>
    <x v="0"/>
    <x v="3"/>
    <s v="Hindu"/>
    <s v="Indian"/>
    <s v="Single"/>
    <s v="+916888900040"/>
    <d v="2012-07-19T00:00:00"/>
    <x v="0"/>
    <x v="3"/>
    <s v="Manager"/>
    <s v="Non-Manager"/>
    <x v="1"/>
    <n v="115000"/>
    <s v="A"/>
    <n v="1400"/>
    <s v="Health"/>
    <n v="8"/>
    <n v="2"/>
    <x v="2"/>
    <s v="user16@gmail.com"/>
  </r>
  <r>
    <s v="E017"/>
    <s v="Mr."/>
    <x v="16"/>
    <x v="0"/>
    <d v="1972-02-06T00:00:00"/>
    <n v="54"/>
    <x v="1"/>
    <x v="0"/>
    <s v="Hindu"/>
    <s v="Indian"/>
    <s v="Single"/>
    <s v="+917399120769"/>
    <d v="1999-04-10T00:00:00"/>
    <x v="1"/>
    <x v="0"/>
    <s v="Staff"/>
    <s v="Non-Manager"/>
    <x v="0"/>
    <n v="108000"/>
    <s v="B"/>
    <n v="2300"/>
    <s v="None"/>
    <n v="3"/>
    <n v="3"/>
    <x v="0"/>
    <s v="user17@gmail.com"/>
  </r>
  <r>
    <s v="E018"/>
    <s v="Ms."/>
    <x v="17"/>
    <x v="1"/>
    <d v="2002-12-27T00:00:00"/>
    <n v="23"/>
    <x v="3"/>
    <x v="2"/>
    <s v="Christian"/>
    <s v="Indian"/>
    <s v="Single"/>
    <s v="+916566569026"/>
    <d v="2022-01-27T00:00:00"/>
    <x v="0"/>
    <x v="2"/>
    <s v="Officer"/>
    <s v="Non-Manager"/>
    <x v="2"/>
    <n v="92000"/>
    <s v="C"/>
    <n v="2600"/>
    <s v="Health"/>
    <n v="2"/>
    <n v="1"/>
    <x v="1"/>
    <s v="user18@gmail.com"/>
  </r>
  <r>
    <s v="E019"/>
    <s v="Mr."/>
    <x v="18"/>
    <x v="0"/>
    <d v="2005-09-27T00:00:00"/>
    <n v="20"/>
    <x v="4"/>
    <x v="3"/>
    <s v="Sikh"/>
    <s v="Indian"/>
    <s v="Single"/>
    <s v="+916626284364"/>
    <d v="2024-05-07T00:00:00"/>
    <x v="1"/>
    <x v="1"/>
    <s v="Staff"/>
    <s v="Non-Manager"/>
    <x v="1"/>
    <n v="150000"/>
    <s v="D"/>
    <n v="1600"/>
    <s v="None"/>
    <n v="5"/>
    <n v="2"/>
    <x v="3"/>
    <s v="user19@gmail.com"/>
  </r>
  <r>
    <s v="E020"/>
    <s v="Ms."/>
    <x v="19"/>
    <x v="1"/>
    <d v="1998-07-22T00:00:00"/>
    <n v="27"/>
    <x v="3"/>
    <x v="1"/>
    <s v="Christian"/>
    <s v="Indian"/>
    <s v="Single"/>
    <s v="+918925969788"/>
    <d v="2024-05-18T00:00:00"/>
    <x v="2"/>
    <x v="3"/>
    <s v="Staff"/>
    <s v="Non-Manager"/>
    <x v="0"/>
    <n v="87000"/>
    <s v="A"/>
    <n v="2200"/>
    <s v="Health + Dental"/>
    <n v="1"/>
    <n v="3"/>
    <x v="4"/>
    <s v="user20@gmail.com"/>
  </r>
  <r>
    <s v="E021"/>
    <s v="Mr."/>
    <x v="20"/>
    <x v="0"/>
    <d v="1983-09-13T00:00:00"/>
    <n v="42"/>
    <x v="2"/>
    <x v="0"/>
    <s v="Sikh"/>
    <s v="Indian"/>
    <s v="Married"/>
    <s v="+919152339072"/>
    <d v="2002-04-10T00:00:00"/>
    <x v="0"/>
    <x v="0"/>
    <s v="Staff"/>
    <s v="Non-Manager"/>
    <x v="2"/>
    <n v="66000"/>
    <s v="B"/>
    <n v="1100"/>
    <s v="Health"/>
    <n v="6"/>
    <n v="1"/>
    <x v="2"/>
    <s v="user21@gmail.com"/>
  </r>
  <r>
    <s v="E022"/>
    <s v="Ms."/>
    <x v="21"/>
    <x v="1"/>
    <d v="1982-09-28T00:00:00"/>
    <n v="43"/>
    <x v="2"/>
    <x v="1"/>
    <s v="Muslim"/>
    <s v="Indian"/>
    <s v="Married"/>
    <s v="+917634421009"/>
    <d v="2003-12-15T00:00:00"/>
    <x v="1"/>
    <x v="1"/>
    <s v="Office Executive"/>
    <s v="Non-Manager"/>
    <x v="1"/>
    <n v="119000"/>
    <s v="C"/>
    <n v="2700"/>
    <s v="None"/>
    <n v="7"/>
    <n v="2"/>
    <x v="0"/>
    <s v="user22@gmail.com"/>
  </r>
  <r>
    <s v="E023"/>
    <s v="Mr."/>
    <x v="22"/>
    <x v="0"/>
    <d v="1973-03-24T00:00:00"/>
    <n v="53"/>
    <x v="1"/>
    <x v="2"/>
    <s v="Hindu"/>
    <s v="Indian"/>
    <s v="Single"/>
    <s v="+919179915260"/>
    <d v="2000-03-10T00:00:00"/>
    <x v="0"/>
    <x v="3"/>
    <s v="Manager"/>
    <s v="Non-Manager"/>
    <x v="0"/>
    <n v="98000"/>
    <s v="A"/>
    <n v="2400"/>
    <s v="Health"/>
    <n v="4"/>
    <n v="3"/>
    <x v="1"/>
    <s v="user23@gmail.com"/>
  </r>
  <r>
    <s v="E024"/>
    <s v="Ms."/>
    <x v="23"/>
    <x v="1"/>
    <d v="1977-03-17T00:00:00"/>
    <n v="49"/>
    <x v="2"/>
    <x v="3"/>
    <s v="Hindu"/>
    <s v="Indian"/>
    <s v="Single"/>
    <s v="+916291128312"/>
    <d v="2002-03-27T00:00:00"/>
    <x v="1"/>
    <x v="2"/>
    <s v="Senior Manager"/>
    <s v="Non-Manager"/>
    <x v="1"/>
    <n v="101000"/>
    <s v="D"/>
    <n v="1800"/>
    <s v="None"/>
    <n v="8"/>
    <n v="1"/>
    <x v="2"/>
    <s v="user24@gmail.com"/>
  </r>
  <r>
    <s v="E025"/>
    <s v="Mr."/>
    <x v="24"/>
    <x v="0"/>
    <d v="1988-05-20T00:00:00"/>
    <n v="37"/>
    <x v="0"/>
    <x v="3"/>
    <s v="Christian"/>
    <s v="Indian"/>
    <s v="Married"/>
    <s v="+918452539297"/>
    <d v="2012-07-29T00:00:00"/>
    <x v="0"/>
    <x v="0"/>
    <s v="Staff"/>
    <s v="Non-Manager"/>
    <x v="2"/>
    <n v="73000"/>
    <s v="B"/>
    <n v="3300"/>
    <s v="Health"/>
    <n v="2"/>
    <n v="2"/>
    <x v="3"/>
    <s v="user25@gmail.com"/>
  </r>
  <r>
    <s v="E026"/>
    <s v="Ms."/>
    <x v="25"/>
    <x v="1"/>
    <d v="1982-12-06T00:00:00"/>
    <n v="43"/>
    <x v="2"/>
    <x v="2"/>
    <s v="Muslim"/>
    <s v="Indian"/>
    <s v="Single"/>
    <s v="+916267095330"/>
    <d v="2006-05-18T00:00:00"/>
    <x v="2"/>
    <x v="1"/>
    <s v="Officer"/>
    <s v="Non-Manager"/>
    <x v="0"/>
    <n v="84000"/>
    <s v="C"/>
    <n v="1500"/>
    <s v="Health + Dental"/>
    <n v="3"/>
    <n v="3"/>
    <x v="4"/>
    <s v="user26@gmail.com"/>
  </r>
  <r>
    <s v="E027"/>
    <s v="Mr."/>
    <x v="26"/>
    <x v="0"/>
    <d v="1994-08-01T00:00:00"/>
    <n v="31"/>
    <x v="0"/>
    <x v="0"/>
    <s v="Muslim"/>
    <s v="Indian"/>
    <s v="Single"/>
    <s v="+917322845023"/>
    <d v="2017-05-08T00:00:00"/>
    <x v="1"/>
    <x v="2"/>
    <s v="Staff"/>
    <s v="Manager"/>
    <x v="1"/>
    <n v="57000"/>
    <s v="A"/>
    <n v="2100"/>
    <s v="None"/>
    <n v="5"/>
    <n v="1"/>
    <x v="0"/>
    <s v="user27@gmail.com"/>
  </r>
  <r>
    <s v="E028"/>
    <s v="Ms."/>
    <x v="27"/>
    <x v="1"/>
    <d v="1996-12-09T00:00:00"/>
    <n v="29"/>
    <x v="3"/>
    <x v="1"/>
    <s v="Sikh"/>
    <s v="Indian"/>
    <s v="Married"/>
    <s v="+916914089232"/>
    <d v="2024-01-03T00:00:00"/>
    <x v="0"/>
    <x v="3"/>
    <s v="Staff"/>
    <s v="Non-Manager"/>
    <x v="2"/>
    <n v="112000"/>
    <s v="B"/>
    <n v="2500"/>
    <s v="Health"/>
    <n v="1"/>
    <n v="2"/>
    <x v="1"/>
    <s v="user28@gmail.com"/>
  </r>
  <r>
    <s v="E029"/>
    <s v="Mr."/>
    <x v="28"/>
    <x v="0"/>
    <d v="1995-07-04T00:00:00"/>
    <n v="30"/>
    <x v="3"/>
    <x v="1"/>
    <s v="Hindu"/>
    <s v="Indian"/>
    <s v="Single"/>
    <s v="+918734806152"/>
    <d v="2015-09-25T00:00:00"/>
    <x v="1"/>
    <x v="0"/>
    <s v="Staff"/>
    <s v="Non-Manager"/>
    <x v="0"/>
    <n v="94000"/>
    <s v="D"/>
    <n v="1900"/>
    <s v="None"/>
    <n v="6"/>
    <n v="3"/>
    <x v="2"/>
    <s v="user29@gmail.com"/>
  </r>
  <r>
    <s v="E030"/>
    <s v="Ms."/>
    <x v="29"/>
    <x v="1"/>
    <d v="1974-09-28T00:00:00"/>
    <n v="51"/>
    <x v="1"/>
    <x v="0"/>
    <s v="Christian"/>
    <s v="Indian"/>
    <s v="Single"/>
    <s v="+918323421363"/>
    <d v="1996-08-13T00:00:00"/>
    <x v="0"/>
    <x v="2"/>
    <s v="Manager"/>
    <s v="Non-Manager"/>
    <x v="1"/>
    <n v="135000"/>
    <s v="C"/>
    <n v="2600"/>
    <s v="Health"/>
    <n v="7"/>
    <n v="1"/>
    <x v="4"/>
    <s v="user30@gmail.com"/>
  </r>
  <r>
    <s v="E031"/>
    <s v="Mr."/>
    <x v="30"/>
    <x v="0"/>
    <d v="2004-02-24T00:00:00"/>
    <n v="22"/>
    <x v="3"/>
    <x v="3"/>
    <s v="Sikh"/>
    <s v="Indian"/>
    <s v="Married"/>
    <s v="+919703360203"/>
    <d v="2025-09-08T00:00:00"/>
    <x v="2"/>
    <x v="1"/>
    <s v="Officer"/>
    <s v="Non-Manager"/>
    <x v="0"/>
    <n v="88000"/>
    <s v="A"/>
    <n v="1200"/>
    <s v="Health + Dental"/>
    <n v="4"/>
    <n v="4"/>
    <x v="3"/>
    <s v="user31@gmail.com"/>
  </r>
  <r>
    <s v="E032"/>
    <s v="Ms."/>
    <x v="31"/>
    <x v="1"/>
    <d v="1976-10-28T00:00:00"/>
    <n v="49"/>
    <x v="2"/>
    <x v="2"/>
    <s v="Sikh"/>
    <s v="Indian"/>
    <s v="Single"/>
    <s v="+918320525318"/>
    <d v="2005-02-10T00:00:00"/>
    <x v="1"/>
    <x v="3"/>
    <s v="Senior Officer"/>
    <s v="Non-Manager"/>
    <x v="2"/>
    <n v="69000"/>
    <s v="B"/>
    <n v="2300"/>
    <s v="None"/>
    <n v="8"/>
    <n v="2"/>
    <x v="0"/>
    <s v="user32@gmail.com"/>
  </r>
  <r>
    <s v="E033"/>
    <s v="Mr."/>
    <x v="32"/>
    <x v="0"/>
    <d v="1988-07-21T00:00:00"/>
    <n v="37"/>
    <x v="0"/>
    <x v="0"/>
    <s v="Muslim"/>
    <s v="Indian"/>
    <s v="Single"/>
    <s v="+918596861333"/>
    <d v="2007-07-13T00:00:00"/>
    <x v="0"/>
    <x v="0"/>
    <s v="Officer"/>
    <s v="Non-Manager"/>
    <x v="1"/>
    <n v="52000"/>
    <s v="C"/>
    <n v="2700"/>
    <s v="Health"/>
    <n v="0"/>
    <n v="3"/>
    <x v="1"/>
    <s v="user33@gmail.com"/>
  </r>
  <r>
    <s v="E034"/>
    <s v="Ms."/>
    <x v="33"/>
    <x v="1"/>
    <d v="1979-04-07T00:00:00"/>
    <n v="46"/>
    <x v="2"/>
    <x v="3"/>
    <s v="Muslim"/>
    <s v="Indian"/>
    <s v="Married"/>
    <s v="+917221643586"/>
    <d v="2006-06-11T00:00:00"/>
    <x v="1"/>
    <x v="1"/>
    <s v="Officer"/>
    <s v="Non-Manager"/>
    <x v="0"/>
    <n v="117000"/>
    <s v="D"/>
    <n v="1700"/>
    <s v="None"/>
    <n v="9"/>
    <n v="1"/>
    <x v="2"/>
    <s v="user34@gmail.com"/>
  </r>
  <r>
    <s v="E035"/>
    <s v="Mr."/>
    <x v="34"/>
    <x v="0"/>
    <d v="2006-08-17T00:00:00"/>
    <n v="19"/>
    <x v="4"/>
    <x v="1"/>
    <s v="Sikh"/>
    <s v="Indian"/>
    <s v="Married"/>
    <s v="+919729703694"/>
    <d v="2025-08-02T00:00:00"/>
    <x v="0"/>
    <x v="3"/>
    <s v="Officer"/>
    <s v="Non-Manager"/>
    <x v="2"/>
    <n v="100000"/>
    <s v="A"/>
    <n v="3000"/>
    <s v="Health"/>
    <n v="10"/>
    <n v="2"/>
    <x v="3"/>
    <s v="user35@gmail.com"/>
  </r>
  <r>
    <s v="E036"/>
    <s v="Ms."/>
    <x v="35"/>
    <x v="1"/>
    <d v="1990-01-19T00:00:00"/>
    <n v="36"/>
    <x v="0"/>
    <x v="2"/>
    <s v="Sikh"/>
    <s v="Indian"/>
    <s v="Single"/>
    <s v="+918353544377"/>
    <d v="2015-08-21T00:00:00"/>
    <x v="1"/>
    <x v="2"/>
    <s v="Staff"/>
    <s v="Non-Manager"/>
    <x v="1"/>
    <n v="96000"/>
    <s v="B"/>
    <n v="1400"/>
    <s v="None"/>
    <n v="3"/>
    <n v="3"/>
    <x v="4"/>
    <s v="user36@gmail.com"/>
  </r>
  <r>
    <s v="E037"/>
    <s v="Mr."/>
    <x v="36"/>
    <x v="0"/>
    <d v="1988-01-02T00:00:00"/>
    <n v="38"/>
    <x v="0"/>
    <x v="2"/>
    <s v="Christian"/>
    <s v="Indian"/>
    <s v="Single"/>
    <s v="+918643487357"/>
    <d v="2010-05-12T00:00:00"/>
    <x v="2"/>
    <x v="0"/>
    <s v="President"/>
    <s v="Non-Manager"/>
    <x v="0"/>
    <n v="143000"/>
    <s v="C"/>
    <n v="2200"/>
    <s v="Health + Dental"/>
    <n v="2"/>
    <n v="1"/>
    <x v="2"/>
    <s v="user37@gmail.com"/>
  </r>
  <r>
    <s v="E038"/>
    <s v="Ms."/>
    <x v="37"/>
    <x v="1"/>
    <d v="2000-10-27T00:00:00"/>
    <n v="25"/>
    <x v="3"/>
    <x v="2"/>
    <s v="Sikh"/>
    <s v="Indian"/>
    <s v="Married"/>
    <s v="+918354977364"/>
    <d v="2021-09-01T00:00:00"/>
    <x v="0"/>
    <x v="1"/>
    <s v="Manager"/>
    <s v="Manager"/>
    <x v="1"/>
    <n v="82000"/>
    <s v="A"/>
    <n v="2600"/>
    <s v="Health"/>
    <n v="5"/>
    <n v="2"/>
    <x v="0"/>
    <s v="user38@gmail.com"/>
  </r>
  <r>
    <s v="E039"/>
    <s v="Mr."/>
    <x v="38"/>
    <x v="0"/>
    <d v="1974-12-31T00:00:00"/>
    <n v="51"/>
    <x v="1"/>
    <x v="3"/>
    <s v="Muslim"/>
    <s v="Indian"/>
    <s v="Married"/>
    <s v="+919429012805"/>
    <d v="2001-12-18T00:00:00"/>
    <x v="1"/>
    <x v="2"/>
    <s v="Officer"/>
    <s v="Manager"/>
    <x v="2"/>
    <n v="75000"/>
    <s v="D"/>
    <n v="1800"/>
    <s v="None"/>
    <n v="1"/>
    <n v="3"/>
    <x v="1"/>
    <s v="user39@gmail.com"/>
  </r>
  <r>
    <s v="E040"/>
    <s v="Ms."/>
    <x v="39"/>
    <x v="1"/>
    <d v="1972-11-28T00:00:00"/>
    <n v="53"/>
    <x v="1"/>
    <x v="3"/>
    <s v="Christian"/>
    <s v="Indian"/>
    <s v="Married"/>
    <s v="+919687719726"/>
    <d v="2000-04-02T00:00:00"/>
    <x v="0"/>
    <x v="3"/>
    <s v="Staff"/>
    <s v="Non-Manager"/>
    <x v="0"/>
    <n v="109000"/>
    <s v="B"/>
    <n v="2100"/>
    <s v="Health"/>
    <n v="6"/>
    <n v="1"/>
    <x v="3"/>
    <s v="user40@gmail.com"/>
  </r>
  <r>
    <s v="E041"/>
    <s v="Mr."/>
    <x v="40"/>
    <x v="0"/>
    <d v="1978-12-16T00:00:00"/>
    <n v="47"/>
    <x v="2"/>
    <x v="2"/>
    <s v="Sikh"/>
    <s v="Indian"/>
    <s v="Married"/>
    <s v="+919392206761"/>
    <d v="2003-11-07T00:00:00"/>
    <x v="1"/>
    <x v="0"/>
    <s v="Staff"/>
    <s v="Non-Manager"/>
    <x v="1"/>
    <n v="91000"/>
    <s v="C"/>
    <n v="1300"/>
    <s v="None"/>
    <n v="7"/>
    <n v="2"/>
    <x v="4"/>
    <s v="user41@gmail.com"/>
  </r>
  <r>
    <s v="E042"/>
    <s v="Ms."/>
    <x v="41"/>
    <x v="1"/>
    <d v="1989-12-17T00:00:00"/>
    <n v="36"/>
    <x v="0"/>
    <x v="0"/>
    <s v="Sikh"/>
    <s v="Indian"/>
    <s v="Single"/>
    <s v="+919443394472"/>
    <d v="2012-09-01T00:00:00"/>
    <x v="2"/>
    <x v="2"/>
    <s v="President"/>
    <s v="Non-Manager"/>
    <x v="2"/>
    <n v="68000"/>
    <s v="A"/>
    <n v="2400"/>
    <s v="Health + Dental"/>
    <n v="4"/>
    <n v="3"/>
    <x v="2"/>
    <s v="user42@gmail.com"/>
  </r>
  <r>
    <s v="E043"/>
    <s v="Mr."/>
    <x v="42"/>
    <x v="0"/>
    <d v="1978-03-11T00:00:00"/>
    <n v="48"/>
    <x v="2"/>
    <x v="1"/>
    <s v="Hindu"/>
    <s v="Indian"/>
    <s v="Married"/>
    <s v="+916819492670"/>
    <d v="2004-07-04T00:00:00"/>
    <x v="0"/>
    <x v="1"/>
    <s v="Staff"/>
    <s v="Non-Manager"/>
    <x v="0"/>
    <n v="53000"/>
    <s v="B"/>
    <n v="2700"/>
    <s v="Health"/>
    <n v="8"/>
    <n v="1"/>
    <x v="0"/>
    <s v="user43@gmail.com"/>
  </r>
  <r>
    <s v="E044"/>
    <s v="Ms."/>
    <x v="43"/>
    <x v="1"/>
    <d v="1988-06-26T00:00:00"/>
    <n v="37"/>
    <x v="0"/>
    <x v="2"/>
    <s v="Sikh"/>
    <s v="Indian"/>
    <s v="Single"/>
    <s v="+916978202355"/>
    <d v="2014-02-02T00:00:00"/>
    <x v="1"/>
    <x v="3"/>
    <s v="Officer"/>
    <s v="Manager"/>
    <x v="1"/>
    <n v="116000"/>
    <s v="D"/>
    <n v="1900"/>
    <s v="None"/>
    <n v="2"/>
    <n v="2"/>
    <x v="1"/>
    <s v="user44@gmail.com"/>
  </r>
  <r>
    <s v="E045"/>
    <s v="Mr."/>
    <x v="44"/>
    <x v="0"/>
    <d v="2004-07-01T00:00:00"/>
    <n v="21"/>
    <x v="3"/>
    <x v="0"/>
    <s v="Hindu"/>
    <s v="Indian"/>
    <s v="Single"/>
    <s v="+919533079495"/>
    <d v="2025-07-14T00:00:00"/>
    <x v="0"/>
    <x v="0"/>
    <s v="Staff"/>
    <s v="Non-Manager"/>
    <x v="0"/>
    <n v="107000"/>
    <s v="C"/>
    <n v="3200"/>
    <s v="Health"/>
    <n v="3"/>
    <n v="3"/>
    <x v="4"/>
    <s v="user45@gmail.com"/>
  </r>
  <r>
    <s v="E046"/>
    <s v="Ms."/>
    <x v="45"/>
    <x v="1"/>
    <d v="1980-09-23T00:00:00"/>
    <n v="45"/>
    <x v="2"/>
    <x v="2"/>
    <s v="Christian"/>
    <s v="Indian"/>
    <s v="Married"/>
    <s v="+919985793249"/>
    <d v="2006-06-10T00:00:00"/>
    <x v="1"/>
    <x v="1"/>
    <s v="Manager"/>
    <s v="Non-Manager"/>
    <x v="2"/>
    <n v="93000"/>
    <s v="A"/>
    <n v="1500"/>
    <s v="None"/>
    <n v="5"/>
    <n v="1"/>
    <x v="3"/>
    <s v="user46@gmail.com"/>
  </r>
  <r>
    <s v="E047"/>
    <s v="Mr."/>
    <x v="46"/>
    <x v="0"/>
    <d v="1975-03-04T00:00:00"/>
    <n v="51"/>
    <x v="1"/>
    <x v="3"/>
    <s v="Muslim"/>
    <s v="Indian"/>
    <s v="Single"/>
    <s v="+917441925661"/>
    <d v="1999-02-11T00:00:00"/>
    <x v="0"/>
    <x v="3"/>
    <s v="Officer"/>
    <s v="Non-Manager"/>
    <x v="1"/>
    <n v="125000"/>
    <s v="B"/>
    <n v="2300"/>
    <s v="Health"/>
    <n v="1"/>
    <n v="2"/>
    <x v="2"/>
    <s v="user47@gmail.com"/>
  </r>
  <r>
    <s v="E048"/>
    <s v="Ms."/>
    <x v="47"/>
    <x v="1"/>
    <d v="1982-02-20T00:00:00"/>
    <n v="44"/>
    <x v="2"/>
    <x v="1"/>
    <s v="Hindu"/>
    <s v="Indian"/>
    <s v="Married"/>
    <s v="+918156793557"/>
    <d v="2002-11-21T00:00:00"/>
    <x v="2"/>
    <x v="2"/>
    <s v="Senior Executive"/>
    <s v="Non-Manager"/>
    <x v="0"/>
    <n v="86000"/>
    <s v="C"/>
    <n v="2600"/>
    <s v="Health + Dental"/>
    <n v="6"/>
    <n v="3"/>
    <x v="0"/>
    <s v="user48@gmail.com"/>
  </r>
  <r>
    <s v="E049"/>
    <s v="Mr."/>
    <x v="48"/>
    <x v="0"/>
    <d v="1974-12-01T00:00:00"/>
    <n v="51"/>
    <x v="1"/>
    <x v="1"/>
    <s v="Hindu"/>
    <s v="Indian"/>
    <s v="Married"/>
    <s v="+916242248105"/>
    <d v="2000-02-03T00:00:00"/>
    <x v="1"/>
    <x v="0"/>
    <s v="Staff"/>
    <s v="Non-Manager"/>
    <x v="2"/>
    <n v="64000"/>
    <s v="D"/>
    <n v="1600"/>
    <s v="None"/>
    <n v="7"/>
    <n v="1"/>
    <x v="1"/>
    <s v="user49@gmail.com"/>
  </r>
  <r>
    <s v="E050"/>
    <s v="Ms."/>
    <x v="49"/>
    <x v="1"/>
    <d v="1972-12-30T00:00:00"/>
    <n v="53"/>
    <x v="1"/>
    <x v="3"/>
    <s v="Hindu"/>
    <s v="Indian"/>
    <s v="Married"/>
    <s v="+919240660893"/>
    <d v="2000-09-15T00:00:00"/>
    <x v="0"/>
    <x v="1"/>
    <s v="Senior Executive"/>
    <s v="Non-Manager"/>
    <x v="1"/>
    <n v="120000"/>
    <s v="A"/>
    <n v="2200"/>
    <s v="Health"/>
    <n v="4"/>
    <n v="2"/>
    <x v="3"/>
    <s v="user50@gmail.com"/>
  </r>
  <r>
    <s v="E051"/>
    <s v="Mr."/>
    <x v="50"/>
    <x v="0"/>
    <d v="1978-09-08T00:00:00"/>
    <n v="47"/>
    <x v="2"/>
    <x v="2"/>
    <s v="Hindu"/>
    <s v="Indian"/>
    <s v="Single"/>
    <s v="+919682517096"/>
    <d v="2006-09-01T00:00:00"/>
    <x v="1"/>
    <x v="2"/>
    <s v="Staff"/>
    <s v="Non-Manager"/>
    <x v="0"/>
    <n v="97000"/>
    <s v="B"/>
    <n v="1100"/>
    <s v="None"/>
    <n v="8"/>
    <n v="3"/>
    <x v="4"/>
    <s v="user51@gmail.com"/>
  </r>
  <r>
    <s v="E052"/>
    <s v="Ms."/>
    <x v="51"/>
    <x v="1"/>
    <d v="1974-01-24T00:00:00"/>
    <n v="52"/>
    <x v="1"/>
    <x v="0"/>
    <s v="Muslim"/>
    <s v="Indian"/>
    <s v="Single"/>
    <s v="+918755236844"/>
    <d v="1997-12-18T00:00:00"/>
    <x v="0"/>
    <x v="3"/>
    <s v="Staff"/>
    <s v="Manager"/>
    <x v="1"/>
    <n v="103000"/>
    <s v="C"/>
    <n v="2500"/>
    <s v="Health"/>
    <n v="2"/>
    <n v="1"/>
    <x v="2"/>
    <s v="user52@gmail.com"/>
  </r>
  <r>
    <s v="E053"/>
    <s v="Mr."/>
    <x v="52"/>
    <x v="0"/>
    <d v="1977-03-03T00:00:00"/>
    <n v="49"/>
    <x v="2"/>
    <x v="2"/>
    <s v="Muslim"/>
    <s v="Indian"/>
    <s v="Single"/>
    <s v="+919571628276"/>
    <d v="2003-07-26T00:00:00"/>
    <x v="2"/>
    <x v="0"/>
    <s v="Staff"/>
    <s v="Non-Manager"/>
    <x v="2"/>
    <n v="71000"/>
    <s v="A"/>
    <n v="2800"/>
    <s v="Health + Dental"/>
    <n v="3"/>
    <n v="2"/>
    <x v="0"/>
    <s v="user53@gmail.com"/>
  </r>
  <r>
    <s v="E054"/>
    <s v="Ms."/>
    <x v="53"/>
    <x v="1"/>
    <d v="1986-09-28T00:00:00"/>
    <n v="39"/>
    <x v="0"/>
    <x v="1"/>
    <s v="Muslim"/>
    <s v="Indian"/>
    <s v="Single"/>
    <s v="+918713967638"/>
    <d v="2017-02-07T00:00:00"/>
    <x v="1"/>
    <x v="2"/>
    <s v="Manager"/>
    <s v="Non-Manager"/>
    <x v="0"/>
    <n v="83000"/>
    <s v="D"/>
    <n v="1700"/>
    <s v="None"/>
    <n v="5"/>
    <n v="3"/>
    <x v="1"/>
    <s v="user54@gmail.com"/>
  </r>
  <r>
    <s v="E055"/>
    <s v="Mr."/>
    <x v="54"/>
    <x v="0"/>
    <d v="1995-08-28T00:00:00"/>
    <n v="30"/>
    <x v="3"/>
    <x v="3"/>
    <s v="Muslim"/>
    <s v="Indian"/>
    <s v="Married"/>
    <s v="+918766486865"/>
    <d v="2013-11-26T00:00:00"/>
    <x v="0"/>
    <x v="1"/>
    <s v="Staff"/>
    <s v="Non-Manager"/>
    <x v="1"/>
    <n v="58000"/>
    <s v="B"/>
    <n v="3400"/>
    <s v="Health"/>
    <n v="1"/>
    <n v="1"/>
    <x v="2"/>
    <s v="user55@gmail.com"/>
  </r>
  <r>
    <s v="E056"/>
    <s v="Ms."/>
    <x v="55"/>
    <x v="1"/>
    <d v="1977-02-15T00:00:00"/>
    <n v="49"/>
    <x v="2"/>
    <x v="0"/>
    <s v="Muslim"/>
    <s v="Indian"/>
    <s v="Single"/>
    <s v="+919493305971"/>
    <d v="2005-10-02T00:00:00"/>
    <x v="1"/>
    <x v="3"/>
    <s v="Staff"/>
    <s v="Manager"/>
    <x v="2"/>
    <n v="111000"/>
    <s v="C"/>
    <n v="1400"/>
    <s v="None"/>
    <n v="6"/>
    <n v="2"/>
    <x v="3"/>
    <s v="user56@gmail.com"/>
  </r>
  <r>
    <s v="E057"/>
    <s v="Mr."/>
    <x v="56"/>
    <x v="0"/>
    <d v="1988-05-22T00:00:00"/>
    <n v="37"/>
    <x v="0"/>
    <x v="0"/>
    <s v="Sikh"/>
    <s v="Indian"/>
    <s v="Single"/>
    <s v="+917682619130"/>
    <d v="2015-04-10T00:00:00"/>
    <x v="0"/>
    <x v="0"/>
    <s v="Senior Officer"/>
    <s v="Non-Manager"/>
    <x v="0"/>
    <n v="90000"/>
    <s v="A"/>
    <n v="2300"/>
    <s v="Health"/>
    <n v="7"/>
    <n v="3"/>
    <x v="4"/>
    <s v="user57@gmail.com"/>
  </r>
  <r>
    <s v="E058"/>
    <s v="Ms."/>
    <x v="57"/>
    <x v="1"/>
    <d v="2004-11-10T00:00:00"/>
    <n v="21"/>
    <x v="3"/>
    <x v="3"/>
    <s v="Muslim"/>
    <s v="Indian"/>
    <s v="Single"/>
    <s v="+916968305777"/>
    <d v="2025-08-23T00:00:00"/>
    <x v="1"/>
    <x v="1"/>
    <s v="Officer"/>
    <s v="Non-Manager"/>
    <x v="1"/>
    <n v="140000"/>
    <s v="B"/>
    <n v="2600"/>
    <s v="None"/>
    <n v="4"/>
    <n v="1"/>
    <x v="0"/>
    <s v="user58@gmail.com"/>
  </r>
  <r>
    <s v="E059"/>
    <s v="Mr."/>
    <x v="58"/>
    <x v="0"/>
    <d v="2000-01-18T00:00:00"/>
    <n v="26"/>
    <x v="3"/>
    <x v="2"/>
    <s v="Hindu"/>
    <s v="Indian"/>
    <s v="Married"/>
    <s v="+918584268737"/>
    <d v="2021-06-12T00:00:00"/>
    <x v="2"/>
    <x v="3"/>
    <s v="Staff"/>
    <s v="Non-Manager"/>
    <x v="0"/>
    <n v="89000"/>
    <s v="D"/>
    <n v="1800"/>
    <s v="Health + Dental"/>
    <n v="8"/>
    <n v="2"/>
    <x v="1"/>
    <s v="user59@gmail.com"/>
  </r>
  <r>
    <s v="E060"/>
    <s v="Ms."/>
    <x v="59"/>
    <x v="1"/>
    <d v="1980-03-23T00:00:00"/>
    <n v="46"/>
    <x v="2"/>
    <x v="1"/>
    <s v="Hindu"/>
    <s v="Indian"/>
    <s v="Married"/>
    <s v="+916607854977"/>
    <d v="2003-10-07T00:00:00"/>
    <x v="0"/>
    <x v="2"/>
    <s v="Officer"/>
    <s v="Non-Manager"/>
    <x v="2"/>
    <n v="70000"/>
    <s v="C"/>
    <n v="2100"/>
    <s v="Health"/>
    <n v="11"/>
    <n v="3"/>
    <x v="2"/>
    <s v="user60@gmail.com"/>
  </r>
  <r>
    <s v="E061"/>
    <s v="Mr."/>
    <x v="60"/>
    <x v="0"/>
    <d v="1998-02-16T00:00:00"/>
    <n v="28"/>
    <x v="3"/>
    <x v="1"/>
    <s v="Sikh"/>
    <s v="Indian"/>
    <s v="Married"/>
    <s v="+917895074970"/>
    <d v="2020-04-02T00:00:00"/>
    <x v="1"/>
    <x v="0"/>
    <s v="Staff"/>
    <s v="Manager"/>
    <x v="1"/>
    <n v="51000"/>
    <s v="A"/>
    <n v="1200"/>
    <s v="None"/>
    <n v="12"/>
    <n v="5"/>
    <x v="4"/>
    <s v="user61@gmail.com"/>
  </r>
  <r>
    <s v="E062"/>
    <s v="Ms."/>
    <x v="61"/>
    <x v="1"/>
    <d v="1992-04-04T00:00:00"/>
    <n v="33"/>
    <x v="0"/>
    <x v="0"/>
    <s v="Christian"/>
    <s v="Indian"/>
    <s v="Single"/>
    <s v="+919632964230"/>
    <d v="2015-07-19T00:00:00"/>
    <x v="0"/>
    <x v="1"/>
    <s v="Executive"/>
    <s v="Non-Manager"/>
    <x v="0"/>
    <n v="118500"/>
    <s v="B"/>
    <n v="2400"/>
    <s v="Health"/>
    <n v="3"/>
    <n v="1"/>
    <x v="3"/>
    <s v="user62@gmail.com"/>
  </r>
  <r>
    <s v="E063"/>
    <s v="Mr."/>
    <x v="62"/>
    <x v="0"/>
    <d v="1995-11-08T00:00:00"/>
    <n v="30"/>
    <x v="3"/>
    <x v="2"/>
    <s v="Hindu"/>
    <s v="Indian"/>
    <s v="Married"/>
    <s v="+919415942787"/>
    <d v="2014-12-03T00:00:00"/>
    <x v="1"/>
    <x v="2"/>
    <s v="Staff"/>
    <s v="Non-Manager"/>
    <x v="2"/>
    <n v="104000"/>
    <s v="C"/>
    <n v="2700"/>
    <s v="None"/>
    <n v="2"/>
    <n v="2"/>
    <x v="0"/>
    <s v="user63@gmail.com"/>
  </r>
  <r>
    <s v="E064"/>
    <s v="Ms."/>
    <x v="63"/>
    <x v="1"/>
    <d v="1979-04-22T00:00:00"/>
    <n v="46"/>
    <x v="2"/>
    <x v="3"/>
    <s v="Muslim"/>
    <s v="Indian"/>
    <s v="Married"/>
    <s v="+919390960095"/>
    <d v="2003-08-04T00:00:00"/>
    <x v="0"/>
    <x v="3"/>
    <s v="Staff"/>
    <s v="Non-Manager"/>
    <x v="1"/>
    <n v="98000"/>
    <s v="D"/>
    <n v="1900"/>
    <s v="Health"/>
    <n v="5"/>
    <n v="3"/>
    <x v="1"/>
    <s v="user64@gmail.com"/>
  </r>
  <r>
    <s v="E065"/>
    <s v="Mr."/>
    <x v="64"/>
    <x v="0"/>
    <d v="1992-02-16T00:00:00"/>
    <n v="34"/>
    <x v="0"/>
    <x v="3"/>
    <s v="Christian"/>
    <s v="Indian"/>
    <s v="Divorced"/>
    <s v="+916487724620"/>
    <d v="2015-07-11T00:00:00"/>
    <x v="2"/>
    <x v="0"/>
    <s v="Staff"/>
    <s v="Non-Manager"/>
    <x v="0"/>
    <n v="155000"/>
    <s v="A"/>
    <n v="3100"/>
    <s v="Health + Dental"/>
    <n v="1"/>
    <n v="1"/>
    <x v="2"/>
    <s v="user65@gmail.com"/>
  </r>
  <r>
    <s v="E066"/>
    <s v="Ms."/>
    <x v="65"/>
    <x v="1"/>
    <d v="1979-08-23T00:00:00"/>
    <n v="46"/>
    <x v="2"/>
    <x v="2"/>
    <s v="Muslim"/>
    <s v="Indian"/>
    <s v="Single"/>
    <s v="+917436095309"/>
    <d v="2003-02-17T00:00:00"/>
    <x v="1"/>
    <x v="2"/>
    <s v="Staff"/>
    <s v="Non-Manager"/>
    <x v="1"/>
    <n v="81000"/>
    <s v="B"/>
    <n v="1500"/>
    <s v="None"/>
    <n v="6"/>
    <n v="2"/>
    <x v="3"/>
    <s v="user66@gmail.com"/>
  </r>
  <r>
    <s v="E067"/>
    <s v="Mr."/>
    <x v="66"/>
    <x v="0"/>
    <d v="1993-04-14T00:00:00"/>
    <n v="32"/>
    <x v="0"/>
    <x v="1"/>
    <s v="Sikh"/>
    <s v="Indian"/>
    <s v="Married"/>
    <s v="+919446640825"/>
    <d v="2015-03-17T00:00:00"/>
    <x v="0"/>
    <x v="1"/>
    <s v="Staff"/>
    <s v="Non-Manager"/>
    <x v="2"/>
    <n v="74000"/>
    <s v="C"/>
    <n v="2200"/>
    <s v="Health"/>
    <n v="7"/>
    <n v="3"/>
    <x v="4"/>
    <s v="user67@gmail.com"/>
  </r>
  <r>
    <s v="E068"/>
    <s v="Ms."/>
    <x v="67"/>
    <x v="1"/>
    <d v="1998-06-16T00:00:00"/>
    <n v="27"/>
    <x v="3"/>
    <x v="0"/>
    <s v="Sikh"/>
    <s v="Indian"/>
    <s v="Married"/>
    <s v="+918633966626"/>
    <d v="2023-06-25T00:00:00"/>
    <x v="1"/>
    <x v="3"/>
    <s v="Officer"/>
    <s v="Non-Manager"/>
    <x v="0"/>
    <n v="108500"/>
    <s v="A"/>
    <n v="2600"/>
    <s v="None"/>
    <n v="4"/>
    <n v="1"/>
    <x v="2"/>
    <s v="user68@gmail.com"/>
  </r>
  <r>
    <s v="E069"/>
    <s v="Mr."/>
    <x v="68"/>
    <x v="0"/>
    <d v="2006-02-21T00:00:00"/>
    <n v="20"/>
    <x v="4"/>
    <x v="0"/>
    <s v="Christian"/>
    <s v="Indian"/>
    <s v="Single"/>
    <s v="+917389900939"/>
    <d v="2025-01-08T00:00:00"/>
    <x v="0"/>
    <x v="0"/>
    <s v="Staff"/>
    <s v="Non-Manager"/>
    <x v="1"/>
    <n v="92000"/>
    <s v="D"/>
    <n v="1700"/>
    <s v="Health"/>
    <n v="8"/>
    <n v="2"/>
    <x v="0"/>
    <s v="user69@gmail.com"/>
  </r>
  <r>
    <s v="E070"/>
    <s v="Ms."/>
    <x v="69"/>
    <x v="1"/>
    <d v="1999-04-28T00:00:00"/>
    <n v="26"/>
    <x v="3"/>
    <x v="1"/>
    <s v="Sikh"/>
    <s v="Indian"/>
    <s v="Single"/>
    <s v="+918462749227"/>
    <d v="2022-11-06T00:00:00"/>
    <x v="2"/>
    <x v="1"/>
    <s v="Staff"/>
    <s v="Non-Manager"/>
    <x v="2"/>
    <n v="67000"/>
    <s v="B"/>
    <n v="2300"/>
    <s v="Health + Dental"/>
    <n v="2"/>
    <n v="3"/>
    <x v="1"/>
    <s v="user70@gmail.com"/>
  </r>
  <r>
    <s v="E071"/>
    <s v="Mr."/>
    <x v="70"/>
    <x v="0"/>
    <d v="1974-09-17T00:00:00"/>
    <n v="51"/>
    <x v="1"/>
    <x v="3"/>
    <s v="Sikh"/>
    <s v="Indian"/>
    <s v="Single"/>
    <s v="+916834433699"/>
    <d v="1999-10-12T00:00:00"/>
    <x v="1"/>
    <x v="3"/>
    <s v="Staff"/>
    <s v="Non-Manager"/>
    <x v="0"/>
    <n v="55000"/>
    <s v="C"/>
    <n v="1300"/>
    <s v="None"/>
    <n v="3"/>
    <n v="1"/>
    <x v="3"/>
    <s v="user71@gmail.com"/>
  </r>
  <r>
    <s v="E072"/>
    <s v="Ms."/>
    <x v="71"/>
    <x v="1"/>
    <d v="1980-04-29T00:00:00"/>
    <n v="45"/>
    <x v="2"/>
    <x v="0"/>
    <s v="Hindu"/>
    <s v="Indian"/>
    <s v="Single"/>
    <s v="+918848274933"/>
    <d v="2004-03-29T00:00:00"/>
    <x v="0"/>
    <x v="2"/>
    <s v="Staff"/>
    <s v="Non-Manager"/>
    <x v="1"/>
    <n v="117500"/>
    <s v="A"/>
    <n v="2500"/>
    <s v="Health"/>
    <n v="5"/>
    <n v="2"/>
    <x v="4"/>
    <s v="user72@gmail.com"/>
  </r>
  <r>
    <s v="E073"/>
    <s v="Mr."/>
    <x v="72"/>
    <x v="0"/>
    <d v="1992-01-17T00:00:00"/>
    <n v="34"/>
    <x v="0"/>
    <x v="2"/>
    <s v="Hindu"/>
    <s v="Indian"/>
    <s v="Single"/>
    <s v="+917518778140"/>
    <d v="2013-03-26T00:00:00"/>
    <x v="1"/>
    <x v="0"/>
    <s v="Manager"/>
    <s v="Manager"/>
    <x v="0"/>
    <n v="106000"/>
    <s v="B"/>
    <n v="2800"/>
    <s v="None"/>
    <n v="1"/>
    <n v="3"/>
    <x v="2"/>
    <s v="user73@gmail.com"/>
  </r>
  <r>
    <s v="E074"/>
    <s v="Ms."/>
    <x v="73"/>
    <x v="1"/>
    <d v="1972-04-17T00:00:00"/>
    <n v="53"/>
    <x v="1"/>
    <x v="1"/>
    <s v="Sikh"/>
    <s v="Indian"/>
    <s v="Single"/>
    <s v="+919778087054"/>
    <d v="1997-10-03T00:00:00"/>
    <x v="0"/>
    <x v="1"/>
    <s v="Staff"/>
    <s v="Non-Manager"/>
    <x v="2"/>
    <n v="94000"/>
    <s v="D"/>
    <n v="1600"/>
    <s v="Health"/>
    <n v="6"/>
    <n v="1"/>
    <x v="0"/>
    <s v="user74@gmail.com"/>
  </r>
  <r>
    <s v="E075"/>
    <s v="Mr."/>
    <x v="74"/>
    <x v="0"/>
    <d v="2003-05-20T00:00:00"/>
    <n v="22"/>
    <x v="3"/>
    <x v="3"/>
    <s v="Sikh"/>
    <s v="Indian"/>
    <s v="Single"/>
    <s v="+916903473270"/>
    <d v="2023-06-20T00:00:00"/>
    <x v="1"/>
    <x v="2"/>
    <s v="Staff"/>
    <s v="Non-Manager"/>
    <x v="1"/>
    <n v="132000"/>
    <s v="C"/>
    <n v="3200"/>
    <s v="None"/>
    <n v="7"/>
    <n v="2"/>
    <x v="1"/>
    <s v="user75@gmail.com"/>
  </r>
  <r>
    <s v="E076"/>
    <s v="Ms."/>
    <x v="75"/>
    <x v="1"/>
    <d v="1994-05-11T00:00:00"/>
    <n v="31"/>
    <x v="0"/>
    <x v="0"/>
    <s v="Christian"/>
    <s v="Indian"/>
    <s v="Single"/>
    <s v="+918715952913"/>
    <d v="2013-07-31T00:00:00"/>
    <x v="2"/>
    <x v="3"/>
    <s v="Staff"/>
    <s v="Non-Manager"/>
    <x v="0"/>
    <n v="88000"/>
    <s v="A"/>
    <n v="1400"/>
    <s v="Health + Dental"/>
    <n v="4"/>
    <n v="3"/>
    <x v="4"/>
    <s v="user76@gmail.com"/>
  </r>
  <r>
    <s v="E077"/>
    <s v="Mr."/>
    <x v="76"/>
    <x v="0"/>
    <d v="1976-02-14T00:00:00"/>
    <n v="50"/>
    <x v="2"/>
    <x v="0"/>
    <s v="Muslim"/>
    <s v="Indian"/>
    <s v="Single"/>
    <s v="+917128797412"/>
    <d v="1997-10-31T00:00:00"/>
    <x v="0"/>
    <x v="0"/>
    <s v="Staff"/>
    <s v="Manager"/>
    <x v="2"/>
    <n v="65000"/>
    <s v="B"/>
    <n v="2100"/>
    <s v="Health"/>
    <n v="8"/>
    <n v="1"/>
    <x v="3"/>
    <s v="user77@gmail.com"/>
  </r>
  <r>
    <s v="E078"/>
    <s v="Ms."/>
    <x v="77"/>
    <x v="1"/>
    <d v="1971-07-04T00:00:00"/>
    <n v="54"/>
    <x v="1"/>
    <x v="1"/>
    <s v="Muslim"/>
    <s v="Indian"/>
    <s v="Single"/>
    <s v="+919644547187"/>
    <d v="1996-01-16T00:00:00"/>
    <x v="1"/>
    <x v="2"/>
    <s v="Staff"/>
    <s v="Non-Manager"/>
    <x v="1"/>
    <n v="119500"/>
    <s v="C"/>
    <n v="2600"/>
    <s v="None"/>
    <n v="2"/>
    <n v="2"/>
    <x v="2"/>
    <s v="user78@gmail.com"/>
  </r>
  <r>
    <s v="E079"/>
    <s v="Mr."/>
    <x v="78"/>
    <x v="0"/>
    <d v="1999-03-22T00:00:00"/>
    <n v="27"/>
    <x v="3"/>
    <x v="0"/>
    <s v="Christian"/>
    <s v="Indian"/>
    <s v="Married"/>
    <s v="+916237379202"/>
    <d v="2021-05-25T00:00:00"/>
    <x v="0"/>
    <x v="1"/>
    <s v="Officer"/>
    <s v="Non-Manager"/>
    <x v="0"/>
    <n v="96000"/>
    <s v="D"/>
    <n v="1800"/>
    <s v="Health"/>
    <n v="3"/>
    <n v="3"/>
    <x v="0"/>
    <s v="user79@gmail.com"/>
  </r>
  <r>
    <s v="E080"/>
    <s v="Ms."/>
    <x v="79"/>
    <x v="1"/>
    <d v="1972-05-03T00:00:00"/>
    <n v="53"/>
    <x v="1"/>
    <x v="2"/>
    <s v="Muslim"/>
    <s v="Indian"/>
    <s v="Single"/>
    <s v="+919794314997"/>
    <d v="2000-05-07T00:00:00"/>
    <x v="1"/>
    <x v="3"/>
    <s v="Manager"/>
    <s v="Non-Manager"/>
    <x v="1"/>
    <n v="102500"/>
    <s v="A"/>
    <n v="2200"/>
    <s v="None"/>
    <n v="5"/>
    <n v="1"/>
    <x v="1"/>
    <s v="user80@gmail.com"/>
  </r>
  <r>
    <s v="E081"/>
    <s v="Mr."/>
    <x v="80"/>
    <x v="0"/>
    <d v="1979-11-12T00:00:00"/>
    <n v="46"/>
    <x v="2"/>
    <x v="0"/>
    <s v="Hindu"/>
    <s v="Indian"/>
    <s v="Married"/>
    <s v="+916437441003"/>
    <d v="2003-06-12T00:00:00"/>
    <x v="0"/>
    <x v="0"/>
    <s v="Staff"/>
    <s v="Non-Manager"/>
    <x v="2"/>
    <n v="72000"/>
    <s v="B"/>
    <n v="1100"/>
    <s v="Health"/>
    <n v="1"/>
    <n v="2"/>
    <x v="3"/>
    <s v="user81@gmail.com"/>
  </r>
  <r>
    <s v="E082"/>
    <s v="Ms."/>
    <x v="81"/>
    <x v="1"/>
    <d v="2004-08-29T00:00:00"/>
    <n v="21"/>
    <x v="3"/>
    <x v="2"/>
    <s v="Sikh"/>
    <s v="Indian"/>
    <s v="Married"/>
    <s v="+916991239288"/>
    <d v="2022-10-26T00:00:00"/>
    <x v="2"/>
    <x v="1"/>
    <s v="Manager"/>
    <s v="Non-Manager"/>
    <x v="0"/>
    <n v="85000"/>
    <s v="C"/>
    <n v="2400"/>
    <s v="Health + Dental"/>
    <n v="6"/>
    <n v="3"/>
    <x v="4"/>
    <s v="user82@gmail.com"/>
  </r>
  <r>
    <s v="E083"/>
    <s v="Mr."/>
    <x v="82"/>
    <x v="0"/>
    <d v="1984-02-06T00:00:00"/>
    <n v="42"/>
    <x v="2"/>
    <x v="3"/>
    <s v="Muslim"/>
    <s v="Indian"/>
    <s v="Married"/>
    <s v="+917157927618"/>
    <d v="2006-04-02T00:00:00"/>
    <x v="1"/>
    <x v="3"/>
    <s v="Staff"/>
    <s v="Manager"/>
    <x v="1"/>
    <n v="59000"/>
    <s v="A"/>
    <n v="2700"/>
    <s v="None"/>
    <n v="7"/>
    <n v="1"/>
    <x v="2"/>
    <s v="user83@gmail.com"/>
  </r>
  <r>
    <s v="E084"/>
    <s v="Ms."/>
    <x v="83"/>
    <x v="1"/>
    <d v="1993-08-15T00:00:00"/>
    <n v="32"/>
    <x v="0"/>
    <x v="1"/>
    <s v="Muslim"/>
    <s v="Indian"/>
    <s v="Single"/>
    <s v="+918490593396"/>
    <d v="2015-08-09T00:00:00"/>
    <x v="0"/>
    <x v="2"/>
    <s v="Officer"/>
    <s v="Non-Manager"/>
    <x v="2"/>
    <n v="113000"/>
    <s v="D"/>
    <n v="1900"/>
    <s v="Health"/>
    <n v="4"/>
    <n v="2"/>
    <x v="0"/>
    <s v="user84@gmail.com"/>
  </r>
  <r>
    <s v="E085"/>
    <s v="Mr."/>
    <x v="84"/>
    <x v="0"/>
    <d v="1996-08-08T00:00:00"/>
    <n v="29"/>
    <x v="3"/>
    <x v="1"/>
    <s v="Sikh"/>
    <s v="Indian"/>
    <s v="Married"/>
    <s v="+916488514614"/>
    <d v="2024-10-18T00:00:00"/>
    <x v="1"/>
    <x v="0"/>
    <s v="Staff"/>
    <s v="Non-Manager"/>
    <x v="0"/>
    <n v="91000"/>
    <s v="B"/>
    <n v="3000"/>
    <s v="None"/>
    <n v="8"/>
    <n v="3"/>
    <x v="1"/>
    <s v="user85@gmail.com"/>
  </r>
  <r>
    <s v="E086"/>
    <s v="Ms."/>
    <x v="85"/>
    <x v="1"/>
    <d v="1994-02-22T00:00:00"/>
    <n v="32"/>
    <x v="0"/>
    <x v="3"/>
    <s v="Hindu"/>
    <s v="Indian"/>
    <s v="Married"/>
    <s v="+916373084061"/>
    <d v="2015-10-06T00:00:00"/>
    <x v="0"/>
    <x v="1"/>
    <s v="Staff"/>
    <s v="Non-Manager"/>
    <x v="1"/>
    <n v="145000"/>
    <s v="C"/>
    <n v="1500"/>
    <s v="Health"/>
    <n v="13"/>
    <n v="1"/>
    <x v="2"/>
    <s v="user86@gmail.com"/>
  </r>
  <r>
    <s v="E087"/>
    <s v="Mr."/>
    <x v="86"/>
    <x v="0"/>
    <d v="1974-07-27T00:00:00"/>
    <n v="51"/>
    <x v="1"/>
    <x v="2"/>
    <s v="Sikh"/>
    <s v="Indian"/>
    <s v="Single"/>
    <s v="+919130692409"/>
    <d v="1995-05-19T00:00:00"/>
    <x v="2"/>
    <x v="2"/>
    <s v="Staff"/>
    <s v="Non-Manager"/>
    <x v="0"/>
    <n v="87000"/>
    <s v="A"/>
    <n v="2300"/>
    <s v="Health + Dental"/>
    <n v="14"/>
    <n v="2"/>
    <x v="3"/>
    <s v="user87@gmail.com"/>
  </r>
  <r>
    <s v="E088"/>
    <s v="Ms."/>
    <x v="87"/>
    <x v="1"/>
    <d v="1988-01-09T00:00:00"/>
    <n v="38"/>
    <x v="0"/>
    <x v="0"/>
    <s v="Hindu"/>
    <s v="Indian"/>
    <s v="Married"/>
    <s v="+919957963183"/>
    <d v="2008-05-02T00:00:00"/>
    <x v="1"/>
    <x v="3"/>
    <s v="Staff"/>
    <s v="Non-Manager"/>
    <x v="2"/>
    <n v="68000"/>
    <s v="B"/>
    <n v="2600"/>
    <s v="None"/>
    <n v="3"/>
    <n v="3"/>
    <x v="4"/>
    <s v="user88@gmail.com"/>
  </r>
  <r>
    <s v="E089"/>
    <s v="Mr."/>
    <x v="88"/>
    <x v="0"/>
    <d v="1978-12-08T00:00:00"/>
    <n v="47"/>
    <x v="2"/>
    <x v="3"/>
    <s v="Muslim"/>
    <s v="Indian"/>
    <s v="Single"/>
    <s v="+916323926768"/>
    <d v="2002-06-12T00:00:00"/>
    <x v="0"/>
    <x v="0"/>
    <s v="Staff"/>
    <s v="Non-Manager"/>
    <x v="1"/>
    <n v="52000"/>
    <s v="D"/>
    <n v="1700"/>
    <s v="Health"/>
    <n v="2"/>
    <n v="1"/>
    <x v="0"/>
    <s v="user89@gmail.com"/>
  </r>
  <r>
    <s v="E090"/>
    <s v="Ms."/>
    <x v="89"/>
    <x v="1"/>
    <d v="1977-12-09T00:00:00"/>
    <n v="48"/>
    <x v="2"/>
    <x v="0"/>
    <s v="Hindu"/>
    <s v="Indian"/>
    <s v="Married"/>
    <s v="+919965110358"/>
    <d v="2004-06-08T00:00:00"/>
    <x v="1"/>
    <x v="2"/>
    <s v="Staff"/>
    <s v="Non-Manager"/>
    <x v="0"/>
    <n v="116500"/>
    <s v="C"/>
    <n v="2100"/>
    <s v="None"/>
    <n v="5"/>
    <n v="2"/>
    <x v="1"/>
    <s v="user90@gmail.com"/>
  </r>
  <r>
    <s v="E091"/>
    <s v="Mr."/>
    <x v="90"/>
    <x v="0"/>
    <d v="1973-05-03T00:00:00"/>
    <n v="52"/>
    <x v="1"/>
    <x v="1"/>
    <s v="Christian"/>
    <s v="Indian"/>
    <s v="Single"/>
    <s v="+916510902458"/>
    <d v="1999-06-25T00:00:00"/>
    <x v="0"/>
    <x v="1"/>
    <s v="President"/>
    <s v="Non-Manager"/>
    <x v="2"/>
    <n v="105000"/>
    <s v="A"/>
    <n v="1200"/>
    <s v="Health"/>
    <n v="1"/>
    <n v="4"/>
    <x v="2"/>
    <s v="user91@gmail.com"/>
  </r>
  <r>
    <s v="E092"/>
    <s v="Ms."/>
    <x v="91"/>
    <x v="1"/>
    <d v="1994-04-23T00:00:00"/>
    <n v="31"/>
    <x v="0"/>
    <x v="2"/>
    <s v="Hindu"/>
    <s v="Indian"/>
    <s v="Single"/>
    <s v="+918760893057"/>
    <d v="2018-11-24T00:00:00"/>
    <x v="1"/>
    <x v="3"/>
    <s v="Manager"/>
    <s v="Non-Manager"/>
    <x v="1"/>
    <n v="97000"/>
    <s v="B"/>
    <n v="2500"/>
    <s v="None"/>
    <n v="6"/>
    <n v="1"/>
    <x v="4"/>
    <s v="user92@gmail.com"/>
  </r>
  <r>
    <s v="E093"/>
    <s v="Mr."/>
    <x v="92"/>
    <x v="0"/>
    <d v="1997-05-05T00:00:00"/>
    <n v="28"/>
    <x v="3"/>
    <x v="0"/>
    <s v="Hindu"/>
    <s v="Indian"/>
    <s v="Single"/>
    <s v="+918502610208"/>
    <d v="2023-10-23T00:00:00"/>
    <x v="2"/>
    <x v="0"/>
    <s v="Senior Officer"/>
    <s v="Non-Manager"/>
    <x v="0"/>
    <n v="138000"/>
    <s v="C"/>
    <n v="2800"/>
    <s v="Health + Dental"/>
    <n v="7"/>
    <n v="2"/>
    <x v="3"/>
    <s v="user93@gmail.com"/>
  </r>
  <r>
    <s v="E094"/>
    <s v="Ms."/>
    <x v="93"/>
    <x v="1"/>
    <d v="1996-11-19T00:00:00"/>
    <n v="29"/>
    <x v="3"/>
    <x v="2"/>
    <s v="Sikh"/>
    <s v="Indian"/>
    <s v="Married"/>
    <s v="+917877746068"/>
    <d v="2018-01-06T00:00:00"/>
    <x v="0"/>
    <x v="1"/>
    <s v="Staff"/>
    <s v="Non-Manager"/>
    <x v="1"/>
    <n v="80000"/>
    <s v="D"/>
    <n v="1600"/>
    <s v="Health"/>
    <n v="4"/>
    <n v="3"/>
    <x v="0"/>
    <s v="user94@gmail.com"/>
  </r>
  <r>
    <s v="E095"/>
    <s v="Mr."/>
    <x v="94"/>
    <x v="0"/>
    <d v="2006-03-18T00:00:00"/>
    <n v="20"/>
    <x v="4"/>
    <x v="3"/>
    <s v="Sikh"/>
    <s v="Indian"/>
    <s v="Single"/>
    <s v="+919664426388"/>
    <d v="2025-12-04T00:00:00"/>
    <x v="1"/>
    <x v="3"/>
    <s v="President"/>
    <s v="Non-Manager"/>
    <x v="2"/>
    <n v="76000"/>
    <s v="A"/>
    <n v="3300"/>
    <s v="None"/>
    <n v="8"/>
    <n v="1"/>
    <x v="1"/>
    <s v="user95@gmail.com"/>
  </r>
  <r>
    <s v="E096"/>
    <s v="Ms."/>
    <x v="95"/>
    <x v="1"/>
    <d v="1995-10-02T00:00:00"/>
    <n v="30"/>
    <x v="3"/>
    <x v="1"/>
    <s v="Muslim"/>
    <s v="Indian"/>
    <s v="Single"/>
    <s v="+918858012449"/>
    <d v="2014-04-26T00:00:00"/>
    <x v="0"/>
    <x v="2"/>
    <s v="President"/>
    <s v="Non-Manager"/>
    <x v="0"/>
    <n v="109500"/>
    <s v="B"/>
    <n v="1400"/>
    <s v="Health"/>
    <n v="2"/>
    <n v="2"/>
    <x v="2"/>
    <s v="user96@gmail.com"/>
  </r>
  <r>
    <s v="E097"/>
    <s v="Mr."/>
    <x v="96"/>
    <x v="0"/>
    <d v="1974-05-05T00:00:00"/>
    <n v="51"/>
    <x v="1"/>
    <x v="1"/>
    <s v="Muslim"/>
    <s v="Indian"/>
    <s v="Single"/>
    <s v="+917197730357"/>
    <d v="1999-08-09T00:00:00"/>
    <x v="1"/>
    <x v="0"/>
    <s v="Staff"/>
    <s v="Non-Manager"/>
    <x v="1"/>
    <n v="93000"/>
    <s v="C"/>
    <n v="2200"/>
    <s v="None"/>
    <n v="3"/>
    <n v="3"/>
    <x v="3"/>
    <s v="user97@gmail.com"/>
  </r>
  <r>
    <s v="E098"/>
    <s v="Ms."/>
    <x v="97"/>
    <x v="1"/>
    <d v="1987-04-01T00:00:00"/>
    <n v="39"/>
    <x v="0"/>
    <x v="3"/>
    <s v="Muslim"/>
    <s v="Indian"/>
    <s v="Single"/>
    <s v="+916435431548"/>
    <d v="2009-12-06T00:00:00"/>
    <x v="0"/>
    <x v="1"/>
    <s v="Officer"/>
    <s v="Manager"/>
    <x v="2"/>
    <n v="69000"/>
    <s v="A"/>
    <n v="2600"/>
    <s v="Health"/>
    <n v="5"/>
    <n v="1"/>
    <x v="4"/>
    <s v="user98@gmail.com"/>
  </r>
  <r>
    <s v="E099"/>
    <s v="Mr."/>
    <x v="98"/>
    <x v="0"/>
    <d v="2006-10-24T00:00:00"/>
    <n v="19"/>
    <x v="4"/>
    <x v="2"/>
    <s v="Muslim"/>
    <s v="Indian"/>
    <s v="Single"/>
    <s v="+918522543298"/>
    <d v="2025-09-04T00:00:00"/>
    <x v="2"/>
    <x v="2"/>
    <s v="Staff"/>
    <s v="Non-Manager"/>
    <x v="0"/>
    <n v="54000"/>
    <s v="D"/>
    <n v="1800"/>
    <s v="Health + Dental"/>
    <n v="1"/>
    <n v="2"/>
    <x v="2"/>
    <s v="user99@gmail.com"/>
  </r>
  <r>
    <s v="E100"/>
    <s v="Ms."/>
    <x v="99"/>
    <x v="1"/>
    <d v="2002-06-14T00:00:00"/>
    <n v="23"/>
    <x v="3"/>
    <x v="1"/>
    <s v="Muslim"/>
    <s v="Indian"/>
    <s v="Single"/>
    <s v="+919812270932"/>
    <d v="2022-05-05T00:00:00"/>
    <x v="1"/>
    <x v="3"/>
    <s v="Officer"/>
    <s v="Non-Manager"/>
    <x v="1"/>
    <n v="118200"/>
    <s v="B"/>
    <n v="2300"/>
    <s v="None"/>
    <n v="6"/>
    <n v="3"/>
    <x v="0"/>
    <s v="user100@gmail.com"/>
  </r>
  <r>
    <s v="E101"/>
    <s v="Mr."/>
    <x v="100"/>
    <x v="0"/>
    <d v="1991-12-06T00:00:00"/>
    <n v="34"/>
    <x v="0"/>
    <x v="1"/>
    <s v="Muslim"/>
    <s v="Indian"/>
    <s v="Single"/>
    <s v="+917226325091"/>
    <d v="2015-06-30T00:00:00"/>
    <x v="0"/>
    <x v="0"/>
    <s v="Executive"/>
    <s v="Non-Manager"/>
    <x v="0"/>
    <n v="107500"/>
    <s v="C"/>
    <n v="1300"/>
    <s v="Health"/>
    <n v="7"/>
    <n v="1"/>
    <x v="1"/>
    <s v="user101@gmail.com"/>
  </r>
  <r>
    <s v="E102"/>
    <s v="Ms."/>
    <x v="101"/>
    <x v="1"/>
    <d v="1972-12-08T00:00:00"/>
    <n v="53"/>
    <x v="1"/>
    <x v="0"/>
    <s v="Muslim"/>
    <s v="Indian"/>
    <s v="Single"/>
    <s v="+917254536114"/>
    <d v="1999-01-10T00:00:00"/>
    <x v="1"/>
    <x v="2"/>
    <s v="Manager"/>
    <s v="Non-Manager"/>
    <x v="2"/>
    <n v="95000"/>
    <s v="A"/>
    <n v="2400"/>
    <s v="None"/>
    <n v="4"/>
    <n v="2"/>
    <x v="3"/>
    <s v="user102@gmail.com"/>
  </r>
  <r>
    <s v="E103"/>
    <s v="Mr."/>
    <x v="102"/>
    <x v="0"/>
    <d v="2001-07-23T00:00:00"/>
    <n v="24"/>
    <x v="3"/>
    <x v="3"/>
    <s v="Hindu"/>
    <s v="Indian"/>
    <s v="Single"/>
    <s v="+917446995378"/>
    <d v="2021-03-19T00:00:00"/>
    <x v="0"/>
    <x v="1"/>
    <s v="Officer"/>
    <s v="Non-Manager"/>
    <x v="1"/>
    <n v="128000"/>
    <s v="B"/>
    <n v="2700"/>
    <s v="Health"/>
    <n v="8"/>
    <n v="3"/>
    <x v="4"/>
    <s v="user103@gmail.com"/>
  </r>
  <r>
    <s v="E104"/>
    <s v="Ms."/>
    <x v="103"/>
    <x v="1"/>
    <d v="1982-06-07T00:00:00"/>
    <n v="43"/>
    <x v="2"/>
    <x v="1"/>
    <s v="Hindu"/>
    <s v="Indian"/>
    <s v="Single"/>
    <s v="+916201256874"/>
    <d v="2005-11-27T00:00:00"/>
    <x v="1"/>
    <x v="3"/>
    <s v="Staff"/>
    <s v="Non-Manager"/>
    <x v="0"/>
    <n v="89000"/>
    <s v="D"/>
    <n v="1900"/>
    <s v="None"/>
    <n v="0"/>
    <n v="1"/>
    <x v="2"/>
    <s v="user104@gmail.com"/>
  </r>
  <r>
    <s v="E105"/>
    <s v="Mr."/>
    <x v="104"/>
    <x v="0"/>
    <d v="2002-02-04T00:00:00"/>
    <n v="24"/>
    <x v="3"/>
    <x v="1"/>
    <s v="Christian"/>
    <s v="Indian"/>
    <s v="Married"/>
    <s v="+916925604585"/>
    <d v="2025-05-28T00:00:00"/>
    <x v="2"/>
    <x v="0"/>
    <s v="Staff"/>
    <s v="Non-Manager"/>
    <x v="2"/>
    <n v="66000"/>
    <s v="C"/>
    <n v="3200"/>
    <s v="Health + Dental"/>
    <n v="2"/>
    <n v="2"/>
    <x v="0"/>
    <s v="user105@gmail.com"/>
  </r>
  <r>
    <s v="E106"/>
    <s v="Ms."/>
    <x v="105"/>
    <x v="1"/>
    <d v="1997-12-07T00:00:00"/>
    <n v="28"/>
    <x v="3"/>
    <x v="3"/>
    <s v="Muslim"/>
    <s v="Indian"/>
    <s v="Single"/>
    <s v="+916682719897"/>
    <d v="2023-03-12T00:00:00"/>
    <x v="0"/>
    <x v="1"/>
    <s v="Officer"/>
    <s v="Non-Manager"/>
    <x v="1"/>
    <n v="120500"/>
    <s v="A"/>
    <n v="1500"/>
    <s v="Health"/>
    <n v="3"/>
    <n v="3"/>
    <x v="1"/>
    <s v="user106@gmail.com"/>
  </r>
  <r>
    <s v="E107"/>
    <s v="Mr."/>
    <x v="106"/>
    <x v="0"/>
    <d v="1971-09-12T00:00:00"/>
    <n v="54"/>
    <x v="1"/>
    <x v="0"/>
    <s v="Hindu"/>
    <s v="Indian"/>
    <s v="Married"/>
    <s v="+917691311171"/>
    <d v="1996-12-08T00:00:00"/>
    <x v="1"/>
    <x v="3"/>
    <s v="Senior Officer"/>
    <s v="Non-Manager"/>
    <x v="0"/>
    <n v="98000"/>
    <s v="B"/>
    <n v="2100"/>
    <s v="None"/>
    <n v="5"/>
    <n v="1"/>
    <x v="4"/>
    <s v="user107@gmail.com"/>
  </r>
  <r>
    <s v="E108"/>
    <s v="Ms."/>
    <x v="107"/>
    <x v="1"/>
    <d v="1972-01-13T00:00:00"/>
    <n v="54"/>
    <x v="1"/>
    <x v="1"/>
    <s v="Christian"/>
    <s v="Indian"/>
    <s v="Single"/>
    <s v="+916745192474"/>
    <d v="2000-07-13T00:00:00"/>
    <x v="0"/>
    <x v="2"/>
    <s v="Officer"/>
    <s v="Non-Manager"/>
    <x v="1"/>
    <n v="103500"/>
    <s v="C"/>
    <n v="2600"/>
    <s v="Health"/>
    <n v="1"/>
    <n v="2"/>
    <x v="3"/>
    <s v="user108@gmail.com"/>
  </r>
  <r>
    <s v="E109"/>
    <s v="Mr."/>
    <x v="108"/>
    <x v="0"/>
    <d v="1975-01-08T00:00:00"/>
    <n v="51"/>
    <x v="1"/>
    <x v="0"/>
    <s v="Muslim"/>
    <s v="Indian"/>
    <s v="Single"/>
    <s v="+917987384110"/>
    <d v="2000-11-22T00:00:00"/>
    <x v="1"/>
    <x v="0"/>
    <s v="Staff"/>
    <s v="Non-Manager"/>
    <x v="2"/>
    <n v="73000"/>
    <s v="D"/>
    <n v="1700"/>
    <s v="None"/>
    <n v="6"/>
    <n v="3"/>
    <x v="2"/>
    <s v="user109@gmail.com"/>
  </r>
  <r>
    <s v="E110"/>
    <s v="Ms."/>
    <x v="109"/>
    <x v="1"/>
    <d v="1981-03-23T00:00:00"/>
    <n v="45"/>
    <x v="2"/>
    <x v="1"/>
    <s v="Muslim"/>
    <s v="Indian"/>
    <s v="Married"/>
    <s v="+916328150326"/>
    <d v="2002-02-17T00:00:00"/>
    <x v="0"/>
    <x v="1"/>
    <s v="Staff"/>
    <s v="Manager"/>
    <x v="0"/>
    <n v="84000"/>
    <s v="A"/>
    <n v="2200"/>
    <s v="Health"/>
    <n v="7"/>
    <n v="1"/>
    <x v="0"/>
    <s v="user110@gmail.com"/>
  </r>
  <r>
    <s v="E111"/>
    <s v="Mr."/>
    <x v="110"/>
    <x v="0"/>
    <d v="2001-04-17T00:00:00"/>
    <n v="24"/>
    <x v="3"/>
    <x v="2"/>
    <s v="Hindu"/>
    <s v="Indian"/>
    <s v="Married"/>
    <s v="+919467794494"/>
    <d v="2020-12-24T00:00:00"/>
    <x v="2"/>
    <x v="2"/>
    <s v="Manager"/>
    <s v="Non-Manager"/>
    <x v="1"/>
    <n v="60000"/>
    <s v="B"/>
    <n v="1100"/>
    <s v="Health + Dental"/>
    <n v="4"/>
    <n v="2"/>
    <x v="1"/>
    <s v="user111@gmail.com"/>
  </r>
  <r>
    <s v="E112"/>
    <s v="Ms."/>
    <x v="111"/>
    <x v="1"/>
    <d v="1992-04-27T00:00:00"/>
    <n v="33"/>
    <x v="0"/>
    <x v="3"/>
    <s v="Muslim"/>
    <s v="Indian"/>
    <s v="Married"/>
    <s v="+916163661381"/>
    <d v="2017-03-31T00:00:00"/>
    <x v="1"/>
    <x v="3"/>
    <s v="Senior Officer"/>
    <s v="Non-Manager"/>
    <x v="2"/>
    <n v="114000"/>
    <s v="C"/>
    <n v="2500"/>
    <s v="None"/>
    <n v="8"/>
    <n v="3"/>
    <x v="3"/>
    <s v="user112@gmail.com"/>
  </r>
  <r>
    <s v="E113"/>
    <s v="Mr."/>
    <x v="112"/>
    <x v="0"/>
    <d v="1997-06-02T00:00:00"/>
    <n v="28"/>
    <x v="3"/>
    <x v="3"/>
    <s v="Sikh"/>
    <s v="Indian"/>
    <s v="Single"/>
    <s v="+917675926087"/>
    <d v="2019-05-14T00:00:00"/>
    <x v="0"/>
    <x v="0"/>
    <s v="Officer"/>
    <s v="Non-Manager"/>
    <x v="0"/>
    <n v="92000"/>
    <s v="A"/>
    <n v="2800"/>
    <s v="Health"/>
    <n v="16"/>
    <n v="1"/>
    <x v="4"/>
    <s v="user113@gmail.com"/>
  </r>
  <r>
    <s v="E114"/>
    <s v="Ms."/>
    <x v="113"/>
    <x v="1"/>
    <d v="2000-02-06T00:00:00"/>
    <n v="26"/>
    <x v="3"/>
    <x v="1"/>
    <s v="Hindu"/>
    <s v="Indian"/>
    <s v="Single"/>
    <s v="+918442458266"/>
    <d v="2019-03-16T00:00:00"/>
    <x v="1"/>
    <x v="2"/>
    <s v="Office Executive"/>
    <s v="Non-Manager"/>
    <x v="1"/>
    <n v="150000"/>
    <s v="D"/>
    <n v="1600"/>
    <s v="None"/>
    <n v="17"/>
    <n v="2"/>
    <x v="2"/>
    <s v="user114@gmail.com"/>
  </r>
  <r>
    <s v="E115"/>
    <s v="Mr."/>
    <x v="114"/>
    <x v="0"/>
    <d v="1992-07-25T00:00:00"/>
    <n v="33"/>
    <x v="0"/>
    <x v="0"/>
    <s v="Sikh"/>
    <s v="Indian"/>
    <s v="Single"/>
    <s v="+917216540937"/>
    <d v="2016-01-16T00:00:00"/>
    <x v="0"/>
    <x v="1"/>
    <s v="Staff"/>
    <s v="Non-Manager"/>
    <x v="0"/>
    <n v="88000"/>
    <s v="B"/>
    <n v="3100"/>
    <s v="Health"/>
    <n v="3"/>
    <n v="3"/>
    <x v="0"/>
    <s v="user115@gmail.com"/>
  </r>
  <r>
    <s v="E116"/>
    <s v="Ms."/>
    <x v="115"/>
    <x v="1"/>
    <d v="2000-12-30T00:00:00"/>
    <n v="25"/>
    <x v="3"/>
    <x v="2"/>
    <s v="Muslim"/>
    <s v="Indian"/>
    <s v="Single"/>
    <s v="+917742331420"/>
    <d v="2022-06-09T00:00:00"/>
    <x v="1"/>
    <x v="3"/>
    <s v="Staff"/>
    <s v="Non-Manager"/>
    <x v="2"/>
    <n v="70000"/>
    <s v="C"/>
    <n v="1400"/>
    <s v="None"/>
    <n v="2"/>
    <n v="1"/>
    <x v="1"/>
    <s v="user116@gmail.com"/>
  </r>
  <r>
    <s v="E117"/>
    <s v="Mr."/>
    <x v="116"/>
    <x v="0"/>
    <d v="1999-09-05T00:00:00"/>
    <n v="26"/>
    <x v="3"/>
    <x v="2"/>
    <s v="Hindu"/>
    <s v="Indian"/>
    <s v="Single"/>
    <s v="+916113600563"/>
    <d v="2018-10-03T00:00:00"/>
    <x v="2"/>
    <x v="0"/>
    <s v="Staff"/>
    <s v="Non-Manager"/>
    <x v="1"/>
    <n v="51000"/>
    <s v="A"/>
    <n v="2300"/>
    <s v="Health + Dental"/>
    <n v="5"/>
    <n v="2"/>
    <x v="2"/>
    <s v="user117@gmail.com"/>
  </r>
  <r>
    <s v="E118"/>
    <s v="Ms."/>
    <x v="117"/>
    <x v="1"/>
    <d v="2003-02-12T00:00:00"/>
    <n v="23"/>
    <x v="3"/>
    <x v="0"/>
    <s v="Hindu"/>
    <s v="Indian"/>
    <s v="Single"/>
    <s v="+919226016334"/>
    <d v="2024-03-25T00:00:00"/>
    <x v="0"/>
    <x v="1"/>
    <s v="Senior Manager"/>
    <s v="Non-Manager"/>
    <x v="0"/>
    <n v="117200"/>
    <s v="B"/>
    <n v="2600"/>
    <s v="Health"/>
    <n v="1"/>
    <n v="3"/>
    <x v="3"/>
    <s v="user118@gmail.com"/>
  </r>
  <r>
    <s v="E119"/>
    <s v="Mr."/>
    <x v="118"/>
    <x v="0"/>
    <d v="1980-07-26T00:00:00"/>
    <n v="45"/>
    <x v="2"/>
    <x v="3"/>
    <s v="Christian"/>
    <s v="Indian"/>
    <s v="Single"/>
    <s v="+918801846435"/>
    <d v="2002-04-25T00:00:00"/>
    <x v="1"/>
    <x v="3"/>
    <s v="Staff"/>
    <s v="Non-Manager"/>
    <x v="2"/>
    <n v="104500"/>
    <s v="D"/>
    <n v="1800"/>
    <s v="None"/>
    <n v="6"/>
    <n v="1"/>
    <x v="4"/>
    <s v="user119@gmail.com"/>
  </r>
  <r>
    <s v="E120"/>
    <s v="Ms."/>
    <x v="119"/>
    <x v="1"/>
    <d v="1971-10-19T00:00:00"/>
    <n v="54"/>
    <x v="1"/>
    <x v="1"/>
    <s v="Sikh"/>
    <s v="Indian"/>
    <s v="Single"/>
    <s v="+916213263945"/>
    <d v="1995-10-11T00:00:00"/>
    <x v="0"/>
    <x v="2"/>
    <s v="Manager"/>
    <s v="Manager"/>
    <x v="1"/>
    <n v="96000"/>
    <s v="C"/>
    <n v="2100"/>
    <s v="Health"/>
    <n v="7"/>
    <n v="2"/>
    <x v="0"/>
    <s v="user120@gmail.com"/>
  </r>
  <r>
    <s v="E121"/>
    <s v="Mr."/>
    <x v="120"/>
    <x v="0"/>
    <d v="1984-04-13T00:00:00"/>
    <n v="41"/>
    <x v="2"/>
    <x v="1"/>
    <s v="Sikh"/>
    <s v="Indian"/>
    <s v="Single"/>
    <s v="+919665872617"/>
    <d v="2005-05-22T00:00:00"/>
    <x v="1"/>
    <x v="0"/>
    <s v="Staff"/>
    <s v="Non-Manager"/>
    <x v="0"/>
    <n v="142000"/>
    <s v="A"/>
    <n v="1200"/>
    <s v="None"/>
    <n v="4"/>
    <n v="5"/>
    <x v="1"/>
    <s v="user121@gmail.com"/>
  </r>
  <r>
    <s v="E122"/>
    <s v="Ms."/>
    <x v="121"/>
    <x v="1"/>
    <d v="1990-08-31T00:00:00"/>
    <n v="35"/>
    <x v="0"/>
    <x v="2"/>
    <s v="Hindu"/>
    <s v="Indian"/>
    <s v="Single"/>
    <s v="+919854916845"/>
    <d v="2015-02-23T00:00:00"/>
    <x v="0"/>
    <x v="1"/>
    <s v="Staff"/>
    <s v="Non-Manager"/>
    <x v="1"/>
    <n v="82000"/>
    <s v="B"/>
    <n v="2400"/>
    <s v="Health"/>
    <n v="8"/>
    <n v="1"/>
    <x v="2"/>
    <s v="user122@gmail.com"/>
  </r>
  <r>
    <s v="E123"/>
    <s v="Mr."/>
    <x v="122"/>
    <x v="0"/>
    <d v="2000-06-27T00:00:00"/>
    <n v="25"/>
    <x v="3"/>
    <x v="0"/>
    <s v="Hindu"/>
    <s v="Indian"/>
    <s v="Married"/>
    <s v="+919352703700"/>
    <d v="2023-10-27T00:00:00"/>
    <x v="2"/>
    <x v="2"/>
    <s v="Executive"/>
    <s v="Non-Manager"/>
    <x v="2"/>
    <n v="75000"/>
    <s v="C"/>
    <n v="2700"/>
    <s v="Health + Dental"/>
    <n v="2"/>
    <n v="2"/>
    <x v="4"/>
    <s v="user123@gmail.com"/>
  </r>
  <r>
    <s v="E124"/>
    <s v="Ms."/>
    <x v="123"/>
    <x v="1"/>
    <d v="2001-01-30T00:00:00"/>
    <n v="25"/>
    <x v="3"/>
    <x v="3"/>
    <s v="Muslim"/>
    <s v="Indian"/>
    <s v="Married"/>
    <s v="+917782822465"/>
    <d v="2019-07-24T00:00:00"/>
    <x v="1"/>
    <x v="3"/>
    <s v="Staff"/>
    <s v="Non-Manager"/>
    <x v="0"/>
    <n v="108000"/>
    <s v="D"/>
    <n v="1900"/>
    <s v="None"/>
    <n v="3"/>
    <n v="3"/>
    <x v="3"/>
    <s v="user124@gmail.com"/>
  </r>
  <r>
    <s v="E125"/>
    <s v="Mr."/>
    <x v="124"/>
    <x v="0"/>
    <d v="1981-11-24T00:00:00"/>
    <n v="44"/>
    <x v="2"/>
    <x v="3"/>
    <s v="Christian"/>
    <s v="Indian"/>
    <s v="Married"/>
    <s v="+918543655017"/>
    <d v="2006-05-29T00:00:00"/>
    <x v="0"/>
    <x v="0"/>
    <s v="Senior Executive"/>
    <s v="Manager"/>
    <x v="1"/>
    <n v="91000"/>
    <s v="A"/>
    <n v="3400"/>
    <s v="Health"/>
    <n v="5"/>
    <n v="1"/>
    <x v="0"/>
    <s v="user125@gmail.com"/>
  </r>
  <r>
    <s v="E126"/>
    <s v="Ms."/>
    <x v="125"/>
    <x v="1"/>
    <d v="2000-01-12T00:00:00"/>
    <n v="26"/>
    <x v="3"/>
    <x v="0"/>
    <s v="Christian"/>
    <s v="Indian"/>
    <s v="Single"/>
    <s v="+916199163104"/>
    <d v="2020-04-10T00:00:00"/>
    <x v="1"/>
    <x v="2"/>
    <s v="Officer"/>
    <s v="Non-Manager"/>
    <x v="2"/>
    <n v="67000"/>
    <s v="B"/>
    <n v="1500"/>
    <s v="None"/>
    <n v="1"/>
    <n v="2"/>
    <x v="1"/>
    <s v="user126@gmail.com"/>
  </r>
  <r>
    <s v="E127"/>
    <s v="Mr."/>
    <x v="126"/>
    <x v="0"/>
    <d v="1982-05-11T00:00:00"/>
    <n v="43"/>
    <x v="2"/>
    <x v="1"/>
    <s v="Hindu"/>
    <s v="Indian"/>
    <s v="Married"/>
    <s v="+917926477819"/>
    <d v="2004-04-10T00:00:00"/>
    <x v="0"/>
    <x v="1"/>
    <s v="Staff"/>
    <s v="Non-Manager"/>
    <x v="0"/>
    <n v="56000"/>
    <s v="C"/>
    <n v="2200"/>
    <s v="Health"/>
    <n v="6"/>
    <n v="3"/>
    <x v="2"/>
    <s v="user127@gmail.com"/>
  </r>
  <r>
    <s v="E128"/>
    <s v="Ms."/>
    <x v="127"/>
    <x v="1"/>
    <d v="1991-11-18T00:00:00"/>
    <n v="34"/>
    <x v="0"/>
    <x v="2"/>
    <s v="Christian"/>
    <s v="Indian"/>
    <s v="Married"/>
    <s v="+918847997827"/>
    <d v="2017-08-24T00:00:00"/>
    <x v="1"/>
    <x v="3"/>
    <s v="Staff"/>
    <s v="Non-Manager"/>
    <x v="1"/>
    <n v="116800"/>
    <s v="A"/>
    <n v="2600"/>
    <s v="None"/>
    <n v="7"/>
    <n v="1"/>
    <x v="3"/>
    <s v="user128@gmail.com"/>
  </r>
  <r>
    <s v="E129"/>
    <s v="Mr."/>
    <x v="128"/>
    <x v="0"/>
    <d v="1980-08-25T00:00:00"/>
    <n v="45"/>
    <x v="2"/>
    <x v="0"/>
    <s v="Christian"/>
    <s v="Indian"/>
    <s v="Married"/>
    <s v="+916247394095"/>
    <d v="2005-07-19T00:00:00"/>
    <x v="2"/>
    <x v="0"/>
    <s v="Staff"/>
    <s v="Manager"/>
    <x v="0"/>
    <n v="106500"/>
    <s v="D"/>
    <n v="1700"/>
    <s v="Health + Dental"/>
    <n v="4"/>
    <n v="2"/>
    <x v="4"/>
    <s v="user129@gmail.com"/>
  </r>
  <r>
    <s v="E130"/>
    <s v="Ms."/>
    <x v="129"/>
    <x v="1"/>
    <d v="1992-07-02T00:00:00"/>
    <n v="33"/>
    <x v="0"/>
    <x v="3"/>
    <s v="Christian"/>
    <s v="Indian"/>
    <s v="Married"/>
    <s v="+919456050802"/>
    <d v="2014-07-01T00:00:00"/>
    <x v="0"/>
    <x v="1"/>
    <s v="Manager"/>
    <s v="Non-Manager"/>
    <x v="2"/>
    <n v="94000"/>
    <s v="B"/>
    <n v="2300"/>
    <s v="Health"/>
    <n v="8"/>
    <n v="3"/>
    <x v="2"/>
    <s v="user130@gmail.com"/>
  </r>
  <r>
    <s v="E131"/>
    <s v="Mr."/>
    <x v="130"/>
    <x v="0"/>
    <d v="1997-10-06T00:00:00"/>
    <n v="28"/>
    <x v="3"/>
    <x v="1"/>
    <s v="Sikh"/>
    <s v="Indian"/>
    <s v="Single"/>
    <s v="+918281250573"/>
    <d v="2020-07-12T00:00:00"/>
    <x v="1"/>
    <x v="3"/>
    <s v="Officer"/>
    <s v="Non-Manager"/>
    <x v="1"/>
    <n v="134000"/>
    <s v="C"/>
    <n v="1300"/>
    <s v="None"/>
    <n v="2"/>
    <n v="1"/>
    <x v="0"/>
    <s v="user131@gmail.com"/>
  </r>
  <r>
    <s v="E132"/>
    <s v="Mr."/>
    <x v="131"/>
    <x v="0"/>
    <d v="1994-11-28T00:00:00"/>
    <n v="31"/>
    <x v="0"/>
    <x v="2"/>
    <s v="Sikh"/>
    <s v="Indian"/>
    <s v="Married"/>
    <s v="+917522796066"/>
    <d v="2015-02-15T00:00:00"/>
    <x v="0"/>
    <x v="2"/>
    <s v="Staff"/>
    <s v="Non-Manager"/>
    <x v="0"/>
    <n v="87000"/>
    <s v="A"/>
    <n v="2500"/>
    <s v="Health"/>
    <n v="3"/>
    <n v="2"/>
    <x v="1"/>
    <s v="user132@gmail.com"/>
  </r>
  <r>
    <s v="E133"/>
    <s v="Ms."/>
    <x v="132"/>
    <x v="1"/>
    <d v="1978-09-25T00:00:00"/>
    <n v="47"/>
    <x v="2"/>
    <x v="3"/>
    <s v="Hindu"/>
    <s v="Indian"/>
    <s v="Married"/>
    <s v="+917221639777"/>
    <d v="2002-09-26T00:00:00"/>
    <x v="1"/>
    <x v="0"/>
    <s v="Staff"/>
    <s v="Non-Manager"/>
    <x v="2"/>
    <n v="65000"/>
    <s v="B"/>
    <n v="2800"/>
    <s v="None"/>
    <n v="5"/>
    <n v="3"/>
    <x v="3"/>
    <s v="user133@gmail.com"/>
  </r>
  <r>
    <s v="E134"/>
    <s v="Mr."/>
    <x v="133"/>
    <x v="0"/>
    <d v="1999-07-07T00:00:00"/>
    <n v="26"/>
    <x v="3"/>
    <x v="1"/>
    <s v="Christian"/>
    <s v="Indian"/>
    <s v="Single"/>
    <s v="+917943867405"/>
    <d v="2021-01-14T00:00:00"/>
    <x v="0"/>
    <x v="1"/>
    <s v="Officer"/>
    <s v="Non-Manager"/>
    <x v="1"/>
    <n v="119200"/>
    <s v="D"/>
    <n v="1600"/>
    <s v="Health"/>
    <n v="1"/>
    <n v="1"/>
    <x v="4"/>
    <s v="user134@gmail.com"/>
  </r>
  <r>
    <s v="E135"/>
    <s v="Ms."/>
    <x v="134"/>
    <x v="1"/>
    <d v="2000-06-13T00:00:00"/>
    <n v="25"/>
    <x v="3"/>
    <x v="1"/>
    <s v="Muslim"/>
    <s v="Indian"/>
    <s v="Single"/>
    <s v="+917159433261"/>
    <d v="2019-12-27T00:00:00"/>
    <x v="2"/>
    <x v="2"/>
    <s v="Senior Executive"/>
    <s v="Non-Manager"/>
    <x v="0"/>
    <n v="97000"/>
    <s v="C"/>
    <n v="3200"/>
    <s v="Health + Dental"/>
    <n v="6"/>
    <n v="2"/>
    <x v="2"/>
    <s v="user135@gmail.com"/>
  </r>
  <r>
    <s v="E136"/>
    <s v="Mr."/>
    <x v="135"/>
    <x v="0"/>
    <d v="1977-07-14T00:00:00"/>
    <n v="48"/>
    <x v="2"/>
    <x v="2"/>
    <s v="Muslim"/>
    <s v="Indian"/>
    <s v="Single"/>
    <s v="+918614433112"/>
    <d v="2003-10-31T00:00:00"/>
    <x v="1"/>
    <x v="3"/>
    <s v="Staff"/>
    <s v="Non-Manager"/>
    <x v="1"/>
    <n v="102800"/>
    <s v="A"/>
    <n v="1400"/>
    <s v="None"/>
    <n v="7"/>
    <n v="3"/>
    <x v="0"/>
    <s v="user136@gmail.com"/>
  </r>
  <r>
    <s v="E137"/>
    <s v="Ms."/>
    <x v="136"/>
    <x v="1"/>
    <d v="1980-11-12T00:00:00"/>
    <n v="45"/>
    <x v="2"/>
    <x v="0"/>
    <s v="Hindu"/>
    <s v="Indian"/>
    <s v="Single"/>
    <s v="+918788652919"/>
    <d v="2004-04-12T00:00:00"/>
    <x v="0"/>
    <x v="0"/>
    <s v="Executive"/>
    <s v="Manager"/>
    <x v="2"/>
    <n v="72000"/>
    <s v="B"/>
    <n v="2100"/>
    <s v="Health"/>
    <n v="4"/>
    <n v="1"/>
    <x v="1"/>
    <s v="user137@gmail.com"/>
  </r>
  <r>
    <s v="E138"/>
    <s v="Mr."/>
    <x v="137"/>
    <x v="0"/>
    <d v="1981-10-18T00:00:00"/>
    <n v="44"/>
    <x v="2"/>
    <x v="3"/>
    <s v="Hindu"/>
    <s v="Indian"/>
    <s v="Single"/>
    <s v="+917789607851"/>
    <d v="2003-11-24T00:00:00"/>
    <x v="1"/>
    <x v="2"/>
    <s v="Senior Officer"/>
    <s v="Non-Manager"/>
    <x v="0"/>
    <n v="83000"/>
    <s v="C"/>
    <n v="2600"/>
    <s v="None"/>
    <n v="8"/>
    <n v="2"/>
    <x v="4"/>
    <s v="user138@gmail.com"/>
  </r>
  <r>
    <s v="E139"/>
    <s v="Ms."/>
    <x v="138"/>
    <x v="1"/>
    <d v="1997-09-01T00:00:00"/>
    <n v="28"/>
    <x v="3"/>
    <x v="3"/>
    <s v="Muslim"/>
    <s v="Indian"/>
    <s v="Married"/>
    <s v="+918125823623"/>
    <d v="2020-01-30T00:00:00"/>
    <x v="0"/>
    <x v="1"/>
    <s v="Officer"/>
    <s v="Non-Manager"/>
    <x v="1"/>
    <n v="58000"/>
    <s v="D"/>
    <n v="1800"/>
    <s v="Health"/>
    <n v="18"/>
    <n v="3"/>
    <x v="3"/>
    <s v="user139@gmail.com"/>
  </r>
  <r>
    <s v="E140"/>
    <s v="Mr."/>
    <x v="139"/>
    <x v="0"/>
    <d v="1990-02-22T00:00:00"/>
    <n v="36"/>
    <x v="0"/>
    <x v="0"/>
    <s v="Muslim"/>
    <s v="Indian"/>
    <s v="Single"/>
    <s v="+919892140740"/>
    <d v="2017-01-02T00:00:00"/>
    <x v="1"/>
    <x v="3"/>
    <s v="Senior Officer"/>
    <s v="Non-Manager"/>
    <x v="2"/>
    <n v="112500"/>
    <s v="A"/>
    <n v="2200"/>
    <s v="None"/>
    <n v="19"/>
    <n v="1"/>
    <x v="2"/>
    <s v="user140@gmail.com"/>
  </r>
  <r>
    <s v="E141"/>
    <s v="Ms."/>
    <x v="140"/>
    <x v="1"/>
    <d v="1994-05-09T00:00:00"/>
    <n v="31"/>
    <x v="0"/>
    <x v="1"/>
    <s v="Christian"/>
    <s v="Indian"/>
    <s v="Single"/>
    <s v="+919283475052"/>
    <d v="2014-09-25T00:00:00"/>
    <x v="2"/>
    <x v="0"/>
    <s v="Office Executive"/>
    <s v="Manager"/>
    <x v="0"/>
    <n v="90000"/>
    <s v="B"/>
    <n v="1100"/>
    <s v="Health + Dental"/>
    <n v="3"/>
    <n v="2"/>
    <x v="0"/>
    <s v="user141@gmail.com"/>
  </r>
  <r>
    <s v="E142"/>
    <s v="Mr."/>
    <x v="141"/>
    <x v="0"/>
    <d v="1990-04-03T00:00:00"/>
    <n v="36"/>
    <x v="0"/>
    <x v="2"/>
    <s v="Sikh"/>
    <s v="Indian"/>
    <s v="Married"/>
    <s v="+918840573784"/>
    <d v="2012-04-01T00:00:00"/>
    <x v="0"/>
    <x v="1"/>
    <s v="Executive"/>
    <s v="Manager"/>
    <x v="1"/>
    <n v="148000"/>
    <s v="C"/>
    <n v="2400"/>
    <s v="Health"/>
    <n v="2"/>
    <n v="3"/>
    <x v="1"/>
    <s v="user142@gmail.com"/>
  </r>
  <r>
    <s v="E143"/>
    <s v="Ms."/>
    <x v="142"/>
    <x v="1"/>
    <d v="1991-09-16T00:00:00"/>
    <n v="34"/>
    <x v="0"/>
    <x v="2"/>
    <s v="Christian"/>
    <s v="Indian"/>
    <s v="Single"/>
    <s v="+916476174493"/>
    <d v="2009-11-15T00:00:00"/>
    <x v="1"/>
    <x v="3"/>
    <s v="Staff"/>
    <s v="Non-Manager"/>
    <x v="0"/>
    <n v="86000"/>
    <s v="A"/>
    <n v="2700"/>
    <s v="None"/>
    <n v="5"/>
    <n v="1"/>
    <x v="3"/>
    <s v="user143@gmail.com"/>
  </r>
  <r>
    <s v="E144"/>
    <s v="Mr."/>
    <x v="143"/>
    <x v="0"/>
    <d v="2003-05-03T00:00:00"/>
    <n v="22"/>
    <x v="3"/>
    <x v="3"/>
    <s v="Sikh"/>
    <s v="Indian"/>
    <s v="Married"/>
    <s v="+919302194388"/>
    <d v="2025-05-18T00:00:00"/>
    <x v="0"/>
    <x v="2"/>
    <s v="Senior Executive"/>
    <s v="Manager"/>
    <x v="2"/>
    <n v="69000"/>
    <s v="D"/>
    <n v="1900"/>
    <s v="Health"/>
    <n v="1"/>
    <n v="2"/>
    <x v="4"/>
    <s v="user144@gmail.com"/>
  </r>
  <r>
    <s v="E145"/>
    <s v="Ms."/>
    <x v="144"/>
    <x v="1"/>
    <d v="2000-04-22T00:00:00"/>
    <n v="25"/>
    <x v="3"/>
    <x v="2"/>
    <s v="Christian"/>
    <s v="Indian"/>
    <s v="Married"/>
    <s v="+916210135950"/>
    <d v="2024-12-11T00:00:00"/>
    <x v="1"/>
    <x v="0"/>
    <s v="Executive"/>
    <s v="Non-Manager"/>
    <x v="1"/>
    <n v="53000"/>
    <s v="B"/>
    <n v="3000"/>
    <s v="None"/>
    <n v="6"/>
    <n v="3"/>
    <x v="2"/>
    <s v="user145@gmail.com"/>
  </r>
  <r>
    <s v="E146"/>
    <s v="Mr."/>
    <x v="145"/>
    <x v="0"/>
    <d v="1991-03-08T00:00:00"/>
    <n v="35"/>
    <x v="0"/>
    <x v="1"/>
    <s v="Hindu"/>
    <s v="Indian"/>
    <s v="Single"/>
    <s v="+916655288229"/>
    <d v="2011-08-13T00:00:00"/>
    <x v="0"/>
    <x v="1"/>
    <s v="Senior Manager"/>
    <s v="Manager"/>
    <x v="0"/>
    <n v="115800"/>
    <s v="C"/>
    <n v="1500"/>
    <s v="Health"/>
    <n v="7"/>
    <n v="1"/>
    <x v="0"/>
    <s v="user146@gmail.com"/>
  </r>
  <r>
    <s v="E147"/>
    <s v="Ms."/>
    <x v="146"/>
    <x v="1"/>
    <d v="1987-08-27T00:00:00"/>
    <n v="38"/>
    <x v="0"/>
    <x v="3"/>
    <s v="Sikh"/>
    <s v="Indian"/>
    <s v="Married"/>
    <s v="+916340904751"/>
    <d v="2013-02-15T00:00:00"/>
    <x v="2"/>
    <x v="2"/>
    <s v="Staff"/>
    <s v="Manager"/>
    <x v="2"/>
    <n v="105500"/>
    <s v="A"/>
    <n v="2300"/>
    <s v="Health + Dental"/>
    <n v="4"/>
    <n v="2"/>
    <x v="1"/>
    <s v="user147@gmail.com"/>
  </r>
  <r>
    <s v="E148"/>
    <s v="Mr."/>
    <x v="147"/>
    <x v="0"/>
    <d v="1981-03-04T00:00:00"/>
    <n v="45"/>
    <x v="2"/>
    <x v="0"/>
    <s v="Christian"/>
    <s v="Indian"/>
    <s v="Single"/>
    <s v="+918965595018"/>
    <d v="2003-01-17T00:00:00"/>
    <x v="1"/>
    <x v="3"/>
    <s v="Staff"/>
    <s v="Manager"/>
    <x v="1"/>
    <n v="98000"/>
    <s v="B"/>
    <n v="2600"/>
    <s v="None"/>
    <n v="8"/>
    <n v="3"/>
    <x v="2"/>
    <s v="user148@gmail.com"/>
  </r>
  <r>
    <s v="E149"/>
    <s v="Ms."/>
    <x v="148"/>
    <x v="1"/>
    <d v="1992-05-17T00:00:00"/>
    <n v="33"/>
    <x v="0"/>
    <x v="0"/>
    <s v="Christian"/>
    <s v="Indian"/>
    <s v="Married"/>
    <s v="+918538541133"/>
    <d v="2012-10-24T00:00:00"/>
    <x v="0"/>
    <x v="0"/>
    <s v="Staff"/>
    <s v="Non-Manager"/>
    <x v="0"/>
    <n v="136000"/>
    <s v="D"/>
    <n v="1700"/>
    <s v="Health"/>
    <n v="2"/>
    <n v="1"/>
    <x v="3"/>
    <s v="user149@gmail.com"/>
  </r>
  <r>
    <s v="E150"/>
    <s v="Mr."/>
    <x v="149"/>
    <x v="0"/>
    <d v="1998-07-09T00:00:00"/>
    <n v="27"/>
    <x v="3"/>
    <x v="3"/>
    <s v="Christian"/>
    <s v="Indian"/>
    <s v="Married"/>
    <s v="+916517299301"/>
    <d v="2022-08-21T00:00:00"/>
    <x v="1"/>
    <x v="2"/>
    <s v="Senior Officer"/>
    <s v="Non-Manager"/>
    <x v="1"/>
    <n v="81000"/>
    <s v="C"/>
    <n v="2100"/>
    <s v="None"/>
    <n v="3"/>
    <n v="2"/>
    <x v="4"/>
    <s v="user150@gmail.com"/>
  </r>
  <r>
    <s v="E151"/>
    <s v="Ms."/>
    <x v="150"/>
    <x v="1"/>
    <d v="1981-05-27T00:00:00"/>
    <n v="44"/>
    <x v="2"/>
    <x v="2"/>
    <s v="Sikh"/>
    <s v="Indian"/>
    <s v="Single"/>
    <s v="+917388034639"/>
    <d v="2002-10-28T00:00:00"/>
    <x v="0"/>
    <x v="1"/>
    <s v="Staff"/>
    <s v="Manager"/>
    <x v="2"/>
    <n v="76000"/>
    <s v="A"/>
    <n v="1200"/>
    <s v="Health"/>
    <n v="5"/>
    <n v="4"/>
    <x v="0"/>
    <s v="user151@gmail.com"/>
  </r>
  <r>
    <s v="E152"/>
    <s v="Mr."/>
    <x v="151"/>
    <x v="0"/>
    <d v="1991-10-31T00:00:00"/>
    <n v="34"/>
    <x v="0"/>
    <x v="1"/>
    <s v="Muslim"/>
    <s v="Indian"/>
    <s v="Single"/>
    <s v="+918919068757"/>
    <d v="2011-03-30T00:00:00"/>
    <x v="1"/>
    <x v="3"/>
    <s v="Staff"/>
    <s v="Non-Manager"/>
    <x v="0"/>
    <n v="109200"/>
    <s v="B"/>
    <n v="2500"/>
    <s v="None"/>
    <n v="1"/>
    <n v="1"/>
    <x v="1"/>
    <s v="user152@gmail.com"/>
  </r>
  <r>
    <s v="E153"/>
    <s v="Ms."/>
    <x v="152"/>
    <x v="1"/>
    <d v="1972-01-20T00:00:00"/>
    <n v="54"/>
    <x v="1"/>
    <x v="1"/>
    <s v="Muslim"/>
    <s v="Indian"/>
    <s v="Single"/>
    <s v="+916562892891"/>
    <d v="1999-10-19T00:00:00"/>
    <x v="2"/>
    <x v="0"/>
    <s v="Executive"/>
    <s v="Non-Manager"/>
    <x v="1"/>
    <n v="92000"/>
    <s v="C"/>
    <n v="2800"/>
    <s v="Health + Dental"/>
    <n v="6"/>
    <n v="2"/>
    <x v="2"/>
    <s v="user153@gmail.com"/>
  </r>
  <r>
    <s v="E154"/>
    <s v="Mr."/>
    <x v="153"/>
    <x v="0"/>
    <d v="1998-10-12T00:00:00"/>
    <n v="27"/>
    <x v="3"/>
    <x v="0"/>
    <s v="Muslim"/>
    <s v="Indian"/>
    <s v="Married"/>
    <s v="+916689550413"/>
    <d v="2022-05-10T00:00:00"/>
    <x v="0"/>
    <x v="1"/>
    <s v="Staff"/>
    <s v="Non-Manager"/>
    <x v="2"/>
    <n v="68000"/>
    <s v="D"/>
    <n v="1600"/>
    <s v="Health"/>
    <n v="7"/>
    <n v="3"/>
    <x v="4"/>
    <s v="user154@gmail.com"/>
  </r>
  <r>
    <s v="E155"/>
    <s v="Ms."/>
    <x v="154"/>
    <x v="1"/>
    <d v="2003-09-02T00:00:00"/>
    <n v="22"/>
    <x v="3"/>
    <x v="3"/>
    <s v="Muslim"/>
    <s v="Indian"/>
    <s v="Married"/>
    <s v="+916226422715"/>
    <d v="2022-06-11T00:00:00"/>
    <x v="1"/>
    <x v="3"/>
    <s v="Staff"/>
    <s v="Non-Manager"/>
    <x v="0"/>
    <n v="55000"/>
    <s v="A"/>
    <n v="3300"/>
    <s v="None"/>
    <n v="4"/>
    <n v="1"/>
    <x v="3"/>
    <s v="user155@gmail.com"/>
  </r>
  <r>
    <s v="E156"/>
    <s v="Mr."/>
    <x v="155"/>
    <x v="0"/>
    <d v="1997-07-18T00:00:00"/>
    <n v="28"/>
    <x v="3"/>
    <x v="2"/>
    <s v="Hindu"/>
    <s v="Indian"/>
    <s v="Single"/>
    <s v="+919403479092"/>
    <d v="2023-04-16T00:00:00"/>
    <x v="0"/>
    <x v="2"/>
    <s v="Staff"/>
    <s v="Non-Manager"/>
    <x v="1"/>
    <n v="117800"/>
    <s v="B"/>
    <n v="1400"/>
    <s v="Health"/>
    <n v="8"/>
    <n v="2"/>
    <x v="0"/>
    <s v="user156@gmail.com"/>
  </r>
  <r>
    <s v="E157"/>
    <s v="Ms."/>
    <x v="156"/>
    <x v="1"/>
    <d v="1982-05-30T00:00:00"/>
    <n v="43"/>
    <x v="2"/>
    <x v="2"/>
    <s v="Muslim"/>
    <s v="Indian"/>
    <s v="Married"/>
    <s v="+918861871887"/>
    <d v="2003-03-29T00:00:00"/>
    <x v="1"/>
    <x v="0"/>
    <s v="Manager"/>
    <s v="Non-Manager"/>
    <x v="0"/>
    <n v="107200"/>
    <s v="C"/>
    <n v="2200"/>
    <s v="None"/>
    <n v="0"/>
    <n v="3"/>
    <x v="1"/>
    <s v="user157@gmail.com"/>
  </r>
  <r>
    <s v="E158"/>
    <s v="Mr."/>
    <x v="157"/>
    <x v="0"/>
    <d v="1978-08-13T00:00:00"/>
    <n v="47"/>
    <x v="2"/>
    <x v="3"/>
    <s v="Sikh"/>
    <s v="Indian"/>
    <s v="Married"/>
    <s v="+917339192478"/>
    <d v="2004-07-14T00:00:00"/>
    <x v="0"/>
    <x v="1"/>
    <s v="Staff"/>
    <s v="Non-Manager"/>
    <x v="2"/>
    <n v="95000"/>
    <s v="A"/>
    <n v="2600"/>
    <s v="Health"/>
    <n v="2"/>
    <n v="1"/>
    <x v="2"/>
    <s v="user158@gmail.com"/>
  </r>
  <r>
    <s v="E159"/>
    <s v="Ms."/>
    <x v="158"/>
    <x v="1"/>
    <d v="1992-07-18T00:00:00"/>
    <n v="33"/>
    <x v="0"/>
    <x v="0"/>
    <s v="Christian"/>
    <s v="Indian"/>
    <s v="Single"/>
    <s v="+917224012167"/>
    <d v="2016-03-15T00:00:00"/>
    <x v="2"/>
    <x v="2"/>
    <s v="Senior Officer"/>
    <s v="Non-Manager"/>
    <x v="1"/>
    <n v="129000"/>
    <s v="D"/>
    <n v="1800"/>
    <s v="Health + Dental"/>
    <n v="3"/>
    <n v="2"/>
    <x v="3"/>
    <s v="user159@gmail.com"/>
  </r>
  <r>
    <s v="E160"/>
    <s v="Mr."/>
    <x v="159"/>
    <x v="0"/>
    <d v="1979-04-22T00:00:00"/>
    <n v="46"/>
    <x v="2"/>
    <x v="1"/>
    <s v="Hindu"/>
    <s v="Indian"/>
    <s v="Married"/>
    <s v="+919463662523"/>
    <d v="2004-09-07T00:00:00"/>
    <x v="1"/>
    <x v="3"/>
    <s v="Staff"/>
    <s v="Non-Manager"/>
    <x v="0"/>
    <n v="88000"/>
    <s v="B"/>
    <n v="2300"/>
    <s v="None"/>
    <n v="5"/>
    <n v="3"/>
    <x v="4"/>
    <s v="user160@gmail.com"/>
  </r>
  <r>
    <s v="E161"/>
    <s v="Ms."/>
    <x v="160"/>
    <x v="1"/>
    <d v="2001-01-03T00:00:00"/>
    <n v="25"/>
    <x v="3"/>
    <x v="0"/>
    <s v="Christian"/>
    <s v="Indian"/>
    <s v="Married"/>
    <s v="+918270122732"/>
    <d v="2020-08-11T00:00:00"/>
    <x v="0"/>
    <x v="0"/>
    <s v="Staff"/>
    <s v="Non-Manager"/>
    <x v="2"/>
    <n v="64000"/>
    <s v="C"/>
    <n v="1300"/>
    <s v="Health"/>
    <n v="1"/>
    <n v="1"/>
    <x v="2"/>
    <s v="user161@gmail.com"/>
  </r>
  <r>
    <s v="E162"/>
    <s v="Mr."/>
    <x v="161"/>
    <x v="0"/>
    <d v="1996-06-27T00:00:00"/>
    <n v="29"/>
    <x v="3"/>
    <x v="2"/>
    <s v="Hindu"/>
    <s v="Indian"/>
    <s v="Single"/>
    <s v="+919339869528"/>
    <d v="2024-12-30T00:00:00"/>
    <x v="1"/>
    <x v="2"/>
    <s v="Manager"/>
    <s v="Non-Manager"/>
    <x v="1"/>
    <n v="120800"/>
    <s v="A"/>
    <n v="2400"/>
    <s v="None"/>
    <n v="6"/>
    <n v="2"/>
    <x v="0"/>
    <s v="user162@gmail.com"/>
  </r>
  <r>
    <s v="E163"/>
    <s v="Ms."/>
    <x v="162"/>
    <x v="1"/>
    <d v="1990-01-06T00:00:00"/>
    <n v="36"/>
    <x v="0"/>
    <x v="1"/>
    <s v="Christian"/>
    <s v="Indian"/>
    <s v="Single"/>
    <s v="+918335419989"/>
    <d v="2009-02-26T00:00:00"/>
    <x v="0"/>
    <x v="1"/>
    <s v="Manager"/>
    <s v="Non-Manager"/>
    <x v="0"/>
    <n v="96000"/>
    <s v="B"/>
    <n v="2700"/>
    <s v="Health"/>
    <n v="7"/>
    <n v="3"/>
    <x v="1"/>
    <s v="user163@gmail.com"/>
  </r>
  <r>
    <s v="E164"/>
    <s v="Mr."/>
    <x v="163"/>
    <x v="0"/>
    <d v="1986-04-06T00:00:00"/>
    <n v="39"/>
    <x v="0"/>
    <x v="3"/>
    <s v="Muslim"/>
    <s v="Indian"/>
    <s v="Single"/>
    <s v="+917142502841"/>
    <d v="2013-01-31T00:00:00"/>
    <x v="1"/>
    <x v="3"/>
    <s v="Executive"/>
    <s v="Non-Manager"/>
    <x v="1"/>
    <n v="103200"/>
    <s v="D"/>
    <n v="1900"/>
    <s v="None"/>
    <n v="4"/>
    <n v="1"/>
    <x v="3"/>
    <s v="user164@gmail.com"/>
  </r>
  <r>
    <s v="E165"/>
    <s v="Ms."/>
    <x v="164"/>
    <x v="1"/>
    <d v="1973-08-04T00:00:00"/>
    <n v="52"/>
    <x v="1"/>
    <x v="3"/>
    <s v="Christian"/>
    <s v="Indian"/>
    <s v="Married"/>
    <s v="+919235704391"/>
    <d v="1996-01-29T00:00:00"/>
    <x v="2"/>
    <x v="0"/>
    <s v="Staff"/>
    <s v="Non-Manager"/>
    <x v="2"/>
    <n v="71000"/>
    <s v="C"/>
    <n v="3200"/>
    <s v="Health + Dental"/>
    <n v="8"/>
    <n v="2"/>
    <x v="4"/>
    <s v="user165@gmail.com"/>
  </r>
  <r>
    <s v="E166"/>
    <s v="Mr."/>
    <x v="165"/>
    <x v="0"/>
    <d v="1992-01-13T00:00:00"/>
    <n v="34"/>
    <x v="0"/>
    <x v="1"/>
    <s v="Hindu"/>
    <s v="Indian"/>
    <s v="Married"/>
    <s v="+919201430202"/>
    <d v="2010-07-30T00:00:00"/>
    <x v="0"/>
    <x v="1"/>
    <s v="Staff"/>
    <s v="Non-Manager"/>
    <x v="0"/>
    <n v="85000"/>
    <s v="A"/>
    <n v="1500"/>
    <s v="Health"/>
    <n v="20"/>
    <n v="3"/>
    <x v="2"/>
    <s v="user166@gmail.com"/>
  </r>
  <r>
    <s v="E167"/>
    <s v="Ms."/>
    <x v="166"/>
    <x v="1"/>
    <d v="1985-05-08T00:00:00"/>
    <n v="40"/>
    <x v="0"/>
    <x v="0"/>
    <s v="Sikh"/>
    <s v="Indian"/>
    <s v="Single"/>
    <s v="+918790009345"/>
    <d v="2004-05-23T00:00:00"/>
    <x v="1"/>
    <x v="3"/>
    <s v="Manager"/>
    <s v="Non-Manager"/>
    <x v="1"/>
    <n v="59000"/>
    <s v="B"/>
    <n v="2100"/>
    <s v="None"/>
    <n v="3"/>
    <n v="1"/>
    <x v="0"/>
    <s v="user167@gmail.com"/>
  </r>
  <r>
    <s v="E168"/>
    <s v="Mr."/>
    <x v="167"/>
    <x v="0"/>
    <d v="2002-07-07T00:00:00"/>
    <n v="23"/>
    <x v="3"/>
    <x v="0"/>
    <s v="Hindu"/>
    <s v="Indian"/>
    <s v="Single"/>
    <s v="+916312371337"/>
    <d v="2023-06-18T00:00:00"/>
    <x v="0"/>
    <x v="2"/>
    <s v="Staff"/>
    <s v="Manager"/>
    <x v="2"/>
    <n v="113500"/>
    <s v="C"/>
    <n v="2600"/>
    <s v="Health"/>
    <n v="2"/>
    <n v="2"/>
    <x v="1"/>
    <s v="user168@gmail.com"/>
  </r>
  <r>
    <s v="E169"/>
    <s v="Mr."/>
    <x v="168"/>
    <x v="0"/>
    <d v="1988-01-09T00:00:00"/>
    <n v="38"/>
    <x v="0"/>
    <x v="2"/>
    <s v="Christian"/>
    <s v="Indian"/>
    <s v="Single"/>
    <s v="+917244160211"/>
    <d v="2014-08-24T00:00:00"/>
    <x v="1"/>
    <x v="0"/>
    <s v="Officer"/>
    <s v="Non-Manager"/>
    <x v="0"/>
    <n v="91000"/>
    <s v="D"/>
    <n v="1700"/>
    <s v="None"/>
    <n v="5"/>
    <n v="3"/>
    <x v="4"/>
    <s v="user169@gmail.com"/>
  </r>
  <r>
    <s v="E170"/>
    <s v="Ms."/>
    <x v="169"/>
    <x v="1"/>
    <d v="1995-11-18T00:00:00"/>
    <n v="30"/>
    <x v="3"/>
    <x v="2"/>
    <s v="Christian"/>
    <s v="Indian"/>
    <s v="Single"/>
    <s v="+917264004562"/>
    <d v="2017-10-04T00:00:00"/>
    <x v="0"/>
    <x v="1"/>
    <s v="Executive"/>
    <s v="Manager"/>
    <x v="1"/>
    <n v="152000"/>
    <s v="A"/>
    <n v="2200"/>
    <s v="Health"/>
    <n v="1"/>
    <n v="1"/>
    <x v="3"/>
    <s v="user170@gmail.com"/>
  </r>
  <r>
    <s v="E171"/>
    <s v="Mr."/>
    <x v="170"/>
    <x v="0"/>
    <d v="1970-01-10T00:00:00"/>
    <n v="56"/>
    <x v="1"/>
    <x v="3"/>
    <s v="Hindu"/>
    <s v="Indian"/>
    <s v="Single"/>
    <s v="+918850718902"/>
    <d v="1999-08-25T00:00:00"/>
    <x v="2"/>
    <x v="2"/>
    <s v="Manager"/>
    <s v="Non-Manager"/>
    <x v="0"/>
    <n v="87000"/>
    <s v="B"/>
    <n v="1100"/>
    <s v="Health + Dental"/>
    <n v="6"/>
    <n v="2"/>
    <x v="2"/>
    <s v="user171@gmail.com"/>
  </r>
  <r>
    <s v="E172"/>
    <s v="Ms."/>
    <x v="171"/>
    <x v="1"/>
    <d v="1972-11-03T00:00:00"/>
    <n v="53"/>
    <x v="1"/>
    <x v="1"/>
    <s v="Hindu"/>
    <s v="Indian"/>
    <s v="Single"/>
    <s v="+916422823802"/>
    <d v="2001-06-08T00:00:00"/>
    <x v="1"/>
    <x v="3"/>
    <s v="Manager"/>
    <s v="Non-Manager"/>
    <x v="2"/>
    <n v="70000"/>
    <s v="C"/>
    <n v="2500"/>
    <s v="None"/>
    <n v="7"/>
    <n v="3"/>
    <x v="0"/>
    <s v="user172@gmail.com"/>
  </r>
  <r>
    <s v="E173"/>
    <s v="Mr."/>
    <x v="172"/>
    <x v="0"/>
    <d v="2004-08-29T00:00:00"/>
    <n v="21"/>
    <x v="3"/>
    <x v="1"/>
    <s v="Sikh"/>
    <s v="Indian"/>
    <s v="Married"/>
    <s v="+917281400408"/>
    <d v="2025-07-14T00:00:00"/>
    <x v="0"/>
    <x v="0"/>
    <s v="Staff"/>
    <s v="Manager"/>
    <x v="1"/>
    <n v="52000"/>
    <s v="A"/>
    <n v="2800"/>
    <s v="Health"/>
    <n v="4"/>
    <n v="1"/>
    <x v="1"/>
    <s v="user173@gmail.com"/>
  </r>
  <r>
    <s v="E174"/>
    <s v="Ms."/>
    <x v="173"/>
    <x v="1"/>
    <d v="1989-05-17T00:00:00"/>
    <n v="36"/>
    <x v="0"/>
    <x v="3"/>
    <s v="Sikh"/>
    <s v="Indian"/>
    <s v="Single"/>
    <s v="+917534812744"/>
    <d v="2017-01-26T00:00:00"/>
    <x v="1"/>
    <x v="2"/>
    <s v="Senior Officer"/>
    <s v="Non-Manager"/>
    <x v="0"/>
    <n v="116200"/>
    <s v="D"/>
    <n v="1600"/>
    <s v="None"/>
    <n v="8"/>
    <n v="2"/>
    <x v="3"/>
    <s v="user174@gmail.com"/>
  </r>
  <r>
    <s v="E175"/>
    <s v="Mr."/>
    <x v="174"/>
    <x v="0"/>
    <d v="1993-11-16T00:00:00"/>
    <n v="32"/>
    <x v="0"/>
    <x v="2"/>
    <s v="Christian"/>
    <s v="Indian"/>
    <s v="Married"/>
    <s v="+917763938051"/>
    <d v="2016-12-15T00:00:00"/>
    <x v="0"/>
    <x v="1"/>
    <s v="Officer"/>
    <s v="Non-Manager"/>
    <x v="2"/>
    <n v="104800"/>
    <s v="B"/>
    <n v="3100"/>
    <s v="Health"/>
    <n v="2"/>
    <n v="3"/>
    <x v="4"/>
    <s v="user175@gmail.com"/>
  </r>
  <r>
    <s v="E176"/>
    <s v="Ms."/>
    <x v="175"/>
    <x v="1"/>
    <d v="1990-12-24T00:00:00"/>
    <n v="35"/>
    <x v="0"/>
    <x v="2"/>
    <s v="Muslim"/>
    <s v="Indian"/>
    <s v="Single"/>
    <s v="+917580524882"/>
    <d v="2010-07-30T00:00:00"/>
    <x v="1"/>
    <x v="3"/>
    <s v="Senior Executive"/>
    <s v="Non-Manager"/>
    <x v="1"/>
    <n v="97000"/>
    <s v="C"/>
    <n v="1400"/>
    <s v="None"/>
    <n v="3"/>
    <n v="1"/>
    <x v="2"/>
    <s v="user176@gmail.com"/>
  </r>
  <r>
    <s v="E177"/>
    <s v="Mr."/>
    <x v="176"/>
    <x v="0"/>
    <d v="1996-12-17T00:00:00"/>
    <n v="29"/>
    <x v="3"/>
    <x v="3"/>
    <s v="Hindu"/>
    <s v="Indian"/>
    <s v="Single"/>
    <s v="+919410584306"/>
    <d v="2023-12-21T00:00:00"/>
    <x v="2"/>
    <x v="0"/>
    <s v="Officer"/>
    <s v="Non-Manager"/>
    <x v="0"/>
    <n v="139000"/>
    <s v="A"/>
    <n v="2300"/>
    <s v="Health + Dental"/>
    <n v="5"/>
    <n v="2"/>
    <x v="0"/>
    <s v="user177@gmail.com"/>
  </r>
  <r>
    <s v="E178"/>
    <s v="Ms."/>
    <x v="177"/>
    <x v="1"/>
    <d v="1974-08-11T00:00:00"/>
    <n v="51"/>
    <x v="1"/>
    <x v="1"/>
    <s v="Hindu"/>
    <s v="Indian"/>
    <s v="Single"/>
    <s v="+916876530284"/>
    <d v="1995-08-17T00:00:00"/>
    <x v="0"/>
    <x v="1"/>
    <s v="Senior Executive"/>
    <s v="Non-Manager"/>
    <x v="1"/>
    <n v="80000"/>
    <s v="B"/>
    <n v="2600"/>
    <s v="Health"/>
    <n v="1"/>
    <n v="3"/>
    <x v="1"/>
    <s v="user178@gmail.com"/>
  </r>
  <r>
    <s v="E179"/>
    <s v="Mr."/>
    <x v="178"/>
    <x v="0"/>
    <d v="1976-01-01T00:00:00"/>
    <n v="50"/>
    <x v="2"/>
    <x v="2"/>
    <s v="Muslim"/>
    <s v="Indian"/>
    <s v="Married"/>
    <s v="+916421127273"/>
    <d v="1999-07-18T00:00:00"/>
    <x v="1"/>
    <x v="3"/>
    <s v="Staff"/>
    <s v="Manager"/>
    <x v="2"/>
    <n v="74000"/>
    <s v="D"/>
    <n v="1800"/>
    <s v="None"/>
    <n v="6"/>
    <n v="1"/>
    <x v="2"/>
    <s v="user179@gmail.com"/>
  </r>
  <r>
    <s v="E180"/>
    <s v="Ms."/>
    <x v="179"/>
    <x v="1"/>
    <d v="1994-02-18T00:00:00"/>
    <n v="32"/>
    <x v="0"/>
    <x v="0"/>
    <s v="Hindu"/>
    <s v="Indian"/>
    <s v="Single"/>
    <s v="+917420253591"/>
    <d v="2015-09-21T00:00:00"/>
    <x v="0"/>
    <x v="2"/>
    <s v="Staff"/>
    <s v="Non-Manager"/>
    <x v="0"/>
    <n v="108800"/>
    <s v="C"/>
    <n v="2100"/>
    <s v="Health"/>
    <n v="7"/>
    <n v="2"/>
    <x v="3"/>
    <s v="user180@gmail.com"/>
  </r>
  <r>
    <s v="E181"/>
    <s v="Mr."/>
    <x v="180"/>
    <x v="0"/>
    <d v="1978-02-07T00:00:00"/>
    <n v="48"/>
    <x v="2"/>
    <x v="1"/>
    <s v="Sikh"/>
    <s v="Indian"/>
    <s v="Single"/>
    <s v="+917230004322"/>
    <d v="2002-06-26T00:00:00"/>
    <x v="1"/>
    <x v="0"/>
    <s v="Staff"/>
    <s v="Non-Manager"/>
    <x v="1"/>
    <n v="93000"/>
    <s v="A"/>
    <n v="1200"/>
    <s v="None"/>
    <n v="4"/>
    <n v="5"/>
    <x v="4"/>
    <s v="user181@gmail.com"/>
  </r>
  <r>
    <s v="E182"/>
    <s v="Ms."/>
    <x v="181"/>
    <x v="1"/>
    <d v="1971-07-29T00:00:00"/>
    <n v="54"/>
    <x v="1"/>
    <x v="2"/>
    <s v="Hindu"/>
    <s v="Indian"/>
    <s v="Single"/>
    <s v="+917144662807"/>
    <d v="2001-08-11T00:00:00"/>
    <x v="0"/>
    <x v="1"/>
    <s v="Officer"/>
    <s v="Manager"/>
    <x v="2"/>
    <n v="69000"/>
    <s v="B"/>
    <n v="2400"/>
    <s v="Health"/>
    <n v="8"/>
    <n v="1"/>
    <x v="0"/>
    <s v="user182@gmail.com"/>
  </r>
  <r>
    <s v="E183"/>
    <s v="Mr."/>
    <x v="182"/>
    <x v="0"/>
    <d v="1993-08-20T00:00:00"/>
    <n v="32"/>
    <x v="0"/>
    <x v="1"/>
    <s v="Sikh"/>
    <s v="Indian"/>
    <s v="Married"/>
    <s v="+917891578554"/>
    <d v="2012-02-10T00:00:00"/>
    <x v="2"/>
    <x v="2"/>
    <s v="Officer"/>
    <s v="Non-Manager"/>
    <x v="0"/>
    <n v="54000"/>
    <s v="C"/>
    <n v="2700"/>
    <s v="Health + Dental"/>
    <n v="2"/>
    <n v="2"/>
    <x v="1"/>
    <s v="user183@gmail.com"/>
  </r>
  <r>
    <s v="E184"/>
    <s v="Ms."/>
    <x v="183"/>
    <x v="1"/>
    <d v="1975-04-17T00:00:00"/>
    <n v="50"/>
    <x v="2"/>
    <x v="3"/>
    <s v="Muslim"/>
    <s v="Indian"/>
    <s v="Married"/>
    <s v="+916329216601"/>
    <d v="1995-05-28T00:00:00"/>
    <x v="1"/>
    <x v="3"/>
    <s v="Staff"/>
    <s v="Non-Manager"/>
    <x v="1"/>
    <n v="118000"/>
    <s v="D"/>
    <n v="1900"/>
    <s v="None"/>
    <n v="3"/>
    <n v="3"/>
    <x v="2"/>
    <s v="user184@gmail.com"/>
  </r>
  <r>
    <s v="E185"/>
    <s v="Mr."/>
    <x v="184"/>
    <x v="0"/>
    <d v="1978-01-22T00:00:00"/>
    <n v="48"/>
    <x v="2"/>
    <x v="1"/>
    <s v="Christian"/>
    <s v="Indian"/>
    <s v="Married"/>
    <s v="+918434636687"/>
    <d v="2003-01-24T00:00:00"/>
    <x v="0"/>
    <x v="0"/>
    <s v="Staff"/>
    <s v="Non-Manager"/>
    <x v="0"/>
    <n v="106800"/>
    <s v="A"/>
    <n v="3400"/>
    <s v="Health"/>
    <n v="5"/>
    <n v="1"/>
    <x v="4"/>
    <s v="user185@gmail.com"/>
  </r>
  <r>
    <s v="E186"/>
    <s v="Ms."/>
    <x v="185"/>
    <x v="1"/>
    <d v="1978-02-20T00:00:00"/>
    <n v="48"/>
    <x v="2"/>
    <x v="0"/>
    <s v="Hindu"/>
    <s v="Indian"/>
    <s v="Single"/>
    <s v="+918993235411"/>
    <d v="2002-03-25T00:00:00"/>
    <x v="1"/>
    <x v="2"/>
    <s v="Staff"/>
    <s v="Non-Manager"/>
    <x v="2"/>
    <n v="94000"/>
    <s v="B"/>
    <n v="1500"/>
    <s v="None"/>
    <n v="1"/>
    <n v="2"/>
    <x v="3"/>
    <s v="user186@gmail.com"/>
  </r>
  <r>
    <s v="E187"/>
    <s v="Mr."/>
    <x v="186"/>
    <x v="0"/>
    <d v="1981-03-01T00:00:00"/>
    <n v="45"/>
    <x v="2"/>
    <x v="2"/>
    <s v="Hindu"/>
    <s v="Indian"/>
    <s v="Married"/>
    <s v="+919970506157"/>
    <d v="2005-07-04T00:00:00"/>
    <x v="0"/>
    <x v="1"/>
    <s v="Staff"/>
    <s v="Manager"/>
    <x v="1"/>
    <n v="131000"/>
    <s v="C"/>
    <n v="2200"/>
    <s v="Health"/>
    <n v="6"/>
    <n v="3"/>
    <x v="0"/>
    <s v="user187@gmail.com"/>
  </r>
  <r>
    <s v="E188"/>
    <s v="Ms."/>
    <x v="187"/>
    <x v="1"/>
    <d v="1977-09-10T00:00:00"/>
    <n v="48"/>
    <x v="2"/>
    <x v="2"/>
    <s v="Sikh"/>
    <s v="Indian"/>
    <s v="Single"/>
    <s v="+918255123245"/>
    <d v="2002-04-28T00:00:00"/>
    <x v="1"/>
    <x v="3"/>
    <s v="Senior Officer"/>
    <s v="Manager"/>
    <x v="0"/>
    <n v="89000"/>
    <s v="A"/>
    <n v="2600"/>
    <s v="None"/>
    <n v="7"/>
    <n v="1"/>
    <x v="1"/>
    <s v="user188@gmail.com"/>
  </r>
  <r>
    <s v="E189"/>
    <s v="Mr."/>
    <x v="188"/>
    <x v="0"/>
    <d v="2003-11-02T00:00:00"/>
    <n v="22"/>
    <x v="3"/>
    <x v="2"/>
    <s v="Christian"/>
    <s v="Indian"/>
    <s v="Married"/>
    <s v="+918379521219"/>
    <d v="2021-11-12T00:00:00"/>
    <x v="2"/>
    <x v="0"/>
    <s v="Staff"/>
    <s v="Non-Manager"/>
    <x v="2"/>
    <n v="66000"/>
    <s v="D"/>
    <n v="1700"/>
    <s v="Health + Dental"/>
    <n v="4"/>
    <n v="2"/>
    <x v="2"/>
    <s v="user189@gmail.com"/>
  </r>
  <r>
    <s v="E190"/>
    <s v="Ms."/>
    <x v="189"/>
    <x v="1"/>
    <d v="1978-05-19T00:00:00"/>
    <n v="47"/>
    <x v="2"/>
    <x v="3"/>
    <s v="Hindu"/>
    <s v="Indian"/>
    <s v="Single"/>
    <s v="+918358613334"/>
    <d v="2005-07-05T00:00:00"/>
    <x v="0"/>
    <x v="1"/>
    <s v="Manager"/>
    <s v="Non-Manager"/>
    <x v="1"/>
    <n v="121500"/>
    <s v="B"/>
    <n v="2300"/>
    <s v="Health"/>
    <n v="8"/>
    <n v="3"/>
    <x v="3"/>
    <s v="user190@gmail.com"/>
  </r>
  <r>
    <s v="E191"/>
    <s v="Mr."/>
    <x v="190"/>
    <x v="0"/>
    <d v="1980-09-04T00:00:00"/>
    <n v="45"/>
    <x v="2"/>
    <x v="1"/>
    <s v="Hindu"/>
    <s v="Indian"/>
    <s v="Single"/>
    <s v="+918737706933"/>
    <d v="2005-12-25T00:00:00"/>
    <x v="1"/>
    <x v="3"/>
    <s v="Staff"/>
    <s v="Manager"/>
    <x v="0"/>
    <n v="98000"/>
    <s v="C"/>
    <n v="1300"/>
    <s v="None"/>
    <n v="0"/>
    <n v="1"/>
    <x v="4"/>
    <s v="user191@gmail.com"/>
  </r>
  <r>
    <s v="E192"/>
    <s v="Ms."/>
    <x v="191"/>
    <x v="1"/>
    <d v="1975-08-27T00:00:00"/>
    <n v="50"/>
    <x v="2"/>
    <x v="0"/>
    <s v="Christian"/>
    <s v="Indian"/>
    <s v="Single"/>
    <s v="+916327738423"/>
    <d v="2000-12-18T00:00:00"/>
    <x v="0"/>
    <x v="2"/>
    <s v="Staff"/>
    <s v="Non-Manager"/>
    <x v="1"/>
    <n v="102200"/>
    <s v="A"/>
    <n v="2500"/>
    <s v="Health"/>
    <n v="9"/>
    <n v="2"/>
    <x v="2"/>
    <s v="user192@gmail.com"/>
  </r>
  <r>
    <s v="E193"/>
    <s v="Mr."/>
    <x v="192"/>
    <x v="0"/>
    <d v="2003-01-19T00:00:00"/>
    <n v="23"/>
    <x v="3"/>
    <x v="0"/>
    <s v="Muslim"/>
    <s v="Indian"/>
    <s v="Single"/>
    <s v="+919153299843"/>
    <d v="2023-05-23T00:00:00"/>
    <x v="1"/>
    <x v="0"/>
    <s v="Staff"/>
    <s v="Non-Manager"/>
    <x v="2"/>
    <n v="73000"/>
    <s v="B"/>
    <n v="2800"/>
    <s v="None"/>
    <n v="10"/>
    <n v="3"/>
    <x v="0"/>
    <s v="user193@gmail.com"/>
  </r>
  <r>
    <s v="E194"/>
    <s v="Ms."/>
    <x v="193"/>
    <x v="1"/>
    <d v="1984-02-13T00:00:00"/>
    <n v="42"/>
    <x v="2"/>
    <x v="3"/>
    <s v="Muslim"/>
    <s v="Indian"/>
    <s v="Single"/>
    <s v="+917628267530"/>
    <d v="2003-12-23T00:00:00"/>
    <x v="0"/>
    <x v="1"/>
    <s v="Staff"/>
    <s v="Non-Manager"/>
    <x v="0"/>
    <n v="84000"/>
    <s v="D"/>
    <n v="1600"/>
    <s v="Health"/>
    <n v="11"/>
    <n v="1"/>
    <x v="1"/>
    <s v="user194@gmail.com"/>
  </r>
  <r>
    <s v="E195"/>
    <s v="Mr."/>
    <x v="194"/>
    <x v="0"/>
    <d v="1980-01-30T00:00:00"/>
    <n v="46"/>
    <x v="2"/>
    <x v="2"/>
    <s v="Muslim"/>
    <s v="Indian"/>
    <s v="Married"/>
    <s v="+918204677386"/>
    <d v="2004-08-17T00:00:00"/>
    <x v="2"/>
    <x v="2"/>
    <s v="Staff"/>
    <s v="Manager"/>
    <x v="1"/>
    <n v="60000"/>
    <s v="C"/>
    <n v="3200"/>
    <s v="Health + Dental"/>
    <n v="12"/>
    <n v="2"/>
    <x v="3"/>
    <s v="user195@gmail.com"/>
  </r>
  <r>
    <s v="E196"/>
    <s v="Ms."/>
    <x v="195"/>
    <x v="1"/>
    <d v="1982-11-09T00:00:00"/>
    <n v="43"/>
    <x v="2"/>
    <x v="1"/>
    <s v="Sikh"/>
    <s v="Indian"/>
    <s v="Married"/>
    <s v="+919725397614"/>
    <d v="2003-04-09T00:00:00"/>
    <x v="1"/>
    <x v="3"/>
    <s v="Staff"/>
    <s v="Non-Manager"/>
    <x v="2"/>
    <n v="114500"/>
    <s v="A"/>
    <n v="1400"/>
    <s v="None"/>
    <n v="13"/>
    <n v="3"/>
    <x v="4"/>
    <s v="user196@gmail.com"/>
  </r>
  <r>
    <s v="E197"/>
    <s v="Mr."/>
    <x v="196"/>
    <x v="0"/>
    <d v="1994-02-04T00:00:00"/>
    <n v="32"/>
    <x v="0"/>
    <x v="1"/>
    <s v="Christian"/>
    <s v="Indian"/>
    <s v="Single"/>
    <s v="+917450495627"/>
    <d v="2014-06-04T00:00:00"/>
    <x v="0"/>
    <x v="0"/>
    <s v="Staff"/>
    <s v="Non-Manager"/>
    <x v="0"/>
    <n v="92000"/>
    <s v="B"/>
    <n v="2100"/>
    <s v="Health"/>
    <n v="14"/>
    <n v="1"/>
    <x v="2"/>
    <s v="user197@gmail.com"/>
  </r>
  <r>
    <s v="E198"/>
    <s v="Ms."/>
    <x v="197"/>
    <x v="1"/>
    <d v="1984-05-09T00:00:00"/>
    <n v="41"/>
    <x v="2"/>
    <x v="2"/>
    <s v="Muslim"/>
    <s v="Indian"/>
    <s v="Married"/>
    <s v="+916745407370"/>
    <d v="2004-10-08T00:00:00"/>
    <x v="1"/>
    <x v="2"/>
    <s v="Manager"/>
    <s v="Non-Manager"/>
    <x v="1"/>
    <n v="147000"/>
    <s v="C"/>
    <n v="2600"/>
    <s v="None"/>
    <n v="3"/>
    <n v="2"/>
    <x v="0"/>
    <s v="user198@gmail.com"/>
  </r>
  <r>
    <s v="E199"/>
    <s v="Mr."/>
    <x v="198"/>
    <x v="0"/>
    <d v="1976-03-26T00:00:00"/>
    <n v="50"/>
    <x v="2"/>
    <x v="0"/>
    <s v="Sikh"/>
    <s v="Indian"/>
    <s v="Single"/>
    <s v="+918996204582"/>
    <d v="2006-07-06T00:00:00"/>
    <x v="0"/>
    <x v="1"/>
    <s v="Staff"/>
    <s v="Non-Manager"/>
    <x v="0"/>
    <n v="88000"/>
    <s v="D"/>
    <n v="1800"/>
    <s v="Health"/>
    <n v="2"/>
    <n v="3"/>
    <x v="1"/>
    <s v="user199@gmail.com"/>
  </r>
  <r>
    <s v="E200"/>
    <s v="Ms."/>
    <x v="199"/>
    <x v="1"/>
    <d v="2002-07-14T00:00:00"/>
    <n v="23"/>
    <x v="3"/>
    <x v="3"/>
    <s v="Sikh"/>
    <s v="Indian"/>
    <s v="Married"/>
    <s v="+917654647237"/>
    <d v="2021-03-16T00:00:00"/>
    <x v="1"/>
    <x v="3"/>
    <s v="Senior Officer"/>
    <s v="Non-Manager"/>
    <x v="2"/>
    <n v="71000"/>
    <s v="A"/>
    <n v="2200"/>
    <s v="None"/>
    <n v="5"/>
    <n v="1"/>
    <x v="4"/>
    <s v="user200@gmail.co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18FB35-2E67-4E1C-BBA7-36B03AE56F5D}"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4:G9" firstHeaderRow="0" firstDataRow="1" firstDataCol="1"/>
  <pivotFields count="26">
    <pivotField showAll="0"/>
    <pivotField showAll="0"/>
    <pivotField showAll="0"/>
    <pivotField showAll="0">
      <items count="3">
        <item x="1"/>
        <item x="0"/>
        <item t="default"/>
      </items>
    </pivotField>
    <pivotField numFmtId="14" showAll="0"/>
    <pivotField showAll="0"/>
    <pivotField showAll="0"/>
    <pivotField showAll="0"/>
    <pivotField showAll="0"/>
    <pivotField showAll="0"/>
    <pivotField showAll="0"/>
    <pivotField showAll="0"/>
    <pivotField numFmtId="14" showAll="0"/>
    <pivotField showAll="0"/>
    <pivotField axis="axisRow" showAll="0">
      <items count="10">
        <item m="1" x="4"/>
        <item x="1"/>
        <item m="1" x="8"/>
        <item m="1" x="5"/>
        <item m="1" x="6"/>
        <item m="1" x="7"/>
        <item x="3"/>
        <item x="2"/>
        <item x="0"/>
        <item t="default"/>
      </items>
    </pivotField>
    <pivotField showAll="0"/>
    <pivotField showAll="0"/>
    <pivotField showAll="0"/>
    <pivotField dataField="1" numFmtId="6" showAll="0"/>
    <pivotField showAll="0"/>
    <pivotField numFmtId="6" showAll="0"/>
    <pivotField showAll="0"/>
    <pivotField dataField="1" showAll="0"/>
    <pivotField showAll="0"/>
    <pivotField showAll="0"/>
    <pivotField showAll="0"/>
  </pivotFields>
  <rowFields count="1">
    <field x="14"/>
  </rowFields>
  <rowItems count="5">
    <i>
      <x v="1"/>
    </i>
    <i>
      <x v="6"/>
    </i>
    <i>
      <x v="7"/>
    </i>
    <i>
      <x v="8"/>
    </i>
    <i t="grand">
      <x/>
    </i>
  </rowItems>
  <colFields count="1">
    <field x="-2"/>
  </colFields>
  <colItems count="2">
    <i>
      <x/>
    </i>
    <i i="1">
      <x v="1"/>
    </i>
  </colItems>
  <dataFields count="2">
    <dataField name="Sum of Salary" fld="18" baseField="0" baseItem="0" numFmtId="6"/>
    <dataField name="Sum of Leave Taken"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6DD5B2-52A9-4463-86F4-02213B709CF8}" name="Age range" cacheId="8"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chartFormat="6">
  <location ref="I4:L11" firstHeaderRow="1" firstDataRow="2" firstDataCol="1"/>
  <pivotFields count="26">
    <pivotField showAll="0"/>
    <pivotField showAll="0"/>
    <pivotField dataField="1" showAll="0"/>
    <pivotField axis="axisCol" showAll="0">
      <items count="3">
        <item x="1"/>
        <item x="0"/>
        <item t="default"/>
      </items>
    </pivotField>
    <pivotField numFmtId="14" showAll="0"/>
    <pivotField showAll="0"/>
    <pivotField axis="axisRow" showAll="0">
      <items count="6">
        <item x="4"/>
        <item x="3"/>
        <item x="0"/>
        <item x="2"/>
        <item x="1"/>
        <item t="default"/>
      </items>
    </pivotField>
    <pivotField showAll="0"/>
    <pivotField showAll="0"/>
    <pivotField showAll="0"/>
    <pivotField showAll="0"/>
    <pivotField showAll="0"/>
    <pivotField numFmtId="14" showAll="0"/>
    <pivotField showAll="0"/>
    <pivotField showAll="0">
      <items count="10">
        <item m="1" x="4"/>
        <item x="1"/>
        <item m="1" x="8"/>
        <item m="1" x="5"/>
        <item m="1" x="6"/>
        <item m="1" x="7"/>
        <item x="3"/>
        <item x="2"/>
        <item x="0"/>
        <item t="default"/>
      </items>
    </pivotField>
    <pivotField showAll="0"/>
    <pivotField showAll="0"/>
    <pivotField showAll="0"/>
    <pivotField numFmtId="6" showAll="0"/>
    <pivotField showAll="0"/>
    <pivotField numFmtId="6" showAll="0"/>
    <pivotField showAll="0"/>
    <pivotField showAll="0"/>
    <pivotField showAll="0"/>
    <pivotField showAll="0"/>
    <pivotField showAll="0"/>
  </pivotFields>
  <rowFields count="1">
    <field x="6"/>
  </rowFields>
  <rowItems count="6">
    <i>
      <x/>
    </i>
    <i>
      <x v="1"/>
    </i>
    <i>
      <x v="2"/>
    </i>
    <i>
      <x v="3"/>
    </i>
    <i>
      <x v="4"/>
    </i>
    <i t="grand">
      <x/>
    </i>
  </rowItems>
  <colFields count="1">
    <field x="3"/>
  </colFields>
  <colItems count="3">
    <i>
      <x/>
    </i>
    <i>
      <x v="1"/>
    </i>
    <i t="grand">
      <x/>
    </i>
  </colItems>
  <dataFields count="1">
    <dataField name="Count of Full Name" fld="2" subtotal="count" baseField="0" baseItem="0"/>
  </dataFields>
  <chartFormats count="2">
    <chartFormat chart="4" format="2" series="1">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416086-54B3-4419-80AF-45888507CBF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O8" firstHeaderRow="1" firstDataRow="1" firstDataCol="1"/>
  <pivotFields count="26">
    <pivotField showAll="0"/>
    <pivotField showAll="0"/>
    <pivotField dataField="1" showAll="0"/>
    <pivotField showAll="0">
      <items count="3">
        <item x="1"/>
        <item x="0"/>
        <item t="default"/>
      </items>
    </pivotField>
    <pivotField numFmtId="14" showAll="0"/>
    <pivotField showAll="0"/>
    <pivotField showAll="0"/>
    <pivotField showAll="0"/>
    <pivotField showAll="0"/>
    <pivotField showAll="0"/>
    <pivotField showAll="0"/>
    <pivotField showAll="0"/>
    <pivotField numFmtId="14" showAll="0"/>
    <pivotField showAll="0"/>
    <pivotField showAll="0">
      <items count="10">
        <item m="1" x="4"/>
        <item x="1"/>
        <item m="1" x="8"/>
        <item m="1" x="5"/>
        <item m="1" x="6"/>
        <item m="1" x="7"/>
        <item x="3"/>
        <item x="2"/>
        <item x="0"/>
        <item t="default"/>
      </items>
    </pivotField>
    <pivotField showAll="0"/>
    <pivotField showAll="0"/>
    <pivotField axis="axisRow" showAll="0">
      <items count="4">
        <item x="0"/>
        <item x="1"/>
        <item x="2"/>
        <item t="default"/>
      </items>
    </pivotField>
    <pivotField numFmtId="6" showAll="0"/>
    <pivotField showAll="0"/>
    <pivotField numFmtId="6" showAll="0"/>
    <pivotField showAll="0"/>
    <pivotField showAll="0"/>
    <pivotField showAll="0"/>
    <pivotField showAll="0"/>
    <pivotField showAll="0"/>
  </pivotFields>
  <rowFields count="1">
    <field x="17"/>
  </rowFields>
  <rowItems count="4">
    <i>
      <x/>
    </i>
    <i>
      <x v="1"/>
    </i>
    <i>
      <x v="2"/>
    </i>
    <i t="grand">
      <x/>
    </i>
  </rowItems>
  <colItems count="1">
    <i/>
  </colItems>
  <dataFields count="1">
    <dataField name="Count of Full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13E4F1-EF70-4A72-9487-213E40859A65}" name="PivotTable6" cacheId="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Y4:Z9" firstHeaderRow="1" firstDataRow="1" firstDataCol="1"/>
  <pivotFields count="26">
    <pivotField showAll="0"/>
    <pivotField showAll="0"/>
    <pivotField showAll="0"/>
    <pivotField showAll="0">
      <items count="3">
        <item x="1"/>
        <item x="0"/>
        <item t="default"/>
      </items>
    </pivotField>
    <pivotField numFmtId="14" showAll="0"/>
    <pivotField showAll="0"/>
    <pivotField showAll="0"/>
    <pivotField showAll="0"/>
    <pivotField showAll="0"/>
    <pivotField showAll="0"/>
    <pivotField showAll="0"/>
    <pivotField showAll="0"/>
    <pivotField numFmtId="14" showAll="0"/>
    <pivotField showAll="0"/>
    <pivotField axis="axisRow" showAll="0">
      <items count="10">
        <item m="1" x="4"/>
        <item x="1"/>
        <item m="1" x="8"/>
        <item m="1" x="5"/>
        <item m="1" x="6"/>
        <item m="1" x="7"/>
        <item x="3"/>
        <item x="2"/>
        <item x="0"/>
        <item t="default"/>
      </items>
    </pivotField>
    <pivotField showAll="0"/>
    <pivotField showAll="0"/>
    <pivotField showAll="0"/>
    <pivotField numFmtId="6" showAll="0"/>
    <pivotField showAll="0"/>
    <pivotField numFmtId="6" showAll="0"/>
    <pivotField showAll="0"/>
    <pivotField showAll="0"/>
    <pivotField dataField="1" showAll="0"/>
    <pivotField showAll="0"/>
    <pivotField showAll="0"/>
  </pivotFields>
  <rowFields count="1">
    <field x="14"/>
  </rowFields>
  <rowItems count="5">
    <i>
      <x v="1"/>
    </i>
    <i>
      <x v="6"/>
    </i>
    <i>
      <x v="7"/>
    </i>
    <i>
      <x v="8"/>
    </i>
    <i t="grand">
      <x/>
    </i>
  </rowItems>
  <colItems count="1">
    <i/>
  </colItems>
  <dataFields count="1">
    <dataField name="Average of Performance Rating" fld="23" subtotal="average" baseField="14" baseItem="1" numFmtId="2"/>
  </dataFields>
  <formats count="2">
    <format dxfId="7">
      <pivotArea outline="0" collapsedLevelsAreSubtotals="1" fieldPosition="0"/>
    </format>
    <format dxfId="6">
      <pivotArea collapsedLevelsAreSubtotals="1" fieldPosition="0">
        <references count="1">
          <reference field="1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A3ACB5-0697-4E0C-A849-6D78A1A1DE73}"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8" firstHeaderRow="1" firstDataRow="1" firstDataCol="1"/>
  <pivotFields count="26">
    <pivotField showAll="0"/>
    <pivotField showAll="0"/>
    <pivotField dataField="1" showAll="0"/>
    <pivotField showAll="0">
      <items count="3">
        <item x="1"/>
        <item x="0"/>
        <item t="default"/>
      </items>
    </pivotField>
    <pivotField numFmtId="14" showAll="0"/>
    <pivotField showAll="0"/>
    <pivotField showAll="0"/>
    <pivotField showAll="0"/>
    <pivotField showAll="0"/>
    <pivotField showAll="0"/>
    <pivotField showAll="0"/>
    <pivotField showAll="0"/>
    <pivotField numFmtId="14" showAll="0"/>
    <pivotField axis="axisRow" showAll="0">
      <items count="4">
        <item x="2"/>
        <item x="0"/>
        <item x="1"/>
        <item t="default"/>
      </items>
    </pivotField>
    <pivotField showAll="0">
      <items count="10">
        <item m="1" x="4"/>
        <item x="1"/>
        <item m="1" x="8"/>
        <item m="1" x="5"/>
        <item m="1" x="6"/>
        <item m="1" x="7"/>
        <item x="3"/>
        <item x="2"/>
        <item x="0"/>
        <item t="default"/>
      </items>
    </pivotField>
    <pivotField showAll="0"/>
    <pivotField showAll="0"/>
    <pivotField showAll="0"/>
    <pivotField numFmtId="6" showAll="0"/>
    <pivotField showAll="0"/>
    <pivotField numFmtId="6" showAll="0"/>
    <pivotField showAll="0"/>
    <pivotField showAll="0"/>
    <pivotField showAll="0"/>
    <pivotField showAll="0"/>
    <pivotField showAll="0"/>
  </pivotFields>
  <rowFields count="1">
    <field x="13"/>
  </rowFields>
  <rowItems count="4">
    <i>
      <x/>
    </i>
    <i>
      <x v="1"/>
    </i>
    <i>
      <x v="2"/>
    </i>
    <i t="grand">
      <x/>
    </i>
  </rowItems>
  <colItems count="1">
    <i/>
  </colItems>
  <dataFields count="1">
    <dataField name="Count of Full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074E6-8ECC-4194-B475-0EBABC23D64F}"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4:AB5" firstHeaderRow="1" firstDataRow="1" firstDataCol="0" rowPageCount="1" colPageCount="1"/>
  <pivotFields count="26">
    <pivotField showAll="0"/>
    <pivotField showAll="0"/>
    <pivotField showAll="0">
      <items count="201">
        <item x="0"/>
        <item x="22"/>
        <item x="13"/>
        <item x="4"/>
        <item x="177"/>
        <item x="61"/>
        <item x="173"/>
        <item x="158"/>
        <item x="113"/>
        <item x="26"/>
        <item x="76"/>
        <item x="33"/>
        <item x="116"/>
        <item x="87"/>
        <item x="139"/>
        <item x="1"/>
        <item x="46"/>
        <item x="54"/>
        <item x="168"/>
        <item x="69"/>
        <item x="144"/>
        <item x="194"/>
        <item x="105"/>
        <item x="131"/>
        <item x="119"/>
        <item x="198"/>
        <item x="180"/>
        <item x="48"/>
        <item x="153"/>
        <item x="93"/>
        <item x="147"/>
        <item x="64"/>
        <item x="77"/>
        <item x="39"/>
        <item x="41"/>
        <item x="44"/>
        <item x="20"/>
        <item x="137"/>
        <item x="32"/>
        <item x="196"/>
        <item x="42"/>
        <item x="97"/>
        <item x="86"/>
        <item x="109"/>
        <item x="161"/>
        <item x="182"/>
        <item x="149"/>
        <item x="71"/>
        <item x="21"/>
        <item x="160"/>
        <item x="107"/>
        <item x="94"/>
        <item x="68"/>
        <item x="186"/>
        <item x="72"/>
        <item x="10"/>
        <item x="189"/>
        <item x="123"/>
        <item x="128"/>
        <item x="9"/>
        <item x="100"/>
        <item x="134"/>
        <item x="37"/>
        <item x="88"/>
        <item x="43"/>
        <item x="127"/>
        <item x="152"/>
        <item x="34"/>
        <item x="115"/>
        <item x="65"/>
        <item x="197"/>
        <item x="138"/>
        <item x="5"/>
        <item x="169"/>
        <item x="78"/>
        <item x="91"/>
        <item x="17"/>
        <item x="176"/>
        <item x="55"/>
        <item x="155"/>
        <item x="28"/>
        <item x="121"/>
        <item x="83"/>
        <item x="112"/>
        <item x="98"/>
        <item x="141"/>
        <item x="40"/>
        <item x="193"/>
        <item x="163"/>
        <item x="60"/>
        <item x="7"/>
        <item x="120"/>
        <item x="151"/>
        <item x="181"/>
        <item x="89"/>
        <item x="16"/>
        <item x="154"/>
        <item x="51"/>
        <item x="188"/>
        <item x="126"/>
        <item x="85"/>
        <item x="36"/>
        <item x="167"/>
        <item x="108"/>
        <item x="15"/>
        <item x="70"/>
        <item x="80"/>
        <item x="81"/>
        <item x="110"/>
        <item x="27"/>
        <item x="192"/>
        <item x="92"/>
        <item x="31"/>
        <item x="164"/>
        <item x="57"/>
        <item x="143"/>
        <item x="52"/>
        <item x="30"/>
        <item x="118"/>
        <item x="63"/>
        <item x="19"/>
        <item x="132"/>
        <item x="104"/>
        <item x="82"/>
        <item x="175"/>
        <item x="95"/>
        <item x="129"/>
        <item x="101"/>
        <item x="135"/>
        <item x="162"/>
        <item x="58"/>
        <item x="183"/>
        <item x="8"/>
        <item x="156"/>
        <item x="62"/>
        <item x="184"/>
        <item x="67"/>
        <item x="191"/>
        <item x="49"/>
        <item x="45"/>
        <item x="146"/>
        <item x="2"/>
        <item x="38"/>
        <item x="117"/>
        <item x="166"/>
        <item x="171"/>
        <item x="73"/>
        <item x="24"/>
        <item x="18"/>
        <item x="165"/>
        <item x="99"/>
        <item x="170"/>
        <item x="178"/>
        <item x="150"/>
        <item x="133"/>
        <item x="159"/>
        <item x="90"/>
        <item x="179"/>
        <item x="190"/>
        <item x="140"/>
        <item x="114"/>
        <item x="29"/>
        <item x="79"/>
        <item x="25"/>
        <item x="199"/>
        <item x="53"/>
        <item x="66"/>
        <item x="6"/>
        <item x="130"/>
        <item x="96"/>
        <item x="195"/>
        <item x="136"/>
        <item x="47"/>
        <item x="59"/>
        <item x="3"/>
        <item x="174"/>
        <item x="106"/>
        <item x="102"/>
        <item x="157"/>
        <item x="23"/>
        <item x="84"/>
        <item x="187"/>
        <item x="111"/>
        <item x="50"/>
        <item x="145"/>
        <item x="124"/>
        <item x="185"/>
        <item x="35"/>
        <item x="172"/>
        <item x="75"/>
        <item x="142"/>
        <item x="11"/>
        <item x="122"/>
        <item x="12"/>
        <item x="56"/>
        <item x="74"/>
        <item x="103"/>
        <item x="148"/>
        <item x="125"/>
        <item x="14"/>
        <item t="default"/>
      </items>
    </pivotField>
    <pivotField axis="axisPage" dataField="1" showAll="0">
      <items count="3">
        <item x="1"/>
        <item x="0"/>
        <item t="default"/>
      </items>
    </pivotField>
    <pivotField numFmtId="14"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numFmtId="6" showAll="0"/>
    <pivotField showAll="0"/>
    <pivotField numFmtId="6" showAll="0"/>
    <pivotField showAll="0"/>
    <pivotField showAll="0"/>
    <pivotField showAll="0"/>
    <pivotField showAll="0"/>
    <pivotField showAll="0"/>
  </pivotFields>
  <rowItems count="1">
    <i/>
  </rowItems>
  <colItems count="1">
    <i/>
  </colItems>
  <pageFields count="1">
    <pageField fld="3" hier="-1"/>
  </pageFields>
  <dataFields count="1">
    <dataField name="Count of Gender" fld="3"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033FEE-F695-4089-AB43-A46F0B65A2C1}"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4:W9" firstHeaderRow="1" firstDataRow="1" firstDataCol="1"/>
  <pivotFields count="26">
    <pivotField showAll="0"/>
    <pivotField showAll="0"/>
    <pivotField dataField="1" showAll="0"/>
    <pivotField showAll="0">
      <items count="3">
        <item x="1"/>
        <item x="0"/>
        <item t="default"/>
      </items>
    </pivotField>
    <pivotField numFmtId="14" showAll="0"/>
    <pivotField showAll="0"/>
    <pivotField showAll="0"/>
    <pivotField axis="axisRow" showAll="0">
      <items count="5">
        <item x="0"/>
        <item x="2"/>
        <item x="3"/>
        <item x="1"/>
        <item t="default"/>
      </items>
    </pivotField>
    <pivotField showAll="0"/>
    <pivotField showAll="0"/>
    <pivotField showAll="0"/>
    <pivotField showAll="0"/>
    <pivotField numFmtId="14" showAll="0"/>
    <pivotField showAll="0"/>
    <pivotField showAll="0">
      <items count="10">
        <item m="1" x="4"/>
        <item x="1"/>
        <item m="1" x="8"/>
        <item m="1" x="5"/>
        <item m="1" x="6"/>
        <item m="1" x="7"/>
        <item x="3"/>
        <item x="2"/>
        <item x="0"/>
        <item t="default"/>
      </items>
    </pivotField>
    <pivotField showAll="0"/>
    <pivotField showAll="0"/>
    <pivotField showAll="0"/>
    <pivotField numFmtId="6" showAll="0"/>
    <pivotField showAll="0"/>
    <pivotField numFmtId="6"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Count of Full Name" fld="2" subtotal="count"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FDF141-424D-4FEB-BB0E-228EADDC7D32}"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4:T10" firstHeaderRow="1" firstDataRow="1" firstDataCol="1"/>
  <pivotFields count="26">
    <pivotField showAll="0"/>
    <pivotField showAll="0"/>
    <pivotField dataField="1" showAll="0"/>
    <pivotField showAll="0">
      <items count="3">
        <item x="1"/>
        <item x="0"/>
        <item t="default"/>
      </items>
    </pivotField>
    <pivotField numFmtId="14" showAll="0"/>
    <pivotField showAll="0"/>
    <pivotField showAll="0"/>
    <pivotField showAll="0"/>
    <pivotField showAll="0"/>
    <pivotField showAll="0"/>
    <pivotField showAll="0"/>
    <pivotField showAll="0"/>
    <pivotField numFmtId="14" showAll="0"/>
    <pivotField showAll="0"/>
    <pivotField showAll="0">
      <items count="10">
        <item m="1" x="4"/>
        <item x="1"/>
        <item m="1" x="8"/>
        <item m="1" x="5"/>
        <item m="1" x="6"/>
        <item m="1" x="7"/>
        <item x="3"/>
        <item x="2"/>
        <item x="0"/>
        <item t="default"/>
      </items>
    </pivotField>
    <pivotField showAll="0"/>
    <pivotField showAll="0"/>
    <pivotField showAll="0"/>
    <pivotField numFmtId="6" showAll="0"/>
    <pivotField showAll="0"/>
    <pivotField numFmtId="6" showAll="0"/>
    <pivotField showAll="0"/>
    <pivotField showAll="0"/>
    <pivotField showAll="0"/>
    <pivotField axis="axisRow" showAll="0">
      <items count="6">
        <item x="4"/>
        <item x="0"/>
        <item x="2"/>
        <item x="1"/>
        <item x="3"/>
        <item t="default"/>
      </items>
    </pivotField>
    <pivotField showAll="0"/>
  </pivotFields>
  <rowFields count="1">
    <field x="24"/>
  </rowFields>
  <rowItems count="6">
    <i>
      <x/>
    </i>
    <i>
      <x v="1"/>
    </i>
    <i>
      <x v="2"/>
    </i>
    <i>
      <x v="3"/>
    </i>
    <i>
      <x v="4"/>
    </i>
    <i t="grand">
      <x/>
    </i>
  </rowItems>
  <colItems count="1">
    <i/>
  </colItems>
  <dataFields count="1">
    <dataField name="Count of Full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221C5E9-FD16-42E1-A500-D9677FBDC17D}" sourceName="Gender">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86838395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925D977-252B-45B2-B6FB-AFEA80EA7FD7}" sourceName="Department">
  <pivotTables>
    <pivotTable tabId="4" name="PivotTable2"/>
    <pivotTable tabId="4" name="PivotTable1"/>
    <pivotTable tabId="4" name="PivotTable3"/>
    <pivotTable tabId="4" name="PivotTable4"/>
    <pivotTable tabId="4" name="PivotTable5"/>
    <pivotTable tabId="4" name="PivotTable6"/>
    <pivotTable tabId="4" name="Age range"/>
  </pivotTables>
  <data>
    <tabular pivotCacheId="868383956">
      <items count="9">
        <i x="1" s="1"/>
        <i x="3" s="1"/>
        <i x="2" s="1"/>
        <i x="0" s="1"/>
        <i x="4" s="1" nd="1"/>
        <i x="8" s="1" nd="1"/>
        <i x="5" s="1" nd="1"/>
        <i x="6"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9E4E9DF-7EFE-4DB4-B041-569CD4828A0E}" cache="Slicer_Gender" caption="Filter by Gender" columnCount="2" style="Slicer Style 1" rowHeight="247650"/>
  <slicer name="Department" xr10:uid="{72982ECC-DD73-44B6-B5F3-3EEF5EBA4369}" cache="Slicer_Department" caption="Department"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39D1F0-F29A-4B94-A9AF-AAF5AF7DB563}" name="Table1" displayName="Table1" ref="A1:AA201" totalsRowShown="0">
  <autoFilter ref="A1:AA201" xr:uid="{5439D1F0-F29A-4B94-A9AF-AAF5AF7DB563}"/>
  <tableColumns count="27">
    <tableColumn id="1" xr3:uid="{B7E6A9FE-402C-4A24-8DB9-7A1234D1E74B}" name="Emp_ID"/>
    <tableColumn id="2" xr3:uid="{F9439001-8461-43E1-8ABC-4B1B74334F35}" name="Salutation" dataDxfId="18"/>
    <tableColumn id="3" xr3:uid="{FBF9CC6A-70A0-4BFB-8724-B089E71272DB}" name="Full Name" dataDxfId="17"/>
    <tableColumn id="4" xr3:uid="{4DC52CCA-4AA5-4474-868F-665B341DDE26}" name="Gender">
      <calculatedColumnFormula>IF(B2="Mr.","Male","Female")</calculatedColumnFormula>
    </tableColumn>
    <tableColumn id="5" xr3:uid="{C61527E3-39FA-4CE9-854C-A7203C03A438}" name="Birth Date" dataDxfId="16"/>
    <tableColumn id="6" xr3:uid="{FF9D0184-CB64-429B-A210-43BB69D869FC}" name="Age">
      <calculatedColumnFormula>DATEDIF(E2, TODAY(), "Y")</calculatedColumnFormula>
    </tableColumn>
    <tableColumn id="7" xr3:uid="{FBF7D3FE-F8A2-4741-8B2F-3D7CA9DDCA2C}" name="Age Group">
      <calculatedColumnFormula>IF(F2&lt;=20,"10-20",IF(F2&lt;=30,"20-30",IF(F2&lt;=40,"30-40",IF(F2&lt;=50,"40-50","50-60"))))</calculatedColumnFormula>
    </tableColumn>
    <tableColumn id="18" xr3:uid="{84EC8785-CB4C-4CD8-877A-CBBBAC57CA40}" name="Region"/>
    <tableColumn id="8" xr3:uid="{4A1DC48A-35D7-49AE-A867-20549923E56F}" name="Religious Faith"/>
    <tableColumn id="9" xr3:uid="{97F13465-8553-48E8-9C2A-084513DA0890}" name="Nationality"/>
    <tableColumn id="10" xr3:uid="{E13FC3FC-8B09-4240-9888-308C86D88D33}" name="Marital Status"/>
    <tableColumn id="11" xr3:uid="{14967284-AC9D-454B-A10F-A1F41BECB5CE}" name="Mobile Phones"/>
    <tableColumn id="12" xr3:uid="{B63391BE-C400-4D81-8D80-79EA0FE31B68}" name="Hire Date" dataDxfId="15"/>
    <tableColumn id="13" xr3:uid="{49FE1266-7C26-46AB-95C5-7E160068F29F}" name="Employement Status"/>
    <tableColumn id="14" xr3:uid="{0FEC3C69-75F0-471D-BF0A-774CE590E9B2}" name="Department"/>
    <tableColumn id="15" xr3:uid="{1C7A690D-A972-4B43-9010-A449462CB77C}" name="Designation"/>
    <tableColumn id="16" xr3:uid="{EB1DC480-D060-4C15-8902-21A472857C70}" name="Job-level"/>
    <tableColumn id="19" xr3:uid="{F4DDF26B-9AA9-4F53-8A0F-F0F59875AEE8}" name="Work-Location"/>
    <tableColumn id="20" xr3:uid="{E818162E-64C4-4C1B-8FE0-BEF9AA965426}" name="Salary"/>
    <tableColumn id="21" xr3:uid="{B5C675C0-06F1-49E2-8F29-1D0221EFD465}" name="Pay Grade" dataDxfId="14"/>
    <tableColumn id="22" xr3:uid="{6A2F7007-BE7C-4EAC-9BB8-182483A2F00D}" name="Bonus/Allowances" dataDxfId="13"/>
    <tableColumn id="23" xr3:uid="{344C1C72-0A41-4411-8CF0-8B5EE25725A5}" name="Insurance Details" dataDxfId="12"/>
    <tableColumn id="25" xr3:uid="{D8B53515-F537-44EC-BB17-96E4F35D314D}" name="Leave Taken" dataDxfId="11"/>
    <tableColumn id="24" xr3:uid="{143A688D-B8A5-492A-8618-47FF05232D89}" name="Performance Rating" dataDxfId="10"/>
    <tableColumn id="26" xr3:uid="{3996231F-FE7D-4E39-995D-24A3D9DCD770}" name="Skills" dataDxfId="9"/>
    <tableColumn id="17" xr3:uid="{05695CF3-BF63-4671-9EC1-1E331C265182}" name="E-mail"/>
    <tableColumn id="27" xr3:uid="{135588F5-4D7F-4DA0-82DD-D4CA0920EFE3}" name="Column1" dataDxfId="8">
      <calculatedColumnFormula array="1">INDEX({"North","West","South","East"},RANDBETWEEN(1,4))</calculatedColumnFormula>
    </tableColumn>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E3BFD-6266-4733-AA1A-0F1A8C322975}">
  <dimension ref="A1:AA201"/>
  <sheetViews>
    <sheetView topLeftCell="I1" zoomScale="111" workbookViewId="0">
      <selection activeCell="L13" sqref="L13"/>
    </sheetView>
  </sheetViews>
  <sheetFormatPr defaultRowHeight="14.4" x14ac:dyDescent="0.3"/>
  <cols>
    <col min="2" max="2" width="12" customWidth="1"/>
    <col min="3" max="3" width="16.6640625" bestFit="1" customWidth="1"/>
    <col min="4" max="4" width="12" customWidth="1"/>
    <col min="5" max="5" width="11.44140625" bestFit="1" customWidth="1"/>
    <col min="7" max="7" width="11.6640625" bestFit="1" customWidth="1"/>
    <col min="8" max="8" width="11.6640625" customWidth="1"/>
    <col min="9" max="9" width="15.44140625" bestFit="1" customWidth="1"/>
    <col min="10" max="10" width="12.44140625" bestFit="1" customWidth="1"/>
    <col min="11" max="11" width="14.77734375" bestFit="1" customWidth="1"/>
    <col min="12" max="12" width="15.33203125" bestFit="1" customWidth="1"/>
    <col min="13" max="13" width="19" customWidth="1"/>
    <col min="14" max="15" width="19.88671875" bestFit="1" customWidth="1"/>
    <col min="16" max="17" width="14.109375" bestFit="1" customWidth="1"/>
    <col min="18" max="18" width="15.44140625" bestFit="1" customWidth="1"/>
    <col min="19" max="19" width="9.44140625" bestFit="1" customWidth="1"/>
    <col min="20" max="20" width="11.6640625" bestFit="1" customWidth="1"/>
    <col min="21" max="21" width="18.44140625" bestFit="1" customWidth="1"/>
    <col min="22" max="22" width="18.44140625" customWidth="1"/>
    <col min="23" max="23" width="13.21875" bestFit="1" customWidth="1"/>
    <col min="24" max="24" width="19.6640625" bestFit="1" customWidth="1"/>
    <col min="25" max="25" width="13.88671875" bestFit="1" customWidth="1"/>
    <col min="26" max="26" width="17.88671875" bestFit="1" customWidth="1"/>
    <col min="27" max="27" width="12.44140625" bestFit="1" customWidth="1"/>
    <col min="28" max="28" width="15.77734375" bestFit="1" customWidth="1"/>
  </cols>
  <sheetData>
    <row r="1" spans="1:27" x14ac:dyDescent="0.3">
      <c r="A1" t="s">
        <v>200</v>
      </c>
      <c r="B1" t="s">
        <v>251</v>
      </c>
      <c r="C1" t="s">
        <v>404</v>
      </c>
      <c r="D1" t="s">
        <v>405</v>
      </c>
      <c r="E1" t="s">
        <v>406</v>
      </c>
      <c r="F1" t="s">
        <v>407</v>
      </c>
      <c r="G1" t="s">
        <v>408</v>
      </c>
      <c r="H1" t="s">
        <v>842</v>
      </c>
      <c r="I1" t="s">
        <v>841</v>
      </c>
      <c r="J1" t="s">
        <v>413</v>
      </c>
      <c r="K1" t="s">
        <v>415</v>
      </c>
      <c r="L1" t="s">
        <v>419</v>
      </c>
      <c r="M1" t="s">
        <v>620</v>
      </c>
      <c r="N1" t="s">
        <v>621</v>
      </c>
      <c r="O1" t="s">
        <v>622</v>
      </c>
      <c r="P1" t="s">
        <v>623</v>
      </c>
      <c r="Q1" t="s">
        <v>639</v>
      </c>
      <c r="R1" t="s">
        <v>850</v>
      </c>
      <c r="S1" t="s">
        <v>854</v>
      </c>
      <c r="T1" t="s">
        <v>855</v>
      </c>
      <c r="U1" t="s">
        <v>860</v>
      </c>
      <c r="V1" t="s">
        <v>861</v>
      </c>
      <c r="W1" t="s">
        <v>865</v>
      </c>
      <c r="X1" t="s">
        <v>866</v>
      </c>
      <c r="Y1" t="s">
        <v>867</v>
      </c>
      <c r="Z1" t="s">
        <v>840</v>
      </c>
      <c r="AA1" t="s">
        <v>896</v>
      </c>
    </row>
    <row r="2" spans="1:27" x14ac:dyDescent="0.3">
      <c r="A2" t="s">
        <v>0</v>
      </c>
      <c r="B2" s="1" t="s">
        <v>202</v>
      </c>
      <c r="C2" s="2" t="s">
        <v>201</v>
      </c>
      <c r="D2" t="str">
        <f t="shared" ref="D2:D66" si="0">IF(B2="Mr.","Male","Female")</f>
        <v>Male</v>
      </c>
      <c r="E2" s="3">
        <v>34615</v>
      </c>
      <c r="F2">
        <f ca="1">DATEDIF(E2, TODAY(), "Y")</f>
        <v>31</v>
      </c>
      <c r="G2" t="str">
        <f ca="1">IF(F2&lt;=20,"10-20",IF(F2&lt;=30,"20-30",IF(F2&lt;=40,"30-40",IF(F2&lt;=50,"40-50","50-60"))))</f>
        <v>30-40</v>
      </c>
      <c r="H2" t="s">
        <v>843</v>
      </c>
      <c r="I2" t="s">
        <v>409</v>
      </c>
      <c r="J2" t="s">
        <v>414</v>
      </c>
      <c r="K2" t="s">
        <v>416</v>
      </c>
      <c r="L2" t="s">
        <v>420</v>
      </c>
      <c r="M2" s="3">
        <v>42123</v>
      </c>
      <c r="N2" t="s">
        <v>847</v>
      </c>
      <c r="O2" t="s">
        <v>625</v>
      </c>
      <c r="P2" t="s">
        <v>636</v>
      </c>
      <c r="Q2" t="s">
        <v>635</v>
      </c>
      <c r="R2" t="s">
        <v>851</v>
      </c>
      <c r="S2" s="5">
        <v>85000</v>
      </c>
      <c r="T2" s="5" t="s">
        <v>856</v>
      </c>
      <c r="U2" s="5">
        <v>1500</v>
      </c>
      <c r="V2" s="5" t="s">
        <v>862</v>
      </c>
      <c r="W2">
        <v>3</v>
      </c>
      <c r="X2">
        <v>3</v>
      </c>
      <c r="Y2" t="s">
        <v>868</v>
      </c>
      <c r="Z2" t="s">
        <v>640</v>
      </c>
      <c r="AA2" s="5" t="str" cm="1">
        <f t="array" aca="1" ref="AA2" ca="1">INDEX({"North","West","South","East"},RANDBETWEEN(1,4))</f>
        <v>North</v>
      </c>
    </row>
    <row r="3" spans="1:27" x14ac:dyDescent="0.3">
      <c r="A3" t="s">
        <v>1</v>
      </c>
      <c r="B3" s="1" t="s">
        <v>204</v>
      </c>
      <c r="C3" s="2" t="s">
        <v>203</v>
      </c>
      <c r="D3" t="str">
        <f t="shared" si="0"/>
        <v>Female</v>
      </c>
      <c r="E3" s="3">
        <v>33701</v>
      </c>
      <c r="F3">
        <f t="shared" ref="F3:F66" ca="1" si="1">DATEDIF(E3, TODAY(), "Y")</f>
        <v>34</v>
      </c>
      <c r="G3" t="str">
        <f t="shared" ref="G3:G66" ca="1" si="2">IF(F3&lt;=20,"10-20",IF(F3&lt;=30,"20-30",IF(F3&lt;=40,"30-40",IF(F3&lt;=50,"40-50","50-60"))))</f>
        <v>30-40</v>
      </c>
      <c r="H3" t="s">
        <v>844</v>
      </c>
      <c r="I3" t="s">
        <v>409</v>
      </c>
      <c r="J3" t="s">
        <v>414</v>
      </c>
      <c r="K3" t="s">
        <v>416</v>
      </c>
      <c r="L3" t="s">
        <v>421</v>
      </c>
      <c r="M3" s="3">
        <v>40363</v>
      </c>
      <c r="N3" t="s">
        <v>848</v>
      </c>
      <c r="O3" t="s">
        <v>624</v>
      </c>
      <c r="P3" t="s">
        <v>630</v>
      </c>
      <c r="Q3" t="s">
        <v>638</v>
      </c>
      <c r="R3" t="s">
        <v>852</v>
      </c>
      <c r="S3" s="5">
        <v>72000</v>
      </c>
      <c r="T3" s="5" t="s">
        <v>857</v>
      </c>
      <c r="U3" s="5">
        <v>2200</v>
      </c>
      <c r="V3" s="5" t="s">
        <v>863</v>
      </c>
      <c r="W3">
        <v>5</v>
      </c>
      <c r="X3">
        <v>2</v>
      </c>
      <c r="Y3" t="s">
        <v>628</v>
      </c>
      <c r="Z3" t="s">
        <v>641</v>
      </c>
      <c r="AA3" s="5" t="str" cm="1">
        <f t="array" aca="1" ref="AA3" ca="1">INDEX({"North","West","South","East"},RANDBETWEEN(1,4))</f>
        <v>North</v>
      </c>
    </row>
    <row r="4" spans="1:27" x14ac:dyDescent="0.3">
      <c r="A4" t="s">
        <v>2</v>
      </c>
      <c r="B4" s="1" t="s">
        <v>202</v>
      </c>
      <c r="C4" s="2" t="s">
        <v>205</v>
      </c>
      <c r="D4" t="str">
        <f t="shared" si="0"/>
        <v>Male</v>
      </c>
      <c r="E4" s="3">
        <v>32753</v>
      </c>
      <c r="F4">
        <f t="shared" ca="1" si="1"/>
        <v>36</v>
      </c>
      <c r="G4" t="str">
        <f t="shared" ca="1" si="2"/>
        <v>30-40</v>
      </c>
      <c r="H4" t="s">
        <v>845</v>
      </c>
      <c r="I4" t="s">
        <v>409</v>
      </c>
      <c r="J4" t="s">
        <v>414</v>
      </c>
      <c r="K4" t="s">
        <v>417</v>
      </c>
      <c r="L4" t="s">
        <v>422</v>
      </c>
      <c r="M4" s="3">
        <v>42792</v>
      </c>
      <c r="N4" t="s">
        <v>847</v>
      </c>
      <c r="O4" t="s">
        <v>627</v>
      </c>
      <c r="P4" t="s">
        <v>636</v>
      </c>
      <c r="Q4" t="s">
        <v>638</v>
      </c>
      <c r="R4" t="s">
        <v>853</v>
      </c>
      <c r="S4" s="5">
        <v>110000</v>
      </c>
      <c r="T4" s="5" t="s">
        <v>858</v>
      </c>
      <c r="U4" s="5">
        <v>1800</v>
      </c>
      <c r="V4" s="5" t="s">
        <v>862</v>
      </c>
      <c r="W4">
        <v>2</v>
      </c>
      <c r="X4">
        <v>1</v>
      </c>
      <c r="Y4" t="s">
        <v>869</v>
      </c>
      <c r="Z4" t="s">
        <v>642</v>
      </c>
      <c r="AA4" s="5" t="str" cm="1">
        <f t="array" aca="1" ref="AA4" ca="1">INDEX({"North","West","South","East"},RANDBETWEEN(1,4))</f>
        <v>South</v>
      </c>
    </row>
    <row r="5" spans="1:27" x14ac:dyDescent="0.3">
      <c r="A5" t="s">
        <v>3</v>
      </c>
      <c r="B5" s="1" t="s">
        <v>204</v>
      </c>
      <c r="C5" s="2" t="s">
        <v>206</v>
      </c>
      <c r="D5" t="str">
        <f t="shared" si="0"/>
        <v>Female</v>
      </c>
      <c r="E5" s="3">
        <v>26495</v>
      </c>
      <c r="F5">
        <f t="shared" ca="1" si="1"/>
        <v>53</v>
      </c>
      <c r="G5" t="str">
        <f t="shared" ca="1" si="2"/>
        <v>50-60</v>
      </c>
      <c r="H5" t="s">
        <v>846</v>
      </c>
      <c r="I5" t="s">
        <v>410</v>
      </c>
      <c r="J5" t="s">
        <v>414</v>
      </c>
      <c r="K5" t="s">
        <v>417</v>
      </c>
      <c r="L5" t="s">
        <v>423</v>
      </c>
      <c r="M5" s="3">
        <v>34700</v>
      </c>
      <c r="N5" t="s">
        <v>849</v>
      </c>
      <c r="O5" t="s">
        <v>626</v>
      </c>
      <c r="P5" t="s">
        <v>632</v>
      </c>
      <c r="Q5" t="s">
        <v>638</v>
      </c>
      <c r="R5" t="s">
        <v>851</v>
      </c>
      <c r="S5" s="5">
        <v>95000</v>
      </c>
      <c r="T5" s="5" t="s">
        <v>859</v>
      </c>
      <c r="U5" s="5">
        <v>2600</v>
      </c>
      <c r="V5" s="5" t="s">
        <v>864</v>
      </c>
      <c r="W5">
        <v>7</v>
      </c>
      <c r="X5">
        <v>2</v>
      </c>
      <c r="Y5" t="s">
        <v>870</v>
      </c>
      <c r="Z5" t="s">
        <v>643</v>
      </c>
      <c r="AA5" s="5" t="str" cm="1">
        <f t="array" aca="1" ref="AA5" ca="1">INDEX({"North","West","South","East"},RANDBETWEEN(1,4))</f>
        <v>South</v>
      </c>
    </row>
    <row r="6" spans="1:27" x14ac:dyDescent="0.3">
      <c r="A6" t="s">
        <v>4</v>
      </c>
      <c r="B6" s="1" t="s">
        <v>202</v>
      </c>
      <c r="C6" s="2" t="s">
        <v>207</v>
      </c>
      <c r="D6" t="str">
        <f t="shared" si="0"/>
        <v>Male</v>
      </c>
      <c r="E6" s="3">
        <v>32684</v>
      </c>
      <c r="F6">
        <f t="shared" ca="1" si="1"/>
        <v>36</v>
      </c>
      <c r="G6" t="str">
        <f t="shared" ca="1" si="2"/>
        <v>30-40</v>
      </c>
      <c r="H6" t="s">
        <v>843</v>
      </c>
      <c r="I6" t="s">
        <v>411</v>
      </c>
      <c r="J6" t="s">
        <v>414</v>
      </c>
      <c r="K6" t="s">
        <v>416</v>
      </c>
      <c r="L6" t="s">
        <v>424</v>
      </c>
      <c r="M6" s="3">
        <v>42504</v>
      </c>
      <c r="N6" t="s">
        <v>848</v>
      </c>
      <c r="O6" t="s">
        <v>625</v>
      </c>
      <c r="P6" t="s">
        <v>630</v>
      </c>
      <c r="Q6" t="s">
        <v>638</v>
      </c>
      <c r="R6" t="s">
        <v>852</v>
      </c>
      <c r="S6" s="5">
        <v>130000</v>
      </c>
      <c r="T6" s="5" t="s">
        <v>856</v>
      </c>
      <c r="U6" s="5">
        <v>3100</v>
      </c>
      <c r="V6" s="5" t="s">
        <v>863</v>
      </c>
      <c r="W6">
        <v>1</v>
      </c>
      <c r="X6">
        <v>3</v>
      </c>
      <c r="Y6" t="s">
        <v>871</v>
      </c>
      <c r="Z6" t="s">
        <v>644</v>
      </c>
      <c r="AA6" s="5" t="str" cm="1">
        <f t="array" aca="1" ref="AA6" ca="1">INDEX({"North","West","South","East"},RANDBETWEEN(1,4))</f>
        <v>West</v>
      </c>
    </row>
    <row r="7" spans="1:27" x14ac:dyDescent="0.3">
      <c r="A7" t="s">
        <v>5</v>
      </c>
      <c r="B7" s="1" t="s">
        <v>204</v>
      </c>
      <c r="C7" s="2" t="s">
        <v>208</v>
      </c>
      <c r="D7" t="str">
        <f t="shared" si="0"/>
        <v>Female</v>
      </c>
      <c r="E7" s="3">
        <v>30551</v>
      </c>
      <c r="F7">
        <f t="shared" ca="1" si="1"/>
        <v>42</v>
      </c>
      <c r="G7" t="str">
        <f t="shared" ca="1" si="2"/>
        <v>40-50</v>
      </c>
      <c r="H7" t="s">
        <v>845</v>
      </c>
      <c r="I7" t="s">
        <v>412</v>
      </c>
      <c r="J7" t="s">
        <v>414</v>
      </c>
      <c r="K7" t="s">
        <v>416</v>
      </c>
      <c r="L7" t="s">
        <v>425</v>
      </c>
      <c r="M7" s="3">
        <v>37422</v>
      </c>
      <c r="N7" t="s">
        <v>847</v>
      </c>
      <c r="O7" t="s">
        <v>627</v>
      </c>
      <c r="P7" t="s">
        <v>633</v>
      </c>
      <c r="Q7" t="s">
        <v>638</v>
      </c>
      <c r="R7" t="s">
        <v>851</v>
      </c>
      <c r="S7" s="5">
        <v>78000</v>
      </c>
      <c r="T7" s="5" t="s">
        <v>858</v>
      </c>
      <c r="U7" s="5">
        <v>1200</v>
      </c>
      <c r="V7" s="5" t="s">
        <v>862</v>
      </c>
      <c r="W7">
        <v>6</v>
      </c>
      <c r="X7">
        <v>1</v>
      </c>
      <c r="Y7" t="s">
        <v>869</v>
      </c>
      <c r="Z7" t="s">
        <v>645</v>
      </c>
      <c r="AA7" s="5" t="str" cm="1">
        <f t="array" aca="1" ref="AA7" ca="1">INDEX({"North","West","South","East"},RANDBETWEEN(1,4))</f>
        <v>North</v>
      </c>
    </row>
    <row r="8" spans="1:27" x14ac:dyDescent="0.3">
      <c r="A8" t="s">
        <v>6</v>
      </c>
      <c r="B8" s="1" t="s">
        <v>202</v>
      </c>
      <c r="C8" s="2" t="s">
        <v>209</v>
      </c>
      <c r="D8" t="str">
        <f t="shared" si="0"/>
        <v>Male</v>
      </c>
      <c r="E8" s="3">
        <v>37830</v>
      </c>
      <c r="F8">
        <f t="shared" ca="1" si="1"/>
        <v>22</v>
      </c>
      <c r="G8" t="str">
        <f t="shared" ca="1" si="2"/>
        <v>20-30</v>
      </c>
      <c r="H8" t="s">
        <v>844</v>
      </c>
      <c r="I8" t="s">
        <v>409</v>
      </c>
      <c r="J8" t="s">
        <v>414</v>
      </c>
      <c r="K8" t="s">
        <v>416</v>
      </c>
      <c r="L8" t="s">
        <v>426</v>
      </c>
      <c r="M8" s="3">
        <v>44756</v>
      </c>
      <c r="N8" t="s">
        <v>848</v>
      </c>
      <c r="O8" t="s">
        <v>624</v>
      </c>
      <c r="P8" t="s">
        <v>636</v>
      </c>
      <c r="Q8" t="s">
        <v>638</v>
      </c>
      <c r="R8" t="s">
        <v>853</v>
      </c>
      <c r="S8" s="5">
        <v>56000</v>
      </c>
      <c r="T8" s="5" t="s">
        <v>857</v>
      </c>
      <c r="U8" s="5">
        <v>2400</v>
      </c>
      <c r="V8" s="5" t="s">
        <v>863</v>
      </c>
      <c r="W8">
        <v>4</v>
      </c>
      <c r="X8">
        <v>2</v>
      </c>
      <c r="Y8" t="s">
        <v>868</v>
      </c>
      <c r="Z8" t="s">
        <v>646</v>
      </c>
      <c r="AA8" s="5" t="str" cm="1">
        <f t="array" aca="1" ref="AA8" ca="1">INDEX({"North","West","South","East"},RANDBETWEEN(1,4))</f>
        <v>North</v>
      </c>
    </row>
    <row r="9" spans="1:27" x14ac:dyDescent="0.3">
      <c r="A9" t="s">
        <v>7</v>
      </c>
      <c r="B9" s="1" t="s">
        <v>204</v>
      </c>
      <c r="C9" s="2" t="s">
        <v>210</v>
      </c>
      <c r="D9" t="str">
        <f t="shared" si="0"/>
        <v>Female</v>
      </c>
      <c r="E9" s="3">
        <v>25987</v>
      </c>
      <c r="F9">
        <f t="shared" ca="1" si="1"/>
        <v>55</v>
      </c>
      <c r="G9" t="str">
        <f t="shared" ca="1" si="2"/>
        <v>50-60</v>
      </c>
      <c r="H9" t="s">
        <v>846</v>
      </c>
      <c r="I9" t="s">
        <v>411</v>
      </c>
      <c r="J9" t="s">
        <v>414</v>
      </c>
      <c r="K9" t="s">
        <v>416</v>
      </c>
      <c r="L9" t="s">
        <v>427</v>
      </c>
      <c r="M9" s="3">
        <v>36831</v>
      </c>
      <c r="N9" t="s">
        <v>847</v>
      </c>
      <c r="O9" t="s">
        <v>626</v>
      </c>
      <c r="P9" t="s">
        <v>633</v>
      </c>
      <c r="Q9" t="s">
        <v>635</v>
      </c>
      <c r="R9" t="s">
        <v>852</v>
      </c>
      <c r="S9" s="5">
        <v>118000</v>
      </c>
      <c r="T9" s="5" t="s">
        <v>856</v>
      </c>
      <c r="U9" s="5">
        <v>2700</v>
      </c>
      <c r="V9" s="5" t="s">
        <v>862</v>
      </c>
      <c r="W9">
        <v>8</v>
      </c>
      <c r="X9">
        <v>3</v>
      </c>
      <c r="Y9" t="s">
        <v>628</v>
      </c>
      <c r="Z9" t="s">
        <v>647</v>
      </c>
      <c r="AA9" s="5" t="str" cm="1">
        <f t="array" aca="1" ref="AA9" ca="1">INDEX({"North","West","South","East"},RANDBETWEEN(1,4))</f>
        <v>East</v>
      </c>
    </row>
    <row r="10" spans="1:27" x14ac:dyDescent="0.3">
      <c r="A10" t="s">
        <v>8</v>
      </c>
      <c r="B10" s="1" t="s">
        <v>202</v>
      </c>
      <c r="C10" s="2" t="s">
        <v>211</v>
      </c>
      <c r="D10" t="str">
        <f t="shared" si="0"/>
        <v>Male</v>
      </c>
      <c r="E10" s="3">
        <v>28903</v>
      </c>
      <c r="F10">
        <f t="shared" ca="1" si="1"/>
        <v>47</v>
      </c>
      <c r="G10" t="str">
        <f t="shared" ca="1" si="2"/>
        <v>40-50</v>
      </c>
      <c r="H10" t="s">
        <v>846</v>
      </c>
      <c r="I10" t="s">
        <v>411</v>
      </c>
      <c r="J10" t="s">
        <v>414</v>
      </c>
      <c r="K10" t="s">
        <v>416</v>
      </c>
      <c r="L10" t="s">
        <v>428</v>
      </c>
      <c r="M10" s="3">
        <v>38662</v>
      </c>
      <c r="N10" t="s">
        <v>849</v>
      </c>
      <c r="O10" t="s">
        <v>625</v>
      </c>
      <c r="P10" t="s">
        <v>633</v>
      </c>
      <c r="Q10" t="s">
        <v>638</v>
      </c>
      <c r="R10" t="s">
        <v>851</v>
      </c>
      <c r="S10" s="5">
        <v>99000</v>
      </c>
      <c r="T10" s="5" t="s">
        <v>859</v>
      </c>
      <c r="U10" s="5">
        <v>1900</v>
      </c>
      <c r="V10" s="5" t="s">
        <v>864</v>
      </c>
      <c r="W10">
        <v>2</v>
      </c>
      <c r="X10">
        <v>1</v>
      </c>
      <c r="Y10" t="s">
        <v>870</v>
      </c>
      <c r="Z10" t="s">
        <v>648</v>
      </c>
      <c r="AA10" s="5" t="str" cm="1">
        <f t="array" aca="1" ref="AA10" ca="1">INDEX({"North","West","South","East"},RANDBETWEEN(1,4))</f>
        <v>East</v>
      </c>
    </row>
    <row r="11" spans="1:27" x14ac:dyDescent="0.3">
      <c r="A11" t="s">
        <v>9</v>
      </c>
      <c r="B11" s="1" t="s">
        <v>204</v>
      </c>
      <c r="C11" s="2" t="s">
        <v>212</v>
      </c>
      <c r="D11" t="str">
        <f t="shared" si="0"/>
        <v>Female</v>
      </c>
      <c r="E11" s="3">
        <v>27180</v>
      </c>
      <c r="F11">
        <f t="shared" ca="1" si="1"/>
        <v>52</v>
      </c>
      <c r="G11" t="str">
        <f t="shared" ca="1" si="2"/>
        <v>50-60</v>
      </c>
      <c r="H11" t="s">
        <v>843</v>
      </c>
      <c r="I11" t="s">
        <v>410</v>
      </c>
      <c r="J11" t="s">
        <v>414</v>
      </c>
      <c r="K11" t="s">
        <v>416</v>
      </c>
      <c r="L11" t="s">
        <v>429</v>
      </c>
      <c r="M11" s="3">
        <v>36340</v>
      </c>
      <c r="N11" t="s">
        <v>848</v>
      </c>
      <c r="O11" t="s">
        <v>624</v>
      </c>
      <c r="P11" t="s">
        <v>632</v>
      </c>
      <c r="Q11" t="s">
        <v>638</v>
      </c>
      <c r="R11" t="s">
        <v>853</v>
      </c>
      <c r="S11" s="5">
        <v>102000</v>
      </c>
      <c r="T11" s="5" t="s">
        <v>858</v>
      </c>
      <c r="U11" s="5">
        <v>2100</v>
      </c>
      <c r="V11" s="5" t="s">
        <v>863</v>
      </c>
      <c r="W11">
        <v>3</v>
      </c>
      <c r="X11">
        <v>2</v>
      </c>
      <c r="Y11" t="s">
        <v>871</v>
      </c>
      <c r="Z11" t="s">
        <v>649</v>
      </c>
      <c r="AA11" s="5" t="str" cm="1">
        <f t="array" aca="1" ref="AA11" ca="1">INDEX({"North","West","South","East"},RANDBETWEEN(1,4))</f>
        <v>North</v>
      </c>
    </row>
    <row r="12" spans="1:27" x14ac:dyDescent="0.3">
      <c r="A12" t="s">
        <v>10</v>
      </c>
      <c r="B12" s="1" t="s">
        <v>202</v>
      </c>
      <c r="C12" s="2" t="s">
        <v>213</v>
      </c>
      <c r="D12" t="str">
        <f t="shared" si="0"/>
        <v>Male</v>
      </c>
      <c r="E12" s="3">
        <v>32686</v>
      </c>
      <c r="F12">
        <f t="shared" ca="1" si="1"/>
        <v>36</v>
      </c>
      <c r="G12" t="str">
        <f t="shared" ca="1" si="2"/>
        <v>30-40</v>
      </c>
      <c r="H12" t="s">
        <v>845</v>
      </c>
      <c r="I12" t="s">
        <v>409</v>
      </c>
      <c r="J12" t="s">
        <v>414</v>
      </c>
      <c r="K12" t="s">
        <v>417</v>
      </c>
      <c r="L12" t="s">
        <v>430</v>
      </c>
      <c r="M12" s="3">
        <v>42309</v>
      </c>
      <c r="N12" t="s">
        <v>847</v>
      </c>
      <c r="O12" t="s">
        <v>626</v>
      </c>
      <c r="P12" t="s">
        <v>633</v>
      </c>
      <c r="Q12" t="s">
        <v>638</v>
      </c>
      <c r="R12" t="s">
        <v>852</v>
      </c>
      <c r="S12" s="5">
        <v>67000</v>
      </c>
      <c r="T12" s="5" t="s">
        <v>857</v>
      </c>
      <c r="U12" s="5">
        <v>1300</v>
      </c>
      <c r="V12" s="5" t="s">
        <v>862</v>
      </c>
      <c r="W12">
        <v>5</v>
      </c>
      <c r="X12">
        <v>3</v>
      </c>
      <c r="Y12" t="s">
        <v>869</v>
      </c>
      <c r="Z12" t="s">
        <v>650</v>
      </c>
      <c r="AA12" s="5" t="str" cm="1">
        <f t="array" aca="1" ref="AA12" ca="1">INDEX({"North","West","South","East"},RANDBETWEEN(1,4))</f>
        <v>North</v>
      </c>
    </row>
    <row r="13" spans="1:27" x14ac:dyDescent="0.3">
      <c r="A13" t="s">
        <v>11</v>
      </c>
      <c r="B13" s="1" t="s">
        <v>204</v>
      </c>
      <c r="C13" s="2" t="s">
        <v>214</v>
      </c>
      <c r="D13" t="str">
        <f t="shared" si="0"/>
        <v>Female</v>
      </c>
      <c r="E13" s="3">
        <v>38077</v>
      </c>
      <c r="F13">
        <f t="shared" ca="1" si="1"/>
        <v>22</v>
      </c>
      <c r="G13" t="str">
        <f t="shared" ca="1" si="2"/>
        <v>20-30</v>
      </c>
      <c r="H13" t="s">
        <v>844</v>
      </c>
      <c r="I13" t="s">
        <v>411</v>
      </c>
      <c r="J13" t="s">
        <v>414</v>
      </c>
      <c r="K13" t="s">
        <v>416</v>
      </c>
      <c r="L13" t="s">
        <v>431</v>
      </c>
      <c r="M13" s="3">
        <v>44805</v>
      </c>
      <c r="N13" t="s">
        <v>848</v>
      </c>
      <c r="O13" t="s">
        <v>627</v>
      </c>
      <c r="P13" t="s">
        <v>632</v>
      </c>
      <c r="Q13" t="s">
        <v>638</v>
      </c>
      <c r="R13" t="s">
        <v>851</v>
      </c>
      <c r="S13" s="5">
        <v>89000</v>
      </c>
      <c r="T13" s="5" t="s">
        <v>856</v>
      </c>
      <c r="U13" s="5">
        <v>2500</v>
      </c>
      <c r="V13" s="5" t="s">
        <v>863</v>
      </c>
      <c r="W13">
        <v>1</v>
      </c>
      <c r="X13">
        <v>1</v>
      </c>
      <c r="Y13" t="s">
        <v>868</v>
      </c>
      <c r="Z13" t="s">
        <v>651</v>
      </c>
      <c r="AA13" s="5" t="str" cm="1">
        <f t="array" aca="1" ref="AA13" ca="1">INDEX({"North","West","South","East"},RANDBETWEEN(1,4))</f>
        <v>South</v>
      </c>
    </row>
    <row r="14" spans="1:27" x14ac:dyDescent="0.3">
      <c r="A14" t="s">
        <v>12</v>
      </c>
      <c r="B14" s="1" t="s">
        <v>202</v>
      </c>
      <c r="C14" s="2" t="s">
        <v>215</v>
      </c>
      <c r="D14" t="str">
        <f t="shared" si="0"/>
        <v>Male</v>
      </c>
      <c r="E14" s="3">
        <v>27004</v>
      </c>
      <c r="F14">
        <f t="shared" ca="1" si="1"/>
        <v>52</v>
      </c>
      <c r="G14" t="str">
        <f t="shared" ca="1" si="2"/>
        <v>50-60</v>
      </c>
      <c r="H14" t="s">
        <v>844</v>
      </c>
      <c r="I14" t="s">
        <v>410</v>
      </c>
      <c r="J14" t="s">
        <v>414</v>
      </c>
      <c r="K14" t="s">
        <v>416</v>
      </c>
      <c r="L14" t="s">
        <v>432</v>
      </c>
      <c r="M14" s="3">
        <v>35778</v>
      </c>
      <c r="N14" t="s">
        <v>847</v>
      </c>
      <c r="O14" t="s">
        <v>625</v>
      </c>
      <c r="P14" t="s">
        <v>633</v>
      </c>
      <c r="Q14" t="s">
        <v>638</v>
      </c>
      <c r="R14" t="s">
        <v>852</v>
      </c>
      <c r="S14" s="5">
        <v>121000</v>
      </c>
      <c r="T14" s="5" t="s">
        <v>858</v>
      </c>
      <c r="U14" s="5">
        <v>2800</v>
      </c>
      <c r="V14" s="5" t="s">
        <v>862</v>
      </c>
      <c r="W14">
        <v>7</v>
      </c>
      <c r="X14">
        <v>2</v>
      </c>
      <c r="Y14" t="s">
        <v>628</v>
      </c>
      <c r="Z14" t="s">
        <v>652</v>
      </c>
      <c r="AA14" s="5" t="str" cm="1">
        <f t="array" aca="1" ref="AA14" ca="1">INDEX({"North","West","South","East"},RANDBETWEEN(1,4))</f>
        <v>West</v>
      </c>
    </row>
    <row r="15" spans="1:27" x14ac:dyDescent="0.3">
      <c r="A15" t="s">
        <v>13</v>
      </c>
      <c r="B15" s="1" t="s">
        <v>204</v>
      </c>
      <c r="C15" s="2" t="s">
        <v>216</v>
      </c>
      <c r="D15" t="str">
        <f t="shared" si="0"/>
        <v>Female</v>
      </c>
      <c r="E15" s="3">
        <v>32773</v>
      </c>
      <c r="F15">
        <f t="shared" ca="1" si="1"/>
        <v>36</v>
      </c>
      <c r="G15" t="str">
        <f t="shared" ca="1" si="2"/>
        <v>30-40</v>
      </c>
      <c r="H15" t="s">
        <v>844</v>
      </c>
      <c r="I15" t="s">
        <v>409</v>
      </c>
      <c r="J15" t="s">
        <v>414</v>
      </c>
      <c r="K15" t="s">
        <v>416</v>
      </c>
      <c r="L15" t="s">
        <v>433</v>
      </c>
      <c r="M15" s="3">
        <v>42576</v>
      </c>
      <c r="N15" t="s">
        <v>848</v>
      </c>
      <c r="O15" t="s">
        <v>624</v>
      </c>
      <c r="P15" t="s">
        <v>629</v>
      </c>
      <c r="Q15" t="s">
        <v>638</v>
      </c>
      <c r="R15" t="s">
        <v>853</v>
      </c>
      <c r="S15" s="5">
        <v>76000</v>
      </c>
      <c r="T15" s="5" t="s">
        <v>859</v>
      </c>
      <c r="U15" s="5">
        <v>1700</v>
      </c>
      <c r="V15" s="5" t="s">
        <v>863</v>
      </c>
      <c r="W15">
        <v>6</v>
      </c>
      <c r="X15">
        <v>3</v>
      </c>
      <c r="Y15" t="s">
        <v>871</v>
      </c>
      <c r="Z15" t="s">
        <v>653</v>
      </c>
      <c r="AA15" s="5" t="str" cm="1">
        <f t="array" aca="1" ref="AA15" ca="1">INDEX({"North","West","South","East"},RANDBETWEEN(1,4))</f>
        <v>South</v>
      </c>
    </row>
    <row r="16" spans="1:27" x14ac:dyDescent="0.3">
      <c r="A16" t="s">
        <v>14</v>
      </c>
      <c r="B16" s="1" t="s">
        <v>202</v>
      </c>
      <c r="C16" s="2" t="s">
        <v>217</v>
      </c>
      <c r="D16" t="str">
        <f t="shared" si="0"/>
        <v>Male</v>
      </c>
      <c r="E16" s="3">
        <v>30815</v>
      </c>
      <c r="F16">
        <f t="shared" ca="1" si="1"/>
        <v>42</v>
      </c>
      <c r="G16" t="str">
        <f t="shared" ca="1" si="2"/>
        <v>40-50</v>
      </c>
      <c r="H16" t="s">
        <v>845</v>
      </c>
      <c r="I16" t="s">
        <v>411</v>
      </c>
      <c r="J16" t="s">
        <v>414</v>
      </c>
      <c r="K16" t="s">
        <v>417</v>
      </c>
      <c r="L16" t="s">
        <v>434</v>
      </c>
      <c r="M16" s="3">
        <v>38397</v>
      </c>
      <c r="N16" t="s">
        <v>849</v>
      </c>
      <c r="O16" t="s">
        <v>627</v>
      </c>
      <c r="P16" t="s">
        <v>633</v>
      </c>
      <c r="Q16" t="s">
        <v>638</v>
      </c>
      <c r="R16" t="s">
        <v>851</v>
      </c>
      <c r="S16" s="5">
        <v>54000</v>
      </c>
      <c r="T16" s="5" t="s">
        <v>857</v>
      </c>
      <c r="U16" s="5">
        <v>3200</v>
      </c>
      <c r="V16" s="5" t="s">
        <v>864</v>
      </c>
      <c r="W16">
        <v>4</v>
      </c>
      <c r="X16">
        <v>1</v>
      </c>
      <c r="Y16" t="s">
        <v>870</v>
      </c>
      <c r="Z16" t="s">
        <v>654</v>
      </c>
      <c r="AA16" s="5" t="str" cm="1">
        <f t="array" aca="1" ref="AA16" ca="1">INDEX({"North","West","South","East"},RANDBETWEEN(1,4))</f>
        <v>North</v>
      </c>
    </row>
    <row r="17" spans="1:27" x14ac:dyDescent="0.3">
      <c r="A17" t="s">
        <v>15</v>
      </c>
      <c r="B17" s="1" t="s">
        <v>204</v>
      </c>
      <c r="C17" s="2" t="s">
        <v>218</v>
      </c>
      <c r="D17" t="str">
        <f t="shared" si="0"/>
        <v>Female</v>
      </c>
      <c r="E17" s="3">
        <v>33987</v>
      </c>
      <c r="F17">
        <f t="shared" ca="1" si="1"/>
        <v>33</v>
      </c>
      <c r="G17" t="str">
        <f t="shared" ca="1" si="2"/>
        <v>30-40</v>
      </c>
      <c r="H17" t="s">
        <v>846</v>
      </c>
      <c r="I17" t="s">
        <v>411</v>
      </c>
      <c r="J17" t="s">
        <v>414</v>
      </c>
      <c r="K17" t="s">
        <v>416</v>
      </c>
      <c r="L17" t="s">
        <v>435</v>
      </c>
      <c r="M17" s="3">
        <v>41109</v>
      </c>
      <c r="N17" t="s">
        <v>847</v>
      </c>
      <c r="O17" t="s">
        <v>626</v>
      </c>
      <c r="P17" t="s">
        <v>635</v>
      </c>
      <c r="Q17" t="s">
        <v>638</v>
      </c>
      <c r="R17" t="s">
        <v>852</v>
      </c>
      <c r="S17" s="5">
        <v>115000</v>
      </c>
      <c r="T17" s="5" t="s">
        <v>856</v>
      </c>
      <c r="U17" s="5">
        <v>1400</v>
      </c>
      <c r="V17" s="5" t="s">
        <v>862</v>
      </c>
      <c r="W17">
        <v>8</v>
      </c>
      <c r="X17">
        <v>2</v>
      </c>
      <c r="Y17" t="s">
        <v>869</v>
      </c>
      <c r="Z17" t="s">
        <v>655</v>
      </c>
      <c r="AA17" s="5" t="str" cm="1">
        <f t="array" aca="1" ref="AA17" ca="1">INDEX({"North","West","South","East"},RANDBETWEEN(1,4))</f>
        <v>East</v>
      </c>
    </row>
    <row r="18" spans="1:27" x14ac:dyDescent="0.3">
      <c r="A18" t="s">
        <v>16</v>
      </c>
      <c r="B18" s="1" t="s">
        <v>202</v>
      </c>
      <c r="C18" s="2" t="s">
        <v>219</v>
      </c>
      <c r="D18" t="str">
        <f t="shared" si="0"/>
        <v>Male</v>
      </c>
      <c r="E18" s="3">
        <v>26335</v>
      </c>
      <c r="F18">
        <f t="shared" ca="1" si="1"/>
        <v>54</v>
      </c>
      <c r="G18" t="str">
        <f t="shared" ca="1" si="2"/>
        <v>50-60</v>
      </c>
      <c r="H18" t="s">
        <v>843</v>
      </c>
      <c r="I18" t="s">
        <v>411</v>
      </c>
      <c r="J18" t="s">
        <v>414</v>
      </c>
      <c r="K18" t="s">
        <v>416</v>
      </c>
      <c r="L18" t="s">
        <v>436</v>
      </c>
      <c r="M18" s="3">
        <v>36260</v>
      </c>
      <c r="N18" t="s">
        <v>848</v>
      </c>
      <c r="O18" t="s">
        <v>625</v>
      </c>
      <c r="P18" t="s">
        <v>633</v>
      </c>
      <c r="Q18" t="s">
        <v>638</v>
      </c>
      <c r="R18" t="s">
        <v>851</v>
      </c>
      <c r="S18" s="5">
        <v>108000</v>
      </c>
      <c r="T18" s="5" t="s">
        <v>858</v>
      </c>
      <c r="U18" s="5">
        <v>2300</v>
      </c>
      <c r="V18" s="5" t="s">
        <v>863</v>
      </c>
      <c r="W18">
        <v>3</v>
      </c>
      <c r="X18">
        <v>3</v>
      </c>
      <c r="Y18" t="s">
        <v>868</v>
      </c>
      <c r="Z18" t="s">
        <v>656</v>
      </c>
      <c r="AA18" s="5" t="str" cm="1">
        <f t="array" aca="1" ref="AA18" ca="1">INDEX({"North","West","South","East"},RANDBETWEEN(1,4))</f>
        <v>East</v>
      </c>
    </row>
    <row r="19" spans="1:27" x14ac:dyDescent="0.3">
      <c r="A19" t="s">
        <v>17</v>
      </c>
      <c r="B19" s="1" t="s">
        <v>204</v>
      </c>
      <c r="C19" s="2" t="s">
        <v>220</v>
      </c>
      <c r="D19" t="str">
        <f t="shared" si="0"/>
        <v>Female</v>
      </c>
      <c r="E19" s="3">
        <v>37617</v>
      </c>
      <c r="F19">
        <f t="shared" ca="1" si="1"/>
        <v>23</v>
      </c>
      <c r="G19" t="str">
        <f t="shared" ca="1" si="2"/>
        <v>20-30</v>
      </c>
      <c r="H19" t="s">
        <v>845</v>
      </c>
      <c r="I19" t="s">
        <v>409</v>
      </c>
      <c r="J19" t="s">
        <v>414</v>
      </c>
      <c r="K19" t="s">
        <v>416</v>
      </c>
      <c r="L19" t="s">
        <v>437</v>
      </c>
      <c r="M19" s="3">
        <v>44588</v>
      </c>
      <c r="N19" t="s">
        <v>847</v>
      </c>
      <c r="O19" t="s">
        <v>627</v>
      </c>
      <c r="P19" t="s">
        <v>632</v>
      </c>
      <c r="Q19" t="s">
        <v>638</v>
      </c>
      <c r="R19" t="s">
        <v>853</v>
      </c>
      <c r="S19" s="5">
        <v>92000</v>
      </c>
      <c r="T19" s="5" t="s">
        <v>857</v>
      </c>
      <c r="U19" s="5">
        <v>2600</v>
      </c>
      <c r="V19" s="5" t="s">
        <v>862</v>
      </c>
      <c r="W19">
        <v>2</v>
      </c>
      <c r="X19">
        <v>1</v>
      </c>
      <c r="Y19" t="s">
        <v>628</v>
      </c>
      <c r="Z19" t="s">
        <v>657</v>
      </c>
      <c r="AA19" s="5" t="str" cm="1">
        <f t="array" aca="1" ref="AA19" ca="1">INDEX({"North","West","South","East"},RANDBETWEEN(1,4))</f>
        <v>South</v>
      </c>
    </row>
    <row r="20" spans="1:27" x14ac:dyDescent="0.3">
      <c r="A20" t="s">
        <v>18</v>
      </c>
      <c r="B20" s="1" t="s">
        <v>202</v>
      </c>
      <c r="C20" s="2" t="s">
        <v>221</v>
      </c>
      <c r="D20" t="str">
        <f t="shared" si="0"/>
        <v>Male</v>
      </c>
      <c r="E20" s="3">
        <v>38622</v>
      </c>
      <c r="F20">
        <f t="shared" ca="1" si="1"/>
        <v>20</v>
      </c>
      <c r="G20" t="str">
        <f t="shared" ca="1" si="2"/>
        <v>10-20</v>
      </c>
      <c r="H20" t="s">
        <v>846</v>
      </c>
      <c r="I20" t="s">
        <v>412</v>
      </c>
      <c r="J20" t="s">
        <v>414</v>
      </c>
      <c r="K20" t="s">
        <v>416</v>
      </c>
      <c r="L20" t="s">
        <v>438</v>
      </c>
      <c r="M20" s="3">
        <v>45419</v>
      </c>
      <c r="N20" t="s">
        <v>848</v>
      </c>
      <c r="O20" t="s">
        <v>624</v>
      </c>
      <c r="P20" t="s">
        <v>633</v>
      </c>
      <c r="Q20" t="s">
        <v>638</v>
      </c>
      <c r="R20" t="s">
        <v>852</v>
      </c>
      <c r="S20" s="5">
        <v>150000</v>
      </c>
      <c r="T20" s="5" t="s">
        <v>859</v>
      </c>
      <c r="U20" s="5">
        <v>1600</v>
      </c>
      <c r="V20" s="5" t="s">
        <v>863</v>
      </c>
      <c r="W20">
        <v>5</v>
      </c>
      <c r="X20">
        <v>2</v>
      </c>
      <c r="Y20" t="s">
        <v>870</v>
      </c>
      <c r="Z20" t="s">
        <v>658</v>
      </c>
      <c r="AA20" s="5" t="str" cm="1">
        <f t="array" aca="1" ref="AA20" ca="1">INDEX({"North","West","South","East"},RANDBETWEEN(1,4))</f>
        <v>South</v>
      </c>
    </row>
    <row r="21" spans="1:27" x14ac:dyDescent="0.3">
      <c r="A21" t="s">
        <v>19</v>
      </c>
      <c r="B21" s="1" t="s">
        <v>204</v>
      </c>
      <c r="C21" s="2" t="s">
        <v>222</v>
      </c>
      <c r="D21" t="str">
        <f t="shared" si="0"/>
        <v>Female</v>
      </c>
      <c r="E21" s="3">
        <v>35998</v>
      </c>
      <c r="F21">
        <f t="shared" ca="1" si="1"/>
        <v>27</v>
      </c>
      <c r="G21" t="str">
        <f t="shared" ca="1" si="2"/>
        <v>20-30</v>
      </c>
      <c r="H21" t="s">
        <v>844</v>
      </c>
      <c r="I21" t="s">
        <v>409</v>
      </c>
      <c r="J21" t="s">
        <v>414</v>
      </c>
      <c r="K21" t="s">
        <v>416</v>
      </c>
      <c r="L21" t="s">
        <v>439</v>
      </c>
      <c r="M21" s="3">
        <v>45430</v>
      </c>
      <c r="N21" t="s">
        <v>849</v>
      </c>
      <c r="O21" t="s">
        <v>626</v>
      </c>
      <c r="P21" t="s">
        <v>633</v>
      </c>
      <c r="Q21" t="s">
        <v>638</v>
      </c>
      <c r="R21" t="s">
        <v>851</v>
      </c>
      <c r="S21" s="5">
        <v>87000</v>
      </c>
      <c r="T21" s="5" t="s">
        <v>856</v>
      </c>
      <c r="U21" s="5">
        <v>2200</v>
      </c>
      <c r="V21" s="5" t="s">
        <v>864</v>
      </c>
      <c r="W21">
        <v>1</v>
      </c>
      <c r="X21">
        <v>3</v>
      </c>
      <c r="Y21" t="s">
        <v>871</v>
      </c>
      <c r="Z21" t="s">
        <v>659</v>
      </c>
      <c r="AA21" s="5" t="str" cm="1">
        <f t="array" aca="1" ref="AA21" ca="1">INDEX({"North","West","South","East"},RANDBETWEEN(1,4))</f>
        <v>South</v>
      </c>
    </row>
    <row r="22" spans="1:27" x14ac:dyDescent="0.3">
      <c r="A22" t="s">
        <v>20</v>
      </c>
      <c r="B22" s="1" t="s">
        <v>202</v>
      </c>
      <c r="C22" s="2" t="s">
        <v>223</v>
      </c>
      <c r="D22" t="str">
        <f t="shared" si="0"/>
        <v>Male</v>
      </c>
      <c r="E22" s="3">
        <v>30572</v>
      </c>
      <c r="F22">
        <f t="shared" ca="1" si="1"/>
        <v>42</v>
      </c>
      <c r="G22" t="str">
        <f t="shared" ca="1" si="2"/>
        <v>40-50</v>
      </c>
      <c r="H22" t="s">
        <v>843</v>
      </c>
      <c r="I22" t="s">
        <v>412</v>
      </c>
      <c r="J22" t="s">
        <v>414</v>
      </c>
      <c r="K22" t="s">
        <v>417</v>
      </c>
      <c r="L22" t="s">
        <v>440</v>
      </c>
      <c r="M22" s="3">
        <v>37356</v>
      </c>
      <c r="N22" t="s">
        <v>847</v>
      </c>
      <c r="O22" t="s">
        <v>625</v>
      </c>
      <c r="P22" t="s">
        <v>633</v>
      </c>
      <c r="Q22" t="s">
        <v>638</v>
      </c>
      <c r="R22" t="s">
        <v>853</v>
      </c>
      <c r="S22" s="5">
        <v>66000</v>
      </c>
      <c r="T22" s="5" t="s">
        <v>858</v>
      </c>
      <c r="U22" s="5">
        <v>1100</v>
      </c>
      <c r="V22" s="5" t="s">
        <v>862</v>
      </c>
      <c r="W22">
        <v>6</v>
      </c>
      <c r="X22">
        <v>1</v>
      </c>
      <c r="Y22" t="s">
        <v>869</v>
      </c>
      <c r="Z22" t="s">
        <v>660</v>
      </c>
      <c r="AA22" s="5" t="str" cm="1">
        <f t="array" aca="1" ref="AA22" ca="1">INDEX({"North","West","South","East"},RANDBETWEEN(1,4))</f>
        <v>West</v>
      </c>
    </row>
    <row r="23" spans="1:27" x14ac:dyDescent="0.3">
      <c r="A23" t="s">
        <v>21</v>
      </c>
      <c r="B23" s="1" t="s">
        <v>204</v>
      </c>
      <c r="C23" s="2" t="s">
        <v>224</v>
      </c>
      <c r="D23" t="str">
        <f t="shared" si="0"/>
        <v>Female</v>
      </c>
      <c r="E23" s="3">
        <v>30222</v>
      </c>
      <c r="F23">
        <f t="shared" ca="1" si="1"/>
        <v>43</v>
      </c>
      <c r="G23" t="str">
        <f t="shared" ca="1" si="2"/>
        <v>40-50</v>
      </c>
      <c r="H23" t="s">
        <v>844</v>
      </c>
      <c r="I23" t="s">
        <v>410</v>
      </c>
      <c r="J23" t="s">
        <v>414</v>
      </c>
      <c r="K23" t="s">
        <v>417</v>
      </c>
      <c r="L23" t="s">
        <v>441</v>
      </c>
      <c r="M23" s="3">
        <v>37970</v>
      </c>
      <c r="N23" t="s">
        <v>848</v>
      </c>
      <c r="O23" t="s">
        <v>624</v>
      </c>
      <c r="P23" t="s">
        <v>637</v>
      </c>
      <c r="Q23" t="s">
        <v>638</v>
      </c>
      <c r="R23" t="s">
        <v>852</v>
      </c>
      <c r="S23" s="5">
        <v>119000</v>
      </c>
      <c r="T23" s="5" t="s">
        <v>857</v>
      </c>
      <c r="U23" s="5">
        <v>2700</v>
      </c>
      <c r="V23" s="5" t="s">
        <v>863</v>
      </c>
      <c r="W23">
        <v>7</v>
      </c>
      <c r="X23">
        <v>2</v>
      </c>
      <c r="Y23" t="s">
        <v>868</v>
      </c>
      <c r="Z23" t="s">
        <v>661</v>
      </c>
      <c r="AA23" s="5" t="str" cm="1">
        <f t="array" aca="1" ref="AA23" ca="1">INDEX({"North","West","South","East"},RANDBETWEEN(1,4))</f>
        <v>North</v>
      </c>
    </row>
    <row r="24" spans="1:27" x14ac:dyDescent="0.3">
      <c r="A24" t="s">
        <v>22</v>
      </c>
      <c r="B24" s="1" t="s">
        <v>202</v>
      </c>
      <c r="C24" s="2" t="s">
        <v>225</v>
      </c>
      <c r="D24" t="str">
        <f t="shared" si="0"/>
        <v>Male</v>
      </c>
      <c r="E24" s="3">
        <v>26747</v>
      </c>
      <c r="F24">
        <f t="shared" ca="1" si="1"/>
        <v>53</v>
      </c>
      <c r="G24" t="str">
        <f t="shared" ca="1" si="2"/>
        <v>50-60</v>
      </c>
      <c r="H24" t="s">
        <v>845</v>
      </c>
      <c r="I24" t="s">
        <v>411</v>
      </c>
      <c r="J24" t="s">
        <v>414</v>
      </c>
      <c r="K24" t="s">
        <v>416</v>
      </c>
      <c r="L24" t="s">
        <v>442</v>
      </c>
      <c r="M24" s="3">
        <v>36595</v>
      </c>
      <c r="N24" t="s">
        <v>847</v>
      </c>
      <c r="O24" t="s">
        <v>626</v>
      </c>
      <c r="P24" t="s">
        <v>635</v>
      </c>
      <c r="Q24" t="s">
        <v>638</v>
      </c>
      <c r="R24" t="s">
        <v>851</v>
      </c>
      <c r="S24" s="5">
        <v>98000</v>
      </c>
      <c r="T24" s="5" t="s">
        <v>856</v>
      </c>
      <c r="U24" s="5">
        <v>2400</v>
      </c>
      <c r="V24" s="5" t="s">
        <v>862</v>
      </c>
      <c r="W24">
        <v>4</v>
      </c>
      <c r="X24">
        <v>3</v>
      </c>
      <c r="Y24" t="s">
        <v>628</v>
      </c>
      <c r="Z24" t="s">
        <v>662</v>
      </c>
      <c r="AA24" s="5" t="str" cm="1">
        <f t="array" aca="1" ref="AA24" ca="1">INDEX({"North","West","South","East"},RANDBETWEEN(1,4))</f>
        <v>South</v>
      </c>
    </row>
    <row r="25" spans="1:27" x14ac:dyDescent="0.3">
      <c r="A25" t="s">
        <v>23</v>
      </c>
      <c r="B25" s="1" t="s">
        <v>204</v>
      </c>
      <c r="C25" s="2" t="s">
        <v>226</v>
      </c>
      <c r="D25" t="str">
        <f t="shared" si="0"/>
        <v>Female</v>
      </c>
      <c r="E25" s="3">
        <v>28201</v>
      </c>
      <c r="F25">
        <f t="shared" ca="1" si="1"/>
        <v>49</v>
      </c>
      <c r="G25" t="str">
        <f t="shared" ca="1" si="2"/>
        <v>40-50</v>
      </c>
      <c r="H25" t="s">
        <v>846</v>
      </c>
      <c r="I25" t="s">
        <v>411</v>
      </c>
      <c r="J25" t="s">
        <v>414</v>
      </c>
      <c r="K25" t="s">
        <v>416</v>
      </c>
      <c r="L25" t="s">
        <v>443</v>
      </c>
      <c r="M25" s="3">
        <v>37342</v>
      </c>
      <c r="N25" t="s">
        <v>848</v>
      </c>
      <c r="O25" t="s">
        <v>627</v>
      </c>
      <c r="P25" t="s">
        <v>631</v>
      </c>
      <c r="Q25" t="s">
        <v>638</v>
      </c>
      <c r="R25" t="s">
        <v>852</v>
      </c>
      <c r="S25" s="5">
        <v>101000</v>
      </c>
      <c r="T25" s="5" t="s">
        <v>859</v>
      </c>
      <c r="U25" s="5">
        <v>1800</v>
      </c>
      <c r="V25" s="5" t="s">
        <v>863</v>
      </c>
      <c r="W25">
        <v>8</v>
      </c>
      <c r="X25">
        <v>1</v>
      </c>
      <c r="Y25" t="s">
        <v>869</v>
      </c>
      <c r="Z25" t="s">
        <v>663</v>
      </c>
      <c r="AA25" s="5" t="str" cm="1">
        <f t="array" aca="1" ref="AA25" ca="1">INDEX({"North","West","South","East"},RANDBETWEEN(1,4))</f>
        <v>East</v>
      </c>
    </row>
    <row r="26" spans="1:27" x14ac:dyDescent="0.3">
      <c r="A26" t="s">
        <v>24</v>
      </c>
      <c r="B26" s="1" t="s">
        <v>202</v>
      </c>
      <c r="C26" s="2" t="s">
        <v>227</v>
      </c>
      <c r="D26" t="str">
        <f t="shared" si="0"/>
        <v>Male</v>
      </c>
      <c r="E26" s="3">
        <v>32283</v>
      </c>
      <c r="F26">
        <f t="shared" ca="1" si="1"/>
        <v>38</v>
      </c>
      <c r="G26" t="str">
        <f t="shared" ca="1" si="2"/>
        <v>30-40</v>
      </c>
      <c r="H26" t="s">
        <v>846</v>
      </c>
      <c r="I26" t="s">
        <v>409</v>
      </c>
      <c r="J26" t="s">
        <v>414</v>
      </c>
      <c r="K26" t="s">
        <v>417</v>
      </c>
      <c r="L26" t="s">
        <v>444</v>
      </c>
      <c r="M26" s="3">
        <v>41119</v>
      </c>
      <c r="N26" t="s">
        <v>847</v>
      </c>
      <c r="O26" t="s">
        <v>625</v>
      </c>
      <c r="P26" t="s">
        <v>633</v>
      </c>
      <c r="Q26" t="s">
        <v>638</v>
      </c>
      <c r="R26" t="s">
        <v>853</v>
      </c>
      <c r="S26" s="5">
        <v>73000</v>
      </c>
      <c r="T26" s="5" t="s">
        <v>858</v>
      </c>
      <c r="U26" s="5">
        <v>3300</v>
      </c>
      <c r="V26" s="5" t="s">
        <v>862</v>
      </c>
      <c r="W26">
        <v>2</v>
      </c>
      <c r="X26">
        <v>2</v>
      </c>
      <c r="Y26" t="s">
        <v>870</v>
      </c>
      <c r="Z26" t="s">
        <v>664</v>
      </c>
      <c r="AA26" s="5" t="str" cm="1">
        <f t="array" aca="1" ref="AA26" ca="1">INDEX({"North","West","South","East"},RANDBETWEEN(1,4))</f>
        <v>South</v>
      </c>
    </row>
    <row r="27" spans="1:27" x14ac:dyDescent="0.3">
      <c r="A27" t="s">
        <v>25</v>
      </c>
      <c r="B27" s="1" t="s">
        <v>204</v>
      </c>
      <c r="C27" s="2" t="s">
        <v>228</v>
      </c>
      <c r="D27" t="str">
        <f t="shared" si="0"/>
        <v>Female</v>
      </c>
      <c r="E27" s="3">
        <v>30291</v>
      </c>
      <c r="F27">
        <f t="shared" ca="1" si="1"/>
        <v>43</v>
      </c>
      <c r="G27" t="str">
        <f t="shared" ca="1" si="2"/>
        <v>40-50</v>
      </c>
      <c r="H27" t="s">
        <v>845</v>
      </c>
      <c r="I27" t="s">
        <v>410</v>
      </c>
      <c r="J27" t="s">
        <v>414</v>
      </c>
      <c r="K27" t="s">
        <v>416</v>
      </c>
      <c r="L27" t="s">
        <v>445</v>
      </c>
      <c r="M27" s="3">
        <v>38855</v>
      </c>
      <c r="N27" t="s">
        <v>849</v>
      </c>
      <c r="O27" t="s">
        <v>624</v>
      </c>
      <c r="P27" t="s">
        <v>632</v>
      </c>
      <c r="Q27" t="s">
        <v>638</v>
      </c>
      <c r="R27" t="s">
        <v>851</v>
      </c>
      <c r="S27" s="5">
        <v>84000</v>
      </c>
      <c r="T27" s="5" t="s">
        <v>857</v>
      </c>
      <c r="U27" s="5">
        <v>1500</v>
      </c>
      <c r="V27" s="5" t="s">
        <v>864</v>
      </c>
      <c r="W27">
        <v>3</v>
      </c>
      <c r="X27">
        <v>3</v>
      </c>
      <c r="Y27" t="s">
        <v>871</v>
      </c>
      <c r="Z27" t="s">
        <v>665</v>
      </c>
      <c r="AA27" s="5" t="str" cm="1">
        <f t="array" aca="1" ref="AA27" ca="1">INDEX({"North","West","South","East"},RANDBETWEEN(1,4))</f>
        <v>East</v>
      </c>
    </row>
    <row r="28" spans="1:27" x14ac:dyDescent="0.3">
      <c r="A28" t="s">
        <v>26</v>
      </c>
      <c r="B28" s="1" t="s">
        <v>202</v>
      </c>
      <c r="C28" s="2" t="s">
        <v>229</v>
      </c>
      <c r="D28" t="str">
        <f t="shared" si="0"/>
        <v>Male</v>
      </c>
      <c r="E28" s="3">
        <v>34547</v>
      </c>
      <c r="F28">
        <f t="shared" ca="1" si="1"/>
        <v>31</v>
      </c>
      <c r="G28" t="str">
        <f t="shared" ca="1" si="2"/>
        <v>30-40</v>
      </c>
      <c r="H28" t="s">
        <v>843</v>
      </c>
      <c r="I28" t="s">
        <v>410</v>
      </c>
      <c r="J28" t="s">
        <v>414</v>
      </c>
      <c r="K28" t="s">
        <v>416</v>
      </c>
      <c r="L28" t="s">
        <v>446</v>
      </c>
      <c r="M28" s="3">
        <v>42863</v>
      </c>
      <c r="N28" t="s">
        <v>848</v>
      </c>
      <c r="O28" t="s">
        <v>627</v>
      </c>
      <c r="P28" t="s">
        <v>633</v>
      </c>
      <c r="Q28" t="s">
        <v>635</v>
      </c>
      <c r="R28" t="s">
        <v>852</v>
      </c>
      <c r="S28" s="5">
        <v>57000</v>
      </c>
      <c r="T28" s="5" t="s">
        <v>856</v>
      </c>
      <c r="U28" s="5">
        <v>2100</v>
      </c>
      <c r="V28" s="5" t="s">
        <v>863</v>
      </c>
      <c r="W28">
        <v>5</v>
      </c>
      <c r="X28">
        <v>1</v>
      </c>
      <c r="Y28" t="s">
        <v>868</v>
      </c>
      <c r="Z28" t="s">
        <v>666</v>
      </c>
      <c r="AA28" s="5" t="str" cm="1">
        <f t="array" aca="1" ref="AA28" ca="1">INDEX({"North","West","South","East"},RANDBETWEEN(1,4))</f>
        <v>West</v>
      </c>
    </row>
    <row r="29" spans="1:27" x14ac:dyDescent="0.3">
      <c r="A29" t="s">
        <v>27</v>
      </c>
      <c r="B29" s="1" t="s">
        <v>204</v>
      </c>
      <c r="C29" s="2" t="s">
        <v>230</v>
      </c>
      <c r="D29" t="str">
        <f t="shared" si="0"/>
        <v>Female</v>
      </c>
      <c r="E29" s="3">
        <v>35408</v>
      </c>
      <c r="F29">
        <f t="shared" ca="1" si="1"/>
        <v>29</v>
      </c>
      <c r="G29" t="str">
        <f t="shared" ca="1" si="2"/>
        <v>20-30</v>
      </c>
      <c r="H29" t="s">
        <v>844</v>
      </c>
      <c r="I29" t="s">
        <v>412</v>
      </c>
      <c r="J29" t="s">
        <v>414</v>
      </c>
      <c r="K29" t="s">
        <v>417</v>
      </c>
      <c r="L29" t="s">
        <v>447</v>
      </c>
      <c r="M29" s="3">
        <v>45294</v>
      </c>
      <c r="N29" t="s">
        <v>847</v>
      </c>
      <c r="O29" t="s">
        <v>626</v>
      </c>
      <c r="P29" t="s">
        <v>633</v>
      </c>
      <c r="Q29" t="s">
        <v>638</v>
      </c>
      <c r="R29" t="s">
        <v>853</v>
      </c>
      <c r="S29" s="5">
        <v>112000</v>
      </c>
      <c r="T29" s="5" t="s">
        <v>858</v>
      </c>
      <c r="U29" s="5">
        <v>2500</v>
      </c>
      <c r="V29" s="5" t="s">
        <v>862</v>
      </c>
      <c r="W29">
        <v>1</v>
      </c>
      <c r="X29">
        <v>2</v>
      </c>
      <c r="Y29" t="s">
        <v>628</v>
      </c>
      <c r="Z29" t="s">
        <v>667</v>
      </c>
      <c r="AA29" s="5" t="str" cm="1">
        <f t="array" aca="1" ref="AA29" ca="1">INDEX({"North","West","South","East"},RANDBETWEEN(1,4))</f>
        <v>South</v>
      </c>
    </row>
    <row r="30" spans="1:27" x14ac:dyDescent="0.3">
      <c r="A30" t="s">
        <v>28</v>
      </c>
      <c r="B30" s="1" t="s">
        <v>202</v>
      </c>
      <c r="C30" s="2" t="s">
        <v>231</v>
      </c>
      <c r="D30" t="str">
        <f t="shared" si="0"/>
        <v>Male</v>
      </c>
      <c r="E30" s="3">
        <v>34884</v>
      </c>
      <c r="F30">
        <f t="shared" ca="1" si="1"/>
        <v>30</v>
      </c>
      <c r="G30" t="str">
        <f t="shared" ca="1" si="2"/>
        <v>20-30</v>
      </c>
      <c r="H30" t="s">
        <v>844</v>
      </c>
      <c r="I30" t="s">
        <v>411</v>
      </c>
      <c r="J30" t="s">
        <v>414</v>
      </c>
      <c r="K30" t="s">
        <v>416</v>
      </c>
      <c r="L30" t="s">
        <v>448</v>
      </c>
      <c r="M30" s="3">
        <v>42272</v>
      </c>
      <c r="N30" t="s">
        <v>848</v>
      </c>
      <c r="O30" t="s">
        <v>625</v>
      </c>
      <c r="P30" t="s">
        <v>633</v>
      </c>
      <c r="Q30" t="s">
        <v>638</v>
      </c>
      <c r="R30" t="s">
        <v>851</v>
      </c>
      <c r="S30" s="5">
        <v>94000</v>
      </c>
      <c r="T30" s="5" t="s">
        <v>859</v>
      </c>
      <c r="U30" s="5">
        <v>1900</v>
      </c>
      <c r="V30" s="5" t="s">
        <v>863</v>
      </c>
      <c r="W30">
        <v>6</v>
      </c>
      <c r="X30">
        <v>3</v>
      </c>
      <c r="Y30" t="s">
        <v>869</v>
      </c>
      <c r="Z30" t="s">
        <v>668</v>
      </c>
      <c r="AA30" s="5" t="str" cm="1">
        <f t="array" aca="1" ref="AA30" ca="1">INDEX({"North","West","South","East"},RANDBETWEEN(1,4))</f>
        <v>East</v>
      </c>
    </row>
    <row r="31" spans="1:27" x14ac:dyDescent="0.3">
      <c r="A31" t="s">
        <v>29</v>
      </c>
      <c r="B31" s="1" t="s">
        <v>204</v>
      </c>
      <c r="C31" s="2" t="s">
        <v>232</v>
      </c>
      <c r="D31" t="str">
        <f t="shared" si="0"/>
        <v>Female</v>
      </c>
      <c r="E31" s="3">
        <v>27300</v>
      </c>
      <c r="F31">
        <f t="shared" ca="1" si="1"/>
        <v>51</v>
      </c>
      <c r="G31" t="str">
        <f t="shared" ca="1" si="2"/>
        <v>50-60</v>
      </c>
      <c r="H31" t="s">
        <v>843</v>
      </c>
      <c r="I31" t="s">
        <v>409</v>
      </c>
      <c r="J31" t="s">
        <v>414</v>
      </c>
      <c r="K31" t="s">
        <v>416</v>
      </c>
      <c r="L31" t="s">
        <v>449</v>
      </c>
      <c r="M31" s="3">
        <v>35290</v>
      </c>
      <c r="N31" t="s">
        <v>847</v>
      </c>
      <c r="O31" t="s">
        <v>627</v>
      </c>
      <c r="P31" t="s">
        <v>635</v>
      </c>
      <c r="Q31" t="s">
        <v>638</v>
      </c>
      <c r="R31" t="s">
        <v>852</v>
      </c>
      <c r="S31" s="5">
        <v>135000</v>
      </c>
      <c r="T31" s="5" t="s">
        <v>857</v>
      </c>
      <c r="U31" s="5">
        <v>2600</v>
      </c>
      <c r="V31" s="5" t="s">
        <v>862</v>
      </c>
      <c r="W31">
        <v>7</v>
      </c>
      <c r="X31">
        <v>1</v>
      </c>
      <c r="Y31" t="s">
        <v>871</v>
      </c>
      <c r="Z31" t="s">
        <v>669</v>
      </c>
      <c r="AA31" s="5" t="str" cm="1">
        <f t="array" aca="1" ref="AA31" ca="1">INDEX({"North","West","South","East"},RANDBETWEEN(1,4))</f>
        <v>East</v>
      </c>
    </row>
    <row r="32" spans="1:27" x14ac:dyDescent="0.3">
      <c r="A32" t="s">
        <v>30</v>
      </c>
      <c r="B32" s="1" t="s">
        <v>202</v>
      </c>
      <c r="C32" s="2" t="s">
        <v>233</v>
      </c>
      <c r="D32" t="str">
        <f t="shared" si="0"/>
        <v>Male</v>
      </c>
      <c r="E32" s="3">
        <v>38041</v>
      </c>
      <c r="F32">
        <f t="shared" ca="1" si="1"/>
        <v>22</v>
      </c>
      <c r="G32" t="str">
        <f t="shared" ca="1" si="2"/>
        <v>20-30</v>
      </c>
      <c r="H32" t="s">
        <v>846</v>
      </c>
      <c r="I32" t="s">
        <v>412</v>
      </c>
      <c r="J32" t="s">
        <v>414</v>
      </c>
      <c r="K32" t="s">
        <v>417</v>
      </c>
      <c r="L32" t="s">
        <v>450</v>
      </c>
      <c r="M32" s="3">
        <v>45908</v>
      </c>
      <c r="N32" t="s">
        <v>849</v>
      </c>
      <c r="O32" t="s">
        <v>624</v>
      </c>
      <c r="P32" t="s">
        <v>632</v>
      </c>
      <c r="Q32" t="s">
        <v>638</v>
      </c>
      <c r="R32" t="s">
        <v>851</v>
      </c>
      <c r="S32" s="5">
        <v>88000</v>
      </c>
      <c r="T32" s="5" t="s">
        <v>856</v>
      </c>
      <c r="U32" s="5">
        <v>1200</v>
      </c>
      <c r="V32" s="5" t="s">
        <v>864</v>
      </c>
      <c r="W32">
        <v>4</v>
      </c>
      <c r="X32">
        <v>4</v>
      </c>
      <c r="Y32" t="s">
        <v>870</v>
      </c>
      <c r="Z32" t="s">
        <v>670</v>
      </c>
      <c r="AA32" s="5" t="str" cm="1">
        <f t="array" aca="1" ref="AA32" ca="1">INDEX({"North","West","South","East"},RANDBETWEEN(1,4))</f>
        <v>South</v>
      </c>
    </row>
    <row r="33" spans="1:27" x14ac:dyDescent="0.3">
      <c r="A33" t="s">
        <v>31</v>
      </c>
      <c r="B33" s="1" t="s">
        <v>204</v>
      </c>
      <c r="C33" s="2" t="s">
        <v>234</v>
      </c>
      <c r="D33" t="str">
        <f t="shared" si="0"/>
        <v>Female</v>
      </c>
      <c r="E33" s="3">
        <v>28061</v>
      </c>
      <c r="F33">
        <f t="shared" ca="1" si="1"/>
        <v>49</v>
      </c>
      <c r="G33" t="str">
        <f t="shared" ca="1" si="2"/>
        <v>40-50</v>
      </c>
      <c r="H33" t="s">
        <v>845</v>
      </c>
      <c r="I33" t="s">
        <v>412</v>
      </c>
      <c r="J33" t="s">
        <v>414</v>
      </c>
      <c r="K33" t="s">
        <v>416</v>
      </c>
      <c r="L33" t="s">
        <v>451</v>
      </c>
      <c r="M33" s="3">
        <v>38393</v>
      </c>
      <c r="N33" t="s">
        <v>848</v>
      </c>
      <c r="O33" t="s">
        <v>626</v>
      </c>
      <c r="P33" t="s">
        <v>629</v>
      </c>
      <c r="Q33" t="s">
        <v>638</v>
      </c>
      <c r="R33" t="s">
        <v>853</v>
      </c>
      <c r="S33" s="5">
        <v>69000</v>
      </c>
      <c r="T33" s="5" t="s">
        <v>858</v>
      </c>
      <c r="U33" s="5">
        <v>2300</v>
      </c>
      <c r="V33" s="5" t="s">
        <v>863</v>
      </c>
      <c r="W33">
        <v>8</v>
      </c>
      <c r="X33">
        <v>2</v>
      </c>
      <c r="Y33" t="s">
        <v>868</v>
      </c>
      <c r="Z33" t="s">
        <v>671</v>
      </c>
      <c r="AA33" s="5" t="str" cm="1">
        <f t="array" aca="1" ref="AA33" ca="1">INDEX({"North","West","South","East"},RANDBETWEEN(1,4))</f>
        <v>North</v>
      </c>
    </row>
    <row r="34" spans="1:27" x14ac:dyDescent="0.3">
      <c r="A34" t="s">
        <v>32</v>
      </c>
      <c r="B34" s="1" t="s">
        <v>202</v>
      </c>
      <c r="C34" s="2" t="s">
        <v>235</v>
      </c>
      <c r="D34" t="str">
        <f t="shared" si="0"/>
        <v>Male</v>
      </c>
      <c r="E34" s="3">
        <v>32345</v>
      </c>
      <c r="F34">
        <f t="shared" ca="1" si="1"/>
        <v>37</v>
      </c>
      <c r="G34" t="str">
        <f t="shared" ca="1" si="2"/>
        <v>30-40</v>
      </c>
      <c r="H34" t="s">
        <v>843</v>
      </c>
      <c r="I34" t="s">
        <v>410</v>
      </c>
      <c r="J34" t="s">
        <v>414</v>
      </c>
      <c r="K34" t="s">
        <v>416</v>
      </c>
      <c r="L34" t="s">
        <v>452</v>
      </c>
      <c r="M34" s="3">
        <v>39276</v>
      </c>
      <c r="N34" t="s">
        <v>847</v>
      </c>
      <c r="O34" t="s">
        <v>625</v>
      </c>
      <c r="P34" t="s">
        <v>632</v>
      </c>
      <c r="Q34" t="s">
        <v>638</v>
      </c>
      <c r="R34" t="s">
        <v>852</v>
      </c>
      <c r="S34" s="5">
        <v>52000</v>
      </c>
      <c r="T34" s="5" t="s">
        <v>857</v>
      </c>
      <c r="U34" s="5">
        <v>2700</v>
      </c>
      <c r="V34" s="5" t="s">
        <v>862</v>
      </c>
      <c r="W34">
        <v>0</v>
      </c>
      <c r="X34">
        <v>3</v>
      </c>
      <c r="Y34" t="s">
        <v>628</v>
      </c>
      <c r="Z34" t="s">
        <v>672</v>
      </c>
      <c r="AA34" s="5" t="str" cm="1">
        <f t="array" aca="1" ref="AA34" ca="1">INDEX({"North","West","South","East"},RANDBETWEEN(1,4))</f>
        <v>East</v>
      </c>
    </row>
    <row r="35" spans="1:27" x14ac:dyDescent="0.3">
      <c r="A35" t="s">
        <v>33</v>
      </c>
      <c r="B35" s="1" t="s">
        <v>204</v>
      </c>
      <c r="C35" s="2" t="s">
        <v>236</v>
      </c>
      <c r="D35" t="str">
        <f t="shared" si="0"/>
        <v>Female</v>
      </c>
      <c r="E35" s="3">
        <v>28952</v>
      </c>
      <c r="F35">
        <f t="shared" ca="1" si="1"/>
        <v>47</v>
      </c>
      <c r="G35" t="str">
        <f t="shared" ca="1" si="2"/>
        <v>40-50</v>
      </c>
      <c r="H35" t="s">
        <v>846</v>
      </c>
      <c r="I35" t="s">
        <v>410</v>
      </c>
      <c r="J35" t="s">
        <v>414</v>
      </c>
      <c r="K35" t="s">
        <v>417</v>
      </c>
      <c r="L35" t="s">
        <v>453</v>
      </c>
      <c r="M35" s="3">
        <v>38879</v>
      </c>
      <c r="N35" t="s">
        <v>848</v>
      </c>
      <c r="O35" t="s">
        <v>624</v>
      </c>
      <c r="P35" t="s">
        <v>632</v>
      </c>
      <c r="Q35" t="s">
        <v>638</v>
      </c>
      <c r="R35" t="s">
        <v>851</v>
      </c>
      <c r="S35" s="5">
        <v>117000</v>
      </c>
      <c r="T35" s="5" t="s">
        <v>859</v>
      </c>
      <c r="U35" s="5">
        <v>1700</v>
      </c>
      <c r="V35" s="5" t="s">
        <v>863</v>
      </c>
      <c r="W35">
        <v>9</v>
      </c>
      <c r="X35">
        <v>1</v>
      </c>
      <c r="Y35" t="s">
        <v>869</v>
      </c>
      <c r="Z35" t="s">
        <v>673</v>
      </c>
      <c r="AA35" s="5" t="str" cm="1">
        <f t="array" aca="1" ref="AA35" ca="1">INDEX({"North","West","South","East"},RANDBETWEEN(1,4))</f>
        <v>West</v>
      </c>
    </row>
    <row r="36" spans="1:27" x14ac:dyDescent="0.3">
      <c r="A36" t="s">
        <v>34</v>
      </c>
      <c r="B36" s="1" t="s">
        <v>202</v>
      </c>
      <c r="C36" s="2" t="s">
        <v>237</v>
      </c>
      <c r="D36" t="str">
        <f t="shared" si="0"/>
        <v>Male</v>
      </c>
      <c r="E36" s="3">
        <v>38946</v>
      </c>
      <c r="F36">
        <f t="shared" ca="1" si="1"/>
        <v>19</v>
      </c>
      <c r="G36" t="str">
        <f t="shared" ca="1" si="2"/>
        <v>10-20</v>
      </c>
      <c r="H36" t="s">
        <v>844</v>
      </c>
      <c r="I36" t="s">
        <v>412</v>
      </c>
      <c r="J36" t="s">
        <v>414</v>
      </c>
      <c r="K36" t="s">
        <v>417</v>
      </c>
      <c r="L36" t="s">
        <v>454</v>
      </c>
      <c r="M36" s="3">
        <v>45871</v>
      </c>
      <c r="N36" t="s">
        <v>847</v>
      </c>
      <c r="O36" t="s">
        <v>626</v>
      </c>
      <c r="P36" t="s">
        <v>632</v>
      </c>
      <c r="Q36" t="s">
        <v>638</v>
      </c>
      <c r="R36" t="s">
        <v>853</v>
      </c>
      <c r="S36" s="5">
        <v>100000</v>
      </c>
      <c r="T36" s="5" t="s">
        <v>856</v>
      </c>
      <c r="U36" s="5">
        <v>3000</v>
      </c>
      <c r="V36" s="5" t="s">
        <v>862</v>
      </c>
      <c r="W36">
        <v>10</v>
      </c>
      <c r="X36">
        <v>2</v>
      </c>
      <c r="Y36" t="s">
        <v>870</v>
      </c>
      <c r="Z36" t="s">
        <v>674</v>
      </c>
      <c r="AA36" s="5" t="str" cm="1">
        <f t="array" aca="1" ref="AA36" ca="1">INDEX({"North","West","South","East"},RANDBETWEEN(1,4))</f>
        <v>West</v>
      </c>
    </row>
    <row r="37" spans="1:27" x14ac:dyDescent="0.3">
      <c r="A37" t="s">
        <v>35</v>
      </c>
      <c r="B37" s="1" t="s">
        <v>204</v>
      </c>
      <c r="C37" s="2" t="s">
        <v>238</v>
      </c>
      <c r="D37" t="str">
        <f t="shared" si="0"/>
        <v>Female</v>
      </c>
      <c r="E37" s="3">
        <v>32892</v>
      </c>
      <c r="F37">
        <f t="shared" ca="1" si="1"/>
        <v>36</v>
      </c>
      <c r="G37" t="str">
        <f t="shared" ca="1" si="2"/>
        <v>30-40</v>
      </c>
      <c r="H37" t="s">
        <v>845</v>
      </c>
      <c r="I37" t="s">
        <v>412</v>
      </c>
      <c r="J37" t="s">
        <v>414</v>
      </c>
      <c r="K37" t="s">
        <v>416</v>
      </c>
      <c r="L37" t="s">
        <v>455</v>
      </c>
      <c r="M37" s="3">
        <v>42237</v>
      </c>
      <c r="N37" t="s">
        <v>848</v>
      </c>
      <c r="O37" t="s">
        <v>627</v>
      </c>
      <c r="P37" t="s">
        <v>633</v>
      </c>
      <c r="Q37" t="s">
        <v>638</v>
      </c>
      <c r="R37" t="s">
        <v>852</v>
      </c>
      <c r="S37" s="5">
        <v>96000</v>
      </c>
      <c r="T37" s="5" t="s">
        <v>858</v>
      </c>
      <c r="U37" s="5">
        <v>1400</v>
      </c>
      <c r="V37" s="5" t="s">
        <v>863</v>
      </c>
      <c r="W37">
        <v>3</v>
      </c>
      <c r="X37">
        <v>3</v>
      </c>
      <c r="Y37" t="s">
        <v>871</v>
      </c>
      <c r="Z37" t="s">
        <v>675</v>
      </c>
      <c r="AA37" s="5" t="str" cm="1">
        <f t="array" aca="1" ref="AA37" ca="1">INDEX({"North","West","South","East"},RANDBETWEEN(1,4))</f>
        <v>South</v>
      </c>
    </row>
    <row r="38" spans="1:27" x14ac:dyDescent="0.3">
      <c r="A38" t="s">
        <v>36</v>
      </c>
      <c r="B38" s="1" t="s">
        <v>202</v>
      </c>
      <c r="C38" s="2" t="s">
        <v>239</v>
      </c>
      <c r="D38" t="str">
        <f t="shared" si="0"/>
        <v>Male</v>
      </c>
      <c r="E38" s="3">
        <v>32144</v>
      </c>
      <c r="F38">
        <f t="shared" ca="1" si="1"/>
        <v>38</v>
      </c>
      <c r="G38" t="str">
        <f t="shared" ca="1" si="2"/>
        <v>30-40</v>
      </c>
      <c r="H38" t="s">
        <v>845</v>
      </c>
      <c r="I38" t="s">
        <v>409</v>
      </c>
      <c r="J38" t="s">
        <v>414</v>
      </c>
      <c r="K38" t="s">
        <v>416</v>
      </c>
      <c r="L38" t="s">
        <v>456</v>
      </c>
      <c r="M38" s="3">
        <v>40310</v>
      </c>
      <c r="N38" t="s">
        <v>849</v>
      </c>
      <c r="O38" t="s">
        <v>625</v>
      </c>
      <c r="P38" t="s">
        <v>634</v>
      </c>
      <c r="Q38" t="s">
        <v>638</v>
      </c>
      <c r="R38" t="s">
        <v>851</v>
      </c>
      <c r="S38" s="5">
        <v>143000</v>
      </c>
      <c r="T38" s="5" t="s">
        <v>857</v>
      </c>
      <c r="U38" s="5">
        <v>2200</v>
      </c>
      <c r="V38" s="5" t="s">
        <v>864</v>
      </c>
      <c r="W38">
        <v>2</v>
      </c>
      <c r="X38">
        <v>1</v>
      </c>
      <c r="Y38" t="s">
        <v>869</v>
      </c>
      <c r="Z38" t="s">
        <v>676</v>
      </c>
      <c r="AA38" s="5" t="str" cm="1">
        <f t="array" aca="1" ref="AA38" ca="1">INDEX({"North","West","South","East"},RANDBETWEEN(1,4))</f>
        <v>East</v>
      </c>
    </row>
    <row r="39" spans="1:27" x14ac:dyDescent="0.3">
      <c r="A39" t="s">
        <v>37</v>
      </c>
      <c r="B39" s="1" t="s">
        <v>204</v>
      </c>
      <c r="C39" s="2" t="s">
        <v>240</v>
      </c>
      <c r="D39" t="str">
        <f t="shared" si="0"/>
        <v>Female</v>
      </c>
      <c r="E39" s="3">
        <v>36826</v>
      </c>
      <c r="F39">
        <f t="shared" ca="1" si="1"/>
        <v>25</v>
      </c>
      <c r="G39" t="str">
        <f t="shared" ca="1" si="2"/>
        <v>20-30</v>
      </c>
      <c r="H39" t="s">
        <v>845</v>
      </c>
      <c r="I39" t="s">
        <v>412</v>
      </c>
      <c r="J39" t="s">
        <v>414</v>
      </c>
      <c r="K39" t="s">
        <v>417</v>
      </c>
      <c r="L39" t="s">
        <v>457</v>
      </c>
      <c r="M39" s="3">
        <v>44440</v>
      </c>
      <c r="N39" t="s">
        <v>847</v>
      </c>
      <c r="O39" t="s">
        <v>624</v>
      </c>
      <c r="P39" t="s">
        <v>635</v>
      </c>
      <c r="Q39" t="s">
        <v>635</v>
      </c>
      <c r="R39" t="s">
        <v>852</v>
      </c>
      <c r="S39" s="5">
        <v>82000</v>
      </c>
      <c r="T39" s="5" t="s">
        <v>856</v>
      </c>
      <c r="U39" s="5">
        <v>2600</v>
      </c>
      <c r="V39" s="5" t="s">
        <v>862</v>
      </c>
      <c r="W39">
        <v>5</v>
      </c>
      <c r="X39">
        <v>2</v>
      </c>
      <c r="Y39" t="s">
        <v>868</v>
      </c>
      <c r="Z39" t="s">
        <v>677</v>
      </c>
      <c r="AA39" s="5" t="str" cm="1">
        <f t="array" aca="1" ref="AA39" ca="1">INDEX({"North","West","South","East"},RANDBETWEEN(1,4))</f>
        <v>South</v>
      </c>
    </row>
    <row r="40" spans="1:27" x14ac:dyDescent="0.3">
      <c r="A40" t="s">
        <v>38</v>
      </c>
      <c r="B40" s="1" t="s">
        <v>202</v>
      </c>
      <c r="C40" s="2" t="s">
        <v>241</v>
      </c>
      <c r="D40" t="str">
        <f t="shared" si="0"/>
        <v>Male</v>
      </c>
      <c r="E40" s="3">
        <v>27394</v>
      </c>
      <c r="F40">
        <f t="shared" ca="1" si="1"/>
        <v>51</v>
      </c>
      <c r="G40" t="str">
        <f t="shared" ca="1" si="2"/>
        <v>50-60</v>
      </c>
      <c r="H40" t="s">
        <v>846</v>
      </c>
      <c r="I40" t="s">
        <v>410</v>
      </c>
      <c r="J40" t="s">
        <v>414</v>
      </c>
      <c r="K40" t="s">
        <v>417</v>
      </c>
      <c r="L40" t="s">
        <v>458</v>
      </c>
      <c r="M40" s="3">
        <v>37243</v>
      </c>
      <c r="N40" t="s">
        <v>848</v>
      </c>
      <c r="O40" t="s">
        <v>627</v>
      </c>
      <c r="P40" t="s">
        <v>632</v>
      </c>
      <c r="Q40" t="s">
        <v>635</v>
      </c>
      <c r="R40" t="s">
        <v>853</v>
      </c>
      <c r="S40" s="5">
        <v>75000</v>
      </c>
      <c r="T40" s="5" t="s">
        <v>859</v>
      </c>
      <c r="U40" s="5">
        <v>1800</v>
      </c>
      <c r="V40" s="5" t="s">
        <v>863</v>
      </c>
      <c r="W40">
        <v>1</v>
      </c>
      <c r="X40">
        <v>3</v>
      </c>
      <c r="Y40" t="s">
        <v>628</v>
      </c>
      <c r="Z40" t="s">
        <v>678</v>
      </c>
      <c r="AA40" s="5" t="str" cm="1">
        <f t="array" aca="1" ref="AA40" ca="1">INDEX({"North","West","South","East"},RANDBETWEEN(1,4))</f>
        <v>East</v>
      </c>
    </row>
    <row r="41" spans="1:27" x14ac:dyDescent="0.3">
      <c r="A41" t="s">
        <v>39</v>
      </c>
      <c r="B41" s="1" t="s">
        <v>204</v>
      </c>
      <c r="C41" s="2" t="s">
        <v>242</v>
      </c>
      <c r="D41" t="str">
        <f t="shared" si="0"/>
        <v>Female</v>
      </c>
      <c r="E41" s="3">
        <v>26631</v>
      </c>
      <c r="F41">
        <f t="shared" ca="1" si="1"/>
        <v>53</v>
      </c>
      <c r="G41" t="str">
        <f t="shared" ca="1" si="2"/>
        <v>50-60</v>
      </c>
      <c r="H41" t="s">
        <v>846</v>
      </c>
      <c r="I41" t="s">
        <v>409</v>
      </c>
      <c r="J41" t="s">
        <v>414</v>
      </c>
      <c r="K41" t="s">
        <v>417</v>
      </c>
      <c r="L41" t="s">
        <v>459</v>
      </c>
      <c r="M41" s="3">
        <v>36618</v>
      </c>
      <c r="N41" t="s">
        <v>847</v>
      </c>
      <c r="O41" t="s">
        <v>626</v>
      </c>
      <c r="P41" t="s">
        <v>633</v>
      </c>
      <c r="Q41" t="s">
        <v>638</v>
      </c>
      <c r="R41" t="s">
        <v>851</v>
      </c>
      <c r="S41" s="5">
        <v>109000</v>
      </c>
      <c r="T41" s="5" t="s">
        <v>858</v>
      </c>
      <c r="U41" s="5">
        <v>2100</v>
      </c>
      <c r="V41" s="5" t="s">
        <v>862</v>
      </c>
      <c r="W41">
        <v>6</v>
      </c>
      <c r="X41">
        <v>1</v>
      </c>
      <c r="Y41" t="s">
        <v>870</v>
      </c>
      <c r="Z41" t="s">
        <v>679</v>
      </c>
      <c r="AA41" s="5" t="str" cm="1">
        <f t="array" aca="1" ref="AA41" ca="1">INDEX({"North","West","South","East"},RANDBETWEEN(1,4))</f>
        <v>North</v>
      </c>
    </row>
    <row r="42" spans="1:27" x14ac:dyDescent="0.3">
      <c r="A42" t="s">
        <v>40</v>
      </c>
      <c r="B42" s="1" t="s">
        <v>202</v>
      </c>
      <c r="C42" s="2" t="s">
        <v>243</v>
      </c>
      <c r="D42" t="str">
        <f t="shared" si="0"/>
        <v>Male</v>
      </c>
      <c r="E42" s="3">
        <v>28840</v>
      </c>
      <c r="F42">
        <f t="shared" ca="1" si="1"/>
        <v>47</v>
      </c>
      <c r="G42" t="str">
        <f t="shared" ca="1" si="2"/>
        <v>40-50</v>
      </c>
      <c r="H42" t="s">
        <v>845</v>
      </c>
      <c r="I42" t="s">
        <v>412</v>
      </c>
      <c r="J42" t="s">
        <v>414</v>
      </c>
      <c r="K42" t="s">
        <v>417</v>
      </c>
      <c r="L42" t="s">
        <v>460</v>
      </c>
      <c r="M42" s="3">
        <v>37932</v>
      </c>
      <c r="N42" t="s">
        <v>848</v>
      </c>
      <c r="O42" t="s">
        <v>625</v>
      </c>
      <c r="P42" t="s">
        <v>633</v>
      </c>
      <c r="Q42" t="s">
        <v>638</v>
      </c>
      <c r="R42" t="s">
        <v>852</v>
      </c>
      <c r="S42" s="5">
        <v>91000</v>
      </c>
      <c r="T42" s="5" t="s">
        <v>857</v>
      </c>
      <c r="U42" s="5">
        <v>1300</v>
      </c>
      <c r="V42" s="5" t="s">
        <v>863</v>
      </c>
      <c r="W42">
        <v>7</v>
      </c>
      <c r="X42">
        <v>2</v>
      </c>
      <c r="Y42" t="s">
        <v>871</v>
      </c>
      <c r="Z42" t="s">
        <v>680</v>
      </c>
      <c r="AA42" s="5" t="str" cm="1">
        <f t="array" aca="1" ref="AA42" ca="1">INDEX({"North","West","South","East"},RANDBETWEEN(1,4))</f>
        <v>South</v>
      </c>
    </row>
    <row r="43" spans="1:27" x14ac:dyDescent="0.3">
      <c r="A43" t="s">
        <v>41</v>
      </c>
      <c r="B43" s="1" t="s">
        <v>204</v>
      </c>
      <c r="C43" s="2" t="s">
        <v>244</v>
      </c>
      <c r="D43" t="str">
        <f t="shared" si="0"/>
        <v>Female</v>
      </c>
      <c r="E43" s="3">
        <v>32859</v>
      </c>
      <c r="F43">
        <f t="shared" ca="1" si="1"/>
        <v>36</v>
      </c>
      <c r="G43" t="str">
        <f t="shared" ca="1" si="2"/>
        <v>30-40</v>
      </c>
      <c r="H43" t="s">
        <v>843</v>
      </c>
      <c r="I43" t="s">
        <v>412</v>
      </c>
      <c r="J43" t="s">
        <v>414</v>
      </c>
      <c r="K43" t="s">
        <v>416</v>
      </c>
      <c r="L43" t="s">
        <v>461</v>
      </c>
      <c r="M43" s="3">
        <v>41153</v>
      </c>
      <c r="N43" t="s">
        <v>849</v>
      </c>
      <c r="O43" t="s">
        <v>627</v>
      </c>
      <c r="P43" t="s">
        <v>634</v>
      </c>
      <c r="Q43" t="s">
        <v>638</v>
      </c>
      <c r="R43" t="s">
        <v>853</v>
      </c>
      <c r="S43" s="5">
        <v>68000</v>
      </c>
      <c r="T43" s="5" t="s">
        <v>856</v>
      </c>
      <c r="U43" s="5">
        <v>2400</v>
      </c>
      <c r="V43" s="5" t="s">
        <v>864</v>
      </c>
      <c r="W43">
        <v>4</v>
      </c>
      <c r="X43">
        <v>3</v>
      </c>
      <c r="Y43" t="s">
        <v>869</v>
      </c>
      <c r="Z43" t="s">
        <v>681</v>
      </c>
      <c r="AA43" s="5" t="str" cm="1">
        <f t="array" aca="1" ref="AA43" ca="1">INDEX({"North","West","South","East"},RANDBETWEEN(1,4))</f>
        <v>North</v>
      </c>
    </row>
    <row r="44" spans="1:27" x14ac:dyDescent="0.3">
      <c r="A44" t="s">
        <v>42</v>
      </c>
      <c r="B44" s="1" t="s">
        <v>202</v>
      </c>
      <c r="C44" s="2" t="s">
        <v>245</v>
      </c>
      <c r="D44" t="str">
        <f t="shared" si="0"/>
        <v>Male</v>
      </c>
      <c r="E44" s="3">
        <v>28560</v>
      </c>
      <c r="F44">
        <f t="shared" ca="1" si="1"/>
        <v>48</v>
      </c>
      <c r="G44" t="str">
        <f t="shared" ca="1" si="2"/>
        <v>40-50</v>
      </c>
      <c r="H44" t="s">
        <v>844</v>
      </c>
      <c r="I44" t="s">
        <v>411</v>
      </c>
      <c r="J44" t="s">
        <v>414</v>
      </c>
      <c r="K44" t="s">
        <v>417</v>
      </c>
      <c r="L44" t="s">
        <v>462</v>
      </c>
      <c r="M44" s="3">
        <v>38172</v>
      </c>
      <c r="N44" t="s">
        <v>847</v>
      </c>
      <c r="O44" t="s">
        <v>624</v>
      </c>
      <c r="P44" t="s">
        <v>633</v>
      </c>
      <c r="Q44" t="s">
        <v>638</v>
      </c>
      <c r="R44" t="s">
        <v>851</v>
      </c>
      <c r="S44" s="5">
        <v>53000</v>
      </c>
      <c r="T44" s="5" t="s">
        <v>858</v>
      </c>
      <c r="U44" s="5">
        <v>2700</v>
      </c>
      <c r="V44" s="5" t="s">
        <v>862</v>
      </c>
      <c r="W44">
        <v>8</v>
      </c>
      <c r="X44">
        <v>1</v>
      </c>
      <c r="Y44" t="s">
        <v>868</v>
      </c>
      <c r="Z44" t="s">
        <v>682</v>
      </c>
      <c r="AA44" s="5" t="str" cm="1">
        <f t="array" aca="1" ref="AA44" ca="1">INDEX({"North","West","South","East"},RANDBETWEEN(1,4))</f>
        <v>West</v>
      </c>
    </row>
    <row r="45" spans="1:27" x14ac:dyDescent="0.3">
      <c r="A45" t="s">
        <v>43</v>
      </c>
      <c r="B45" s="1" t="s">
        <v>204</v>
      </c>
      <c r="C45" s="2" t="s">
        <v>246</v>
      </c>
      <c r="D45" t="str">
        <f t="shared" si="0"/>
        <v>Female</v>
      </c>
      <c r="E45" s="3">
        <v>32320</v>
      </c>
      <c r="F45">
        <f t="shared" ca="1" si="1"/>
        <v>37</v>
      </c>
      <c r="G45" t="str">
        <f t="shared" ca="1" si="2"/>
        <v>30-40</v>
      </c>
      <c r="H45" t="s">
        <v>845</v>
      </c>
      <c r="I45" t="s">
        <v>412</v>
      </c>
      <c r="J45" t="s">
        <v>414</v>
      </c>
      <c r="K45" t="s">
        <v>416</v>
      </c>
      <c r="L45" t="s">
        <v>463</v>
      </c>
      <c r="M45" s="3">
        <v>41672</v>
      </c>
      <c r="N45" t="s">
        <v>848</v>
      </c>
      <c r="O45" t="s">
        <v>626</v>
      </c>
      <c r="P45" t="s">
        <v>632</v>
      </c>
      <c r="Q45" t="s">
        <v>635</v>
      </c>
      <c r="R45" t="s">
        <v>852</v>
      </c>
      <c r="S45" s="5">
        <v>116000</v>
      </c>
      <c r="T45" s="5" t="s">
        <v>859</v>
      </c>
      <c r="U45" s="5">
        <v>1900</v>
      </c>
      <c r="V45" s="5" t="s">
        <v>863</v>
      </c>
      <c r="W45">
        <v>2</v>
      </c>
      <c r="X45">
        <v>2</v>
      </c>
      <c r="Y45" t="s">
        <v>628</v>
      </c>
      <c r="Z45" t="s">
        <v>683</v>
      </c>
      <c r="AA45" s="5" t="str" cm="1">
        <f t="array" aca="1" ref="AA45" ca="1">INDEX({"North","West","South","East"},RANDBETWEEN(1,4))</f>
        <v>North</v>
      </c>
    </row>
    <row r="46" spans="1:27" x14ac:dyDescent="0.3">
      <c r="A46" t="s">
        <v>44</v>
      </c>
      <c r="B46" s="1" t="s">
        <v>202</v>
      </c>
      <c r="C46" s="2" t="s">
        <v>247</v>
      </c>
      <c r="D46" t="str">
        <f t="shared" si="0"/>
        <v>Male</v>
      </c>
      <c r="E46" s="3">
        <v>38169</v>
      </c>
      <c r="F46">
        <f t="shared" ca="1" si="1"/>
        <v>21</v>
      </c>
      <c r="G46" t="str">
        <f t="shared" ca="1" si="2"/>
        <v>20-30</v>
      </c>
      <c r="H46" t="s">
        <v>843</v>
      </c>
      <c r="I46" t="s">
        <v>411</v>
      </c>
      <c r="J46" t="s">
        <v>414</v>
      </c>
      <c r="K46" t="s">
        <v>416</v>
      </c>
      <c r="L46" t="s">
        <v>464</v>
      </c>
      <c r="M46" s="3">
        <v>45852</v>
      </c>
      <c r="N46" t="s">
        <v>847</v>
      </c>
      <c r="O46" t="s">
        <v>625</v>
      </c>
      <c r="P46" t="s">
        <v>633</v>
      </c>
      <c r="Q46" t="s">
        <v>638</v>
      </c>
      <c r="R46" t="s">
        <v>851</v>
      </c>
      <c r="S46" s="5">
        <v>107000</v>
      </c>
      <c r="T46" s="5" t="s">
        <v>857</v>
      </c>
      <c r="U46" s="5">
        <v>3200</v>
      </c>
      <c r="V46" s="5" t="s">
        <v>862</v>
      </c>
      <c r="W46">
        <v>3</v>
      </c>
      <c r="X46">
        <v>3</v>
      </c>
      <c r="Y46" t="s">
        <v>871</v>
      </c>
      <c r="Z46" t="s">
        <v>684</v>
      </c>
      <c r="AA46" s="5" t="str" cm="1">
        <f t="array" aca="1" ref="AA46" ca="1">INDEX({"North","West","South","East"},RANDBETWEEN(1,4))</f>
        <v>East</v>
      </c>
    </row>
    <row r="47" spans="1:27" x14ac:dyDescent="0.3">
      <c r="A47" t="s">
        <v>45</v>
      </c>
      <c r="B47" s="1" t="s">
        <v>204</v>
      </c>
      <c r="C47" s="2" t="s">
        <v>248</v>
      </c>
      <c r="D47" t="str">
        <f t="shared" si="0"/>
        <v>Female</v>
      </c>
      <c r="E47" s="3">
        <v>29487</v>
      </c>
      <c r="F47">
        <f t="shared" ca="1" si="1"/>
        <v>45</v>
      </c>
      <c r="G47" t="str">
        <f t="shared" ca="1" si="2"/>
        <v>40-50</v>
      </c>
      <c r="H47" t="s">
        <v>845</v>
      </c>
      <c r="I47" t="s">
        <v>409</v>
      </c>
      <c r="J47" t="s">
        <v>414</v>
      </c>
      <c r="K47" t="s">
        <v>417</v>
      </c>
      <c r="L47" t="s">
        <v>465</v>
      </c>
      <c r="M47" s="3">
        <v>38878</v>
      </c>
      <c r="N47" t="s">
        <v>848</v>
      </c>
      <c r="O47" t="s">
        <v>624</v>
      </c>
      <c r="P47" t="s">
        <v>635</v>
      </c>
      <c r="Q47" t="s">
        <v>638</v>
      </c>
      <c r="R47" t="s">
        <v>853</v>
      </c>
      <c r="S47" s="5">
        <v>93000</v>
      </c>
      <c r="T47" s="5" t="s">
        <v>856</v>
      </c>
      <c r="U47" s="5">
        <v>1500</v>
      </c>
      <c r="V47" s="5" t="s">
        <v>863</v>
      </c>
      <c r="W47">
        <v>5</v>
      </c>
      <c r="X47">
        <v>1</v>
      </c>
      <c r="Y47" t="s">
        <v>870</v>
      </c>
      <c r="Z47" t="s">
        <v>685</v>
      </c>
      <c r="AA47" s="5" t="str" cm="1">
        <f t="array" aca="1" ref="AA47" ca="1">INDEX({"North","West","South","East"},RANDBETWEEN(1,4))</f>
        <v>South</v>
      </c>
    </row>
    <row r="48" spans="1:27" x14ac:dyDescent="0.3">
      <c r="A48" t="s">
        <v>46</v>
      </c>
      <c r="B48" s="1" t="s">
        <v>202</v>
      </c>
      <c r="C48" s="2" t="s">
        <v>249</v>
      </c>
      <c r="D48" t="str">
        <f t="shared" si="0"/>
        <v>Male</v>
      </c>
      <c r="E48" s="3">
        <v>27457</v>
      </c>
      <c r="F48">
        <f t="shared" ca="1" si="1"/>
        <v>51</v>
      </c>
      <c r="G48" t="str">
        <f t="shared" ca="1" si="2"/>
        <v>50-60</v>
      </c>
      <c r="H48" t="s">
        <v>846</v>
      </c>
      <c r="I48" t="s">
        <v>410</v>
      </c>
      <c r="J48" t="s">
        <v>414</v>
      </c>
      <c r="K48" t="s">
        <v>416</v>
      </c>
      <c r="L48" t="s">
        <v>466</v>
      </c>
      <c r="M48" s="3">
        <v>36202</v>
      </c>
      <c r="N48" t="s">
        <v>847</v>
      </c>
      <c r="O48" t="s">
        <v>626</v>
      </c>
      <c r="P48" t="s">
        <v>632</v>
      </c>
      <c r="Q48" t="s">
        <v>638</v>
      </c>
      <c r="R48" t="s">
        <v>852</v>
      </c>
      <c r="S48" s="5">
        <v>125000</v>
      </c>
      <c r="T48" s="5" t="s">
        <v>858</v>
      </c>
      <c r="U48" s="5">
        <v>2300</v>
      </c>
      <c r="V48" s="5" t="s">
        <v>862</v>
      </c>
      <c r="W48">
        <v>1</v>
      </c>
      <c r="X48">
        <v>2</v>
      </c>
      <c r="Y48" t="s">
        <v>869</v>
      </c>
      <c r="Z48" t="s">
        <v>686</v>
      </c>
      <c r="AA48" s="5" t="str" cm="1">
        <f t="array" aca="1" ref="AA48" ca="1">INDEX({"North","West","South","East"},RANDBETWEEN(1,4))</f>
        <v>South</v>
      </c>
    </row>
    <row r="49" spans="1:27" x14ac:dyDescent="0.3">
      <c r="A49" t="s">
        <v>47</v>
      </c>
      <c r="B49" s="1" t="s">
        <v>204</v>
      </c>
      <c r="C49" s="2" t="s">
        <v>250</v>
      </c>
      <c r="D49" t="str">
        <f t="shared" si="0"/>
        <v>Female</v>
      </c>
      <c r="E49" s="3">
        <v>30002</v>
      </c>
      <c r="F49">
        <f t="shared" ca="1" si="1"/>
        <v>44</v>
      </c>
      <c r="G49" t="str">
        <f t="shared" ca="1" si="2"/>
        <v>40-50</v>
      </c>
      <c r="H49" t="s">
        <v>844</v>
      </c>
      <c r="I49" t="s">
        <v>411</v>
      </c>
      <c r="J49" t="s">
        <v>414</v>
      </c>
      <c r="K49" t="s">
        <v>417</v>
      </c>
      <c r="L49" t="s">
        <v>467</v>
      </c>
      <c r="M49" s="3">
        <v>37581</v>
      </c>
      <c r="N49" t="s">
        <v>849</v>
      </c>
      <c r="O49" t="s">
        <v>627</v>
      </c>
      <c r="P49" t="s">
        <v>630</v>
      </c>
      <c r="Q49" t="s">
        <v>638</v>
      </c>
      <c r="R49" t="s">
        <v>851</v>
      </c>
      <c r="S49" s="5">
        <v>86000</v>
      </c>
      <c r="T49" s="5" t="s">
        <v>857</v>
      </c>
      <c r="U49" s="5">
        <v>2600</v>
      </c>
      <c r="V49" s="5" t="s">
        <v>864</v>
      </c>
      <c r="W49">
        <v>6</v>
      </c>
      <c r="X49">
        <v>3</v>
      </c>
      <c r="Y49" t="s">
        <v>868</v>
      </c>
      <c r="Z49" t="s">
        <v>687</v>
      </c>
      <c r="AA49" s="5" t="str" cm="1">
        <f t="array" aca="1" ref="AA49" ca="1">INDEX({"North","West","South","East"},RANDBETWEEN(1,4))</f>
        <v>West</v>
      </c>
    </row>
    <row r="50" spans="1:27" x14ac:dyDescent="0.3">
      <c r="A50" t="s">
        <v>48</v>
      </c>
      <c r="B50" s="1" t="s">
        <v>202</v>
      </c>
      <c r="C50" s="2" t="s">
        <v>252</v>
      </c>
      <c r="D50" t="str">
        <f t="shared" si="0"/>
        <v>Male</v>
      </c>
      <c r="E50" s="3">
        <v>27364</v>
      </c>
      <c r="F50">
        <f t="shared" ca="1" si="1"/>
        <v>51</v>
      </c>
      <c r="G50" t="str">
        <f t="shared" ca="1" si="2"/>
        <v>50-60</v>
      </c>
      <c r="H50" t="s">
        <v>844</v>
      </c>
      <c r="I50" t="s">
        <v>411</v>
      </c>
      <c r="J50" t="s">
        <v>414</v>
      </c>
      <c r="K50" t="s">
        <v>417</v>
      </c>
      <c r="L50" t="s">
        <v>468</v>
      </c>
      <c r="M50" s="3">
        <v>36559</v>
      </c>
      <c r="N50" t="s">
        <v>848</v>
      </c>
      <c r="O50" t="s">
        <v>625</v>
      </c>
      <c r="P50" t="s">
        <v>633</v>
      </c>
      <c r="Q50" t="s">
        <v>638</v>
      </c>
      <c r="R50" t="s">
        <v>853</v>
      </c>
      <c r="S50" s="5">
        <v>64000</v>
      </c>
      <c r="T50" s="5" t="s">
        <v>859</v>
      </c>
      <c r="U50" s="5">
        <v>1600</v>
      </c>
      <c r="V50" s="5" t="s">
        <v>863</v>
      </c>
      <c r="W50">
        <v>7</v>
      </c>
      <c r="X50">
        <v>1</v>
      </c>
      <c r="Y50" t="s">
        <v>628</v>
      </c>
      <c r="Z50" t="s">
        <v>688</v>
      </c>
      <c r="AA50" s="5" t="str" cm="1">
        <f t="array" aca="1" ref="AA50" ca="1">INDEX({"North","West","South","East"},RANDBETWEEN(1,4))</f>
        <v>East</v>
      </c>
    </row>
    <row r="51" spans="1:27" x14ac:dyDescent="0.3">
      <c r="A51" t="s">
        <v>49</v>
      </c>
      <c r="B51" s="1" t="s">
        <v>204</v>
      </c>
      <c r="C51" s="2" t="s">
        <v>253</v>
      </c>
      <c r="D51" t="str">
        <f t="shared" si="0"/>
        <v>Female</v>
      </c>
      <c r="E51" s="3">
        <v>26663</v>
      </c>
      <c r="F51">
        <f t="shared" ca="1" si="1"/>
        <v>53</v>
      </c>
      <c r="G51" t="str">
        <f t="shared" ca="1" si="2"/>
        <v>50-60</v>
      </c>
      <c r="H51" t="s">
        <v>846</v>
      </c>
      <c r="I51" t="s">
        <v>411</v>
      </c>
      <c r="J51" t="s">
        <v>414</v>
      </c>
      <c r="K51" t="s">
        <v>417</v>
      </c>
      <c r="L51" t="s">
        <v>469</v>
      </c>
      <c r="M51" s="3">
        <v>36784</v>
      </c>
      <c r="N51" t="s">
        <v>847</v>
      </c>
      <c r="O51" t="s">
        <v>624</v>
      </c>
      <c r="P51" t="s">
        <v>630</v>
      </c>
      <c r="Q51" t="s">
        <v>638</v>
      </c>
      <c r="R51" t="s">
        <v>852</v>
      </c>
      <c r="S51" s="5">
        <v>120000</v>
      </c>
      <c r="T51" s="5" t="s">
        <v>856</v>
      </c>
      <c r="U51" s="5">
        <v>2200</v>
      </c>
      <c r="V51" s="5" t="s">
        <v>862</v>
      </c>
      <c r="W51">
        <v>4</v>
      </c>
      <c r="X51">
        <v>2</v>
      </c>
      <c r="Y51" t="s">
        <v>870</v>
      </c>
      <c r="Z51" t="s">
        <v>689</v>
      </c>
      <c r="AA51" s="5" t="str" cm="1">
        <f t="array" aca="1" ref="AA51" ca="1">INDEX({"North","West","South","East"},RANDBETWEEN(1,4))</f>
        <v>East</v>
      </c>
    </row>
    <row r="52" spans="1:27" x14ac:dyDescent="0.3">
      <c r="A52" t="s">
        <v>50</v>
      </c>
      <c r="B52" s="1" t="s">
        <v>202</v>
      </c>
      <c r="C52" s="2" t="s">
        <v>254</v>
      </c>
      <c r="D52" t="str">
        <f t="shared" si="0"/>
        <v>Male</v>
      </c>
      <c r="E52" s="3">
        <v>28741</v>
      </c>
      <c r="F52">
        <f t="shared" ca="1" si="1"/>
        <v>47</v>
      </c>
      <c r="G52" t="str">
        <f t="shared" ca="1" si="2"/>
        <v>40-50</v>
      </c>
      <c r="H52" t="s">
        <v>845</v>
      </c>
      <c r="I52" t="s">
        <v>411</v>
      </c>
      <c r="J52" t="s">
        <v>414</v>
      </c>
      <c r="K52" t="s">
        <v>416</v>
      </c>
      <c r="L52" t="s">
        <v>470</v>
      </c>
      <c r="M52" s="3">
        <v>38961</v>
      </c>
      <c r="N52" t="s">
        <v>848</v>
      </c>
      <c r="O52" t="s">
        <v>627</v>
      </c>
      <c r="P52" t="s">
        <v>633</v>
      </c>
      <c r="Q52" t="s">
        <v>638</v>
      </c>
      <c r="R52" t="s">
        <v>851</v>
      </c>
      <c r="S52" s="5">
        <v>97000</v>
      </c>
      <c r="T52" s="5" t="s">
        <v>858</v>
      </c>
      <c r="U52" s="5">
        <v>1100</v>
      </c>
      <c r="V52" s="5" t="s">
        <v>863</v>
      </c>
      <c r="W52">
        <v>8</v>
      </c>
      <c r="X52">
        <v>3</v>
      </c>
      <c r="Y52" t="s">
        <v>871</v>
      </c>
      <c r="Z52" t="s">
        <v>690</v>
      </c>
      <c r="AA52" s="5" t="str" cm="1">
        <f t="array" aca="1" ref="AA52" ca="1">INDEX({"North","West","South","East"},RANDBETWEEN(1,4))</f>
        <v>East</v>
      </c>
    </row>
    <row r="53" spans="1:27" x14ac:dyDescent="0.3">
      <c r="A53" t="s">
        <v>51</v>
      </c>
      <c r="B53" s="1" t="s">
        <v>204</v>
      </c>
      <c r="C53" s="2" t="s">
        <v>255</v>
      </c>
      <c r="D53" t="str">
        <f t="shared" si="0"/>
        <v>Female</v>
      </c>
      <c r="E53" s="3">
        <v>27053</v>
      </c>
      <c r="F53">
        <f t="shared" ca="1" si="1"/>
        <v>52</v>
      </c>
      <c r="G53" t="str">
        <f t="shared" ca="1" si="2"/>
        <v>50-60</v>
      </c>
      <c r="H53" t="s">
        <v>843</v>
      </c>
      <c r="I53" t="s">
        <v>410</v>
      </c>
      <c r="J53" t="s">
        <v>414</v>
      </c>
      <c r="K53" t="s">
        <v>416</v>
      </c>
      <c r="L53" t="s">
        <v>471</v>
      </c>
      <c r="M53" s="3">
        <v>35782</v>
      </c>
      <c r="N53" t="s">
        <v>847</v>
      </c>
      <c r="O53" t="s">
        <v>626</v>
      </c>
      <c r="P53" t="s">
        <v>633</v>
      </c>
      <c r="Q53" t="s">
        <v>635</v>
      </c>
      <c r="R53" t="s">
        <v>852</v>
      </c>
      <c r="S53" s="5">
        <v>103000</v>
      </c>
      <c r="T53" s="5" t="s">
        <v>857</v>
      </c>
      <c r="U53" s="5">
        <v>2500</v>
      </c>
      <c r="V53" s="5" t="s">
        <v>862</v>
      </c>
      <c r="W53">
        <v>2</v>
      </c>
      <c r="X53">
        <v>1</v>
      </c>
      <c r="Y53" t="s">
        <v>869</v>
      </c>
      <c r="Z53" t="s">
        <v>691</v>
      </c>
      <c r="AA53" s="5" t="str" cm="1">
        <f t="array" aca="1" ref="AA53" ca="1">INDEX({"North","West","South","East"},RANDBETWEEN(1,4))</f>
        <v>West</v>
      </c>
    </row>
    <row r="54" spans="1:27" x14ac:dyDescent="0.3">
      <c r="A54" t="s">
        <v>52</v>
      </c>
      <c r="B54" s="1" t="s">
        <v>202</v>
      </c>
      <c r="C54" s="2" t="s">
        <v>256</v>
      </c>
      <c r="D54" t="str">
        <f t="shared" si="0"/>
        <v>Male</v>
      </c>
      <c r="E54" s="3">
        <v>28187</v>
      </c>
      <c r="F54">
        <f t="shared" ca="1" si="1"/>
        <v>49</v>
      </c>
      <c r="G54" t="str">
        <f t="shared" ca="1" si="2"/>
        <v>40-50</v>
      </c>
      <c r="H54" t="s">
        <v>845</v>
      </c>
      <c r="I54" t="s">
        <v>410</v>
      </c>
      <c r="J54" t="s">
        <v>414</v>
      </c>
      <c r="K54" t="s">
        <v>416</v>
      </c>
      <c r="L54" t="s">
        <v>472</v>
      </c>
      <c r="M54" s="3">
        <v>37828</v>
      </c>
      <c r="N54" t="s">
        <v>849</v>
      </c>
      <c r="O54" t="s">
        <v>625</v>
      </c>
      <c r="P54" t="s">
        <v>633</v>
      </c>
      <c r="Q54" t="s">
        <v>638</v>
      </c>
      <c r="R54" t="s">
        <v>853</v>
      </c>
      <c r="S54" s="5">
        <v>71000</v>
      </c>
      <c r="T54" s="5" t="s">
        <v>856</v>
      </c>
      <c r="U54" s="5">
        <v>2800</v>
      </c>
      <c r="V54" s="5" t="s">
        <v>864</v>
      </c>
      <c r="W54">
        <v>3</v>
      </c>
      <c r="X54">
        <v>2</v>
      </c>
      <c r="Y54" t="s">
        <v>868</v>
      </c>
      <c r="Z54" t="s">
        <v>692</v>
      </c>
      <c r="AA54" s="5" t="str" cm="1">
        <f t="array" aca="1" ref="AA54" ca="1">INDEX({"North","West","South","East"},RANDBETWEEN(1,4))</f>
        <v>West</v>
      </c>
    </row>
    <row r="55" spans="1:27" x14ac:dyDescent="0.3">
      <c r="A55" t="s">
        <v>53</v>
      </c>
      <c r="B55" s="1" t="s">
        <v>204</v>
      </c>
      <c r="C55" s="2" t="s">
        <v>257</v>
      </c>
      <c r="D55" t="str">
        <f t="shared" si="0"/>
        <v>Female</v>
      </c>
      <c r="E55" s="3">
        <v>31683</v>
      </c>
      <c r="F55">
        <f t="shared" ca="1" si="1"/>
        <v>39</v>
      </c>
      <c r="G55" t="str">
        <f t="shared" ca="1" si="2"/>
        <v>30-40</v>
      </c>
      <c r="H55" t="s">
        <v>844</v>
      </c>
      <c r="I55" t="s">
        <v>410</v>
      </c>
      <c r="J55" t="s">
        <v>414</v>
      </c>
      <c r="K55" t="s">
        <v>416</v>
      </c>
      <c r="L55" t="s">
        <v>473</v>
      </c>
      <c r="M55" s="3">
        <v>42773</v>
      </c>
      <c r="N55" t="s">
        <v>848</v>
      </c>
      <c r="O55" t="s">
        <v>627</v>
      </c>
      <c r="P55" t="s">
        <v>635</v>
      </c>
      <c r="Q55" t="s">
        <v>638</v>
      </c>
      <c r="R55" t="s">
        <v>851</v>
      </c>
      <c r="S55" s="5">
        <v>83000</v>
      </c>
      <c r="T55" s="5" t="s">
        <v>859</v>
      </c>
      <c r="U55" s="5">
        <v>1700</v>
      </c>
      <c r="V55" s="5" t="s">
        <v>863</v>
      </c>
      <c r="W55">
        <v>5</v>
      </c>
      <c r="X55">
        <v>3</v>
      </c>
      <c r="Y55" t="s">
        <v>628</v>
      </c>
      <c r="Z55" t="s">
        <v>693</v>
      </c>
      <c r="AA55" s="5" t="str" cm="1">
        <f t="array" aca="1" ref="AA55" ca="1">INDEX({"North","West","South","East"},RANDBETWEEN(1,4))</f>
        <v>North</v>
      </c>
    </row>
    <row r="56" spans="1:27" x14ac:dyDescent="0.3">
      <c r="A56" t="s">
        <v>54</v>
      </c>
      <c r="B56" s="1" t="s">
        <v>202</v>
      </c>
      <c r="C56" s="2" t="s">
        <v>258</v>
      </c>
      <c r="D56" t="str">
        <f t="shared" si="0"/>
        <v>Male</v>
      </c>
      <c r="E56" s="3">
        <v>34939</v>
      </c>
      <c r="F56">
        <f t="shared" ca="1" si="1"/>
        <v>30</v>
      </c>
      <c r="G56" t="str">
        <f t="shared" ca="1" si="2"/>
        <v>20-30</v>
      </c>
      <c r="H56" t="s">
        <v>846</v>
      </c>
      <c r="I56" t="s">
        <v>410</v>
      </c>
      <c r="J56" t="s">
        <v>414</v>
      </c>
      <c r="K56" t="s">
        <v>417</v>
      </c>
      <c r="L56" t="s">
        <v>474</v>
      </c>
      <c r="M56" s="3">
        <v>41604</v>
      </c>
      <c r="N56" t="s">
        <v>847</v>
      </c>
      <c r="O56" t="s">
        <v>624</v>
      </c>
      <c r="P56" t="s">
        <v>633</v>
      </c>
      <c r="Q56" t="s">
        <v>638</v>
      </c>
      <c r="R56" t="s">
        <v>852</v>
      </c>
      <c r="S56" s="5">
        <v>58000</v>
      </c>
      <c r="T56" s="5" t="s">
        <v>858</v>
      </c>
      <c r="U56" s="5">
        <v>3400</v>
      </c>
      <c r="V56" s="5" t="s">
        <v>862</v>
      </c>
      <c r="W56">
        <v>1</v>
      </c>
      <c r="X56">
        <v>1</v>
      </c>
      <c r="Y56" t="s">
        <v>869</v>
      </c>
      <c r="Z56" t="s">
        <v>694</v>
      </c>
      <c r="AA56" s="5" t="str" cm="1">
        <f t="array" aca="1" ref="AA56" ca="1">INDEX({"North","West","South","East"},RANDBETWEEN(1,4))</f>
        <v>North</v>
      </c>
    </row>
    <row r="57" spans="1:27" x14ac:dyDescent="0.3">
      <c r="A57" t="s">
        <v>55</v>
      </c>
      <c r="B57" s="1" t="s">
        <v>204</v>
      </c>
      <c r="C57" s="2" t="s">
        <v>259</v>
      </c>
      <c r="D57" t="str">
        <f t="shared" si="0"/>
        <v>Female</v>
      </c>
      <c r="E57" s="3">
        <v>28171</v>
      </c>
      <c r="F57">
        <f t="shared" ca="1" si="1"/>
        <v>49</v>
      </c>
      <c r="G57" t="str">
        <f t="shared" ca="1" si="2"/>
        <v>40-50</v>
      </c>
      <c r="H57" t="s">
        <v>843</v>
      </c>
      <c r="I57" t="s">
        <v>410</v>
      </c>
      <c r="J57" t="s">
        <v>414</v>
      </c>
      <c r="K57" t="s">
        <v>416</v>
      </c>
      <c r="L57" t="s">
        <v>475</v>
      </c>
      <c r="M57" s="3">
        <v>38627</v>
      </c>
      <c r="N57" t="s">
        <v>848</v>
      </c>
      <c r="O57" t="s">
        <v>626</v>
      </c>
      <c r="P57" t="s">
        <v>633</v>
      </c>
      <c r="Q57" t="s">
        <v>635</v>
      </c>
      <c r="R57" t="s">
        <v>853</v>
      </c>
      <c r="S57" s="5">
        <v>111000</v>
      </c>
      <c r="T57" s="5" t="s">
        <v>857</v>
      </c>
      <c r="U57" s="5">
        <v>1400</v>
      </c>
      <c r="V57" s="5" t="s">
        <v>863</v>
      </c>
      <c r="W57">
        <v>6</v>
      </c>
      <c r="X57">
        <v>2</v>
      </c>
      <c r="Y57" t="s">
        <v>870</v>
      </c>
      <c r="Z57" t="s">
        <v>695</v>
      </c>
      <c r="AA57" s="5" t="str" cm="1">
        <f t="array" aca="1" ref="AA57" ca="1">INDEX({"North","West","South","East"},RANDBETWEEN(1,4))</f>
        <v>South</v>
      </c>
    </row>
    <row r="58" spans="1:27" x14ac:dyDescent="0.3">
      <c r="A58" t="s">
        <v>56</v>
      </c>
      <c r="B58" s="1" t="s">
        <v>202</v>
      </c>
      <c r="C58" s="2" t="s">
        <v>260</v>
      </c>
      <c r="D58" t="str">
        <f t="shared" si="0"/>
        <v>Male</v>
      </c>
      <c r="E58" s="3">
        <v>32285</v>
      </c>
      <c r="F58">
        <f t="shared" ca="1" si="1"/>
        <v>38</v>
      </c>
      <c r="G58" t="str">
        <f t="shared" ca="1" si="2"/>
        <v>30-40</v>
      </c>
      <c r="H58" t="s">
        <v>843</v>
      </c>
      <c r="I58" t="s">
        <v>412</v>
      </c>
      <c r="J58" t="s">
        <v>414</v>
      </c>
      <c r="K58" t="s">
        <v>416</v>
      </c>
      <c r="L58" t="s">
        <v>476</v>
      </c>
      <c r="M58" s="3">
        <v>42104</v>
      </c>
      <c r="N58" t="s">
        <v>847</v>
      </c>
      <c r="O58" t="s">
        <v>625</v>
      </c>
      <c r="P58" t="s">
        <v>629</v>
      </c>
      <c r="Q58" t="s">
        <v>638</v>
      </c>
      <c r="R58" t="s">
        <v>851</v>
      </c>
      <c r="S58" s="5">
        <v>90000</v>
      </c>
      <c r="T58" s="5" t="s">
        <v>856</v>
      </c>
      <c r="U58" s="5">
        <v>2300</v>
      </c>
      <c r="V58" s="5" t="s">
        <v>862</v>
      </c>
      <c r="W58">
        <v>7</v>
      </c>
      <c r="X58">
        <v>3</v>
      </c>
      <c r="Y58" t="s">
        <v>871</v>
      </c>
      <c r="Z58" t="s">
        <v>696</v>
      </c>
      <c r="AA58" s="5" t="str" cm="1">
        <f t="array" aca="1" ref="AA58" ca="1">INDEX({"North","West","South","East"},RANDBETWEEN(1,4))</f>
        <v>South</v>
      </c>
    </row>
    <row r="59" spans="1:27" x14ac:dyDescent="0.3">
      <c r="A59" t="s">
        <v>57</v>
      </c>
      <c r="B59" s="1" t="s">
        <v>204</v>
      </c>
      <c r="C59" s="2" t="s">
        <v>261</v>
      </c>
      <c r="D59" t="str">
        <f t="shared" si="0"/>
        <v>Female</v>
      </c>
      <c r="E59" s="3">
        <v>38301</v>
      </c>
      <c r="F59">
        <f t="shared" ca="1" si="1"/>
        <v>21</v>
      </c>
      <c r="G59" t="str">
        <f t="shared" ca="1" si="2"/>
        <v>20-30</v>
      </c>
      <c r="H59" t="s">
        <v>846</v>
      </c>
      <c r="I59" t="s">
        <v>410</v>
      </c>
      <c r="J59" t="s">
        <v>414</v>
      </c>
      <c r="K59" t="s">
        <v>416</v>
      </c>
      <c r="L59" t="s">
        <v>477</v>
      </c>
      <c r="M59" s="3">
        <v>45892</v>
      </c>
      <c r="N59" t="s">
        <v>848</v>
      </c>
      <c r="O59" t="s">
        <v>624</v>
      </c>
      <c r="P59" t="s">
        <v>632</v>
      </c>
      <c r="Q59" t="s">
        <v>638</v>
      </c>
      <c r="R59" t="s">
        <v>852</v>
      </c>
      <c r="S59" s="5">
        <v>140000</v>
      </c>
      <c r="T59" s="5" t="s">
        <v>858</v>
      </c>
      <c r="U59" s="5">
        <v>2600</v>
      </c>
      <c r="V59" s="5" t="s">
        <v>863</v>
      </c>
      <c r="W59">
        <v>4</v>
      </c>
      <c r="X59">
        <v>1</v>
      </c>
      <c r="Y59" t="s">
        <v>868</v>
      </c>
      <c r="Z59" t="s">
        <v>697</v>
      </c>
      <c r="AA59" s="5" t="str" cm="1">
        <f t="array" aca="1" ref="AA59" ca="1">INDEX({"North","West","South","East"},RANDBETWEEN(1,4))</f>
        <v>East</v>
      </c>
    </row>
    <row r="60" spans="1:27" x14ac:dyDescent="0.3">
      <c r="A60" t="s">
        <v>58</v>
      </c>
      <c r="B60" s="1" t="s">
        <v>202</v>
      </c>
      <c r="C60" s="2" t="s">
        <v>262</v>
      </c>
      <c r="D60" t="str">
        <f t="shared" si="0"/>
        <v>Male</v>
      </c>
      <c r="E60" s="3">
        <v>36543</v>
      </c>
      <c r="F60">
        <f t="shared" ca="1" si="1"/>
        <v>26</v>
      </c>
      <c r="G60" t="str">
        <f t="shared" ca="1" si="2"/>
        <v>20-30</v>
      </c>
      <c r="H60" t="s">
        <v>845</v>
      </c>
      <c r="I60" t="s">
        <v>411</v>
      </c>
      <c r="J60" t="s">
        <v>414</v>
      </c>
      <c r="K60" t="s">
        <v>417</v>
      </c>
      <c r="L60" t="s">
        <v>478</v>
      </c>
      <c r="M60" s="3">
        <v>44359</v>
      </c>
      <c r="N60" t="s">
        <v>849</v>
      </c>
      <c r="O60" t="s">
        <v>626</v>
      </c>
      <c r="P60" t="s">
        <v>633</v>
      </c>
      <c r="Q60" t="s">
        <v>638</v>
      </c>
      <c r="R60" t="s">
        <v>851</v>
      </c>
      <c r="S60" s="5">
        <v>89000</v>
      </c>
      <c r="T60" s="5" t="s">
        <v>859</v>
      </c>
      <c r="U60" s="5">
        <v>1800</v>
      </c>
      <c r="V60" s="5" t="s">
        <v>864</v>
      </c>
      <c r="W60">
        <v>8</v>
      </c>
      <c r="X60">
        <v>2</v>
      </c>
      <c r="Y60" t="s">
        <v>628</v>
      </c>
      <c r="Z60" t="s">
        <v>698</v>
      </c>
      <c r="AA60" s="5" t="str" cm="1">
        <f t="array" aca="1" ref="AA60" ca="1">INDEX({"North","West","South","East"},RANDBETWEEN(1,4))</f>
        <v>North</v>
      </c>
    </row>
    <row r="61" spans="1:27" x14ac:dyDescent="0.3">
      <c r="A61" t="s">
        <v>59</v>
      </c>
      <c r="B61" s="1" t="s">
        <v>204</v>
      </c>
      <c r="C61" s="2" t="s">
        <v>263</v>
      </c>
      <c r="D61" t="str">
        <f t="shared" si="0"/>
        <v>Female</v>
      </c>
      <c r="E61" s="3">
        <v>29303</v>
      </c>
      <c r="F61">
        <f t="shared" ca="1" si="1"/>
        <v>46</v>
      </c>
      <c r="G61" t="str">
        <f t="shared" ca="1" si="2"/>
        <v>40-50</v>
      </c>
      <c r="H61" t="s">
        <v>844</v>
      </c>
      <c r="I61" t="s">
        <v>411</v>
      </c>
      <c r="J61" t="s">
        <v>414</v>
      </c>
      <c r="K61" t="s">
        <v>417</v>
      </c>
      <c r="L61" t="s">
        <v>479</v>
      </c>
      <c r="M61" s="3">
        <v>37901</v>
      </c>
      <c r="N61" t="s">
        <v>847</v>
      </c>
      <c r="O61" t="s">
        <v>627</v>
      </c>
      <c r="P61" t="s">
        <v>632</v>
      </c>
      <c r="Q61" t="s">
        <v>638</v>
      </c>
      <c r="R61" t="s">
        <v>853</v>
      </c>
      <c r="S61" s="5">
        <v>70000</v>
      </c>
      <c r="T61" s="5" t="s">
        <v>857</v>
      </c>
      <c r="U61" s="5">
        <v>2100</v>
      </c>
      <c r="V61" s="5" t="s">
        <v>862</v>
      </c>
      <c r="W61">
        <v>11</v>
      </c>
      <c r="X61">
        <v>3</v>
      </c>
      <c r="Y61" t="s">
        <v>869</v>
      </c>
      <c r="Z61" t="s">
        <v>699</v>
      </c>
      <c r="AA61" s="5" t="str" cm="1">
        <f t="array" aca="1" ref="AA61" ca="1">INDEX({"North","West","South","East"},RANDBETWEEN(1,4))</f>
        <v>North</v>
      </c>
    </row>
    <row r="62" spans="1:27" x14ac:dyDescent="0.3">
      <c r="A62" t="s">
        <v>60</v>
      </c>
      <c r="B62" s="1" t="s">
        <v>202</v>
      </c>
      <c r="C62" s="2" t="s">
        <v>264</v>
      </c>
      <c r="D62" t="str">
        <f t="shared" si="0"/>
        <v>Male</v>
      </c>
      <c r="E62" s="3">
        <v>35842</v>
      </c>
      <c r="F62">
        <f t="shared" ca="1" si="1"/>
        <v>28</v>
      </c>
      <c r="G62" t="str">
        <f t="shared" ca="1" si="2"/>
        <v>20-30</v>
      </c>
      <c r="H62" t="s">
        <v>844</v>
      </c>
      <c r="I62" t="s">
        <v>412</v>
      </c>
      <c r="J62" t="s">
        <v>414</v>
      </c>
      <c r="K62" t="s">
        <v>417</v>
      </c>
      <c r="L62" t="s">
        <v>480</v>
      </c>
      <c r="M62" s="3">
        <v>43923</v>
      </c>
      <c r="N62" t="s">
        <v>848</v>
      </c>
      <c r="O62" t="s">
        <v>625</v>
      </c>
      <c r="P62" t="s">
        <v>633</v>
      </c>
      <c r="Q62" t="s">
        <v>635</v>
      </c>
      <c r="R62" t="s">
        <v>852</v>
      </c>
      <c r="S62" s="5">
        <v>51000</v>
      </c>
      <c r="T62" s="5" t="s">
        <v>856</v>
      </c>
      <c r="U62" s="5">
        <v>1200</v>
      </c>
      <c r="V62" s="5" t="s">
        <v>863</v>
      </c>
      <c r="W62">
        <v>12</v>
      </c>
      <c r="X62">
        <v>5</v>
      </c>
      <c r="Y62" t="s">
        <v>871</v>
      </c>
      <c r="Z62" t="s">
        <v>700</v>
      </c>
      <c r="AA62" s="5" t="str" cm="1">
        <f t="array" aca="1" ref="AA62" ca="1">INDEX({"North","West","South","East"},RANDBETWEEN(1,4))</f>
        <v>East</v>
      </c>
    </row>
    <row r="63" spans="1:27" x14ac:dyDescent="0.3">
      <c r="A63" t="s">
        <v>61</v>
      </c>
      <c r="B63" s="1" t="s">
        <v>204</v>
      </c>
      <c r="C63" s="2" t="s">
        <v>265</v>
      </c>
      <c r="D63" t="str">
        <f t="shared" si="0"/>
        <v>Female</v>
      </c>
      <c r="E63" s="3">
        <v>33698</v>
      </c>
      <c r="F63">
        <f t="shared" ca="1" si="1"/>
        <v>34</v>
      </c>
      <c r="G63" t="str">
        <f t="shared" ca="1" si="2"/>
        <v>30-40</v>
      </c>
      <c r="H63" t="s">
        <v>843</v>
      </c>
      <c r="I63" t="s">
        <v>409</v>
      </c>
      <c r="J63" t="s">
        <v>414</v>
      </c>
      <c r="K63" t="s">
        <v>416</v>
      </c>
      <c r="L63" t="s">
        <v>481</v>
      </c>
      <c r="M63" s="3">
        <v>42204</v>
      </c>
      <c r="N63" t="s">
        <v>847</v>
      </c>
      <c r="O63" t="s">
        <v>624</v>
      </c>
      <c r="P63" t="s">
        <v>636</v>
      </c>
      <c r="Q63" t="s">
        <v>638</v>
      </c>
      <c r="R63" t="s">
        <v>851</v>
      </c>
      <c r="S63" s="5">
        <v>118500</v>
      </c>
      <c r="T63" s="5" t="s">
        <v>858</v>
      </c>
      <c r="U63" s="5">
        <v>2400</v>
      </c>
      <c r="V63" s="5" t="s">
        <v>862</v>
      </c>
      <c r="W63">
        <v>3</v>
      </c>
      <c r="X63">
        <v>1</v>
      </c>
      <c r="Y63" t="s">
        <v>870</v>
      </c>
      <c r="Z63" t="s">
        <v>701</v>
      </c>
      <c r="AA63" s="5" t="str" cm="1">
        <f t="array" aca="1" ref="AA63" ca="1">INDEX({"North","West","South","East"},RANDBETWEEN(1,4))</f>
        <v>South</v>
      </c>
    </row>
    <row r="64" spans="1:27" x14ac:dyDescent="0.3">
      <c r="A64" t="s">
        <v>62</v>
      </c>
      <c r="B64" s="1" t="s">
        <v>202</v>
      </c>
      <c r="C64" s="2" t="s">
        <v>266</v>
      </c>
      <c r="D64" t="str">
        <f t="shared" si="0"/>
        <v>Male</v>
      </c>
      <c r="E64" s="3">
        <v>35011</v>
      </c>
      <c r="F64">
        <f t="shared" ca="1" si="1"/>
        <v>30</v>
      </c>
      <c r="G64" t="str">
        <f t="shared" ca="1" si="2"/>
        <v>20-30</v>
      </c>
      <c r="H64" t="s">
        <v>845</v>
      </c>
      <c r="I64" t="s">
        <v>411</v>
      </c>
      <c r="J64" t="s">
        <v>414</v>
      </c>
      <c r="K64" t="s">
        <v>417</v>
      </c>
      <c r="L64" t="s">
        <v>482</v>
      </c>
      <c r="M64" s="3">
        <v>41976</v>
      </c>
      <c r="N64" t="s">
        <v>848</v>
      </c>
      <c r="O64" t="s">
        <v>627</v>
      </c>
      <c r="P64" t="s">
        <v>633</v>
      </c>
      <c r="Q64" t="s">
        <v>638</v>
      </c>
      <c r="R64" t="s">
        <v>853</v>
      </c>
      <c r="S64" s="5">
        <v>104000</v>
      </c>
      <c r="T64" s="5" t="s">
        <v>857</v>
      </c>
      <c r="U64" s="5">
        <v>2700</v>
      </c>
      <c r="V64" s="5" t="s">
        <v>863</v>
      </c>
      <c r="W64">
        <v>2</v>
      </c>
      <c r="X64">
        <v>2</v>
      </c>
      <c r="Y64" t="s">
        <v>868</v>
      </c>
      <c r="Z64" t="s">
        <v>702</v>
      </c>
      <c r="AA64" s="5" t="str" cm="1">
        <f t="array" aca="1" ref="AA64" ca="1">INDEX({"North","West","South","East"},RANDBETWEEN(1,4))</f>
        <v>North</v>
      </c>
    </row>
    <row r="65" spans="1:27" x14ac:dyDescent="0.3">
      <c r="A65" t="s">
        <v>63</v>
      </c>
      <c r="B65" s="1" t="s">
        <v>204</v>
      </c>
      <c r="C65" s="2" t="s">
        <v>267</v>
      </c>
      <c r="D65" t="str">
        <f t="shared" si="0"/>
        <v>Female</v>
      </c>
      <c r="E65" s="3">
        <v>28967</v>
      </c>
      <c r="F65">
        <f t="shared" ca="1" si="1"/>
        <v>47</v>
      </c>
      <c r="G65" t="str">
        <f t="shared" ca="1" si="2"/>
        <v>40-50</v>
      </c>
      <c r="H65" t="s">
        <v>846</v>
      </c>
      <c r="I65" t="s">
        <v>410</v>
      </c>
      <c r="J65" t="s">
        <v>414</v>
      </c>
      <c r="K65" t="s">
        <v>417</v>
      </c>
      <c r="L65" t="s">
        <v>483</v>
      </c>
      <c r="M65" s="3">
        <v>37837</v>
      </c>
      <c r="N65" t="s">
        <v>847</v>
      </c>
      <c r="O65" t="s">
        <v>626</v>
      </c>
      <c r="P65" t="s">
        <v>633</v>
      </c>
      <c r="Q65" t="s">
        <v>638</v>
      </c>
      <c r="R65" t="s">
        <v>852</v>
      </c>
      <c r="S65" s="5">
        <v>98000</v>
      </c>
      <c r="T65" s="5" t="s">
        <v>859</v>
      </c>
      <c r="U65" s="5">
        <v>1900</v>
      </c>
      <c r="V65" s="5" t="s">
        <v>862</v>
      </c>
      <c r="W65">
        <v>5</v>
      </c>
      <c r="X65">
        <v>3</v>
      </c>
      <c r="Y65" t="s">
        <v>628</v>
      </c>
      <c r="Z65" t="s">
        <v>703</v>
      </c>
      <c r="AA65" s="5" t="str" cm="1">
        <f t="array" aca="1" ref="AA65" ca="1">INDEX({"North","West","South","East"},RANDBETWEEN(1,4))</f>
        <v>East</v>
      </c>
    </row>
    <row r="66" spans="1:27" x14ac:dyDescent="0.3">
      <c r="A66" t="s">
        <v>64</v>
      </c>
      <c r="B66" s="1" t="s">
        <v>202</v>
      </c>
      <c r="C66" s="2" t="s">
        <v>268</v>
      </c>
      <c r="D66" t="str">
        <f t="shared" si="0"/>
        <v>Male</v>
      </c>
      <c r="E66" s="3">
        <v>33650</v>
      </c>
      <c r="F66">
        <f t="shared" ca="1" si="1"/>
        <v>34</v>
      </c>
      <c r="G66" t="str">
        <f t="shared" ca="1" si="2"/>
        <v>30-40</v>
      </c>
      <c r="H66" t="s">
        <v>846</v>
      </c>
      <c r="I66" t="s">
        <v>409</v>
      </c>
      <c r="J66" t="s">
        <v>414</v>
      </c>
      <c r="K66" t="s">
        <v>418</v>
      </c>
      <c r="L66" t="s">
        <v>484</v>
      </c>
      <c r="M66" s="3">
        <v>42196</v>
      </c>
      <c r="N66" t="s">
        <v>849</v>
      </c>
      <c r="O66" t="s">
        <v>625</v>
      </c>
      <c r="P66" t="s">
        <v>633</v>
      </c>
      <c r="Q66" t="s">
        <v>638</v>
      </c>
      <c r="R66" t="s">
        <v>851</v>
      </c>
      <c r="S66" s="5">
        <v>155000</v>
      </c>
      <c r="T66" s="5" t="s">
        <v>856</v>
      </c>
      <c r="U66" s="5">
        <v>3100</v>
      </c>
      <c r="V66" s="5" t="s">
        <v>864</v>
      </c>
      <c r="W66">
        <v>1</v>
      </c>
      <c r="X66">
        <v>1</v>
      </c>
      <c r="Y66" t="s">
        <v>869</v>
      </c>
      <c r="Z66" t="s">
        <v>704</v>
      </c>
      <c r="AA66" s="5" t="str" cm="1">
        <f t="array" aca="1" ref="AA66" ca="1">INDEX({"North","West","South","East"},RANDBETWEEN(1,4))</f>
        <v>North</v>
      </c>
    </row>
    <row r="67" spans="1:27" x14ac:dyDescent="0.3">
      <c r="A67" t="s">
        <v>65</v>
      </c>
      <c r="B67" s="1" t="s">
        <v>204</v>
      </c>
      <c r="C67" s="2" t="s">
        <v>269</v>
      </c>
      <c r="D67" t="str">
        <f t="shared" ref="D67:D130" si="3">IF(B67="Mr.","Male","Female")</f>
        <v>Female</v>
      </c>
      <c r="E67" s="3">
        <v>29090</v>
      </c>
      <c r="F67">
        <f t="shared" ref="F67:F130" ca="1" si="4">DATEDIF(E67, TODAY(), "Y")</f>
        <v>46</v>
      </c>
      <c r="G67" t="str">
        <f t="shared" ref="G67:G130" ca="1" si="5">IF(F67&lt;=20,"10-20",IF(F67&lt;=30,"20-30",IF(F67&lt;=40,"30-40",IF(F67&lt;=50,"40-50","50-60"))))</f>
        <v>40-50</v>
      </c>
      <c r="H67" t="s">
        <v>845</v>
      </c>
      <c r="I67" t="s">
        <v>410</v>
      </c>
      <c r="J67" t="s">
        <v>414</v>
      </c>
      <c r="K67" t="s">
        <v>416</v>
      </c>
      <c r="L67" t="s">
        <v>485</v>
      </c>
      <c r="M67" s="3">
        <v>37669</v>
      </c>
      <c r="N67" t="s">
        <v>848</v>
      </c>
      <c r="O67" t="s">
        <v>627</v>
      </c>
      <c r="P67" t="s">
        <v>633</v>
      </c>
      <c r="Q67" t="s">
        <v>638</v>
      </c>
      <c r="R67" t="s">
        <v>852</v>
      </c>
      <c r="S67" s="5">
        <v>81000</v>
      </c>
      <c r="T67" s="5" t="s">
        <v>858</v>
      </c>
      <c r="U67" s="5">
        <v>1500</v>
      </c>
      <c r="V67" s="5" t="s">
        <v>863</v>
      </c>
      <c r="W67">
        <v>6</v>
      </c>
      <c r="X67">
        <v>2</v>
      </c>
      <c r="Y67" t="s">
        <v>870</v>
      </c>
      <c r="Z67" t="s">
        <v>705</v>
      </c>
      <c r="AA67" s="5" t="str" cm="1">
        <f t="array" aca="1" ref="AA67" ca="1">INDEX({"North","West","South","East"},RANDBETWEEN(1,4))</f>
        <v>West</v>
      </c>
    </row>
    <row r="68" spans="1:27" x14ac:dyDescent="0.3">
      <c r="A68" t="s">
        <v>66</v>
      </c>
      <c r="B68" s="1" t="s">
        <v>202</v>
      </c>
      <c r="C68" s="2" t="s">
        <v>270</v>
      </c>
      <c r="D68" t="str">
        <f t="shared" si="3"/>
        <v>Male</v>
      </c>
      <c r="E68" s="3">
        <v>34073</v>
      </c>
      <c r="F68">
        <f t="shared" ca="1" si="4"/>
        <v>33</v>
      </c>
      <c r="G68" t="str">
        <f t="shared" ca="1" si="5"/>
        <v>30-40</v>
      </c>
      <c r="H68" t="s">
        <v>844</v>
      </c>
      <c r="I68" t="s">
        <v>412</v>
      </c>
      <c r="J68" t="s">
        <v>414</v>
      </c>
      <c r="K68" t="s">
        <v>417</v>
      </c>
      <c r="L68" t="s">
        <v>486</v>
      </c>
      <c r="M68" s="3">
        <v>42080</v>
      </c>
      <c r="N68" t="s">
        <v>847</v>
      </c>
      <c r="O68" t="s">
        <v>624</v>
      </c>
      <c r="P68" t="s">
        <v>633</v>
      </c>
      <c r="Q68" t="s">
        <v>638</v>
      </c>
      <c r="R68" t="s">
        <v>853</v>
      </c>
      <c r="S68" s="5">
        <v>74000</v>
      </c>
      <c r="T68" s="5" t="s">
        <v>857</v>
      </c>
      <c r="U68" s="5">
        <v>2200</v>
      </c>
      <c r="V68" s="5" t="s">
        <v>862</v>
      </c>
      <c r="W68">
        <v>7</v>
      </c>
      <c r="X68">
        <v>3</v>
      </c>
      <c r="Y68" t="s">
        <v>871</v>
      </c>
      <c r="Z68" t="s">
        <v>706</v>
      </c>
      <c r="AA68" s="5" t="str" cm="1">
        <f t="array" aca="1" ref="AA68" ca="1">INDEX({"North","West","South","East"},RANDBETWEEN(1,4))</f>
        <v>South</v>
      </c>
    </row>
    <row r="69" spans="1:27" x14ac:dyDescent="0.3">
      <c r="A69" t="s">
        <v>67</v>
      </c>
      <c r="B69" s="1" t="s">
        <v>204</v>
      </c>
      <c r="C69" s="2" t="s">
        <v>271</v>
      </c>
      <c r="D69" t="str">
        <f t="shared" si="3"/>
        <v>Female</v>
      </c>
      <c r="E69" s="3">
        <v>35962</v>
      </c>
      <c r="F69">
        <f t="shared" ca="1" si="4"/>
        <v>27</v>
      </c>
      <c r="G69" t="str">
        <f t="shared" ca="1" si="5"/>
        <v>20-30</v>
      </c>
      <c r="H69" t="s">
        <v>843</v>
      </c>
      <c r="I69" t="s">
        <v>412</v>
      </c>
      <c r="J69" t="s">
        <v>414</v>
      </c>
      <c r="K69" t="s">
        <v>417</v>
      </c>
      <c r="L69" t="s">
        <v>487</v>
      </c>
      <c r="M69" s="3">
        <v>45102</v>
      </c>
      <c r="N69" t="s">
        <v>848</v>
      </c>
      <c r="O69" t="s">
        <v>626</v>
      </c>
      <c r="P69" t="s">
        <v>632</v>
      </c>
      <c r="Q69" t="s">
        <v>638</v>
      </c>
      <c r="R69" t="s">
        <v>851</v>
      </c>
      <c r="S69" s="5">
        <v>108500</v>
      </c>
      <c r="T69" s="5" t="s">
        <v>856</v>
      </c>
      <c r="U69" s="5">
        <v>2600</v>
      </c>
      <c r="V69" s="5" t="s">
        <v>863</v>
      </c>
      <c r="W69">
        <v>4</v>
      </c>
      <c r="X69">
        <v>1</v>
      </c>
      <c r="Y69" t="s">
        <v>869</v>
      </c>
      <c r="Z69" t="s">
        <v>707</v>
      </c>
      <c r="AA69" s="5" t="str" cm="1">
        <f t="array" aca="1" ref="AA69" ca="1">INDEX({"North","West","South","East"},RANDBETWEEN(1,4))</f>
        <v>West</v>
      </c>
    </row>
    <row r="70" spans="1:27" x14ac:dyDescent="0.3">
      <c r="A70" t="s">
        <v>68</v>
      </c>
      <c r="B70" s="1" t="s">
        <v>202</v>
      </c>
      <c r="C70" s="2" t="s">
        <v>272</v>
      </c>
      <c r="D70" t="str">
        <f t="shared" si="3"/>
        <v>Male</v>
      </c>
      <c r="E70" s="3">
        <v>38769</v>
      </c>
      <c r="F70">
        <f t="shared" ca="1" si="4"/>
        <v>20</v>
      </c>
      <c r="G70" t="str">
        <f t="shared" ca="1" si="5"/>
        <v>10-20</v>
      </c>
      <c r="H70" t="s">
        <v>843</v>
      </c>
      <c r="I70" t="s">
        <v>409</v>
      </c>
      <c r="J70" t="s">
        <v>414</v>
      </c>
      <c r="K70" t="s">
        <v>416</v>
      </c>
      <c r="L70" t="s">
        <v>488</v>
      </c>
      <c r="M70" s="3">
        <v>45665</v>
      </c>
      <c r="N70" t="s">
        <v>847</v>
      </c>
      <c r="O70" t="s">
        <v>625</v>
      </c>
      <c r="P70" t="s">
        <v>633</v>
      </c>
      <c r="Q70" t="s">
        <v>638</v>
      </c>
      <c r="R70" t="s">
        <v>852</v>
      </c>
      <c r="S70" s="5">
        <v>92000</v>
      </c>
      <c r="T70" s="5" t="s">
        <v>859</v>
      </c>
      <c r="U70" s="5">
        <v>1700</v>
      </c>
      <c r="V70" s="5" t="s">
        <v>862</v>
      </c>
      <c r="W70">
        <v>8</v>
      </c>
      <c r="X70">
        <v>2</v>
      </c>
      <c r="Y70" t="s">
        <v>868</v>
      </c>
      <c r="Z70" t="s">
        <v>708</v>
      </c>
      <c r="AA70" s="5" t="str" cm="1">
        <f t="array" aca="1" ref="AA70" ca="1">INDEX({"North","West","South","East"},RANDBETWEEN(1,4))</f>
        <v>South</v>
      </c>
    </row>
    <row r="71" spans="1:27" x14ac:dyDescent="0.3">
      <c r="A71" t="s">
        <v>69</v>
      </c>
      <c r="B71" s="1" t="s">
        <v>204</v>
      </c>
      <c r="C71" s="2" t="s">
        <v>273</v>
      </c>
      <c r="D71" t="str">
        <f t="shared" si="3"/>
        <v>Female</v>
      </c>
      <c r="E71" s="3">
        <v>36278</v>
      </c>
      <c r="F71">
        <f t="shared" ca="1" si="4"/>
        <v>27</v>
      </c>
      <c r="G71" t="str">
        <f t="shared" ca="1" si="5"/>
        <v>20-30</v>
      </c>
      <c r="H71" t="s">
        <v>844</v>
      </c>
      <c r="I71" t="s">
        <v>412</v>
      </c>
      <c r="J71" t="s">
        <v>414</v>
      </c>
      <c r="K71" t="s">
        <v>416</v>
      </c>
      <c r="L71" t="s">
        <v>489</v>
      </c>
      <c r="M71" s="3">
        <v>44871</v>
      </c>
      <c r="N71" t="s">
        <v>849</v>
      </c>
      <c r="O71" t="s">
        <v>624</v>
      </c>
      <c r="P71" t="s">
        <v>633</v>
      </c>
      <c r="Q71" t="s">
        <v>638</v>
      </c>
      <c r="R71" t="s">
        <v>853</v>
      </c>
      <c r="S71" s="5">
        <v>67000</v>
      </c>
      <c r="T71" s="5" t="s">
        <v>858</v>
      </c>
      <c r="U71" s="5">
        <v>2300</v>
      </c>
      <c r="V71" s="5" t="s">
        <v>864</v>
      </c>
      <c r="W71">
        <v>2</v>
      </c>
      <c r="X71">
        <v>3</v>
      </c>
      <c r="Y71" t="s">
        <v>628</v>
      </c>
      <c r="Z71" t="s">
        <v>709</v>
      </c>
      <c r="AA71" s="5" t="str" cm="1">
        <f t="array" aca="1" ref="AA71" ca="1">INDEX({"North","West","South","East"},RANDBETWEEN(1,4))</f>
        <v>North</v>
      </c>
    </row>
    <row r="72" spans="1:27" x14ac:dyDescent="0.3">
      <c r="A72" t="s">
        <v>70</v>
      </c>
      <c r="B72" s="1" t="s">
        <v>202</v>
      </c>
      <c r="C72" s="2" t="s">
        <v>274</v>
      </c>
      <c r="D72" t="str">
        <f t="shared" si="3"/>
        <v>Male</v>
      </c>
      <c r="E72" s="3">
        <v>27289</v>
      </c>
      <c r="F72">
        <f t="shared" ca="1" si="4"/>
        <v>51</v>
      </c>
      <c r="G72" t="str">
        <f t="shared" ca="1" si="5"/>
        <v>50-60</v>
      </c>
      <c r="H72" t="s">
        <v>846</v>
      </c>
      <c r="I72" t="s">
        <v>412</v>
      </c>
      <c r="J72" t="s">
        <v>414</v>
      </c>
      <c r="K72" t="s">
        <v>416</v>
      </c>
      <c r="L72" t="s">
        <v>490</v>
      </c>
      <c r="M72" s="3">
        <v>36445</v>
      </c>
      <c r="N72" t="s">
        <v>848</v>
      </c>
      <c r="O72" t="s">
        <v>626</v>
      </c>
      <c r="P72" t="s">
        <v>633</v>
      </c>
      <c r="Q72" t="s">
        <v>638</v>
      </c>
      <c r="R72" t="s">
        <v>851</v>
      </c>
      <c r="S72" s="5">
        <v>55000</v>
      </c>
      <c r="T72" s="5" t="s">
        <v>857</v>
      </c>
      <c r="U72" s="5">
        <v>1300</v>
      </c>
      <c r="V72" s="5" t="s">
        <v>863</v>
      </c>
      <c r="W72">
        <v>3</v>
      </c>
      <c r="X72">
        <v>1</v>
      </c>
      <c r="Y72" t="s">
        <v>870</v>
      </c>
      <c r="Z72" t="s">
        <v>710</v>
      </c>
      <c r="AA72" s="5" t="str" cm="1">
        <f t="array" aca="1" ref="AA72" ca="1">INDEX({"North","West","South","East"},RANDBETWEEN(1,4))</f>
        <v>North</v>
      </c>
    </row>
    <row r="73" spans="1:27" x14ac:dyDescent="0.3">
      <c r="A73" t="s">
        <v>71</v>
      </c>
      <c r="B73" s="1" t="s">
        <v>204</v>
      </c>
      <c r="C73" s="2" t="s">
        <v>275</v>
      </c>
      <c r="D73" t="str">
        <f t="shared" si="3"/>
        <v>Female</v>
      </c>
      <c r="E73" s="3">
        <v>29340</v>
      </c>
      <c r="F73">
        <f t="shared" ca="1" si="4"/>
        <v>46</v>
      </c>
      <c r="G73" t="str">
        <f t="shared" ca="1" si="5"/>
        <v>40-50</v>
      </c>
      <c r="H73" t="s">
        <v>843</v>
      </c>
      <c r="I73" t="s">
        <v>411</v>
      </c>
      <c r="J73" t="s">
        <v>414</v>
      </c>
      <c r="K73" t="s">
        <v>416</v>
      </c>
      <c r="L73" t="s">
        <v>491</v>
      </c>
      <c r="M73" s="3">
        <v>38075</v>
      </c>
      <c r="N73" t="s">
        <v>847</v>
      </c>
      <c r="O73" t="s">
        <v>627</v>
      </c>
      <c r="P73" t="s">
        <v>633</v>
      </c>
      <c r="Q73" t="s">
        <v>638</v>
      </c>
      <c r="R73" t="s">
        <v>852</v>
      </c>
      <c r="S73" s="5">
        <v>117500</v>
      </c>
      <c r="T73" s="5" t="s">
        <v>856</v>
      </c>
      <c r="U73" s="5">
        <v>2500</v>
      </c>
      <c r="V73" s="5" t="s">
        <v>862</v>
      </c>
      <c r="W73">
        <v>5</v>
      </c>
      <c r="X73">
        <v>2</v>
      </c>
      <c r="Y73" t="s">
        <v>871</v>
      </c>
      <c r="Z73" t="s">
        <v>711</v>
      </c>
      <c r="AA73" s="5" t="str" cm="1">
        <f t="array" aca="1" ref="AA73" ca="1">INDEX({"North","West","South","East"},RANDBETWEEN(1,4))</f>
        <v>North</v>
      </c>
    </row>
    <row r="74" spans="1:27" x14ac:dyDescent="0.3">
      <c r="A74" t="s">
        <v>72</v>
      </c>
      <c r="B74" s="1" t="s">
        <v>202</v>
      </c>
      <c r="C74" s="2" t="s">
        <v>276</v>
      </c>
      <c r="D74" t="str">
        <f t="shared" si="3"/>
        <v>Male</v>
      </c>
      <c r="E74" s="3">
        <v>33620</v>
      </c>
      <c r="F74">
        <f t="shared" ca="1" si="4"/>
        <v>34</v>
      </c>
      <c r="G74" t="str">
        <f t="shared" ca="1" si="5"/>
        <v>30-40</v>
      </c>
      <c r="H74" t="s">
        <v>845</v>
      </c>
      <c r="I74" t="s">
        <v>411</v>
      </c>
      <c r="J74" t="s">
        <v>414</v>
      </c>
      <c r="K74" t="s">
        <v>416</v>
      </c>
      <c r="L74" t="s">
        <v>492</v>
      </c>
      <c r="M74" s="3">
        <v>41359</v>
      </c>
      <c r="N74" t="s">
        <v>848</v>
      </c>
      <c r="O74" t="s">
        <v>625</v>
      </c>
      <c r="P74" t="s">
        <v>635</v>
      </c>
      <c r="Q74" t="s">
        <v>635</v>
      </c>
      <c r="R74" t="s">
        <v>851</v>
      </c>
      <c r="S74" s="5">
        <v>106000</v>
      </c>
      <c r="T74" s="5" t="s">
        <v>858</v>
      </c>
      <c r="U74" s="5">
        <v>2800</v>
      </c>
      <c r="V74" s="5" t="s">
        <v>863</v>
      </c>
      <c r="W74">
        <v>1</v>
      </c>
      <c r="X74">
        <v>3</v>
      </c>
      <c r="Y74" t="s">
        <v>869</v>
      </c>
      <c r="Z74" t="s">
        <v>712</v>
      </c>
      <c r="AA74" s="5" t="str" cm="1">
        <f t="array" aca="1" ref="AA74" ca="1">INDEX({"North","West","South","East"},RANDBETWEEN(1,4))</f>
        <v>South</v>
      </c>
    </row>
    <row r="75" spans="1:27" x14ac:dyDescent="0.3">
      <c r="A75" t="s">
        <v>73</v>
      </c>
      <c r="B75" s="1" t="s">
        <v>204</v>
      </c>
      <c r="C75" s="2" t="s">
        <v>277</v>
      </c>
      <c r="D75" t="str">
        <f t="shared" si="3"/>
        <v>Female</v>
      </c>
      <c r="E75" s="3">
        <v>26406</v>
      </c>
      <c r="F75">
        <f t="shared" ca="1" si="4"/>
        <v>54</v>
      </c>
      <c r="G75" t="str">
        <f t="shared" ca="1" si="5"/>
        <v>50-60</v>
      </c>
      <c r="H75" t="s">
        <v>844</v>
      </c>
      <c r="I75" t="s">
        <v>412</v>
      </c>
      <c r="J75" t="s">
        <v>414</v>
      </c>
      <c r="K75" t="s">
        <v>416</v>
      </c>
      <c r="L75" t="s">
        <v>493</v>
      </c>
      <c r="M75" s="3">
        <v>35706</v>
      </c>
      <c r="N75" t="s">
        <v>847</v>
      </c>
      <c r="O75" t="s">
        <v>624</v>
      </c>
      <c r="P75" t="s">
        <v>633</v>
      </c>
      <c r="Q75" t="s">
        <v>638</v>
      </c>
      <c r="R75" t="s">
        <v>853</v>
      </c>
      <c r="S75" s="5">
        <v>94000</v>
      </c>
      <c r="T75" s="5" t="s">
        <v>859</v>
      </c>
      <c r="U75" s="5">
        <v>1600</v>
      </c>
      <c r="V75" s="5" t="s">
        <v>862</v>
      </c>
      <c r="W75">
        <v>6</v>
      </c>
      <c r="X75">
        <v>1</v>
      </c>
      <c r="Y75" t="s">
        <v>868</v>
      </c>
      <c r="Z75" t="s">
        <v>713</v>
      </c>
      <c r="AA75" s="5" t="str" cm="1">
        <f t="array" aca="1" ref="AA75" ca="1">INDEX({"North","West","South","East"},RANDBETWEEN(1,4))</f>
        <v>West</v>
      </c>
    </row>
    <row r="76" spans="1:27" x14ac:dyDescent="0.3">
      <c r="A76" t="s">
        <v>74</v>
      </c>
      <c r="B76" s="1" t="s">
        <v>202</v>
      </c>
      <c r="C76" s="2" t="s">
        <v>278</v>
      </c>
      <c r="D76" t="str">
        <f t="shared" si="3"/>
        <v>Male</v>
      </c>
      <c r="E76" s="3">
        <v>37761</v>
      </c>
      <c r="F76">
        <f t="shared" ca="1" si="4"/>
        <v>23</v>
      </c>
      <c r="G76" t="str">
        <f t="shared" ca="1" si="5"/>
        <v>20-30</v>
      </c>
      <c r="H76" t="s">
        <v>846</v>
      </c>
      <c r="I76" t="s">
        <v>412</v>
      </c>
      <c r="J76" t="s">
        <v>414</v>
      </c>
      <c r="K76" t="s">
        <v>416</v>
      </c>
      <c r="L76" t="s">
        <v>494</v>
      </c>
      <c r="M76" s="3">
        <v>45097</v>
      </c>
      <c r="N76" t="s">
        <v>848</v>
      </c>
      <c r="O76" t="s">
        <v>627</v>
      </c>
      <c r="P76" t="s">
        <v>633</v>
      </c>
      <c r="Q76" t="s">
        <v>638</v>
      </c>
      <c r="R76" t="s">
        <v>852</v>
      </c>
      <c r="S76" s="5">
        <v>132000</v>
      </c>
      <c r="T76" s="5" t="s">
        <v>857</v>
      </c>
      <c r="U76" s="5">
        <v>3200</v>
      </c>
      <c r="V76" s="5" t="s">
        <v>863</v>
      </c>
      <c r="W76">
        <v>7</v>
      </c>
      <c r="X76">
        <v>2</v>
      </c>
      <c r="Y76" t="s">
        <v>628</v>
      </c>
      <c r="Z76" t="s">
        <v>714</v>
      </c>
      <c r="AA76" s="5" t="str" cm="1">
        <f t="array" aca="1" ref="AA76" ca="1">INDEX({"North","West","South","East"},RANDBETWEEN(1,4))</f>
        <v>East</v>
      </c>
    </row>
    <row r="77" spans="1:27" x14ac:dyDescent="0.3">
      <c r="A77" t="s">
        <v>75</v>
      </c>
      <c r="B77" s="1" t="s">
        <v>204</v>
      </c>
      <c r="C77" s="2" t="s">
        <v>279</v>
      </c>
      <c r="D77" t="str">
        <f t="shared" si="3"/>
        <v>Female</v>
      </c>
      <c r="E77" s="3">
        <v>34465</v>
      </c>
      <c r="F77">
        <f t="shared" ca="1" si="4"/>
        <v>32</v>
      </c>
      <c r="G77" t="str">
        <f t="shared" ca="1" si="5"/>
        <v>30-40</v>
      </c>
      <c r="H77" t="s">
        <v>843</v>
      </c>
      <c r="I77" t="s">
        <v>409</v>
      </c>
      <c r="J77" t="s">
        <v>414</v>
      </c>
      <c r="K77" t="s">
        <v>416</v>
      </c>
      <c r="L77" t="s">
        <v>495</v>
      </c>
      <c r="M77" s="3">
        <v>41486</v>
      </c>
      <c r="N77" t="s">
        <v>849</v>
      </c>
      <c r="O77" t="s">
        <v>626</v>
      </c>
      <c r="P77" t="s">
        <v>633</v>
      </c>
      <c r="Q77" t="s">
        <v>638</v>
      </c>
      <c r="R77" t="s">
        <v>851</v>
      </c>
      <c r="S77" s="5">
        <v>88000</v>
      </c>
      <c r="T77" s="5" t="s">
        <v>856</v>
      </c>
      <c r="U77" s="5">
        <v>1400</v>
      </c>
      <c r="V77" s="5" t="s">
        <v>864</v>
      </c>
      <c r="W77">
        <v>4</v>
      </c>
      <c r="X77">
        <v>3</v>
      </c>
      <c r="Y77" t="s">
        <v>871</v>
      </c>
      <c r="Z77" t="s">
        <v>715</v>
      </c>
      <c r="AA77" s="5" t="str" cm="1">
        <f t="array" aca="1" ref="AA77" ca="1">INDEX({"North","West","South","East"},RANDBETWEEN(1,4))</f>
        <v>East</v>
      </c>
    </row>
    <row r="78" spans="1:27" x14ac:dyDescent="0.3">
      <c r="A78" t="s">
        <v>76</v>
      </c>
      <c r="B78" s="1" t="s">
        <v>202</v>
      </c>
      <c r="C78" s="2" t="s">
        <v>280</v>
      </c>
      <c r="D78" t="str">
        <f t="shared" si="3"/>
        <v>Male</v>
      </c>
      <c r="E78" s="3">
        <v>27804</v>
      </c>
      <c r="F78">
        <f t="shared" ca="1" si="4"/>
        <v>50</v>
      </c>
      <c r="G78" t="str">
        <f t="shared" ca="1" si="5"/>
        <v>40-50</v>
      </c>
      <c r="H78" t="s">
        <v>843</v>
      </c>
      <c r="I78" t="s">
        <v>410</v>
      </c>
      <c r="J78" t="s">
        <v>414</v>
      </c>
      <c r="K78" t="s">
        <v>416</v>
      </c>
      <c r="L78" t="s">
        <v>496</v>
      </c>
      <c r="M78" s="3">
        <v>35734</v>
      </c>
      <c r="N78" t="s">
        <v>847</v>
      </c>
      <c r="O78" t="s">
        <v>625</v>
      </c>
      <c r="P78" t="s">
        <v>633</v>
      </c>
      <c r="Q78" t="s">
        <v>635</v>
      </c>
      <c r="R78" t="s">
        <v>853</v>
      </c>
      <c r="S78" s="5">
        <v>65000</v>
      </c>
      <c r="T78" s="5" t="s">
        <v>858</v>
      </c>
      <c r="U78" s="5">
        <v>2100</v>
      </c>
      <c r="V78" s="5" t="s">
        <v>862</v>
      </c>
      <c r="W78">
        <v>8</v>
      </c>
      <c r="X78">
        <v>1</v>
      </c>
      <c r="Y78" t="s">
        <v>870</v>
      </c>
      <c r="Z78" t="s">
        <v>716</v>
      </c>
      <c r="AA78" s="5" t="str" cm="1">
        <f t="array" aca="1" ref="AA78" ca="1">INDEX({"North","West","South","East"},RANDBETWEEN(1,4))</f>
        <v>South</v>
      </c>
    </row>
    <row r="79" spans="1:27" x14ac:dyDescent="0.3">
      <c r="A79" t="s">
        <v>77</v>
      </c>
      <c r="B79" s="1" t="s">
        <v>204</v>
      </c>
      <c r="C79" s="2" t="s">
        <v>281</v>
      </c>
      <c r="D79" t="str">
        <f t="shared" si="3"/>
        <v>Female</v>
      </c>
      <c r="E79" s="3">
        <v>26118</v>
      </c>
      <c r="F79">
        <f t="shared" ca="1" si="4"/>
        <v>54</v>
      </c>
      <c r="G79" t="str">
        <f t="shared" ca="1" si="5"/>
        <v>50-60</v>
      </c>
      <c r="H79" t="s">
        <v>844</v>
      </c>
      <c r="I79" t="s">
        <v>410</v>
      </c>
      <c r="J79" t="s">
        <v>414</v>
      </c>
      <c r="K79" t="s">
        <v>416</v>
      </c>
      <c r="L79" t="s">
        <v>497</v>
      </c>
      <c r="M79" s="3">
        <v>35080</v>
      </c>
      <c r="N79" t="s">
        <v>848</v>
      </c>
      <c r="O79" t="s">
        <v>627</v>
      </c>
      <c r="P79" t="s">
        <v>633</v>
      </c>
      <c r="Q79" t="s">
        <v>638</v>
      </c>
      <c r="R79" t="s">
        <v>852</v>
      </c>
      <c r="S79" s="5">
        <v>119500</v>
      </c>
      <c r="T79" s="5" t="s">
        <v>857</v>
      </c>
      <c r="U79" s="5">
        <v>2600</v>
      </c>
      <c r="V79" s="5" t="s">
        <v>863</v>
      </c>
      <c r="W79">
        <v>2</v>
      </c>
      <c r="X79">
        <v>2</v>
      </c>
      <c r="Y79" t="s">
        <v>869</v>
      </c>
      <c r="Z79" t="s">
        <v>717</v>
      </c>
      <c r="AA79" s="5" t="str" cm="1">
        <f t="array" aca="1" ref="AA79" ca="1">INDEX({"North","West","South","East"},RANDBETWEEN(1,4))</f>
        <v>East</v>
      </c>
    </row>
    <row r="80" spans="1:27" x14ac:dyDescent="0.3">
      <c r="A80" t="s">
        <v>78</v>
      </c>
      <c r="B80" s="1" t="s">
        <v>202</v>
      </c>
      <c r="C80" s="2" t="s">
        <v>282</v>
      </c>
      <c r="D80" t="str">
        <f t="shared" si="3"/>
        <v>Male</v>
      </c>
      <c r="E80" s="3">
        <v>36241</v>
      </c>
      <c r="F80">
        <f t="shared" ca="1" si="4"/>
        <v>27</v>
      </c>
      <c r="G80" t="str">
        <f t="shared" ca="1" si="5"/>
        <v>20-30</v>
      </c>
      <c r="H80" t="s">
        <v>843</v>
      </c>
      <c r="I80" t="s">
        <v>409</v>
      </c>
      <c r="J80" t="s">
        <v>414</v>
      </c>
      <c r="K80" t="s">
        <v>417</v>
      </c>
      <c r="L80" t="s">
        <v>498</v>
      </c>
      <c r="M80" s="3">
        <v>44341</v>
      </c>
      <c r="N80" t="s">
        <v>847</v>
      </c>
      <c r="O80" t="s">
        <v>624</v>
      </c>
      <c r="P80" t="s">
        <v>632</v>
      </c>
      <c r="Q80" t="s">
        <v>638</v>
      </c>
      <c r="R80" t="s">
        <v>851</v>
      </c>
      <c r="S80" s="5">
        <v>96000</v>
      </c>
      <c r="T80" s="5" t="s">
        <v>859</v>
      </c>
      <c r="U80" s="5">
        <v>1800</v>
      </c>
      <c r="V80" s="5" t="s">
        <v>862</v>
      </c>
      <c r="W80">
        <v>3</v>
      </c>
      <c r="X80">
        <v>3</v>
      </c>
      <c r="Y80" t="s">
        <v>868</v>
      </c>
      <c r="Z80" t="s">
        <v>718</v>
      </c>
      <c r="AA80" s="5" t="str" cm="1">
        <f t="array" aca="1" ref="AA80" ca="1">INDEX({"North","West","South","East"},RANDBETWEEN(1,4))</f>
        <v>East</v>
      </c>
    </row>
    <row r="81" spans="1:27" x14ac:dyDescent="0.3">
      <c r="A81" t="s">
        <v>79</v>
      </c>
      <c r="B81" s="1" t="s">
        <v>204</v>
      </c>
      <c r="C81" s="2" t="s">
        <v>283</v>
      </c>
      <c r="D81" t="str">
        <f t="shared" si="3"/>
        <v>Female</v>
      </c>
      <c r="E81" s="3">
        <v>26422</v>
      </c>
      <c r="F81">
        <f t="shared" ca="1" si="4"/>
        <v>54</v>
      </c>
      <c r="G81" t="str">
        <f t="shared" ca="1" si="5"/>
        <v>50-60</v>
      </c>
      <c r="H81" t="s">
        <v>845</v>
      </c>
      <c r="I81" t="s">
        <v>410</v>
      </c>
      <c r="J81" t="s">
        <v>414</v>
      </c>
      <c r="K81" t="s">
        <v>416</v>
      </c>
      <c r="L81" t="s">
        <v>499</v>
      </c>
      <c r="M81" s="3">
        <v>36653</v>
      </c>
      <c r="N81" t="s">
        <v>848</v>
      </c>
      <c r="O81" t="s">
        <v>626</v>
      </c>
      <c r="P81" t="s">
        <v>635</v>
      </c>
      <c r="Q81" t="s">
        <v>638</v>
      </c>
      <c r="R81" t="s">
        <v>852</v>
      </c>
      <c r="S81" s="5">
        <v>102500</v>
      </c>
      <c r="T81" s="5" t="s">
        <v>856</v>
      </c>
      <c r="U81" s="5">
        <v>2200</v>
      </c>
      <c r="V81" s="5" t="s">
        <v>863</v>
      </c>
      <c r="W81">
        <v>5</v>
      </c>
      <c r="X81">
        <v>1</v>
      </c>
      <c r="Y81" t="s">
        <v>628</v>
      </c>
      <c r="Z81" t="s">
        <v>719</v>
      </c>
      <c r="AA81" s="5" t="str" cm="1">
        <f t="array" aca="1" ref="AA81" ca="1">INDEX({"North","West","South","East"},RANDBETWEEN(1,4))</f>
        <v>South</v>
      </c>
    </row>
    <row r="82" spans="1:27" x14ac:dyDescent="0.3">
      <c r="A82" t="s">
        <v>80</v>
      </c>
      <c r="B82" s="1" t="s">
        <v>202</v>
      </c>
      <c r="C82" s="2" t="s">
        <v>284</v>
      </c>
      <c r="D82" t="str">
        <f t="shared" si="3"/>
        <v>Male</v>
      </c>
      <c r="E82" s="3">
        <v>29171</v>
      </c>
      <c r="F82">
        <f t="shared" ca="1" si="4"/>
        <v>46</v>
      </c>
      <c r="G82" t="str">
        <f t="shared" ca="1" si="5"/>
        <v>40-50</v>
      </c>
      <c r="H82" t="s">
        <v>843</v>
      </c>
      <c r="I82" t="s">
        <v>411</v>
      </c>
      <c r="J82" t="s">
        <v>414</v>
      </c>
      <c r="K82" t="s">
        <v>417</v>
      </c>
      <c r="L82" t="s">
        <v>500</v>
      </c>
      <c r="M82" s="3">
        <v>37784</v>
      </c>
      <c r="N82" t="s">
        <v>847</v>
      </c>
      <c r="O82" t="s">
        <v>625</v>
      </c>
      <c r="P82" t="s">
        <v>633</v>
      </c>
      <c r="Q82" t="s">
        <v>638</v>
      </c>
      <c r="R82" t="s">
        <v>853</v>
      </c>
      <c r="S82" s="5">
        <v>72000</v>
      </c>
      <c r="T82" s="5" t="s">
        <v>858</v>
      </c>
      <c r="U82" s="5">
        <v>1100</v>
      </c>
      <c r="V82" s="5" t="s">
        <v>862</v>
      </c>
      <c r="W82">
        <v>1</v>
      </c>
      <c r="X82">
        <v>2</v>
      </c>
      <c r="Y82" t="s">
        <v>870</v>
      </c>
      <c r="Z82" t="s">
        <v>720</v>
      </c>
      <c r="AA82" s="5" t="str" cm="1">
        <f t="array" aca="1" ref="AA82" ca="1">INDEX({"North","West","South","East"},RANDBETWEEN(1,4))</f>
        <v>West</v>
      </c>
    </row>
    <row r="83" spans="1:27" x14ac:dyDescent="0.3">
      <c r="A83" t="s">
        <v>81</v>
      </c>
      <c r="B83" s="1" t="s">
        <v>204</v>
      </c>
      <c r="C83" s="2" t="s">
        <v>285</v>
      </c>
      <c r="D83" t="str">
        <f t="shared" si="3"/>
        <v>Female</v>
      </c>
      <c r="E83" s="3">
        <v>38228</v>
      </c>
      <c r="F83">
        <f t="shared" ca="1" si="4"/>
        <v>21</v>
      </c>
      <c r="G83" t="str">
        <f t="shared" ca="1" si="5"/>
        <v>20-30</v>
      </c>
      <c r="H83" t="s">
        <v>845</v>
      </c>
      <c r="I83" t="s">
        <v>412</v>
      </c>
      <c r="J83" t="s">
        <v>414</v>
      </c>
      <c r="K83" t="s">
        <v>417</v>
      </c>
      <c r="L83" t="s">
        <v>501</v>
      </c>
      <c r="M83" s="3">
        <v>44860</v>
      </c>
      <c r="N83" t="s">
        <v>849</v>
      </c>
      <c r="O83" t="s">
        <v>624</v>
      </c>
      <c r="P83" t="s">
        <v>635</v>
      </c>
      <c r="Q83" t="s">
        <v>638</v>
      </c>
      <c r="R83" t="s">
        <v>851</v>
      </c>
      <c r="S83" s="5">
        <v>85000</v>
      </c>
      <c r="T83" s="5" t="s">
        <v>857</v>
      </c>
      <c r="U83" s="5">
        <v>2400</v>
      </c>
      <c r="V83" s="5" t="s">
        <v>864</v>
      </c>
      <c r="W83">
        <v>6</v>
      </c>
      <c r="X83">
        <v>3</v>
      </c>
      <c r="Y83" t="s">
        <v>871</v>
      </c>
      <c r="Z83" t="s">
        <v>721</v>
      </c>
      <c r="AA83" s="5" t="str" cm="1">
        <f t="array" aca="1" ref="AA83" ca="1">INDEX({"North","West","South","East"},RANDBETWEEN(1,4))</f>
        <v>West</v>
      </c>
    </row>
    <row r="84" spans="1:27" x14ac:dyDescent="0.3">
      <c r="A84" t="s">
        <v>82</v>
      </c>
      <c r="B84" s="1" t="s">
        <v>202</v>
      </c>
      <c r="C84" s="2" t="s">
        <v>286</v>
      </c>
      <c r="D84" t="str">
        <f t="shared" si="3"/>
        <v>Male</v>
      </c>
      <c r="E84" s="3">
        <v>30718</v>
      </c>
      <c r="F84">
        <f t="shared" ca="1" si="4"/>
        <v>42</v>
      </c>
      <c r="G84" t="str">
        <f t="shared" ca="1" si="5"/>
        <v>40-50</v>
      </c>
      <c r="H84" t="s">
        <v>846</v>
      </c>
      <c r="I84" t="s">
        <v>410</v>
      </c>
      <c r="J84" t="s">
        <v>414</v>
      </c>
      <c r="K84" t="s">
        <v>417</v>
      </c>
      <c r="L84" t="s">
        <v>502</v>
      </c>
      <c r="M84" s="3">
        <v>38809</v>
      </c>
      <c r="N84" t="s">
        <v>848</v>
      </c>
      <c r="O84" t="s">
        <v>626</v>
      </c>
      <c r="P84" t="s">
        <v>633</v>
      </c>
      <c r="Q84" t="s">
        <v>635</v>
      </c>
      <c r="R84" t="s">
        <v>852</v>
      </c>
      <c r="S84" s="5">
        <v>59000</v>
      </c>
      <c r="T84" s="5" t="s">
        <v>856</v>
      </c>
      <c r="U84" s="5">
        <v>2700</v>
      </c>
      <c r="V84" s="5" t="s">
        <v>863</v>
      </c>
      <c r="W84">
        <v>7</v>
      </c>
      <c r="X84">
        <v>1</v>
      </c>
      <c r="Y84" t="s">
        <v>869</v>
      </c>
      <c r="Z84" t="s">
        <v>722</v>
      </c>
      <c r="AA84" s="5" t="str" cm="1">
        <f t="array" aca="1" ref="AA84" ca="1">INDEX({"North","West","South","East"},RANDBETWEEN(1,4))</f>
        <v>North</v>
      </c>
    </row>
    <row r="85" spans="1:27" x14ac:dyDescent="0.3">
      <c r="A85" t="s">
        <v>83</v>
      </c>
      <c r="B85" s="1" t="s">
        <v>204</v>
      </c>
      <c r="C85" s="2" t="s">
        <v>287</v>
      </c>
      <c r="D85" t="str">
        <f t="shared" si="3"/>
        <v>Female</v>
      </c>
      <c r="E85" s="3">
        <v>34196</v>
      </c>
      <c r="F85">
        <f t="shared" ca="1" si="4"/>
        <v>32</v>
      </c>
      <c r="G85" t="str">
        <f t="shared" ca="1" si="5"/>
        <v>30-40</v>
      </c>
      <c r="H85" t="s">
        <v>844</v>
      </c>
      <c r="I85" t="s">
        <v>410</v>
      </c>
      <c r="J85" t="s">
        <v>414</v>
      </c>
      <c r="K85" t="s">
        <v>416</v>
      </c>
      <c r="L85" t="s">
        <v>503</v>
      </c>
      <c r="M85" s="3">
        <v>42225</v>
      </c>
      <c r="N85" t="s">
        <v>847</v>
      </c>
      <c r="O85" t="s">
        <v>627</v>
      </c>
      <c r="P85" t="s">
        <v>632</v>
      </c>
      <c r="Q85" t="s">
        <v>638</v>
      </c>
      <c r="R85" t="s">
        <v>853</v>
      </c>
      <c r="S85" s="5">
        <v>113000</v>
      </c>
      <c r="T85" s="5" t="s">
        <v>859</v>
      </c>
      <c r="U85" s="5">
        <v>1900</v>
      </c>
      <c r="V85" s="5" t="s">
        <v>862</v>
      </c>
      <c r="W85">
        <v>4</v>
      </c>
      <c r="X85">
        <v>2</v>
      </c>
      <c r="Y85" t="s">
        <v>868</v>
      </c>
      <c r="Z85" t="s">
        <v>723</v>
      </c>
      <c r="AA85" s="5" t="str" cm="1">
        <f t="array" aca="1" ref="AA85" ca="1">INDEX({"North","West","South","East"},RANDBETWEEN(1,4))</f>
        <v>West</v>
      </c>
    </row>
    <row r="86" spans="1:27" x14ac:dyDescent="0.3">
      <c r="A86" t="s">
        <v>84</v>
      </c>
      <c r="B86" s="1" t="s">
        <v>202</v>
      </c>
      <c r="C86" s="2" t="s">
        <v>288</v>
      </c>
      <c r="D86" t="str">
        <f t="shared" si="3"/>
        <v>Male</v>
      </c>
      <c r="E86" s="3">
        <v>35285</v>
      </c>
      <c r="F86">
        <f t="shared" ca="1" si="4"/>
        <v>29</v>
      </c>
      <c r="G86" t="str">
        <f t="shared" ca="1" si="5"/>
        <v>20-30</v>
      </c>
      <c r="H86" t="s">
        <v>844</v>
      </c>
      <c r="I86" t="s">
        <v>412</v>
      </c>
      <c r="J86" t="s">
        <v>414</v>
      </c>
      <c r="K86" t="s">
        <v>417</v>
      </c>
      <c r="L86" t="s">
        <v>504</v>
      </c>
      <c r="M86" s="3">
        <v>45583</v>
      </c>
      <c r="N86" t="s">
        <v>848</v>
      </c>
      <c r="O86" t="s">
        <v>625</v>
      </c>
      <c r="P86" t="s">
        <v>633</v>
      </c>
      <c r="Q86" t="s">
        <v>638</v>
      </c>
      <c r="R86" t="s">
        <v>851</v>
      </c>
      <c r="S86" s="5">
        <v>91000</v>
      </c>
      <c r="T86" s="5" t="s">
        <v>858</v>
      </c>
      <c r="U86" s="5">
        <v>3000</v>
      </c>
      <c r="V86" s="5" t="s">
        <v>863</v>
      </c>
      <c r="W86">
        <v>8</v>
      </c>
      <c r="X86">
        <v>3</v>
      </c>
      <c r="Y86" t="s">
        <v>628</v>
      </c>
      <c r="Z86" t="s">
        <v>724</v>
      </c>
      <c r="AA86" s="5" t="str" cm="1">
        <f t="array" aca="1" ref="AA86" ca="1">INDEX({"North","West","South","East"},RANDBETWEEN(1,4))</f>
        <v>South</v>
      </c>
    </row>
    <row r="87" spans="1:27" x14ac:dyDescent="0.3">
      <c r="A87" t="s">
        <v>85</v>
      </c>
      <c r="B87" s="1" t="s">
        <v>204</v>
      </c>
      <c r="C87" s="2" t="s">
        <v>289</v>
      </c>
      <c r="D87" t="str">
        <f t="shared" si="3"/>
        <v>Female</v>
      </c>
      <c r="E87" s="3">
        <v>34387</v>
      </c>
      <c r="F87">
        <f t="shared" ca="1" si="4"/>
        <v>32</v>
      </c>
      <c r="G87" t="str">
        <f t="shared" ca="1" si="5"/>
        <v>30-40</v>
      </c>
      <c r="H87" t="s">
        <v>846</v>
      </c>
      <c r="I87" t="s">
        <v>411</v>
      </c>
      <c r="J87" t="s">
        <v>414</v>
      </c>
      <c r="K87" t="s">
        <v>417</v>
      </c>
      <c r="L87" t="s">
        <v>505</v>
      </c>
      <c r="M87" s="3">
        <v>42283</v>
      </c>
      <c r="N87" t="s">
        <v>847</v>
      </c>
      <c r="O87" t="s">
        <v>624</v>
      </c>
      <c r="P87" t="s">
        <v>633</v>
      </c>
      <c r="Q87" t="s">
        <v>638</v>
      </c>
      <c r="R87" t="s">
        <v>852</v>
      </c>
      <c r="S87" s="5">
        <v>145000</v>
      </c>
      <c r="T87" s="5" t="s">
        <v>857</v>
      </c>
      <c r="U87" s="5">
        <v>1500</v>
      </c>
      <c r="V87" s="5" t="s">
        <v>862</v>
      </c>
      <c r="W87">
        <v>13</v>
      </c>
      <c r="X87">
        <v>1</v>
      </c>
      <c r="Y87" t="s">
        <v>869</v>
      </c>
      <c r="Z87" t="s">
        <v>725</v>
      </c>
      <c r="AA87" s="5" t="str" cm="1">
        <f t="array" aca="1" ref="AA87" ca="1">INDEX({"North","West","South","East"},RANDBETWEEN(1,4))</f>
        <v>West</v>
      </c>
    </row>
    <row r="88" spans="1:27" x14ac:dyDescent="0.3">
      <c r="A88" t="s">
        <v>86</v>
      </c>
      <c r="B88" s="1" t="s">
        <v>202</v>
      </c>
      <c r="C88" s="2" t="s">
        <v>290</v>
      </c>
      <c r="D88" t="str">
        <f t="shared" si="3"/>
        <v>Male</v>
      </c>
      <c r="E88" s="3">
        <v>27237</v>
      </c>
      <c r="F88">
        <f t="shared" ca="1" si="4"/>
        <v>51</v>
      </c>
      <c r="G88" t="str">
        <f t="shared" ca="1" si="5"/>
        <v>50-60</v>
      </c>
      <c r="H88" t="s">
        <v>845</v>
      </c>
      <c r="I88" t="s">
        <v>412</v>
      </c>
      <c r="J88" t="s">
        <v>414</v>
      </c>
      <c r="K88" t="s">
        <v>416</v>
      </c>
      <c r="L88" t="s">
        <v>506</v>
      </c>
      <c r="M88" s="3">
        <v>34838</v>
      </c>
      <c r="N88" t="s">
        <v>849</v>
      </c>
      <c r="O88" t="s">
        <v>627</v>
      </c>
      <c r="P88" t="s">
        <v>633</v>
      </c>
      <c r="Q88" t="s">
        <v>638</v>
      </c>
      <c r="R88" t="s">
        <v>851</v>
      </c>
      <c r="S88" s="5">
        <v>87000</v>
      </c>
      <c r="T88" s="5" t="s">
        <v>856</v>
      </c>
      <c r="U88" s="5">
        <v>2300</v>
      </c>
      <c r="V88" s="5" t="s">
        <v>864</v>
      </c>
      <c r="W88">
        <v>14</v>
      </c>
      <c r="X88">
        <v>2</v>
      </c>
      <c r="Y88" t="s">
        <v>870</v>
      </c>
      <c r="Z88" t="s">
        <v>726</v>
      </c>
      <c r="AA88" s="5" t="str" cm="1">
        <f t="array" aca="1" ref="AA88" ca="1">INDEX({"North","West","South","East"},RANDBETWEEN(1,4))</f>
        <v>North</v>
      </c>
    </row>
    <row r="89" spans="1:27" x14ac:dyDescent="0.3">
      <c r="A89" t="s">
        <v>87</v>
      </c>
      <c r="B89" s="1" t="s">
        <v>204</v>
      </c>
      <c r="C89" s="2" t="s">
        <v>291</v>
      </c>
      <c r="D89" t="str">
        <f t="shared" si="3"/>
        <v>Female</v>
      </c>
      <c r="E89" s="3">
        <v>32151</v>
      </c>
      <c r="F89">
        <f t="shared" ca="1" si="4"/>
        <v>38</v>
      </c>
      <c r="G89" t="str">
        <f t="shared" ca="1" si="5"/>
        <v>30-40</v>
      </c>
      <c r="H89" t="s">
        <v>843</v>
      </c>
      <c r="I89" t="s">
        <v>411</v>
      </c>
      <c r="J89" t="s">
        <v>414</v>
      </c>
      <c r="K89" t="s">
        <v>417</v>
      </c>
      <c r="L89" t="s">
        <v>507</v>
      </c>
      <c r="M89" s="3">
        <v>39570</v>
      </c>
      <c r="N89" t="s">
        <v>848</v>
      </c>
      <c r="O89" t="s">
        <v>626</v>
      </c>
      <c r="P89" t="s">
        <v>633</v>
      </c>
      <c r="Q89" t="s">
        <v>638</v>
      </c>
      <c r="R89" t="s">
        <v>853</v>
      </c>
      <c r="S89" s="5">
        <v>68000</v>
      </c>
      <c r="T89" s="5" t="s">
        <v>858</v>
      </c>
      <c r="U89" s="5">
        <v>2600</v>
      </c>
      <c r="V89" s="5" t="s">
        <v>863</v>
      </c>
      <c r="W89">
        <v>3</v>
      </c>
      <c r="X89">
        <v>3</v>
      </c>
      <c r="Y89" t="s">
        <v>871</v>
      </c>
      <c r="Z89" t="s">
        <v>727</v>
      </c>
      <c r="AA89" s="5" t="str" cm="1">
        <f t="array" aca="1" ref="AA89" ca="1">INDEX({"North","West","South","East"},RANDBETWEEN(1,4))</f>
        <v>West</v>
      </c>
    </row>
    <row r="90" spans="1:27" x14ac:dyDescent="0.3">
      <c r="A90" t="s">
        <v>88</v>
      </c>
      <c r="B90" s="1" t="s">
        <v>202</v>
      </c>
      <c r="C90" s="2" t="s">
        <v>292</v>
      </c>
      <c r="D90" t="str">
        <f t="shared" si="3"/>
        <v>Male</v>
      </c>
      <c r="E90" s="3">
        <v>28832</v>
      </c>
      <c r="F90">
        <f t="shared" ca="1" si="4"/>
        <v>47</v>
      </c>
      <c r="G90" t="str">
        <f t="shared" ca="1" si="5"/>
        <v>40-50</v>
      </c>
      <c r="H90" t="s">
        <v>846</v>
      </c>
      <c r="I90" t="s">
        <v>410</v>
      </c>
      <c r="J90" t="s">
        <v>414</v>
      </c>
      <c r="K90" t="s">
        <v>416</v>
      </c>
      <c r="L90" t="s">
        <v>508</v>
      </c>
      <c r="M90" s="3">
        <v>37419</v>
      </c>
      <c r="N90" t="s">
        <v>847</v>
      </c>
      <c r="O90" t="s">
        <v>625</v>
      </c>
      <c r="P90" t="s">
        <v>633</v>
      </c>
      <c r="Q90" t="s">
        <v>638</v>
      </c>
      <c r="R90" t="s">
        <v>852</v>
      </c>
      <c r="S90" s="5">
        <v>52000</v>
      </c>
      <c r="T90" s="5" t="s">
        <v>859</v>
      </c>
      <c r="U90" s="5">
        <v>1700</v>
      </c>
      <c r="V90" s="5" t="s">
        <v>862</v>
      </c>
      <c r="W90">
        <v>2</v>
      </c>
      <c r="X90">
        <v>1</v>
      </c>
      <c r="Y90" t="s">
        <v>868</v>
      </c>
      <c r="Z90" t="s">
        <v>728</v>
      </c>
      <c r="AA90" s="5" t="str" cm="1">
        <f t="array" aca="1" ref="AA90" ca="1">INDEX({"North","West","South","East"},RANDBETWEEN(1,4))</f>
        <v>North</v>
      </c>
    </row>
    <row r="91" spans="1:27" x14ac:dyDescent="0.3">
      <c r="A91" t="s">
        <v>89</v>
      </c>
      <c r="B91" s="1" t="s">
        <v>204</v>
      </c>
      <c r="C91" s="2" t="s">
        <v>293</v>
      </c>
      <c r="D91" t="str">
        <f t="shared" si="3"/>
        <v>Female</v>
      </c>
      <c r="E91" s="3">
        <v>28468</v>
      </c>
      <c r="F91">
        <f t="shared" ca="1" si="4"/>
        <v>48</v>
      </c>
      <c r="G91" t="str">
        <f t="shared" ca="1" si="5"/>
        <v>40-50</v>
      </c>
      <c r="H91" t="s">
        <v>843</v>
      </c>
      <c r="I91" t="s">
        <v>411</v>
      </c>
      <c r="J91" t="s">
        <v>414</v>
      </c>
      <c r="K91" t="s">
        <v>417</v>
      </c>
      <c r="L91" t="s">
        <v>509</v>
      </c>
      <c r="M91" s="3">
        <v>38146</v>
      </c>
      <c r="N91" t="s">
        <v>848</v>
      </c>
      <c r="O91" t="s">
        <v>627</v>
      </c>
      <c r="P91" t="s">
        <v>633</v>
      </c>
      <c r="Q91" t="s">
        <v>638</v>
      </c>
      <c r="R91" t="s">
        <v>851</v>
      </c>
      <c r="S91" s="5">
        <v>116500</v>
      </c>
      <c r="T91" s="5" t="s">
        <v>857</v>
      </c>
      <c r="U91" s="5">
        <v>2100</v>
      </c>
      <c r="V91" s="5" t="s">
        <v>863</v>
      </c>
      <c r="W91">
        <v>5</v>
      </c>
      <c r="X91">
        <v>2</v>
      </c>
      <c r="Y91" t="s">
        <v>628</v>
      </c>
      <c r="Z91" t="s">
        <v>729</v>
      </c>
      <c r="AA91" s="5" t="str" cm="1">
        <f t="array" aca="1" ref="AA91" ca="1">INDEX({"North","West","South","East"},RANDBETWEEN(1,4))</f>
        <v>North</v>
      </c>
    </row>
    <row r="92" spans="1:27" x14ac:dyDescent="0.3">
      <c r="A92" t="s">
        <v>90</v>
      </c>
      <c r="B92" s="1" t="s">
        <v>202</v>
      </c>
      <c r="C92" s="2" t="s">
        <v>294</v>
      </c>
      <c r="D92" t="str">
        <f t="shared" si="3"/>
        <v>Male</v>
      </c>
      <c r="E92" s="3">
        <v>26787</v>
      </c>
      <c r="F92">
        <f t="shared" ca="1" si="4"/>
        <v>53</v>
      </c>
      <c r="G92" t="str">
        <f t="shared" ca="1" si="5"/>
        <v>50-60</v>
      </c>
      <c r="H92" t="s">
        <v>844</v>
      </c>
      <c r="I92" t="s">
        <v>409</v>
      </c>
      <c r="J92" t="s">
        <v>414</v>
      </c>
      <c r="K92" t="s">
        <v>416</v>
      </c>
      <c r="L92" t="s">
        <v>510</v>
      </c>
      <c r="M92" s="3">
        <v>36336</v>
      </c>
      <c r="N92" t="s">
        <v>847</v>
      </c>
      <c r="O92" t="s">
        <v>624</v>
      </c>
      <c r="P92" t="s">
        <v>634</v>
      </c>
      <c r="Q92" t="s">
        <v>638</v>
      </c>
      <c r="R92" t="s">
        <v>853</v>
      </c>
      <c r="S92" s="5">
        <v>105000</v>
      </c>
      <c r="T92" s="5" t="s">
        <v>856</v>
      </c>
      <c r="U92" s="5">
        <v>1200</v>
      </c>
      <c r="V92" s="5" t="s">
        <v>862</v>
      </c>
      <c r="W92">
        <v>1</v>
      </c>
      <c r="X92">
        <v>4</v>
      </c>
      <c r="Y92" t="s">
        <v>869</v>
      </c>
      <c r="Z92" t="s">
        <v>730</v>
      </c>
      <c r="AA92" s="5" t="str" cm="1">
        <f t="array" aca="1" ref="AA92" ca="1">INDEX({"North","West","South","East"},RANDBETWEEN(1,4))</f>
        <v>North</v>
      </c>
    </row>
    <row r="93" spans="1:27" x14ac:dyDescent="0.3">
      <c r="A93" t="s">
        <v>91</v>
      </c>
      <c r="B93" s="1" t="s">
        <v>204</v>
      </c>
      <c r="C93" s="2" t="s">
        <v>295</v>
      </c>
      <c r="D93" t="str">
        <f t="shared" si="3"/>
        <v>Female</v>
      </c>
      <c r="E93" s="3">
        <v>34447</v>
      </c>
      <c r="F93">
        <f t="shared" ca="1" si="4"/>
        <v>32</v>
      </c>
      <c r="G93" t="str">
        <f t="shared" ca="1" si="5"/>
        <v>30-40</v>
      </c>
      <c r="H93" t="s">
        <v>845</v>
      </c>
      <c r="I93" t="s">
        <v>411</v>
      </c>
      <c r="J93" t="s">
        <v>414</v>
      </c>
      <c r="K93" t="s">
        <v>416</v>
      </c>
      <c r="L93" t="s">
        <v>511</v>
      </c>
      <c r="M93" s="3">
        <v>43428</v>
      </c>
      <c r="N93" t="s">
        <v>848</v>
      </c>
      <c r="O93" t="s">
        <v>626</v>
      </c>
      <c r="P93" t="s">
        <v>635</v>
      </c>
      <c r="Q93" t="s">
        <v>638</v>
      </c>
      <c r="R93" t="s">
        <v>852</v>
      </c>
      <c r="S93" s="5">
        <v>97000</v>
      </c>
      <c r="T93" s="5" t="s">
        <v>858</v>
      </c>
      <c r="U93" s="5">
        <v>2500</v>
      </c>
      <c r="V93" s="5" t="s">
        <v>863</v>
      </c>
      <c r="W93">
        <v>6</v>
      </c>
      <c r="X93">
        <v>1</v>
      </c>
      <c r="Y93" t="s">
        <v>871</v>
      </c>
      <c r="Z93" t="s">
        <v>731</v>
      </c>
      <c r="AA93" s="5" t="str" cm="1">
        <f t="array" aca="1" ref="AA93" ca="1">INDEX({"North","West","South","East"},RANDBETWEEN(1,4))</f>
        <v>East</v>
      </c>
    </row>
    <row r="94" spans="1:27" x14ac:dyDescent="0.3">
      <c r="A94" t="s">
        <v>92</v>
      </c>
      <c r="B94" s="1" t="s">
        <v>202</v>
      </c>
      <c r="C94" s="2" t="s">
        <v>296</v>
      </c>
      <c r="D94" t="str">
        <f t="shared" si="3"/>
        <v>Male</v>
      </c>
      <c r="E94" s="3">
        <v>35555</v>
      </c>
      <c r="F94">
        <f t="shared" ca="1" si="4"/>
        <v>29</v>
      </c>
      <c r="G94" t="str">
        <f t="shared" ca="1" si="5"/>
        <v>20-30</v>
      </c>
      <c r="H94" t="s">
        <v>843</v>
      </c>
      <c r="I94" t="s">
        <v>411</v>
      </c>
      <c r="J94" t="s">
        <v>414</v>
      </c>
      <c r="K94" t="s">
        <v>416</v>
      </c>
      <c r="L94" t="s">
        <v>512</v>
      </c>
      <c r="M94" s="3">
        <v>45222</v>
      </c>
      <c r="N94" t="s">
        <v>849</v>
      </c>
      <c r="O94" t="s">
        <v>625</v>
      </c>
      <c r="P94" t="s">
        <v>629</v>
      </c>
      <c r="Q94" t="s">
        <v>638</v>
      </c>
      <c r="R94" t="s">
        <v>851</v>
      </c>
      <c r="S94" s="5">
        <v>138000</v>
      </c>
      <c r="T94" s="5" t="s">
        <v>857</v>
      </c>
      <c r="U94" s="5">
        <v>2800</v>
      </c>
      <c r="V94" s="5" t="s">
        <v>864</v>
      </c>
      <c r="W94">
        <v>7</v>
      </c>
      <c r="X94">
        <v>2</v>
      </c>
      <c r="Y94" t="s">
        <v>870</v>
      </c>
      <c r="Z94" t="s">
        <v>732</v>
      </c>
      <c r="AA94" s="5" t="str" cm="1">
        <f t="array" aca="1" ref="AA94" ca="1">INDEX({"North","West","South","East"},RANDBETWEEN(1,4))</f>
        <v>East</v>
      </c>
    </row>
    <row r="95" spans="1:27" x14ac:dyDescent="0.3">
      <c r="A95" t="s">
        <v>93</v>
      </c>
      <c r="B95" s="1" t="s">
        <v>204</v>
      </c>
      <c r="C95" s="2" t="s">
        <v>297</v>
      </c>
      <c r="D95" t="str">
        <f t="shared" si="3"/>
        <v>Female</v>
      </c>
      <c r="E95" s="3">
        <v>35388</v>
      </c>
      <c r="F95">
        <f t="shared" ca="1" si="4"/>
        <v>29</v>
      </c>
      <c r="G95" t="str">
        <f t="shared" ca="1" si="5"/>
        <v>20-30</v>
      </c>
      <c r="H95" t="s">
        <v>845</v>
      </c>
      <c r="I95" t="s">
        <v>412</v>
      </c>
      <c r="J95" t="s">
        <v>414</v>
      </c>
      <c r="K95" t="s">
        <v>417</v>
      </c>
      <c r="L95" t="s">
        <v>513</v>
      </c>
      <c r="M95" s="3">
        <v>43106</v>
      </c>
      <c r="N95" t="s">
        <v>847</v>
      </c>
      <c r="O95" t="s">
        <v>624</v>
      </c>
      <c r="P95" t="s">
        <v>633</v>
      </c>
      <c r="Q95" t="s">
        <v>638</v>
      </c>
      <c r="R95" t="s">
        <v>852</v>
      </c>
      <c r="S95" s="5">
        <v>80000</v>
      </c>
      <c r="T95" s="5" t="s">
        <v>859</v>
      </c>
      <c r="U95" s="5">
        <v>1600</v>
      </c>
      <c r="V95" s="5" t="s">
        <v>862</v>
      </c>
      <c r="W95">
        <v>4</v>
      </c>
      <c r="X95">
        <v>3</v>
      </c>
      <c r="Y95" t="s">
        <v>868</v>
      </c>
      <c r="Z95" t="s">
        <v>733</v>
      </c>
      <c r="AA95" s="5" t="str" cm="1">
        <f t="array" aca="1" ref="AA95" ca="1">INDEX({"North","West","South","East"},RANDBETWEEN(1,4))</f>
        <v>North</v>
      </c>
    </row>
    <row r="96" spans="1:27" x14ac:dyDescent="0.3">
      <c r="A96" t="s">
        <v>94</v>
      </c>
      <c r="B96" s="1" t="s">
        <v>202</v>
      </c>
      <c r="C96" s="2" t="s">
        <v>298</v>
      </c>
      <c r="D96" t="str">
        <f t="shared" si="3"/>
        <v>Male</v>
      </c>
      <c r="E96" s="3">
        <v>38794</v>
      </c>
      <c r="F96">
        <f t="shared" ca="1" si="4"/>
        <v>20</v>
      </c>
      <c r="G96" t="str">
        <f t="shared" ca="1" si="5"/>
        <v>10-20</v>
      </c>
      <c r="H96" t="s">
        <v>846</v>
      </c>
      <c r="I96" t="s">
        <v>412</v>
      </c>
      <c r="J96" t="s">
        <v>414</v>
      </c>
      <c r="K96" t="s">
        <v>416</v>
      </c>
      <c r="L96" t="s">
        <v>514</v>
      </c>
      <c r="M96" s="3">
        <v>45995</v>
      </c>
      <c r="N96" t="s">
        <v>848</v>
      </c>
      <c r="O96" t="s">
        <v>626</v>
      </c>
      <c r="P96" t="s">
        <v>634</v>
      </c>
      <c r="Q96" t="s">
        <v>638</v>
      </c>
      <c r="R96" t="s">
        <v>853</v>
      </c>
      <c r="S96" s="5">
        <v>76000</v>
      </c>
      <c r="T96" s="5" t="s">
        <v>856</v>
      </c>
      <c r="U96" s="5">
        <v>3300</v>
      </c>
      <c r="V96" s="5" t="s">
        <v>863</v>
      </c>
      <c r="W96">
        <v>8</v>
      </c>
      <c r="X96">
        <v>1</v>
      </c>
      <c r="Y96" t="s">
        <v>628</v>
      </c>
      <c r="Z96" t="s">
        <v>734</v>
      </c>
      <c r="AA96" s="5" t="str" cm="1">
        <f t="array" aca="1" ref="AA96" ca="1">INDEX({"North","West","South","East"},RANDBETWEEN(1,4))</f>
        <v>East</v>
      </c>
    </row>
    <row r="97" spans="1:27" x14ac:dyDescent="0.3">
      <c r="A97" t="s">
        <v>95</v>
      </c>
      <c r="B97" s="1" t="s">
        <v>204</v>
      </c>
      <c r="C97" s="2" t="s">
        <v>299</v>
      </c>
      <c r="D97" t="str">
        <f t="shared" si="3"/>
        <v>Female</v>
      </c>
      <c r="E97" s="3">
        <v>34974</v>
      </c>
      <c r="F97">
        <f t="shared" ca="1" si="4"/>
        <v>30</v>
      </c>
      <c r="G97" t="str">
        <f t="shared" ca="1" si="5"/>
        <v>20-30</v>
      </c>
      <c r="H97" t="s">
        <v>844</v>
      </c>
      <c r="I97" t="s">
        <v>410</v>
      </c>
      <c r="J97" t="s">
        <v>414</v>
      </c>
      <c r="K97" t="s">
        <v>416</v>
      </c>
      <c r="L97" t="s">
        <v>515</v>
      </c>
      <c r="M97" s="3">
        <v>41755</v>
      </c>
      <c r="N97" t="s">
        <v>847</v>
      </c>
      <c r="O97" t="s">
        <v>627</v>
      </c>
      <c r="P97" t="s">
        <v>634</v>
      </c>
      <c r="Q97" t="s">
        <v>638</v>
      </c>
      <c r="R97" t="s">
        <v>851</v>
      </c>
      <c r="S97" s="5">
        <v>109500</v>
      </c>
      <c r="T97" s="5" t="s">
        <v>858</v>
      </c>
      <c r="U97" s="5">
        <v>1400</v>
      </c>
      <c r="V97" s="5" t="s">
        <v>862</v>
      </c>
      <c r="W97">
        <v>2</v>
      </c>
      <c r="X97">
        <v>2</v>
      </c>
      <c r="Y97" t="s">
        <v>869</v>
      </c>
      <c r="Z97" t="s">
        <v>735</v>
      </c>
      <c r="AA97" s="5" t="str" cm="1">
        <f t="array" aca="1" ref="AA97" ca="1">INDEX({"North","West","South","East"},RANDBETWEEN(1,4))</f>
        <v>South</v>
      </c>
    </row>
    <row r="98" spans="1:27" x14ac:dyDescent="0.3">
      <c r="A98" t="s">
        <v>96</v>
      </c>
      <c r="B98" s="1" t="s">
        <v>202</v>
      </c>
      <c r="C98" s="2" t="s">
        <v>300</v>
      </c>
      <c r="D98" t="str">
        <f t="shared" si="3"/>
        <v>Male</v>
      </c>
      <c r="E98" s="3">
        <v>27154</v>
      </c>
      <c r="F98">
        <f t="shared" ca="1" si="4"/>
        <v>52</v>
      </c>
      <c r="G98" t="str">
        <f t="shared" ca="1" si="5"/>
        <v>50-60</v>
      </c>
      <c r="H98" t="s">
        <v>844</v>
      </c>
      <c r="I98" t="s">
        <v>410</v>
      </c>
      <c r="J98" t="s">
        <v>414</v>
      </c>
      <c r="K98" t="s">
        <v>416</v>
      </c>
      <c r="L98" t="s">
        <v>516</v>
      </c>
      <c r="M98" s="3">
        <v>36381</v>
      </c>
      <c r="N98" t="s">
        <v>848</v>
      </c>
      <c r="O98" t="s">
        <v>625</v>
      </c>
      <c r="P98" t="s">
        <v>633</v>
      </c>
      <c r="Q98" t="s">
        <v>638</v>
      </c>
      <c r="R98" t="s">
        <v>852</v>
      </c>
      <c r="S98" s="5">
        <v>93000</v>
      </c>
      <c r="T98" s="5" t="s">
        <v>857</v>
      </c>
      <c r="U98" s="5">
        <v>2200</v>
      </c>
      <c r="V98" s="5" t="s">
        <v>863</v>
      </c>
      <c r="W98">
        <v>3</v>
      </c>
      <c r="X98">
        <v>3</v>
      </c>
      <c r="Y98" t="s">
        <v>870</v>
      </c>
      <c r="Z98" t="s">
        <v>736</v>
      </c>
      <c r="AA98" s="5" t="str" cm="1">
        <f t="array" aca="1" ref="AA98" ca="1">INDEX({"North","West","South","East"},RANDBETWEEN(1,4))</f>
        <v>South</v>
      </c>
    </row>
    <row r="99" spans="1:27" x14ac:dyDescent="0.3">
      <c r="A99" t="s">
        <v>97</v>
      </c>
      <c r="B99" s="1" t="s">
        <v>204</v>
      </c>
      <c r="C99" s="2" t="s">
        <v>301</v>
      </c>
      <c r="D99" t="str">
        <f t="shared" si="3"/>
        <v>Female</v>
      </c>
      <c r="E99" s="3">
        <v>31868</v>
      </c>
      <c r="F99">
        <f t="shared" ca="1" si="4"/>
        <v>39</v>
      </c>
      <c r="G99" t="str">
        <f t="shared" ca="1" si="5"/>
        <v>30-40</v>
      </c>
      <c r="H99" t="s">
        <v>846</v>
      </c>
      <c r="I99" t="s">
        <v>410</v>
      </c>
      <c r="J99" t="s">
        <v>414</v>
      </c>
      <c r="K99" t="s">
        <v>416</v>
      </c>
      <c r="L99" t="s">
        <v>517</v>
      </c>
      <c r="M99" s="3">
        <v>40153</v>
      </c>
      <c r="N99" t="s">
        <v>847</v>
      </c>
      <c r="O99" t="s">
        <v>624</v>
      </c>
      <c r="P99" t="s">
        <v>632</v>
      </c>
      <c r="Q99" t="s">
        <v>635</v>
      </c>
      <c r="R99" t="s">
        <v>853</v>
      </c>
      <c r="S99" s="5">
        <v>69000</v>
      </c>
      <c r="T99" s="5" t="s">
        <v>856</v>
      </c>
      <c r="U99" s="5">
        <v>2600</v>
      </c>
      <c r="V99" s="5" t="s">
        <v>862</v>
      </c>
      <c r="W99">
        <v>5</v>
      </c>
      <c r="X99">
        <v>1</v>
      </c>
      <c r="Y99" t="s">
        <v>871</v>
      </c>
      <c r="Z99" t="s">
        <v>737</v>
      </c>
      <c r="AA99" s="5" t="str" cm="1">
        <f t="array" aca="1" ref="AA99" ca="1">INDEX({"North","West","South","East"},RANDBETWEEN(1,4))</f>
        <v>South</v>
      </c>
    </row>
    <row r="100" spans="1:27" x14ac:dyDescent="0.3">
      <c r="A100" t="s">
        <v>98</v>
      </c>
      <c r="B100" s="1" t="s">
        <v>202</v>
      </c>
      <c r="C100" s="2" t="s">
        <v>302</v>
      </c>
      <c r="D100" t="str">
        <f t="shared" si="3"/>
        <v>Male</v>
      </c>
      <c r="E100" s="3">
        <v>39014</v>
      </c>
      <c r="F100">
        <f t="shared" ca="1" si="4"/>
        <v>19</v>
      </c>
      <c r="G100" t="str">
        <f t="shared" ca="1" si="5"/>
        <v>10-20</v>
      </c>
      <c r="H100" t="s">
        <v>845</v>
      </c>
      <c r="I100" t="s">
        <v>410</v>
      </c>
      <c r="J100" t="s">
        <v>414</v>
      </c>
      <c r="K100" t="s">
        <v>416</v>
      </c>
      <c r="L100" t="s">
        <v>518</v>
      </c>
      <c r="M100" s="3">
        <v>45904</v>
      </c>
      <c r="N100" t="s">
        <v>849</v>
      </c>
      <c r="O100" t="s">
        <v>627</v>
      </c>
      <c r="P100" t="s">
        <v>633</v>
      </c>
      <c r="Q100" t="s">
        <v>638</v>
      </c>
      <c r="R100" t="s">
        <v>851</v>
      </c>
      <c r="S100" s="5">
        <v>54000</v>
      </c>
      <c r="T100" s="5" t="s">
        <v>859</v>
      </c>
      <c r="U100" s="5">
        <v>1800</v>
      </c>
      <c r="V100" s="5" t="s">
        <v>864</v>
      </c>
      <c r="W100">
        <v>1</v>
      </c>
      <c r="X100">
        <v>2</v>
      </c>
      <c r="Y100" t="s">
        <v>869</v>
      </c>
      <c r="Z100" t="s">
        <v>738</v>
      </c>
      <c r="AA100" s="5" t="str" cm="1">
        <f t="array" aca="1" ref="AA100" ca="1">INDEX({"North","West","South","East"},RANDBETWEEN(1,4))</f>
        <v>North</v>
      </c>
    </row>
    <row r="101" spans="1:27" x14ac:dyDescent="0.3">
      <c r="A101" t="s">
        <v>99</v>
      </c>
      <c r="B101" s="1" t="s">
        <v>204</v>
      </c>
      <c r="C101" s="2" t="s">
        <v>303</v>
      </c>
      <c r="D101" t="str">
        <f t="shared" si="3"/>
        <v>Female</v>
      </c>
      <c r="E101" s="3">
        <v>37421</v>
      </c>
      <c r="F101">
        <f t="shared" ca="1" si="4"/>
        <v>23</v>
      </c>
      <c r="G101" t="str">
        <f t="shared" ca="1" si="5"/>
        <v>20-30</v>
      </c>
      <c r="H101" t="s">
        <v>844</v>
      </c>
      <c r="I101" t="s">
        <v>410</v>
      </c>
      <c r="J101" t="s">
        <v>414</v>
      </c>
      <c r="K101" t="s">
        <v>416</v>
      </c>
      <c r="L101" t="s">
        <v>519</v>
      </c>
      <c r="M101" s="3">
        <v>44686</v>
      </c>
      <c r="N101" t="s">
        <v>848</v>
      </c>
      <c r="O101" t="s">
        <v>626</v>
      </c>
      <c r="P101" t="s">
        <v>632</v>
      </c>
      <c r="Q101" t="s">
        <v>638</v>
      </c>
      <c r="R101" t="s">
        <v>852</v>
      </c>
      <c r="S101" s="5">
        <v>118200</v>
      </c>
      <c r="T101" s="5" t="s">
        <v>858</v>
      </c>
      <c r="U101" s="5">
        <v>2300</v>
      </c>
      <c r="V101" s="5" t="s">
        <v>863</v>
      </c>
      <c r="W101">
        <v>6</v>
      </c>
      <c r="X101">
        <v>3</v>
      </c>
      <c r="Y101" t="s">
        <v>868</v>
      </c>
      <c r="Z101" t="s">
        <v>739</v>
      </c>
      <c r="AA101" s="5" t="str" cm="1">
        <f t="array" aca="1" ref="AA101" ca="1">INDEX({"North","West","South","East"},RANDBETWEEN(1,4))</f>
        <v>South</v>
      </c>
    </row>
    <row r="102" spans="1:27" x14ac:dyDescent="0.3">
      <c r="A102" t="s">
        <v>100</v>
      </c>
      <c r="B102" s="1" t="s">
        <v>202</v>
      </c>
      <c r="C102" s="2" t="s">
        <v>304</v>
      </c>
      <c r="D102" t="str">
        <f t="shared" si="3"/>
        <v>Male</v>
      </c>
      <c r="E102" s="3">
        <v>33578</v>
      </c>
      <c r="F102">
        <f t="shared" ca="1" si="4"/>
        <v>34</v>
      </c>
      <c r="G102" t="str">
        <f t="shared" ca="1" si="5"/>
        <v>30-40</v>
      </c>
      <c r="H102" t="s">
        <v>844</v>
      </c>
      <c r="I102" t="s">
        <v>410</v>
      </c>
      <c r="J102" t="s">
        <v>414</v>
      </c>
      <c r="K102" t="s">
        <v>416</v>
      </c>
      <c r="L102" t="s">
        <v>520</v>
      </c>
      <c r="M102" s="3">
        <v>42185</v>
      </c>
      <c r="N102" t="s">
        <v>847</v>
      </c>
      <c r="O102" t="s">
        <v>625</v>
      </c>
      <c r="P102" t="s">
        <v>636</v>
      </c>
      <c r="Q102" t="s">
        <v>638</v>
      </c>
      <c r="R102" t="s">
        <v>851</v>
      </c>
      <c r="S102" s="5">
        <v>107500</v>
      </c>
      <c r="T102" s="5" t="s">
        <v>857</v>
      </c>
      <c r="U102" s="5">
        <v>1300</v>
      </c>
      <c r="V102" s="5" t="s">
        <v>862</v>
      </c>
      <c r="W102">
        <v>7</v>
      </c>
      <c r="X102">
        <v>1</v>
      </c>
      <c r="Y102" t="s">
        <v>628</v>
      </c>
      <c r="Z102" t="s">
        <v>740</v>
      </c>
      <c r="AA102" s="5" t="str" cm="1">
        <f t="array" aca="1" ref="AA102" ca="1">INDEX({"North","West","South","East"},RANDBETWEEN(1,4))</f>
        <v>North</v>
      </c>
    </row>
    <row r="103" spans="1:27" x14ac:dyDescent="0.3">
      <c r="A103" t="s">
        <v>101</v>
      </c>
      <c r="B103" s="1" t="s">
        <v>204</v>
      </c>
      <c r="C103" s="2" t="s">
        <v>305</v>
      </c>
      <c r="D103" t="str">
        <f t="shared" si="3"/>
        <v>Female</v>
      </c>
      <c r="E103" s="3">
        <v>26641</v>
      </c>
      <c r="F103">
        <f t="shared" ca="1" si="4"/>
        <v>53</v>
      </c>
      <c r="G103" t="str">
        <f t="shared" ca="1" si="5"/>
        <v>50-60</v>
      </c>
      <c r="H103" t="s">
        <v>843</v>
      </c>
      <c r="I103" t="s">
        <v>410</v>
      </c>
      <c r="J103" t="s">
        <v>414</v>
      </c>
      <c r="K103" t="s">
        <v>416</v>
      </c>
      <c r="L103" t="s">
        <v>521</v>
      </c>
      <c r="M103" s="3">
        <v>36170</v>
      </c>
      <c r="N103" t="s">
        <v>848</v>
      </c>
      <c r="O103" t="s">
        <v>627</v>
      </c>
      <c r="P103" t="s">
        <v>635</v>
      </c>
      <c r="Q103" t="s">
        <v>638</v>
      </c>
      <c r="R103" t="s">
        <v>853</v>
      </c>
      <c r="S103" s="5">
        <v>95000</v>
      </c>
      <c r="T103" s="5" t="s">
        <v>856</v>
      </c>
      <c r="U103" s="5">
        <v>2400</v>
      </c>
      <c r="V103" s="5" t="s">
        <v>863</v>
      </c>
      <c r="W103">
        <v>4</v>
      </c>
      <c r="X103">
        <v>2</v>
      </c>
      <c r="Y103" t="s">
        <v>870</v>
      </c>
      <c r="Z103" t="s">
        <v>741</v>
      </c>
      <c r="AA103" s="5" t="str" cm="1">
        <f t="array" aca="1" ref="AA103" ca="1">INDEX({"North","West","South","East"},RANDBETWEEN(1,4))</f>
        <v>South</v>
      </c>
    </row>
    <row r="104" spans="1:27" x14ac:dyDescent="0.3">
      <c r="A104" t="s">
        <v>102</v>
      </c>
      <c r="B104" s="1" t="s">
        <v>202</v>
      </c>
      <c r="C104" s="2" t="s">
        <v>306</v>
      </c>
      <c r="D104" t="str">
        <f t="shared" si="3"/>
        <v>Male</v>
      </c>
      <c r="E104" s="3">
        <v>37095</v>
      </c>
      <c r="F104">
        <f t="shared" ca="1" si="4"/>
        <v>24</v>
      </c>
      <c r="G104" t="str">
        <f t="shared" ca="1" si="5"/>
        <v>20-30</v>
      </c>
      <c r="H104" t="s">
        <v>846</v>
      </c>
      <c r="I104" t="s">
        <v>411</v>
      </c>
      <c r="J104" t="s">
        <v>414</v>
      </c>
      <c r="K104" t="s">
        <v>416</v>
      </c>
      <c r="L104" t="s">
        <v>522</v>
      </c>
      <c r="M104" s="3">
        <v>44274</v>
      </c>
      <c r="N104" t="s">
        <v>847</v>
      </c>
      <c r="O104" t="s">
        <v>624</v>
      </c>
      <c r="P104" t="s">
        <v>632</v>
      </c>
      <c r="Q104" t="s">
        <v>638</v>
      </c>
      <c r="R104" t="s">
        <v>852</v>
      </c>
      <c r="S104" s="5">
        <v>128000</v>
      </c>
      <c r="T104" s="5" t="s">
        <v>858</v>
      </c>
      <c r="U104" s="5">
        <v>2700</v>
      </c>
      <c r="V104" s="5" t="s">
        <v>862</v>
      </c>
      <c r="W104">
        <v>8</v>
      </c>
      <c r="X104">
        <v>3</v>
      </c>
      <c r="Y104" t="s">
        <v>871</v>
      </c>
      <c r="Z104" t="s">
        <v>742</v>
      </c>
      <c r="AA104" s="5" t="str" cm="1">
        <f t="array" aca="1" ref="AA104" ca="1">INDEX({"North","West","South","East"},RANDBETWEEN(1,4))</f>
        <v>West</v>
      </c>
    </row>
    <row r="105" spans="1:27" x14ac:dyDescent="0.3">
      <c r="A105" t="s">
        <v>103</v>
      </c>
      <c r="B105" s="1" t="s">
        <v>204</v>
      </c>
      <c r="C105" s="2" t="s">
        <v>307</v>
      </c>
      <c r="D105" t="str">
        <f t="shared" si="3"/>
        <v>Female</v>
      </c>
      <c r="E105" s="3">
        <v>30109</v>
      </c>
      <c r="F105">
        <f t="shared" ca="1" si="4"/>
        <v>43</v>
      </c>
      <c r="G105" t="str">
        <f t="shared" ca="1" si="5"/>
        <v>40-50</v>
      </c>
      <c r="H105" t="s">
        <v>844</v>
      </c>
      <c r="I105" t="s">
        <v>411</v>
      </c>
      <c r="J105" t="s">
        <v>414</v>
      </c>
      <c r="K105" t="s">
        <v>416</v>
      </c>
      <c r="L105" t="s">
        <v>523</v>
      </c>
      <c r="M105" s="3">
        <v>38683</v>
      </c>
      <c r="N105" t="s">
        <v>848</v>
      </c>
      <c r="O105" t="s">
        <v>626</v>
      </c>
      <c r="P105" t="s">
        <v>633</v>
      </c>
      <c r="Q105" t="s">
        <v>638</v>
      </c>
      <c r="R105" t="s">
        <v>851</v>
      </c>
      <c r="S105" s="5">
        <v>89000</v>
      </c>
      <c r="T105" s="5" t="s">
        <v>859</v>
      </c>
      <c r="U105" s="5">
        <v>1900</v>
      </c>
      <c r="V105" s="5" t="s">
        <v>863</v>
      </c>
      <c r="W105">
        <v>0</v>
      </c>
      <c r="X105">
        <v>1</v>
      </c>
      <c r="Y105" t="s">
        <v>869</v>
      </c>
      <c r="Z105" t="s">
        <v>743</v>
      </c>
      <c r="AA105" s="5" t="str" cm="1">
        <f t="array" aca="1" ref="AA105" ca="1">INDEX({"North","West","South","East"},RANDBETWEEN(1,4))</f>
        <v>North</v>
      </c>
    </row>
    <row r="106" spans="1:27" x14ac:dyDescent="0.3">
      <c r="A106" t="s">
        <v>104</v>
      </c>
      <c r="B106" s="1" t="s">
        <v>202</v>
      </c>
      <c r="C106" s="2" t="s">
        <v>308</v>
      </c>
      <c r="D106" t="str">
        <f t="shared" si="3"/>
        <v>Male</v>
      </c>
      <c r="E106" s="3">
        <v>37291</v>
      </c>
      <c r="F106">
        <f t="shared" ca="1" si="4"/>
        <v>24</v>
      </c>
      <c r="G106" t="str">
        <f t="shared" ca="1" si="5"/>
        <v>20-30</v>
      </c>
      <c r="H106" t="s">
        <v>844</v>
      </c>
      <c r="I106" t="s">
        <v>409</v>
      </c>
      <c r="J106" t="s">
        <v>414</v>
      </c>
      <c r="K106" t="s">
        <v>417</v>
      </c>
      <c r="L106" t="s">
        <v>524</v>
      </c>
      <c r="M106" s="3">
        <v>45805</v>
      </c>
      <c r="N106" t="s">
        <v>849</v>
      </c>
      <c r="O106" t="s">
        <v>625</v>
      </c>
      <c r="P106" t="s">
        <v>633</v>
      </c>
      <c r="Q106" t="s">
        <v>638</v>
      </c>
      <c r="R106" t="s">
        <v>853</v>
      </c>
      <c r="S106" s="5">
        <v>66000</v>
      </c>
      <c r="T106" s="5" t="s">
        <v>857</v>
      </c>
      <c r="U106" s="5">
        <v>3200</v>
      </c>
      <c r="V106" s="5" t="s">
        <v>864</v>
      </c>
      <c r="W106">
        <v>2</v>
      </c>
      <c r="X106">
        <v>2</v>
      </c>
      <c r="Y106" t="s">
        <v>868</v>
      </c>
      <c r="Z106" t="s">
        <v>744</v>
      </c>
      <c r="AA106" s="5" t="str" cm="1">
        <f t="array" aca="1" ref="AA106" ca="1">INDEX({"North","West","South","East"},RANDBETWEEN(1,4))</f>
        <v>East</v>
      </c>
    </row>
    <row r="107" spans="1:27" x14ac:dyDescent="0.3">
      <c r="A107" t="s">
        <v>105</v>
      </c>
      <c r="B107" s="1" t="s">
        <v>204</v>
      </c>
      <c r="C107" s="2" t="s">
        <v>309</v>
      </c>
      <c r="D107" t="str">
        <f t="shared" si="3"/>
        <v>Female</v>
      </c>
      <c r="E107" s="3">
        <v>35771</v>
      </c>
      <c r="F107">
        <f t="shared" ca="1" si="4"/>
        <v>28</v>
      </c>
      <c r="G107" t="str">
        <f t="shared" ca="1" si="5"/>
        <v>20-30</v>
      </c>
      <c r="H107" t="s">
        <v>846</v>
      </c>
      <c r="I107" t="s">
        <v>410</v>
      </c>
      <c r="J107" t="s">
        <v>414</v>
      </c>
      <c r="K107" t="s">
        <v>416</v>
      </c>
      <c r="L107" t="s">
        <v>525</v>
      </c>
      <c r="M107" s="3">
        <v>44997</v>
      </c>
      <c r="N107" t="s">
        <v>847</v>
      </c>
      <c r="O107" t="s">
        <v>624</v>
      </c>
      <c r="P107" t="s">
        <v>632</v>
      </c>
      <c r="Q107" t="s">
        <v>638</v>
      </c>
      <c r="R107" t="s">
        <v>852</v>
      </c>
      <c r="S107" s="5">
        <v>120500</v>
      </c>
      <c r="T107" s="5" t="s">
        <v>856</v>
      </c>
      <c r="U107" s="5">
        <v>1500</v>
      </c>
      <c r="V107" s="5" t="s">
        <v>862</v>
      </c>
      <c r="W107">
        <v>3</v>
      </c>
      <c r="X107">
        <v>3</v>
      </c>
      <c r="Y107" t="s">
        <v>628</v>
      </c>
      <c r="Z107" t="s">
        <v>745</v>
      </c>
      <c r="AA107" s="5" t="str" cm="1">
        <f t="array" aca="1" ref="AA107" ca="1">INDEX({"North","West","South","East"},RANDBETWEEN(1,4))</f>
        <v>North</v>
      </c>
    </row>
    <row r="108" spans="1:27" x14ac:dyDescent="0.3">
      <c r="A108" t="s">
        <v>106</v>
      </c>
      <c r="B108" s="1" t="s">
        <v>202</v>
      </c>
      <c r="C108" s="2" t="s">
        <v>310</v>
      </c>
      <c r="D108" t="str">
        <f t="shared" si="3"/>
        <v>Male</v>
      </c>
      <c r="E108" s="3">
        <v>26188</v>
      </c>
      <c r="F108">
        <f t="shared" ca="1" si="4"/>
        <v>54</v>
      </c>
      <c r="G108" t="str">
        <f t="shared" ca="1" si="5"/>
        <v>50-60</v>
      </c>
      <c r="H108" t="s">
        <v>843</v>
      </c>
      <c r="I108" t="s">
        <v>411</v>
      </c>
      <c r="J108" t="s">
        <v>414</v>
      </c>
      <c r="K108" t="s">
        <v>417</v>
      </c>
      <c r="L108" t="s">
        <v>526</v>
      </c>
      <c r="M108" s="3">
        <v>35407</v>
      </c>
      <c r="N108" t="s">
        <v>848</v>
      </c>
      <c r="O108" t="s">
        <v>626</v>
      </c>
      <c r="P108" t="s">
        <v>629</v>
      </c>
      <c r="Q108" t="s">
        <v>638</v>
      </c>
      <c r="R108" t="s">
        <v>851</v>
      </c>
      <c r="S108" s="5">
        <v>98000</v>
      </c>
      <c r="T108" s="5" t="s">
        <v>858</v>
      </c>
      <c r="U108" s="5">
        <v>2100</v>
      </c>
      <c r="V108" s="5" t="s">
        <v>863</v>
      </c>
      <c r="W108">
        <v>5</v>
      </c>
      <c r="X108">
        <v>1</v>
      </c>
      <c r="Y108" t="s">
        <v>871</v>
      </c>
      <c r="Z108" t="s">
        <v>746</v>
      </c>
      <c r="AA108" s="5" t="str" cm="1">
        <f t="array" aca="1" ref="AA108" ca="1">INDEX({"North","West","South","East"},RANDBETWEEN(1,4))</f>
        <v>South</v>
      </c>
    </row>
    <row r="109" spans="1:27" x14ac:dyDescent="0.3">
      <c r="A109" t="s">
        <v>107</v>
      </c>
      <c r="B109" s="1" t="s">
        <v>204</v>
      </c>
      <c r="C109" s="2" t="s">
        <v>311</v>
      </c>
      <c r="D109" t="str">
        <f t="shared" si="3"/>
        <v>Female</v>
      </c>
      <c r="E109" s="3">
        <v>26311</v>
      </c>
      <c r="F109">
        <f t="shared" ca="1" si="4"/>
        <v>54</v>
      </c>
      <c r="G109" t="str">
        <f t="shared" ca="1" si="5"/>
        <v>50-60</v>
      </c>
      <c r="H109" t="s">
        <v>844</v>
      </c>
      <c r="I109" t="s">
        <v>409</v>
      </c>
      <c r="J109" t="s">
        <v>414</v>
      </c>
      <c r="K109" t="s">
        <v>416</v>
      </c>
      <c r="L109" t="s">
        <v>527</v>
      </c>
      <c r="M109" s="3">
        <v>36720</v>
      </c>
      <c r="N109" t="s">
        <v>847</v>
      </c>
      <c r="O109" t="s">
        <v>627</v>
      </c>
      <c r="P109" t="s">
        <v>632</v>
      </c>
      <c r="Q109" t="s">
        <v>638</v>
      </c>
      <c r="R109" t="s">
        <v>852</v>
      </c>
      <c r="S109" s="5">
        <v>103500</v>
      </c>
      <c r="T109" s="5" t="s">
        <v>857</v>
      </c>
      <c r="U109" s="5">
        <v>2600</v>
      </c>
      <c r="V109" s="5" t="s">
        <v>862</v>
      </c>
      <c r="W109">
        <v>1</v>
      </c>
      <c r="X109">
        <v>2</v>
      </c>
      <c r="Y109" t="s">
        <v>870</v>
      </c>
      <c r="Z109" t="s">
        <v>747</v>
      </c>
      <c r="AA109" s="5" t="str" cm="1">
        <f t="array" aca="1" ref="AA109" ca="1">INDEX({"North","West","South","East"},RANDBETWEEN(1,4))</f>
        <v>North</v>
      </c>
    </row>
    <row r="110" spans="1:27" x14ac:dyDescent="0.3">
      <c r="A110" t="s">
        <v>108</v>
      </c>
      <c r="B110" s="1" t="s">
        <v>202</v>
      </c>
      <c r="C110" s="2" t="s">
        <v>312</v>
      </c>
      <c r="D110" t="str">
        <f t="shared" si="3"/>
        <v>Male</v>
      </c>
      <c r="E110" s="3">
        <v>27402</v>
      </c>
      <c r="F110">
        <f t="shared" ca="1" si="4"/>
        <v>51</v>
      </c>
      <c r="G110" t="str">
        <f t="shared" ca="1" si="5"/>
        <v>50-60</v>
      </c>
      <c r="H110" t="s">
        <v>843</v>
      </c>
      <c r="I110" t="s">
        <v>410</v>
      </c>
      <c r="J110" t="s">
        <v>414</v>
      </c>
      <c r="K110" t="s">
        <v>416</v>
      </c>
      <c r="L110" t="s">
        <v>528</v>
      </c>
      <c r="M110" s="3">
        <v>36852</v>
      </c>
      <c r="N110" t="s">
        <v>848</v>
      </c>
      <c r="O110" t="s">
        <v>625</v>
      </c>
      <c r="P110" t="s">
        <v>633</v>
      </c>
      <c r="Q110" t="s">
        <v>638</v>
      </c>
      <c r="R110" t="s">
        <v>853</v>
      </c>
      <c r="S110" s="5">
        <v>73000</v>
      </c>
      <c r="T110" s="5" t="s">
        <v>859</v>
      </c>
      <c r="U110" s="5">
        <v>1700</v>
      </c>
      <c r="V110" s="5" t="s">
        <v>863</v>
      </c>
      <c r="W110">
        <v>6</v>
      </c>
      <c r="X110">
        <v>3</v>
      </c>
      <c r="Y110" t="s">
        <v>869</v>
      </c>
      <c r="Z110" t="s">
        <v>748</v>
      </c>
      <c r="AA110" s="5" t="str" cm="1">
        <f t="array" aca="1" ref="AA110" ca="1">INDEX({"North","West","South","East"},RANDBETWEEN(1,4))</f>
        <v>West</v>
      </c>
    </row>
    <row r="111" spans="1:27" x14ac:dyDescent="0.3">
      <c r="A111" t="s">
        <v>109</v>
      </c>
      <c r="B111" s="1" t="s">
        <v>204</v>
      </c>
      <c r="C111" s="2" t="s">
        <v>313</v>
      </c>
      <c r="D111" t="str">
        <f t="shared" si="3"/>
        <v>Female</v>
      </c>
      <c r="E111" s="3">
        <v>29668</v>
      </c>
      <c r="F111">
        <f t="shared" ca="1" si="4"/>
        <v>45</v>
      </c>
      <c r="G111" t="str">
        <f t="shared" ca="1" si="5"/>
        <v>40-50</v>
      </c>
      <c r="H111" t="s">
        <v>844</v>
      </c>
      <c r="I111" t="s">
        <v>410</v>
      </c>
      <c r="J111" t="s">
        <v>414</v>
      </c>
      <c r="K111" t="s">
        <v>417</v>
      </c>
      <c r="L111" t="s">
        <v>529</v>
      </c>
      <c r="M111" s="3">
        <v>37304</v>
      </c>
      <c r="N111" t="s">
        <v>847</v>
      </c>
      <c r="O111" t="s">
        <v>624</v>
      </c>
      <c r="P111" t="s">
        <v>633</v>
      </c>
      <c r="Q111" t="s">
        <v>635</v>
      </c>
      <c r="R111" t="s">
        <v>851</v>
      </c>
      <c r="S111" s="5">
        <v>84000</v>
      </c>
      <c r="T111" s="5" t="s">
        <v>856</v>
      </c>
      <c r="U111" s="5">
        <v>2200</v>
      </c>
      <c r="V111" s="5" t="s">
        <v>862</v>
      </c>
      <c r="W111">
        <v>7</v>
      </c>
      <c r="X111">
        <v>1</v>
      </c>
      <c r="Y111" t="s">
        <v>868</v>
      </c>
      <c r="Z111" t="s">
        <v>749</v>
      </c>
      <c r="AA111" s="5" t="str" cm="1">
        <f t="array" aca="1" ref="AA111" ca="1">INDEX({"North","West","South","East"},RANDBETWEEN(1,4))</f>
        <v>North</v>
      </c>
    </row>
    <row r="112" spans="1:27" x14ac:dyDescent="0.3">
      <c r="A112" t="s">
        <v>110</v>
      </c>
      <c r="B112" s="1" t="s">
        <v>202</v>
      </c>
      <c r="C112" s="2" t="s">
        <v>314</v>
      </c>
      <c r="D112" t="str">
        <f t="shared" si="3"/>
        <v>Male</v>
      </c>
      <c r="E112" s="3">
        <v>36998</v>
      </c>
      <c r="F112">
        <f t="shared" ca="1" si="4"/>
        <v>25</v>
      </c>
      <c r="G112" t="str">
        <f t="shared" ca="1" si="5"/>
        <v>20-30</v>
      </c>
      <c r="H112" t="s">
        <v>845</v>
      </c>
      <c r="I112" t="s">
        <v>411</v>
      </c>
      <c r="J112" t="s">
        <v>414</v>
      </c>
      <c r="K112" t="s">
        <v>417</v>
      </c>
      <c r="L112" t="s">
        <v>530</v>
      </c>
      <c r="M112" s="3">
        <v>44189</v>
      </c>
      <c r="N112" t="s">
        <v>849</v>
      </c>
      <c r="O112" t="s">
        <v>627</v>
      </c>
      <c r="P112" t="s">
        <v>635</v>
      </c>
      <c r="Q112" t="s">
        <v>638</v>
      </c>
      <c r="R112" t="s">
        <v>852</v>
      </c>
      <c r="S112" s="5">
        <v>60000</v>
      </c>
      <c r="T112" s="5" t="s">
        <v>858</v>
      </c>
      <c r="U112" s="5">
        <v>1100</v>
      </c>
      <c r="V112" s="5" t="s">
        <v>864</v>
      </c>
      <c r="W112">
        <v>4</v>
      </c>
      <c r="X112">
        <v>2</v>
      </c>
      <c r="Y112" t="s">
        <v>628</v>
      </c>
      <c r="Z112" t="s">
        <v>750</v>
      </c>
      <c r="AA112" s="5" t="str" cm="1">
        <f t="array" aca="1" ref="AA112" ca="1">INDEX({"North","West","South","East"},RANDBETWEEN(1,4))</f>
        <v>West</v>
      </c>
    </row>
    <row r="113" spans="1:27" x14ac:dyDescent="0.3">
      <c r="A113" t="s">
        <v>111</v>
      </c>
      <c r="B113" s="1" t="s">
        <v>204</v>
      </c>
      <c r="C113" s="2" t="s">
        <v>315</v>
      </c>
      <c r="D113" t="str">
        <f t="shared" si="3"/>
        <v>Female</v>
      </c>
      <c r="E113" s="3">
        <v>33721</v>
      </c>
      <c r="F113">
        <f t="shared" ca="1" si="4"/>
        <v>34</v>
      </c>
      <c r="G113" t="str">
        <f t="shared" ca="1" si="5"/>
        <v>30-40</v>
      </c>
      <c r="H113" t="s">
        <v>846</v>
      </c>
      <c r="I113" t="s">
        <v>410</v>
      </c>
      <c r="J113" t="s">
        <v>414</v>
      </c>
      <c r="K113" t="s">
        <v>417</v>
      </c>
      <c r="L113" t="s">
        <v>531</v>
      </c>
      <c r="M113" s="3">
        <v>42825</v>
      </c>
      <c r="N113" t="s">
        <v>848</v>
      </c>
      <c r="O113" t="s">
        <v>626</v>
      </c>
      <c r="P113" t="s">
        <v>629</v>
      </c>
      <c r="Q113" t="s">
        <v>638</v>
      </c>
      <c r="R113" t="s">
        <v>853</v>
      </c>
      <c r="S113" s="5">
        <v>114000</v>
      </c>
      <c r="T113" s="5" t="s">
        <v>857</v>
      </c>
      <c r="U113" s="5">
        <v>2500</v>
      </c>
      <c r="V113" s="5" t="s">
        <v>863</v>
      </c>
      <c r="W113">
        <v>8</v>
      </c>
      <c r="X113">
        <v>3</v>
      </c>
      <c r="Y113" t="s">
        <v>870</v>
      </c>
      <c r="Z113" t="s">
        <v>751</v>
      </c>
      <c r="AA113" s="5" t="str" cm="1">
        <f t="array" aca="1" ref="AA113" ca="1">INDEX({"North","West","South","East"},RANDBETWEEN(1,4))</f>
        <v>West</v>
      </c>
    </row>
    <row r="114" spans="1:27" x14ac:dyDescent="0.3">
      <c r="A114" t="s">
        <v>112</v>
      </c>
      <c r="B114" s="1" t="s">
        <v>202</v>
      </c>
      <c r="C114" s="2" t="s">
        <v>316</v>
      </c>
      <c r="D114" t="str">
        <f t="shared" si="3"/>
        <v>Male</v>
      </c>
      <c r="E114" s="3">
        <v>35583</v>
      </c>
      <c r="F114">
        <f t="shared" ca="1" si="4"/>
        <v>29</v>
      </c>
      <c r="G114" t="str">
        <f t="shared" ca="1" si="5"/>
        <v>20-30</v>
      </c>
      <c r="H114" t="s">
        <v>846</v>
      </c>
      <c r="I114" t="s">
        <v>412</v>
      </c>
      <c r="J114" t="s">
        <v>414</v>
      </c>
      <c r="K114" t="s">
        <v>416</v>
      </c>
      <c r="L114" t="s">
        <v>532</v>
      </c>
      <c r="M114" s="3">
        <v>43599</v>
      </c>
      <c r="N114" t="s">
        <v>847</v>
      </c>
      <c r="O114" t="s">
        <v>625</v>
      </c>
      <c r="P114" t="s">
        <v>632</v>
      </c>
      <c r="Q114" t="s">
        <v>638</v>
      </c>
      <c r="R114" t="s">
        <v>851</v>
      </c>
      <c r="S114" s="5">
        <v>92000</v>
      </c>
      <c r="T114" s="5" t="s">
        <v>856</v>
      </c>
      <c r="U114" s="5">
        <v>2800</v>
      </c>
      <c r="V114" s="5" t="s">
        <v>862</v>
      </c>
      <c r="W114">
        <v>16</v>
      </c>
      <c r="X114">
        <v>1</v>
      </c>
      <c r="Y114" t="s">
        <v>871</v>
      </c>
      <c r="Z114" t="s">
        <v>752</v>
      </c>
      <c r="AA114" s="5" t="str" cm="1">
        <f t="array" aca="1" ref="AA114" ca="1">INDEX({"North","West","South","East"},RANDBETWEEN(1,4))</f>
        <v>North</v>
      </c>
    </row>
    <row r="115" spans="1:27" x14ac:dyDescent="0.3">
      <c r="A115" t="s">
        <v>113</v>
      </c>
      <c r="B115" s="1" t="s">
        <v>204</v>
      </c>
      <c r="C115" s="2" t="s">
        <v>317</v>
      </c>
      <c r="D115" t="str">
        <f t="shared" si="3"/>
        <v>Female</v>
      </c>
      <c r="E115" s="3">
        <v>36562</v>
      </c>
      <c r="F115">
        <f t="shared" ca="1" si="4"/>
        <v>26</v>
      </c>
      <c r="G115" t="str">
        <f t="shared" ca="1" si="5"/>
        <v>20-30</v>
      </c>
      <c r="H115" t="s">
        <v>844</v>
      </c>
      <c r="I115" t="s">
        <v>411</v>
      </c>
      <c r="J115" t="s">
        <v>414</v>
      </c>
      <c r="K115" t="s">
        <v>416</v>
      </c>
      <c r="L115" t="s">
        <v>533</v>
      </c>
      <c r="M115" s="3">
        <v>43540</v>
      </c>
      <c r="N115" t="s">
        <v>848</v>
      </c>
      <c r="O115" t="s">
        <v>627</v>
      </c>
      <c r="P115" t="s">
        <v>637</v>
      </c>
      <c r="Q115" t="s">
        <v>638</v>
      </c>
      <c r="R115" t="s">
        <v>852</v>
      </c>
      <c r="S115" s="5">
        <v>150000</v>
      </c>
      <c r="T115" s="5" t="s">
        <v>859</v>
      </c>
      <c r="U115" s="5">
        <v>1600</v>
      </c>
      <c r="V115" s="5" t="s">
        <v>863</v>
      </c>
      <c r="W115">
        <v>17</v>
      </c>
      <c r="X115">
        <v>2</v>
      </c>
      <c r="Y115" t="s">
        <v>869</v>
      </c>
      <c r="Z115" t="s">
        <v>753</v>
      </c>
      <c r="AA115" s="5" t="str" cm="1">
        <f t="array" aca="1" ref="AA115" ca="1">INDEX({"North","West","South","East"},RANDBETWEEN(1,4))</f>
        <v>North</v>
      </c>
    </row>
    <row r="116" spans="1:27" x14ac:dyDescent="0.3">
      <c r="A116" t="s">
        <v>114</v>
      </c>
      <c r="B116" s="1" t="s">
        <v>202</v>
      </c>
      <c r="C116" s="2" t="s">
        <v>318</v>
      </c>
      <c r="D116" t="str">
        <f t="shared" si="3"/>
        <v>Male</v>
      </c>
      <c r="E116" s="3">
        <v>33810</v>
      </c>
      <c r="F116">
        <f t="shared" ca="1" si="4"/>
        <v>33</v>
      </c>
      <c r="G116" t="str">
        <f t="shared" ca="1" si="5"/>
        <v>30-40</v>
      </c>
      <c r="H116" t="s">
        <v>843</v>
      </c>
      <c r="I116" t="s">
        <v>412</v>
      </c>
      <c r="J116" t="s">
        <v>414</v>
      </c>
      <c r="K116" t="s">
        <v>416</v>
      </c>
      <c r="L116" t="s">
        <v>534</v>
      </c>
      <c r="M116" s="3">
        <v>42385</v>
      </c>
      <c r="N116" t="s">
        <v>847</v>
      </c>
      <c r="O116" t="s">
        <v>624</v>
      </c>
      <c r="P116" t="s">
        <v>633</v>
      </c>
      <c r="Q116" t="s">
        <v>638</v>
      </c>
      <c r="R116" t="s">
        <v>851</v>
      </c>
      <c r="S116" s="5">
        <v>88000</v>
      </c>
      <c r="T116" s="5" t="s">
        <v>858</v>
      </c>
      <c r="U116" s="5">
        <v>3100</v>
      </c>
      <c r="V116" s="5" t="s">
        <v>862</v>
      </c>
      <c r="W116">
        <v>3</v>
      </c>
      <c r="X116">
        <v>3</v>
      </c>
      <c r="Y116" t="s">
        <v>868</v>
      </c>
      <c r="Z116" t="s">
        <v>754</v>
      </c>
      <c r="AA116" s="5" t="str" cm="1">
        <f t="array" aca="1" ref="AA116" ca="1">INDEX({"North","West","South","East"},RANDBETWEEN(1,4))</f>
        <v>East</v>
      </c>
    </row>
    <row r="117" spans="1:27" x14ac:dyDescent="0.3">
      <c r="A117" t="s">
        <v>115</v>
      </c>
      <c r="B117" s="1" t="s">
        <v>204</v>
      </c>
      <c r="C117" s="2" t="s">
        <v>319</v>
      </c>
      <c r="D117" t="str">
        <f t="shared" si="3"/>
        <v>Female</v>
      </c>
      <c r="E117" s="3">
        <v>36890</v>
      </c>
      <c r="F117">
        <f t="shared" ca="1" si="4"/>
        <v>25</v>
      </c>
      <c r="G117" t="str">
        <f t="shared" ca="1" si="5"/>
        <v>20-30</v>
      </c>
      <c r="H117" t="s">
        <v>845</v>
      </c>
      <c r="I117" t="s">
        <v>410</v>
      </c>
      <c r="J117" t="s">
        <v>414</v>
      </c>
      <c r="K117" t="s">
        <v>416</v>
      </c>
      <c r="L117" t="s">
        <v>535</v>
      </c>
      <c r="M117" s="3">
        <v>44721</v>
      </c>
      <c r="N117" t="s">
        <v>848</v>
      </c>
      <c r="O117" t="s">
        <v>626</v>
      </c>
      <c r="P117" t="s">
        <v>633</v>
      </c>
      <c r="Q117" t="s">
        <v>638</v>
      </c>
      <c r="R117" t="s">
        <v>853</v>
      </c>
      <c r="S117" s="5">
        <v>70000</v>
      </c>
      <c r="T117" s="5" t="s">
        <v>857</v>
      </c>
      <c r="U117" s="5">
        <v>1400</v>
      </c>
      <c r="V117" s="5" t="s">
        <v>863</v>
      </c>
      <c r="W117">
        <v>2</v>
      </c>
      <c r="X117">
        <v>1</v>
      </c>
      <c r="Y117" t="s">
        <v>628</v>
      </c>
      <c r="Z117" t="s">
        <v>755</v>
      </c>
      <c r="AA117" s="5" t="str" cm="1">
        <f t="array" aca="1" ref="AA117" ca="1">INDEX({"North","West","South","East"},RANDBETWEEN(1,4))</f>
        <v>West</v>
      </c>
    </row>
    <row r="118" spans="1:27" x14ac:dyDescent="0.3">
      <c r="A118" t="s">
        <v>116</v>
      </c>
      <c r="B118" s="1" t="s">
        <v>202</v>
      </c>
      <c r="C118" s="2" t="s">
        <v>320</v>
      </c>
      <c r="D118" t="str">
        <f t="shared" si="3"/>
        <v>Male</v>
      </c>
      <c r="E118" s="3">
        <v>36408</v>
      </c>
      <c r="F118">
        <f t="shared" ca="1" si="4"/>
        <v>26</v>
      </c>
      <c r="G118" t="str">
        <f t="shared" ca="1" si="5"/>
        <v>20-30</v>
      </c>
      <c r="H118" t="s">
        <v>845</v>
      </c>
      <c r="I118" t="s">
        <v>411</v>
      </c>
      <c r="J118" t="s">
        <v>414</v>
      </c>
      <c r="K118" t="s">
        <v>416</v>
      </c>
      <c r="L118" t="s">
        <v>536</v>
      </c>
      <c r="M118" s="3">
        <v>43376</v>
      </c>
      <c r="N118" t="s">
        <v>849</v>
      </c>
      <c r="O118" t="s">
        <v>625</v>
      </c>
      <c r="P118" t="s">
        <v>633</v>
      </c>
      <c r="Q118" t="s">
        <v>638</v>
      </c>
      <c r="R118" t="s">
        <v>852</v>
      </c>
      <c r="S118" s="5">
        <v>51000</v>
      </c>
      <c r="T118" s="5" t="s">
        <v>856</v>
      </c>
      <c r="U118" s="5">
        <v>2300</v>
      </c>
      <c r="V118" s="5" t="s">
        <v>864</v>
      </c>
      <c r="W118">
        <v>5</v>
      </c>
      <c r="X118">
        <v>2</v>
      </c>
      <c r="Y118" t="s">
        <v>869</v>
      </c>
      <c r="Z118" t="s">
        <v>756</v>
      </c>
      <c r="AA118" s="5" t="str" cm="1">
        <f t="array" aca="1" ref="AA118" ca="1">INDEX({"North","West","South","East"},RANDBETWEEN(1,4))</f>
        <v>South</v>
      </c>
    </row>
    <row r="119" spans="1:27" x14ac:dyDescent="0.3">
      <c r="A119" t="s">
        <v>117</v>
      </c>
      <c r="B119" s="1" t="s">
        <v>204</v>
      </c>
      <c r="C119" s="2" t="s">
        <v>321</v>
      </c>
      <c r="D119" t="str">
        <f t="shared" si="3"/>
        <v>Female</v>
      </c>
      <c r="E119" s="3">
        <v>37664</v>
      </c>
      <c r="F119">
        <f t="shared" ca="1" si="4"/>
        <v>23</v>
      </c>
      <c r="G119" t="str">
        <f t="shared" ca="1" si="5"/>
        <v>20-30</v>
      </c>
      <c r="H119" t="s">
        <v>843</v>
      </c>
      <c r="I119" t="s">
        <v>411</v>
      </c>
      <c r="J119" t="s">
        <v>414</v>
      </c>
      <c r="K119" t="s">
        <v>416</v>
      </c>
      <c r="L119" t="s">
        <v>537</v>
      </c>
      <c r="M119" s="3">
        <v>45376</v>
      </c>
      <c r="N119" t="s">
        <v>847</v>
      </c>
      <c r="O119" t="s">
        <v>624</v>
      </c>
      <c r="P119" t="s">
        <v>631</v>
      </c>
      <c r="Q119" t="s">
        <v>638</v>
      </c>
      <c r="R119" t="s">
        <v>851</v>
      </c>
      <c r="S119" s="5">
        <v>117200</v>
      </c>
      <c r="T119" s="5" t="s">
        <v>858</v>
      </c>
      <c r="U119" s="5">
        <v>2600</v>
      </c>
      <c r="V119" s="5" t="s">
        <v>862</v>
      </c>
      <c r="W119">
        <v>1</v>
      </c>
      <c r="X119">
        <v>3</v>
      </c>
      <c r="Y119" t="s">
        <v>870</v>
      </c>
      <c r="Z119" t="s">
        <v>757</v>
      </c>
      <c r="AA119" s="5" t="str" cm="1">
        <f t="array" aca="1" ref="AA119" ca="1">INDEX({"North","West","South","East"},RANDBETWEEN(1,4))</f>
        <v>East</v>
      </c>
    </row>
    <row r="120" spans="1:27" x14ac:dyDescent="0.3">
      <c r="A120" t="s">
        <v>118</v>
      </c>
      <c r="B120" s="1" t="s">
        <v>202</v>
      </c>
      <c r="C120" s="2" t="s">
        <v>322</v>
      </c>
      <c r="D120" t="str">
        <f t="shared" si="3"/>
        <v>Male</v>
      </c>
      <c r="E120" s="3">
        <v>29428</v>
      </c>
      <c r="F120">
        <f t="shared" ca="1" si="4"/>
        <v>45</v>
      </c>
      <c r="G120" t="str">
        <f t="shared" ca="1" si="5"/>
        <v>40-50</v>
      </c>
      <c r="H120" t="s">
        <v>846</v>
      </c>
      <c r="I120" t="s">
        <v>409</v>
      </c>
      <c r="J120" t="s">
        <v>414</v>
      </c>
      <c r="K120" t="s">
        <v>416</v>
      </c>
      <c r="L120" t="s">
        <v>538</v>
      </c>
      <c r="M120" s="3">
        <v>37371</v>
      </c>
      <c r="N120" t="s">
        <v>848</v>
      </c>
      <c r="O120" t="s">
        <v>626</v>
      </c>
      <c r="P120" t="s">
        <v>633</v>
      </c>
      <c r="Q120" t="s">
        <v>638</v>
      </c>
      <c r="R120" t="s">
        <v>853</v>
      </c>
      <c r="S120" s="5">
        <v>104500</v>
      </c>
      <c r="T120" s="5" t="s">
        <v>859</v>
      </c>
      <c r="U120" s="5">
        <v>1800</v>
      </c>
      <c r="V120" s="5" t="s">
        <v>863</v>
      </c>
      <c r="W120">
        <v>6</v>
      </c>
      <c r="X120">
        <v>1</v>
      </c>
      <c r="Y120" t="s">
        <v>871</v>
      </c>
      <c r="Z120" t="s">
        <v>758</v>
      </c>
      <c r="AA120" s="5" t="str" cm="1">
        <f t="array" aca="1" ref="AA120" ca="1">INDEX({"North","West","South","East"},RANDBETWEEN(1,4))</f>
        <v>East</v>
      </c>
    </row>
    <row r="121" spans="1:27" x14ac:dyDescent="0.3">
      <c r="A121" t="s">
        <v>119</v>
      </c>
      <c r="B121" s="1" t="s">
        <v>204</v>
      </c>
      <c r="C121" s="2" t="s">
        <v>323</v>
      </c>
      <c r="D121" t="str">
        <f t="shared" si="3"/>
        <v>Female</v>
      </c>
      <c r="E121" s="3">
        <v>26225</v>
      </c>
      <c r="F121">
        <f t="shared" ca="1" si="4"/>
        <v>54</v>
      </c>
      <c r="G121" t="str">
        <f t="shared" ca="1" si="5"/>
        <v>50-60</v>
      </c>
      <c r="H121" t="s">
        <v>844</v>
      </c>
      <c r="I121" t="s">
        <v>412</v>
      </c>
      <c r="J121" t="s">
        <v>414</v>
      </c>
      <c r="K121" t="s">
        <v>416</v>
      </c>
      <c r="L121" t="s">
        <v>539</v>
      </c>
      <c r="M121" s="3">
        <v>34983</v>
      </c>
      <c r="N121" t="s">
        <v>847</v>
      </c>
      <c r="O121" t="s">
        <v>627</v>
      </c>
      <c r="P121" t="s">
        <v>635</v>
      </c>
      <c r="Q121" t="s">
        <v>635</v>
      </c>
      <c r="R121" t="s">
        <v>852</v>
      </c>
      <c r="S121" s="5">
        <v>96000</v>
      </c>
      <c r="T121" s="5" t="s">
        <v>857</v>
      </c>
      <c r="U121" s="5">
        <v>2100</v>
      </c>
      <c r="V121" s="5" t="s">
        <v>862</v>
      </c>
      <c r="W121">
        <v>7</v>
      </c>
      <c r="X121">
        <v>2</v>
      </c>
      <c r="Y121" t="s">
        <v>868</v>
      </c>
      <c r="Z121" t="s">
        <v>759</v>
      </c>
      <c r="AA121" s="5" t="str" cm="1">
        <f t="array" aca="1" ref="AA121" ca="1">INDEX({"North","West","South","East"},RANDBETWEEN(1,4))</f>
        <v>West</v>
      </c>
    </row>
    <row r="122" spans="1:27" x14ac:dyDescent="0.3">
      <c r="A122" t="s">
        <v>120</v>
      </c>
      <c r="B122" s="1" t="s">
        <v>202</v>
      </c>
      <c r="C122" s="2" t="s">
        <v>324</v>
      </c>
      <c r="D122" t="str">
        <f t="shared" si="3"/>
        <v>Male</v>
      </c>
      <c r="E122" s="3">
        <v>30785</v>
      </c>
      <c r="F122">
        <f t="shared" ca="1" si="4"/>
        <v>42</v>
      </c>
      <c r="G122" t="str">
        <f t="shared" ca="1" si="5"/>
        <v>40-50</v>
      </c>
      <c r="H122" t="s">
        <v>844</v>
      </c>
      <c r="I122" t="s">
        <v>412</v>
      </c>
      <c r="J122" t="s">
        <v>414</v>
      </c>
      <c r="K122" t="s">
        <v>416</v>
      </c>
      <c r="L122" t="s">
        <v>540</v>
      </c>
      <c r="M122" s="3">
        <v>38494</v>
      </c>
      <c r="N122" t="s">
        <v>848</v>
      </c>
      <c r="O122" t="s">
        <v>625</v>
      </c>
      <c r="P122" t="s">
        <v>633</v>
      </c>
      <c r="Q122" t="s">
        <v>638</v>
      </c>
      <c r="R122" t="s">
        <v>851</v>
      </c>
      <c r="S122" s="5">
        <v>142000</v>
      </c>
      <c r="T122" s="5" t="s">
        <v>856</v>
      </c>
      <c r="U122" s="5">
        <v>1200</v>
      </c>
      <c r="V122" s="5" t="s">
        <v>863</v>
      </c>
      <c r="W122">
        <v>4</v>
      </c>
      <c r="X122">
        <v>5</v>
      </c>
      <c r="Y122" t="s">
        <v>628</v>
      </c>
      <c r="Z122" t="s">
        <v>760</v>
      </c>
      <c r="AA122" s="5" t="str" cm="1">
        <f t="array" aca="1" ref="AA122" ca="1">INDEX({"North","West","South","East"},RANDBETWEEN(1,4))</f>
        <v>West</v>
      </c>
    </row>
    <row r="123" spans="1:27" x14ac:dyDescent="0.3">
      <c r="A123" t="s">
        <v>121</v>
      </c>
      <c r="B123" s="1" t="s">
        <v>204</v>
      </c>
      <c r="C123" s="2" t="s">
        <v>325</v>
      </c>
      <c r="D123" t="str">
        <f t="shared" si="3"/>
        <v>Female</v>
      </c>
      <c r="E123" s="3">
        <v>33116</v>
      </c>
      <c r="F123">
        <f t="shared" ca="1" si="4"/>
        <v>35</v>
      </c>
      <c r="G123" t="str">
        <f t="shared" ca="1" si="5"/>
        <v>30-40</v>
      </c>
      <c r="H123" t="s">
        <v>845</v>
      </c>
      <c r="I123" t="s">
        <v>411</v>
      </c>
      <c r="J123" t="s">
        <v>414</v>
      </c>
      <c r="K123" t="s">
        <v>416</v>
      </c>
      <c r="L123" t="s">
        <v>541</v>
      </c>
      <c r="M123" s="3">
        <v>42058</v>
      </c>
      <c r="N123" t="s">
        <v>847</v>
      </c>
      <c r="O123" t="s">
        <v>624</v>
      </c>
      <c r="P123" t="s">
        <v>633</v>
      </c>
      <c r="Q123" t="s">
        <v>638</v>
      </c>
      <c r="R123" t="s">
        <v>852</v>
      </c>
      <c r="S123" s="5">
        <v>82000</v>
      </c>
      <c r="T123" s="5" t="s">
        <v>858</v>
      </c>
      <c r="U123" s="5">
        <v>2400</v>
      </c>
      <c r="V123" s="5" t="s">
        <v>862</v>
      </c>
      <c r="W123">
        <v>8</v>
      </c>
      <c r="X123">
        <v>1</v>
      </c>
      <c r="Y123" t="s">
        <v>869</v>
      </c>
      <c r="Z123" t="s">
        <v>761</v>
      </c>
      <c r="AA123" s="5" t="str" cm="1">
        <f t="array" aca="1" ref="AA123" ca="1">INDEX({"North","West","South","East"},RANDBETWEEN(1,4))</f>
        <v>West</v>
      </c>
    </row>
    <row r="124" spans="1:27" x14ac:dyDescent="0.3">
      <c r="A124" t="s">
        <v>122</v>
      </c>
      <c r="B124" s="1" t="s">
        <v>202</v>
      </c>
      <c r="C124" s="2" t="s">
        <v>326</v>
      </c>
      <c r="D124" t="str">
        <f t="shared" si="3"/>
        <v>Male</v>
      </c>
      <c r="E124" s="3">
        <v>36704</v>
      </c>
      <c r="F124">
        <f t="shared" ca="1" si="4"/>
        <v>25</v>
      </c>
      <c r="G124" t="str">
        <f t="shared" ca="1" si="5"/>
        <v>20-30</v>
      </c>
      <c r="H124" t="s">
        <v>843</v>
      </c>
      <c r="I124" t="s">
        <v>411</v>
      </c>
      <c r="J124" t="s">
        <v>414</v>
      </c>
      <c r="K124" t="s">
        <v>417</v>
      </c>
      <c r="L124" t="s">
        <v>542</v>
      </c>
      <c r="M124" s="3">
        <v>45226</v>
      </c>
      <c r="N124" t="s">
        <v>849</v>
      </c>
      <c r="O124" t="s">
        <v>627</v>
      </c>
      <c r="P124" t="s">
        <v>636</v>
      </c>
      <c r="Q124" t="s">
        <v>638</v>
      </c>
      <c r="R124" t="s">
        <v>853</v>
      </c>
      <c r="S124" s="5">
        <v>75000</v>
      </c>
      <c r="T124" s="5" t="s">
        <v>857</v>
      </c>
      <c r="U124" s="5">
        <v>2700</v>
      </c>
      <c r="V124" s="5" t="s">
        <v>864</v>
      </c>
      <c r="W124">
        <v>2</v>
      </c>
      <c r="X124">
        <v>2</v>
      </c>
      <c r="Y124" t="s">
        <v>871</v>
      </c>
      <c r="Z124" t="s">
        <v>762</v>
      </c>
      <c r="AA124" s="5" t="str" cm="1">
        <f t="array" aca="1" ref="AA124" ca="1">INDEX({"North","West","South","East"},RANDBETWEEN(1,4))</f>
        <v>North</v>
      </c>
    </row>
    <row r="125" spans="1:27" x14ac:dyDescent="0.3">
      <c r="A125" t="s">
        <v>123</v>
      </c>
      <c r="B125" s="1" t="s">
        <v>204</v>
      </c>
      <c r="C125" s="2" t="s">
        <v>327</v>
      </c>
      <c r="D125" t="str">
        <f t="shared" si="3"/>
        <v>Female</v>
      </c>
      <c r="E125" s="3">
        <v>36921</v>
      </c>
      <c r="F125">
        <f t="shared" ca="1" si="4"/>
        <v>25</v>
      </c>
      <c r="G125" t="str">
        <f t="shared" ca="1" si="5"/>
        <v>20-30</v>
      </c>
      <c r="H125" t="s">
        <v>846</v>
      </c>
      <c r="I125" t="s">
        <v>410</v>
      </c>
      <c r="J125" t="s">
        <v>414</v>
      </c>
      <c r="K125" t="s">
        <v>417</v>
      </c>
      <c r="L125" t="s">
        <v>543</v>
      </c>
      <c r="M125" s="3">
        <v>43670</v>
      </c>
      <c r="N125" t="s">
        <v>848</v>
      </c>
      <c r="O125" t="s">
        <v>626</v>
      </c>
      <c r="P125" t="s">
        <v>633</v>
      </c>
      <c r="Q125" t="s">
        <v>638</v>
      </c>
      <c r="R125" t="s">
        <v>851</v>
      </c>
      <c r="S125" s="5">
        <v>108000</v>
      </c>
      <c r="T125" s="5" t="s">
        <v>859</v>
      </c>
      <c r="U125" s="5">
        <v>1900</v>
      </c>
      <c r="V125" s="5" t="s">
        <v>863</v>
      </c>
      <c r="W125">
        <v>3</v>
      </c>
      <c r="X125">
        <v>3</v>
      </c>
      <c r="Y125" t="s">
        <v>870</v>
      </c>
      <c r="Z125" t="s">
        <v>763</v>
      </c>
      <c r="AA125" s="5" t="str" cm="1">
        <f t="array" aca="1" ref="AA125" ca="1">INDEX({"North","West","South","East"},RANDBETWEEN(1,4))</f>
        <v>South</v>
      </c>
    </row>
    <row r="126" spans="1:27" x14ac:dyDescent="0.3">
      <c r="A126" t="s">
        <v>124</v>
      </c>
      <c r="B126" s="1" t="s">
        <v>202</v>
      </c>
      <c r="C126" s="2" t="s">
        <v>328</v>
      </c>
      <c r="D126" t="str">
        <f t="shared" si="3"/>
        <v>Male</v>
      </c>
      <c r="E126" s="3">
        <v>29914</v>
      </c>
      <c r="F126">
        <f t="shared" ca="1" si="4"/>
        <v>44</v>
      </c>
      <c r="G126" t="str">
        <f t="shared" ca="1" si="5"/>
        <v>40-50</v>
      </c>
      <c r="H126" t="s">
        <v>846</v>
      </c>
      <c r="I126" t="s">
        <v>409</v>
      </c>
      <c r="J126" t="s">
        <v>414</v>
      </c>
      <c r="K126" t="s">
        <v>417</v>
      </c>
      <c r="L126" t="s">
        <v>544</v>
      </c>
      <c r="M126" s="3">
        <v>38866</v>
      </c>
      <c r="N126" t="s">
        <v>847</v>
      </c>
      <c r="O126" t="s">
        <v>625</v>
      </c>
      <c r="P126" t="s">
        <v>630</v>
      </c>
      <c r="Q126" t="s">
        <v>635</v>
      </c>
      <c r="R126" t="s">
        <v>852</v>
      </c>
      <c r="S126" s="5">
        <v>91000</v>
      </c>
      <c r="T126" s="5" t="s">
        <v>856</v>
      </c>
      <c r="U126" s="5">
        <v>3400</v>
      </c>
      <c r="V126" s="5" t="s">
        <v>862</v>
      </c>
      <c r="W126">
        <v>5</v>
      </c>
      <c r="X126">
        <v>1</v>
      </c>
      <c r="Y126" t="s">
        <v>868</v>
      </c>
      <c r="Z126" t="s">
        <v>764</v>
      </c>
      <c r="AA126" s="5" t="str" cm="1">
        <f t="array" aca="1" ref="AA126" ca="1">INDEX({"North","West","South","East"},RANDBETWEEN(1,4))</f>
        <v>East</v>
      </c>
    </row>
    <row r="127" spans="1:27" x14ac:dyDescent="0.3">
      <c r="A127" t="s">
        <v>125</v>
      </c>
      <c r="B127" s="1" t="s">
        <v>204</v>
      </c>
      <c r="C127" s="2" t="s">
        <v>329</v>
      </c>
      <c r="D127" t="str">
        <f t="shared" si="3"/>
        <v>Female</v>
      </c>
      <c r="E127" s="3">
        <v>36537</v>
      </c>
      <c r="F127">
        <f t="shared" ca="1" si="4"/>
        <v>26</v>
      </c>
      <c r="G127" t="str">
        <f t="shared" ca="1" si="5"/>
        <v>20-30</v>
      </c>
      <c r="H127" t="s">
        <v>843</v>
      </c>
      <c r="I127" t="s">
        <v>409</v>
      </c>
      <c r="J127" t="s">
        <v>414</v>
      </c>
      <c r="K127" t="s">
        <v>416</v>
      </c>
      <c r="L127" t="s">
        <v>545</v>
      </c>
      <c r="M127" s="3">
        <v>43931</v>
      </c>
      <c r="N127" t="s">
        <v>848</v>
      </c>
      <c r="O127" t="s">
        <v>627</v>
      </c>
      <c r="P127" t="s">
        <v>632</v>
      </c>
      <c r="Q127" t="s">
        <v>638</v>
      </c>
      <c r="R127" t="s">
        <v>853</v>
      </c>
      <c r="S127" s="5">
        <v>67000</v>
      </c>
      <c r="T127" s="5" t="s">
        <v>858</v>
      </c>
      <c r="U127" s="5">
        <v>1500</v>
      </c>
      <c r="V127" s="5" t="s">
        <v>863</v>
      </c>
      <c r="W127">
        <v>1</v>
      </c>
      <c r="X127">
        <v>2</v>
      </c>
      <c r="Y127" t="s">
        <v>628</v>
      </c>
      <c r="Z127" t="s">
        <v>765</v>
      </c>
      <c r="AA127" s="5" t="str" cm="1">
        <f t="array" aca="1" ref="AA127" ca="1">INDEX({"North","West","South","East"},RANDBETWEEN(1,4))</f>
        <v>North</v>
      </c>
    </row>
    <row r="128" spans="1:27" x14ac:dyDescent="0.3">
      <c r="A128" t="s">
        <v>126</v>
      </c>
      <c r="B128" s="1" t="s">
        <v>202</v>
      </c>
      <c r="C128" s="2" t="s">
        <v>330</v>
      </c>
      <c r="D128" t="str">
        <f t="shared" si="3"/>
        <v>Male</v>
      </c>
      <c r="E128" s="3">
        <v>30082</v>
      </c>
      <c r="F128">
        <f t="shared" ca="1" si="4"/>
        <v>44</v>
      </c>
      <c r="G128" t="str">
        <f t="shared" ca="1" si="5"/>
        <v>40-50</v>
      </c>
      <c r="H128" t="s">
        <v>844</v>
      </c>
      <c r="I128" t="s">
        <v>411</v>
      </c>
      <c r="J128" t="s">
        <v>414</v>
      </c>
      <c r="K128" t="s">
        <v>417</v>
      </c>
      <c r="L128" t="s">
        <v>546</v>
      </c>
      <c r="M128" s="3">
        <v>38087</v>
      </c>
      <c r="N128" t="s">
        <v>847</v>
      </c>
      <c r="O128" t="s">
        <v>624</v>
      </c>
      <c r="P128" t="s">
        <v>633</v>
      </c>
      <c r="Q128" t="s">
        <v>638</v>
      </c>
      <c r="R128" t="s">
        <v>851</v>
      </c>
      <c r="S128" s="5">
        <v>56000</v>
      </c>
      <c r="T128" s="5" t="s">
        <v>857</v>
      </c>
      <c r="U128" s="5">
        <v>2200</v>
      </c>
      <c r="V128" s="5" t="s">
        <v>862</v>
      </c>
      <c r="W128">
        <v>6</v>
      </c>
      <c r="X128">
        <v>3</v>
      </c>
      <c r="Y128" t="s">
        <v>869</v>
      </c>
      <c r="Z128" t="s">
        <v>766</v>
      </c>
      <c r="AA128" s="5" t="str" cm="1">
        <f t="array" aca="1" ref="AA128" ca="1">INDEX({"North","West","South","East"},RANDBETWEEN(1,4))</f>
        <v>North</v>
      </c>
    </row>
    <row r="129" spans="1:27" x14ac:dyDescent="0.3">
      <c r="A129" t="s">
        <v>127</v>
      </c>
      <c r="B129" s="1" t="s">
        <v>204</v>
      </c>
      <c r="C129" s="2" t="s">
        <v>331</v>
      </c>
      <c r="D129" t="str">
        <f t="shared" si="3"/>
        <v>Female</v>
      </c>
      <c r="E129" s="3">
        <v>33560</v>
      </c>
      <c r="F129">
        <f t="shared" ca="1" si="4"/>
        <v>34</v>
      </c>
      <c r="G129" t="str">
        <f t="shared" ca="1" si="5"/>
        <v>30-40</v>
      </c>
      <c r="H129" t="s">
        <v>845</v>
      </c>
      <c r="I129" t="s">
        <v>409</v>
      </c>
      <c r="J129" t="s">
        <v>414</v>
      </c>
      <c r="K129" t="s">
        <v>417</v>
      </c>
      <c r="L129" t="s">
        <v>547</v>
      </c>
      <c r="M129" s="3">
        <v>42971</v>
      </c>
      <c r="N129" t="s">
        <v>848</v>
      </c>
      <c r="O129" t="s">
        <v>626</v>
      </c>
      <c r="P129" t="s">
        <v>633</v>
      </c>
      <c r="Q129" t="s">
        <v>638</v>
      </c>
      <c r="R129" t="s">
        <v>852</v>
      </c>
      <c r="S129" s="5">
        <v>116800</v>
      </c>
      <c r="T129" s="5" t="s">
        <v>856</v>
      </c>
      <c r="U129" s="5">
        <v>2600</v>
      </c>
      <c r="V129" s="5" t="s">
        <v>863</v>
      </c>
      <c r="W129">
        <v>7</v>
      </c>
      <c r="X129">
        <v>1</v>
      </c>
      <c r="Y129" t="s">
        <v>870</v>
      </c>
      <c r="Z129" t="s">
        <v>767</v>
      </c>
      <c r="AA129" s="5" t="str" cm="1">
        <f t="array" aca="1" ref="AA129" ca="1">INDEX({"North","West","South","East"},RANDBETWEEN(1,4))</f>
        <v>South</v>
      </c>
    </row>
    <row r="130" spans="1:27" x14ac:dyDescent="0.3">
      <c r="A130" t="s">
        <v>128</v>
      </c>
      <c r="B130" s="1" t="s">
        <v>202</v>
      </c>
      <c r="C130" s="2" t="s">
        <v>332</v>
      </c>
      <c r="D130" t="str">
        <f t="shared" si="3"/>
        <v>Male</v>
      </c>
      <c r="E130" s="3">
        <v>29458</v>
      </c>
      <c r="F130">
        <f t="shared" ca="1" si="4"/>
        <v>45</v>
      </c>
      <c r="G130" t="str">
        <f t="shared" ca="1" si="5"/>
        <v>40-50</v>
      </c>
      <c r="H130" t="s">
        <v>843</v>
      </c>
      <c r="I130" t="s">
        <v>409</v>
      </c>
      <c r="J130" t="s">
        <v>414</v>
      </c>
      <c r="K130" t="s">
        <v>417</v>
      </c>
      <c r="L130" t="s">
        <v>548</v>
      </c>
      <c r="M130" s="3">
        <v>38552</v>
      </c>
      <c r="N130" t="s">
        <v>849</v>
      </c>
      <c r="O130" t="s">
        <v>625</v>
      </c>
      <c r="P130" t="s">
        <v>633</v>
      </c>
      <c r="Q130" t="s">
        <v>635</v>
      </c>
      <c r="R130" t="s">
        <v>851</v>
      </c>
      <c r="S130" s="5">
        <v>106500</v>
      </c>
      <c r="T130" s="5" t="s">
        <v>859</v>
      </c>
      <c r="U130" s="5">
        <v>1700</v>
      </c>
      <c r="V130" s="5" t="s">
        <v>864</v>
      </c>
      <c r="W130">
        <v>4</v>
      </c>
      <c r="X130">
        <v>2</v>
      </c>
      <c r="Y130" t="s">
        <v>871</v>
      </c>
      <c r="Z130" t="s">
        <v>768</v>
      </c>
      <c r="AA130" s="5" t="str" cm="1">
        <f t="array" aca="1" ref="AA130" ca="1">INDEX({"North","West","South","East"},RANDBETWEEN(1,4))</f>
        <v>East</v>
      </c>
    </row>
    <row r="131" spans="1:27" x14ac:dyDescent="0.3">
      <c r="A131" t="s">
        <v>129</v>
      </c>
      <c r="B131" s="1" t="s">
        <v>204</v>
      </c>
      <c r="C131" s="2" t="s">
        <v>333</v>
      </c>
      <c r="D131" t="str">
        <f t="shared" ref="D131:D194" si="6">IF(B131="Mr.","Male","Female")</f>
        <v>Female</v>
      </c>
      <c r="E131" s="3">
        <v>33787</v>
      </c>
      <c r="F131">
        <f t="shared" ref="F131:F194" ca="1" si="7">DATEDIF(E131, TODAY(), "Y")</f>
        <v>33</v>
      </c>
      <c r="G131" t="str">
        <f t="shared" ref="G131:G194" ca="1" si="8">IF(F131&lt;=20,"10-20",IF(F131&lt;=30,"20-30",IF(F131&lt;=40,"30-40",IF(F131&lt;=50,"40-50","50-60"))))</f>
        <v>30-40</v>
      </c>
      <c r="H131" t="s">
        <v>846</v>
      </c>
      <c r="I131" t="s">
        <v>409</v>
      </c>
      <c r="J131" t="s">
        <v>414</v>
      </c>
      <c r="K131" t="s">
        <v>417</v>
      </c>
      <c r="L131" t="s">
        <v>549</v>
      </c>
      <c r="M131" s="3">
        <v>41821</v>
      </c>
      <c r="N131" t="s">
        <v>847</v>
      </c>
      <c r="O131" t="s">
        <v>624</v>
      </c>
      <c r="P131" t="s">
        <v>635</v>
      </c>
      <c r="Q131" t="s">
        <v>638</v>
      </c>
      <c r="R131" t="s">
        <v>853</v>
      </c>
      <c r="S131" s="5">
        <v>94000</v>
      </c>
      <c r="T131" s="5" t="s">
        <v>858</v>
      </c>
      <c r="U131" s="5">
        <v>2300</v>
      </c>
      <c r="V131" s="5" t="s">
        <v>862</v>
      </c>
      <c r="W131">
        <v>8</v>
      </c>
      <c r="X131">
        <v>3</v>
      </c>
      <c r="Y131" t="s">
        <v>869</v>
      </c>
      <c r="Z131" t="s">
        <v>769</v>
      </c>
      <c r="AA131" s="5" t="str" cm="1">
        <f t="array" aca="1" ref="AA131" ca="1">INDEX({"North","West","South","East"},RANDBETWEEN(1,4))</f>
        <v>North</v>
      </c>
    </row>
    <row r="132" spans="1:27" x14ac:dyDescent="0.3">
      <c r="A132" t="s">
        <v>130</v>
      </c>
      <c r="B132" s="1" t="s">
        <v>202</v>
      </c>
      <c r="C132" s="2" t="s">
        <v>334</v>
      </c>
      <c r="D132" t="str">
        <f t="shared" si="6"/>
        <v>Male</v>
      </c>
      <c r="E132" s="3">
        <v>35709</v>
      </c>
      <c r="F132">
        <f t="shared" ca="1" si="7"/>
        <v>28</v>
      </c>
      <c r="G132" t="str">
        <f t="shared" ca="1" si="8"/>
        <v>20-30</v>
      </c>
      <c r="H132" t="s">
        <v>844</v>
      </c>
      <c r="I132" t="s">
        <v>412</v>
      </c>
      <c r="J132" t="s">
        <v>414</v>
      </c>
      <c r="K132" t="s">
        <v>416</v>
      </c>
      <c r="L132" t="s">
        <v>550</v>
      </c>
      <c r="M132" s="3">
        <v>44024</v>
      </c>
      <c r="N132" t="s">
        <v>848</v>
      </c>
      <c r="O132" t="s">
        <v>626</v>
      </c>
      <c r="P132" t="s">
        <v>632</v>
      </c>
      <c r="Q132" t="s">
        <v>638</v>
      </c>
      <c r="R132" t="s">
        <v>852</v>
      </c>
      <c r="S132" s="5">
        <v>134000</v>
      </c>
      <c r="T132" s="5" t="s">
        <v>857</v>
      </c>
      <c r="U132" s="5">
        <v>1300</v>
      </c>
      <c r="V132" s="5" t="s">
        <v>863</v>
      </c>
      <c r="W132">
        <v>2</v>
      </c>
      <c r="X132">
        <v>1</v>
      </c>
      <c r="Y132" t="s">
        <v>868</v>
      </c>
      <c r="Z132" t="s">
        <v>770</v>
      </c>
      <c r="AA132" s="5" t="str" cm="1">
        <f t="array" aca="1" ref="AA132" ca="1">INDEX({"North","West","South","East"},RANDBETWEEN(1,4))</f>
        <v>North</v>
      </c>
    </row>
    <row r="133" spans="1:27" x14ac:dyDescent="0.3">
      <c r="A133" t="s">
        <v>131</v>
      </c>
      <c r="B133" s="1" t="s">
        <v>202</v>
      </c>
      <c r="C133" s="2" t="s">
        <v>336</v>
      </c>
      <c r="D133" t="str">
        <f t="shared" si="6"/>
        <v>Male</v>
      </c>
      <c r="E133" s="3">
        <v>34666</v>
      </c>
      <c r="F133">
        <f t="shared" ca="1" si="7"/>
        <v>31</v>
      </c>
      <c r="G133" t="str">
        <f t="shared" ca="1" si="8"/>
        <v>30-40</v>
      </c>
      <c r="H133" t="s">
        <v>845</v>
      </c>
      <c r="I133" t="s">
        <v>412</v>
      </c>
      <c r="J133" t="s">
        <v>414</v>
      </c>
      <c r="K133" t="s">
        <v>417</v>
      </c>
      <c r="L133" t="s">
        <v>551</v>
      </c>
      <c r="M133" s="3">
        <v>42050</v>
      </c>
      <c r="N133" t="s">
        <v>847</v>
      </c>
      <c r="O133" t="s">
        <v>627</v>
      </c>
      <c r="P133" t="s">
        <v>633</v>
      </c>
      <c r="Q133" t="s">
        <v>638</v>
      </c>
      <c r="R133" t="s">
        <v>851</v>
      </c>
      <c r="S133" s="5">
        <v>87000</v>
      </c>
      <c r="T133" s="5" t="s">
        <v>856</v>
      </c>
      <c r="U133" s="5">
        <v>2500</v>
      </c>
      <c r="V133" s="5" t="s">
        <v>862</v>
      </c>
      <c r="W133">
        <v>3</v>
      </c>
      <c r="X133">
        <v>2</v>
      </c>
      <c r="Y133" t="s">
        <v>628</v>
      </c>
      <c r="Z133" t="s">
        <v>771</v>
      </c>
      <c r="AA133" s="5" t="str" cm="1">
        <f t="array" aca="1" ref="AA133" ca="1">INDEX({"North","West","South","East"},RANDBETWEEN(1,4))</f>
        <v>South</v>
      </c>
    </row>
    <row r="134" spans="1:27" x14ac:dyDescent="0.3">
      <c r="A134" t="s">
        <v>132</v>
      </c>
      <c r="B134" s="1" t="s">
        <v>204</v>
      </c>
      <c r="C134" s="2" t="s">
        <v>337</v>
      </c>
      <c r="D134" t="str">
        <f t="shared" si="6"/>
        <v>Female</v>
      </c>
      <c r="E134" s="3">
        <v>28758</v>
      </c>
      <c r="F134">
        <f t="shared" ca="1" si="7"/>
        <v>47</v>
      </c>
      <c r="G134" t="str">
        <f t="shared" ca="1" si="8"/>
        <v>40-50</v>
      </c>
      <c r="H134" t="s">
        <v>846</v>
      </c>
      <c r="I134" t="s">
        <v>411</v>
      </c>
      <c r="J134" t="s">
        <v>414</v>
      </c>
      <c r="K134" t="s">
        <v>417</v>
      </c>
      <c r="L134" t="s">
        <v>552</v>
      </c>
      <c r="M134" s="3">
        <v>37525</v>
      </c>
      <c r="N134" t="s">
        <v>848</v>
      </c>
      <c r="O134" t="s">
        <v>625</v>
      </c>
      <c r="P134" t="s">
        <v>633</v>
      </c>
      <c r="Q134" t="s">
        <v>638</v>
      </c>
      <c r="R134" t="s">
        <v>853</v>
      </c>
      <c r="S134" s="5">
        <v>65000</v>
      </c>
      <c r="T134" s="5" t="s">
        <v>858</v>
      </c>
      <c r="U134" s="5">
        <v>2800</v>
      </c>
      <c r="V134" s="5" t="s">
        <v>863</v>
      </c>
      <c r="W134">
        <v>5</v>
      </c>
      <c r="X134">
        <v>3</v>
      </c>
      <c r="Y134" t="s">
        <v>870</v>
      </c>
      <c r="Z134" t="s">
        <v>772</v>
      </c>
      <c r="AA134" s="5" t="str" cm="1">
        <f t="array" aca="1" ref="AA134" ca="1">INDEX({"North","West","South","East"},RANDBETWEEN(1,4))</f>
        <v>North</v>
      </c>
    </row>
    <row r="135" spans="1:27" x14ac:dyDescent="0.3">
      <c r="A135" t="s">
        <v>133</v>
      </c>
      <c r="B135" s="1" t="s">
        <v>202</v>
      </c>
      <c r="C135" s="2" t="s">
        <v>338</v>
      </c>
      <c r="D135" t="str">
        <f t="shared" si="6"/>
        <v>Male</v>
      </c>
      <c r="E135" s="3">
        <v>36348</v>
      </c>
      <c r="F135">
        <f t="shared" ca="1" si="7"/>
        <v>26</v>
      </c>
      <c r="G135" t="str">
        <f t="shared" ca="1" si="8"/>
        <v>20-30</v>
      </c>
      <c r="H135" t="s">
        <v>844</v>
      </c>
      <c r="I135" t="s">
        <v>409</v>
      </c>
      <c r="J135" t="s">
        <v>414</v>
      </c>
      <c r="K135" t="s">
        <v>416</v>
      </c>
      <c r="L135" t="s">
        <v>553</v>
      </c>
      <c r="M135" s="3">
        <v>44210</v>
      </c>
      <c r="N135" t="s">
        <v>847</v>
      </c>
      <c r="O135" t="s">
        <v>624</v>
      </c>
      <c r="P135" t="s">
        <v>632</v>
      </c>
      <c r="Q135" t="s">
        <v>638</v>
      </c>
      <c r="R135" t="s">
        <v>852</v>
      </c>
      <c r="S135" s="5">
        <v>119200</v>
      </c>
      <c r="T135" s="5" t="s">
        <v>859</v>
      </c>
      <c r="U135" s="5">
        <v>1600</v>
      </c>
      <c r="V135" s="5" t="s">
        <v>862</v>
      </c>
      <c r="W135">
        <v>1</v>
      </c>
      <c r="X135">
        <v>1</v>
      </c>
      <c r="Y135" t="s">
        <v>871</v>
      </c>
      <c r="Z135" t="s">
        <v>773</v>
      </c>
      <c r="AA135" s="5" t="str" cm="1">
        <f t="array" aca="1" ref="AA135" ca="1">INDEX({"North","West","South","East"},RANDBETWEEN(1,4))</f>
        <v>West</v>
      </c>
    </row>
    <row r="136" spans="1:27" x14ac:dyDescent="0.3">
      <c r="A136" t="s">
        <v>134</v>
      </c>
      <c r="B136" s="1" t="s">
        <v>204</v>
      </c>
      <c r="C136" s="2" t="s">
        <v>339</v>
      </c>
      <c r="D136" t="str">
        <f t="shared" si="6"/>
        <v>Female</v>
      </c>
      <c r="E136" s="3">
        <v>36690</v>
      </c>
      <c r="F136">
        <f t="shared" ca="1" si="7"/>
        <v>25</v>
      </c>
      <c r="G136" t="str">
        <f t="shared" ca="1" si="8"/>
        <v>20-30</v>
      </c>
      <c r="H136" t="s">
        <v>844</v>
      </c>
      <c r="I136" t="s">
        <v>410</v>
      </c>
      <c r="J136" t="s">
        <v>414</v>
      </c>
      <c r="K136" t="s">
        <v>416</v>
      </c>
      <c r="L136" t="s">
        <v>554</v>
      </c>
      <c r="M136" s="3">
        <v>43826</v>
      </c>
      <c r="N136" t="s">
        <v>849</v>
      </c>
      <c r="O136" t="s">
        <v>627</v>
      </c>
      <c r="P136" t="s">
        <v>630</v>
      </c>
      <c r="Q136" t="s">
        <v>638</v>
      </c>
      <c r="R136" t="s">
        <v>851</v>
      </c>
      <c r="S136" s="5">
        <v>97000</v>
      </c>
      <c r="T136" s="5" t="s">
        <v>857</v>
      </c>
      <c r="U136" s="5">
        <v>3200</v>
      </c>
      <c r="V136" s="5" t="s">
        <v>864</v>
      </c>
      <c r="W136">
        <v>6</v>
      </c>
      <c r="X136">
        <v>2</v>
      </c>
      <c r="Y136" t="s">
        <v>869</v>
      </c>
      <c r="Z136" t="s">
        <v>774</v>
      </c>
      <c r="AA136" s="5" t="str" cm="1">
        <f t="array" aca="1" ref="AA136" ca="1">INDEX({"North","West","South","East"},RANDBETWEEN(1,4))</f>
        <v>East</v>
      </c>
    </row>
    <row r="137" spans="1:27" x14ac:dyDescent="0.3">
      <c r="A137" t="s">
        <v>135</v>
      </c>
      <c r="B137" s="1" t="s">
        <v>202</v>
      </c>
      <c r="C137" s="2" t="s">
        <v>340</v>
      </c>
      <c r="D137" t="str">
        <f t="shared" si="6"/>
        <v>Male</v>
      </c>
      <c r="E137" s="3">
        <v>28320</v>
      </c>
      <c r="F137">
        <f t="shared" ca="1" si="7"/>
        <v>48</v>
      </c>
      <c r="G137" t="str">
        <f t="shared" ca="1" si="8"/>
        <v>40-50</v>
      </c>
      <c r="H137" t="s">
        <v>845</v>
      </c>
      <c r="I137" t="s">
        <v>410</v>
      </c>
      <c r="J137" t="s">
        <v>414</v>
      </c>
      <c r="K137" t="s">
        <v>416</v>
      </c>
      <c r="L137" t="s">
        <v>555</v>
      </c>
      <c r="M137" s="3">
        <v>37925</v>
      </c>
      <c r="N137" t="s">
        <v>848</v>
      </c>
      <c r="O137" t="s">
        <v>626</v>
      </c>
      <c r="P137" t="s">
        <v>633</v>
      </c>
      <c r="Q137" t="s">
        <v>638</v>
      </c>
      <c r="R137" t="s">
        <v>852</v>
      </c>
      <c r="S137" s="5">
        <v>102800</v>
      </c>
      <c r="T137" s="5" t="s">
        <v>856</v>
      </c>
      <c r="U137" s="5">
        <v>1400</v>
      </c>
      <c r="V137" s="5" t="s">
        <v>863</v>
      </c>
      <c r="W137">
        <v>7</v>
      </c>
      <c r="X137">
        <v>3</v>
      </c>
      <c r="Y137" t="s">
        <v>868</v>
      </c>
      <c r="Z137" t="s">
        <v>775</v>
      </c>
      <c r="AA137" s="5" t="str" cm="1">
        <f t="array" aca="1" ref="AA137" ca="1">INDEX({"North","West","South","East"},RANDBETWEEN(1,4))</f>
        <v>East</v>
      </c>
    </row>
    <row r="138" spans="1:27" x14ac:dyDescent="0.3">
      <c r="A138" t="s">
        <v>136</v>
      </c>
      <c r="B138" s="1" t="s">
        <v>204</v>
      </c>
      <c r="C138" s="2" t="s">
        <v>341</v>
      </c>
      <c r="D138" t="str">
        <f t="shared" si="6"/>
        <v>Female</v>
      </c>
      <c r="E138" s="3">
        <v>29537</v>
      </c>
      <c r="F138">
        <f t="shared" ca="1" si="7"/>
        <v>45</v>
      </c>
      <c r="G138" t="str">
        <f t="shared" ca="1" si="8"/>
        <v>40-50</v>
      </c>
      <c r="H138" t="s">
        <v>843</v>
      </c>
      <c r="I138" t="s">
        <v>411</v>
      </c>
      <c r="J138" t="s">
        <v>414</v>
      </c>
      <c r="K138" t="s">
        <v>416</v>
      </c>
      <c r="L138" t="s">
        <v>556</v>
      </c>
      <c r="M138" s="3">
        <v>38089</v>
      </c>
      <c r="N138" t="s">
        <v>847</v>
      </c>
      <c r="O138" t="s">
        <v>625</v>
      </c>
      <c r="P138" t="s">
        <v>636</v>
      </c>
      <c r="Q138" t="s">
        <v>635</v>
      </c>
      <c r="R138" t="s">
        <v>853</v>
      </c>
      <c r="S138" s="5">
        <v>72000</v>
      </c>
      <c r="T138" s="5" t="s">
        <v>858</v>
      </c>
      <c r="U138" s="5">
        <v>2100</v>
      </c>
      <c r="V138" s="5" t="s">
        <v>862</v>
      </c>
      <c r="W138">
        <v>4</v>
      </c>
      <c r="X138">
        <v>1</v>
      </c>
      <c r="Y138" t="s">
        <v>628</v>
      </c>
      <c r="Z138" t="s">
        <v>776</v>
      </c>
      <c r="AA138" s="5" t="str" cm="1">
        <f t="array" aca="1" ref="AA138" ca="1">INDEX({"North","West","South","East"},RANDBETWEEN(1,4))</f>
        <v>North</v>
      </c>
    </row>
    <row r="139" spans="1:27" x14ac:dyDescent="0.3">
      <c r="A139" t="s">
        <v>137</v>
      </c>
      <c r="B139" s="1" t="s">
        <v>202</v>
      </c>
      <c r="C139" s="2" t="s">
        <v>342</v>
      </c>
      <c r="D139" t="str">
        <f t="shared" si="6"/>
        <v>Male</v>
      </c>
      <c r="E139" s="3">
        <v>29877</v>
      </c>
      <c r="F139">
        <f t="shared" ca="1" si="7"/>
        <v>44</v>
      </c>
      <c r="G139" t="str">
        <f t="shared" ca="1" si="8"/>
        <v>40-50</v>
      </c>
      <c r="H139" t="s">
        <v>846</v>
      </c>
      <c r="I139" t="s">
        <v>411</v>
      </c>
      <c r="J139" t="s">
        <v>414</v>
      </c>
      <c r="K139" t="s">
        <v>416</v>
      </c>
      <c r="L139" t="s">
        <v>557</v>
      </c>
      <c r="M139" s="3">
        <v>37949</v>
      </c>
      <c r="N139" t="s">
        <v>848</v>
      </c>
      <c r="O139" t="s">
        <v>627</v>
      </c>
      <c r="P139" t="s">
        <v>629</v>
      </c>
      <c r="Q139" t="s">
        <v>638</v>
      </c>
      <c r="R139" t="s">
        <v>851</v>
      </c>
      <c r="S139" s="5">
        <v>83000</v>
      </c>
      <c r="T139" s="5" t="s">
        <v>857</v>
      </c>
      <c r="U139" s="5">
        <v>2600</v>
      </c>
      <c r="V139" s="5" t="s">
        <v>863</v>
      </c>
      <c r="W139">
        <v>8</v>
      </c>
      <c r="X139">
        <v>2</v>
      </c>
      <c r="Y139" t="s">
        <v>871</v>
      </c>
      <c r="Z139" t="s">
        <v>777</v>
      </c>
      <c r="AA139" s="5" t="str" cm="1">
        <f t="array" aca="1" ref="AA139" ca="1">INDEX({"North","West","South","East"},RANDBETWEEN(1,4))</f>
        <v>West</v>
      </c>
    </row>
    <row r="140" spans="1:27" x14ac:dyDescent="0.3">
      <c r="A140" t="s">
        <v>138</v>
      </c>
      <c r="B140" s="1" t="s">
        <v>204</v>
      </c>
      <c r="C140" s="2" t="s">
        <v>343</v>
      </c>
      <c r="D140" t="str">
        <f t="shared" si="6"/>
        <v>Female</v>
      </c>
      <c r="E140" s="3">
        <v>35674</v>
      </c>
      <c r="F140">
        <f t="shared" ca="1" si="7"/>
        <v>28</v>
      </c>
      <c r="G140" t="str">
        <f t="shared" ca="1" si="8"/>
        <v>20-30</v>
      </c>
      <c r="H140" t="s">
        <v>846</v>
      </c>
      <c r="I140" t="s">
        <v>410</v>
      </c>
      <c r="J140" t="s">
        <v>414</v>
      </c>
      <c r="K140" t="s">
        <v>417</v>
      </c>
      <c r="L140" t="s">
        <v>558</v>
      </c>
      <c r="M140" s="3">
        <v>43860</v>
      </c>
      <c r="N140" t="s">
        <v>847</v>
      </c>
      <c r="O140" t="s">
        <v>624</v>
      </c>
      <c r="P140" t="s">
        <v>632</v>
      </c>
      <c r="Q140" t="s">
        <v>638</v>
      </c>
      <c r="R140" t="s">
        <v>852</v>
      </c>
      <c r="S140" s="5">
        <v>58000</v>
      </c>
      <c r="T140" s="5" t="s">
        <v>859</v>
      </c>
      <c r="U140" s="5">
        <v>1800</v>
      </c>
      <c r="V140" s="5" t="s">
        <v>862</v>
      </c>
      <c r="W140">
        <v>18</v>
      </c>
      <c r="X140">
        <v>3</v>
      </c>
      <c r="Y140" t="s">
        <v>870</v>
      </c>
      <c r="Z140" t="s">
        <v>778</v>
      </c>
      <c r="AA140" s="5" t="str" cm="1">
        <f t="array" aca="1" ref="AA140" ca="1">INDEX({"North","West","South","East"},RANDBETWEEN(1,4))</f>
        <v>East</v>
      </c>
    </row>
    <row r="141" spans="1:27" x14ac:dyDescent="0.3">
      <c r="A141" t="s">
        <v>139</v>
      </c>
      <c r="B141" s="1" t="s">
        <v>202</v>
      </c>
      <c r="C141" s="2" t="s">
        <v>344</v>
      </c>
      <c r="D141" t="str">
        <f t="shared" si="6"/>
        <v>Male</v>
      </c>
      <c r="E141" s="3">
        <v>32926</v>
      </c>
      <c r="F141">
        <f t="shared" ca="1" si="7"/>
        <v>36</v>
      </c>
      <c r="G141" t="str">
        <f t="shared" ca="1" si="8"/>
        <v>30-40</v>
      </c>
      <c r="H141" t="s">
        <v>843</v>
      </c>
      <c r="I141" t="s">
        <v>410</v>
      </c>
      <c r="J141" t="s">
        <v>414</v>
      </c>
      <c r="K141" t="s">
        <v>416</v>
      </c>
      <c r="L141" t="s">
        <v>559</v>
      </c>
      <c r="M141" s="3">
        <v>42737</v>
      </c>
      <c r="N141" t="s">
        <v>848</v>
      </c>
      <c r="O141" t="s">
        <v>626</v>
      </c>
      <c r="P141" t="s">
        <v>629</v>
      </c>
      <c r="Q141" t="s">
        <v>638</v>
      </c>
      <c r="R141" t="s">
        <v>853</v>
      </c>
      <c r="S141" s="5">
        <v>112500</v>
      </c>
      <c r="T141" s="5" t="s">
        <v>856</v>
      </c>
      <c r="U141" s="5">
        <v>2200</v>
      </c>
      <c r="V141" s="5" t="s">
        <v>863</v>
      </c>
      <c r="W141">
        <v>19</v>
      </c>
      <c r="X141">
        <v>1</v>
      </c>
      <c r="Y141" t="s">
        <v>869</v>
      </c>
      <c r="Z141" t="s">
        <v>779</v>
      </c>
      <c r="AA141" s="5" t="str" cm="1">
        <f t="array" aca="1" ref="AA141" ca="1">INDEX({"North","West","South","East"},RANDBETWEEN(1,4))</f>
        <v>North</v>
      </c>
    </row>
    <row r="142" spans="1:27" x14ac:dyDescent="0.3">
      <c r="A142" t="s">
        <v>140</v>
      </c>
      <c r="B142" s="1" t="s">
        <v>204</v>
      </c>
      <c r="C142" s="2" t="s">
        <v>345</v>
      </c>
      <c r="D142" t="str">
        <f t="shared" si="6"/>
        <v>Female</v>
      </c>
      <c r="E142" s="3">
        <v>34463</v>
      </c>
      <c r="F142">
        <f t="shared" ca="1" si="7"/>
        <v>32</v>
      </c>
      <c r="G142" t="str">
        <f t="shared" ca="1" si="8"/>
        <v>30-40</v>
      </c>
      <c r="H142" t="s">
        <v>844</v>
      </c>
      <c r="I142" t="s">
        <v>409</v>
      </c>
      <c r="J142" t="s">
        <v>414</v>
      </c>
      <c r="K142" t="s">
        <v>416</v>
      </c>
      <c r="L142" t="s">
        <v>560</v>
      </c>
      <c r="M142" s="3">
        <v>41907</v>
      </c>
      <c r="N142" t="s">
        <v>849</v>
      </c>
      <c r="O142" t="s">
        <v>625</v>
      </c>
      <c r="P142" t="s">
        <v>637</v>
      </c>
      <c r="Q142" t="s">
        <v>635</v>
      </c>
      <c r="R142" t="s">
        <v>851</v>
      </c>
      <c r="S142" s="5">
        <v>90000</v>
      </c>
      <c r="T142" s="5" t="s">
        <v>858</v>
      </c>
      <c r="U142" s="5">
        <v>1100</v>
      </c>
      <c r="V142" s="5" t="s">
        <v>864</v>
      </c>
      <c r="W142">
        <v>3</v>
      </c>
      <c r="X142">
        <v>2</v>
      </c>
      <c r="Y142" t="s">
        <v>868</v>
      </c>
      <c r="Z142" t="s">
        <v>780</v>
      </c>
      <c r="AA142" s="5" t="str" cm="1">
        <f t="array" aca="1" ref="AA142" ca="1">INDEX({"North","West","South","East"},RANDBETWEEN(1,4))</f>
        <v>East</v>
      </c>
    </row>
    <row r="143" spans="1:27" x14ac:dyDescent="0.3">
      <c r="A143" t="s">
        <v>141</v>
      </c>
      <c r="B143" s="1" t="s">
        <v>202</v>
      </c>
      <c r="C143" s="2" t="s">
        <v>346</v>
      </c>
      <c r="D143" t="str">
        <f t="shared" si="6"/>
        <v>Male</v>
      </c>
      <c r="E143" s="3">
        <v>32966</v>
      </c>
      <c r="F143">
        <f t="shared" ca="1" si="7"/>
        <v>36</v>
      </c>
      <c r="G143" t="str">
        <f t="shared" ca="1" si="8"/>
        <v>30-40</v>
      </c>
      <c r="H143" t="s">
        <v>845</v>
      </c>
      <c r="I143" t="s">
        <v>412</v>
      </c>
      <c r="J143" t="s">
        <v>414</v>
      </c>
      <c r="K143" t="s">
        <v>417</v>
      </c>
      <c r="L143" t="s">
        <v>561</v>
      </c>
      <c r="M143" s="3">
        <v>41000</v>
      </c>
      <c r="N143" t="s">
        <v>847</v>
      </c>
      <c r="O143" t="s">
        <v>624</v>
      </c>
      <c r="P143" t="s">
        <v>636</v>
      </c>
      <c r="Q143" t="s">
        <v>635</v>
      </c>
      <c r="R143" t="s">
        <v>852</v>
      </c>
      <c r="S143" s="5">
        <v>148000</v>
      </c>
      <c r="T143" s="5" t="s">
        <v>857</v>
      </c>
      <c r="U143" s="5">
        <v>2400</v>
      </c>
      <c r="V143" s="5" t="s">
        <v>862</v>
      </c>
      <c r="W143">
        <v>2</v>
      </c>
      <c r="X143">
        <v>3</v>
      </c>
      <c r="Y143" t="s">
        <v>628</v>
      </c>
      <c r="Z143" t="s">
        <v>781</v>
      </c>
      <c r="AA143" s="5" t="str" cm="1">
        <f t="array" aca="1" ref="AA143" ca="1">INDEX({"North","West","South","East"},RANDBETWEEN(1,4))</f>
        <v>East</v>
      </c>
    </row>
    <row r="144" spans="1:27" x14ac:dyDescent="0.3">
      <c r="A144" t="s">
        <v>142</v>
      </c>
      <c r="B144" s="1" t="s">
        <v>204</v>
      </c>
      <c r="C144" s="2" t="s">
        <v>347</v>
      </c>
      <c r="D144" t="str">
        <f t="shared" si="6"/>
        <v>Female</v>
      </c>
      <c r="E144" s="3">
        <v>33497</v>
      </c>
      <c r="F144">
        <f t="shared" ca="1" si="7"/>
        <v>34</v>
      </c>
      <c r="G144" t="str">
        <f t="shared" ca="1" si="8"/>
        <v>30-40</v>
      </c>
      <c r="H144" t="s">
        <v>845</v>
      </c>
      <c r="I144" t="s">
        <v>409</v>
      </c>
      <c r="J144" t="s">
        <v>414</v>
      </c>
      <c r="K144" t="s">
        <v>416</v>
      </c>
      <c r="L144" t="s">
        <v>562</v>
      </c>
      <c r="M144" s="3">
        <v>40132</v>
      </c>
      <c r="N144" t="s">
        <v>848</v>
      </c>
      <c r="O144" t="s">
        <v>626</v>
      </c>
      <c r="P144" t="s">
        <v>633</v>
      </c>
      <c r="Q144" t="s">
        <v>638</v>
      </c>
      <c r="R144" t="s">
        <v>851</v>
      </c>
      <c r="S144" s="5">
        <v>86000</v>
      </c>
      <c r="T144" s="5" t="s">
        <v>856</v>
      </c>
      <c r="U144" s="5">
        <v>2700</v>
      </c>
      <c r="V144" s="5" t="s">
        <v>863</v>
      </c>
      <c r="W144">
        <v>5</v>
      </c>
      <c r="X144">
        <v>1</v>
      </c>
      <c r="Y144" t="s">
        <v>870</v>
      </c>
      <c r="Z144" t="s">
        <v>782</v>
      </c>
      <c r="AA144" s="5" t="str" cm="1">
        <f t="array" aca="1" ref="AA144" ca="1">INDEX({"North","West","South","East"},RANDBETWEEN(1,4))</f>
        <v>South</v>
      </c>
    </row>
    <row r="145" spans="1:27" x14ac:dyDescent="0.3">
      <c r="A145" t="s">
        <v>143</v>
      </c>
      <c r="B145" s="1" t="s">
        <v>202</v>
      </c>
      <c r="C145" s="2" t="s">
        <v>348</v>
      </c>
      <c r="D145" t="str">
        <f t="shared" si="6"/>
        <v>Male</v>
      </c>
      <c r="E145" s="3">
        <v>37744</v>
      </c>
      <c r="F145">
        <f t="shared" ca="1" si="7"/>
        <v>23</v>
      </c>
      <c r="G145" t="str">
        <f t="shared" ca="1" si="8"/>
        <v>20-30</v>
      </c>
      <c r="H145" t="s">
        <v>846</v>
      </c>
      <c r="I145" t="s">
        <v>412</v>
      </c>
      <c r="J145" t="s">
        <v>414</v>
      </c>
      <c r="K145" t="s">
        <v>417</v>
      </c>
      <c r="L145" t="s">
        <v>563</v>
      </c>
      <c r="M145" s="3">
        <v>45795</v>
      </c>
      <c r="N145" t="s">
        <v>847</v>
      </c>
      <c r="O145" t="s">
        <v>627</v>
      </c>
      <c r="P145" t="s">
        <v>630</v>
      </c>
      <c r="Q145" t="s">
        <v>635</v>
      </c>
      <c r="R145" t="s">
        <v>853</v>
      </c>
      <c r="S145" s="5">
        <v>69000</v>
      </c>
      <c r="T145" s="5" t="s">
        <v>859</v>
      </c>
      <c r="U145" s="5">
        <v>1900</v>
      </c>
      <c r="V145" s="5" t="s">
        <v>862</v>
      </c>
      <c r="W145">
        <v>1</v>
      </c>
      <c r="X145">
        <v>2</v>
      </c>
      <c r="Y145" t="s">
        <v>871</v>
      </c>
      <c r="Z145" t="s">
        <v>783</v>
      </c>
      <c r="AA145" s="5" t="str" cm="1">
        <f t="array" aca="1" ref="AA145" ca="1">INDEX({"North","West","South","East"},RANDBETWEEN(1,4))</f>
        <v>West</v>
      </c>
    </row>
    <row r="146" spans="1:27" x14ac:dyDescent="0.3">
      <c r="A146" t="s">
        <v>144</v>
      </c>
      <c r="B146" s="1" t="s">
        <v>204</v>
      </c>
      <c r="C146" s="2" t="s">
        <v>349</v>
      </c>
      <c r="D146" t="str">
        <f t="shared" si="6"/>
        <v>Female</v>
      </c>
      <c r="E146" s="3">
        <v>36638</v>
      </c>
      <c r="F146">
        <f t="shared" ca="1" si="7"/>
        <v>26</v>
      </c>
      <c r="G146" t="str">
        <f t="shared" ca="1" si="8"/>
        <v>20-30</v>
      </c>
      <c r="H146" t="s">
        <v>845</v>
      </c>
      <c r="I146" t="s">
        <v>409</v>
      </c>
      <c r="J146" t="s">
        <v>414</v>
      </c>
      <c r="K146" t="s">
        <v>417</v>
      </c>
      <c r="L146" t="s">
        <v>564</v>
      </c>
      <c r="M146" s="3">
        <v>45637</v>
      </c>
      <c r="N146" t="s">
        <v>848</v>
      </c>
      <c r="O146" t="s">
        <v>625</v>
      </c>
      <c r="P146" t="s">
        <v>636</v>
      </c>
      <c r="Q146" t="s">
        <v>638</v>
      </c>
      <c r="R146" t="s">
        <v>852</v>
      </c>
      <c r="S146" s="5">
        <v>53000</v>
      </c>
      <c r="T146" s="5" t="s">
        <v>858</v>
      </c>
      <c r="U146" s="5">
        <v>3000</v>
      </c>
      <c r="V146" s="5" t="s">
        <v>863</v>
      </c>
      <c r="W146">
        <v>6</v>
      </c>
      <c r="X146">
        <v>3</v>
      </c>
      <c r="Y146" t="s">
        <v>869</v>
      </c>
      <c r="Z146" t="s">
        <v>784</v>
      </c>
      <c r="AA146" s="5" t="str" cm="1">
        <f t="array" aca="1" ref="AA146" ca="1">INDEX({"North","West","South","East"},RANDBETWEEN(1,4))</f>
        <v>West</v>
      </c>
    </row>
    <row r="147" spans="1:27" x14ac:dyDescent="0.3">
      <c r="A147" t="s">
        <v>145</v>
      </c>
      <c r="B147" s="1" t="s">
        <v>202</v>
      </c>
      <c r="C147" s="2" t="s">
        <v>350</v>
      </c>
      <c r="D147" t="str">
        <f t="shared" si="6"/>
        <v>Male</v>
      </c>
      <c r="E147" s="3">
        <v>33305</v>
      </c>
      <c r="F147">
        <f t="shared" ca="1" si="7"/>
        <v>35</v>
      </c>
      <c r="G147" t="str">
        <f t="shared" ca="1" si="8"/>
        <v>30-40</v>
      </c>
      <c r="H147" t="s">
        <v>844</v>
      </c>
      <c r="I147" t="s">
        <v>411</v>
      </c>
      <c r="J147" t="s">
        <v>414</v>
      </c>
      <c r="K147" t="s">
        <v>416</v>
      </c>
      <c r="L147" t="s">
        <v>565</v>
      </c>
      <c r="M147" s="3">
        <v>40768</v>
      </c>
      <c r="N147" t="s">
        <v>847</v>
      </c>
      <c r="O147" t="s">
        <v>624</v>
      </c>
      <c r="P147" t="s">
        <v>631</v>
      </c>
      <c r="Q147" t="s">
        <v>635</v>
      </c>
      <c r="R147" t="s">
        <v>851</v>
      </c>
      <c r="S147" s="5">
        <v>115800</v>
      </c>
      <c r="T147" s="5" t="s">
        <v>857</v>
      </c>
      <c r="U147" s="5">
        <v>1500</v>
      </c>
      <c r="V147" s="5" t="s">
        <v>862</v>
      </c>
      <c r="W147">
        <v>7</v>
      </c>
      <c r="X147">
        <v>1</v>
      </c>
      <c r="Y147" t="s">
        <v>868</v>
      </c>
      <c r="Z147" t="s">
        <v>785</v>
      </c>
      <c r="AA147" s="5" t="str" cm="1">
        <f t="array" aca="1" ref="AA147" ca="1">INDEX({"North","West","South","East"},RANDBETWEEN(1,4))</f>
        <v>North</v>
      </c>
    </row>
    <row r="148" spans="1:27" x14ac:dyDescent="0.3">
      <c r="A148" t="s">
        <v>146</v>
      </c>
      <c r="B148" s="1" t="s">
        <v>204</v>
      </c>
      <c r="C148" s="2" t="s">
        <v>351</v>
      </c>
      <c r="D148" t="str">
        <f t="shared" si="6"/>
        <v>Female</v>
      </c>
      <c r="E148" s="3">
        <v>32016</v>
      </c>
      <c r="F148">
        <f t="shared" ca="1" si="7"/>
        <v>38</v>
      </c>
      <c r="G148" t="str">
        <f t="shared" ca="1" si="8"/>
        <v>30-40</v>
      </c>
      <c r="H148" t="s">
        <v>846</v>
      </c>
      <c r="I148" t="s">
        <v>412</v>
      </c>
      <c r="J148" t="s">
        <v>414</v>
      </c>
      <c r="K148" t="s">
        <v>417</v>
      </c>
      <c r="L148" t="s">
        <v>566</v>
      </c>
      <c r="M148" s="3">
        <v>41320</v>
      </c>
      <c r="N148" t="s">
        <v>849</v>
      </c>
      <c r="O148" t="s">
        <v>627</v>
      </c>
      <c r="P148" t="s">
        <v>633</v>
      </c>
      <c r="Q148" t="s">
        <v>635</v>
      </c>
      <c r="R148" t="s">
        <v>853</v>
      </c>
      <c r="S148" s="5">
        <v>105500</v>
      </c>
      <c r="T148" s="5" t="s">
        <v>856</v>
      </c>
      <c r="U148" s="5">
        <v>2300</v>
      </c>
      <c r="V148" s="5" t="s">
        <v>864</v>
      </c>
      <c r="W148">
        <v>4</v>
      </c>
      <c r="X148">
        <v>2</v>
      </c>
      <c r="Y148" t="s">
        <v>628</v>
      </c>
      <c r="Z148" t="s">
        <v>786</v>
      </c>
      <c r="AA148" s="5" t="str" cm="1">
        <f t="array" aca="1" ref="AA148" ca="1">INDEX({"North","West","South","East"},RANDBETWEEN(1,4))</f>
        <v>North</v>
      </c>
    </row>
    <row r="149" spans="1:27" x14ac:dyDescent="0.3">
      <c r="A149" t="s">
        <v>147</v>
      </c>
      <c r="B149" s="1" t="s">
        <v>202</v>
      </c>
      <c r="C149" s="2" t="s">
        <v>352</v>
      </c>
      <c r="D149" t="str">
        <f t="shared" si="6"/>
        <v>Male</v>
      </c>
      <c r="E149" s="3">
        <v>29649</v>
      </c>
      <c r="F149">
        <f t="shared" ca="1" si="7"/>
        <v>45</v>
      </c>
      <c r="G149" t="str">
        <f t="shared" ca="1" si="8"/>
        <v>40-50</v>
      </c>
      <c r="H149" t="s">
        <v>843</v>
      </c>
      <c r="I149" t="s">
        <v>409</v>
      </c>
      <c r="J149" t="s">
        <v>414</v>
      </c>
      <c r="K149" t="s">
        <v>416</v>
      </c>
      <c r="L149" t="s">
        <v>567</v>
      </c>
      <c r="M149" s="3">
        <v>37638</v>
      </c>
      <c r="N149" t="s">
        <v>848</v>
      </c>
      <c r="O149" t="s">
        <v>626</v>
      </c>
      <c r="P149" t="s">
        <v>633</v>
      </c>
      <c r="Q149" t="s">
        <v>635</v>
      </c>
      <c r="R149" t="s">
        <v>852</v>
      </c>
      <c r="S149" s="5">
        <v>98000</v>
      </c>
      <c r="T149" s="5" t="s">
        <v>858</v>
      </c>
      <c r="U149" s="5">
        <v>2600</v>
      </c>
      <c r="V149" s="5" t="s">
        <v>863</v>
      </c>
      <c r="W149">
        <v>8</v>
      </c>
      <c r="X149">
        <v>3</v>
      </c>
      <c r="Y149" t="s">
        <v>869</v>
      </c>
      <c r="Z149" t="s">
        <v>787</v>
      </c>
      <c r="AA149" s="5" t="str" cm="1">
        <f t="array" aca="1" ref="AA149" ca="1">INDEX({"North","West","South","East"},RANDBETWEEN(1,4))</f>
        <v>North</v>
      </c>
    </row>
    <row r="150" spans="1:27" x14ac:dyDescent="0.3">
      <c r="A150" t="s">
        <v>148</v>
      </c>
      <c r="B150" s="1" t="s">
        <v>204</v>
      </c>
      <c r="C150" s="2" t="s">
        <v>353</v>
      </c>
      <c r="D150" t="str">
        <f t="shared" si="6"/>
        <v>Female</v>
      </c>
      <c r="E150" s="3">
        <v>33741</v>
      </c>
      <c r="F150">
        <f t="shared" ca="1" si="7"/>
        <v>34</v>
      </c>
      <c r="G150" t="str">
        <f t="shared" ca="1" si="8"/>
        <v>30-40</v>
      </c>
      <c r="H150" t="s">
        <v>843</v>
      </c>
      <c r="I150" t="s">
        <v>409</v>
      </c>
      <c r="J150" t="s">
        <v>414</v>
      </c>
      <c r="K150" t="s">
        <v>417</v>
      </c>
      <c r="L150" t="s">
        <v>568</v>
      </c>
      <c r="M150" s="3">
        <v>41206</v>
      </c>
      <c r="N150" t="s">
        <v>847</v>
      </c>
      <c r="O150" t="s">
        <v>625</v>
      </c>
      <c r="P150" t="s">
        <v>633</v>
      </c>
      <c r="Q150" t="s">
        <v>638</v>
      </c>
      <c r="R150" t="s">
        <v>851</v>
      </c>
      <c r="S150" s="5">
        <v>136000</v>
      </c>
      <c r="T150" s="5" t="s">
        <v>859</v>
      </c>
      <c r="U150" s="5">
        <v>1700</v>
      </c>
      <c r="V150" s="5" t="s">
        <v>862</v>
      </c>
      <c r="W150">
        <v>2</v>
      </c>
      <c r="X150">
        <v>1</v>
      </c>
      <c r="Y150" t="s">
        <v>870</v>
      </c>
      <c r="Z150" t="s">
        <v>788</v>
      </c>
      <c r="AA150" s="5" t="str" cm="1">
        <f t="array" aca="1" ref="AA150" ca="1">INDEX({"North","West","South","East"},RANDBETWEEN(1,4))</f>
        <v>East</v>
      </c>
    </row>
    <row r="151" spans="1:27" x14ac:dyDescent="0.3">
      <c r="A151" t="s">
        <v>149</v>
      </c>
      <c r="B151" s="1" t="s">
        <v>202</v>
      </c>
      <c r="C151" s="2" t="s">
        <v>354</v>
      </c>
      <c r="D151" t="str">
        <f t="shared" si="6"/>
        <v>Male</v>
      </c>
      <c r="E151" s="3">
        <v>35985</v>
      </c>
      <c r="F151">
        <f t="shared" ca="1" si="7"/>
        <v>27</v>
      </c>
      <c r="G151" t="str">
        <f t="shared" ca="1" si="8"/>
        <v>20-30</v>
      </c>
      <c r="H151" t="s">
        <v>846</v>
      </c>
      <c r="I151" t="s">
        <v>409</v>
      </c>
      <c r="J151" t="s">
        <v>414</v>
      </c>
      <c r="K151" t="s">
        <v>417</v>
      </c>
      <c r="L151" t="s">
        <v>569</v>
      </c>
      <c r="M151" s="3">
        <v>44794</v>
      </c>
      <c r="N151" t="s">
        <v>848</v>
      </c>
      <c r="O151" t="s">
        <v>627</v>
      </c>
      <c r="P151" t="s">
        <v>629</v>
      </c>
      <c r="Q151" t="s">
        <v>638</v>
      </c>
      <c r="R151" t="s">
        <v>852</v>
      </c>
      <c r="S151" s="5">
        <v>81000</v>
      </c>
      <c r="T151" s="5" t="s">
        <v>857</v>
      </c>
      <c r="U151" s="5">
        <v>2100</v>
      </c>
      <c r="V151" s="5" t="s">
        <v>863</v>
      </c>
      <c r="W151">
        <v>3</v>
      </c>
      <c r="X151">
        <v>2</v>
      </c>
      <c r="Y151" t="s">
        <v>871</v>
      </c>
      <c r="Z151" t="s">
        <v>789</v>
      </c>
      <c r="AA151" s="5" t="str" cm="1">
        <f t="array" aca="1" ref="AA151" ca="1">INDEX({"North","West","South","East"},RANDBETWEEN(1,4))</f>
        <v>East</v>
      </c>
    </row>
    <row r="152" spans="1:27" x14ac:dyDescent="0.3">
      <c r="A152" t="s">
        <v>150</v>
      </c>
      <c r="B152" s="1" t="s">
        <v>204</v>
      </c>
      <c r="C152" s="2" t="s">
        <v>355</v>
      </c>
      <c r="D152" t="str">
        <f t="shared" si="6"/>
        <v>Female</v>
      </c>
      <c r="E152" s="3">
        <v>29733</v>
      </c>
      <c r="F152">
        <f t="shared" ca="1" si="7"/>
        <v>45</v>
      </c>
      <c r="G152" t="str">
        <f t="shared" ca="1" si="8"/>
        <v>40-50</v>
      </c>
      <c r="H152" t="s">
        <v>845</v>
      </c>
      <c r="I152" t="s">
        <v>412</v>
      </c>
      <c r="J152" t="s">
        <v>414</v>
      </c>
      <c r="K152" t="s">
        <v>416</v>
      </c>
      <c r="L152" t="s">
        <v>570</v>
      </c>
      <c r="M152" s="3">
        <v>37557</v>
      </c>
      <c r="N152" t="s">
        <v>847</v>
      </c>
      <c r="O152" t="s">
        <v>624</v>
      </c>
      <c r="P152" t="s">
        <v>633</v>
      </c>
      <c r="Q152" t="s">
        <v>635</v>
      </c>
      <c r="R152" t="s">
        <v>853</v>
      </c>
      <c r="S152" s="5">
        <v>76000</v>
      </c>
      <c r="T152" s="5" t="s">
        <v>856</v>
      </c>
      <c r="U152" s="5">
        <v>1200</v>
      </c>
      <c r="V152" s="5" t="s">
        <v>862</v>
      </c>
      <c r="W152">
        <v>5</v>
      </c>
      <c r="X152">
        <v>4</v>
      </c>
      <c r="Y152" t="s">
        <v>868</v>
      </c>
      <c r="Z152" t="s">
        <v>790</v>
      </c>
      <c r="AA152" s="5" t="str" cm="1">
        <f t="array" aca="1" ref="AA152" ca="1">INDEX({"North","West","South","East"},RANDBETWEEN(1,4))</f>
        <v>North</v>
      </c>
    </row>
    <row r="153" spans="1:27" x14ac:dyDescent="0.3">
      <c r="A153" t="s">
        <v>151</v>
      </c>
      <c r="B153" s="1" t="s">
        <v>202</v>
      </c>
      <c r="C153" s="2" t="s">
        <v>356</v>
      </c>
      <c r="D153" t="str">
        <f t="shared" si="6"/>
        <v>Male</v>
      </c>
      <c r="E153" s="3">
        <v>33542</v>
      </c>
      <c r="F153">
        <f t="shared" ca="1" si="7"/>
        <v>34</v>
      </c>
      <c r="G153" t="str">
        <f t="shared" ca="1" si="8"/>
        <v>30-40</v>
      </c>
      <c r="H153" t="s">
        <v>844</v>
      </c>
      <c r="I153" t="s">
        <v>410</v>
      </c>
      <c r="J153" t="s">
        <v>414</v>
      </c>
      <c r="K153" t="s">
        <v>416</v>
      </c>
      <c r="L153" t="s">
        <v>571</v>
      </c>
      <c r="M153" s="3">
        <v>40632</v>
      </c>
      <c r="N153" t="s">
        <v>848</v>
      </c>
      <c r="O153" t="s">
        <v>626</v>
      </c>
      <c r="P153" t="s">
        <v>633</v>
      </c>
      <c r="Q153" t="s">
        <v>638</v>
      </c>
      <c r="R153" t="s">
        <v>851</v>
      </c>
      <c r="S153" s="5">
        <v>109200</v>
      </c>
      <c r="T153" s="5" t="s">
        <v>858</v>
      </c>
      <c r="U153" s="5">
        <v>2500</v>
      </c>
      <c r="V153" s="5" t="s">
        <v>863</v>
      </c>
      <c r="W153">
        <v>1</v>
      </c>
      <c r="X153">
        <v>1</v>
      </c>
      <c r="Y153" t="s">
        <v>628</v>
      </c>
      <c r="Z153" t="s">
        <v>791</v>
      </c>
      <c r="AA153" s="5" t="str" cm="1">
        <f t="array" aca="1" ref="AA153" ca="1">INDEX({"North","West","South","East"},RANDBETWEEN(1,4))</f>
        <v>East</v>
      </c>
    </row>
    <row r="154" spans="1:27" x14ac:dyDescent="0.3">
      <c r="A154" t="s">
        <v>152</v>
      </c>
      <c r="B154" s="1" t="s">
        <v>204</v>
      </c>
      <c r="C154" s="2" t="s">
        <v>357</v>
      </c>
      <c r="D154" t="str">
        <f t="shared" si="6"/>
        <v>Female</v>
      </c>
      <c r="E154" s="3">
        <v>26318</v>
      </c>
      <c r="F154">
        <f t="shared" ca="1" si="7"/>
        <v>54</v>
      </c>
      <c r="G154" t="str">
        <f t="shared" ca="1" si="8"/>
        <v>50-60</v>
      </c>
      <c r="H154" t="s">
        <v>844</v>
      </c>
      <c r="I154" t="s">
        <v>410</v>
      </c>
      <c r="J154" t="s">
        <v>414</v>
      </c>
      <c r="K154" t="s">
        <v>416</v>
      </c>
      <c r="L154" t="s">
        <v>572</v>
      </c>
      <c r="M154" s="3">
        <v>36452</v>
      </c>
      <c r="N154" t="s">
        <v>849</v>
      </c>
      <c r="O154" t="s">
        <v>625</v>
      </c>
      <c r="P154" t="s">
        <v>636</v>
      </c>
      <c r="Q154" t="s">
        <v>638</v>
      </c>
      <c r="R154" t="s">
        <v>852</v>
      </c>
      <c r="S154" s="5">
        <v>92000</v>
      </c>
      <c r="T154" s="5" t="s">
        <v>857</v>
      </c>
      <c r="U154" s="5">
        <v>2800</v>
      </c>
      <c r="V154" s="5" t="s">
        <v>864</v>
      </c>
      <c r="W154">
        <v>6</v>
      </c>
      <c r="X154">
        <v>2</v>
      </c>
      <c r="Y154" t="s">
        <v>869</v>
      </c>
      <c r="Z154" t="s">
        <v>792</v>
      </c>
      <c r="AA154" s="5" t="str" cm="1">
        <f t="array" aca="1" ref="AA154" ca="1">INDEX({"North","West","South","East"},RANDBETWEEN(1,4))</f>
        <v>West</v>
      </c>
    </row>
    <row r="155" spans="1:27" x14ac:dyDescent="0.3">
      <c r="A155" t="s">
        <v>153</v>
      </c>
      <c r="B155" s="1" t="s">
        <v>202</v>
      </c>
      <c r="C155" s="2" t="s">
        <v>358</v>
      </c>
      <c r="D155" t="str">
        <f t="shared" si="6"/>
        <v>Male</v>
      </c>
      <c r="E155" s="3">
        <v>36080</v>
      </c>
      <c r="F155">
        <f t="shared" ca="1" si="7"/>
        <v>27</v>
      </c>
      <c r="G155" t="str">
        <f t="shared" ca="1" si="8"/>
        <v>20-30</v>
      </c>
      <c r="H155" t="s">
        <v>843</v>
      </c>
      <c r="I155" t="s">
        <v>410</v>
      </c>
      <c r="J155" t="s">
        <v>414</v>
      </c>
      <c r="K155" t="s">
        <v>417</v>
      </c>
      <c r="L155" t="s">
        <v>573</v>
      </c>
      <c r="M155" s="3">
        <v>44691</v>
      </c>
      <c r="N155" t="s">
        <v>847</v>
      </c>
      <c r="O155" t="s">
        <v>624</v>
      </c>
      <c r="P155" t="s">
        <v>633</v>
      </c>
      <c r="Q155" t="s">
        <v>638</v>
      </c>
      <c r="R155" t="s">
        <v>853</v>
      </c>
      <c r="S155" s="5">
        <v>68000</v>
      </c>
      <c r="T155" s="5" t="s">
        <v>859</v>
      </c>
      <c r="U155" s="5">
        <v>1600</v>
      </c>
      <c r="V155" s="5" t="s">
        <v>862</v>
      </c>
      <c r="W155">
        <v>7</v>
      </c>
      <c r="X155">
        <v>3</v>
      </c>
      <c r="Y155" t="s">
        <v>871</v>
      </c>
      <c r="Z155" t="s">
        <v>793</v>
      </c>
      <c r="AA155" s="5" t="str" cm="1">
        <f t="array" aca="1" ref="AA155" ca="1">INDEX({"North","West","South","East"},RANDBETWEEN(1,4))</f>
        <v>North</v>
      </c>
    </row>
    <row r="156" spans="1:27" x14ac:dyDescent="0.3">
      <c r="A156" t="s">
        <v>154</v>
      </c>
      <c r="B156" s="1" t="s">
        <v>204</v>
      </c>
      <c r="C156" s="2" t="s">
        <v>359</v>
      </c>
      <c r="D156" t="str">
        <f t="shared" si="6"/>
        <v>Female</v>
      </c>
      <c r="E156" s="3">
        <v>37866</v>
      </c>
      <c r="F156">
        <f t="shared" ca="1" si="7"/>
        <v>22</v>
      </c>
      <c r="G156" t="str">
        <f t="shared" ca="1" si="8"/>
        <v>20-30</v>
      </c>
      <c r="H156" t="s">
        <v>846</v>
      </c>
      <c r="I156" t="s">
        <v>410</v>
      </c>
      <c r="J156" t="s">
        <v>414</v>
      </c>
      <c r="K156" t="s">
        <v>417</v>
      </c>
      <c r="L156" t="s">
        <v>574</v>
      </c>
      <c r="M156" s="3">
        <v>44723</v>
      </c>
      <c r="N156" t="s">
        <v>848</v>
      </c>
      <c r="O156" t="s">
        <v>626</v>
      </c>
      <c r="P156" t="s">
        <v>633</v>
      </c>
      <c r="Q156" t="s">
        <v>638</v>
      </c>
      <c r="R156" t="s">
        <v>851</v>
      </c>
      <c r="S156" s="5">
        <v>55000</v>
      </c>
      <c r="T156" s="5" t="s">
        <v>856</v>
      </c>
      <c r="U156" s="5">
        <v>3300</v>
      </c>
      <c r="V156" s="5" t="s">
        <v>863</v>
      </c>
      <c r="W156">
        <v>4</v>
      </c>
      <c r="X156">
        <v>1</v>
      </c>
      <c r="Y156" t="s">
        <v>870</v>
      </c>
      <c r="Z156" t="s">
        <v>794</v>
      </c>
      <c r="AA156" s="5" t="str" cm="1">
        <f t="array" aca="1" ref="AA156" ca="1">INDEX({"North","West","South","East"},RANDBETWEEN(1,4))</f>
        <v>North</v>
      </c>
    </row>
    <row r="157" spans="1:27" x14ac:dyDescent="0.3">
      <c r="A157" t="s">
        <v>155</v>
      </c>
      <c r="B157" s="1" t="s">
        <v>202</v>
      </c>
      <c r="C157" s="2" t="s">
        <v>360</v>
      </c>
      <c r="D157" t="str">
        <f t="shared" si="6"/>
        <v>Male</v>
      </c>
      <c r="E157" s="3">
        <v>35629</v>
      </c>
      <c r="F157">
        <f t="shared" ca="1" si="7"/>
        <v>28</v>
      </c>
      <c r="G157" t="str">
        <f t="shared" ca="1" si="8"/>
        <v>20-30</v>
      </c>
      <c r="H157" t="s">
        <v>845</v>
      </c>
      <c r="I157" t="s">
        <v>411</v>
      </c>
      <c r="J157" t="s">
        <v>414</v>
      </c>
      <c r="K157" t="s">
        <v>416</v>
      </c>
      <c r="L157" t="s">
        <v>575</v>
      </c>
      <c r="M157" s="3">
        <v>45032</v>
      </c>
      <c r="N157" t="s">
        <v>847</v>
      </c>
      <c r="O157" t="s">
        <v>627</v>
      </c>
      <c r="P157" t="s">
        <v>633</v>
      </c>
      <c r="Q157" t="s">
        <v>638</v>
      </c>
      <c r="R157" t="s">
        <v>852</v>
      </c>
      <c r="S157" s="5">
        <v>117800</v>
      </c>
      <c r="T157" s="5" t="s">
        <v>858</v>
      </c>
      <c r="U157" s="5">
        <v>1400</v>
      </c>
      <c r="V157" s="5" t="s">
        <v>862</v>
      </c>
      <c r="W157">
        <v>8</v>
      </c>
      <c r="X157">
        <v>2</v>
      </c>
      <c r="Y157" t="s">
        <v>868</v>
      </c>
      <c r="Z157" t="s">
        <v>795</v>
      </c>
      <c r="AA157" s="5" t="str" cm="1">
        <f t="array" aca="1" ref="AA157" ca="1">INDEX({"North","West","South","East"},RANDBETWEEN(1,4))</f>
        <v>East</v>
      </c>
    </row>
    <row r="158" spans="1:27" x14ac:dyDescent="0.3">
      <c r="A158" t="s">
        <v>156</v>
      </c>
      <c r="B158" s="1" t="s">
        <v>204</v>
      </c>
      <c r="C158" s="2" t="s">
        <v>361</v>
      </c>
      <c r="D158" t="str">
        <f t="shared" si="6"/>
        <v>Female</v>
      </c>
      <c r="E158" s="3">
        <v>30101</v>
      </c>
      <c r="F158">
        <f t="shared" ca="1" si="7"/>
        <v>44</v>
      </c>
      <c r="G158" t="str">
        <f t="shared" ca="1" si="8"/>
        <v>40-50</v>
      </c>
      <c r="H158" t="s">
        <v>845</v>
      </c>
      <c r="I158" t="s">
        <v>410</v>
      </c>
      <c r="J158" t="s">
        <v>414</v>
      </c>
      <c r="K158" t="s">
        <v>417</v>
      </c>
      <c r="L158" t="s">
        <v>576</v>
      </c>
      <c r="M158" s="3">
        <v>37709</v>
      </c>
      <c r="N158" t="s">
        <v>848</v>
      </c>
      <c r="O158" t="s">
        <v>625</v>
      </c>
      <c r="P158" t="s">
        <v>635</v>
      </c>
      <c r="Q158" t="s">
        <v>638</v>
      </c>
      <c r="R158" t="s">
        <v>851</v>
      </c>
      <c r="S158" s="5">
        <v>107200</v>
      </c>
      <c r="T158" s="5" t="s">
        <v>857</v>
      </c>
      <c r="U158" s="5">
        <v>2200</v>
      </c>
      <c r="V158" s="5" t="s">
        <v>863</v>
      </c>
      <c r="W158">
        <v>0</v>
      </c>
      <c r="X158">
        <v>3</v>
      </c>
      <c r="Y158" t="s">
        <v>628</v>
      </c>
      <c r="Z158" t="s">
        <v>796</v>
      </c>
      <c r="AA158" s="5" t="str" cm="1">
        <f t="array" aca="1" ref="AA158" ca="1">INDEX({"North","West","South","East"},RANDBETWEEN(1,4))</f>
        <v>South</v>
      </c>
    </row>
    <row r="159" spans="1:27" x14ac:dyDescent="0.3">
      <c r="A159" t="s">
        <v>157</v>
      </c>
      <c r="B159" s="1" t="s">
        <v>202</v>
      </c>
      <c r="C159" s="2" t="s">
        <v>362</v>
      </c>
      <c r="D159" t="str">
        <f t="shared" si="6"/>
        <v>Male</v>
      </c>
      <c r="E159" s="3">
        <v>28715</v>
      </c>
      <c r="F159">
        <f t="shared" ca="1" si="7"/>
        <v>47</v>
      </c>
      <c r="G159" t="str">
        <f t="shared" ca="1" si="8"/>
        <v>40-50</v>
      </c>
      <c r="H159" t="s">
        <v>846</v>
      </c>
      <c r="I159" t="s">
        <v>412</v>
      </c>
      <c r="J159" t="s">
        <v>414</v>
      </c>
      <c r="K159" t="s">
        <v>417</v>
      </c>
      <c r="L159" t="s">
        <v>577</v>
      </c>
      <c r="M159" s="3">
        <v>38182</v>
      </c>
      <c r="N159" t="s">
        <v>847</v>
      </c>
      <c r="O159" t="s">
        <v>624</v>
      </c>
      <c r="P159" t="s">
        <v>633</v>
      </c>
      <c r="Q159" t="s">
        <v>638</v>
      </c>
      <c r="R159" t="s">
        <v>853</v>
      </c>
      <c r="S159" s="5">
        <v>95000</v>
      </c>
      <c r="T159" s="5" t="s">
        <v>856</v>
      </c>
      <c r="U159" s="5">
        <v>2600</v>
      </c>
      <c r="V159" s="5" t="s">
        <v>862</v>
      </c>
      <c r="W159">
        <v>2</v>
      </c>
      <c r="X159">
        <v>1</v>
      </c>
      <c r="Y159" t="s">
        <v>869</v>
      </c>
      <c r="Z159" t="s">
        <v>797</v>
      </c>
      <c r="AA159" s="5" t="str" cm="1">
        <f t="array" aca="1" ref="AA159" ca="1">INDEX({"North","West","South","East"},RANDBETWEEN(1,4))</f>
        <v>West</v>
      </c>
    </row>
    <row r="160" spans="1:27" x14ac:dyDescent="0.3">
      <c r="A160" t="s">
        <v>158</v>
      </c>
      <c r="B160" s="1" t="s">
        <v>204</v>
      </c>
      <c r="C160" s="2" t="s">
        <v>363</v>
      </c>
      <c r="D160" t="str">
        <f t="shared" si="6"/>
        <v>Female</v>
      </c>
      <c r="E160" s="3">
        <v>33803</v>
      </c>
      <c r="F160">
        <f t="shared" ca="1" si="7"/>
        <v>33</v>
      </c>
      <c r="G160" t="str">
        <f t="shared" ca="1" si="8"/>
        <v>30-40</v>
      </c>
      <c r="H160" t="s">
        <v>843</v>
      </c>
      <c r="I160" t="s">
        <v>409</v>
      </c>
      <c r="J160" t="s">
        <v>414</v>
      </c>
      <c r="K160" t="s">
        <v>416</v>
      </c>
      <c r="L160" t="s">
        <v>578</v>
      </c>
      <c r="M160" s="3">
        <v>42444</v>
      </c>
      <c r="N160" t="s">
        <v>849</v>
      </c>
      <c r="O160" t="s">
        <v>627</v>
      </c>
      <c r="P160" t="s">
        <v>629</v>
      </c>
      <c r="Q160" t="s">
        <v>638</v>
      </c>
      <c r="R160" t="s">
        <v>852</v>
      </c>
      <c r="S160" s="5">
        <v>129000</v>
      </c>
      <c r="T160" s="5" t="s">
        <v>859</v>
      </c>
      <c r="U160" s="5">
        <v>1800</v>
      </c>
      <c r="V160" s="5" t="s">
        <v>864</v>
      </c>
      <c r="W160">
        <v>3</v>
      </c>
      <c r="X160">
        <v>2</v>
      </c>
      <c r="Y160" t="s">
        <v>870</v>
      </c>
      <c r="Z160" t="s">
        <v>798</v>
      </c>
      <c r="AA160" s="5" t="str" cm="1">
        <f t="array" aca="1" ref="AA160" ca="1">INDEX({"North","West","South","East"},RANDBETWEEN(1,4))</f>
        <v>North</v>
      </c>
    </row>
    <row r="161" spans="1:27" x14ac:dyDescent="0.3">
      <c r="A161" t="s">
        <v>159</v>
      </c>
      <c r="B161" s="1" t="s">
        <v>202</v>
      </c>
      <c r="C161" s="2" t="s">
        <v>364</v>
      </c>
      <c r="D161" t="str">
        <f t="shared" si="6"/>
        <v>Male</v>
      </c>
      <c r="E161" s="3">
        <v>28967</v>
      </c>
      <c r="F161">
        <f t="shared" ca="1" si="7"/>
        <v>47</v>
      </c>
      <c r="G161" t="str">
        <f t="shared" ca="1" si="8"/>
        <v>40-50</v>
      </c>
      <c r="H161" t="s">
        <v>844</v>
      </c>
      <c r="I161" t="s">
        <v>411</v>
      </c>
      <c r="J161" t="s">
        <v>414</v>
      </c>
      <c r="K161" t="s">
        <v>417</v>
      </c>
      <c r="L161" t="s">
        <v>579</v>
      </c>
      <c r="M161" s="3">
        <v>38237</v>
      </c>
      <c r="N161" t="s">
        <v>848</v>
      </c>
      <c r="O161" t="s">
        <v>626</v>
      </c>
      <c r="P161" t="s">
        <v>633</v>
      </c>
      <c r="Q161" t="s">
        <v>638</v>
      </c>
      <c r="R161" t="s">
        <v>851</v>
      </c>
      <c r="S161" s="5">
        <v>88000</v>
      </c>
      <c r="T161" s="5" t="s">
        <v>858</v>
      </c>
      <c r="U161" s="5">
        <v>2300</v>
      </c>
      <c r="V161" s="5" t="s">
        <v>863</v>
      </c>
      <c r="W161">
        <v>5</v>
      </c>
      <c r="X161">
        <v>3</v>
      </c>
      <c r="Y161" t="s">
        <v>871</v>
      </c>
      <c r="Z161" t="s">
        <v>799</v>
      </c>
      <c r="AA161" s="5" t="str" cm="1">
        <f t="array" aca="1" ref="AA161" ca="1">INDEX({"North","West","South","East"},RANDBETWEEN(1,4))</f>
        <v>West</v>
      </c>
    </row>
    <row r="162" spans="1:27" x14ac:dyDescent="0.3">
      <c r="A162" t="s">
        <v>160</v>
      </c>
      <c r="B162" s="1" t="s">
        <v>204</v>
      </c>
      <c r="C162" s="2" t="s">
        <v>365</v>
      </c>
      <c r="D162" t="str">
        <f t="shared" si="6"/>
        <v>Female</v>
      </c>
      <c r="E162" s="3">
        <v>36894</v>
      </c>
      <c r="F162">
        <f t="shared" ca="1" si="7"/>
        <v>25</v>
      </c>
      <c r="G162" t="str">
        <f t="shared" ca="1" si="8"/>
        <v>20-30</v>
      </c>
      <c r="H162" t="s">
        <v>843</v>
      </c>
      <c r="I162" t="s">
        <v>409</v>
      </c>
      <c r="J162" t="s">
        <v>414</v>
      </c>
      <c r="K162" t="s">
        <v>417</v>
      </c>
      <c r="L162" t="s">
        <v>580</v>
      </c>
      <c r="M162" s="3">
        <v>44054</v>
      </c>
      <c r="N162" t="s">
        <v>847</v>
      </c>
      <c r="O162" t="s">
        <v>625</v>
      </c>
      <c r="P162" t="s">
        <v>633</v>
      </c>
      <c r="Q162" t="s">
        <v>638</v>
      </c>
      <c r="R162" t="s">
        <v>853</v>
      </c>
      <c r="S162" s="5">
        <v>64000</v>
      </c>
      <c r="T162" s="5" t="s">
        <v>857</v>
      </c>
      <c r="U162" s="5">
        <v>1300</v>
      </c>
      <c r="V162" s="5" t="s">
        <v>862</v>
      </c>
      <c r="W162">
        <v>1</v>
      </c>
      <c r="X162">
        <v>1</v>
      </c>
      <c r="Y162" t="s">
        <v>869</v>
      </c>
      <c r="Z162" t="s">
        <v>800</v>
      </c>
      <c r="AA162" s="5" t="str" cm="1">
        <f t="array" aca="1" ref="AA162" ca="1">INDEX({"North","West","South","East"},RANDBETWEEN(1,4))</f>
        <v>South</v>
      </c>
    </row>
    <row r="163" spans="1:27" x14ac:dyDescent="0.3">
      <c r="A163" t="s">
        <v>161</v>
      </c>
      <c r="B163" s="1" t="s">
        <v>202</v>
      </c>
      <c r="C163" s="2" t="s">
        <v>366</v>
      </c>
      <c r="D163" t="str">
        <f t="shared" si="6"/>
        <v>Male</v>
      </c>
      <c r="E163" s="3">
        <v>35243</v>
      </c>
      <c r="F163">
        <f t="shared" ca="1" si="7"/>
        <v>29</v>
      </c>
      <c r="G163" t="str">
        <f t="shared" ca="1" si="8"/>
        <v>20-30</v>
      </c>
      <c r="H163" t="s">
        <v>845</v>
      </c>
      <c r="I163" t="s">
        <v>411</v>
      </c>
      <c r="J163" t="s">
        <v>414</v>
      </c>
      <c r="K163" t="s">
        <v>416</v>
      </c>
      <c r="L163" t="s">
        <v>581</v>
      </c>
      <c r="M163" s="3">
        <v>45656</v>
      </c>
      <c r="N163" t="s">
        <v>848</v>
      </c>
      <c r="O163" t="s">
        <v>627</v>
      </c>
      <c r="P163" t="s">
        <v>635</v>
      </c>
      <c r="Q163" t="s">
        <v>638</v>
      </c>
      <c r="R163" t="s">
        <v>852</v>
      </c>
      <c r="S163" s="5">
        <v>120800</v>
      </c>
      <c r="T163" s="5" t="s">
        <v>856</v>
      </c>
      <c r="U163" s="5">
        <v>2400</v>
      </c>
      <c r="V163" s="5" t="s">
        <v>863</v>
      </c>
      <c r="W163">
        <v>6</v>
      </c>
      <c r="X163">
        <v>2</v>
      </c>
      <c r="Y163" t="s">
        <v>868</v>
      </c>
      <c r="Z163" t="s">
        <v>801</v>
      </c>
      <c r="AA163" s="5" t="str" cm="1">
        <f t="array" aca="1" ref="AA163" ca="1">INDEX({"North","West","South","East"},RANDBETWEEN(1,4))</f>
        <v>North</v>
      </c>
    </row>
    <row r="164" spans="1:27" x14ac:dyDescent="0.3">
      <c r="A164" t="s">
        <v>162</v>
      </c>
      <c r="B164" s="1" t="s">
        <v>204</v>
      </c>
      <c r="C164" s="2" t="s">
        <v>367</v>
      </c>
      <c r="D164" t="str">
        <f t="shared" si="6"/>
        <v>Female</v>
      </c>
      <c r="E164" s="3">
        <v>32879</v>
      </c>
      <c r="F164">
        <f t="shared" ca="1" si="7"/>
        <v>36</v>
      </c>
      <c r="G164" t="str">
        <f t="shared" ca="1" si="8"/>
        <v>30-40</v>
      </c>
      <c r="H164" t="s">
        <v>844</v>
      </c>
      <c r="I164" t="s">
        <v>409</v>
      </c>
      <c r="J164" t="s">
        <v>414</v>
      </c>
      <c r="K164" t="s">
        <v>416</v>
      </c>
      <c r="L164" t="s">
        <v>582</v>
      </c>
      <c r="M164" s="3">
        <v>39870</v>
      </c>
      <c r="N164" t="s">
        <v>847</v>
      </c>
      <c r="O164" t="s">
        <v>624</v>
      </c>
      <c r="P164" t="s">
        <v>635</v>
      </c>
      <c r="Q164" t="s">
        <v>638</v>
      </c>
      <c r="R164" t="s">
        <v>851</v>
      </c>
      <c r="S164" s="5">
        <v>96000</v>
      </c>
      <c r="T164" s="5" t="s">
        <v>858</v>
      </c>
      <c r="U164" s="5">
        <v>2700</v>
      </c>
      <c r="V164" s="5" t="s">
        <v>862</v>
      </c>
      <c r="W164">
        <v>7</v>
      </c>
      <c r="X164">
        <v>3</v>
      </c>
      <c r="Y164" t="s">
        <v>628</v>
      </c>
      <c r="Z164" t="s">
        <v>802</v>
      </c>
      <c r="AA164" s="5" t="str" cm="1">
        <f t="array" aca="1" ref="AA164" ca="1">INDEX({"North","West","South","East"},RANDBETWEEN(1,4))</f>
        <v>South</v>
      </c>
    </row>
    <row r="165" spans="1:27" x14ac:dyDescent="0.3">
      <c r="A165" t="s">
        <v>163</v>
      </c>
      <c r="B165" s="1" t="s">
        <v>202</v>
      </c>
      <c r="C165" s="2" t="s">
        <v>368</v>
      </c>
      <c r="D165" t="str">
        <f t="shared" si="6"/>
        <v>Male</v>
      </c>
      <c r="E165" s="3">
        <v>31508</v>
      </c>
      <c r="F165">
        <f t="shared" ca="1" si="7"/>
        <v>40</v>
      </c>
      <c r="G165" t="str">
        <f t="shared" ca="1" si="8"/>
        <v>30-40</v>
      </c>
      <c r="H165" t="s">
        <v>846</v>
      </c>
      <c r="I165" t="s">
        <v>410</v>
      </c>
      <c r="J165" t="s">
        <v>414</v>
      </c>
      <c r="K165" t="s">
        <v>416</v>
      </c>
      <c r="L165" t="s">
        <v>583</v>
      </c>
      <c r="M165" s="3">
        <v>41305</v>
      </c>
      <c r="N165" t="s">
        <v>848</v>
      </c>
      <c r="O165" t="s">
        <v>626</v>
      </c>
      <c r="P165" t="s">
        <v>636</v>
      </c>
      <c r="Q165" t="s">
        <v>638</v>
      </c>
      <c r="R165" t="s">
        <v>852</v>
      </c>
      <c r="S165" s="5">
        <v>103200</v>
      </c>
      <c r="T165" s="5" t="s">
        <v>859</v>
      </c>
      <c r="U165" s="5">
        <v>1900</v>
      </c>
      <c r="V165" s="5" t="s">
        <v>863</v>
      </c>
      <c r="W165">
        <v>4</v>
      </c>
      <c r="X165">
        <v>1</v>
      </c>
      <c r="Y165" t="s">
        <v>870</v>
      </c>
      <c r="Z165" t="s">
        <v>803</v>
      </c>
      <c r="AA165" s="5" t="str" cm="1">
        <f t="array" aca="1" ref="AA165" ca="1">INDEX({"North","West","South","East"},RANDBETWEEN(1,4))</f>
        <v>North</v>
      </c>
    </row>
    <row r="166" spans="1:27" x14ac:dyDescent="0.3">
      <c r="A166" t="s">
        <v>164</v>
      </c>
      <c r="B166" s="1" t="s">
        <v>204</v>
      </c>
      <c r="C166" s="2" t="s">
        <v>369</v>
      </c>
      <c r="D166" t="str">
        <f t="shared" si="6"/>
        <v>Female</v>
      </c>
      <c r="E166" s="3">
        <v>26880</v>
      </c>
      <c r="F166">
        <f t="shared" ca="1" si="7"/>
        <v>52</v>
      </c>
      <c r="G166" t="str">
        <f t="shared" ca="1" si="8"/>
        <v>50-60</v>
      </c>
      <c r="H166" t="s">
        <v>846</v>
      </c>
      <c r="I166" t="s">
        <v>409</v>
      </c>
      <c r="J166" t="s">
        <v>414</v>
      </c>
      <c r="K166" t="s">
        <v>417</v>
      </c>
      <c r="L166" t="s">
        <v>584</v>
      </c>
      <c r="M166" s="3">
        <v>35093</v>
      </c>
      <c r="N166" t="s">
        <v>849</v>
      </c>
      <c r="O166" t="s">
        <v>625</v>
      </c>
      <c r="P166" t="s">
        <v>633</v>
      </c>
      <c r="Q166" t="s">
        <v>638</v>
      </c>
      <c r="R166" t="s">
        <v>853</v>
      </c>
      <c r="S166" s="5">
        <v>71000</v>
      </c>
      <c r="T166" s="5" t="s">
        <v>857</v>
      </c>
      <c r="U166" s="5">
        <v>3200</v>
      </c>
      <c r="V166" s="5" t="s">
        <v>864</v>
      </c>
      <c r="W166">
        <v>8</v>
      </c>
      <c r="X166">
        <v>2</v>
      </c>
      <c r="Y166" t="s">
        <v>871</v>
      </c>
      <c r="Z166" t="s">
        <v>804</v>
      </c>
      <c r="AA166" s="5" t="str" cm="1">
        <f t="array" aca="1" ref="AA166" ca="1">INDEX({"North","West","South","East"},RANDBETWEEN(1,4))</f>
        <v>West</v>
      </c>
    </row>
    <row r="167" spans="1:27" x14ac:dyDescent="0.3">
      <c r="A167" t="s">
        <v>165</v>
      </c>
      <c r="B167" s="1" t="s">
        <v>202</v>
      </c>
      <c r="C167" s="2" t="s">
        <v>370</v>
      </c>
      <c r="D167" t="str">
        <f t="shared" si="6"/>
        <v>Male</v>
      </c>
      <c r="E167" s="3">
        <v>33616</v>
      </c>
      <c r="F167">
        <f t="shared" ca="1" si="7"/>
        <v>34</v>
      </c>
      <c r="G167" t="str">
        <f t="shared" ca="1" si="8"/>
        <v>30-40</v>
      </c>
      <c r="H167" t="s">
        <v>844</v>
      </c>
      <c r="I167" t="s">
        <v>411</v>
      </c>
      <c r="J167" t="s">
        <v>414</v>
      </c>
      <c r="K167" t="s">
        <v>417</v>
      </c>
      <c r="L167" t="s">
        <v>585</v>
      </c>
      <c r="M167" s="3">
        <v>40389</v>
      </c>
      <c r="N167" t="s">
        <v>847</v>
      </c>
      <c r="O167" t="s">
        <v>624</v>
      </c>
      <c r="P167" t="s">
        <v>633</v>
      </c>
      <c r="Q167" t="s">
        <v>638</v>
      </c>
      <c r="R167" t="s">
        <v>851</v>
      </c>
      <c r="S167" s="5">
        <v>85000</v>
      </c>
      <c r="T167" s="5" t="s">
        <v>856</v>
      </c>
      <c r="U167" s="5">
        <v>1500</v>
      </c>
      <c r="V167" s="5" t="s">
        <v>862</v>
      </c>
      <c r="W167">
        <v>20</v>
      </c>
      <c r="X167">
        <v>3</v>
      </c>
      <c r="Y167" t="s">
        <v>869</v>
      </c>
      <c r="Z167" t="s">
        <v>805</v>
      </c>
      <c r="AA167" s="5" t="str" cm="1">
        <f t="array" aca="1" ref="AA167" ca="1">INDEX({"North","West","South","East"},RANDBETWEEN(1,4))</f>
        <v>West</v>
      </c>
    </row>
    <row r="168" spans="1:27" x14ac:dyDescent="0.3">
      <c r="A168" t="s">
        <v>166</v>
      </c>
      <c r="B168" s="1" t="s">
        <v>204</v>
      </c>
      <c r="C168" s="2" t="s">
        <v>371</v>
      </c>
      <c r="D168" t="str">
        <f t="shared" si="6"/>
        <v>Female</v>
      </c>
      <c r="E168" s="3">
        <v>31175</v>
      </c>
      <c r="F168">
        <f t="shared" ca="1" si="7"/>
        <v>41</v>
      </c>
      <c r="G168" t="str">
        <f t="shared" ca="1" si="8"/>
        <v>40-50</v>
      </c>
      <c r="H168" t="s">
        <v>843</v>
      </c>
      <c r="I168" t="s">
        <v>412</v>
      </c>
      <c r="J168" t="s">
        <v>414</v>
      </c>
      <c r="K168" t="s">
        <v>416</v>
      </c>
      <c r="L168" t="s">
        <v>586</v>
      </c>
      <c r="M168" s="3">
        <v>38130</v>
      </c>
      <c r="N168" t="s">
        <v>848</v>
      </c>
      <c r="O168" t="s">
        <v>626</v>
      </c>
      <c r="P168" t="s">
        <v>635</v>
      </c>
      <c r="Q168" t="s">
        <v>638</v>
      </c>
      <c r="R168" t="s">
        <v>852</v>
      </c>
      <c r="S168" s="5">
        <v>59000</v>
      </c>
      <c r="T168" s="5" t="s">
        <v>858</v>
      </c>
      <c r="U168" s="5">
        <v>2100</v>
      </c>
      <c r="V168" s="5" t="s">
        <v>863</v>
      </c>
      <c r="W168">
        <v>3</v>
      </c>
      <c r="X168">
        <v>1</v>
      </c>
      <c r="Y168" t="s">
        <v>868</v>
      </c>
      <c r="Z168" t="s">
        <v>806</v>
      </c>
      <c r="AA168" s="5" t="str" cm="1">
        <f t="array" aca="1" ref="AA168" ca="1">INDEX({"North","West","South","East"},RANDBETWEEN(1,4))</f>
        <v>East</v>
      </c>
    </row>
    <row r="169" spans="1:27" x14ac:dyDescent="0.3">
      <c r="A169" t="s">
        <v>167</v>
      </c>
      <c r="B169" s="1" t="s">
        <v>202</v>
      </c>
      <c r="C169" s="2" t="s">
        <v>372</v>
      </c>
      <c r="D169" t="str">
        <f t="shared" si="6"/>
        <v>Male</v>
      </c>
      <c r="E169" s="3">
        <v>37444</v>
      </c>
      <c r="F169">
        <f t="shared" ca="1" si="7"/>
        <v>23</v>
      </c>
      <c r="G169" t="str">
        <f t="shared" ca="1" si="8"/>
        <v>20-30</v>
      </c>
      <c r="H169" t="s">
        <v>843</v>
      </c>
      <c r="I169" t="s">
        <v>411</v>
      </c>
      <c r="J169" t="s">
        <v>414</v>
      </c>
      <c r="K169" t="s">
        <v>416</v>
      </c>
      <c r="L169" t="s">
        <v>587</v>
      </c>
      <c r="M169" s="3">
        <v>45095</v>
      </c>
      <c r="N169" t="s">
        <v>847</v>
      </c>
      <c r="O169" t="s">
        <v>627</v>
      </c>
      <c r="P169" t="s">
        <v>633</v>
      </c>
      <c r="Q169" t="s">
        <v>635</v>
      </c>
      <c r="R169" t="s">
        <v>853</v>
      </c>
      <c r="S169" s="5">
        <v>113500</v>
      </c>
      <c r="T169" s="5" t="s">
        <v>857</v>
      </c>
      <c r="U169" s="5">
        <v>2600</v>
      </c>
      <c r="V169" s="5" t="s">
        <v>862</v>
      </c>
      <c r="W169">
        <v>2</v>
      </c>
      <c r="X169">
        <v>2</v>
      </c>
      <c r="Y169" t="s">
        <v>628</v>
      </c>
      <c r="Z169" t="s">
        <v>807</v>
      </c>
      <c r="AA169" s="5" t="str" cm="1">
        <f t="array" aca="1" ref="AA169" ca="1">INDEX({"North","West","South","East"},RANDBETWEEN(1,4))</f>
        <v>North</v>
      </c>
    </row>
    <row r="170" spans="1:27" x14ac:dyDescent="0.3">
      <c r="A170" t="s">
        <v>168</v>
      </c>
      <c r="B170" s="1" t="s">
        <v>202</v>
      </c>
      <c r="C170" s="2" t="s">
        <v>373</v>
      </c>
      <c r="D170" t="str">
        <f t="shared" si="6"/>
        <v>Male</v>
      </c>
      <c r="E170" s="3">
        <v>32151</v>
      </c>
      <c r="F170">
        <f t="shared" ca="1" si="7"/>
        <v>38</v>
      </c>
      <c r="G170" t="str">
        <f t="shared" ca="1" si="8"/>
        <v>30-40</v>
      </c>
      <c r="H170" t="s">
        <v>845</v>
      </c>
      <c r="I170" t="s">
        <v>409</v>
      </c>
      <c r="J170" t="s">
        <v>414</v>
      </c>
      <c r="K170" t="s">
        <v>416</v>
      </c>
      <c r="L170" t="s">
        <v>588</v>
      </c>
      <c r="M170" s="3">
        <v>41875</v>
      </c>
      <c r="N170" t="s">
        <v>848</v>
      </c>
      <c r="O170" t="s">
        <v>625</v>
      </c>
      <c r="P170" t="s">
        <v>632</v>
      </c>
      <c r="Q170" t="s">
        <v>638</v>
      </c>
      <c r="R170" t="s">
        <v>851</v>
      </c>
      <c r="S170" s="5">
        <v>91000</v>
      </c>
      <c r="T170" s="5" t="s">
        <v>859</v>
      </c>
      <c r="U170" s="5">
        <v>1700</v>
      </c>
      <c r="V170" s="5" t="s">
        <v>863</v>
      </c>
      <c r="W170">
        <v>5</v>
      </c>
      <c r="X170">
        <v>3</v>
      </c>
      <c r="Y170" t="s">
        <v>871</v>
      </c>
      <c r="Z170" t="s">
        <v>808</v>
      </c>
      <c r="AA170" s="5" t="str" cm="1">
        <f t="array" aca="1" ref="AA170" ca="1">INDEX({"North","West","South","East"},RANDBETWEEN(1,4))</f>
        <v>North</v>
      </c>
    </row>
    <row r="171" spans="1:27" x14ac:dyDescent="0.3">
      <c r="A171" t="s">
        <v>169</v>
      </c>
      <c r="B171" s="1" t="s">
        <v>204</v>
      </c>
      <c r="C171" s="2" t="s">
        <v>374</v>
      </c>
      <c r="D171" t="str">
        <f t="shared" si="6"/>
        <v>Female</v>
      </c>
      <c r="E171" s="3">
        <v>35021</v>
      </c>
      <c r="F171">
        <f t="shared" ca="1" si="7"/>
        <v>30</v>
      </c>
      <c r="G171" t="str">
        <f t="shared" ca="1" si="8"/>
        <v>20-30</v>
      </c>
      <c r="H171" t="s">
        <v>845</v>
      </c>
      <c r="I171" t="s">
        <v>409</v>
      </c>
      <c r="J171" t="s">
        <v>414</v>
      </c>
      <c r="K171" t="s">
        <v>416</v>
      </c>
      <c r="L171" t="s">
        <v>589</v>
      </c>
      <c r="M171" s="3">
        <v>43012</v>
      </c>
      <c r="N171" t="s">
        <v>847</v>
      </c>
      <c r="O171" t="s">
        <v>624</v>
      </c>
      <c r="P171" t="s">
        <v>636</v>
      </c>
      <c r="Q171" t="s">
        <v>635</v>
      </c>
      <c r="R171" t="s">
        <v>852</v>
      </c>
      <c r="S171" s="5">
        <v>152000</v>
      </c>
      <c r="T171" s="5" t="s">
        <v>856</v>
      </c>
      <c r="U171" s="5">
        <v>2200</v>
      </c>
      <c r="V171" s="5" t="s">
        <v>862</v>
      </c>
      <c r="W171">
        <v>1</v>
      </c>
      <c r="X171">
        <v>1</v>
      </c>
      <c r="Y171" t="s">
        <v>870</v>
      </c>
      <c r="Z171" t="s">
        <v>809</v>
      </c>
      <c r="AA171" s="5" t="str" cm="1">
        <f t="array" aca="1" ref="AA171" ca="1">INDEX({"North","West","South","East"},RANDBETWEEN(1,4))</f>
        <v>West</v>
      </c>
    </row>
    <row r="172" spans="1:27" x14ac:dyDescent="0.3">
      <c r="A172" t="s">
        <v>170</v>
      </c>
      <c r="B172" s="1" t="s">
        <v>202</v>
      </c>
      <c r="C172" s="2" t="s">
        <v>375</v>
      </c>
      <c r="D172" t="str">
        <f t="shared" si="6"/>
        <v>Male</v>
      </c>
      <c r="E172" s="3">
        <v>25578</v>
      </c>
      <c r="F172">
        <f t="shared" ca="1" si="7"/>
        <v>56</v>
      </c>
      <c r="G172" t="str">
        <f t="shared" ca="1" si="8"/>
        <v>50-60</v>
      </c>
      <c r="H172" t="s">
        <v>846</v>
      </c>
      <c r="I172" t="s">
        <v>411</v>
      </c>
      <c r="J172" t="s">
        <v>414</v>
      </c>
      <c r="K172" t="s">
        <v>416</v>
      </c>
      <c r="L172" t="s">
        <v>590</v>
      </c>
      <c r="M172" s="3">
        <v>36397</v>
      </c>
      <c r="N172" t="s">
        <v>849</v>
      </c>
      <c r="O172" t="s">
        <v>627</v>
      </c>
      <c r="P172" t="s">
        <v>635</v>
      </c>
      <c r="Q172" t="s">
        <v>638</v>
      </c>
      <c r="R172" t="s">
        <v>851</v>
      </c>
      <c r="S172" s="5">
        <v>87000</v>
      </c>
      <c r="T172" s="5" t="s">
        <v>858</v>
      </c>
      <c r="U172" s="5">
        <v>1100</v>
      </c>
      <c r="V172" s="5" t="s">
        <v>864</v>
      </c>
      <c r="W172">
        <v>6</v>
      </c>
      <c r="X172">
        <v>2</v>
      </c>
      <c r="Y172" t="s">
        <v>869</v>
      </c>
      <c r="Z172" t="s">
        <v>810</v>
      </c>
      <c r="AA172" s="5" t="str" cm="1">
        <f t="array" aca="1" ref="AA172" ca="1">INDEX({"North","West","South","East"},RANDBETWEEN(1,4))</f>
        <v>East</v>
      </c>
    </row>
    <row r="173" spans="1:27" x14ac:dyDescent="0.3">
      <c r="A173" t="s">
        <v>171</v>
      </c>
      <c r="B173" s="1" t="s">
        <v>204</v>
      </c>
      <c r="C173" s="2" t="s">
        <v>376</v>
      </c>
      <c r="D173" t="str">
        <f t="shared" si="6"/>
        <v>Female</v>
      </c>
      <c r="E173" s="3">
        <v>26606</v>
      </c>
      <c r="F173">
        <f t="shared" ca="1" si="7"/>
        <v>53</v>
      </c>
      <c r="G173" t="str">
        <f t="shared" ca="1" si="8"/>
        <v>50-60</v>
      </c>
      <c r="H173" t="s">
        <v>844</v>
      </c>
      <c r="I173" t="s">
        <v>411</v>
      </c>
      <c r="J173" t="s">
        <v>414</v>
      </c>
      <c r="K173" t="s">
        <v>416</v>
      </c>
      <c r="L173" t="s">
        <v>591</v>
      </c>
      <c r="M173" s="3">
        <v>37050</v>
      </c>
      <c r="N173" t="s">
        <v>848</v>
      </c>
      <c r="O173" t="s">
        <v>626</v>
      </c>
      <c r="P173" t="s">
        <v>635</v>
      </c>
      <c r="Q173" t="s">
        <v>638</v>
      </c>
      <c r="R173" t="s">
        <v>853</v>
      </c>
      <c r="S173" s="5">
        <v>70000</v>
      </c>
      <c r="T173" s="5" t="s">
        <v>857</v>
      </c>
      <c r="U173" s="5">
        <v>2500</v>
      </c>
      <c r="V173" s="5" t="s">
        <v>863</v>
      </c>
      <c r="W173">
        <v>7</v>
      </c>
      <c r="X173">
        <v>3</v>
      </c>
      <c r="Y173" t="s">
        <v>868</v>
      </c>
      <c r="Z173" t="s">
        <v>811</v>
      </c>
      <c r="AA173" s="5" t="str" cm="1">
        <f t="array" aca="1" ref="AA173" ca="1">INDEX({"North","West","South","East"},RANDBETWEEN(1,4))</f>
        <v>East</v>
      </c>
    </row>
    <row r="174" spans="1:27" x14ac:dyDescent="0.3">
      <c r="A174" t="s">
        <v>172</v>
      </c>
      <c r="B174" s="1" t="s">
        <v>202</v>
      </c>
      <c r="C174" s="2" t="s">
        <v>377</v>
      </c>
      <c r="D174" t="str">
        <f t="shared" si="6"/>
        <v>Male</v>
      </c>
      <c r="E174" s="3">
        <v>38228</v>
      </c>
      <c r="F174">
        <f t="shared" ca="1" si="7"/>
        <v>21</v>
      </c>
      <c r="G174" t="str">
        <f t="shared" ca="1" si="8"/>
        <v>20-30</v>
      </c>
      <c r="H174" t="s">
        <v>844</v>
      </c>
      <c r="I174" t="s">
        <v>412</v>
      </c>
      <c r="J174" t="s">
        <v>414</v>
      </c>
      <c r="K174" t="s">
        <v>417</v>
      </c>
      <c r="L174" t="s">
        <v>592</v>
      </c>
      <c r="M174" s="3">
        <v>45852</v>
      </c>
      <c r="N174" t="s">
        <v>847</v>
      </c>
      <c r="O174" t="s">
        <v>625</v>
      </c>
      <c r="P174" t="s">
        <v>633</v>
      </c>
      <c r="Q174" t="s">
        <v>635</v>
      </c>
      <c r="R174" t="s">
        <v>852</v>
      </c>
      <c r="S174" s="5">
        <v>52000</v>
      </c>
      <c r="T174" s="5" t="s">
        <v>856</v>
      </c>
      <c r="U174" s="5">
        <v>2800</v>
      </c>
      <c r="V174" s="5" t="s">
        <v>862</v>
      </c>
      <c r="W174">
        <v>4</v>
      </c>
      <c r="X174">
        <v>1</v>
      </c>
      <c r="Y174" t="s">
        <v>628</v>
      </c>
      <c r="Z174" t="s">
        <v>812</v>
      </c>
      <c r="AA174" s="5" t="str" cm="1">
        <f t="array" aca="1" ref="AA174" ca="1">INDEX({"North","West","South","East"},RANDBETWEEN(1,4))</f>
        <v>West</v>
      </c>
    </row>
    <row r="175" spans="1:27" x14ac:dyDescent="0.3">
      <c r="A175" t="s">
        <v>173</v>
      </c>
      <c r="B175" s="1" t="s">
        <v>204</v>
      </c>
      <c r="C175" s="2" t="s">
        <v>378</v>
      </c>
      <c r="D175" t="str">
        <f t="shared" si="6"/>
        <v>Female</v>
      </c>
      <c r="E175" s="3">
        <v>32645</v>
      </c>
      <c r="F175">
        <f t="shared" ca="1" si="7"/>
        <v>37</v>
      </c>
      <c r="G175" t="str">
        <f t="shared" ca="1" si="8"/>
        <v>30-40</v>
      </c>
      <c r="H175" t="s">
        <v>846</v>
      </c>
      <c r="I175" t="s">
        <v>412</v>
      </c>
      <c r="J175" t="s">
        <v>414</v>
      </c>
      <c r="K175" t="s">
        <v>416</v>
      </c>
      <c r="L175" t="s">
        <v>593</v>
      </c>
      <c r="M175" s="3">
        <v>42761</v>
      </c>
      <c r="N175" t="s">
        <v>848</v>
      </c>
      <c r="O175" t="s">
        <v>627</v>
      </c>
      <c r="P175" t="s">
        <v>629</v>
      </c>
      <c r="Q175" t="s">
        <v>638</v>
      </c>
      <c r="R175" t="s">
        <v>851</v>
      </c>
      <c r="S175" s="5">
        <v>116200</v>
      </c>
      <c r="T175" s="5" t="s">
        <v>859</v>
      </c>
      <c r="U175" s="5">
        <v>1600</v>
      </c>
      <c r="V175" s="5" t="s">
        <v>863</v>
      </c>
      <c r="W175">
        <v>8</v>
      </c>
      <c r="X175">
        <v>2</v>
      </c>
      <c r="Y175" t="s">
        <v>870</v>
      </c>
      <c r="Z175" t="s">
        <v>813</v>
      </c>
      <c r="AA175" s="5" t="str" cm="1">
        <f t="array" aca="1" ref="AA175" ca="1">INDEX({"North","West","South","East"},RANDBETWEEN(1,4))</f>
        <v>East</v>
      </c>
    </row>
    <row r="176" spans="1:27" x14ac:dyDescent="0.3">
      <c r="A176" t="s">
        <v>174</v>
      </c>
      <c r="B176" s="1" t="s">
        <v>202</v>
      </c>
      <c r="C176" s="2" t="s">
        <v>379</v>
      </c>
      <c r="D176" t="str">
        <f t="shared" si="6"/>
        <v>Male</v>
      </c>
      <c r="E176" s="3">
        <v>34289</v>
      </c>
      <c r="F176">
        <f t="shared" ca="1" si="7"/>
        <v>32</v>
      </c>
      <c r="G176" t="str">
        <f t="shared" ca="1" si="8"/>
        <v>30-40</v>
      </c>
      <c r="H176" t="s">
        <v>845</v>
      </c>
      <c r="I176" t="s">
        <v>409</v>
      </c>
      <c r="J176" t="s">
        <v>414</v>
      </c>
      <c r="K176" t="s">
        <v>417</v>
      </c>
      <c r="L176" t="s">
        <v>594</v>
      </c>
      <c r="M176" s="3">
        <v>42719</v>
      </c>
      <c r="N176" t="s">
        <v>847</v>
      </c>
      <c r="O176" t="s">
        <v>624</v>
      </c>
      <c r="P176" t="s">
        <v>632</v>
      </c>
      <c r="Q176" t="s">
        <v>638</v>
      </c>
      <c r="R176" t="s">
        <v>853</v>
      </c>
      <c r="S176" s="5">
        <v>104800</v>
      </c>
      <c r="T176" s="5" t="s">
        <v>858</v>
      </c>
      <c r="U176" s="5">
        <v>3100</v>
      </c>
      <c r="V176" s="5" t="s">
        <v>862</v>
      </c>
      <c r="W176">
        <v>2</v>
      </c>
      <c r="X176">
        <v>3</v>
      </c>
      <c r="Y176" t="s">
        <v>871</v>
      </c>
      <c r="Z176" t="s">
        <v>814</v>
      </c>
      <c r="AA176" s="5" t="str" cm="1">
        <f t="array" aca="1" ref="AA176" ca="1">INDEX({"North","West","South","East"},RANDBETWEEN(1,4))</f>
        <v>South</v>
      </c>
    </row>
    <row r="177" spans="1:27" x14ac:dyDescent="0.3">
      <c r="A177" t="s">
        <v>175</v>
      </c>
      <c r="B177" s="1" t="s">
        <v>204</v>
      </c>
      <c r="C177" s="2" t="s">
        <v>380</v>
      </c>
      <c r="D177" t="str">
        <f t="shared" si="6"/>
        <v>Female</v>
      </c>
      <c r="E177" s="3">
        <v>33231</v>
      </c>
      <c r="F177">
        <f t="shared" ca="1" si="7"/>
        <v>35</v>
      </c>
      <c r="G177" t="str">
        <f t="shared" ca="1" si="8"/>
        <v>30-40</v>
      </c>
      <c r="H177" t="s">
        <v>845</v>
      </c>
      <c r="I177" t="s">
        <v>410</v>
      </c>
      <c r="J177" t="s">
        <v>414</v>
      </c>
      <c r="K177" t="s">
        <v>416</v>
      </c>
      <c r="L177" t="s">
        <v>595</v>
      </c>
      <c r="M177" s="3">
        <v>40389</v>
      </c>
      <c r="N177" t="s">
        <v>848</v>
      </c>
      <c r="O177" t="s">
        <v>626</v>
      </c>
      <c r="P177" t="s">
        <v>630</v>
      </c>
      <c r="Q177" t="s">
        <v>638</v>
      </c>
      <c r="R177" t="s">
        <v>852</v>
      </c>
      <c r="S177" s="5">
        <v>97000</v>
      </c>
      <c r="T177" s="5" t="s">
        <v>857</v>
      </c>
      <c r="U177" s="5">
        <v>1400</v>
      </c>
      <c r="V177" s="5" t="s">
        <v>863</v>
      </c>
      <c r="W177">
        <v>3</v>
      </c>
      <c r="X177">
        <v>1</v>
      </c>
      <c r="Y177" t="s">
        <v>869</v>
      </c>
      <c r="Z177" t="s">
        <v>815</v>
      </c>
      <c r="AA177" s="5" t="str" cm="1">
        <f t="array" aca="1" ref="AA177" ca="1">INDEX({"North","West","South","East"},RANDBETWEEN(1,4))</f>
        <v>East</v>
      </c>
    </row>
    <row r="178" spans="1:27" x14ac:dyDescent="0.3">
      <c r="A178" t="s">
        <v>176</v>
      </c>
      <c r="B178" s="1" t="s">
        <v>202</v>
      </c>
      <c r="C178" s="2" t="s">
        <v>381</v>
      </c>
      <c r="D178" t="str">
        <f t="shared" si="6"/>
        <v>Male</v>
      </c>
      <c r="E178" s="3">
        <v>35416</v>
      </c>
      <c r="F178">
        <f t="shared" ca="1" si="7"/>
        <v>29</v>
      </c>
      <c r="G178" t="str">
        <f t="shared" ca="1" si="8"/>
        <v>20-30</v>
      </c>
      <c r="H178" t="s">
        <v>846</v>
      </c>
      <c r="I178" t="s">
        <v>411</v>
      </c>
      <c r="J178" t="s">
        <v>414</v>
      </c>
      <c r="K178" t="s">
        <v>416</v>
      </c>
      <c r="L178" t="s">
        <v>596</v>
      </c>
      <c r="M178" s="3">
        <v>45281</v>
      </c>
      <c r="N178" t="s">
        <v>849</v>
      </c>
      <c r="O178" t="s">
        <v>625</v>
      </c>
      <c r="P178" t="s">
        <v>632</v>
      </c>
      <c r="Q178" t="s">
        <v>638</v>
      </c>
      <c r="R178" t="s">
        <v>851</v>
      </c>
      <c r="S178" s="5">
        <v>139000</v>
      </c>
      <c r="T178" s="5" t="s">
        <v>856</v>
      </c>
      <c r="U178" s="5">
        <v>2300</v>
      </c>
      <c r="V178" s="5" t="s">
        <v>864</v>
      </c>
      <c r="W178">
        <v>5</v>
      </c>
      <c r="X178">
        <v>2</v>
      </c>
      <c r="Y178" t="s">
        <v>868</v>
      </c>
      <c r="Z178" t="s">
        <v>816</v>
      </c>
      <c r="AA178" s="5" t="str" cm="1">
        <f t="array" aca="1" ref="AA178" ca="1">INDEX({"North","West","South","East"},RANDBETWEEN(1,4))</f>
        <v>North</v>
      </c>
    </row>
    <row r="179" spans="1:27" x14ac:dyDescent="0.3">
      <c r="A179" t="s">
        <v>177</v>
      </c>
      <c r="B179" s="1" t="s">
        <v>204</v>
      </c>
      <c r="C179" s="2" t="s">
        <v>382</v>
      </c>
      <c r="D179" t="str">
        <f t="shared" si="6"/>
        <v>Female</v>
      </c>
      <c r="E179" s="3">
        <v>27252</v>
      </c>
      <c r="F179">
        <f t="shared" ca="1" si="7"/>
        <v>51</v>
      </c>
      <c r="G179" t="str">
        <f t="shared" ca="1" si="8"/>
        <v>50-60</v>
      </c>
      <c r="H179" t="s">
        <v>844</v>
      </c>
      <c r="I179" t="s">
        <v>411</v>
      </c>
      <c r="J179" t="s">
        <v>414</v>
      </c>
      <c r="K179" t="s">
        <v>416</v>
      </c>
      <c r="L179" t="s">
        <v>597</v>
      </c>
      <c r="M179" s="3">
        <v>34928</v>
      </c>
      <c r="N179" t="s">
        <v>847</v>
      </c>
      <c r="O179" t="s">
        <v>624</v>
      </c>
      <c r="P179" t="s">
        <v>630</v>
      </c>
      <c r="Q179" t="s">
        <v>638</v>
      </c>
      <c r="R179" t="s">
        <v>852</v>
      </c>
      <c r="S179" s="5">
        <v>80000</v>
      </c>
      <c r="T179" s="5" t="s">
        <v>858</v>
      </c>
      <c r="U179" s="5">
        <v>2600</v>
      </c>
      <c r="V179" s="5" t="s">
        <v>862</v>
      </c>
      <c r="W179">
        <v>1</v>
      </c>
      <c r="X179">
        <v>3</v>
      </c>
      <c r="Y179" t="s">
        <v>628</v>
      </c>
      <c r="Z179" t="s">
        <v>817</v>
      </c>
      <c r="AA179" s="5" t="str" cm="1">
        <f t="array" aca="1" ref="AA179" ca="1">INDEX({"North","West","South","East"},RANDBETWEEN(1,4))</f>
        <v>North</v>
      </c>
    </row>
    <row r="180" spans="1:27" x14ac:dyDescent="0.3">
      <c r="A180" t="s">
        <v>178</v>
      </c>
      <c r="B180" s="1" t="s">
        <v>202</v>
      </c>
      <c r="C180" s="2" t="s">
        <v>383</v>
      </c>
      <c r="D180" t="str">
        <f t="shared" si="6"/>
        <v>Male</v>
      </c>
      <c r="E180" s="3">
        <v>27760</v>
      </c>
      <c r="F180">
        <f t="shared" ca="1" si="7"/>
        <v>50</v>
      </c>
      <c r="G180" t="str">
        <f t="shared" ca="1" si="8"/>
        <v>40-50</v>
      </c>
      <c r="H180" t="s">
        <v>845</v>
      </c>
      <c r="I180" t="s">
        <v>410</v>
      </c>
      <c r="J180" t="s">
        <v>414</v>
      </c>
      <c r="K180" t="s">
        <v>417</v>
      </c>
      <c r="L180" t="s">
        <v>598</v>
      </c>
      <c r="M180" s="3">
        <v>36359</v>
      </c>
      <c r="N180" t="s">
        <v>848</v>
      </c>
      <c r="O180" t="s">
        <v>626</v>
      </c>
      <c r="P180" t="s">
        <v>633</v>
      </c>
      <c r="Q180" t="s">
        <v>635</v>
      </c>
      <c r="R180" t="s">
        <v>853</v>
      </c>
      <c r="S180" s="5">
        <v>74000</v>
      </c>
      <c r="T180" s="5" t="s">
        <v>859</v>
      </c>
      <c r="U180" s="5">
        <v>1800</v>
      </c>
      <c r="V180" s="5" t="s">
        <v>863</v>
      </c>
      <c r="W180">
        <v>6</v>
      </c>
      <c r="X180">
        <v>1</v>
      </c>
      <c r="Y180" t="s">
        <v>869</v>
      </c>
      <c r="Z180" t="s">
        <v>818</v>
      </c>
      <c r="AA180" s="5" t="str" cm="1">
        <f t="array" aca="1" ref="AA180" ca="1">INDEX({"North","West","South","East"},RANDBETWEEN(1,4))</f>
        <v>East</v>
      </c>
    </row>
    <row r="181" spans="1:27" x14ac:dyDescent="0.3">
      <c r="A181" t="s">
        <v>179</v>
      </c>
      <c r="B181" s="1" t="s">
        <v>204</v>
      </c>
      <c r="C181" s="2" t="s">
        <v>335</v>
      </c>
      <c r="D181" t="str">
        <f t="shared" si="6"/>
        <v>Female</v>
      </c>
      <c r="E181" s="3">
        <v>34383</v>
      </c>
      <c r="F181">
        <f t="shared" ca="1" si="7"/>
        <v>32</v>
      </c>
      <c r="G181" t="str">
        <f t="shared" ca="1" si="8"/>
        <v>30-40</v>
      </c>
      <c r="H181" t="s">
        <v>843</v>
      </c>
      <c r="I181" t="s">
        <v>411</v>
      </c>
      <c r="J181" t="s">
        <v>414</v>
      </c>
      <c r="K181" t="s">
        <v>416</v>
      </c>
      <c r="L181" t="s">
        <v>599</v>
      </c>
      <c r="M181" s="3">
        <v>42268</v>
      </c>
      <c r="N181" t="s">
        <v>847</v>
      </c>
      <c r="O181" t="s">
        <v>627</v>
      </c>
      <c r="P181" t="s">
        <v>633</v>
      </c>
      <c r="Q181" t="s">
        <v>638</v>
      </c>
      <c r="R181" t="s">
        <v>851</v>
      </c>
      <c r="S181" s="5">
        <v>108800</v>
      </c>
      <c r="T181" s="5" t="s">
        <v>857</v>
      </c>
      <c r="U181" s="5">
        <v>2100</v>
      </c>
      <c r="V181" s="5" t="s">
        <v>862</v>
      </c>
      <c r="W181">
        <v>7</v>
      </c>
      <c r="X181">
        <v>2</v>
      </c>
      <c r="Y181" t="s">
        <v>870</v>
      </c>
      <c r="Z181" t="s">
        <v>819</v>
      </c>
      <c r="AA181" s="5" t="str" cm="1">
        <f t="array" aca="1" ref="AA181" ca="1">INDEX({"North","West","South","East"},RANDBETWEEN(1,4))</f>
        <v>East</v>
      </c>
    </row>
    <row r="182" spans="1:27" x14ac:dyDescent="0.3">
      <c r="A182" t="s">
        <v>180</v>
      </c>
      <c r="B182" s="1" t="s">
        <v>202</v>
      </c>
      <c r="C182" s="2" t="s">
        <v>384</v>
      </c>
      <c r="D182" t="str">
        <f t="shared" si="6"/>
        <v>Male</v>
      </c>
      <c r="E182" s="3">
        <v>28528</v>
      </c>
      <c r="F182">
        <f t="shared" ca="1" si="7"/>
        <v>48</v>
      </c>
      <c r="G182" t="str">
        <f t="shared" ca="1" si="8"/>
        <v>40-50</v>
      </c>
      <c r="H182" t="s">
        <v>844</v>
      </c>
      <c r="I182" t="s">
        <v>412</v>
      </c>
      <c r="J182" t="s">
        <v>414</v>
      </c>
      <c r="K182" t="s">
        <v>416</v>
      </c>
      <c r="L182" t="s">
        <v>600</v>
      </c>
      <c r="M182" s="3">
        <v>37433</v>
      </c>
      <c r="N182" t="s">
        <v>848</v>
      </c>
      <c r="O182" t="s">
        <v>625</v>
      </c>
      <c r="P182" t="s">
        <v>633</v>
      </c>
      <c r="Q182" t="s">
        <v>638</v>
      </c>
      <c r="R182" t="s">
        <v>852</v>
      </c>
      <c r="S182" s="5">
        <v>93000</v>
      </c>
      <c r="T182" s="5" t="s">
        <v>856</v>
      </c>
      <c r="U182" s="5">
        <v>1200</v>
      </c>
      <c r="V182" s="5" t="s">
        <v>863</v>
      </c>
      <c r="W182">
        <v>4</v>
      </c>
      <c r="X182">
        <v>5</v>
      </c>
      <c r="Y182" t="s">
        <v>871</v>
      </c>
      <c r="Z182" t="s">
        <v>820</v>
      </c>
      <c r="AA182" s="5" t="str" cm="1">
        <f t="array" aca="1" ref="AA182" ca="1">INDEX({"North","West","South","East"},RANDBETWEEN(1,4))</f>
        <v>North</v>
      </c>
    </row>
    <row r="183" spans="1:27" x14ac:dyDescent="0.3">
      <c r="A183" t="s">
        <v>181</v>
      </c>
      <c r="B183" s="1" t="s">
        <v>204</v>
      </c>
      <c r="C183" s="2" t="s">
        <v>385</v>
      </c>
      <c r="D183" t="str">
        <f t="shared" si="6"/>
        <v>Female</v>
      </c>
      <c r="E183" s="3">
        <v>26143</v>
      </c>
      <c r="F183">
        <f t="shared" ca="1" si="7"/>
        <v>54</v>
      </c>
      <c r="G183" t="str">
        <f t="shared" ca="1" si="8"/>
        <v>50-60</v>
      </c>
      <c r="H183" t="s">
        <v>845</v>
      </c>
      <c r="I183" t="s">
        <v>411</v>
      </c>
      <c r="J183" t="s">
        <v>414</v>
      </c>
      <c r="K183" t="s">
        <v>416</v>
      </c>
      <c r="L183" t="s">
        <v>601</v>
      </c>
      <c r="M183" s="3">
        <v>37114</v>
      </c>
      <c r="N183" t="s">
        <v>847</v>
      </c>
      <c r="O183" t="s">
        <v>624</v>
      </c>
      <c r="P183" t="s">
        <v>632</v>
      </c>
      <c r="Q183" t="s">
        <v>635</v>
      </c>
      <c r="R183" t="s">
        <v>853</v>
      </c>
      <c r="S183" s="5">
        <v>69000</v>
      </c>
      <c r="T183" s="5" t="s">
        <v>858</v>
      </c>
      <c r="U183" s="5">
        <v>2400</v>
      </c>
      <c r="V183" s="5" t="s">
        <v>862</v>
      </c>
      <c r="W183">
        <v>8</v>
      </c>
      <c r="X183">
        <v>1</v>
      </c>
      <c r="Y183" t="s">
        <v>868</v>
      </c>
      <c r="Z183" t="s">
        <v>821</v>
      </c>
      <c r="AA183" s="5" t="str" cm="1">
        <f t="array" aca="1" ref="AA183" ca="1">INDEX({"North","West","South","East"},RANDBETWEEN(1,4))</f>
        <v>East</v>
      </c>
    </row>
    <row r="184" spans="1:27" x14ac:dyDescent="0.3">
      <c r="A184" t="s">
        <v>182</v>
      </c>
      <c r="B184" s="1" t="s">
        <v>202</v>
      </c>
      <c r="C184" s="2" t="s">
        <v>386</v>
      </c>
      <c r="D184" t="str">
        <f t="shared" si="6"/>
        <v>Male</v>
      </c>
      <c r="E184" s="3">
        <v>34201</v>
      </c>
      <c r="F184">
        <f t="shared" ca="1" si="7"/>
        <v>32</v>
      </c>
      <c r="G184" t="str">
        <f t="shared" ca="1" si="8"/>
        <v>30-40</v>
      </c>
      <c r="H184" t="s">
        <v>844</v>
      </c>
      <c r="I184" t="s">
        <v>412</v>
      </c>
      <c r="J184" t="s">
        <v>414</v>
      </c>
      <c r="K184" t="s">
        <v>417</v>
      </c>
      <c r="L184" t="s">
        <v>602</v>
      </c>
      <c r="M184" s="3">
        <v>40949</v>
      </c>
      <c r="N184" t="s">
        <v>849</v>
      </c>
      <c r="O184" t="s">
        <v>627</v>
      </c>
      <c r="P184" t="s">
        <v>632</v>
      </c>
      <c r="Q184" t="s">
        <v>638</v>
      </c>
      <c r="R184" t="s">
        <v>851</v>
      </c>
      <c r="S184" s="5">
        <v>54000</v>
      </c>
      <c r="T184" s="5" t="s">
        <v>857</v>
      </c>
      <c r="U184" s="5">
        <v>2700</v>
      </c>
      <c r="V184" s="5" t="s">
        <v>864</v>
      </c>
      <c r="W184">
        <v>2</v>
      </c>
      <c r="X184">
        <v>2</v>
      </c>
      <c r="Y184" t="s">
        <v>628</v>
      </c>
      <c r="Z184" t="s">
        <v>822</v>
      </c>
      <c r="AA184" s="5" t="str" cm="1">
        <f t="array" aca="1" ref="AA184" ca="1">INDEX({"North","West","South","East"},RANDBETWEEN(1,4))</f>
        <v>South</v>
      </c>
    </row>
    <row r="185" spans="1:27" x14ac:dyDescent="0.3">
      <c r="A185" t="s">
        <v>183</v>
      </c>
      <c r="B185" s="1" t="s">
        <v>204</v>
      </c>
      <c r="C185" s="2" t="s">
        <v>387</v>
      </c>
      <c r="D185" t="str">
        <f t="shared" si="6"/>
        <v>Female</v>
      </c>
      <c r="E185" s="3">
        <v>27501</v>
      </c>
      <c r="F185">
        <f t="shared" ca="1" si="7"/>
        <v>51</v>
      </c>
      <c r="G185" t="str">
        <f t="shared" ca="1" si="8"/>
        <v>50-60</v>
      </c>
      <c r="H185" t="s">
        <v>846</v>
      </c>
      <c r="I185" t="s">
        <v>410</v>
      </c>
      <c r="J185" t="s">
        <v>414</v>
      </c>
      <c r="K185" t="s">
        <v>417</v>
      </c>
      <c r="L185" t="s">
        <v>603</v>
      </c>
      <c r="M185" s="3">
        <v>34847</v>
      </c>
      <c r="N185" t="s">
        <v>848</v>
      </c>
      <c r="O185" t="s">
        <v>626</v>
      </c>
      <c r="P185" t="s">
        <v>633</v>
      </c>
      <c r="Q185" t="s">
        <v>638</v>
      </c>
      <c r="R185" t="s">
        <v>852</v>
      </c>
      <c r="S185" s="5">
        <v>118000</v>
      </c>
      <c r="T185" s="5" t="s">
        <v>859</v>
      </c>
      <c r="U185" s="5">
        <v>1900</v>
      </c>
      <c r="V185" s="5" t="s">
        <v>863</v>
      </c>
      <c r="W185">
        <v>3</v>
      </c>
      <c r="X185">
        <v>3</v>
      </c>
      <c r="Y185" t="s">
        <v>869</v>
      </c>
      <c r="Z185" t="s">
        <v>823</v>
      </c>
      <c r="AA185" s="5" t="str" cm="1">
        <f t="array" aca="1" ref="AA185" ca="1">INDEX({"North","West","South","East"},RANDBETWEEN(1,4))</f>
        <v>West</v>
      </c>
    </row>
    <row r="186" spans="1:27" x14ac:dyDescent="0.3">
      <c r="A186" t="s">
        <v>184</v>
      </c>
      <c r="B186" s="1" t="s">
        <v>202</v>
      </c>
      <c r="C186" s="2" t="s">
        <v>388</v>
      </c>
      <c r="D186" t="str">
        <f t="shared" si="6"/>
        <v>Male</v>
      </c>
      <c r="E186" s="3">
        <v>28512</v>
      </c>
      <c r="F186">
        <f t="shared" ca="1" si="7"/>
        <v>48</v>
      </c>
      <c r="G186" t="str">
        <f t="shared" ca="1" si="8"/>
        <v>40-50</v>
      </c>
      <c r="H186" t="s">
        <v>844</v>
      </c>
      <c r="I186" t="s">
        <v>409</v>
      </c>
      <c r="J186" t="s">
        <v>414</v>
      </c>
      <c r="K186" t="s">
        <v>417</v>
      </c>
      <c r="L186" t="s">
        <v>604</v>
      </c>
      <c r="M186" s="3">
        <v>37645</v>
      </c>
      <c r="N186" t="s">
        <v>847</v>
      </c>
      <c r="O186" t="s">
        <v>625</v>
      </c>
      <c r="P186" t="s">
        <v>633</v>
      </c>
      <c r="Q186" t="s">
        <v>638</v>
      </c>
      <c r="R186" t="s">
        <v>851</v>
      </c>
      <c r="S186" s="5">
        <v>106800</v>
      </c>
      <c r="T186" s="5" t="s">
        <v>856</v>
      </c>
      <c r="U186" s="5">
        <v>3400</v>
      </c>
      <c r="V186" s="5" t="s">
        <v>862</v>
      </c>
      <c r="W186">
        <v>5</v>
      </c>
      <c r="X186">
        <v>1</v>
      </c>
      <c r="Y186" t="s">
        <v>871</v>
      </c>
      <c r="Z186" t="s">
        <v>824</v>
      </c>
      <c r="AA186" s="5" t="str" cm="1">
        <f t="array" aca="1" ref="AA186" ca="1">INDEX({"North","West","South","East"},RANDBETWEEN(1,4))</f>
        <v>West</v>
      </c>
    </row>
    <row r="187" spans="1:27" x14ac:dyDescent="0.3">
      <c r="A187" t="s">
        <v>185</v>
      </c>
      <c r="B187" s="1" t="s">
        <v>204</v>
      </c>
      <c r="C187" s="2" t="s">
        <v>389</v>
      </c>
      <c r="D187" t="str">
        <f t="shared" si="6"/>
        <v>Female</v>
      </c>
      <c r="E187" s="3">
        <v>28541</v>
      </c>
      <c r="F187">
        <f t="shared" ca="1" si="7"/>
        <v>48</v>
      </c>
      <c r="G187" t="str">
        <f t="shared" ca="1" si="8"/>
        <v>40-50</v>
      </c>
      <c r="H187" t="s">
        <v>843</v>
      </c>
      <c r="I187" t="s">
        <v>411</v>
      </c>
      <c r="J187" t="s">
        <v>414</v>
      </c>
      <c r="K187" t="s">
        <v>416</v>
      </c>
      <c r="L187" t="s">
        <v>605</v>
      </c>
      <c r="M187" s="3">
        <v>37340</v>
      </c>
      <c r="N187" t="s">
        <v>848</v>
      </c>
      <c r="O187" t="s">
        <v>627</v>
      </c>
      <c r="P187" t="s">
        <v>633</v>
      </c>
      <c r="Q187" t="s">
        <v>638</v>
      </c>
      <c r="R187" t="s">
        <v>853</v>
      </c>
      <c r="S187" s="5">
        <v>94000</v>
      </c>
      <c r="T187" s="5" t="s">
        <v>858</v>
      </c>
      <c r="U187" s="5">
        <v>1500</v>
      </c>
      <c r="V187" s="5" t="s">
        <v>863</v>
      </c>
      <c r="W187">
        <v>1</v>
      </c>
      <c r="X187">
        <v>2</v>
      </c>
      <c r="Y187" t="s">
        <v>870</v>
      </c>
      <c r="Z187" t="s">
        <v>825</v>
      </c>
      <c r="AA187" s="5" t="str" cm="1">
        <f t="array" aca="1" ref="AA187" ca="1">INDEX({"North","West","South","East"},RANDBETWEEN(1,4))</f>
        <v>South</v>
      </c>
    </row>
    <row r="188" spans="1:27" x14ac:dyDescent="0.3">
      <c r="A188" t="s">
        <v>186</v>
      </c>
      <c r="B188" s="1" t="s">
        <v>202</v>
      </c>
      <c r="C188" s="2" t="s">
        <v>390</v>
      </c>
      <c r="D188" t="str">
        <f t="shared" si="6"/>
        <v>Male</v>
      </c>
      <c r="E188" s="3">
        <v>29646</v>
      </c>
      <c r="F188">
        <f t="shared" ca="1" si="7"/>
        <v>45</v>
      </c>
      <c r="G188" t="str">
        <f t="shared" ca="1" si="8"/>
        <v>40-50</v>
      </c>
      <c r="H188" t="s">
        <v>845</v>
      </c>
      <c r="I188" t="s">
        <v>411</v>
      </c>
      <c r="J188" t="s">
        <v>414</v>
      </c>
      <c r="K188" t="s">
        <v>417</v>
      </c>
      <c r="L188" t="s">
        <v>606</v>
      </c>
      <c r="M188" s="3">
        <v>38537</v>
      </c>
      <c r="N188" t="s">
        <v>847</v>
      </c>
      <c r="O188" t="s">
        <v>624</v>
      </c>
      <c r="P188" t="s">
        <v>633</v>
      </c>
      <c r="Q188" t="s">
        <v>635</v>
      </c>
      <c r="R188" t="s">
        <v>852</v>
      </c>
      <c r="S188" s="5">
        <v>131000</v>
      </c>
      <c r="T188" s="5" t="s">
        <v>857</v>
      </c>
      <c r="U188" s="5">
        <v>2200</v>
      </c>
      <c r="V188" s="5" t="s">
        <v>862</v>
      </c>
      <c r="W188">
        <v>6</v>
      </c>
      <c r="X188">
        <v>3</v>
      </c>
      <c r="Y188" t="s">
        <v>868</v>
      </c>
      <c r="Z188" t="s">
        <v>826</v>
      </c>
      <c r="AA188" s="5" t="str" cm="1">
        <f t="array" aca="1" ref="AA188" ca="1">INDEX({"North","West","South","East"},RANDBETWEEN(1,4))</f>
        <v>South</v>
      </c>
    </row>
    <row r="189" spans="1:27" x14ac:dyDescent="0.3">
      <c r="A189" t="s">
        <v>187</v>
      </c>
      <c r="B189" s="1" t="s">
        <v>204</v>
      </c>
      <c r="C189" s="2" t="s">
        <v>391</v>
      </c>
      <c r="D189" t="str">
        <f t="shared" si="6"/>
        <v>Female</v>
      </c>
      <c r="E189" s="3">
        <v>28378</v>
      </c>
      <c r="F189">
        <f t="shared" ca="1" si="7"/>
        <v>48</v>
      </c>
      <c r="G189" t="str">
        <f t="shared" ca="1" si="8"/>
        <v>40-50</v>
      </c>
      <c r="H189" t="s">
        <v>845</v>
      </c>
      <c r="I189" t="s">
        <v>412</v>
      </c>
      <c r="J189" t="s">
        <v>414</v>
      </c>
      <c r="K189" t="s">
        <v>416</v>
      </c>
      <c r="L189" t="s">
        <v>607</v>
      </c>
      <c r="M189" s="3">
        <v>37374</v>
      </c>
      <c r="N189" t="s">
        <v>848</v>
      </c>
      <c r="O189" t="s">
        <v>626</v>
      </c>
      <c r="P189" t="s">
        <v>629</v>
      </c>
      <c r="Q189" t="s">
        <v>635</v>
      </c>
      <c r="R189" t="s">
        <v>851</v>
      </c>
      <c r="S189" s="5">
        <v>89000</v>
      </c>
      <c r="T189" s="5" t="s">
        <v>856</v>
      </c>
      <c r="U189" s="5">
        <v>2600</v>
      </c>
      <c r="V189" s="5" t="s">
        <v>863</v>
      </c>
      <c r="W189">
        <v>7</v>
      </c>
      <c r="X189">
        <v>1</v>
      </c>
      <c r="Y189" t="s">
        <v>628</v>
      </c>
      <c r="Z189" t="s">
        <v>827</v>
      </c>
      <c r="AA189" s="5" t="str" cm="1">
        <f t="array" aca="1" ref="AA189" ca="1">INDEX({"North","West","South","East"},RANDBETWEEN(1,4))</f>
        <v>East</v>
      </c>
    </row>
    <row r="190" spans="1:27" x14ac:dyDescent="0.3">
      <c r="A190" t="s">
        <v>188</v>
      </c>
      <c r="B190" s="1" t="s">
        <v>202</v>
      </c>
      <c r="C190" s="2" t="s">
        <v>392</v>
      </c>
      <c r="D190" t="str">
        <f t="shared" si="6"/>
        <v>Male</v>
      </c>
      <c r="E190" s="3">
        <v>37927</v>
      </c>
      <c r="F190">
        <f t="shared" ca="1" si="7"/>
        <v>22</v>
      </c>
      <c r="G190" t="str">
        <f t="shared" ca="1" si="8"/>
        <v>20-30</v>
      </c>
      <c r="H190" t="s">
        <v>845</v>
      </c>
      <c r="I190" t="s">
        <v>409</v>
      </c>
      <c r="J190" t="s">
        <v>414</v>
      </c>
      <c r="K190" t="s">
        <v>417</v>
      </c>
      <c r="L190" t="s">
        <v>608</v>
      </c>
      <c r="M190" s="3">
        <v>44512</v>
      </c>
      <c r="N190" t="s">
        <v>849</v>
      </c>
      <c r="O190" t="s">
        <v>625</v>
      </c>
      <c r="P190" t="s">
        <v>633</v>
      </c>
      <c r="Q190" t="s">
        <v>638</v>
      </c>
      <c r="R190" t="s">
        <v>853</v>
      </c>
      <c r="S190" s="5">
        <v>66000</v>
      </c>
      <c r="T190" s="5" t="s">
        <v>859</v>
      </c>
      <c r="U190" s="5">
        <v>1700</v>
      </c>
      <c r="V190" s="5" t="s">
        <v>864</v>
      </c>
      <c r="W190">
        <v>4</v>
      </c>
      <c r="X190">
        <v>2</v>
      </c>
      <c r="Y190" t="s">
        <v>869</v>
      </c>
      <c r="Z190" t="s">
        <v>828</v>
      </c>
      <c r="AA190" s="5" t="str" cm="1">
        <f t="array" aca="1" ref="AA190" ca="1">INDEX({"North","West","South","East"},RANDBETWEEN(1,4))</f>
        <v>North</v>
      </c>
    </row>
    <row r="191" spans="1:27" x14ac:dyDescent="0.3">
      <c r="A191" t="s">
        <v>189</v>
      </c>
      <c r="B191" s="1" t="s">
        <v>204</v>
      </c>
      <c r="C191" s="2" t="s">
        <v>393</v>
      </c>
      <c r="D191" t="str">
        <f t="shared" si="6"/>
        <v>Female</v>
      </c>
      <c r="E191" s="3">
        <v>28629</v>
      </c>
      <c r="F191">
        <f t="shared" ca="1" si="7"/>
        <v>48</v>
      </c>
      <c r="G191" t="str">
        <f t="shared" ca="1" si="8"/>
        <v>40-50</v>
      </c>
      <c r="H191" t="s">
        <v>846</v>
      </c>
      <c r="I191" t="s">
        <v>411</v>
      </c>
      <c r="J191" t="s">
        <v>414</v>
      </c>
      <c r="K191" t="s">
        <v>416</v>
      </c>
      <c r="L191" t="s">
        <v>609</v>
      </c>
      <c r="M191" s="3">
        <v>38538</v>
      </c>
      <c r="N191" t="s">
        <v>847</v>
      </c>
      <c r="O191" t="s">
        <v>624</v>
      </c>
      <c r="P191" t="s">
        <v>635</v>
      </c>
      <c r="Q191" t="s">
        <v>638</v>
      </c>
      <c r="R191" t="s">
        <v>852</v>
      </c>
      <c r="S191" s="5">
        <v>121500</v>
      </c>
      <c r="T191" s="5" t="s">
        <v>858</v>
      </c>
      <c r="U191" s="5">
        <v>2300</v>
      </c>
      <c r="V191" s="5" t="s">
        <v>862</v>
      </c>
      <c r="W191">
        <v>8</v>
      </c>
      <c r="X191">
        <v>3</v>
      </c>
      <c r="Y191" t="s">
        <v>870</v>
      </c>
      <c r="Z191" t="s">
        <v>829</v>
      </c>
      <c r="AA191" s="5" t="str" cm="1">
        <f t="array" aca="1" ref="AA191" ca="1">INDEX({"North","West","South","East"},RANDBETWEEN(1,4))</f>
        <v>South</v>
      </c>
    </row>
    <row r="192" spans="1:27" x14ac:dyDescent="0.3">
      <c r="A192" t="s">
        <v>190</v>
      </c>
      <c r="B192" s="1" t="s">
        <v>202</v>
      </c>
      <c r="C192" s="2" t="s">
        <v>394</v>
      </c>
      <c r="D192" t="str">
        <f t="shared" si="6"/>
        <v>Male</v>
      </c>
      <c r="E192" s="3">
        <v>29468</v>
      </c>
      <c r="F192">
        <f t="shared" ca="1" si="7"/>
        <v>45</v>
      </c>
      <c r="G192" t="str">
        <f t="shared" ca="1" si="8"/>
        <v>40-50</v>
      </c>
      <c r="H192" t="s">
        <v>844</v>
      </c>
      <c r="I192" t="s">
        <v>411</v>
      </c>
      <c r="J192" t="s">
        <v>414</v>
      </c>
      <c r="K192" t="s">
        <v>416</v>
      </c>
      <c r="L192" t="s">
        <v>610</v>
      </c>
      <c r="M192" s="3">
        <v>38711</v>
      </c>
      <c r="N192" t="s">
        <v>848</v>
      </c>
      <c r="O192" t="s">
        <v>626</v>
      </c>
      <c r="P192" t="s">
        <v>633</v>
      </c>
      <c r="Q192" t="s">
        <v>635</v>
      </c>
      <c r="R192" t="s">
        <v>851</v>
      </c>
      <c r="S192" s="5">
        <v>98000</v>
      </c>
      <c r="T192" s="5" t="s">
        <v>857</v>
      </c>
      <c r="U192" s="5">
        <v>1300</v>
      </c>
      <c r="V192" s="5" t="s">
        <v>863</v>
      </c>
      <c r="W192">
        <v>0</v>
      </c>
      <c r="X192">
        <v>1</v>
      </c>
      <c r="Y192" t="s">
        <v>871</v>
      </c>
      <c r="Z192" t="s">
        <v>830</v>
      </c>
      <c r="AA192" s="5" t="str" cm="1">
        <f t="array" aca="1" ref="AA192" ca="1">INDEX({"North","West","South","East"},RANDBETWEEN(1,4))</f>
        <v>North</v>
      </c>
    </row>
    <row r="193" spans="1:27" x14ac:dyDescent="0.3">
      <c r="A193" t="s">
        <v>191</v>
      </c>
      <c r="B193" s="1" t="s">
        <v>204</v>
      </c>
      <c r="C193" s="2" t="s">
        <v>395</v>
      </c>
      <c r="D193" t="str">
        <f t="shared" si="6"/>
        <v>Female</v>
      </c>
      <c r="E193" s="3">
        <v>27633</v>
      </c>
      <c r="F193">
        <f t="shared" ca="1" si="7"/>
        <v>50</v>
      </c>
      <c r="G193" t="str">
        <f t="shared" ca="1" si="8"/>
        <v>40-50</v>
      </c>
      <c r="H193" t="s">
        <v>843</v>
      </c>
      <c r="I193" t="s">
        <v>409</v>
      </c>
      <c r="J193" t="s">
        <v>414</v>
      </c>
      <c r="K193" t="s">
        <v>416</v>
      </c>
      <c r="L193" t="s">
        <v>611</v>
      </c>
      <c r="M193" s="3">
        <v>36878</v>
      </c>
      <c r="N193" t="s">
        <v>847</v>
      </c>
      <c r="O193" t="s">
        <v>627</v>
      </c>
      <c r="P193" t="s">
        <v>633</v>
      </c>
      <c r="Q193" t="s">
        <v>638</v>
      </c>
      <c r="R193" t="s">
        <v>852</v>
      </c>
      <c r="S193" s="5">
        <v>102200</v>
      </c>
      <c r="T193" s="5" t="s">
        <v>856</v>
      </c>
      <c r="U193" s="5">
        <v>2500</v>
      </c>
      <c r="V193" s="5" t="s">
        <v>862</v>
      </c>
      <c r="W193">
        <v>9</v>
      </c>
      <c r="X193">
        <v>2</v>
      </c>
      <c r="Y193" t="s">
        <v>869</v>
      </c>
      <c r="Z193" t="s">
        <v>831</v>
      </c>
      <c r="AA193" s="5" t="str" cm="1">
        <f t="array" aca="1" ref="AA193" ca="1">INDEX({"North","West","South","East"},RANDBETWEEN(1,4))</f>
        <v>North</v>
      </c>
    </row>
    <row r="194" spans="1:27" x14ac:dyDescent="0.3">
      <c r="A194" t="s">
        <v>192</v>
      </c>
      <c r="B194" s="1" t="s">
        <v>202</v>
      </c>
      <c r="C194" s="2" t="s">
        <v>396</v>
      </c>
      <c r="D194" t="str">
        <f t="shared" si="6"/>
        <v>Male</v>
      </c>
      <c r="E194" s="3">
        <v>37640</v>
      </c>
      <c r="F194">
        <f t="shared" ca="1" si="7"/>
        <v>23</v>
      </c>
      <c r="G194" t="str">
        <f t="shared" ca="1" si="8"/>
        <v>20-30</v>
      </c>
      <c r="H194" t="s">
        <v>843</v>
      </c>
      <c r="I194" t="s">
        <v>410</v>
      </c>
      <c r="J194" t="s">
        <v>414</v>
      </c>
      <c r="K194" t="s">
        <v>416</v>
      </c>
      <c r="L194" t="s">
        <v>612</v>
      </c>
      <c r="M194" s="3">
        <v>45069</v>
      </c>
      <c r="N194" t="s">
        <v>848</v>
      </c>
      <c r="O194" t="s">
        <v>625</v>
      </c>
      <c r="P194" t="s">
        <v>633</v>
      </c>
      <c r="Q194" t="s">
        <v>638</v>
      </c>
      <c r="R194" t="s">
        <v>853</v>
      </c>
      <c r="S194" s="5">
        <v>73000</v>
      </c>
      <c r="T194" s="5" t="s">
        <v>858</v>
      </c>
      <c r="U194" s="5">
        <v>2800</v>
      </c>
      <c r="V194" s="5" t="s">
        <v>863</v>
      </c>
      <c r="W194">
        <v>10</v>
      </c>
      <c r="X194">
        <v>3</v>
      </c>
      <c r="Y194" t="s">
        <v>868</v>
      </c>
      <c r="Z194" t="s">
        <v>832</v>
      </c>
      <c r="AA194" s="5" t="str" cm="1">
        <f t="array" aca="1" ref="AA194" ca="1">INDEX({"North","West","South","East"},RANDBETWEEN(1,4))</f>
        <v>East</v>
      </c>
    </row>
    <row r="195" spans="1:27" x14ac:dyDescent="0.3">
      <c r="A195" t="s">
        <v>193</v>
      </c>
      <c r="B195" s="1" t="s">
        <v>204</v>
      </c>
      <c r="C195" s="2" t="s">
        <v>397</v>
      </c>
      <c r="D195" t="str">
        <f t="shared" ref="D195:D201" si="9">IF(B195="Mr.","Male","Female")</f>
        <v>Female</v>
      </c>
      <c r="E195" s="3">
        <v>30725</v>
      </c>
      <c r="F195">
        <f t="shared" ref="F195:F201" ca="1" si="10">DATEDIF(E195, TODAY(), "Y")</f>
        <v>42</v>
      </c>
      <c r="G195" t="str">
        <f t="shared" ref="G195:G201" ca="1" si="11">IF(F195&lt;=20,"10-20",IF(F195&lt;=30,"20-30",IF(F195&lt;=40,"30-40",IF(F195&lt;=50,"40-50","50-60"))))</f>
        <v>40-50</v>
      </c>
      <c r="H195" t="s">
        <v>846</v>
      </c>
      <c r="I195" t="s">
        <v>410</v>
      </c>
      <c r="J195" t="s">
        <v>414</v>
      </c>
      <c r="K195" t="s">
        <v>416</v>
      </c>
      <c r="L195" t="s">
        <v>613</v>
      </c>
      <c r="M195" s="3">
        <v>37978</v>
      </c>
      <c r="N195" t="s">
        <v>847</v>
      </c>
      <c r="O195" t="s">
        <v>624</v>
      </c>
      <c r="P195" t="s">
        <v>633</v>
      </c>
      <c r="Q195" t="s">
        <v>638</v>
      </c>
      <c r="R195" t="s">
        <v>851</v>
      </c>
      <c r="S195" s="5">
        <v>84000</v>
      </c>
      <c r="T195" s="5" t="s">
        <v>859</v>
      </c>
      <c r="U195" s="5">
        <v>1600</v>
      </c>
      <c r="V195" s="5" t="s">
        <v>862</v>
      </c>
      <c r="W195">
        <v>11</v>
      </c>
      <c r="X195">
        <v>1</v>
      </c>
      <c r="Y195" t="s">
        <v>628</v>
      </c>
      <c r="Z195" t="s">
        <v>833</v>
      </c>
      <c r="AA195" s="5" t="str" cm="1">
        <f t="array" aca="1" ref="AA195" ca="1">INDEX({"North","West","South","East"},RANDBETWEEN(1,4))</f>
        <v>East</v>
      </c>
    </row>
    <row r="196" spans="1:27" x14ac:dyDescent="0.3">
      <c r="A196" t="s">
        <v>194</v>
      </c>
      <c r="B196" s="1" t="s">
        <v>202</v>
      </c>
      <c r="C196" s="2" t="s">
        <v>398</v>
      </c>
      <c r="D196" t="str">
        <f t="shared" si="9"/>
        <v>Male</v>
      </c>
      <c r="E196" s="3">
        <v>29250</v>
      </c>
      <c r="F196">
        <f t="shared" ca="1" si="10"/>
        <v>46</v>
      </c>
      <c r="G196" t="str">
        <f t="shared" ca="1" si="11"/>
        <v>40-50</v>
      </c>
      <c r="H196" t="s">
        <v>845</v>
      </c>
      <c r="I196" t="s">
        <v>410</v>
      </c>
      <c r="J196" t="s">
        <v>414</v>
      </c>
      <c r="K196" t="s">
        <v>417</v>
      </c>
      <c r="L196" t="s">
        <v>614</v>
      </c>
      <c r="M196" s="3">
        <v>38216</v>
      </c>
      <c r="N196" t="s">
        <v>849</v>
      </c>
      <c r="O196" t="s">
        <v>627</v>
      </c>
      <c r="P196" t="s">
        <v>633</v>
      </c>
      <c r="Q196" t="s">
        <v>635</v>
      </c>
      <c r="R196" t="s">
        <v>852</v>
      </c>
      <c r="S196" s="5">
        <v>60000</v>
      </c>
      <c r="T196" s="5" t="s">
        <v>857</v>
      </c>
      <c r="U196" s="5">
        <v>3200</v>
      </c>
      <c r="V196" s="5" t="s">
        <v>864</v>
      </c>
      <c r="W196">
        <v>12</v>
      </c>
      <c r="X196">
        <v>2</v>
      </c>
      <c r="Y196" t="s">
        <v>870</v>
      </c>
      <c r="Z196" t="s">
        <v>834</v>
      </c>
      <c r="AA196" s="5" t="str" cm="1">
        <f t="array" aca="1" ref="AA196" ca="1">INDEX({"North","West","South","East"},RANDBETWEEN(1,4))</f>
        <v>West</v>
      </c>
    </row>
    <row r="197" spans="1:27" x14ac:dyDescent="0.3">
      <c r="A197" t="s">
        <v>195</v>
      </c>
      <c r="B197" s="1" t="s">
        <v>204</v>
      </c>
      <c r="C197" s="2" t="s">
        <v>399</v>
      </c>
      <c r="D197" t="str">
        <f t="shared" si="9"/>
        <v>Female</v>
      </c>
      <c r="E197" s="3">
        <v>30264</v>
      </c>
      <c r="F197">
        <f t="shared" ca="1" si="10"/>
        <v>43</v>
      </c>
      <c r="G197" t="str">
        <f t="shared" ca="1" si="11"/>
        <v>40-50</v>
      </c>
      <c r="H197" t="s">
        <v>844</v>
      </c>
      <c r="I197" t="s">
        <v>412</v>
      </c>
      <c r="J197" t="s">
        <v>414</v>
      </c>
      <c r="K197" t="s">
        <v>417</v>
      </c>
      <c r="L197" t="s">
        <v>615</v>
      </c>
      <c r="M197" s="3">
        <v>37720</v>
      </c>
      <c r="N197" t="s">
        <v>848</v>
      </c>
      <c r="O197" t="s">
        <v>626</v>
      </c>
      <c r="P197" t="s">
        <v>633</v>
      </c>
      <c r="Q197" t="s">
        <v>638</v>
      </c>
      <c r="R197" t="s">
        <v>853</v>
      </c>
      <c r="S197" s="5">
        <v>114500</v>
      </c>
      <c r="T197" s="5" t="s">
        <v>856</v>
      </c>
      <c r="U197" s="5">
        <v>1400</v>
      </c>
      <c r="V197" s="5" t="s">
        <v>863</v>
      </c>
      <c r="W197">
        <v>13</v>
      </c>
      <c r="X197">
        <v>3</v>
      </c>
      <c r="Y197" t="s">
        <v>871</v>
      </c>
      <c r="Z197" t="s">
        <v>835</v>
      </c>
      <c r="AA197" s="5" t="str" cm="1">
        <f t="array" aca="1" ref="AA197" ca="1">INDEX({"North","West","South","East"},RANDBETWEEN(1,4))</f>
        <v>West</v>
      </c>
    </row>
    <row r="198" spans="1:27" x14ac:dyDescent="0.3">
      <c r="A198" t="s">
        <v>196</v>
      </c>
      <c r="B198" s="1" t="s">
        <v>202</v>
      </c>
      <c r="C198" s="2" t="s">
        <v>400</v>
      </c>
      <c r="D198" t="str">
        <f t="shared" si="9"/>
        <v>Male</v>
      </c>
      <c r="E198" s="3">
        <v>34369</v>
      </c>
      <c r="F198">
        <f t="shared" ca="1" si="10"/>
        <v>32</v>
      </c>
      <c r="G198" t="str">
        <f t="shared" ca="1" si="11"/>
        <v>30-40</v>
      </c>
      <c r="H198" t="s">
        <v>844</v>
      </c>
      <c r="I198" t="s">
        <v>409</v>
      </c>
      <c r="J198" t="s">
        <v>414</v>
      </c>
      <c r="K198" t="s">
        <v>416</v>
      </c>
      <c r="L198" t="s">
        <v>616</v>
      </c>
      <c r="M198" s="3">
        <v>41794</v>
      </c>
      <c r="N198" t="s">
        <v>847</v>
      </c>
      <c r="O198" t="s">
        <v>625</v>
      </c>
      <c r="P198" t="s">
        <v>633</v>
      </c>
      <c r="Q198" t="s">
        <v>638</v>
      </c>
      <c r="R198" t="s">
        <v>851</v>
      </c>
      <c r="S198" s="5">
        <v>92000</v>
      </c>
      <c r="T198" s="5" t="s">
        <v>858</v>
      </c>
      <c r="U198" s="5">
        <v>2100</v>
      </c>
      <c r="V198" s="5" t="s">
        <v>862</v>
      </c>
      <c r="W198">
        <v>14</v>
      </c>
      <c r="X198">
        <v>1</v>
      </c>
      <c r="Y198" t="s">
        <v>869</v>
      </c>
      <c r="Z198" t="s">
        <v>836</v>
      </c>
      <c r="AA198" s="5" t="str" cm="1">
        <f t="array" aca="1" ref="AA198" ca="1">INDEX({"North","West","South","East"},RANDBETWEEN(1,4))</f>
        <v>West</v>
      </c>
    </row>
    <row r="199" spans="1:27" x14ac:dyDescent="0.3">
      <c r="A199" t="s">
        <v>197</v>
      </c>
      <c r="B199" s="1" t="s">
        <v>204</v>
      </c>
      <c r="C199" s="2" t="s">
        <v>401</v>
      </c>
      <c r="D199" t="str">
        <f t="shared" si="9"/>
        <v>Female</v>
      </c>
      <c r="E199" s="3">
        <v>30811</v>
      </c>
      <c r="F199">
        <f t="shared" ca="1" si="10"/>
        <v>42</v>
      </c>
      <c r="G199" t="str">
        <f t="shared" ca="1" si="11"/>
        <v>40-50</v>
      </c>
      <c r="H199" t="s">
        <v>845</v>
      </c>
      <c r="I199" t="s">
        <v>410</v>
      </c>
      <c r="J199" t="s">
        <v>414</v>
      </c>
      <c r="K199" t="s">
        <v>417</v>
      </c>
      <c r="L199" t="s">
        <v>617</v>
      </c>
      <c r="M199" s="3">
        <v>38268</v>
      </c>
      <c r="N199" t="s">
        <v>848</v>
      </c>
      <c r="O199" t="s">
        <v>627</v>
      </c>
      <c r="P199" t="s">
        <v>635</v>
      </c>
      <c r="Q199" t="s">
        <v>638</v>
      </c>
      <c r="R199" t="s">
        <v>852</v>
      </c>
      <c r="S199" s="5">
        <v>147000</v>
      </c>
      <c r="T199" s="5" t="s">
        <v>857</v>
      </c>
      <c r="U199" s="5">
        <v>2600</v>
      </c>
      <c r="V199" s="5" t="s">
        <v>863</v>
      </c>
      <c r="W199">
        <v>3</v>
      </c>
      <c r="X199">
        <v>2</v>
      </c>
      <c r="Y199" t="s">
        <v>868</v>
      </c>
      <c r="Z199" t="s">
        <v>837</v>
      </c>
      <c r="AA199" s="5" t="str" cm="1">
        <f t="array" aca="1" ref="AA199" ca="1">INDEX({"North","West","South","East"},RANDBETWEEN(1,4))</f>
        <v>South</v>
      </c>
    </row>
    <row r="200" spans="1:27" x14ac:dyDescent="0.3">
      <c r="A200" t="s">
        <v>198</v>
      </c>
      <c r="B200" s="1" t="s">
        <v>202</v>
      </c>
      <c r="C200" s="2" t="s">
        <v>402</v>
      </c>
      <c r="D200" t="str">
        <f t="shared" si="9"/>
        <v>Male</v>
      </c>
      <c r="E200" s="3">
        <v>27845</v>
      </c>
      <c r="F200">
        <f t="shared" ca="1" si="10"/>
        <v>50</v>
      </c>
      <c r="G200" t="str">
        <f t="shared" ca="1" si="11"/>
        <v>40-50</v>
      </c>
      <c r="H200" t="s">
        <v>843</v>
      </c>
      <c r="I200" t="s">
        <v>412</v>
      </c>
      <c r="J200" t="s">
        <v>414</v>
      </c>
      <c r="K200" t="s">
        <v>416</v>
      </c>
      <c r="L200" t="s">
        <v>618</v>
      </c>
      <c r="M200" s="3">
        <v>38904</v>
      </c>
      <c r="N200" t="s">
        <v>847</v>
      </c>
      <c r="O200" t="s">
        <v>624</v>
      </c>
      <c r="P200" t="s">
        <v>633</v>
      </c>
      <c r="Q200" t="s">
        <v>638</v>
      </c>
      <c r="R200" t="s">
        <v>851</v>
      </c>
      <c r="S200" s="5">
        <v>88000</v>
      </c>
      <c r="T200" s="5" t="s">
        <v>859</v>
      </c>
      <c r="U200" s="5">
        <v>1800</v>
      </c>
      <c r="V200" s="5" t="s">
        <v>862</v>
      </c>
      <c r="W200">
        <v>2</v>
      </c>
      <c r="X200">
        <v>3</v>
      </c>
      <c r="Y200" t="s">
        <v>628</v>
      </c>
      <c r="Z200" t="s">
        <v>838</v>
      </c>
      <c r="AA200" s="5" t="str" cm="1">
        <f t="array" aca="1" ref="AA200" ca="1">INDEX({"North","West","South","East"},RANDBETWEEN(1,4))</f>
        <v>West</v>
      </c>
    </row>
    <row r="201" spans="1:27" x14ac:dyDescent="0.3">
      <c r="A201" t="s">
        <v>199</v>
      </c>
      <c r="B201" s="1" t="s">
        <v>204</v>
      </c>
      <c r="C201" s="2" t="s">
        <v>403</v>
      </c>
      <c r="D201" t="str">
        <f t="shared" si="9"/>
        <v>Female</v>
      </c>
      <c r="E201" s="3">
        <v>37451</v>
      </c>
      <c r="F201">
        <f t="shared" ca="1" si="10"/>
        <v>23</v>
      </c>
      <c r="G201" t="str">
        <f t="shared" ca="1" si="11"/>
        <v>20-30</v>
      </c>
      <c r="H201" t="s">
        <v>846</v>
      </c>
      <c r="I201" t="s">
        <v>412</v>
      </c>
      <c r="J201" t="s">
        <v>414</v>
      </c>
      <c r="K201" t="s">
        <v>417</v>
      </c>
      <c r="L201" t="s">
        <v>619</v>
      </c>
      <c r="M201" s="3">
        <v>44271</v>
      </c>
      <c r="N201" t="s">
        <v>848</v>
      </c>
      <c r="O201" t="s">
        <v>626</v>
      </c>
      <c r="P201" t="s">
        <v>629</v>
      </c>
      <c r="Q201" t="s">
        <v>638</v>
      </c>
      <c r="R201" t="s">
        <v>853</v>
      </c>
      <c r="S201" s="5">
        <v>71000</v>
      </c>
      <c r="T201" s="5" t="s">
        <v>856</v>
      </c>
      <c r="U201" s="5">
        <v>2200</v>
      </c>
      <c r="V201" s="5" t="s">
        <v>863</v>
      </c>
      <c r="W201">
        <v>5</v>
      </c>
      <c r="X201">
        <v>1</v>
      </c>
      <c r="Y201" t="s">
        <v>871</v>
      </c>
      <c r="Z201" t="s">
        <v>839</v>
      </c>
      <c r="AA201" s="5" t="str" cm="1">
        <f t="array" aca="1" ref="AA201" ca="1">INDEX({"North","West","South","East"},RANDBETWEEN(1,4))</f>
        <v>West</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BB21B-6981-41C6-A235-EB9B32DF08F3}">
  <dimension ref="B2:AC26"/>
  <sheetViews>
    <sheetView showGridLines="0" zoomScale="98" workbookViewId="0">
      <selection activeCell="AB5" sqref="AB5"/>
    </sheetView>
  </sheetViews>
  <sheetFormatPr defaultRowHeight="14.4" x14ac:dyDescent="0.3"/>
  <cols>
    <col min="2" max="2" width="12.6640625" bestFit="1" customWidth="1"/>
    <col min="3" max="3" width="17" bestFit="1" customWidth="1"/>
    <col min="5" max="5" width="12.6640625" bestFit="1" customWidth="1"/>
    <col min="6" max="6" width="12.44140625" bestFit="1" customWidth="1"/>
    <col min="7" max="7" width="17.5546875" bestFit="1" customWidth="1"/>
    <col min="9" max="9" width="17" bestFit="1" customWidth="1"/>
    <col min="10" max="10" width="15.88671875" bestFit="1" customWidth="1"/>
    <col min="11" max="11" width="5.109375" bestFit="1" customWidth="1"/>
    <col min="12" max="12" width="10.77734375" bestFit="1" customWidth="1"/>
    <col min="14" max="14" width="12.6640625" bestFit="1" customWidth="1"/>
    <col min="15" max="15" width="17" bestFit="1" customWidth="1"/>
    <col min="19" max="19" width="14.21875" bestFit="1" customWidth="1"/>
    <col min="20" max="20" width="17" bestFit="1" customWidth="1"/>
    <col min="22" max="22" width="12.6640625" bestFit="1" customWidth="1"/>
    <col min="23" max="23" width="17" bestFit="1" customWidth="1"/>
    <col min="25" max="25" width="12.6640625" bestFit="1" customWidth="1"/>
    <col min="26" max="26" width="27" bestFit="1" customWidth="1"/>
    <col min="27" max="27" width="17" bestFit="1" customWidth="1"/>
    <col min="28" max="28" width="14.6640625" bestFit="1" customWidth="1"/>
    <col min="29" max="29" width="6.44140625" bestFit="1" customWidth="1"/>
    <col min="31" max="31" width="12.33203125" customWidth="1"/>
    <col min="32" max="32" width="18.77734375" customWidth="1"/>
  </cols>
  <sheetData>
    <row r="2" spans="2:29" x14ac:dyDescent="0.3">
      <c r="B2" s="14" t="s">
        <v>876</v>
      </c>
      <c r="C2" s="14"/>
      <c r="E2" s="14" t="s">
        <v>878</v>
      </c>
      <c r="F2" s="14"/>
      <c r="G2" s="14"/>
      <c r="I2" s="14" t="s">
        <v>887</v>
      </c>
      <c r="J2" s="14"/>
      <c r="K2" s="14"/>
      <c r="L2" s="14"/>
      <c r="N2" s="13" t="s">
        <v>888</v>
      </c>
      <c r="O2" s="13"/>
      <c r="S2" s="13" t="s">
        <v>867</v>
      </c>
      <c r="T2" s="13"/>
      <c r="V2" s="13" t="s">
        <v>891</v>
      </c>
      <c r="W2" s="13"/>
      <c r="Y2" s="13" t="s">
        <v>893</v>
      </c>
      <c r="Z2" s="13"/>
      <c r="AB2" s="6" t="s">
        <v>405</v>
      </c>
      <c r="AC2" t="s">
        <v>895</v>
      </c>
    </row>
    <row r="4" spans="2:29" x14ac:dyDescent="0.3">
      <c r="B4" s="6" t="s">
        <v>872</v>
      </c>
      <c r="C4" t="s">
        <v>874</v>
      </c>
      <c r="E4" s="6" t="s">
        <v>872</v>
      </c>
      <c r="F4" t="s">
        <v>877</v>
      </c>
      <c r="G4" t="s">
        <v>890</v>
      </c>
      <c r="I4" s="6" t="s">
        <v>874</v>
      </c>
      <c r="J4" s="6" t="s">
        <v>886</v>
      </c>
      <c r="N4" s="6" t="s">
        <v>872</v>
      </c>
      <c r="O4" t="s">
        <v>874</v>
      </c>
      <c r="S4" s="6" t="s">
        <v>872</v>
      </c>
      <c r="T4" t="s">
        <v>874</v>
      </c>
      <c r="V4" s="6" t="s">
        <v>872</v>
      </c>
      <c r="W4" t="s">
        <v>874</v>
      </c>
      <c r="Y4" s="6" t="s">
        <v>872</v>
      </c>
      <c r="Z4" t="s">
        <v>892</v>
      </c>
      <c r="AB4" t="s">
        <v>894</v>
      </c>
    </row>
    <row r="5" spans="2:29" x14ac:dyDescent="0.3">
      <c r="B5" s="7" t="s">
        <v>849</v>
      </c>
      <c r="C5" s="15">
        <v>34</v>
      </c>
      <c r="E5" s="7" t="s">
        <v>624</v>
      </c>
      <c r="F5" s="5">
        <v>4804500</v>
      </c>
      <c r="G5" s="15">
        <v>275</v>
      </c>
      <c r="I5" s="6" t="s">
        <v>872</v>
      </c>
      <c r="J5" t="s">
        <v>885</v>
      </c>
      <c r="K5" t="s">
        <v>884</v>
      </c>
      <c r="L5" t="s">
        <v>873</v>
      </c>
      <c r="N5" s="7" t="s">
        <v>851</v>
      </c>
      <c r="O5" s="15">
        <v>72</v>
      </c>
      <c r="S5" s="7" t="s">
        <v>871</v>
      </c>
      <c r="T5" s="15">
        <v>39</v>
      </c>
      <c r="V5" s="7" t="s">
        <v>843</v>
      </c>
      <c r="W5" s="15">
        <v>46</v>
      </c>
      <c r="Y5" s="7" t="s">
        <v>624</v>
      </c>
      <c r="Z5" s="11">
        <v>2.2400000000000002</v>
      </c>
      <c r="AB5" s="15">
        <v>200</v>
      </c>
    </row>
    <row r="6" spans="2:29" x14ac:dyDescent="0.3">
      <c r="B6" s="7" t="s">
        <v>847</v>
      </c>
      <c r="C6" s="15">
        <v>83</v>
      </c>
      <c r="E6" s="7" t="s">
        <v>626</v>
      </c>
      <c r="F6" s="5">
        <v>4763700</v>
      </c>
      <c r="G6" s="15">
        <v>261</v>
      </c>
      <c r="I6" s="7" t="s">
        <v>879</v>
      </c>
      <c r="J6">
        <v>0</v>
      </c>
      <c r="K6">
        <v>5</v>
      </c>
      <c r="L6">
        <v>5</v>
      </c>
      <c r="N6" s="7" t="s">
        <v>852</v>
      </c>
      <c r="O6" s="15">
        <v>71</v>
      </c>
      <c r="S6" s="7" t="s">
        <v>868</v>
      </c>
      <c r="T6" s="15">
        <v>39</v>
      </c>
      <c r="V6" s="7" t="s">
        <v>845</v>
      </c>
      <c r="W6" s="15">
        <v>51</v>
      </c>
      <c r="Y6" s="7" t="s">
        <v>626</v>
      </c>
      <c r="Z6" s="11">
        <v>1.82</v>
      </c>
    </row>
    <row r="7" spans="2:29" x14ac:dyDescent="0.3">
      <c r="B7" s="7" t="s">
        <v>848</v>
      </c>
      <c r="C7" s="15">
        <v>83</v>
      </c>
      <c r="E7" s="7" t="s">
        <v>627</v>
      </c>
      <c r="F7" s="5">
        <v>4744300</v>
      </c>
      <c r="G7" s="15">
        <v>249</v>
      </c>
      <c r="I7" s="7" t="s">
        <v>880</v>
      </c>
      <c r="J7">
        <v>25</v>
      </c>
      <c r="K7">
        <v>30</v>
      </c>
      <c r="L7">
        <v>55</v>
      </c>
      <c r="N7" s="7" t="s">
        <v>853</v>
      </c>
      <c r="O7" s="15">
        <v>57</v>
      </c>
      <c r="S7" s="7" t="s">
        <v>869</v>
      </c>
      <c r="T7" s="15">
        <v>45</v>
      </c>
      <c r="V7" s="7" t="s">
        <v>846</v>
      </c>
      <c r="W7" s="15">
        <v>49</v>
      </c>
      <c r="Y7" s="7" t="s">
        <v>627</v>
      </c>
      <c r="Z7" s="11">
        <v>1.98</v>
      </c>
    </row>
    <row r="8" spans="2:29" x14ac:dyDescent="0.3">
      <c r="B8" s="7" t="s">
        <v>873</v>
      </c>
      <c r="C8" s="15">
        <v>200</v>
      </c>
      <c r="E8" s="7" t="s">
        <v>625</v>
      </c>
      <c r="F8" s="5">
        <v>4501000</v>
      </c>
      <c r="G8" s="15">
        <v>245</v>
      </c>
      <c r="I8" s="7" t="s">
        <v>881</v>
      </c>
      <c r="J8">
        <v>28</v>
      </c>
      <c r="K8">
        <v>25</v>
      </c>
      <c r="L8">
        <v>53</v>
      </c>
      <c r="N8" s="7" t="s">
        <v>873</v>
      </c>
      <c r="O8" s="15">
        <v>200</v>
      </c>
      <c r="S8" s="7" t="s">
        <v>628</v>
      </c>
      <c r="T8" s="15">
        <v>39</v>
      </c>
      <c r="V8" s="7" t="s">
        <v>844</v>
      </c>
      <c r="W8" s="15">
        <v>54</v>
      </c>
      <c r="Y8" s="7" t="s">
        <v>625</v>
      </c>
      <c r="Z8" s="11">
        <v>2.1800000000000002</v>
      </c>
    </row>
    <row r="9" spans="2:29" x14ac:dyDescent="0.3">
      <c r="E9" s="7" t="s">
        <v>873</v>
      </c>
      <c r="F9" s="5">
        <v>18813500</v>
      </c>
      <c r="G9" s="15">
        <v>1030</v>
      </c>
      <c r="I9" s="7" t="s">
        <v>882</v>
      </c>
      <c r="J9">
        <v>28</v>
      </c>
      <c r="K9">
        <v>28</v>
      </c>
      <c r="L9">
        <v>56</v>
      </c>
      <c r="S9" s="7" t="s">
        <v>870</v>
      </c>
      <c r="T9" s="15">
        <v>38</v>
      </c>
      <c r="V9" s="7" t="s">
        <v>873</v>
      </c>
      <c r="W9" s="15">
        <v>200</v>
      </c>
      <c r="Y9" s="7" t="s">
        <v>873</v>
      </c>
      <c r="Z9" s="10">
        <v>2.0550000000000002</v>
      </c>
    </row>
    <row r="10" spans="2:29" x14ac:dyDescent="0.3">
      <c r="B10" s="7" t="s">
        <v>849</v>
      </c>
      <c r="C10">
        <f>IFERROR(C5,"0")</f>
        <v>34</v>
      </c>
      <c r="I10" s="7" t="s">
        <v>883</v>
      </c>
      <c r="J10">
        <v>18</v>
      </c>
      <c r="K10">
        <v>13</v>
      </c>
      <c r="L10">
        <v>31</v>
      </c>
      <c r="N10" s="7" t="s">
        <v>851</v>
      </c>
      <c r="O10">
        <f>O5</f>
        <v>72</v>
      </c>
      <c r="S10" s="7" t="s">
        <v>873</v>
      </c>
      <c r="T10" s="15">
        <v>200</v>
      </c>
    </row>
    <row r="11" spans="2:29" x14ac:dyDescent="0.3">
      <c r="B11" s="7" t="s">
        <v>847</v>
      </c>
      <c r="C11">
        <f t="shared" ref="C11:C12" si="0">IFERROR(C6,"0")</f>
        <v>83</v>
      </c>
      <c r="E11" t="str">
        <f t="shared" ref="E11:E15" si="1">E5</f>
        <v>Finance</v>
      </c>
      <c r="F11" s="5">
        <f>IFERROR(F5,"0")</f>
        <v>4804500</v>
      </c>
      <c r="G11">
        <f>IFERROR(G5,"0")</f>
        <v>275</v>
      </c>
      <c r="I11" s="7" t="s">
        <v>873</v>
      </c>
      <c r="J11">
        <v>99</v>
      </c>
      <c r="K11">
        <v>101</v>
      </c>
      <c r="L11">
        <v>200</v>
      </c>
      <c r="N11" s="7" t="s">
        <v>852</v>
      </c>
      <c r="O11">
        <f t="shared" ref="O11:O12" si="2">O6</f>
        <v>71</v>
      </c>
      <c r="Y11" s="7" t="s">
        <v>624</v>
      </c>
      <c r="Z11" s="11">
        <f>Z5</f>
        <v>2.2400000000000002</v>
      </c>
    </row>
    <row r="12" spans="2:29" x14ac:dyDescent="0.3">
      <c r="B12" s="7" t="s">
        <v>848</v>
      </c>
      <c r="C12">
        <f t="shared" si="0"/>
        <v>83</v>
      </c>
      <c r="E12" t="str">
        <f t="shared" si="1"/>
        <v>Marketing</v>
      </c>
      <c r="F12" s="5">
        <f t="shared" ref="F12:G15" si="3">IFERROR(F6,"0")</f>
        <v>4763700</v>
      </c>
      <c r="G12">
        <f t="shared" si="3"/>
        <v>261</v>
      </c>
      <c r="N12" s="7" t="s">
        <v>853</v>
      </c>
      <c r="O12">
        <f t="shared" si="2"/>
        <v>57</v>
      </c>
      <c r="S12" s="7" t="s">
        <v>871</v>
      </c>
      <c r="T12">
        <f>T5</f>
        <v>39</v>
      </c>
      <c r="Y12" s="7" t="s">
        <v>626</v>
      </c>
      <c r="Z12" s="11">
        <f t="shared" ref="Z12:Z14" si="4">Z6</f>
        <v>1.82</v>
      </c>
    </row>
    <row r="13" spans="2:29" x14ac:dyDescent="0.3">
      <c r="B13" s="7" t="s">
        <v>875</v>
      </c>
      <c r="C13">
        <f>SUM(C10:C12)</f>
        <v>200</v>
      </c>
      <c r="E13" t="str">
        <f t="shared" si="1"/>
        <v>Production</v>
      </c>
      <c r="F13" s="5">
        <f t="shared" si="3"/>
        <v>4744300</v>
      </c>
      <c r="G13">
        <f t="shared" si="3"/>
        <v>249</v>
      </c>
      <c r="I13" s="7" t="s">
        <v>879</v>
      </c>
      <c r="J13">
        <f>L6</f>
        <v>5</v>
      </c>
      <c r="N13" s="7" t="s">
        <v>875</v>
      </c>
      <c r="O13">
        <f>O8</f>
        <v>200</v>
      </c>
      <c r="S13" s="7" t="s">
        <v>868</v>
      </c>
      <c r="T13">
        <f t="shared" ref="T13:T17" si="5">T6</f>
        <v>39</v>
      </c>
      <c r="Y13" s="7" t="s">
        <v>627</v>
      </c>
      <c r="Z13" s="11">
        <f t="shared" si="4"/>
        <v>1.98</v>
      </c>
    </row>
    <row r="14" spans="2:29" x14ac:dyDescent="0.3">
      <c r="E14" t="str">
        <f t="shared" si="1"/>
        <v>Sales</v>
      </c>
      <c r="F14" s="5">
        <f t="shared" si="3"/>
        <v>4501000</v>
      </c>
      <c r="G14">
        <f t="shared" si="3"/>
        <v>245</v>
      </c>
      <c r="I14" s="7" t="s">
        <v>880</v>
      </c>
      <c r="J14">
        <f t="shared" ref="J14:J17" si="6">L7</f>
        <v>55</v>
      </c>
      <c r="S14" s="7" t="s">
        <v>869</v>
      </c>
      <c r="T14">
        <f t="shared" si="5"/>
        <v>45</v>
      </c>
      <c r="Y14" s="7" t="s">
        <v>625</v>
      </c>
      <c r="Z14" s="11">
        <f t="shared" si="4"/>
        <v>2.1800000000000002</v>
      </c>
    </row>
    <row r="15" spans="2:29" x14ac:dyDescent="0.3">
      <c r="E15" t="str">
        <f t="shared" si="1"/>
        <v>Grand Total</v>
      </c>
      <c r="F15" s="5">
        <f t="shared" si="3"/>
        <v>18813500</v>
      </c>
      <c r="G15">
        <f t="shared" si="3"/>
        <v>1030</v>
      </c>
      <c r="I15" s="7" t="s">
        <v>881</v>
      </c>
      <c r="J15">
        <f t="shared" si="6"/>
        <v>53</v>
      </c>
      <c r="N15" s="8">
        <f>SUM(O10)/SUM($O$10:$O$12)</f>
        <v>0.36</v>
      </c>
      <c r="O15" s="9">
        <f>1-N15</f>
        <v>0.64</v>
      </c>
      <c r="S15" s="7" t="s">
        <v>628</v>
      </c>
      <c r="T15">
        <f t="shared" si="5"/>
        <v>39</v>
      </c>
      <c r="Y15" s="7" t="s">
        <v>875</v>
      </c>
      <c r="Z15" s="12">
        <f>AVERAGE(Z11:Z14)</f>
        <v>2.0550000000000002</v>
      </c>
    </row>
    <row r="16" spans="2:29" x14ac:dyDescent="0.3">
      <c r="I16" s="7" t="s">
        <v>882</v>
      </c>
      <c r="J16">
        <f t="shared" si="6"/>
        <v>56</v>
      </c>
      <c r="N16" s="8">
        <f>SUM(O11)/SUM($O$10:$O$12)</f>
        <v>0.35499999999999998</v>
      </c>
      <c r="O16" s="9">
        <f t="shared" ref="O16:O17" si="7">1-N16</f>
        <v>0.64500000000000002</v>
      </c>
      <c r="S16" s="7" t="s">
        <v>870</v>
      </c>
      <c r="T16">
        <f t="shared" si="5"/>
        <v>38</v>
      </c>
    </row>
    <row r="17" spans="6:20" x14ac:dyDescent="0.3">
      <c r="I17" s="7" t="s">
        <v>883</v>
      </c>
      <c r="J17">
        <f t="shared" si="6"/>
        <v>31</v>
      </c>
      <c r="N17" s="8">
        <f>SUM(O12)/SUM($O$10:$O$12)</f>
        <v>0.28499999999999998</v>
      </c>
      <c r="O17" s="9">
        <f t="shared" si="7"/>
        <v>0.71500000000000008</v>
      </c>
      <c r="S17" s="7" t="s">
        <v>889</v>
      </c>
      <c r="T17">
        <f t="shared" si="5"/>
        <v>200</v>
      </c>
    </row>
    <row r="18" spans="6:20" x14ac:dyDescent="0.3">
      <c r="I18" s="7" t="s">
        <v>875</v>
      </c>
      <c r="J18">
        <f>L11</f>
        <v>200</v>
      </c>
    </row>
    <row r="21" spans="6:20" x14ac:dyDescent="0.3">
      <c r="I21" s="7" t="s">
        <v>884</v>
      </c>
      <c r="J21">
        <f>GETPIVOTDATA("Count of Full Name", $K$11, "Gender", "Male")</f>
        <v>101</v>
      </c>
      <c r="K21" s="8">
        <f t="shared" ref="K21:K22" si="8">SUM(J21)/SUM($J$21:$J$22)</f>
        <v>0.505</v>
      </c>
      <c r="L21" s="9">
        <f>1-K21</f>
        <v>0.495</v>
      </c>
    </row>
    <row r="22" spans="6:20" x14ac:dyDescent="0.3">
      <c r="F22" s="5"/>
      <c r="G22" s="5"/>
      <c r="I22" s="7" t="s">
        <v>885</v>
      </c>
      <c r="J22">
        <f>GETPIVOTDATA("Count of Full Name", $J11, "Gender", "Female")</f>
        <v>99</v>
      </c>
      <c r="K22" s="8">
        <f t="shared" si="8"/>
        <v>0.495</v>
      </c>
      <c r="L22" s="9">
        <f>1-K22</f>
        <v>0.505</v>
      </c>
    </row>
    <row r="23" spans="6:20" x14ac:dyDescent="0.3">
      <c r="F23" s="5"/>
      <c r="G23" s="5"/>
      <c r="I23" s="7" t="s">
        <v>889</v>
      </c>
      <c r="J23">
        <f>SUM(J21:J22)</f>
        <v>200</v>
      </c>
    </row>
    <row r="24" spans="6:20" x14ac:dyDescent="0.3">
      <c r="F24" s="5"/>
      <c r="G24" s="5"/>
    </row>
    <row r="25" spans="6:20" x14ac:dyDescent="0.3">
      <c r="F25" s="5"/>
      <c r="G25" s="5"/>
    </row>
    <row r="26" spans="6:20" x14ac:dyDescent="0.3">
      <c r="F26" s="5"/>
      <c r="G26" s="5"/>
    </row>
  </sheetData>
  <mergeCells count="7">
    <mergeCell ref="V2:W2"/>
    <mergeCell ref="Y2:Z2"/>
    <mergeCell ref="B2:C2"/>
    <mergeCell ref="I2:L2"/>
    <mergeCell ref="N2:O2"/>
    <mergeCell ref="E2:G2"/>
    <mergeCell ref="S2:T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4B39-2053-4B27-ABEB-E55A5978194A}">
  <dimension ref="A1"/>
  <sheetViews>
    <sheetView showGridLines="0" tabSelected="1" topLeftCell="N7" zoomScale="83" zoomScaleNormal="100" workbookViewId="0">
      <selection activeCell="T13" sqref="T13"/>
    </sheetView>
  </sheetViews>
  <sheetFormatPr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Khushi Singhal</dc:creator>
  <cp:lastModifiedBy>Khushi Singhal</cp:lastModifiedBy>
  <dcterms:created xsi:type="dcterms:W3CDTF">2026-03-19T07:22:48Z</dcterms:created>
  <dcterms:modified xsi:type="dcterms:W3CDTF">2026-06-05T06:27:39Z</dcterms:modified>
</cp:coreProperties>
</file>