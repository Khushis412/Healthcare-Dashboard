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4" documentId="13_ncr:1_{AB83EE20-0D52-4298-AF72-E3CD62ACDE5B}" xr6:coauthVersionLast="47" xr6:coauthVersionMax="47" xr10:uidLastSave="{6F25BF21-3D99-4151-8F76-71AEDF2311F7}"/>
  <bookViews>
    <workbookView xWindow="-108" yWindow="-108" windowWidth="23256" windowHeight="13896" tabRatio="579" activeTab="1" xr2:uid="{00000000-000D-0000-FFFF-FFFF00000000}"/>
  </bookViews>
  <sheets>
    <sheet name="MATCH DETAILS" sheetId="2" r:id="rId1"/>
    <sheet name="MATCH RAW DATA" sheetId="1" r:id="rId2"/>
    <sheet name="pivot table" sheetId="6" r:id="rId3"/>
    <sheet name="Dashboard" sheetId="5" r:id="rId4"/>
  </sheets>
  <definedNames>
    <definedName name="Slicer_COUNTRY">#N/A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1" l="1"/>
  <c r="AC23" i="1"/>
  <c r="AG22" i="1"/>
  <c r="AF22" i="1"/>
  <c r="AC22" i="1"/>
  <c r="AG21" i="1"/>
  <c r="AF21" i="1"/>
  <c r="AC21" i="1"/>
  <c r="AC20" i="1"/>
  <c r="AD20" i="1" s="1"/>
  <c r="AG19" i="1"/>
  <c r="AF19" i="1"/>
  <c r="AC19" i="1"/>
  <c r="AC18" i="1"/>
  <c r="AD18" i="1" s="1"/>
  <c r="AC17" i="1"/>
  <c r="AD17" i="1" s="1"/>
  <c r="AC16" i="1"/>
  <c r="AC15" i="1"/>
  <c r="AD15" i="1" s="1"/>
  <c r="AC14" i="1"/>
  <c r="AC13" i="1"/>
  <c r="AD13" i="1" s="1"/>
  <c r="AC12" i="1"/>
  <c r="AG11" i="1"/>
  <c r="AF11" i="1"/>
  <c r="AC11" i="1"/>
  <c r="AG10" i="1"/>
  <c r="AF10" i="1"/>
  <c r="AC10" i="1"/>
  <c r="AC9" i="1"/>
  <c r="AD9" i="1" s="1"/>
  <c r="AG8" i="1"/>
  <c r="AF8" i="1"/>
  <c r="AC8" i="1"/>
  <c r="AD8" i="1" s="1"/>
  <c r="AC7" i="1"/>
  <c r="AD7" i="1" s="1"/>
  <c r="AC6" i="1"/>
  <c r="AG5" i="1"/>
  <c r="AF5" i="1"/>
  <c r="AC5" i="1"/>
  <c r="AD5" i="1" s="1"/>
  <c r="AC4" i="1"/>
  <c r="AD4" i="1" s="1"/>
  <c r="AC3" i="1"/>
  <c r="AD3" i="1" s="1"/>
  <c r="AD2" i="1"/>
</calcChain>
</file>

<file path=xl/sharedStrings.xml><?xml version="1.0" encoding="utf-8"?>
<sst xmlns="http://schemas.openxmlformats.org/spreadsheetml/2006/main" count="601" uniqueCount="170">
  <si>
    <t>COUNTRY</t>
  </si>
  <si>
    <t>NAME OF THE PLAYER</t>
  </si>
  <si>
    <t>DATE OF BIRTH</t>
  </si>
  <si>
    <t>ROLES</t>
  </si>
  <si>
    <t>SPECIALISED</t>
  </si>
  <si>
    <t>Match Date</t>
  </si>
  <si>
    <t>Match Format</t>
  </si>
  <si>
    <t>Tournament</t>
  </si>
  <si>
    <t>Venue</t>
  </si>
  <si>
    <t>Result</t>
  </si>
  <si>
    <t>Playing XI</t>
  </si>
  <si>
    <t>Batting Position</t>
  </si>
  <si>
    <t>Bowled</t>
  </si>
  <si>
    <t>Runs Scored</t>
  </si>
  <si>
    <t>Balls Faced</t>
  </si>
  <si>
    <t>Fours</t>
  </si>
  <si>
    <t>Sixes</t>
  </si>
  <si>
    <t>Strike Rate</t>
  </si>
  <si>
    <t>Dismissal Type</t>
  </si>
  <si>
    <t>Overs Bowled</t>
  </si>
  <si>
    <t>Maidens</t>
  </si>
  <si>
    <t>Runs Conceded</t>
  </si>
  <si>
    <t>Wickets</t>
  </si>
  <si>
    <t>Economy Rate</t>
  </si>
  <si>
    <t>Catches</t>
  </si>
  <si>
    <t>Stumpings</t>
  </si>
  <si>
    <t>Run-outs</t>
  </si>
  <si>
    <t>Player Age</t>
  </si>
  <si>
    <t>Boundary Runs</t>
  </si>
  <si>
    <t>Boundary %</t>
  </si>
  <si>
    <t>Balls Bowled</t>
  </si>
  <si>
    <t>Bowling Strike Rate</t>
  </si>
  <si>
    <t>Bowling Average</t>
  </si>
  <si>
    <t>Match Outcome</t>
  </si>
  <si>
    <t>Performance Highlight</t>
  </si>
  <si>
    <t>Stadium Capacity</t>
  </si>
  <si>
    <t>Attendance</t>
  </si>
  <si>
    <t>Global Viewership Estimate</t>
  </si>
  <si>
    <t>Social Media Buzz</t>
  </si>
  <si>
    <t>Country Population (2019)</t>
  </si>
  <si>
    <t>Regional Audience Breakdown</t>
  </si>
  <si>
    <t>Broadcast Reach</t>
  </si>
  <si>
    <t>Ticket Sales Revenue (GBP)</t>
  </si>
  <si>
    <t>Advertising Revenue (USD)</t>
  </si>
  <si>
    <t>Trending Hashtags</t>
  </si>
  <si>
    <t>India</t>
  </si>
  <si>
    <t>Pakistan</t>
  </si>
  <si>
    <t>Rohit Sharma</t>
  </si>
  <si>
    <t>KL Rahul</t>
  </si>
  <si>
    <t>Virat Kohli</t>
  </si>
  <si>
    <t>Vijay Shankar</t>
  </si>
  <si>
    <t>MS Dhoni</t>
  </si>
  <si>
    <t>Kedar Jadhav</t>
  </si>
  <si>
    <t>Hardik Pandya</t>
  </si>
  <si>
    <t>Jasprit Bumrah</t>
  </si>
  <si>
    <t>Yuzvendra Chahal</t>
  </si>
  <si>
    <t>Kuldeep Yadav</t>
  </si>
  <si>
    <t>Bhuvneshwar Kumar</t>
  </si>
  <si>
    <t>Fakhar Zaman</t>
  </si>
  <si>
    <t>Imam-ul-Haq</t>
  </si>
  <si>
    <t>Babar Azam</t>
  </si>
  <si>
    <t>Mohammad Hafeez</t>
  </si>
  <si>
    <t>Sarfaraz Ahmed</t>
  </si>
  <si>
    <t>Imad Wasim</t>
  </si>
  <si>
    <t>Wahab Riaz</t>
  </si>
  <si>
    <t>Shadab Khan</t>
  </si>
  <si>
    <t>Mohammad Amir</t>
  </si>
  <si>
    <t>Hasan Ali</t>
  </si>
  <si>
    <t>Shoaib Malik</t>
  </si>
  <si>
    <t>Top-order batsman</t>
  </si>
  <si>
    <t>Wicket-keeper batter / Opening batsman</t>
  </si>
  <si>
    <t>All-rounder</t>
  </si>
  <si>
    <t>Wicket-keeper batsman</t>
  </si>
  <si>
    <t>Middle-order batsman</t>
  </si>
  <si>
    <t>Fast bowler</t>
  </si>
  <si>
    <t>Spin bowler</t>
  </si>
  <si>
    <t>Batting</t>
  </si>
  <si>
    <t>Bowling</t>
  </si>
  <si>
    <t>ODI</t>
  </si>
  <si>
    <t>ICC Cricket World Cup 2019</t>
  </si>
  <si>
    <t>Old Trafford, Manchester, England</t>
  </si>
  <si>
    <t>India beat Pakistan by 89 runs (DLS method)</t>
  </si>
  <si>
    <t>Yes</t>
  </si>
  <si>
    <t>No</t>
  </si>
  <si>
    <t>Opener</t>
  </si>
  <si>
    <t>Did Not Bat</t>
  </si>
  <si>
    <t>Not Bowled</t>
  </si>
  <si>
    <t>Not Out</t>
  </si>
  <si>
    <t>Caught</t>
  </si>
  <si>
    <t>32y 55d</t>
  </si>
  <si>
    <t>27y 65d</t>
  </si>
  <si>
    <t>31y 43d</t>
  </si>
  <si>
    <t>28y 148d</t>
  </si>
  <si>
    <t>37y 353d</t>
  </si>
  <si>
    <t>34y 90d</t>
  </si>
  <si>
    <t>25y 224d</t>
  </si>
  <si>
    <t>26y 10d</t>
  </si>
  <si>
    <t>28y 335d</t>
  </si>
  <si>
    <t>24y 190d</t>
  </si>
  <si>
    <t>29y 52d</t>
  </si>
  <si>
    <t>28y 262d</t>
  </si>
  <si>
    <t>23y 182d</t>
  </si>
  <si>
    <t>24y 250d</t>
  </si>
  <si>
    <t>38y 251d</t>
  </si>
  <si>
    <t>32y 33d</t>
  </si>
  <si>
    <t>30y 187d</t>
  </si>
  <si>
    <t>33y 361d</t>
  </si>
  <si>
    <t>21y 72d</t>
  </si>
  <si>
    <t>27y 70d</t>
  </si>
  <si>
    <t>25y 135d</t>
  </si>
  <si>
    <t>19y 16d</t>
  </si>
  <si>
    <t>Win</t>
  </si>
  <si>
    <t>Loss</t>
  </si>
  <si>
    <t>Player of the Match</t>
  </si>
  <si>
    <t>Key Performer</t>
  </si>
  <si>
    <t>1B+</t>
  </si>
  <si>
    <t>Very High</t>
  </si>
  <si>
    <t>1.36B</t>
  </si>
  <si>
    <t>216M</t>
  </si>
  <si>
    <t>India ~700M, Pakistan ~150M, UK/EU ~50M, Rest of World ~100M</t>
  </si>
  <si>
    <t>200+ countries</t>
  </si>
  <si>
    <t>$100M+</t>
  </si>
  <si>
    <t>#INDvPAK, #CWC19, #BleedBlue, #WeHaveWeWill, #RohitSharma140</t>
  </si>
  <si>
    <t>c Babar Azam b Wahab Riaz</t>
  </si>
  <si>
    <t>c Wahab Riaz b Hasan A</t>
  </si>
  <si>
    <t>c Sarfaraz Ahmed b Mohammad Amir</t>
  </si>
  <si>
    <t>c Babar Azam b Mohammad Amir</t>
  </si>
  <si>
    <t xml:space="preserve">MATCH DETAILS </t>
  </si>
  <si>
    <t>Old Trafford, Manchester</t>
  </si>
  <si>
    <t>Toss</t>
  </si>
  <si>
    <t>Pakistan, elected to field first</t>
  </si>
  <si>
    <t>Series</t>
  </si>
  <si>
    <t>ICC Cricket World Cup  Pakistan tour of England</t>
  </si>
  <si>
    <t>Season</t>
  </si>
  <si>
    <t>Match number</t>
  </si>
  <si>
    <t>ODI no. 4161</t>
  </si>
  <si>
    <t>Hours of play (local time)</t>
  </si>
  <si>
    <t>10:30 start, First Session 10.30-14.00 Interval 14.00-14.30, Second Session 14.30-18.00</t>
  </si>
  <si>
    <t>Match days</t>
  </si>
  <si>
    <t>16 June 2019 - day (50-over match)</t>
  </si>
  <si>
    <t>Umpires</t>
  </si>
  <si>
    <t>Bruce oxenford                               Marais Erasmus</t>
  </si>
  <si>
    <t>TV Umpire</t>
  </si>
  <si>
    <t>Joel Wilson</t>
  </si>
  <si>
    <t>Reserve Umpire</t>
  </si>
  <si>
    <t>Paul Reiffel</t>
  </si>
  <si>
    <t>Match Referee</t>
  </si>
  <si>
    <t>Ranjan Madugalle</t>
  </si>
  <si>
    <t>Points</t>
  </si>
  <si>
    <t>India 2, Pakistan 0</t>
  </si>
  <si>
    <t xml:space="preserve"> Bowled</t>
  </si>
  <si>
    <t xml:space="preserve"> Shankar</t>
  </si>
  <si>
    <t>£50M</t>
  </si>
  <si>
    <t>Sum of Runs Scored</t>
  </si>
  <si>
    <t>Row Labels</t>
  </si>
  <si>
    <t>Grand Total</t>
  </si>
  <si>
    <t>Count of SPECIALISED</t>
  </si>
  <si>
    <t>Sum of Overs Bowled</t>
  </si>
  <si>
    <t>Sum of Wickets</t>
  </si>
  <si>
    <t xml:space="preserve">India </t>
  </si>
  <si>
    <t xml:space="preserve">Pakistan </t>
  </si>
  <si>
    <t xml:space="preserve"> UK/EU </t>
  </si>
  <si>
    <t xml:space="preserve">Rest of World </t>
  </si>
  <si>
    <t>Region</t>
  </si>
  <si>
    <t>AUDIENCE (MILLIONS)</t>
  </si>
  <si>
    <t>Sum of AUDIENCE (MILLIONS)</t>
  </si>
  <si>
    <t>Source</t>
  </si>
  <si>
    <t>Revenue(in millions)</t>
  </si>
  <si>
    <t>Sum of Revenue(in millions)</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</si>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</sst>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
    <numFmt numFmtId="166" formatCode="_-[$$-409]* #,##0.00_ ;_-[$$-409]* \-#,##0.00\ ;_-[$$-409]* &quot;-&quot;??_ ;_-@_ "/>
    <numFmt numFmtId="167" formatCode="_-[$£-809]* #,##0.00_-;\-[$£-809]* #,##0.00_-;_-[$£-809]*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u/>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bgColor theme="9"/>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9"/>
      </top>
      <bottom/>
      <diagonal/>
    </border>
  </borders>
  <cellStyleXfs count="2">
    <xf numFmtId="0" fontId="0" fillId="0" borderId="0"/>
    <xf numFmtId="0" fontId="2"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applyAlignment="1">
      <alignment wrapText="1"/>
    </xf>
    <xf numFmtId="165" fontId="0" fillId="0" borderId="0" xfId="0" applyNumberFormat="1"/>
    <xf numFmtId="165" fontId="0" fillId="0" borderId="0" xfId="0" applyNumberFormat="1" applyAlignment="1">
      <alignment horizontal="right"/>
    </xf>
    <xf numFmtId="0" fontId="3" fillId="0" borderId="0" xfId="0" applyFont="1"/>
    <xf numFmtId="0" fontId="4" fillId="0" borderId="0" xfId="0" applyFont="1"/>
    <xf numFmtId="0" fontId="4" fillId="0" borderId="0" xfId="0" applyFont="1" applyAlignment="1">
      <alignment wrapText="1"/>
    </xf>
    <xf numFmtId="0" fontId="0" fillId="0" borderId="0" xfId="0" applyAlignment="1">
      <alignment horizontal="center" vertical="center"/>
    </xf>
    <xf numFmtId="10"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5" fillId="3" borderId="1" xfId="0" applyFont="1" applyFill="1" applyBorder="1" applyAlignment="1">
      <alignment horizontal="center" vertical="top"/>
    </xf>
    <xf numFmtId="166" fontId="0" fillId="0" borderId="2" xfId="0" applyNumberFormat="1" applyBorder="1"/>
    <xf numFmtId="167" fontId="0" fillId="0" borderId="2" xfId="0" applyNumberFormat="1" applyBorder="1"/>
    <xf numFmtId="0" fontId="0" fillId="0" borderId="0" xfId="0" applyNumberFormat="1"/>
  </cellXfs>
  <cellStyles count="2">
    <cellStyle name="Normal" xfId="0" builtinId="0"/>
    <cellStyle name="Style 2" xfId="1" xr:uid="{48D89BE5-F22D-4E45-90FC-A11700D678A4}"/>
  </cellStyles>
  <dxfs count="9">
    <dxf>
      <font>
        <b val="0"/>
        <i val="0"/>
        <strike val="0"/>
        <condense val="0"/>
        <extend val="0"/>
        <outline val="0"/>
        <shadow val="0"/>
        <u val="none"/>
        <vertAlign val="baseline"/>
        <sz val="11"/>
        <color theme="1"/>
        <name val="Calibri"/>
        <family val="2"/>
        <scheme val="minor"/>
      </font>
      <numFmt numFmtId="2" formatCode="0.00"/>
      <border diagonalUp="0" diagonalDown="0" outline="0">
        <left/>
        <right/>
        <top style="thin">
          <color theme="9"/>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top" textRotation="0" wrapText="0" indent="0" justifyLastLine="0" shrinkToFit="0" readingOrder="0"/>
      <border diagonalUp="0" diagonalDown="0" outline="0">
        <left style="thin">
          <color auto="1"/>
        </left>
        <right/>
        <top style="thin">
          <color auto="1"/>
        </top>
        <bottom style="thin">
          <color auto="1"/>
        </bottom>
      </border>
    </dxf>
    <dxf>
      <numFmt numFmtId="2" formatCode="0.00"/>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table'!$A$4:$A$14</c:f>
              <c:multiLvlStrCache>
                <c:ptCount val="5"/>
                <c:lvl>
                  <c:pt idx="0">
                    <c:v>India</c:v>
                  </c:pt>
                  <c:pt idx="1">
                    <c:v>India</c:v>
                  </c:pt>
                  <c:pt idx="2">
                    <c:v>Pakistan</c:v>
                  </c:pt>
                  <c:pt idx="3">
                    <c:v>India</c:v>
                  </c:pt>
                  <c:pt idx="4">
                    <c:v>Pakistan</c:v>
                  </c:pt>
                </c:lvl>
                <c:lvl>
                  <c:pt idx="0">
                    <c:v>Rohit Sharma</c:v>
                  </c:pt>
                  <c:pt idx="1">
                    <c:v>Virat Kohli</c:v>
                  </c:pt>
                  <c:pt idx="2">
                    <c:v>Fakhar Zaman</c:v>
                  </c:pt>
                  <c:pt idx="3">
                    <c:v>KL Rahul</c:v>
                  </c:pt>
                  <c:pt idx="4">
                    <c:v>Babar Azam</c:v>
                  </c:pt>
                </c:lvl>
              </c:multiLvlStrCache>
            </c:multiLvlStrRef>
          </c:cat>
          <c:val>
            <c:numRef>
              <c:f>'pivot table'!$B$4:$B$14</c:f>
              <c:numCache>
                <c:formatCode>General</c:formatCode>
                <c:ptCount val="5"/>
                <c:pt idx="0">
                  <c:v>140</c:v>
                </c:pt>
                <c:pt idx="1">
                  <c:v>77</c:v>
                </c:pt>
                <c:pt idx="2">
                  <c:v>62</c:v>
                </c:pt>
                <c:pt idx="3">
                  <c:v>57</c:v>
                </c:pt>
                <c:pt idx="4">
                  <c:v>48</c:v>
                </c:pt>
              </c:numCache>
            </c:numRef>
          </c:val>
          <c:extLst>
            <c:ext xmlns:c16="http://schemas.microsoft.com/office/drawing/2014/chart" uri="{C3380CC4-5D6E-409C-BE32-E72D297353CC}">
              <c16:uniqueId val="{00000000-4875-447B-9647-7887F637E49D}"/>
            </c:ext>
          </c:extLst>
        </c:ser>
        <c:dLbls>
          <c:showLegendKey val="0"/>
          <c:showVal val="0"/>
          <c:showCatName val="0"/>
          <c:showSerName val="0"/>
          <c:showPercent val="0"/>
          <c:showBubbleSize val="0"/>
        </c:dLbls>
        <c:gapWidth val="150"/>
        <c:overlap val="100"/>
        <c:axId val="1086820192"/>
        <c:axId val="1086810112"/>
      </c:barChart>
      <c:catAx>
        <c:axId val="108682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10112"/>
        <c:crosses val="autoZero"/>
        <c:auto val="1"/>
        <c:lblAlgn val="ctr"/>
        <c:lblOffset val="100"/>
        <c:noMultiLvlLbl val="0"/>
      </c:catAx>
      <c:valAx>
        <c:axId val="108681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table'!$E$3</c:f>
              <c:strCache>
                <c:ptCount val="1"/>
                <c:pt idx="0">
                  <c:v>Total</c:v>
                </c:pt>
              </c:strCache>
            </c:strRef>
          </c:tx>
          <c:spPr>
            <a:solidFill>
              <a:schemeClr val="accent1"/>
            </a:solidFill>
            <a:ln>
              <a:noFill/>
            </a:ln>
            <a:effectLst/>
          </c:spPr>
          <c:invertIfNegative val="0"/>
          <c:cat>
            <c:multiLvlStrRef>
              <c:f>'pivot table'!$D$4:$D$10</c:f>
              <c:multiLvlStrCache>
                <c:ptCount val="3"/>
                <c:lvl>
                  <c:pt idx="0">
                    <c:v>India</c:v>
                  </c:pt>
                  <c:pt idx="1">
                    <c:v>India</c:v>
                  </c:pt>
                  <c:pt idx="2">
                    <c:v>India</c:v>
                  </c:pt>
                </c:lvl>
                <c:lvl>
                  <c:pt idx="0">
                    <c:v>All-rounder</c:v>
                  </c:pt>
                  <c:pt idx="1">
                    <c:v>Batting</c:v>
                  </c:pt>
                  <c:pt idx="2">
                    <c:v>Bowling</c:v>
                  </c:pt>
                </c:lvl>
              </c:multiLvlStrCache>
            </c:multiLvlStrRef>
          </c:cat>
          <c:val>
            <c:numRef>
              <c:f>'pivot table'!$E$4:$E$10</c:f>
              <c:numCache>
                <c:formatCode>General</c:formatCode>
                <c:ptCount val="3"/>
                <c:pt idx="0">
                  <c:v>2</c:v>
                </c:pt>
                <c:pt idx="1">
                  <c:v>5</c:v>
                </c:pt>
                <c:pt idx="2">
                  <c:v>4</c:v>
                </c:pt>
              </c:numCache>
            </c:numRef>
          </c:val>
          <c:extLst>
            <c:ext xmlns:c16="http://schemas.microsoft.com/office/drawing/2014/chart" uri="{C3380CC4-5D6E-409C-BE32-E72D297353CC}">
              <c16:uniqueId val="{00000000-8766-4610-B593-56ABD9BEAB5B}"/>
            </c:ext>
          </c:extLst>
        </c:ser>
        <c:dLbls>
          <c:showLegendKey val="0"/>
          <c:showVal val="0"/>
          <c:showCatName val="0"/>
          <c:showSerName val="0"/>
          <c:showPercent val="0"/>
          <c:showBubbleSize val="0"/>
        </c:dLbls>
        <c:gapWidth val="150"/>
        <c:overlap val="100"/>
        <c:axId val="1779756959"/>
        <c:axId val="1779762719"/>
      </c:barChart>
      <c:catAx>
        <c:axId val="177975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62719"/>
        <c:crosses val="autoZero"/>
        <c:auto val="1"/>
        <c:lblAlgn val="ctr"/>
        <c:lblOffset val="100"/>
        <c:noMultiLvlLbl val="0"/>
      </c:catAx>
      <c:valAx>
        <c:axId val="1779762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5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33-4B23-85D9-AB1D380297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33-4B23-85D9-AB1D380297D3}"/>
              </c:ext>
            </c:extLst>
          </c:dPt>
          <c:cat>
            <c:strRef>
              <c:f>'pivot table'!$G$4:$G$5</c:f>
              <c:strCache>
                <c:ptCount val="1"/>
                <c:pt idx="0">
                  <c:v>India</c:v>
                </c:pt>
              </c:strCache>
            </c:strRef>
          </c:cat>
          <c:val>
            <c:numRef>
              <c:f>'pivot table'!$H$4:$H$5</c:f>
              <c:numCache>
                <c:formatCode>General</c:formatCode>
                <c:ptCount val="1"/>
                <c:pt idx="0">
                  <c:v>39.6</c:v>
                </c:pt>
              </c:numCache>
            </c:numRef>
          </c:val>
          <c:extLst>
            <c:ext xmlns:c16="http://schemas.microsoft.com/office/drawing/2014/chart" uri="{C3380CC4-5D6E-409C-BE32-E72D297353CC}">
              <c16:uniqueId val="{00000000-2D00-4E2D-BB4F-376A0EF55C9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59-4989-B716-0273EFF54A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59-4989-B716-0273EFF54A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59-4989-B716-0273EFF54AA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59-4989-B716-0273EFF54A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table'!$A$19:$A$23</c:f>
              <c:strCache>
                <c:ptCount val="4"/>
                <c:pt idx="0">
                  <c:v> UK/EU </c:v>
                </c:pt>
                <c:pt idx="1">
                  <c:v>India </c:v>
                </c:pt>
                <c:pt idx="2">
                  <c:v>Pakistan </c:v>
                </c:pt>
                <c:pt idx="3">
                  <c:v>Rest of World </c:v>
                </c:pt>
              </c:strCache>
            </c:strRef>
          </c:cat>
          <c:val>
            <c:numRef>
              <c:f>'pivot table'!$B$19:$B$23</c:f>
              <c:numCache>
                <c:formatCode>0.00</c:formatCode>
                <c:ptCount val="4"/>
                <c:pt idx="0">
                  <c:v>50</c:v>
                </c:pt>
                <c:pt idx="1">
                  <c:v>700</c:v>
                </c:pt>
                <c:pt idx="2">
                  <c:v>150</c:v>
                </c:pt>
                <c:pt idx="3">
                  <c:v>100</c:v>
                </c:pt>
              </c:numCache>
            </c:numRef>
          </c:val>
          <c:extLst>
            <c:ext xmlns:c16="http://schemas.microsoft.com/office/drawing/2014/chart" uri="{C3380CC4-5D6E-409C-BE32-E72D297353CC}">
              <c16:uniqueId val="{00000000-5BCA-473E-8F7C-3C33958BA7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table'!$E$18</c:f>
              <c:strCache>
                <c:ptCount val="1"/>
                <c:pt idx="0">
                  <c:v>Total</c:v>
                </c:pt>
              </c:strCache>
            </c:strRef>
          </c:tx>
          <c:spPr>
            <a:solidFill>
              <a:schemeClr val="accent1"/>
            </a:solidFill>
            <a:ln>
              <a:noFill/>
            </a:ln>
            <a:effectLst/>
          </c:spPr>
          <c:invertIfNegative val="0"/>
          <c:cat>
            <c:strRef>
              <c:f>'pivot table'!$D$19:$D$21</c:f>
              <c:strCache>
                <c:ptCount val="2"/>
                <c:pt idx="0">
                  <c:v>Advertising Revenue (USD)</c:v>
                </c:pt>
                <c:pt idx="1">
                  <c:v>Ticket Sales Revenue (GBP)</c:v>
                </c:pt>
              </c:strCache>
            </c:strRef>
          </c:cat>
          <c:val>
            <c:numRef>
              <c:f>'pivot table'!$E$19:$E$21</c:f>
              <c:numCache>
                <c:formatCode>General</c:formatCode>
                <c:ptCount val="2"/>
                <c:pt idx="0">
                  <c:v>100</c:v>
                </c:pt>
                <c:pt idx="1">
                  <c:v>50</c:v>
                </c:pt>
              </c:numCache>
            </c:numRef>
          </c:val>
          <c:extLst>
            <c:ext xmlns:c16="http://schemas.microsoft.com/office/drawing/2014/chart" uri="{C3380CC4-5D6E-409C-BE32-E72D297353CC}">
              <c16:uniqueId val="{00000000-87FF-4D3D-A551-71EEE0EEBDAD}"/>
            </c:ext>
          </c:extLst>
        </c:ser>
        <c:dLbls>
          <c:showLegendKey val="0"/>
          <c:showVal val="0"/>
          <c:showCatName val="0"/>
          <c:showSerName val="0"/>
          <c:showPercent val="0"/>
          <c:showBubbleSize val="0"/>
        </c:dLbls>
        <c:gapWidth val="150"/>
        <c:overlap val="100"/>
        <c:axId val="1372026863"/>
        <c:axId val="1372026383"/>
      </c:barChart>
      <c:catAx>
        <c:axId val="13720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26383"/>
        <c:crosses val="autoZero"/>
        <c:auto val="1"/>
        <c:lblAlgn val="ctr"/>
        <c:lblOffset val="100"/>
        <c:noMultiLvlLbl val="0"/>
      </c:catAx>
      <c:valAx>
        <c:axId val="13720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2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6"/>
              <c:pt idx="0">
                <c:v>Wahab Riaz</c:v>
              </c:pt>
              <c:pt idx="1">
                <c:v>Mohammad Amir</c:v>
              </c:pt>
              <c:pt idx="2">
                <c:v>Imad Wasim</c:v>
              </c:pt>
              <c:pt idx="3">
                <c:v>Shadab Khan</c:v>
              </c:pt>
              <c:pt idx="4">
                <c:v>Hasan Ali</c:v>
              </c:pt>
              <c:pt idx="5">
                <c:v>Kuldeep Yadav</c:v>
              </c:pt>
            </c:strLit>
          </c:cat>
          <c:val>
            <c:numLit>
              <c:formatCode>General</c:formatCode>
              <c:ptCount val="6"/>
              <c:pt idx="0">
                <c:v>10</c:v>
              </c:pt>
              <c:pt idx="1">
                <c:v>10</c:v>
              </c:pt>
              <c:pt idx="2">
                <c:v>10</c:v>
              </c:pt>
              <c:pt idx="3">
                <c:v>9</c:v>
              </c:pt>
              <c:pt idx="4">
                <c:v>9</c:v>
              </c:pt>
              <c:pt idx="5">
                <c:v>9</c:v>
              </c:pt>
            </c:numLit>
          </c:val>
          <c:smooth val="0"/>
          <c:extLst>
            <c:ext xmlns:c16="http://schemas.microsoft.com/office/drawing/2014/chart" uri="{C3380CC4-5D6E-409C-BE32-E72D297353CC}">
              <c16:uniqueId val="{00000000-F201-49FC-B3A2-84CE1E8C6745}"/>
            </c:ext>
          </c:extLst>
        </c:ser>
        <c:dLbls>
          <c:showLegendKey val="0"/>
          <c:showVal val="0"/>
          <c:showCatName val="0"/>
          <c:showSerName val="0"/>
          <c:showPercent val="0"/>
          <c:showBubbleSize val="0"/>
        </c:dLbls>
        <c:marker val="1"/>
        <c:smooth val="0"/>
        <c:axId val="1167425519"/>
        <c:axId val="1167425999"/>
      </c:lineChart>
      <c:catAx>
        <c:axId val="116742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25999"/>
        <c:crosses val="autoZero"/>
        <c:auto val="1"/>
        <c:lblAlgn val="ctr"/>
        <c:lblOffset val="100"/>
        <c:noMultiLvlLbl val="0"/>
      </c:catAx>
      <c:valAx>
        <c:axId val="116742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2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Rohit Sharma</c:v>
              </c:pt>
            </c:strLit>
          </c:cat>
          <c:val>
            <c:numLit>
              <c:formatCode>General</c:formatCode>
              <c:ptCount val="1"/>
              <c:pt idx="0">
                <c:v>140</c:v>
              </c:pt>
            </c:numLit>
          </c:val>
          <c:extLst>
            <c:ext xmlns:c16="http://schemas.microsoft.com/office/drawing/2014/chart" uri="{C3380CC4-5D6E-409C-BE32-E72D297353CC}">
              <c16:uniqueId val="{00000000-86C5-41FA-8AD5-AED6219BA38C}"/>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Rohit Sharma</c:v>
              </c:pt>
            </c:strLit>
          </c:cat>
          <c:val>
            <c:numLit>
              <c:formatCode>General</c:formatCode>
              <c:ptCount val="1"/>
              <c:pt idx="0">
                <c:v>14</c:v>
              </c:pt>
            </c:numLit>
          </c:val>
          <c:extLst>
            <c:ext xmlns:c16="http://schemas.microsoft.com/office/drawing/2014/chart" uri="{C3380CC4-5D6E-409C-BE32-E72D297353CC}">
              <c16:uniqueId val="{00000001-86C5-41FA-8AD5-AED6219BA38C}"/>
            </c:ext>
          </c:extLst>
        </c:ser>
        <c:ser>
          <c:idx val="2"/>
          <c:order val="2"/>
          <c:tx>
            <c:v>Series3</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Rohit Sharma</c:v>
              </c:pt>
            </c:strLit>
          </c:cat>
          <c:val>
            <c:numLit>
              <c:formatCode>General</c:formatCode>
              <c:ptCount val="1"/>
              <c:pt idx="0">
                <c:v>3</c:v>
              </c:pt>
            </c:numLit>
          </c:val>
          <c:extLst>
            <c:ext xmlns:c16="http://schemas.microsoft.com/office/drawing/2014/chart" uri="{C3380CC4-5D6E-409C-BE32-E72D297353CC}">
              <c16:uniqueId val="{00000002-86C5-41FA-8AD5-AED6219BA38C}"/>
            </c:ext>
          </c:extLst>
        </c:ser>
        <c:ser>
          <c:idx val="3"/>
          <c:order val="3"/>
          <c:tx>
            <c:v>Series4</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Rohit Sharma</c:v>
              </c:pt>
            </c:strLit>
          </c:cat>
          <c:val>
            <c:numLit>
              <c:formatCode>General</c:formatCode>
              <c:ptCount val="1"/>
              <c:pt idx="0">
                <c:v>123.89</c:v>
              </c:pt>
            </c:numLit>
          </c:val>
          <c:extLst>
            <c:ext xmlns:c16="http://schemas.microsoft.com/office/drawing/2014/chart" uri="{C3380CC4-5D6E-409C-BE32-E72D297353CC}">
              <c16:uniqueId val="{00000003-86C5-41FA-8AD5-AED6219BA38C}"/>
            </c:ext>
          </c:extLst>
        </c:ser>
        <c:dLbls>
          <c:dLblPos val="outEnd"/>
          <c:showLegendKey val="0"/>
          <c:showVal val="1"/>
          <c:showCatName val="0"/>
          <c:showSerName val="0"/>
          <c:showPercent val="0"/>
          <c:showBubbleSize val="0"/>
        </c:dLbls>
        <c:gapWidth val="219"/>
        <c:overlap val="-27"/>
        <c:axId val="103645599"/>
        <c:axId val="103641279"/>
      </c:barChart>
      <c:catAx>
        <c:axId val="10364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1279"/>
        <c:crosses val="autoZero"/>
        <c:auto val="1"/>
        <c:lblAlgn val="ctr"/>
        <c:lblOffset val="100"/>
        <c:noMultiLvlLbl val="0"/>
      </c:catAx>
      <c:valAx>
        <c:axId val="10364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table'!$H$18</c:f>
              <c:strCache>
                <c:ptCount val="1"/>
                <c:pt idx="0">
                  <c:v>Total</c:v>
                </c:pt>
              </c:strCache>
            </c:strRef>
          </c:tx>
          <c:spPr>
            <a:solidFill>
              <a:schemeClr val="accent1"/>
            </a:solidFill>
            <a:ln>
              <a:noFill/>
            </a:ln>
            <a:effectLst/>
            <a:sp3d/>
          </c:spPr>
          <c:invertIfNegative val="0"/>
          <c:cat>
            <c:multiLvlStrRef>
              <c:f>'pivot table'!$G$19:$G$28</c:f>
              <c:multiLvlStrCache>
                <c:ptCount val="7"/>
                <c:lvl>
                  <c:pt idx="0">
                    <c:v>Yuzvendra Chahal</c:v>
                  </c:pt>
                  <c:pt idx="1">
                    <c:v>Vijay Shankar</c:v>
                  </c:pt>
                  <c:pt idx="2">
                    <c:v>Hardik Pandya</c:v>
                  </c:pt>
                  <c:pt idx="3">
                    <c:v>Kuldeep Yadav</c:v>
                  </c:pt>
                  <c:pt idx="4">
                    <c:v>Mohammad Amir</c:v>
                  </c:pt>
                  <c:pt idx="5">
                    <c:v>Wahab Riaz</c:v>
                  </c:pt>
                  <c:pt idx="6">
                    <c:v>Hasan Ali</c:v>
                  </c:pt>
                </c:lvl>
                <c:lvl>
                  <c:pt idx="0">
                    <c:v>India</c:v>
                  </c:pt>
                  <c:pt idx="4">
                    <c:v>Pakistan</c:v>
                  </c:pt>
                </c:lvl>
              </c:multiLvlStrCache>
            </c:multiLvlStrRef>
          </c:cat>
          <c:val>
            <c:numRef>
              <c:f>'pivot table'!$H$19:$H$28</c:f>
              <c:numCache>
                <c:formatCode>General</c:formatCode>
                <c:ptCount val="7"/>
                <c:pt idx="0">
                  <c:v>2</c:v>
                </c:pt>
                <c:pt idx="1">
                  <c:v>2</c:v>
                </c:pt>
                <c:pt idx="2">
                  <c:v>2</c:v>
                </c:pt>
                <c:pt idx="3">
                  <c:v>2</c:v>
                </c:pt>
                <c:pt idx="4">
                  <c:v>3</c:v>
                </c:pt>
                <c:pt idx="5">
                  <c:v>1</c:v>
                </c:pt>
                <c:pt idx="6">
                  <c:v>1</c:v>
                </c:pt>
              </c:numCache>
            </c:numRef>
          </c:val>
          <c:extLst>
            <c:ext xmlns:c16="http://schemas.microsoft.com/office/drawing/2014/chart" uri="{C3380CC4-5D6E-409C-BE32-E72D297353CC}">
              <c16:uniqueId val="{00000000-5574-4734-95B8-899F18A5542D}"/>
            </c:ext>
          </c:extLst>
        </c:ser>
        <c:dLbls>
          <c:showLegendKey val="0"/>
          <c:showVal val="0"/>
          <c:showCatName val="0"/>
          <c:showSerName val="0"/>
          <c:showPercent val="0"/>
          <c:showBubbleSize val="0"/>
        </c:dLbls>
        <c:gapWidth val="150"/>
        <c:shape val="box"/>
        <c:axId val="846006895"/>
        <c:axId val="846007375"/>
        <c:axId val="0"/>
      </c:bar3DChart>
      <c:catAx>
        <c:axId val="84600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07375"/>
        <c:crosses val="autoZero"/>
        <c:auto val="1"/>
        <c:lblAlgn val="ctr"/>
        <c:lblOffset val="100"/>
        <c:noMultiLvlLbl val="0"/>
      </c:catAx>
      <c:valAx>
        <c:axId val="84600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table!PivotTable2</c:name>
    <c:fmtId val="3"/>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t>sum</a:t>
            </a:r>
            <a:r>
              <a:rPr lang="en-US" sz="1400" baseline="0"/>
              <a:t> of overs bowled</a:t>
            </a:r>
            <a:endParaRPr lang="en-US" sz="1400"/>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768183501602178"/>
          <c:w val="0.96469889999705072"/>
          <c:h val="0.65360650854226032"/>
        </c:manualLayout>
      </c:layout>
      <c:pie3DChart>
        <c:varyColors val="1"/>
        <c:ser>
          <c:idx val="0"/>
          <c:order val="0"/>
          <c:tx>
            <c:strRef>
              <c:f>'pivot table'!$H$3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BF9-479C-A422-18A73EAF0FC6}"/>
              </c:ext>
            </c:extLst>
          </c:dPt>
          <c:dPt>
            <c:idx val="1"/>
            <c:bubble3D val="0"/>
            <c:extLst>
              <c:ext xmlns:c16="http://schemas.microsoft.com/office/drawing/2014/chart" uri="{C3380CC4-5D6E-409C-BE32-E72D297353CC}">
                <c16:uniqueId val="{00000003-0BF9-479C-A422-18A73EAF0FC6}"/>
              </c:ext>
            </c:extLst>
          </c:dPt>
          <c:dLbls>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table'!$G$4:$G$5</c:f>
              <c:strCache>
                <c:ptCount val="1"/>
                <c:pt idx="0">
                  <c:v>India</c:v>
                </c:pt>
              </c:strCache>
            </c:strRef>
          </c:cat>
          <c:val>
            <c:numRef>
              <c:f>'pivot table'!$H$4:$H$5</c:f>
              <c:numCache>
                <c:formatCode>General</c:formatCode>
                <c:ptCount val="1"/>
                <c:pt idx="0">
                  <c:v>39.6</c:v>
                </c:pt>
              </c:numCache>
            </c:numRef>
          </c:val>
          <c:extLst>
            <c:ext xmlns:c16="http://schemas.microsoft.com/office/drawing/2014/chart" uri="{C3380CC4-5D6E-409C-BE32-E72D297353CC}">
              <c16:uniqueId val="{00000004-0BF9-479C-A422-18A73EAF0FC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table!PivotTable5</c:name>
    <c:fmtId val="10"/>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regional</a:t>
            </a:r>
            <a:r>
              <a:rPr lang="en-US" sz="1200" baseline="0"/>
              <a:t> audience breakdown (in millions)</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754702537182851"/>
          <c:y val="0.24173665791776028"/>
          <c:w val="0.35833136482939631"/>
          <c:h val="0.59721894138232723"/>
        </c:manualLayout>
      </c:layout>
      <c:doughnutChart>
        <c:varyColors val="1"/>
        <c:ser>
          <c:idx val="0"/>
          <c:order val="0"/>
          <c:tx>
            <c:strRef>
              <c:f>'pivot table'!$B$18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EB5-415C-AD82-7554FD808B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EB5-415C-AD82-7554FD808B6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EB5-415C-AD82-7554FD808B6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EB5-415C-AD82-7554FD808B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table'!$A$19:$A$23</c:f>
              <c:strCache>
                <c:ptCount val="4"/>
                <c:pt idx="0">
                  <c:v> UK/EU </c:v>
                </c:pt>
                <c:pt idx="1">
                  <c:v>India </c:v>
                </c:pt>
                <c:pt idx="2">
                  <c:v>Pakistan </c:v>
                </c:pt>
                <c:pt idx="3">
                  <c:v>Rest of World </c:v>
                </c:pt>
              </c:strCache>
            </c:strRef>
          </c:cat>
          <c:val>
            <c:numRef>
              <c:f>'pivot table'!$B$19:$B$23</c:f>
              <c:numCache>
                <c:formatCode>0.00</c:formatCode>
                <c:ptCount val="4"/>
                <c:pt idx="0">
                  <c:v>50</c:v>
                </c:pt>
                <c:pt idx="1">
                  <c:v>700</c:v>
                </c:pt>
                <c:pt idx="2">
                  <c:v>150</c:v>
                </c:pt>
                <c:pt idx="3">
                  <c:v>100</c:v>
                </c:pt>
              </c:numCache>
            </c:numRef>
          </c:val>
          <c:extLst>
            <c:ext xmlns:c16="http://schemas.microsoft.com/office/drawing/2014/chart" uri="{C3380CC4-5D6E-409C-BE32-E72D297353CC}">
              <c16:uniqueId val="{00000008-3EB5-415C-AD82-7554FD808B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table!PivotTable17</c:name>
    <c:fmtId val="7"/>
  </c:pivotSource>
  <c:chart>
    <c:title>
      <c:tx>
        <c:rich>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r>
              <a:rPr lang="en-IN" sz="1050"/>
              <a:t>Revenue Comparison: tIckets sales vs advertising(in millions)</a:t>
            </a:r>
          </a:p>
        </c:rich>
      </c:tx>
      <c:overlay val="0"/>
      <c:spPr>
        <a:noFill/>
        <a:ln>
          <a:noFill/>
        </a:ln>
        <a:effectLst/>
      </c:spPr>
      <c:txPr>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28522336769765E-2"/>
          <c:y val="0.26532188684747737"/>
          <c:w val="0.78038937143166387"/>
          <c:h val="0.48983449985418487"/>
        </c:manualLayout>
      </c:layout>
      <c:barChart>
        <c:barDir val="col"/>
        <c:grouping val="stacked"/>
        <c:varyColors val="0"/>
        <c:ser>
          <c:idx val="0"/>
          <c:order val="0"/>
          <c:tx>
            <c:strRef>
              <c:f>'pivot table'!$E$18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table'!$D$19:$D$21</c:f>
              <c:strCache>
                <c:ptCount val="2"/>
                <c:pt idx="0">
                  <c:v>Advertising Revenue (USD)</c:v>
                </c:pt>
                <c:pt idx="1">
                  <c:v>Ticket Sales Revenue (GBP)</c:v>
                </c:pt>
              </c:strCache>
            </c:strRef>
          </c:cat>
          <c:val>
            <c:numRef>
              <c:f>'pivot table'!$E$19:$E$21</c:f>
              <c:numCache>
                <c:formatCode>General</c:formatCode>
                <c:ptCount val="2"/>
                <c:pt idx="0">
                  <c:v>100</c:v>
                </c:pt>
                <c:pt idx="1">
                  <c:v>50</c:v>
                </c:pt>
              </c:numCache>
            </c:numRef>
          </c:val>
          <c:extLst>
            <c:ext xmlns:c16="http://schemas.microsoft.com/office/drawing/2014/chart" uri="{C3380CC4-5D6E-409C-BE32-E72D297353CC}">
              <c16:uniqueId val="{00000000-8C82-4AD2-8EA4-EE89FFC02D45}"/>
            </c:ext>
          </c:extLst>
        </c:ser>
        <c:dLbls>
          <c:dLblPos val="ctr"/>
          <c:showLegendKey val="0"/>
          <c:showVal val="1"/>
          <c:showCatName val="0"/>
          <c:showSerName val="0"/>
          <c:showPercent val="0"/>
          <c:showBubbleSize val="0"/>
        </c:dLbls>
        <c:gapWidth val="79"/>
        <c:overlap val="100"/>
        <c:axId val="1372026863"/>
        <c:axId val="1372026383"/>
      </c:barChart>
      <c:catAx>
        <c:axId val="1372026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2026383"/>
        <c:crosses val="autoZero"/>
        <c:auto val="1"/>
        <c:lblAlgn val="ctr"/>
        <c:lblOffset val="100"/>
        <c:noMultiLvlLbl val="0"/>
      </c:catAx>
      <c:valAx>
        <c:axId val="1372026383"/>
        <c:scaling>
          <c:orientation val="minMax"/>
        </c:scaling>
        <c:delete val="1"/>
        <c:axPos val="l"/>
        <c:numFmt formatCode="General" sourceLinked="1"/>
        <c:majorTickMark val="none"/>
        <c:minorTickMark val="none"/>
        <c:tickLblPos val="nextTo"/>
        <c:crossAx val="137202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Players Scored Maximum Run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6"/>
            </a:solidFill>
            <a:ln>
              <a:noFill/>
            </a:ln>
            <a:effectLst/>
          </c:spPr>
          <c:invertIfNegative val="0"/>
          <c:cat>
            <c:multiLvlStrRef>
              <c:f>'pivot table'!$A$4:$A$14</c:f>
              <c:multiLvlStrCache>
                <c:ptCount val="5"/>
                <c:lvl>
                  <c:pt idx="0">
                    <c:v>India</c:v>
                  </c:pt>
                  <c:pt idx="1">
                    <c:v>India</c:v>
                  </c:pt>
                  <c:pt idx="2">
                    <c:v>Pakistan</c:v>
                  </c:pt>
                  <c:pt idx="3">
                    <c:v>India</c:v>
                  </c:pt>
                  <c:pt idx="4">
                    <c:v>Pakistan</c:v>
                  </c:pt>
                </c:lvl>
                <c:lvl>
                  <c:pt idx="0">
                    <c:v>Rohit Sharma</c:v>
                  </c:pt>
                  <c:pt idx="1">
                    <c:v>Virat Kohli</c:v>
                  </c:pt>
                  <c:pt idx="2">
                    <c:v>Fakhar Zaman</c:v>
                  </c:pt>
                  <c:pt idx="3">
                    <c:v>KL Rahul</c:v>
                  </c:pt>
                  <c:pt idx="4">
                    <c:v>Babar Azam</c:v>
                  </c:pt>
                </c:lvl>
              </c:multiLvlStrCache>
            </c:multiLvlStrRef>
          </c:cat>
          <c:val>
            <c:numRef>
              <c:f>'pivot table'!$B$4:$B$14</c:f>
              <c:numCache>
                <c:formatCode>General</c:formatCode>
                <c:ptCount val="5"/>
                <c:pt idx="0">
                  <c:v>140</c:v>
                </c:pt>
                <c:pt idx="1">
                  <c:v>77</c:v>
                </c:pt>
                <c:pt idx="2">
                  <c:v>62</c:v>
                </c:pt>
                <c:pt idx="3">
                  <c:v>57</c:v>
                </c:pt>
                <c:pt idx="4">
                  <c:v>48</c:v>
                </c:pt>
              </c:numCache>
            </c:numRef>
          </c:val>
          <c:extLst>
            <c:ext xmlns:c16="http://schemas.microsoft.com/office/drawing/2014/chart" uri="{C3380CC4-5D6E-409C-BE32-E72D297353CC}">
              <c16:uniqueId val="{00000000-1B8E-4DE7-A742-CB783E122BF6}"/>
            </c:ext>
          </c:extLst>
        </c:ser>
        <c:dLbls>
          <c:showLegendKey val="0"/>
          <c:showVal val="0"/>
          <c:showCatName val="0"/>
          <c:showSerName val="0"/>
          <c:showPercent val="0"/>
          <c:showBubbleSize val="0"/>
        </c:dLbls>
        <c:gapWidth val="150"/>
        <c:overlap val="100"/>
        <c:axId val="1086820192"/>
        <c:axId val="1086810112"/>
      </c:barChart>
      <c:catAx>
        <c:axId val="108682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10112"/>
        <c:crosses val="autoZero"/>
        <c:auto val="1"/>
        <c:lblAlgn val="ctr"/>
        <c:lblOffset val="100"/>
        <c:noMultiLvlLbl val="0"/>
      </c:catAx>
      <c:valAx>
        <c:axId val="108681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Specialisation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62384307224754"/>
          <c:y val="0.27877219391693686"/>
          <c:w val="0.59152430507590059"/>
          <c:h val="0.56339316041377185"/>
        </c:manualLayout>
      </c:layout>
      <c:barChart>
        <c:barDir val="bar"/>
        <c:grouping val="stacked"/>
        <c:varyColors val="0"/>
        <c:ser>
          <c:idx val="0"/>
          <c:order val="0"/>
          <c:tx>
            <c:strRef>
              <c:f>'pivot table'!$E$3</c:f>
              <c:strCache>
                <c:ptCount val="1"/>
                <c:pt idx="0">
                  <c:v>Total</c:v>
                </c:pt>
              </c:strCache>
            </c:strRef>
          </c:tx>
          <c:spPr>
            <a:solidFill>
              <a:schemeClr val="accent6"/>
            </a:solidFill>
            <a:ln>
              <a:noFill/>
            </a:ln>
            <a:effectLst/>
          </c:spPr>
          <c:invertIfNegative val="0"/>
          <c:cat>
            <c:multiLvlStrRef>
              <c:f>'pivot table'!$D$4:$D$10</c:f>
              <c:multiLvlStrCache>
                <c:ptCount val="3"/>
                <c:lvl>
                  <c:pt idx="0">
                    <c:v>India</c:v>
                  </c:pt>
                  <c:pt idx="1">
                    <c:v>India</c:v>
                  </c:pt>
                  <c:pt idx="2">
                    <c:v>India</c:v>
                  </c:pt>
                </c:lvl>
                <c:lvl>
                  <c:pt idx="0">
                    <c:v>All-rounder</c:v>
                  </c:pt>
                  <c:pt idx="1">
                    <c:v>Batting</c:v>
                  </c:pt>
                  <c:pt idx="2">
                    <c:v>Bowling</c:v>
                  </c:pt>
                </c:lvl>
              </c:multiLvlStrCache>
            </c:multiLvlStrRef>
          </c:cat>
          <c:val>
            <c:numRef>
              <c:f>'pivot table'!$E$4:$E$10</c:f>
              <c:numCache>
                <c:formatCode>General</c:formatCode>
                <c:ptCount val="3"/>
                <c:pt idx="0">
                  <c:v>2</c:v>
                </c:pt>
                <c:pt idx="1">
                  <c:v>5</c:v>
                </c:pt>
                <c:pt idx="2">
                  <c:v>4</c:v>
                </c:pt>
              </c:numCache>
            </c:numRef>
          </c:val>
          <c:extLst>
            <c:ext xmlns:c16="http://schemas.microsoft.com/office/drawing/2014/chart" uri="{C3380CC4-5D6E-409C-BE32-E72D297353CC}">
              <c16:uniqueId val="{00000000-6FF1-4BFF-810C-C1BE2A780832}"/>
            </c:ext>
          </c:extLst>
        </c:ser>
        <c:dLbls>
          <c:showLegendKey val="0"/>
          <c:showVal val="0"/>
          <c:showCatName val="0"/>
          <c:showSerName val="0"/>
          <c:showPercent val="0"/>
          <c:showBubbleSize val="0"/>
        </c:dLbls>
        <c:gapWidth val="150"/>
        <c:overlap val="100"/>
        <c:axId val="1779756959"/>
        <c:axId val="1779762719"/>
      </c:barChart>
      <c:catAx>
        <c:axId val="1779756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62719"/>
        <c:crosses val="autoZero"/>
        <c:auto val="1"/>
        <c:lblAlgn val="ctr"/>
        <c:lblOffset val="100"/>
        <c:noMultiLvlLbl val="0"/>
      </c:catAx>
      <c:valAx>
        <c:axId val="17797627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5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cup data.xlsx]pivot 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3 Wickets Taker by each Country </a:t>
            </a:r>
            <a:endParaRPr lang="en-US"/>
          </a:p>
        </c:rich>
      </c:tx>
      <c:layout>
        <c:manualLayout>
          <c:xMode val="edge"/>
          <c:yMode val="edge"/>
          <c:x val="0.28648825065274153"/>
          <c:y val="7.87587458083320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273825921890309"/>
          <c:y val="0.2186474389001658"/>
          <c:w val="0.5183670497454137"/>
          <c:h val="0.67182344062516275"/>
        </c:manualLayout>
      </c:layout>
      <c:bar3DChart>
        <c:barDir val="bar"/>
        <c:grouping val="clustered"/>
        <c:varyColors val="0"/>
        <c:ser>
          <c:idx val="0"/>
          <c:order val="0"/>
          <c:tx>
            <c:strRef>
              <c:f>'pivot table'!$H$18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table'!$G$19:$G$28</c:f>
              <c:multiLvlStrCache>
                <c:ptCount val="7"/>
                <c:lvl>
                  <c:pt idx="0">
                    <c:v>Yuzvendra Chahal</c:v>
                  </c:pt>
                  <c:pt idx="1">
                    <c:v>Vijay Shankar</c:v>
                  </c:pt>
                  <c:pt idx="2">
                    <c:v>Hardik Pandya</c:v>
                  </c:pt>
                  <c:pt idx="3">
                    <c:v>Kuldeep Yadav</c:v>
                  </c:pt>
                  <c:pt idx="4">
                    <c:v>Mohammad Amir</c:v>
                  </c:pt>
                  <c:pt idx="5">
                    <c:v>Wahab Riaz</c:v>
                  </c:pt>
                  <c:pt idx="6">
                    <c:v>Hasan Ali</c:v>
                  </c:pt>
                </c:lvl>
                <c:lvl>
                  <c:pt idx="0">
                    <c:v>India</c:v>
                  </c:pt>
                  <c:pt idx="4">
                    <c:v>Pakistan</c:v>
                  </c:pt>
                </c:lvl>
              </c:multiLvlStrCache>
            </c:multiLvlStrRef>
          </c:cat>
          <c:val>
            <c:numRef>
              <c:f>'pivot table'!$H$19:$H$28</c:f>
              <c:numCache>
                <c:formatCode>General</c:formatCode>
                <c:ptCount val="7"/>
                <c:pt idx="0">
                  <c:v>2</c:v>
                </c:pt>
                <c:pt idx="1">
                  <c:v>2</c:v>
                </c:pt>
                <c:pt idx="2">
                  <c:v>2</c:v>
                </c:pt>
                <c:pt idx="3">
                  <c:v>2</c:v>
                </c:pt>
                <c:pt idx="4">
                  <c:v>3</c:v>
                </c:pt>
                <c:pt idx="5">
                  <c:v>1</c:v>
                </c:pt>
                <c:pt idx="6">
                  <c:v>1</c:v>
                </c:pt>
              </c:numCache>
            </c:numRef>
          </c:val>
          <c:extLst>
            <c:ext xmlns:c16="http://schemas.microsoft.com/office/drawing/2014/chart" uri="{C3380CC4-5D6E-409C-BE32-E72D297353CC}">
              <c16:uniqueId val="{00000000-C9F8-406C-83B0-DFF45D88EA34}"/>
            </c:ext>
          </c:extLst>
        </c:ser>
        <c:dLbls>
          <c:showLegendKey val="0"/>
          <c:showVal val="0"/>
          <c:showCatName val="0"/>
          <c:showSerName val="0"/>
          <c:showPercent val="0"/>
          <c:showBubbleSize val="0"/>
        </c:dLbls>
        <c:gapWidth val="150"/>
        <c:shape val="box"/>
        <c:axId val="846006895"/>
        <c:axId val="846007375"/>
        <c:axId val="0"/>
      </c:bar3DChart>
      <c:catAx>
        <c:axId val="846006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07375"/>
        <c:crosses val="autoZero"/>
        <c:auto val="1"/>
        <c:lblAlgn val="ctr"/>
        <c:lblOffset val="100"/>
        <c:noMultiLvlLbl val="0"/>
      </c:catAx>
      <c:valAx>
        <c:axId val="84600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0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56</xdr:row>
      <xdr:rowOff>125730</xdr:rowOff>
    </xdr:from>
    <xdr:to>
      <xdr:col>5</xdr:col>
      <xdr:colOff>175260</xdr:colOff>
      <xdr:row>71</xdr:row>
      <xdr:rowOff>125730</xdr:rowOff>
    </xdr:to>
    <xdr:graphicFrame macro="">
      <xdr:nvGraphicFramePr>
        <xdr:cNvPr id="2" name="Chart 1">
          <a:extLst>
            <a:ext uri="{FF2B5EF4-FFF2-40B4-BE49-F238E27FC236}">
              <a16:creationId xmlns:a16="http://schemas.microsoft.com/office/drawing/2014/main" id="{D7DA0B67-516C-8D20-8B2D-AD19DD0B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48</xdr:row>
      <xdr:rowOff>175260</xdr:rowOff>
    </xdr:from>
    <xdr:to>
      <xdr:col>12</xdr:col>
      <xdr:colOff>472440</xdr:colOff>
      <xdr:row>63</xdr:row>
      <xdr:rowOff>175260</xdr:rowOff>
    </xdr:to>
    <xdr:graphicFrame macro="">
      <xdr:nvGraphicFramePr>
        <xdr:cNvPr id="4" name="Chart 3">
          <a:extLst>
            <a:ext uri="{FF2B5EF4-FFF2-40B4-BE49-F238E27FC236}">
              <a16:creationId xmlns:a16="http://schemas.microsoft.com/office/drawing/2014/main" id="{7BF6A2E2-F416-5E53-2B0F-86C13C44D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3810</xdr:rowOff>
    </xdr:from>
    <xdr:to>
      <xdr:col>4</xdr:col>
      <xdr:colOff>274320</xdr:colOff>
      <xdr:row>79</xdr:row>
      <xdr:rowOff>3810</xdr:rowOff>
    </xdr:to>
    <xdr:graphicFrame macro="">
      <xdr:nvGraphicFramePr>
        <xdr:cNvPr id="3" name="Chart 2">
          <a:extLst>
            <a:ext uri="{FF2B5EF4-FFF2-40B4-BE49-F238E27FC236}">
              <a16:creationId xmlns:a16="http://schemas.microsoft.com/office/drawing/2014/main" id="{24A8E02B-0C05-BD7A-3957-2A6F07A25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30480</xdr:colOff>
      <xdr:row>1</xdr:row>
      <xdr:rowOff>167641</xdr:rowOff>
    </xdr:from>
    <xdr:to>
      <xdr:col>11</xdr:col>
      <xdr:colOff>403860</xdr:colOff>
      <xdr:row>7</xdr:row>
      <xdr:rowOff>106681</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1601FACC-B1EE-1D44-BF36-61BC5E518D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67800" y="35052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64</xdr:row>
      <xdr:rowOff>7620</xdr:rowOff>
    </xdr:from>
    <xdr:to>
      <xdr:col>8</xdr:col>
      <xdr:colOff>586740</xdr:colOff>
      <xdr:row>79</xdr:row>
      <xdr:rowOff>7620</xdr:rowOff>
    </xdr:to>
    <xdr:graphicFrame macro="">
      <xdr:nvGraphicFramePr>
        <xdr:cNvPr id="6" name="Chart 5">
          <a:extLst>
            <a:ext uri="{FF2B5EF4-FFF2-40B4-BE49-F238E27FC236}">
              <a16:creationId xmlns:a16="http://schemas.microsoft.com/office/drawing/2014/main" id="{447D4034-AD10-EF01-BBE0-21D5EB6B7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571500</xdr:colOff>
      <xdr:row>63</xdr:row>
      <xdr:rowOff>175260</xdr:rowOff>
    </xdr:from>
    <xdr:to>
      <xdr:col>14</xdr:col>
      <xdr:colOff>944880</xdr:colOff>
      <xdr:row>78</xdr:row>
      <xdr:rowOff>175260</xdr:rowOff>
    </xdr:to>
    <xdr:graphicFrame macro="">
      <xdr:nvGraphicFramePr>
        <xdr:cNvPr id="8" name="Chart 7">
          <a:extLst>
            <a:ext uri="{FF2B5EF4-FFF2-40B4-BE49-F238E27FC236}">
              <a16:creationId xmlns:a16="http://schemas.microsoft.com/office/drawing/2014/main" id="{E375E781-58BD-63E2-4B0C-6974AD19D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79</xdr:row>
      <xdr:rowOff>49530</xdr:rowOff>
    </xdr:from>
    <xdr:to>
      <xdr:col>3</xdr:col>
      <xdr:colOff>594360</xdr:colOff>
      <xdr:row>94</xdr:row>
      <xdr:rowOff>49530</xdr:rowOff>
    </xdr:to>
    <xdr:graphicFrame macro="">
      <xdr:nvGraphicFramePr>
        <xdr:cNvPr id="9" name="Chart 8">
          <a:extLst>
            <a:ext uri="{FF2B5EF4-FFF2-40B4-BE49-F238E27FC236}">
              <a16:creationId xmlns:a16="http://schemas.microsoft.com/office/drawing/2014/main" id="{ED1752C8-A1C0-7D1F-EC2E-D746981D8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556260</xdr:colOff>
      <xdr:row>43</xdr:row>
      <xdr:rowOff>0</xdr:rowOff>
    </xdr:from>
    <xdr:to>
      <xdr:col>6</xdr:col>
      <xdr:colOff>7620</xdr:colOff>
      <xdr:row>58</xdr:row>
      <xdr:rowOff>0</xdr:rowOff>
    </xdr:to>
    <xdr:graphicFrame macro="">
      <xdr:nvGraphicFramePr>
        <xdr:cNvPr id="7" name="Chart 6">
          <a:extLst>
            <a:ext uri="{FF2B5EF4-FFF2-40B4-BE49-F238E27FC236}">
              <a16:creationId xmlns:a16="http://schemas.microsoft.com/office/drawing/2014/main" id="{EEB7DE45-0ACD-B4C4-57C2-A4920D585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685800</xdr:colOff>
      <xdr:row>79</xdr:row>
      <xdr:rowOff>22860</xdr:rowOff>
    </xdr:from>
    <xdr:to>
      <xdr:col>7</xdr:col>
      <xdr:colOff>449580</xdr:colOff>
      <xdr:row>94</xdr:row>
      <xdr:rowOff>22860</xdr:rowOff>
    </xdr:to>
    <xdr:graphicFrame macro="">
      <xdr:nvGraphicFramePr>
        <xdr:cNvPr id="11" name="Chart 10">
          <a:extLst>
            <a:ext uri="{FF2B5EF4-FFF2-40B4-BE49-F238E27FC236}">
              <a16:creationId xmlns:a16="http://schemas.microsoft.com/office/drawing/2014/main" id="{BD7F8680-104C-DEAB-AAF7-611A5FF05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144780</xdr:rowOff>
    </xdr:from>
    <xdr:to>
      <xdr:col>7</xdr:col>
      <xdr:colOff>403860</xdr:colOff>
      <xdr:row>36</xdr:row>
      <xdr:rowOff>83820</xdr:rowOff>
    </xdr:to>
    <xdr:sp macro="" textlink="">
      <xdr:nvSpPr>
        <xdr:cNvPr id="18" name="Rectangle: Rounded Corners 17">
          <a:extLst>
            <a:ext uri="{FF2B5EF4-FFF2-40B4-BE49-F238E27FC236}">
              <a16:creationId xmlns:a16="http://schemas.microsoft.com/office/drawing/2014/main" id="{494258BB-B225-411A-B181-697CB1237F38}"/>
            </a:ext>
          </a:extLst>
        </xdr:cNvPr>
        <xdr:cNvSpPr/>
      </xdr:nvSpPr>
      <xdr:spPr>
        <a:xfrm>
          <a:off x="0" y="3802380"/>
          <a:ext cx="4671060" cy="28651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83820</xdr:colOff>
      <xdr:row>3</xdr:row>
      <xdr:rowOff>7620</xdr:rowOff>
    </xdr:from>
    <xdr:to>
      <xdr:col>9</xdr:col>
      <xdr:colOff>396240</xdr:colOff>
      <xdr:row>6</xdr:row>
      <xdr:rowOff>114300</xdr:rowOff>
    </xdr:to>
    <xdr:sp macro="" textlink="">
      <xdr:nvSpPr>
        <xdr:cNvPr id="8" name="TextBox 7">
          <a:extLst>
            <a:ext uri="{FF2B5EF4-FFF2-40B4-BE49-F238E27FC236}">
              <a16:creationId xmlns:a16="http://schemas.microsoft.com/office/drawing/2014/main" id="{7F07D9B1-A67D-CA84-F15F-0BF6F83D46CD}"/>
            </a:ext>
          </a:extLst>
        </xdr:cNvPr>
        <xdr:cNvSpPr txBox="1"/>
      </xdr:nvSpPr>
      <xdr:spPr>
        <a:xfrm>
          <a:off x="3741420" y="556260"/>
          <a:ext cx="21412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Player of the Match</a:t>
          </a:r>
        </a:p>
        <a:p>
          <a:r>
            <a:rPr lang="en-IN" sz="1400" b="0" i="0" u="none" strike="noStrike">
              <a:solidFill>
                <a:schemeClr val="dk1"/>
              </a:solidFill>
              <a:effectLst/>
              <a:latin typeface="+mn-lt"/>
              <a:ea typeface="+mn-ea"/>
              <a:cs typeface="+mn-cs"/>
            </a:rPr>
            <a:t>Rohit</a:t>
          </a:r>
          <a:r>
            <a:rPr lang="en-IN" sz="1400" b="0" i="0" u="none" strike="noStrike" baseline="0">
              <a:solidFill>
                <a:schemeClr val="dk1"/>
              </a:solidFill>
              <a:effectLst/>
              <a:latin typeface="+mn-lt"/>
              <a:ea typeface="+mn-ea"/>
              <a:cs typeface="+mn-cs"/>
            </a:rPr>
            <a:t> Sharma</a:t>
          </a:r>
          <a:endParaRPr lang="en-IN" sz="1400" b="1"/>
        </a:p>
      </xdr:txBody>
    </xdr:sp>
    <xdr:clientData/>
  </xdr:twoCellAnchor>
  <xdr:twoCellAnchor>
    <xdr:from>
      <xdr:col>9</xdr:col>
      <xdr:colOff>464820</xdr:colOff>
      <xdr:row>3</xdr:row>
      <xdr:rowOff>7620</xdr:rowOff>
    </xdr:from>
    <xdr:to>
      <xdr:col>14</xdr:col>
      <xdr:colOff>472440</xdr:colOff>
      <xdr:row>6</xdr:row>
      <xdr:rowOff>91440</xdr:rowOff>
    </xdr:to>
    <xdr:sp macro="" textlink="">
      <xdr:nvSpPr>
        <xdr:cNvPr id="10" name="TextBox 9">
          <a:extLst>
            <a:ext uri="{FF2B5EF4-FFF2-40B4-BE49-F238E27FC236}">
              <a16:creationId xmlns:a16="http://schemas.microsoft.com/office/drawing/2014/main" id="{310A500F-DF1F-37FA-88AA-32FBDBDF5F90}"/>
            </a:ext>
          </a:extLst>
        </xdr:cNvPr>
        <xdr:cNvSpPr txBox="1"/>
      </xdr:nvSpPr>
      <xdr:spPr>
        <a:xfrm>
          <a:off x="5951220" y="556260"/>
          <a:ext cx="305562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Result</a:t>
          </a:r>
        </a:p>
        <a:p>
          <a:r>
            <a:rPr lang="en-IN" sz="1400"/>
            <a:t>India beat Pakistan by 89 runs</a:t>
          </a:r>
        </a:p>
      </xdr:txBody>
    </xdr:sp>
    <xdr:clientData/>
  </xdr:twoCellAnchor>
  <xdr:twoCellAnchor>
    <xdr:from>
      <xdr:col>16</xdr:col>
      <xdr:colOff>205740</xdr:colOff>
      <xdr:row>6</xdr:row>
      <xdr:rowOff>83820</xdr:rowOff>
    </xdr:from>
    <xdr:to>
      <xdr:col>20</xdr:col>
      <xdr:colOff>548640</xdr:colOff>
      <xdr:row>20</xdr:row>
      <xdr:rowOff>114300</xdr:rowOff>
    </xdr:to>
    <xdr:sp macro="" textlink="">
      <xdr:nvSpPr>
        <xdr:cNvPr id="23" name="Rectangle: Rounded Corners 22">
          <a:extLst>
            <a:ext uri="{FF2B5EF4-FFF2-40B4-BE49-F238E27FC236}">
              <a16:creationId xmlns:a16="http://schemas.microsoft.com/office/drawing/2014/main" id="{1D8917F2-6032-483A-A770-F4D551B35107}"/>
            </a:ext>
          </a:extLst>
        </xdr:cNvPr>
        <xdr:cNvSpPr/>
      </xdr:nvSpPr>
      <xdr:spPr>
        <a:xfrm>
          <a:off x="9959340" y="1181100"/>
          <a:ext cx="2781300" cy="25908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xdr:colOff>
      <xdr:row>3</xdr:row>
      <xdr:rowOff>60960</xdr:rowOff>
    </xdr:from>
    <xdr:to>
      <xdr:col>6</xdr:col>
      <xdr:colOff>106680</xdr:colOff>
      <xdr:row>6</xdr:row>
      <xdr:rowOff>60960</xdr:rowOff>
    </xdr:to>
    <xdr:sp macro="" textlink="">
      <xdr:nvSpPr>
        <xdr:cNvPr id="6" name="TextBox 5">
          <a:extLst>
            <a:ext uri="{FF2B5EF4-FFF2-40B4-BE49-F238E27FC236}">
              <a16:creationId xmlns:a16="http://schemas.microsoft.com/office/drawing/2014/main" id="{5561BFA4-B90F-3544-930C-E06380C16B7A}"/>
            </a:ext>
          </a:extLst>
        </xdr:cNvPr>
        <xdr:cNvSpPr txBox="1"/>
      </xdr:nvSpPr>
      <xdr:spPr>
        <a:xfrm>
          <a:off x="1882140" y="609600"/>
          <a:ext cx="18821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rPr>
            <a:t>Stadium</a:t>
          </a:r>
          <a:r>
            <a:rPr lang="en-IN" sz="1600" b="1" baseline="0">
              <a:ln>
                <a:noFill/>
              </a:ln>
            </a:rPr>
            <a:t> Capacity</a:t>
          </a:r>
        </a:p>
        <a:p>
          <a:r>
            <a:rPr lang="en-IN" sz="1200" baseline="0">
              <a:ln>
                <a:noFill/>
              </a:ln>
            </a:rPr>
            <a:t>26000</a:t>
          </a:r>
          <a:endParaRPr lang="en-IN" sz="1200">
            <a:ln>
              <a:noFill/>
            </a:ln>
          </a:endParaRPr>
        </a:p>
      </xdr:txBody>
    </xdr:sp>
    <xdr:clientData/>
  </xdr:twoCellAnchor>
  <xdr:twoCellAnchor>
    <xdr:from>
      <xdr:col>7</xdr:col>
      <xdr:colOff>403860</xdr:colOff>
      <xdr:row>20</xdr:row>
      <xdr:rowOff>114300</xdr:rowOff>
    </xdr:from>
    <xdr:to>
      <xdr:col>17</xdr:col>
      <xdr:colOff>289560</xdr:colOff>
      <xdr:row>36</xdr:row>
      <xdr:rowOff>121920</xdr:rowOff>
    </xdr:to>
    <xdr:sp macro="" textlink="">
      <xdr:nvSpPr>
        <xdr:cNvPr id="17" name="Rectangle: Rounded Corners 16">
          <a:extLst>
            <a:ext uri="{FF2B5EF4-FFF2-40B4-BE49-F238E27FC236}">
              <a16:creationId xmlns:a16="http://schemas.microsoft.com/office/drawing/2014/main" id="{C4CAB72D-A1D1-4D45-8C45-55A3687D432A}"/>
            </a:ext>
          </a:extLst>
        </xdr:cNvPr>
        <xdr:cNvSpPr/>
      </xdr:nvSpPr>
      <xdr:spPr>
        <a:xfrm>
          <a:off x="4671060" y="3771900"/>
          <a:ext cx="5981700" cy="2933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2</xdr:row>
      <xdr:rowOff>175260</xdr:rowOff>
    </xdr:from>
    <xdr:to>
      <xdr:col>2</xdr:col>
      <xdr:colOff>533400</xdr:colOff>
      <xdr:row>6</xdr:row>
      <xdr:rowOff>83820</xdr:rowOff>
    </xdr:to>
    <xdr:sp macro="" textlink="">
      <xdr:nvSpPr>
        <xdr:cNvPr id="4" name="TextBox 3">
          <a:extLst>
            <a:ext uri="{FF2B5EF4-FFF2-40B4-BE49-F238E27FC236}">
              <a16:creationId xmlns:a16="http://schemas.microsoft.com/office/drawing/2014/main" id="{21853FDB-A84B-FD57-25EB-A793A26EC00D}"/>
            </a:ext>
          </a:extLst>
        </xdr:cNvPr>
        <xdr:cNvSpPr txBox="1"/>
      </xdr:nvSpPr>
      <xdr:spPr>
        <a:xfrm>
          <a:off x="99060" y="541020"/>
          <a:ext cx="1653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latin typeface="Aptos" panose="020B0004020202020204" pitchFamily="34" charset="0"/>
            </a:rPr>
            <a:t>Toss</a:t>
          </a:r>
          <a:r>
            <a:rPr lang="en-IN" sz="1800" b="1" baseline="0">
              <a:latin typeface="Aptos" panose="020B0004020202020204" pitchFamily="34" charset="0"/>
            </a:rPr>
            <a:t> Win</a:t>
          </a:r>
        </a:p>
        <a:p>
          <a:r>
            <a:rPr lang="en-IN" sz="1200" baseline="0"/>
            <a:t>PAKISTAN</a:t>
          </a:r>
        </a:p>
      </xdr:txBody>
    </xdr:sp>
    <xdr:clientData/>
  </xdr:twoCellAnchor>
  <xdr:twoCellAnchor>
    <xdr:from>
      <xdr:col>2</xdr:col>
      <xdr:colOff>594360</xdr:colOff>
      <xdr:row>0</xdr:row>
      <xdr:rowOff>38100</xdr:rowOff>
    </xdr:from>
    <xdr:to>
      <xdr:col>17</xdr:col>
      <xdr:colOff>518160</xdr:colOff>
      <xdr:row>3</xdr:row>
      <xdr:rowOff>30480</xdr:rowOff>
    </xdr:to>
    <xdr:sp macro="" textlink="">
      <xdr:nvSpPr>
        <xdr:cNvPr id="2" name="Rectangle: Rounded Corners 1">
          <a:extLst>
            <a:ext uri="{FF2B5EF4-FFF2-40B4-BE49-F238E27FC236}">
              <a16:creationId xmlns:a16="http://schemas.microsoft.com/office/drawing/2014/main" id="{9FB66618-C97A-B9E2-181E-BAAF782E2965}"/>
            </a:ext>
          </a:extLst>
        </xdr:cNvPr>
        <xdr:cNvSpPr/>
      </xdr:nvSpPr>
      <xdr:spPr>
        <a:xfrm>
          <a:off x="1813560" y="38100"/>
          <a:ext cx="9067800" cy="54102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1">
              <a:ln w="3175">
                <a:solidFill>
                  <a:schemeClr val="tx1"/>
                </a:solidFill>
              </a:ln>
              <a:solidFill>
                <a:schemeClr val="accent5">
                  <a:lumMod val="50000"/>
                </a:schemeClr>
              </a:solidFill>
            </a:rPr>
            <a:t>INDIA vs</a:t>
          </a:r>
          <a:r>
            <a:rPr lang="en-IN" sz="2000" b="1" i="1" baseline="0">
              <a:ln w="3175">
                <a:solidFill>
                  <a:schemeClr val="tx1"/>
                </a:solidFill>
              </a:ln>
              <a:solidFill>
                <a:schemeClr val="accent5">
                  <a:lumMod val="50000"/>
                </a:schemeClr>
              </a:solidFill>
            </a:rPr>
            <a:t> PAKISTAN, Match 22, ICC Cricket World Cup 2019</a:t>
          </a:r>
          <a:endParaRPr lang="en-IN" sz="2000" b="1" i="1">
            <a:ln w="3175">
              <a:solidFill>
                <a:schemeClr val="tx1"/>
              </a:solidFill>
            </a:ln>
            <a:solidFill>
              <a:schemeClr val="accent5">
                <a:lumMod val="50000"/>
              </a:schemeClr>
            </a:solidFill>
          </a:endParaRPr>
        </a:p>
      </xdr:txBody>
    </xdr:sp>
    <xdr:clientData/>
  </xdr:twoCellAnchor>
  <xdr:twoCellAnchor>
    <xdr:from>
      <xdr:col>0</xdr:col>
      <xdr:colOff>22860</xdr:colOff>
      <xdr:row>3</xdr:row>
      <xdr:rowOff>45720</xdr:rowOff>
    </xdr:from>
    <xdr:to>
      <xdr:col>3</xdr:col>
      <xdr:colOff>53340</xdr:colOff>
      <xdr:row>6</xdr:row>
      <xdr:rowOff>83820</xdr:rowOff>
    </xdr:to>
    <xdr:sp macro="" textlink="">
      <xdr:nvSpPr>
        <xdr:cNvPr id="3" name="Rectangle: Rounded Corners 2">
          <a:extLst>
            <a:ext uri="{FF2B5EF4-FFF2-40B4-BE49-F238E27FC236}">
              <a16:creationId xmlns:a16="http://schemas.microsoft.com/office/drawing/2014/main" id="{C0773A5B-FAA4-67DA-F37C-9A79D624B9DE}"/>
            </a:ext>
          </a:extLst>
        </xdr:cNvPr>
        <xdr:cNvSpPr/>
      </xdr:nvSpPr>
      <xdr:spPr>
        <a:xfrm>
          <a:off x="22860" y="594360"/>
          <a:ext cx="1859280" cy="586740"/>
        </a:xfrm>
        <a:prstGeom prst="round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312420</xdr:colOff>
      <xdr:row>20</xdr:row>
      <xdr:rowOff>129540</xdr:rowOff>
    </xdr:from>
    <xdr:to>
      <xdr:col>23</xdr:col>
      <xdr:colOff>91440</xdr:colOff>
      <xdr:row>36</xdr:row>
      <xdr:rowOff>83820</xdr:rowOff>
    </xdr:to>
    <xdr:sp macro="" textlink="">
      <xdr:nvSpPr>
        <xdr:cNvPr id="20" name="Rectangle: Rounded Corners 19">
          <a:extLst>
            <a:ext uri="{FF2B5EF4-FFF2-40B4-BE49-F238E27FC236}">
              <a16:creationId xmlns:a16="http://schemas.microsoft.com/office/drawing/2014/main" id="{75025036-B754-4490-9E28-219303BABBC0}"/>
            </a:ext>
          </a:extLst>
        </xdr:cNvPr>
        <xdr:cNvSpPr/>
      </xdr:nvSpPr>
      <xdr:spPr>
        <a:xfrm>
          <a:off x="10675620" y="3787140"/>
          <a:ext cx="3436620" cy="28803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68580</xdr:colOff>
      <xdr:row>3</xdr:row>
      <xdr:rowOff>53340</xdr:rowOff>
    </xdr:from>
    <xdr:to>
      <xdr:col>6</xdr:col>
      <xdr:colOff>99060</xdr:colOff>
      <xdr:row>6</xdr:row>
      <xdr:rowOff>68580</xdr:rowOff>
    </xdr:to>
    <xdr:sp macro="" textlink="">
      <xdr:nvSpPr>
        <xdr:cNvPr id="5" name="Rectangle: Rounded Corners 4">
          <a:extLst>
            <a:ext uri="{FF2B5EF4-FFF2-40B4-BE49-F238E27FC236}">
              <a16:creationId xmlns:a16="http://schemas.microsoft.com/office/drawing/2014/main" id="{948C8F4D-822D-47D9-8FE1-040345A125E6}"/>
            </a:ext>
          </a:extLst>
        </xdr:cNvPr>
        <xdr:cNvSpPr/>
      </xdr:nvSpPr>
      <xdr:spPr>
        <a:xfrm>
          <a:off x="1897380" y="601980"/>
          <a:ext cx="1859280" cy="563880"/>
        </a:xfrm>
        <a:prstGeom prst="round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3</xdr:row>
      <xdr:rowOff>53340</xdr:rowOff>
    </xdr:from>
    <xdr:to>
      <xdr:col>9</xdr:col>
      <xdr:colOff>403860</xdr:colOff>
      <xdr:row>6</xdr:row>
      <xdr:rowOff>68580</xdr:rowOff>
    </xdr:to>
    <xdr:sp macro="" textlink="">
      <xdr:nvSpPr>
        <xdr:cNvPr id="7" name="Rectangle: Rounded Corners 6">
          <a:extLst>
            <a:ext uri="{FF2B5EF4-FFF2-40B4-BE49-F238E27FC236}">
              <a16:creationId xmlns:a16="http://schemas.microsoft.com/office/drawing/2014/main" id="{2EA70F62-174A-4E1E-BA36-191F71AE0B2D}"/>
            </a:ext>
          </a:extLst>
        </xdr:cNvPr>
        <xdr:cNvSpPr/>
      </xdr:nvSpPr>
      <xdr:spPr>
        <a:xfrm>
          <a:off x="3771900" y="601980"/>
          <a:ext cx="2118360" cy="563880"/>
        </a:xfrm>
        <a:prstGeom prst="round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3</xdr:row>
      <xdr:rowOff>53340</xdr:rowOff>
    </xdr:from>
    <xdr:to>
      <xdr:col>14</xdr:col>
      <xdr:colOff>259080</xdr:colOff>
      <xdr:row>6</xdr:row>
      <xdr:rowOff>68580</xdr:rowOff>
    </xdr:to>
    <xdr:sp macro="" textlink="">
      <xdr:nvSpPr>
        <xdr:cNvPr id="9" name="Rectangle: Rounded Corners 8">
          <a:extLst>
            <a:ext uri="{FF2B5EF4-FFF2-40B4-BE49-F238E27FC236}">
              <a16:creationId xmlns:a16="http://schemas.microsoft.com/office/drawing/2014/main" id="{17C1C87B-D65D-4203-939E-C2A2EF3595F8}"/>
            </a:ext>
          </a:extLst>
        </xdr:cNvPr>
        <xdr:cNvSpPr/>
      </xdr:nvSpPr>
      <xdr:spPr>
        <a:xfrm>
          <a:off x="5905500" y="601980"/>
          <a:ext cx="2887980" cy="563880"/>
        </a:xfrm>
        <a:prstGeom prst="round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289560</xdr:colOff>
      <xdr:row>7</xdr:row>
      <xdr:rowOff>45720</xdr:rowOff>
    </xdr:from>
    <xdr:to>
      <xdr:col>20</xdr:col>
      <xdr:colOff>434340</xdr:colOff>
      <xdr:row>20</xdr:row>
      <xdr:rowOff>53340</xdr:rowOff>
    </xdr:to>
    <xdr:graphicFrame macro="">
      <xdr:nvGraphicFramePr>
        <xdr:cNvPr id="13" name="Chart 12">
          <a:extLst>
            <a:ext uri="{FF2B5EF4-FFF2-40B4-BE49-F238E27FC236}">
              <a16:creationId xmlns:a16="http://schemas.microsoft.com/office/drawing/2014/main" id="{092B1883-41EF-491C-8B19-C136DAC7D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563880</xdr:colOff>
      <xdr:row>6</xdr:row>
      <xdr:rowOff>83820</xdr:rowOff>
    </xdr:from>
    <xdr:to>
      <xdr:col>23</xdr:col>
      <xdr:colOff>15240</xdr:colOff>
      <xdr:row>12</xdr:row>
      <xdr:rowOff>45720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710D955-C7B9-4CB4-8180-A26518E3E18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755880" y="1181100"/>
              <a:ext cx="128016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21</xdr:row>
      <xdr:rowOff>114300</xdr:rowOff>
    </xdr:from>
    <xdr:to>
      <xdr:col>7</xdr:col>
      <xdr:colOff>449580</xdr:colOff>
      <xdr:row>36</xdr:row>
      <xdr:rowOff>114300</xdr:rowOff>
    </xdr:to>
    <xdr:graphicFrame macro="">
      <xdr:nvGraphicFramePr>
        <xdr:cNvPr id="15" name="Chart 14">
          <a:extLst>
            <a:ext uri="{FF2B5EF4-FFF2-40B4-BE49-F238E27FC236}">
              <a16:creationId xmlns:a16="http://schemas.microsoft.com/office/drawing/2014/main" id="{9EF7A0F3-AA24-4C12-AE95-397C123DF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434340</xdr:colOff>
      <xdr:row>21</xdr:row>
      <xdr:rowOff>60960</xdr:rowOff>
    </xdr:from>
    <xdr:to>
      <xdr:col>23</xdr:col>
      <xdr:colOff>403860</xdr:colOff>
      <xdr:row>36</xdr:row>
      <xdr:rowOff>0</xdr:rowOff>
    </xdr:to>
    <xdr:graphicFrame macro="">
      <xdr:nvGraphicFramePr>
        <xdr:cNvPr id="21" name="Chart 20">
          <a:extLst>
            <a:ext uri="{FF2B5EF4-FFF2-40B4-BE49-F238E27FC236}">
              <a16:creationId xmlns:a16="http://schemas.microsoft.com/office/drawing/2014/main" id="{7754A9E6-5D59-4BBC-9E93-C6CF9D3FC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xdr:row>
      <xdr:rowOff>83820</xdr:rowOff>
    </xdr:from>
    <xdr:to>
      <xdr:col>7</xdr:col>
      <xdr:colOff>358140</xdr:colOff>
      <xdr:row>20</xdr:row>
      <xdr:rowOff>129540</xdr:rowOff>
    </xdr:to>
    <xdr:sp macro="" textlink="">
      <xdr:nvSpPr>
        <xdr:cNvPr id="24" name="Rectangle: Rounded Corners 23">
          <a:extLst>
            <a:ext uri="{FF2B5EF4-FFF2-40B4-BE49-F238E27FC236}">
              <a16:creationId xmlns:a16="http://schemas.microsoft.com/office/drawing/2014/main" id="{35499C5E-0E3E-A858-A3EE-FCCD78F5D155}"/>
            </a:ext>
          </a:extLst>
        </xdr:cNvPr>
        <xdr:cNvSpPr/>
      </xdr:nvSpPr>
      <xdr:spPr>
        <a:xfrm>
          <a:off x="0" y="1181100"/>
          <a:ext cx="4625340" cy="26060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6</xdr:row>
      <xdr:rowOff>167640</xdr:rowOff>
    </xdr:from>
    <xdr:to>
      <xdr:col>7</xdr:col>
      <xdr:colOff>91440</xdr:colOff>
      <xdr:row>20</xdr:row>
      <xdr:rowOff>45720</xdr:rowOff>
    </xdr:to>
    <xdr:graphicFrame macro="">
      <xdr:nvGraphicFramePr>
        <xdr:cNvPr id="11" name="Chart 10">
          <a:extLst>
            <a:ext uri="{FF2B5EF4-FFF2-40B4-BE49-F238E27FC236}">
              <a16:creationId xmlns:a16="http://schemas.microsoft.com/office/drawing/2014/main" id="{6887FC4C-B8BC-4BB8-9443-9D6B6EFE2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381000</xdr:colOff>
      <xdr:row>6</xdr:row>
      <xdr:rowOff>68580</xdr:rowOff>
    </xdr:from>
    <xdr:to>
      <xdr:col>16</xdr:col>
      <xdr:colOff>190500</xdr:colOff>
      <xdr:row>20</xdr:row>
      <xdr:rowOff>91440</xdr:rowOff>
    </xdr:to>
    <xdr:sp macro="" textlink="">
      <xdr:nvSpPr>
        <xdr:cNvPr id="16" name="Rectangle: Rounded Corners 15">
          <a:extLst>
            <a:ext uri="{FF2B5EF4-FFF2-40B4-BE49-F238E27FC236}">
              <a16:creationId xmlns:a16="http://schemas.microsoft.com/office/drawing/2014/main" id="{635E0154-05A5-42CB-8658-5B884E864195}"/>
            </a:ext>
          </a:extLst>
        </xdr:cNvPr>
        <xdr:cNvSpPr/>
      </xdr:nvSpPr>
      <xdr:spPr>
        <a:xfrm>
          <a:off x="4648200" y="1165860"/>
          <a:ext cx="5295900" cy="25831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6</xdr:row>
      <xdr:rowOff>68580</xdr:rowOff>
    </xdr:from>
    <xdr:to>
      <xdr:col>16</xdr:col>
      <xdr:colOff>121920</xdr:colOff>
      <xdr:row>20</xdr:row>
      <xdr:rowOff>91440</xdr:rowOff>
    </xdr:to>
    <xdr:graphicFrame macro="">
      <xdr:nvGraphicFramePr>
        <xdr:cNvPr id="12" name="Chart 11">
          <a:extLst>
            <a:ext uri="{FF2B5EF4-FFF2-40B4-BE49-F238E27FC236}">
              <a16:creationId xmlns:a16="http://schemas.microsoft.com/office/drawing/2014/main" id="{26608DC3-F66A-4523-B717-593451D7F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266700</xdr:colOff>
      <xdr:row>3</xdr:row>
      <xdr:rowOff>53340</xdr:rowOff>
    </xdr:from>
    <xdr:to>
      <xdr:col>23</xdr:col>
      <xdr:colOff>45720</xdr:colOff>
      <xdr:row>6</xdr:row>
      <xdr:rowOff>68580</xdr:rowOff>
    </xdr:to>
    <xdr:sp macro="" textlink="">
      <xdr:nvSpPr>
        <xdr:cNvPr id="26" name="Rectangle: Rounded Corners 25">
          <a:extLst>
            <a:ext uri="{FF2B5EF4-FFF2-40B4-BE49-F238E27FC236}">
              <a16:creationId xmlns:a16="http://schemas.microsoft.com/office/drawing/2014/main" id="{0492D22F-92FD-1186-AE0C-177FEC42D2B8}"/>
            </a:ext>
          </a:extLst>
        </xdr:cNvPr>
        <xdr:cNvSpPr/>
      </xdr:nvSpPr>
      <xdr:spPr>
        <a:xfrm>
          <a:off x="8801100" y="601980"/>
          <a:ext cx="5265420" cy="56388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281940</xdr:colOff>
      <xdr:row>3</xdr:row>
      <xdr:rowOff>53340</xdr:rowOff>
    </xdr:from>
    <xdr:to>
      <xdr:col>23</xdr:col>
      <xdr:colOff>495300</xdr:colOff>
      <xdr:row>6</xdr:row>
      <xdr:rowOff>129540</xdr:rowOff>
    </xdr:to>
    <xdr:sp macro="" textlink="">
      <xdr:nvSpPr>
        <xdr:cNvPr id="27" name="TextBox 26">
          <a:extLst>
            <a:ext uri="{FF2B5EF4-FFF2-40B4-BE49-F238E27FC236}">
              <a16:creationId xmlns:a16="http://schemas.microsoft.com/office/drawing/2014/main" id="{2E1B5E53-7CD5-910F-4842-B8C2EC1F7F41}"/>
            </a:ext>
          </a:extLst>
        </xdr:cNvPr>
        <xdr:cNvSpPr txBox="1"/>
      </xdr:nvSpPr>
      <xdr:spPr>
        <a:xfrm>
          <a:off x="8816340" y="601980"/>
          <a:ext cx="569976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effectLst/>
              <a:latin typeface="+mn-lt"/>
              <a:ea typeface="+mn-ea"/>
              <a:cs typeface="+mn-cs"/>
            </a:rPr>
            <a:t>Trending</a:t>
          </a:r>
          <a:r>
            <a:rPr lang="en-IN" sz="1800" b="1" baseline="0">
              <a:solidFill>
                <a:schemeClr val="dk1"/>
              </a:solidFill>
              <a:effectLst/>
              <a:latin typeface="+mn-lt"/>
              <a:ea typeface="+mn-ea"/>
              <a:cs typeface="+mn-cs"/>
            </a:rPr>
            <a:t> Hashtags</a:t>
          </a:r>
          <a:endParaRPr lang="en-IN" sz="1800">
            <a:effectLst/>
          </a:endParaRPr>
        </a:p>
        <a:p>
          <a:r>
            <a:rPr lang="en-IN" sz="1400" b="0" i="0">
              <a:solidFill>
                <a:schemeClr val="dk1"/>
              </a:solidFill>
              <a:effectLst/>
              <a:latin typeface="+mn-lt"/>
              <a:ea typeface="+mn-ea"/>
              <a:cs typeface="+mn-cs"/>
            </a:rPr>
            <a:t>#INDvPAK, #CWC19, #BleedBlue, #WeHaveWeWill, #RohitSharma140</a:t>
          </a:r>
          <a:r>
            <a:rPr lang="en-IN" sz="1400">
              <a:solidFill>
                <a:schemeClr val="dk1"/>
              </a:solidFill>
              <a:effectLst/>
              <a:latin typeface="+mn-lt"/>
              <a:ea typeface="+mn-ea"/>
              <a:cs typeface="+mn-cs"/>
            </a:rPr>
            <a:t> </a:t>
          </a:r>
          <a:endParaRPr lang="en-IN" sz="1400">
            <a:effectLst/>
          </a:endParaRPr>
        </a:p>
        <a:p>
          <a:endParaRPr lang="en-IN" sz="1050"/>
        </a:p>
      </xdr:txBody>
    </xdr:sp>
    <xdr:clientData/>
  </xdr:twoCellAnchor>
  <xdr:twoCellAnchor>
    <xdr:from>
      <xdr:col>7</xdr:col>
      <xdr:colOff>472440</xdr:colOff>
      <xdr:row>21</xdr:row>
      <xdr:rowOff>53340</xdr:rowOff>
    </xdr:from>
    <xdr:to>
      <xdr:col>17</xdr:col>
      <xdr:colOff>213360</xdr:colOff>
      <xdr:row>36</xdr:row>
      <xdr:rowOff>0</xdr:rowOff>
    </xdr:to>
    <xdr:graphicFrame macro="">
      <xdr:nvGraphicFramePr>
        <xdr:cNvPr id="22" name="Chart 21">
          <a:extLst>
            <a:ext uri="{FF2B5EF4-FFF2-40B4-BE49-F238E27FC236}">
              <a16:creationId xmlns:a16="http://schemas.microsoft.com/office/drawing/2014/main" id="{0804C204-1320-4963-9DB6-10F9BAC12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35.648225462966" createdVersion="8" refreshedVersion="8" minRefreshableVersion="3" recordCount="22" xr:uid="{BC07D95E-8E5E-437A-A6AD-56F46141D748}">
  <cacheSource type="worksheet">
    <worksheetSource ref="A2:AS23" sheet="MATCH RAW DATA"/>
  </cacheSource>
  <cacheFields count="45">
    <cacheField name="COUNTRY" numFmtId="0">
      <sharedItems count="2">
        <s v="India"/>
        <s v="Pakistan"/>
      </sharedItems>
    </cacheField>
    <cacheField name="NAME OF THE PLAYER" numFmtId="0">
      <sharedItems count="22">
        <s v="Rohit Sharma"/>
        <s v="KL Rahul"/>
        <s v="Virat Kohli"/>
        <s v="Vijay Shankar"/>
        <s v="MS Dhoni"/>
        <s v="Kedar Jadhav"/>
        <s v="Hardik Pandya"/>
        <s v="Jasprit Bumrah"/>
        <s v="Yuzvendra Chahal"/>
        <s v="Kuldeep Yadav"/>
        <s v="Bhuvneshwar Kumar"/>
        <s v="Fakhar Zaman"/>
        <s v="Imam-ul-Haq"/>
        <s v="Babar Azam"/>
        <s v="Mohammad Hafeez"/>
        <s v="Sarfaraz Ahmed"/>
        <s v="Imad Wasim"/>
        <s v="Wahab Riaz"/>
        <s v="Shadab Khan"/>
        <s v="Mohammad Amir"/>
        <s v="Hasan Ali"/>
        <s v="Shoaib Malik"/>
      </sharedItems>
    </cacheField>
    <cacheField name="DATE OF BIRTH" numFmtId="164">
      <sharedItems containsSemiMixedTypes="0" containsNonDate="0" containsDate="1" containsString="0" minDate="1980-10-17T00:00:00" maxDate="2000-06-05T00:00:00"/>
    </cacheField>
    <cacheField name="ROLES" numFmtId="0">
      <sharedItems/>
    </cacheField>
    <cacheField name="SPECIALISED" numFmtId="0">
      <sharedItems count="3">
        <s v="Batting"/>
        <s v="All-rounder"/>
        <s v="Bowling"/>
      </sharedItems>
    </cacheField>
    <cacheField name="Match Date" numFmtId="164">
      <sharedItems containsSemiMixedTypes="0" containsNonDate="0" containsDate="1" containsString="0" minDate="2019-06-16T00:00:00" maxDate="2019-06-17T00:00:00"/>
    </cacheField>
    <cacheField name="Match Format" numFmtId="0">
      <sharedItems/>
    </cacheField>
    <cacheField name="Tournament" numFmtId="0">
      <sharedItems/>
    </cacheField>
    <cacheField name="Venue" numFmtId="0">
      <sharedItems/>
    </cacheField>
    <cacheField name="Result" numFmtId="0">
      <sharedItems/>
    </cacheField>
    <cacheField name="Playing XI" numFmtId="0">
      <sharedItems/>
    </cacheField>
    <cacheField name="Batting Position" numFmtId="0">
      <sharedItems containsMixedTypes="1" containsNumber="1" containsInteger="1" minValue="3" maxValue="8"/>
    </cacheField>
    <cacheField name="Bowled" numFmtId="0">
      <sharedItems/>
    </cacheField>
    <cacheField name="Runs Scored" numFmtId="0">
      <sharedItems containsSemiMixedTypes="0" containsString="0" containsNumber="1" containsInteger="1" minValue="0" maxValue="140"/>
    </cacheField>
    <cacheField name="Balls Faced" numFmtId="0">
      <sharedItems containsString="0" containsBlank="1" containsNumber="1" containsInteger="1" minValue="0" maxValue="113"/>
    </cacheField>
    <cacheField name="Fours" numFmtId="0">
      <sharedItems containsSemiMixedTypes="0" containsString="0" containsNumber="1" containsInteger="1" minValue="0" maxValue="14"/>
    </cacheField>
    <cacheField name="Sixes" numFmtId="0">
      <sharedItems containsSemiMixedTypes="0" containsString="0" containsNumber="1" containsInteger="1" minValue="0" maxValue="3"/>
    </cacheField>
    <cacheField name="Strike Rate" numFmtId="0">
      <sharedItems containsSemiMixedTypes="0" containsString="0" containsNumber="1" minValue="0" maxValue="142.85"/>
    </cacheField>
    <cacheField name="Dismissal Type" numFmtId="0">
      <sharedItems containsBlank="1"/>
    </cacheField>
    <cacheField name="Overs Bowled" numFmtId="0">
      <sharedItems containsSemiMixedTypes="0" containsString="0" containsNumber="1" minValue="0" maxValue="10"/>
    </cacheField>
    <cacheField name="Maidens" numFmtId="0">
      <sharedItems containsSemiMixedTypes="0" containsString="0" containsNumber="1" containsInteger="1" minValue="0" maxValue="1"/>
    </cacheField>
    <cacheField name="Runs Conceded" numFmtId="0">
      <sharedItems containsSemiMixedTypes="0" containsString="0" containsNumber="1" containsInteger="1" minValue="0" maxValue="84"/>
    </cacheField>
    <cacheField name="Wickets" numFmtId="0">
      <sharedItems containsSemiMixedTypes="0" containsString="0" containsNumber="1" containsInteger="1" minValue="0" maxValue="3"/>
    </cacheField>
    <cacheField name="Economy Rate" numFmtId="0">
      <sharedItems containsSemiMixedTypes="0" containsString="0" containsNumber="1" minValue="0" maxValue="11"/>
    </cacheField>
    <cacheField name="Catches" numFmtId="0">
      <sharedItems containsSemiMixedTypes="0" containsString="0" containsNumber="1" containsInteger="1" minValue="0" maxValue="0"/>
    </cacheField>
    <cacheField name="Stumpings" numFmtId="0">
      <sharedItems containsSemiMixedTypes="0" containsString="0" containsNumber="1" containsInteger="1" minValue="0" maxValue="0"/>
    </cacheField>
    <cacheField name="Run-outs" numFmtId="0">
      <sharedItems containsSemiMixedTypes="0" containsString="0" containsNumber="1" containsInteger="1" minValue="0" maxValue="0"/>
    </cacheField>
    <cacheField name="Player Age" numFmtId="0">
      <sharedItems/>
    </cacheField>
    <cacheField name="Boundary Runs" numFmtId="0">
      <sharedItems containsSemiMixedTypes="0" containsString="0" containsNumber="1" containsInteger="1" minValue="0" maxValue="74"/>
    </cacheField>
    <cacheField name="Boundary %" numFmtId="0">
      <sharedItems containsSemiMixedTypes="0" containsString="0" containsNumber="1" minValue="0" maxValue="0.54838709677419351"/>
    </cacheField>
    <cacheField name="Balls Bowled" numFmtId="0">
      <sharedItems containsSemiMixedTypes="0" containsString="0" containsNumber="1" containsInteger="1" minValue="0" maxValue="60"/>
    </cacheField>
    <cacheField name="Bowling Strike Rate" numFmtId="0">
      <sharedItems containsSemiMixedTypes="0" containsString="0" containsNumber="1" containsInteger="1" minValue="0" maxValue="60"/>
    </cacheField>
    <cacheField name="Bowling Average" numFmtId="0">
      <sharedItems containsSemiMixedTypes="0" containsString="0" containsNumber="1" minValue="0" maxValue="84"/>
    </cacheField>
    <cacheField name="Match Outcome" numFmtId="0">
      <sharedItems/>
    </cacheField>
    <cacheField name="Performance Highlight" numFmtId="0">
      <sharedItems containsBlank="1"/>
    </cacheField>
    <cacheField name="Stadium Capacity" numFmtId="0">
      <sharedItems containsSemiMixedTypes="0" containsString="0" containsNumber="1" containsInteger="1" minValue="26000" maxValue="26000"/>
    </cacheField>
    <cacheField name="Attendance" numFmtId="0">
      <sharedItems containsSemiMixedTypes="0" containsString="0" containsNumber="1" containsInteger="1" minValue="23500" maxValue="23500"/>
    </cacheField>
    <cacheField name="Global Viewership Estimate" numFmtId="0">
      <sharedItems count="1">
        <s v="1B+"/>
      </sharedItems>
    </cacheField>
    <cacheField name="Social Media Buzz" numFmtId="0">
      <sharedItems/>
    </cacheField>
    <cacheField name="Country Population (2019)" numFmtId="0">
      <sharedItems/>
    </cacheField>
    <cacheField name="Regional Audience Breakdown" numFmtId="0">
      <sharedItems count="1">
        <s v="India ~700M, Pakistan ~150M, UK/EU ~50M, Rest of World ~100M"/>
      </sharedItems>
    </cacheField>
    <cacheField name="Broadcast Reach" numFmtId="0">
      <sharedItems count="1">
        <s v="200+ countries"/>
      </sharedItems>
    </cacheField>
    <cacheField name="Ticket Sales Revenue (GBP)" numFmtId="0">
      <sharedItems count="1">
        <s v="£50M"/>
      </sharedItems>
    </cacheField>
    <cacheField name="Advertising Revenue (USD)" numFmtId="0">
      <sharedItems count="1">
        <s v="$100M+"/>
      </sharedItems>
    </cacheField>
    <cacheField name="Trending Hashtags" numFmtId="0">
      <sharedItems/>
    </cacheField>
  </cacheFields>
  <extLst>
    <ext xmlns:x14="http://schemas.microsoft.com/office/spreadsheetml/2009/9/main" uri="{725AE2AE-9491-48be-B2B4-4EB974FC3084}">
      <x14:pivotCacheDefinition pivotCacheId="1676368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37.501421412038" createdVersion="8" refreshedVersion="8" minRefreshableVersion="3" recordCount="4" xr:uid="{2B904FA9-F71B-4D30-9A25-158994B62E6A}">
  <cacheSource type="worksheet">
    <worksheetSource name="Table1"/>
  </cacheSource>
  <cacheFields count="2">
    <cacheField name="Region" numFmtId="0">
      <sharedItems count="4">
        <s v="India "/>
        <s v="Pakistan "/>
        <s v=" UK/EU "/>
        <s v="Rest of World "/>
      </sharedItems>
    </cacheField>
    <cacheField name="AUDIENCE (MILLIONS)" numFmtId="2">
      <sharedItems containsSemiMixedTypes="0" containsString="0" containsNumber="1" containsInteger="1" minValue="50" maxValue="7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37.524243749998" createdVersion="8" refreshedVersion="8" minRefreshableVersion="3" recordCount="2" xr:uid="{2676DE67-E32B-4F19-BFD1-72F200A88B13}">
  <cacheSource type="worksheet">
    <worksheetSource name="Table4"/>
  </cacheSource>
  <cacheFields count="2">
    <cacheField name="Source" numFmtId="0">
      <sharedItems count="2">
        <s v="Ticket Sales Revenue (GBP)"/>
        <s v="Advertising Revenue (USD)"/>
      </sharedItems>
    </cacheField>
    <cacheField name="Revenue(in millions)" numFmtId="0">
      <sharedItems containsSemiMixedTypes="0" containsString="0" containsNumber="1" containsInteger="1" minValue="50" maxValue="1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43.551671990739" createdVersion="8" refreshedVersion="8" minRefreshableVersion="3" recordCount="22" xr:uid="{53F4F175-02B6-44E1-BDF3-AA1379F5E037}">
  <cacheSource type="worksheet">
    <worksheetSource name="Table2"/>
  </cacheSource>
  <cacheFields count="45">
    <cacheField name="COUNTRY" numFmtId="0">
      <sharedItems count="2">
        <s v="India"/>
        <s v="Pakistan"/>
      </sharedItems>
    </cacheField>
    <cacheField name="NAME OF THE PLAYER" numFmtId="0">
      <sharedItems count="22">
        <s v="Rohit Sharma"/>
        <s v="KL Rahul"/>
        <s v="Virat Kohli"/>
        <s v="Vijay Shankar"/>
        <s v="MS Dhoni"/>
        <s v="Kedar Jadhav"/>
        <s v="Hardik Pandya"/>
        <s v="Jasprit Bumrah"/>
        <s v="Yuzvendra Chahal"/>
        <s v="Kuldeep Yadav"/>
        <s v="Bhuvneshwar Kumar"/>
        <s v="Fakhar Zaman"/>
        <s v="Imam-ul-Haq"/>
        <s v="Babar Azam"/>
        <s v="Mohammad Hafeez"/>
        <s v="Sarfaraz Ahmed"/>
        <s v="Imad Wasim"/>
        <s v="Wahab Riaz"/>
        <s v="Shadab Khan"/>
        <s v="Mohammad Amir"/>
        <s v="Hasan Ali"/>
        <s v="Shoaib Malik"/>
      </sharedItems>
    </cacheField>
    <cacheField name="DATE OF BIRTH" numFmtId="164">
      <sharedItems containsSemiMixedTypes="0" containsNonDate="0" containsDate="1" containsString="0" minDate="1980-10-17T00:00:00" maxDate="2000-06-05T00:00:00"/>
    </cacheField>
    <cacheField name="ROLES" numFmtId="0">
      <sharedItems/>
    </cacheField>
    <cacheField name="SPECIALISED" numFmtId="0">
      <sharedItems/>
    </cacheField>
    <cacheField name="Match Date" numFmtId="164">
      <sharedItems containsSemiMixedTypes="0" containsNonDate="0" containsDate="1" containsString="0" minDate="2019-06-16T00:00:00" maxDate="2019-06-17T00:00:00"/>
    </cacheField>
    <cacheField name="Match Format" numFmtId="0">
      <sharedItems/>
    </cacheField>
    <cacheField name="Tournament" numFmtId="0">
      <sharedItems/>
    </cacheField>
    <cacheField name="Venue" numFmtId="0">
      <sharedItems/>
    </cacheField>
    <cacheField name="Result" numFmtId="0">
      <sharedItems/>
    </cacheField>
    <cacheField name="Playing XI" numFmtId="0">
      <sharedItems/>
    </cacheField>
    <cacheField name="Batting Position" numFmtId="0">
      <sharedItems containsMixedTypes="1" containsNumber="1" containsInteger="1" minValue="3" maxValue="8"/>
    </cacheField>
    <cacheField name="Bowled" numFmtId="0">
      <sharedItems/>
    </cacheField>
    <cacheField name="Runs Scored" numFmtId="0">
      <sharedItems containsSemiMixedTypes="0" containsString="0" containsNumber="1" containsInteger="1" minValue="0" maxValue="140"/>
    </cacheField>
    <cacheField name="Balls Faced" numFmtId="0">
      <sharedItems containsString="0" containsBlank="1" containsNumber="1" containsInteger="1" minValue="0" maxValue="113"/>
    </cacheField>
    <cacheField name="Fours" numFmtId="0">
      <sharedItems containsSemiMixedTypes="0" containsString="0" containsNumber="1" containsInteger="1" minValue="0" maxValue="14"/>
    </cacheField>
    <cacheField name="Sixes" numFmtId="0">
      <sharedItems containsSemiMixedTypes="0" containsString="0" containsNumber="1" containsInteger="1" minValue="0" maxValue="3"/>
    </cacheField>
    <cacheField name="Strike Rate" numFmtId="0">
      <sharedItems containsSemiMixedTypes="0" containsString="0" containsNumber="1" minValue="0" maxValue="142.85"/>
    </cacheField>
    <cacheField name="Dismissal Type" numFmtId="0">
      <sharedItems containsBlank="1"/>
    </cacheField>
    <cacheField name="Overs Bowled" numFmtId="0">
      <sharedItems containsSemiMixedTypes="0" containsString="0" containsNumber="1" minValue="0" maxValue="10"/>
    </cacheField>
    <cacheField name="Maidens" numFmtId="0">
      <sharedItems containsSemiMixedTypes="0" containsString="0" containsNumber="1" containsInteger="1" minValue="0" maxValue="1"/>
    </cacheField>
    <cacheField name="Runs Conceded" numFmtId="0">
      <sharedItems containsSemiMixedTypes="0" containsString="0" containsNumber="1" containsInteger="1" minValue="0" maxValue="84"/>
    </cacheField>
    <cacheField name="Wickets" numFmtId="0">
      <sharedItems containsSemiMixedTypes="0" containsString="0" containsNumber="1" containsInteger="1" minValue="0" maxValue="3"/>
    </cacheField>
    <cacheField name="Economy Rate" numFmtId="0">
      <sharedItems containsSemiMixedTypes="0" containsString="0" containsNumber="1" minValue="0" maxValue="11"/>
    </cacheField>
    <cacheField name="Catches" numFmtId="0">
      <sharedItems containsSemiMixedTypes="0" containsString="0" containsNumber="1" containsInteger="1" minValue="0" maxValue="0"/>
    </cacheField>
    <cacheField name="Stumpings" numFmtId="0">
      <sharedItems containsSemiMixedTypes="0" containsString="0" containsNumber="1" containsInteger="1" minValue="0" maxValue="0"/>
    </cacheField>
    <cacheField name="Run-outs" numFmtId="0">
      <sharedItems containsSemiMixedTypes="0" containsString="0" containsNumber="1" containsInteger="1" minValue="0" maxValue="0"/>
    </cacheField>
    <cacheField name="Player Age" numFmtId="0">
      <sharedItems/>
    </cacheField>
    <cacheField name="Boundary Runs" numFmtId="0">
      <sharedItems containsSemiMixedTypes="0" containsString="0" containsNumber="1" containsInteger="1" minValue="0" maxValue="74"/>
    </cacheField>
    <cacheField name="Boundary %" numFmtId="0">
      <sharedItems containsSemiMixedTypes="0" containsString="0" containsNumber="1" minValue="0" maxValue="0.54838709677419351"/>
    </cacheField>
    <cacheField name="Balls Bowled" numFmtId="0">
      <sharedItems containsSemiMixedTypes="0" containsString="0" containsNumber="1" containsInteger="1" minValue="0" maxValue="60"/>
    </cacheField>
    <cacheField name="Bowling Strike Rate" numFmtId="0">
      <sharedItems containsSemiMixedTypes="0" containsString="0" containsNumber="1" containsInteger="1" minValue="0" maxValue="60"/>
    </cacheField>
    <cacheField name="Bowling Average" numFmtId="0">
      <sharedItems containsSemiMixedTypes="0" containsString="0" containsNumber="1" minValue="0" maxValue="84"/>
    </cacheField>
    <cacheField name="Match Outcome" numFmtId="0">
      <sharedItems/>
    </cacheField>
    <cacheField name="Performance Highlight" numFmtId="0">
      <sharedItems containsBlank="1"/>
    </cacheField>
    <cacheField name="Stadium Capacity" numFmtId="0">
      <sharedItems containsSemiMixedTypes="0" containsString="0" containsNumber="1" containsInteger="1" minValue="26000" maxValue="26000"/>
    </cacheField>
    <cacheField name="Attendance" numFmtId="0">
      <sharedItems containsSemiMixedTypes="0" containsString="0" containsNumber="1" containsInteger="1" minValue="23500" maxValue="23500"/>
    </cacheField>
    <cacheField name="Global Viewership Estimate" numFmtId="0">
      <sharedItems/>
    </cacheField>
    <cacheField name="Social Media Buzz" numFmtId="0">
      <sharedItems/>
    </cacheField>
    <cacheField name="Country Population (2019)" numFmtId="0">
      <sharedItems/>
    </cacheField>
    <cacheField name="Regional Audience Breakdown" numFmtId="0">
      <sharedItems/>
    </cacheField>
    <cacheField name="Broadcast Reach" numFmtId="0">
      <sharedItems/>
    </cacheField>
    <cacheField name="Ticket Sales Revenue (GBP)" numFmtId="0">
      <sharedItems/>
    </cacheField>
    <cacheField name="Advertising Revenue (USD)" numFmtId="0">
      <sharedItems/>
    </cacheField>
    <cacheField name="Trending Hashta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d v="1987-04-30T00:00:00"/>
    <s v="Top-order batsman"/>
    <x v="0"/>
    <d v="2019-06-16T00:00:00"/>
    <s v="ODI"/>
    <s v="ICC Cricket World Cup 2019"/>
    <s v="Old Trafford, Manchester, England"/>
    <s v="India beat Pakistan by 89 runs (DLS method)"/>
    <s v="Yes"/>
    <s v="Opener"/>
    <s v="Not Bowled"/>
    <n v="140"/>
    <n v="113"/>
    <n v="14"/>
    <n v="3"/>
    <n v="123.89"/>
    <s v="c Wahab Riaz b Hasan A"/>
    <n v="0"/>
    <n v="0"/>
    <n v="0"/>
    <n v="0"/>
    <n v="0"/>
    <n v="0"/>
    <n v="0"/>
    <n v="0"/>
    <s v="32y 55d"/>
    <n v="74"/>
    <n v="0.52857142857142858"/>
    <n v="0"/>
    <n v="0"/>
    <n v="0"/>
    <s v="Win"/>
    <s v="Player of the Match"/>
    <n v="26000"/>
    <n v="23500"/>
    <x v="0"/>
    <s v="Very High"/>
    <s v="1.36B"/>
    <x v="0"/>
    <x v="0"/>
    <x v="0"/>
    <x v="0"/>
    <s v="#INDvPAK, #CWC19, #BleedBlue, #WeHaveWeWill, #RohitSharma140"/>
  </r>
  <r>
    <x v="0"/>
    <x v="1"/>
    <d v="1992-04-18T00:00:00"/>
    <s v="Wicket-keeper batter / Opening batsman"/>
    <x v="0"/>
    <d v="2019-06-16T00:00:00"/>
    <s v="ODI"/>
    <s v="ICC Cricket World Cup 2019"/>
    <s v="Old Trafford, Manchester, England"/>
    <s v="India beat Pakistan by 89 runs (DLS method)"/>
    <s v="Yes"/>
    <s v="Opener"/>
    <s v="Not Bowled"/>
    <n v="57"/>
    <n v="78"/>
    <n v="3"/>
    <n v="2"/>
    <n v="73.069999999999993"/>
    <s v="c Babar Azam b Wahab Riaz"/>
    <n v="0"/>
    <n v="0"/>
    <n v="0"/>
    <n v="0"/>
    <n v="0"/>
    <n v="0"/>
    <n v="0"/>
    <n v="0"/>
    <s v="27y 65d"/>
    <n v="24"/>
    <n v="0.42105263157894735"/>
    <n v="0"/>
    <n v="0"/>
    <n v="0"/>
    <s v="Win"/>
    <m/>
    <n v="26000"/>
    <n v="23500"/>
    <x v="0"/>
    <s v="Very High"/>
    <s v="1.36B"/>
    <x v="0"/>
    <x v="0"/>
    <x v="0"/>
    <x v="0"/>
    <s v="#INDvPAK, #CWC19, #BleedBlue, #WeHaveWeWill, #RohitSharma140"/>
  </r>
  <r>
    <x v="0"/>
    <x v="2"/>
    <d v="1988-05-11T00:00:00"/>
    <s v="Top-order batsman"/>
    <x v="0"/>
    <d v="2019-06-16T00:00:00"/>
    <s v="ODI"/>
    <s v="ICC Cricket World Cup 2019"/>
    <s v="Old Trafford, Manchester, England"/>
    <s v="India beat Pakistan by 89 runs (DLS method)"/>
    <s v="Yes"/>
    <n v="3"/>
    <s v="Not Bowled"/>
    <n v="77"/>
    <n v="65"/>
    <n v="7"/>
    <n v="0"/>
    <n v="118.46"/>
    <s v="c Sarfaraz Ahmed b Mohammad Amir"/>
    <n v="0"/>
    <n v="0"/>
    <n v="0"/>
    <n v="0"/>
    <n v="0"/>
    <n v="0"/>
    <n v="0"/>
    <n v="0"/>
    <s v="31y 43d"/>
    <n v="28"/>
    <n v="0.36363636363636365"/>
    <n v="0"/>
    <n v="0"/>
    <n v="0"/>
    <s v="Win"/>
    <m/>
    <n v="26000"/>
    <n v="23500"/>
    <x v="0"/>
    <s v="Very High"/>
    <s v="1.36B"/>
    <x v="0"/>
    <x v="0"/>
    <x v="0"/>
    <x v="0"/>
    <s v="#INDvPAK, #CWC19, #BleedBlue, #WeHaveWeWill, #RohitSharma140"/>
  </r>
  <r>
    <x v="0"/>
    <x v="3"/>
    <d v="1991-01-26T00:00:00"/>
    <s v="All-rounder"/>
    <x v="1"/>
    <d v="2019-06-16T00:00:00"/>
    <s v="ODI"/>
    <s v="ICC Cricket World Cup 2019"/>
    <s v="Old Trafford, Manchester, England"/>
    <s v="India beat Pakistan by 89 runs (DLS method)"/>
    <s v="Yes"/>
    <n v="6"/>
    <s v=" Bowled"/>
    <n v="15"/>
    <n v="15"/>
    <n v="1"/>
    <n v="0"/>
    <n v="100"/>
    <s v="Not Out"/>
    <n v="5.2"/>
    <n v="0"/>
    <n v="22"/>
    <n v="2"/>
    <n v="4.12"/>
    <n v="0"/>
    <n v="0"/>
    <n v="0"/>
    <s v="28y 148d"/>
    <n v="4"/>
    <n v="0.26666666666666666"/>
    <n v="32"/>
    <n v="16"/>
    <n v="11"/>
    <s v="Win"/>
    <m/>
    <n v="26000"/>
    <n v="23500"/>
    <x v="0"/>
    <s v="Very High"/>
    <s v="1.36B"/>
    <x v="0"/>
    <x v="0"/>
    <x v="0"/>
    <x v="0"/>
    <s v="#INDvPAK, #CWC19, #BleedBlue, #WeHaveWeWill, #RohitSharma140"/>
  </r>
  <r>
    <x v="0"/>
    <x v="4"/>
    <d v="1981-07-07T00:00:00"/>
    <s v="Wicket-keeper batsman"/>
    <x v="0"/>
    <d v="2019-06-16T00:00:00"/>
    <s v="ODI"/>
    <s v="ICC Cricket World Cup 2019"/>
    <s v="Old Trafford, Manchester, England"/>
    <s v="India beat Pakistan by 89 runs (DLS method)"/>
    <s v="Yes"/>
    <n v="5"/>
    <s v="Not Bowled"/>
    <n v="1"/>
    <n v="2"/>
    <n v="0"/>
    <n v="0"/>
    <n v="50"/>
    <s v="c Sarfaraz Ahmed b Mohammad Amir"/>
    <n v="0"/>
    <n v="0"/>
    <n v="0"/>
    <n v="0"/>
    <n v="0"/>
    <n v="0"/>
    <n v="0"/>
    <n v="0"/>
    <s v="37y 353d"/>
    <n v="0"/>
    <n v="0"/>
    <n v="0"/>
    <n v="0"/>
    <n v="0"/>
    <s v="Win"/>
    <m/>
    <n v="26000"/>
    <n v="23500"/>
    <x v="0"/>
    <s v="Very High"/>
    <s v="1.36B"/>
    <x v="0"/>
    <x v="0"/>
    <x v="0"/>
    <x v="0"/>
    <s v="#INDvPAK, #CWC19, #BleedBlue, #WeHaveWeWill, #RohitSharma140"/>
  </r>
  <r>
    <x v="0"/>
    <x v="5"/>
    <d v="1985-03-26T00:00:00"/>
    <s v="Middle-order batsman"/>
    <x v="0"/>
    <d v="2019-06-16T00:00:00"/>
    <s v="ODI"/>
    <s v="ICC Cricket World Cup 2019"/>
    <s v="Old Trafford, Manchester, England"/>
    <s v="India beat Pakistan by 89 runs (DLS method)"/>
    <s v="Yes"/>
    <n v="7"/>
    <s v="Not Bowled"/>
    <n v="9"/>
    <n v="8"/>
    <n v="1"/>
    <n v="0"/>
    <n v="112.5"/>
    <s v="Not Out"/>
    <n v="0"/>
    <n v="0"/>
    <n v="0"/>
    <n v="0"/>
    <n v="0"/>
    <n v="0"/>
    <n v="0"/>
    <n v="0"/>
    <s v="34y 90d"/>
    <n v="4"/>
    <n v="0.44444444444444442"/>
    <n v="0"/>
    <n v="0"/>
    <n v="0"/>
    <s v="Win"/>
    <m/>
    <n v="26000"/>
    <n v="23500"/>
    <x v="0"/>
    <s v="Very High"/>
    <s v="1.36B"/>
    <x v="0"/>
    <x v="0"/>
    <x v="0"/>
    <x v="0"/>
    <s v="#INDvPAK, #CWC19, #BleedBlue, #WeHaveWeWill, #RohitSharma140"/>
  </r>
  <r>
    <x v="0"/>
    <x v="6"/>
    <d v="1993-11-10T00:00:00"/>
    <s v="All-rounder"/>
    <x v="1"/>
    <d v="2019-06-16T00:00:00"/>
    <s v="ODI"/>
    <s v="ICC Cricket World Cup 2019"/>
    <s v="Old Trafford, Manchester, England"/>
    <s v="India beat Pakistan by 89 runs (DLS method)"/>
    <s v="Yes"/>
    <n v="4"/>
    <s v=" Bowled"/>
    <n v="26"/>
    <n v="19"/>
    <n v="2"/>
    <n v="1"/>
    <n v="136.84"/>
    <s v="c Babar Azam b Mohammad Amir"/>
    <n v="8"/>
    <n v="0"/>
    <n v="44"/>
    <n v="2"/>
    <n v="5.5"/>
    <n v="0"/>
    <n v="0"/>
    <n v="0"/>
    <s v="25y 224d"/>
    <n v="14"/>
    <n v="0.53846153846153844"/>
    <n v="48"/>
    <n v="24"/>
    <n v="22"/>
    <s v="Win"/>
    <m/>
    <n v="26000"/>
    <n v="23500"/>
    <x v="0"/>
    <s v="Very High"/>
    <s v="1.36B"/>
    <x v="0"/>
    <x v="0"/>
    <x v="0"/>
    <x v="0"/>
    <s v="#INDvPAK, #CWC19, #BleedBlue, #WeHaveWeWill, #RohitSharma140"/>
  </r>
  <r>
    <x v="0"/>
    <x v="7"/>
    <d v="1993-06-12T00:00:00"/>
    <s v="Fast bowler"/>
    <x v="2"/>
    <d v="2019-06-16T00:00:00"/>
    <s v="ODI"/>
    <s v="ICC Cricket World Cup 2019"/>
    <s v="Old Trafford, Manchester, England"/>
    <s v="India beat Pakistan by 89 runs (DLS method)"/>
    <s v="No"/>
    <s v="Did Not Bat"/>
    <s v=" Bowled"/>
    <n v="8"/>
    <m/>
    <n v="0"/>
    <n v="0"/>
    <n v="0"/>
    <s v="Did Not Bat"/>
    <n v="8"/>
    <n v="0"/>
    <n v="52"/>
    <n v="0"/>
    <n v="6.5"/>
    <n v="0"/>
    <n v="0"/>
    <n v="0"/>
    <s v="26y 10d"/>
    <n v="0"/>
    <n v="0"/>
    <n v="48"/>
    <n v="0"/>
    <n v="0"/>
    <s v="Win"/>
    <m/>
    <n v="26000"/>
    <n v="23500"/>
    <x v="0"/>
    <s v="Very High"/>
    <s v="1.36B"/>
    <x v="0"/>
    <x v="0"/>
    <x v="0"/>
    <x v="0"/>
    <s v="#INDvPAK, #CWC19, #BleedBlue, #WeHaveWeWill, #RohitSharma140"/>
  </r>
  <r>
    <x v="0"/>
    <x v="8"/>
    <d v="1990-07-23T00:00:00"/>
    <s v="Fast bowler"/>
    <x v="2"/>
    <d v="2019-06-16T00:00:00"/>
    <s v="ODI"/>
    <s v="ODI"/>
    <s v="Old Trafford, Manchester, England"/>
    <s v="India beat Pakistan by 89 runs (DLS method)"/>
    <s v="Yes"/>
    <s v="Did Not Bat"/>
    <s v=" Bowled"/>
    <n v="0"/>
    <n v="0"/>
    <n v="0"/>
    <n v="0"/>
    <n v="0"/>
    <s v="Did Not Bat"/>
    <n v="7"/>
    <n v="0"/>
    <n v="53"/>
    <n v="2"/>
    <n v="7.57"/>
    <n v="0"/>
    <n v="0"/>
    <n v="0"/>
    <s v="28y 335d"/>
    <n v="0"/>
    <n v="0"/>
    <n v="42"/>
    <n v="21"/>
    <n v="26.5"/>
    <s v="Win"/>
    <m/>
    <n v="26000"/>
    <n v="23500"/>
    <x v="0"/>
    <s v="Very High"/>
    <s v="1.36B"/>
    <x v="0"/>
    <x v="0"/>
    <x v="0"/>
    <x v="0"/>
    <s v="#INDvPAK, #CWC19, #BleedBlue, #WeHaveWeWill, #RohitSharma140"/>
  </r>
  <r>
    <x v="0"/>
    <x v="9"/>
    <d v="1994-12-14T00:00:00"/>
    <s v="Spin bowler"/>
    <x v="2"/>
    <d v="2019-06-16T00:00:00"/>
    <s v="ODI"/>
    <s v="ICC Cricket World Cup 2019"/>
    <s v="Old Trafford, Manchester, England"/>
    <s v="India beat Pakistan by 89 runs (DLS method)"/>
    <s v="Yes"/>
    <s v="Did Not Bat"/>
    <s v=" Bowled"/>
    <n v="0"/>
    <n v="0"/>
    <n v="0"/>
    <n v="0"/>
    <n v="0"/>
    <s v="Did Not Bat"/>
    <n v="9"/>
    <n v="1"/>
    <n v="32"/>
    <n v="2"/>
    <n v="3.55"/>
    <n v="0"/>
    <n v="0"/>
    <n v="0"/>
    <s v="24y 190d"/>
    <n v="0"/>
    <n v="0"/>
    <n v="54"/>
    <n v="27"/>
    <n v="16"/>
    <s v="Win"/>
    <m/>
    <n v="26000"/>
    <n v="23500"/>
    <x v="0"/>
    <s v="Very High"/>
    <s v="1.36B"/>
    <x v="0"/>
    <x v="0"/>
    <x v="0"/>
    <x v="0"/>
    <s v="#INDvPAK, #CWC19, #BleedBlue, #WeHaveWeWill, #RohitSharma140"/>
  </r>
  <r>
    <x v="0"/>
    <x v="10"/>
    <d v="1990-05-02T00:00:00"/>
    <s v="Fast bowler"/>
    <x v="2"/>
    <d v="2019-06-16T00:00:00"/>
    <s v="ODI"/>
    <s v="ICC Cricket World Cup 2019"/>
    <s v="Old Trafford, Manchester, England"/>
    <s v="India beat Pakistan by 89 runs (DLS method)"/>
    <s v="Yes"/>
    <s v="Did Not Bat"/>
    <s v=" Bowled"/>
    <n v="0"/>
    <n v="0"/>
    <n v="0"/>
    <n v="0"/>
    <n v="0"/>
    <s v="Did Not Bat"/>
    <n v="2.4"/>
    <n v="0"/>
    <n v="8"/>
    <n v="0"/>
    <n v="3"/>
    <n v="0"/>
    <n v="0"/>
    <n v="0"/>
    <s v="29y 52d"/>
    <n v="0"/>
    <n v="0"/>
    <n v="16"/>
    <n v="0"/>
    <n v="0"/>
    <s v="Win"/>
    <m/>
    <n v="26000"/>
    <n v="23500"/>
    <x v="0"/>
    <s v="Very High"/>
    <s v="1.36B"/>
    <x v="0"/>
    <x v="0"/>
    <x v="0"/>
    <x v="0"/>
    <s v="#INDvPAK, #CWC19, #BleedBlue, #WeHaveWeWill, #RohitSharma140"/>
  </r>
  <r>
    <x v="1"/>
    <x v="11"/>
    <d v="1990-10-04T00:00:00"/>
    <s v="Top-order batsman"/>
    <x v="0"/>
    <d v="2019-06-16T00:00:00"/>
    <s v="ODI"/>
    <s v="ICC Cricket World Cup 2019"/>
    <s v="Old Trafford, Manchester, England"/>
    <s v="India beat Pakistan by 89 runs (DLS method)"/>
    <s v="Yes"/>
    <s v="Opener"/>
    <s v="Not Bowled"/>
    <n v="62"/>
    <n v="75"/>
    <n v="7"/>
    <n v="1"/>
    <n v="82.66"/>
    <m/>
    <n v="0"/>
    <n v="0"/>
    <n v="0"/>
    <n v="0"/>
    <n v="0"/>
    <n v="0"/>
    <n v="0"/>
    <n v="0"/>
    <s v="28y 262d"/>
    <n v="34"/>
    <n v="0.54838709677419351"/>
    <n v="0"/>
    <n v="0"/>
    <n v="0"/>
    <s v="Loss"/>
    <m/>
    <n v="26000"/>
    <n v="23500"/>
    <x v="0"/>
    <s v="Very High"/>
    <s v="216M"/>
    <x v="0"/>
    <x v="0"/>
    <x v="0"/>
    <x v="0"/>
    <s v="#INDvPAK, #CWC19, #BleedBlue, #WeHaveWeWill, #RohitSharma140"/>
  </r>
  <r>
    <x v="1"/>
    <x v="12"/>
    <d v="1995-12-22T00:00:00"/>
    <s v="Top-order batsman"/>
    <x v="0"/>
    <d v="2019-06-16T00:00:00"/>
    <s v="ODI"/>
    <s v="ICC Cricket World Cup 2019"/>
    <s v="Old Trafford, Manchester, England"/>
    <s v="India beat Pakistan by 89 runs (DLS method)"/>
    <s v="Yes"/>
    <s v="Opener"/>
    <s v="Not Bowled"/>
    <n v="7"/>
    <n v="18"/>
    <n v="1"/>
    <n v="0"/>
    <n v="38.880000000000003"/>
    <m/>
    <n v="0"/>
    <n v="0"/>
    <n v="0"/>
    <n v="0"/>
    <n v="0"/>
    <n v="0"/>
    <n v="0"/>
    <n v="0"/>
    <s v="23y 182d"/>
    <n v="4"/>
    <n v="0"/>
    <n v="0"/>
    <n v="0"/>
    <n v="0"/>
    <s v="Loss"/>
    <m/>
    <n v="26000"/>
    <n v="23500"/>
    <x v="0"/>
    <s v="Very High"/>
    <s v="216M"/>
    <x v="0"/>
    <x v="0"/>
    <x v="0"/>
    <x v="0"/>
    <s v="#INDvPAK, #CWC19, #BleedBlue, #WeHaveWeWill, #RohitSharma140"/>
  </r>
  <r>
    <x v="1"/>
    <x v="13"/>
    <d v="1994-10-15T00:00:00"/>
    <s v="Top-order batsman"/>
    <x v="0"/>
    <d v="2019-06-16T00:00:00"/>
    <s v="ODI"/>
    <s v="ICC Cricket World Cup 2019"/>
    <s v="Old Trafford, Manchester, England"/>
    <s v="India beat Pakistan by 89 runs (DLS method)"/>
    <s v="Yes"/>
    <n v="3"/>
    <s v="Not Bowled"/>
    <n v="48"/>
    <n v="57"/>
    <n v="3"/>
    <n v="1"/>
    <n v="84.21"/>
    <m/>
    <n v="0"/>
    <n v="0"/>
    <n v="0"/>
    <n v="0"/>
    <n v="0"/>
    <n v="0"/>
    <n v="0"/>
    <n v="0"/>
    <s v="24y 250d"/>
    <n v="18"/>
    <n v="0.375"/>
    <n v="0"/>
    <n v="0"/>
    <n v="0"/>
    <s v="Loss"/>
    <m/>
    <n v="26000"/>
    <n v="23500"/>
    <x v="0"/>
    <s v="Very High"/>
    <s v="216M"/>
    <x v="0"/>
    <x v="0"/>
    <x v="0"/>
    <x v="0"/>
    <s v="#INDvPAK, #CWC19, #BleedBlue, #WeHaveWeWill, #RohitSharma140"/>
  </r>
  <r>
    <x v="1"/>
    <x v="14"/>
    <d v="1980-10-17T00:00:00"/>
    <s v="All-rounder"/>
    <x v="1"/>
    <d v="2019-06-16T00:00:00"/>
    <s v="ODI"/>
    <s v="ICC Cricket World Cup 2019"/>
    <s v="Old Trafford, Manchester, England"/>
    <s v="India beat Pakistan by 89 runs (DLS method)"/>
    <s v="Yes"/>
    <n v="4"/>
    <s v=" Bowled"/>
    <n v="9"/>
    <n v="7"/>
    <n v="0"/>
    <n v="1"/>
    <n v="128.57"/>
    <m/>
    <n v="0"/>
    <n v="0"/>
    <n v="0"/>
    <n v="0"/>
    <n v="0"/>
    <n v="0"/>
    <n v="0"/>
    <n v="0"/>
    <s v="38y 251d"/>
    <n v="6"/>
    <n v="0"/>
    <n v="6"/>
    <n v="0"/>
    <n v="0"/>
    <s v="Loss"/>
    <m/>
    <n v="26000"/>
    <n v="23500"/>
    <x v="0"/>
    <s v="Very High"/>
    <s v="216M"/>
    <x v="0"/>
    <x v="0"/>
    <x v="0"/>
    <x v="0"/>
    <s v="#INDvPAK, #CWC19, #BleedBlue, #WeHaveWeWill, #RohitSharma140"/>
  </r>
  <r>
    <x v="1"/>
    <x v="15"/>
    <d v="1987-05-22T00:00:00"/>
    <s v="Wicket-keeper batsman"/>
    <x v="0"/>
    <d v="2019-06-16T00:00:00"/>
    <s v="ODI"/>
    <s v="ICC Cricket World Cup 2019"/>
    <s v="Old Trafford, Manchester, England"/>
    <s v="India beat Pakistan by 89 runs (DLS method)"/>
    <s v="Yes"/>
    <n v="5"/>
    <s v="Not Bowled"/>
    <n v="12"/>
    <n v="30"/>
    <n v="0"/>
    <n v="0"/>
    <n v="40"/>
    <m/>
    <n v="0"/>
    <n v="0"/>
    <n v="0"/>
    <n v="0"/>
    <n v="0"/>
    <n v="0"/>
    <n v="0"/>
    <n v="0"/>
    <s v="32y 33d"/>
    <n v="0"/>
    <n v="0"/>
    <n v="0"/>
    <n v="0"/>
    <n v="0"/>
    <s v="Loss"/>
    <m/>
    <n v="26000"/>
    <n v="23500"/>
    <x v="0"/>
    <s v="Very High"/>
    <s v="216M"/>
    <x v="0"/>
    <x v="0"/>
    <x v="0"/>
    <x v="0"/>
    <s v="#INDvPAK, #CWC19, #BleedBlue, #WeHaveWeWill, #RohitSharma140"/>
  </r>
  <r>
    <x v="1"/>
    <x v="16"/>
    <d v="1988-12-18T00:00:00"/>
    <s v="All-rounder"/>
    <x v="1"/>
    <d v="2019-06-16T00:00:00"/>
    <s v="ODI"/>
    <s v="ICC Cricket World Cup 2019"/>
    <s v="Old Trafford, Manchester, England"/>
    <s v="India beat Pakistan by 89 runs (DLS method)"/>
    <s v="Yes"/>
    <n v="7"/>
    <s v=" Bowled"/>
    <n v="46"/>
    <n v="39"/>
    <n v="6"/>
    <n v="0"/>
    <n v="117.94"/>
    <s v="Not Out"/>
    <n v="10"/>
    <n v="0"/>
    <n v="49"/>
    <n v="0"/>
    <n v="4.9000000000000004"/>
    <n v="0"/>
    <n v="0"/>
    <n v="0"/>
    <s v="30y 187d"/>
    <n v="24"/>
    <n v="0.52173913043478259"/>
    <n v="60"/>
    <n v="0"/>
    <n v="0"/>
    <s v="Loss"/>
    <m/>
    <n v="26000"/>
    <n v="23500"/>
    <x v="0"/>
    <s v="Very High"/>
    <s v="216M"/>
    <x v="0"/>
    <x v="0"/>
    <x v="0"/>
    <x v="0"/>
    <s v="#INDvPAK, #CWC19, #BleedBlue, #WeHaveWeWill, #RohitSharma140"/>
  </r>
  <r>
    <x v="1"/>
    <x v="17"/>
    <d v="1985-06-28T00:00:00"/>
    <s v="Fast bowler"/>
    <x v="2"/>
    <d v="2019-06-16T00:00:00"/>
    <s v="ODI"/>
    <s v="ICC Cricket World Cup 2019"/>
    <s v="Old Trafford, Manchester, England"/>
    <s v="India beat Pakistan by 89 runs (DLS method)"/>
    <s v="Yes"/>
    <s v="Did Not Bat"/>
    <s v=" Bowled"/>
    <n v="0"/>
    <n v="0"/>
    <n v="0"/>
    <n v="0"/>
    <n v="0"/>
    <s v="Did Not Bat"/>
    <n v="10"/>
    <n v="0"/>
    <n v="71"/>
    <n v="1"/>
    <n v="7.1"/>
    <n v="0"/>
    <n v="0"/>
    <n v="0"/>
    <s v="33y 361d"/>
    <n v="0"/>
    <n v="0"/>
    <n v="60"/>
    <n v="60"/>
    <n v="71"/>
    <s v="Loss"/>
    <m/>
    <n v="26000"/>
    <n v="23500"/>
    <x v="0"/>
    <s v="Very High"/>
    <s v="216M"/>
    <x v="0"/>
    <x v="0"/>
    <x v="0"/>
    <x v="0"/>
    <s v="#INDvPAK, #CWC19, #BleedBlue, #WeHaveWeWill, #RohitSharma140"/>
  </r>
  <r>
    <x v="1"/>
    <x v="18"/>
    <d v="1998-04-10T00:00:00"/>
    <s v="All-rounder"/>
    <x v="1"/>
    <d v="2019-06-16T00:00:00"/>
    <s v="ODI"/>
    <s v="ICC Cricket World Cup 2019"/>
    <s v="Old Trafford, Manchester, England"/>
    <s v="India beat Pakistan by 89 runs (DLS method)"/>
    <s v="Yes"/>
    <n v="8"/>
    <s v=" Bowled"/>
    <n v="20"/>
    <n v="14"/>
    <n v="1"/>
    <n v="0"/>
    <n v="142.85"/>
    <s v="Caught"/>
    <n v="9"/>
    <n v="0"/>
    <n v="61"/>
    <n v="0"/>
    <n v="6.77"/>
    <n v="0"/>
    <n v="0"/>
    <n v="0"/>
    <s v="21y 72d"/>
    <n v="4"/>
    <n v="0.2"/>
    <n v="54"/>
    <n v="0"/>
    <n v="0"/>
    <s v="Loss"/>
    <m/>
    <n v="26000"/>
    <n v="23500"/>
    <x v="0"/>
    <s v="Very High"/>
    <s v="216M"/>
    <x v="0"/>
    <x v="0"/>
    <x v="0"/>
    <x v="0"/>
    <s v="#INDvPAK, #CWC19, #BleedBlue, #WeHaveWeWill, #RohitSharma140"/>
  </r>
  <r>
    <x v="1"/>
    <x v="19"/>
    <d v="1992-04-13T00:00:00"/>
    <s v="Fast bowler"/>
    <x v="2"/>
    <d v="2019-06-16T00:00:00"/>
    <s v="ODI"/>
    <s v="ICC Cricket World Cup 2019"/>
    <s v="Old Trafford, Manchester, England"/>
    <s v="India beat Pakistan by 89 runs (DLS method)"/>
    <s v="Yes"/>
    <s v="Did Not Bat"/>
    <s v=" Bowled"/>
    <n v="0"/>
    <n v="0"/>
    <n v="0"/>
    <n v="0"/>
    <n v="0"/>
    <s v="Did Not Bat"/>
    <n v="10"/>
    <n v="1"/>
    <n v="47"/>
    <n v="3"/>
    <n v="4.7"/>
    <n v="0"/>
    <n v="0"/>
    <n v="0"/>
    <s v="27y 70d"/>
    <n v="0"/>
    <n v="0"/>
    <n v="60"/>
    <n v="20"/>
    <n v="15.666666666666666"/>
    <s v="Loss"/>
    <s v="Key Performer"/>
    <n v="26000"/>
    <n v="23500"/>
    <x v="0"/>
    <s v="Very High"/>
    <s v="216M"/>
    <x v="0"/>
    <x v="0"/>
    <x v="0"/>
    <x v="0"/>
    <s v="#INDvPAK, #CWC19, #BleedBlue, #WeHaveWeWill, #RohitSharma140"/>
  </r>
  <r>
    <x v="1"/>
    <x v="20"/>
    <d v="1994-02-07T00:00:00"/>
    <s v="Fast bowler"/>
    <x v="2"/>
    <d v="2019-06-16T00:00:00"/>
    <s v="ODI"/>
    <s v="ICC Cricket World Cup 2019"/>
    <s v="Old Trafford, Manchester, England"/>
    <s v="India beat Pakistan by 89 runs (DLS method)"/>
    <s v="Yes"/>
    <s v="Did Not Bat"/>
    <s v=" Bowled"/>
    <n v="0"/>
    <n v="0"/>
    <n v="0"/>
    <n v="0"/>
    <n v="0"/>
    <s v="Did Not Bat"/>
    <n v="9"/>
    <n v="0"/>
    <n v="84"/>
    <n v="1"/>
    <n v="9.33"/>
    <n v="0"/>
    <n v="0"/>
    <n v="0"/>
    <s v="25y 135d"/>
    <n v="0"/>
    <n v="0"/>
    <n v="54"/>
    <n v="54"/>
    <n v="84"/>
    <s v="Loss"/>
    <m/>
    <n v="26000"/>
    <n v="23500"/>
    <x v="0"/>
    <s v="Very High"/>
    <s v="216M"/>
    <x v="0"/>
    <x v="0"/>
    <x v="0"/>
    <x v="0"/>
    <s v="#INDvPAK, #CWC19, #BleedBlue, #WeHaveWeWill, #RohitSharma140"/>
  </r>
  <r>
    <x v="1"/>
    <x v="21"/>
    <d v="2000-06-04T00:00:00"/>
    <s v="Fast bowler"/>
    <x v="2"/>
    <d v="2019-06-16T00:00:00"/>
    <s v="ODI"/>
    <s v="ICC Cricket World Cup 2019"/>
    <s v="Old Trafford, Manchester, England"/>
    <s v="India beat Pakistan by 89 runs (DLS method)"/>
    <s v="No"/>
    <n v="6"/>
    <s v=" Shankar"/>
    <n v="0"/>
    <n v="1"/>
    <n v="0"/>
    <n v="0"/>
    <n v="0"/>
    <s v="Bowled"/>
    <n v="1"/>
    <n v="0"/>
    <n v="11"/>
    <n v="0"/>
    <n v="11"/>
    <n v="0"/>
    <n v="0"/>
    <n v="0"/>
    <s v="19y 16d"/>
    <n v="0"/>
    <n v="0"/>
    <n v="6"/>
    <n v="0"/>
    <n v="0"/>
    <s v="Loss"/>
    <m/>
    <n v="26000"/>
    <n v="23500"/>
    <x v="0"/>
    <s v="Very High"/>
    <s v="216M"/>
    <x v="0"/>
    <x v="0"/>
    <x v="0"/>
    <x v="0"/>
    <s v="#INDvPAK, #CWC19, #BleedBlue, #WeHaveWeWill, #RohitSharma1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00"/>
  </r>
  <r>
    <x v="1"/>
    <n v="150"/>
  </r>
  <r>
    <x v="2"/>
    <n v="50"/>
  </r>
  <r>
    <x v="3"/>
    <n v="1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50"/>
  </r>
  <r>
    <x v="1"/>
    <n v="1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d v="1987-04-30T00:00:00"/>
    <s v="Top-order batsman"/>
    <s v="Batting"/>
    <d v="2019-06-16T00:00:00"/>
    <s v="ODI"/>
    <s v="ICC Cricket World Cup 2019"/>
    <s v="Old Trafford, Manchester, England"/>
    <s v="India beat Pakistan by 89 runs (DLS method)"/>
    <s v="Yes"/>
    <s v="Opener"/>
    <s v="Not Bowled"/>
    <n v="140"/>
    <n v="113"/>
    <n v="14"/>
    <n v="3"/>
    <n v="123.89"/>
    <s v="c Wahab Riaz b Hasan A"/>
    <n v="0"/>
    <n v="0"/>
    <n v="0"/>
    <n v="0"/>
    <n v="0"/>
    <n v="0"/>
    <n v="0"/>
    <n v="0"/>
    <s v="32y 55d"/>
    <n v="74"/>
    <n v="0.52857142857142858"/>
    <n v="0"/>
    <n v="0"/>
    <n v="0"/>
    <s v="Win"/>
    <s v="Player of the Match"/>
    <n v="26000"/>
    <n v="23500"/>
    <s v="1B+"/>
    <s v="Very High"/>
    <s v="1.36B"/>
    <s v="India ~700M, Pakistan ~150M, UK/EU ~50M, Rest of World ~100M"/>
    <s v="200+ countries"/>
    <s v="£50M"/>
    <s v="$100M+"/>
    <s v="#INDvPAK, #CWC19, #BleedBlue, #WeHaveWeWill, #RohitSharma140"/>
  </r>
  <r>
    <x v="0"/>
    <x v="1"/>
    <d v="1992-04-18T00:00:00"/>
    <s v="Wicket-keeper batter / Opening batsman"/>
    <s v="Batting"/>
    <d v="2019-06-16T00:00:00"/>
    <s v="ODI"/>
    <s v="ICC Cricket World Cup 2019"/>
    <s v="Old Trafford, Manchester, England"/>
    <s v="India beat Pakistan by 89 runs (DLS method)"/>
    <s v="Yes"/>
    <s v="Opener"/>
    <s v="Not Bowled"/>
    <n v="57"/>
    <n v="78"/>
    <n v="3"/>
    <n v="2"/>
    <n v="73.069999999999993"/>
    <s v="c Babar Azam b Wahab Riaz"/>
    <n v="0"/>
    <n v="0"/>
    <n v="0"/>
    <n v="0"/>
    <n v="0"/>
    <n v="0"/>
    <n v="0"/>
    <n v="0"/>
    <s v="27y 65d"/>
    <n v="24"/>
    <n v="0.42105263157894735"/>
    <n v="0"/>
    <n v="0"/>
    <n v="0"/>
    <s v="Win"/>
    <m/>
    <n v="26000"/>
    <n v="23500"/>
    <s v="1B+"/>
    <s v="Very High"/>
    <s v="1.36B"/>
    <s v="India ~700M, Pakistan ~150M, UK/EU ~50M, Rest of World ~100M"/>
    <s v="200+ countries"/>
    <s v="£50M"/>
    <s v="$100M+"/>
    <s v="#INDvPAK, #CWC19, #BleedBlue, #WeHaveWeWill, #RohitSharma140"/>
  </r>
  <r>
    <x v="0"/>
    <x v="2"/>
    <d v="1988-05-11T00:00:00"/>
    <s v="Top-order batsman"/>
    <s v="Batting"/>
    <d v="2019-06-16T00:00:00"/>
    <s v="ODI"/>
    <s v="ICC Cricket World Cup 2019"/>
    <s v="Old Trafford, Manchester, England"/>
    <s v="India beat Pakistan by 89 runs (DLS method)"/>
    <s v="Yes"/>
    <n v="3"/>
    <s v="Not Bowled"/>
    <n v="77"/>
    <n v="65"/>
    <n v="7"/>
    <n v="0"/>
    <n v="118.46"/>
    <s v="c Sarfaraz Ahmed b Mohammad Amir"/>
    <n v="0"/>
    <n v="0"/>
    <n v="0"/>
    <n v="0"/>
    <n v="0"/>
    <n v="0"/>
    <n v="0"/>
    <n v="0"/>
    <s v="31y 43d"/>
    <n v="28"/>
    <n v="0.36363636363636365"/>
    <n v="0"/>
    <n v="0"/>
    <n v="0"/>
    <s v="Win"/>
    <m/>
    <n v="26000"/>
    <n v="23500"/>
    <s v="1B+"/>
    <s v="Very High"/>
    <s v="1.36B"/>
    <s v="India ~700M, Pakistan ~150M, UK/EU ~50M, Rest of World ~100M"/>
    <s v="200+ countries"/>
    <s v="£50M"/>
    <s v="$100M+"/>
    <s v="#INDvPAK, #CWC19, #BleedBlue, #WeHaveWeWill, #RohitSharma140"/>
  </r>
  <r>
    <x v="0"/>
    <x v="3"/>
    <d v="1991-01-26T00:00:00"/>
    <s v="All-rounder"/>
    <s v="All-rounder"/>
    <d v="2019-06-16T00:00:00"/>
    <s v="ODI"/>
    <s v="ICC Cricket World Cup 2019"/>
    <s v="Old Trafford, Manchester, England"/>
    <s v="India beat Pakistan by 89 runs (DLS method)"/>
    <s v="Yes"/>
    <n v="6"/>
    <s v=" Bowled"/>
    <n v="15"/>
    <n v="15"/>
    <n v="1"/>
    <n v="0"/>
    <n v="100"/>
    <s v="Not Out"/>
    <n v="5.2"/>
    <n v="0"/>
    <n v="22"/>
    <n v="2"/>
    <n v="4.12"/>
    <n v="0"/>
    <n v="0"/>
    <n v="0"/>
    <s v="28y 148d"/>
    <n v="4"/>
    <n v="0.26666666666666666"/>
    <n v="32"/>
    <n v="16"/>
    <n v="11"/>
    <s v="Win"/>
    <m/>
    <n v="26000"/>
    <n v="23500"/>
    <s v="1B+"/>
    <s v="Very High"/>
    <s v="1.36B"/>
    <s v="India ~700M, Pakistan ~150M, UK/EU ~50M, Rest of World ~100M"/>
    <s v="200+ countries"/>
    <s v="£50M"/>
    <s v="$100M+"/>
    <s v="#INDvPAK, #CWC19, #BleedBlue, #WeHaveWeWill, #RohitSharma140"/>
  </r>
  <r>
    <x v="0"/>
    <x v="4"/>
    <d v="1981-07-07T00:00:00"/>
    <s v="Wicket-keeper batsman"/>
    <s v="Batting"/>
    <d v="2019-06-16T00:00:00"/>
    <s v="ODI"/>
    <s v="ICC Cricket World Cup 2019"/>
    <s v="Old Trafford, Manchester, England"/>
    <s v="India beat Pakistan by 89 runs (DLS method)"/>
    <s v="Yes"/>
    <n v="5"/>
    <s v="Not Bowled"/>
    <n v="1"/>
    <n v="2"/>
    <n v="0"/>
    <n v="0"/>
    <n v="50"/>
    <s v="c Sarfaraz Ahmed b Mohammad Amir"/>
    <n v="0"/>
    <n v="0"/>
    <n v="0"/>
    <n v="0"/>
    <n v="0"/>
    <n v="0"/>
    <n v="0"/>
    <n v="0"/>
    <s v="37y 353d"/>
    <n v="0"/>
    <n v="0"/>
    <n v="0"/>
    <n v="0"/>
    <n v="0"/>
    <s v="Win"/>
    <m/>
    <n v="26000"/>
    <n v="23500"/>
    <s v="1B+"/>
    <s v="Very High"/>
    <s v="1.36B"/>
    <s v="India ~700M, Pakistan ~150M, UK/EU ~50M, Rest of World ~100M"/>
    <s v="200+ countries"/>
    <s v="£50M"/>
    <s v="$100M+"/>
    <s v="#INDvPAK, #CWC19, #BleedBlue, #WeHaveWeWill, #RohitSharma140"/>
  </r>
  <r>
    <x v="0"/>
    <x v="5"/>
    <d v="1985-03-26T00:00:00"/>
    <s v="Middle-order batsman"/>
    <s v="Batting"/>
    <d v="2019-06-16T00:00:00"/>
    <s v="ODI"/>
    <s v="ICC Cricket World Cup 2019"/>
    <s v="Old Trafford, Manchester, England"/>
    <s v="India beat Pakistan by 89 runs (DLS method)"/>
    <s v="Yes"/>
    <n v="7"/>
    <s v="Not Bowled"/>
    <n v="9"/>
    <n v="8"/>
    <n v="1"/>
    <n v="0"/>
    <n v="112.5"/>
    <s v="Not Out"/>
    <n v="0"/>
    <n v="0"/>
    <n v="0"/>
    <n v="0"/>
    <n v="0"/>
    <n v="0"/>
    <n v="0"/>
    <n v="0"/>
    <s v="34y 90d"/>
    <n v="4"/>
    <n v="0.44444444444444442"/>
    <n v="0"/>
    <n v="0"/>
    <n v="0"/>
    <s v="Win"/>
    <m/>
    <n v="26000"/>
    <n v="23500"/>
    <s v="1B+"/>
    <s v="Very High"/>
    <s v="1.36B"/>
    <s v="India ~700M, Pakistan ~150M, UK/EU ~50M, Rest of World ~100M"/>
    <s v="200+ countries"/>
    <s v="£50M"/>
    <s v="$100M+"/>
    <s v="#INDvPAK, #CWC19, #BleedBlue, #WeHaveWeWill, #RohitSharma140"/>
  </r>
  <r>
    <x v="0"/>
    <x v="6"/>
    <d v="1993-11-10T00:00:00"/>
    <s v="All-rounder"/>
    <s v="All-rounder"/>
    <d v="2019-06-16T00:00:00"/>
    <s v="ODI"/>
    <s v="ICC Cricket World Cup 2019"/>
    <s v="Old Trafford, Manchester, England"/>
    <s v="India beat Pakistan by 89 runs (DLS method)"/>
    <s v="Yes"/>
    <n v="4"/>
    <s v=" Bowled"/>
    <n v="26"/>
    <n v="19"/>
    <n v="2"/>
    <n v="1"/>
    <n v="136.84"/>
    <s v="c Babar Azam b Mohammad Amir"/>
    <n v="8"/>
    <n v="0"/>
    <n v="44"/>
    <n v="2"/>
    <n v="5.5"/>
    <n v="0"/>
    <n v="0"/>
    <n v="0"/>
    <s v="25y 224d"/>
    <n v="14"/>
    <n v="0.53846153846153844"/>
    <n v="48"/>
    <n v="24"/>
    <n v="22"/>
    <s v="Win"/>
    <m/>
    <n v="26000"/>
    <n v="23500"/>
    <s v="1B+"/>
    <s v="Very High"/>
    <s v="1.36B"/>
    <s v="India ~700M, Pakistan ~150M, UK/EU ~50M, Rest of World ~100M"/>
    <s v="200+ countries"/>
    <s v="£50M"/>
    <s v="$100M+"/>
    <s v="#INDvPAK, #CWC19, #BleedBlue, #WeHaveWeWill, #RohitSharma140"/>
  </r>
  <r>
    <x v="0"/>
    <x v="7"/>
    <d v="1993-06-12T00:00:00"/>
    <s v="Fast bowler"/>
    <s v="Bowling"/>
    <d v="2019-06-16T00:00:00"/>
    <s v="ODI"/>
    <s v="ICC Cricket World Cup 2019"/>
    <s v="Old Trafford, Manchester, England"/>
    <s v="India beat Pakistan by 89 runs (DLS method)"/>
    <s v="No"/>
    <s v="Did Not Bat"/>
    <s v=" Bowled"/>
    <n v="8"/>
    <m/>
    <n v="0"/>
    <n v="0"/>
    <n v="0"/>
    <s v="Did Not Bat"/>
    <n v="8"/>
    <n v="0"/>
    <n v="52"/>
    <n v="0"/>
    <n v="6.5"/>
    <n v="0"/>
    <n v="0"/>
    <n v="0"/>
    <s v="26y 10d"/>
    <n v="0"/>
    <n v="0"/>
    <n v="48"/>
    <n v="0"/>
    <n v="0"/>
    <s v="Win"/>
    <m/>
    <n v="26000"/>
    <n v="23500"/>
    <s v="1B+"/>
    <s v="Very High"/>
    <s v="1.36B"/>
    <s v="India ~700M, Pakistan ~150M, UK/EU ~50M, Rest of World ~100M"/>
    <s v="200+ countries"/>
    <s v="£50M"/>
    <s v="$100M+"/>
    <s v="#INDvPAK, #CWC19, #BleedBlue, #WeHaveWeWill, #RohitSharma140"/>
  </r>
  <r>
    <x v="0"/>
    <x v="8"/>
    <d v="1990-07-23T00:00:00"/>
    <s v="Fast bowler"/>
    <s v="Bowling"/>
    <d v="2019-06-16T00:00:00"/>
    <s v="ODI"/>
    <s v="ODI"/>
    <s v="Old Trafford, Manchester, England"/>
    <s v="India beat Pakistan by 89 runs (DLS method)"/>
    <s v="Yes"/>
    <s v="Did Not Bat"/>
    <s v=" Bowled"/>
    <n v="0"/>
    <n v="0"/>
    <n v="0"/>
    <n v="0"/>
    <n v="0"/>
    <s v="Did Not Bat"/>
    <n v="7"/>
    <n v="0"/>
    <n v="53"/>
    <n v="2"/>
    <n v="7.57"/>
    <n v="0"/>
    <n v="0"/>
    <n v="0"/>
    <s v="28y 335d"/>
    <n v="0"/>
    <n v="0"/>
    <n v="42"/>
    <n v="21"/>
    <n v="26.5"/>
    <s v="Win"/>
    <m/>
    <n v="26000"/>
    <n v="23500"/>
    <s v="1B+"/>
    <s v="Very High"/>
    <s v="1.36B"/>
    <s v="India ~700M, Pakistan ~150M, UK/EU ~50M, Rest of World ~100M"/>
    <s v="200+ countries"/>
    <s v="£50M"/>
    <s v="$100M+"/>
    <s v="#INDvPAK, #CWC19, #BleedBlue, #WeHaveWeWill, #RohitSharma140"/>
  </r>
  <r>
    <x v="0"/>
    <x v="9"/>
    <d v="1994-12-14T00:00:00"/>
    <s v="Spin bowler"/>
    <s v="Bowling"/>
    <d v="2019-06-16T00:00:00"/>
    <s v="ODI"/>
    <s v="ICC Cricket World Cup 2019"/>
    <s v="Old Trafford, Manchester, England"/>
    <s v="India beat Pakistan by 89 runs (DLS method)"/>
    <s v="Yes"/>
    <s v="Did Not Bat"/>
    <s v=" Bowled"/>
    <n v="0"/>
    <n v="0"/>
    <n v="0"/>
    <n v="0"/>
    <n v="0"/>
    <s v="Did Not Bat"/>
    <n v="9"/>
    <n v="1"/>
    <n v="32"/>
    <n v="2"/>
    <n v="3.55"/>
    <n v="0"/>
    <n v="0"/>
    <n v="0"/>
    <s v="24y 190d"/>
    <n v="0"/>
    <n v="0"/>
    <n v="54"/>
    <n v="27"/>
    <n v="16"/>
    <s v="Win"/>
    <m/>
    <n v="26000"/>
    <n v="23500"/>
    <s v="1B+"/>
    <s v="Very High"/>
    <s v="1.36B"/>
    <s v="India ~700M, Pakistan ~150M, UK/EU ~50M, Rest of World ~100M"/>
    <s v="200+ countries"/>
    <s v="£50M"/>
    <s v="$100M+"/>
    <s v="#INDvPAK, #CWC19, #BleedBlue, #WeHaveWeWill, #RohitSharma140"/>
  </r>
  <r>
    <x v="0"/>
    <x v="10"/>
    <d v="1990-05-02T00:00:00"/>
    <s v="Fast bowler"/>
    <s v="Bowling"/>
    <d v="2019-06-16T00:00:00"/>
    <s v="ODI"/>
    <s v="ICC Cricket World Cup 2019"/>
    <s v="Old Trafford, Manchester, England"/>
    <s v="India beat Pakistan by 89 runs (DLS method)"/>
    <s v="Yes"/>
    <s v="Did Not Bat"/>
    <s v=" Bowled"/>
    <n v="0"/>
    <n v="0"/>
    <n v="0"/>
    <n v="0"/>
    <n v="0"/>
    <s v="Did Not Bat"/>
    <n v="2.4"/>
    <n v="0"/>
    <n v="8"/>
    <n v="0"/>
    <n v="3"/>
    <n v="0"/>
    <n v="0"/>
    <n v="0"/>
    <s v="29y 52d"/>
    <n v="0"/>
    <n v="0"/>
    <n v="16"/>
    <n v="0"/>
    <n v="0"/>
    <s v="Win"/>
    <m/>
    <n v="26000"/>
    <n v="23500"/>
    <s v="1B+"/>
    <s v="Very High"/>
    <s v="1.36B"/>
    <s v="India ~700M, Pakistan ~150M, UK/EU ~50M, Rest of World ~100M"/>
    <s v="200+ countries"/>
    <s v="£50M"/>
    <s v="$100M+"/>
    <s v="#INDvPAK, #CWC19, #BleedBlue, #WeHaveWeWill, #RohitSharma140"/>
  </r>
  <r>
    <x v="1"/>
    <x v="11"/>
    <d v="1990-10-04T00:00:00"/>
    <s v="Top-order batsman"/>
    <s v="Batting"/>
    <d v="2019-06-16T00:00:00"/>
    <s v="ODI"/>
    <s v="ICC Cricket World Cup 2019"/>
    <s v="Old Trafford, Manchester, England"/>
    <s v="India beat Pakistan by 89 runs (DLS method)"/>
    <s v="Yes"/>
    <s v="Opener"/>
    <s v="Not Bowled"/>
    <n v="62"/>
    <n v="75"/>
    <n v="7"/>
    <n v="1"/>
    <n v="82.66"/>
    <m/>
    <n v="0"/>
    <n v="0"/>
    <n v="0"/>
    <n v="0"/>
    <n v="0"/>
    <n v="0"/>
    <n v="0"/>
    <n v="0"/>
    <s v="28y 262d"/>
    <n v="34"/>
    <n v="0.54838709677419351"/>
    <n v="0"/>
    <n v="0"/>
    <n v="0"/>
    <s v="Loss"/>
    <m/>
    <n v="26000"/>
    <n v="23500"/>
    <s v="1B+"/>
    <s v="Very High"/>
    <s v="216M"/>
    <s v="India ~700M, Pakistan ~150M, UK/EU ~50M, Rest of World ~100M"/>
    <s v="200+ countries"/>
    <s v="£50M"/>
    <s v="$100M+"/>
    <s v="#INDvPAK, #CWC19, #BleedBlue, #WeHaveWeWill, #RohitSharma140"/>
  </r>
  <r>
    <x v="1"/>
    <x v="12"/>
    <d v="1995-12-22T00:00:00"/>
    <s v="Top-order batsman"/>
    <s v="Batting"/>
    <d v="2019-06-16T00:00:00"/>
    <s v="ODI"/>
    <s v="ICC Cricket World Cup 2019"/>
    <s v="Old Trafford, Manchester, England"/>
    <s v="India beat Pakistan by 89 runs (DLS method)"/>
    <s v="Yes"/>
    <s v="Opener"/>
    <s v="Not Bowled"/>
    <n v="7"/>
    <n v="18"/>
    <n v="1"/>
    <n v="0"/>
    <n v="38.880000000000003"/>
    <m/>
    <n v="0"/>
    <n v="0"/>
    <n v="0"/>
    <n v="0"/>
    <n v="0"/>
    <n v="0"/>
    <n v="0"/>
    <n v="0"/>
    <s v="23y 182d"/>
    <n v="4"/>
    <n v="0"/>
    <n v="0"/>
    <n v="0"/>
    <n v="0"/>
    <s v="Loss"/>
    <m/>
    <n v="26000"/>
    <n v="23500"/>
    <s v="1B+"/>
    <s v="Very High"/>
    <s v="216M"/>
    <s v="India ~700M, Pakistan ~150M, UK/EU ~50M, Rest of World ~100M"/>
    <s v="200+ countries"/>
    <s v="£50M"/>
    <s v="$100M+"/>
    <s v="#INDvPAK, #CWC19, #BleedBlue, #WeHaveWeWill, #RohitSharma140"/>
  </r>
  <r>
    <x v="1"/>
    <x v="13"/>
    <d v="1994-10-15T00:00:00"/>
    <s v="Top-order batsman"/>
    <s v="Batting"/>
    <d v="2019-06-16T00:00:00"/>
    <s v="ODI"/>
    <s v="ICC Cricket World Cup 2019"/>
    <s v="Old Trafford, Manchester, England"/>
    <s v="India beat Pakistan by 89 runs (DLS method)"/>
    <s v="Yes"/>
    <n v="3"/>
    <s v="Not Bowled"/>
    <n v="48"/>
    <n v="57"/>
    <n v="3"/>
    <n v="1"/>
    <n v="84.21"/>
    <m/>
    <n v="0"/>
    <n v="0"/>
    <n v="0"/>
    <n v="0"/>
    <n v="0"/>
    <n v="0"/>
    <n v="0"/>
    <n v="0"/>
    <s v="24y 250d"/>
    <n v="18"/>
    <n v="0.375"/>
    <n v="0"/>
    <n v="0"/>
    <n v="0"/>
    <s v="Loss"/>
    <m/>
    <n v="26000"/>
    <n v="23500"/>
    <s v="1B+"/>
    <s v="Very High"/>
    <s v="216M"/>
    <s v="India ~700M, Pakistan ~150M, UK/EU ~50M, Rest of World ~100M"/>
    <s v="200+ countries"/>
    <s v="£50M"/>
    <s v="$100M+"/>
    <s v="#INDvPAK, #CWC19, #BleedBlue, #WeHaveWeWill, #RohitSharma140"/>
  </r>
  <r>
    <x v="1"/>
    <x v="14"/>
    <d v="1980-10-17T00:00:00"/>
    <s v="All-rounder"/>
    <s v="All-rounder"/>
    <d v="2019-06-16T00:00:00"/>
    <s v="ODI"/>
    <s v="ICC Cricket World Cup 2019"/>
    <s v="Old Trafford, Manchester, England"/>
    <s v="India beat Pakistan by 89 runs (DLS method)"/>
    <s v="Yes"/>
    <n v="4"/>
    <s v=" Bowled"/>
    <n v="9"/>
    <n v="7"/>
    <n v="0"/>
    <n v="1"/>
    <n v="128.57"/>
    <m/>
    <n v="0"/>
    <n v="0"/>
    <n v="0"/>
    <n v="0"/>
    <n v="0"/>
    <n v="0"/>
    <n v="0"/>
    <n v="0"/>
    <s v="38y 251d"/>
    <n v="6"/>
    <n v="0"/>
    <n v="6"/>
    <n v="0"/>
    <n v="0"/>
    <s v="Loss"/>
    <m/>
    <n v="26000"/>
    <n v="23500"/>
    <s v="1B+"/>
    <s v="Very High"/>
    <s v="216M"/>
    <s v="India ~700M, Pakistan ~150M, UK/EU ~50M, Rest of World ~100M"/>
    <s v="200+ countries"/>
    <s v="£50M"/>
    <s v="$100M+"/>
    <s v="#INDvPAK, #CWC19, #BleedBlue, #WeHaveWeWill, #RohitSharma140"/>
  </r>
  <r>
    <x v="1"/>
    <x v="15"/>
    <d v="1987-05-22T00:00:00"/>
    <s v="Wicket-keeper batsman"/>
    <s v="Batting"/>
    <d v="2019-06-16T00:00:00"/>
    <s v="ODI"/>
    <s v="ICC Cricket World Cup 2019"/>
    <s v="Old Trafford, Manchester, England"/>
    <s v="India beat Pakistan by 89 runs (DLS method)"/>
    <s v="Yes"/>
    <n v="5"/>
    <s v="Not Bowled"/>
    <n v="12"/>
    <n v="30"/>
    <n v="0"/>
    <n v="0"/>
    <n v="40"/>
    <m/>
    <n v="0"/>
    <n v="0"/>
    <n v="0"/>
    <n v="0"/>
    <n v="0"/>
    <n v="0"/>
    <n v="0"/>
    <n v="0"/>
    <s v="32y 33d"/>
    <n v="0"/>
    <n v="0"/>
    <n v="0"/>
    <n v="0"/>
    <n v="0"/>
    <s v="Loss"/>
    <m/>
    <n v="26000"/>
    <n v="23500"/>
    <s v="1B+"/>
    <s v="Very High"/>
    <s v="216M"/>
    <s v="India ~700M, Pakistan ~150M, UK/EU ~50M, Rest of World ~100M"/>
    <s v="200+ countries"/>
    <s v="£50M"/>
    <s v="$100M+"/>
    <s v="#INDvPAK, #CWC19, #BleedBlue, #WeHaveWeWill, #RohitSharma140"/>
  </r>
  <r>
    <x v="1"/>
    <x v="16"/>
    <d v="1988-12-18T00:00:00"/>
    <s v="All-rounder"/>
    <s v="All-rounder"/>
    <d v="2019-06-16T00:00:00"/>
    <s v="ODI"/>
    <s v="ICC Cricket World Cup 2019"/>
    <s v="Old Trafford, Manchester, England"/>
    <s v="India beat Pakistan by 89 runs (DLS method)"/>
    <s v="Yes"/>
    <n v="7"/>
    <s v=" Bowled"/>
    <n v="46"/>
    <n v="39"/>
    <n v="6"/>
    <n v="0"/>
    <n v="117.94"/>
    <s v="Not Out"/>
    <n v="10"/>
    <n v="0"/>
    <n v="49"/>
    <n v="0"/>
    <n v="4.9000000000000004"/>
    <n v="0"/>
    <n v="0"/>
    <n v="0"/>
    <s v="30y 187d"/>
    <n v="24"/>
    <n v="0.52173913043478259"/>
    <n v="60"/>
    <n v="0"/>
    <n v="0"/>
    <s v="Loss"/>
    <m/>
    <n v="26000"/>
    <n v="23500"/>
    <s v="1B+"/>
    <s v="Very High"/>
    <s v="216M"/>
    <s v="India ~700M, Pakistan ~150M, UK/EU ~50M, Rest of World ~100M"/>
    <s v="200+ countries"/>
    <s v="£50M"/>
    <s v="$100M+"/>
    <s v="#INDvPAK, #CWC19, #BleedBlue, #WeHaveWeWill, #RohitSharma140"/>
  </r>
  <r>
    <x v="1"/>
    <x v="17"/>
    <d v="1985-06-28T00:00:00"/>
    <s v="Fast bowler"/>
    <s v="Bowling"/>
    <d v="2019-06-16T00:00:00"/>
    <s v="ODI"/>
    <s v="ICC Cricket World Cup 2019"/>
    <s v="Old Trafford, Manchester, England"/>
    <s v="India beat Pakistan by 89 runs (DLS method)"/>
    <s v="Yes"/>
    <s v="Did Not Bat"/>
    <s v=" Bowled"/>
    <n v="0"/>
    <n v="0"/>
    <n v="0"/>
    <n v="0"/>
    <n v="0"/>
    <s v="Did Not Bat"/>
    <n v="10"/>
    <n v="0"/>
    <n v="71"/>
    <n v="1"/>
    <n v="7.1"/>
    <n v="0"/>
    <n v="0"/>
    <n v="0"/>
    <s v="33y 361d"/>
    <n v="0"/>
    <n v="0"/>
    <n v="60"/>
    <n v="60"/>
    <n v="71"/>
    <s v="Loss"/>
    <m/>
    <n v="26000"/>
    <n v="23500"/>
    <s v="1B+"/>
    <s v="Very High"/>
    <s v="216M"/>
    <s v="India ~700M, Pakistan ~150M, UK/EU ~50M, Rest of World ~100M"/>
    <s v="200+ countries"/>
    <s v="£50M"/>
    <s v="$100M+"/>
    <s v="#INDvPAK, #CWC19, #BleedBlue, #WeHaveWeWill, #RohitSharma140"/>
  </r>
  <r>
    <x v="1"/>
    <x v="18"/>
    <d v="1998-04-10T00:00:00"/>
    <s v="All-rounder"/>
    <s v="All-rounder"/>
    <d v="2019-06-16T00:00:00"/>
    <s v="ODI"/>
    <s v="ICC Cricket World Cup 2019"/>
    <s v="Old Trafford, Manchester, England"/>
    <s v="India beat Pakistan by 89 runs (DLS method)"/>
    <s v="Yes"/>
    <n v="8"/>
    <s v=" Bowled"/>
    <n v="20"/>
    <n v="14"/>
    <n v="1"/>
    <n v="0"/>
    <n v="142.85"/>
    <s v="Caught"/>
    <n v="9"/>
    <n v="0"/>
    <n v="61"/>
    <n v="0"/>
    <n v="6.77"/>
    <n v="0"/>
    <n v="0"/>
    <n v="0"/>
    <s v="21y 72d"/>
    <n v="4"/>
    <n v="0.2"/>
    <n v="54"/>
    <n v="0"/>
    <n v="0"/>
    <s v="Loss"/>
    <m/>
    <n v="26000"/>
    <n v="23500"/>
    <s v="1B+"/>
    <s v="Very High"/>
    <s v="216M"/>
    <s v="India ~700M, Pakistan ~150M, UK/EU ~50M, Rest of World ~100M"/>
    <s v="200+ countries"/>
    <s v="£50M"/>
    <s v="$100M+"/>
    <s v="#INDvPAK, #CWC19, #BleedBlue, #WeHaveWeWill, #RohitSharma140"/>
  </r>
  <r>
    <x v="1"/>
    <x v="19"/>
    <d v="1992-04-13T00:00:00"/>
    <s v="Fast bowler"/>
    <s v="Bowling"/>
    <d v="2019-06-16T00:00:00"/>
    <s v="ODI"/>
    <s v="ICC Cricket World Cup 2019"/>
    <s v="Old Trafford, Manchester, England"/>
    <s v="India beat Pakistan by 89 runs (DLS method)"/>
    <s v="Yes"/>
    <s v="Did Not Bat"/>
    <s v=" Bowled"/>
    <n v="0"/>
    <n v="0"/>
    <n v="0"/>
    <n v="0"/>
    <n v="0"/>
    <s v="Did Not Bat"/>
    <n v="10"/>
    <n v="1"/>
    <n v="47"/>
    <n v="3"/>
    <n v="4.7"/>
    <n v="0"/>
    <n v="0"/>
    <n v="0"/>
    <s v="27y 70d"/>
    <n v="0"/>
    <n v="0"/>
    <n v="60"/>
    <n v="20"/>
    <n v="15.666666666666666"/>
    <s v="Loss"/>
    <s v="Key Performer"/>
    <n v="26000"/>
    <n v="23500"/>
    <s v="1B+"/>
    <s v="Very High"/>
    <s v="216M"/>
    <s v="India ~700M, Pakistan ~150M, UK/EU ~50M, Rest of World ~100M"/>
    <s v="200+ countries"/>
    <s v="£50M"/>
    <s v="$100M+"/>
    <s v="#INDvPAK, #CWC19, #BleedBlue, #WeHaveWeWill, #RohitSharma140"/>
  </r>
  <r>
    <x v="1"/>
    <x v="20"/>
    <d v="1994-02-07T00:00:00"/>
    <s v="Fast bowler"/>
    <s v="Bowling"/>
    <d v="2019-06-16T00:00:00"/>
    <s v="ODI"/>
    <s v="ICC Cricket World Cup 2019"/>
    <s v="Old Trafford, Manchester, England"/>
    <s v="India beat Pakistan by 89 runs (DLS method)"/>
    <s v="Yes"/>
    <s v="Did Not Bat"/>
    <s v=" Bowled"/>
    <n v="0"/>
    <n v="0"/>
    <n v="0"/>
    <n v="0"/>
    <n v="0"/>
    <s v="Did Not Bat"/>
    <n v="9"/>
    <n v="0"/>
    <n v="84"/>
    <n v="1"/>
    <n v="9.33"/>
    <n v="0"/>
    <n v="0"/>
    <n v="0"/>
    <s v="25y 135d"/>
    <n v="0"/>
    <n v="0"/>
    <n v="54"/>
    <n v="54"/>
    <n v="84"/>
    <s v="Loss"/>
    <m/>
    <n v="26000"/>
    <n v="23500"/>
    <s v="1B+"/>
    <s v="Very High"/>
    <s v="216M"/>
    <s v="India ~700M, Pakistan ~150M, UK/EU ~50M, Rest of World ~100M"/>
    <s v="200+ countries"/>
    <s v="£50M"/>
    <s v="$100M+"/>
    <s v="#INDvPAK, #CWC19, #BleedBlue, #WeHaveWeWill, #RohitSharma140"/>
  </r>
  <r>
    <x v="1"/>
    <x v="21"/>
    <d v="2000-06-04T00:00:00"/>
    <s v="Fast bowler"/>
    <s v="Bowling"/>
    <d v="2019-06-16T00:00:00"/>
    <s v="ODI"/>
    <s v="ICC Cricket World Cup 2019"/>
    <s v="Old Trafford, Manchester, England"/>
    <s v="India beat Pakistan by 89 runs (DLS method)"/>
    <s v="No"/>
    <n v="6"/>
    <s v=" Shankar"/>
    <n v="0"/>
    <n v="1"/>
    <n v="0"/>
    <n v="0"/>
    <n v="0"/>
    <s v="Bowled"/>
    <n v="1"/>
    <n v="0"/>
    <n v="11"/>
    <n v="0"/>
    <n v="11"/>
    <n v="0"/>
    <n v="0"/>
    <n v="0"/>
    <s v="19y 16d"/>
    <n v="0"/>
    <n v="0"/>
    <n v="6"/>
    <n v="0"/>
    <n v="0"/>
    <s v="Loss"/>
    <m/>
    <n v="26000"/>
    <n v="23500"/>
    <s v="1B+"/>
    <s v="Very High"/>
    <s v="216M"/>
    <s v="India ~700M, Pakistan ~150M, UK/EU ~50M, Rest of World ~100M"/>
    <s v="200+ countries"/>
    <s v="£50M"/>
    <s v="$100M+"/>
    <s v="#INDvPAK, #CWC19, #BleedBlue, #WeHaveWeWill, #RohitSharma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BAFFA-6278-4D23-9C97-336AE6BD99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3:E10" firstHeaderRow="1" firstDataRow="1" firstDataCol="1"/>
  <pivotFields count="45">
    <pivotField axis="axisRow" showAll="0">
      <items count="3">
        <item x="0"/>
        <item h="1" x="1"/>
        <item t="default"/>
      </items>
    </pivotField>
    <pivotField showAll="0">
      <items count="23">
        <item x="13"/>
        <item x="10"/>
        <item x="11"/>
        <item x="6"/>
        <item x="20"/>
        <item x="16"/>
        <item x="12"/>
        <item x="7"/>
        <item x="5"/>
        <item x="1"/>
        <item x="9"/>
        <item x="19"/>
        <item x="14"/>
        <item x="4"/>
        <item x="0"/>
        <item x="15"/>
        <item x="18"/>
        <item x="21"/>
        <item x="3"/>
        <item x="2"/>
        <item x="17"/>
        <item x="8"/>
        <item t="default"/>
      </items>
    </pivotField>
    <pivotField numFmtId="164" showAll="0"/>
    <pivotField showAll="0"/>
    <pivotField axis="axisRow" dataField="1" showAll="0">
      <items count="4">
        <item x="1"/>
        <item x="0"/>
        <item x="2"/>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0"/>
  </rowFields>
  <rowItems count="7">
    <i>
      <x/>
    </i>
    <i r="1">
      <x/>
    </i>
    <i>
      <x v="1"/>
    </i>
    <i r="1">
      <x/>
    </i>
    <i>
      <x v="2"/>
    </i>
    <i r="1">
      <x/>
    </i>
    <i t="grand">
      <x/>
    </i>
  </rowItems>
  <colItems count="1">
    <i/>
  </colItems>
  <dataFields count="1">
    <dataField name="Count of SPECIALISED" fld="4"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F8532-DAB7-409A-A469-48B68EC0047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8:E21"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Revenue(in millions)" fld="1" baseField="0" baseItem="0"/>
  </dataFields>
  <chartFormats count="2">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C73573-343B-48CE-A71F-68ACA89FBDD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3" firstHeaderRow="1" firstDataRow="1" firstDataCol="1"/>
  <pivotFields count="2">
    <pivotField axis="axisRow" showAll="0">
      <items count="5">
        <item x="2"/>
        <item x="0"/>
        <item x="1"/>
        <item x="3"/>
        <item t="default"/>
      </items>
    </pivotField>
    <pivotField dataField="1" numFmtId="2" showAll="0"/>
  </pivotFields>
  <rowFields count="1">
    <field x="0"/>
  </rowFields>
  <rowItems count="5">
    <i>
      <x/>
    </i>
    <i>
      <x v="1"/>
    </i>
    <i>
      <x v="2"/>
    </i>
    <i>
      <x v="3"/>
    </i>
    <i t="grand">
      <x/>
    </i>
  </rowItems>
  <colItems count="1">
    <i/>
  </colItems>
  <dataFields count="1">
    <dataField name="Sum of AUDIENCE (MILLIONS)" fld="1" baseField="0" baseItem="0" numFmtId="2"/>
  </dataFields>
  <chartFormats count="10">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8C589-8EFA-4D10-A7B0-E27F7CDEA2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5" firstHeaderRow="1" firstDataRow="1" firstDataCol="1"/>
  <pivotFields count="45">
    <pivotField axis="axisRow" showAll="0">
      <items count="3">
        <item x="0"/>
        <item h="1" x="1"/>
        <item t="default"/>
      </items>
    </pivotField>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dataFields count="1">
    <dataField name="Sum of Overs Bowled" fld="19"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27DBF-1077-4CDD-B96B-7D613C942E5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8:H28" firstHeaderRow="1" firstDataRow="1" firstDataCol="1"/>
  <pivotFields count="45">
    <pivotField axis="axisRow" showAll="0" measureFilter="1">
      <items count="3">
        <item x="0"/>
        <item x="1"/>
        <item t="default"/>
      </items>
    </pivotField>
    <pivotField axis="axisRow" showAll="0" measureFilter="1" sortType="descending">
      <items count="23">
        <item x="13"/>
        <item x="10"/>
        <item x="11"/>
        <item x="6"/>
        <item x="20"/>
        <item x="16"/>
        <item x="12"/>
        <item x="7"/>
        <item x="5"/>
        <item x="1"/>
        <item x="9"/>
        <item x="19"/>
        <item x="14"/>
        <item x="4"/>
        <item x="0"/>
        <item x="15"/>
        <item x="18"/>
        <item x="21"/>
        <item x="3"/>
        <item x="2"/>
        <item x="17"/>
        <item x="8"/>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0">
    <i>
      <x/>
    </i>
    <i r="1">
      <x v="21"/>
    </i>
    <i r="1">
      <x v="18"/>
    </i>
    <i r="1">
      <x v="3"/>
    </i>
    <i r="1">
      <x v="10"/>
    </i>
    <i>
      <x v="1"/>
    </i>
    <i r="1">
      <x v="11"/>
    </i>
    <i r="1">
      <x v="20"/>
    </i>
    <i r="1">
      <x v="4"/>
    </i>
    <i t="grand">
      <x/>
    </i>
  </rowItems>
  <colItems count="1">
    <i/>
  </colItems>
  <dataFields count="1">
    <dataField name="Sum of Wickets" fld="22"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5" filterVal="5"/>
        </filterColumn>
      </autoFilter>
    </filter>
    <filter fld="1"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720330-4013-4C89-A4B4-01645ADF2B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45">
    <pivotField axis="axisRow" multipleItemSelectionAllowed="1" showAll="0">
      <items count="3">
        <item x="0"/>
        <item x="1"/>
        <item t="default"/>
      </items>
    </pivotField>
    <pivotField axis="axisRow" showAll="0" measureFilter="1" sortType="descending">
      <items count="23">
        <item x="13"/>
        <item x="10"/>
        <item x="11"/>
        <item x="6"/>
        <item x="20"/>
        <item x="16"/>
        <item x="12"/>
        <item x="7"/>
        <item x="5"/>
        <item x="1"/>
        <item x="9"/>
        <item x="19"/>
        <item x="14"/>
        <item x="4"/>
        <item x="0"/>
        <item x="15"/>
        <item x="18"/>
        <item x="21"/>
        <item x="3"/>
        <item x="2"/>
        <item x="17"/>
        <item x="8"/>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1">
    <i>
      <x v="14"/>
    </i>
    <i r="1">
      <x/>
    </i>
    <i>
      <x v="19"/>
    </i>
    <i r="1">
      <x/>
    </i>
    <i>
      <x v="2"/>
    </i>
    <i r="1">
      <x v="1"/>
    </i>
    <i>
      <x v="9"/>
    </i>
    <i r="1">
      <x/>
    </i>
    <i>
      <x/>
    </i>
    <i r="1">
      <x v="1"/>
    </i>
    <i t="grand">
      <x/>
    </i>
  </rowItems>
  <colItems count="1">
    <i/>
  </colItems>
  <dataFields count="1">
    <dataField name="Sum of Runs Scored" fld="13"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9DE9CE-6D57-4B16-9DCC-D014CE5D9AAA}" sourceName="COUNTRY">
  <pivotTables>
    <pivotTable tabId="6" name="PivotTable2"/>
    <pivotTable tabId="6" name="PivotTable3"/>
  </pivotTables>
  <data>
    <tabular pivotCacheId="167636821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100C09D-C898-4B15-BC23-B8AAC157ADFA}"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3D7DC8B-E981-4C4E-927A-8931545F320D}"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07547-ED2E-41C4-A19E-7D55425A2402}" name="Table1" displayName="Table1" ref="A29:B33" totalsRowShown="0">
  <autoFilter ref="A29:B33" xr:uid="{12A07547-ED2E-41C4-A19E-7D55425A2402}"/>
  <tableColumns count="2">
    <tableColumn id="1" xr3:uid="{6FE5BA3D-4FAA-4EFE-A8C1-26B74643B8D8}" name="Region"/>
    <tableColumn id="2" xr3:uid="{E2145BE5-8C82-42AF-87F9-D2ADFFB5DA7F}" name="AUDIENCE (MILLIONS)"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4B3641-129B-474D-B916-35440BEE76D2}" name="Table2" displayName="Table2" ref="A1:AS23" totalsRowShown="0" headerRowDxfId="7" headerRowBorderDxfId="6" tableBorderDxfId="5">
  <autoFilter ref="A1:AS23" xr:uid="{4C4B3641-129B-474D-B916-35440BEE76D2}"/>
  <tableColumns count="45">
    <tableColumn id="1" xr3:uid="{90D4BD2E-E5A2-4700-8684-EDB32E126F0A}" name="COUNTRY"/>
    <tableColumn id="2" xr3:uid="{015C00E9-C4EE-489F-B62E-B1745BD27A28}" name="NAME OF THE PLAYER"/>
    <tableColumn id="3" xr3:uid="{14197C5D-2D04-48AC-87C0-3B15B8544AF0}" name="DATE OF BIRTH" dataDxfId="4"/>
    <tableColumn id="4" xr3:uid="{FEEB5B26-4ED0-4483-9633-D632219F9D91}" name="ROLES"/>
    <tableColumn id="5" xr3:uid="{A489704A-599D-42A5-A9F1-D072DD1E3B40}" name="SPECIALISED"/>
    <tableColumn id="6" xr3:uid="{3652F728-8FBB-4D6E-8DD4-4FF9A46619DC}" name="Match Date" dataDxfId="3"/>
    <tableColumn id="7" xr3:uid="{3287E058-C3A3-42A5-B0D5-453A2BD43712}" name="Match Format"/>
    <tableColumn id="8" xr3:uid="{E19BB18F-B220-4137-819F-33A251AF43C5}" name="Tournament"/>
    <tableColumn id="9" xr3:uid="{83372CB0-066B-4670-85C7-01955262B6AA}" name="Venue"/>
    <tableColumn id="10" xr3:uid="{E65E684C-00AC-4B9B-8296-B118A946DF4C}" name="Result"/>
    <tableColumn id="11" xr3:uid="{E9C0465B-81C6-43C5-BB1F-C6460A3DD8DF}" name="Playing XI"/>
    <tableColumn id="12" xr3:uid="{BC5C2B1D-7745-4BD4-8996-DAF02F2ECE30}" name="Batting Position"/>
    <tableColumn id="13" xr3:uid="{E39B4A15-CF87-4906-B74E-B9F09E1F4C97}" name="Bowled"/>
    <tableColumn id="14" xr3:uid="{9B1A5D26-BFF3-4173-9D0A-79929F9CEE73}" name="Runs Scored"/>
    <tableColumn id="15" xr3:uid="{21FB320D-6200-4904-A5E4-4ADA3E42E0CA}" name="Balls Faced"/>
    <tableColumn id="16" xr3:uid="{E09B7622-F20B-43F1-84D8-C3587D9CC92C}" name="Fours"/>
    <tableColumn id="17" xr3:uid="{16ECBF87-9339-479E-B1A8-88D7761B0921}" name="Sixes"/>
    <tableColumn id="18" xr3:uid="{1E3C208D-BA5C-4164-80A5-529DA5F64159}" name="Strike Rate"/>
    <tableColumn id="19" xr3:uid="{357BA98F-D863-4A95-A625-90903949C7E2}" name="Dismissal Type"/>
    <tableColumn id="20" xr3:uid="{9C09789F-B51E-4CB9-91EF-5B499B2304D6}" name="Overs Bowled"/>
    <tableColumn id="21" xr3:uid="{CBA8D668-52E3-46AA-9566-3F23E8828FE7}" name="Maidens"/>
    <tableColumn id="22" xr3:uid="{F7EAD42D-2589-4A82-A9BF-16A7ECA1F95C}" name="Runs Conceded"/>
    <tableColumn id="23" xr3:uid="{A8086524-1125-4BEF-A3A0-9EE086B7D47F}" name="Wickets"/>
    <tableColumn id="24" xr3:uid="{67895C0D-BB2A-4508-A563-23A50939267F}" name="Economy Rate" dataDxfId="2"/>
    <tableColumn id="25" xr3:uid="{20D293ED-E041-445E-A58E-423B6BE4704C}" name="Catches"/>
    <tableColumn id="26" xr3:uid="{0EBA3A18-8403-4BA7-859B-571B640ADBD6}" name="Stumpings"/>
    <tableColumn id="27" xr3:uid="{14E1588D-90FC-4AFE-A08C-833DCF74A6C5}" name="Run-outs"/>
    <tableColumn id="28" xr3:uid="{2956FB9B-F922-482A-A222-73A5491E5CC3}" name="Player Age"/>
    <tableColumn id="29" xr3:uid="{EB19BAB7-A7E3-41F2-A180-27F155101B06}" name="Boundary Runs">
      <calculatedColumnFormula>(P1*4)+(Q1*6)</calculatedColumnFormula>
    </tableColumn>
    <tableColumn id="30" xr3:uid="{9953301F-3DFF-4F81-873E-9FF774C96A21}" name="Boundary %"/>
    <tableColumn id="31" xr3:uid="{CBA995DF-3E50-4CE2-ABE1-7B620BD0FF3E}" name="Balls Bowled"/>
    <tableColumn id="32" xr3:uid="{0C3E2AB9-F847-4CEB-B9A9-295127187650}" name="Bowling Strike Rate"/>
    <tableColumn id="33" xr3:uid="{274CFC50-448F-4389-9404-8567D75F5E3E}" name="Bowling Average"/>
    <tableColumn id="34" xr3:uid="{33780FD4-E973-4DC4-8165-BB867C2CAE45}" name="Match Outcome"/>
    <tableColumn id="35" xr3:uid="{B31B3536-EA9B-4E4A-9195-3C08DBC1BAC2}" name="Performance Highlight"/>
    <tableColumn id="36" xr3:uid="{511F8833-11EC-4EF2-BB1E-C4C6FA66D00D}" name="Stadium Capacity"/>
    <tableColumn id="37" xr3:uid="{4FCBDF42-7167-4B62-AA73-41F3E2A62232}" name="Attendance"/>
    <tableColumn id="38" xr3:uid="{32A82C1E-B309-41C9-809D-B89C86A36DA6}" name="Global Viewership Estimate"/>
    <tableColumn id="39" xr3:uid="{D7E97683-CC92-418F-AC72-102146F4BE65}" name="Social Media Buzz"/>
    <tableColumn id="40" xr3:uid="{3DE75D72-268D-478E-A045-9F77451EA315}" name="Country Population (2019)"/>
    <tableColumn id="41" xr3:uid="{A87679BD-952D-491F-B019-8CF124C8FE15}" name="Regional Audience Breakdown"/>
    <tableColumn id="42" xr3:uid="{BF3814D8-2196-42B5-805D-1F2D24B7F7A4}" name="Broadcast Reach"/>
    <tableColumn id="43" xr3:uid="{3F25598E-451B-4FEF-80B8-7451A60E0166}" name="Ticket Sales Revenue (GBP)"/>
    <tableColumn id="44" xr3:uid="{347BE1A2-8148-44CC-AED9-08C40753114C}" name="Advertising Revenue (USD)"/>
    <tableColumn id="45" xr3:uid="{3C0966C9-6043-4AC8-B04F-8FD535E23C3E}" name="Trending Hashtag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38E0EF-2716-4603-934C-8CD82EDA3D90}" name="Table4" displayName="Table4" ref="D30:E32" totalsRowShown="0">
  <autoFilter ref="D30:E32" xr:uid="{DF38E0EF-2716-4603-934C-8CD82EDA3D90}"/>
  <tableColumns count="2">
    <tableColumn id="1" xr3:uid="{19BE1D6D-EBD3-4F33-832A-ACA605F4F37E}" name="Source" dataDxfId="1"/>
    <tableColumn id="2" xr3:uid="{53CD0B80-346A-49B5-B25C-8708D38784C9}" name="Revenue(in millions)"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2E179F9-3E46-4ADF-8807-E38F13710FE0}">
  <we:reference id="wa200005502" version="1.0.0.12" store="en-IN" storeType="OMEX"/>
  <we:alternateReferences>
    <we:reference id="WA200005502" version="1.0.0.12" store="" storeType="OMEX"/>
  </we:alternateReferences>
  <we:properties>
    <we:property name="docId" value="&quot;9ygABtMAD6o2i8CQXirN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382CECE-4CFC-4927-A415-3319EBE5EBE7}">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14C2-CC27-41CA-83AD-79B538DBE984}">
  <dimension ref="A1:B15"/>
  <sheetViews>
    <sheetView workbookViewId="0">
      <selection activeCell="B39" sqref="B39"/>
    </sheetView>
  </sheetViews>
  <sheetFormatPr defaultColWidth="13.88671875" defaultRowHeight="22.5" customHeight="1" x14ac:dyDescent="0.3"/>
  <cols>
    <col min="1" max="1" width="21.88671875" bestFit="1" customWidth="1"/>
    <col min="2" max="2" width="32.21875" customWidth="1"/>
  </cols>
  <sheetData>
    <row r="1" spans="1:2" ht="22.5" customHeight="1" x14ac:dyDescent="0.35">
      <c r="A1" s="7" t="s">
        <v>127</v>
      </c>
    </row>
    <row r="3" spans="1:2" ht="22.5" customHeight="1" x14ac:dyDescent="0.3">
      <c r="A3" s="8" t="s">
        <v>128</v>
      </c>
    </row>
    <row r="4" spans="1:2" ht="22.5" customHeight="1" x14ac:dyDescent="0.3">
      <c r="A4" t="s">
        <v>129</v>
      </c>
      <c r="B4" t="s">
        <v>130</v>
      </c>
    </row>
    <row r="5" spans="1:2" ht="28.8" x14ac:dyDescent="0.3">
      <c r="A5" t="s">
        <v>131</v>
      </c>
      <c r="B5" s="9" t="s">
        <v>132</v>
      </c>
    </row>
    <row r="6" spans="1:2" ht="22.5" customHeight="1" x14ac:dyDescent="0.3">
      <c r="A6" t="s">
        <v>133</v>
      </c>
      <c r="B6" s="8">
        <v>2019</v>
      </c>
    </row>
    <row r="7" spans="1:2" ht="22.5" customHeight="1" x14ac:dyDescent="0.3">
      <c r="A7" t="s">
        <v>113</v>
      </c>
      <c r="B7" t="s">
        <v>47</v>
      </c>
    </row>
    <row r="8" spans="1:2" ht="22.5" customHeight="1" x14ac:dyDescent="0.3">
      <c r="A8" t="s">
        <v>134</v>
      </c>
      <c r="B8" t="s">
        <v>135</v>
      </c>
    </row>
    <row r="9" spans="1:2" ht="43.2" x14ac:dyDescent="0.3">
      <c r="A9" s="10" t="s">
        <v>136</v>
      </c>
      <c r="B9" s="4" t="s">
        <v>137</v>
      </c>
    </row>
    <row r="10" spans="1:2" ht="22.5" customHeight="1" x14ac:dyDescent="0.3">
      <c r="A10" t="s">
        <v>138</v>
      </c>
      <c r="B10" t="s">
        <v>139</v>
      </c>
    </row>
    <row r="11" spans="1:2" ht="28.8" x14ac:dyDescent="0.3">
      <c r="A11" t="s">
        <v>140</v>
      </c>
      <c r="B11" s="9" t="s">
        <v>141</v>
      </c>
    </row>
    <row r="12" spans="1:2" ht="22.5" customHeight="1" x14ac:dyDescent="0.3">
      <c r="A12" t="s">
        <v>142</v>
      </c>
      <c r="B12" t="s">
        <v>143</v>
      </c>
    </row>
    <row r="13" spans="1:2" ht="22.5" customHeight="1" x14ac:dyDescent="0.3">
      <c r="A13" t="s">
        <v>144</v>
      </c>
      <c r="B13" t="s">
        <v>145</v>
      </c>
    </row>
    <row r="14" spans="1:2" ht="22.5" customHeight="1" x14ac:dyDescent="0.3">
      <c r="A14" t="s">
        <v>146</v>
      </c>
      <c r="B14" t="s">
        <v>147</v>
      </c>
    </row>
    <row r="15" spans="1:2" ht="22.5" customHeight="1" x14ac:dyDescent="0.3">
      <c r="A15" t="s">
        <v>148</v>
      </c>
      <c r="B15"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3"/>
  <sheetViews>
    <sheetView tabSelected="1" topLeftCell="H1" zoomScale="110" zoomScaleNormal="110" workbookViewId="0"/>
  </sheetViews>
  <sheetFormatPr defaultRowHeight="14.4" x14ac:dyDescent="0.3"/>
  <cols>
    <col min="1" max="1" width="28.44140625" customWidth="1"/>
    <col min="2" max="2" width="22.33203125" bestFit="1" customWidth="1"/>
    <col min="3" max="3" width="18.109375" bestFit="1" customWidth="1"/>
    <col min="4" max="4" width="23.88671875" bestFit="1" customWidth="1"/>
    <col min="5" max="5" width="20.5546875" bestFit="1" customWidth="1"/>
    <col min="6" max="6" width="18.109375" bestFit="1" customWidth="1"/>
    <col min="7" max="7" width="17.33203125" bestFit="1" customWidth="1"/>
    <col min="8" max="8" width="24.33203125" bestFit="1" customWidth="1"/>
    <col min="9" max="9" width="15.21875" bestFit="1" customWidth="1"/>
    <col min="10" max="10" width="38.88671875" bestFit="1" customWidth="1"/>
    <col min="11" max="11" width="13.6640625" bestFit="1" customWidth="1"/>
    <col min="12" max="12" width="18.77734375" bestFit="1" customWidth="1"/>
    <col min="13" max="13" width="12" bestFit="1" customWidth="1"/>
    <col min="14" max="14" width="15.77734375" bestFit="1" customWidth="1"/>
    <col min="15" max="15" width="14.5546875" bestFit="1" customWidth="1"/>
    <col min="16" max="17" width="11.21875" customWidth="1"/>
    <col min="18" max="19" width="13.44140625" bestFit="1" customWidth="1"/>
    <col min="20" max="20" width="16.88671875" bestFit="1" customWidth="1"/>
    <col min="21" max="21" width="14.109375" bestFit="1" customWidth="1"/>
    <col min="22" max="23" width="13.21875" bestFit="1" customWidth="1"/>
    <col min="24" max="24" width="17.6640625" bestFit="1" customWidth="1"/>
    <col min="25" max="27" width="11.21875" customWidth="1"/>
    <col min="28" max="28" width="20.21875" bestFit="1" customWidth="1"/>
    <col min="29" max="29" width="18.33203125" bestFit="1" customWidth="1"/>
    <col min="30" max="30" width="11.5546875" bestFit="1" customWidth="1"/>
    <col min="31" max="31" width="15.88671875" bestFit="1" customWidth="1"/>
    <col min="32" max="32" width="21.77734375" bestFit="1" customWidth="1"/>
    <col min="33" max="33" width="15.21875" bestFit="1" customWidth="1"/>
    <col min="34" max="34" width="15.77734375" bestFit="1" customWidth="1"/>
    <col min="35" max="35" width="20" bestFit="1" customWidth="1"/>
    <col min="36" max="36" width="24.77734375" bestFit="1" customWidth="1"/>
    <col min="37" max="37" width="16.109375" bestFit="1" customWidth="1"/>
    <col min="38" max="38" width="23.5546875" bestFit="1" customWidth="1"/>
    <col min="39" max="39" width="18.109375" bestFit="1" customWidth="1"/>
    <col min="40" max="40" width="57.33203125" bestFit="1" customWidth="1"/>
    <col min="41" max="41" width="57.5546875" bestFit="1" customWidth="1"/>
    <col min="42" max="42" width="24.44140625" customWidth="1"/>
    <col min="43" max="43" width="59.21875" bestFit="1" customWidth="1"/>
    <col min="44" max="44" width="24" bestFit="1" customWidth="1"/>
    <col min="45" max="45" width="59.5546875" bestFit="1" customWidth="1"/>
  </cols>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28.8" x14ac:dyDescent="0.3">
      <c r="A2" t="s">
        <v>45</v>
      </c>
      <c r="B2" t="s">
        <v>47</v>
      </c>
      <c r="C2" s="2">
        <v>31897</v>
      </c>
      <c r="D2" t="s">
        <v>69</v>
      </c>
      <c r="E2" t="s">
        <v>76</v>
      </c>
      <c r="F2" s="2">
        <v>43632</v>
      </c>
      <c r="G2" t="s">
        <v>78</v>
      </c>
      <c r="H2" t="s">
        <v>79</v>
      </c>
      <c r="I2" t="s">
        <v>80</v>
      </c>
      <c r="J2" t="s">
        <v>81</v>
      </c>
      <c r="K2" t="s">
        <v>82</v>
      </c>
      <c r="L2" t="s">
        <v>84</v>
      </c>
      <c r="M2" t="s">
        <v>86</v>
      </c>
      <c r="N2">
        <v>140</v>
      </c>
      <c r="O2">
        <v>113</v>
      </c>
      <c r="P2">
        <v>14</v>
      </c>
      <c r="Q2">
        <v>3</v>
      </c>
      <c r="R2">
        <v>123.89</v>
      </c>
      <c r="S2" s="4" t="s">
        <v>124</v>
      </c>
      <c r="T2">
        <v>0</v>
      </c>
      <c r="U2">
        <v>0</v>
      </c>
      <c r="V2">
        <v>0</v>
      </c>
      <c r="W2">
        <v>0</v>
      </c>
      <c r="X2">
        <v>0</v>
      </c>
      <c r="Y2">
        <v>0</v>
      </c>
      <c r="Z2">
        <v>0</v>
      </c>
      <c r="AA2">
        <v>0</v>
      </c>
      <c r="AB2" t="s">
        <v>89</v>
      </c>
      <c r="AC2">
        <f>(P2*4)+(Q2*6)</f>
        <v>74</v>
      </c>
      <c r="AD2" s="11">
        <f>AC2/N2</f>
        <v>0.52857142857142858</v>
      </c>
      <c r="AE2">
        <v>0</v>
      </c>
      <c r="AF2">
        <v>0</v>
      </c>
      <c r="AG2">
        <v>0</v>
      </c>
      <c r="AH2" t="s">
        <v>111</v>
      </c>
      <c r="AI2" t="s">
        <v>113</v>
      </c>
      <c r="AJ2">
        <v>26000</v>
      </c>
      <c r="AK2">
        <v>23500</v>
      </c>
      <c r="AL2" t="s">
        <v>115</v>
      </c>
      <c r="AM2" t="s">
        <v>116</v>
      </c>
      <c r="AN2" t="s">
        <v>117</v>
      </c>
      <c r="AO2" t="s">
        <v>119</v>
      </c>
      <c r="AP2" t="s">
        <v>120</v>
      </c>
      <c r="AQ2" t="s">
        <v>152</v>
      </c>
      <c r="AR2" t="s">
        <v>121</v>
      </c>
      <c r="AS2" t="s">
        <v>122</v>
      </c>
    </row>
    <row r="3" spans="1:45" ht="28.8" x14ac:dyDescent="0.3">
      <c r="A3" t="s">
        <v>45</v>
      </c>
      <c r="B3" t="s">
        <v>48</v>
      </c>
      <c r="C3" s="2">
        <v>33712</v>
      </c>
      <c r="D3" t="s">
        <v>70</v>
      </c>
      <c r="E3" t="s">
        <v>76</v>
      </c>
      <c r="F3" s="2">
        <v>43632</v>
      </c>
      <c r="G3" t="s">
        <v>78</v>
      </c>
      <c r="H3" t="s">
        <v>79</v>
      </c>
      <c r="I3" t="s">
        <v>80</v>
      </c>
      <c r="J3" t="s">
        <v>81</v>
      </c>
      <c r="K3" t="s">
        <v>82</v>
      </c>
      <c r="L3" t="s">
        <v>84</v>
      </c>
      <c r="M3" t="s">
        <v>86</v>
      </c>
      <c r="N3">
        <v>57</v>
      </c>
      <c r="O3">
        <v>78</v>
      </c>
      <c r="P3">
        <v>3</v>
      </c>
      <c r="Q3">
        <v>2</v>
      </c>
      <c r="R3">
        <v>73.069999999999993</v>
      </c>
      <c r="S3" s="4" t="s">
        <v>123</v>
      </c>
      <c r="T3">
        <v>0</v>
      </c>
      <c r="U3">
        <v>0</v>
      </c>
      <c r="V3">
        <v>0</v>
      </c>
      <c r="W3">
        <v>0</v>
      </c>
      <c r="X3">
        <v>0</v>
      </c>
      <c r="Y3">
        <v>0</v>
      </c>
      <c r="Z3">
        <v>0</v>
      </c>
      <c r="AA3">
        <v>0</v>
      </c>
      <c r="AB3" t="s">
        <v>90</v>
      </c>
      <c r="AC3">
        <f t="shared" ref="AC3:AC23" si="0">(P3*4)+(Q3*6)</f>
        <v>24</v>
      </c>
      <c r="AD3" s="11">
        <f>AC3/N3</f>
        <v>0.42105263157894735</v>
      </c>
      <c r="AE3">
        <v>0</v>
      </c>
      <c r="AF3">
        <v>0</v>
      </c>
      <c r="AG3">
        <v>0</v>
      </c>
      <c r="AH3" t="s">
        <v>111</v>
      </c>
      <c r="AJ3">
        <v>26000</v>
      </c>
      <c r="AK3">
        <v>23500</v>
      </c>
      <c r="AL3" t="s">
        <v>115</v>
      </c>
      <c r="AM3" t="s">
        <v>116</v>
      </c>
      <c r="AN3" t="s">
        <v>117</v>
      </c>
      <c r="AO3" t="s">
        <v>119</v>
      </c>
      <c r="AP3" t="s">
        <v>120</v>
      </c>
      <c r="AQ3" t="s">
        <v>152</v>
      </c>
      <c r="AR3" t="s">
        <v>121</v>
      </c>
      <c r="AS3" t="s">
        <v>122</v>
      </c>
    </row>
    <row r="4" spans="1:45" ht="57.6" x14ac:dyDescent="0.3">
      <c r="A4" t="s">
        <v>45</v>
      </c>
      <c r="B4" t="s">
        <v>49</v>
      </c>
      <c r="C4" s="2">
        <v>32274</v>
      </c>
      <c r="D4" t="s">
        <v>69</v>
      </c>
      <c r="E4" t="s">
        <v>76</v>
      </c>
      <c r="F4" s="2">
        <v>43632</v>
      </c>
      <c r="G4" t="s">
        <v>78</v>
      </c>
      <c r="H4" t="s">
        <v>79</v>
      </c>
      <c r="I4" t="s">
        <v>80</v>
      </c>
      <c r="J4" t="s">
        <v>81</v>
      </c>
      <c r="K4" t="s">
        <v>82</v>
      </c>
      <c r="L4">
        <v>3</v>
      </c>
      <c r="M4" t="s">
        <v>86</v>
      </c>
      <c r="N4">
        <v>77</v>
      </c>
      <c r="O4">
        <v>65</v>
      </c>
      <c r="P4">
        <v>7</v>
      </c>
      <c r="Q4">
        <v>0</v>
      </c>
      <c r="R4">
        <v>118.46</v>
      </c>
      <c r="S4" s="4" t="s">
        <v>125</v>
      </c>
      <c r="T4">
        <v>0</v>
      </c>
      <c r="U4">
        <v>0</v>
      </c>
      <c r="V4">
        <v>0</v>
      </c>
      <c r="W4">
        <v>0</v>
      </c>
      <c r="X4">
        <v>0</v>
      </c>
      <c r="Y4">
        <v>0</v>
      </c>
      <c r="Z4">
        <v>0</v>
      </c>
      <c r="AA4">
        <v>0</v>
      </c>
      <c r="AB4" t="s">
        <v>91</v>
      </c>
      <c r="AC4">
        <f t="shared" si="0"/>
        <v>28</v>
      </c>
      <c r="AD4" s="11">
        <f>AC4/N4</f>
        <v>0.36363636363636365</v>
      </c>
      <c r="AE4">
        <v>0</v>
      </c>
      <c r="AF4">
        <v>0</v>
      </c>
      <c r="AG4">
        <v>0</v>
      </c>
      <c r="AH4" t="s">
        <v>111</v>
      </c>
      <c r="AJ4">
        <v>26000</v>
      </c>
      <c r="AK4">
        <v>23500</v>
      </c>
      <c r="AL4" t="s">
        <v>115</v>
      </c>
      <c r="AM4" t="s">
        <v>116</v>
      </c>
      <c r="AN4" t="s">
        <v>117</v>
      </c>
      <c r="AO4" t="s">
        <v>119</v>
      </c>
      <c r="AP4" t="s">
        <v>120</v>
      </c>
      <c r="AQ4" t="s">
        <v>152</v>
      </c>
      <c r="AR4" t="s">
        <v>121</v>
      </c>
      <c r="AS4" t="s">
        <v>122</v>
      </c>
    </row>
    <row r="5" spans="1:45" x14ac:dyDescent="0.3">
      <c r="A5" t="s">
        <v>45</v>
      </c>
      <c r="B5" t="s">
        <v>50</v>
      </c>
      <c r="C5" s="2">
        <v>33264</v>
      </c>
      <c r="D5" t="s">
        <v>71</v>
      </c>
      <c r="E5" t="s">
        <v>71</v>
      </c>
      <c r="F5" s="2">
        <v>43632</v>
      </c>
      <c r="G5" t="s">
        <v>78</v>
      </c>
      <c r="H5" t="s">
        <v>79</v>
      </c>
      <c r="I5" t="s">
        <v>80</v>
      </c>
      <c r="J5" t="s">
        <v>81</v>
      </c>
      <c r="K5" t="s">
        <v>82</v>
      </c>
      <c r="L5">
        <v>6</v>
      </c>
      <c r="M5" t="s">
        <v>150</v>
      </c>
      <c r="N5">
        <v>15</v>
      </c>
      <c r="O5">
        <v>15</v>
      </c>
      <c r="P5">
        <v>1</v>
      </c>
      <c r="Q5">
        <v>0</v>
      </c>
      <c r="R5" s="3">
        <v>100</v>
      </c>
      <c r="S5" s="4" t="s">
        <v>87</v>
      </c>
      <c r="T5">
        <v>5.2</v>
      </c>
      <c r="U5">
        <v>0</v>
      </c>
      <c r="V5">
        <v>22</v>
      </c>
      <c r="W5">
        <v>2</v>
      </c>
      <c r="X5">
        <v>4.12</v>
      </c>
      <c r="Y5">
        <v>0</v>
      </c>
      <c r="Z5">
        <v>0</v>
      </c>
      <c r="AA5">
        <v>0</v>
      </c>
      <c r="AB5" t="s">
        <v>92</v>
      </c>
      <c r="AC5">
        <f t="shared" si="0"/>
        <v>4</v>
      </c>
      <c r="AD5" s="11">
        <f>AC5/N5</f>
        <v>0.26666666666666666</v>
      </c>
      <c r="AE5">
        <v>32</v>
      </c>
      <c r="AF5">
        <f>AE5/W5</f>
        <v>16</v>
      </c>
      <c r="AG5">
        <f>V5/W5</f>
        <v>11</v>
      </c>
      <c r="AH5" t="s">
        <v>111</v>
      </c>
      <c r="AJ5">
        <v>26000</v>
      </c>
      <c r="AK5">
        <v>23500</v>
      </c>
      <c r="AL5" t="s">
        <v>115</v>
      </c>
      <c r="AM5" t="s">
        <v>116</v>
      </c>
      <c r="AN5" t="s">
        <v>117</v>
      </c>
      <c r="AO5" t="s">
        <v>119</v>
      </c>
      <c r="AP5" t="s">
        <v>120</v>
      </c>
      <c r="AQ5" t="s">
        <v>152</v>
      </c>
      <c r="AR5" t="s">
        <v>121</v>
      </c>
      <c r="AS5" t="s">
        <v>122</v>
      </c>
    </row>
    <row r="6" spans="1:45" ht="57.6" x14ac:dyDescent="0.3">
      <c r="A6" t="s">
        <v>45</v>
      </c>
      <c r="B6" t="s">
        <v>51</v>
      </c>
      <c r="C6" s="2">
        <v>29774</v>
      </c>
      <c r="D6" t="s">
        <v>72</v>
      </c>
      <c r="E6" t="s">
        <v>76</v>
      </c>
      <c r="F6" s="2">
        <v>43632</v>
      </c>
      <c r="G6" t="s">
        <v>78</v>
      </c>
      <c r="H6" t="s">
        <v>79</v>
      </c>
      <c r="I6" t="s">
        <v>80</v>
      </c>
      <c r="J6" t="s">
        <v>81</v>
      </c>
      <c r="K6" t="s">
        <v>82</v>
      </c>
      <c r="L6">
        <v>5</v>
      </c>
      <c r="M6" t="s">
        <v>86</v>
      </c>
      <c r="N6">
        <v>1</v>
      </c>
      <c r="O6">
        <v>2</v>
      </c>
      <c r="P6">
        <v>0</v>
      </c>
      <c r="Q6">
        <v>0</v>
      </c>
      <c r="R6" s="3">
        <v>50</v>
      </c>
      <c r="S6" s="4" t="s">
        <v>125</v>
      </c>
      <c r="T6">
        <v>0</v>
      </c>
      <c r="U6">
        <v>0</v>
      </c>
      <c r="V6">
        <v>0</v>
      </c>
      <c r="W6">
        <v>0</v>
      </c>
      <c r="X6">
        <v>0</v>
      </c>
      <c r="Y6">
        <v>0</v>
      </c>
      <c r="Z6">
        <v>0</v>
      </c>
      <c r="AA6">
        <v>0</v>
      </c>
      <c r="AB6" t="s">
        <v>93</v>
      </c>
      <c r="AC6">
        <f t="shared" si="0"/>
        <v>0</v>
      </c>
      <c r="AD6">
        <v>0</v>
      </c>
      <c r="AE6">
        <v>0</v>
      </c>
      <c r="AF6">
        <v>0</v>
      </c>
      <c r="AG6">
        <v>0</v>
      </c>
      <c r="AH6" t="s">
        <v>111</v>
      </c>
      <c r="AJ6">
        <v>26000</v>
      </c>
      <c r="AK6">
        <v>23500</v>
      </c>
      <c r="AL6" t="s">
        <v>115</v>
      </c>
      <c r="AM6" t="s">
        <v>116</v>
      </c>
      <c r="AN6" t="s">
        <v>117</v>
      </c>
      <c r="AO6" t="s">
        <v>119</v>
      </c>
      <c r="AP6" t="s">
        <v>120</v>
      </c>
      <c r="AQ6" t="s">
        <v>152</v>
      </c>
      <c r="AR6" t="s">
        <v>121</v>
      </c>
      <c r="AS6" t="s">
        <v>122</v>
      </c>
    </row>
    <row r="7" spans="1:45" x14ac:dyDescent="0.3">
      <c r="A7" t="s">
        <v>45</v>
      </c>
      <c r="B7" t="s">
        <v>52</v>
      </c>
      <c r="C7" s="2">
        <v>31132</v>
      </c>
      <c r="D7" t="s">
        <v>73</v>
      </c>
      <c r="E7" t="s">
        <v>76</v>
      </c>
      <c r="F7" s="2">
        <v>43632</v>
      </c>
      <c r="G7" t="s">
        <v>78</v>
      </c>
      <c r="H7" t="s">
        <v>79</v>
      </c>
      <c r="I7" t="s">
        <v>80</v>
      </c>
      <c r="J7" t="s">
        <v>81</v>
      </c>
      <c r="K7" t="s">
        <v>82</v>
      </c>
      <c r="L7">
        <v>7</v>
      </c>
      <c r="M7" t="s">
        <v>86</v>
      </c>
      <c r="N7">
        <v>9</v>
      </c>
      <c r="O7">
        <v>8</v>
      </c>
      <c r="P7">
        <v>1</v>
      </c>
      <c r="Q7">
        <v>0</v>
      </c>
      <c r="R7" s="3">
        <v>112.5</v>
      </c>
      <c r="S7" s="4" t="s">
        <v>87</v>
      </c>
      <c r="T7">
        <v>0</v>
      </c>
      <c r="U7">
        <v>0</v>
      </c>
      <c r="V7">
        <v>0</v>
      </c>
      <c r="W7">
        <v>0</v>
      </c>
      <c r="X7">
        <v>0</v>
      </c>
      <c r="Y7">
        <v>0</v>
      </c>
      <c r="Z7">
        <v>0</v>
      </c>
      <c r="AA7">
        <v>0</v>
      </c>
      <c r="AB7" t="s">
        <v>94</v>
      </c>
      <c r="AC7">
        <f t="shared" si="0"/>
        <v>4</v>
      </c>
      <c r="AD7" s="11">
        <f>AC7/N7</f>
        <v>0.44444444444444442</v>
      </c>
      <c r="AE7">
        <v>0</v>
      </c>
      <c r="AF7">
        <v>0</v>
      </c>
      <c r="AG7">
        <v>0</v>
      </c>
      <c r="AH7" t="s">
        <v>111</v>
      </c>
      <c r="AJ7">
        <v>26000</v>
      </c>
      <c r="AK7">
        <v>23500</v>
      </c>
      <c r="AL7" t="s">
        <v>115</v>
      </c>
      <c r="AM7" t="s">
        <v>116</v>
      </c>
      <c r="AN7" t="s">
        <v>117</v>
      </c>
      <c r="AO7" t="s">
        <v>119</v>
      </c>
      <c r="AP7" t="s">
        <v>120</v>
      </c>
      <c r="AQ7" t="s">
        <v>152</v>
      </c>
      <c r="AR7" t="s">
        <v>121</v>
      </c>
      <c r="AS7" t="s">
        <v>122</v>
      </c>
    </row>
    <row r="8" spans="1:45" ht="43.2" x14ac:dyDescent="0.3">
      <c r="A8" t="s">
        <v>45</v>
      </c>
      <c r="B8" t="s">
        <v>53</v>
      </c>
      <c r="C8" s="2">
        <v>34283</v>
      </c>
      <c r="D8" t="s">
        <v>71</v>
      </c>
      <c r="E8" t="s">
        <v>71</v>
      </c>
      <c r="F8" s="2">
        <v>43632</v>
      </c>
      <c r="G8" t="s">
        <v>78</v>
      </c>
      <c r="H8" t="s">
        <v>79</v>
      </c>
      <c r="I8" t="s">
        <v>80</v>
      </c>
      <c r="J8" t="s">
        <v>81</v>
      </c>
      <c r="K8" t="s">
        <v>82</v>
      </c>
      <c r="L8">
        <v>4</v>
      </c>
      <c r="M8" t="s">
        <v>150</v>
      </c>
      <c r="N8">
        <v>26</v>
      </c>
      <c r="O8">
        <v>19</v>
      </c>
      <c r="P8">
        <v>2</v>
      </c>
      <c r="Q8">
        <v>1</v>
      </c>
      <c r="R8">
        <v>136.84</v>
      </c>
      <c r="S8" s="4" t="s">
        <v>126</v>
      </c>
      <c r="T8" s="5">
        <v>8</v>
      </c>
      <c r="U8">
        <v>0</v>
      </c>
      <c r="V8">
        <v>44</v>
      </c>
      <c r="W8">
        <v>2</v>
      </c>
      <c r="X8" s="3">
        <v>5.5</v>
      </c>
      <c r="Y8">
        <v>0</v>
      </c>
      <c r="Z8">
        <v>0</v>
      </c>
      <c r="AA8">
        <v>0</v>
      </c>
      <c r="AB8" t="s">
        <v>95</v>
      </c>
      <c r="AC8">
        <f t="shared" si="0"/>
        <v>14</v>
      </c>
      <c r="AD8" s="11">
        <f>AC8/N8</f>
        <v>0.53846153846153844</v>
      </c>
      <c r="AE8">
        <v>48</v>
      </c>
      <c r="AF8">
        <f>AE8/W8</f>
        <v>24</v>
      </c>
      <c r="AG8">
        <f>V8/W8</f>
        <v>22</v>
      </c>
      <c r="AH8" t="s">
        <v>111</v>
      </c>
      <c r="AJ8">
        <v>26000</v>
      </c>
      <c r="AK8">
        <v>23500</v>
      </c>
      <c r="AL8" t="s">
        <v>115</v>
      </c>
      <c r="AM8" t="s">
        <v>116</v>
      </c>
      <c r="AN8" t="s">
        <v>117</v>
      </c>
      <c r="AO8" t="s">
        <v>119</v>
      </c>
      <c r="AP8" t="s">
        <v>120</v>
      </c>
      <c r="AQ8" t="s">
        <v>152</v>
      </c>
      <c r="AR8" t="s">
        <v>121</v>
      </c>
      <c r="AS8" t="s">
        <v>122</v>
      </c>
    </row>
    <row r="9" spans="1:45" x14ac:dyDescent="0.3">
      <c r="A9" t="s">
        <v>45</v>
      </c>
      <c r="B9" t="s">
        <v>54</v>
      </c>
      <c r="C9" s="2">
        <v>34132</v>
      </c>
      <c r="D9" t="s">
        <v>74</v>
      </c>
      <c r="E9" t="s">
        <v>77</v>
      </c>
      <c r="F9" s="2">
        <v>43632</v>
      </c>
      <c r="G9" t="s">
        <v>78</v>
      </c>
      <c r="H9" t="s">
        <v>79</v>
      </c>
      <c r="I9" t="s">
        <v>80</v>
      </c>
      <c r="J9" t="s">
        <v>81</v>
      </c>
      <c r="K9" t="s">
        <v>83</v>
      </c>
      <c r="L9" t="s">
        <v>85</v>
      </c>
      <c r="M9" t="s">
        <v>150</v>
      </c>
      <c r="N9" s="5">
        <v>8</v>
      </c>
      <c r="P9">
        <v>0</v>
      </c>
      <c r="Q9">
        <v>0</v>
      </c>
      <c r="R9">
        <v>0</v>
      </c>
      <c r="S9" t="s">
        <v>85</v>
      </c>
      <c r="T9" s="6">
        <v>8</v>
      </c>
      <c r="U9">
        <v>0</v>
      </c>
      <c r="V9">
        <v>52</v>
      </c>
      <c r="W9">
        <v>0</v>
      </c>
      <c r="X9" s="3">
        <v>6.5</v>
      </c>
      <c r="Y9">
        <v>0</v>
      </c>
      <c r="Z9">
        <v>0</v>
      </c>
      <c r="AA9">
        <v>0</v>
      </c>
      <c r="AB9" t="s">
        <v>96</v>
      </c>
      <c r="AC9">
        <f t="shared" si="0"/>
        <v>0</v>
      </c>
      <c r="AD9">
        <f>AC9/N9</f>
        <v>0</v>
      </c>
      <c r="AE9">
        <v>48</v>
      </c>
      <c r="AF9">
        <v>0</v>
      </c>
      <c r="AG9">
        <v>0</v>
      </c>
      <c r="AH9" t="s">
        <v>111</v>
      </c>
      <c r="AJ9">
        <v>26000</v>
      </c>
      <c r="AK9">
        <v>23500</v>
      </c>
      <c r="AL9" t="s">
        <v>115</v>
      </c>
      <c r="AM9" t="s">
        <v>116</v>
      </c>
      <c r="AN9" t="s">
        <v>117</v>
      </c>
      <c r="AO9" t="s">
        <v>119</v>
      </c>
      <c r="AP9" t="s">
        <v>120</v>
      </c>
      <c r="AQ9" t="s">
        <v>152</v>
      </c>
      <c r="AR9" t="s">
        <v>121</v>
      </c>
      <c r="AS9" t="s">
        <v>122</v>
      </c>
    </row>
    <row r="10" spans="1:45" x14ac:dyDescent="0.3">
      <c r="A10" t="s">
        <v>45</v>
      </c>
      <c r="B10" t="s">
        <v>55</v>
      </c>
      <c r="C10" s="2">
        <v>33077</v>
      </c>
      <c r="D10" t="s">
        <v>74</v>
      </c>
      <c r="E10" t="s">
        <v>77</v>
      </c>
      <c r="F10" s="2">
        <v>43632</v>
      </c>
      <c r="G10" t="s">
        <v>78</v>
      </c>
      <c r="H10" t="s">
        <v>78</v>
      </c>
      <c r="I10" t="s">
        <v>80</v>
      </c>
      <c r="J10" t="s">
        <v>81</v>
      </c>
      <c r="K10" t="s">
        <v>82</v>
      </c>
      <c r="L10" t="s">
        <v>85</v>
      </c>
      <c r="M10" t="s">
        <v>150</v>
      </c>
      <c r="N10">
        <v>0</v>
      </c>
      <c r="O10">
        <v>0</v>
      </c>
      <c r="P10">
        <v>0</v>
      </c>
      <c r="Q10">
        <v>0</v>
      </c>
      <c r="R10">
        <v>0</v>
      </c>
      <c r="S10" t="s">
        <v>85</v>
      </c>
      <c r="T10">
        <v>7</v>
      </c>
      <c r="U10">
        <v>0</v>
      </c>
      <c r="V10">
        <v>53</v>
      </c>
      <c r="W10">
        <v>2</v>
      </c>
      <c r="X10">
        <v>7.57</v>
      </c>
      <c r="Y10">
        <v>0</v>
      </c>
      <c r="Z10">
        <v>0</v>
      </c>
      <c r="AA10">
        <v>0</v>
      </c>
      <c r="AB10" t="s">
        <v>97</v>
      </c>
      <c r="AC10">
        <f t="shared" si="0"/>
        <v>0</v>
      </c>
      <c r="AD10">
        <v>0</v>
      </c>
      <c r="AE10">
        <v>42</v>
      </c>
      <c r="AF10">
        <f>AE10/W10</f>
        <v>21</v>
      </c>
      <c r="AG10">
        <f>V10/W10</f>
        <v>26.5</v>
      </c>
      <c r="AH10" t="s">
        <v>111</v>
      </c>
      <c r="AJ10">
        <v>26000</v>
      </c>
      <c r="AK10">
        <v>23500</v>
      </c>
      <c r="AL10" t="s">
        <v>115</v>
      </c>
      <c r="AM10" t="s">
        <v>116</v>
      </c>
      <c r="AN10" t="s">
        <v>117</v>
      </c>
      <c r="AO10" t="s">
        <v>119</v>
      </c>
      <c r="AP10" t="s">
        <v>120</v>
      </c>
      <c r="AQ10" t="s">
        <v>152</v>
      </c>
      <c r="AR10" t="s">
        <v>121</v>
      </c>
      <c r="AS10" t="s">
        <v>122</v>
      </c>
    </row>
    <row r="11" spans="1:45" x14ac:dyDescent="0.3">
      <c r="A11" t="s">
        <v>45</v>
      </c>
      <c r="B11" t="s">
        <v>56</v>
      </c>
      <c r="C11" s="2">
        <v>34682</v>
      </c>
      <c r="D11" t="s">
        <v>75</v>
      </c>
      <c r="E11" t="s">
        <v>77</v>
      </c>
      <c r="F11" s="2">
        <v>43632</v>
      </c>
      <c r="G11" t="s">
        <v>78</v>
      </c>
      <c r="H11" t="s">
        <v>79</v>
      </c>
      <c r="I11" t="s">
        <v>80</v>
      </c>
      <c r="J11" t="s">
        <v>81</v>
      </c>
      <c r="K11" t="s">
        <v>82</v>
      </c>
      <c r="L11" t="s">
        <v>85</v>
      </c>
      <c r="M11" t="s">
        <v>150</v>
      </c>
      <c r="N11">
        <v>0</v>
      </c>
      <c r="O11">
        <v>0</v>
      </c>
      <c r="P11">
        <v>0</v>
      </c>
      <c r="Q11">
        <v>0</v>
      </c>
      <c r="R11">
        <v>0</v>
      </c>
      <c r="S11" t="s">
        <v>85</v>
      </c>
      <c r="T11" s="5">
        <v>9</v>
      </c>
      <c r="U11">
        <v>1</v>
      </c>
      <c r="V11">
        <v>32</v>
      </c>
      <c r="W11">
        <v>2</v>
      </c>
      <c r="X11">
        <v>3.55</v>
      </c>
      <c r="Y11">
        <v>0</v>
      </c>
      <c r="Z11">
        <v>0</v>
      </c>
      <c r="AA11">
        <v>0</v>
      </c>
      <c r="AB11" t="s">
        <v>98</v>
      </c>
      <c r="AC11">
        <f t="shared" si="0"/>
        <v>0</v>
      </c>
      <c r="AD11">
        <v>0</v>
      </c>
      <c r="AE11">
        <v>54</v>
      </c>
      <c r="AF11">
        <f>AE11/W11</f>
        <v>27</v>
      </c>
      <c r="AG11">
        <f>V11/W11</f>
        <v>16</v>
      </c>
      <c r="AH11" t="s">
        <v>111</v>
      </c>
      <c r="AJ11">
        <v>26000</v>
      </c>
      <c r="AK11">
        <v>23500</v>
      </c>
      <c r="AL11" t="s">
        <v>115</v>
      </c>
      <c r="AM11" t="s">
        <v>116</v>
      </c>
      <c r="AN11" t="s">
        <v>117</v>
      </c>
      <c r="AO11" t="s">
        <v>119</v>
      </c>
      <c r="AP11" t="s">
        <v>120</v>
      </c>
      <c r="AQ11" t="s">
        <v>152</v>
      </c>
      <c r="AR11" t="s">
        <v>121</v>
      </c>
      <c r="AS11" t="s">
        <v>122</v>
      </c>
    </row>
    <row r="12" spans="1:45" x14ac:dyDescent="0.3">
      <c r="A12" t="s">
        <v>45</v>
      </c>
      <c r="B12" t="s">
        <v>57</v>
      </c>
      <c r="C12" s="2">
        <v>32995</v>
      </c>
      <c r="D12" t="s">
        <v>74</v>
      </c>
      <c r="E12" t="s">
        <v>77</v>
      </c>
      <c r="F12" s="2">
        <v>43632</v>
      </c>
      <c r="G12" t="s">
        <v>78</v>
      </c>
      <c r="H12" t="s">
        <v>79</v>
      </c>
      <c r="I12" t="s">
        <v>80</v>
      </c>
      <c r="J12" t="s">
        <v>81</v>
      </c>
      <c r="K12" t="s">
        <v>82</v>
      </c>
      <c r="L12" t="s">
        <v>85</v>
      </c>
      <c r="M12" t="s">
        <v>150</v>
      </c>
      <c r="N12">
        <v>0</v>
      </c>
      <c r="O12">
        <v>0</v>
      </c>
      <c r="P12">
        <v>0</v>
      </c>
      <c r="Q12">
        <v>0</v>
      </c>
      <c r="R12">
        <v>0</v>
      </c>
      <c r="S12" t="s">
        <v>85</v>
      </c>
      <c r="T12">
        <v>2.4</v>
      </c>
      <c r="U12">
        <v>0</v>
      </c>
      <c r="V12">
        <v>8</v>
      </c>
      <c r="W12">
        <v>0</v>
      </c>
      <c r="X12" s="3">
        <v>3</v>
      </c>
      <c r="Y12">
        <v>0</v>
      </c>
      <c r="Z12">
        <v>0</v>
      </c>
      <c r="AA12">
        <v>0</v>
      </c>
      <c r="AB12" t="s">
        <v>99</v>
      </c>
      <c r="AC12">
        <f t="shared" si="0"/>
        <v>0</v>
      </c>
      <c r="AD12">
        <v>0</v>
      </c>
      <c r="AE12">
        <v>16</v>
      </c>
      <c r="AF12">
        <v>0</v>
      </c>
      <c r="AG12">
        <v>0</v>
      </c>
      <c r="AH12" t="s">
        <v>111</v>
      </c>
      <c r="AJ12">
        <v>26000</v>
      </c>
      <c r="AK12">
        <v>23500</v>
      </c>
      <c r="AL12" t="s">
        <v>115</v>
      </c>
      <c r="AM12" t="s">
        <v>116</v>
      </c>
      <c r="AN12" t="s">
        <v>117</v>
      </c>
      <c r="AO12" t="s">
        <v>119</v>
      </c>
      <c r="AP12" t="s">
        <v>120</v>
      </c>
      <c r="AQ12" t="s">
        <v>152</v>
      </c>
      <c r="AR12" t="s">
        <v>121</v>
      </c>
      <c r="AS12" t="s">
        <v>122</v>
      </c>
    </row>
    <row r="13" spans="1:45" x14ac:dyDescent="0.3">
      <c r="A13" t="s">
        <v>46</v>
      </c>
      <c r="B13" t="s">
        <v>58</v>
      </c>
      <c r="C13" s="2">
        <v>33150</v>
      </c>
      <c r="D13" t="s">
        <v>69</v>
      </c>
      <c r="E13" t="s">
        <v>76</v>
      </c>
      <c r="F13" s="2">
        <v>43632</v>
      </c>
      <c r="G13" t="s">
        <v>78</v>
      </c>
      <c r="H13" t="s">
        <v>79</v>
      </c>
      <c r="I13" t="s">
        <v>80</v>
      </c>
      <c r="J13" t="s">
        <v>81</v>
      </c>
      <c r="K13" t="s">
        <v>82</v>
      </c>
      <c r="L13" t="s">
        <v>84</v>
      </c>
      <c r="M13" t="s">
        <v>86</v>
      </c>
      <c r="N13">
        <v>62</v>
      </c>
      <c r="O13">
        <v>75</v>
      </c>
      <c r="P13">
        <v>7</v>
      </c>
      <c r="Q13">
        <v>1</v>
      </c>
      <c r="R13">
        <v>82.66</v>
      </c>
      <c r="T13">
        <v>0</v>
      </c>
      <c r="U13">
        <v>0</v>
      </c>
      <c r="V13">
        <v>0</v>
      </c>
      <c r="W13">
        <v>0</v>
      </c>
      <c r="X13">
        <v>0</v>
      </c>
      <c r="Y13">
        <v>0</v>
      </c>
      <c r="Z13">
        <v>0</v>
      </c>
      <c r="AA13">
        <v>0</v>
      </c>
      <c r="AB13" t="s">
        <v>100</v>
      </c>
      <c r="AC13">
        <f t="shared" si="0"/>
        <v>34</v>
      </c>
      <c r="AD13" s="11">
        <f>AC13/N13</f>
        <v>0.54838709677419351</v>
      </c>
      <c r="AE13">
        <v>0</v>
      </c>
      <c r="AF13">
        <v>0</v>
      </c>
      <c r="AG13">
        <v>0</v>
      </c>
      <c r="AH13" t="s">
        <v>112</v>
      </c>
      <c r="AJ13">
        <v>26000</v>
      </c>
      <c r="AK13">
        <v>23500</v>
      </c>
      <c r="AL13" t="s">
        <v>115</v>
      </c>
      <c r="AM13" t="s">
        <v>116</v>
      </c>
      <c r="AN13" t="s">
        <v>118</v>
      </c>
      <c r="AO13" t="s">
        <v>119</v>
      </c>
      <c r="AP13" t="s">
        <v>120</v>
      </c>
      <c r="AQ13" t="s">
        <v>152</v>
      </c>
      <c r="AR13" t="s">
        <v>121</v>
      </c>
      <c r="AS13" t="s">
        <v>122</v>
      </c>
    </row>
    <row r="14" spans="1:45" x14ac:dyDescent="0.3">
      <c r="A14" t="s">
        <v>46</v>
      </c>
      <c r="B14" t="s">
        <v>59</v>
      </c>
      <c r="C14" s="2">
        <v>35055</v>
      </c>
      <c r="D14" t="s">
        <v>69</v>
      </c>
      <c r="E14" t="s">
        <v>76</v>
      </c>
      <c r="F14" s="2">
        <v>43632</v>
      </c>
      <c r="G14" t="s">
        <v>78</v>
      </c>
      <c r="H14" t="s">
        <v>79</v>
      </c>
      <c r="I14" t="s">
        <v>80</v>
      </c>
      <c r="J14" t="s">
        <v>81</v>
      </c>
      <c r="K14" t="s">
        <v>82</v>
      </c>
      <c r="L14" t="s">
        <v>84</v>
      </c>
      <c r="M14" t="s">
        <v>86</v>
      </c>
      <c r="N14">
        <v>7</v>
      </c>
      <c r="O14">
        <v>18</v>
      </c>
      <c r="P14">
        <v>1</v>
      </c>
      <c r="Q14">
        <v>0</v>
      </c>
      <c r="R14">
        <v>38.880000000000003</v>
      </c>
      <c r="T14">
        <v>0</v>
      </c>
      <c r="U14">
        <v>0</v>
      </c>
      <c r="V14">
        <v>0</v>
      </c>
      <c r="W14">
        <v>0</v>
      </c>
      <c r="X14">
        <v>0</v>
      </c>
      <c r="Y14">
        <v>0</v>
      </c>
      <c r="Z14">
        <v>0</v>
      </c>
      <c r="AA14">
        <v>0</v>
      </c>
      <c r="AB14" t="s">
        <v>101</v>
      </c>
      <c r="AC14">
        <f t="shared" si="0"/>
        <v>4</v>
      </c>
      <c r="AD14">
        <v>0</v>
      </c>
      <c r="AE14">
        <v>0</v>
      </c>
      <c r="AF14">
        <v>0</v>
      </c>
      <c r="AG14">
        <v>0</v>
      </c>
      <c r="AH14" t="s">
        <v>112</v>
      </c>
      <c r="AJ14">
        <v>26000</v>
      </c>
      <c r="AK14">
        <v>23500</v>
      </c>
      <c r="AL14" t="s">
        <v>115</v>
      </c>
      <c r="AM14" t="s">
        <v>116</v>
      </c>
      <c r="AN14" t="s">
        <v>118</v>
      </c>
      <c r="AO14" t="s">
        <v>119</v>
      </c>
      <c r="AP14" t="s">
        <v>120</v>
      </c>
      <c r="AQ14" t="s">
        <v>152</v>
      </c>
      <c r="AR14" t="s">
        <v>121</v>
      </c>
      <c r="AS14" t="s">
        <v>122</v>
      </c>
    </row>
    <row r="15" spans="1:45" x14ac:dyDescent="0.3">
      <c r="A15" t="s">
        <v>46</v>
      </c>
      <c r="B15" t="s">
        <v>60</v>
      </c>
      <c r="C15" s="2">
        <v>34622</v>
      </c>
      <c r="D15" t="s">
        <v>69</v>
      </c>
      <c r="E15" t="s">
        <v>76</v>
      </c>
      <c r="F15" s="2">
        <v>43632</v>
      </c>
      <c r="G15" t="s">
        <v>78</v>
      </c>
      <c r="H15" t="s">
        <v>79</v>
      </c>
      <c r="I15" t="s">
        <v>80</v>
      </c>
      <c r="J15" t="s">
        <v>81</v>
      </c>
      <c r="K15" t="s">
        <v>82</v>
      </c>
      <c r="L15">
        <v>3</v>
      </c>
      <c r="M15" t="s">
        <v>86</v>
      </c>
      <c r="N15">
        <v>48</v>
      </c>
      <c r="O15">
        <v>57</v>
      </c>
      <c r="P15">
        <v>3</v>
      </c>
      <c r="Q15">
        <v>1</v>
      </c>
      <c r="R15">
        <v>84.21</v>
      </c>
      <c r="T15">
        <v>0</v>
      </c>
      <c r="U15">
        <v>0</v>
      </c>
      <c r="V15">
        <v>0</v>
      </c>
      <c r="W15">
        <v>0</v>
      </c>
      <c r="X15">
        <v>0</v>
      </c>
      <c r="Y15">
        <v>0</v>
      </c>
      <c r="Z15">
        <v>0</v>
      </c>
      <c r="AA15">
        <v>0</v>
      </c>
      <c r="AB15" t="s">
        <v>102</v>
      </c>
      <c r="AC15">
        <f t="shared" si="0"/>
        <v>18</v>
      </c>
      <c r="AD15" s="11">
        <f>AC15/N15</f>
        <v>0.375</v>
      </c>
      <c r="AE15">
        <v>0</v>
      </c>
      <c r="AF15">
        <v>0</v>
      </c>
      <c r="AG15">
        <v>0</v>
      </c>
      <c r="AH15" t="s">
        <v>112</v>
      </c>
      <c r="AJ15">
        <v>26000</v>
      </c>
      <c r="AK15">
        <v>23500</v>
      </c>
      <c r="AL15" t="s">
        <v>115</v>
      </c>
      <c r="AM15" t="s">
        <v>116</v>
      </c>
      <c r="AN15" t="s">
        <v>118</v>
      </c>
      <c r="AO15" t="s">
        <v>119</v>
      </c>
      <c r="AP15" t="s">
        <v>120</v>
      </c>
      <c r="AQ15" t="s">
        <v>152</v>
      </c>
      <c r="AR15" t="s">
        <v>121</v>
      </c>
      <c r="AS15" t="s">
        <v>122</v>
      </c>
    </row>
    <row r="16" spans="1:45" x14ac:dyDescent="0.3">
      <c r="A16" t="s">
        <v>46</v>
      </c>
      <c r="B16" t="s">
        <v>61</v>
      </c>
      <c r="C16" s="2">
        <v>29511</v>
      </c>
      <c r="D16" t="s">
        <v>71</v>
      </c>
      <c r="E16" t="s">
        <v>71</v>
      </c>
      <c r="F16" s="2">
        <v>43632</v>
      </c>
      <c r="G16" t="s">
        <v>78</v>
      </c>
      <c r="H16" t="s">
        <v>79</v>
      </c>
      <c r="I16" t="s">
        <v>80</v>
      </c>
      <c r="J16" t="s">
        <v>81</v>
      </c>
      <c r="K16" t="s">
        <v>82</v>
      </c>
      <c r="L16">
        <v>4</v>
      </c>
      <c r="M16" t="s">
        <v>150</v>
      </c>
      <c r="N16">
        <v>9</v>
      </c>
      <c r="O16">
        <v>7</v>
      </c>
      <c r="P16">
        <v>0</v>
      </c>
      <c r="Q16">
        <v>1</v>
      </c>
      <c r="R16">
        <v>128.57</v>
      </c>
      <c r="T16">
        <v>0</v>
      </c>
      <c r="U16">
        <v>0</v>
      </c>
      <c r="V16">
        <v>0</v>
      </c>
      <c r="W16">
        <v>0</v>
      </c>
      <c r="X16">
        <v>0</v>
      </c>
      <c r="Y16">
        <v>0</v>
      </c>
      <c r="Z16">
        <v>0</v>
      </c>
      <c r="AA16">
        <v>0</v>
      </c>
      <c r="AB16" t="s">
        <v>103</v>
      </c>
      <c r="AC16">
        <f t="shared" si="0"/>
        <v>6</v>
      </c>
      <c r="AD16">
        <v>0</v>
      </c>
      <c r="AE16">
        <v>6</v>
      </c>
      <c r="AF16">
        <v>0</v>
      </c>
      <c r="AG16">
        <v>0</v>
      </c>
      <c r="AH16" t="s">
        <v>112</v>
      </c>
      <c r="AJ16">
        <v>26000</v>
      </c>
      <c r="AK16">
        <v>23500</v>
      </c>
      <c r="AL16" t="s">
        <v>115</v>
      </c>
      <c r="AM16" t="s">
        <v>116</v>
      </c>
      <c r="AN16" t="s">
        <v>118</v>
      </c>
      <c r="AO16" t="s">
        <v>119</v>
      </c>
      <c r="AP16" t="s">
        <v>120</v>
      </c>
      <c r="AQ16" t="s">
        <v>152</v>
      </c>
      <c r="AR16" t="s">
        <v>121</v>
      </c>
      <c r="AS16" t="s">
        <v>122</v>
      </c>
    </row>
    <row r="17" spans="1:45" x14ac:dyDescent="0.3">
      <c r="A17" t="s">
        <v>46</v>
      </c>
      <c r="B17" t="s">
        <v>62</v>
      </c>
      <c r="C17" s="2">
        <v>31919</v>
      </c>
      <c r="D17" t="s">
        <v>72</v>
      </c>
      <c r="E17" t="s">
        <v>76</v>
      </c>
      <c r="F17" s="2">
        <v>43632</v>
      </c>
      <c r="G17" t="s">
        <v>78</v>
      </c>
      <c r="H17" t="s">
        <v>79</v>
      </c>
      <c r="I17" t="s">
        <v>80</v>
      </c>
      <c r="J17" t="s">
        <v>81</v>
      </c>
      <c r="K17" t="s">
        <v>82</v>
      </c>
      <c r="L17">
        <v>5</v>
      </c>
      <c r="M17" t="s">
        <v>86</v>
      </c>
      <c r="N17">
        <v>12</v>
      </c>
      <c r="O17">
        <v>30</v>
      </c>
      <c r="P17">
        <v>0</v>
      </c>
      <c r="Q17">
        <v>0</v>
      </c>
      <c r="R17" s="3">
        <v>40</v>
      </c>
      <c r="T17">
        <v>0</v>
      </c>
      <c r="U17">
        <v>0</v>
      </c>
      <c r="V17">
        <v>0</v>
      </c>
      <c r="W17">
        <v>0</v>
      </c>
      <c r="X17">
        <v>0</v>
      </c>
      <c r="Y17">
        <v>0</v>
      </c>
      <c r="Z17">
        <v>0</v>
      </c>
      <c r="AA17">
        <v>0</v>
      </c>
      <c r="AB17" t="s">
        <v>104</v>
      </c>
      <c r="AC17">
        <f t="shared" si="0"/>
        <v>0</v>
      </c>
      <c r="AD17">
        <f>AC17/N17</f>
        <v>0</v>
      </c>
      <c r="AE17">
        <v>0</v>
      </c>
      <c r="AF17">
        <v>0</v>
      </c>
      <c r="AG17">
        <v>0</v>
      </c>
      <c r="AH17" t="s">
        <v>112</v>
      </c>
      <c r="AJ17">
        <v>26000</v>
      </c>
      <c r="AK17">
        <v>23500</v>
      </c>
      <c r="AL17" t="s">
        <v>115</v>
      </c>
      <c r="AM17" t="s">
        <v>116</v>
      </c>
      <c r="AN17" t="s">
        <v>118</v>
      </c>
      <c r="AO17" t="s">
        <v>119</v>
      </c>
      <c r="AP17" t="s">
        <v>120</v>
      </c>
      <c r="AQ17" t="s">
        <v>152</v>
      </c>
      <c r="AR17" t="s">
        <v>121</v>
      </c>
      <c r="AS17" t="s">
        <v>122</v>
      </c>
    </row>
    <row r="18" spans="1:45" x14ac:dyDescent="0.3">
      <c r="A18" t="s">
        <v>46</v>
      </c>
      <c r="B18" t="s">
        <v>63</v>
      </c>
      <c r="C18" s="2">
        <v>32495</v>
      </c>
      <c r="D18" t="s">
        <v>71</v>
      </c>
      <c r="E18" t="s">
        <v>71</v>
      </c>
      <c r="F18" s="2">
        <v>43632</v>
      </c>
      <c r="G18" t="s">
        <v>78</v>
      </c>
      <c r="H18" t="s">
        <v>79</v>
      </c>
      <c r="I18" t="s">
        <v>80</v>
      </c>
      <c r="J18" t="s">
        <v>81</v>
      </c>
      <c r="K18" t="s">
        <v>82</v>
      </c>
      <c r="L18">
        <v>7</v>
      </c>
      <c r="M18" t="s">
        <v>150</v>
      </c>
      <c r="N18">
        <v>46</v>
      </c>
      <c r="O18">
        <v>39</v>
      </c>
      <c r="P18">
        <v>6</v>
      </c>
      <c r="Q18">
        <v>0</v>
      </c>
      <c r="R18">
        <v>117.94</v>
      </c>
      <c r="S18" t="s">
        <v>87</v>
      </c>
      <c r="T18">
        <v>10</v>
      </c>
      <c r="U18">
        <v>0</v>
      </c>
      <c r="V18">
        <v>49</v>
      </c>
      <c r="W18">
        <v>0</v>
      </c>
      <c r="X18" s="3">
        <v>4.9000000000000004</v>
      </c>
      <c r="Y18">
        <v>0</v>
      </c>
      <c r="Z18">
        <v>0</v>
      </c>
      <c r="AA18">
        <v>0</v>
      </c>
      <c r="AB18" t="s">
        <v>105</v>
      </c>
      <c r="AC18">
        <f t="shared" si="0"/>
        <v>24</v>
      </c>
      <c r="AD18" s="11">
        <f>AC18/N18</f>
        <v>0.52173913043478259</v>
      </c>
      <c r="AE18">
        <v>60</v>
      </c>
      <c r="AF18">
        <v>0</v>
      </c>
      <c r="AG18">
        <v>0</v>
      </c>
      <c r="AH18" t="s">
        <v>112</v>
      </c>
      <c r="AJ18">
        <v>26000</v>
      </c>
      <c r="AK18">
        <v>23500</v>
      </c>
      <c r="AL18" t="s">
        <v>115</v>
      </c>
      <c r="AM18" t="s">
        <v>116</v>
      </c>
      <c r="AN18" t="s">
        <v>118</v>
      </c>
      <c r="AO18" t="s">
        <v>119</v>
      </c>
      <c r="AP18" t="s">
        <v>120</v>
      </c>
      <c r="AQ18" t="s">
        <v>152</v>
      </c>
      <c r="AR18" t="s">
        <v>121</v>
      </c>
      <c r="AS18" t="s">
        <v>122</v>
      </c>
    </row>
    <row r="19" spans="1:45" x14ac:dyDescent="0.3">
      <c r="A19" t="s">
        <v>46</v>
      </c>
      <c r="B19" t="s">
        <v>64</v>
      </c>
      <c r="C19" s="2">
        <v>31226</v>
      </c>
      <c r="D19" t="s">
        <v>74</v>
      </c>
      <c r="E19" t="s">
        <v>77</v>
      </c>
      <c r="F19" s="2">
        <v>43632</v>
      </c>
      <c r="G19" t="s">
        <v>78</v>
      </c>
      <c r="H19" t="s">
        <v>79</v>
      </c>
      <c r="I19" t="s">
        <v>80</v>
      </c>
      <c r="J19" t="s">
        <v>81</v>
      </c>
      <c r="K19" t="s">
        <v>82</v>
      </c>
      <c r="L19" t="s">
        <v>85</v>
      </c>
      <c r="M19" t="s">
        <v>150</v>
      </c>
      <c r="N19">
        <v>0</v>
      </c>
      <c r="O19">
        <v>0</v>
      </c>
      <c r="P19">
        <v>0</v>
      </c>
      <c r="Q19">
        <v>0</v>
      </c>
      <c r="R19">
        <v>0</v>
      </c>
      <c r="S19" t="s">
        <v>85</v>
      </c>
      <c r="T19">
        <v>10</v>
      </c>
      <c r="U19">
        <v>0</v>
      </c>
      <c r="V19">
        <v>71</v>
      </c>
      <c r="W19">
        <v>1</v>
      </c>
      <c r="X19" s="3">
        <v>7.1</v>
      </c>
      <c r="Y19">
        <v>0</v>
      </c>
      <c r="Z19">
        <v>0</v>
      </c>
      <c r="AA19">
        <v>0</v>
      </c>
      <c r="AB19" t="s">
        <v>106</v>
      </c>
      <c r="AC19">
        <f t="shared" si="0"/>
        <v>0</v>
      </c>
      <c r="AD19">
        <v>0</v>
      </c>
      <c r="AE19">
        <v>60</v>
      </c>
      <c r="AF19">
        <f>AE19/W19</f>
        <v>60</v>
      </c>
      <c r="AG19">
        <f>V19/W19</f>
        <v>71</v>
      </c>
      <c r="AH19" t="s">
        <v>112</v>
      </c>
      <c r="AJ19">
        <v>26000</v>
      </c>
      <c r="AK19">
        <v>23500</v>
      </c>
      <c r="AL19" t="s">
        <v>115</v>
      </c>
      <c r="AM19" t="s">
        <v>116</v>
      </c>
      <c r="AN19" t="s">
        <v>118</v>
      </c>
      <c r="AO19" t="s">
        <v>119</v>
      </c>
      <c r="AP19" t="s">
        <v>120</v>
      </c>
      <c r="AQ19" t="s">
        <v>152</v>
      </c>
      <c r="AR19" t="s">
        <v>121</v>
      </c>
      <c r="AS19" t="s">
        <v>122</v>
      </c>
    </row>
    <row r="20" spans="1:45" x14ac:dyDescent="0.3">
      <c r="A20" t="s">
        <v>46</v>
      </c>
      <c r="B20" t="s">
        <v>65</v>
      </c>
      <c r="C20" s="2">
        <v>35895</v>
      </c>
      <c r="D20" t="s">
        <v>71</v>
      </c>
      <c r="E20" t="s">
        <v>71</v>
      </c>
      <c r="F20" s="2">
        <v>43632</v>
      </c>
      <c r="G20" t="s">
        <v>78</v>
      </c>
      <c r="H20" t="s">
        <v>79</v>
      </c>
      <c r="I20" t="s">
        <v>80</v>
      </c>
      <c r="J20" t="s">
        <v>81</v>
      </c>
      <c r="K20" t="s">
        <v>82</v>
      </c>
      <c r="L20">
        <v>8</v>
      </c>
      <c r="M20" t="s">
        <v>150</v>
      </c>
      <c r="N20">
        <v>20</v>
      </c>
      <c r="O20">
        <v>14</v>
      </c>
      <c r="P20">
        <v>1</v>
      </c>
      <c r="Q20">
        <v>0</v>
      </c>
      <c r="R20">
        <v>142.85</v>
      </c>
      <c r="S20" t="s">
        <v>88</v>
      </c>
      <c r="T20">
        <v>9</v>
      </c>
      <c r="U20">
        <v>0</v>
      </c>
      <c r="V20">
        <v>61</v>
      </c>
      <c r="W20">
        <v>0</v>
      </c>
      <c r="X20">
        <v>6.77</v>
      </c>
      <c r="Y20">
        <v>0</v>
      </c>
      <c r="Z20">
        <v>0</v>
      </c>
      <c r="AA20">
        <v>0</v>
      </c>
      <c r="AB20" t="s">
        <v>107</v>
      </c>
      <c r="AC20">
        <f t="shared" si="0"/>
        <v>4</v>
      </c>
      <c r="AD20" s="11">
        <f>AC20/N20</f>
        <v>0.2</v>
      </c>
      <c r="AE20">
        <v>54</v>
      </c>
      <c r="AF20">
        <v>0</v>
      </c>
      <c r="AG20">
        <v>0</v>
      </c>
      <c r="AH20" t="s">
        <v>112</v>
      </c>
      <c r="AJ20">
        <v>26000</v>
      </c>
      <c r="AK20">
        <v>23500</v>
      </c>
      <c r="AL20" t="s">
        <v>115</v>
      </c>
      <c r="AM20" t="s">
        <v>116</v>
      </c>
      <c r="AN20" t="s">
        <v>118</v>
      </c>
      <c r="AO20" t="s">
        <v>119</v>
      </c>
      <c r="AP20" t="s">
        <v>120</v>
      </c>
      <c r="AQ20" t="s">
        <v>152</v>
      </c>
      <c r="AR20" t="s">
        <v>121</v>
      </c>
      <c r="AS20" t="s">
        <v>122</v>
      </c>
    </row>
    <row r="21" spans="1:45" x14ac:dyDescent="0.3">
      <c r="A21" t="s">
        <v>46</v>
      </c>
      <c r="B21" t="s">
        <v>66</v>
      </c>
      <c r="C21" s="2">
        <v>33707</v>
      </c>
      <c r="D21" t="s">
        <v>74</v>
      </c>
      <c r="E21" t="s">
        <v>77</v>
      </c>
      <c r="F21" s="2">
        <v>43632</v>
      </c>
      <c r="G21" t="s">
        <v>78</v>
      </c>
      <c r="H21" t="s">
        <v>79</v>
      </c>
      <c r="I21" t="s">
        <v>80</v>
      </c>
      <c r="J21" t="s">
        <v>81</v>
      </c>
      <c r="K21" t="s">
        <v>82</v>
      </c>
      <c r="L21" t="s">
        <v>85</v>
      </c>
      <c r="M21" t="s">
        <v>150</v>
      </c>
      <c r="N21">
        <v>0</v>
      </c>
      <c r="O21">
        <v>0</v>
      </c>
      <c r="P21">
        <v>0</v>
      </c>
      <c r="Q21">
        <v>0</v>
      </c>
      <c r="R21">
        <v>0</v>
      </c>
      <c r="S21" t="s">
        <v>85</v>
      </c>
      <c r="T21">
        <v>10</v>
      </c>
      <c r="U21">
        <v>1</v>
      </c>
      <c r="V21">
        <v>47</v>
      </c>
      <c r="W21">
        <v>3</v>
      </c>
      <c r="X21" s="3">
        <v>4.7</v>
      </c>
      <c r="Y21">
        <v>0</v>
      </c>
      <c r="Z21">
        <v>0</v>
      </c>
      <c r="AA21">
        <v>0</v>
      </c>
      <c r="AB21" t="s">
        <v>108</v>
      </c>
      <c r="AC21">
        <f t="shared" si="0"/>
        <v>0</v>
      </c>
      <c r="AD21">
        <v>0</v>
      </c>
      <c r="AE21">
        <v>60</v>
      </c>
      <c r="AF21">
        <f>AE21/W21</f>
        <v>20</v>
      </c>
      <c r="AG21">
        <f>V21/W21</f>
        <v>15.666666666666666</v>
      </c>
      <c r="AH21" t="s">
        <v>112</v>
      </c>
      <c r="AI21" t="s">
        <v>114</v>
      </c>
      <c r="AJ21">
        <v>26000</v>
      </c>
      <c r="AK21">
        <v>23500</v>
      </c>
      <c r="AL21" t="s">
        <v>115</v>
      </c>
      <c r="AM21" t="s">
        <v>116</v>
      </c>
      <c r="AN21" t="s">
        <v>118</v>
      </c>
      <c r="AO21" t="s">
        <v>119</v>
      </c>
      <c r="AP21" t="s">
        <v>120</v>
      </c>
      <c r="AQ21" t="s">
        <v>152</v>
      </c>
      <c r="AR21" t="s">
        <v>121</v>
      </c>
      <c r="AS21" t="s">
        <v>122</v>
      </c>
    </row>
    <row r="22" spans="1:45" x14ac:dyDescent="0.3">
      <c r="A22" t="s">
        <v>46</v>
      </c>
      <c r="B22" t="s">
        <v>67</v>
      </c>
      <c r="C22" s="2">
        <v>34372</v>
      </c>
      <c r="D22" t="s">
        <v>74</v>
      </c>
      <c r="E22" t="s">
        <v>77</v>
      </c>
      <c r="F22" s="2">
        <v>43632</v>
      </c>
      <c r="G22" t="s">
        <v>78</v>
      </c>
      <c r="H22" t="s">
        <v>79</v>
      </c>
      <c r="I22" t="s">
        <v>80</v>
      </c>
      <c r="J22" t="s">
        <v>81</v>
      </c>
      <c r="K22" t="s">
        <v>82</v>
      </c>
      <c r="L22" t="s">
        <v>85</v>
      </c>
      <c r="M22" t="s">
        <v>150</v>
      </c>
      <c r="N22">
        <v>0</v>
      </c>
      <c r="O22">
        <v>0</v>
      </c>
      <c r="P22">
        <v>0</v>
      </c>
      <c r="Q22">
        <v>0</v>
      </c>
      <c r="R22">
        <v>0</v>
      </c>
      <c r="S22" t="s">
        <v>85</v>
      </c>
      <c r="T22">
        <v>9</v>
      </c>
      <c r="U22">
        <v>0</v>
      </c>
      <c r="V22">
        <v>84</v>
      </c>
      <c r="W22">
        <v>1</v>
      </c>
      <c r="X22" s="3">
        <v>9.33</v>
      </c>
      <c r="Y22">
        <v>0</v>
      </c>
      <c r="Z22">
        <v>0</v>
      </c>
      <c r="AA22">
        <v>0</v>
      </c>
      <c r="AB22" t="s">
        <v>109</v>
      </c>
      <c r="AC22">
        <f t="shared" si="0"/>
        <v>0</v>
      </c>
      <c r="AD22">
        <v>0</v>
      </c>
      <c r="AE22">
        <v>54</v>
      </c>
      <c r="AF22">
        <f>AE22/W22</f>
        <v>54</v>
      </c>
      <c r="AG22">
        <f>V22/W22</f>
        <v>84</v>
      </c>
      <c r="AH22" t="s">
        <v>112</v>
      </c>
      <c r="AJ22">
        <v>26000</v>
      </c>
      <c r="AK22">
        <v>23500</v>
      </c>
      <c r="AL22" t="s">
        <v>115</v>
      </c>
      <c r="AM22" t="s">
        <v>116</v>
      </c>
      <c r="AN22" t="s">
        <v>118</v>
      </c>
      <c r="AO22" t="s">
        <v>119</v>
      </c>
      <c r="AP22" t="s">
        <v>120</v>
      </c>
      <c r="AQ22" t="s">
        <v>152</v>
      </c>
      <c r="AR22" t="s">
        <v>121</v>
      </c>
      <c r="AS22" t="s">
        <v>122</v>
      </c>
    </row>
    <row r="23" spans="1:45" x14ac:dyDescent="0.3">
      <c r="A23" t="s">
        <v>46</v>
      </c>
      <c r="B23" t="s">
        <v>68</v>
      </c>
      <c r="C23" s="2">
        <v>36681</v>
      </c>
      <c r="D23" t="s">
        <v>74</v>
      </c>
      <c r="E23" t="s">
        <v>77</v>
      </c>
      <c r="F23" s="2">
        <v>43632</v>
      </c>
      <c r="G23" t="s">
        <v>78</v>
      </c>
      <c r="H23" t="s">
        <v>79</v>
      </c>
      <c r="I23" t="s">
        <v>80</v>
      </c>
      <c r="J23" t="s">
        <v>81</v>
      </c>
      <c r="K23" t="s">
        <v>83</v>
      </c>
      <c r="L23">
        <v>6</v>
      </c>
      <c r="M23" t="s">
        <v>151</v>
      </c>
      <c r="N23">
        <v>0</v>
      </c>
      <c r="O23">
        <v>1</v>
      </c>
      <c r="P23">
        <v>0</v>
      </c>
      <c r="Q23">
        <v>0</v>
      </c>
      <c r="R23">
        <v>0</v>
      </c>
      <c r="S23" t="s">
        <v>12</v>
      </c>
      <c r="T23">
        <v>1</v>
      </c>
      <c r="U23">
        <v>0</v>
      </c>
      <c r="V23">
        <v>11</v>
      </c>
      <c r="W23">
        <v>0</v>
      </c>
      <c r="X23" s="3">
        <v>11</v>
      </c>
      <c r="Y23">
        <v>0</v>
      </c>
      <c r="Z23">
        <v>0</v>
      </c>
      <c r="AA23">
        <v>0</v>
      </c>
      <c r="AB23" t="s">
        <v>110</v>
      </c>
      <c r="AC23">
        <f t="shared" si="0"/>
        <v>0</v>
      </c>
      <c r="AD23">
        <v>0</v>
      </c>
      <c r="AE23">
        <v>6</v>
      </c>
      <c r="AF23">
        <v>0</v>
      </c>
      <c r="AG23">
        <v>0</v>
      </c>
      <c r="AH23" t="s">
        <v>112</v>
      </c>
      <c r="AJ23">
        <v>26000</v>
      </c>
      <c r="AK23">
        <v>23500</v>
      </c>
      <c r="AL23" t="s">
        <v>115</v>
      </c>
      <c r="AM23" t="s">
        <v>116</v>
      </c>
      <c r="AN23" t="s">
        <v>118</v>
      </c>
      <c r="AO23" t="s">
        <v>119</v>
      </c>
      <c r="AP23" t="s">
        <v>120</v>
      </c>
      <c r="AQ23" t="s">
        <v>152</v>
      </c>
      <c r="AR23" t="s">
        <v>121</v>
      </c>
      <c r="AS23" t="s">
        <v>122</v>
      </c>
    </row>
    <row r="29" spans="1:45" x14ac:dyDescent="0.3">
      <c r="A29" s="1" t="s">
        <v>163</v>
      </c>
      <c r="B29" t="s">
        <v>164</v>
      </c>
    </row>
    <row r="30" spans="1:45" x14ac:dyDescent="0.3">
      <c r="A30" t="s">
        <v>159</v>
      </c>
      <c r="B30" s="3">
        <v>700</v>
      </c>
      <c r="D30" t="s">
        <v>166</v>
      </c>
      <c r="E30" t="s">
        <v>167</v>
      </c>
    </row>
    <row r="31" spans="1:45" x14ac:dyDescent="0.3">
      <c r="A31" t="s">
        <v>160</v>
      </c>
      <c r="B31" s="3">
        <v>150</v>
      </c>
      <c r="D31" s="16" t="s">
        <v>42</v>
      </c>
      <c r="E31" s="18">
        <v>50</v>
      </c>
    </row>
    <row r="32" spans="1:45" x14ac:dyDescent="0.3">
      <c r="A32" t="s">
        <v>161</v>
      </c>
      <c r="B32" s="3">
        <v>50</v>
      </c>
      <c r="D32" s="16" t="s">
        <v>43</v>
      </c>
      <c r="E32" s="17" t="s">
        <v>169</v>
      </c>
      <c r="AC32" s="11"/>
    </row>
    <row r="33" spans="1:2" x14ac:dyDescent="0.3">
      <c r="A33" t="s">
        <v>162</v>
      </c>
      <c r="B33" s="3">
        <v>100</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3FAEA-47AF-4A7F-A392-84C0070E5CC8}">
  <dimension ref="A3:H28"/>
  <sheetViews>
    <sheetView workbookViewId="0">
      <selection activeCell="L20" sqref="L20"/>
    </sheetView>
  </sheetViews>
  <sheetFormatPr defaultRowHeight="14.4" x14ac:dyDescent="0.3"/>
  <cols>
    <col min="1" max="1" width="12.5546875" bestFit="1" customWidth="1"/>
    <col min="2" max="2" width="26.77734375" bestFit="1" customWidth="1"/>
    <col min="3" max="3" width="12" bestFit="1" customWidth="1"/>
    <col min="4" max="4" width="12.5546875" bestFit="1" customWidth="1"/>
    <col min="5" max="5" width="19.6640625" bestFit="1" customWidth="1"/>
    <col min="6" max="6" width="4" bestFit="1" customWidth="1"/>
    <col min="7" max="7" width="12.5546875" bestFit="1" customWidth="1"/>
    <col min="8" max="8" width="19.109375" bestFit="1" customWidth="1"/>
    <col min="9" max="9" width="8.109375" bestFit="1" customWidth="1"/>
    <col min="10" max="10" width="10.77734375" bestFit="1" customWidth="1"/>
    <col min="11" max="11" width="10.44140625" bestFit="1" customWidth="1"/>
    <col min="12" max="12" width="10.77734375" bestFit="1" customWidth="1"/>
    <col min="14" max="14" width="12.5546875" bestFit="1" customWidth="1"/>
    <col min="15" max="15" width="14.109375" bestFit="1" customWidth="1"/>
  </cols>
  <sheetData>
    <row r="3" spans="1:8" x14ac:dyDescent="0.3">
      <c r="A3" s="13" t="s">
        <v>154</v>
      </c>
      <c r="B3" t="s">
        <v>153</v>
      </c>
      <c r="D3" s="13" t="s">
        <v>154</v>
      </c>
      <c r="E3" t="s">
        <v>156</v>
      </c>
      <c r="G3" s="13" t="s">
        <v>154</v>
      </c>
      <c r="H3" t="s">
        <v>157</v>
      </c>
    </row>
    <row r="4" spans="1:8" x14ac:dyDescent="0.3">
      <c r="A4" s="14" t="s">
        <v>47</v>
      </c>
      <c r="B4">
        <v>140</v>
      </c>
      <c r="D4" s="14" t="s">
        <v>71</v>
      </c>
      <c r="E4" s="19">
        <v>2</v>
      </c>
      <c r="G4" s="14" t="s">
        <v>45</v>
      </c>
      <c r="H4" s="19">
        <v>39.6</v>
      </c>
    </row>
    <row r="5" spans="1:8" x14ac:dyDescent="0.3">
      <c r="A5" s="15" t="s">
        <v>45</v>
      </c>
      <c r="B5">
        <v>140</v>
      </c>
      <c r="D5" s="15" t="s">
        <v>45</v>
      </c>
      <c r="E5" s="19">
        <v>2</v>
      </c>
      <c r="G5" s="14" t="s">
        <v>155</v>
      </c>
      <c r="H5" s="19">
        <v>39.6</v>
      </c>
    </row>
    <row r="6" spans="1:8" x14ac:dyDescent="0.3">
      <c r="A6" s="14" t="s">
        <v>49</v>
      </c>
      <c r="B6">
        <v>77</v>
      </c>
      <c r="D6" s="14" t="s">
        <v>76</v>
      </c>
      <c r="E6" s="19">
        <v>5</v>
      </c>
    </row>
    <row r="7" spans="1:8" x14ac:dyDescent="0.3">
      <c r="A7" s="15" t="s">
        <v>45</v>
      </c>
      <c r="B7">
        <v>77</v>
      </c>
      <c r="D7" s="15" t="s">
        <v>45</v>
      </c>
      <c r="E7" s="19">
        <v>5</v>
      </c>
    </row>
    <row r="8" spans="1:8" x14ac:dyDescent="0.3">
      <c r="A8" s="14" t="s">
        <v>58</v>
      </c>
      <c r="B8">
        <v>62</v>
      </c>
      <c r="D8" s="14" t="s">
        <v>77</v>
      </c>
      <c r="E8" s="19">
        <v>4</v>
      </c>
    </row>
    <row r="9" spans="1:8" x14ac:dyDescent="0.3">
      <c r="A9" s="15" t="s">
        <v>46</v>
      </c>
      <c r="B9">
        <v>62</v>
      </c>
      <c r="D9" s="15" t="s">
        <v>45</v>
      </c>
      <c r="E9" s="19">
        <v>4</v>
      </c>
    </row>
    <row r="10" spans="1:8" x14ac:dyDescent="0.3">
      <c r="A10" s="14" t="s">
        <v>48</v>
      </c>
      <c r="B10">
        <v>57</v>
      </c>
      <c r="D10" s="14" t="s">
        <v>155</v>
      </c>
      <c r="E10" s="19">
        <v>11</v>
      </c>
    </row>
    <row r="11" spans="1:8" x14ac:dyDescent="0.3">
      <c r="A11" s="15" t="s">
        <v>45</v>
      </c>
      <c r="B11">
        <v>57</v>
      </c>
    </row>
    <row r="12" spans="1:8" x14ac:dyDescent="0.3">
      <c r="A12" s="14" t="s">
        <v>60</v>
      </c>
      <c r="B12">
        <v>48</v>
      </c>
    </row>
    <row r="13" spans="1:8" x14ac:dyDescent="0.3">
      <c r="A13" s="15" t="s">
        <v>46</v>
      </c>
      <c r="B13">
        <v>48</v>
      </c>
    </row>
    <row r="14" spans="1:8" x14ac:dyDescent="0.3">
      <c r="A14" s="14" t="s">
        <v>155</v>
      </c>
      <c r="B14">
        <v>384</v>
      </c>
    </row>
    <row r="18" spans="1:8" x14ac:dyDescent="0.3">
      <c r="A18" s="13" t="s">
        <v>154</v>
      </c>
      <c r="B18" t="s">
        <v>165</v>
      </c>
      <c r="D18" s="13" t="s">
        <v>154</v>
      </c>
      <c r="E18" t="s">
        <v>168</v>
      </c>
      <c r="G18" s="13" t="s">
        <v>154</v>
      </c>
      <c r="H18" t="s">
        <v>158</v>
      </c>
    </row>
    <row r="19" spans="1:8" x14ac:dyDescent="0.3">
      <c r="A19" s="14" t="s">
        <v>161</v>
      </c>
      <c r="B19" s="3">
        <v>50</v>
      </c>
      <c r="D19" s="14" t="s">
        <v>43</v>
      </c>
      <c r="E19">
        <v>100</v>
      </c>
      <c r="G19" s="14" t="s">
        <v>45</v>
      </c>
      <c r="H19">
        <v>8</v>
      </c>
    </row>
    <row r="20" spans="1:8" x14ac:dyDescent="0.3">
      <c r="A20" s="14" t="s">
        <v>159</v>
      </c>
      <c r="B20" s="3">
        <v>700</v>
      </c>
      <c r="D20" s="14" t="s">
        <v>42</v>
      </c>
      <c r="E20">
        <v>50</v>
      </c>
      <c r="G20" s="15" t="s">
        <v>55</v>
      </c>
      <c r="H20">
        <v>2</v>
      </c>
    </row>
    <row r="21" spans="1:8" x14ac:dyDescent="0.3">
      <c r="A21" s="14" t="s">
        <v>160</v>
      </c>
      <c r="B21" s="3">
        <v>150</v>
      </c>
      <c r="D21" s="14" t="s">
        <v>155</v>
      </c>
      <c r="E21">
        <v>150</v>
      </c>
      <c r="G21" s="15" t="s">
        <v>50</v>
      </c>
      <c r="H21">
        <v>2</v>
      </c>
    </row>
    <row r="22" spans="1:8" x14ac:dyDescent="0.3">
      <c r="A22" s="14" t="s">
        <v>162</v>
      </c>
      <c r="B22" s="3">
        <v>100</v>
      </c>
      <c r="G22" s="15" t="s">
        <v>53</v>
      </c>
      <c r="H22">
        <v>2</v>
      </c>
    </row>
    <row r="23" spans="1:8" x14ac:dyDescent="0.3">
      <c r="A23" s="14" t="s">
        <v>155</v>
      </c>
      <c r="B23" s="3">
        <v>1000</v>
      </c>
      <c r="G23" s="15" t="s">
        <v>56</v>
      </c>
      <c r="H23">
        <v>2</v>
      </c>
    </row>
    <row r="24" spans="1:8" x14ac:dyDescent="0.3">
      <c r="G24" s="14" t="s">
        <v>46</v>
      </c>
      <c r="H24">
        <v>5</v>
      </c>
    </row>
    <row r="25" spans="1:8" x14ac:dyDescent="0.3">
      <c r="G25" s="15" t="s">
        <v>66</v>
      </c>
      <c r="H25">
        <v>3</v>
      </c>
    </row>
    <row r="26" spans="1:8" x14ac:dyDescent="0.3">
      <c r="G26" s="15" t="s">
        <v>64</v>
      </c>
      <c r="H26">
        <v>1</v>
      </c>
    </row>
    <row r="27" spans="1:8" x14ac:dyDescent="0.3">
      <c r="G27" s="15" t="s">
        <v>67</v>
      </c>
      <c r="H27">
        <v>1</v>
      </c>
    </row>
    <row r="28" spans="1:8" x14ac:dyDescent="0.3">
      <c r="G28" s="14" t="s">
        <v>155</v>
      </c>
      <c r="H28">
        <v>13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72DF1-43E4-4312-99EF-7E4EA9F25B85}">
  <dimension ref="A1"/>
  <sheetViews>
    <sheetView showGridLines="0" topLeftCell="A7" workbookViewId="0">
      <selection activeCell="W20" sqref="W2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MATCH DETAILS</vt:lpstr>
      <vt:lpstr>MATCH 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Khushi Singhal</cp:lastModifiedBy>
  <dcterms:created xsi:type="dcterms:W3CDTF">2026-01-06T15:22:40Z</dcterms:created>
  <dcterms:modified xsi:type="dcterms:W3CDTF">2026-07-17T06:46:25Z</dcterms:modified>
</cp:coreProperties>
</file>