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35eda6f8e9cb60f2/Desktop/DASHBOARDS/"/>
    </mc:Choice>
  </mc:AlternateContent>
  <xr:revisionPtr revIDLastSave="386" documentId="13_ncr:1_{4901214B-49E3-472B-9434-8677C8BFBF62}" xr6:coauthVersionLast="47" xr6:coauthVersionMax="47" xr10:uidLastSave="{D66FD164-D3D7-4C97-89F7-F44C32A86112}"/>
  <bookViews>
    <workbookView xWindow="-108" yWindow="-108" windowWidth="23256" windowHeight="13896" tabRatio="596" activeTab="4" xr2:uid="{83579DFF-0CEE-4D25-8C12-D9CB84CB3BFC}"/>
  </bookViews>
  <sheets>
    <sheet name="RAW DATA" sheetId="7" r:id="rId1"/>
    <sheet name="Sheet2" sheetId="10" r:id="rId2"/>
    <sheet name="Sheet3" sheetId="11" r:id="rId3"/>
    <sheet name="PIVOT TABLE" sheetId="8" r:id="rId4"/>
    <sheet name="DASHBOARD" sheetId="6" r:id="rId5"/>
  </sheets>
  <definedNames>
    <definedName name="_xlchart.v5.0" hidden="1">'PIVOT TABLE'!$AC$3</definedName>
    <definedName name="_xlchart.v5.1" hidden="1">'PIVOT TABLE'!$AC$4:$AC$26</definedName>
    <definedName name="_xlchart.v5.2" hidden="1">'PIVOT TABLE'!$AD$3</definedName>
    <definedName name="_xlchart.v5.3" hidden="1">'PIVOT TABLE'!$AD$4:$AD$26</definedName>
    <definedName name="Slicer_CATEGORY1">#N/A</definedName>
    <definedName name="Slicer_Month">#N/A</definedName>
    <definedName name="Slicer_STATE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0" l="1"/>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2" i="10"/>
  <c r="D15" i="7"/>
  <c r="W1827" i="11"/>
  <c r="K1827" i="11"/>
  <c r="E1827" i="11"/>
  <c r="D1827" i="11"/>
  <c r="W1826" i="11"/>
  <c r="K1826" i="11"/>
  <c r="E1826" i="11"/>
  <c r="D1826" i="11"/>
  <c r="W1825" i="11"/>
  <c r="K1825" i="11"/>
  <c r="E1825" i="11"/>
  <c r="D1825" i="11"/>
  <c r="W1824" i="11"/>
  <c r="K1824" i="11"/>
  <c r="E1824" i="11"/>
  <c r="D1824" i="11"/>
  <c r="W1823" i="11"/>
  <c r="K1823" i="11"/>
  <c r="E1823" i="11"/>
  <c r="D1823" i="11"/>
  <c r="W1822" i="11"/>
  <c r="K1822" i="11"/>
  <c r="E1822" i="11"/>
  <c r="D1822" i="11"/>
  <c r="W1821" i="11"/>
  <c r="K1821" i="11"/>
  <c r="E1821" i="11"/>
  <c r="D1821" i="11"/>
  <c r="W1820" i="11"/>
  <c r="K1820" i="11"/>
  <c r="E1820" i="11"/>
  <c r="D1820" i="11"/>
  <c r="W1819" i="11"/>
  <c r="K1819" i="11"/>
  <c r="E1819" i="11"/>
  <c r="D1819" i="11"/>
  <c r="W1818" i="11"/>
  <c r="K1818" i="11"/>
  <c r="E1818" i="11"/>
  <c r="D1818" i="11"/>
  <c r="W1817" i="11"/>
  <c r="K1817" i="11"/>
  <c r="E1817" i="11"/>
  <c r="D1817" i="11"/>
  <c r="W1816" i="11"/>
  <c r="K1816" i="11"/>
  <c r="E1816" i="11"/>
  <c r="D1816" i="11"/>
  <c r="W1815" i="11"/>
  <c r="K1815" i="11"/>
  <c r="E1815" i="11"/>
  <c r="D1815" i="11"/>
  <c r="W1814" i="11"/>
  <c r="K1814" i="11"/>
  <c r="E1814" i="11"/>
  <c r="D1814" i="11"/>
  <c r="W1813" i="11"/>
  <c r="K1813" i="11"/>
  <c r="E1813" i="11"/>
  <c r="D1813" i="11"/>
  <c r="W1812" i="11"/>
  <c r="K1812" i="11"/>
  <c r="E1812" i="11"/>
  <c r="D1812" i="11"/>
  <c r="W1811" i="11"/>
  <c r="K1811" i="11"/>
  <c r="E1811" i="11"/>
  <c r="D1811" i="11"/>
  <c r="W1810" i="11"/>
  <c r="K1810" i="11"/>
  <c r="E1810" i="11"/>
  <c r="D1810" i="11"/>
  <c r="W1809" i="11"/>
  <c r="K1809" i="11"/>
  <c r="E1809" i="11"/>
  <c r="D1809" i="11"/>
  <c r="W1808" i="11"/>
  <c r="K1808" i="11"/>
  <c r="E1808" i="11"/>
  <c r="D1808" i="11"/>
  <c r="W1807" i="11"/>
  <c r="K1807" i="11"/>
  <c r="E1807" i="11"/>
  <c r="D1807" i="11"/>
  <c r="W1806" i="11"/>
  <c r="K1806" i="11"/>
  <c r="E1806" i="11"/>
  <c r="D1806" i="11"/>
  <c r="W1805" i="11"/>
  <c r="K1805" i="11"/>
  <c r="E1805" i="11"/>
  <c r="D1805" i="11"/>
  <c r="W1804" i="11"/>
  <c r="K1804" i="11"/>
  <c r="E1804" i="11"/>
  <c r="D1804" i="11"/>
  <c r="W1803" i="11"/>
  <c r="K1803" i="11"/>
  <c r="E1803" i="11"/>
  <c r="D1803" i="11"/>
  <c r="W1802" i="11"/>
  <c r="K1802" i="11"/>
  <c r="E1802" i="11"/>
  <c r="D1802" i="11"/>
  <c r="W1801" i="11"/>
  <c r="K1801" i="11"/>
  <c r="E1801" i="11"/>
  <c r="D1801" i="11"/>
  <c r="W1800" i="11"/>
  <c r="K1800" i="11"/>
  <c r="E1800" i="11"/>
  <c r="D1800" i="11"/>
  <c r="W1799" i="11"/>
  <c r="K1799" i="11"/>
  <c r="E1799" i="11"/>
  <c r="D1799" i="11"/>
  <c r="W1798" i="11"/>
  <c r="K1798" i="11"/>
  <c r="E1798" i="11"/>
  <c r="D1798" i="11"/>
  <c r="W1797" i="11"/>
  <c r="K1797" i="11"/>
  <c r="E1797" i="11"/>
  <c r="D1797" i="11"/>
  <c r="W1796" i="11"/>
  <c r="K1796" i="11"/>
  <c r="E1796" i="11"/>
  <c r="D1796" i="11"/>
  <c r="W1795" i="11"/>
  <c r="K1795" i="11"/>
  <c r="E1795" i="11"/>
  <c r="D1795" i="11"/>
  <c r="W1794" i="11"/>
  <c r="K1794" i="11"/>
  <c r="E1794" i="11"/>
  <c r="D1794" i="11"/>
  <c r="W1793" i="11"/>
  <c r="K1793" i="11"/>
  <c r="E1793" i="11"/>
  <c r="D1793" i="11"/>
  <c r="W1792" i="11"/>
  <c r="K1792" i="11"/>
  <c r="E1792" i="11"/>
  <c r="D1792" i="11"/>
  <c r="W1791" i="11"/>
  <c r="K1791" i="11"/>
  <c r="E1791" i="11"/>
  <c r="D1791" i="11"/>
  <c r="W1790" i="11"/>
  <c r="K1790" i="11"/>
  <c r="E1790" i="11"/>
  <c r="D1790" i="11"/>
  <c r="W1789" i="11"/>
  <c r="K1789" i="11"/>
  <c r="E1789" i="11"/>
  <c r="D1789" i="11"/>
  <c r="W1788" i="11"/>
  <c r="K1788" i="11"/>
  <c r="E1788" i="11"/>
  <c r="D1788" i="11"/>
  <c r="W1787" i="11"/>
  <c r="K1787" i="11"/>
  <c r="E1787" i="11"/>
  <c r="D1787" i="11"/>
  <c r="W1786" i="11"/>
  <c r="K1786" i="11"/>
  <c r="E1786" i="11"/>
  <c r="D1786" i="11"/>
  <c r="W1785" i="11"/>
  <c r="K1785" i="11"/>
  <c r="E1785" i="11"/>
  <c r="D1785" i="11"/>
  <c r="W1784" i="11"/>
  <c r="K1784" i="11"/>
  <c r="E1784" i="11"/>
  <c r="D1784" i="11"/>
  <c r="W1783" i="11"/>
  <c r="K1783" i="11"/>
  <c r="E1783" i="11"/>
  <c r="D1783" i="11"/>
  <c r="W1782" i="11"/>
  <c r="K1782" i="11"/>
  <c r="E1782" i="11"/>
  <c r="D1782" i="11"/>
  <c r="W1781" i="11"/>
  <c r="K1781" i="11"/>
  <c r="E1781" i="11"/>
  <c r="D1781" i="11"/>
  <c r="W1780" i="11"/>
  <c r="K1780" i="11"/>
  <c r="E1780" i="11"/>
  <c r="D1780" i="11"/>
  <c r="W1779" i="11"/>
  <c r="K1779" i="11"/>
  <c r="E1779" i="11"/>
  <c r="D1779" i="11"/>
  <c r="W1778" i="11"/>
  <c r="K1778" i="11"/>
  <c r="E1778" i="11"/>
  <c r="D1778" i="11"/>
  <c r="W1777" i="11"/>
  <c r="K1777" i="11"/>
  <c r="E1777" i="11"/>
  <c r="D1777" i="11"/>
  <c r="W1776" i="11"/>
  <c r="K1776" i="11"/>
  <c r="E1776" i="11"/>
  <c r="D1776" i="11"/>
  <c r="W1775" i="11"/>
  <c r="K1775" i="11"/>
  <c r="E1775" i="11"/>
  <c r="D1775" i="11"/>
  <c r="W1774" i="11"/>
  <c r="K1774" i="11"/>
  <c r="E1774" i="11"/>
  <c r="D1774" i="11"/>
  <c r="W1773" i="11"/>
  <c r="K1773" i="11"/>
  <c r="E1773" i="11"/>
  <c r="D1773" i="11"/>
  <c r="W1772" i="11"/>
  <c r="K1772" i="11"/>
  <c r="E1772" i="11"/>
  <c r="D1772" i="11"/>
  <c r="W1771" i="11"/>
  <c r="K1771" i="11"/>
  <c r="E1771" i="11"/>
  <c r="D1771" i="11"/>
  <c r="W1770" i="11"/>
  <c r="K1770" i="11"/>
  <c r="E1770" i="11"/>
  <c r="D1770" i="11"/>
  <c r="W1769" i="11"/>
  <c r="K1769" i="11"/>
  <c r="E1769" i="11"/>
  <c r="D1769" i="11"/>
  <c r="W1768" i="11"/>
  <c r="K1768" i="11"/>
  <c r="E1768" i="11"/>
  <c r="D1768" i="11"/>
  <c r="W1767" i="11"/>
  <c r="K1767" i="11"/>
  <c r="E1767" i="11"/>
  <c r="D1767" i="11"/>
  <c r="W1766" i="11"/>
  <c r="K1766" i="11"/>
  <c r="E1766" i="11"/>
  <c r="D1766" i="11"/>
  <c r="W1765" i="11"/>
  <c r="K1765" i="11"/>
  <c r="E1765" i="11"/>
  <c r="D1765" i="11"/>
  <c r="W1764" i="11"/>
  <c r="K1764" i="11"/>
  <c r="E1764" i="11"/>
  <c r="D1764" i="11"/>
  <c r="W1763" i="11"/>
  <c r="K1763" i="11"/>
  <c r="E1763" i="11"/>
  <c r="D1763" i="11"/>
  <c r="W1762" i="11"/>
  <c r="K1762" i="11"/>
  <c r="E1762" i="11"/>
  <c r="D1762" i="11"/>
  <c r="W1761" i="11"/>
  <c r="K1761" i="11"/>
  <c r="E1761" i="11"/>
  <c r="D1761" i="11"/>
  <c r="W1760" i="11"/>
  <c r="K1760" i="11"/>
  <c r="E1760" i="11"/>
  <c r="D1760" i="11"/>
  <c r="W1759" i="11"/>
  <c r="K1759" i="11"/>
  <c r="E1759" i="11"/>
  <c r="D1759" i="11"/>
  <c r="W1758" i="11"/>
  <c r="K1758" i="11"/>
  <c r="E1758" i="11"/>
  <c r="D1758" i="11"/>
  <c r="W1757" i="11"/>
  <c r="K1757" i="11"/>
  <c r="E1757" i="11"/>
  <c r="D1757" i="11"/>
  <c r="W1756" i="11"/>
  <c r="K1756" i="11"/>
  <c r="E1756" i="11"/>
  <c r="D1756" i="11"/>
  <c r="W1755" i="11"/>
  <c r="K1755" i="11"/>
  <c r="E1755" i="11"/>
  <c r="D1755" i="11"/>
  <c r="W1754" i="11"/>
  <c r="K1754" i="11"/>
  <c r="E1754" i="11"/>
  <c r="D1754" i="11"/>
  <c r="W1753" i="11"/>
  <c r="K1753" i="11"/>
  <c r="E1753" i="11"/>
  <c r="D1753" i="11"/>
  <c r="W1752" i="11"/>
  <c r="K1752" i="11"/>
  <c r="E1752" i="11"/>
  <c r="D1752" i="11"/>
  <c r="W1751" i="11"/>
  <c r="K1751" i="11"/>
  <c r="E1751" i="11"/>
  <c r="D1751" i="11"/>
  <c r="W1750" i="11"/>
  <c r="K1750" i="11"/>
  <c r="E1750" i="11"/>
  <c r="D1750" i="11"/>
  <c r="W1749" i="11"/>
  <c r="K1749" i="11"/>
  <c r="E1749" i="11"/>
  <c r="D1749" i="11"/>
  <c r="W1748" i="11"/>
  <c r="K1748" i="11"/>
  <c r="E1748" i="11"/>
  <c r="D1748" i="11"/>
  <c r="W1747" i="11"/>
  <c r="K1747" i="11"/>
  <c r="E1747" i="11"/>
  <c r="D1747" i="11"/>
  <c r="W1746" i="11"/>
  <c r="K1746" i="11"/>
  <c r="E1746" i="11"/>
  <c r="D1746" i="11"/>
  <c r="W1745" i="11"/>
  <c r="K1745" i="11"/>
  <c r="E1745" i="11"/>
  <c r="D1745" i="11"/>
  <c r="W1744" i="11"/>
  <c r="K1744" i="11"/>
  <c r="E1744" i="11"/>
  <c r="D1744" i="11"/>
  <c r="W1743" i="11"/>
  <c r="K1743" i="11"/>
  <c r="E1743" i="11"/>
  <c r="D1743" i="11"/>
  <c r="W1742" i="11"/>
  <c r="K1742" i="11"/>
  <c r="E1742" i="11"/>
  <c r="D1742" i="11"/>
  <c r="W1741" i="11"/>
  <c r="K1741" i="11"/>
  <c r="E1741" i="11"/>
  <c r="D1741" i="11"/>
  <c r="W1740" i="11"/>
  <c r="K1740" i="11"/>
  <c r="E1740" i="11"/>
  <c r="D1740" i="11"/>
  <c r="W1739" i="11"/>
  <c r="K1739" i="11"/>
  <c r="E1739" i="11"/>
  <c r="D1739" i="11"/>
  <c r="W1738" i="11"/>
  <c r="K1738" i="11"/>
  <c r="E1738" i="11"/>
  <c r="D1738" i="11"/>
  <c r="W1737" i="11"/>
  <c r="K1737" i="11"/>
  <c r="E1737" i="11"/>
  <c r="D1737" i="11"/>
  <c r="W1736" i="11"/>
  <c r="K1736" i="11"/>
  <c r="E1736" i="11"/>
  <c r="D1736" i="11"/>
  <c r="W1735" i="11"/>
  <c r="K1735" i="11"/>
  <c r="E1735" i="11"/>
  <c r="D1735" i="11"/>
  <c r="W1734" i="11"/>
  <c r="K1734" i="11"/>
  <c r="E1734" i="11"/>
  <c r="D1734" i="11"/>
  <c r="W1733" i="11"/>
  <c r="K1733" i="11"/>
  <c r="E1733" i="11"/>
  <c r="D1733" i="11"/>
  <c r="W1732" i="11"/>
  <c r="K1732" i="11"/>
  <c r="E1732" i="11"/>
  <c r="D1732" i="11"/>
  <c r="W1731" i="11"/>
  <c r="K1731" i="11"/>
  <c r="E1731" i="11"/>
  <c r="D1731" i="11"/>
  <c r="W1730" i="11"/>
  <c r="K1730" i="11"/>
  <c r="E1730" i="11"/>
  <c r="D1730" i="11"/>
  <c r="W1729" i="11"/>
  <c r="K1729" i="11"/>
  <c r="E1729" i="11"/>
  <c r="D1729" i="11"/>
  <c r="W1728" i="11"/>
  <c r="K1728" i="11"/>
  <c r="E1728" i="11"/>
  <c r="D1728" i="11"/>
  <c r="W1727" i="11"/>
  <c r="K1727" i="11"/>
  <c r="E1727" i="11"/>
  <c r="D1727" i="11"/>
  <c r="W1726" i="11"/>
  <c r="K1726" i="11"/>
  <c r="E1726" i="11"/>
  <c r="D1726" i="11"/>
  <c r="W1725" i="11"/>
  <c r="K1725" i="11"/>
  <c r="E1725" i="11"/>
  <c r="D1725" i="11"/>
  <c r="W1724" i="11"/>
  <c r="K1724" i="11"/>
  <c r="E1724" i="11"/>
  <c r="D1724" i="11"/>
  <c r="W1723" i="11"/>
  <c r="K1723" i="11"/>
  <c r="E1723" i="11"/>
  <c r="D1723" i="11"/>
  <c r="W1722" i="11"/>
  <c r="K1722" i="11"/>
  <c r="E1722" i="11"/>
  <c r="D1722" i="11"/>
  <c r="W1721" i="11"/>
  <c r="K1721" i="11"/>
  <c r="E1721" i="11"/>
  <c r="D1721" i="11"/>
  <c r="W1720" i="11"/>
  <c r="K1720" i="11"/>
  <c r="E1720" i="11"/>
  <c r="D1720" i="11"/>
  <c r="W1719" i="11"/>
  <c r="K1719" i="11"/>
  <c r="E1719" i="11"/>
  <c r="D1719" i="11"/>
  <c r="W1718" i="11"/>
  <c r="K1718" i="11"/>
  <c r="E1718" i="11"/>
  <c r="D1718" i="11"/>
  <c r="W1717" i="11"/>
  <c r="K1717" i="11"/>
  <c r="E1717" i="11"/>
  <c r="D1717" i="11"/>
  <c r="W1716" i="11"/>
  <c r="K1716" i="11"/>
  <c r="E1716" i="11"/>
  <c r="D1716" i="11"/>
  <c r="W1715" i="11"/>
  <c r="K1715" i="11"/>
  <c r="E1715" i="11"/>
  <c r="D1715" i="11"/>
  <c r="W1714" i="11"/>
  <c r="K1714" i="11"/>
  <c r="E1714" i="11"/>
  <c r="D1714" i="11"/>
  <c r="W1713" i="11"/>
  <c r="K1713" i="11"/>
  <c r="E1713" i="11"/>
  <c r="D1713" i="11"/>
  <c r="W1712" i="11"/>
  <c r="K1712" i="11"/>
  <c r="E1712" i="11"/>
  <c r="D1712" i="11"/>
  <c r="W1711" i="11"/>
  <c r="K1711" i="11"/>
  <c r="E1711" i="11"/>
  <c r="D1711" i="11"/>
  <c r="W1710" i="11"/>
  <c r="K1710" i="11"/>
  <c r="E1710" i="11"/>
  <c r="D1710" i="11"/>
  <c r="W1709" i="11"/>
  <c r="K1709" i="11"/>
  <c r="E1709" i="11"/>
  <c r="D1709" i="11"/>
  <c r="W1708" i="11"/>
  <c r="K1708" i="11"/>
  <c r="E1708" i="11"/>
  <c r="D1708" i="11"/>
  <c r="W1707" i="11"/>
  <c r="K1707" i="11"/>
  <c r="E1707" i="11"/>
  <c r="D1707" i="11"/>
  <c r="W1706" i="11"/>
  <c r="K1706" i="11"/>
  <c r="E1706" i="11"/>
  <c r="D1706" i="11"/>
  <c r="W1705" i="11"/>
  <c r="K1705" i="11"/>
  <c r="E1705" i="11"/>
  <c r="D1705" i="11"/>
  <c r="W1704" i="11"/>
  <c r="K1704" i="11"/>
  <c r="E1704" i="11"/>
  <c r="D1704" i="11"/>
  <c r="W1703" i="11"/>
  <c r="K1703" i="11"/>
  <c r="E1703" i="11"/>
  <c r="D1703" i="11"/>
  <c r="W1702" i="11"/>
  <c r="K1702" i="11"/>
  <c r="E1702" i="11"/>
  <c r="D1702" i="11"/>
  <c r="W1701" i="11"/>
  <c r="K1701" i="11"/>
  <c r="E1701" i="11"/>
  <c r="D1701" i="11"/>
  <c r="W1700" i="11"/>
  <c r="K1700" i="11"/>
  <c r="E1700" i="11"/>
  <c r="D1700" i="11"/>
  <c r="W1699" i="11"/>
  <c r="K1699" i="11"/>
  <c r="E1699" i="11"/>
  <c r="D1699" i="11"/>
  <c r="W1698" i="11"/>
  <c r="K1698" i="11"/>
  <c r="E1698" i="11"/>
  <c r="D1698" i="11"/>
  <c r="W1697" i="11"/>
  <c r="K1697" i="11"/>
  <c r="E1697" i="11"/>
  <c r="D1697" i="11"/>
  <c r="W1696" i="11"/>
  <c r="K1696" i="11"/>
  <c r="E1696" i="11"/>
  <c r="D1696" i="11"/>
  <c r="W1695" i="11"/>
  <c r="K1695" i="11"/>
  <c r="E1695" i="11"/>
  <c r="D1695" i="11"/>
  <c r="W1694" i="11"/>
  <c r="K1694" i="11"/>
  <c r="E1694" i="11"/>
  <c r="D1694" i="11"/>
  <c r="W1693" i="11"/>
  <c r="K1693" i="11"/>
  <c r="E1693" i="11"/>
  <c r="D1693" i="11"/>
  <c r="W1692" i="11"/>
  <c r="K1692" i="11"/>
  <c r="E1692" i="11"/>
  <c r="D1692" i="11"/>
  <c r="W1691" i="11"/>
  <c r="K1691" i="11"/>
  <c r="E1691" i="11"/>
  <c r="D1691" i="11"/>
  <c r="W1690" i="11"/>
  <c r="K1690" i="11"/>
  <c r="E1690" i="11"/>
  <c r="D1690" i="11"/>
  <c r="W1689" i="11"/>
  <c r="K1689" i="11"/>
  <c r="E1689" i="11"/>
  <c r="D1689" i="11"/>
  <c r="W1688" i="11"/>
  <c r="K1688" i="11"/>
  <c r="E1688" i="11"/>
  <c r="D1688" i="11"/>
  <c r="W1687" i="11"/>
  <c r="K1687" i="11"/>
  <c r="E1687" i="11"/>
  <c r="D1687" i="11"/>
  <c r="W1686" i="11"/>
  <c r="K1686" i="11"/>
  <c r="E1686" i="11"/>
  <c r="D1686" i="11"/>
  <c r="W1685" i="11"/>
  <c r="K1685" i="11"/>
  <c r="E1685" i="11"/>
  <c r="D1685" i="11"/>
  <c r="W1684" i="11"/>
  <c r="K1684" i="11"/>
  <c r="E1684" i="11"/>
  <c r="D1684" i="11"/>
  <c r="W1683" i="11"/>
  <c r="K1683" i="11"/>
  <c r="E1683" i="11"/>
  <c r="D1683" i="11"/>
  <c r="W1682" i="11"/>
  <c r="K1682" i="11"/>
  <c r="E1682" i="11"/>
  <c r="D1682" i="11"/>
  <c r="W1681" i="11"/>
  <c r="K1681" i="11"/>
  <c r="E1681" i="11"/>
  <c r="D1681" i="11"/>
  <c r="W1680" i="11"/>
  <c r="K1680" i="11"/>
  <c r="E1680" i="11"/>
  <c r="D1680" i="11"/>
  <c r="W1679" i="11"/>
  <c r="K1679" i="11"/>
  <c r="E1679" i="11"/>
  <c r="D1679" i="11"/>
  <c r="W1678" i="11"/>
  <c r="K1678" i="11"/>
  <c r="E1678" i="11"/>
  <c r="D1678" i="11"/>
  <c r="W1677" i="11"/>
  <c r="K1677" i="11"/>
  <c r="E1677" i="11"/>
  <c r="D1677" i="11"/>
  <c r="W1676" i="11"/>
  <c r="K1676" i="11"/>
  <c r="E1676" i="11"/>
  <c r="D1676" i="11"/>
  <c r="W1675" i="11"/>
  <c r="K1675" i="11"/>
  <c r="E1675" i="11"/>
  <c r="D1675" i="11"/>
  <c r="W1674" i="11"/>
  <c r="K1674" i="11"/>
  <c r="E1674" i="11"/>
  <c r="D1674" i="11"/>
  <c r="W1673" i="11"/>
  <c r="K1673" i="11"/>
  <c r="E1673" i="11"/>
  <c r="D1673" i="11"/>
  <c r="W1672" i="11"/>
  <c r="K1672" i="11"/>
  <c r="E1672" i="11"/>
  <c r="D1672" i="11"/>
  <c r="W1671" i="11"/>
  <c r="K1671" i="11"/>
  <c r="E1671" i="11"/>
  <c r="D1671" i="11"/>
  <c r="W1670" i="11"/>
  <c r="K1670" i="11"/>
  <c r="E1670" i="11"/>
  <c r="D1670" i="11"/>
  <c r="W1669" i="11"/>
  <c r="K1669" i="11"/>
  <c r="E1669" i="11"/>
  <c r="D1669" i="11"/>
  <c r="W1668" i="11"/>
  <c r="K1668" i="11"/>
  <c r="E1668" i="11"/>
  <c r="D1668" i="11"/>
  <c r="W1667" i="11"/>
  <c r="K1667" i="11"/>
  <c r="E1667" i="11"/>
  <c r="D1667" i="11"/>
  <c r="W1666" i="11"/>
  <c r="K1666" i="11"/>
  <c r="E1666" i="11"/>
  <c r="D1666" i="11"/>
  <c r="W1665" i="11"/>
  <c r="K1665" i="11"/>
  <c r="E1665" i="11"/>
  <c r="D1665" i="11"/>
  <c r="W1664" i="11"/>
  <c r="K1664" i="11"/>
  <c r="E1664" i="11"/>
  <c r="D1664" i="11"/>
  <c r="W1663" i="11"/>
  <c r="K1663" i="11"/>
  <c r="E1663" i="11"/>
  <c r="D1663" i="11"/>
  <c r="W1662" i="11"/>
  <c r="K1662" i="11"/>
  <c r="E1662" i="11"/>
  <c r="D1662" i="11"/>
  <c r="W1661" i="11"/>
  <c r="K1661" i="11"/>
  <c r="E1661" i="11"/>
  <c r="D1661" i="11"/>
  <c r="W1660" i="11"/>
  <c r="K1660" i="11"/>
  <c r="E1660" i="11"/>
  <c r="D1660" i="11"/>
  <c r="W1659" i="11"/>
  <c r="K1659" i="11"/>
  <c r="E1659" i="11"/>
  <c r="D1659" i="11"/>
  <c r="W1658" i="11"/>
  <c r="K1658" i="11"/>
  <c r="E1658" i="11"/>
  <c r="D1658" i="11"/>
  <c r="W1657" i="11"/>
  <c r="K1657" i="11"/>
  <c r="E1657" i="11"/>
  <c r="D1657" i="11"/>
  <c r="W1656" i="11"/>
  <c r="K1656" i="11"/>
  <c r="E1656" i="11"/>
  <c r="D1656" i="11"/>
  <c r="W1655" i="11"/>
  <c r="K1655" i="11"/>
  <c r="E1655" i="11"/>
  <c r="D1655" i="11"/>
  <c r="W1654" i="11"/>
  <c r="K1654" i="11"/>
  <c r="E1654" i="11"/>
  <c r="D1654" i="11"/>
  <c r="W1653" i="11"/>
  <c r="K1653" i="11"/>
  <c r="E1653" i="11"/>
  <c r="D1653" i="11"/>
  <c r="W1652" i="11"/>
  <c r="K1652" i="11"/>
  <c r="E1652" i="11"/>
  <c r="D1652" i="11"/>
  <c r="W1651" i="11"/>
  <c r="K1651" i="11"/>
  <c r="E1651" i="11"/>
  <c r="D1651" i="11"/>
  <c r="W1650" i="11"/>
  <c r="K1650" i="11"/>
  <c r="E1650" i="11"/>
  <c r="D1650" i="11"/>
  <c r="W1649" i="11"/>
  <c r="K1649" i="11"/>
  <c r="E1649" i="11"/>
  <c r="D1649" i="11"/>
  <c r="W1648" i="11"/>
  <c r="K1648" i="11"/>
  <c r="E1648" i="11"/>
  <c r="D1648" i="11"/>
  <c r="W1647" i="11"/>
  <c r="K1647" i="11"/>
  <c r="E1647" i="11"/>
  <c r="D1647" i="11"/>
  <c r="W1646" i="11"/>
  <c r="K1646" i="11"/>
  <c r="E1646" i="11"/>
  <c r="D1646" i="11"/>
  <c r="W1645" i="11"/>
  <c r="K1645" i="11"/>
  <c r="E1645" i="11"/>
  <c r="D1645" i="11"/>
  <c r="W1644" i="11"/>
  <c r="K1644" i="11"/>
  <c r="E1644" i="11"/>
  <c r="D1644" i="11"/>
  <c r="W1643" i="11"/>
  <c r="K1643" i="11"/>
  <c r="E1643" i="11"/>
  <c r="D1643" i="11"/>
  <c r="W1642" i="11"/>
  <c r="K1642" i="11"/>
  <c r="E1642" i="11"/>
  <c r="D1642" i="11"/>
  <c r="W1641" i="11"/>
  <c r="K1641" i="11"/>
  <c r="E1641" i="11"/>
  <c r="D1641" i="11"/>
  <c r="W1640" i="11"/>
  <c r="K1640" i="11"/>
  <c r="E1640" i="11"/>
  <c r="D1640" i="11"/>
  <c r="W1639" i="11"/>
  <c r="K1639" i="11"/>
  <c r="E1639" i="11"/>
  <c r="D1639" i="11"/>
  <c r="W1638" i="11"/>
  <c r="K1638" i="11"/>
  <c r="E1638" i="11"/>
  <c r="D1638" i="11"/>
  <c r="W1637" i="11"/>
  <c r="K1637" i="11"/>
  <c r="E1637" i="11"/>
  <c r="D1637" i="11"/>
  <c r="W1636" i="11"/>
  <c r="K1636" i="11"/>
  <c r="E1636" i="11"/>
  <c r="D1636" i="11"/>
  <c r="W1635" i="11"/>
  <c r="K1635" i="11"/>
  <c r="E1635" i="11"/>
  <c r="D1635" i="11"/>
  <c r="W1634" i="11"/>
  <c r="K1634" i="11"/>
  <c r="E1634" i="11"/>
  <c r="D1634" i="11"/>
  <c r="W1633" i="11"/>
  <c r="K1633" i="11"/>
  <c r="E1633" i="11"/>
  <c r="D1633" i="11"/>
  <c r="W1632" i="11"/>
  <c r="K1632" i="11"/>
  <c r="E1632" i="11"/>
  <c r="D1632" i="11"/>
  <c r="W1631" i="11"/>
  <c r="K1631" i="11"/>
  <c r="E1631" i="11"/>
  <c r="D1631" i="11"/>
  <c r="W1630" i="11"/>
  <c r="K1630" i="11"/>
  <c r="E1630" i="11"/>
  <c r="D1630" i="11"/>
  <c r="W1629" i="11"/>
  <c r="K1629" i="11"/>
  <c r="E1629" i="11"/>
  <c r="D1629" i="11"/>
  <c r="W1628" i="11"/>
  <c r="K1628" i="11"/>
  <c r="E1628" i="11"/>
  <c r="D1628" i="11"/>
  <c r="W1627" i="11"/>
  <c r="K1627" i="11"/>
  <c r="E1627" i="11"/>
  <c r="D1627" i="11"/>
  <c r="W1626" i="11"/>
  <c r="K1626" i="11"/>
  <c r="E1626" i="11"/>
  <c r="D1626" i="11"/>
  <c r="W1625" i="11"/>
  <c r="K1625" i="11"/>
  <c r="E1625" i="11"/>
  <c r="D1625" i="11"/>
  <c r="W1624" i="11"/>
  <c r="K1624" i="11"/>
  <c r="E1624" i="11"/>
  <c r="D1624" i="11"/>
  <c r="W1623" i="11"/>
  <c r="K1623" i="11"/>
  <c r="E1623" i="11"/>
  <c r="D1623" i="11"/>
  <c r="W1622" i="11"/>
  <c r="K1622" i="11"/>
  <c r="E1622" i="11"/>
  <c r="D1622" i="11"/>
  <c r="W1621" i="11"/>
  <c r="K1621" i="11"/>
  <c r="E1621" i="11"/>
  <c r="D1621" i="11"/>
  <c r="W1620" i="11"/>
  <c r="K1620" i="11"/>
  <c r="E1620" i="11"/>
  <c r="D1620" i="11"/>
  <c r="W1619" i="11"/>
  <c r="K1619" i="11"/>
  <c r="E1619" i="11"/>
  <c r="D1619" i="11"/>
  <c r="W1618" i="11"/>
  <c r="K1618" i="11"/>
  <c r="E1618" i="11"/>
  <c r="D1618" i="11"/>
  <c r="W1617" i="11"/>
  <c r="K1617" i="11"/>
  <c r="E1617" i="11"/>
  <c r="D1617" i="11"/>
  <c r="W1616" i="11"/>
  <c r="K1616" i="11"/>
  <c r="E1616" i="11"/>
  <c r="D1616" i="11"/>
  <c r="W1615" i="11"/>
  <c r="K1615" i="11"/>
  <c r="E1615" i="11"/>
  <c r="D1615" i="11"/>
  <c r="W1614" i="11"/>
  <c r="K1614" i="11"/>
  <c r="E1614" i="11"/>
  <c r="D1614" i="11"/>
  <c r="W1613" i="11"/>
  <c r="K1613" i="11"/>
  <c r="E1613" i="11"/>
  <c r="D1613" i="11"/>
  <c r="W1612" i="11"/>
  <c r="K1612" i="11"/>
  <c r="E1612" i="11"/>
  <c r="D1612" i="11"/>
  <c r="W1611" i="11"/>
  <c r="K1611" i="11"/>
  <c r="E1611" i="11"/>
  <c r="D1611" i="11"/>
  <c r="W1610" i="11"/>
  <c r="K1610" i="11"/>
  <c r="E1610" i="11"/>
  <c r="D1610" i="11"/>
  <c r="W1609" i="11"/>
  <c r="K1609" i="11"/>
  <c r="E1609" i="11"/>
  <c r="D1609" i="11"/>
  <c r="W1608" i="11"/>
  <c r="K1608" i="11"/>
  <c r="E1608" i="11"/>
  <c r="D1608" i="11"/>
  <c r="W1607" i="11"/>
  <c r="K1607" i="11"/>
  <c r="E1607" i="11"/>
  <c r="D1607" i="11"/>
  <c r="W1606" i="11"/>
  <c r="K1606" i="11"/>
  <c r="E1606" i="11"/>
  <c r="D1606" i="11"/>
  <c r="W1605" i="11"/>
  <c r="K1605" i="11"/>
  <c r="E1605" i="11"/>
  <c r="D1605" i="11"/>
  <c r="W1604" i="11"/>
  <c r="K1604" i="11"/>
  <c r="E1604" i="11"/>
  <c r="D1604" i="11"/>
  <c r="W1603" i="11"/>
  <c r="K1603" i="11"/>
  <c r="E1603" i="11"/>
  <c r="D1603" i="11"/>
  <c r="W1602" i="11"/>
  <c r="K1602" i="11"/>
  <c r="E1602" i="11"/>
  <c r="D1602" i="11"/>
  <c r="W1601" i="11"/>
  <c r="K1601" i="11"/>
  <c r="E1601" i="11"/>
  <c r="D1601" i="11"/>
  <c r="W1600" i="11"/>
  <c r="K1600" i="11"/>
  <c r="E1600" i="11"/>
  <c r="D1600" i="11"/>
  <c r="W1599" i="11"/>
  <c r="K1599" i="11"/>
  <c r="E1599" i="11"/>
  <c r="D1599" i="11"/>
  <c r="W1598" i="11"/>
  <c r="K1598" i="11"/>
  <c r="E1598" i="11"/>
  <c r="D1598" i="11"/>
  <c r="W1597" i="11"/>
  <c r="K1597" i="11"/>
  <c r="E1597" i="11"/>
  <c r="D1597" i="11"/>
  <c r="W1596" i="11"/>
  <c r="K1596" i="11"/>
  <c r="E1596" i="11"/>
  <c r="D1596" i="11"/>
  <c r="W1595" i="11"/>
  <c r="K1595" i="11"/>
  <c r="E1595" i="11"/>
  <c r="D1595" i="11"/>
  <c r="W1594" i="11"/>
  <c r="K1594" i="11"/>
  <c r="E1594" i="11"/>
  <c r="D1594" i="11"/>
  <c r="W1593" i="11"/>
  <c r="K1593" i="11"/>
  <c r="E1593" i="11"/>
  <c r="D1593" i="11"/>
  <c r="W1592" i="11"/>
  <c r="K1592" i="11"/>
  <c r="E1592" i="11"/>
  <c r="D1592" i="11"/>
  <c r="W1591" i="11"/>
  <c r="K1591" i="11"/>
  <c r="E1591" i="11"/>
  <c r="D1591" i="11"/>
  <c r="W1590" i="11"/>
  <c r="K1590" i="11"/>
  <c r="E1590" i="11"/>
  <c r="D1590" i="11"/>
  <c r="W1589" i="11"/>
  <c r="K1589" i="11"/>
  <c r="E1589" i="11"/>
  <c r="D1589" i="11"/>
  <c r="W1588" i="11"/>
  <c r="K1588" i="11"/>
  <c r="E1588" i="11"/>
  <c r="D1588" i="11"/>
  <c r="W1587" i="11"/>
  <c r="K1587" i="11"/>
  <c r="E1587" i="11"/>
  <c r="D1587" i="11"/>
  <c r="W1586" i="11"/>
  <c r="K1586" i="11"/>
  <c r="E1586" i="11"/>
  <c r="D1586" i="11"/>
  <c r="W1585" i="11"/>
  <c r="K1585" i="11"/>
  <c r="E1585" i="11"/>
  <c r="D1585" i="11"/>
  <c r="W1584" i="11"/>
  <c r="K1584" i="11"/>
  <c r="E1584" i="11"/>
  <c r="D1584" i="11"/>
  <c r="W1583" i="11"/>
  <c r="K1583" i="11"/>
  <c r="E1583" i="11"/>
  <c r="D1583" i="11"/>
  <c r="W1582" i="11"/>
  <c r="K1582" i="11"/>
  <c r="E1582" i="11"/>
  <c r="D1582" i="11"/>
  <c r="W1581" i="11"/>
  <c r="K1581" i="11"/>
  <c r="E1581" i="11"/>
  <c r="D1581" i="11"/>
  <c r="W1580" i="11"/>
  <c r="K1580" i="11"/>
  <c r="E1580" i="11"/>
  <c r="D1580" i="11"/>
  <c r="W1579" i="11"/>
  <c r="K1579" i="11"/>
  <c r="E1579" i="11"/>
  <c r="D1579" i="11"/>
  <c r="W1578" i="11"/>
  <c r="K1578" i="11"/>
  <c r="E1578" i="11"/>
  <c r="D1578" i="11"/>
  <c r="W1577" i="11"/>
  <c r="K1577" i="11"/>
  <c r="E1577" i="11"/>
  <c r="D1577" i="11"/>
  <c r="W1576" i="11"/>
  <c r="K1576" i="11"/>
  <c r="E1576" i="11"/>
  <c r="D1576" i="11"/>
  <c r="W1575" i="11"/>
  <c r="K1575" i="11"/>
  <c r="E1575" i="11"/>
  <c r="D1575" i="11"/>
  <c r="W1574" i="11"/>
  <c r="K1574" i="11"/>
  <c r="E1574" i="11"/>
  <c r="D1574" i="11"/>
  <c r="W1573" i="11"/>
  <c r="K1573" i="11"/>
  <c r="E1573" i="11"/>
  <c r="D1573" i="11"/>
  <c r="W1572" i="11"/>
  <c r="K1572" i="11"/>
  <c r="E1572" i="11"/>
  <c r="D1572" i="11"/>
  <c r="W1571" i="11"/>
  <c r="K1571" i="11"/>
  <c r="E1571" i="11"/>
  <c r="D1571" i="11"/>
  <c r="W1570" i="11"/>
  <c r="K1570" i="11"/>
  <c r="E1570" i="11"/>
  <c r="D1570" i="11"/>
  <c r="W1569" i="11"/>
  <c r="K1569" i="11"/>
  <c r="E1569" i="11"/>
  <c r="D1569" i="11"/>
  <c r="W1568" i="11"/>
  <c r="K1568" i="11"/>
  <c r="E1568" i="11"/>
  <c r="D1568" i="11"/>
  <c r="W1567" i="11"/>
  <c r="K1567" i="11"/>
  <c r="E1567" i="11"/>
  <c r="D1567" i="11"/>
  <c r="W1566" i="11"/>
  <c r="K1566" i="11"/>
  <c r="E1566" i="11"/>
  <c r="D1566" i="11"/>
  <c r="W1565" i="11"/>
  <c r="K1565" i="11"/>
  <c r="E1565" i="11"/>
  <c r="D1565" i="11"/>
  <c r="W1564" i="11"/>
  <c r="K1564" i="11"/>
  <c r="E1564" i="11"/>
  <c r="D1564" i="11"/>
  <c r="W1563" i="11"/>
  <c r="K1563" i="11"/>
  <c r="E1563" i="11"/>
  <c r="D1563" i="11"/>
  <c r="W1562" i="11"/>
  <c r="K1562" i="11"/>
  <c r="E1562" i="11"/>
  <c r="D1562" i="11"/>
  <c r="W1561" i="11"/>
  <c r="K1561" i="11"/>
  <c r="E1561" i="11"/>
  <c r="D1561" i="11"/>
  <c r="W1560" i="11"/>
  <c r="K1560" i="11"/>
  <c r="E1560" i="11"/>
  <c r="D1560" i="11"/>
  <c r="W1559" i="11"/>
  <c r="K1559" i="11"/>
  <c r="E1559" i="11"/>
  <c r="D1559" i="11"/>
  <c r="W1558" i="11"/>
  <c r="K1558" i="11"/>
  <c r="E1558" i="11"/>
  <c r="D1558" i="11"/>
  <c r="W1557" i="11"/>
  <c r="K1557" i="11"/>
  <c r="E1557" i="11"/>
  <c r="D1557" i="11"/>
  <c r="W1556" i="11"/>
  <c r="K1556" i="11"/>
  <c r="E1556" i="11"/>
  <c r="D1556" i="11"/>
  <c r="W1555" i="11"/>
  <c r="K1555" i="11"/>
  <c r="E1555" i="11"/>
  <c r="D1555" i="11"/>
  <c r="W1554" i="11"/>
  <c r="K1554" i="11"/>
  <c r="E1554" i="11"/>
  <c r="D1554" i="11"/>
  <c r="W1553" i="11"/>
  <c r="K1553" i="11"/>
  <c r="E1553" i="11"/>
  <c r="D1553" i="11"/>
  <c r="W1552" i="11"/>
  <c r="K1552" i="11"/>
  <c r="E1552" i="11"/>
  <c r="D1552" i="11"/>
  <c r="W1551" i="11"/>
  <c r="K1551" i="11"/>
  <c r="E1551" i="11"/>
  <c r="D1551" i="11"/>
  <c r="W1550" i="11"/>
  <c r="K1550" i="11"/>
  <c r="E1550" i="11"/>
  <c r="D1550" i="11"/>
  <c r="W1549" i="11"/>
  <c r="K1549" i="11"/>
  <c r="E1549" i="11"/>
  <c r="D1549" i="11"/>
  <c r="W1548" i="11"/>
  <c r="K1548" i="11"/>
  <c r="E1548" i="11"/>
  <c r="D1548" i="11"/>
  <c r="W1547" i="11"/>
  <c r="K1547" i="11"/>
  <c r="E1547" i="11"/>
  <c r="D1547" i="11"/>
  <c r="W1546" i="11"/>
  <c r="K1546" i="11"/>
  <c r="E1546" i="11"/>
  <c r="D1546" i="11"/>
  <c r="W1545" i="11"/>
  <c r="K1545" i="11"/>
  <c r="E1545" i="11"/>
  <c r="D1545" i="11"/>
  <c r="W1544" i="11"/>
  <c r="K1544" i="11"/>
  <c r="E1544" i="11"/>
  <c r="D1544" i="11"/>
  <c r="W1543" i="11"/>
  <c r="K1543" i="11"/>
  <c r="E1543" i="11"/>
  <c r="D1543" i="11"/>
  <c r="W1542" i="11"/>
  <c r="K1542" i="11"/>
  <c r="E1542" i="11"/>
  <c r="D1542" i="11"/>
  <c r="W1541" i="11"/>
  <c r="K1541" i="11"/>
  <c r="E1541" i="11"/>
  <c r="D1541" i="11"/>
  <c r="W1540" i="11"/>
  <c r="K1540" i="11"/>
  <c r="E1540" i="11"/>
  <c r="D1540" i="11"/>
  <c r="W1539" i="11"/>
  <c r="K1539" i="11"/>
  <c r="E1539" i="11"/>
  <c r="D1539" i="11"/>
  <c r="W1538" i="11"/>
  <c r="K1538" i="11"/>
  <c r="E1538" i="11"/>
  <c r="D1538" i="11"/>
  <c r="W1537" i="11"/>
  <c r="K1537" i="11"/>
  <c r="E1537" i="11"/>
  <c r="D1537" i="11"/>
  <c r="W1536" i="11"/>
  <c r="K1536" i="11"/>
  <c r="E1536" i="11"/>
  <c r="D1536" i="11"/>
  <c r="W1535" i="11"/>
  <c r="K1535" i="11"/>
  <c r="E1535" i="11"/>
  <c r="D1535" i="11"/>
  <c r="W1534" i="11"/>
  <c r="K1534" i="11"/>
  <c r="E1534" i="11"/>
  <c r="D1534" i="11"/>
  <c r="W1533" i="11"/>
  <c r="K1533" i="11"/>
  <c r="E1533" i="11"/>
  <c r="D1533" i="11"/>
  <c r="W1532" i="11"/>
  <c r="K1532" i="11"/>
  <c r="E1532" i="11"/>
  <c r="D1532" i="11"/>
  <c r="W1531" i="11"/>
  <c r="K1531" i="11"/>
  <c r="E1531" i="11"/>
  <c r="D1531" i="11"/>
  <c r="W1530" i="11"/>
  <c r="K1530" i="11"/>
  <c r="E1530" i="11"/>
  <c r="D1530" i="11"/>
  <c r="W1529" i="11"/>
  <c r="K1529" i="11"/>
  <c r="E1529" i="11"/>
  <c r="D1529" i="11"/>
  <c r="W1528" i="11"/>
  <c r="K1528" i="11"/>
  <c r="E1528" i="11"/>
  <c r="D1528" i="11"/>
  <c r="W1527" i="11"/>
  <c r="K1527" i="11"/>
  <c r="E1527" i="11"/>
  <c r="D1527" i="11"/>
  <c r="W1526" i="11"/>
  <c r="K1526" i="11"/>
  <c r="E1526" i="11"/>
  <c r="D1526" i="11"/>
  <c r="W1525" i="11"/>
  <c r="K1525" i="11"/>
  <c r="E1525" i="11"/>
  <c r="D1525" i="11"/>
  <c r="W1524" i="11"/>
  <c r="K1524" i="11"/>
  <c r="E1524" i="11"/>
  <c r="D1524" i="11"/>
  <c r="W1523" i="11"/>
  <c r="K1523" i="11"/>
  <c r="E1523" i="11"/>
  <c r="D1523" i="11"/>
  <c r="W1522" i="11"/>
  <c r="K1522" i="11"/>
  <c r="E1522" i="11"/>
  <c r="D1522" i="11"/>
  <c r="W1521" i="11"/>
  <c r="K1521" i="11"/>
  <c r="E1521" i="11"/>
  <c r="D1521" i="11"/>
  <c r="W1520" i="11"/>
  <c r="K1520" i="11"/>
  <c r="E1520" i="11"/>
  <c r="D1520" i="11"/>
  <c r="W1519" i="11"/>
  <c r="K1519" i="11"/>
  <c r="E1519" i="11"/>
  <c r="D1519" i="11"/>
  <c r="W1518" i="11"/>
  <c r="K1518" i="11"/>
  <c r="E1518" i="11"/>
  <c r="D1518" i="11"/>
  <c r="W1517" i="11"/>
  <c r="K1517" i="11"/>
  <c r="E1517" i="11"/>
  <c r="D1517" i="11"/>
  <c r="W1516" i="11"/>
  <c r="K1516" i="11"/>
  <c r="E1516" i="11"/>
  <c r="D1516" i="11"/>
  <c r="W1515" i="11"/>
  <c r="K1515" i="11"/>
  <c r="E1515" i="11"/>
  <c r="D1515" i="11"/>
  <c r="W1514" i="11"/>
  <c r="K1514" i="11"/>
  <c r="E1514" i="11"/>
  <c r="D1514" i="11"/>
  <c r="W1513" i="11"/>
  <c r="K1513" i="11"/>
  <c r="E1513" i="11"/>
  <c r="D1513" i="11"/>
  <c r="W1512" i="11"/>
  <c r="K1512" i="11"/>
  <c r="E1512" i="11"/>
  <c r="D1512" i="11"/>
  <c r="W1511" i="11"/>
  <c r="K1511" i="11"/>
  <c r="E1511" i="11"/>
  <c r="D1511" i="11"/>
  <c r="W1510" i="11"/>
  <c r="K1510" i="11"/>
  <c r="E1510" i="11"/>
  <c r="D1510" i="11"/>
  <c r="W1509" i="11"/>
  <c r="K1509" i="11"/>
  <c r="E1509" i="11"/>
  <c r="D1509" i="11"/>
  <c r="W1508" i="11"/>
  <c r="K1508" i="11"/>
  <c r="E1508" i="11"/>
  <c r="D1508" i="11"/>
  <c r="W1507" i="11"/>
  <c r="K1507" i="11"/>
  <c r="E1507" i="11"/>
  <c r="D1507" i="11"/>
  <c r="W1506" i="11"/>
  <c r="K1506" i="11"/>
  <c r="E1506" i="11"/>
  <c r="D1506" i="11"/>
  <c r="W1505" i="11"/>
  <c r="K1505" i="11"/>
  <c r="E1505" i="11"/>
  <c r="D1505" i="11"/>
  <c r="W1504" i="11"/>
  <c r="K1504" i="11"/>
  <c r="E1504" i="11"/>
  <c r="D1504" i="11"/>
  <c r="W1503" i="11"/>
  <c r="K1503" i="11"/>
  <c r="E1503" i="11"/>
  <c r="D1503" i="11"/>
  <c r="W1502" i="11"/>
  <c r="K1502" i="11"/>
  <c r="E1502" i="11"/>
  <c r="D1502" i="11"/>
  <c r="W1501" i="11"/>
  <c r="K1501" i="11"/>
  <c r="E1501" i="11"/>
  <c r="D1501" i="11"/>
  <c r="W1500" i="11"/>
  <c r="K1500" i="11"/>
  <c r="E1500" i="11"/>
  <c r="D1500" i="11"/>
  <c r="W1499" i="11"/>
  <c r="K1499" i="11"/>
  <c r="E1499" i="11"/>
  <c r="D1499" i="11"/>
  <c r="W1498" i="11"/>
  <c r="K1498" i="11"/>
  <c r="E1498" i="11"/>
  <c r="D1498" i="11"/>
  <c r="W1497" i="11"/>
  <c r="K1497" i="11"/>
  <c r="E1497" i="11"/>
  <c r="D1497" i="11"/>
  <c r="W1496" i="11"/>
  <c r="K1496" i="11"/>
  <c r="E1496" i="11"/>
  <c r="D1496" i="11"/>
  <c r="W1495" i="11"/>
  <c r="K1495" i="11"/>
  <c r="E1495" i="11"/>
  <c r="D1495" i="11"/>
  <c r="W1494" i="11"/>
  <c r="K1494" i="11"/>
  <c r="E1494" i="11"/>
  <c r="D1494" i="11"/>
  <c r="W1493" i="11"/>
  <c r="K1493" i="11"/>
  <c r="E1493" i="11"/>
  <c r="D1493" i="11"/>
  <c r="W1492" i="11"/>
  <c r="K1492" i="11"/>
  <c r="E1492" i="11"/>
  <c r="D1492" i="11"/>
  <c r="W1491" i="11"/>
  <c r="K1491" i="11"/>
  <c r="E1491" i="11"/>
  <c r="D1491" i="11"/>
  <c r="W1490" i="11"/>
  <c r="K1490" i="11"/>
  <c r="E1490" i="11"/>
  <c r="D1490" i="11"/>
  <c r="W1489" i="11"/>
  <c r="K1489" i="11"/>
  <c r="E1489" i="11"/>
  <c r="D1489" i="11"/>
  <c r="W1488" i="11"/>
  <c r="K1488" i="11"/>
  <c r="E1488" i="11"/>
  <c r="D1488" i="11"/>
  <c r="W1487" i="11"/>
  <c r="K1487" i="11"/>
  <c r="E1487" i="11"/>
  <c r="D1487" i="11"/>
  <c r="W1486" i="11"/>
  <c r="K1486" i="11"/>
  <c r="E1486" i="11"/>
  <c r="D1486" i="11"/>
  <c r="W1485" i="11"/>
  <c r="K1485" i="11"/>
  <c r="E1485" i="11"/>
  <c r="D1485" i="11"/>
  <c r="W1484" i="11"/>
  <c r="K1484" i="11"/>
  <c r="E1484" i="11"/>
  <c r="D1484" i="11"/>
  <c r="W1483" i="11"/>
  <c r="K1483" i="11"/>
  <c r="E1483" i="11"/>
  <c r="D1483" i="11"/>
  <c r="W1482" i="11"/>
  <c r="K1482" i="11"/>
  <c r="E1482" i="11"/>
  <c r="D1482" i="11"/>
  <c r="W1481" i="11"/>
  <c r="K1481" i="11"/>
  <c r="E1481" i="11"/>
  <c r="D1481" i="11"/>
  <c r="W1480" i="11"/>
  <c r="K1480" i="11"/>
  <c r="E1480" i="11"/>
  <c r="D1480" i="11"/>
  <c r="W1479" i="11"/>
  <c r="K1479" i="11"/>
  <c r="E1479" i="11"/>
  <c r="D1479" i="11"/>
  <c r="W1478" i="11"/>
  <c r="K1478" i="11"/>
  <c r="E1478" i="11"/>
  <c r="D1478" i="11"/>
  <c r="W1477" i="11"/>
  <c r="K1477" i="11"/>
  <c r="E1477" i="11"/>
  <c r="D1477" i="11"/>
  <c r="W1476" i="11"/>
  <c r="K1476" i="11"/>
  <c r="E1476" i="11"/>
  <c r="D1476" i="11"/>
  <c r="W1475" i="11"/>
  <c r="K1475" i="11"/>
  <c r="E1475" i="11"/>
  <c r="D1475" i="11"/>
  <c r="W1474" i="11"/>
  <c r="K1474" i="11"/>
  <c r="E1474" i="11"/>
  <c r="D1474" i="11"/>
  <c r="W1473" i="11"/>
  <c r="K1473" i="11"/>
  <c r="E1473" i="11"/>
  <c r="D1473" i="11"/>
  <c r="W1472" i="11"/>
  <c r="K1472" i="11"/>
  <c r="E1472" i="11"/>
  <c r="D1472" i="11"/>
  <c r="W1471" i="11"/>
  <c r="K1471" i="11"/>
  <c r="E1471" i="11"/>
  <c r="D1471" i="11"/>
  <c r="W1470" i="11"/>
  <c r="K1470" i="11"/>
  <c r="E1470" i="11"/>
  <c r="D1470" i="11"/>
  <c r="W1469" i="11"/>
  <c r="K1469" i="11"/>
  <c r="E1469" i="11"/>
  <c r="D1469" i="11"/>
  <c r="W1468" i="11"/>
  <c r="K1468" i="11"/>
  <c r="E1468" i="11"/>
  <c r="D1468" i="11"/>
  <c r="W1467" i="11"/>
  <c r="K1467" i="11"/>
  <c r="E1467" i="11"/>
  <c r="D1467" i="11"/>
  <c r="W1466" i="11"/>
  <c r="K1466" i="11"/>
  <c r="E1466" i="11"/>
  <c r="D1466" i="11"/>
  <c r="W1465" i="11"/>
  <c r="K1465" i="11"/>
  <c r="E1465" i="11"/>
  <c r="D1465" i="11"/>
  <c r="W1464" i="11"/>
  <c r="K1464" i="11"/>
  <c r="E1464" i="11"/>
  <c r="D1464" i="11"/>
  <c r="W1463" i="11"/>
  <c r="K1463" i="11"/>
  <c r="E1463" i="11"/>
  <c r="D1463" i="11"/>
  <c r="W1462" i="11"/>
  <c r="K1462" i="11"/>
  <c r="E1462" i="11"/>
  <c r="D1462" i="11"/>
  <c r="W1461" i="11"/>
  <c r="K1461" i="11"/>
  <c r="E1461" i="11"/>
  <c r="D1461" i="11"/>
  <c r="W1460" i="11"/>
  <c r="K1460" i="11"/>
  <c r="E1460" i="11"/>
  <c r="D1460" i="11"/>
  <c r="W1459" i="11"/>
  <c r="K1459" i="11"/>
  <c r="E1459" i="11"/>
  <c r="D1459" i="11"/>
  <c r="W1458" i="11"/>
  <c r="K1458" i="11"/>
  <c r="E1458" i="11"/>
  <c r="D1458" i="11"/>
  <c r="W1457" i="11"/>
  <c r="K1457" i="11"/>
  <c r="E1457" i="11"/>
  <c r="D1457" i="11"/>
  <c r="W1456" i="11"/>
  <c r="K1456" i="11"/>
  <c r="E1456" i="11"/>
  <c r="D1456" i="11"/>
  <c r="W1455" i="11"/>
  <c r="K1455" i="11"/>
  <c r="E1455" i="11"/>
  <c r="D1455" i="11"/>
  <c r="W1454" i="11"/>
  <c r="K1454" i="11"/>
  <c r="E1454" i="11"/>
  <c r="D1454" i="11"/>
  <c r="W1453" i="11"/>
  <c r="K1453" i="11"/>
  <c r="E1453" i="11"/>
  <c r="D1453" i="11"/>
  <c r="W1452" i="11"/>
  <c r="K1452" i="11"/>
  <c r="E1452" i="11"/>
  <c r="D1452" i="11"/>
  <c r="W1451" i="11"/>
  <c r="K1451" i="11"/>
  <c r="E1451" i="11"/>
  <c r="D1451" i="11"/>
  <c r="W1450" i="11"/>
  <c r="K1450" i="11"/>
  <c r="E1450" i="11"/>
  <c r="D1450" i="11"/>
  <c r="W1449" i="11"/>
  <c r="K1449" i="11"/>
  <c r="E1449" i="11"/>
  <c r="D1449" i="11"/>
  <c r="W1448" i="11"/>
  <c r="K1448" i="11"/>
  <c r="E1448" i="11"/>
  <c r="D1448" i="11"/>
  <c r="W1447" i="11"/>
  <c r="K1447" i="11"/>
  <c r="E1447" i="11"/>
  <c r="D1447" i="11"/>
  <c r="W1446" i="11"/>
  <c r="K1446" i="11"/>
  <c r="E1446" i="11"/>
  <c r="D1446" i="11"/>
  <c r="W1445" i="11"/>
  <c r="K1445" i="11"/>
  <c r="E1445" i="11"/>
  <c r="D1445" i="11"/>
  <c r="W1444" i="11"/>
  <c r="K1444" i="11"/>
  <c r="E1444" i="11"/>
  <c r="D1444" i="11"/>
  <c r="W1443" i="11"/>
  <c r="K1443" i="11"/>
  <c r="E1443" i="11"/>
  <c r="D1443" i="11"/>
  <c r="W1442" i="11"/>
  <c r="K1442" i="11"/>
  <c r="E1442" i="11"/>
  <c r="D1442" i="11"/>
  <c r="W1441" i="11"/>
  <c r="K1441" i="11"/>
  <c r="E1441" i="11"/>
  <c r="D1441" i="11"/>
  <c r="W1440" i="11"/>
  <c r="K1440" i="11"/>
  <c r="E1440" i="11"/>
  <c r="D1440" i="11"/>
  <c r="W1439" i="11"/>
  <c r="K1439" i="11"/>
  <c r="E1439" i="11"/>
  <c r="D1439" i="11"/>
  <c r="W1438" i="11"/>
  <c r="K1438" i="11"/>
  <c r="E1438" i="11"/>
  <c r="D1438" i="11"/>
  <c r="W1437" i="11"/>
  <c r="K1437" i="11"/>
  <c r="E1437" i="11"/>
  <c r="D1437" i="11"/>
  <c r="W1436" i="11"/>
  <c r="K1436" i="11"/>
  <c r="E1436" i="11"/>
  <c r="D1436" i="11"/>
  <c r="W1435" i="11"/>
  <c r="K1435" i="11"/>
  <c r="E1435" i="11"/>
  <c r="D1435" i="11"/>
  <c r="W1434" i="11"/>
  <c r="K1434" i="11"/>
  <c r="E1434" i="11"/>
  <c r="D1434" i="11"/>
  <c r="W1433" i="11"/>
  <c r="K1433" i="11"/>
  <c r="E1433" i="11"/>
  <c r="D1433" i="11"/>
  <c r="W1432" i="11"/>
  <c r="K1432" i="11"/>
  <c r="E1432" i="11"/>
  <c r="D1432" i="11"/>
  <c r="W1431" i="11"/>
  <c r="K1431" i="11"/>
  <c r="E1431" i="11"/>
  <c r="D1431" i="11"/>
  <c r="W1430" i="11"/>
  <c r="K1430" i="11"/>
  <c r="E1430" i="11"/>
  <c r="D1430" i="11"/>
  <c r="W1429" i="11"/>
  <c r="K1429" i="11"/>
  <c r="E1429" i="11"/>
  <c r="D1429" i="11"/>
  <c r="W1428" i="11"/>
  <c r="K1428" i="11"/>
  <c r="E1428" i="11"/>
  <c r="D1428" i="11"/>
  <c r="W1427" i="11"/>
  <c r="K1427" i="11"/>
  <c r="E1427" i="11"/>
  <c r="D1427" i="11"/>
  <c r="W1426" i="11"/>
  <c r="K1426" i="11"/>
  <c r="E1426" i="11"/>
  <c r="D1426" i="11"/>
  <c r="W1425" i="11"/>
  <c r="K1425" i="11"/>
  <c r="E1425" i="11"/>
  <c r="D1425" i="11"/>
  <c r="W1424" i="11"/>
  <c r="K1424" i="11"/>
  <c r="E1424" i="11"/>
  <c r="D1424" i="11"/>
  <c r="W1423" i="11"/>
  <c r="K1423" i="11"/>
  <c r="E1423" i="11"/>
  <c r="D1423" i="11"/>
  <c r="W1422" i="11"/>
  <c r="K1422" i="11"/>
  <c r="E1422" i="11"/>
  <c r="D1422" i="11"/>
  <c r="W1421" i="11"/>
  <c r="K1421" i="11"/>
  <c r="E1421" i="11"/>
  <c r="D1421" i="11"/>
  <c r="W1420" i="11"/>
  <c r="K1420" i="11"/>
  <c r="E1420" i="11"/>
  <c r="D1420" i="11"/>
  <c r="W1419" i="11"/>
  <c r="K1419" i="11"/>
  <c r="E1419" i="11"/>
  <c r="D1419" i="11"/>
  <c r="W1418" i="11"/>
  <c r="K1418" i="11"/>
  <c r="E1418" i="11"/>
  <c r="D1418" i="11"/>
  <c r="W1417" i="11"/>
  <c r="K1417" i="11"/>
  <c r="E1417" i="11"/>
  <c r="D1417" i="11"/>
  <c r="W1416" i="11"/>
  <c r="K1416" i="11"/>
  <c r="E1416" i="11"/>
  <c r="D1416" i="11"/>
  <c r="W1415" i="11"/>
  <c r="K1415" i="11"/>
  <c r="E1415" i="11"/>
  <c r="D1415" i="11"/>
  <c r="W1414" i="11"/>
  <c r="K1414" i="11"/>
  <c r="E1414" i="11"/>
  <c r="D1414" i="11"/>
  <c r="W1413" i="11"/>
  <c r="K1413" i="11"/>
  <c r="E1413" i="11"/>
  <c r="D1413" i="11"/>
  <c r="W1412" i="11"/>
  <c r="K1412" i="11"/>
  <c r="E1412" i="11"/>
  <c r="D1412" i="11"/>
  <c r="W1411" i="11"/>
  <c r="K1411" i="11"/>
  <c r="E1411" i="11"/>
  <c r="D1411" i="11"/>
  <c r="W1410" i="11"/>
  <c r="K1410" i="11"/>
  <c r="E1410" i="11"/>
  <c r="D1410" i="11"/>
  <c r="W1409" i="11"/>
  <c r="K1409" i="11"/>
  <c r="E1409" i="11"/>
  <c r="D1409" i="11"/>
  <c r="W1408" i="11"/>
  <c r="K1408" i="11"/>
  <c r="E1408" i="11"/>
  <c r="D1408" i="11"/>
  <c r="W1407" i="11"/>
  <c r="K1407" i="11"/>
  <c r="E1407" i="11"/>
  <c r="D1407" i="11"/>
  <c r="W1406" i="11"/>
  <c r="K1406" i="11"/>
  <c r="E1406" i="11"/>
  <c r="D1406" i="11"/>
  <c r="W1405" i="11"/>
  <c r="K1405" i="11"/>
  <c r="E1405" i="11"/>
  <c r="D1405" i="11"/>
  <c r="W1404" i="11"/>
  <c r="K1404" i="11"/>
  <c r="E1404" i="11"/>
  <c r="D1404" i="11"/>
  <c r="W1403" i="11"/>
  <c r="K1403" i="11"/>
  <c r="E1403" i="11"/>
  <c r="D1403" i="11"/>
  <c r="W1402" i="11"/>
  <c r="K1402" i="11"/>
  <c r="E1402" i="11"/>
  <c r="D1402" i="11"/>
  <c r="W1401" i="11"/>
  <c r="K1401" i="11"/>
  <c r="E1401" i="11"/>
  <c r="D1401" i="11"/>
  <c r="W1400" i="11"/>
  <c r="K1400" i="11"/>
  <c r="E1400" i="11"/>
  <c r="D1400" i="11"/>
  <c r="W1399" i="11"/>
  <c r="K1399" i="11"/>
  <c r="E1399" i="11"/>
  <c r="D1399" i="11"/>
  <c r="W1398" i="11"/>
  <c r="K1398" i="11"/>
  <c r="E1398" i="11"/>
  <c r="D1398" i="11"/>
  <c r="W1397" i="11"/>
  <c r="K1397" i="11"/>
  <c r="E1397" i="11"/>
  <c r="D1397" i="11"/>
  <c r="W1396" i="11"/>
  <c r="K1396" i="11"/>
  <c r="E1396" i="11"/>
  <c r="D1396" i="11"/>
  <c r="W1395" i="11"/>
  <c r="K1395" i="11"/>
  <c r="E1395" i="11"/>
  <c r="D1395" i="11"/>
  <c r="W1394" i="11"/>
  <c r="K1394" i="11"/>
  <c r="E1394" i="11"/>
  <c r="D1394" i="11"/>
  <c r="W1393" i="11"/>
  <c r="K1393" i="11"/>
  <c r="E1393" i="11"/>
  <c r="D1393" i="11"/>
  <c r="W1392" i="11"/>
  <c r="K1392" i="11"/>
  <c r="E1392" i="11"/>
  <c r="D1392" i="11"/>
  <c r="W1391" i="11"/>
  <c r="K1391" i="11"/>
  <c r="E1391" i="11"/>
  <c r="D1391" i="11"/>
  <c r="W1390" i="11"/>
  <c r="K1390" i="11"/>
  <c r="E1390" i="11"/>
  <c r="D1390" i="11"/>
  <c r="W1389" i="11"/>
  <c r="K1389" i="11"/>
  <c r="E1389" i="11"/>
  <c r="D1389" i="11"/>
  <c r="W1388" i="11"/>
  <c r="K1388" i="11"/>
  <c r="E1388" i="11"/>
  <c r="D1388" i="11"/>
  <c r="W1387" i="11"/>
  <c r="K1387" i="11"/>
  <c r="E1387" i="11"/>
  <c r="D1387" i="11"/>
  <c r="W1386" i="11"/>
  <c r="K1386" i="11"/>
  <c r="E1386" i="11"/>
  <c r="D1386" i="11"/>
  <c r="W1385" i="11"/>
  <c r="K1385" i="11"/>
  <c r="E1385" i="11"/>
  <c r="D1385" i="11"/>
  <c r="W1384" i="11"/>
  <c r="K1384" i="11"/>
  <c r="E1384" i="11"/>
  <c r="D1384" i="11"/>
  <c r="W1383" i="11"/>
  <c r="K1383" i="11"/>
  <c r="E1383" i="11"/>
  <c r="D1383" i="11"/>
  <c r="W1382" i="11"/>
  <c r="K1382" i="11"/>
  <c r="E1382" i="11"/>
  <c r="D1382" i="11"/>
  <c r="W1381" i="11"/>
  <c r="K1381" i="11"/>
  <c r="E1381" i="11"/>
  <c r="D1381" i="11"/>
  <c r="W1380" i="11"/>
  <c r="K1380" i="11"/>
  <c r="E1380" i="11"/>
  <c r="D1380" i="11"/>
  <c r="W1379" i="11"/>
  <c r="K1379" i="11"/>
  <c r="E1379" i="11"/>
  <c r="D1379" i="11"/>
  <c r="W1378" i="11"/>
  <c r="K1378" i="11"/>
  <c r="E1378" i="11"/>
  <c r="D1378" i="11"/>
  <c r="W1377" i="11"/>
  <c r="K1377" i="11"/>
  <c r="E1377" i="11"/>
  <c r="D1377" i="11"/>
  <c r="W1376" i="11"/>
  <c r="K1376" i="11"/>
  <c r="E1376" i="11"/>
  <c r="D1376" i="11"/>
  <c r="W1375" i="11"/>
  <c r="K1375" i="11"/>
  <c r="E1375" i="11"/>
  <c r="D1375" i="11"/>
  <c r="W1374" i="11"/>
  <c r="K1374" i="11"/>
  <c r="E1374" i="11"/>
  <c r="D1374" i="11"/>
  <c r="W1373" i="11"/>
  <c r="K1373" i="11"/>
  <c r="E1373" i="11"/>
  <c r="D1373" i="11"/>
  <c r="W1372" i="11"/>
  <c r="K1372" i="11"/>
  <c r="E1372" i="11"/>
  <c r="D1372" i="11"/>
  <c r="W1371" i="11"/>
  <c r="K1371" i="11"/>
  <c r="E1371" i="11"/>
  <c r="D1371" i="11"/>
  <c r="W1370" i="11"/>
  <c r="K1370" i="11"/>
  <c r="E1370" i="11"/>
  <c r="D1370" i="11"/>
  <c r="W1369" i="11"/>
  <c r="K1369" i="11"/>
  <c r="E1369" i="11"/>
  <c r="D1369" i="11"/>
  <c r="W1368" i="11"/>
  <c r="K1368" i="11"/>
  <c r="E1368" i="11"/>
  <c r="D1368" i="11"/>
  <c r="W1367" i="11"/>
  <c r="K1367" i="11"/>
  <c r="E1367" i="11"/>
  <c r="D1367" i="11"/>
  <c r="W1366" i="11"/>
  <c r="K1366" i="11"/>
  <c r="E1366" i="11"/>
  <c r="D1366" i="11"/>
  <c r="W1365" i="11"/>
  <c r="K1365" i="11"/>
  <c r="E1365" i="11"/>
  <c r="D1365" i="11"/>
  <c r="W1364" i="11"/>
  <c r="K1364" i="11"/>
  <c r="E1364" i="11"/>
  <c r="D1364" i="11"/>
  <c r="W1363" i="11"/>
  <c r="K1363" i="11"/>
  <c r="E1363" i="11"/>
  <c r="D1363" i="11"/>
  <c r="W1362" i="11"/>
  <c r="K1362" i="11"/>
  <c r="E1362" i="11"/>
  <c r="D1362" i="11"/>
  <c r="W1361" i="11"/>
  <c r="K1361" i="11"/>
  <c r="E1361" i="11"/>
  <c r="D1361" i="11"/>
  <c r="W1360" i="11"/>
  <c r="K1360" i="11"/>
  <c r="E1360" i="11"/>
  <c r="D1360" i="11"/>
  <c r="W1359" i="11"/>
  <c r="K1359" i="11"/>
  <c r="E1359" i="11"/>
  <c r="D1359" i="11"/>
  <c r="W1358" i="11"/>
  <c r="K1358" i="11"/>
  <c r="E1358" i="11"/>
  <c r="D1358" i="11"/>
  <c r="W1357" i="11"/>
  <c r="K1357" i="11"/>
  <c r="E1357" i="11"/>
  <c r="D1357" i="11"/>
  <c r="W1356" i="11"/>
  <c r="K1356" i="11"/>
  <c r="E1356" i="11"/>
  <c r="D1356" i="11"/>
  <c r="W1355" i="11"/>
  <c r="K1355" i="11"/>
  <c r="E1355" i="11"/>
  <c r="D1355" i="11"/>
  <c r="W1354" i="11"/>
  <c r="K1354" i="11"/>
  <c r="E1354" i="11"/>
  <c r="D1354" i="11"/>
  <c r="W1353" i="11"/>
  <c r="K1353" i="11"/>
  <c r="E1353" i="11"/>
  <c r="D1353" i="11"/>
  <c r="W1352" i="11"/>
  <c r="K1352" i="11"/>
  <c r="E1352" i="11"/>
  <c r="D1352" i="11"/>
  <c r="W1351" i="11"/>
  <c r="K1351" i="11"/>
  <c r="E1351" i="11"/>
  <c r="D1351" i="11"/>
  <c r="W1350" i="11"/>
  <c r="K1350" i="11"/>
  <c r="E1350" i="11"/>
  <c r="D1350" i="11"/>
  <c r="W1349" i="11"/>
  <c r="K1349" i="11"/>
  <c r="E1349" i="11"/>
  <c r="D1349" i="11"/>
  <c r="W1348" i="11"/>
  <c r="K1348" i="11"/>
  <c r="E1348" i="11"/>
  <c r="D1348" i="11"/>
  <c r="W1347" i="11"/>
  <c r="K1347" i="11"/>
  <c r="E1347" i="11"/>
  <c r="D1347" i="11"/>
  <c r="W1346" i="11"/>
  <c r="K1346" i="11"/>
  <c r="E1346" i="11"/>
  <c r="D1346" i="11"/>
  <c r="W1345" i="11"/>
  <c r="K1345" i="11"/>
  <c r="E1345" i="11"/>
  <c r="D1345" i="11"/>
  <c r="W1344" i="11"/>
  <c r="K1344" i="11"/>
  <c r="E1344" i="11"/>
  <c r="D1344" i="11"/>
  <c r="W1343" i="11"/>
  <c r="K1343" i="11"/>
  <c r="E1343" i="11"/>
  <c r="D1343" i="11"/>
  <c r="W1342" i="11"/>
  <c r="K1342" i="11"/>
  <c r="E1342" i="11"/>
  <c r="D1342" i="11"/>
  <c r="W1341" i="11"/>
  <c r="K1341" i="11"/>
  <c r="E1341" i="11"/>
  <c r="D1341" i="11"/>
  <c r="W1340" i="11"/>
  <c r="K1340" i="11"/>
  <c r="E1340" i="11"/>
  <c r="D1340" i="11"/>
  <c r="W1339" i="11"/>
  <c r="K1339" i="11"/>
  <c r="E1339" i="11"/>
  <c r="D1339" i="11"/>
  <c r="W1338" i="11"/>
  <c r="K1338" i="11"/>
  <c r="E1338" i="11"/>
  <c r="D1338" i="11"/>
  <c r="W1337" i="11"/>
  <c r="K1337" i="11"/>
  <c r="E1337" i="11"/>
  <c r="D1337" i="11"/>
  <c r="W1336" i="11"/>
  <c r="K1336" i="11"/>
  <c r="E1336" i="11"/>
  <c r="D1336" i="11"/>
  <c r="W1335" i="11"/>
  <c r="K1335" i="11"/>
  <c r="E1335" i="11"/>
  <c r="D1335" i="11"/>
  <c r="W1334" i="11"/>
  <c r="K1334" i="11"/>
  <c r="E1334" i="11"/>
  <c r="D1334" i="11"/>
  <c r="W1333" i="11"/>
  <c r="K1333" i="11"/>
  <c r="E1333" i="11"/>
  <c r="D1333" i="11"/>
  <c r="W1332" i="11"/>
  <c r="K1332" i="11"/>
  <c r="E1332" i="11"/>
  <c r="D1332" i="11"/>
  <c r="W1331" i="11"/>
  <c r="K1331" i="11"/>
  <c r="E1331" i="11"/>
  <c r="D1331" i="11"/>
  <c r="W1330" i="11"/>
  <c r="K1330" i="11"/>
  <c r="E1330" i="11"/>
  <c r="D1330" i="11"/>
  <c r="W1329" i="11"/>
  <c r="K1329" i="11"/>
  <c r="E1329" i="11"/>
  <c r="D1329" i="11"/>
  <c r="W1328" i="11"/>
  <c r="K1328" i="11"/>
  <c r="E1328" i="11"/>
  <c r="D1328" i="11"/>
  <c r="W1327" i="11"/>
  <c r="K1327" i="11"/>
  <c r="E1327" i="11"/>
  <c r="D1327" i="11"/>
  <c r="W1326" i="11"/>
  <c r="K1326" i="11"/>
  <c r="E1326" i="11"/>
  <c r="D1326" i="11"/>
  <c r="W1325" i="11"/>
  <c r="K1325" i="11"/>
  <c r="E1325" i="11"/>
  <c r="D1325" i="11"/>
  <c r="W1324" i="11"/>
  <c r="K1324" i="11"/>
  <c r="E1324" i="11"/>
  <c r="D1324" i="11"/>
  <c r="W1323" i="11"/>
  <c r="K1323" i="11"/>
  <c r="E1323" i="11"/>
  <c r="D1323" i="11"/>
  <c r="W1322" i="11"/>
  <c r="K1322" i="11"/>
  <c r="E1322" i="11"/>
  <c r="D1322" i="11"/>
  <c r="W1321" i="11"/>
  <c r="K1321" i="11"/>
  <c r="E1321" i="11"/>
  <c r="D1321" i="11"/>
  <c r="W1320" i="11"/>
  <c r="K1320" i="11"/>
  <c r="E1320" i="11"/>
  <c r="D1320" i="11"/>
  <c r="W1319" i="11"/>
  <c r="K1319" i="11"/>
  <c r="E1319" i="11"/>
  <c r="D1319" i="11"/>
  <c r="W1318" i="11"/>
  <c r="K1318" i="11"/>
  <c r="E1318" i="11"/>
  <c r="D1318" i="11"/>
  <c r="W1317" i="11"/>
  <c r="K1317" i="11"/>
  <c r="E1317" i="11"/>
  <c r="D1317" i="11"/>
  <c r="W1316" i="11"/>
  <c r="K1316" i="11"/>
  <c r="E1316" i="11"/>
  <c r="D1316" i="11"/>
  <c r="W1315" i="11"/>
  <c r="K1315" i="11"/>
  <c r="E1315" i="11"/>
  <c r="D1315" i="11"/>
  <c r="W1314" i="11"/>
  <c r="K1314" i="11"/>
  <c r="E1314" i="11"/>
  <c r="D1314" i="11"/>
  <c r="W1313" i="11"/>
  <c r="K1313" i="11"/>
  <c r="E1313" i="11"/>
  <c r="D1313" i="11"/>
  <c r="W1312" i="11"/>
  <c r="K1312" i="11"/>
  <c r="E1312" i="11"/>
  <c r="D1312" i="11"/>
  <c r="W1311" i="11"/>
  <c r="K1311" i="11"/>
  <c r="E1311" i="11"/>
  <c r="D1311" i="11"/>
  <c r="W1310" i="11"/>
  <c r="K1310" i="11"/>
  <c r="E1310" i="11"/>
  <c r="D1310" i="11"/>
  <c r="W1309" i="11"/>
  <c r="K1309" i="11"/>
  <c r="E1309" i="11"/>
  <c r="D1309" i="11"/>
  <c r="W1308" i="11"/>
  <c r="K1308" i="11"/>
  <c r="E1308" i="11"/>
  <c r="D1308" i="11"/>
  <c r="W1307" i="11"/>
  <c r="K1307" i="11"/>
  <c r="E1307" i="11"/>
  <c r="D1307" i="11"/>
  <c r="W1306" i="11"/>
  <c r="K1306" i="11"/>
  <c r="E1306" i="11"/>
  <c r="D1306" i="11"/>
  <c r="W1305" i="11"/>
  <c r="K1305" i="11"/>
  <c r="E1305" i="11"/>
  <c r="D1305" i="11"/>
  <c r="W1304" i="11"/>
  <c r="K1304" i="11"/>
  <c r="E1304" i="11"/>
  <c r="D1304" i="11"/>
  <c r="W1303" i="11"/>
  <c r="K1303" i="11"/>
  <c r="E1303" i="11"/>
  <c r="D1303" i="11"/>
  <c r="W1302" i="11"/>
  <c r="K1302" i="11"/>
  <c r="E1302" i="11"/>
  <c r="D1302" i="11"/>
  <c r="W1301" i="11"/>
  <c r="K1301" i="11"/>
  <c r="E1301" i="11"/>
  <c r="D1301" i="11"/>
  <c r="W1300" i="11"/>
  <c r="K1300" i="11"/>
  <c r="E1300" i="11"/>
  <c r="D1300" i="11"/>
  <c r="W1299" i="11"/>
  <c r="K1299" i="11"/>
  <c r="E1299" i="11"/>
  <c r="D1299" i="11"/>
  <c r="W1298" i="11"/>
  <c r="K1298" i="11"/>
  <c r="E1298" i="11"/>
  <c r="D1298" i="11"/>
  <c r="W1297" i="11"/>
  <c r="K1297" i="11"/>
  <c r="E1297" i="11"/>
  <c r="D1297" i="11"/>
  <c r="W1296" i="11"/>
  <c r="K1296" i="11"/>
  <c r="E1296" i="11"/>
  <c r="D1296" i="11"/>
  <c r="W1295" i="11"/>
  <c r="K1295" i="11"/>
  <c r="E1295" i="11"/>
  <c r="D1295" i="11"/>
  <c r="W1294" i="11"/>
  <c r="K1294" i="11"/>
  <c r="E1294" i="11"/>
  <c r="D1294" i="11"/>
  <c r="W1293" i="11"/>
  <c r="K1293" i="11"/>
  <c r="E1293" i="11"/>
  <c r="D1293" i="11"/>
  <c r="W1292" i="11"/>
  <c r="K1292" i="11"/>
  <c r="E1292" i="11"/>
  <c r="D1292" i="11"/>
  <c r="W1291" i="11"/>
  <c r="K1291" i="11"/>
  <c r="E1291" i="11"/>
  <c r="D1291" i="11"/>
  <c r="W1290" i="11"/>
  <c r="K1290" i="11"/>
  <c r="E1290" i="11"/>
  <c r="D1290" i="11"/>
  <c r="W1289" i="11"/>
  <c r="K1289" i="11"/>
  <c r="E1289" i="11"/>
  <c r="D1289" i="11"/>
  <c r="W1288" i="11"/>
  <c r="K1288" i="11"/>
  <c r="E1288" i="11"/>
  <c r="D1288" i="11"/>
  <c r="W1287" i="11"/>
  <c r="K1287" i="11"/>
  <c r="E1287" i="11"/>
  <c r="D1287" i="11"/>
  <c r="W1286" i="11"/>
  <c r="K1286" i="11"/>
  <c r="E1286" i="11"/>
  <c r="D1286" i="11"/>
  <c r="W1285" i="11"/>
  <c r="K1285" i="11"/>
  <c r="E1285" i="11"/>
  <c r="D1285" i="11"/>
  <c r="W1284" i="11"/>
  <c r="K1284" i="11"/>
  <c r="E1284" i="11"/>
  <c r="D1284" i="11"/>
  <c r="W1283" i="11"/>
  <c r="K1283" i="11"/>
  <c r="E1283" i="11"/>
  <c r="D1283" i="11"/>
  <c r="W1282" i="11"/>
  <c r="K1282" i="11"/>
  <c r="E1282" i="11"/>
  <c r="D1282" i="11"/>
  <c r="W1281" i="11"/>
  <c r="K1281" i="11"/>
  <c r="E1281" i="11"/>
  <c r="D1281" i="11"/>
  <c r="W1280" i="11"/>
  <c r="K1280" i="11"/>
  <c r="E1280" i="11"/>
  <c r="D1280" i="11"/>
  <c r="W1279" i="11"/>
  <c r="K1279" i="11"/>
  <c r="E1279" i="11"/>
  <c r="D1279" i="11"/>
  <c r="W1278" i="11"/>
  <c r="K1278" i="11"/>
  <c r="E1278" i="11"/>
  <c r="D1278" i="11"/>
  <c r="W1277" i="11"/>
  <c r="K1277" i="11"/>
  <c r="E1277" i="11"/>
  <c r="D1277" i="11"/>
  <c r="W1276" i="11"/>
  <c r="K1276" i="11"/>
  <c r="E1276" i="11"/>
  <c r="D1276" i="11"/>
  <c r="W1275" i="11"/>
  <c r="K1275" i="11"/>
  <c r="E1275" i="11"/>
  <c r="D1275" i="11"/>
  <c r="W1274" i="11"/>
  <c r="K1274" i="11"/>
  <c r="E1274" i="11"/>
  <c r="D1274" i="11"/>
  <c r="W1273" i="11"/>
  <c r="K1273" i="11"/>
  <c r="E1273" i="11"/>
  <c r="D1273" i="11"/>
  <c r="W1272" i="11"/>
  <c r="K1272" i="11"/>
  <c r="E1272" i="11"/>
  <c r="D1272" i="11"/>
  <c r="W1271" i="11"/>
  <c r="K1271" i="11"/>
  <c r="E1271" i="11"/>
  <c r="D1271" i="11"/>
  <c r="W1270" i="11"/>
  <c r="K1270" i="11"/>
  <c r="E1270" i="11"/>
  <c r="D1270" i="11"/>
  <c r="W1269" i="11"/>
  <c r="K1269" i="11"/>
  <c r="E1269" i="11"/>
  <c r="D1269" i="11"/>
  <c r="W1268" i="11"/>
  <c r="K1268" i="11"/>
  <c r="E1268" i="11"/>
  <c r="D1268" i="11"/>
  <c r="W1267" i="11"/>
  <c r="K1267" i="11"/>
  <c r="E1267" i="11"/>
  <c r="D1267" i="11"/>
  <c r="W1266" i="11"/>
  <c r="K1266" i="11"/>
  <c r="E1266" i="11"/>
  <c r="D1266" i="11"/>
  <c r="W1265" i="11"/>
  <c r="K1265" i="11"/>
  <c r="E1265" i="11"/>
  <c r="D1265" i="11"/>
  <c r="W1264" i="11"/>
  <c r="K1264" i="11"/>
  <c r="E1264" i="11"/>
  <c r="D1264" i="11"/>
  <c r="W1263" i="11"/>
  <c r="K1263" i="11"/>
  <c r="E1263" i="11"/>
  <c r="D1263" i="11"/>
  <c r="W1262" i="11"/>
  <c r="K1262" i="11"/>
  <c r="E1262" i="11"/>
  <c r="D1262" i="11"/>
  <c r="W1261" i="11"/>
  <c r="K1261" i="11"/>
  <c r="E1261" i="11"/>
  <c r="D1261" i="11"/>
  <c r="W1260" i="11"/>
  <c r="K1260" i="11"/>
  <c r="E1260" i="11"/>
  <c r="D1260" i="11"/>
  <c r="W1259" i="11"/>
  <c r="K1259" i="11"/>
  <c r="E1259" i="11"/>
  <c r="D1259" i="11"/>
  <c r="W1258" i="11"/>
  <c r="K1258" i="11"/>
  <c r="E1258" i="11"/>
  <c r="D1258" i="11"/>
  <c r="W1257" i="11"/>
  <c r="K1257" i="11"/>
  <c r="E1257" i="11"/>
  <c r="D1257" i="11"/>
  <c r="W1256" i="11"/>
  <c r="K1256" i="11"/>
  <c r="E1256" i="11"/>
  <c r="D1256" i="11"/>
  <c r="W1255" i="11"/>
  <c r="K1255" i="11"/>
  <c r="E1255" i="11"/>
  <c r="D1255" i="11"/>
  <c r="W1254" i="11"/>
  <c r="K1254" i="11"/>
  <c r="E1254" i="11"/>
  <c r="D1254" i="11"/>
  <c r="W1253" i="11"/>
  <c r="K1253" i="11"/>
  <c r="E1253" i="11"/>
  <c r="D1253" i="11"/>
  <c r="W1252" i="11"/>
  <c r="K1252" i="11"/>
  <c r="E1252" i="11"/>
  <c r="D1252" i="11"/>
  <c r="W1251" i="11"/>
  <c r="K1251" i="11"/>
  <c r="E1251" i="11"/>
  <c r="D1251" i="11"/>
  <c r="W1250" i="11"/>
  <c r="K1250" i="11"/>
  <c r="E1250" i="11"/>
  <c r="D1250" i="11"/>
  <c r="W1249" i="11"/>
  <c r="K1249" i="11"/>
  <c r="E1249" i="11"/>
  <c r="D1249" i="11"/>
  <c r="W1248" i="11"/>
  <c r="K1248" i="11"/>
  <c r="E1248" i="11"/>
  <c r="D1248" i="11"/>
  <c r="W1247" i="11"/>
  <c r="K1247" i="11"/>
  <c r="E1247" i="11"/>
  <c r="D1247" i="11"/>
  <c r="W1246" i="11"/>
  <c r="K1246" i="11"/>
  <c r="E1246" i="11"/>
  <c r="D1246" i="11"/>
  <c r="W1245" i="11"/>
  <c r="K1245" i="11"/>
  <c r="E1245" i="11"/>
  <c r="D1245" i="11"/>
  <c r="W1244" i="11"/>
  <c r="K1244" i="11"/>
  <c r="E1244" i="11"/>
  <c r="D1244" i="11"/>
  <c r="W1243" i="11"/>
  <c r="K1243" i="11"/>
  <c r="E1243" i="11"/>
  <c r="D1243" i="11"/>
  <c r="W1242" i="11"/>
  <c r="K1242" i="11"/>
  <c r="E1242" i="11"/>
  <c r="D1242" i="11"/>
  <c r="W1241" i="11"/>
  <c r="K1241" i="11"/>
  <c r="E1241" i="11"/>
  <c r="D1241" i="11"/>
  <c r="W1240" i="11"/>
  <c r="K1240" i="11"/>
  <c r="E1240" i="11"/>
  <c r="D1240" i="11"/>
  <c r="W1239" i="11"/>
  <c r="K1239" i="11"/>
  <c r="E1239" i="11"/>
  <c r="D1239" i="11"/>
  <c r="W1238" i="11"/>
  <c r="K1238" i="11"/>
  <c r="E1238" i="11"/>
  <c r="D1238" i="11"/>
  <c r="W1237" i="11"/>
  <c r="K1237" i="11"/>
  <c r="E1237" i="11"/>
  <c r="D1237" i="11"/>
  <c r="W1236" i="11"/>
  <c r="K1236" i="11"/>
  <c r="E1236" i="11"/>
  <c r="D1236" i="11"/>
  <c r="W1235" i="11"/>
  <c r="K1235" i="11"/>
  <c r="E1235" i="11"/>
  <c r="D1235" i="11"/>
  <c r="W1234" i="11"/>
  <c r="K1234" i="11"/>
  <c r="E1234" i="11"/>
  <c r="D1234" i="11"/>
  <c r="W1233" i="11"/>
  <c r="K1233" i="11"/>
  <c r="E1233" i="11"/>
  <c r="D1233" i="11"/>
  <c r="W1232" i="11"/>
  <c r="K1232" i="11"/>
  <c r="E1232" i="11"/>
  <c r="D1232" i="11"/>
  <c r="W1231" i="11"/>
  <c r="K1231" i="11"/>
  <c r="E1231" i="11"/>
  <c r="D1231" i="11"/>
  <c r="W1230" i="11"/>
  <c r="K1230" i="11"/>
  <c r="E1230" i="11"/>
  <c r="D1230" i="11"/>
  <c r="W1229" i="11"/>
  <c r="K1229" i="11"/>
  <c r="E1229" i="11"/>
  <c r="D1229" i="11"/>
  <c r="W1228" i="11"/>
  <c r="K1228" i="11"/>
  <c r="E1228" i="11"/>
  <c r="D1228" i="11"/>
  <c r="W1227" i="11"/>
  <c r="K1227" i="11"/>
  <c r="E1227" i="11"/>
  <c r="D1227" i="11"/>
  <c r="W1226" i="11"/>
  <c r="K1226" i="11"/>
  <c r="E1226" i="11"/>
  <c r="D1226" i="11"/>
  <c r="W1225" i="11"/>
  <c r="K1225" i="11"/>
  <c r="E1225" i="11"/>
  <c r="D1225" i="11"/>
  <c r="W1224" i="11"/>
  <c r="K1224" i="11"/>
  <c r="E1224" i="11"/>
  <c r="D1224" i="11"/>
  <c r="W1223" i="11"/>
  <c r="K1223" i="11"/>
  <c r="E1223" i="11"/>
  <c r="D1223" i="11"/>
  <c r="W1222" i="11"/>
  <c r="K1222" i="11"/>
  <c r="E1222" i="11"/>
  <c r="D1222" i="11"/>
  <c r="W1221" i="11"/>
  <c r="K1221" i="11"/>
  <c r="E1221" i="11"/>
  <c r="D1221" i="11"/>
  <c r="W1220" i="11"/>
  <c r="K1220" i="11"/>
  <c r="E1220" i="11"/>
  <c r="D1220" i="11"/>
  <c r="W1219" i="11"/>
  <c r="K1219" i="11"/>
  <c r="E1219" i="11"/>
  <c r="D1219" i="11"/>
  <c r="W1218" i="11"/>
  <c r="K1218" i="11"/>
  <c r="E1218" i="11"/>
  <c r="D1218" i="11"/>
  <c r="W1217" i="11"/>
  <c r="K1217" i="11"/>
  <c r="E1217" i="11"/>
  <c r="D1217" i="11"/>
  <c r="W1216" i="11"/>
  <c r="K1216" i="11"/>
  <c r="E1216" i="11"/>
  <c r="D1216" i="11"/>
  <c r="W1215" i="11"/>
  <c r="K1215" i="11"/>
  <c r="E1215" i="11"/>
  <c r="D1215" i="11"/>
  <c r="W1214" i="11"/>
  <c r="K1214" i="11"/>
  <c r="E1214" i="11"/>
  <c r="D1214" i="11"/>
  <c r="W1213" i="11"/>
  <c r="K1213" i="11"/>
  <c r="E1213" i="11"/>
  <c r="D1213" i="11"/>
  <c r="W1212" i="11"/>
  <c r="K1212" i="11"/>
  <c r="E1212" i="11"/>
  <c r="D1212" i="11"/>
  <c r="W1211" i="11"/>
  <c r="K1211" i="11"/>
  <c r="E1211" i="11"/>
  <c r="D1211" i="11"/>
  <c r="W1210" i="11"/>
  <c r="K1210" i="11"/>
  <c r="E1210" i="11"/>
  <c r="D1210" i="11"/>
  <c r="W1209" i="11"/>
  <c r="K1209" i="11"/>
  <c r="E1209" i="11"/>
  <c r="D1209" i="11"/>
  <c r="W1208" i="11"/>
  <c r="K1208" i="11"/>
  <c r="E1208" i="11"/>
  <c r="D1208" i="11"/>
  <c r="W1207" i="11"/>
  <c r="K1207" i="11"/>
  <c r="E1207" i="11"/>
  <c r="D1207" i="11"/>
  <c r="W1206" i="11"/>
  <c r="K1206" i="11"/>
  <c r="E1206" i="11"/>
  <c r="D1206" i="11"/>
  <c r="W1205" i="11"/>
  <c r="K1205" i="11"/>
  <c r="E1205" i="11"/>
  <c r="D1205" i="11"/>
  <c r="W1204" i="11"/>
  <c r="K1204" i="11"/>
  <c r="E1204" i="11"/>
  <c r="D1204" i="11"/>
  <c r="W1203" i="11"/>
  <c r="K1203" i="11"/>
  <c r="E1203" i="11"/>
  <c r="D1203" i="11"/>
  <c r="W1202" i="11"/>
  <c r="K1202" i="11"/>
  <c r="E1202" i="11"/>
  <c r="D1202" i="11"/>
  <c r="W1201" i="11"/>
  <c r="K1201" i="11"/>
  <c r="E1201" i="11"/>
  <c r="D1201" i="11"/>
  <c r="W1200" i="11"/>
  <c r="K1200" i="11"/>
  <c r="E1200" i="11"/>
  <c r="D1200" i="11"/>
  <c r="W1199" i="11"/>
  <c r="K1199" i="11"/>
  <c r="E1199" i="11"/>
  <c r="D1199" i="11"/>
  <c r="W1198" i="11"/>
  <c r="K1198" i="11"/>
  <c r="E1198" i="11"/>
  <c r="D1198" i="11"/>
  <c r="W1197" i="11"/>
  <c r="K1197" i="11"/>
  <c r="E1197" i="11"/>
  <c r="D1197" i="11"/>
  <c r="W1196" i="11"/>
  <c r="K1196" i="11"/>
  <c r="E1196" i="11"/>
  <c r="D1196" i="11"/>
  <c r="W1195" i="11"/>
  <c r="K1195" i="11"/>
  <c r="E1195" i="11"/>
  <c r="D1195" i="11"/>
  <c r="W1194" i="11"/>
  <c r="K1194" i="11"/>
  <c r="E1194" i="11"/>
  <c r="D1194" i="11"/>
  <c r="W1193" i="11"/>
  <c r="K1193" i="11"/>
  <c r="E1193" i="11"/>
  <c r="D1193" i="11"/>
  <c r="W1192" i="11"/>
  <c r="K1192" i="11"/>
  <c r="E1192" i="11"/>
  <c r="D1192" i="11"/>
  <c r="W1191" i="11"/>
  <c r="K1191" i="11"/>
  <c r="E1191" i="11"/>
  <c r="D1191" i="11"/>
  <c r="W1190" i="11"/>
  <c r="K1190" i="11"/>
  <c r="E1190" i="11"/>
  <c r="D1190" i="11"/>
  <c r="W1189" i="11"/>
  <c r="K1189" i="11"/>
  <c r="E1189" i="11"/>
  <c r="D1189" i="11"/>
  <c r="W1188" i="11"/>
  <c r="K1188" i="11"/>
  <c r="E1188" i="11"/>
  <c r="D1188" i="11"/>
  <c r="W1187" i="11"/>
  <c r="K1187" i="11"/>
  <c r="E1187" i="11"/>
  <c r="D1187" i="11"/>
  <c r="W1186" i="11"/>
  <c r="K1186" i="11"/>
  <c r="E1186" i="11"/>
  <c r="D1186" i="11"/>
  <c r="W1185" i="11"/>
  <c r="K1185" i="11"/>
  <c r="E1185" i="11"/>
  <c r="D1185" i="11"/>
  <c r="W1184" i="11"/>
  <c r="K1184" i="11"/>
  <c r="E1184" i="11"/>
  <c r="D1184" i="11"/>
  <c r="W1183" i="11"/>
  <c r="K1183" i="11"/>
  <c r="E1183" i="11"/>
  <c r="D1183" i="11"/>
  <c r="W1182" i="11"/>
  <c r="K1182" i="11"/>
  <c r="E1182" i="11"/>
  <c r="D1182" i="11"/>
  <c r="W1181" i="11"/>
  <c r="K1181" i="11"/>
  <c r="E1181" i="11"/>
  <c r="D1181" i="11"/>
  <c r="W1180" i="11"/>
  <c r="K1180" i="11"/>
  <c r="E1180" i="11"/>
  <c r="D1180" i="11"/>
  <c r="W1179" i="11"/>
  <c r="K1179" i="11"/>
  <c r="E1179" i="11"/>
  <c r="D1179" i="11"/>
  <c r="W1178" i="11"/>
  <c r="K1178" i="11"/>
  <c r="E1178" i="11"/>
  <c r="D1178" i="11"/>
  <c r="W1177" i="11"/>
  <c r="K1177" i="11"/>
  <c r="E1177" i="11"/>
  <c r="D1177" i="11"/>
  <c r="W1176" i="11"/>
  <c r="K1176" i="11"/>
  <c r="E1176" i="11"/>
  <c r="D1176" i="11"/>
  <c r="W1175" i="11"/>
  <c r="K1175" i="11"/>
  <c r="E1175" i="11"/>
  <c r="D1175" i="11"/>
  <c r="W1174" i="11"/>
  <c r="K1174" i="11"/>
  <c r="E1174" i="11"/>
  <c r="D1174" i="11"/>
  <c r="W1173" i="11"/>
  <c r="K1173" i="11"/>
  <c r="E1173" i="11"/>
  <c r="D1173" i="11"/>
  <c r="W1172" i="11"/>
  <c r="K1172" i="11"/>
  <c r="E1172" i="11"/>
  <c r="D1172" i="11"/>
  <c r="W1171" i="11"/>
  <c r="K1171" i="11"/>
  <c r="E1171" i="11"/>
  <c r="D1171" i="11"/>
  <c r="W1170" i="11"/>
  <c r="K1170" i="11"/>
  <c r="E1170" i="11"/>
  <c r="D1170" i="11"/>
  <c r="W1169" i="11"/>
  <c r="K1169" i="11"/>
  <c r="E1169" i="11"/>
  <c r="D1169" i="11"/>
  <c r="W1168" i="11"/>
  <c r="K1168" i="11"/>
  <c r="E1168" i="11"/>
  <c r="D1168" i="11"/>
  <c r="W1167" i="11"/>
  <c r="K1167" i="11"/>
  <c r="E1167" i="11"/>
  <c r="D1167" i="11"/>
  <c r="W1166" i="11"/>
  <c r="K1166" i="11"/>
  <c r="E1166" i="11"/>
  <c r="D1166" i="11"/>
  <c r="W1165" i="11"/>
  <c r="K1165" i="11"/>
  <c r="E1165" i="11"/>
  <c r="D1165" i="11"/>
  <c r="W1164" i="11"/>
  <c r="K1164" i="11"/>
  <c r="E1164" i="11"/>
  <c r="D1164" i="11"/>
  <c r="W1163" i="11"/>
  <c r="K1163" i="11"/>
  <c r="E1163" i="11"/>
  <c r="D1163" i="11"/>
  <c r="W1162" i="11"/>
  <c r="K1162" i="11"/>
  <c r="E1162" i="11"/>
  <c r="D1162" i="11"/>
  <c r="W1161" i="11"/>
  <c r="K1161" i="11"/>
  <c r="E1161" i="11"/>
  <c r="D1161" i="11"/>
  <c r="W1160" i="11"/>
  <c r="K1160" i="11"/>
  <c r="E1160" i="11"/>
  <c r="D1160" i="11"/>
  <c r="W1159" i="11"/>
  <c r="K1159" i="11"/>
  <c r="E1159" i="11"/>
  <c r="D1159" i="11"/>
  <c r="W1158" i="11"/>
  <c r="K1158" i="11"/>
  <c r="E1158" i="11"/>
  <c r="D1158" i="11"/>
  <c r="W1157" i="11"/>
  <c r="K1157" i="11"/>
  <c r="E1157" i="11"/>
  <c r="D1157" i="11"/>
  <c r="W1156" i="11"/>
  <c r="K1156" i="11"/>
  <c r="E1156" i="11"/>
  <c r="D1156" i="11"/>
  <c r="W1155" i="11"/>
  <c r="K1155" i="11"/>
  <c r="E1155" i="11"/>
  <c r="D1155" i="11"/>
  <c r="W1154" i="11"/>
  <c r="K1154" i="11"/>
  <c r="E1154" i="11"/>
  <c r="D1154" i="11"/>
  <c r="W1153" i="11"/>
  <c r="K1153" i="11"/>
  <c r="E1153" i="11"/>
  <c r="D1153" i="11"/>
  <c r="W1152" i="11"/>
  <c r="K1152" i="11"/>
  <c r="E1152" i="11"/>
  <c r="D1152" i="11"/>
  <c r="W1151" i="11"/>
  <c r="K1151" i="11"/>
  <c r="E1151" i="11"/>
  <c r="D1151" i="11"/>
  <c r="W1150" i="11"/>
  <c r="K1150" i="11"/>
  <c r="E1150" i="11"/>
  <c r="D1150" i="11"/>
  <c r="W1149" i="11"/>
  <c r="K1149" i="11"/>
  <c r="E1149" i="11"/>
  <c r="D1149" i="11"/>
  <c r="W1148" i="11"/>
  <c r="K1148" i="11"/>
  <c r="E1148" i="11"/>
  <c r="D1148" i="11"/>
  <c r="W1147" i="11"/>
  <c r="K1147" i="11"/>
  <c r="E1147" i="11"/>
  <c r="D1147" i="11"/>
  <c r="W1146" i="11"/>
  <c r="K1146" i="11"/>
  <c r="E1146" i="11"/>
  <c r="D1146" i="11"/>
  <c r="W1145" i="11"/>
  <c r="K1145" i="11"/>
  <c r="E1145" i="11"/>
  <c r="D1145" i="11"/>
  <c r="W1144" i="11"/>
  <c r="K1144" i="11"/>
  <c r="E1144" i="11"/>
  <c r="D1144" i="11"/>
  <c r="W1143" i="11"/>
  <c r="K1143" i="11"/>
  <c r="E1143" i="11"/>
  <c r="D1143" i="11"/>
  <c r="W1142" i="11"/>
  <c r="K1142" i="11"/>
  <c r="E1142" i="11"/>
  <c r="D1142" i="11"/>
  <c r="W1141" i="11"/>
  <c r="K1141" i="11"/>
  <c r="E1141" i="11"/>
  <c r="D1141" i="11"/>
  <c r="W1140" i="11"/>
  <c r="K1140" i="11"/>
  <c r="E1140" i="11"/>
  <c r="D1140" i="11"/>
  <c r="W1139" i="11"/>
  <c r="K1139" i="11"/>
  <c r="E1139" i="11"/>
  <c r="D1139" i="11"/>
  <c r="W1138" i="11"/>
  <c r="K1138" i="11"/>
  <c r="E1138" i="11"/>
  <c r="D1138" i="11"/>
  <c r="W1137" i="11"/>
  <c r="K1137" i="11"/>
  <c r="E1137" i="11"/>
  <c r="D1137" i="11"/>
  <c r="W1136" i="11"/>
  <c r="K1136" i="11"/>
  <c r="E1136" i="11"/>
  <c r="D1136" i="11"/>
  <c r="W1135" i="11"/>
  <c r="K1135" i="11"/>
  <c r="E1135" i="11"/>
  <c r="D1135" i="11"/>
  <c r="W1134" i="11"/>
  <c r="K1134" i="11"/>
  <c r="E1134" i="11"/>
  <c r="D1134" i="11"/>
  <c r="W1133" i="11"/>
  <c r="K1133" i="11"/>
  <c r="E1133" i="11"/>
  <c r="D1133" i="11"/>
  <c r="W1132" i="11"/>
  <c r="K1132" i="11"/>
  <c r="E1132" i="11"/>
  <c r="D1132" i="11"/>
  <c r="W1131" i="11"/>
  <c r="K1131" i="11"/>
  <c r="E1131" i="11"/>
  <c r="D1131" i="11"/>
  <c r="W1130" i="11"/>
  <c r="K1130" i="11"/>
  <c r="E1130" i="11"/>
  <c r="D1130" i="11"/>
  <c r="W1129" i="11"/>
  <c r="K1129" i="11"/>
  <c r="E1129" i="11"/>
  <c r="D1129" i="11"/>
  <c r="W1128" i="11"/>
  <c r="K1128" i="11"/>
  <c r="E1128" i="11"/>
  <c r="D1128" i="11"/>
  <c r="W1127" i="11"/>
  <c r="K1127" i="11"/>
  <c r="E1127" i="11"/>
  <c r="D1127" i="11"/>
  <c r="W1126" i="11"/>
  <c r="K1126" i="11"/>
  <c r="E1126" i="11"/>
  <c r="D1126" i="11"/>
  <c r="W1125" i="11"/>
  <c r="K1125" i="11"/>
  <c r="E1125" i="11"/>
  <c r="D1125" i="11"/>
  <c r="W1124" i="11"/>
  <c r="K1124" i="11"/>
  <c r="E1124" i="11"/>
  <c r="D1124" i="11"/>
  <c r="W1123" i="11"/>
  <c r="K1123" i="11"/>
  <c r="E1123" i="11"/>
  <c r="D1123" i="11"/>
  <c r="W1122" i="11"/>
  <c r="K1122" i="11"/>
  <c r="E1122" i="11"/>
  <c r="D1122" i="11"/>
  <c r="W1121" i="11"/>
  <c r="K1121" i="11"/>
  <c r="E1121" i="11"/>
  <c r="D1121" i="11"/>
  <c r="W1120" i="11"/>
  <c r="K1120" i="11"/>
  <c r="E1120" i="11"/>
  <c r="D1120" i="11"/>
  <c r="W1119" i="11"/>
  <c r="K1119" i="11"/>
  <c r="E1119" i="11"/>
  <c r="D1119" i="11"/>
  <c r="W1118" i="11"/>
  <c r="K1118" i="11"/>
  <c r="E1118" i="11"/>
  <c r="D1118" i="11"/>
  <c r="W1117" i="11"/>
  <c r="K1117" i="11"/>
  <c r="E1117" i="11"/>
  <c r="D1117" i="11"/>
  <c r="W1116" i="11"/>
  <c r="K1116" i="11"/>
  <c r="E1116" i="11"/>
  <c r="D1116" i="11"/>
  <c r="W1115" i="11"/>
  <c r="K1115" i="11"/>
  <c r="E1115" i="11"/>
  <c r="D1115" i="11"/>
  <c r="W1114" i="11"/>
  <c r="K1114" i="11"/>
  <c r="E1114" i="11"/>
  <c r="D1114" i="11"/>
  <c r="W1113" i="11"/>
  <c r="K1113" i="11"/>
  <c r="E1113" i="11"/>
  <c r="D1113" i="11"/>
  <c r="W1112" i="11"/>
  <c r="K1112" i="11"/>
  <c r="E1112" i="11"/>
  <c r="D1112" i="11"/>
  <c r="W1111" i="11"/>
  <c r="K1111" i="11"/>
  <c r="E1111" i="11"/>
  <c r="D1111" i="11"/>
  <c r="W1110" i="11"/>
  <c r="K1110" i="11"/>
  <c r="E1110" i="11"/>
  <c r="D1110" i="11"/>
  <c r="W1109" i="11"/>
  <c r="K1109" i="11"/>
  <c r="E1109" i="11"/>
  <c r="D1109" i="11"/>
  <c r="W1108" i="11"/>
  <c r="K1108" i="11"/>
  <c r="E1108" i="11"/>
  <c r="D1108" i="11"/>
  <c r="W1107" i="11"/>
  <c r="K1107" i="11"/>
  <c r="E1107" i="11"/>
  <c r="D1107" i="11"/>
  <c r="W1106" i="11"/>
  <c r="K1106" i="11"/>
  <c r="E1106" i="11"/>
  <c r="D1106" i="11"/>
  <c r="W1105" i="11"/>
  <c r="K1105" i="11"/>
  <c r="E1105" i="11"/>
  <c r="D1105" i="11"/>
  <c r="W1104" i="11"/>
  <c r="K1104" i="11"/>
  <c r="E1104" i="11"/>
  <c r="D1104" i="11"/>
  <c r="W1103" i="11"/>
  <c r="K1103" i="11"/>
  <c r="E1103" i="11"/>
  <c r="D1103" i="11"/>
  <c r="W1102" i="11"/>
  <c r="K1102" i="11"/>
  <c r="E1102" i="11"/>
  <c r="D1102" i="11"/>
  <c r="W1101" i="11"/>
  <c r="K1101" i="11"/>
  <c r="E1101" i="11"/>
  <c r="D1101" i="11"/>
  <c r="W1100" i="11"/>
  <c r="K1100" i="11"/>
  <c r="E1100" i="11"/>
  <c r="D1100" i="11"/>
  <c r="W1099" i="11"/>
  <c r="K1099" i="11"/>
  <c r="E1099" i="11"/>
  <c r="D1099" i="11"/>
  <c r="W1098" i="11"/>
  <c r="K1098" i="11"/>
  <c r="E1098" i="11"/>
  <c r="D1098" i="11"/>
  <c r="W1097" i="11"/>
  <c r="K1097" i="11"/>
  <c r="E1097" i="11"/>
  <c r="D1097" i="11"/>
  <c r="W1096" i="11"/>
  <c r="K1096" i="11"/>
  <c r="E1096" i="11"/>
  <c r="D1096" i="11"/>
  <c r="W1095" i="11"/>
  <c r="K1095" i="11"/>
  <c r="E1095" i="11"/>
  <c r="D1095" i="11"/>
  <c r="W1094" i="11"/>
  <c r="K1094" i="11"/>
  <c r="E1094" i="11"/>
  <c r="D1094" i="11"/>
  <c r="W1093" i="11"/>
  <c r="K1093" i="11"/>
  <c r="E1093" i="11"/>
  <c r="D1093" i="11"/>
  <c r="W1092" i="11"/>
  <c r="K1092" i="11"/>
  <c r="E1092" i="11"/>
  <c r="D1092" i="11"/>
  <c r="W1091" i="11"/>
  <c r="K1091" i="11"/>
  <c r="E1091" i="11"/>
  <c r="D1091" i="11"/>
  <c r="W1090" i="11"/>
  <c r="K1090" i="11"/>
  <c r="E1090" i="11"/>
  <c r="D1090" i="11"/>
  <c r="W1089" i="11"/>
  <c r="K1089" i="11"/>
  <c r="E1089" i="11"/>
  <c r="D1089" i="11"/>
  <c r="W1088" i="11"/>
  <c r="K1088" i="11"/>
  <c r="E1088" i="11"/>
  <c r="D1088" i="11"/>
  <c r="W1087" i="11"/>
  <c r="K1087" i="11"/>
  <c r="E1087" i="11"/>
  <c r="D1087" i="11"/>
  <c r="W1086" i="11"/>
  <c r="K1086" i="11"/>
  <c r="E1086" i="11"/>
  <c r="D1086" i="11"/>
  <c r="W1085" i="11"/>
  <c r="K1085" i="11"/>
  <c r="E1085" i="11"/>
  <c r="D1085" i="11"/>
  <c r="W1084" i="11"/>
  <c r="K1084" i="11"/>
  <c r="E1084" i="11"/>
  <c r="D1084" i="11"/>
  <c r="W1083" i="11"/>
  <c r="K1083" i="11"/>
  <c r="E1083" i="11"/>
  <c r="D1083" i="11"/>
  <c r="W1082" i="11"/>
  <c r="K1082" i="11"/>
  <c r="E1082" i="11"/>
  <c r="D1082" i="11"/>
  <c r="W1081" i="11"/>
  <c r="K1081" i="11"/>
  <c r="E1081" i="11"/>
  <c r="D1081" i="11"/>
  <c r="W1080" i="11"/>
  <c r="K1080" i="11"/>
  <c r="E1080" i="11"/>
  <c r="D1080" i="11"/>
  <c r="W1079" i="11"/>
  <c r="K1079" i="11"/>
  <c r="E1079" i="11"/>
  <c r="D1079" i="11"/>
  <c r="W1078" i="11"/>
  <c r="K1078" i="11"/>
  <c r="E1078" i="11"/>
  <c r="D1078" i="11"/>
  <c r="W1077" i="11"/>
  <c r="K1077" i="11"/>
  <c r="E1077" i="11"/>
  <c r="D1077" i="11"/>
  <c r="W1076" i="11"/>
  <c r="K1076" i="11"/>
  <c r="E1076" i="11"/>
  <c r="D1076" i="11"/>
  <c r="W1075" i="11"/>
  <c r="K1075" i="11"/>
  <c r="E1075" i="11"/>
  <c r="D1075" i="11"/>
  <c r="W1074" i="11"/>
  <c r="K1074" i="11"/>
  <c r="E1074" i="11"/>
  <c r="D1074" i="11"/>
  <c r="W1073" i="11"/>
  <c r="K1073" i="11"/>
  <c r="E1073" i="11"/>
  <c r="D1073" i="11"/>
  <c r="W1072" i="11"/>
  <c r="K1072" i="11"/>
  <c r="E1072" i="11"/>
  <c r="D1072" i="11"/>
  <c r="W1071" i="11"/>
  <c r="K1071" i="11"/>
  <c r="E1071" i="11"/>
  <c r="D1071" i="11"/>
  <c r="W1070" i="11"/>
  <c r="K1070" i="11"/>
  <c r="E1070" i="11"/>
  <c r="D1070" i="11"/>
  <c r="W1069" i="11"/>
  <c r="K1069" i="11"/>
  <c r="E1069" i="11"/>
  <c r="D1069" i="11"/>
  <c r="W1068" i="11"/>
  <c r="K1068" i="11"/>
  <c r="E1068" i="11"/>
  <c r="D1068" i="11"/>
  <c r="W1067" i="11"/>
  <c r="K1067" i="11"/>
  <c r="E1067" i="11"/>
  <c r="D1067" i="11"/>
  <c r="W1066" i="11"/>
  <c r="K1066" i="11"/>
  <c r="E1066" i="11"/>
  <c r="D1066" i="11"/>
  <c r="W1065" i="11"/>
  <c r="K1065" i="11"/>
  <c r="E1065" i="11"/>
  <c r="D1065" i="11"/>
  <c r="W1064" i="11"/>
  <c r="K1064" i="11"/>
  <c r="E1064" i="11"/>
  <c r="D1064" i="11"/>
  <c r="W1063" i="11"/>
  <c r="K1063" i="11"/>
  <c r="E1063" i="11"/>
  <c r="D1063" i="11"/>
  <c r="W1062" i="11"/>
  <c r="K1062" i="11"/>
  <c r="E1062" i="11"/>
  <c r="D1062" i="11"/>
  <c r="W1061" i="11"/>
  <c r="K1061" i="11"/>
  <c r="E1061" i="11"/>
  <c r="D1061" i="11"/>
  <c r="W1060" i="11"/>
  <c r="K1060" i="11"/>
  <c r="E1060" i="11"/>
  <c r="D1060" i="11"/>
  <c r="W1059" i="11"/>
  <c r="K1059" i="11"/>
  <c r="E1059" i="11"/>
  <c r="D1059" i="11"/>
  <c r="W1058" i="11"/>
  <c r="K1058" i="11"/>
  <c r="E1058" i="11"/>
  <c r="D1058" i="11"/>
  <c r="W1057" i="11"/>
  <c r="K1057" i="11"/>
  <c r="E1057" i="11"/>
  <c r="D1057" i="11"/>
  <c r="W1056" i="11"/>
  <c r="K1056" i="11"/>
  <c r="E1056" i="11"/>
  <c r="D1056" i="11"/>
  <c r="W1055" i="11"/>
  <c r="K1055" i="11"/>
  <c r="E1055" i="11"/>
  <c r="D1055" i="11"/>
  <c r="W1054" i="11"/>
  <c r="K1054" i="11"/>
  <c r="E1054" i="11"/>
  <c r="D1054" i="11"/>
  <c r="W1053" i="11"/>
  <c r="K1053" i="11"/>
  <c r="E1053" i="11"/>
  <c r="D1053" i="11"/>
  <c r="W1052" i="11"/>
  <c r="K1052" i="11"/>
  <c r="E1052" i="11"/>
  <c r="D1052" i="11"/>
  <c r="W1051" i="11"/>
  <c r="K1051" i="11"/>
  <c r="E1051" i="11"/>
  <c r="D1051" i="11"/>
  <c r="W1050" i="11"/>
  <c r="K1050" i="11"/>
  <c r="E1050" i="11"/>
  <c r="D1050" i="11"/>
  <c r="W1049" i="11"/>
  <c r="K1049" i="11"/>
  <c r="E1049" i="11"/>
  <c r="D1049" i="11"/>
  <c r="W1048" i="11"/>
  <c r="K1048" i="11"/>
  <c r="E1048" i="11"/>
  <c r="D1048" i="11"/>
  <c r="W1047" i="11"/>
  <c r="K1047" i="11"/>
  <c r="E1047" i="11"/>
  <c r="D1047" i="11"/>
  <c r="W1046" i="11"/>
  <c r="K1046" i="11"/>
  <c r="E1046" i="11"/>
  <c r="D1046" i="11"/>
  <c r="W1045" i="11"/>
  <c r="K1045" i="11"/>
  <c r="E1045" i="11"/>
  <c r="D1045" i="11"/>
  <c r="W1044" i="11"/>
  <c r="K1044" i="11"/>
  <c r="E1044" i="11"/>
  <c r="D1044" i="11"/>
  <c r="W1043" i="11"/>
  <c r="K1043" i="11"/>
  <c r="E1043" i="11"/>
  <c r="D1043" i="11"/>
  <c r="W1042" i="11"/>
  <c r="K1042" i="11"/>
  <c r="E1042" i="11"/>
  <c r="D1042" i="11"/>
  <c r="W1041" i="11"/>
  <c r="K1041" i="11"/>
  <c r="E1041" i="11"/>
  <c r="D1041" i="11"/>
  <c r="W1040" i="11"/>
  <c r="K1040" i="11"/>
  <c r="E1040" i="11"/>
  <c r="D1040" i="11"/>
  <c r="W1039" i="11"/>
  <c r="K1039" i="11"/>
  <c r="E1039" i="11"/>
  <c r="D1039" i="11"/>
  <c r="W1038" i="11"/>
  <c r="K1038" i="11"/>
  <c r="E1038" i="11"/>
  <c r="D1038" i="11"/>
  <c r="W1037" i="11"/>
  <c r="K1037" i="11"/>
  <c r="E1037" i="11"/>
  <c r="D1037" i="11"/>
  <c r="W1036" i="11"/>
  <c r="K1036" i="11"/>
  <c r="E1036" i="11"/>
  <c r="D1036" i="11"/>
  <c r="W1035" i="11"/>
  <c r="K1035" i="11"/>
  <c r="E1035" i="11"/>
  <c r="D1035" i="11"/>
  <c r="W1034" i="11"/>
  <c r="K1034" i="11"/>
  <c r="E1034" i="11"/>
  <c r="D1034" i="11"/>
  <c r="W1033" i="11"/>
  <c r="K1033" i="11"/>
  <c r="E1033" i="11"/>
  <c r="D1033" i="11"/>
  <c r="W1032" i="11"/>
  <c r="K1032" i="11"/>
  <c r="E1032" i="11"/>
  <c r="D1032" i="11"/>
  <c r="W1031" i="11"/>
  <c r="K1031" i="11"/>
  <c r="E1031" i="11"/>
  <c r="D1031" i="11"/>
  <c r="W1030" i="11"/>
  <c r="K1030" i="11"/>
  <c r="E1030" i="11"/>
  <c r="D1030" i="11"/>
  <c r="W1029" i="11"/>
  <c r="K1029" i="11"/>
  <c r="E1029" i="11"/>
  <c r="D1029" i="11"/>
  <c r="W1028" i="11"/>
  <c r="K1028" i="11"/>
  <c r="E1028" i="11"/>
  <c r="D1028" i="11"/>
  <c r="W1027" i="11"/>
  <c r="K1027" i="11"/>
  <c r="E1027" i="11"/>
  <c r="D1027" i="11"/>
  <c r="W1026" i="11"/>
  <c r="K1026" i="11"/>
  <c r="E1026" i="11"/>
  <c r="D1026" i="11"/>
  <c r="W1025" i="11"/>
  <c r="K1025" i="11"/>
  <c r="E1025" i="11"/>
  <c r="D1025" i="11"/>
  <c r="W1024" i="11"/>
  <c r="K1024" i="11"/>
  <c r="E1024" i="11"/>
  <c r="D1024" i="11"/>
  <c r="W1023" i="11"/>
  <c r="K1023" i="11"/>
  <c r="E1023" i="11"/>
  <c r="D1023" i="11"/>
  <c r="W1022" i="11"/>
  <c r="K1022" i="11"/>
  <c r="E1022" i="11"/>
  <c r="D1022" i="11"/>
  <c r="W1021" i="11"/>
  <c r="K1021" i="11"/>
  <c r="E1021" i="11"/>
  <c r="D1021" i="11"/>
  <c r="W1020" i="11"/>
  <c r="K1020" i="11"/>
  <c r="E1020" i="11"/>
  <c r="D1020" i="11"/>
  <c r="W1019" i="11"/>
  <c r="K1019" i="11"/>
  <c r="E1019" i="11"/>
  <c r="D1019" i="11"/>
  <c r="W1018" i="11"/>
  <c r="K1018" i="11"/>
  <c r="E1018" i="11"/>
  <c r="D1018" i="11"/>
  <c r="W1017" i="11"/>
  <c r="K1017" i="11"/>
  <c r="E1017" i="11"/>
  <c r="D1017" i="11"/>
  <c r="W1016" i="11"/>
  <c r="K1016" i="11"/>
  <c r="E1016" i="11"/>
  <c r="D1016" i="11"/>
  <c r="W1015" i="11"/>
  <c r="K1015" i="11"/>
  <c r="E1015" i="11"/>
  <c r="D1015" i="11"/>
  <c r="W1014" i="11"/>
  <c r="K1014" i="11"/>
  <c r="E1014" i="11"/>
  <c r="D1014" i="11"/>
  <c r="W1013" i="11"/>
  <c r="K1013" i="11"/>
  <c r="E1013" i="11"/>
  <c r="D1013" i="11"/>
  <c r="W1012" i="11"/>
  <c r="K1012" i="11"/>
  <c r="E1012" i="11"/>
  <c r="D1012" i="11"/>
  <c r="W1011" i="11"/>
  <c r="K1011" i="11"/>
  <c r="E1011" i="11"/>
  <c r="D1011" i="11"/>
  <c r="W1010" i="11"/>
  <c r="K1010" i="11"/>
  <c r="E1010" i="11"/>
  <c r="D1010" i="11"/>
  <c r="W1009" i="11"/>
  <c r="K1009" i="11"/>
  <c r="E1009" i="11"/>
  <c r="D1009" i="11"/>
  <c r="W1008" i="11"/>
  <c r="K1008" i="11"/>
  <c r="E1008" i="11"/>
  <c r="D1008" i="11"/>
  <c r="W1007" i="11"/>
  <c r="K1007" i="11"/>
  <c r="E1007" i="11"/>
  <c r="D1007" i="11"/>
  <c r="W1006" i="11"/>
  <c r="K1006" i="11"/>
  <c r="E1006" i="11"/>
  <c r="D1006" i="11"/>
  <c r="W1005" i="11"/>
  <c r="K1005" i="11"/>
  <c r="E1005" i="11"/>
  <c r="D1005" i="11"/>
  <c r="W1004" i="11"/>
  <c r="K1004" i="11"/>
  <c r="E1004" i="11"/>
  <c r="D1004" i="11"/>
  <c r="W1003" i="11"/>
  <c r="K1003" i="11"/>
  <c r="E1003" i="11"/>
  <c r="D1003" i="11"/>
  <c r="W1002" i="11"/>
  <c r="K1002" i="11"/>
  <c r="E1002" i="11"/>
  <c r="D1002" i="11"/>
  <c r="W1001" i="11"/>
  <c r="K1001" i="11"/>
  <c r="E1001" i="11"/>
  <c r="D1001" i="11"/>
  <c r="W1000" i="11"/>
  <c r="K1000" i="11"/>
  <c r="E1000" i="11"/>
  <c r="D1000" i="11"/>
  <c r="W999" i="11"/>
  <c r="K999" i="11"/>
  <c r="E999" i="11"/>
  <c r="D999" i="11"/>
  <c r="W998" i="11"/>
  <c r="K998" i="11"/>
  <c r="E998" i="11"/>
  <c r="D998" i="11"/>
  <c r="W997" i="11"/>
  <c r="K997" i="11"/>
  <c r="E997" i="11"/>
  <c r="D997" i="11"/>
  <c r="W996" i="11"/>
  <c r="K996" i="11"/>
  <c r="E996" i="11"/>
  <c r="D996" i="11"/>
  <c r="W995" i="11"/>
  <c r="K995" i="11"/>
  <c r="E995" i="11"/>
  <c r="D995" i="11"/>
  <c r="W994" i="11"/>
  <c r="K994" i="11"/>
  <c r="E994" i="11"/>
  <c r="D994" i="11"/>
  <c r="W993" i="11"/>
  <c r="K993" i="11"/>
  <c r="E993" i="11"/>
  <c r="D993" i="11"/>
  <c r="W992" i="11"/>
  <c r="K992" i="11"/>
  <c r="E992" i="11"/>
  <c r="D992" i="11"/>
  <c r="W991" i="11"/>
  <c r="K991" i="11"/>
  <c r="E991" i="11"/>
  <c r="D991" i="11"/>
  <c r="W990" i="11"/>
  <c r="K990" i="11"/>
  <c r="E990" i="11"/>
  <c r="D990" i="11"/>
  <c r="W989" i="11"/>
  <c r="K989" i="11"/>
  <c r="E989" i="11"/>
  <c r="D989" i="11"/>
  <c r="W988" i="11"/>
  <c r="K988" i="11"/>
  <c r="E988" i="11"/>
  <c r="D988" i="11"/>
  <c r="W987" i="11"/>
  <c r="K987" i="11"/>
  <c r="E987" i="11"/>
  <c r="D987" i="11"/>
  <c r="W986" i="11"/>
  <c r="K986" i="11"/>
  <c r="E986" i="11"/>
  <c r="D986" i="11"/>
  <c r="W985" i="11"/>
  <c r="K985" i="11"/>
  <c r="E985" i="11"/>
  <c r="D985" i="11"/>
  <c r="W984" i="11"/>
  <c r="K984" i="11"/>
  <c r="E984" i="11"/>
  <c r="D984" i="11"/>
  <c r="W983" i="11"/>
  <c r="K983" i="11"/>
  <c r="E983" i="11"/>
  <c r="D983" i="11"/>
  <c r="W982" i="11"/>
  <c r="K982" i="11"/>
  <c r="E982" i="11"/>
  <c r="D982" i="11"/>
  <c r="W981" i="11"/>
  <c r="K981" i="11"/>
  <c r="E981" i="11"/>
  <c r="D981" i="11"/>
  <c r="W980" i="11"/>
  <c r="K980" i="11"/>
  <c r="E980" i="11"/>
  <c r="D980" i="11"/>
  <c r="W979" i="11"/>
  <c r="K979" i="11"/>
  <c r="E979" i="11"/>
  <c r="D979" i="11"/>
  <c r="W978" i="11"/>
  <c r="K978" i="11"/>
  <c r="E978" i="11"/>
  <c r="D978" i="11"/>
  <c r="W977" i="11"/>
  <c r="K977" i="11"/>
  <c r="E977" i="11"/>
  <c r="D977" i="11"/>
  <c r="W976" i="11"/>
  <c r="K976" i="11"/>
  <c r="E976" i="11"/>
  <c r="D976" i="11"/>
  <c r="W975" i="11"/>
  <c r="K975" i="11"/>
  <c r="E975" i="11"/>
  <c r="D975" i="11"/>
  <c r="W974" i="11"/>
  <c r="K974" i="11"/>
  <c r="E974" i="11"/>
  <c r="D974" i="11"/>
  <c r="W973" i="11"/>
  <c r="K973" i="11"/>
  <c r="E973" i="11"/>
  <c r="D973" i="11"/>
  <c r="W972" i="11"/>
  <c r="K972" i="11"/>
  <c r="E972" i="11"/>
  <c r="D972" i="11"/>
  <c r="W971" i="11"/>
  <c r="K971" i="11"/>
  <c r="E971" i="11"/>
  <c r="D971" i="11"/>
  <c r="W970" i="11"/>
  <c r="K970" i="11"/>
  <c r="E970" i="11"/>
  <c r="D970" i="11"/>
  <c r="W969" i="11"/>
  <c r="K969" i="11"/>
  <c r="E969" i="11"/>
  <c r="D969" i="11"/>
  <c r="W968" i="11"/>
  <c r="K968" i="11"/>
  <c r="E968" i="11"/>
  <c r="D968" i="11"/>
  <c r="W967" i="11"/>
  <c r="K967" i="11"/>
  <c r="E967" i="11"/>
  <c r="D967" i="11"/>
  <c r="W966" i="11"/>
  <c r="K966" i="11"/>
  <c r="E966" i="11"/>
  <c r="D966" i="11"/>
  <c r="W965" i="11"/>
  <c r="K965" i="11"/>
  <c r="E965" i="11"/>
  <c r="D965" i="11"/>
  <c r="W964" i="11"/>
  <c r="K964" i="11"/>
  <c r="E964" i="11"/>
  <c r="D964" i="11"/>
  <c r="W963" i="11"/>
  <c r="K963" i="11"/>
  <c r="E963" i="11"/>
  <c r="D963" i="11"/>
  <c r="W962" i="11"/>
  <c r="K962" i="11"/>
  <c r="E962" i="11"/>
  <c r="D962" i="11"/>
  <c r="W961" i="11"/>
  <c r="K961" i="11"/>
  <c r="E961" i="11"/>
  <c r="D961" i="11"/>
  <c r="W960" i="11"/>
  <c r="K960" i="11"/>
  <c r="E960" i="11"/>
  <c r="D960" i="11"/>
  <c r="W959" i="11"/>
  <c r="K959" i="11"/>
  <c r="E959" i="11"/>
  <c r="D959" i="11"/>
  <c r="W958" i="11"/>
  <c r="K958" i="11"/>
  <c r="E958" i="11"/>
  <c r="D958" i="11"/>
  <c r="W957" i="11"/>
  <c r="K957" i="11"/>
  <c r="E957" i="11"/>
  <c r="D957" i="11"/>
  <c r="W956" i="11"/>
  <c r="K956" i="11"/>
  <c r="E956" i="11"/>
  <c r="D956" i="11"/>
  <c r="W955" i="11"/>
  <c r="K955" i="11"/>
  <c r="E955" i="11"/>
  <c r="D955" i="11"/>
  <c r="W954" i="11"/>
  <c r="K954" i="11"/>
  <c r="E954" i="11"/>
  <c r="D954" i="11"/>
  <c r="W953" i="11"/>
  <c r="K953" i="11"/>
  <c r="E953" i="11"/>
  <c r="D953" i="11"/>
  <c r="W952" i="11"/>
  <c r="K952" i="11"/>
  <c r="E952" i="11"/>
  <c r="D952" i="11"/>
  <c r="W951" i="11"/>
  <c r="K951" i="11"/>
  <c r="E951" i="11"/>
  <c r="D951" i="11"/>
  <c r="W950" i="11"/>
  <c r="K950" i="11"/>
  <c r="E950" i="11"/>
  <c r="D950" i="11"/>
  <c r="W949" i="11"/>
  <c r="K949" i="11"/>
  <c r="E949" i="11"/>
  <c r="D949" i="11"/>
  <c r="W948" i="11"/>
  <c r="K948" i="11"/>
  <c r="E948" i="11"/>
  <c r="D948" i="11"/>
  <c r="W947" i="11"/>
  <c r="K947" i="11"/>
  <c r="E947" i="11"/>
  <c r="D947" i="11"/>
  <c r="W946" i="11"/>
  <c r="K946" i="11"/>
  <c r="E946" i="11"/>
  <c r="D946" i="11"/>
  <c r="W945" i="11"/>
  <c r="K945" i="11"/>
  <c r="E945" i="11"/>
  <c r="D945" i="11"/>
  <c r="W944" i="11"/>
  <c r="K944" i="11"/>
  <c r="E944" i="11"/>
  <c r="D944" i="11"/>
  <c r="W943" i="11"/>
  <c r="K943" i="11"/>
  <c r="E943" i="11"/>
  <c r="D943" i="11"/>
  <c r="W942" i="11"/>
  <c r="K942" i="11"/>
  <c r="E942" i="11"/>
  <c r="D942" i="11"/>
  <c r="W941" i="11"/>
  <c r="K941" i="11"/>
  <c r="E941" i="11"/>
  <c r="D941" i="11"/>
  <c r="W940" i="11"/>
  <c r="K940" i="11"/>
  <c r="E940" i="11"/>
  <c r="D940" i="11"/>
  <c r="W939" i="11"/>
  <c r="K939" i="11"/>
  <c r="E939" i="11"/>
  <c r="D939" i="11"/>
  <c r="W938" i="11"/>
  <c r="K938" i="11"/>
  <c r="E938" i="11"/>
  <c r="D938" i="11"/>
  <c r="W937" i="11"/>
  <c r="K937" i="11"/>
  <c r="E937" i="11"/>
  <c r="D937" i="11"/>
  <c r="W936" i="11"/>
  <c r="K936" i="11"/>
  <c r="E936" i="11"/>
  <c r="D936" i="11"/>
  <c r="W935" i="11"/>
  <c r="K935" i="11"/>
  <c r="E935" i="11"/>
  <c r="D935" i="11"/>
  <c r="W934" i="11"/>
  <c r="K934" i="11"/>
  <c r="E934" i="11"/>
  <c r="D934" i="11"/>
  <c r="W933" i="11"/>
  <c r="K933" i="11"/>
  <c r="E933" i="11"/>
  <c r="D933" i="11"/>
  <c r="W932" i="11"/>
  <c r="K932" i="11"/>
  <c r="E932" i="11"/>
  <c r="D932" i="11"/>
  <c r="W931" i="11"/>
  <c r="K931" i="11"/>
  <c r="E931" i="11"/>
  <c r="D931" i="11"/>
  <c r="W930" i="11"/>
  <c r="K930" i="11"/>
  <c r="E930" i="11"/>
  <c r="D930" i="11"/>
  <c r="W929" i="11"/>
  <c r="K929" i="11"/>
  <c r="E929" i="11"/>
  <c r="D929" i="11"/>
  <c r="W928" i="11"/>
  <c r="K928" i="11"/>
  <c r="E928" i="11"/>
  <c r="D928" i="11"/>
  <c r="W927" i="11"/>
  <c r="K927" i="11"/>
  <c r="E927" i="11"/>
  <c r="D927" i="11"/>
  <c r="W926" i="11"/>
  <c r="K926" i="11"/>
  <c r="E926" i="11"/>
  <c r="D926" i="11"/>
  <c r="W925" i="11"/>
  <c r="K925" i="11"/>
  <c r="E925" i="11"/>
  <c r="D925" i="11"/>
  <c r="W924" i="11"/>
  <c r="K924" i="11"/>
  <c r="E924" i="11"/>
  <c r="D924" i="11"/>
  <c r="W923" i="11"/>
  <c r="K923" i="11"/>
  <c r="E923" i="11"/>
  <c r="D923" i="11"/>
  <c r="W922" i="11"/>
  <c r="K922" i="11"/>
  <c r="E922" i="11"/>
  <c r="D922" i="11"/>
  <c r="W921" i="11"/>
  <c r="K921" i="11"/>
  <c r="E921" i="11"/>
  <c r="D921" i="11"/>
  <c r="W920" i="11"/>
  <c r="K920" i="11"/>
  <c r="E920" i="11"/>
  <c r="D920" i="11"/>
  <c r="W919" i="11"/>
  <c r="K919" i="11"/>
  <c r="E919" i="11"/>
  <c r="D919" i="11"/>
  <c r="W918" i="11"/>
  <c r="K918" i="11"/>
  <c r="E918" i="11"/>
  <c r="D918" i="11"/>
  <c r="W917" i="11"/>
  <c r="K917" i="11"/>
  <c r="E917" i="11"/>
  <c r="D917" i="11"/>
  <c r="W916" i="11"/>
  <c r="K916" i="11"/>
  <c r="E916" i="11"/>
  <c r="D916" i="11"/>
  <c r="W915" i="11"/>
  <c r="K915" i="11"/>
  <c r="E915" i="11"/>
  <c r="D915" i="11"/>
  <c r="W914" i="11"/>
  <c r="K914" i="11"/>
  <c r="E914" i="11"/>
  <c r="D914" i="11"/>
  <c r="W913" i="11"/>
  <c r="K913" i="11"/>
  <c r="E913" i="11"/>
  <c r="D913" i="11"/>
  <c r="W912" i="11"/>
  <c r="K912" i="11"/>
  <c r="E912" i="11"/>
  <c r="D912" i="11"/>
  <c r="W911" i="11"/>
  <c r="K911" i="11"/>
  <c r="E911" i="11"/>
  <c r="D911" i="11"/>
  <c r="W910" i="11"/>
  <c r="K910" i="11"/>
  <c r="E910" i="11"/>
  <c r="D910" i="11"/>
  <c r="W909" i="11"/>
  <c r="K909" i="11"/>
  <c r="E909" i="11"/>
  <c r="D909" i="11"/>
  <c r="W908" i="11"/>
  <c r="K908" i="11"/>
  <c r="E908" i="11"/>
  <c r="D908" i="11"/>
  <c r="W907" i="11"/>
  <c r="K907" i="11"/>
  <c r="E907" i="11"/>
  <c r="D907" i="11"/>
  <c r="W906" i="11"/>
  <c r="K906" i="11"/>
  <c r="E906" i="11"/>
  <c r="D906" i="11"/>
  <c r="W905" i="11"/>
  <c r="K905" i="11"/>
  <c r="E905" i="11"/>
  <c r="D905" i="11"/>
  <c r="W904" i="11"/>
  <c r="K904" i="11"/>
  <c r="E904" i="11"/>
  <c r="D904" i="11"/>
  <c r="W903" i="11"/>
  <c r="K903" i="11"/>
  <c r="E903" i="11"/>
  <c r="D903" i="11"/>
  <c r="W902" i="11"/>
  <c r="K902" i="11"/>
  <c r="E902" i="11"/>
  <c r="D902" i="11"/>
  <c r="W901" i="11"/>
  <c r="K901" i="11"/>
  <c r="E901" i="11"/>
  <c r="D901" i="11"/>
  <c r="W900" i="11"/>
  <c r="K900" i="11"/>
  <c r="E900" i="11"/>
  <c r="D900" i="11"/>
  <c r="W899" i="11"/>
  <c r="K899" i="11"/>
  <c r="E899" i="11"/>
  <c r="D899" i="11"/>
  <c r="W898" i="11"/>
  <c r="K898" i="11"/>
  <c r="E898" i="11"/>
  <c r="D898" i="11"/>
  <c r="W897" i="11"/>
  <c r="K897" i="11"/>
  <c r="E897" i="11"/>
  <c r="D897" i="11"/>
  <c r="W896" i="11"/>
  <c r="K896" i="11"/>
  <c r="E896" i="11"/>
  <c r="D896" i="11"/>
  <c r="W895" i="11"/>
  <c r="K895" i="11"/>
  <c r="E895" i="11"/>
  <c r="D895" i="11"/>
  <c r="W894" i="11"/>
  <c r="K894" i="11"/>
  <c r="E894" i="11"/>
  <c r="D894" i="11"/>
  <c r="W893" i="11"/>
  <c r="K893" i="11"/>
  <c r="E893" i="11"/>
  <c r="D893" i="11"/>
  <c r="W892" i="11"/>
  <c r="K892" i="11"/>
  <c r="E892" i="11"/>
  <c r="D892" i="11"/>
  <c r="W891" i="11"/>
  <c r="K891" i="11"/>
  <c r="E891" i="11"/>
  <c r="D891" i="11"/>
  <c r="W890" i="11"/>
  <c r="K890" i="11"/>
  <c r="E890" i="11"/>
  <c r="D890" i="11"/>
  <c r="W889" i="11"/>
  <c r="K889" i="11"/>
  <c r="E889" i="11"/>
  <c r="D889" i="11"/>
  <c r="W888" i="11"/>
  <c r="K888" i="11"/>
  <c r="E888" i="11"/>
  <c r="D888" i="11"/>
  <c r="W887" i="11"/>
  <c r="K887" i="11"/>
  <c r="E887" i="11"/>
  <c r="D887" i="11"/>
  <c r="W886" i="11"/>
  <c r="K886" i="11"/>
  <c r="E886" i="11"/>
  <c r="D886" i="11"/>
  <c r="W885" i="11"/>
  <c r="K885" i="11"/>
  <c r="E885" i="11"/>
  <c r="D885" i="11"/>
  <c r="W884" i="11"/>
  <c r="K884" i="11"/>
  <c r="E884" i="11"/>
  <c r="D884" i="11"/>
  <c r="W883" i="11"/>
  <c r="K883" i="11"/>
  <c r="E883" i="11"/>
  <c r="D883" i="11"/>
  <c r="W882" i="11"/>
  <c r="K882" i="11"/>
  <c r="E882" i="11"/>
  <c r="D882" i="11"/>
  <c r="W881" i="11"/>
  <c r="K881" i="11"/>
  <c r="E881" i="11"/>
  <c r="D881" i="11"/>
  <c r="W880" i="11"/>
  <c r="K880" i="11"/>
  <c r="E880" i="11"/>
  <c r="D880" i="11"/>
  <c r="W879" i="11"/>
  <c r="K879" i="11"/>
  <c r="E879" i="11"/>
  <c r="D879" i="11"/>
  <c r="W878" i="11"/>
  <c r="K878" i="11"/>
  <c r="E878" i="11"/>
  <c r="D878" i="11"/>
  <c r="W877" i="11"/>
  <c r="K877" i="11"/>
  <c r="E877" i="11"/>
  <c r="D877" i="11"/>
  <c r="W876" i="11"/>
  <c r="K876" i="11"/>
  <c r="E876" i="11"/>
  <c r="D876" i="11"/>
  <c r="W875" i="11"/>
  <c r="K875" i="11"/>
  <c r="E875" i="11"/>
  <c r="D875" i="11"/>
  <c r="W874" i="11"/>
  <c r="K874" i="11"/>
  <c r="E874" i="11"/>
  <c r="D874" i="11"/>
  <c r="W873" i="11"/>
  <c r="K873" i="11"/>
  <c r="E873" i="11"/>
  <c r="D873" i="11"/>
  <c r="W872" i="11"/>
  <c r="K872" i="11"/>
  <c r="E872" i="11"/>
  <c r="D872" i="11"/>
  <c r="W871" i="11"/>
  <c r="K871" i="11"/>
  <c r="E871" i="11"/>
  <c r="D871" i="11"/>
  <c r="W870" i="11"/>
  <c r="K870" i="11"/>
  <c r="E870" i="11"/>
  <c r="D870" i="11"/>
  <c r="W869" i="11"/>
  <c r="K869" i="11"/>
  <c r="E869" i="11"/>
  <c r="D869" i="11"/>
  <c r="W868" i="11"/>
  <c r="K868" i="11"/>
  <c r="E868" i="11"/>
  <c r="D868" i="11"/>
  <c r="W867" i="11"/>
  <c r="K867" i="11"/>
  <c r="E867" i="11"/>
  <c r="D867" i="11"/>
  <c r="W866" i="11"/>
  <c r="K866" i="11"/>
  <c r="E866" i="11"/>
  <c r="D866" i="11"/>
  <c r="W865" i="11"/>
  <c r="K865" i="11"/>
  <c r="E865" i="11"/>
  <c r="D865" i="11"/>
  <c r="W864" i="11"/>
  <c r="K864" i="11"/>
  <c r="E864" i="11"/>
  <c r="D864" i="11"/>
  <c r="W863" i="11"/>
  <c r="K863" i="11"/>
  <c r="E863" i="11"/>
  <c r="D863" i="11"/>
  <c r="W862" i="11"/>
  <c r="K862" i="11"/>
  <c r="E862" i="11"/>
  <c r="D862" i="11"/>
  <c r="W861" i="11"/>
  <c r="K861" i="11"/>
  <c r="E861" i="11"/>
  <c r="D861" i="11"/>
  <c r="W860" i="11"/>
  <c r="K860" i="11"/>
  <c r="E860" i="11"/>
  <c r="D860" i="11"/>
  <c r="W859" i="11"/>
  <c r="K859" i="11"/>
  <c r="E859" i="11"/>
  <c r="D859" i="11"/>
  <c r="W858" i="11"/>
  <c r="K858" i="11"/>
  <c r="E858" i="11"/>
  <c r="D858" i="11"/>
  <c r="W857" i="11"/>
  <c r="K857" i="11"/>
  <c r="E857" i="11"/>
  <c r="D857" i="11"/>
  <c r="W856" i="11"/>
  <c r="K856" i="11"/>
  <c r="E856" i="11"/>
  <c r="D856" i="11"/>
  <c r="W855" i="11"/>
  <c r="K855" i="11"/>
  <c r="E855" i="11"/>
  <c r="D855" i="11"/>
  <c r="W854" i="11"/>
  <c r="K854" i="11"/>
  <c r="E854" i="11"/>
  <c r="D854" i="11"/>
  <c r="W853" i="11"/>
  <c r="K853" i="11"/>
  <c r="E853" i="11"/>
  <c r="D853" i="11"/>
  <c r="W852" i="11"/>
  <c r="K852" i="11"/>
  <c r="E852" i="11"/>
  <c r="D852" i="11"/>
  <c r="W851" i="11"/>
  <c r="K851" i="11"/>
  <c r="E851" i="11"/>
  <c r="D851" i="11"/>
  <c r="W850" i="11"/>
  <c r="K850" i="11"/>
  <c r="E850" i="11"/>
  <c r="D850" i="11"/>
  <c r="W849" i="11"/>
  <c r="K849" i="11"/>
  <c r="E849" i="11"/>
  <c r="D849" i="11"/>
  <c r="W848" i="11"/>
  <c r="K848" i="11"/>
  <c r="E848" i="11"/>
  <c r="D848" i="11"/>
  <c r="W847" i="11"/>
  <c r="K847" i="11"/>
  <c r="E847" i="11"/>
  <c r="D847" i="11"/>
  <c r="W846" i="11"/>
  <c r="K846" i="11"/>
  <c r="E846" i="11"/>
  <c r="D846" i="11"/>
  <c r="W845" i="11"/>
  <c r="K845" i="11"/>
  <c r="E845" i="11"/>
  <c r="D845" i="11"/>
  <c r="W844" i="11"/>
  <c r="K844" i="11"/>
  <c r="E844" i="11"/>
  <c r="D844" i="11"/>
  <c r="W843" i="11"/>
  <c r="K843" i="11"/>
  <c r="E843" i="11"/>
  <c r="D843" i="11"/>
  <c r="W842" i="11"/>
  <c r="K842" i="11"/>
  <c r="E842" i="11"/>
  <c r="D842" i="11"/>
  <c r="W841" i="11"/>
  <c r="K841" i="11"/>
  <c r="E841" i="11"/>
  <c r="D841" i="11"/>
  <c r="W840" i="11"/>
  <c r="K840" i="11"/>
  <c r="E840" i="11"/>
  <c r="D840" i="11"/>
  <c r="W839" i="11"/>
  <c r="K839" i="11"/>
  <c r="E839" i="11"/>
  <c r="D839" i="11"/>
  <c r="W838" i="11"/>
  <c r="K838" i="11"/>
  <c r="E838" i="11"/>
  <c r="D838" i="11"/>
  <c r="W837" i="11"/>
  <c r="K837" i="11"/>
  <c r="E837" i="11"/>
  <c r="D837" i="11"/>
  <c r="W836" i="11"/>
  <c r="K836" i="11"/>
  <c r="E836" i="11"/>
  <c r="D836" i="11"/>
  <c r="W835" i="11"/>
  <c r="K835" i="11"/>
  <c r="E835" i="11"/>
  <c r="D835" i="11"/>
  <c r="W834" i="11"/>
  <c r="K834" i="11"/>
  <c r="E834" i="11"/>
  <c r="D834" i="11"/>
  <c r="W833" i="11"/>
  <c r="K833" i="11"/>
  <c r="E833" i="11"/>
  <c r="D833" i="11"/>
  <c r="W832" i="11"/>
  <c r="K832" i="11"/>
  <c r="E832" i="11"/>
  <c r="D832" i="11"/>
  <c r="W831" i="11"/>
  <c r="K831" i="11"/>
  <c r="E831" i="11"/>
  <c r="D831" i="11"/>
  <c r="W830" i="11"/>
  <c r="K830" i="11"/>
  <c r="E830" i="11"/>
  <c r="D830" i="11"/>
  <c r="W829" i="11"/>
  <c r="K829" i="11"/>
  <c r="E829" i="11"/>
  <c r="D829" i="11"/>
  <c r="W828" i="11"/>
  <c r="K828" i="11"/>
  <c r="E828" i="11"/>
  <c r="D828" i="11"/>
  <c r="W827" i="11"/>
  <c r="K827" i="11"/>
  <c r="E827" i="11"/>
  <c r="D827" i="11"/>
  <c r="W826" i="11"/>
  <c r="K826" i="11"/>
  <c r="E826" i="11"/>
  <c r="D826" i="11"/>
  <c r="W825" i="11"/>
  <c r="K825" i="11"/>
  <c r="E825" i="11"/>
  <c r="D825" i="11"/>
  <c r="W824" i="11"/>
  <c r="K824" i="11"/>
  <c r="E824" i="11"/>
  <c r="D824" i="11"/>
  <c r="W823" i="11"/>
  <c r="K823" i="11"/>
  <c r="E823" i="11"/>
  <c r="D823" i="11"/>
  <c r="W822" i="11"/>
  <c r="K822" i="11"/>
  <c r="E822" i="11"/>
  <c r="D822" i="11"/>
  <c r="W821" i="11"/>
  <c r="K821" i="11"/>
  <c r="E821" i="11"/>
  <c r="D821" i="11"/>
  <c r="W820" i="11"/>
  <c r="K820" i="11"/>
  <c r="E820" i="11"/>
  <c r="D820" i="11"/>
  <c r="W819" i="11"/>
  <c r="K819" i="11"/>
  <c r="E819" i="11"/>
  <c r="D819" i="11"/>
  <c r="W818" i="11"/>
  <c r="K818" i="11"/>
  <c r="E818" i="11"/>
  <c r="D818" i="11"/>
  <c r="W817" i="11"/>
  <c r="K817" i="11"/>
  <c r="E817" i="11"/>
  <c r="D817" i="11"/>
  <c r="W816" i="11"/>
  <c r="K816" i="11"/>
  <c r="E816" i="11"/>
  <c r="D816" i="11"/>
  <c r="W815" i="11"/>
  <c r="K815" i="11"/>
  <c r="E815" i="11"/>
  <c r="D815" i="11"/>
  <c r="W814" i="11"/>
  <c r="K814" i="11"/>
  <c r="E814" i="11"/>
  <c r="D814" i="11"/>
  <c r="W813" i="11"/>
  <c r="K813" i="11"/>
  <c r="E813" i="11"/>
  <c r="D813" i="11"/>
  <c r="W812" i="11"/>
  <c r="K812" i="11"/>
  <c r="E812" i="11"/>
  <c r="D812" i="11"/>
  <c r="W811" i="11"/>
  <c r="K811" i="11"/>
  <c r="E811" i="11"/>
  <c r="D811" i="11"/>
  <c r="W810" i="11"/>
  <c r="K810" i="11"/>
  <c r="E810" i="11"/>
  <c r="D810" i="11"/>
  <c r="W809" i="11"/>
  <c r="K809" i="11"/>
  <c r="E809" i="11"/>
  <c r="D809" i="11"/>
  <c r="W808" i="11"/>
  <c r="K808" i="11"/>
  <c r="E808" i="11"/>
  <c r="D808" i="11"/>
  <c r="W807" i="11"/>
  <c r="K807" i="11"/>
  <c r="E807" i="11"/>
  <c r="D807" i="11"/>
  <c r="W806" i="11"/>
  <c r="K806" i="11"/>
  <c r="E806" i="11"/>
  <c r="D806" i="11"/>
  <c r="W805" i="11"/>
  <c r="K805" i="11"/>
  <c r="E805" i="11"/>
  <c r="D805" i="11"/>
  <c r="W804" i="11"/>
  <c r="K804" i="11"/>
  <c r="E804" i="11"/>
  <c r="D804" i="11"/>
  <c r="W803" i="11"/>
  <c r="K803" i="11"/>
  <c r="E803" i="11"/>
  <c r="D803" i="11"/>
  <c r="W802" i="11"/>
  <c r="K802" i="11"/>
  <c r="E802" i="11"/>
  <c r="D802" i="11"/>
  <c r="W801" i="11"/>
  <c r="K801" i="11"/>
  <c r="E801" i="11"/>
  <c r="D801" i="11"/>
  <c r="W800" i="11"/>
  <c r="K800" i="11"/>
  <c r="E800" i="11"/>
  <c r="D800" i="11"/>
  <c r="W799" i="11"/>
  <c r="K799" i="11"/>
  <c r="E799" i="11"/>
  <c r="D799" i="11"/>
  <c r="W798" i="11"/>
  <c r="K798" i="11"/>
  <c r="E798" i="11"/>
  <c r="D798" i="11"/>
  <c r="W797" i="11"/>
  <c r="K797" i="11"/>
  <c r="E797" i="11"/>
  <c r="D797" i="11"/>
  <c r="W796" i="11"/>
  <c r="K796" i="11"/>
  <c r="E796" i="11"/>
  <c r="D796" i="11"/>
  <c r="W795" i="11"/>
  <c r="K795" i="11"/>
  <c r="E795" i="11"/>
  <c r="D795" i="11"/>
  <c r="W794" i="11"/>
  <c r="K794" i="11"/>
  <c r="E794" i="11"/>
  <c r="D794" i="11"/>
  <c r="W793" i="11"/>
  <c r="K793" i="11"/>
  <c r="E793" i="11"/>
  <c r="D793" i="11"/>
  <c r="W792" i="11"/>
  <c r="K792" i="11"/>
  <c r="E792" i="11"/>
  <c r="D792" i="11"/>
  <c r="W791" i="11"/>
  <c r="K791" i="11"/>
  <c r="E791" i="11"/>
  <c r="D791" i="11"/>
  <c r="W790" i="11"/>
  <c r="K790" i="11"/>
  <c r="E790" i="11"/>
  <c r="D790" i="11"/>
  <c r="W789" i="11"/>
  <c r="K789" i="11"/>
  <c r="E789" i="11"/>
  <c r="D789" i="11"/>
  <c r="W788" i="11"/>
  <c r="K788" i="11"/>
  <c r="E788" i="11"/>
  <c r="D788" i="11"/>
  <c r="W787" i="11"/>
  <c r="K787" i="11"/>
  <c r="E787" i="11"/>
  <c r="D787" i="11"/>
  <c r="W786" i="11"/>
  <c r="K786" i="11"/>
  <c r="E786" i="11"/>
  <c r="D786" i="11"/>
  <c r="W785" i="11"/>
  <c r="K785" i="11"/>
  <c r="E785" i="11"/>
  <c r="D785" i="11"/>
  <c r="W784" i="11"/>
  <c r="K784" i="11"/>
  <c r="E784" i="11"/>
  <c r="D784" i="11"/>
  <c r="W783" i="11"/>
  <c r="K783" i="11"/>
  <c r="E783" i="11"/>
  <c r="D783" i="11"/>
  <c r="W782" i="11"/>
  <c r="K782" i="11"/>
  <c r="E782" i="11"/>
  <c r="D782" i="11"/>
  <c r="W781" i="11"/>
  <c r="K781" i="11"/>
  <c r="E781" i="11"/>
  <c r="D781" i="11"/>
  <c r="W780" i="11"/>
  <c r="K780" i="11"/>
  <c r="E780" i="11"/>
  <c r="D780" i="11"/>
  <c r="W779" i="11"/>
  <c r="K779" i="11"/>
  <c r="E779" i="11"/>
  <c r="D779" i="11"/>
  <c r="W778" i="11"/>
  <c r="K778" i="11"/>
  <c r="E778" i="11"/>
  <c r="D778" i="11"/>
  <c r="W777" i="11"/>
  <c r="K777" i="11"/>
  <c r="E777" i="11"/>
  <c r="D777" i="11"/>
  <c r="W776" i="11"/>
  <c r="K776" i="11"/>
  <c r="E776" i="11"/>
  <c r="D776" i="11"/>
  <c r="W775" i="11"/>
  <c r="K775" i="11"/>
  <c r="E775" i="11"/>
  <c r="D775" i="11"/>
  <c r="W774" i="11"/>
  <c r="K774" i="11"/>
  <c r="E774" i="11"/>
  <c r="D774" i="11"/>
  <c r="W773" i="11"/>
  <c r="K773" i="11"/>
  <c r="E773" i="11"/>
  <c r="D773" i="11"/>
  <c r="W772" i="11"/>
  <c r="K772" i="11"/>
  <c r="E772" i="11"/>
  <c r="D772" i="11"/>
  <c r="W771" i="11"/>
  <c r="K771" i="11"/>
  <c r="E771" i="11"/>
  <c r="D771" i="11"/>
  <c r="W770" i="11"/>
  <c r="K770" i="11"/>
  <c r="E770" i="11"/>
  <c r="D770" i="11"/>
  <c r="W769" i="11"/>
  <c r="K769" i="11"/>
  <c r="E769" i="11"/>
  <c r="D769" i="11"/>
  <c r="W768" i="11"/>
  <c r="K768" i="11"/>
  <c r="E768" i="11"/>
  <c r="D768" i="11"/>
  <c r="W767" i="11"/>
  <c r="K767" i="11"/>
  <c r="E767" i="11"/>
  <c r="D767" i="11"/>
  <c r="W766" i="11"/>
  <c r="K766" i="11"/>
  <c r="E766" i="11"/>
  <c r="D766" i="11"/>
  <c r="W765" i="11"/>
  <c r="K765" i="11"/>
  <c r="E765" i="11"/>
  <c r="D765" i="11"/>
  <c r="W764" i="11"/>
  <c r="K764" i="11"/>
  <c r="E764" i="11"/>
  <c r="D764" i="11"/>
  <c r="W763" i="11"/>
  <c r="K763" i="11"/>
  <c r="E763" i="11"/>
  <c r="D763" i="11"/>
  <c r="W762" i="11"/>
  <c r="K762" i="11"/>
  <c r="E762" i="11"/>
  <c r="D762" i="11"/>
  <c r="W761" i="11"/>
  <c r="K761" i="11"/>
  <c r="E761" i="11"/>
  <c r="D761" i="11"/>
  <c r="W760" i="11"/>
  <c r="K760" i="11"/>
  <c r="E760" i="11"/>
  <c r="D760" i="11"/>
  <c r="W759" i="11"/>
  <c r="K759" i="11"/>
  <c r="E759" i="11"/>
  <c r="D759" i="11"/>
  <c r="W758" i="11"/>
  <c r="K758" i="11"/>
  <c r="E758" i="11"/>
  <c r="D758" i="11"/>
  <c r="W757" i="11"/>
  <c r="K757" i="11"/>
  <c r="E757" i="11"/>
  <c r="D757" i="11"/>
  <c r="W756" i="11"/>
  <c r="K756" i="11"/>
  <c r="E756" i="11"/>
  <c r="D756" i="11"/>
  <c r="W755" i="11"/>
  <c r="K755" i="11"/>
  <c r="E755" i="11"/>
  <c r="D755" i="11"/>
  <c r="W754" i="11"/>
  <c r="K754" i="11"/>
  <c r="E754" i="11"/>
  <c r="D754" i="11"/>
  <c r="W753" i="11"/>
  <c r="K753" i="11"/>
  <c r="E753" i="11"/>
  <c r="D753" i="11"/>
  <c r="W752" i="11"/>
  <c r="K752" i="11"/>
  <c r="E752" i="11"/>
  <c r="D752" i="11"/>
  <c r="W751" i="11"/>
  <c r="K751" i="11"/>
  <c r="E751" i="11"/>
  <c r="D751" i="11"/>
  <c r="W750" i="11"/>
  <c r="K750" i="11"/>
  <c r="E750" i="11"/>
  <c r="D750" i="11"/>
  <c r="W749" i="11"/>
  <c r="K749" i="11"/>
  <c r="E749" i="11"/>
  <c r="D749" i="11"/>
  <c r="W748" i="11"/>
  <c r="K748" i="11"/>
  <c r="E748" i="11"/>
  <c r="D748" i="11"/>
  <c r="W747" i="11"/>
  <c r="K747" i="11"/>
  <c r="E747" i="11"/>
  <c r="D747" i="11"/>
  <c r="W746" i="11"/>
  <c r="K746" i="11"/>
  <c r="E746" i="11"/>
  <c r="D746" i="11"/>
  <c r="W745" i="11"/>
  <c r="K745" i="11"/>
  <c r="E745" i="11"/>
  <c r="D745" i="11"/>
  <c r="W744" i="11"/>
  <c r="K744" i="11"/>
  <c r="E744" i="11"/>
  <c r="D744" i="11"/>
  <c r="W743" i="11"/>
  <c r="K743" i="11"/>
  <c r="E743" i="11"/>
  <c r="D743" i="11"/>
  <c r="W742" i="11"/>
  <c r="K742" i="11"/>
  <c r="E742" i="11"/>
  <c r="D742" i="11"/>
  <c r="W741" i="11"/>
  <c r="K741" i="11"/>
  <c r="E741" i="11"/>
  <c r="D741" i="11"/>
  <c r="W740" i="11"/>
  <c r="K740" i="11"/>
  <c r="E740" i="11"/>
  <c r="D740" i="11"/>
  <c r="W739" i="11"/>
  <c r="K739" i="11"/>
  <c r="E739" i="11"/>
  <c r="D739" i="11"/>
  <c r="W738" i="11"/>
  <c r="K738" i="11"/>
  <c r="E738" i="11"/>
  <c r="D738" i="11"/>
  <c r="W737" i="11"/>
  <c r="K737" i="11"/>
  <c r="E737" i="11"/>
  <c r="D737" i="11"/>
  <c r="W736" i="11"/>
  <c r="K736" i="11"/>
  <c r="E736" i="11"/>
  <c r="D736" i="11"/>
  <c r="W735" i="11"/>
  <c r="K735" i="11"/>
  <c r="E735" i="11"/>
  <c r="D735" i="11"/>
  <c r="W734" i="11"/>
  <c r="K734" i="11"/>
  <c r="E734" i="11"/>
  <c r="D734" i="11"/>
  <c r="W733" i="11"/>
  <c r="K733" i="11"/>
  <c r="E733" i="11"/>
  <c r="D733" i="11"/>
  <c r="W732" i="11"/>
  <c r="K732" i="11"/>
  <c r="E732" i="11"/>
  <c r="D732" i="11"/>
  <c r="W731" i="11"/>
  <c r="K731" i="11"/>
  <c r="E731" i="11"/>
  <c r="D731" i="11"/>
  <c r="W730" i="11"/>
  <c r="K730" i="11"/>
  <c r="E730" i="11"/>
  <c r="D730" i="11"/>
  <c r="W729" i="11"/>
  <c r="K729" i="11"/>
  <c r="E729" i="11"/>
  <c r="D729" i="11"/>
  <c r="W728" i="11"/>
  <c r="K728" i="11"/>
  <c r="E728" i="11"/>
  <c r="D728" i="11"/>
  <c r="W727" i="11"/>
  <c r="K727" i="11"/>
  <c r="E727" i="11"/>
  <c r="D727" i="11"/>
  <c r="W726" i="11"/>
  <c r="K726" i="11"/>
  <c r="E726" i="11"/>
  <c r="D726" i="11"/>
  <c r="W725" i="11"/>
  <c r="K725" i="11"/>
  <c r="E725" i="11"/>
  <c r="D725" i="11"/>
  <c r="W724" i="11"/>
  <c r="K724" i="11"/>
  <c r="E724" i="11"/>
  <c r="D724" i="11"/>
  <c r="W723" i="11"/>
  <c r="K723" i="11"/>
  <c r="E723" i="11"/>
  <c r="D723" i="11"/>
  <c r="W722" i="11"/>
  <c r="K722" i="11"/>
  <c r="E722" i="11"/>
  <c r="D722" i="11"/>
  <c r="W721" i="11"/>
  <c r="K721" i="11"/>
  <c r="E721" i="11"/>
  <c r="D721" i="11"/>
  <c r="W720" i="11"/>
  <c r="K720" i="11"/>
  <c r="E720" i="11"/>
  <c r="D720" i="11"/>
  <c r="W719" i="11"/>
  <c r="K719" i="11"/>
  <c r="E719" i="11"/>
  <c r="D719" i="11"/>
  <c r="W718" i="11"/>
  <c r="K718" i="11"/>
  <c r="E718" i="11"/>
  <c r="D718" i="11"/>
  <c r="W717" i="11"/>
  <c r="K717" i="11"/>
  <c r="E717" i="11"/>
  <c r="D717" i="11"/>
  <c r="W716" i="11"/>
  <c r="K716" i="11"/>
  <c r="E716" i="11"/>
  <c r="D716" i="11"/>
  <c r="W715" i="11"/>
  <c r="K715" i="11"/>
  <c r="E715" i="11"/>
  <c r="D715" i="11"/>
  <c r="W714" i="11"/>
  <c r="K714" i="11"/>
  <c r="E714" i="11"/>
  <c r="D714" i="11"/>
  <c r="W713" i="11"/>
  <c r="K713" i="11"/>
  <c r="E713" i="11"/>
  <c r="D713" i="11"/>
  <c r="W712" i="11"/>
  <c r="K712" i="11"/>
  <c r="E712" i="11"/>
  <c r="D712" i="11"/>
  <c r="W711" i="11"/>
  <c r="K711" i="11"/>
  <c r="E711" i="11"/>
  <c r="D711" i="11"/>
  <c r="W710" i="11"/>
  <c r="K710" i="11"/>
  <c r="E710" i="11"/>
  <c r="D710" i="11"/>
  <c r="W709" i="11"/>
  <c r="K709" i="11"/>
  <c r="E709" i="11"/>
  <c r="D709" i="11"/>
  <c r="W708" i="11"/>
  <c r="K708" i="11"/>
  <c r="E708" i="11"/>
  <c r="D708" i="11"/>
  <c r="W707" i="11"/>
  <c r="K707" i="11"/>
  <c r="E707" i="11"/>
  <c r="D707" i="11"/>
  <c r="W706" i="11"/>
  <c r="K706" i="11"/>
  <c r="E706" i="11"/>
  <c r="D706" i="11"/>
  <c r="W705" i="11"/>
  <c r="K705" i="11"/>
  <c r="E705" i="11"/>
  <c r="D705" i="11"/>
  <c r="W704" i="11"/>
  <c r="K704" i="11"/>
  <c r="E704" i="11"/>
  <c r="D704" i="11"/>
  <c r="W703" i="11"/>
  <c r="K703" i="11"/>
  <c r="E703" i="11"/>
  <c r="D703" i="11"/>
  <c r="W702" i="11"/>
  <c r="K702" i="11"/>
  <c r="E702" i="11"/>
  <c r="D702" i="11"/>
  <c r="W701" i="11"/>
  <c r="K701" i="11"/>
  <c r="E701" i="11"/>
  <c r="D701" i="11"/>
  <c r="W700" i="11"/>
  <c r="K700" i="11"/>
  <c r="E700" i="11"/>
  <c r="D700" i="11"/>
  <c r="W699" i="11"/>
  <c r="K699" i="11"/>
  <c r="E699" i="11"/>
  <c r="D699" i="11"/>
  <c r="W698" i="11"/>
  <c r="K698" i="11"/>
  <c r="E698" i="11"/>
  <c r="D698" i="11"/>
  <c r="W697" i="11"/>
  <c r="K697" i="11"/>
  <c r="E697" i="11"/>
  <c r="D697" i="11"/>
  <c r="W696" i="11"/>
  <c r="K696" i="11"/>
  <c r="E696" i="11"/>
  <c r="D696" i="11"/>
  <c r="W695" i="11"/>
  <c r="K695" i="11"/>
  <c r="E695" i="11"/>
  <c r="D695" i="11"/>
  <c r="W694" i="11"/>
  <c r="K694" i="11"/>
  <c r="E694" i="11"/>
  <c r="D694" i="11"/>
  <c r="W693" i="11"/>
  <c r="K693" i="11"/>
  <c r="E693" i="11"/>
  <c r="D693" i="11"/>
  <c r="W692" i="11"/>
  <c r="K692" i="11"/>
  <c r="E692" i="11"/>
  <c r="D692" i="11"/>
  <c r="W691" i="11"/>
  <c r="K691" i="11"/>
  <c r="E691" i="11"/>
  <c r="D691" i="11"/>
  <c r="W690" i="11"/>
  <c r="K690" i="11"/>
  <c r="E690" i="11"/>
  <c r="D690" i="11"/>
  <c r="W689" i="11"/>
  <c r="K689" i="11"/>
  <c r="E689" i="11"/>
  <c r="D689" i="11"/>
  <c r="W688" i="11"/>
  <c r="K688" i="11"/>
  <c r="E688" i="11"/>
  <c r="D688" i="11"/>
  <c r="W687" i="11"/>
  <c r="K687" i="11"/>
  <c r="E687" i="11"/>
  <c r="D687" i="11"/>
  <c r="W686" i="11"/>
  <c r="K686" i="11"/>
  <c r="E686" i="11"/>
  <c r="D686" i="11"/>
  <c r="W685" i="11"/>
  <c r="K685" i="11"/>
  <c r="E685" i="11"/>
  <c r="D685" i="11"/>
  <c r="W684" i="11"/>
  <c r="K684" i="11"/>
  <c r="E684" i="11"/>
  <c r="D684" i="11"/>
  <c r="W683" i="11"/>
  <c r="K683" i="11"/>
  <c r="E683" i="11"/>
  <c r="D683" i="11"/>
  <c r="W682" i="11"/>
  <c r="K682" i="11"/>
  <c r="E682" i="11"/>
  <c r="D682" i="11"/>
  <c r="W681" i="11"/>
  <c r="K681" i="11"/>
  <c r="E681" i="11"/>
  <c r="D681" i="11"/>
  <c r="W680" i="11"/>
  <c r="K680" i="11"/>
  <c r="E680" i="11"/>
  <c r="D680" i="11"/>
  <c r="W679" i="11"/>
  <c r="K679" i="11"/>
  <c r="E679" i="11"/>
  <c r="D679" i="11"/>
  <c r="W678" i="11"/>
  <c r="K678" i="11"/>
  <c r="E678" i="11"/>
  <c r="D678" i="11"/>
  <c r="W677" i="11"/>
  <c r="K677" i="11"/>
  <c r="E677" i="11"/>
  <c r="D677" i="11"/>
  <c r="W676" i="11"/>
  <c r="K676" i="11"/>
  <c r="E676" i="11"/>
  <c r="D676" i="11"/>
  <c r="W675" i="11"/>
  <c r="K675" i="11"/>
  <c r="E675" i="11"/>
  <c r="D675" i="11"/>
  <c r="W674" i="11"/>
  <c r="K674" i="11"/>
  <c r="E674" i="11"/>
  <c r="D674" i="11"/>
  <c r="W673" i="11"/>
  <c r="K673" i="11"/>
  <c r="E673" i="11"/>
  <c r="D673" i="11"/>
  <c r="W672" i="11"/>
  <c r="K672" i="11"/>
  <c r="E672" i="11"/>
  <c r="D672" i="11"/>
  <c r="W671" i="11"/>
  <c r="K671" i="11"/>
  <c r="E671" i="11"/>
  <c r="D671" i="11"/>
  <c r="W670" i="11"/>
  <c r="K670" i="11"/>
  <c r="E670" i="11"/>
  <c r="D670" i="11"/>
  <c r="W669" i="11"/>
  <c r="K669" i="11"/>
  <c r="E669" i="11"/>
  <c r="D669" i="11"/>
  <c r="W668" i="11"/>
  <c r="K668" i="11"/>
  <c r="E668" i="11"/>
  <c r="D668" i="11"/>
  <c r="W667" i="11"/>
  <c r="K667" i="11"/>
  <c r="E667" i="11"/>
  <c r="D667" i="11"/>
  <c r="W666" i="11"/>
  <c r="K666" i="11"/>
  <c r="E666" i="11"/>
  <c r="D666" i="11"/>
  <c r="W665" i="11"/>
  <c r="K665" i="11"/>
  <c r="E665" i="11"/>
  <c r="D665" i="11"/>
  <c r="W664" i="11"/>
  <c r="K664" i="11"/>
  <c r="E664" i="11"/>
  <c r="D664" i="11"/>
  <c r="W663" i="11"/>
  <c r="K663" i="11"/>
  <c r="E663" i="11"/>
  <c r="D663" i="11"/>
  <c r="W662" i="11"/>
  <c r="K662" i="11"/>
  <c r="E662" i="11"/>
  <c r="D662" i="11"/>
  <c r="W661" i="11"/>
  <c r="K661" i="11"/>
  <c r="E661" i="11"/>
  <c r="D661" i="11"/>
  <c r="W660" i="11"/>
  <c r="K660" i="11"/>
  <c r="E660" i="11"/>
  <c r="D660" i="11"/>
  <c r="W659" i="11"/>
  <c r="K659" i="11"/>
  <c r="E659" i="11"/>
  <c r="D659" i="11"/>
  <c r="W658" i="11"/>
  <c r="K658" i="11"/>
  <c r="E658" i="11"/>
  <c r="D658" i="11"/>
  <c r="W657" i="11"/>
  <c r="K657" i="11"/>
  <c r="E657" i="11"/>
  <c r="D657" i="11"/>
  <c r="W656" i="11"/>
  <c r="K656" i="11"/>
  <c r="E656" i="11"/>
  <c r="D656" i="11"/>
  <c r="W655" i="11"/>
  <c r="K655" i="11"/>
  <c r="E655" i="11"/>
  <c r="D655" i="11"/>
  <c r="W654" i="11"/>
  <c r="K654" i="11"/>
  <c r="E654" i="11"/>
  <c r="D654" i="11"/>
  <c r="W653" i="11"/>
  <c r="K653" i="11"/>
  <c r="E653" i="11"/>
  <c r="D653" i="11"/>
  <c r="W652" i="11"/>
  <c r="K652" i="11"/>
  <c r="E652" i="11"/>
  <c r="D652" i="11"/>
  <c r="W651" i="11"/>
  <c r="K651" i="11"/>
  <c r="E651" i="11"/>
  <c r="D651" i="11"/>
  <c r="W650" i="11"/>
  <c r="K650" i="11"/>
  <c r="E650" i="11"/>
  <c r="D650" i="11"/>
  <c r="W649" i="11"/>
  <c r="K649" i="11"/>
  <c r="E649" i="11"/>
  <c r="D649" i="11"/>
  <c r="W648" i="11"/>
  <c r="K648" i="11"/>
  <c r="E648" i="11"/>
  <c r="D648" i="11"/>
  <c r="W647" i="11"/>
  <c r="K647" i="11"/>
  <c r="E647" i="11"/>
  <c r="D647" i="11"/>
  <c r="W646" i="11"/>
  <c r="K646" i="11"/>
  <c r="E646" i="11"/>
  <c r="D646" i="11"/>
  <c r="W645" i="11"/>
  <c r="K645" i="11"/>
  <c r="E645" i="11"/>
  <c r="D645" i="11"/>
  <c r="W644" i="11"/>
  <c r="K644" i="11"/>
  <c r="E644" i="11"/>
  <c r="D644" i="11"/>
  <c r="W643" i="11"/>
  <c r="K643" i="11"/>
  <c r="E643" i="11"/>
  <c r="D643" i="11"/>
  <c r="W642" i="11"/>
  <c r="K642" i="11"/>
  <c r="E642" i="11"/>
  <c r="D642" i="11"/>
  <c r="W641" i="11"/>
  <c r="K641" i="11"/>
  <c r="E641" i="11"/>
  <c r="D641" i="11"/>
  <c r="W640" i="11"/>
  <c r="K640" i="11"/>
  <c r="E640" i="11"/>
  <c r="D640" i="11"/>
  <c r="W639" i="11"/>
  <c r="K639" i="11"/>
  <c r="E639" i="11"/>
  <c r="D639" i="11"/>
  <c r="W638" i="11"/>
  <c r="K638" i="11"/>
  <c r="E638" i="11"/>
  <c r="D638" i="11"/>
  <c r="W637" i="11"/>
  <c r="K637" i="11"/>
  <c r="E637" i="11"/>
  <c r="D637" i="11"/>
  <c r="W636" i="11"/>
  <c r="K636" i="11"/>
  <c r="E636" i="11"/>
  <c r="D636" i="11"/>
  <c r="W635" i="11"/>
  <c r="K635" i="11"/>
  <c r="E635" i="11"/>
  <c r="D635" i="11"/>
  <c r="W634" i="11"/>
  <c r="K634" i="11"/>
  <c r="E634" i="11"/>
  <c r="D634" i="11"/>
  <c r="W633" i="11"/>
  <c r="K633" i="11"/>
  <c r="E633" i="11"/>
  <c r="D633" i="11"/>
  <c r="W632" i="11"/>
  <c r="K632" i="11"/>
  <c r="E632" i="11"/>
  <c r="D632" i="11"/>
  <c r="W631" i="11"/>
  <c r="K631" i="11"/>
  <c r="E631" i="11"/>
  <c r="D631" i="11"/>
  <c r="W630" i="11"/>
  <c r="K630" i="11"/>
  <c r="E630" i="11"/>
  <c r="D630" i="11"/>
  <c r="W629" i="11"/>
  <c r="K629" i="11"/>
  <c r="E629" i="11"/>
  <c r="D629" i="11"/>
  <c r="W628" i="11"/>
  <c r="K628" i="11"/>
  <c r="E628" i="11"/>
  <c r="D628" i="11"/>
  <c r="W627" i="11"/>
  <c r="K627" i="11"/>
  <c r="E627" i="11"/>
  <c r="D627" i="11"/>
  <c r="W626" i="11"/>
  <c r="K626" i="11"/>
  <c r="E626" i="11"/>
  <c r="D626" i="11"/>
  <c r="W625" i="11"/>
  <c r="K625" i="11"/>
  <c r="E625" i="11"/>
  <c r="D625" i="11"/>
  <c r="W624" i="11"/>
  <c r="K624" i="11"/>
  <c r="E624" i="11"/>
  <c r="D624" i="11"/>
  <c r="W623" i="11"/>
  <c r="K623" i="11"/>
  <c r="E623" i="11"/>
  <c r="D623" i="11"/>
  <c r="W622" i="11"/>
  <c r="K622" i="11"/>
  <c r="E622" i="11"/>
  <c r="D622" i="11"/>
  <c r="W621" i="11"/>
  <c r="K621" i="11"/>
  <c r="E621" i="11"/>
  <c r="D621" i="11"/>
  <c r="W620" i="11"/>
  <c r="K620" i="11"/>
  <c r="E620" i="11"/>
  <c r="D620" i="11"/>
  <c r="W619" i="11"/>
  <c r="K619" i="11"/>
  <c r="E619" i="11"/>
  <c r="D619" i="11"/>
  <c r="W618" i="11"/>
  <c r="K618" i="11"/>
  <c r="E618" i="11"/>
  <c r="D618" i="11"/>
  <c r="W617" i="11"/>
  <c r="K617" i="11"/>
  <c r="E617" i="11"/>
  <c r="D617" i="11"/>
  <c r="W616" i="11"/>
  <c r="K616" i="11"/>
  <c r="E616" i="11"/>
  <c r="D616" i="11"/>
  <c r="W615" i="11"/>
  <c r="K615" i="11"/>
  <c r="E615" i="11"/>
  <c r="D615" i="11"/>
  <c r="W614" i="11"/>
  <c r="K614" i="11"/>
  <c r="E614" i="11"/>
  <c r="D614" i="11"/>
  <c r="W613" i="11"/>
  <c r="K613" i="11"/>
  <c r="E613" i="11"/>
  <c r="D613" i="11"/>
  <c r="W612" i="11"/>
  <c r="K612" i="11"/>
  <c r="E612" i="11"/>
  <c r="D612" i="11"/>
  <c r="W611" i="11"/>
  <c r="K611" i="11"/>
  <c r="E611" i="11"/>
  <c r="D611" i="11"/>
  <c r="W610" i="11"/>
  <c r="K610" i="11"/>
  <c r="E610" i="11"/>
  <c r="D610" i="11"/>
  <c r="W609" i="11"/>
  <c r="K609" i="11"/>
  <c r="E609" i="11"/>
  <c r="D609" i="11"/>
  <c r="W608" i="11"/>
  <c r="K608" i="11"/>
  <c r="E608" i="11"/>
  <c r="D608" i="11"/>
  <c r="W607" i="11"/>
  <c r="K607" i="11"/>
  <c r="E607" i="11"/>
  <c r="D607" i="11"/>
  <c r="W606" i="11"/>
  <c r="K606" i="11"/>
  <c r="E606" i="11"/>
  <c r="D606" i="11"/>
  <c r="W605" i="11"/>
  <c r="K605" i="11"/>
  <c r="E605" i="11"/>
  <c r="D605" i="11"/>
  <c r="W604" i="11"/>
  <c r="K604" i="11"/>
  <c r="E604" i="11"/>
  <c r="D604" i="11"/>
  <c r="W603" i="11"/>
  <c r="K603" i="11"/>
  <c r="E603" i="11"/>
  <c r="D603" i="11"/>
  <c r="W602" i="11"/>
  <c r="K602" i="11"/>
  <c r="E602" i="11"/>
  <c r="D602" i="11"/>
  <c r="W601" i="11"/>
  <c r="K601" i="11"/>
  <c r="E601" i="11"/>
  <c r="D601" i="11"/>
  <c r="W600" i="11"/>
  <c r="K600" i="11"/>
  <c r="E600" i="11"/>
  <c r="D600" i="11"/>
  <c r="W599" i="11"/>
  <c r="K599" i="11"/>
  <c r="E599" i="11"/>
  <c r="D599" i="11"/>
  <c r="W598" i="11"/>
  <c r="K598" i="11"/>
  <c r="E598" i="11"/>
  <c r="D598" i="11"/>
  <c r="W597" i="11"/>
  <c r="K597" i="11"/>
  <c r="E597" i="11"/>
  <c r="D597" i="11"/>
  <c r="W596" i="11"/>
  <c r="K596" i="11"/>
  <c r="E596" i="11"/>
  <c r="D596" i="11"/>
  <c r="W595" i="11"/>
  <c r="K595" i="11"/>
  <c r="E595" i="11"/>
  <c r="D595" i="11"/>
  <c r="W594" i="11"/>
  <c r="K594" i="11"/>
  <c r="E594" i="11"/>
  <c r="D594" i="11"/>
  <c r="W593" i="11"/>
  <c r="K593" i="11"/>
  <c r="E593" i="11"/>
  <c r="D593" i="11"/>
  <c r="W592" i="11"/>
  <c r="K592" i="11"/>
  <c r="E592" i="11"/>
  <c r="D592" i="11"/>
  <c r="W591" i="11"/>
  <c r="K591" i="11"/>
  <c r="E591" i="11"/>
  <c r="D591" i="11"/>
  <c r="W590" i="11"/>
  <c r="K590" i="11"/>
  <c r="E590" i="11"/>
  <c r="D590" i="11"/>
  <c r="W589" i="11"/>
  <c r="K589" i="11"/>
  <c r="E589" i="11"/>
  <c r="D589" i="11"/>
  <c r="W588" i="11"/>
  <c r="K588" i="11"/>
  <c r="E588" i="11"/>
  <c r="D588" i="11"/>
  <c r="W587" i="11"/>
  <c r="K587" i="11"/>
  <c r="E587" i="11"/>
  <c r="D587" i="11"/>
  <c r="W586" i="11"/>
  <c r="K586" i="11"/>
  <c r="E586" i="11"/>
  <c r="D586" i="11"/>
  <c r="W585" i="11"/>
  <c r="K585" i="11"/>
  <c r="E585" i="11"/>
  <c r="D585" i="11"/>
  <c r="W584" i="11"/>
  <c r="K584" i="11"/>
  <c r="E584" i="11"/>
  <c r="D584" i="11"/>
  <c r="W583" i="11"/>
  <c r="K583" i="11"/>
  <c r="E583" i="11"/>
  <c r="D583" i="11"/>
  <c r="W582" i="11"/>
  <c r="K582" i="11"/>
  <c r="E582" i="11"/>
  <c r="D582" i="11"/>
  <c r="W581" i="11"/>
  <c r="K581" i="11"/>
  <c r="E581" i="11"/>
  <c r="D581" i="11"/>
  <c r="W580" i="11"/>
  <c r="K580" i="11"/>
  <c r="E580" i="11"/>
  <c r="D580" i="11"/>
  <c r="W579" i="11"/>
  <c r="K579" i="11"/>
  <c r="E579" i="11"/>
  <c r="D579" i="11"/>
  <c r="W578" i="11"/>
  <c r="K578" i="11"/>
  <c r="E578" i="11"/>
  <c r="D578" i="11"/>
  <c r="W577" i="11"/>
  <c r="K577" i="11"/>
  <c r="E577" i="11"/>
  <c r="D577" i="11"/>
  <c r="W576" i="11"/>
  <c r="K576" i="11"/>
  <c r="E576" i="11"/>
  <c r="D576" i="11"/>
  <c r="W575" i="11"/>
  <c r="K575" i="11"/>
  <c r="E575" i="11"/>
  <c r="D575" i="11"/>
  <c r="W574" i="11"/>
  <c r="K574" i="11"/>
  <c r="E574" i="11"/>
  <c r="D574" i="11"/>
  <c r="W573" i="11"/>
  <c r="K573" i="11"/>
  <c r="E573" i="11"/>
  <c r="D573" i="11"/>
  <c r="W572" i="11"/>
  <c r="K572" i="11"/>
  <c r="E572" i="11"/>
  <c r="D572" i="11"/>
  <c r="W571" i="11"/>
  <c r="K571" i="11"/>
  <c r="E571" i="11"/>
  <c r="D571" i="11"/>
  <c r="W570" i="11"/>
  <c r="K570" i="11"/>
  <c r="E570" i="11"/>
  <c r="D570" i="11"/>
  <c r="W569" i="11"/>
  <c r="K569" i="11"/>
  <c r="E569" i="11"/>
  <c r="D569" i="11"/>
  <c r="W568" i="11"/>
  <c r="K568" i="11"/>
  <c r="E568" i="11"/>
  <c r="D568" i="11"/>
  <c r="W567" i="11"/>
  <c r="K567" i="11"/>
  <c r="E567" i="11"/>
  <c r="D567" i="11"/>
  <c r="W566" i="11"/>
  <c r="K566" i="11"/>
  <c r="E566" i="11"/>
  <c r="D566" i="11"/>
  <c r="W565" i="11"/>
  <c r="K565" i="11"/>
  <c r="E565" i="11"/>
  <c r="D565" i="11"/>
  <c r="W564" i="11"/>
  <c r="K564" i="11"/>
  <c r="E564" i="11"/>
  <c r="D564" i="11"/>
  <c r="W563" i="11"/>
  <c r="K563" i="11"/>
  <c r="E563" i="11"/>
  <c r="D563" i="11"/>
  <c r="W562" i="11"/>
  <c r="K562" i="11"/>
  <c r="E562" i="11"/>
  <c r="D562" i="11"/>
  <c r="W561" i="11"/>
  <c r="K561" i="11"/>
  <c r="E561" i="11"/>
  <c r="D561" i="11"/>
  <c r="W560" i="11"/>
  <c r="K560" i="11"/>
  <c r="E560" i="11"/>
  <c r="D560" i="11"/>
  <c r="W559" i="11"/>
  <c r="K559" i="11"/>
  <c r="E559" i="11"/>
  <c r="D559" i="11"/>
  <c r="W558" i="11"/>
  <c r="K558" i="11"/>
  <c r="E558" i="11"/>
  <c r="D558" i="11"/>
  <c r="W557" i="11"/>
  <c r="K557" i="11"/>
  <c r="E557" i="11"/>
  <c r="D557" i="11"/>
  <c r="W556" i="11"/>
  <c r="K556" i="11"/>
  <c r="E556" i="11"/>
  <c r="D556" i="11"/>
  <c r="W555" i="11"/>
  <c r="K555" i="11"/>
  <c r="E555" i="11"/>
  <c r="D555" i="11"/>
  <c r="W554" i="11"/>
  <c r="K554" i="11"/>
  <c r="E554" i="11"/>
  <c r="D554" i="11"/>
  <c r="W553" i="11"/>
  <c r="K553" i="11"/>
  <c r="E553" i="11"/>
  <c r="D553" i="11"/>
  <c r="W552" i="11"/>
  <c r="K552" i="11"/>
  <c r="E552" i="11"/>
  <c r="D552" i="11"/>
  <c r="W551" i="11"/>
  <c r="K551" i="11"/>
  <c r="E551" i="11"/>
  <c r="D551" i="11"/>
  <c r="W550" i="11"/>
  <c r="K550" i="11"/>
  <c r="E550" i="11"/>
  <c r="D550" i="11"/>
  <c r="W549" i="11"/>
  <c r="K549" i="11"/>
  <c r="E549" i="11"/>
  <c r="D549" i="11"/>
  <c r="W548" i="11"/>
  <c r="K548" i="11"/>
  <c r="E548" i="11"/>
  <c r="D548" i="11"/>
  <c r="W547" i="11"/>
  <c r="K547" i="11"/>
  <c r="E547" i="11"/>
  <c r="D547" i="11"/>
  <c r="W546" i="11"/>
  <c r="K546" i="11"/>
  <c r="E546" i="11"/>
  <c r="D546" i="11"/>
  <c r="W545" i="11"/>
  <c r="K545" i="11"/>
  <c r="E545" i="11"/>
  <c r="D545" i="11"/>
  <c r="W544" i="11"/>
  <c r="K544" i="11"/>
  <c r="E544" i="11"/>
  <c r="D544" i="11"/>
  <c r="W543" i="11"/>
  <c r="K543" i="11"/>
  <c r="E543" i="11"/>
  <c r="D543" i="11"/>
  <c r="W542" i="11"/>
  <c r="K542" i="11"/>
  <c r="E542" i="11"/>
  <c r="D542" i="11"/>
  <c r="W541" i="11"/>
  <c r="K541" i="11"/>
  <c r="E541" i="11"/>
  <c r="D541" i="11"/>
  <c r="W540" i="11"/>
  <c r="K540" i="11"/>
  <c r="E540" i="11"/>
  <c r="D540" i="11"/>
  <c r="W539" i="11"/>
  <c r="K539" i="11"/>
  <c r="E539" i="11"/>
  <c r="D539" i="11"/>
  <c r="W538" i="11"/>
  <c r="K538" i="11"/>
  <c r="E538" i="11"/>
  <c r="D538" i="11"/>
  <c r="W537" i="11"/>
  <c r="K537" i="11"/>
  <c r="E537" i="11"/>
  <c r="D537" i="11"/>
  <c r="W536" i="11"/>
  <c r="K536" i="11"/>
  <c r="E536" i="11"/>
  <c r="D536" i="11"/>
  <c r="W535" i="11"/>
  <c r="K535" i="11"/>
  <c r="E535" i="11"/>
  <c r="D535" i="11"/>
  <c r="W534" i="11"/>
  <c r="K534" i="11"/>
  <c r="E534" i="11"/>
  <c r="D534" i="11"/>
  <c r="W533" i="11"/>
  <c r="K533" i="11"/>
  <c r="E533" i="11"/>
  <c r="D533" i="11"/>
  <c r="W532" i="11"/>
  <c r="K532" i="11"/>
  <c r="E532" i="11"/>
  <c r="D532" i="11"/>
  <c r="W531" i="11"/>
  <c r="K531" i="11"/>
  <c r="E531" i="11"/>
  <c r="D531" i="11"/>
  <c r="W530" i="11"/>
  <c r="K530" i="11"/>
  <c r="E530" i="11"/>
  <c r="D530" i="11"/>
  <c r="W529" i="11"/>
  <c r="K529" i="11"/>
  <c r="E529" i="11"/>
  <c r="D529" i="11"/>
  <c r="W528" i="11"/>
  <c r="K528" i="11"/>
  <c r="E528" i="11"/>
  <c r="D528" i="11"/>
  <c r="W527" i="11"/>
  <c r="K527" i="11"/>
  <c r="E527" i="11"/>
  <c r="D527" i="11"/>
  <c r="W526" i="11"/>
  <c r="K526" i="11"/>
  <c r="E526" i="11"/>
  <c r="D526" i="11"/>
  <c r="W525" i="11"/>
  <c r="K525" i="11"/>
  <c r="E525" i="11"/>
  <c r="D525" i="11"/>
  <c r="W524" i="11"/>
  <c r="K524" i="11"/>
  <c r="E524" i="11"/>
  <c r="D524" i="11"/>
  <c r="W523" i="11"/>
  <c r="K523" i="11"/>
  <c r="E523" i="11"/>
  <c r="D523" i="11"/>
  <c r="W522" i="11"/>
  <c r="K522" i="11"/>
  <c r="E522" i="11"/>
  <c r="D522" i="11"/>
  <c r="W521" i="11"/>
  <c r="K521" i="11"/>
  <c r="E521" i="11"/>
  <c r="D521" i="11"/>
  <c r="W520" i="11"/>
  <c r="K520" i="11"/>
  <c r="E520" i="11"/>
  <c r="D520" i="11"/>
  <c r="W519" i="11"/>
  <c r="K519" i="11"/>
  <c r="E519" i="11"/>
  <c r="D519" i="11"/>
  <c r="W518" i="11"/>
  <c r="K518" i="11"/>
  <c r="E518" i="11"/>
  <c r="D518" i="11"/>
  <c r="W517" i="11"/>
  <c r="K517" i="11"/>
  <c r="E517" i="11"/>
  <c r="D517" i="11"/>
  <c r="W516" i="11"/>
  <c r="K516" i="11"/>
  <c r="E516" i="11"/>
  <c r="D516" i="11"/>
  <c r="W515" i="11"/>
  <c r="K515" i="11"/>
  <c r="E515" i="11"/>
  <c r="D515" i="11"/>
  <c r="W514" i="11"/>
  <c r="K514" i="11"/>
  <c r="E514" i="11"/>
  <c r="D514" i="11"/>
  <c r="W513" i="11"/>
  <c r="K513" i="11"/>
  <c r="E513" i="11"/>
  <c r="D513" i="11"/>
  <c r="W512" i="11"/>
  <c r="K512" i="11"/>
  <c r="E512" i="11"/>
  <c r="D512" i="11"/>
  <c r="W511" i="11"/>
  <c r="K511" i="11"/>
  <c r="E511" i="11"/>
  <c r="D511" i="11"/>
  <c r="W510" i="11"/>
  <c r="K510" i="11"/>
  <c r="E510" i="11"/>
  <c r="D510" i="11"/>
  <c r="W509" i="11"/>
  <c r="K509" i="11"/>
  <c r="E509" i="11"/>
  <c r="D509" i="11"/>
  <c r="W508" i="11"/>
  <c r="K508" i="11"/>
  <c r="E508" i="11"/>
  <c r="D508" i="11"/>
  <c r="W507" i="11"/>
  <c r="K507" i="11"/>
  <c r="E507" i="11"/>
  <c r="D507" i="11"/>
  <c r="W506" i="11"/>
  <c r="K506" i="11"/>
  <c r="E506" i="11"/>
  <c r="D506" i="11"/>
  <c r="W505" i="11"/>
  <c r="K505" i="11"/>
  <c r="E505" i="11"/>
  <c r="D505" i="11"/>
  <c r="W504" i="11"/>
  <c r="K504" i="11"/>
  <c r="E504" i="11"/>
  <c r="D504" i="11"/>
  <c r="W503" i="11"/>
  <c r="K503" i="11"/>
  <c r="E503" i="11"/>
  <c r="D503" i="11"/>
  <c r="W502" i="11"/>
  <c r="K502" i="11"/>
  <c r="E502" i="11"/>
  <c r="D502" i="11"/>
  <c r="W501" i="11"/>
  <c r="K501" i="11"/>
  <c r="E501" i="11"/>
  <c r="D501" i="11"/>
  <c r="W500" i="11"/>
  <c r="K500" i="11"/>
  <c r="E500" i="11"/>
  <c r="D500" i="11"/>
  <c r="W499" i="11"/>
  <c r="K499" i="11"/>
  <c r="E499" i="11"/>
  <c r="D499" i="11"/>
  <c r="W498" i="11"/>
  <c r="K498" i="11"/>
  <c r="E498" i="11"/>
  <c r="D498" i="11"/>
  <c r="W497" i="11"/>
  <c r="K497" i="11"/>
  <c r="E497" i="11"/>
  <c r="D497" i="11"/>
  <c r="W496" i="11"/>
  <c r="K496" i="11"/>
  <c r="E496" i="11"/>
  <c r="D496" i="11"/>
  <c r="W495" i="11"/>
  <c r="K495" i="11"/>
  <c r="E495" i="11"/>
  <c r="D495" i="11"/>
  <c r="W494" i="11"/>
  <c r="K494" i="11"/>
  <c r="E494" i="11"/>
  <c r="D494" i="11"/>
  <c r="W493" i="11"/>
  <c r="K493" i="11"/>
  <c r="E493" i="11"/>
  <c r="D493" i="11"/>
  <c r="W492" i="11"/>
  <c r="K492" i="11"/>
  <c r="E492" i="11"/>
  <c r="D492" i="11"/>
  <c r="W491" i="11"/>
  <c r="K491" i="11"/>
  <c r="E491" i="11"/>
  <c r="D491" i="11"/>
  <c r="W490" i="11"/>
  <c r="K490" i="11"/>
  <c r="E490" i="11"/>
  <c r="D490" i="11"/>
  <c r="W489" i="11"/>
  <c r="K489" i="11"/>
  <c r="E489" i="11"/>
  <c r="D489" i="11"/>
  <c r="W488" i="11"/>
  <c r="K488" i="11"/>
  <c r="E488" i="11"/>
  <c r="D488" i="11"/>
  <c r="W487" i="11"/>
  <c r="K487" i="11"/>
  <c r="E487" i="11"/>
  <c r="D487" i="11"/>
  <c r="W486" i="11"/>
  <c r="K486" i="11"/>
  <c r="E486" i="11"/>
  <c r="D486" i="11"/>
  <c r="W485" i="11"/>
  <c r="K485" i="11"/>
  <c r="E485" i="11"/>
  <c r="D485" i="11"/>
  <c r="W484" i="11"/>
  <c r="K484" i="11"/>
  <c r="E484" i="11"/>
  <c r="D484" i="11"/>
  <c r="W483" i="11"/>
  <c r="K483" i="11"/>
  <c r="E483" i="11"/>
  <c r="D483" i="11"/>
  <c r="W482" i="11"/>
  <c r="K482" i="11"/>
  <c r="E482" i="11"/>
  <c r="D482" i="11"/>
  <c r="W481" i="11"/>
  <c r="K481" i="11"/>
  <c r="E481" i="11"/>
  <c r="D481" i="11"/>
  <c r="W480" i="11"/>
  <c r="K480" i="11"/>
  <c r="E480" i="11"/>
  <c r="D480" i="11"/>
  <c r="W479" i="11"/>
  <c r="K479" i="11"/>
  <c r="E479" i="11"/>
  <c r="D479" i="11"/>
  <c r="W478" i="11"/>
  <c r="K478" i="11"/>
  <c r="E478" i="11"/>
  <c r="D478" i="11"/>
  <c r="W477" i="11"/>
  <c r="K477" i="11"/>
  <c r="E477" i="11"/>
  <c r="D477" i="11"/>
  <c r="W476" i="11"/>
  <c r="K476" i="11"/>
  <c r="E476" i="11"/>
  <c r="D476" i="11"/>
  <c r="W475" i="11"/>
  <c r="K475" i="11"/>
  <c r="E475" i="11"/>
  <c r="D475" i="11"/>
  <c r="W474" i="11"/>
  <c r="K474" i="11"/>
  <c r="E474" i="11"/>
  <c r="D474" i="11"/>
  <c r="W473" i="11"/>
  <c r="K473" i="11"/>
  <c r="E473" i="11"/>
  <c r="D473" i="11"/>
  <c r="W472" i="11"/>
  <c r="K472" i="11"/>
  <c r="E472" i="11"/>
  <c r="D472" i="11"/>
  <c r="W471" i="11"/>
  <c r="K471" i="11"/>
  <c r="E471" i="11"/>
  <c r="D471" i="11"/>
  <c r="W470" i="11"/>
  <c r="K470" i="11"/>
  <c r="E470" i="11"/>
  <c r="D470" i="11"/>
  <c r="W469" i="11"/>
  <c r="K469" i="11"/>
  <c r="E469" i="11"/>
  <c r="D469" i="11"/>
  <c r="W468" i="11"/>
  <c r="K468" i="11"/>
  <c r="E468" i="11"/>
  <c r="D468" i="11"/>
  <c r="W467" i="11"/>
  <c r="K467" i="11"/>
  <c r="E467" i="11"/>
  <c r="D467" i="11"/>
  <c r="W466" i="11"/>
  <c r="K466" i="11"/>
  <c r="E466" i="11"/>
  <c r="D466" i="11"/>
  <c r="W465" i="11"/>
  <c r="K465" i="11"/>
  <c r="E465" i="11"/>
  <c r="D465" i="11"/>
  <c r="W464" i="11"/>
  <c r="K464" i="11"/>
  <c r="E464" i="11"/>
  <c r="D464" i="11"/>
  <c r="W463" i="11"/>
  <c r="K463" i="11"/>
  <c r="E463" i="11"/>
  <c r="D463" i="11"/>
  <c r="W462" i="11"/>
  <c r="K462" i="11"/>
  <c r="E462" i="11"/>
  <c r="D462" i="11"/>
  <c r="W461" i="11"/>
  <c r="K461" i="11"/>
  <c r="E461" i="11"/>
  <c r="D461" i="11"/>
  <c r="W460" i="11"/>
  <c r="K460" i="11"/>
  <c r="E460" i="11"/>
  <c r="D460" i="11"/>
  <c r="W459" i="11"/>
  <c r="K459" i="11"/>
  <c r="E459" i="11"/>
  <c r="D459" i="11"/>
  <c r="W458" i="11"/>
  <c r="K458" i="11"/>
  <c r="E458" i="11"/>
  <c r="D458" i="11"/>
  <c r="W457" i="11"/>
  <c r="K457" i="11"/>
  <c r="E457" i="11"/>
  <c r="D457" i="11"/>
  <c r="W456" i="11"/>
  <c r="K456" i="11"/>
  <c r="E456" i="11"/>
  <c r="D456" i="11"/>
  <c r="W455" i="11"/>
  <c r="K455" i="11"/>
  <c r="E455" i="11"/>
  <c r="D455" i="11"/>
  <c r="W454" i="11"/>
  <c r="K454" i="11"/>
  <c r="E454" i="11"/>
  <c r="D454" i="11"/>
  <c r="W453" i="11"/>
  <c r="K453" i="11"/>
  <c r="E453" i="11"/>
  <c r="D453" i="11"/>
  <c r="W452" i="11"/>
  <c r="K452" i="11"/>
  <c r="E452" i="11"/>
  <c r="D452" i="11"/>
  <c r="W451" i="11"/>
  <c r="K451" i="11"/>
  <c r="E451" i="11"/>
  <c r="D451" i="11"/>
  <c r="W450" i="11"/>
  <c r="K450" i="11"/>
  <c r="E450" i="11"/>
  <c r="D450" i="11"/>
  <c r="W449" i="11"/>
  <c r="K449" i="11"/>
  <c r="E449" i="11"/>
  <c r="D449" i="11"/>
  <c r="W448" i="11"/>
  <c r="K448" i="11"/>
  <c r="E448" i="11"/>
  <c r="D448" i="11"/>
  <c r="W447" i="11"/>
  <c r="K447" i="11"/>
  <c r="E447" i="11"/>
  <c r="D447" i="11"/>
  <c r="W446" i="11"/>
  <c r="K446" i="11"/>
  <c r="E446" i="11"/>
  <c r="D446" i="11"/>
  <c r="W445" i="11"/>
  <c r="K445" i="11"/>
  <c r="E445" i="11"/>
  <c r="D445" i="11"/>
  <c r="W444" i="11"/>
  <c r="K444" i="11"/>
  <c r="E444" i="11"/>
  <c r="D444" i="11"/>
  <c r="W443" i="11"/>
  <c r="K443" i="11"/>
  <c r="E443" i="11"/>
  <c r="D443" i="11"/>
  <c r="W442" i="11"/>
  <c r="K442" i="11"/>
  <c r="E442" i="11"/>
  <c r="D442" i="11"/>
  <c r="W441" i="11"/>
  <c r="K441" i="11"/>
  <c r="E441" i="11"/>
  <c r="D441" i="11"/>
  <c r="W440" i="11"/>
  <c r="K440" i="11"/>
  <c r="E440" i="11"/>
  <c r="D440" i="11"/>
  <c r="W439" i="11"/>
  <c r="K439" i="11"/>
  <c r="E439" i="11"/>
  <c r="D439" i="11"/>
  <c r="W438" i="11"/>
  <c r="K438" i="11"/>
  <c r="E438" i="11"/>
  <c r="D438" i="11"/>
  <c r="W437" i="11"/>
  <c r="K437" i="11"/>
  <c r="E437" i="11"/>
  <c r="D437" i="11"/>
  <c r="W436" i="11"/>
  <c r="K436" i="11"/>
  <c r="E436" i="11"/>
  <c r="D436" i="11"/>
  <c r="W435" i="11"/>
  <c r="K435" i="11"/>
  <c r="E435" i="11"/>
  <c r="D435" i="11"/>
  <c r="W434" i="11"/>
  <c r="K434" i="11"/>
  <c r="E434" i="11"/>
  <c r="D434" i="11"/>
  <c r="W433" i="11"/>
  <c r="K433" i="11"/>
  <c r="E433" i="11"/>
  <c r="D433" i="11"/>
  <c r="W432" i="11"/>
  <c r="K432" i="11"/>
  <c r="E432" i="11"/>
  <c r="D432" i="11"/>
  <c r="W431" i="11"/>
  <c r="K431" i="11"/>
  <c r="E431" i="11"/>
  <c r="D431" i="11"/>
  <c r="W430" i="11"/>
  <c r="K430" i="11"/>
  <c r="E430" i="11"/>
  <c r="D430" i="11"/>
  <c r="W429" i="11"/>
  <c r="K429" i="11"/>
  <c r="E429" i="11"/>
  <c r="D429" i="11"/>
  <c r="W428" i="11"/>
  <c r="K428" i="11"/>
  <c r="E428" i="11"/>
  <c r="D428" i="11"/>
  <c r="W427" i="11"/>
  <c r="K427" i="11"/>
  <c r="E427" i="11"/>
  <c r="D427" i="11"/>
  <c r="W426" i="11"/>
  <c r="K426" i="11"/>
  <c r="E426" i="11"/>
  <c r="D426" i="11"/>
  <c r="W425" i="11"/>
  <c r="K425" i="11"/>
  <c r="E425" i="11"/>
  <c r="D425" i="11"/>
  <c r="W424" i="11"/>
  <c r="K424" i="11"/>
  <c r="E424" i="11"/>
  <c r="D424" i="11"/>
  <c r="W423" i="11"/>
  <c r="K423" i="11"/>
  <c r="E423" i="11"/>
  <c r="D423" i="11"/>
  <c r="W422" i="11"/>
  <c r="K422" i="11"/>
  <c r="E422" i="11"/>
  <c r="D422" i="11"/>
  <c r="W421" i="11"/>
  <c r="K421" i="11"/>
  <c r="E421" i="11"/>
  <c r="D421" i="11"/>
  <c r="W420" i="11"/>
  <c r="K420" i="11"/>
  <c r="E420" i="11"/>
  <c r="D420" i="11"/>
  <c r="W419" i="11"/>
  <c r="K419" i="11"/>
  <c r="E419" i="11"/>
  <c r="D419" i="11"/>
  <c r="W418" i="11"/>
  <c r="K418" i="11"/>
  <c r="E418" i="11"/>
  <c r="D418" i="11"/>
  <c r="W417" i="11"/>
  <c r="K417" i="11"/>
  <c r="E417" i="11"/>
  <c r="D417" i="11"/>
  <c r="W416" i="11"/>
  <c r="K416" i="11"/>
  <c r="E416" i="11"/>
  <c r="D416" i="11"/>
  <c r="W415" i="11"/>
  <c r="K415" i="11"/>
  <c r="E415" i="11"/>
  <c r="D415" i="11"/>
  <c r="W414" i="11"/>
  <c r="K414" i="11"/>
  <c r="E414" i="11"/>
  <c r="D414" i="11"/>
  <c r="W413" i="11"/>
  <c r="K413" i="11"/>
  <c r="E413" i="11"/>
  <c r="D413" i="11"/>
  <c r="W412" i="11"/>
  <c r="K412" i="11"/>
  <c r="E412" i="11"/>
  <c r="D412" i="11"/>
  <c r="W411" i="11"/>
  <c r="K411" i="11"/>
  <c r="E411" i="11"/>
  <c r="D411" i="11"/>
  <c r="W410" i="11"/>
  <c r="K410" i="11"/>
  <c r="E410" i="11"/>
  <c r="D410" i="11"/>
  <c r="W409" i="11"/>
  <c r="K409" i="11"/>
  <c r="E409" i="11"/>
  <c r="D409" i="11"/>
  <c r="W408" i="11"/>
  <c r="K408" i="11"/>
  <c r="E408" i="11"/>
  <c r="D408" i="11"/>
  <c r="W407" i="11"/>
  <c r="K407" i="11"/>
  <c r="E407" i="11"/>
  <c r="D407" i="11"/>
  <c r="W406" i="11"/>
  <c r="K406" i="11"/>
  <c r="E406" i="11"/>
  <c r="D406" i="11"/>
  <c r="W405" i="11"/>
  <c r="K405" i="11"/>
  <c r="E405" i="11"/>
  <c r="D405" i="11"/>
  <c r="W404" i="11"/>
  <c r="K404" i="11"/>
  <c r="E404" i="11"/>
  <c r="D404" i="11"/>
  <c r="W403" i="11"/>
  <c r="K403" i="11"/>
  <c r="E403" i="11"/>
  <c r="D403" i="11"/>
  <c r="W402" i="11"/>
  <c r="K402" i="11"/>
  <c r="E402" i="11"/>
  <c r="D402" i="11"/>
  <c r="W401" i="11"/>
  <c r="K401" i="11"/>
  <c r="E401" i="11"/>
  <c r="D401" i="11"/>
  <c r="W400" i="11"/>
  <c r="K400" i="11"/>
  <c r="E400" i="11"/>
  <c r="D400" i="11"/>
  <c r="W399" i="11"/>
  <c r="K399" i="11"/>
  <c r="E399" i="11"/>
  <c r="D399" i="11"/>
  <c r="W398" i="11"/>
  <c r="K398" i="11"/>
  <c r="E398" i="11"/>
  <c r="D398" i="11"/>
  <c r="W397" i="11"/>
  <c r="K397" i="11"/>
  <c r="E397" i="11"/>
  <c r="D397" i="11"/>
  <c r="W396" i="11"/>
  <c r="K396" i="11"/>
  <c r="E396" i="11"/>
  <c r="D396" i="11"/>
  <c r="W395" i="11"/>
  <c r="K395" i="11"/>
  <c r="E395" i="11"/>
  <c r="D395" i="11"/>
  <c r="W394" i="11"/>
  <c r="K394" i="11"/>
  <c r="E394" i="11"/>
  <c r="D394" i="11"/>
  <c r="W393" i="11"/>
  <c r="K393" i="11"/>
  <c r="E393" i="11"/>
  <c r="D393" i="11"/>
  <c r="W392" i="11"/>
  <c r="K392" i="11"/>
  <c r="E392" i="11"/>
  <c r="D392" i="11"/>
  <c r="W391" i="11"/>
  <c r="K391" i="11"/>
  <c r="E391" i="11"/>
  <c r="D391" i="11"/>
  <c r="W390" i="11"/>
  <c r="K390" i="11"/>
  <c r="E390" i="11"/>
  <c r="D390" i="11"/>
  <c r="W389" i="11"/>
  <c r="K389" i="11"/>
  <c r="E389" i="11"/>
  <c r="D389" i="11"/>
  <c r="W388" i="11"/>
  <c r="K388" i="11"/>
  <c r="E388" i="11"/>
  <c r="D388" i="11"/>
  <c r="W387" i="11"/>
  <c r="K387" i="11"/>
  <c r="E387" i="11"/>
  <c r="D387" i="11"/>
  <c r="W386" i="11"/>
  <c r="K386" i="11"/>
  <c r="E386" i="11"/>
  <c r="D386" i="11"/>
  <c r="W385" i="11"/>
  <c r="K385" i="11"/>
  <c r="E385" i="11"/>
  <c r="D385" i="11"/>
  <c r="W384" i="11"/>
  <c r="K384" i="11"/>
  <c r="E384" i="11"/>
  <c r="D384" i="11"/>
  <c r="W383" i="11"/>
  <c r="K383" i="11"/>
  <c r="E383" i="11"/>
  <c r="D383" i="11"/>
  <c r="W382" i="11"/>
  <c r="K382" i="11"/>
  <c r="E382" i="11"/>
  <c r="D382" i="11"/>
  <c r="W381" i="11"/>
  <c r="K381" i="11"/>
  <c r="E381" i="11"/>
  <c r="D381" i="11"/>
  <c r="W380" i="11"/>
  <c r="K380" i="11"/>
  <c r="E380" i="11"/>
  <c r="D380" i="11"/>
  <c r="W379" i="11"/>
  <c r="K379" i="11"/>
  <c r="E379" i="11"/>
  <c r="D379" i="11"/>
  <c r="W378" i="11"/>
  <c r="K378" i="11"/>
  <c r="E378" i="11"/>
  <c r="D378" i="11"/>
  <c r="W377" i="11"/>
  <c r="K377" i="11"/>
  <c r="E377" i="11"/>
  <c r="D377" i="11"/>
  <c r="W376" i="11"/>
  <c r="K376" i="11"/>
  <c r="E376" i="11"/>
  <c r="D376" i="11"/>
  <c r="W375" i="11"/>
  <c r="K375" i="11"/>
  <c r="E375" i="11"/>
  <c r="D375" i="11"/>
  <c r="W374" i="11"/>
  <c r="K374" i="11"/>
  <c r="E374" i="11"/>
  <c r="D374" i="11"/>
  <c r="W373" i="11"/>
  <c r="K373" i="11"/>
  <c r="E373" i="11"/>
  <c r="D373" i="11"/>
  <c r="W372" i="11"/>
  <c r="K372" i="11"/>
  <c r="E372" i="11"/>
  <c r="D372" i="11"/>
  <c r="W371" i="11"/>
  <c r="K371" i="11"/>
  <c r="E371" i="11"/>
  <c r="D371" i="11"/>
  <c r="W370" i="11"/>
  <c r="K370" i="11"/>
  <c r="E370" i="11"/>
  <c r="D370" i="11"/>
  <c r="W369" i="11"/>
  <c r="K369" i="11"/>
  <c r="E369" i="11"/>
  <c r="D369" i="11"/>
  <c r="W368" i="11"/>
  <c r="K368" i="11"/>
  <c r="E368" i="11"/>
  <c r="D368" i="11"/>
  <c r="W367" i="11"/>
  <c r="K367" i="11"/>
  <c r="E367" i="11"/>
  <c r="D367" i="11"/>
  <c r="W366" i="11"/>
  <c r="K366" i="11"/>
  <c r="E366" i="11"/>
  <c r="D366" i="11"/>
  <c r="W365" i="11"/>
  <c r="K365" i="11"/>
  <c r="E365" i="11"/>
  <c r="D365" i="11"/>
  <c r="W364" i="11"/>
  <c r="K364" i="11"/>
  <c r="E364" i="11"/>
  <c r="D364" i="11"/>
  <c r="W363" i="11"/>
  <c r="K363" i="11"/>
  <c r="E363" i="11"/>
  <c r="D363" i="11"/>
  <c r="W362" i="11"/>
  <c r="K362" i="11"/>
  <c r="E362" i="11"/>
  <c r="D362" i="11"/>
  <c r="W361" i="11"/>
  <c r="K361" i="11"/>
  <c r="E361" i="11"/>
  <c r="D361" i="11"/>
  <c r="W360" i="11"/>
  <c r="K360" i="11"/>
  <c r="E360" i="11"/>
  <c r="D360" i="11"/>
  <c r="W359" i="11"/>
  <c r="K359" i="11"/>
  <c r="E359" i="11"/>
  <c r="D359" i="11"/>
  <c r="W358" i="11"/>
  <c r="K358" i="11"/>
  <c r="E358" i="11"/>
  <c r="D358" i="11"/>
  <c r="W357" i="11"/>
  <c r="K357" i="11"/>
  <c r="E357" i="11"/>
  <c r="D357" i="11"/>
  <c r="W356" i="11"/>
  <c r="K356" i="11"/>
  <c r="E356" i="11"/>
  <c r="D356" i="11"/>
  <c r="W355" i="11"/>
  <c r="K355" i="11"/>
  <c r="E355" i="11"/>
  <c r="D355" i="11"/>
  <c r="W354" i="11"/>
  <c r="K354" i="11"/>
  <c r="E354" i="11"/>
  <c r="D354" i="11"/>
  <c r="W353" i="11"/>
  <c r="K353" i="11"/>
  <c r="E353" i="11"/>
  <c r="D353" i="11"/>
  <c r="W352" i="11"/>
  <c r="K352" i="11"/>
  <c r="E352" i="11"/>
  <c r="D352" i="11"/>
  <c r="W351" i="11"/>
  <c r="K351" i="11"/>
  <c r="E351" i="11"/>
  <c r="D351" i="11"/>
  <c r="W350" i="11"/>
  <c r="K350" i="11"/>
  <c r="E350" i="11"/>
  <c r="D350" i="11"/>
  <c r="W349" i="11"/>
  <c r="K349" i="11"/>
  <c r="E349" i="11"/>
  <c r="D349" i="11"/>
  <c r="W348" i="11"/>
  <c r="K348" i="11"/>
  <c r="E348" i="11"/>
  <c r="D348" i="11"/>
  <c r="W347" i="11"/>
  <c r="K347" i="11"/>
  <c r="E347" i="11"/>
  <c r="D347" i="11"/>
  <c r="W346" i="11"/>
  <c r="K346" i="11"/>
  <c r="E346" i="11"/>
  <c r="D346" i="11"/>
  <c r="W345" i="11"/>
  <c r="K345" i="11"/>
  <c r="E345" i="11"/>
  <c r="D345" i="11"/>
  <c r="W344" i="11"/>
  <c r="K344" i="11"/>
  <c r="E344" i="11"/>
  <c r="D344" i="11"/>
  <c r="W343" i="11"/>
  <c r="K343" i="11"/>
  <c r="E343" i="11"/>
  <c r="D343" i="11"/>
  <c r="W342" i="11"/>
  <c r="K342" i="11"/>
  <c r="E342" i="11"/>
  <c r="D342" i="11"/>
  <c r="W341" i="11"/>
  <c r="K341" i="11"/>
  <c r="E341" i="11"/>
  <c r="D341" i="11"/>
  <c r="W340" i="11"/>
  <c r="K340" i="11"/>
  <c r="E340" i="11"/>
  <c r="D340" i="11"/>
  <c r="W339" i="11"/>
  <c r="K339" i="11"/>
  <c r="E339" i="11"/>
  <c r="D339" i="11"/>
  <c r="W338" i="11"/>
  <c r="K338" i="11"/>
  <c r="E338" i="11"/>
  <c r="D338" i="11"/>
  <c r="W337" i="11"/>
  <c r="K337" i="11"/>
  <c r="E337" i="11"/>
  <c r="D337" i="11"/>
  <c r="W336" i="11"/>
  <c r="K336" i="11"/>
  <c r="E336" i="11"/>
  <c r="D336" i="11"/>
  <c r="W335" i="11"/>
  <c r="K335" i="11"/>
  <c r="E335" i="11"/>
  <c r="D335" i="11"/>
  <c r="W334" i="11"/>
  <c r="K334" i="11"/>
  <c r="E334" i="11"/>
  <c r="D334" i="11"/>
  <c r="W333" i="11"/>
  <c r="K333" i="11"/>
  <c r="E333" i="11"/>
  <c r="D333" i="11"/>
  <c r="W332" i="11"/>
  <c r="K332" i="11"/>
  <c r="E332" i="11"/>
  <c r="D332" i="11"/>
  <c r="W331" i="11"/>
  <c r="K331" i="11"/>
  <c r="E331" i="11"/>
  <c r="D331" i="11"/>
  <c r="W330" i="11"/>
  <c r="K330" i="11"/>
  <c r="E330" i="11"/>
  <c r="D330" i="11"/>
  <c r="W329" i="11"/>
  <c r="K329" i="11"/>
  <c r="E329" i="11"/>
  <c r="D329" i="11"/>
  <c r="W328" i="11"/>
  <c r="K328" i="11"/>
  <c r="E328" i="11"/>
  <c r="D328" i="11"/>
  <c r="W327" i="11"/>
  <c r="K327" i="11"/>
  <c r="E327" i="11"/>
  <c r="D327" i="11"/>
  <c r="W326" i="11"/>
  <c r="K326" i="11"/>
  <c r="E326" i="11"/>
  <c r="D326" i="11"/>
  <c r="W325" i="11"/>
  <c r="K325" i="11"/>
  <c r="E325" i="11"/>
  <c r="D325" i="11"/>
  <c r="W324" i="11"/>
  <c r="K324" i="11"/>
  <c r="E324" i="11"/>
  <c r="D324" i="11"/>
  <c r="W323" i="11"/>
  <c r="K323" i="11"/>
  <c r="E323" i="11"/>
  <c r="D323" i="11"/>
  <c r="W322" i="11"/>
  <c r="K322" i="11"/>
  <c r="E322" i="11"/>
  <c r="D322" i="11"/>
  <c r="W321" i="11"/>
  <c r="K321" i="11"/>
  <c r="E321" i="11"/>
  <c r="D321" i="11"/>
  <c r="W320" i="11"/>
  <c r="K320" i="11"/>
  <c r="E320" i="11"/>
  <c r="D320" i="11"/>
  <c r="W319" i="11"/>
  <c r="K319" i="11"/>
  <c r="E319" i="11"/>
  <c r="D319" i="11"/>
  <c r="W318" i="11"/>
  <c r="K318" i="11"/>
  <c r="E318" i="11"/>
  <c r="D318" i="11"/>
  <c r="W317" i="11"/>
  <c r="K317" i="11"/>
  <c r="E317" i="11"/>
  <c r="D317" i="11"/>
  <c r="W316" i="11"/>
  <c r="K316" i="11"/>
  <c r="E316" i="11"/>
  <c r="D316" i="11"/>
  <c r="W315" i="11"/>
  <c r="K315" i="11"/>
  <c r="E315" i="11"/>
  <c r="D315" i="11"/>
  <c r="W314" i="11"/>
  <c r="K314" i="11"/>
  <c r="E314" i="11"/>
  <c r="D314" i="11"/>
  <c r="W313" i="11"/>
  <c r="K313" i="11"/>
  <c r="E313" i="11"/>
  <c r="D313" i="11"/>
  <c r="W312" i="11"/>
  <c r="K312" i="11"/>
  <c r="E312" i="11"/>
  <c r="D312" i="11"/>
  <c r="W311" i="11"/>
  <c r="K311" i="11"/>
  <c r="E311" i="11"/>
  <c r="D311" i="11"/>
  <c r="W310" i="11"/>
  <c r="K310" i="11"/>
  <c r="E310" i="11"/>
  <c r="D310" i="11"/>
  <c r="W309" i="11"/>
  <c r="K309" i="11"/>
  <c r="E309" i="11"/>
  <c r="D309" i="11"/>
  <c r="W308" i="11"/>
  <c r="K308" i="11"/>
  <c r="E308" i="11"/>
  <c r="D308" i="11"/>
  <c r="W307" i="11"/>
  <c r="K307" i="11"/>
  <c r="E307" i="11"/>
  <c r="D307" i="11"/>
  <c r="W306" i="11"/>
  <c r="K306" i="11"/>
  <c r="E306" i="11"/>
  <c r="D306" i="11"/>
  <c r="W305" i="11"/>
  <c r="K305" i="11"/>
  <c r="E305" i="11"/>
  <c r="D305" i="11"/>
  <c r="W304" i="11"/>
  <c r="K304" i="11"/>
  <c r="E304" i="11"/>
  <c r="D304" i="11"/>
  <c r="W303" i="11"/>
  <c r="K303" i="11"/>
  <c r="E303" i="11"/>
  <c r="D303" i="11"/>
  <c r="W302" i="11"/>
  <c r="K302" i="11"/>
  <c r="E302" i="11"/>
  <c r="D302" i="11"/>
  <c r="W301" i="11"/>
  <c r="K301" i="11"/>
  <c r="E301" i="11"/>
  <c r="D301" i="11"/>
  <c r="W300" i="11"/>
  <c r="K300" i="11"/>
  <c r="E300" i="11"/>
  <c r="D300" i="11"/>
  <c r="W299" i="11"/>
  <c r="K299" i="11"/>
  <c r="E299" i="11"/>
  <c r="D299" i="11"/>
  <c r="W298" i="11"/>
  <c r="K298" i="11"/>
  <c r="E298" i="11"/>
  <c r="D298" i="11"/>
  <c r="W297" i="11"/>
  <c r="K297" i="11"/>
  <c r="E297" i="11"/>
  <c r="D297" i="11"/>
  <c r="W296" i="11"/>
  <c r="K296" i="11"/>
  <c r="E296" i="11"/>
  <c r="D296" i="11"/>
  <c r="W295" i="11"/>
  <c r="K295" i="11"/>
  <c r="E295" i="11"/>
  <c r="D295" i="11"/>
  <c r="W294" i="11"/>
  <c r="K294" i="11"/>
  <c r="E294" i="11"/>
  <c r="D294" i="11"/>
  <c r="W293" i="11"/>
  <c r="K293" i="11"/>
  <c r="E293" i="11"/>
  <c r="D293" i="11"/>
  <c r="W292" i="11"/>
  <c r="K292" i="11"/>
  <c r="E292" i="11"/>
  <c r="D292" i="11"/>
  <c r="W291" i="11"/>
  <c r="K291" i="11"/>
  <c r="E291" i="11"/>
  <c r="D291" i="11"/>
  <c r="W290" i="11"/>
  <c r="K290" i="11"/>
  <c r="E290" i="11"/>
  <c r="D290" i="11"/>
  <c r="W289" i="11"/>
  <c r="K289" i="11"/>
  <c r="E289" i="11"/>
  <c r="D289" i="11"/>
  <c r="W288" i="11"/>
  <c r="K288" i="11"/>
  <c r="E288" i="11"/>
  <c r="D288" i="11"/>
  <c r="W287" i="11"/>
  <c r="K287" i="11"/>
  <c r="E287" i="11"/>
  <c r="D287" i="11"/>
  <c r="W286" i="11"/>
  <c r="K286" i="11"/>
  <c r="E286" i="11"/>
  <c r="D286" i="11"/>
  <c r="W285" i="11"/>
  <c r="K285" i="11"/>
  <c r="E285" i="11"/>
  <c r="D285" i="11"/>
  <c r="W284" i="11"/>
  <c r="K284" i="11"/>
  <c r="E284" i="11"/>
  <c r="D284" i="11"/>
  <c r="W283" i="11"/>
  <c r="K283" i="11"/>
  <c r="E283" i="11"/>
  <c r="D283" i="11"/>
  <c r="W282" i="11"/>
  <c r="K282" i="11"/>
  <c r="E282" i="11"/>
  <c r="D282" i="11"/>
  <c r="W281" i="11"/>
  <c r="K281" i="11"/>
  <c r="E281" i="11"/>
  <c r="D281" i="11"/>
  <c r="W280" i="11"/>
  <c r="K280" i="11"/>
  <c r="E280" i="11"/>
  <c r="D280" i="11"/>
  <c r="W279" i="11"/>
  <c r="K279" i="11"/>
  <c r="E279" i="11"/>
  <c r="D279" i="11"/>
  <c r="W278" i="11"/>
  <c r="K278" i="11"/>
  <c r="E278" i="11"/>
  <c r="D278" i="11"/>
  <c r="W277" i="11"/>
  <c r="K277" i="11"/>
  <c r="E277" i="11"/>
  <c r="D277" i="11"/>
  <c r="W276" i="11"/>
  <c r="K276" i="11"/>
  <c r="E276" i="11"/>
  <c r="D276" i="11"/>
  <c r="W275" i="11"/>
  <c r="K275" i="11"/>
  <c r="E275" i="11"/>
  <c r="D275" i="11"/>
  <c r="W274" i="11"/>
  <c r="K274" i="11"/>
  <c r="E274" i="11"/>
  <c r="D274" i="11"/>
  <c r="W273" i="11"/>
  <c r="K273" i="11"/>
  <c r="E273" i="11"/>
  <c r="D273" i="11"/>
  <c r="W272" i="11"/>
  <c r="K272" i="11"/>
  <c r="E272" i="11"/>
  <c r="D272" i="11"/>
  <c r="W271" i="11"/>
  <c r="K271" i="11"/>
  <c r="E271" i="11"/>
  <c r="D271" i="11"/>
  <c r="W270" i="11"/>
  <c r="K270" i="11"/>
  <c r="E270" i="11"/>
  <c r="D270" i="11"/>
  <c r="W269" i="11"/>
  <c r="K269" i="11"/>
  <c r="E269" i="11"/>
  <c r="D269" i="11"/>
  <c r="W268" i="11"/>
  <c r="K268" i="11"/>
  <c r="E268" i="11"/>
  <c r="D268" i="11"/>
  <c r="W267" i="11"/>
  <c r="K267" i="11"/>
  <c r="E267" i="11"/>
  <c r="D267" i="11"/>
  <c r="W266" i="11"/>
  <c r="K266" i="11"/>
  <c r="E266" i="11"/>
  <c r="D266" i="11"/>
  <c r="W265" i="11"/>
  <c r="K265" i="11"/>
  <c r="E265" i="11"/>
  <c r="D265" i="11"/>
  <c r="W264" i="11"/>
  <c r="K264" i="11"/>
  <c r="E264" i="11"/>
  <c r="D264" i="11"/>
  <c r="W263" i="11"/>
  <c r="K263" i="11"/>
  <c r="E263" i="11"/>
  <c r="D263" i="11"/>
  <c r="W262" i="11"/>
  <c r="K262" i="11"/>
  <c r="E262" i="11"/>
  <c r="D262" i="11"/>
  <c r="W261" i="11"/>
  <c r="K261" i="11"/>
  <c r="E261" i="11"/>
  <c r="D261" i="11"/>
  <c r="W260" i="11"/>
  <c r="K260" i="11"/>
  <c r="E260" i="11"/>
  <c r="D260" i="11"/>
  <c r="W259" i="11"/>
  <c r="K259" i="11"/>
  <c r="E259" i="11"/>
  <c r="D259" i="11"/>
  <c r="W258" i="11"/>
  <c r="K258" i="11"/>
  <c r="E258" i="11"/>
  <c r="D258" i="11"/>
  <c r="W257" i="11"/>
  <c r="K257" i="11"/>
  <c r="E257" i="11"/>
  <c r="D257" i="11"/>
  <c r="W256" i="11"/>
  <c r="K256" i="11"/>
  <c r="E256" i="11"/>
  <c r="D256" i="11"/>
  <c r="W255" i="11"/>
  <c r="K255" i="11"/>
  <c r="E255" i="11"/>
  <c r="D255" i="11"/>
  <c r="W254" i="11"/>
  <c r="K254" i="11"/>
  <c r="E254" i="11"/>
  <c r="D254" i="11"/>
  <c r="W253" i="11"/>
  <c r="K253" i="11"/>
  <c r="E253" i="11"/>
  <c r="D253" i="11"/>
  <c r="W252" i="11"/>
  <c r="K252" i="11"/>
  <c r="E252" i="11"/>
  <c r="D252" i="11"/>
  <c r="W251" i="11"/>
  <c r="K251" i="11"/>
  <c r="E251" i="11"/>
  <c r="D251" i="11"/>
  <c r="W250" i="11"/>
  <c r="K250" i="11"/>
  <c r="E250" i="11"/>
  <c r="D250" i="11"/>
  <c r="W249" i="11"/>
  <c r="K249" i="11"/>
  <c r="E249" i="11"/>
  <c r="D249" i="11"/>
  <c r="W248" i="11"/>
  <c r="K248" i="11"/>
  <c r="E248" i="11"/>
  <c r="D248" i="11"/>
  <c r="W247" i="11"/>
  <c r="K247" i="11"/>
  <c r="E247" i="11"/>
  <c r="D247" i="11"/>
  <c r="W246" i="11"/>
  <c r="K246" i="11"/>
  <c r="E246" i="11"/>
  <c r="D246" i="11"/>
  <c r="W245" i="11"/>
  <c r="K245" i="11"/>
  <c r="E245" i="11"/>
  <c r="D245" i="11"/>
  <c r="W244" i="11"/>
  <c r="K244" i="11"/>
  <c r="E244" i="11"/>
  <c r="D244" i="11"/>
  <c r="W243" i="11"/>
  <c r="K243" i="11"/>
  <c r="E243" i="11"/>
  <c r="D243" i="11"/>
  <c r="W242" i="11"/>
  <c r="K242" i="11"/>
  <c r="E242" i="11"/>
  <c r="D242" i="11"/>
  <c r="W241" i="11"/>
  <c r="K241" i="11"/>
  <c r="E241" i="11"/>
  <c r="D241" i="11"/>
  <c r="W240" i="11"/>
  <c r="K240" i="11"/>
  <c r="E240" i="11"/>
  <c r="D240" i="11"/>
  <c r="W239" i="11"/>
  <c r="K239" i="11"/>
  <c r="E239" i="11"/>
  <c r="D239" i="11"/>
  <c r="W238" i="11"/>
  <c r="K238" i="11"/>
  <c r="E238" i="11"/>
  <c r="D238" i="11"/>
  <c r="W237" i="11"/>
  <c r="K237" i="11"/>
  <c r="E237" i="11"/>
  <c r="D237" i="11"/>
  <c r="W236" i="11"/>
  <c r="K236" i="11"/>
  <c r="E236" i="11"/>
  <c r="D236" i="11"/>
  <c r="W235" i="11"/>
  <c r="K235" i="11"/>
  <c r="E235" i="11"/>
  <c r="D235" i="11"/>
  <c r="W234" i="11"/>
  <c r="K234" i="11"/>
  <c r="E234" i="11"/>
  <c r="D234" i="11"/>
  <c r="W233" i="11"/>
  <c r="K233" i="11"/>
  <c r="E233" i="11"/>
  <c r="D233" i="11"/>
  <c r="W232" i="11"/>
  <c r="K232" i="11"/>
  <c r="E232" i="11"/>
  <c r="D232" i="11"/>
  <c r="W231" i="11"/>
  <c r="K231" i="11"/>
  <c r="E231" i="11"/>
  <c r="D231" i="11"/>
  <c r="W230" i="11"/>
  <c r="K230" i="11"/>
  <c r="E230" i="11"/>
  <c r="D230" i="11"/>
  <c r="W229" i="11"/>
  <c r="K229" i="11"/>
  <c r="E229" i="11"/>
  <c r="D229" i="11"/>
  <c r="W228" i="11"/>
  <c r="K228" i="11"/>
  <c r="E228" i="11"/>
  <c r="D228" i="11"/>
  <c r="W227" i="11"/>
  <c r="K227" i="11"/>
  <c r="E227" i="11"/>
  <c r="D227" i="11"/>
  <c r="W226" i="11"/>
  <c r="K226" i="11"/>
  <c r="E226" i="11"/>
  <c r="D226" i="11"/>
  <c r="W225" i="11"/>
  <c r="K225" i="11"/>
  <c r="E225" i="11"/>
  <c r="D225" i="11"/>
  <c r="W224" i="11"/>
  <c r="K224" i="11"/>
  <c r="E224" i="11"/>
  <c r="D224" i="11"/>
  <c r="W223" i="11"/>
  <c r="K223" i="11"/>
  <c r="E223" i="11"/>
  <c r="D223" i="11"/>
  <c r="W222" i="11"/>
  <c r="K222" i="11"/>
  <c r="E222" i="11"/>
  <c r="D222" i="11"/>
  <c r="W221" i="11"/>
  <c r="K221" i="11"/>
  <c r="E221" i="11"/>
  <c r="D221" i="11"/>
  <c r="W220" i="11"/>
  <c r="K220" i="11"/>
  <c r="E220" i="11"/>
  <c r="D220" i="11"/>
  <c r="W219" i="11"/>
  <c r="K219" i="11"/>
  <c r="E219" i="11"/>
  <c r="D219" i="11"/>
  <c r="W218" i="11"/>
  <c r="K218" i="11"/>
  <c r="E218" i="11"/>
  <c r="D218" i="11"/>
  <c r="W217" i="11"/>
  <c r="K217" i="11"/>
  <c r="E217" i="11"/>
  <c r="D217" i="11"/>
  <c r="W216" i="11"/>
  <c r="K216" i="11"/>
  <c r="E216" i="11"/>
  <c r="D216" i="11"/>
  <c r="W215" i="11"/>
  <c r="K215" i="11"/>
  <c r="E215" i="11"/>
  <c r="D215" i="11"/>
  <c r="W214" i="11"/>
  <c r="K214" i="11"/>
  <c r="E214" i="11"/>
  <c r="D214" i="11"/>
  <c r="W213" i="11"/>
  <c r="K213" i="11"/>
  <c r="E213" i="11"/>
  <c r="D213" i="11"/>
  <c r="W212" i="11"/>
  <c r="K212" i="11"/>
  <c r="E212" i="11"/>
  <c r="D212" i="11"/>
  <c r="W211" i="11"/>
  <c r="K211" i="11"/>
  <c r="E211" i="11"/>
  <c r="D211" i="11"/>
  <c r="W210" i="11"/>
  <c r="K210" i="11"/>
  <c r="E210" i="11"/>
  <c r="D210" i="11"/>
  <c r="W209" i="11"/>
  <c r="K209" i="11"/>
  <c r="E209" i="11"/>
  <c r="D209" i="11"/>
  <c r="W208" i="11"/>
  <c r="K208" i="11"/>
  <c r="E208" i="11"/>
  <c r="D208" i="11"/>
  <c r="W207" i="11"/>
  <c r="K207" i="11"/>
  <c r="E207" i="11"/>
  <c r="D207" i="11"/>
  <c r="W206" i="11"/>
  <c r="K206" i="11"/>
  <c r="E206" i="11"/>
  <c r="D206" i="11"/>
  <c r="W205" i="11"/>
  <c r="K205" i="11"/>
  <c r="E205" i="11"/>
  <c r="D205" i="11"/>
  <c r="W204" i="11"/>
  <c r="K204" i="11"/>
  <c r="E204" i="11"/>
  <c r="D204" i="11"/>
  <c r="W203" i="11"/>
  <c r="K203" i="11"/>
  <c r="E203" i="11"/>
  <c r="D203" i="11"/>
  <c r="W202" i="11"/>
  <c r="K202" i="11"/>
  <c r="E202" i="11"/>
  <c r="D202" i="11"/>
  <c r="W201" i="11"/>
  <c r="K201" i="11"/>
  <c r="E201" i="11"/>
  <c r="D201" i="11"/>
  <c r="W200" i="11"/>
  <c r="K200" i="11"/>
  <c r="E200" i="11"/>
  <c r="D200" i="11"/>
  <c r="W199" i="11"/>
  <c r="K199" i="11"/>
  <c r="E199" i="11"/>
  <c r="D199" i="11"/>
  <c r="W198" i="11"/>
  <c r="K198" i="11"/>
  <c r="E198" i="11"/>
  <c r="D198" i="11"/>
  <c r="W197" i="11"/>
  <c r="K197" i="11"/>
  <c r="E197" i="11"/>
  <c r="D197" i="11"/>
  <c r="W196" i="11"/>
  <c r="K196" i="11"/>
  <c r="E196" i="11"/>
  <c r="D196" i="11"/>
  <c r="W195" i="11"/>
  <c r="K195" i="11"/>
  <c r="E195" i="11"/>
  <c r="D195" i="11"/>
  <c r="W194" i="11"/>
  <c r="K194" i="11"/>
  <c r="E194" i="11"/>
  <c r="D194" i="11"/>
  <c r="W193" i="11"/>
  <c r="K193" i="11"/>
  <c r="E193" i="11"/>
  <c r="D193" i="11"/>
  <c r="W192" i="11"/>
  <c r="K192" i="11"/>
  <c r="E192" i="11"/>
  <c r="D192" i="11"/>
  <c r="W191" i="11"/>
  <c r="K191" i="11"/>
  <c r="E191" i="11"/>
  <c r="D191" i="11"/>
  <c r="W190" i="11"/>
  <c r="K190" i="11"/>
  <c r="E190" i="11"/>
  <c r="D190" i="11"/>
  <c r="W189" i="11"/>
  <c r="K189" i="11"/>
  <c r="E189" i="11"/>
  <c r="D189" i="11"/>
  <c r="W188" i="11"/>
  <c r="K188" i="11"/>
  <c r="E188" i="11"/>
  <c r="D188" i="11"/>
  <c r="W187" i="11"/>
  <c r="K187" i="11"/>
  <c r="E187" i="11"/>
  <c r="D187" i="11"/>
  <c r="W186" i="11"/>
  <c r="K186" i="11"/>
  <c r="E186" i="11"/>
  <c r="D186" i="11"/>
  <c r="W185" i="11"/>
  <c r="K185" i="11"/>
  <c r="E185" i="11"/>
  <c r="D185" i="11"/>
  <c r="W184" i="11"/>
  <c r="K184" i="11"/>
  <c r="E184" i="11"/>
  <c r="D184" i="11"/>
  <c r="W183" i="11"/>
  <c r="K183" i="11"/>
  <c r="E183" i="11"/>
  <c r="D183" i="11"/>
  <c r="W182" i="11"/>
  <c r="K182" i="11"/>
  <c r="E182" i="11"/>
  <c r="D182" i="11"/>
  <c r="W181" i="11"/>
  <c r="K181" i="11"/>
  <c r="E181" i="11"/>
  <c r="D181" i="11"/>
  <c r="W180" i="11"/>
  <c r="K180" i="11"/>
  <c r="E180" i="11"/>
  <c r="D180" i="11"/>
  <c r="W179" i="11"/>
  <c r="K179" i="11"/>
  <c r="E179" i="11"/>
  <c r="D179" i="11"/>
  <c r="W178" i="11"/>
  <c r="K178" i="11"/>
  <c r="E178" i="11"/>
  <c r="D178" i="11"/>
  <c r="W177" i="11"/>
  <c r="K177" i="11"/>
  <c r="E177" i="11"/>
  <c r="D177" i="11"/>
  <c r="W176" i="11"/>
  <c r="K176" i="11"/>
  <c r="E176" i="11"/>
  <c r="D176" i="11"/>
  <c r="W175" i="11"/>
  <c r="K175" i="11"/>
  <c r="E175" i="11"/>
  <c r="D175" i="11"/>
  <c r="W174" i="11"/>
  <c r="K174" i="11"/>
  <c r="E174" i="11"/>
  <c r="D174" i="11"/>
  <c r="W173" i="11"/>
  <c r="K173" i="11"/>
  <c r="E173" i="11"/>
  <c r="D173" i="11"/>
  <c r="W172" i="11"/>
  <c r="K172" i="11"/>
  <c r="E172" i="11"/>
  <c r="D172" i="11"/>
  <c r="W171" i="11"/>
  <c r="K171" i="11"/>
  <c r="E171" i="11"/>
  <c r="D171" i="11"/>
  <c r="W170" i="11"/>
  <c r="K170" i="11"/>
  <c r="E170" i="11"/>
  <c r="D170" i="11"/>
  <c r="W169" i="11"/>
  <c r="K169" i="11"/>
  <c r="E169" i="11"/>
  <c r="D169" i="11"/>
  <c r="W168" i="11"/>
  <c r="K168" i="11"/>
  <c r="E168" i="11"/>
  <c r="D168" i="11"/>
  <c r="W167" i="11"/>
  <c r="K167" i="11"/>
  <c r="E167" i="11"/>
  <c r="D167" i="11"/>
  <c r="W166" i="11"/>
  <c r="K166" i="11"/>
  <c r="E166" i="11"/>
  <c r="D166" i="11"/>
  <c r="W165" i="11"/>
  <c r="K165" i="11"/>
  <c r="E165" i="11"/>
  <c r="D165" i="11"/>
  <c r="W164" i="11"/>
  <c r="K164" i="11"/>
  <c r="E164" i="11"/>
  <c r="D164" i="11"/>
  <c r="W163" i="11"/>
  <c r="K163" i="11"/>
  <c r="E163" i="11"/>
  <c r="D163" i="11"/>
  <c r="W162" i="11"/>
  <c r="K162" i="11"/>
  <c r="E162" i="11"/>
  <c r="D162" i="11"/>
  <c r="W161" i="11"/>
  <c r="K161" i="11"/>
  <c r="E161" i="11"/>
  <c r="D161" i="11"/>
  <c r="W160" i="11"/>
  <c r="K160" i="11"/>
  <c r="E160" i="11"/>
  <c r="D160" i="11"/>
  <c r="W159" i="11"/>
  <c r="K159" i="11"/>
  <c r="E159" i="11"/>
  <c r="D159" i="11"/>
  <c r="W158" i="11"/>
  <c r="K158" i="11"/>
  <c r="E158" i="11"/>
  <c r="D158" i="11"/>
  <c r="W157" i="11"/>
  <c r="K157" i="11"/>
  <c r="E157" i="11"/>
  <c r="D157" i="11"/>
  <c r="W156" i="11"/>
  <c r="K156" i="11"/>
  <c r="E156" i="11"/>
  <c r="D156" i="11"/>
  <c r="W155" i="11"/>
  <c r="K155" i="11"/>
  <c r="E155" i="11"/>
  <c r="D155" i="11"/>
  <c r="W154" i="11"/>
  <c r="K154" i="11"/>
  <c r="E154" i="11"/>
  <c r="D154" i="11"/>
  <c r="W153" i="11"/>
  <c r="K153" i="11"/>
  <c r="E153" i="11"/>
  <c r="D153" i="11"/>
  <c r="W152" i="11"/>
  <c r="K152" i="11"/>
  <c r="E152" i="11"/>
  <c r="D152" i="11"/>
  <c r="W151" i="11"/>
  <c r="K151" i="11"/>
  <c r="E151" i="11"/>
  <c r="D151" i="11"/>
  <c r="W150" i="11"/>
  <c r="K150" i="11"/>
  <c r="E150" i="11"/>
  <c r="D150" i="11"/>
  <c r="W149" i="11"/>
  <c r="K149" i="11"/>
  <c r="E149" i="11"/>
  <c r="D149" i="11"/>
  <c r="W148" i="11"/>
  <c r="K148" i="11"/>
  <c r="E148" i="11"/>
  <c r="D148" i="11"/>
  <c r="W147" i="11"/>
  <c r="K147" i="11"/>
  <c r="E147" i="11"/>
  <c r="D147" i="11"/>
  <c r="W146" i="11"/>
  <c r="K146" i="11"/>
  <c r="E146" i="11"/>
  <c r="D146" i="11"/>
  <c r="W145" i="11"/>
  <c r="K145" i="11"/>
  <c r="E145" i="11"/>
  <c r="D145" i="11"/>
  <c r="W144" i="11"/>
  <c r="K144" i="11"/>
  <c r="E144" i="11"/>
  <c r="D144" i="11"/>
  <c r="W143" i="11"/>
  <c r="K143" i="11"/>
  <c r="E143" i="11"/>
  <c r="D143" i="11"/>
  <c r="W142" i="11"/>
  <c r="K142" i="11"/>
  <c r="E142" i="11"/>
  <c r="D142" i="11"/>
  <c r="W141" i="11"/>
  <c r="K141" i="11"/>
  <c r="E141" i="11"/>
  <c r="D141" i="11"/>
  <c r="W140" i="11"/>
  <c r="K140" i="11"/>
  <c r="E140" i="11"/>
  <c r="D140" i="11"/>
  <c r="W139" i="11"/>
  <c r="K139" i="11"/>
  <c r="E139" i="11"/>
  <c r="D139" i="11"/>
  <c r="W138" i="11"/>
  <c r="K138" i="11"/>
  <c r="E138" i="11"/>
  <c r="D138" i="11"/>
  <c r="W137" i="11"/>
  <c r="K137" i="11"/>
  <c r="E137" i="11"/>
  <c r="D137" i="11"/>
  <c r="W136" i="11"/>
  <c r="K136" i="11"/>
  <c r="E136" i="11"/>
  <c r="D136" i="11"/>
  <c r="W135" i="11"/>
  <c r="K135" i="11"/>
  <c r="E135" i="11"/>
  <c r="D135" i="11"/>
  <c r="W134" i="11"/>
  <c r="K134" i="11"/>
  <c r="E134" i="11"/>
  <c r="D134" i="11"/>
  <c r="W133" i="11"/>
  <c r="K133" i="11"/>
  <c r="E133" i="11"/>
  <c r="D133" i="11"/>
  <c r="W132" i="11"/>
  <c r="K132" i="11"/>
  <c r="E132" i="11"/>
  <c r="D132" i="11"/>
  <c r="W131" i="11"/>
  <c r="K131" i="11"/>
  <c r="E131" i="11"/>
  <c r="D131" i="11"/>
  <c r="W130" i="11"/>
  <c r="K130" i="11"/>
  <c r="E130" i="11"/>
  <c r="D130" i="11"/>
  <c r="W129" i="11"/>
  <c r="K129" i="11"/>
  <c r="E129" i="11"/>
  <c r="D129" i="11"/>
  <c r="W128" i="11"/>
  <c r="K128" i="11"/>
  <c r="E128" i="11"/>
  <c r="D128" i="11"/>
  <c r="W127" i="11"/>
  <c r="K127" i="11"/>
  <c r="E127" i="11"/>
  <c r="D127" i="11"/>
  <c r="W126" i="11"/>
  <c r="K126" i="11"/>
  <c r="E126" i="11"/>
  <c r="D126" i="11"/>
  <c r="W125" i="11"/>
  <c r="K125" i="11"/>
  <c r="E125" i="11"/>
  <c r="D125" i="11"/>
  <c r="W124" i="11"/>
  <c r="K124" i="11"/>
  <c r="E124" i="11"/>
  <c r="D124" i="11"/>
  <c r="W123" i="11"/>
  <c r="K123" i="11"/>
  <c r="E123" i="11"/>
  <c r="D123" i="11"/>
  <c r="W122" i="11"/>
  <c r="K122" i="11"/>
  <c r="E122" i="11"/>
  <c r="D122" i="11"/>
  <c r="W121" i="11"/>
  <c r="K121" i="11"/>
  <c r="E121" i="11"/>
  <c r="D121" i="11"/>
  <c r="W120" i="11"/>
  <c r="K120" i="11"/>
  <c r="E120" i="11"/>
  <c r="D120" i="11"/>
  <c r="W119" i="11"/>
  <c r="K119" i="11"/>
  <c r="E119" i="11"/>
  <c r="D119" i="11"/>
  <c r="W118" i="11"/>
  <c r="K118" i="11"/>
  <c r="E118" i="11"/>
  <c r="D118" i="11"/>
  <c r="W117" i="11"/>
  <c r="K117" i="11"/>
  <c r="E117" i="11"/>
  <c r="D117" i="11"/>
  <c r="W116" i="11"/>
  <c r="K116" i="11"/>
  <c r="E116" i="11"/>
  <c r="D116" i="11"/>
  <c r="W115" i="11"/>
  <c r="K115" i="11"/>
  <c r="E115" i="11"/>
  <c r="D115" i="11"/>
  <c r="W114" i="11"/>
  <c r="K114" i="11"/>
  <c r="E114" i="11"/>
  <c r="D114" i="11"/>
  <c r="W113" i="11"/>
  <c r="K113" i="11"/>
  <c r="E113" i="11"/>
  <c r="D113" i="11"/>
  <c r="W112" i="11"/>
  <c r="K112" i="11"/>
  <c r="E112" i="11"/>
  <c r="D112" i="11"/>
  <c r="W111" i="11"/>
  <c r="K111" i="11"/>
  <c r="E111" i="11"/>
  <c r="D111" i="11"/>
  <c r="W110" i="11"/>
  <c r="K110" i="11"/>
  <c r="E110" i="11"/>
  <c r="D110" i="11"/>
  <c r="W109" i="11"/>
  <c r="K109" i="11"/>
  <c r="E109" i="11"/>
  <c r="D109" i="11"/>
  <c r="W108" i="11"/>
  <c r="K108" i="11"/>
  <c r="E108" i="11"/>
  <c r="D108" i="11"/>
  <c r="W107" i="11"/>
  <c r="K107" i="11"/>
  <c r="E107" i="11"/>
  <c r="D107" i="11"/>
  <c r="W106" i="11"/>
  <c r="K106" i="11"/>
  <c r="E106" i="11"/>
  <c r="D106" i="11"/>
  <c r="W105" i="11"/>
  <c r="K105" i="11"/>
  <c r="E105" i="11"/>
  <c r="D105" i="11"/>
  <c r="W104" i="11"/>
  <c r="K104" i="11"/>
  <c r="E104" i="11"/>
  <c r="D104" i="11"/>
  <c r="W103" i="11"/>
  <c r="K103" i="11"/>
  <c r="E103" i="11"/>
  <c r="D103" i="11"/>
  <c r="W102" i="11"/>
  <c r="K102" i="11"/>
  <c r="E102" i="11"/>
  <c r="D102" i="11"/>
  <c r="W101" i="11"/>
  <c r="K101" i="11"/>
  <c r="E101" i="11"/>
  <c r="D101" i="11"/>
  <c r="W100" i="11"/>
  <c r="K100" i="11"/>
  <c r="E100" i="11"/>
  <c r="D100" i="11"/>
  <c r="W99" i="11"/>
  <c r="K99" i="11"/>
  <c r="E99" i="11"/>
  <c r="D99" i="11"/>
  <c r="W98" i="11"/>
  <c r="K98" i="11"/>
  <c r="E98" i="11"/>
  <c r="D98" i="11"/>
  <c r="W97" i="11"/>
  <c r="K97" i="11"/>
  <c r="E97" i="11"/>
  <c r="D97" i="11"/>
  <c r="W96" i="11"/>
  <c r="K96" i="11"/>
  <c r="E96" i="11"/>
  <c r="D96" i="11"/>
  <c r="W95" i="11"/>
  <c r="K95" i="11"/>
  <c r="E95" i="11"/>
  <c r="D95" i="11"/>
  <c r="W94" i="11"/>
  <c r="K94" i="11"/>
  <c r="E94" i="11"/>
  <c r="D94" i="11"/>
  <c r="W93" i="11"/>
  <c r="K93" i="11"/>
  <c r="E93" i="11"/>
  <c r="D93" i="11"/>
  <c r="W92" i="11"/>
  <c r="K92" i="11"/>
  <c r="E92" i="11"/>
  <c r="D92" i="11"/>
  <c r="W91" i="11"/>
  <c r="K91" i="11"/>
  <c r="E91" i="11"/>
  <c r="D91" i="11"/>
  <c r="W90" i="11"/>
  <c r="K90" i="11"/>
  <c r="E90" i="11"/>
  <c r="D90" i="11"/>
  <c r="W89" i="11"/>
  <c r="K89" i="11"/>
  <c r="E89" i="11"/>
  <c r="D89" i="11"/>
  <c r="W88" i="11"/>
  <c r="K88" i="11"/>
  <c r="E88" i="11"/>
  <c r="D88" i="11"/>
  <c r="W87" i="11"/>
  <c r="K87" i="11"/>
  <c r="E87" i="11"/>
  <c r="D87" i="11"/>
  <c r="W86" i="11"/>
  <c r="K86" i="11"/>
  <c r="E86" i="11"/>
  <c r="D86" i="11"/>
  <c r="W85" i="11"/>
  <c r="K85" i="11"/>
  <c r="E85" i="11"/>
  <c r="D85" i="11"/>
  <c r="W84" i="11"/>
  <c r="K84" i="11"/>
  <c r="E84" i="11"/>
  <c r="D84" i="11"/>
  <c r="W83" i="11"/>
  <c r="K83" i="11"/>
  <c r="E83" i="11"/>
  <c r="D83" i="11"/>
  <c r="W82" i="11"/>
  <c r="K82" i="11"/>
  <c r="E82" i="11"/>
  <c r="D82" i="11"/>
  <c r="W81" i="11"/>
  <c r="K81" i="11"/>
  <c r="E81" i="11"/>
  <c r="D81" i="11"/>
  <c r="W80" i="11"/>
  <c r="K80" i="11"/>
  <c r="E80" i="11"/>
  <c r="D80" i="11"/>
  <c r="W79" i="11"/>
  <c r="K79" i="11"/>
  <c r="E79" i="11"/>
  <c r="D79" i="11"/>
  <c r="W78" i="11"/>
  <c r="K78" i="11"/>
  <c r="E78" i="11"/>
  <c r="D78" i="11"/>
  <c r="W77" i="11"/>
  <c r="K77" i="11"/>
  <c r="E77" i="11"/>
  <c r="D77" i="11"/>
  <c r="W76" i="11"/>
  <c r="K76" i="11"/>
  <c r="E76" i="11"/>
  <c r="D76" i="11"/>
  <c r="W75" i="11"/>
  <c r="K75" i="11"/>
  <c r="E75" i="11"/>
  <c r="D75" i="11"/>
  <c r="W74" i="11"/>
  <c r="K74" i="11"/>
  <c r="E74" i="11"/>
  <c r="D74" i="11"/>
  <c r="W73" i="11"/>
  <c r="K73" i="11"/>
  <c r="E73" i="11"/>
  <c r="D73" i="11"/>
  <c r="W72" i="11"/>
  <c r="K72" i="11"/>
  <c r="E72" i="11"/>
  <c r="D72" i="11"/>
  <c r="W71" i="11"/>
  <c r="K71" i="11"/>
  <c r="E71" i="11"/>
  <c r="D71" i="11"/>
  <c r="W70" i="11"/>
  <c r="K70" i="11"/>
  <c r="E70" i="11"/>
  <c r="D70" i="11"/>
  <c r="W69" i="11"/>
  <c r="K69" i="11"/>
  <c r="E69" i="11"/>
  <c r="D69" i="11"/>
  <c r="W68" i="11"/>
  <c r="K68" i="11"/>
  <c r="E68" i="11"/>
  <c r="D68" i="11"/>
  <c r="W67" i="11"/>
  <c r="K67" i="11"/>
  <c r="E67" i="11"/>
  <c r="D67" i="11"/>
  <c r="W66" i="11"/>
  <c r="K66" i="11"/>
  <c r="E66" i="11"/>
  <c r="D66" i="11"/>
  <c r="W65" i="11"/>
  <c r="K65" i="11"/>
  <c r="E65" i="11"/>
  <c r="D65" i="11"/>
  <c r="W64" i="11"/>
  <c r="K64" i="11"/>
  <c r="E64" i="11"/>
  <c r="D64" i="11"/>
  <c r="W63" i="11"/>
  <c r="K63" i="11"/>
  <c r="E63" i="11"/>
  <c r="D63" i="11"/>
  <c r="W62" i="11"/>
  <c r="K62" i="11"/>
  <c r="E62" i="11"/>
  <c r="D62" i="11"/>
  <c r="W61" i="11"/>
  <c r="K61" i="11"/>
  <c r="E61" i="11"/>
  <c r="D61" i="11"/>
  <c r="W60" i="11"/>
  <c r="K60" i="11"/>
  <c r="E60" i="11"/>
  <c r="D60" i="11"/>
  <c r="W59" i="11"/>
  <c r="K59" i="11"/>
  <c r="E59" i="11"/>
  <c r="D59" i="11"/>
  <c r="W58" i="11"/>
  <c r="K58" i="11"/>
  <c r="E58" i="11"/>
  <c r="D58" i="11"/>
  <c r="W57" i="11"/>
  <c r="K57" i="11"/>
  <c r="E57" i="11"/>
  <c r="D57" i="11"/>
  <c r="W56" i="11"/>
  <c r="K56" i="11"/>
  <c r="E56" i="11"/>
  <c r="D56" i="11"/>
  <c r="W55" i="11"/>
  <c r="K55" i="11"/>
  <c r="E55" i="11"/>
  <c r="D55" i="11"/>
  <c r="W54" i="11"/>
  <c r="K54" i="11"/>
  <c r="E54" i="11"/>
  <c r="D54" i="11"/>
  <c r="W53" i="11"/>
  <c r="K53" i="11"/>
  <c r="E53" i="11"/>
  <c r="D53" i="11"/>
  <c r="W52" i="11"/>
  <c r="K52" i="11"/>
  <c r="E52" i="11"/>
  <c r="D52" i="11"/>
  <c r="W51" i="11"/>
  <c r="K51" i="11"/>
  <c r="E51" i="11"/>
  <c r="D51" i="11"/>
  <c r="W50" i="11"/>
  <c r="K50" i="11"/>
  <c r="E50" i="11"/>
  <c r="D50" i="11"/>
  <c r="W49" i="11"/>
  <c r="K49" i="11"/>
  <c r="E49" i="11"/>
  <c r="D49" i="11"/>
  <c r="W48" i="11"/>
  <c r="K48" i="11"/>
  <c r="E48" i="11"/>
  <c r="D48" i="11"/>
  <c r="W47" i="11"/>
  <c r="K47" i="11"/>
  <c r="E47" i="11"/>
  <c r="D47" i="11"/>
  <c r="W46" i="11"/>
  <c r="K46" i="11"/>
  <c r="E46" i="11"/>
  <c r="D46" i="11"/>
  <c r="W45" i="11"/>
  <c r="K45" i="11"/>
  <c r="E45" i="11"/>
  <c r="D45" i="11"/>
  <c r="W44" i="11"/>
  <c r="K44" i="11"/>
  <c r="E44" i="11"/>
  <c r="D44" i="11"/>
  <c r="W43" i="11"/>
  <c r="K43" i="11"/>
  <c r="E43" i="11"/>
  <c r="D43" i="11"/>
  <c r="W42" i="11"/>
  <c r="K42" i="11"/>
  <c r="E42" i="11"/>
  <c r="D42" i="11"/>
  <c r="W41" i="11"/>
  <c r="K41" i="11"/>
  <c r="E41" i="11"/>
  <c r="D41" i="11"/>
  <c r="W40" i="11"/>
  <c r="K40" i="11"/>
  <c r="E40" i="11"/>
  <c r="D40" i="11"/>
  <c r="W39" i="11"/>
  <c r="K39" i="11"/>
  <c r="E39" i="11"/>
  <c r="D39" i="11"/>
  <c r="W38" i="11"/>
  <c r="K38" i="11"/>
  <c r="E38" i="11"/>
  <c r="D38" i="11"/>
  <c r="W37" i="11"/>
  <c r="K37" i="11"/>
  <c r="E37" i="11"/>
  <c r="D37" i="11"/>
  <c r="W36" i="11"/>
  <c r="K36" i="11"/>
  <c r="E36" i="11"/>
  <c r="D36" i="11"/>
  <c r="W35" i="11"/>
  <c r="K35" i="11"/>
  <c r="E35" i="11"/>
  <c r="D35" i="11"/>
  <c r="W34" i="11"/>
  <c r="K34" i="11"/>
  <c r="E34" i="11"/>
  <c r="D34" i="11"/>
  <c r="W33" i="11"/>
  <c r="K33" i="11"/>
  <c r="E33" i="11"/>
  <c r="D33" i="11"/>
  <c r="W32" i="11"/>
  <c r="K32" i="11"/>
  <c r="E32" i="11"/>
  <c r="D32" i="11"/>
  <c r="W31" i="11"/>
  <c r="K31" i="11"/>
  <c r="E31" i="11"/>
  <c r="D31" i="11"/>
  <c r="W30" i="11"/>
  <c r="K30" i="11"/>
  <c r="E30" i="11"/>
  <c r="D30" i="11"/>
  <c r="W29" i="11"/>
  <c r="K29" i="11"/>
  <c r="E29" i="11"/>
  <c r="D29" i="11"/>
  <c r="W28" i="11"/>
  <c r="K28" i="11"/>
  <c r="E28" i="11"/>
  <c r="D28" i="11"/>
  <c r="W27" i="11"/>
  <c r="K27" i="11"/>
  <c r="E27" i="11"/>
  <c r="D27" i="11"/>
  <c r="W26" i="11"/>
  <c r="K26" i="11"/>
  <c r="E26" i="11"/>
  <c r="D26" i="11"/>
  <c r="W25" i="11"/>
  <c r="K25" i="11"/>
  <c r="E25" i="11"/>
  <c r="D25" i="11"/>
  <c r="W24" i="11"/>
  <c r="K24" i="11"/>
  <c r="E24" i="11"/>
  <c r="D24" i="11"/>
  <c r="W23" i="11"/>
  <c r="K23" i="11"/>
  <c r="E23" i="11"/>
  <c r="D23" i="11"/>
  <c r="W22" i="11"/>
  <c r="K22" i="11"/>
  <c r="E22" i="11"/>
  <c r="D22" i="11"/>
  <c r="W21" i="11"/>
  <c r="K21" i="11"/>
  <c r="E21" i="11"/>
  <c r="D21" i="11"/>
  <c r="W20" i="11"/>
  <c r="K20" i="11"/>
  <c r="E20" i="11"/>
  <c r="D20" i="11"/>
  <c r="W19" i="11"/>
  <c r="K19" i="11"/>
  <c r="E19" i="11"/>
  <c r="D19" i="11"/>
  <c r="W18" i="11"/>
  <c r="K18" i="11"/>
  <c r="E18" i="11"/>
  <c r="D18" i="11"/>
  <c r="W17" i="11"/>
  <c r="K17" i="11"/>
  <c r="E17" i="11"/>
  <c r="D17" i="11"/>
  <c r="W16" i="11"/>
  <c r="K16" i="11"/>
  <c r="E16" i="11"/>
  <c r="D16" i="11"/>
  <c r="W15" i="11"/>
  <c r="K15" i="11"/>
  <c r="E15" i="11"/>
  <c r="D15" i="11"/>
  <c r="W14" i="11"/>
  <c r="K14" i="11"/>
  <c r="E14" i="11"/>
  <c r="D14" i="11"/>
  <c r="W13" i="11"/>
  <c r="K13" i="11"/>
  <c r="E13" i="11"/>
  <c r="D13" i="11"/>
  <c r="W12" i="11"/>
  <c r="K12" i="11"/>
  <c r="E12" i="11"/>
  <c r="D12" i="11"/>
  <c r="W11" i="11"/>
  <c r="K11" i="11"/>
  <c r="E11" i="11"/>
  <c r="D11" i="11"/>
  <c r="W10" i="11"/>
  <c r="K10" i="11"/>
  <c r="E10" i="11"/>
  <c r="D10" i="11"/>
  <c r="W9" i="11"/>
  <c r="K9" i="11"/>
  <c r="E9" i="11"/>
  <c r="D9" i="11"/>
  <c r="W8" i="11"/>
  <c r="K8" i="11"/>
  <c r="E8" i="11"/>
  <c r="D8" i="11"/>
  <c r="W7" i="11"/>
  <c r="K7" i="11"/>
  <c r="E7" i="11"/>
  <c r="D7" i="11"/>
  <c r="W6" i="11"/>
  <c r="K6" i="11"/>
  <c r="E6" i="11"/>
  <c r="D6" i="11"/>
  <c r="W5" i="11"/>
  <c r="K5" i="11"/>
  <c r="E5" i="11"/>
  <c r="D5" i="11"/>
  <c r="W4" i="11"/>
  <c r="K4" i="11"/>
  <c r="E4" i="11"/>
  <c r="D4" i="11"/>
  <c r="W3" i="11"/>
  <c r="K3" i="11"/>
  <c r="E3" i="11"/>
  <c r="D3" i="11"/>
  <c r="W2" i="11"/>
  <c r="K2" i="11"/>
  <c r="E2" i="11"/>
  <c r="D2" i="11"/>
  <c r="AD5" i="8"/>
  <c r="AD6" i="8"/>
  <c r="AD7" i="8"/>
  <c r="AD8" i="8"/>
  <c r="AD9" i="8"/>
  <c r="AD10" i="8"/>
  <c r="AD11" i="8"/>
  <c r="AD12" i="8"/>
  <c r="AD13" i="8"/>
  <c r="AD14" i="8"/>
  <c r="AD15" i="8"/>
  <c r="AD16" i="8"/>
  <c r="AD17" i="8"/>
  <c r="AD18" i="8"/>
  <c r="AD19" i="8"/>
  <c r="AD20" i="8"/>
  <c r="AD21" i="8"/>
  <c r="AD22" i="8"/>
  <c r="AD23" i="8"/>
  <c r="AD24" i="8"/>
  <c r="AD25" i="8"/>
  <c r="AD26" i="8"/>
  <c r="AD27" i="8"/>
  <c r="AD4" i="8"/>
  <c r="AC5" i="8"/>
  <c r="AC6" i="8"/>
  <c r="AC7" i="8"/>
  <c r="AC8" i="8"/>
  <c r="AC9" i="8"/>
  <c r="AC10" i="8"/>
  <c r="AC11" i="8"/>
  <c r="AC12" i="8"/>
  <c r="AC13" i="8"/>
  <c r="AC14" i="8"/>
  <c r="AC15" i="8"/>
  <c r="AC16" i="8"/>
  <c r="AC17" i="8"/>
  <c r="AC18" i="8"/>
  <c r="AC19" i="8"/>
  <c r="AC20" i="8"/>
  <c r="AC21" i="8"/>
  <c r="AC22" i="8"/>
  <c r="AC23" i="8"/>
  <c r="AC24" i="8"/>
  <c r="AC25" i="8"/>
  <c r="AC26" i="8"/>
  <c r="AC27" i="8"/>
  <c r="AC4" i="8"/>
  <c r="B7" i="8" l="1"/>
  <c r="F7" i="8"/>
  <c r="E7" i="8"/>
  <c r="D7" i="8"/>
  <c r="C7" i="8"/>
  <c r="D1801" i="7"/>
  <c r="E1801" i="7"/>
  <c r="K1801" i="7"/>
  <c r="W1801" i="7"/>
  <c r="D1802" i="7"/>
  <c r="E1802" i="7"/>
  <c r="K1802" i="7"/>
  <c r="W1802" i="7"/>
  <c r="D1803" i="7"/>
  <c r="E1803" i="7"/>
  <c r="K1803" i="7"/>
  <c r="W1803" i="7"/>
  <c r="D1804" i="7"/>
  <c r="E1804" i="7"/>
  <c r="K1804" i="7"/>
  <c r="W1804" i="7"/>
  <c r="D1805" i="7"/>
  <c r="E1805" i="7"/>
  <c r="K1805" i="7"/>
  <c r="W1805" i="7"/>
  <c r="D1806" i="7"/>
  <c r="E1806" i="7"/>
  <c r="K1806" i="7"/>
  <c r="W1806" i="7"/>
  <c r="D1807" i="7"/>
  <c r="E1807" i="7"/>
  <c r="K1807" i="7"/>
  <c r="W1807" i="7"/>
  <c r="D1808" i="7"/>
  <c r="E1808" i="7"/>
  <c r="K1808" i="7"/>
  <c r="W1808" i="7"/>
  <c r="D1809" i="7"/>
  <c r="E1809" i="7"/>
  <c r="K1809" i="7"/>
  <c r="W1809" i="7"/>
  <c r="D1810" i="7"/>
  <c r="E1810" i="7"/>
  <c r="K1810" i="7"/>
  <c r="W1810" i="7"/>
  <c r="D1811" i="7"/>
  <c r="E1811" i="7"/>
  <c r="K1811" i="7"/>
  <c r="W1811" i="7"/>
  <c r="D1812" i="7"/>
  <c r="E1812" i="7"/>
  <c r="K1812" i="7"/>
  <c r="W1812" i="7"/>
  <c r="D1813" i="7"/>
  <c r="E1813" i="7"/>
  <c r="K1813" i="7"/>
  <c r="W1813" i="7"/>
  <c r="D1814" i="7"/>
  <c r="E1814" i="7"/>
  <c r="K1814" i="7"/>
  <c r="W1814" i="7"/>
  <c r="D1815" i="7"/>
  <c r="E1815" i="7"/>
  <c r="K1815" i="7"/>
  <c r="W1815" i="7"/>
  <c r="D1816" i="7"/>
  <c r="E1816" i="7"/>
  <c r="K1816" i="7"/>
  <c r="W1816" i="7"/>
  <c r="D1817" i="7"/>
  <c r="E1817" i="7"/>
  <c r="K1817" i="7"/>
  <c r="W1817" i="7"/>
  <c r="D1818" i="7"/>
  <c r="E1818" i="7"/>
  <c r="K1818" i="7"/>
  <c r="W1818" i="7"/>
  <c r="D1819" i="7"/>
  <c r="E1819" i="7"/>
  <c r="K1819" i="7"/>
  <c r="W1819" i="7"/>
  <c r="D1820" i="7"/>
  <c r="E1820" i="7"/>
  <c r="K1820" i="7"/>
  <c r="W1820" i="7"/>
  <c r="D1821" i="7"/>
  <c r="E1821" i="7"/>
  <c r="K1821" i="7"/>
  <c r="W1821" i="7"/>
  <c r="D1822" i="7"/>
  <c r="E1822" i="7"/>
  <c r="K1822" i="7"/>
  <c r="W1822" i="7"/>
  <c r="D1823" i="7"/>
  <c r="E1823" i="7"/>
  <c r="K1823" i="7"/>
  <c r="W1823" i="7"/>
  <c r="D1824" i="7"/>
  <c r="E1824" i="7"/>
  <c r="K1824" i="7"/>
  <c r="W1824" i="7"/>
  <c r="D1825" i="7"/>
  <c r="E1825" i="7"/>
  <c r="K1825" i="7"/>
  <c r="W1825" i="7"/>
  <c r="D1826" i="7"/>
  <c r="E1826" i="7"/>
  <c r="K1826" i="7"/>
  <c r="W1826" i="7"/>
  <c r="D1827" i="7"/>
  <c r="E1827" i="7"/>
  <c r="K1827" i="7"/>
  <c r="W1827" i="7"/>
  <c r="W1800" i="7"/>
  <c r="K1800" i="7"/>
  <c r="E1800" i="7"/>
  <c r="D1800" i="7"/>
  <c r="W1799" i="7"/>
  <c r="K1799" i="7"/>
  <c r="E1799" i="7"/>
  <c r="D1799" i="7"/>
  <c r="W1798" i="7"/>
  <c r="K1798" i="7"/>
  <c r="E1798" i="7"/>
  <c r="D1798" i="7"/>
  <c r="W1797" i="7"/>
  <c r="K1797" i="7"/>
  <c r="E1797" i="7"/>
  <c r="D1797" i="7"/>
  <c r="W1796" i="7"/>
  <c r="K1796" i="7"/>
  <c r="E1796" i="7"/>
  <c r="D1796" i="7"/>
  <c r="W1795" i="7"/>
  <c r="K1795" i="7"/>
  <c r="E1795" i="7"/>
  <c r="D1795" i="7"/>
  <c r="W1794" i="7"/>
  <c r="K1794" i="7"/>
  <c r="E1794" i="7"/>
  <c r="D1794" i="7"/>
  <c r="W1793" i="7"/>
  <c r="K1793" i="7"/>
  <c r="E1793" i="7"/>
  <c r="D1793" i="7"/>
  <c r="W1792" i="7"/>
  <c r="K1792" i="7"/>
  <c r="E1792" i="7"/>
  <c r="D1792" i="7"/>
  <c r="W1791" i="7"/>
  <c r="K1791" i="7"/>
  <c r="E1791" i="7"/>
  <c r="D1791" i="7"/>
  <c r="W1790" i="7"/>
  <c r="K1790" i="7"/>
  <c r="E1790" i="7"/>
  <c r="D1790" i="7"/>
  <c r="W1789" i="7"/>
  <c r="K1789" i="7"/>
  <c r="E1789" i="7"/>
  <c r="D1789" i="7"/>
  <c r="W1788" i="7"/>
  <c r="K1788" i="7"/>
  <c r="E1788" i="7"/>
  <c r="D1788" i="7"/>
  <c r="W1787" i="7"/>
  <c r="K1787" i="7"/>
  <c r="E1787" i="7"/>
  <c r="D1787" i="7"/>
  <c r="W1786" i="7"/>
  <c r="K1786" i="7"/>
  <c r="E1786" i="7"/>
  <c r="D1786" i="7"/>
  <c r="W1785" i="7"/>
  <c r="K1785" i="7"/>
  <c r="E1785" i="7"/>
  <c r="D1785" i="7"/>
  <c r="W1784" i="7"/>
  <c r="K1784" i="7"/>
  <c r="E1784" i="7"/>
  <c r="D1784" i="7"/>
  <c r="W1783" i="7"/>
  <c r="K1783" i="7"/>
  <c r="E1783" i="7"/>
  <c r="D1783" i="7"/>
  <c r="W1782" i="7"/>
  <c r="K1782" i="7"/>
  <c r="E1782" i="7"/>
  <c r="D1782" i="7"/>
  <c r="W1781" i="7"/>
  <c r="K1781" i="7"/>
  <c r="E1781" i="7"/>
  <c r="D1781" i="7"/>
  <c r="W1780" i="7"/>
  <c r="K1780" i="7"/>
  <c r="E1780" i="7"/>
  <c r="D1780" i="7"/>
  <c r="W1779" i="7"/>
  <c r="K1779" i="7"/>
  <c r="E1779" i="7"/>
  <c r="D1779" i="7"/>
  <c r="W1778" i="7"/>
  <c r="K1778" i="7"/>
  <c r="E1778" i="7"/>
  <c r="D1778" i="7"/>
  <c r="W1777" i="7"/>
  <c r="K1777" i="7"/>
  <c r="E1777" i="7"/>
  <c r="D1777" i="7"/>
  <c r="W1776" i="7"/>
  <c r="K1776" i="7"/>
  <c r="E1776" i="7"/>
  <c r="D1776" i="7"/>
  <c r="W1775" i="7"/>
  <c r="K1775" i="7"/>
  <c r="E1775" i="7"/>
  <c r="D1775" i="7"/>
  <c r="W1774" i="7"/>
  <c r="K1774" i="7"/>
  <c r="E1774" i="7"/>
  <c r="D1774" i="7"/>
  <c r="W1773" i="7"/>
  <c r="K1773" i="7"/>
  <c r="E1773" i="7"/>
  <c r="D1773" i="7"/>
  <c r="W1772" i="7"/>
  <c r="K1772" i="7"/>
  <c r="E1772" i="7"/>
  <c r="D1772" i="7"/>
  <c r="W1771" i="7"/>
  <c r="K1771" i="7"/>
  <c r="E1771" i="7"/>
  <c r="D1771" i="7"/>
  <c r="W1770" i="7"/>
  <c r="K1770" i="7"/>
  <c r="E1770" i="7"/>
  <c r="D1770" i="7"/>
  <c r="W1769" i="7"/>
  <c r="K1769" i="7"/>
  <c r="E1769" i="7"/>
  <c r="D1769" i="7"/>
  <c r="W1768" i="7"/>
  <c r="K1768" i="7"/>
  <c r="E1768" i="7"/>
  <c r="D1768" i="7"/>
  <c r="W1767" i="7"/>
  <c r="K1767" i="7"/>
  <c r="E1767" i="7"/>
  <c r="D1767" i="7"/>
  <c r="W1766" i="7"/>
  <c r="K1766" i="7"/>
  <c r="E1766" i="7"/>
  <c r="D1766" i="7"/>
  <c r="W1765" i="7"/>
  <c r="K1765" i="7"/>
  <c r="E1765" i="7"/>
  <c r="D1765" i="7"/>
  <c r="W1764" i="7"/>
  <c r="K1764" i="7"/>
  <c r="E1764" i="7"/>
  <c r="D1764" i="7"/>
  <c r="W1763" i="7"/>
  <c r="K1763" i="7"/>
  <c r="E1763" i="7"/>
  <c r="D1763" i="7"/>
  <c r="W1762" i="7"/>
  <c r="K1762" i="7"/>
  <c r="E1762" i="7"/>
  <c r="D1762" i="7"/>
  <c r="W1761" i="7"/>
  <c r="K1761" i="7"/>
  <c r="E1761" i="7"/>
  <c r="D1761" i="7"/>
  <c r="W1760" i="7"/>
  <c r="K1760" i="7"/>
  <c r="E1760" i="7"/>
  <c r="D1760" i="7"/>
  <c r="W1759" i="7"/>
  <c r="K1759" i="7"/>
  <c r="E1759" i="7"/>
  <c r="D1759" i="7"/>
  <c r="W1758" i="7"/>
  <c r="K1758" i="7"/>
  <c r="E1758" i="7"/>
  <c r="D1758" i="7"/>
  <c r="W1757" i="7"/>
  <c r="K1757" i="7"/>
  <c r="E1757" i="7"/>
  <c r="D1757" i="7"/>
  <c r="W1756" i="7"/>
  <c r="K1756" i="7"/>
  <c r="E1756" i="7"/>
  <c r="D1756" i="7"/>
  <c r="W1755" i="7"/>
  <c r="K1755" i="7"/>
  <c r="E1755" i="7"/>
  <c r="D1755" i="7"/>
  <c r="W1754" i="7"/>
  <c r="K1754" i="7"/>
  <c r="E1754" i="7"/>
  <c r="D1754" i="7"/>
  <c r="W1753" i="7"/>
  <c r="K1753" i="7"/>
  <c r="E1753" i="7"/>
  <c r="D1753" i="7"/>
  <c r="W1752" i="7"/>
  <c r="K1752" i="7"/>
  <c r="E1752" i="7"/>
  <c r="D1752" i="7"/>
  <c r="W1751" i="7"/>
  <c r="K1751" i="7"/>
  <c r="E1751" i="7"/>
  <c r="D1751" i="7"/>
  <c r="W1750" i="7"/>
  <c r="K1750" i="7"/>
  <c r="E1750" i="7"/>
  <c r="D1750" i="7"/>
  <c r="W1749" i="7"/>
  <c r="K1749" i="7"/>
  <c r="E1749" i="7"/>
  <c r="D1749" i="7"/>
  <c r="W1748" i="7"/>
  <c r="K1748" i="7"/>
  <c r="E1748" i="7"/>
  <c r="D1748" i="7"/>
  <c r="W1747" i="7"/>
  <c r="K1747" i="7"/>
  <c r="E1747" i="7"/>
  <c r="D1747" i="7"/>
  <c r="W1746" i="7"/>
  <c r="K1746" i="7"/>
  <c r="E1746" i="7"/>
  <c r="D1746" i="7"/>
  <c r="W1745" i="7"/>
  <c r="K1745" i="7"/>
  <c r="E1745" i="7"/>
  <c r="D1745" i="7"/>
  <c r="W1744" i="7"/>
  <c r="K1744" i="7"/>
  <c r="E1744" i="7"/>
  <c r="D1744" i="7"/>
  <c r="W1743" i="7"/>
  <c r="K1743" i="7"/>
  <c r="E1743" i="7"/>
  <c r="D1743" i="7"/>
  <c r="W1742" i="7"/>
  <c r="K1742" i="7"/>
  <c r="E1742" i="7"/>
  <c r="D1742" i="7"/>
  <c r="W1741" i="7"/>
  <c r="K1741" i="7"/>
  <c r="E1741" i="7"/>
  <c r="D1741" i="7"/>
  <c r="W1740" i="7"/>
  <c r="K1740" i="7"/>
  <c r="E1740" i="7"/>
  <c r="D1740" i="7"/>
  <c r="W1739" i="7"/>
  <c r="K1739" i="7"/>
  <c r="E1739" i="7"/>
  <c r="D1739" i="7"/>
  <c r="W1738" i="7"/>
  <c r="K1738" i="7"/>
  <c r="E1738" i="7"/>
  <c r="D1738" i="7"/>
  <c r="W1737" i="7"/>
  <c r="K1737" i="7"/>
  <c r="E1737" i="7"/>
  <c r="D1737" i="7"/>
  <c r="W1736" i="7"/>
  <c r="K1736" i="7"/>
  <c r="E1736" i="7"/>
  <c r="D1736" i="7"/>
  <c r="W1735" i="7"/>
  <c r="K1735" i="7"/>
  <c r="E1735" i="7"/>
  <c r="D1735" i="7"/>
  <c r="W1734" i="7"/>
  <c r="K1734" i="7"/>
  <c r="E1734" i="7"/>
  <c r="D1734" i="7"/>
  <c r="W1733" i="7"/>
  <c r="K1733" i="7"/>
  <c r="E1733" i="7"/>
  <c r="D1733" i="7"/>
  <c r="W1732" i="7"/>
  <c r="K1732" i="7"/>
  <c r="E1732" i="7"/>
  <c r="D1732" i="7"/>
  <c r="W1731" i="7"/>
  <c r="K1731" i="7"/>
  <c r="E1731" i="7"/>
  <c r="D1731" i="7"/>
  <c r="W1730" i="7"/>
  <c r="K1730" i="7"/>
  <c r="E1730" i="7"/>
  <c r="D1730" i="7"/>
  <c r="W1729" i="7"/>
  <c r="K1729" i="7"/>
  <c r="E1729" i="7"/>
  <c r="D1729" i="7"/>
  <c r="W1728" i="7"/>
  <c r="K1728" i="7"/>
  <c r="E1728" i="7"/>
  <c r="D1728" i="7"/>
  <c r="W1727" i="7"/>
  <c r="K1727" i="7"/>
  <c r="E1727" i="7"/>
  <c r="D1727" i="7"/>
  <c r="W1726" i="7"/>
  <c r="K1726" i="7"/>
  <c r="E1726" i="7"/>
  <c r="D1726" i="7"/>
  <c r="W1725" i="7"/>
  <c r="K1725" i="7"/>
  <c r="E1725" i="7"/>
  <c r="D1725" i="7"/>
  <c r="W1724" i="7"/>
  <c r="K1724" i="7"/>
  <c r="E1724" i="7"/>
  <c r="D1724" i="7"/>
  <c r="W1723" i="7"/>
  <c r="K1723" i="7"/>
  <c r="E1723" i="7"/>
  <c r="D1723" i="7"/>
  <c r="W1722" i="7"/>
  <c r="K1722" i="7"/>
  <c r="E1722" i="7"/>
  <c r="D1722" i="7"/>
  <c r="W1721" i="7"/>
  <c r="K1721" i="7"/>
  <c r="E1721" i="7"/>
  <c r="D1721" i="7"/>
  <c r="W1720" i="7"/>
  <c r="K1720" i="7"/>
  <c r="E1720" i="7"/>
  <c r="D1720" i="7"/>
  <c r="W1719" i="7"/>
  <c r="K1719" i="7"/>
  <c r="E1719" i="7"/>
  <c r="D1719" i="7"/>
  <c r="W1718" i="7"/>
  <c r="K1718" i="7"/>
  <c r="E1718" i="7"/>
  <c r="D1718" i="7"/>
  <c r="W1717" i="7"/>
  <c r="K1717" i="7"/>
  <c r="E1717" i="7"/>
  <c r="D1717" i="7"/>
  <c r="W1716" i="7"/>
  <c r="K1716" i="7"/>
  <c r="E1716" i="7"/>
  <c r="D1716" i="7"/>
  <c r="W1715" i="7"/>
  <c r="K1715" i="7"/>
  <c r="E1715" i="7"/>
  <c r="D1715" i="7"/>
  <c r="W1714" i="7"/>
  <c r="K1714" i="7"/>
  <c r="E1714" i="7"/>
  <c r="D1714" i="7"/>
  <c r="W1713" i="7"/>
  <c r="K1713" i="7"/>
  <c r="E1713" i="7"/>
  <c r="D1713" i="7"/>
  <c r="W1712" i="7"/>
  <c r="K1712" i="7"/>
  <c r="E1712" i="7"/>
  <c r="D1712" i="7"/>
  <c r="W1711" i="7"/>
  <c r="K1711" i="7"/>
  <c r="E1711" i="7"/>
  <c r="D1711" i="7"/>
  <c r="W1710" i="7"/>
  <c r="K1710" i="7"/>
  <c r="E1710" i="7"/>
  <c r="D1710" i="7"/>
  <c r="W1709" i="7"/>
  <c r="K1709" i="7"/>
  <c r="E1709" i="7"/>
  <c r="D1709" i="7"/>
  <c r="W1708" i="7"/>
  <c r="K1708" i="7"/>
  <c r="E1708" i="7"/>
  <c r="D1708" i="7"/>
  <c r="W1707" i="7"/>
  <c r="K1707" i="7"/>
  <c r="E1707" i="7"/>
  <c r="D1707" i="7"/>
  <c r="W1706" i="7"/>
  <c r="K1706" i="7"/>
  <c r="E1706" i="7"/>
  <c r="D1706" i="7"/>
  <c r="W1705" i="7"/>
  <c r="K1705" i="7"/>
  <c r="E1705" i="7"/>
  <c r="D1705" i="7"/>
  <c r="W1704" i="7"/>
  <c r="K1704" i="7"/>
  <c r="E1704" i="7"/>
  <c r="D1704" i="7"/>
  <c r="W1703" i="7"/>
  <c r="K1703" i="7"/>
  <c r="E1703" i="7"/>
  <c r="D1703" i="7"/>
  <c r="W1702" i="7"/>
  <c r="K1702" i="7"/>
  <c r="E1702" i="7"/>
  <c r="D1702" i="7"/>
  <c r="W1701" i="7"/>
  <c r="K1701" i="7"/>
  <c r="E1701" i="7"/>
  <c r="D1701" i="7"/>
  <c r="W1700" i="7"/>
  <c r="K1700" i="7"/>
  <c r="E1700" i="7"/>
  <c r="D1700" i="7"/>
  <c r="W1699" i="7"/>
  <c r="K1699" i="7"/>
  <c r="E1699" i="7"/>
  <c r="D1699" i="7"/>
  <c r="W1698" i="7"/>
  <c r="K1698" i="7"/>
  <c r="E1698" i="7"/>
  <c r="D1698" i="7"/>
  <c r="W1697" i="7"/>
  <c r="K1697" i="7"/>
  <c r="E1697" i="7"/>
  <c r="D1697" i="7"/>
  <c r="W1696" i="7"/>
  <c r="K1696" i="7"/>
  <c r="E1696" i="7"/>
  <c r="D1696" i="7"/>
  <c r="W1695" i="7"/>
  <c r="K1695" i="7"/>
  <c r="E1695" i="7"/>
  <c r="D1695" i="7"/>
  <c r="W1694" i="7"/>
  <c r="K1694" i="7"/>
  <c r="E1694" i="7"/>
  <c r="D1694" i="7"/>
  <c r="W1693" i="7"/>
  <c r="K1693" i="7"/>
  <c r="E1693" i="7"/>
  <c r="D1693" i="7"/>
  <c r="W1692" i="7"/>
  <c r="K1692" i="7"/>
  <c r="E1692" i="7"/>
  <c r="D1692" i="7"/>
  <c r="W1691" i="7"/>
  <c r="K1691" i="7"/>
  <c r="E1691" i="7"/>
  <c r="D1691" i="7"/>
  <c r="W1690" i="7"/>
  <c r="K1690" i="7"/>
  <c r="E1690" i="7"/>
  <c r="D1690" i="7"/>
  <c r="W1689" i="7"/>
  <c r="K1689" i="7"/>
  <c r="E1689" i="7"/>
  <c r="D1689" i="7"/>
  <c r="W1688" i="7"/>
  <c r="K1688" i="7"/>
  <c r="E1688" i="7"/>
  <c r="D1688" i="7"/>
  <c r="W1687" i="7"/>
  <c r="K1687" i="7"/>
  <c r="E1687" i="7"/>
  <c r="D1687" i="7"/>
  <c r="W1686" i="7"/>
  <c r="K1686" i="7"/>
  <c r="E1686" i="7"/>
  <c r="D1686" i="7"/>
  <c r="W1685" i="7"/>
  <c r="K1685" i="7"/>
  <c r="E1685" i="7"/>
  <c r="D1685" i="7"/>
  <c r="W1684" i="7"/>
  <c r="K1684" i="7"/>
  <c r="E1684" i="7"/>
  <c r="D1684" i="7"/>
  <c r="W1683" i="7"/>
  <c r="K1683" i="7"/>
  <c r="E1683" i="7"/>
  <c r="D1683" i="7"/>
  <c r="W1682" i="7"/>
  <c r="K1682" i="7"/>
  <c r="E1682" i="7"/>
  <c r="D1682" i="7"/>
  <c r="W1681" i="7"/>
  <c r="K1681" i="7"/>
  <c r="E1681" i="7"/>
  <c r="D1681" i="7"/>
  <c r="W1680" i="7"/>
  <c r="K1680" i="7"/>
  <c r="E1680" i="7"/>
  <c r="D1680" i="7"/>
  <c r="W1679" i="7"/>
  <c r="K1679" i="7"/>
  <c r="E1679" i="7"/>
  <c r="D1679" i="7"/>
  <c r="W1678" i="7"/>
  <c r="K1678" i="7"/>
  <c r="E1678" i="7"/>
  <c r="D1678" i="7"/>
  <c r="W1677" i="7"/>
  <c r="K1677" i="7"/>
  <c r="E1677" i="7"/>
  <c r="D1677" i="7"/>
  <c r="W1676" i="7"/>
  <c r="K1676" i="7"/>
  <c r="E1676" i="7"/>
  <c r="D1676" i="7"/>
  <c r="W1675" i="7"/>
  <c r="K1675" i="7"/>
  <c r="E1675" i="7"/>
  <c r="D1675" i="7"/>
  <c r="W1674" i="7"/>
  <c r="K1674" i="7"/>
  <c r="E1674" i="7"/>
  <c r="D1674" i="7"/>
  <c r="W1673" i="7"/>
  <c r="K1673" i="7"/>
  <c r="E1673" i="7"/>
  <c r="D1673" i="7"/>
  <c r="W1672" i="7"/>
  <c r="K1672" i="7"/>
  <c r="E1672" i="7"/>
  <c r="D1672" i="7"/>
  <c r="W1671" i="7"/>
  <c r="K1671" i="7"/>
  <c r="E1671" i="7"/>
  <c r="D1671" i="7"/>
  <c r="W1670" i="7"/>
  <c r="K1670" i="7"/>
  <c r="E1670" i="7"/>
  <c r="D1670" i="7"/>
  <c r="W1669" i="7"/>
  <c r="K1669" i="7"/>
  <c r="E1669" i="7"/>
  <c r="D1669" i="7"/>
  <c r="W1668" i="7"/>
  <c r="K1668" i="7"/>
  <c r="E1668" i="7"/>
  <c r="D1668" i="7"/>
  <c r="W1667" i="7"/>
  <c r="K1667" i="7"/>
  <c r="E1667" i="7"/>
  <c r="D1667" i="7"/>
  <c r="W1666" i="7"/>
  <c r="K1666" i="7"/>
  <c r="E1666" i="7"/>
  <c r="D1666" i="7"/>
  <c r="W1665" i="7"/>
  <c r="K1665" i="7"/>
  <c r="E1665" i="7"/>
  <c r="D1665" i="7"/>
  <c r="W1664" i="7"/>
  <c r="K1664" i="7"/>
  <c r="E1664" i="7"/>
  <c r="D1664" i="7"/>
  <c r="W1663" i="7"/>
  <c r="K1663" i="7"/>
  <c r="E1663" i="7"/>
  <c r="D1663" i="7"/>
  <c r="W1662" i="7"/>
  <c r="K1662" i="7"/>
  <c r="E1662" i="7"/>
  <c r="D1662" i="7"/>
  <c r="W1661" i="7"/>
  <c r="K1661" i="7"/>
  <c r="E1661" i="7"/>
  <c r="D1661" i="7"/>
  <c r="W1660" i="7"/>
  <c r="K1660" i="7"/>
  <c r="E1660" i="7"/>
  <c r="D1660" i="7"/>
  <c r="W1659" i="7"/>
  <c r="K1659" i="7"/>
  <c r="E1659" i="7"/>
  <c r="D1659" i="7"/>
  <c r="W1658" i="7"/>
  <c r="K1658" i="7"/>
  <c r="E1658" i="7"/>
  <c r="D1658" i="7"/>
  <c r="W1657" i="7"/>
  <c r="K1657" i="7"/>
  <c r="E1657" i="7"/>
  <c r="D1657" i="7"/>
  <c r="W1656" i="7"/>
  <c r="K1656" i="7"/>
  <c r="E1656" i="7"/>
  <c r="D1656" i="7"/>
  <c r="W1655" i="7"/>
  <c r="K1655" i="7"/>
  <c r="E1655" i="7"/>
  <c r="D1655" i="7"/>
  <c r="W1654" i="7"/>
  <c r="K1654" i="7"/>
  <c r="E1654" i="7"/>
  <c r="D1654" i="7"/>
  <c r="W1653" i="7"/>
  <c r="K1653" i="7"/>
  <c r="E1653" i="7"/>
  <c r="D1653" i="7"/>
  <c r="W1652" i="7"/>
  <c r="K1652" i="7"/>
  <c r="E1652" i="7"/>
  <c r="D1652" i="7"/>
  <c r="W1651" i="7"/>
  <c r="K1651" i="7"/>
  <c r="E1651" i="7"/>
  <c r="D1651" i="7"/>
  <c r="W1650" i="7"/>
  <c r="K1650" i="7"/>
  <c r="E1650" i="7"/>
  <c r="D1650" i="7"/>
  <c r="W1649" i="7"/>
  <c r="K1649" i="7"/>
  <c r="E1649" i="7"/>
  <c r="D1649" i="7"/>
  <c r="W1648" i="7"/>
  <c r="K1648" i="7"/>
  <c r="E1648" i="7"/>
  <c r="D1648" i="7"/>
  <c r="W1647" i="7"/>
  <c r="K1647" i="7"/>
  <c r="E1647" i="7"/>
  <c r="D1647" i="7"/>
  <c r="W1646" i="7"/>
  <c r="K1646" i="7"/>
  <c r="E1646" i="7"/>
  <c r="D1646" i="7"/>
  <c r="W1645" i="7"/>
  <c r="K1645" i="7"/>
  <c r="E1645" i="7"/>
  <c r="D1645" i="7"/>
  <c r="W1644" i="7"/>
  <c r="K1644" i="7"/>
  <c r="E1644" i="7"/>
  <c r="D1644" i="7"/>
  <c r="W1643" i="7"/>
  <c r="K1643" i="7"/>
  <c r="E1643" i="7"/>
  <c r="D1643" i="7"/>
  <c r="W1642" i="7"/>
  <c r="K1642" i="7"/>
  <c r="E1642" i="7"/>
  <c r="D1642" i="7"/>
  <c r="W1641" i="7"/>
  <c r="K1641" i="7"/>
  <c r="E1641" i="7"/>
  <c r="D1641" i="7"/>
  <c r="W1640" i="7"/>
  <c r="K1640" i="7"/>
  <c r="E1640" i="7"/>
  <c r="D1640" i="7"/>
  <c r="W1639" i="7"/>
  <c r="K1639" i="7"/>
  <c r="E1639" i="7"/>
  <c r="D1639" i="7"/>
  <c r="W1638" i="7"/>
  <c r="K1638" i="7"/>
  <c r="E1638" i="7"/>
  <c r="D1638" i="7"/>
  <c r="W1637" i="7"/>
  <c r="K1637" i="7"/>
  <c r="E1637" i="7"/>
  <c r="D1637" i="7"/>
  <c r="W1636" i="7"/>
  <c r="K1636" i="7"/>
  <c r="E1636" i="7"/>
  <c r="D1636" i="7"/>
  <c r="W1635" i="7"/>
  <c r="K1635" i="7"/>
  <c r="E1635" i="7"/>
  <c r="D1635" i="7"/>
  <c r="W1634" i="7"/>
  <c r="K1634" i="7"/>
  <c r="E1634" i="7"/>
  <c r="D1634" i="7"/>
  <c r="W1633" i="7"/>
  <c r="K1633" i="7"/>
  <c r="E1633" i="7"/>
  <c r="D1633" i="7"/>
  <c r="W1632" i="7"/>
  <c r="K1632" i="7"/>
  <c r="E1632" i="7"/>
  <c r="D1632" i="7"/>
  <c r="W1631" i="7"/>
  <c r="K1631" i="7"/>
  <c r="E1631" i="7"/>
  <c r="D1631" i="7"/>
  <c r="W1630" i="7"/>
  <c r="K1630" i="7"/>
  <c r="E1630" i="7"/>
  <c r="D1630" i="7"/>
  <c r="W1629" i="7"/>
  <c r="K1629" i="7"/>
  <c r="E1629" i="7"/>
  <c r="D1629" i="7"/>
  <c r="W1628" i="7"/>
  <c r="K1628" i="7"/>
  <c r="E1628" i="7"/>
  <c r="D1628" i="7"/>
  <c r="W1627" i="7"/>
  <c r="K1627" i="7"/>
  <c r="E1627" i="7"/>
  <c r="D1627" i="7"/>
  <c r="W1626" i="7"/>
  <c r="K1626" i="7"/>
  <c r="E1626" i="7"/>
  <c r="D1626" i="7"/>
  <c r="W1625" i="7"/>
  <c r="K1625" i="7"/>
  <c r="E1625" i="7"/>
  <c r="D1625" i="7"/>
  <c r="W1624" i="7"/>
  <c r="K1624" i="7"/>
  <c r="E1624" i="7"/>
  <c r="D1624" i="7"/>
  <c r="W1623" i="7"/>
  <c r="K1623" i="7"/>
  <c r="E1623" i="7"/>
  <c r="D1623" i="7"/>
  <c r="W1622" i="7"/>
  <c r="K1622" i="7"/>
  <c r="E1622" i="7"/>
  <c r="D1622" i="7"/>
  <c r="W1621" i="7"/>
  <c r="K1621" i="7"/>
  <c r="E1621" i="7"/>
  <c r="D1621" i="7"/>
  <c r="W1620" i="7"/>
  <c r="K1620" i="7"/>
  <c r="E1620" i="7"/>
  <c r="D1620" i="7"/>
  <c r="W1619" i="7"/>
  <c r="K1619" i="7"/>
  <c r="E1619" i="7"/>
  <c r="D1619" i="7"/>
  <c r="W1618" i="7"/>
  <c r="K1618" i="7"/>
  <c r="E1618" i="7"/>
  <c r="D1618" i="7"/>
  <c r="W1617" i="7"/>
  <c r="K1617" i="7"/>
  <c r="E1617" i="7"/>
  <c r="D1617" i="7"/>
  <c r="W1616" i="7"/>
  <c r="K1616" i="7"/>
  <c r="E1616" i="7"/>
  <c r="D1616" i="7"/>
  <c r="W1615" i="7"/>
  <c r="K1615" i="7"/>
  <c r="E1615" i="7"/>
  <c r="D1615" i="7"/>
  <c r="W1614" i="7"/>
  <c r="K1614" i="7"/>
  <c r="E1614" i="7"/>
  <c r="D1614" i="7"/>
  <c r="W1613" i="7"/>
  <c r="K1613" i="7"/>
  <c r="E1613" i="7"/>
  <c r="D1613" i="7"/>
  <c r="W1612" i="7"/>
  <c r="K1612" i="7"/>
  <c r="E1612" i="7"/>
  <c r="D1612" i="7"/>
  <c r="W1611" i="7"/>
  <c r="K1611" i="7"/>
  <c r="E1611" i="7"/>
  <c r="D1611" i="7"/>
  <c r="W1610" i="7"/>
  <c r="K1610" i="7"/>
  <c r="E1610" i="7"/>
  <c r="D1610" i="7"/>
  <c r="W1609" i="7"/>
  <c r="K1609" i="7"/>
  <c r="E1609" i="7"/>
  <c r="D1609" i="7"/>
  <c r="W1608" i="7"/>
  <c r="K1608" i="7"/>
  <c r="E1608" i="7"/>
  <c r="D1608" i="7"/>
  <c r="W1607" i="7"/>
  <c r="K1607" i="7"/>
  <c r="E1607" i="7"/>
  <c r="D1607" i="7"/>
  <c r="W1606" i="7"/>
  <c r="K1606" i="7"/>
  <c r="E1606" i="7"/>
  <c r="D1606" i="7"/>
  <c r="W1605" i="7"/>
  <c r="K1605" i="7"/>
  <c r="E1605" i="7"/>
  <c r="D1605" i="7"/>
  <c r="W1604" i="7"/>
  <c r="K1604" i="7"/>
  <c r="E1604" i="7"/>
  <c r="D1604" i="7"/>
  <c r="W1603" i="7"/>
  <c r="K1603" i="7"/>
  <c r="E1603" i="7"/>
  <c r="D1603" i="7"/>
  <c r="W1602" i="7"/>
  <c r="K1602" i="7"/>
  <c r="E1602" i="7"/>
  <c r="D1602" i="7"/>
  <c r="W1601" i="7"/>
  <c r="K1601" i="7"/>
  <c r="E1601" i="7"/>
  <c r="D1601" i="7"/>
  <c r="W1600" i="7"/>
  <c r="K1600" i="7"/>
  <c r="E1600" i="7"/>
  <c r="D1600" i="7"/>
  <c r="W1599" i="7"/>
  <c r="K1599" i="7"/>
  <c r="E1599" i="7"/>
  <c r="D1599" i="7"/>
  <c r="W1598" i="7"/>
  <c r="K1598" i="7"/>
  <c r="E1598" i="7"/>
  <c r="D1598" i="7"/>
  <c r="W1597" i="7"/>
  <c r="K1597" i="7"/>
  <c r="E1597" i="7"/>
  <c r="D1597" i="7"/>
  <c r="W1596" i="7"/>
  <c r="K1596" i="7"/>
  <c r="E1596" i="7"/>
  <c r="D1596" i="7"/>
  <c r="W1595" i="7"/>
  <c r="K1595" i="7"/>
  <c r="E1595" i="7"/>
  <c r="D1595" i="7"/>
  <c r="W1594" i="7"/>
  <c r="K1594" i="7"/>
  <c r="E1594" i="7"/>
  <c r="D1594" i="7"/>
  <c r="W1593" i="7"/>
  <c r="K1593" i="7"/>
  <c r="E1593" i="7"/>
  <c r="D1593" i="7"/>
  <c r="W1592" i="7"/>
  <c r="K1592" i="7"/>
  <c r="E1592" i="7"/>
  <c r="D1592" i="7"/>
  <c r="W1591" i="7"/>
  <c r="K1591" i="7"/>
  <c r="E1591" i="7"/>
  <c r="D1591" i="7"/>
  <c r="W1590" i="7"/>
  <c r="K1590" i="7"/>
  <c r="E1590" i="7"/>
  <c r="D1590" i="7"/>
  <c r="W1589" i="7"/>
  <c r="K1589" i="7"/>
  <c r="E1589" i="7"/>
  <c r="D1589" i="7"/>
  <c r="W1588" i="7"/>
  <c r="K1588" i="7"/>
  <c r="E1588" i="7"/>
  <c r="D1588" i="7"/>
  <c r="W1587" i="7"/>
  <c r="K1587" i="7"/>
  <c r="E1587" i="7"/>
  <c r="D1587" i="7"/>
  <c r="W1586" i="7"/>
  <c r="K1586" i="7"/>
  <c r="E1586" i="7"/>
  <c r="D1586" i="7"/>
  <c r="W1585" i="7"/>
  <c r="K1585" i="7"/>
  <c r="E1585" i="7"/>
  <c r="D1585" i="7"/>
  <c r="W1584" i="7"/>
  <c r="K1584" i="7"/>
  <c r="E1584" i="7"/>
  <c r="D1584" i="7"/>
  <c r="W1583" i="7"/>
  <c r="K1583" i="7"/>
  <c r="E1583" i="7"/>
  <c r="D1583" i="7"/>
  <c r="W1582" i="7"/>
  <c r="K1582" i="7"/>
  <c r="E1582" i="7"/>
  <c r="D1582" i="7"/>
  <c r="W1581" i="7"/>
  <c r="K1581" i="7"/>
  <c r="E1581" i="7"/>
  <c r="D1581" i="7"/>
  <c r="W1580" i="7"/>
  <c r="K1580" i="7"/>
  <c r="E1580" i="7"/>
  <c r="D1580" i="7"/>
  <c r="W1579" i="7"/>
  <c r="K1579" i="7"/>
  <c r="E1579" i="7"/>
  <c r="D1579" i="7"/>
  <c r="W1578" i="7"/>
  <c r="K1578" i="7"/>
  <c r="E1578" i="7"/>
  <c r="D1578" i="7"/>
  <c r="W1577" i="7"/>
  <c r="K1577" i="7"/>
  <c r="E1577" i="7"/>
  <c r="D1577" i="7"/>
  <c r="W1576" i="7"/>
  <c r="K1576" i="7"/>
  <c r="E1576" i="7"/>
  <c r="D1576" i="7"/>
  <c r="W1575" i="7"/>
  <c r="K1575" i="7"/>
  <c r="E1575" i="7"/>
  <c r="D1575" i="7"/>
  <c r="W1574" i="7"/>
  <c r="K1574" i="7"/>
  <c r="E1574" i="7"/>
  <c r="D1574" i="7"/>
  <c r="W1573" i="7"/>
  <c r="K1573" i="7"/>
  <c r="E1573" i="7"/>
  <c r="D1573" i="7"/>
  <c r="W1572" i="7"/>
  <c r="K1572" i="7"/>
  <c r="E1572" i="7"/>
  <c r="D1572" i="7"/>
  <c r="W1571" i="7"/>
  <c r="K1571" i="7"/>
  <c r="E1571" i="7"/>
  <c r="D1571" i="7"/>
  <c r="W1570" i="7"/>
  <c r="K1570" i="7"/>
  <c r="E1570" i="7"/>
  <c r="D1570" i="7"/>
  <c r="W1569" i="7"/>
  <c r="K1569" i="7"/>
  <c r="E1569" i="7"/>
  <c r="D1569" i="7"/>
  <c r="W1568" i="7"/>
  <c r="K1568" i="7"/>
  <c r="E1568" i="7"/>
  <c r="D1568" i="7"/>
  <c r="W1567" i="7"/>
  <c r="K1567" i="7"/>
  <c r="E1567" i="7"/>
  <c r="D1567" i="7"/>
  <c r="W1566" i="7"/>
  <c r="K1566" i="7"/>
  <c r="E1566" i="7"/>
  <c r="D1566" i="7"/>
  <c r="W1565" i="7"/>
  <c r="K1565" i="7"/>
  <c r="E1565" i="7"/>
  <c r="D1565" i="7"/>
  <c r="W1564" i="7"/>
  <c r="K1564" i="7"/>
  <c r="E1564" i="7"/>
  <c r="D1564" i="7"/>
  <c r="W1563" i="7"/>
  <c r="K1563" i="7"/>
  <c r="E1563" i="7"/>
  <c r="D1563" i="7"/>
  <c r="W1562" i="7"/>
  <c r="K1562" i="7"/>
  <c r="E1562" i="7"/>
  <c r="D1562" i="7"/>
  <c r="W1561" i="7"/>
  <c r="K1561" i="7"/>
  <c r="E1561" i="7"/>
  <c r="D1561" i="7"/>
  <c r="W1560" i="7"/>
  <c r="K1560" i="7"/>
  <c r="E1560" i="7"/>
  <c r="D1560" i="7"/>
  <c r="W1559" i="7"/>
  <c r="K1559" i="7"/>
  <c r="E1559" i="7"/>
  <c r="D1559" i="7"/>
  <c r="W1558" i="7"/>
  <c r="K1558" i="7"/>
  <c r="E1558" i="7"/>
  <c r="D1558" i="7"/>
  <c r="W1557" i="7"/>
  <c r="K1557" i="7"/>
  <c r="E1557" i="7"/>
  <c r="D1557" i="7"/>
  <c r="W1556" i="7"/>
  <c r="K1556" i="7"/>
  <c r="E1556" i="7"/>
  <c r="D1556" i="7"/>
  <c r="W1555" i="7"/>
  <c r="K1555" i="7"/>
  <c r="E1555" i="7"/>
  <c r="D1555" i="7"/>
  <c r="W1554" i="7"/>
  <c r="K1554" i="7"/>
  <c r="E1554" i="7"/>
  <c r="D1554" i="7"/>
  <c r="W1553" i="7"/>
  <c r="K1553" i="7"/>
  <c r="E1553" i="7"/>
  <c r="D1553" i="7"/>
  <c r="W1552" i="7"/>
  <c r="K1552" i="7"/>
  <c r="E1552" i="7"/>
  <c r="D1552" i="7"/>
  <c r="W1551" i="7"/>
  <c r="K1551" i="7"/>
  <c r="E1551" i="7"/>
  <c r="D1551" i="7"/>
  <c r="W1550" i="7"/>
  <c r="K1550" i="7"/>
  <c r="E1550" i="7"/>
  <c r="D1550" i="7"/>
  <c r="W1549" i="7"/>
  <c r="K1549" i="7"/>
  <c r="E1549" i="7"/>
  <c r="D1549" i="7"/>
  <c r="W1548" i="7"/>
  <c r="K1548" i="7"/>
  <c r="E1548" i="7"/>
  <c r="D1548" i="7"/>
  <c r="W1547" i="7"/>
  <c r="K1547" i="7"/>
  <c r="E1547" i="7"/>
  <c r="D1547" i="7"/>
  <c r="W1546" i="7"/>
  <c r="K1546" i="7"/>
  <c r="E1546" i="7"/>
  <c r="D1546" i="7"/>
  <c r="W1545" i="7"/>
  <c r="K1545" i="7"/>
  <c r="E1545" i="7"/>
  <c r="D1545" i="7"/>
  <c r="W1544" i="7"/>
  <c r="K1544" i="7"/>
  <c r="E1544" i="7"/>
  <c r="D1544" i="7"/>
  <c r="W1543" i="7"/>
  <c r="K1543" i="7"/>
  <c r="E1543" i="7"/>
  <c r="D1543" i="7"/>
  <c r="W1542" i="7"/>
  <c r="K1542" i="7"/>
  <c r="E1542" i="7"/>
  <c r="D1542" i="7"/>
  <c r="W1541" i="7"/>
  <c r="K1541" i="7"/>
  <c r="E1541" i="7"/>
  <c r="D1541" i="7"/>
  <c r="W1540" i="7"/>
  <c r="K1540" i="7"/>
  <c r="E1540" i="7"/>
  <c r="D1540" i="7"/>
  <c r="W1539" i="7"/>
  <c r="K1539" i="7"/>
  <c r="E1539" i="7"/>
  <c r="D1539" i="7"/>
  <c r="W1538" i="7"/>
  <c r="K1538" i="7"/>
  <c r="E1538" i="7"/>
  <c r="D1538" i="7"/>
  <c r="W1537" i="7"/>
  <c r="K1537" i="7"/>
  <c r="E1537" i="7"/>
  <c r="D1537" i="7"/>
  <c r="W1536" i="7"/>
  <c r="K1536" i="7"/>
  <c r="E1536" i="7"/>
  <c r="D1536" i="7"/>
  <c r="W1535" i="7"/>
  <c r="K1535" i="7"/>
  <c r="E1535" i="7"/>
  <c r="D1535" i="7"/>
  <c r="W1534" i="7"/>
  <c r="K1534" i="7"/>
  <c r="E1534" i="7"/>
  <c r="D1534" i="7"/>
  <c r="W1533" i="7"/>
  <c r="K1533" i="7"/>
  <c r="E1533" i="7"/>
  <c r="D1533" i="7"/>
  <c r="W1532" i="7"/>
  <c r="K1532" i="7"/>
  <c r="E1532" i="7"/>
  <c r="D1532" i="7"/>
  <c r="W1531" i="7"/>
  <c r="K1531" i="7"/>
  <c r="E1531" i="7"/>
  <c r="D1531" i="7"/>
  <c r="W1530" i="7"/>
  <c r="K1530" i="7"/>
  <c r="E1530" i="7"/>
  <c r="D1530" i="7"/>
  <c r="W1529" i="7"/>
  <c r="K1529" i="7"/>
  <c r="E1529" i="7"/>
  <c r="D1529" i="7"/>
  <c r="W1528" i="7"/>
  <c r="K1528" i="7"/>
  <c r="E1528" i="7"/>
  <c r="D1528" i="7"/>
  <c r="W1527" i="7"/>
  <c r="K1527" i="7"/>
  <c r="E1527" i="7"/>
  <c r="D1527" i="7"/>
  <c r="W1526" i="7"/>
  <c r="K1526" i="7"/>
  <c r="E1526" i="7"/>
  <c r="D1526" i="7"/>
  <c r="W1525" i="7"/>
  <c r="K1525" i="7"/>
  <c r="E1525" i="7"/>
  <c r="D1525" i="7"/>
  <c r="W1524" i="7"/>
  <c r="K1524" i="7"/>
  <c r="E1524" i="7"/>
  <c r="D1524" i="7"/>
  <c r="W1523" i="7"/>
  <c r="K1523" i="7"/>
  <c r="E1523" i="7"/>
  <c r="D1523" i="7"/>
  <c r="W1522" i="7"/>
  <c r="K1522" i="7"/>
  <c r="E1522" i="7"/>
  <c r="D1522" i="7"/>
  <c r="W1521" i="7"/>
  <c r="K1521" i="7"/>
  <c r="E1521" i="7"/>
  <c r="D1521" i="7"/>
  <c r="W1520" i="7"/>
  <c r="K1520" i="7"/>
  <c r="E1520" i="7"/>
  <c r="D1520" i="7"/>
  <c r="W1519" i="7"/>
  <c r="K1519" i="7"/>
  <c r="E1519" i="7"/>
  <c r="D1519" i="7"/>
  <c r="W1518" i="7"/>
  <c r="K1518" i="7"/>
  <c r="E1518" i="7"/>
  <c r="D1518" i="7"/>
  <c r="W1517" i="7"/>
  <c r="K1517" i="7"/>
  <c r="E1517" i="7"/>
  <c r="D1517" i="7"/>
  <c r="W1516" i="7"/>
  <c r="K1516" i="7"/>
  <c r="E1516" i="7"/>
  <c r="D1516" i="7"/>
  <c r="W1515" i="7"/>
  <c r="K1515" i="7"/>
  <c r="E1515" i="7"/>
  <c r="D1515" i="7"/>
  <c r="W1514" i="7"/>
  <c r="K1514" i="7"/>
  <c r="E1514" i="7"/>
  <c r="D1514" i="7"/>
  <c r="W1513" i="7"/>
  <c r="K1513" i="7"/>
  <c r="E1513" i="7"/>
  <c r="D1513" i="7"/>
  <c r="W1512" i="7"/>
  <c r="K1512" i="7"/>
  <c r="E1512" i="7"/>
  <c r="D1512" i="7"/>
  <c r="W1511" i="7"/>
  <c r="K1511" i="7"/>
  <c r="E1511" i="7"/>
  <c r="D1511" i="7"/>
  <c r="W1510" i="7"/>
  <c r="K1510" i="7"/>
  <c r="E1510" i="7"/>
  <c r="D1510" i="7"/>
  <c r="W1509" i="7"/>
  <c r="K1509" i="7"/>
  <c r="E1509" i="7"/>
  <c r="D1509" i="7"/>
  <c r="W1508" i="7"/>
  <c r="K1508" i="7"/>
  <c r="E1508" i="7"/>
  <c r="D1508" i="7"/>
  <c r="W1507" i="7"/>
  <c r="K1507" i="7"/>
  <c r="E1507" i="7"/>
  <c r="D1507" i="7"/>
  <c r="W1506" i="7"/>
  <c r="K1506" i="7"/>
  <c r="E1506" i="7"/>
  <c r="D1506" i="7"/>
  <c r="W1505" i="7"/>
  <c r="K1505" i="7"/>
  <c r="E1505" i="7"/>
  <c r="D1505" i="7"/>
  <c r="W1504" i="7"/>
  <c r="K1504" i="7"/>
  <c r="E1504" i="7"/>
  <c r="D1504" i="7"/>
  <c r="W1503" i="7"/>
  <c r="K1503" i="7"/>
  <c r="E1503" i="7"/>
  <c r="D1503" i="7"/>
  <c r="W1502" i="7"/>
  <c r="K1502" i="7"/>
  <c r="E1502" i="7"/>
  <c r="D1502" i="7"/>
  <c r="W1501" i="7"/>
  <c r="K1501" i="7"/>
  <c r="E1501" i="7"/>
  <c r="D1501" i="7"/>
  <c r="W1500" i="7"/>
  <c r="K1500" i="7"/>
  <c r="E1500" i="7"/>
  <c r="D1500" i="7"/>
  <c r="W1499" i="7"/>
  <c r="K1499" i="7"/>
  <c r="E1499" i="7"/>
  <c r="D1499" i="7"/>
  <c r="W1498" i="7"/>
  <c r="K1498" i="7"/>
  <c r="E1498" i="7"/>
  <c r="D1498" i="7"/>
  <c r="W1497" i="7"/>
  <c r="K1497" i="7"/>
  <c r="E1497" i="7"/>
  <c r="D1497" i="7"/>
  <c r="W1496" i="7"/>
  <c r="K1496" i="7"/>
  <c r="E1496" i="7"/>
  <c r="D1496" i="7"/>
  <c r="W1495" i="7"/>
  <c r="K1495" i="7"/>
  <c r="E1495" i="7"/>
  <c r="D1495" i="7"/>
  <c r="W1494" i="7"/>
  <c r="K1494" i="7"/>
  <c r="E1494" i="7"/>
  <c r="D1494" i="7"/>
  <c r="W1493" i="7"/>
  <c r="K1493" i="7"/>
  <c r="E1493" i="7"/>
  <c r="D1493" i="7"/>
  <c r="W1492" i="7"/>
  <c r="K1492" i="7"/>
  <c r="E1492" i="7"/>
  <c r="D1492" i="7"/>
  <c r="W1491" i="7"/>
  <c r="K1491" i="7"/>
  <c r="E1491" i="7"/>
  <c r="D1491" i="7"/>
  <c r="W1490" i="7"/>
  <c r="K1490" i="7"/>
  <c r="E1490" i="7"/>
  <c r="D1490" i="7"/>
  <c r="W1489" i="7"/>
  <c r="K1489" i="7"/>
  <c r="E1489" i="7"/>
  <c r="D1489" i="7"/>
  <c r="W1488" i="7"/>
  <c r="K1488" i="7"/>
  <c r="E1488" i="7"/>
  <c r="D1488" i="7"/>
  <c r="W1487" i="7"/>
  <c r="K1487" i="7"/>
  <c r="E1487" i="7"/>
  <c r="D1487" i="7"/>
  <c r="W1486" i="7"/>
  <c r="K1486" i="7"/>
  <c r="E1486" i="7"/>
  <c r="D1486" i="7"/>
  <c r="W1485" i="7"/>
  <c r="K1485" i="7"/>
  <c r="E1485" i="7"/>
  <c r="D1485" i="7"/>
  <c r="W1484" i="7"/>
  <c r="K1484" i="7"/>
  <c r="E1484" i="7"/>
  <c r="D1484" i="7"/>
  <c r="W1483" i="7"/>
  <c r="K1483" i="7"/>
  <c r="E1483" i="7"/>
  <c r="D1483" i="7"/>
  <c r="W1482" i="7"/>
  <c r="K1482" i="7"/>
  <c r="E1482" i="7"/>
  <c r="D1482" i="7"/>
  <c r="W1481" i="7"/>
  <c r="K1481" i="7"/>
  <c r="E1481" i="7"/>
  <c r="D1481" i="7"/>
  <c r="W1480" i="7"/>
  <c r="K1480" i="7"/>
  <c r="E1480" i="7"/>
  <c r="D1480" i="7"/>
  <c r="W1479" i="7"/>
  <c r="K1479" i="7"/>
  <c r="E1479" i="7"/>
  <c r="D1479" i="7"/>
  <c r="W1478" i="7"/>
  <c r="K1478" i="7"/>
  <c r="E1478" i="7"/>
  <c r="D1478" i="7"/>
  <c r="W1477" i="7"/>
  <c r="K1477" i="7"/>
  <c r="E1477" i="7"/>
  <c r="D1477" i="7"/>
  <c r="W1476" i="7"/>
  <c r="K1476" i="7"/>
  <c r="E1476" i="7"/>
  <c r="D1476" i="7"/>
  <c r="W1475" i="7"/>
  <c r="K1475" i="7"/>
  <c r="E1475" i="7"/>
  <c r="D1475" i="7"/>
  <c r="W1474" i="7"/>
  <c r="K1474" i="7"/>
  <c r="E1474" i="7"/>
  <c r="D1474" i="7"/>
  <c r="W1473" i="7"/>
  <c r="K1473" i="7"/>
  <c r="E1473" i="7"/>
  <c r="D1473" i="7"/>
  <c r="W1472" i="7"/>
  <c r="K1472" i="7"/>
  <c r="E1472" i="7"/>
  <c r="D1472" i="7"/>
  <c r="W1471" i="7"/>
  <c r="K1471" i="7"/>
  <c r="E1471" i="7"/>
  <c r="D1471" i="7"/>
  <c r="W1470" i="7"/>
  <c r="K1470" i="7"/>
  <c r="E1470" i="7"/>
  <c r="D1470" i="7"/>
  <c r="W1469" i="7"/>
  <c r="K1469" i="7"/>
  <c r="E1469" i="7"/>
  <c r="D1469" i="7"/>
  <c r="W1468" i="7"/>
  <c r="K1468" i="7"/>
  <c r="E1468" i="7"/>
  <c r="D1468" i="7"/>
  <c r="W1467" i="7"/>
  <c r="K1467" i="7"/>
  <c r="E1467" i="7"/>
  <c r="D1467" i="7"/>
  <c r="W1466" i="7"/>
  <c r="K1466" i="7"/>
  <c r="E1466" i="7"/>
  <c r="D1466" i="7"/>
  <c r="W1465" i="7"/>
  <c r="K1465" i="7"/>
  <c r="E1465" i="7"/>
  <c r="D1465" i="7"/>
  <c r="W1464" i="7"/>
  <c r="K1464" i="7"/>
  <c r="E1464" i="7"/>
  <c r="D1464" i="7"/>
  <c r="W1463" i="7"/>
  <c r="K1463" i="7"/>
  <c r="E1463" i="7"/>
  <c r="D1463" i="7"/>
  <c r="W1462" i="7"/>
  <c r="K1462" i="7"/>
  <c r="E1462" i="7"/>
  <c r="D1462" i="7"/>
  <c r="W1461" i="7"/>
  <c r="K1461" i="7"/>
  <c r="E1461" i="7"/>
  <c r="D1461" i="7"/>
  <c r="W1460" i="7"/>
  <c r="K1460" i="7"/>
  <c r="E1460" i="7"/>
  <c r="D1460" i="7"/>
  <c r="W1459" i="7"/>
  <c r="K1459" i="7"/>
  <c r="E1459" i="7"/>
  <c r="D1459" i="7"/>
  <c r="W1458" i="7"/>
  <c r="K1458" i="7"/>
  <c r="E1458" i="7"/>
  <c r="D1458" i="7"/>
  <c r="W1457" i="7"/>
  <c r="K1457" i="7"/>
  <c r="E1457" i="7"/>
  <c r="D1457" i="7"/>
  <c r="W1456" i="7"/>
  <c r="K1456" i="7"/>
  <c r="E1456" i="7"/>
  <c r="D1456" i="7"/>
  <c r="W1455" i="7"/>
  <c r="K1455" i="7"/>
  <c r="E1455" i="7"/>
  <c r="D1455" i="7"/>
  <c r="W1454" i="7"/>
  <c r="K1454" i="7"/>
  <c r="E1454" i="7"/>
  <c r="D1454" i="7"/>
  <c r="W1453" i="7"/>
  <c r="K1453" i="7"/>
  <c r="E1453" i="7"/>
  <c r="D1453" i="7"/>
  <c r="W1452" i="7"/>
  <c r="K1452" i="7"/>
  <c r="E1452" i="7"/>
  <c r="D1452" i="7"/>
  <c r="W1451" i="7"/>
  <c r="K1451" i="7"/>
  <c r="E1451" i="7"/>
  <c r="D1451" i="7"/>
  <c r="W1450" i="7"/>
  <c r="K1450" i="7"/>
  <c r="E1450" i="7"/>
  <c r="D1450" i="7"/>
  <c r="W1449" i="7"/>
  <c r="K1449" i="7"/>
  <c r="E1449" i="7"/>
  <c r="D1449" i="7"/>
  <c r="W1448" i="7"/>
  <c r="K1448" i="7"/>
  <c r="E1448" i="7"/>
  <c r="D1448" i="7"/>
  <c r="W1447" i="7"/>
  <c r="K1447" i="7"/>
  <c r="E1447" i="7"/>
  <c r="D1447" i="7"/>
  <c r="W1446" i="7"/>
  <c r="K1446" i="7"/>
  <c r="E1446" i="7"/>
  <c r="D1446" i="7"/>
  <c r="W1445" i="7"/>
  <c r="K1445" i="7"/>
  <c r="E1445" i="7"/>
  <c r="D1445" i="7"/>
  <c r="W1444" i="7"/>
  <c r="K1444" i="7"/>
  <c r="E1444" i="7"/>
  <c r="D1444" i="7"/>
  <c r="W1443" i="7"/>
  <c r="K1443" i="7"/>
  <c r="E1443" i="7"/>
  <c r="D1443" i="7"/>
  <c r="W1442" i="7"/>
  <c r="K1442" i="7"/>
  <c r="E1442" i="7"/>
  <c r="D1442" i="7"/>
  <c r="W1441" i="7"/>
  <c r="K1441" i="7"/>
  <c r="E1441" i="7"/>
  <c r="D1441" i="7"/>
  <c r="W1440" i="7"/>
  <c r="K1440" i="7"/>
  <c r="E1440" i="7"/>
  <c r="D1440" i="7"/>
  <c r="W1439" i="7"/>
  <c r="K1439" i="7"/>
  <c r="E1439" i="7"/>
  <c r="D1439" i="7"/>
  <c r="W1438" i="7"/>
  <c r="K1438" i="7"/>
  <c r="E1438" i="7"/>
  <c r="D1438" i="7"/>
  <c r="W1437" i="7"/>
  <c r="K1437" i="7"/>
  <c r="E1437" i="7"/>
  <c r="D1437" i="7"/>
  <c r="W1436" i="7"/>
  <c r="K1436" i="7"/>
  <c r="E1436" i="7"/>
  <c r="D1436" i="7"/>
  <c r="W1435" i="7"/>
  <c r="K1435" i="7"/>
  <c r="E1435" i="7"/>
  <c r="D1435" i="7"/>
  <c r="W1434" i="7"/>
  <c r="K1434" i="7"/>
  <c r="E1434" i="7"/>
  <c r="D1434" i="7"/>
  <c r="W1433" i="7"/>
  <c r="K1433" i="7"/>
  <c r="E1433" i="7"/>
  <c r="D1433" i="7"/>
  <c r="W1432" i="7"/>
  <c r="K1432" i="7"/>
  <c r="E1432" i="7"/>
  <c r="D1432" i="7"/>
  <c r="W1431" i="7"/>
  <c r="K1431" i="7"/>
  <c r="E1431" i="7"/>
  <c r="D1431" i="7"/>
  <c r="W1430" i="7"/>
  <c r="K1430" i="7"/>
  <c r="E1430" i="7"/>
  <c r="D1430" i="7"/>
  <c r="W1429" i="7"/>
  <c r="K1429" i="7"/>
  <c r="E1429" i="7"/>
  <c r="D1429" i="7"/>
  <c r="W1428" i="7"/>
  <c r="K1428" i="7"/>
  <c r="E1428" i="7"/>
  <c r="D1428" i="7"/>
  <c r="W1427" i="7"/>
  <c r="K1427" i="7"/>
  <c r="E1427" i="7"/>
  <c r="D1427" i="7"/>
  <c r="W1426" i="7"/>
  <c r="K1426" i="7"/>
  <c r="E1426" i="7"/>
  <c r="D1426" i="7"/>
  <c r="W1425" i="7"/>
  <c r="K1425" i="7"/>
  <c r="E1425" i="7"/>
  <c r="D1425" i="7"/>
  <c r="W1424" i="7"/>
  <c r="K1424" i="7"/>
  <c r="E1424" i="7"/>
  <c r="D1424" i="7"/>
  <c r="W1423" i="7"/>
  <c r="K1423" i="7"/>
  <c r="E1423" i="7"/>
  <c r="D1423" i="7"/>
  <c r="W1422" i="7"/>
  <c r="K1422" i="7"/>
  <c r="E1422" i="7"/>
  <c r="D1422" i="7"/>
  <c r="W1421" i="7"/>
  <c r="K1421" i="7"/>
  <c r="E1421" i="7"/>
  <c r="D1421" i="7"/>
  <c r="W1420" i="7"/>
  <c r="K1420" i="7"/>
  <c r="E1420" i="7"/>
  <c r="D1420" i="7"/>
  <c r="W1419" i="7"/>
  <c r="K1419" i="7"/>
  <c r="E1419" i="7"/>
  <c r="D1419" i="7"/>
  <c r="W1418" i="7"/>
  <c r="K1418" i="7"/>
  <c r="E1418" i="7"/>
  <c r="D1418" i="7"/>
  <c r="W1417" i="7"/>
  <c r="K1417" i="7"/>
  <c r="E1417" i="7"/>
  <c r="D1417" i="7"/>
  <c r="W1416" i="7"/>
  <c r="K1416" i="7"/>
  <c r="E1416" i="7"/>
  <c r="D1416" i="7"/>
  <c r="W1415" i="7"/>
  <c r="K1415" i="7"/>
  <c r="E1415" i="7"/>
  <c r="D1415" i="7"/>
  <c r="W1414" i="7"/>
  <c r="K1414" i="7"/>
  <c r="E1414" i="7"/>
  <c r="D1414" i="7"/>
  <c r="W1413" i="7"/>
  <c r="K1413" i="7"/>
  <c r="E1413" i="7"/>
  <c r="D1413" i="7"/>
  <c r="W1412" i="7"/>
  <c r="K1412" i="7"/>
  <c r="E1412" i="7"/>
  <c r="D1412" i="7"/>
  <c r="W1411" i="7"/>
  <c r="K1411" i="7"/>
  <c r="E1411" i="7"/>
  <c r="D1411" i="7"/>
  <c r="W1410" i="7"/>
  <c r="K1410" i="7"/>
  <c r="E1410" i="7"/>
  <c r="D1410" i="7"/>
  <c r="W1409" i="7"/>
  <c r="K1409" i="7"/>
  <c r="E1409" i="7"/>
  <c r="D1409" i="7"/>
  <c r="W1408" i="7"/>
  <c r="K1408" i="7"/>
  <c r="E1408" i="7"/>
  <c r="D1408" i="7"/>
  <c r="W1407" i="7"/>
  <c r="K1407" i="7"/>
  <c r="E1407" i="7"/>
  <c r="D1407" i="7"/>
  <c r="W1406" i="7"/>
  <c r="K1406" i="7"/>
  <c r="E1406" i="7"/>
  <c r="D1406" i="7"/>
  <c r="W1405" i="7"/>
  <c r="K1405" i="7"/>
  <c r="E1405" i="7"/>
  <c r="D1405" i="7"/>
  <c r="W1404" i="7"/>
  <c r="K1404" i="7"/>
  <c r="E1404" i="7"/>
  <c r="D1404" i="7"/>
  <c r="W1403" i="7"/>
  <c r="K1403" i="7"/>
  <c r="E1403" i="7"/>
  <c r="D1403" i="7"/>
  <c r="W1402" i="7"/>
  <c r="K1402" i="7"/>
  <c r="E1402" i="7"/>
  <c r="D1402" i="7"/>
  <c r="W1401" i="7"/>
  <c r="K1401" i="7"/>
  <c r="E1401" i="7"/>
  <c r="D1401" i="7"/>
  <c r="W1400" i="7"/>
  <c r="K1400" i="7"/>
  <c r="E1400" i="7"/>
  <c r="D1400" i="7"/>
  <c r="W1399" i="7"/>
  <c r="K1399" i="7"/>
  <c r="E1399" i="7"/>
  <c r="D1399" i="7"/>
  <c r="W1398" i="7"/>
  <c r="K1398" i="7"/>
  <c r="E1398" i="7"/>
  <c r="D1398" i="7"/>
  <c r="W1397" i="7"/>
  <c r="K1397" i="7"/>
  <c r="E1397" i="7"/>
  <c r="D1397" i="7"/>
  <c r="W1396" i="7"/>
  <c r="K1396" i="7"/>
  <c r="E1396" i="7"/>
  <c r="D1396" i="7"/>
  <c r="W1395" i="7"/>
  <c r="K1395" i="7"/>
  <c r="E1395" i="7"/>
  <c r="D1395" i="7"/>
  <c r="W1394" i="7"/>
  <c r="K1394" i="7"/>
  <c r="E1394" i="7"/>
  <c r="D1394" i="7"/>
  <c r="W1393" i="7"/>
  <c r="K1393" i="7"/>
  <c r="E1393" i="7"/>
  <c r="D1393" i="7"/>
  <c r="W1392" i="7"/>
  <c r="K1392" i="7"/>
  <c r="E1392" i="7"/>
  <c r="D1392" i="7"/>
  <c r="W1391" i="7"/>
  <c r="K1391" i="7"/>
  <c r="E1391" i="7"/>
  <c r="D1391" i="7"/>
  <c r="W1390" i="7"/>
  <c r="K1390" i="7"/>
  <c r="E1390" i="7"/>
  <c r="D1390" i="7"/>
  <c r="W1389" i="7"/>
  <c r="K1389" i="7"/>
  <c r="E1389" i="7"/>
  <c r="D1389" i="7"/>
  <c r="W1388" i="7"/>
  <c r="K1388" i="7"/>
  <c r="E1388" i="7"/>
  <c r="D1388" i="7"/>
  <c r="W1387" i="7"/>
  <c r="K1387" i="7"/>
  <c r="E1387" i="7"/>
  <c r="D1387" i="7"/>
  <c r="W1386" i="7"/>
  <c r="K1386" i="7"/>
  <c r="E1386" i="7"/>
  <c r="D1386" i="7"/>
  <c r="W1385" i="7"/>
  <c r="K1385" i="7"/>
  <c r="E1385" i="7"/>
  <c r="D1385" i="7"/>
  <c r="W1384" i="7"/>
  <c r="K1384" i="7"/>
  <c r="E1384" i="7"/>
  <c r="D1384" i="7"/>
  <c r="W1383" i="7"/>
  <c r="K1383" i="7"/>
  <c r="E1383" i="7"/>
  <c r="D1383" i="7"/>
  <c r="W1382" i="7"/>
  <c r="K1382" i="7"/>
  <c r="E1382" i="7"/>
  <c r="D1382" i="7"/>
  <c r="W1381" i="7"/>
  <c r="K1381" i="7"/>
  <c r="E1381" i="7"/>
  <c r="D1381" i="7"/>
  <c r="W1380" i="7"/>
  <c r="K1380" i="7"/>
  <c r="E1380" i="7"/>
  <c r="D1380" i="7"/>
  <c r="W1379" i="7"/>
  <c r="K1379" i="7"/>
  <c r="E1379" i="7"/>
  <c r="D1379" i="7"/>
  <c r="W1378" i="7"/>
  <c r="K1378" i="7"/>
  <c r="E1378" i="7"/>
  <c r="D1378" i="7"/>
  <c r="W1377" i="7"/>
  <c r="K1377" i="7"/>
  <c r="E1377" i="7"/>
  <c r="D1377" i="7"/>
  <c r="W1376" i="7"/>
  <c r="K1376" i="7"/>
  <c r="E1376" i="7"/>
  <c r="D1376" i="7"/>
  <c r="W1375" i="7"/>
  <c r="K1375" i="7"/>
  <c r="E1375" i="7"/>
  <c r="D1375" i="7"/>
  <c r="W1374" i="7"/>
  <c r="K1374" i="7"/>
  <c r="E1374" i="7"/>
  <c r="D1374" i="7"/>
  <c r="W1373" i="7"/>
  <c r="K1373" i="7"/>
  <c r="E1373" i="7"/>
  <c r="D1373" i="7"/>
  <c r="W1372" i="7"/>
  <c r="K1372" i="7"/>
  <c r="E1372" i="7"/>
  <c r="D1372" i="7"/>
  <c r="W1371" i="7"/>
  <c r="K1371" i="7"/>
  <c r="E1371" i="7"/>
  <c r="D1371" i="7"/>
  <c r="W1370" i="7"/>
  <c r="K1370" i="7"/>
  <c r="E1370" i="7"/>
  <c r="D1370" i="7"/>
  <c r="W1369" i="7"/>
  <c r="K1369" i="7"/>
  <c r="E1369" i="7"/>
  <c r="D1369" i="7"/>
  <c r="W1368" i="7"/>
  <c r="K1368" i="7"/>
  <c r="E1368" i="7"/>
  <c r="D1368" i="7"/>
  <c r="W1367" i="7"/>
  <c r="K1367" i="7"/>
  <c r="E1367" i="7"/>
  <c r="D1367" i="7"/>
  <c r="W1366" i="7"/>
  <c r="K1366" i="7"/>
  <c r="E1366" i="7"/>
  <c r="D1366" i="7"/>
  <c r="W1365" i="7"/>
  <c r="K1365" i="7"/>
  <c r="E1365" i="7"/>
  <c r="D1365" i="7"/>
  <c r="W1364" i="7"/>
  <c r="K1364" i="7"/>
  <c r="E1364" i="7"/>
  <c r="D1364" i="7"/>
  <c r="W1363" i="7"/>
  <c r="K1363" i="7"/>
  <c r="E1363" i="7"/>
  <c r="D1363" i="7"/>
  <c r="W1362" i="7"/>
  <c r="K1362" i="7"/>
  <c r="E1362" i="7"/>
  <c r="D1362" i="7"/>
  <c r="W1361" i="7"/>
  <c r="K1361" i="7"/>
  <c r="E1361" i="7"/>
  <c r="D1361" i="7"/>
  <c r="W1360" i="7"/>
  <c r="K1360" i="7"/>
  <c r="E1360" i="7"/>
  <c r="D1360" i="7"/>
  <c r="W1359" i="7"/>
  <c r="K1359" i="7"/>
  <c r="E1359" i="7"/>
  <c r="D1359" i="7"/>
  <c r="W1358" i="7"/>
  <c r="K1358" i="7"/>
  <c r="E1358" i="7"/>
  <c r="D1358" i="7"/>
  <c r="W1357" i="7"/>
  <c r="K1357" i="7"/>
  <c r="E1357" i="7"/>
  <c r="D1357" i="7"/>
  <c r="W1356" i="7"/>
  <c r="K1356" i="7"/>
  <c r="E1356" i="7"/>
  <c r="D1356" i="7"/>
  <c r="W1355" i="7"/>
  <c r="K1355" i="7"/>
  <c r="E1355" i="7"/>
  <c r="D1355" i="7"/>
  <c r="W1354" i="7"/>
  <c r="K1354" i="7"/>
  <c r="E1354" i="7"/>
  <c r="D1354" i="7"/>
  <c r="W1353" i="7"/>
  <c r="K1353" i="7"/>
  <c r="E1353" i="7"/>
  <c r="D1353" i="7"/>
  <c r="W1352" i="7"/>
  <c r="K1352" i="7"/>
  <c r="E1352" i="7"/>
  <c r="D1352" i="7"/>
  <c r="W1351" i="7"/>
  <c r="K1351" i="7"/>
  <c r="E1351" i="7"/>
  <c r="D1351" i="7"/>
  <c r="W1350" i="7"/>
  <c r="K1350" i="7"/>
  <c r="E1350" i="7"/>
  <c r="D1350" i="7"/>
  <c r="W1349" i="7"/>
  <c r="K1349" i="7"/>
  <c r="E1349" i="7"/>
  <c r="D1349" i="7"/>
  <c r="W1348" i="7"/>
  <c r="K1348" i="7"/>
  <c r="E1348" i="7"/>
  <c r="D1348" i="7"/>
  <c r="W1347" i="7"/>
  <c r="K1347" i="7"/>
  <c r="E1347" i="7"/>
  <c r="D1347" i="7"/>
  <c r="W1346" i="7"/>
  <c r="K1346" i="7"/>
  <c r="E1346" i="7"/>
  <c r="D1346" i="7"/>
  <c r="W1345" i="7"/>
  <c r="K1345" i="7"/>
  <c r="E1345" i="7"/>
  <c r="D1345" i="7"/>
  <c r="W1344" i="7"/>
  <c r="K1344" i="7"/>
  <c r="E1344" i="7"/>
  <c r="D1344" i="7"/>
  <c r="W1343" i="7"/>
  <c r="K1343" i="7"/>
  <c r="E1343" i="7"/>
  <c r="D1343" i="7"/>
  <c r="W1342" i="7"/>
  <c r="K1342" i="7"/>
  <c r="E1342" i="7"/>
  <c r="D1342" i="7"/>
  <c r="W1341" i="7"/>
  <c r="K1341" i="7"/>
  <c r="E1341" i="7"/>
  <c r="D1341" i="7"/>
  <c r="W1340" i="7"/>
  <c r="K1340" i="7"/>
  <c r="E1340" i="7"/>
  <c r="D1340" i="7"/>
  <c r="W1339" i="7"/>
  <c r="K1339" i="7"/>
  <c r="E1339" i="7"/>
  <c r="D1339" i="7"/>
  <c r="W1338" i="7"/>
  <c r="K1338" i="7"/>
  <c r="E1338" i="7"/>
  <c r="D1338" i="7"/>
  <c r="W1337" i="7"/>
  <c r="K1337" i="7"/>
  <c r="E1337" i="7"/>
  <c r="D1337" i="7"/>
  <c r="W1336" i="7"/>
  <c r="K1336" i="7"/>
  <c r="E1336" i="7"/>
  <c r="D1336" i="7"/>
  <c r="W1335" i="7"/>
  <c r="K1335" i="7"/>
  <c r="E1335" i="7"/>
  <c r="D1335" i="7"/>
  <c r="W1334" i="7"/>
  <c r="K1334" i="7"/>
  <c r="E1334" i="7"/>
  <c r="D1334" i="7"/>
  <c r="W1333" i="7"/>
  <c r="K1333" i="7"/>
  <c r="E1333" i="7"/>
  <c r="D1333" i="7"/>
  <c r="W1332" i="7"/>
  <c r="K1332" i="7"/>
  <c r="E1332" i="7"/>
  <c r="D1332" i="7"/>
  <c r="W1331" i="7"/>
  <c r="K1331" i="7"/>
  <c r="E1331" i="7"/>
  <c r="D1331" i="7"/>
  <c r="W1330" i="7"/>
  <c r="K1330" i="7"/>
  <c r="E1330" i="7"/>
  <c r="D1330" i="7"/>
  <c r="W1329" i="7"/>
  <c r="K1329" i="7"/>
  <c r="E1329" i="7"/>
  <c r="D1329" i="7"/>
  <c r="W1328" i="7"/>
  <c r="K1328" i="7"/>
  <c r="E1328" i="7"/>
  <c r="D1328" i="7"/>
  <c r="W1327" i="7"/>
  <c r="K1327" i="7"/>
  <c r="E1327" i="7"/>
  <c r="D1327" i="7"/>
  <c r="W1326" i="7"/>
  <c r="K1326" i="7"/>
  <c r="E1326" i="7"/>
  <c r="D1326" i="7"/>
  <c r="W1325" i="7"/>
  <c r="K1325" i="7"/>
  <c r="E1325" i="7"/>
  <c r="D1325" i="7"/>
  <c r="W1324" i="7"/>
  <c r="K1324" i="7"/>
  <c r="E1324" i="7"/>
  <c r="D1324" i="7"/>
  <c r="W1323" i="7"/>
  <c r="K1323" i="7"/>
  <c r="E1323" i="7"/>
  <c r="D1323" i="7"/>
  <c r="W1322" i="7"/>
  <c r="K1322" i="7"/>
  <c r="E1322" i="7"/>
  <c r="D1322" i="7"/>
  <c r="W1321" i="7"/>
  <c r="K1321" i="7"/>
  <c r="E1321" i="7"/>
  <c r="D1321" i="7"/>
  <c r="W1320" i="7"/>
  <c r="K1320" i="7"/>
  <c r="E1320" i="7"/>
  <c r="D1320" i="7"/>
  <c r="W1319" i="7"/>
  <c r="K1319" i="7"/>
  <c r="E1319" i="7"/>
  <c r="D1319" i="7"/>
  <c r="W1318" i="7"/>
  <c r="K1318" i="7"/>
  <c r="E1318" i="7"/>
  <c r="D1318" i="7"/>
  <c r="W1317" i="7"/>
  <c r="K1317" i="7"/>
  <c r="E1317" i="7"/>
  <c r="D1317" i="7"/>
  <c r="W1316" i="7"/>
  <c r="K1316" i="7"/>
  <c r="E1316" i="7"/>
  <c r="D1316" i="7"/>
  <c r="W1315" i="7"/>
  <c r="K1315" i="7"/>
  <c r="E1315" i="7"/>
  <c r="D1315" i="7"/>
  <c r="W1314" i="7"/>
  <c r="K1314" i="7"/>
  <c r="E1314" i="7"/>
  <c r="D1314" i="7"/>
  <c r="W1313" i="7"/>
  <c r="K1313" i="7"/>
  <c r="E1313" i="7"/>
  <c r="D1313" i="7"/>
  <c r="W1312" i="7"/>
  <c r="K1312" i="7"/>
  <c r="E1312" i="7"/>
  <c r="D1312" i="7"/>
  <c r="W1311" i="7"/>
  <c r="K1311" i="7"/>
  <c r="E1311" i="7"/>
  <c r="D1311" i="7"/>
  <c r="W1310" i="7"/>
  <c r="K1310" i="7"/>
  <c r="E1310" i="7"/>
  <c r="D1310" i="7"/>
  <c r="W1309" i="7"/>
  <c r="K1309" i="7"/>
  <c r="E1309" i="7"/>
  <c r="D1309" i="7"/>
  <c r="W1308" i="7"/>
  <c r="K1308" i="7"/>
  <c r="E1308" i="7"/>
  <c r="D1308" i="7"/>
  <c r="W1307" i="7"/>
  <c r="K1307" i="7"/>
  <c r="E1307" i="7"/>
  <c r="D1307" i="7"/>
  <c r="W1306" i="7"/>
  <c r="K1306" i="7"/>
  <c r="E1306" i="7"/>
  <c r="D1306" i="7"/>
  <c r="W1305" i="7"/>
  <c r="K1305" i="7"/>
  <c r="E1305" i="7"/>
  <c r="D1305" i="7"/>
  <c r="W1304" i="7"/>
  <c r="K1304" i="7"/>
  <c r="E1304" i="7"/>
  <c r="D1304" i="7"/>
  <c r="W1303" i="7"/>
  <c r="K1303" i="7"/>
  <c r="E1303" i="7"/>
  <c r="D1303" i="7"/>
  <c r="W1302" i="7"/>
  <c r="K1302" i="7"/>
  <c r="E1302" i="7"/>
  <c r="D1302" i="7"/>
  <c r="W1301" i="7"/>
  <c r="K1301" i="7"/>
  <c r="E1301" i="7"/>
  <c r="D1301" i="7"/>
  <c r="W1300" i="7"/>
  <c r="K1300" i="7"/>
  <c r="E1300" i="7"/>
  <c r="D1300" i="7"/>
  <c r="W1299" i="7"/>
  <c r="K1299" i="7"/>
  <c r="E1299" i="7"/>
  <c r="D1299" i="7"/>
  <c r="W1298" i="7"/>
  <c r="K1298" i="7"/>
  <c r="E1298" i="7"/>
  <c r="D1298" i="7"/>
  <c r="W1297" i="7"/>
  <c r="K1297" i="7"/>
  <c r="E1297" i="7"/>
  <c r="D1297" i="7"/>
  <c r="W1296" i="7"/>
  <c r="K1296" i="7"/>
  <c r="E1296" i="7"/>
  <c r="D1296" i="7"/>
  <c r="W1295" i="7"/>
  <c r="K1295" i="7"/>
  <c r="E1295" i="7"/>
  <c r="D1295" i="7"/>
  <c r="W1294" i="7"/>
  <c r="K1294" i="7"/>
  <c r="E1294" i="7"/>
  <c r="D1294" i="7"/>
  <c r="W1293" i="7"/>
  <c r="K1293" i="7"/>
  <c r="E1293" i="7"/>
  <c r="D1293" i="7"/>
  <c r="W1292" i="7"/>
  <c r="K1292" i="7"/>
  <c r="E1292" i="7"/>
  <c r="D1292" i="7"/>
  <c r="W1291" i="7"/>
  <c r="K1291" i="7"/>
  <c r="E1291" i="7"/>
  <c r="D1291" i="7"/>
  <c r="W1290" i="7"/>
  <c r="K1290" i="7"/>
  <c r="E1290" i="7"/>
  <c r="D1290" i="7"/>
  <c r="W1289" i="7"/>
  <c r="K1289" i="7"/>
  <c r="E1289" i="7"/>
  <c r="D1289" i="7"/>
  <c r="W1288" i="7"/>
  <c r="K1288" i="7"/>
  <c r="E1288" i="7"/>
  <c r="D1288" i="7"/>
  <c r="W1287" i="7"/>
  <c r="K1287" i="7"/>
  <c r="E1287" i="7"/>
  <c r="D1287" i="7"/>
  <c r="W1286" i="7"/>
  <c r="K1286" i="7"/>
  <c r="E1286" i="7"/>
  <c r="D1286" i="7"/>
  <c r="W1285" i="7"/>
  <c r="K1285" i="7"/>
  <c r="E1285" i="7"/>
  <c r="D1285" i="7"/>
  <c r="W1284" i="7"/>
  <c r="K1284" i="7"/>
  <c r="E1284" i="7"/>
  <c r="D1284" i="7"/>
  <c r="W1283" i="7"/>
  <c r="K1283" i="7"/>
  <c r="E1283" i="7"/>
  <c r="D1283" i="7"/>
  <c r="W1282" i="7"/>
  <c r="K1282" i="7"/>
  <c r="E1282" i="7"/>
  <c r="D1282" i="7"/>
  <c r="W1281" i="7"/>
  <c r="K1281" i="7"/>
  <c r="E1281" i="7"/>
  <c r="D1281" i="7"/>
  <c r="W1280" i="7"/>
  <c r="K1280" i="7"/>
  <c r="E1280" i="7"/>
  <c r="D1280" i="7"/>
  <c r="W1279" i="7"/>
  <c r="K1279" i="7"/>
  <c r="E1279" i="7"/>
  <c r="D1279" i="7"/>
  <c r="W1278" i="7"/>
  <c r="K1278" i="7"/>
  <c r="E1278" i="7"/>
  <c r="D1278" i="7"/>
  <c r="W1277" i="7"/>
  <c r="K1277" i="7"/>
  <c r="E1277" i="7"/>
  <c r="D1277" i="7"/>
  <c r="W1276" i="7"/>
  <c r="K1276" i="7"/>
  <c r="E1276" i="7"/>
  <c r="D1276" i="7"/>
  <c r="W1275" i="7"/>
  <c r="K1275" i="7"/>
  <c r="E1275" i="7"/>
  <c r="D1275" i="7"/>
  <c r="W1274" i="7"/>
  <c r="K1274" i="7"/>
  <c r="E1274" i="7"/>
  <c r="D1274" i="7"/>
  <c r="W1273" i="7"/>
  <c r="K1273" i="7"/>
  <c r="E1273" i="7"/>
  <c r="D1273" i="7"/>
  <c r="W1272" i="7"/>
  <c r="K1272" i="7"/>
  <c r="E1272" i="7"/>
  <c r="D1272" i="7"/>
  <c r="W1271" i="7"/>
  <c r="K1271" i="7"/>
  <c r="E1271" i="7"/>
  <c r="D1271" i="7"/>
  <c r="W1270" i="7"/>
  <c r="K1270" i="7"/>
  <c r="E1270" i="7"/>
  <c r="D1270" i="7"/>
  <c r="W1269" i="7"/>
  <c r="K1269" i="7"/>
  <c r="E1269" i="7"/>
  <c r="D1269" i="7"/>
  <c r="W1268" i="7"/>
  <c r="K1268" i="7"/>
  <c r="E1268" i="7"/>
  <c r="D1268" i="7"/>
  <c r="W1267" i="7"/>
  <c r="K1267" i="7"/>
  <c r="E1267" i="7"/>
  <c r="D1267" i="7"/>
  <c r="W1266" i="7"/>
  <c r="K1266" i="7"/>
  <c r="E1266" i="7"/>
  <c r="D1266" i="7"/>
  <c r="W1265" i="7"/>
  <c r="K1265" i="7"/>
  <c r="E1265" i="7"/>
  <c r="D1265" i="7"/>
  <c r="W1264" i="7"/>
  <c r="K1264" i="7"/>
  <c r="E1264" i="7"/>
  <c r="D1264" i="7"/>
  <c r="W1263" i="7"/>
  <c r="K1263" i="7"/>
  <c r="E1263" i="7"/>
  <c r="D1263" i="7"/>
  <c r="W1262" i="7"/>
  <c r="K1262" i="7"/>
  <c r="E1262" i="7"/>
  <c r="D1262" i="7"/>
  <c r="W1261" i="7"/>
  <c r="K1261" i="7"/>
  <c r="E1261" i="7"/>
  <c r="D1261" i="7"/>
  <c r="W1260" i="7"/>
  <c r="K1260" i="7"/>
  <c r="E1260" i="7"/>
  <c r="D1260" i="7"/>
  <c r="W1259" i="7"/>
  <c r="K1259" i="7"/>
  <c r="E1259" i="7"/>
  <c r="D1259" i="7"/>
  <c r="W1258" i="7"/>
  <c r="K1258" i="7"/>
  <c r="E1258" i="7"/>
  <c r="D1258" i="7"/>
  <c r="W1257" i="7"/>
  <c r="K1257" i="7"/>
  <c r="E1257" i="7"/>
  <c r="D1257" i="7"/>
  <c r="W1256" i="7"/>
  <c r="K1256" i="7"/>
  <c r="E1256" i="7"/>
  <c r="D1256" i="7"/>
  <c r="W1255" i="7"/>
  <c r="K1255" i="7"/>
  <c r="E1255" i="7"/>
  <c r="D1255" i="7"/>
  <c r="W1254" i="7"/>
  <c r="K1254" i="7"/>
  <c r="E1254" i="7"/>
  <c r="D1254" i="7"/>
  <c r="W1253" i="7"/>
  <c r="K1253" i="7"/>
  <c r="E1253" i="7"/>
  <c r="D1253" i="7"/>
  <c r="W1252" i="7"/>
  <c r="K1252" i="7"/>
  <c r="E1252" i="7"/>
  <c r="D1252" i="7"/>
  <c r="W1251" i="7"/>
  <c r="K1251" i="7"/>
  <c r="E1251" i="7"/>
  <c r="D1251" i="7"/>
  <c r="W1250" i="7"/>
  <c r="K1250" i="7"/>
  <c r="E1250" i="7"/>
  <c r="D1250" i="7"/>
  <c r="W1249" i="7"/>
  <c r="K1249" i="7"/>
  <c r="E1249" i="7"/>
  <c r="D1249" i="7"/>
  <c r="W1248" i="7"/>
  <c r="K1248" i="7"/>
  <c r="E1248" i="7"/>
  <c r="D1248" i="7"/>
  <c r="W1247" i="7"/>
  <c r="K1247" i="7"/>
  <c r="E1247" i="7"/>
  <c r="D1247" i="7"/>
  <c r="W1246" i="7"/>
  <c r="K1246" i="7"/>
  <c r="E1246" i="7"/>
  <c r="D1246" i="7"/>
  <c r="W1245" i="7"/>
  <c r="K1245" i="7"/>
  <c r="E1245" i="7"/>
  <c r="D1245" i="7"/>
  <c r="W1244" i="7"/>
  <c r="K1244" i="7"/>
  <c r="E1244" i="7"/>
  <c r="D1244" i="7"/>
  <c r="W1243" i="7"/>
  <c r="K1243" i="7"/>
  <c r="E1243" i="7"/>
  <c r="D1243" i="7"/>
  <c r="W1242" i="7"/>
  <c r="K1242" i="7"/>
  <c r="E1242" i="7"/>
  <c r="D1242" i="7"/>
  <c r="W1241" i="7"/>
  <c r="K1241" i="7"/>
  <c r="E1241" i="7"/>
  <c r="D1241" i="7"/>
  <c r="W1240" i="7"/>
  <c r="K1240" i="7"/>
  <c r="E1240" i="7"/>
  <c r="D1240" i="7"/>
  <c r="W1239" i="7"/>
  <c r="K1239" i="7"/>
  <c r="E1239" i="7"/>
  <c r="D1239" i="7"/>
  <c r="W1238" i="7"/>
  <c r="K1238" i="7"/>
  <c r="E1238" i="7"/>
  <c r="D1238" i="7"/>
  <c r="W1237" i="7"/>
  <c r="K1237" i="7"/>
  <c r="E1237" i="7"/>
  <c r="D1237" i="7"/>
  <c r="W1236" i="7"/>
  <c r="K1236" i="7"/>
  <c r="E1236" i="7"/>
  <c r="D1236" i="7"/>
  <c r="W1235" i="7"/>
  <c r="K1235" i="7"/>
  <c r="E1235" i="7"/>
  <c r="D1235" i="7"/>
  <c r="W1234" i="7"/>
  <c r="K1234" i="7"/>
  <c r="E1234" i="7"/>
  <c r="D1234" i="7"/>
  <c r="W1233" i="7"/>
  <c r="K1233" i="7"/>
  <c r="E1233" i="7"/>
  <c r="D1233" i="7"/>
  <c r="W1232" i="7"/>
  <c r="K1232" i="7"/>
  <c r="E1232" i="7"/>
  <c r="D1232" i="7"/>
  <c r="W1231" i="7"/>
  <c r="K1231" i="7"/>
  <c r="E1231" i="7"/>
  <c r="D1231" i="7"/>
  <c r="W1230" i="7"/>
  <c r="K1230" i="7"/>
  <c r="E1230" i="7"/>
  <c r="D1230" i="7"/>
  <c r="W1229" i="7"/>
  <c r="K1229" i="7"/>
  <c r="E1229" i="7"/>
  <c r="D1229" i="7"/>
  <c r="W1228" i="7"/>
  <c r="K1228" i="7"/>
  <c r="E1228" i="7"/>
  <c r="D1228" i="7"/>
  <c r="W1227" i="7"/>
  <c r="K1227" i="7"/>
  <c r="E1227" i="7"/>
  <c r="D1227" i="7"/>
  <c r="W1226" i="7"/>
  <c r="K1226" i="7"/>
  <c r="E1226" i="7"/>
  <c r="D1226" i="7"/>
  <c r="W1225" i="7"/>
  <c r="K1225" i="7"/>
  <c r="E1225" i="7"/>
  <c r="D1225" i="7"/>
  <c r="W1224" i="7"/>
  <c r="K1224" i="7"/>
  <c r="E1224" i="7"/>
  <c r="D1224" i="7"/>
  <c r="W1223" i="7"/>
  <c r="K1223" i="7"/>
  <c r="E1223" i="7"/>
  <c r="D1223" i="7"/>
  <c r="W1222" i="7"/>
  <c r="K1222" i="7"/>
  <c r="E1222" i="7"/>
  <c r="D1222" i="7"/>
  <c r="W1221" i="7"/>
  <c r="K1221" i="7"/>
  <c r="E1221" i="7"/>
  <c r="D1221" i="7"/>
  <c r="W1220" i="7"/>
  <c r="K1220" i="7"/>
  <c r="E1220" i="7"/>
  <c r="D1220" i="7"/>
  <c r="W1219" i="7"/>
  <c r="K1219" i="7"/>
  <c r="E1219" i="7"/>
  <c r="D1219" i="7"/>
  <c r="W1218" i="7"/>
  <c r="K1218" i="7"/>
  <c r="E1218" i="7"/>
  <c r="D1218" i="7"/>
  <c r="W1217" i="7"/>
  <c r="K1217" i="7"/>
  <c r="E1217" i="7"/>
  <c r="D1217" i="7"/>
  <c r="W1216" i="7"/>
  <c r="K1216" i="7"/>
  <c r="E1216" i="7"/>
  <c r="D1216" i="7"/>
  <c r="W1215" i="7"/>
  <c r="K1215" i="7"/>
  <c r="E1215" i="7"/>
  <c r="D1215" i="7"/>
  <c r="W1214" i="7"/>
  <c r="K1214" i="7"/>
  <c r="E1214" i="7"/>
  <c r="D1214" i="7"/>
  <c r="W1213" i="7"/>
  <c r="K1213" i="7"/>
  <c r="E1213" i="7"/>
  <c r="D1213" i="7"/>
  <c r="W1212" i="7"/>
  <c r="K1212" i="7"/>
  <c r="E1212" i="7"/>
  <c r="D1212" i="7"/>
  <c r="W1211" i="7"/>
  <c r="K1211" i="7"/>
  <c r="E1211" i="7"/>
  <c r="D1211" i="7"/>
  <c r="W1210" i="7"/>
  <c r="K1210" i="7"/>
  <c r="E1210" i="7"/>
  <c r="D1210" i="7"/>
  <c r="W1209" i="7"/>
  <c r="K1209" i="7"/>
  <c r="E1209" i="7"/>
  <c r="D1209" i="7"/>
  <c r="W1208" i="7"/>
  <c r="K1208" i="7"/>
  <c r="E1208" i="7"/>
  <c r="D1208" i="7"/>
  <c r="W1207" i="7"/>
  <c r="K1207" i="7"/>
  <c r="E1207" i="7"/>
  <c r="D1207" i="7"/>
  <c r="W1206" i="7"/>
  <c r="K1206" i="7"/>
  <c r="E1206" i="7"/>
  <c r="D1206" i="7"/>
  <c r="W1205" i="7"/>
  <c r="K1205" i="7"/>
  <c r="E1205" i="7"/>
  <c r="D1205" i="7"/>
  <c r="W1204" i="7"/>
  <c r="K1204" i="7"/>
  <c r="E1204" i="7"/>
  <c r="D1204" i="7"/>
  <c r="W1203" i="7"/>
  <c r="K1203" i="7"/>
  <c r="E1203" i="7"/>
  <c r="D1203" i="7"/>
  <c r="W1202" i="7"/>
  <c r="K1202" i="7"/>
  <c r="E1202" i="7"/>
  <c r="D1202" i="7"/>
  <c r="W1201" i="7"/>
  <c r="K1201" i="7"/>
  <c r="E1201" i="7"/>
  <c r="D1201" i="7"/>
  <c r="W1200" i="7"/>
  <c r="K1200" i="7"/>
  <c r="E1200" i="7"/>
  <c r="D1200" i="7"/>
  <c r="W1199" i="7"/>
  <c r="K1199" i="7"/>
  <c r="E1199" i="7"/>
  <c r="D1199" i="7"/>
  <c r="W1198" i="7"/>
  <c r="K1198" i="7"/>
  <c r="E1198" i="7"/>
  <c r="D1198" i="7"/>
  <c r="W1197" i="7"/>
  <c r="K1197" i="7"/>
  <c r="E1197" i="7"/>
  <c r="D1197" i="7"/>
  <c r="W1196" i="7"/>
  <c r="K1196" i="7"/>
  <c r="E1196" i="7"/>
  <c r="D1196" i="7"/>
  <c r="W1195" i="7"/>
  <c r="K1195" i="7"/>
  <c r="E1195" i="7"/>
  <c r="D1195" i="7"/>
  <c r="W1194" i="7"/>
  <c r="K1194" i="7"/>
  <c r="E1194" i="7"/>
  <c r="D1194" i="7"/>
  <c r="W1193" i="7"/>
  <c r="K1193" i="7"/>
  <c r="E1193" i="7"/>
  <c r="D1193" i="7"/>
  <c r="W1192" i="7"/>
  <c r="K1192" i="7"/>
  <c r="E1192" i="7"/>
  <c r="D1192" i="7"/>
  <c r="W1191" i="7"/>
  <c r="K1191" i="7"/>
  <c r="E1191" i="7"/>
  <c r="D1191" i="7"/>
  <c r="W1190" i="7"/>
  <c r="K1190" i="7"/>
  <c r="E1190" i="7"/>
  <c r="D1190" i="7"/>
  <c r="W1189" i="7"/>
  <c r="K1189" i="7"/>
  <c r="E1189" i="7"/>
  <c r="D1189" i="7"/>
  <c r="W1188" i="7"/>
  <c r="K1188" i="7"/>
  <c r="E1188" i="7"/>
  <c r="D1188" i="7"/>
  <c r="W1187" i="7"/>
  <c r="K1187" i="7"/>
  <c r="E1187" i="7"/>
  <c r="D1187" i="7"/>
  <c r="W1186" i="7"/>
  <c r="K1186" i="7"/>
  <c r="E1186" i="7"/>
  <c r="D1186" i="7"/>
  <c r="W1185" i="7"/>
  <c r="K1185" i="7"/>
  <c r="E1185" i="7"/>
  <c r="D1185" i="7"/>
  <c r="W1184" i="7"/>
  <c r="K1184" i="7"/>
  <c r="E1184" i="7"/>
  <c r="D1184" i="7"/>
  <c r="W1183" i="7"/>
  <c r="K1183" i="7"/>
  <c r="E1183" i="7"/>
  <c r="D1183" i="7"/>
  <c r="W1182" i="7"/>
  <c r="K1182" i="7"/>
  <c r="E1182" i="7"/>
  <c r="D1182" i="7"/>
  <c r="W1181" i="7"/>
  <c r="K1181" i="7"/>
  <c r="E1181" i="7"/>
  <c r="D1181" i="7"/>
  <c r="W1180" i="7"/>
  <c r="K1180" i="7"/>
  <c r="E1180" i="7"/>
  <c r="D1180" i="7"/>
  <c r="W1179" i="7"/>
  <c r="K1179" i="7"/>
  <c r="E1179" i="7"/>
  <c r="D1179" i="7"/>
  <c r="W1178" i="7"/>
  <c r="K1178" i="7"/>
  <c r="E1178" i="7"/>
  <c r="D1178" i="7"/>
  <c r="W1177" i="7"/>
  <c r="K1177" i="7"/>
  <c r="E1177" i="7"/>
  <c r="D1177" i="7"/>
  <c r="W1176" i="7"/>
  <c r="K1176" i="7"/>
  <c r="E1176" i="7"/>
  <c r="D1176" i="7"/>
  <c r="W1175" i="7"/>
  <c r="K1175" i="7"/>
  <c r="E1175" i="7"/>
  <c r="D1175" i="7"/>
  <c r="W1174" i="7"/>
  <c r="K1174" i="7"/>
  <c r="E1174" i="7"/>
  <c r="D1174" i="7"/>
  <c r="W1173" i="7"/>
  <c r="K1173" i="7"/>
  <c r="E1173" i="7"/>
  <c r="D1173" i="7"/>
  <c r="W1172" i="7"/>
  <c r="K1172" i="7"/>
  <c r="E1172" i="7"/>
  <c r="D1172" i="7"/>
  <c r="W1171" i="7"/>
  <c r="K1171" i="7"/>
  <c r="E1171" i="7"/>
  <c r="D1171" i="7"/>
  <c r="W1170" i="7"/>
  <c r="K1170" i="7"/>
  <c r="E1170" i="7"/>
  <c r="D1170" i="7"/>
  <c r="W1169" i="7"/>
  <c r="K1169" i="7"/>
  <c r="E1169" i="7"/>
  <c r="D1169" i="7"/>
  <c r="W1168" i="7"/>
  <c r="K1168" i="7"/>
  <c r="E1168" i="7"/>
  <c r="D1168" i="7"/>
  <c r="W1167" i="7"/>
  <c r="K1167" i="7"/>
  <c r="E1167" i="7"/>
  <c r="D1167" i="7"/>
  <c r="W1166" i="7"/>
  <c r="K1166" i="7"/>
  <c r="E1166" i="7"/>
  <c r="D1166" i="7"/>
  <c r="W1165" i="7"/>
  <c r="K1165" i="7"/>
  <c r="E1165" i="7"/>
  <c r="D1165" i="7"/>
  <c r="W1164" i="7"/>
  <c r="K1164" i="7"/>
  <c r="E1164" i="7"/>
  <c r="D1164" i="7"/>
  <c r="W1163" i="7"/>
  <c r="K1163" i="7"/>
  <c r="E1163" i="7"/>
  <c r="D1163" i="7"/>
  <c r="W1162" i="7"/>
  <c r="K1162" i="7"/>
  <c r="E1162" i="7"/>
  <c r="D1162" i="7"/>
  <c r="W1161" i="7"/>
  <c r="K1161" i="7"/>
  <c r="E1161" i="7"/>
  <c r="D1161" i="7"/>
  <c r="W1160" i="7"/>
  <c r="K1160" i="7"/>
  <c r="E1160" i="7"/>
  <c r="D1160" i="7"/>
  <c r="W1159" i="7"/>
  <c r="K1159" i="7"/>
  <c r="E1159" i="7"/>
  <c r="D1159" i="7"/>
  <c r="W1158" i="7"/>
  <c r="K1158" i="7"/>
  <c r="E1158" i="7"/>
  <c r="D1158" i="7"/>
  <c r="W1157" i="7"/>
  <c r="K1157" i="7"/>
  <c r="E1157" i="7"/>
  <c r="D1157" i="7"/>
  <c r="W1156" i="7"/>
  <c r="K1156" i="7"/>
  <c r="E1156" i="7"/>
  <c r="D1156" i="7"/>
  <c r="W1155" i="7"/>
  <c r="K1155" i="7"/>
  <c r="E1155" i="7"/>
  <c r="D1155" i="7"/>
  <c r="W1154" i="7"/>
  <c r="K1154" i="7"/>
  <c r="E1154" i="7"/>
  <c r="D1154" i="7"/>
  <c r="W1153" i="7"/>
  <c r="K1153" i="7"/>
  <c r="E1153" i="7"/>
  <c r="D1153" i="7"/>
  <c r="W1152" i="7"/>
  <c r="K1152" i="7"/>
  <c r="E1152" i="7"/>
  <c r="D1152" i="7"/>
  <c r="W1151" i="7"/>
  <c r="K1151" i="7"/>
  <c r="E1151" i="7"/>
  <c r="D1151" i="7"/>
  <c r="W1150" i="7"/>
  <c r="K1150" i="7"/>
  <c r="E1150" i="7"/>
  <c r="D1150" i="7"/>
  <c r="W1149" i="7"/>
  <c r="K1149" i="7"/>
  <c r="E1149" i="7"/>
  <c r="D1149" i="7"/>
  <c r="W1148" i="7"/>
  <c r="K1148" i="7"/>
  <c r="E1148" i="7"/>
  <c r="D1148" i="7"/>
  <c r="W1147" i="7"/>
  <c r="K1147" i="7"/>
  <c r="E1147" i="7"/>
  <c r="D1147" i="7"/>
  <c r="W1146" i="7"/>
  <c r="K1146" i="7"/>
  <c r="E1146" i="7"/>
  <c r="D1146" i="7"/>
  <c r="W1145" i="7"/>
  <c r="K1145" i="7"/>
  <c r="E1145" i="7"/>
  <c r="D1145" i="7"/>
  <c r="W1144" i="7"/>
  <c r="K1144" i="7"/>
  <c r="E1144" i="7"/>
  <c r="D1144" i="7"/>
  <c r="W1143" i="7"/>
  <c r="K1143" i="7"/>
  <c r="E1143" i="7"/>
  <c r="D1143" i="7"/>
  <c r="W1142" i="7"/>
  <c r="K1142" i="7"/>
  <c r="E1142" i="7"/>
  <c r="D1142" i="7"/>
  <c r="W1141" i="7"/>
  <c r="K1141" i="7"/>
  <c r="E1141" i="7"/>
  <c r="D1141" i="7"/>
  <c r="W1140" i="7"/>
  <c r="K1140" i="7"/>
  <c r="E1140" i="7"/>
  <c r="D1140" i="7"/>
  <c r="W1139" i="7"/>
  <c r="K1139" i="7"/>
  <c r="E1139" i="7"/>
  <c r="D1139" i="7"/>
  <c r="W1138" i="7"/>
  <c r="K1138" i="7"/>
  <c r="E1138" i="7"/>
  <c r="D1138" i="7"/>
  <c r="W1137" i="7"/>
  <c r="K1137" i="7"/>
  <c r="E1137" i="7"/>
  <c r="D1137" i="7"/>
  <c r="W1136" i="7"/>
  <c r="K1136" i="7"/>
  <c r="E1136" i="7"/>
  <c r="D1136" i="7"/>
  <c r="W1135" i="7"/>
  <c r="K1135" i="7"/>
  <c r="E1135" i="7"/>
  <c r="D1135" i="7"/>
  <c r="W1134" i="7"/>
  <c r="K1134" i="7"/>
  <c r="E1134" i="7"/>
  <c r="D1134" i="7"/>
  <c r="W1133" i="7"/>
  <c r="K1133" i="7"/>
  <c r="E1133" i="7"/>
  <c r="D1133" i="7"/>
  <c r="W1132" i="7"/>
  <c r="K1132" i="7"/>
  <c r="E1132" i="7"/>
  <c r="D1132" i="7"/>
  <c r="W1131" i="7"/>
  <c r="K1131" i="7"/>
  <c r="E1131" i="7"/>
  <c r="D1131" i="7"/>
  <c r="W1130" i="7"/>
  <c r="K1130" i="7"/>
  <c r="E1130" i="7"/>
  <c r="D1130" i="7"/>
  <c r="W1129" i="7"/>
  <c r="K1129" i="7"/>
  <c r="E1129" i="7"/>
  <c r="D1129" i="7"/>
  <c r="W1128" i="7"/>
  <c r="K1128" i="7"/>
  <c r="E1128" i="7"/>
  <c r="D1128" i="7"/>
  <c r="W1127" i="7"/>
  <c r="K1127" i="7"/>
  <c r="E1127" i="7"/>
  <c r="D1127" i="7"/>
  <c r="W1126" i="7"/>
  <c r="K1126" i="7"/>
  <c r="E1126" i="7"/>
  <c r="D1126" i="7"/>
  <c r="W1125" i="7"/>
  <c r="K1125" i="7"/>
  <c r="E1125" i="7"/>
  <c r="D1125" i="7"/>
  <c r="W1124" i="7"/>
  <c r="K1124" i="7"/>
  <c r="E1124" i="7"/>
  <c r="D1124" i="7"/>
  <c r="W1123" i="7"/>
  <c r="K1123" i="7"/>
  <c r="E1123" i="7"/>
  <c r="D1123" i="7"/>
  <c r="W1122" i="7"/>
  <c r="K1122" i="7"/>
  <c r="E1122" i="7"/>
  <c r="D1122" i="7"/>
  <c r="W1121" i="7"/>
  <c r="K1121" i="7"/>
  <c r="E1121" i="7"/>
  <c r="D1121" i="7"/>
  <c r="W1120" i="7"/>
  <c r="K1120" i="7"/>
  <c r="E1120" i="7"/>
  <c r="D1120" i="7"/>
  <c r="W1119" i="7"/>
  <c r="K1119" i="7"/>
  <c r="E1119" i="7"/>
  <c r="D1119" i="7"/>
  <c r="W1118" i="7"/>
  <c r="K1118" i="7"/>
  <c r="E1118" i="7"/>
  <c r="D1118" i="7"/>
  <c r="W1117" i="7"/>
  <c r="K1117" i="7"/>
  <c r="E1117" i="7"/>
  <c r="D1117" i="7"/>
  <c r="W1116" i="7"/>
  <c r="K1116" i="7"/>
  <c r="E1116" i="7"/>
  <c r="D1116" i="7"/>
  <c r="W1115" i="7"/>
  <c r="K1115" i="7"/>
  <c r="E1115" i="7"/>
  <c r="D1115" i="7"/>
  <c r="W1114" i="7"/>
  <c r="K1114" i="7"/>
  <c r="E1114" i="7"/>
  <c r="D1114" i="7"/>
  <c r="W1113" i="7"/>
  <c r="K1113" i="7"/>
  <c r="E1113" i="7"/>
  <c r="D1113" i="7"/>
  <c r="W1112" i="7"/>
  <c r="K1112" i="7"/>
  <c r="E1112" i="7"/>
  <c r="D1112" i="7"/>
  <c r="W1111" i="7"/>
  <c r="K1111" i="7"/>
  <c r="E1111" i="7"/>
  <c r="D1111" i="7"/>
  <c r="W1110" i="7"/>
  <c r="K1110" i="7"/>
  <c r="E1110" i="7"/>
  <c r="D1110" i="7"/>
  <c r="W1109" i="7"/>
  <c r="K1109" i="7"/>
  <c r="E1109" i="7"/>
  <c r="D1109" i="7"/>
  <c r="W1108" i="7"/>
  <c r="K1108" i="7"/>
  <c r="E1108" i="7"/>
  <c r="D1108" i="7"/>
  <c r="W1107" i="7"/>
  <c r="K1107" i="7"/>
  <c r="E1107" i="7"/>
  <c r="D1107" i="7"/>
  <c r="W1106" i="7"/>
  <c r="K1106" i="7"/>
  <c r="E1106" i="7"/>
  <c r="D1106" i="7"/>
  <c r="W1105" i="7"/>
  <c r="K1105" i="7"/>
  <c r="E1105" i="7"/>
  <c r="D1105" i="7"/>
  <c r="W1104" i="7"/>
  <c r="K1104" i="7"/>
  <c r="E1104" i="7"/>
  <c r="D1104" i="7"/>
  <c r="W1103" i="7"/>
  <c r="K1103" i="7"/>
  <c r="E1103" i="7"/>
  <c r="D1103" i="7"/>
  <c r="W1102" i="7"/>
  <c r="K1102" i="7"/>
  <c r="E1102" i="7"/>
  <c r="D1102" i="7"/>
  <c r="W1101" i="7"/>
  <c r="K1101" i="7"/>
  <c r="E1101" i="7"/>
  <c r="D1101" i="7"/>
  <c r="W1100" i="7"/>
  <c r="K1100" i="7"/>
  <c r="E1100" i="7"/>
  <c r="D1100" i="7"/>
  <c r="W1099" i="7"/>
  <c r="K1099" i="7"/>
  <c r="E1099" i="7"/>
  <c r="D1099" i="7"/>
  <c r="W1098" i="7"/>
  <c r="K1098" i="7"/>
  <c r="E1098" i="7"/>
  <c r="D1098" i="7"/>
  <c r="W1097" i="7"/>
  <c r="K1097" i="7"/>
  <c r="E1097" i="7"/>
  <c r="D1097" i="7"/>
  <c r="W1096" i="7"/>
  <c r="K1096" i="7"/>
  <c r="E1096" i="7"/>
  <c r="D1096" i="7"/>
  <c r="W1095" i="7"/>
  <c r="K1095" i="7"/>
  <c r="E1095" i="7"/>
  <c r="D1095" i="7"/>
  <c r="W1094" i="7"/>
  <c r="K1094" i="7"/>
  <c r="E1094" i="7"/>
  <c r="D1094" i="7"/>
  <c r="W1093" i="7"/>
  <c r="K1093" i="7"/>
  <c r="E1093" i="7"/>
  <c r="D1093" i="7"/>
  <c r="W1092" i="7"/>
  <c r="K1092" i="7"/>
  <c r="E1092" i="7"/>
  <c r="D1092" i="7"/>
  <c r="W1091" i="7"/>
  <c r="K1091" i="7"/>
  <c r="E1091" i="7"/>
  <c r="D1091" i="7"/>
  <c r="W1090" i="7"/>
  <c r="K1090" i="7"/>
  <c r="E1090" i="7"/>
  <c r="D1090" i="7"/>
  <c r="W1089" i="7"/>
  <c r="K1089" i="7"/>
  <c r="E1089" i="7"/>
  <c r="D1089" i="7"/>
  <c r="W1088" i="7"/>
  <c r="K1088" i="7"/>
  <c r="E1088" i="7"/>
  <c r="D1088" i="7"/>
  <c r="W1087" i="7"/>
  <c r="K1087" i="7"/>
  <c r="E1087" i="7"/>
  <c r="D1087" i="7"/>
  <c r="W1086" i="7"/>
  <c r="K1086" i="7"/>
  <c r="E1086" i="7"/>
  <c r="D1086" i="7"/>
  <c r="W1085" i="7"/>
  <c r="K1085" i="7"/>
  <c r="E1085" i="7"/>
  <c r="D1085" i="7"/>
  <c r="W1084" i="7"/>
  <c r="K1084" i="7"/>
  <c r="E1084" i="7"/>
  <c r="D1084" i="7"/>
  <c r="W1083" i="7"/>
  <c r="K1083" i="7"/>
  <c r="E1083" i="7"/>
  <c r="D1083" i="7"/>
  <c r="W1082" i="7"/>
  <c r="K1082" i="7"/>
  <c r="E1082" i="7"/>
  <c r="D1082" i="7"/>
  <c r="W1081" i="7"/>
  <c r="K1081" i="7"/>
  <c r="E1081" i="7"/>
  <c r="D1081" i="7"/>
  <c r="W1080" i="7"/>
  <c r="K1080" i="7"/>
  <c r="E1080" i="7"/>
  <c r="D1080" i="7"/>
  <c r="W1079" i="7"/>
  <c r="K1079" i="7"/>
  <c r="E1079" i="7"/>
  <c r="D1079" i="7"/>
  <c r="W1078" i="7"/>
  <c r="K1078" i="7"/>
  <c r="E1078" i="7"/>
  <c r="D1078" i="7"/>
  <c r="W1077" i="7"/>
  <c r="K1077" i="7"/>
  <c r="E1077" i="7"/>
  <c r="D1077" i="7"/>
  <c r="W1076" i="7"/>
  <c r="K1076" i="7"/>
  <c r="E1076" i="7"/>
  <c r="D1076" i="7"/>
  <c r="W1075" i="7"/>
  <c r="K1075" i="7"/>
  <c r="E1075" i="7"/>
  <c r="D1075" i="7"/>
  <c r="W1074" i="7"/>
  <c r="K1074" i="7"/>
  <c r="E1074" i="7"/>
  <c r="D1074" i="7"/>
  <c r="W1073" i="7"/>
  <c r="K1073" i="7"/>
  <c r="E1073" i="7"/>
  <c r="D1073" i="7"/>
  <c r="W1072" i="7"/>
  <c r="K1072" i="7"/>
  <c r="E1072" i="7"/>
  <c r="D1072" i="7"/>
  <c r="W1071" i="7"/>
  <c r="K1071" i="7"/>
  <c r="E1071" i="7"/>
  <c r="D1071" i="7"/>
  <c r="W1070" i="7"/>
  <c r="K1070" i="7"/>
  <c r="E1070" i="7"/>
  <c r="D1070" i="7"/>
  <c r="W1069" i="7"/>
  <c r="K1069" i="7"/>
  <c r="E1069" i="7"/>
  <c r="D1069" i="7"/>
  <c r="W1068" i="7"/>
  <c r="K1068" i="7"/>
  <c r="E1068" i="7"/>
  <c r="D1068" i="7"/>
  <c r="W1067" i="7"/>
  <c r="K1067" i="7"/>
  <c r="E1067" i="7"/>
  <c r="D1067" i="7"/>
  <c r="W1066" i="7"/>
  <c r="K1066" i="7"/>
  <c r="E1066" i="7"/>
  <c r="D1066" i="7"/>
  <c r="W1065" i="7"/>
  <c r="K1065" i="7"/>
  <c r="E1065" i="7"/>
  <c r="D1065" i="7"/>
  <c r="W1064" i="7"/>
  <c r="K1064" i="7"/>
  <c r="E1064" i="7"/>
  <c r="D1064" i="7"/>
  <c r="W1063" i="7"/>
  <c r="K1063" i="7"/>
  <c r="E1063" i="7"/>
  <c r="D1063" i="7"/>
  <c r="W1062" i="7"/>
  <c r="K1062" i="7"/>
  <c r="E1062" i="7"/>
  <c r="D1062" i="7"/>
  <c r="W1061" i="7"/>
  <c r="K1061" i="7"/>
  <c r="E1061" i="7"/>
  <c r="D1061" i="7"/>
  <c r="W1060" i="7"/>
  <c r="K1060" i="7"/>
  <c r="E1060" i="7"/>
  <c r="D1060" i="7"/>
  <c r="W1059" i="7"/>
  <c r="K1059" i="7"/>
  <c r="E1059" i="7"/>
  <c r="D1059" i="7"/>
  <c r="W1058" i="7"/>
  <c r="K1058" i="7"/>
  <c r="E1058" i="7"/>
  <c r="D1058" i="7"/>
  <c r="W1057" i="7"/>
  <c r="K1057" i="7"/>
  <c r="E1057" i="7"/>
  <c r="D1057" i="7"/>
  <c r="W1056" i="7"/>
  <c r="K1056" i="7"/>
  <c r="E1056" i="7"/>
  <c r="D1056" i="7"/>
  <c r="W1055" i="7"/>
  <c r="K1055" i="7"/>
  <c r="E1055" i="7"/>
  <c r="D1055" i="7"/>
  <c r="W1054" i="7"/>
  <c r="K1054" i="7"/>
  <c r="E1054" i="7"/>
  <c r="D1054" i="7"/>
  <c r="W1053" i="7"/>
  <c r="K1053" i="7"/>
  <c r="E1053" i="7"/>
  <c r="D1053" i="7"/>
  <c r="W1052" i="7"/>
  <c r="K1052" i="7"/>
  <c r="E1052" i="7"/>
  <c r="D1052" i="7"/>
  <c r="W1051" i="7"/>
  <c r="K1051" i="7"/>
  <c r="E1051" i="7"/>
  <c r="D1051" i="7"/>
  <c r="W1050" i="7"/>
  <c r="K1050" i="7"/>
  <c r="E1050" i="7"/>
  <c r="D1050" i="7"/>
  <c r="W1049" i="7"/>
  <c r="K1049" i="7"/>
  <c r="E1049" i="7"/>
  <c r="D1049" i="7"/>
  <c r="W1048" i="7"/>
  <c r="K1048" i="7"/>
  <c r="E1048" i="7"/>
  <c r="D1048" i="7"/>
  <c r="W1047" i="7"/>
  <c r="K1047" i="7"/>
  <c r="E1047" i="7"/>
  <c r="D1047" i="7"/>
  <c r="W1046" i="7"/>
  <c r="K1046" i="7"/>
  <c r="E1046" i="7"/>
  <c r="D1046" i="7"/>
  <c r="W1045" i="7"/>
  <c r="K1045" i="7"/>
  <c r="E1045" i="7"/>
  <c r="D1045" i="7"/>
  <c r="W1044" i="7"/>
  <c r="K1044" i="7"/>
  <c r="E1044" i="7"/>
  <c r="D1044" i="7"/>
  <c r="W1043" i="7"/>
  <c r="K1043" i="7"/>
  <c r="E1043" i="7"/>
  <c r="D1043" i="7"/>
  <c r="W1042" i="7"/>
  <c r="K1042" i="7"/>
  <c r="E1042" i="7"/>
  <c r="D1042" i="7"/>
  <c r="W1041" i="7"/>
  <c r="K1041" i="7"/>
  <c r="E1041" i="7"/>
  <c r="D1041" i="7"/>
  <c r="W1040" i="7"/>
  <c r="K1040" i="7"/>
  <c r="E1040" i="7"/>
  <c r="D1040" i="7"/>
  <c r="W1039" i="7"/>
  <c r="K1039" i="7"/>
  <c r="E1039" i="7"/>
  <c r="D1039" i="7"/>
  <c r="W1038" i="7"/>
  <c r="K1038" i="7"/>
  <c r="E1038" i="7"/>
  <c r="D1038" i="7"/>
  <c r="W1037" i="7"/>
  <c r="K1037" i="7"/>
  <c r="E1037" i="7"/>
  <c r="D1037" i="7"/>
  <c r="W1036" i="7"/>
  <c r="K1036" i="7"/>
  <c r="E1036" i="7"/>
  <c r="D1036" i="7"/>
  <c r="W1035" i="7"/>
  <c r="K1035" i="7"/>
  <c r="E1035" i="7"/>
  <c r="D1035" i="7"/>
  <c r="W1034" i="7"/>
  <c r="K1034" i="7"/>
  <c r="E1034" i="7"/>
  <c r="D1034" i="7"/>
  <c r="W1033" i="7"/>
  <c r="K1033" i="7"/>
  <c r="E1033" i="7"/>
  <c r="D1033" i="7"/>
  <c r="W1032" i="7"/>
  <c r="K1032" i="7"/>
  <c r="E1032" i="7"/>
  <c r="D1032" i="7"/>
  <c r="W1031" i="7"/>
  <c r="K1031" i="7"/>
  <c r="E1031" i="7"/>
  <c r="D1031" i="7"/>
  <c r="W1030" i="7"/>
  <c r="K1030" i="7"/>
  <c r="E1030" i="7"/>
  <c r="D1030" i="7"/>
  <c r="W1029" i="7"/>
  <c r="K1029" i="7"/>
  <c r="E1029" i="7"/>
  <c r="D1029" i="7"/>
  <c r="W1028" i="7"/>
  <c r="K1028" i="7"/>
  <c r="E1028" i="7"/>
  <c r="D1028" i="7"/>
  <c r="W1027" i="7"/>
  <c r="K1027" i="7"/>
  <c r="E1027" i="7"/>
  <c r="D1027" i="7"/>
  <c r="W1026" i="7"/>
  <c r="K1026" i="7"/>
  <c r="E1026" i="7"/>
  <c r="D1026" i="7"/>
  <c r="W1025" i="7"/>
  <c r="K1025" i="7"/>
  <c r="E1025" i="7"/>
  <c r="D1025" i="7"/>
  <c r="W1024" i="7"/>
  <c r="K1024" i="7"/>
  <c r="E1024" i="7"/>
  <c r="D1024" i="7"/>
  <c r="W1023" i="7"/>
  <c r="K1023" i="7"/>
  <c r="E1023" i="7"/>
  <c r="D1023" i="7"/>
  <c r="W1022" i="7"/>
  <c r="K1022" i="7"/>
  <c r="E1022" i="7"/>
  <c r="D1022" i="7"/>
  <c r="W1021" i="7"/>
  <c r="K1021" i="7"/>
  <c r="E1021" i="7"/>
  <c r="D1021" i="7"/>
  <c r="W1020" i="7"/>
  <c r="K1020" i="7"/>
  <c r="E1020" i="7"/>
  <c r="D1020" i="7"/>
  <c r="W1019" i="7"/>
  <c r="K1019" i="7"/>
  <c r="E1019" i="7"/>
  <c r="D1019" i="7"/>
  <c r="W1018" i="7"/>
  <c r="K1018" i="7"/>
  <c r="E1018" i="7"/>
  <c r="D1018" i="7"/>
  <c r="W1017" i="7"/>
  <c r="K1017" i="7"/>
  <c r="E1017" i="7"/>
  <c r="D1017" i="7"/>
  <c r="W1016" i="7"/>
  <c r="K1016" i="7"/>
  <c r="E1016" i="7"/>
  <c r="D1016" i="7"/>
  <c r="W1015" i="7"/>
  <c r="K1015" i="7"/>
  <c r="E1015" i="7"/>
  <c r="D1015" i="7"/>
  <c r="W1014" i="7"/>
  <c r="K1014" i="7"/>
  <c r="E1014" i="7"/>
  <c r="D1014" i="7"/>
  <c r="W1013" i="7"/>
  <c r="K1013" i="7"/>
  <c r="E1013" i="7"/>
  <c r="D1013" i="7"/>
  <c r="W1012" i="7"/>
  <c r="K1012" i="7"/>
  <c r="E1012" i="7"/>
  <c r="D1012" i="7"/>
  <c r="W1011" i="7"/>
  <c r="K1011" i="7"/>
  <c r="E1011" i="7"/>
  <c r="D1011" i="7"/>
  <c r="W1010" i="7"/>
  <c r="K1010" i="7"/>
  <c r="E1010" i="7"/>
  <c r="D1010" i="7"/>
  <c r="W1009" i="7"/>
  <c r="K1009" i="7"/>
  <c r="E1009" i="7"/>
  <c r="D1009" i="7"/>
  <c r="W1008" i="7"/>
  <c r="K1008" i="7"/>
  <c r="E1008" i="7"/>
  <c r="D1008" i="7"/>
  <c r="W1007" i="7"/>
  <c r="K1007" i="7"/>
  <c r="E1007" i="7"/>
  <c r="D1007" i="7"/>
  <c r="W1006" i="7"/>
  <c r="K1006" i="7"/>
  <c r="E1006" i="7"/>
  <c r="D1006" i="7"/>
  <c r="W1005" i="7"/>
  <c r="K1005" i="7"/>
  <c r="E1005" i="7"/>
  <c r="D1005" i="7"/>
  <c r="W1004" i="7"/>
  <c r="K1004" i="7"/>
  <c r="E1004" i="7"/>
  <c r="D1004" i="7"/>
  <c r="W1003" i="7"/>
  <c r="K1003" i="7"/>
  <c r="E1003" i="7"/>
  <c r="D1003" i="7"/>
  <c r="W1002" i="7"/>
  <c r="K1002" i="7"/>
  <c r="E1002" i="7"/>
  <c r="D1002" i="7"/>
  <c r="W1001" i="7"/>
  <c r="K1001" i="7"/>
  <c r="E1001" i="7"/>
  <c r="D1001" i="7"/>
  <c r="W1000" i="7"/>
  <c r="K1000" i="7"/>
  <c r="E1000" i="7"/>
  <c r="D1000" i="7"/>
  <c r="W999" i="7"/>
  <c r="K999" i="7"/>
  <c r="E999" i="7"/>
  <c r="D999" i="7"/>
  <c r="W998" i="7"/>
  <c r="K998" i="7"/>
  <c r="E998" i="7"/>
  <c r="D998" i="7"/>
  <c r="W997" i="7"/>
  <c r="K997" i="7"/>
  <c r="E997" i="7"/>
  <c r="D997" i="7"/>
  <c r="W996" i="7"/>
  <c r="K996" i="7"/>
  <c r="E996" i="7"/>
  <c r="D996" i="7"/>
  <c r="W995" i="7"/>
  <c r="K995" i="7"/>
  <c r="E995" i="7"/>
  <c r="D995" i="7"/>
  <c r="W994" i="7"/>
  <c r="K994" i="7"/>
  <c r="E994" i="7"/>
  <c r="D994" i="7"/>
  <c r="W993" i="7"/>
  <c r="K993" i="7"/>
  <c r="E993" i="7"/>
  <c r="D993" i="7"/>
  <c r="W992" i="7"/>
  <c r="K992" i="7"/>
  <c r="E992" i="7"/>
  <c r="D992" i="7"/>
  <c r="W991" i="7"/>
  <c r="K991" i="7"/>
  <c r="E991" i="7"/>
  <c r="D991" i="7"/>
  <c r="W990" i="7"/>
  <c r="K990" i="7"/>
  <c r="E990" i="7"/>
  <c r="D990" i="7"/>
  <c r="W989" i="7"/>
  <c r="K989" i="7"/>
  <c r="E989" i="7"/>
  <c r="D989" i="7"/>
  <c r="W988" i="7"/>
  <c r="K988" i="7"/>
  <c r="E988" i="7"/>
  <c r="D988" i="7"/>
  <c r="W987" i="7"/>
  <c r="K987" i="7"/>
  <c r="E987" i="7"/>
  <c r="D987" i="7"/>
  <c r="W986" i="7"/>
  <c r="K986" i="7"/>
  <c r="E986" i="7"/>
  <c r="D986" i="7"/>
  <c r="W985" i="7"/>
  <c r="K985" i="7"/>
  <c r="E985" i="7"/>
  <c r="D985" i="7"/>
  <c r="W984" i="7"/>
  <c r="K984" i="7"/>
  <c r="E984" i="7"/>
  <c r="D984" i="7"/>
  <c r="W983" i="7"/>
  <c r="K983" i="7"/>
  <c r="E983" i="7"/>
  <c r="D983" i="7"/>
  <c r="W982" i="7"/>
  <c r="K982" i="7"/>
  <c r="E982" i="7"/>
  <c r="D982" i="7"/>
  <c r="W981" i="7"/>
  <c r="K981" i="7"/>
  <c r="E981" i="7"/>
  <c r="D981" i="7"/>
  <c r="W980" i="7"/>
  <c r="K980" i="7"/>
  <c r="E980" i="7"/>
  <c r="D980" i="7"/>
  <c r="W979" i="7"/>
  <c r="K979" i="7"/>
  <c r="E979" i="7"/>
  <c r="D979" i="7"/>
  <c r="W978" i="7"/>
  <c r="K978" i="7"/>
  <c r="E978" i="7"/>
  <c r="D978" i="7"/>
  <c r="W977" i="7"/>
  <c r="K977" i="7"/>
  <c r="E977" i="7"/>
  <c r="D977" i="7"/>
  <c r="W976" i="7"/>
  <c r="K976" i="7"/>
  <c r="E976" i="7"/>
  <c r="D976" i="7"/>
  <c r="W975" i="7"/>
  <c r="K975" i="7"/>
  <c r="E975" i="7"/>
  <c r="D975" i="7"/>
  <c r="W974" i="7"/>
  <c r="K974" i="7"/>
  <c r="E974" i="7"/>
  <c r="D974" i="7"/>
  <c r="W973" i="7"/>
  <c r="K973" i="7"/>
  <c r="E973" i="7"/>
  <c r="D973" i="7"/>
  <c r="W972" i="7"/>
  <c r="K972" i="7"/>
  <c r="E972" i="7"/>
  <c r="D972" i="7"/>
  <c r="W971" i="7"/>
  <c r="K971" i="7"/>
  <c r="E971" i="7"/>
  <c r="D971" i="7"/>
  <c r="W970" i="7"/>
  <c r="K970" i="7"/>
  <c r="E970" i="7"/>
  <c r="D970" i="7"/>
  <c r="W969" i="7"/>
  <c r="K969" i="7"/>
  <c r="E969" i="7"/>
  <c r="D969" i="7"/>
  <c r="W968" i="7"/>
  <c r="K968" i="7"/>
  <c r="E968" i="7"/>
  <c r="D968" i="7"/>
  <c r="W967" i="7"/>
  <c r="K967" i="7"/>
  <c r="E967" i="7"/>
  <c r="D967" i="7"/>
  <c r="W966" i="7"/>
  <c r="K966" i="7"/>
  <c r="E966" i="7"/>
  <c r="D966" i="7"/>
  <c r="W965" i="7"/>
  <c r="K965" i="7"/>
  <c r="E965" i="7"/>
  <c r="D965" i="7"/>
  <c r="W964" i="7"/>
  <c r="K964" i="7"/>
  <c r="E964" i="7"/>
  <c r="D964" i="7"/>
  <c r="W963" i="7"/>
  <c r="K963" i="7"/>
  <c r="E963" i="7"/>
  <c r="D963" i="7"/>
  <c r="W962" i="7"/>
  <c r="K962" i="7"/>
  <c r="E962" i="7"/>
  <c r="D962" i="7"/>
  <c r="W961" i="7"/>
  <c r="K961" i="7"/>
  <c r="E961" i="7"/>
  <c r="D961" i="7"/>
  <c r="W960" i="7"/>
  <c r="K960" i="7"/>
  <c r="E960" i="7"/>
  <c r="D960" i="7"/>
  <c r="W959" i="7"/>
  <c r="K959" i="7"/>
  <c r="E959" i="7"/>
  <c r="D959" i="7"/>
  <c r="W958" i="7"/>
  <c r="K958" i="7"/>
  <c r="E958" i="7"/>
  <c r="D958" i="7"/>
  <c r="W957" i="7"/>
  <c r="K957" i="7"/>
  <c r="E957" i="7"/>
  <c r="D957" i="7"/>
  <c r="W956" i="7"/>
  <c r="K956" i="7"/>
  <c r="E956" i="7"/>
  <c r="D956" i="7"/>
  <c r="W955" i="7"/>
  <c r="K955" i="7"/>
  <c r="E955" i="7"/>
  <c r="D955" i="7"/>
  <c r="W954" i="7"/>
  <c r="K954" i="7"/>
  <c r="E954" i="7"/>
  <c r="D954" i="7"/>
  <c r="W953" i="7"/>
  <c r="K953" i="7"/>
  <c r="E953" i="7"/>
  <c r="D953" i="7"/>
  <c r="W952" i="7"/>
  <c r="K952" i="7"/>
  <c r="E952" i="7"/>
  <c r="D952" i="7"/>
  <c r="W951" i="7"/>
  <c r="K951" i="7"/>
  <c r="E951" i="7"/>
  <c r="D951" i="7"/>
  <c r="W950" i="7"/>
  <c r="K950" i="7"/>
  <c r="E950" i="7"/>
  <c r="D950" i="7"/>
  <c r="W949" i="7"/>
  <c r="K949" i="7"/>
  <c r="E949" i="7"/>
  <c r="D949" i="7"/>
  <c r="W948" i="7"/>
  <c r="K948" i="7"/>
  <c r="E948" i="7"/>
  <c r="D948" i="7"/>
  <c r="W947" i="7"/>
  <c r="K947" i="7"/>
  <c r="E947" i="7"/>
  <c r="D947" i="7"/>
  <c r="W946" i="7"/>
  <c r="K946" i="7"/>
  <c r="E946" i="7"/>
  <c r="D946" i="7"/>
  <c r="W945" i="7"/>
  <c r="K945" i="7"/>
  <c r="E945" i="7"/>
  <c r="D945" i="7"/>
  <c r="W944" i="7"/>
  <c r="K944" i="7"/>
  <c r="E944" i="7"/>
  <c r="D944" i="7"/>
  <c r="W943" i="7"/>
  <c r="K943" i="7"/>
  <c r="E943" i="7"/>
  <c r="D943" i="7"/>
  <c r="W942" i="7"/>
  <c r="K942" i="7"/>
  <c r="E942" i="7"/>
  <c r="D942" i="7"/>
  <c r="W941" i="7"/>
  <c r="K941" i="7"/>
  <c r="E941" i="7"/>
  <c r="D941" i="7"/>
  <c r="W940" i="7"/>
  <c r="K940" i="7"/>
  <c r="E940" i="7"/>
  <c r="D940" i="7"/>
  <c r="W939" i="7"/>
  <c r="K939" i="7"/>
  <c r="E939" i="7"/>
  <c r="D939" i="7"/>
  <c r="W938" i="7"/>
  <c r="K938" i="7"/>
  <c r="E938" i="7"/>
  <c r="D938" i="7"/>
  <c r="W937" i="7"/>
  <c r="K937" i="7"/>
  <c r="E937" i="7"/>
  <c r="D937" i="7"/>
  <c r="W936" i="7"/>
  <c r="K936" i="7"/>
  <c r="E936" i="7"/>
  <c r="D936" i="7"/>
  <c r="W935" i="7"/>
  <c r="K935" i="7"/>
  <c r="E935" i="7"/>
  <c r="D935" i="7"/>
  <c r="W934" i="7"/>
  <c r="K934" i="7"/>
  <c r="E934" i="7"/>
  <c r="D934" i="7"/>
  <c r="W933" i="7"/>
  <c r="K933" i="7"/>
  <c r="E933" i="7"/>
  <c r="D933" i="7"/>
  <c r="W932" i="7"/>
  <c r="K932" i="7"/>
  <c r="E932" i="7"/>
  <c r="D932" i="7"/>
  <c r="W931" i="7"/>
  <c r="K931" i="7"/>
  <c r="E931" i="7"/>
  <c r="D931" i="7"/>
  <c r="W930" i="7"/>
  <c r="K930" i="7"/>
  <c r="E930" i="7"/>
  <c r="D930" i="7"/>
  <c r="W929" i="7"/>
  <c r="K929" i="7"/>
  <c r="E929" i="7"/>
  <c r="D929" i="7"/>
  <c r="W928" i="7"/>
  <c r="K928" i="7"/>
  <c r="E928" i="7"/>
  <c r="D928" i="7"/>
  <c r="W927" i="7"/>
  <c r="K927" i="7"/>
  <c r="E927" i="7"/>
  <c r="D927" i="7"/>
  <c r="W926" i="7"/>
  <c r="K926" i="7"/>
  <c r="E926" i="7"/>
  <c r="D926" i="7"/>
  <c r="W925" i="7"/>
  <c r="K925" i="7"/>
  <c r="E925" i="7"/>
  <c r="D925" i="7"/>
  <c r="W924" i="7"/>
  <c r="K924" i="7"/>
  <c r="E924" i="7"/>
  <c r="D924" i="7"/>
  <c r="W923" i="7"/>
  <c r="K923" i="7"/>
  <c r="E923" i="7"/>
  <c r="D923" i="7"/>
  <c r="W922" i="7"/>
  <c r="K922" i="7"/>
  <c r="E922" i="7"/>
  <c r="D922" i="7"/>
  <c r="W921" i="7"/>
  <c r="K921" i="7"/>
  <c r="E921" i="7"/>
  <c r="D921" i="7"/>
  <c r="W920" i="7"/>
  <c r="K920" i="7"/>
  <c r="E920" i="7"/>
  <c r="D920" i="7"/>
  <c r="W919" i="7"/>
  <c r="K919" i="7"/>
  <c r="E919" i="7"/>
  <c r="D919" i="7"/>
  <c r="W918" i="7"/>
  <c r="K918" i="7"/>
  <c r="E918" i="7"/>
  <c r="D918" i="7"/>
  <c r="W917" i="7"/>
  <c r="K917" i="7"/>
  <c r="E917" i="7"/>
  <c r="D917" i="7"/>
  <c r="W916" i="7"/>
  <c r="K916" i="7"/>
  <c r="E916" i="7"/>
  <c r="D916" i="7"/>
  <c r="W915" i="7"/>
  <c r="K915" i="7"/>
  <c r="E915" i="7"/>
  <c r="D915" i="7"/>
  <c r="W914" i="7"/>
  <c r="K914" i="7"/>
  <c r="E914" i="7"/>
  <c r="D914" i="7"/>
  <c r="W913" i="7"/>
  <c r="K913" i="7"/>
  <c r="E913" i="7"/>
  <c r="D913" i="7"/>
  <c r="W912" i="7"/>
  <c r="K912" i="7"/>
  <c r="E912" i="7"/>
  <c r="D912" i="7"/>
  <c r="W911" i="7"/>
  <c r="K911" i="7"/>
  <c r="E911" i="7"/>
  <c r="D911" i="7"/>
  <c r="W910" i="7"/>
  <c r="K910" i="7"/>
  <c r="E910" i="7"/>
  <c r="D910" i="7"/>
  <c r="W909" i="7"/>
  <c r="K909" i="7"/>
  <c r="E909" i="7"/>
  <c r="D909" i="7"/>
  <c r="W908" i="7"/>
  <c r="K908" i="7"/>
  <c r="E908" i="7"/>
  <c r="D908" i="7"/>
  <c r="W907" i="7"/>
  <c r="K907" i="7"/>
  <c r="E907" i="7"/>
  <c r="D907" i="7"/>
  <c r="W906" i="7"/>
  <c r="K906" i="7"/>
  <c r="E906" i="7"/>
  <c r="D906" i="7"/>
  <c r="W905" i="7"/>
  <c r="K905" i="7"/>
  <c r="E905" i="7"/>
  <c r="D905" i="7"/>
  <c r="W904" i="7"/>
  <c r="K904" i="7"/>
  <c r="E904" i="7"/>
  <c r="D904" i="7"/>
  <c r="W903" i="7"/>
  <c r="K903" i="7"/>
  <c r="E903" i="7"/>
  <c r="D903" i="7"/>
  <c r="W902" i="7"/>
  <c r="K902" i="7"/>
  <c r="E902" i="7"/>
  <c r="D902" i="7"/>
  <c r="W901" i="7"/>
  <c r="K901" i="7"/>
  <c r="E901" i="7"/>
  <c r="D901" i="7"/>
  <c r="W900" i="7"/>
  <c r="K900" i="7"/>
  <c r="E900" i="7"/>
  <c r="D900" i="7"/>
  <c r="W899" i="7"/>
  <c r="K899" i="7"/>
  <c r="E899" i="7"/>
  <c r="D899" i="7"/>
  <c r="W898" i="7"/>
  <c r="K898" i="7"/>
  <c r="E898" i="7"/>
  <c r="D898" i="7"/>
  <c r="W897" i="7"/>
  <c r="K897" i="7"/>
  <c r="E897" i="7"/>
  <c r="D897" i="7"/>
  <c r="W896" i="7"/>
  <c r="K896" i="7"/>
  <c r="E896" i="7"/>
  <c r="D896" i="7"/>
  <c r="W895" i="7"/>
  <c r="K895" i="7"/>
  <c r="E895" i="7"/>
  <c r="D895" i="7"/>
  <c r="W894" i="7"/>
  <c r="K894" i="7"/>
  <c r="E894" i="7"/>
  <c r="D894" i="7"/>
  <c r="W893" i="7"/>
  <c r="K893" i="7"/>
  <c r="E893" i="7"/>
  <c r="D893" i="7"/>
  <c r="W892" i="7"/>
  <c r="K892" i="7"/>
  <c r="E892" i="7"/>
  <c r="D892" i="7"/>
  <c r="W891" i="7"/>
  <c r="K891" i="7"/>
  <c r="E891" i="7"/>
  <c r="D891" i="7"/>
  <c r="W890" i="7"/>
  <c r="K890" i="7"/>
  <c r="E890" i="7"/>
  <c r="D890" i="7"/>
  <c r="W889" i="7"/>
  <c r="K889" i="7"/>
  <c r="E889" i="7"/>
  <c r="D889" i="7"/>
  <c r="W888" i="7"/>
  <c r="K888" i="7"/>
  <c r="E888" i="7"/>
  <c r="D888" i="7"/>
  <c r="W887" i="7"/>
  <c r="K887" i="7"/>
  <c r="E887" i="7"/>
  <c r="D887" i="7"/>
  <c r="W886" i="7"/>
  <c r="K886" i="7"/>
  <c r="E886" i="7"/>
  <c r="D886" i="7"/>
  <c r="W885" i="7"/>
  <c r="K885" i="7"/>
  <c r="E885" i="7"/>
  <c r="D885" i="7"/>
  <c r="W884" i="7"/>
  <c r="K884" i="7"/>
  <c r="E884" i="7"/>
  <c r="D884" i="7"/>
  <c r="W883" i="7"/>
  <c r="K883" i="7"/>
  <c r="E883" i="7"/>
  <c r="D883" i="7"/>
  <c r="W882" i="7"/>
  <c r="K882" i="7"/>
  <c r="E882" i="7"/>
  <c r="D882" i="7"/>
  <c r="W881" i="7"/>
  <c r="K881" i="7"/>
  <c r="E881" i="7"/>
  <c r="D881" i="7"/>
  <c r="W880" i="7"/>
  <c r="K880" i="7"/>
  <c r="E880" i="7"/>
  <c r="D880" i="7"/>
  <c r="W879" i="7"/>
  <c r="K879" i="7"/>
  <c r="E879" i="7"/>
  <c r="D879" i="7"/>
  <c r="W878" i="7"/>
  <c r="K878" i="7"/>
  <c r="E878" i="7"/>
  <c r="D878" i="7"/>
  <c r="W877" i="7"/>
  <c r="K877" i="7"/>
  <c r="E877" i="7"/>
  <c r="D877" i="7"/>
  <c r="W876" i="7"/>
  <c r="K876" i="7"/>
  <c r="E876" i="7"/>
  <c r="D876" i="7"/>
  <c r="W875" i="7"/>
  <c r="K875" i="7"/>
  <c r="E875" i="7"/>
  <c r="D875" i="7"/>
  <c r="W874" i="7"/>
  <c r="K874" i="7"/>
  <c r="E874" i="7"/>
  <c r="D874" i="7"/>
  <c r="W873" i="7"/>
  <c r="K873" i="7"/>
  <c r="E873" i="7"/>
  <c r="D873" i="7"/>
  <c r="W872" i="7"/>
  <c r="K872" i="7"/>
  <c r="E872" i="7"/>
  <c r="D872" i="7"/>
  <c r="W871" i="7"/>
  <c r="K871" i="7"/>
  <c r="E871" i="7"/>
  <c r="D871" i="7"/>
  <c r="W870" i="7"/>
  <c r="K870" i="7"/>
  <c r="E870" i="7"/>
  <c r="D870" i="7"/>
  <c r="W869" i="7"/>
  <c r="K869" i="7"/>
  <c r="E869" i="7"/>
  <c r="D869" i="7"/>
  <c r="W868" i="7"/>
  <c r="K868" i="7"/>
  <c r="E868" i="7"/>
  <c r="D868" i="7"/>
  <c r="W867" i="7"/>
  <c r="K867" i="7"/>
  <c r="E867" i="7"/>
  <c r="D867" i="7"/>
  <c r="W866" i="7"/>
  <c r="K866" i="7"/>
  <c r="E866" i="7"/>
  <c r="D866" i="7"/>
  <c r="W865" i="7"/>
  <c r="K865" i="7"/>
  <c r="E865" i="7"/>
  <c r="D865" i="7"/>
  <c r="W864" i="7"/>
  <c r="K864" i="7"/>
  <c r="E864" i="7"/>
  <c r="D864" i="7"/>
  <c r="W863" i="7"/>
  <c r="K863" i="7"/>
  <c r="E863" i="7"/>
  <c r="D863" i="7"/>
  <c r="W862" i="7"/>
  <c r="K862" i="7"/>
  <c r="E862" i="7"/>
  <c r="D862" i="7"/>
  <c r="W861" i="7"/>
  <c r="K861" i="7"/>
  <c r="E861" i="7"/>
  <c r="D861" i="7"/>
  <c r="W860" i="7"/>
  <c r="K860" i="7"/>
  <c r="E860" i="7"/>
  <c r="D860" i="7"/>
  <c r="W859" i="7"/>
  <c r="K859" i="7"/>
  <c r="E859" i="7"/>
  <c r="D859" i="7"/>
  <c r="W858" i="7"/>
  <c r="K858" i="7"/>
  <c r="E858" i="7"/>
  <c r="D858" i="7"/>
  <c r="W857" i="7"/>
  <c r="K857" i="7"/>
  <c r="E857" i="7"/>
  <c r="D857" i="7"/>
  <c r="W856" i="7"/>
  <c r="K856" i="7"/>
  <c r="E856" i="7"/>
  <c r="D856" i="7"/>
  <c r="W855" i="7"/>
  <c r="K855" i="7"/>
  <c r="E855" i="7"/>
  <c r="D855" i="7"/>
  <c r="W854" i="7"/>
  <c r="K854" i="7"/>
  <c r="E854" i="7"/>
  <c r="D854" i="7"/>
  <c r="W853" i="7"/>
  <c r="K853" i="7"/>
  <c r="E853" i="7"/>
  <c r="D853" i="7"/>
  <c r="W852" i="7"/>
  <c r="K852" i="7"/>
  <c r="E852" i="7"/>
  <c r="D852" i="7"/>
  <c r="W851" i="7"/>
  <c r="K851" i="7"/>
  <c r="E851" i="7"/>
  <c r="D851" i="7"/>
  <c r="W850" i="7"/>
  <c r="K850" i="7"/>
  <c r="E850" i="7"/>
  <c r="D850" i="7"/>
  <c r="W849" i="7"/>
  <c r="K849" i="7"/>
  <c r="E849" i="7"/>
  <c r="D849" i="7"/>
  <c r="W848" i="7"/>
  <c r="K848" i="7"/>
  <c r="E848" i="7"/>
  <c r="D848" i="7"/>
  <c r="W847" i="7"/>
  <c r="K847" i="7"/>
  <c r="E847" i="7"/>
  <c r="D847" i="7"/>
  <c r="W846" i="7"/>
  <c r="K846" i="7"/>
  <c r="E846" i="7"/>
  <c r="D846" i="7"/>
  <c r="W845" i="7"/>
  <c r="K845" i="7"/>
  <c r="E845" i="7"/>
  <c r="D845" i="7"/>
  <c r="W844" i="7"/>
  <c r="K844" i="7"/>
  <c r="E844" i="7"/>
  <c r="D844" i="7"/>
  <c r="W843" i="7"/>
  <c r="K843" i="7"/>
  <c r="E843" i="7"/>
  <c r="D843" i="7"/>
  <c r="W842" i="7"/>
  <c r="K842" i="7"/>
  <c r="E842" i="7"/>
  <c r="D842" i="7"/>
  <c r="W841" i="7"/>
  <c r="K841" i="7"/>
  <c r="E841" i="7"/>
  <c r="D841" i="7"/>
  <c r="W840" i="7"/>
  <c r="K840" i="7"/>
  <c r="E840" i="7"/>
  <c r="D840" i="7"/>
  <c r="W839" i="7"/>
  <c r="K839" i="7"/>
  <c r="E839" i="7"/>
  <c r="D839" i="7"/>
  <c r="W838" i="7"/>
  <c r="K838" i="7"/>
  <c r="E838" i="7"/>
  <c r="D838" i="7"/>
  <c r="W837" i="7"/>
  <c r="K837" i="7"/>
  <c r="E837" i="7"/>
  <c r="D837" i="7"/>
  <c r="W836" i="7"/>
  <c r="K836" i="7"/>
  <c r="E836" i="7"/>
  <c r="D836" i="7"/>
  <c r="W835" i="7"/>
  <c r="K835" i="7"/>
  <c r="E835" i="7"/>
  <c r="D835" i="7"/>
  <c r="W834" i="7"/>
  <c r="K834" i="7"/>
  <c r="E834" i="7"/>
  <c r="D834" i="7"/>
  <c r="W833" i="7"/>
  <c r="K833" i="7"/>
  <c r="E833" i="7"/>
  <c r="D833" i="7"/>
  <c r="W832" i="7"/>
  <c r="K832" i="7"/>
  <c r="E832" i="7"/>
  <c r="D832" i="7"/>
  <c r="W831" i="7"/>
  <c r="K831" i="7"/>
  <c r="E831" i="7"/>
  <c r="D831" i="7"/>
  <c r="W830" i="7"/>
  <c r="K830" i="7"/>
  <c r="E830" i="7"/>
  <c r="D830" i="7"/>
  <c r="W829" i="7"/>
  <c r="K829" i="7"/>
  <c r="E829" i="7"/>
  <c r="D829" i="7"/>
  <c r="W828" i="7"/>
  <c r="K828" i="7"/>
  <c r="E828" i="7"/>
  <c r="D828" i="7"/>
  <c r="W827" i="7"/>
  <c r="K827" i="7"/>
  <c r="E827" i="7"/>
  <c r="D827" i="7"/>
  <c r="W826" i="7"/>
  <c r="K826" i="7"/>
  <c r="E826" i="7"/>
  <c r="D826" i="7"/>
  <c r="W825" i="7"/>
  <c r="K825" i="7"/>
  <c r="E825" i="7"/>
  <c r="D825" i="7"/>
  <c r="W824" i="7"/>
  <c r="K824" i="7"/>
  <c r="E824" i="7"/>
  <c r="D824" i="7"/>
  <c r="W823" i="7"/>
  <c r="K823" i="7"/>
  <c r="E823" i="7"/>
  <c r="D823" i="7"/>
  <c r="W822" i="7"/>
  <c r="K822" i="7"/>
  <c r="E822" i="7"/>
  <c r="D822" i="7"/>
  <c r="W821" i="7"/>
  <c r="K821" i="7"/>
  <c r="E821" i="7"/>
  <c r="D821" i="7"/>
  <c r="W820" i="7"/>
  <c r="K820" i="7"/>
  <c r="E820" i="7"/>
  <c r="D820" i="7"/>
  <c r="W819" i="7"/>
  <c r="K819" i="7"/>
  <c r="E819" i="7"/>
  <c r="D819" i="7"/>
  <c r="W818" i="7"/>
  <c r="K818" i="7"/>
  <c r="E818" i="7"/>
  <c r="D818" i="7"/>
  <c r="W817" i="7"/>
  <c r="K817" i="7"/>
  <c r="E817" i="7"/>
  <c r="D817" i="7"/>
  <c r="W816" i="7"/>
  <c r="K816" i="7"/>
  <c r="E816" i="7"/>
  <c r="D816" i="7"/>
  <c r="W815" i="7"/>
  <c r="K815" i="7"/>
  <c r="E815" i="7"/>
  <c r="D815" i="7"/>
  <c r="W814" i="7"/>
  <c r="K814" i="7"/>
  <c r="E814" i="7"/>
  <c r="D814" i="7"/>
  <c r="W813" i="7"/>
  <c r="K813" i="7"/>
  <c r="E813" i="7"/>
  <c r="D813" i="7"/>
  <c r="W812" i="7"/>
  <c r="K812" i="7"/>
  <c r="E812" i="7"/>
  <c r="D812" i="7"/>
  <c r="W811" i="7"/>
  <c r="K811" i="7"/>
  <c r="E811" i="7"/>
  <c r="D811" i="7"/>
  <c r="W810" i="7"/>
  <c r="K810" i="7"/>
  <c r="E810" i="7"/>
  <c r="D810" i="7"/>
  <c r="W809" i="7"/>
  <c r="K809" i="7"/>
  <c r="E809" i="7"/>
  <c r="D809" i="7"/>
  <c r="W808" i="7"/>
  <c r="K808" i="7"/>
  <c r="E808" i="7"/>
  <c r="D808" i="7"/>
  <c r="W807" i="7"/>
  <c r="K807" i="7"/>
  <c r="E807" i="7"/>
  <c r="D807" i="7"/>
  <c r="W806" i="7"/>
  <c r="K806" i="7"/>
  <c r="E806" i="7"/>
  <c r="D806" i="7"/>
  <c r="W805" i="7"/>
  <c r="K805" i="7"/>
  <c r="E805" i="7"/>
  <c r="D805" i="7"/>
  <c r="W804" i="7"/>
  <c r="K804" i="7"/>
  <c r="E804" i="7"/>
  <c r="D804" i="7"/>
  <c r="W803" i="7"/>
  <c r="K803" i="7"/>
  <c r="E803" i="7"/>
  <c r="D803" i="7"/>
  <c r="W802" i="7"/>
  <c r="K802" i="7"/>
  <c r="E802" i="7"/>
  <c r="D802" i="7"/>
  <c r="W801" i="7"/>
  <c r="K801" i="7"/>
  <c r="E801" i="7"/>
  <c r="D801" i="7"/>
  <c r="W800" i="7"/>
  <c r="K800" i="7"/>
  <c r="E800" i="7"/>
  <c r="D800" i="7"/>
  <c r="W799" i="7"/>
  <c r="K799" i="7"/>
  <c r="E799" i="7"/>
  <c r="D799" i="7"/>
  <c r="W798" i="7"/>
  <c r="K798" i="7"/>
  <c r="E798" i="7"/>
  <c r="D798" i="7"/>
  <c r="W797" i="7"/>
  <c r="K797" i="7"/>
  <c r="E797" i="7"/>
  <c r="D797" i="7"/>
  <c r="W796" i="7"/>
  <c r="K796" i="7"/>
  <c r="E796" i="7"/>
  <c r="D796" i="7"/>
  <c r="W795" i="7"/>
  <c r="K795" i="7"/>
  <c r="E795" i="7"/>
  <c r="D795" i="7"/>
  <c r="W794" i="7"/>
  <c r="K794" i="7"/>
  <c r="E794" i="7"/>
  <c r="D794" i="7"/>
  <c r="W793" i="7"/>
  <c r="K793" i="7"/>
  <c r="E793" i="7"/>
  <c r="D793" i="7"/>
  <c r="W792" i="7"/>
  <c r="K792" i="7"/>
  <c r="E792" i="7"/>
  <c r="D792" i="7"/>
  <c r="W791" i="7"/>
  <c r="K791" i="7"/>
  <c r="E791" i="7"/>
  <c r="D791" i="7"/>
  <c r="W790" i="7"/>
  <c r="K790" i="7"/>
  <c r="E790" i="7"/>
  <c r="D790" i="7"/>
  <c r="W789" i="7"/>
  <c r="K789" i="7"/>
  <c r="E789" i="7"/>
  <c r="D789" i="7"/>
  <c r="W788" i="7"/>
  <c r="K788" i="7"/>
  <c r="E788" i="7"/>
  <c r="D788" i="7"/>
  <c r="W787" i="7"/>
  <c r="K787" i="7"/>
  <c r="E787" i="7"/>
  <c r="D787" i="7"/>
  <c r="W786" i="7"/>
  <c r="K786" i="7"/>
  <c r="E786" i="7"/>
  <c r="D786" i="7"/>
  <c r="W785" i="7"/>
  <c r="K785" i="7"/>
  <c r="E785" i="7"/>
  <c r="D785" i="7"/>
  <c r="W784" i="7"/>
  <c r="K784" i="7"/>
  <c r="E784" i="7"/>
  <c r="D784" i="7"/>
  <c r="W783" i="7"/>
  <c r="K783" i="7"/>
  <c r="E783" i="7"/>
  <c r="D783" i="7"/>
  <c r="W782" i="7"/>
  <c r="K782" i="7"/>
  <c r="E782" i="7"/>
  <c r="D782" i="7"/>
  <c r="W781" i="7"/>
  <c r="K781" i="7"/>
  <c r="E781" i="7"/>
  <c r="D781" i="7"/>
  <c r="W780" i="7"/>
  <c r="K780" i="7"/>
  <c r="E780" i="7"/>
  <c r="D780" i="7"/>
  <c r="W779" i="7"/>
  <c r="K779" i="7"/>
  <c r="E779" i="7"/>
  <c r="D779" i="7"/>
  <c r="W778" i="7"/>
  <c r="K778" i="7"/>
  <c r="E778" i="7"/>
  <c r="D778" i="7"/>
  <c r="W777" i="7"/>
  <c r="K777" i="7"/>
  <c r="E777" i="7"/>
  <c r="D777" i="7"/>
  <c r="W776" i="7"/>
  <c r="K776" i="7"/>
  <c r="E776" i="7"/>
  <c r="D776" i="7"/>
  <c r="W775" i="7"/>
  <c r="K775" i="7"/>
  <c r="E775" i="7"/>
  <c r="D775" i="7"/>
  <c r="W774" i="7"/>
  <c r="K774" i="7"/>
  <c r="E774" i="7"/>
  <c r="D774" i="7"/>
  <c r="W773" i="7"/>
  <c r="K773" i="7"/>
  <c r="E773" i="7"/>
  <c r="D773" i="7"/>
  <c r="W772" i="7"/>
  <c r="K772" i="7"/>
  <c r="E772" i="7"/>
  <c r="D772" i="7"/>
  <c r="W771" i="7"/>
  <c r="K771" i="7"/>
  <c r="E771" i="7"/>
  <c r="D771" i="7"/>
  <c r="W770" i="7"/>
  <c r="K770" i="7"/>
  <c r="E770" i="7"/>
  <c r="D770" i="7"/>
  <c r="W769" i="7"/>
  <c r="K769" i="7"/>
  <c r="E769" i="7"/>
  <c r="D769" i="7"/>
  <c r="W768" i="7"/>
  <c r="K768" i="7"/>
  <c r="E768" i="7"/>
  <c r="D768" i="7"/>
  <c r="W767" i="7"/>
  <c r="K767" i="7"/>
  <c r="E767" i="7"/>
  <c r="D767" i="7"/>
  <c r="W766" i="7"/>
  <c r="K766" i="7"/>
  <c r="E766" i="7"/>
  <c r="D766" i="7"/>
  <c r="W765" i="7"/>
  <c r="K765" i="7"/>
  <c r="E765" i="7"/>
  <c r="D765" i="7"/>
  <c r="W764" i="7"/>
  <c r="K764" i="7"/>
  <c r="E764" i="7"/>
  <c r="D764" i="7"/>
  <c r="W763" i="7"/>
  <c r="K763" i="7"/>
  <c r="E763" i="7"/>
  <c r="D763" i="7"/>
  <c r="W762" i="7"/>
  <c r="K762" i="7"/>
  <c r="E762" i="7"/>
  <c r="D762" i="7"/>
  <c r="W761" i="7"/>
  <c r="K761" i="7"/>
  <c r="E761" i="7"/>
  <c r="D761" i="7"/>
  <c r="W760" i="7"/>
  <c r="K760" i="7"/>
  <c r="E760" i="7"/>
  <c r="D760" i="7"/>
  <c r="W759" i="7"/>
  <c r="K759" i="7"/>
  <c r="E759" i="7"/>
  <c r="D759" i="7"/>
  <c r="W758" i="7"/>
  <c r="K758" i="7"/>
  <c r="E758" i="7"/>
  <c r="D758" i="7"/>
  <c r="W757" i="7"/>
  <c r="K757" i="7"/>
  <c r="E757" i="7"/>
  <c r="D757" i="7"/>
  <c r="W756" i="7"/>
  <c r="K756" i="7"/>
  <c r="E756" i="7"/>
  <c r="D756" i="7"/>
  <c r="W755" i="7"/>
  <c r="K755" i="7"/>
  <c r="E755" i="7"/>
  <c r="D755" i="7"/>
  <c r="W754" i="7"/>
  <c r="K754" i="7"/>
  <c r="E754" i="7"/>
  <c r="D754" i="7"/>
  <c r="W753" i="7"/>
  <c r="K753" i="7"/>
  <c r="E753" i="7"/>
  <c r="D753" i="7"/>
  <c r="W752" i="7"/>
  <c r="K752" i="7"/>
  <c r="E752" i="7"/>
  <c r="D752" i="7"/>
  <c r="W751" i="7"/>
  <c r="K751" i="7"/>
  <c r="E751" i="7"/>
  <c r="D751" i="7"/>
  <c r="W750" i="7"/>
  <c r="K750" i="7"/>
  <c r="E750" i="7"/>
  <c r="D750" i="7"/>
  <c r="W749" i="7"/>
  <c r="K749" i="7"/>
  <c r="E749" i="7"/>
  <c r="D749" i="7"/>
  <c r="W748" i="7"/>
  <c r="K748" i="7"/>
  <c r="E748" i="7"/>
  <c r="D748" i="7"/>
  <c r="W747" i="7"/>
  <c r="K747" i="7"/>
  <c r="E747" i="7"/>
  <c r="D747" i="7"/>
  <c r="W746" i="7"/>
  <c r="K746" i="7"/>
  <c r="E746" i="7"/>
  <c r="D746" i="7"/>
  <c r="W745" i="7"/>
  <c r="K745" i="7"/>
  <c r="E745" i="7"/>
  <c r="D745" i="7"/>
  <c r="W744" i="7"/>
  <c r="K744" i="7"/>
  <c r="E744" i="7"/>
  <c r="D744" i="7"/>
  <c r="W743" i="7"/>
  <c r="K743" i="7"/>
  <c r="E743" i="7"/>
  <c r="D743" i="7"/>
  <c r="W742" i="7"/>
  <c r="K742" i="7"/>
  <c r="E742" i="7"/>
  <c r="D742" i="7"/>
  <c r="W741" i="7"/>
  <c r="K741" i="7"/>
  <c r="E741" i="7"/>
  <c r="D741" i="7"/>
  <c r="W740" i="7"/>
  <c r="K740" i="7"/>
  <c r="E740" i="7"/>
  <c r="D740" i="7"/>
  <c r="W739" i="7"/>
  <c r="K739" i="7"/>
  <c r="E739" i="7"/>
  <c r="D739" i="7"/>
  <c r="W738" i="7"/>
  <c r="K738" i="7"/>
  <c r="E738" i="7"/>
  <c r="D738" i="7"/>
  <c r="W737" i="7"/>
  <c r="K737" i="7"/>
  <c r="E737" i="7"/>
  <c r="D737" i="7"/>
  <c r="W736" i="7"/>
  <c r="K736" i="7"/>
  <c r="E736" i="7"/>
  <c r="D736" i="7"/>
  <c r="W735" i="7"/>
  <c r="K735" i="7"/>
  <c r="E735" i="7"/>
  <c r="D735" i="7"/>
  <c r="W734" i="7"/>
  <c r="K734" i="7"/>
  <c r="E734" i="7"/>
  <c r="D734" i="7"/>
  <c r="W733" i="7"/>
  <c r="K733" i="7"/>
  <c r="E733" i="7"/>
  <c r="D733" i="7"/>
  <c r="W732" i="7"/>
  <c r="K732" i="7"/>
  <c r="E732" i="7"/>
  <c r="D732" i="7"/>
  <c r="W731" i="7"/>
  <c r="K731" i="7"/>
  <c r="E731" i="7"/>
  <c r="D731" i="7"/>
  <c r="W730" i="7"/>
  <c r="K730" i="7"/>
  <c r="E730" i="7"/>
  <c r="D730" i="7"/>
  <c r="W729" i="7"/>
  <c r="K729" i="7"/>
  <c r="E729" i="7"/>
  <c r="D729" i="7"/>
  <c r="W728" i="7"/>
  <c r="K728" i="7"/>
  <c r="E728" i="7"/>
  <c r="D728" i="7"/>
  <c r="W727" i="7"/>
  <c r="K727" i="7"/>
  <c r="E727" i="7"/>
  <c r="D727" i="7"/>
  <c r="W726" i="7"/>
  <c r="K726" i="7"/>
  <c r="E726" i="7"/>
  <c r="D726" i="7"/>
  <c r="W725" i="7"/>
  <c r="K725" i="7"/>
  <c r="E725" i="7"/>
  <c r="D725" i="7"/>
  <c r="W724" i="7"/>
  <c r="K724" i="7"/>
  <c r="E724" i="7"/>
  <c r="D724" i="7"/>
  <c r="W723" i="7"/>
  <c r="K723" i="7"/>
  <c r="E723" i="7"/>
  <c r="D723" i="7"/>
  <c r="W722" i="7"/>
  <c r="K722" i="7"/>
  <c r="E722" i="7"/>
  <c r="D722" i="7"/>
  <c r="W721" i="7"/>
  <c r="K721" i="7"/>
  <c r="E721" i="7"/>
  <c r="D721" i="7"/>
  <c r="W720" i="7"/>
  <c r="K720" i="7"/>
  <c r="E720" i="7"/>
  <c r="D720" i="7"/>
  <c r="W719" i="7"/>
  <c r="K719" i="7"/>
  <c r="E719" i="7"/>
  <c r="D719" i="7"/>
  <c r="W718" i="7"/>
  <c r="K718" i="7"/>
  <c r="E718" i="7"/>
  <c r="D718" i="7"/>
  <c r="W717" i="7"/>
  <c r="K717" i="7"/>
  <c r="E717" i="7"/>
  <c r="D717" i="7"/>
  <c r="W716" i="7"/>
  <c r="K716" i="7"/>
  <c r="E716" i="7"/>
  <c r="D716" i="7"/>
  <c r="W715" i="7"/>
  <c r="K715" i="7"/>
  <c r="E715" i="7"/>
  <c r="D715" i="7"/>
  <c r="W714" i="7"/>
  <c r="K714" i="7"/>
  <c r="E714" i="7"/>
  <c r="D714" i="7"/>
  <c r="W713" i="7"/>
  <c r="K713" i="7"/>
  <c r="E713" i="7"/>
  <c r="D713" i="7"/>
  <c r="W712" i="7"/>
  <c r="K712" i="7"/>
  <c r="E712" i="7"/>
  <c r="D712" i="7"/>
  <c r="W711" i="7"/>
  <c r="K711" i="7"/>
  <c r="E711" i="7"/>
  <c r="D711" i="7"/>
  <c r="W710" i="7"/>
  <c r="K710" i="7"/>
  <c r="E710" i="7"/>
  <c r="D710" i="7"/>
  <c r="W709" i="7"/>
  <c r="K709" i="7"/>
  <c r="E709" i="7"/>
  <c r="D709" i="7"/>
  <c r="W708" i="7"/>
  <c r="K708" i="7"/>
  <c r="E708" i="7"/>
  <c r="D708" i="7"/>
  <c r="W707" i="7"/>
  <c r="K707" i="7"/>
  <c r="E707" i="7"/>
  <c r="D707" i="7"/>
  <c r="W706" i="7"/>
  <c r="K706" i="7"/>
  <c r="E706" i="7"/>
  <c r="D706" i="7"/>
  <c r="W705" i="7"/>
  <c r="K705" i="7"/>
  <c r="E705" i="7"/>
  <c r="D705" i="7"/>
  <c r="W704" i="7"/>
  <c r="K704" i="7"/>
  <c r="E704" i="7"/>
  <c r="D704" i="7"/>
  <c r="W703" i="7"/>
  <c r="K703" i="7"/>
  <c r="E703" i="7"/>
  <c r="D703" i="7"/>
  <c r="W702" i="7"/>
  <c r="K702" i="7"/>
  <c r="E702" i="7"/>
  <c r="D702" i="7"/>
  <c r="W701" i="7"/>
  <c r="K701" i="7"/>
  <c r="E701" i="7"/>
  <c r="D701" i="7"/>
  <c r="W700" i="7"/>
  <c r="K700" i="7"/>
  <c r="E700" i="7"/>
  <c r="D700" i="7"/>
  <c r="W699" i="7"/>
  <c r="K699" i="7"/>
  <c r="E699" i="7"/>
  <c r="D699" i="7"/>
  <c r="W698" i="7"/>
  <c r="K698" i="7"/>
  <c r="E698" i="7"/>
  <c r="D698" i="7"/>
  <c r="W697" i="7"/>
  <c r="K697" i="7"/>
  <c r="E697" i="7"/>
  <c r="D697" i="7"/>
  <c r="W696" i="7"/>
  <c r="K696" i="7"/>
  <c r="E696" i="7"/>
  <c r="D696" i="7"/>
  <c r="W695" i="7"/>
  <c r="K695" i="7"/>
  <c r="E695" i="7"/>
  <c r="D695" i="7"/>
  <c r="W694" i="7"/>
  <c r="K694" i="7"/>
  <c r="E694" i="7"/>
  <c r="D694" i="7"/>
  <c r="W693" i="7"/>
  <c r="K693" i="7"/>
  <c r="E693" i="7"/>
  <c r="D693" i="7"/>
  <c r="W692" i="7"/>
  <c r="K692" i="7"/>
  <c r="E692" i="7"/>
  <c r="D692" i="7"/>
  <c r="W691" i="7"/>
  <c r="K691" i="7"/>
  <c r="E691" i="7"/>
  <c r="D691" i="7"/>
  <c r="W690" i="7"/>
  <c r="K690" i="7"/>
  <c r="E690" i="7"/>
  <c r="D690" i="7"/>
  <c r="W689" i="7"/>
  <c r="K689" i="7"/>
  <c r="E689" i="7"/>
  <c r="D689" i="7"/>
  <c r="W688" i="7"/>
  <c r="K688" i="7"/>
  <c r="E688" i="7"/>
  <c r="D688" i="7"/>
  <c r="W687" i="7"/>
  <c r="K687" i="7"/>
  <c r="E687" i="7"/>
  <c r="D687" i="7"/>
  <c r="W686" i="7"/>
  <c r="K686" i="7"/>
  <c r="E686" i="7"/>
  <c r="D686" i="7"/>
  <c r="W685" i="7"/>
  <c r="K685" i="7"/>
  <c r="E685" i="7"/>
  <c r="D685" i="7"/>
  <c r="W684" i="7"/>
  <c r="K684" i="7"/>
  <c r="E684" i="7"/>
  <c r="D684" i="7"/>
  <c r="W683" i="7"/>
  <c r="K683" i="7"/>
  <c r="E683" i="7"/>
  <c r="D683" i="7"/>
  <c r="W682" i="7"/>
  <c r="K682" i="7"/>
  <c r="E682" i="7"/>
  <c r="D682" i="7"/>
  <c r="W681" i="7"/>
  <c r="K681" i="7"/>
  <c r="E681" i="7"/>
  <c r="D681" i="7"/>
  <c r="W680" i="7"/>
  <c r="K680" i="7"/>
  <c r="E680" i="7"/>
  <c r="D680" i="7"/>
  <c r="W679" i="7"/>
  <c r="K679" i="7"/>
  <c r="E679" i="7"/>
  <c r="D679" i="7"/>
  <c r="W678" i="7"/>
  <c r="K678" i="7"/>
  <c r="E678" i="7"/>
  <c r="D678" i="7"/>
  <c r="W677" i="7"/>
  <c r="K677" i="7"/>
  <c r="E677" i="7"/>
  <c r="D677" i="7"/>
  <c r="W676" i="7"/>
  <c r="K676" i="7"/>
  <c r="E676" i="7"/>
  <c r="D676" i="7"/>
  <c r="W675" i="7"/>
  <c r="K675" i="7"/>
  <c r="E675" i="7"/>
  <c r="D675" i="7"/>
  <c r="W674" i="7"/>
  <c r="K674" i="7"/>
  <c r="E674" i="7"/>
  <c r="D674" i="7"/>
  <c r="W673" i="7"/>
  <c r="K673" i="7"/>
  <c r="E673" i="7"/>
  <c r="D673" i="7"/>
  <c r="W672" i="7"/>
  <c r="K672" i="7"/>
  <c r="E672" i="7"/>
  <c r="D672" i="7"/>
  <c r="W671" i="7"/>
  <c r="K671" i="7"/>
  <c r="E671" i="7"/>
  <c r="D671" i="7"/>
  <c r="W670" i="7"/>
  <c r="K670" i="7"/>
  <c r="E670" i="7"/>
  <c r="D670" i="7"/>
  <c r="W669" i="7"/>
  <c r="K669" i="7"/>
  <c r="E669" i="7"/>
  <c r="D669" i="7"/>
  <c r="W668" i="7"/>
  <c r="K668" i="7"/>
  <c r="E668" i="7"/>
  <c r="D668" i="7"/>
  <c r="W667" i="7"/>
  <c r="K667" i="7"/>
  <c r="E667" i="7"/>
  <c r="D667" i="7"/>
  <c r="W666" i="7"/>
  <c r="K666" i="7"/>
  <c r="E666" i="7"/>
  <c r="D666" i="7"/>
  <c r="W665" i="7"/>
  <c r="K665" i="7"/>
  <c r="E665" i="7"/>
  <c r="D665" i="7"/>
  <c r="W664" i="7"/>
  <c r="K664" i="7"/>
  <c r="E664" i="7"/>
  <c r="D664" i="7"/>
  <c r="W663" i="7"/>
  <c r="K663" i="7"/>
  <c r="E663" i="7"/>
  <c r="D663" i="7"/>
  <c r="W662" i="7"/>
  <c r="K662" i="7"/>
  <c r="E662" i="7"/>
  <c r="D662" i="7"/>
  <c r="W661" i="7"/>
  <c r="K661" i="7"/>
  <c r="E661" i="7"/>
  <c r="D661" i="7"/>
  <c r="W660" i="7"/>
  <c r="K660" i="7"/>
  <c r="E660" i="7"/>
  <c r="D660" i="7"/>
  <c r="W659" i="7"/>
  <c r="K659" i="7"/>
  <c r="E659" i="7"/>
  <c r="D659" i="7"/>
  <c r="W658" i="7"/>
  <c r="K658" i="7"/>
  <c r="E658" i="7"/>
  <c r="D658" i="7"/>
  <c r="W657" i="7"/>
  <c r="K657" i="7"/>
  <c r="E657" i="7"/>
  <c r="D657" i="7"/>
  <c r="W656" i="7"/>
  <c r="K656" i="7"/>
  <c r="E656" i="7"/>
  <c r="D656" i="7"/>
  <c r="W655" i="7"/>
  <c r="K655" i="7"/>
  <c r="E655" i="7"/>
  <c r="D655" i="7"/>
  <c r="W654" i="7"/>
  <c r="K654" i="7"/>
  <c r="E654" i="7"/>
  <c r="D654" i="7"/>
  <c r="W653" i="7"/>
  <c r="K653" i="7"/>
  <c r="E653" i="7"/>
  <c r="D653" i="7"/>
  <c r="W652" i="7"/>
  <c r="K652" i="7"/>
  <c r="E652" i="7"/>
  <c r="D652" i="7"/>
  <c r="W651" i="7"/>
  <c r="K651" i="7"/>
  <c r="E651" i="7"/>
  <c r="D651" i="7"/>
  <c r="W650" i="7"/>
  <c r="K650" i="7"/>
  <c r="E650" i="7"/>
  <c r="D650" i="7"/>
  <c r="W649" i="7"/>
  <c r="K649" i="7"/>
  <c r="E649" i="7"/>
  <c r="D649" i="7"/>
  <c r="W648" i="7"/>
  <c r="K648" i="7"/>
  <c r="E648" i="7"/>
  <c r="D648" i="7"/>
  <c r="W647" i="7"/>
  <c r="K647" i="7"/>
  <c r="E647" i="7"/>
  <c r="D647" i="7"/>
  <c r="W646" i="7"/>
  <c r="K646" i="7"/>
  <c r="E646" i="7"/>
  <c r="D646" i="7"/>
  <c r="W645" i="7"/>
  <c r="K645" i="7"/>
  <c r="E645" i="7"/>
  <c r="D645" i="7"/>
  <c r="W644" i="7"/>
  <c r="K644" i="7"/>
  <c r="E644" i="7"/>
  <c r="D644" i="7"/>
  <c r="W643" i="7"/>
  <c r="K643" i="7"/>
  <c r="E643" i="7"/>
  <c r="D643" i="7"/>
  <c r="W642" i="7"/>
  <c r="K642" i="7"/>
  <c r="E642" i="7"/>
  <c r="D642" i="7"/>
  <c r="W641" i="7"/>
  <c r="K641" i="7"/>
  <c r="E641" i="7"/>
  <c r="D641" i="7"/>
  <c r="W640" i="7"/>
  <c r="K640" i="7"/>
  <c r="E640" i="7"/>
  <c r="D640" i="7"/>
  <c r="W639" i="7"/>
  <c r="K639" i="7"/>
  <c r="E639" i="7"/>
  <c r="D639" i="7"/>
  <c r="W638" i="7"/>
  <c r="K638" i="7"/>
  <c r="E638" i="7"/>
  <c r="D638" i="7"/>
  <c r="W637" i="7"/>
  <c r="K637" i="7"/>
  <c r="E637" i="7"/>
  <c r="D637" i="7"/>
  <c r="W636" i="7"/>
  <c r="K636" i="7"/>
  <c r="E636" i="7"/>
  <c r="D636" i="7"/>
  <c r="W635" i="7"/>
  <c r="K635" i="7"/>
  <c r="E635" i="7"/>
  <c r="D635" i="7"/>
  <c r="W634" i="7"/>
  <c r="K634" i="7"/>
  <c r="E634" i="7"/>
  <c r="D634" i="7"/>
  <c r="W633" i="7"/>
  <c r="K633" i="7"/>
  <c r="E633" i="7"/>
  <c r="D633" i="7"/>
  <c r="W632" i="7"/>
  <c r="K632" i="7"/>
  <c r="E632" i="7"/>
  <c r="D632" i="7"/>
  <c r="W631" i="7"/>
  <c r="K631" i="7"/>
  <c r="E631" i="7"/>
  <c r="D631" i="7"/>
  <c r="W630" i="7"/>
  <c r="K630" i="7"/>
  <c r="E630" i="7"/>
  <c r="D630" i="7"/>
  <c r="W629" i="7"/>
  <c r="K629" i="7"/>
  <c r="E629" i="7"/>
  <c r="D629" i="7"/>
  <c r="W628" i="7"/>
  <c r="K628" i="7"/>
  <c r="E628" i="7"/>
  <c r="D628" i="7"/>
  <c r="W627" i="7"/>
  <c r="K627" i="7"/>
  <c r="E627" i="7"/>
  <c r="D627" i="7"/>
  <c r="W626" i="7"/>
  <c r="K626" i="7"/>
  <c r="E626" i="7"/>
  <c r="D626" i="7"/>
  <c r="W625" i="7"/>
  <c r="K625" i="7"/>
  <c r="E625" i="7"/>
  <c r="D625" i="7"/>
  <c r="W624" i="7"/>
  <c r="K624" i="7"/>
  <c r="E624" i="7"/>
  <c r="D624" i="7"/>
  <c r="W623" i="7"/>
  <c r="K623" i="7"/>
  <c r="E623" i="7"/>
  <c r="D623" i="7"/>
  <c r="W622" i="7"/>
  <c r="K622" i="7"/>
  <c r="E622" i="7"/>
  <c r="D622" i="7"/>
  <c r="W621" i="7"/>
  <c r="K621" i="7"/>
  <c r="E621" i="7"/>
  <c r="D621" i="7"/>
  <c r="W620" i="7"/>
  <c r="K620" i="7"/>
  <c r="E620" i="7"/>
  <c r="D620" i="7"/>
  <c r="W619" i="7"/>
  <c r="K619" i="7"/>
  <c r="E619" i="7"/>
  <c r="D619" i="7"/>
  <c r="W618" i="7"/>
  <c r="K618" i="7"/>
  <c r="E618" i="7"/>
  <c r="D618" i="7"/>
  <c r="W617" i="7"/>
  <c r="K617" i="7"/>
  <c r="E617" i="7"/>
  <c r="D617" i="7"/>
  <c r="W616" i="7"/>
  <c r="K616" i="7"/>
  <c r="E616" i="7"/>
  <c r="D616" i="7"/>
  <c r="W615" i="7"/>
  <c r="K615" i="7"/>
  <c r="E615" i="7"/>
  <c r="D615" i="7"/>
  <c r="W614" i="7"/>
  <c r="K614" i="7"/>
  <c r="E614" i="7"/>
  <c r="D614" i="7"/>
  <c r="W613" i="7"/>
  <c r="K613" i="7"/>
  <c r="E613" i="7"/>
  <c r="D613" i="7"/>
  <c r="W612" i="7"/>
  <c r="K612" i="7"/>
  <c r="E612" i="7"/>
  <c r="D612" i="7"/>
  <c r="W611" i="7"/>
  <c r="K611" i="7"/>
  <c r="E611" i="7"/>
  <c r="D611" i="7"/>
  <c r="W610" i="7"/>
  <c r="K610" i="7"/>
  <c r="E610" i="7"/>
  <c r="D610" i="7"/>
  <c r="W609" i="7"/>
  <c r="K609" i="7"/>
  <c r="E609" i="7"/>
  <c r="D609" i="7"/>
  <c r="W608" i="7"/>
  <c r="K608" i="7"/>
  <c r="E608" i="7"/>
  <c r="D608" i="7"/>
  <c r="W607" i="7"/>
  <c r="K607" i="7"/>
  <c r="E607" i="7"/>
  <c r="D607" i="7"/>
  <c r="W606" i="7"/>
  <c r="K606" i="7"/>
  <c r="E606" i="7"/>
  <c r="D606" i="7"/>
  <c r="W605" i="7"/>
  <c r="K605" i="7"/>
  <c r="E605" i="7"/>
  <c r="D605" i="7"/>
  <c r="W604" i="7"/>
  <c r="K604" i="7"/>
  <c r="E604" i="7"/>
  <c r="D604" i="7"/>
  <c r="W603" i="7"/>
  <c r="K603" i="7"/>
  <c r="E603" i="7"/>
  <c r="D603" i="7"/>
  <c r="W602" i="7"/>
  <c r="K602" i="7"/>
  <c r="E602" i="7"/>
  <c r="D602" i="7"/>
  <c r="W601" i="7"/>
  <c r="K601" i="7"/>
  <c r="E601" i="7"/>
  <c r="D601" i="7"/>
  <c r="W600" i="7"/>
  <c r="K600" i="7"/>
  <c r="E600" i="7"/>
  <c r="D600" i="7"/>
  <c r="W599" i="7"/>
  <c r="K599" i="7"/>
  <c r="E599" i="7"/>
  <c r="D599" i="7"/>
  <c r="W598" i="7"/>
  <c r="K598" i="7"/>
  <c r="E598" i="7"/>
  <c r="D598" i="7"/>
  <c r="W597" i="7"/>
  <c r="K597" i="7"/>
  <c r="E597" i="7"/>
  <c r="D597" i="7"/>
  <c r="W596" i="7"/>
  <c r="K596" i="7"/>
  <c r="E596" i="7"/>
  <c r="D596" i="7"/>
  <c r="W595" i="7"/>
  <c r="K595" i="7"/>
  <c r="E595" i="7"/>
  <c r="D595" i="7"/>
  <c r="W594" i="7"/>
  <c r="K594" i="7"/>
  <c r="E594" i="7"/>
  <c r="D594" i="7"/>
  <c r="W593" i="7"/>
  <c r="K593" i="7"/>
  <c r="E593" i="7"/>
  <c r="D593" i="7"/>
  <c r="W592" i="7"/>
  <c r="K592" i="7"/>
  <c r="E592" i="7"/>
  <c r="D592" i="7"/>
  <c r="W591" i="7"/>
  <c r="K591" i="7"/>
  <c r="E591" i="7"/>
  <c r="D591" i="7"/>
  <c r="W590" i="7"/>
  <c r="K590" i="7"/>
  <c r="E590" i="7"/>
  <c r="D590" i="7"/>
  <c r="W589" i="7"/>
  <c r="K589" i="7"/>
  <c r="E589" i="7"/>
  <c r="D589" i="7"/>
  <c r="W588" i="7"/>
  <c r="K588" i="7"/>
  <c r="E588" i="7"/>
  <c r="D588" i="7"/>
  <c r="W587" i="7"/>
  <c r="K587" i="7"/>
  <c r="E587" i="7"/>
  <c r="D587" i="7"/>
  <c r="W586" i="7"/>
  <c r="K586" i="7"/>
  <c r="E586" i="7"/>
  <c r="D586" i="7"/>
  <c r="W585" i="7"/>
  <c r="K585" i="7"/>
  <c r="E585" i="7"/>
  <c r="D585" i="7"/>
  <c r="W584" i="7"/>
  <c r="K584" i="7"/>
  <c r="E584" i="7"/>
  <c r="D584" i="7"/>
  <c r="W583" i="7"/>
  <c r="K583" i="7"/>
  <c r="E583" i="7"/>
  <c r="D583" i="7"/>
  <c r="W582" i="7"/>
  <c r="K582" i="7"/>
  <c r="E582" i="7"/>
  <c r="D582" i="7"/>
  <c r="W581" i="7"/>
  <c r="K581" i="7"/>
  <c r="E581" i="7"/>
  <c r="D581" i="7"/>
  <c r="W580" i="7"/>
  <c r="K580" i="7"/>
  <c r="E580" i="7"/>
  <c r="D580" i="7"/>
  <c r="W579" i="7"/>
  <c r="K579" i="7"/>
  <c r="E579" i="7"/>
  <c r="D579" i="7"/>
  <c r="W578" i="7"/>
  <c r="K578" i="7"/>
  <c r="E578" i="7"/>
  <c r="D578" i="7"/>
  <c r="W577" i="7"/>
  <c r="K577" i="7"/>
  <c r="E577" i="7"/>
  <c r="D577" i="7"/>
  <c r="W576" i="7"/>
  <c r="K576" i="7"/>
  <c r="E576" i="7"/>
  <c r="D576" i="7"/>
  <c r="W575" i="7"/>
  <c r="K575" i="7"/>
  <c r="E575" i="7"/>
  <c r="D575" i="7"/>
  <c r="W574" i="7"/>
  <c r="K574" i="7"/>
  <c r="E574" i="7"/>
  <c r="D574" i="7"/>
  <c r="W573" i="7"/>
  <c r="K573" i="7"/>
  <c r="E573" i="7"/>
  <c r="D573" i="7"/>
  <c r="W572" i="7"/>
  <c r="K572" i="7"/>
  <c r="E572" i="7"/>
  <c r="D572" i="7"/>
  <c r="W571" i="7"/>
  <c r="K571" i="7"/>
  <c r="E571" i="7"/>
  <c r="D571" i="7"/>
  <c r="W570" i="7"/>
  <c r="K570" i="7"/>
  <c r="E570" i="7"/>
  <c r="D570" i="7"/>
  <c r="W569" i="7"/>
  <c r="K569" i="7"/>
  <c r="E569" i="7"/>
  <c r="D569" i="7"/>
  <c r="W568" i="7"/>
  <c r="K568" i="7"/>
  <c r="E568" i="7"/>
  <c r="D568" i="7"/>
  <c r="W567" i="7"/>
  <c r="K567" i="7"/>
  <c r="E567" i="7"/>
  <c r="D567" i="7"/>
  <c r="W566" i="7"/>
  <c r="K566" i="7"/>
  <c r="E566" i="7"/>
  <c r="D566" i="7"/>
  <c r="W565" i="7"/>
  <c r="K565" i="7"/>
  <c r="E565" i="7"/>
  <c r="D565" i="7"/>
  <c r="W564" i="7"/>
  <c r="K564" i="7"/>
  <c r="E564" i="7"/>
  <c r="D564" i="7"/>
  <c r="W563" i="7"/>
  <c r="K563" i="7"/>
  <c r="E563" i="7"/>
  <c r="D563" i="7"/>
  <c r="W562" i="7"/>
  <c r="K562" i="7"/>
  <c r="E562" i="7"/>
  <c r="D562" i="7"/>
  <c r="W561" i="7"/>
  <c r="K561" i="7"/>
  <c r="E561" i="7"/>
  <c r="D561" i="7"/>
  <c r="W560" i="7"/>
  <c r="K560" i="7"/>
  <c r="E560" i="7"/>
  <c r="D560" i="7"/>
  <c r="W559" i="7"/>
  <c r="K559" i="7"/>
  <c r="E559" i="7"/>
  <c r="D559" i="7"/>
  <c r="W558" i="7"/>
  <c r="K558" i="7"/>
  <c r="E558" i="7"/>
  <c r="D558" i="7"/>
  <c r="W557" i="7"/>
  <c r="K557" i="7"/>
  <c r="E557" i="7"/>
  <c r="D557" i="7"/>
  <c r="W556" i="7"/>
  <c r="K556" i="7"/>
  <c r="E556" i="7"/>
  <c r="D556" i="7"/>
  <c r="W555" i="7"/>
  <c r="K555" i="7"/>
  <c r="E555" i="7"/>
  <c r="D555" i="7"/>
  <c r="W554" i="7"/>
  <c r="K554" i="7"/>
  <c r="E554" i="7"/>
  <c r="D554" i="7"/>
  <c r="W553" i="7"/>
  <c r="K553" i="7"/>
  <c r="E553" i="7"/>
  <c r="D553" i="7"/>
  <c r="W552" i="7"/>
  <c r="K552" i="7"/>
  <c r="E552" i="7"/>
  <c r="D552" i="7"/>
  <c r="W551" i="7"/>
  <c r="K551" i="7"/>
  <c r="E551" i="7"/>
  <c r="D551" i="7"/>
  <c r="W550" i="7"/>
  <c r="K550" i="7"/>
  <c r="E550" i="7"/>
  <c r="D550" i="7"/>
  <c r="W549" i="7"/>
  <c r="K549" i="7"/>
  <c r="E549" i="7"/>
  <c r="D549" i="7"/>
  <c r="W548" i="7"/>
  <c r="K548" i="7"/>
  <c r="E548" i="7"/>
  <c r="D548" i="7"/>
  <c r="W547" i="7"/>
  <c r="K547" i="7"/>
  <c r="E547" i="7"/>
  <c r="D547" i="7"/>
  <c r="W546" i="7"/>
  <c r="K546" i="7"/>
  <c r="E546" i="7"/>
  <c r="D546" i="7"/>
  <c r="W545" i="7"/>
  <c r="K545" i="7"/>
  <c r="E545" i="7"/>
  <c r="D545" i="7"/>
  <c r="W544" i="7"/>
  <c r="K544" i="7"/>
  <c r="E544" i="7"/>
  <c r="D544" i="7"/>
  <c r="W543" i="7"/>
  <c r="K543" i="7"/>
  <c r="E543" i="7"/>
  <c r="D543" i="7"/>
  <c r="W542" i="7"/>
  <c r="K542" i="7"/>
  <c r="E542" i="7"/>
  <c r="D542" i="7"/>
  <c r="W541" i="7"/>
  <c r="K541" i="7"/>
  <c r="E541" i="7"/>
  <c r="D541" i="7"/>
  <c r="W540" i="7"/>
  <c r="K540" i="7"/>
  <c r="E540" i="7"/>
  <c r="D540" i="7"/>
  <c r="W539" i="7"/>
  <c r="K539" i="7"/>
  <c r="E539" i="7"/>
  <c r="D539" i="7"/>
  <c r="W538" i="7"/>
  <c r="K538" i="7"/>
  <c r="E538" i="7"/>
  <c r="D538" i="7"/>
  <c r="W537" i="7"/>
  <c r="K537" i="7"/>
  <c r="E537" i="7"/>
  <c r="D537" i="7"/>
  <c r="W536" i="7"/>
  <c r="K536" i="7"/>
  <c r="E536" i="7"/>
  <c r="D536" i="7"/>
  <c r="W535" i="7"/>
  <c r="K535" i="7"/>
  <c r="E535" i="7"/>
  <c r="D535" i="7"/>
  <c r="W534" i="7"/>
  <c r="K534" i="7"/>
  <c r="E534" i="7"/>
  <c r="D534" i="7"/>
  <c r="W533" i="7"/>
  <c r="K533" i="7"/>
  <c r="E533" i="7"/>
  <c r="D533" i="7"/>
  <c r="W532" i="7"/>
  <c r="K532" i="7"/>
  <c r="E532" i="7"/>
  <c r="D532" i="7"/>
  <c r="W531" i="7"/>
  <c r="K531" i="7"/>
  <c r="E531" i="7"/>
  <c r="D531" i="7"/>
  <c r="W530" i="7"/>
  <c r="K530" i="7"/>
  <c r="E530" i="7"/>
  <c r="D530" i="7"/>
  <c r="W529" i="7"/>
  <c r="K529" i="7"/>
  <c r="E529" i="7"/>
  <c r="D529" i="7"/>
  <c r="W528" i="7"/>
  <c r="K528" i="7"/>
  <c r="E528" i="7"/>
  <c r="D528" i="7"/>
  <c r="W527" i="7"/>
  <c r="K527" i="7"/>
  <c r="E527" i="7"/>
  <c r="D527" i="7"/>
  <c r="W526" i="7"/>
  <c r="K526" i="7"/>
  <c r="E526" i="7"/>
  <c r="D526" i="7"/>
  <c r="W525" i="7"/>
  <c r="K525" i="7"/>
  <c r="E525" i="7"/>
  <c r="D525" i="7"/>
  <c r="W524" i="7"/>
  <c r="K524" i="7"/>
  <c r="E524" i="7"/>
  <c r="D524" i="7"/>
  <c r="W523" i="7"/>
  <c r="K523" i="7"/>
  <c r="E523" i="7"/>
  <c r="D523" i="7"/>
  <c r="W522" i="7"/>
  <c r="K522" i="7"/>
  <c r="E522" i="7"/>
  <c r="D522" i="7"/>
  <c r="W521" i="7"/>
  <c r="K521" i="7"/>
  <c r="E521" i="7"/>
  <c r="D521" i="7"/>
  <c r="W520" i="7"/>
  <c r="K520" i="7"/>
  <c r="E520" i="7"/>
  <c r="D520" i="7"/>
  <c r="W519" i="7"/>
  <c r="K519" i="7"/>
  <c r="E519" i="7"/>
  <c r="D519" i="7"/>
  <c r="W518" i="7"/>
  <c r="K518" i="7"/>
  <c r="E518" i="7"/>
  <c r="D518" i="7"/>
  <c r="W517" i="7"/>
  <c r="K517" i="7"/>
  <c r="E517" i="7"/>
  <c r="D517" i="7"/>
  <c r="W516" i="7"/>
  <c r="K516" i="7"/>
  <c r="E516" i="7"/>
  <c r="D516" i="7"/>
  <c r="W515" i="7"/>
  <c r="K515" i="7"/>
  <c r="E515" i="7"/>
  <c r="D515" i="7"/>
  <c r="W514" i="7"/>
  <c r="K514" i="7"/>
  <c r="E514" i="7"/>
  <c r="D514" i="7"/>
  <c r="W513" i="7"/>
  <c r="K513" i="7"/>
  <c r="E513" i="7"/>
  <c r="D513" i="7"/>
  <c r="W512" i="7"/>
  <c r="K512" i="7"/>
  <c r="E512" i="7"/>
  <c r="D512" i="7"/>
  <c r="W511" i="7"/>
  <c r="K511" i="7"/>
  <c r="E511" i="7"/>
  <c r="D511" i="7"/>
  <c r="W510" i="7"/>
  <c r="K510" i="7"/>
  <c r="E510" i="7"/>
  <c r="D510" i="7"/>
  <c r="W509" i="7"/>
  <c r="K509" i="7"/>
  <c r="E509" i="7"/>
  <c r="D509" i="7"/>
  <c r="W508" i="7"/>
  <c r="K508" i="7"/>
  <c r="E508" i="7"/>
  <c r="D508" i="7"/>
  <c r="W507" i="7"/>
  <c r="K507" i="7"/>
  <c r="E507" i="7"/>
  <c r="D507" i="7"/>
  <c r="W506" i="7"/>
  <c r="K506" i="7"/>
  <c r="E506" i="7"/>
  <c r="D506" i="7"/>
  <c r="W505" i="7"/>
  <c r="K505" i="7"/>
  <c r="E505" i="7"/>
  <c r="D505" i="7"/>
  <c r="W504" i="7"/>
  <c r="K504" i="7"/>
  <c r="E504" i="7"/>
  <c r="D504" i="7"/>
  <c r="W503" i="7"/>
  <c r="K503" i="7"/>
  <c r="E503" i="7"/>
  <c r="D503" i="7"/>
  <c r="W502" i="7"/>
  <c r="K502" i="7"/>
  <c r="E502" i="7"/>
  <c r="D502" i="7"/>
  <c r="W501" i="7"/>
  <c r="K501" i="7"/>
  <c r="E501" i="7"/>
  <c r="D501" i="7"/>
  <c r="W500" i="7"/>
  <c r="K500" i="7"/>
  <c r="E500" i="7"/>
  <c r="D500" i="7"/>
  <c r="W499" i="7"/>
  <c r="K499" i="7"/>
  <c r="E499" i="7"/>
  <c r="D499" i="7"/>
  <c r="W498" i="7"/>
  <c r="K498" i="7"/>
  <c r="E498" i="7"/>
  <c r="D498" i="7"/>
  <c r="W497" i="7"/>
  <c r="K497" i="7"/>
  <c r="E497" i="7"/>
  <c r="D497" i="7"/>
  <c r="W496" i="7"/>
  <c r="K496" i="7"/>
  <c r="E496" i="7"/>
  <c r="D496" i="7"/>
  <c r="W495" i="7"/>
  <c r="K495" i="7"/>
  <c r="E495" i="7"/>
  <c r="D495" i="7"/>
  <c r="W494" i="7"/>
  <c r="K494" i="7"/>
  <c r="E494" i="7"/>
  <c r="D494" i="7"/>
  <c r="W493" i="7"/>
  <c r="K493" i="7"/>
  <c r="E493" i="7"/>
  <c r="D493" i="7"/>
  <c r="W492" i="7"/>
  <c r="K492" i="7"/>
  <c r="E492" i="7"/>
  <c r="D492" i="7"/>
  <c r="W491" i="7"/>
  <c r="K491" i="7"/>
  <c r="E491" i="7"/>
  <c r="D491" i="7"/>
  <c r="W490" i="7"/>
  <c r="K490" i="7"/>
  <c r="E490" i="7"/>
  <c r="D490" i="7"/>
  <c r="W489" i="7"/>
  <c r="K489" i="7"/>
  <c r="E489" i="7"/>
  <c r="D489" i="7"/>
  <c r="W488" i="7"/>
  <c r="K488" i="7"/>
  <c r="E488" i="7"/>
  <c r="D488" i="7"/>
  <c r="W487" i="7"/>
  <c r="K487" i="7"/>
  <c r="E487" i="7"/>
  <c r="D487" i="7"/>
  <c r="W486" i="7"/>
  <c r="K486" i="7"/>
  <c r="E486" i="7"/>
  <c r="D486" i="7"/>
  <c r="W485" i="7"/>
  <c r="K485" i="7"/>
  <c r="E485" i="7"/>
  <c r="D485" i="7"/>
  <c r="W484" i="7"/>
  <c r="K484" i="7"/>
  <c r="E484" i="7"/>
  <c r="D484" i="7"/>
  <c r="W483" i="7"/>
  <c r="K483" i="7"/>
  <c r="E483" i="7"/>
  <c r="D483" i="7"/>
  <c r="W482" i="7"/>
  <c r="K482" i="7"/>
  <c r="E482" i="7"/>
  <c r="D482" i="7"/>
  <c r="W481" i="7"/>
  <c r="K481" i="7"/>
  <c r="E481" i="7"/>
  <c r="D481" i="7"/>
  <c r="W480" i="7"/>
  <c r="K480" i="7"/>
  <c r="E480" i="7"/>
  <c r="D480" i="7"/>
  <c r="W479" i="7"/>
  <c r="K479" i="7"/>
  <c r="E479" i="7"/>
  <c r="D479" i="7"/>
  <c r="W478" i="7"/>
  <c r="K478" i="7"/>
  <c r="E478" i="7"/>
  <c r="D478" i="7"/>
  <c r="W477" i="7"/>
  <c r="K477" i="7"/>
  <c r="E477" i="7"/>
  <c r="D477" i="7"/>
  <c r="W476" i="7"/>
  <c r="K476" i="7"/>
  <c r="E476" i="7"/>
  <c r="D476" i="7"/>
  <c r="W475" i="7"/>
  <c r="K475" i="7"/>
  <c r="E475" i="7"/>
  <c r="D475" i="7"/>
  <c r="W474" i="7"/>
  <c r="K474" i="7"/>
  <c r="E474" i="7"/>
  <c r="D474" i="7"/>
  <c r="W473" i="7"/>
  <c r="K473" i="7"/>
  <c r="E473" i="7"/>
  <c r="D473" i="7"/>
  <c r="W472" i="7"/>
  <c r="K472" i="7"/>
  <c r="E472" i="7"/>
  <c r="D472" i="7"/>
  <c r="W471" i="7"/>
  <c r="K471" i="7"/>
  <c r="E471" i="7"/>
  <c r="D471" i="7"/>
  <c r="W470" i="7"/>
  <c r="K470" i="7"/>
  <c r="E470" i="7"/>
  <c r="D470" i="7"/>
  <c r="W469" i="7"/>
  <c r="K469" i="7"/>
  <c r="E469" i="7"/>
  <c r="D469" i="7"/>
  <c r="W468" i="7"/>
  <c r="K468" i="7"/>
  <c r="E468" i="7"/>
  <c r="D468" i="7"/>
  <c r="W467" i="7"/>
  <c r="K467" i="7"/>
  <c r="E467" i="7"/>
  <c r="D467" i="7"/>
  <c r="W466" i="7"/>
  <c r="K466" i="7"/>
  <c r="E466" i="7"/>
  <c r="D466" i="7"/>
  <c r="W465" i="7"/>
  <c r="K465" i="7"/>
  <c r="E465" i="7"/>
  <c r="D465" i="7"/>
  <c r="W464" i="7"/>
  <c r="K464" i="7"/>
  <c r="E464" i="7"/>
  <c r="D464" i="7"/>
  <c r="W463" i="7"/>
  <c r="K463" i="7"/>
  <c r="E463" i="7"/>
  <c r="D463" i="7"/>
  <c r="W462" i="7"/>
  <c r="K462" i="7"/>
  <c r="E462" i="7"/>
  <c r="D462" i="7"/>
  <c r="W461" i="7"/>
  <c r="K461" i="7"/>
  <c r="E461" i="7"/>
  <c r="D461" i="7"/>
  <c r="W460" i="7"/>
  <c r="K460" i="7"/>
  <c r="E460" i="7"/>
  <c r="D460" i="7"/>
  <c r="W459" i="7"/>
  <c r="K459" i="7"/>
  <c r="E459" i="7"/>
  <c r="D459" i="7"/>
  <c r="W458" i="7"/>
  <c r="K458" i="7"/>
  <c r="E458" i="7"/>
  <c r="D458" i="7"/>
  <c r="W457" i="7"/>
  <c r="K457" i="7"/>
  <c r="E457" i="7"/>
  <c r="D457" i="7"/>
  <c r="W456" i="7"/>
  <c r="K456" i="7"/>
  <c r="E456" i="7"/>
  <c r="D456" i="7"/>
  <c r="W455" i="7"/>
  <c r="K455" i="7"/>
  <c r="E455" i="7"/>
  <c r="D455" i="7"/>
  <c r="W454" i="7"/>
  <c r="K454" i="7"/>
  <c r="E454" i="7"/>
  <c r="D454" i="7"/>
  <c r="W453" i="7"/>
  <c r="K453" i="7"/>
  <c r="E453" i="7"/>
  <c r="D453" i="7"/>
  <c r="W452" i="7"/>
  <c r="K452" i="7"/>
  <c r="E452" i="7"/>
  <c r="D452" i="7"/>
  <c r="W451" i="7"/>
  <c r="K451" i="7"/>
  <c r="E451" i="7"/>
  <c r="D451" i="7"/>
  <c r="W450" i="7"/>
  <c r="K450" i="7"/>
  <c r="E450" i="7"/>
  <c r="D450" i="7"/>
  <c r="W449" i="7"/>
  <c r="K449" i="7"/>
  <c r="E449" i="7"/>
  <c r="D449" i="7"/>
  <c r="W448" i="7"/>
  <c r="K448" i="7"/>
  <c r="E448" i="7"/>
  <c r="D448" i="7"/>
  <c r="W447" i="7"/>
  <c r="K447" i="7"/>
  <c r="E447" i="7"/>
  <c r="D447" i="7"/>
  <c r="W446" i="7"/>
  <c r="K446" i="7"/>
  <c r="E446" i="7"/>
  <c r="D446" i="7"/>
  <c r="W445" i="7"/>
  <c r="K445" i="7"/>
  <c r="E445" i="7"/>
  <c r="D445" i="7"/>
  <c r="W444" i="7"/>
  <c r="K444" i="7"/>
  <c r="E444" i="7"/>
  <c r="D444" i="7"/>
  <c r="W443" i="7"/>
  <c r="K443" i="7"/>
  <c r="E443" i="7"/>
  <c r="D443" i="7"/>
  <c r="W442" i="7"/>
  <c r="K442" i="7"/>
  <c r="E442" i="7"/>
  <c r="D442" i="7"/>
  <c r="W441" i="7"/>
  <c r="K441" i="7"/>
  <c r="E441" i="7"/>
  <c r="D441" i="7"/>
  <c r="W440" i="7"/>
  <c r="K440" i="7"/>
  <c r="E440" i="7"/>
  <c r="D440" i="7"/>
  <c r="W439" i="7"/>
  <c r="K439" i="7"/>
  <c r="E439" i="7"/>
  <c r="D439" i="7"/>
  <c r="W438" i="7"/>
  <c r="K438" i="7"/>
  <c r="E438" i="7"/>
  <c r="D438" i="7"/>
  <c r="W437" i="7"/>
  <c r="K437" i="7"/>
  <c r="E437" i="7"/>
  <c r="D437" i="7"/>
  <c r="W436" i="7"/>
  <c r="K436" i="7"/>
  <c r="E436" i="7"/>
  <c r="D436" i="7"/>
  <c r="W435" i="7"/>
  <c r="K435" i="7"/>
  <c r="E435" i="7"/>
  <c r="D435" i="7"/>
  <c r="W434" i="7"/>
  <c r="K434" i="7"/>
  <c r="E434" i="7"/>
  <c r="D434" i="7"/>
  <c r="W433" i="7"/>
  <c r="K433" i="7"/>
  <c r="E433" i="7"/>
  <c r="D433" i="7"/>
  <c r="W432" i="7"/>
  <c r="K432" i="7"/>
  <c r="E432" i="7"/>
  <c r="D432" i="7"/>
  <c r="W431" i="7"/>
  <c r="K431" i="7"/>
  <c r="E431" i="7"/>
  <c r="D431" i="7"/>
  <c r="W430" i="7"/>
  <c r="K430" i="7"/>
  <c r="E430" i="7"/>
  <c r="D430" i="7"/>
  <c r="W429" i="7"/>
  <c r="K429" i="7"/>
  <c r="E429" i="7"/>
  <c r="D429" i="7"/>
  <c r="W428" i="7"/>
  <c r="K428" i="7"/>
  <c r="E428" i="7"/>
  <c r="D428" i="7"/>
  <c r="W427" i="7"/>
  <c r="K427" i="7"/>
  <c r="E427" i="7"/>
  <c r="D427" i="7"/>
  <c r="W426" i="7"/>
  <c r="K426" i="7"/>
  <c r="E426" i="7"/>
  <c r="D426" i="7"/>
  <c r="W425" i="7"/>
  <c r="K425" i="7"/>
  <c r="E425" i="7"/>
  <c r="D425" i="7"/>
  <c r="W424" i="7"/>
  <c r="K424" i="7"/>
  <c r="E424" i="7"/>
  <c r="D424" i="7"/>
  <c r="W423" i="7"/>
  <c r="K423" i="7"/>
  <c r="E423" i="7"/>
  <c r="D423" i="7"/>
  <c r="W422" i="7"/>
  <c r="K422" i="7"/>
  <c r="E422" i="7"/>
  <c r="D422" i="7"/>
  <c r="W421" i="7"/>
  <c r="K421" i="7"/>
  <c r="E421" i="7"/>
  <c r="D421" i="7"/>
  <c r="W420" i="7"/>
  <c r="K420" i="7"/>
  <c r="E420" i="7"/>
  <c r="D420" i="7"/>
  <c r="W419" i="7"/>
  <c r="K419" i="7"/>
  <c r="E419" i="7"/>
  <c r="D419" i="7"/>
  <c r="W418" i="7"/>
  <c r="K418" i="7"/>
  <c r="E418" i="7"/>
  <c r="D418" i="7"/>
  <c r="W417" i="7"/>
  <c r="K417" i="7"/>
  <c r="E417" i="7"/>
  <c r="D417" i="7"/>
  <c r="W416" i="7"/>
  <c r="K416" i="7"/>
  <c r="E416" i="7"/>
  <c r="D416" i="7"/>
  <c r="W415" i="7"/>
  <c r="K415" i="7"/>
  <c r="E415" i="7"/>
  <c r="D415" i="7"/>
  <c r="W414" i="7"/>
  <c r="K414" i="7"/>
  <c r="E414" i="7"/>
  <c r="D414" i="7"/>
  <c r="W413" i="7"/>
  <c r="K413" i="7"/>
  <c r="E413" i="7"/>
  <c r="D413" i="7"/>
  <c r="W412" i="7"/>
  <c r="K412" i="7"/>
  <c r="E412" i="7"/>
  <c r="D412" i="7"/>
  <c r="W411" i="7"/>
  <c r="K411" i="7"/>
  <c r="E411" i="7"/>
  <c r="D411" i="7"/>
  <c r="W410" i="7"/>
  <c r="K410" i="7"/>
  <c r="E410" i="7"/>
  <c r="D410" i="7"/>
  <c r="W409" i="7"/>
  <c r="K409" i="7"/>
  <c r="E409" i="7"/>
  <c r="D409" i="7"/>
  <c r="W408" i="7"/>
  <c r="K408" i="7"/>
  <c r="E408" i="7"/>
  <c r="D408" i="7"/>
  <c r="W407" i="7"/>
  <c r="K407" i="7"/>
  <c r="E407" i="7"/>
  <c r="D407" i="7"/>
  <c r="W406" i="7"/>
  <c r="K406" i="7"/>
  <c r="E406" i="7"/>
  <c r="D406" i="7"/>
  <c r="W405" i="7"/>
  <c r="K405" i="7"/>
  <c r="E405" i="7"/>
  <c r="D405" i="7"/>
  <c r="W404" i="7"/>
  <c r="K404" i="7"/>
  <c r="E404" i="7"/>
  <c r="D404" i="7"/>
  <c r="W403" i="7"/>
  <c r="K403" i="7"/>
  <c r="E403" i="7"/>
  <c r="D403" i="7"/>
  <c r="W402" i="7"/>
  <c r="K402" i="7"/>
  <c r="E402" i="7"/>
  <c r="D402" i="7"/>
  <c r="W401" i="7"/>
  <c r="K401" i="7"/>
  <c r="E401" i="7"/>
  <c r="D401" i="7"/>
  <c r="W400" i="7"/>
  <c r="K400" i="7"/>
  <c r="E400" i="7"/>
  <c r="D400" i="7"/>
  <c r="W399" i="7"/>
  <c r="K399" i="7"/>
  <c r="E399" i="7"/>
  <c r="D399" i="7"/>
  <c r="W398" i="7"/>
  <c r="K398" i="7"/>
  <c r="E398" i="7"/>
  <c r="D398" i="7"/>
  <c r="W397" i="7"/>
  <c r="K397" i="7"/>
  <c r="E397" i="7"/>
  <c r="D397" i="7"/>
  <c r="W396" i="7"/>
  <c r="K396" i="7"/>
  <c r="E396" i="7"/>
  <c r="D396" i="7"/>
  <c r="W395" i="7"/>
  <c r="K395" i="7"/>
  <c r="E395" i="7"/>
  <c r="D395" i="7"/>
  <c r="W394" i="7"/>
  <c r="K394" i="7"/>
  <c r="E394" i="7"/>
  <c r="D394" i="7"/>
  <c r="W393" i="7"/>
  <c r="K393" i="7"/>
  <c r="E393" i="7"/>
  <c r="D393" i="7"/>
  <c r="W392" i="7"/>
  <c r="K392" i="7"/>
  <c r="E392" i="7"/>
  <c r="D392" i="7"/>
  <c r="W391" i="7"/>
  <c r="K391" i="7"/>
  <c r="E391" i="7"/>
  <c r="D391" i="7"/>
  <c r="W390" i="7"/>
  <c r="K390" i="7"/>
  <c r="E390" i="7"/>
  <c r="D390" i="7"/>
  <c r="W389" i="7"/>
  <c r="K389" i="7"/>
  <c r="E389" i="7"/>
  <c r="D389" i="7"/>
  <c r="W388" i="7"/>
  <c r="K388" i="7"/>
  <c r="E388" i="7"/>
  <c r="D388" i="7"/>
  <c r="W387" i="7"/>
  <c r="K387" i="7"/>
  <c r="E387" i="7"/>
  <c r="D387" i="7"/>
  <c r="W386" i="7"/>
  <c r="K386" i="7"/>
  <c r="E386" i="7"/>
  <c r="D386" i="7"/>
  <c r="W385" i="7"/>
  <c r="K385" i="7"/>
  <c r="E385" i="7"/>
  <c r="D385" i="7"/>
  <c r="W384" i="7"/>
  <c r="K384" i="7"/>
  <c r="E384" i="7"/>
  <c r="D384" i="7"/>
  <c r="W383" i="7"/>
  <c r="K383" i="7"/>
  <c r="E383" i="7"/>
  <c r="D383" i="7"/>
  <c r="W382" i="7"/>
  <c r="K382" i="7"/>
  <c r="E382" i="7"/>
  <c r="D382" i="7"/>
  <c r="W381" i="7"/>
  <c r="K381" i="7"/>
  <c r="E381" i="7"/>
  <c r="D381" i="7"/>
  <c r="W380" i="7"/>
  <c r="K380" i="7"/>
  <c r="E380" i="7"/>
  <c r="D380" i="7"/>
  <c r="W379" i="7"/>
  <c r="K379" i="7"/>
  <c r="E379" i="7"/>
  <c r="D379" i="7"/>
  <c r="W378" i="7"/>
  <c r="K378" i="7"/>
  <c r="E378" i="7"/>
  <c r="D378" i="7"/>
  <c r="W377" i="7"/>
  <c r="K377" i="7"/>
  <c r="E377" i="7"/>
  <c r="D377" i="7"/>
  <c r="W376" i="7"/>
  <c r="K376" i="7"/>
  <c r="E376" i="7"/>
  <c r="D376" i="7"/>
  <c r="W375" i="7"/>
  <c r="K375" i="7"/>
  <c r="E375" i="7"/>
  <c r="D375" i="7"/>
  <c r="W374" i="7"/>
  <c r="K374" i="7"/>
  <c r="E374" i="7"/>
  <c r="D374" i="7"/>
  <c r="W373" i="7"/>
  <c r="K373" i="7"/>
  <c r="E373" i="7"/>
  <c r="D373" i="7"/>
  <c r="W372" i="7"/>
  <c r="K372" i="7"/>
  <c r="E372" i="7"/>
  <c r="D372" i="7"/>
  <c r="W371" i="7"/>
  <c r="K371" i="7"/>
  <c r="E371" i="7"/>
  <c r="D371" i="7"/>
  <c r="W370" i="7"/>
  <c r="K370" i="7"/>
  <c r="E370" i="7"/>
  <c r="D370" i="7"/>
  <c r="W369" i="7"/>
  <c r="K369" i="7"/>
  <c r="E369" i="7"/>
  <c r="D369" i="7"/>
  <c r="W368" i="7"/>
  <c r="K368" i="7"/>
  <c r="E368" i="7"/>
  <c r="D368" i="7"/>
  <c r="W367" i="7"/>
  <c r="K367" i="7"/>
  <c r="E367" i="7"/>
  <c r="D367" i="7"/>
  <c r="W366" i="7"/>
  <c r="K366" i="7"/>
  <c r="E366" i="7"/>
  <c r="D366" i="7"/>
  <c r="W365" i="7"/>
  <c r="K365" i="7"/>
  <c r="E365" i="7"/>
  <c r="D365" i="7"/>
  <c r="W364" i="7"/>
  <c r="K364" i="7"/>
  <c r="E364" i="7"/>
  <c r="D364" i="7"/>
  <c r="W363" i="7"/>
  <c r="K363" i="7"/>
  <c r="E363" i="7"/>
  <c r="D363" i="7"/>
  <c r="W362" i="7"/>
  <c r="K362" i="7"/>
  <c r="E362" i="7"/>
  <c r="D362" i="7"/>
  <c r="W361" i="7"/>
  <c r="K361" i="7"/>
  <c r="E361" i="7"/>
  <c r="D361" i="7"/>
  <c r="W360" i="7"/>
  <c r="K360" i="7"/>
  <c r="E360" i="7"/>
  <c r="D360" i="7"/>
  <c r="W359" i="7"/>
  <c r="K359" i="7"/>
  <c r="E359" i="7"/>
  <c r="D359" i="7"/>
  <c r="W358" i="7"/>
  <c r="K358" i="7"/>
  <c r="E358" i="7"/>
  <c r="D358" i="7"/>
  <c r="W357" i="7"/>
  <c r="K357" i="7"/>
  <c r="E357" i="7"/>
  <c r="D357" i="7"/>
  <c r="W356" i="7"/>
  <c r="K356" i="7"/>
  <c r="E356" i="7"/>
  <c r="D356" i="7"/>
  <c r="W355" i="7"/>
  <c r="K355" i="7"/>
  <c r="E355" i="7"/>
  <c r="D355" i="7"/>
  <c r="W354" i="7"/>
  <c r="K354" i="7"/>
  <c r="E354" i="7"/>
  <c r="D354" i="7"/>
  <c r="W353" i="7"/>
  <c r="K353" i="7"/>
  <c r="E353" i="7"/>
  <c r="D353" i="7"/>
  <c r="W352" i="7"/>
  <c r="K352" i="7"/>
  <c r="E352" i="7"/>
  <c r="D352" i="7"/>
  <c r="W351" i="7"/>
  <c r="K351" i="7"/>
  <c r="E351" i="7"/>
  <c r="D351" i="7"/>
  <c r="W350" i="7"/>
  <c r="K350" i="7"/>
  <c r="E350" i="7"/>
  <c r="D350" i="7"/>
  <c r="W349" i="7"/>
  <c r="K349" i="7"/>
  <c r="E349" i="7"/>
  <c r="D349" i="7"/>
  <c r="W348" i="7"/>
  <c r="K348" i="7"/>
  <c r="E348" i="7"/>
  <c r="D348" i="7"/>
  <c r="W347" i="7"/>
  <c r="K347" i="7"/>
  <c r="E347" i="7"/>
  <c r="D347" i="7"/>
  <c r="W346" i="7"/>
  <c r="K346" i="7"/>
  <c r="E346" i="7"/>
  <c r="D346" i="7"/>
  <c r="W345" i="7"/>
  <c r="K345" i="7"/>
  <c r="E345" i="7"/>
  <c r="D345" i="7"/>
  <c r="W344" i="7"/>
  <c r="K344" i="7"/>
  <c r="E344" i="7"/>
  <c r="D344" i="7"/>
  <c r="W343" i="7"/>
  <c r="K343" i="7"/>
  <c r="E343" i="7"/>
  <c r="D343" i="7"/>
  <c r="W342" i="7"/>
  <c r="K342" i="7"/>
  <c r="E342" i="7"/>
  <c r="D342" i="7"/>
  <c r="W341" i="7"/>
  <c r="K341" i="7"/>
  <c r="E341" i="7"/>
  <c r="D341" i="7"/>
  <c r="W340" i="7"/>
  <c r="K340" i="7"/>
  <c r="E340" i="7"/>
  <c r="D340" i="7"/>
  <c r="W339" i="7"/>
  <c r="K339" i="7"/>
  <c r="E339" i="7"/>
  <c r="D339" i="7"/>
  <c r="W338" i="7"/>
  <c r="K338" i="7"/>
  <c r="E338" i="7"/>
  <c r="D338" i="7"/>
  <c r="W337" i="7"/>
  <c r="K337" i="7"/>
  <c r="E337" i="7"/>
  <c r="D337" i="7"/>
  <c r="W336" i="7"/>
  <c r="K336" i="7"/>
  <c r="E336" i="7"/>
  <c r="D336" i="7"/>
  <c r="W335" i="7"/>
  <c r="K335" i="7"/>
  <c r="E335" i="7"/>
  <c r="D335" i="7"/>
  <c r="W334" i="7"/>
  <c r="K334" i="7"/>
  <c r="E334" i="7"/>
  <c r="D334" i="7"/>
  <c r="W333" i="7"/>
  <c r="K333" i="7"/>
  <c r="E333" i="7"/>
  <c r="D333" i="7"/>
  <c r="W332" i="7"/>
  <c r="K332" i="7"/>
  <c r="E332" i="7"/>
  <c r="D332" i="7"/>
  <c r="W331" i="7"/>
  <c r="K331" i="7"/>
  <c r="E331" i="7"/>
  <c r="D331" i="7"/>
  <c r="W330" i="7"/>
  <c r="K330" i="7"/>
  <c r="E330" i="7"/>
  <c r="D330" i="7"/>
  <c r="W329" i="7"/>
  <c r="K329" i="7"/>
  <c r="E329" i="7"/>
  <c r="D329" i="7"/>
  <c r="W328" i="7"/>
  <c r="K328" i="7"/>
  <c r="E328" i="7"/>
  <c r="D328" i="7"/>
  <c r="W327" i="7"/>
  <c r="K327" i="7"/>
  <c r="E327" i="7"/>
  <c r="D327" i="7"/>
  <c r="W326" i="7"/>
  <c r="K326" i="7"/>
  <c r="E326" i="7"/>
  <c r="D326" i="7"/>
  <c r="W325" i="7"/>
  <c r="K325" i="7"/>
  <c r="E325" i="7"/>
  <c r="D325" i="7"/>
  <c r="W324" i="7"/>
  <c r="K324" i="7"/>
  <c r="E324" i="7"/>
  <c r="D324" i="7"/>
  <c r="W323" i="7"/>
  <c r="K323" i="7"/>
  <c r="E323" i="7"/>
  <c r="D323" i="7"/>
  <c r="W322" i="7"/>
  <c r="K322" i="7"/>
  <c r="E322" i="7"/>
  <c r="D322" i="7"/>
  <c r="W321" i="7"/>
  <c r="K321" i="7"/>
  <c r="E321" i="7"/>
  <c r="D321" i="7"/>
  <c r="W320" i="7"/>
  <c r="K320" i="7"/>
  <c r="E320" i="7"/>
  <c r="D320" i="7"/>
  <c r="W319" i="7"/>
  <c r="K319" i="7"/>
  <c r="E319" i="7"/>
  <c r="D319" i="7"/>
  <c r="W318" i="7"/>
  <c r="K318" i="7"/>
  <c r="E318" i="7"/>
  <c r="D318" i="7"/>
  <c r="W317" i="7"/>
  <c r="K317" i="7"/>
  <c r="E317" i="7"/>
  <c r="D317" i="7"/>
  <c r="W316" i="7"/>
  <c r="K316" i="7"/>
  <c r="E316" i="7"/>
  <c r="D316" i="7"/>
  <c r="W315" i="7"/>
  <c r="K315" i="7"/>
  <c r="E315" i="7"/>
  <c r="D315" i="7"/>
  <c r="W314" i="7"/>
  <c r="K314" i="7"/>
  <c r="E314" i="7"/>
  <c r="D314" i="7"/>
  <c r="W313" i="7"/>
  <c r="K313" i="7"/>
  <c r="E313" i="7"/>
  <c r="D313" i="7"/>
  <c r="W312" i="7"/>
  <c r="K312" i="7"/>
  <c r="E312" i="7"/>
  <c r="D312" i="7"/>
  <c r="W311" i="7"/>
  <c r="K311" i="7"/>
  <c r="E311" i="7"/>
  <c r="D311" i="7"/>
  <c r="W310" i="7"/>
  <c r="K310" i="7"/>
  <c r="E310" i="7"/>
  <c r="D310" i="7"/>
  <c r="W309" i="7"/>
  <c r="K309" i="7"/>
  <c r="E309" i="7"/>
  <c r="D309" i="7"/>
  <c r="W308" i="7"/>
  <c r="K308" i="7"/>
  <c r="E308" i="7"/>
  <c r="D308" i="7"/>
  <c r="W307" i="7"/>
  <c r="K307" i="7"/>
  <c r="E307" i="7"/>
  <c r="D307" i="7"/>
  <c r="W306" i="7"/>
  <c r="K306" i="7"/>
  <c r="E306" i="7"/>
  <c r="D306" i="7"/>
  <c r="W305" i="7"/>
  <c r="K305" i="7"/>
  <c r="E305" i="7"/>
  <c r="D305" i="7"/>
  <c r="W304" i="7"/>
  <c r="K304" i="7"/>
  <c r="E304" i="7"/>
  <c r="D304" i="7"/>
  <c r="W303" i="7"/>
  <c r="K303" i="7"/>
  <c r="E303" i="7"/>
  <c r="D303" i="7"/>
  <c r="W302" i="7"/>
  <c r="K302" i="7"/>
  <c r="E302" i="7"/>
  <c r="D302" i="7"/>
  <c r="W301" i="7"/>
  <c r="K301" i="7"/>
  <c r="E301" i="7"/>
  <c r="D301" i="7"/>
  <c r="W300" i="7"/>
  <c r="K300" i="7"/>
  <c r="E300" i="7"/>
  <c r="D300" i="7"/>
  <c r="W299" i="7"/>
  <c r="K299" i="7"/>
  <c r="E299" i="7"/>
  <c r="D299" i="7"/>
  <c r="W298" i="7"/>
  <c r="K298" i="7"/>
  <c r="E298" i="7"/>
  <c r="D298" i="7"/>
  <c r="W297" i="7"/>
  <c r="K297" i="7"/>
  <c r="E297" i="7"/>
  <c r="D297" i="7"/>
  <c r="W296" i="7"/>
  <c r="K296" i="7"/>
  <c r="E296" i="7"/>
  <c r="D296" i="7"/>
  <c r="W295" i="7"/>
  <c r="K295" i="7"/>
  <c r="E295" i="7"/>
  <c r="D295" i="7"/>
  <c r="W294" i="7"/>
  <c r="K294" i="7"/>
  <c r="E294" i="7"/>
  <c r="D294" i="7"/>
  <c r="W293" i="7"/>
  <c r="K293" i="7"/>
  <c r="E293" i="7"/>
  <c r="D293" i="7"/>
  <c r="W292" i="7"/>
  <c r="K292" i="7"/>
  <c r="E292" i="7"/>
  <c r="D292" i="7"/>
  <c r="W291" i="7"/>
  <c r="K291" i="7"/>
  <c r="E291" i="7"/>
  <c r="D291" i="7"/>
  <c r="W290" i="7"/>
  <c r="K290" i="7"/>
  <c r="E290" i="7"/>
  <c r="D290" i="7"/>
  <c r="W289" i="7"/>
  <c r="K289" i="7"/>
  <c r="E289" i="7"/>
  <c r="D289" i="7"/>
  <c r="W288" i="7"/>
  <c r="K288" i="7"/>
  <c r="E288" i="7"/>
  <c r="D288" i="7"/>
  <c r="W287" i="7"/>
  <c r="K287" i="7"/>
  <c r="E287" i="7"/>
  <c r="D287" i="7"/>
  <c r="W286" i="7"/>
  <c r="K286" i="7"/>
  <c r="E286" i="7"/>
  <c r="D286" i="7"/>
  <c r="W285" i="7"/>
  <c r="K285" i="7"/>
  <c r="E285" i="7"/>
  <c r="D285" i="7"/>
  <c r="W284" i="7"/>
  <c r="K284" i="7"/>
  <c r="E284" i="7"/>
  <c r="D284" i="7"/>
  <c r="W283" i="7"/>
  <c r="K283" i="7"/>
  <c r="E283" i="7"/>
  <c r="D283" i="7"/>
  <c r="W282" i="7"/>
  <c r="K282" i="7"/>
  <c r="E282" i="7"/>
  <c r="D282" i="7"/>
  <c r="W281" i="7"/>
  <c r="K281" i="7"/>
  <c r="E281" i="7"/>
  <c r="D281" i="7"/>
  <c r="W280" i="7"/>
  <c r="K280" i="7"/>
  <c r="E280" i="7"/>
  <c r="D280" i="7"/>
  <c r="W279" i="7"/>
  <c r="K279" i="7"/>
  <c r="E279" i="7"/>
  <c r="D279" i="7"/>
  <c r="W278" i="7"/>
  <c r="K278" i="7"/>
  <c r="E278" i="7"/>
  <c r="D278" i="7"/>
  <c r="W277" i="7"/>
  <c r="K277" i="7"/>
  <c r="E277" i="7"/>
  <c r="D277" i="7"/>
  <c r="W276" i="7"/>
  <c r="K276" i="7"/>
  <c r="E276" i="7"/>
  <c r="D276" i="7"/>
  <c r="W275" i="7"/>
  <c r="K275" i="7"/>
  <c r="E275" i="7"/>
  <c r="D275" i="7"/>
  <c r="W274" i="7"/>
  <c r="K274" i="7"/>
  <c r="E274" i="7"/>
  <c r="D274" i="7"/>
  <c r="W273" i="7"/>
  <c r="K273" i="7"/>
  <c r="E273" i="7"/>
  <c r="D273" i="7"/>
  <c r="W272" i="7"/>
  <c r="K272" i="7"/>
  <c r="E272" i="7"/>
  <c r="D272" i="7"/>
  <c r="W271" i="7"/>
  <c r="K271" i="7"/>
  <c r="E271" i="7"/>
  <c r="D271" i="7"/>
  <c r="W270" i="7"/>
  <c r="K270" i="7"/>
  <c r="E270" i="7"/>
  <c r="D270" i="7"/>
  <c r="W269" i="7"/>
  <c r="K269" i="7"/>
  <c r="E269" i="7"/>
  <c r="D269" i="7"/>
  <c r="W268" i="7"/>
  <c r="K268" i="7"/>
  <c r="E268" i="7"/>
  <c r="D268" i="7"/>
  <c r="W267" i="7"/>
  <c r="K267" i="7"/>
  <c r="E267" i="7"/>
  <c r="D267" i="7"/>
  <c r="W266" i="7"/>
  <c r="K266" i="7"/>
  <c r="E266" i="7"/>
  <c r="D266" i="7"/>
  <c r="W265" i="7"/>
  <c r="K265" i="7"/>
  <c r="E265" i="7"/>
  <c r="D265" i="7"/>
  <c r="W264" i="7"/>
  <c r="K264" i="7"/>
  <c r="E264" i="7"/>
  <c r="D264" i="7"/>
  <c r="W263" i="7"/>
  <c r="K263" i="7"/>
  <c r="E263" i="7"/>
  <c r="D263" i="7"/>
  <c r="W262" i="7"/>
  <c r="K262" i="7"/>
  <c r="E262" i="7"/>
  <c r="D262" i="7"/>
  <c r="W261" i="7"/>
  <c r="K261" i="7"/>
  <c r="E261" i="7"/>
  <c r="D261" i="7"/>
  <c r="W260" i="7"/>
  <c r="K260" i="7"/>
  <c r="E260" i="7"/>
  <c r="D260" i="7"/>
  <c r="W259" i="7"/>
  <c r="K259" i="7"/>
  <c r="E259" i="7"/>
  <c r="D259" i="7"/>
  <c r="W258" i="7"/>
  <c r="K258" i="7"/>
  <c r="E258" i="7"/>
  <c r="D258" i="7"/>
  <c r="W257" i="7"/>
  <c r="K257" i="7"/>
  <c r="E257" i="7"/>
  <c r="D257" i="7"/>
  <c r="W256" i="7"/>
  <c r="K256" i="7"/>
  <c r="E256" i="7"/>
  <c r="D256" i="7"/>
  <c r="W255" i="7"/>
  <c r="K255" i="7"/>
  <c r="E255" i="7"/>
  <c r="D255" i="7"/>
  <c r="W254" i="7"/>
  <c r="K254" i="7"/>
  <c r="E254" i="7"/>
  <c r="D254" i="7"/>
  <c r="W253" i="7"/>
  <c r="K253" i="7"/>
  <c r="E253" i="7"/>
  <c r="D253" i="7"/>
  <c r="W252" i="7"/>
  <c r="K252" i="7"/>
  <c r="E252" i="7"/>
  <c r="D252" i="7"/>
  <c r="W251" i="7"/>
  <c r="K251" i="7"/>
  <c r="E251" i="7"/>
  <c r="D251" i="7"/>
  <c r="W250" i="7"/>
  <c r="K250" i="7"/>
  <c r="E250" i="7"/>
  <c r="D250" i="7"/>
  <c r="W249" i="7"/>
  <c r="K249" i="7"/>
  <c r="E249" i="7"/>
  <c r="D249" i="7"/>
  <c r="W248" i="7"/>
  <c r="K248" i="7"/>
  <c r="E248" i="7"/>
  <c r="D248" i="7"/>
  <c r="W247" i="7"/>
  <c r="K247" i="7"/>
  <c r="E247" i="7"/>
  <c r="D247" i="7"/>
  <c r="W246" i="7"/>
  <c r="K246" i="7"/>
  <c r="E246" i="7"/>
  <c r="D246" i="7"/>
  <c r="W245" i="7"/>
  <c r="K245" i="7"/>
  <c r="E245" i="7"/>
  <c r="D245" i="7"/>
  <c r="W244" i="7"/>
  <c r="K244" i="7"/>
  <c r="E244" i="7"/>
  <c r="D244" i="7"/>
  <c r="W243" i="7"/>
  <c r="K243" i="7"/>
  <c r="E243" i="7"/>
  <c r="D243" i="7"/>
  <c r="W242" i="7"/>
  <c r="K242" i="7"/>
  <c r="E242" i="7"/>
  <c r="D242" i="7"/>
  <c r="W241" i="7"/>
  <c r="K241" i="7"/>
  <c r="E241" i="7"/>
  <c r="D241" i="7"/>
  <c r="W240" i="7"/>
  <c r="K240" i="7"/>
  <c r="E240" i="7"/>
  <c r="D240" i="7"/>
  <c r="W239" i="7"/>
  <c r="K239" i="7"/>
  <c r="E239" i="7"/>
  <c r="D239" i="7"/>
  <c r="W238" i="7"/>
  <c r="K238" i="7"/>
  <c r="E238" i="7"/>
  <c r="D238" i="7"/>
  <c r="W237" i="7"/>
  <c r="K237" i="7"/>
  <c r="E237" i="7"/>
  <c r="D237" i="7"/>
  <c r="W236" i="7"/>
  <c r="K236" i="7"/>
  <c r="E236" i="7"/>
  <c r="D236" i="7"/>
  <c r="W235" i="7"/>
  <c r="K235" i="7"/>
  <c r="E235" i="7"/>
  <c r="D235" i="7"/>
  <c r="W234" i="7"/>
  <c r="K234" i="7"/>
  <c r="E234" i="7"/>
  <c r="D234" i="7"/>
  <c r="W233" i="7"/>
  <c r="K233" i="7"/>
  <c r="E233" i="7"/>
  <c r="D233" i="7"/>
  <c r="W232" i="7"/>
  <c r="K232" i="7"/>
  <c r="E232" i="7"/>
  <c r="D232" i="7"/>
  <c r="W231" i="7"/>
  <c r="K231" i="7"/>
  <c r="E231" i="7"/>
  <c r="D231" i="7"/>
  <c r="W230" i="7"/>
  <c r="K230" i="7"/>
  <c r="E230" i="7"/>
  <c r="D230" i="7"/>
  <c r="W229" i="7"/>
  <c r="K229" i="7"/>
  <c r="E229" i="7"/>
  <c r="D229" i="7"/>
  <c r="W228" i="7"/>
  <c r="K228" i="7"/>
  <c r="E228" i="7"/>
  <c r="D228" i="7"/>
  <c r="W227" i="7"/>
  <c r="K227" i="7"/>
  <c r="E227" i="7"/>
  <c r="D227" i="7"/>
  <c r="W226" i="7"/>
  <c r="K226" i="7"/>
  <c r="E226" i="7"/>
  <c r="D226" i="7"/>
  <c r="W225" i="7"/>
  <c r="K225" i="7"/>
  <c r="E225" i="7"/>
  <c r="D225" i="7"/>
  <c r="W224" i="7"/>
  <c r="K224" i="7"/>
  <c r="E224" i="7"/>
  <c r="D224" i="7"/>
  <c r="W223" i="7"/>
  <c r="K223" i="7"/>
  <c r="E223" i="7"/>
  <c r="D223" i="7"/>
  <c r="W222" i="7"/>
  <c r="K222" i="7"/>
  <c r="E222" i="7"/>
  <c r="D222" i="7"/>
  <c r="W221" i="7"/>
  <c r="K221" i="7"/>
  <c r="E221" i="7"/>
  <c r="D221" i="7"/>
  <c r="W220" i="7"/>
  <c r="K220" i="7"/>
  <c r="E220" i="7"/>
  <c r="D220" i="7"/>
  <c r="W219" i="7"/>
  <c r="K219" i="7"/>
  <c r="E219" i="7"/>
  <c r="D219" i="7"/>
  <c r="W218" i="7"/>
  <c r="K218" i="7"/>
  <c r="E218" i="7"/>
  <c r="D218" i="7"/>
  <c r="W217" i="7"/>
  <c r="K217" i="7"/>
  <c r="E217" i="7"/>
  <c r="D217" i="7"/>
  <c r="W216" i="7"/>
  <c r="K216" i="7"/>
  <c r="E216" i="7"/>
  <c r="D216" i="7"/>
  <c r="W215" i="7"/>
  <c r="K215" i="7"/>
  <c r="E215" i="7"/>
  <c r="D215" i="7"/>
  <c r="W214" i="7"/>
  <c r="K214" i="7"/>
  <c r="E214" i="7"/>
  <c r="D214" i="7"/>
  <c r="W213" i="7"/>
  <c r="K213" i="7"/>
  <c r="E213" i="7"/>
  <c r="D213" i="7"/>
  <c r="W212" i="7"/>
  <c r="K212" i="7"/>
  <c r="E212" i="7"/>
  <c r="D212" i="7"/>
  <c r="W211" i="7"/>
  <c r="K211" i="7"/>
  <c r="E211" i="7"/>
  <c r="D211" i="7"/>
  <c r="W210" i="7"/>
  <c r="K210" i="7"/>
  <c r="E210" i="7"/>
  <c r="D210" i="7"/>
  <c r="W209" i="7"/>
  <c r="K209" i="7"/>
  <c r="E209" i="7"/>
  <c r="D209" i="7"/>
  <c r="W208" i="7"/>
  <c r="K208" i="7"/>
  <c r="E208" i="7"/>
  <c r="D208" i="7"/>
  <c r="W207" i="7"/>
  <c r="K207" i="7"/>
  <c r="E207" i="7"/>
  <c r="D207" i="7"/>
  <c r="W206" i="7"/>
  <c r="K206" i="7"/>
  <c r="E206" i="7"/>
  <c r="D206" i="7"/>
  <c r="W205" i="7"/>
  <c r="K205" i="7"/>
  <c r="E205" i="7"/>
  <c r="D205" i="7"/>
  <c r="W204" i="7"/>
  <c r="K204" i="7"/>
  <c r="E204" i="7"/>
  <c r="D204" i="7"/>
  <c r="W203" i="7"/>
  <c r="K203" i="7"/>
  <c r="E203" i="7"/>
  <c r="D203" i="7"/>
  <c r="W202" i="7"/>
  <c r="K202" i="7"/>
  <c r="E202" i="7"/>
  <c r="D202" i="7"/>
  <c r="W201" i="7"/>
  <c r="K201" i="7"/>
  <c r="E201" i="7"/>
  <c r="D201" i="7"/>
  <c r="W200" i="7"/>
  <c r="K200" i="7"/>
  <c r="E200" i="7"/>
  <c r="D200" i="7"/>
  <c r="W199" i="7"/>
  <c r="K199" i="7"/>
  <c r="E199" i="7"/>
  <c r="D199" i="7"/>
  <c r="W198" i="7"/>
  <c r="K198" i="7"/>
  <c r="E198" i="7"/>
  <c r="D198" i="7"/>
  <c r="W197" i="7"/>
  <c r="K197" i="7"/>
  <c r="E197" i="7"/>
  <c r="D197" i="7"/>
  <c r="W196" i="7"/>
  <c r="K196" i="7"/>
  <c r="E196" i="7"/>
  <c r="D196" i="7"/>
  <c r="W195" i="7"/>
  <c r="K195" i="7"/>
  <c r="E195" i="7"/>
  <c r="D195" i="7"/>
  <c r="W194" i="7"/>
  <c r="K194" i="7"/>
  <c r="E194" i="7"/>
  <c r="D194" i="7"/>
  <c r="W193" i="7"/>
  <c r="K193" i="7"/>
  <c r="E193" i="7"/>
  <c r="D193" i="7"/>
  <c r="W192" i="7"/>
  <c r="K192" i="7"/>
  <c r="E192" i="7"/>
  <c r="D192" i="7"/>
  <c r="W191" i="7"/>
  <c r="K191" i="7"/>
  <c r="E191" i="7"/>
  <c r="D191" i="7"/>
  <c r="W190" i="7"/>
  <c r="K190" i="7"/>
  <c r="E190" i="7"/>
  <c r="D190" i="7"/>
  <c r="W189" i="7"/>
  <c r="K189" i="7"/>
  <c r="E189" i="7"/>
  <c r="D189" i="7"/>
  <c r="W188" i="7"/>
  <c r="K188" i="7"/>
  <c r="E188" i="7"/>
  <c r="D188" i="7"/>
  <c r="W187" i="7"/>
  <c r="K187" i="7"/>
  <c r="E187" i="7"/>
  <c r="D187" i="7"/>
  <c r="W186" i="7"/>
  <c r="K186" i="7"/>
  <c r="E186" i="7"/>
  <c r="D186" i="7"/>
  <c r="W185" i="7"/>
  <c r="K185" i="7"/>
  <c r="E185" i="7"/>
  <c r="D185" i="7"/>
  <c r="W184" i="7"/>
  <c r="K184" i="7"/>
  <c r="E184" i="7"/>
  <c r="D184" i="7"/>
  <c r="W183" i="7"/>
  <c r="K183" i="7"/>
  <c r="E183" i="7"/>
  <c r="D183" i="7"/>
  <c r="W182" i="7"/>
  <c r="K182" i="7"/>
  <c r="E182" i="7"/>
  <c r="D182" i="7"/>
  <c r="W181" i="7"/>
  <c r="K181" i="7"/>
  <c r="E181" i="7"/>
  <c r="D181" i="7"/>
  <c r="W180" i="7"/>
  <c r="K180" i="7"/>
  <c r="E180" i="7"/>
  <c r="D180" i="7"/>
  <c r="W179" i="7"/>
  <c r="K179" i="7"/>
  <c r="E179" i="7"/>
  <c r="D179" i="7"/>
  <c r="W178" i="7"/>
  <c r="K178" i="7"/>
  <c r="E178" i="7"/>
  <c r="D178" i="7"/>
  <c r="W177" i="7"/>
  <c r="K177" i="7"/>
  <c r="E177" i="7"/>
  <c r="D177" i="7"/>
  <c r="W176" i="7"/>
  <c r="K176" i="7"/>
  <c r="E176" i="7"/>
  <c r="D176" i="7"/>
  <c r="W175" i="7"/>
  <c r="K175" i="7"/>
  <c r="E175" i="7"/>
  <c r="D175" i="7"/>
  <c r="W174" i="7"/>
  <c r="K174" i="7"/>
  <c r="E174" i="7"/>
  <c r="D174" i="7"/>
  <c r="W173" i="7"/>
  <c r="K173" i="7"/>
  <c r="E173" i="7"/>
  <c r="D173" i="7"/>
  <c r="W172" i="7"/>
  <c r="K172" i="7"/>
  <c r="E172" i="7"/>
  <c r="D172" i="7"/>
  <c r="W171" i="7"/>
  <c r="K171" i="7"/>
  <c r="E171" i="7"/>
  <c r="D171" i="7"/>
  <c r="W170" i="7"/>
  <c r="K170" i="7"/>
  <c r="E170" i="7"/>
  <c r="D170" i="7"/>
  <c r="W169" i="7"/>
  <c r="K169" i="7"/>
  <c r="E169" i="7"/>
  <c r="D169" i="7"/>
  <c r="W168" i="7"/>
  <c r="K168" i="7"/>
  <c r="E168" i="7"/>
  <c r="D168" i="7"/>
  <c r="W167" i="7"/>
  <c r="K167" i="7"/>
  <c r="E167" i="7"/>
  <c r="D167" i="7"/>
  <c r="W166" i="7"/>
  <c r="K166" i="7"/>
  <c r="E166" i="7"/>
  <c r="D166" i="7"/>
  <c r="W165" i="7"/>
  <c r="K165" i="7"/>
  <c r="E165" i="7"/>
  <c r="D165" i="7"/>
  <c r="W164" i="7"/>
  <c r="K164" i="7"/>
  <c r="E164" i="7"/>
  <c r="D164" i="7"/>
  <c r="W163" i="7"/>
  <c r="K163" i="7"/>
  <c r="E163" i="7"/>
  <c r="D163" i="7"/>
  <c r="W162" i="7"/>
  <c r="K162" i="7"/>
  <c r="E162" i="7"/>
  <c r="D162" i="7"/>
  <c r="W161" i="7"/>
  <c r="K161" i="7"/>
  <c r="E161" i="7"/>
  <c r="D161" i="7"/>
  <c r="W160" i="7"/>
  <c r="K160" i="7"/>
  <c r="E160" i="7"/>
  <c r="D160" i="7"/>
  <c r="W159" i="7"/>
  <c r="K159" i="7"/>
  <c r="E159" i="7"/>
  <c r="D159" i="7"/>
  <c r="W158" i="7"/>
  <c r="K158" i="7"/>
  <c r="E158" i="7"/>
  <c r="D158" i="7"/>
  <c r="W157" i="7"/>
  <c r="K157" i="7"/>
  <c r="E157" i="7"/>
  <c r="D157" i="7"/>
  <c r="W156" i="7"/>
  <c r="K156" i="7"/>
  <c r="E156" i="7"/>
  <c r="D156" i="7"/>
  <c r="W155" i="7"/>
  <c r="K155" i="7"/>
  <c r="E155" i="7"/>
  <c r="D155" i="7"/>
  <c r="W154" i="7"/>
  <c r="K154" i="7"/>
  <c r="E154" i="7"/>
  <c r="D154" i="7"/>
  <c r="W153" i="7"/>
  <c r="K153" i="7"/>
  <c r="E153" i="7"/>
  <c r="D153" i="7"/>
  <c r="W152" i="7"/>
  <c r="K152" i="7"/>
  <c r="E152" i="7"/>
  <c r="D152" i="7"/>
  <c r="W151" i="7"/>
  <c r="K151" i="7"/>
  <c r="E151" i="7"/>
  <c r="D151" i="7"/>
  <c r="W150" i="7"/>
  <c r="K150" i="7"/>
  <c r="E150" i="7"/>
  <c r="D150" i="7"/>
  <c r="W149" i="7"/>
  <c r="K149" i="7"/>
  <c r="E149" i="7"/>
  <c r="D149" i="7"/>
  <c r="W148" i="7"/>
  <c r="K148" i="7"/>
  <c r="E148" i="7"/>
  <c r="D148" i="7"/>
  <c r="W147" i="7"/>
  <c r="K147" i="7"/>
  <c r="E147" i="7"/>
  <c r="D147" i="7"/>
  <c r="W146" i="7"/>
  <c r="K146" i="7"/>
  <c r="E146" i="7"/>
  <c r="D146" i="7"/>
  <c r="W145" i="7"/>
  <c r="K145" i="7"/>
  <c r="E145" i="7"/>
  <c r="D145" i="7"/>
  <c r="W144" i="7"/>
  <c r="K144" i="7"/>
  <c r="E144" i="7"/>
  <c r="D144" i="7"/>
  <c r="W143" i="7"/>
  <c r="K143" i="7"/>
  <c r="E143" i="7"/>
  <c r="D143" i="7"/>
  <c r="W142" i="7"/>
  <c r="K142" i="7"/>
  <c r="E142" i="7"/>
  <c r="D142" i="7"/>
  <c r="W141" i="7"/>
  <c r="K141" i="7"/>
  <c r="E141" i="7"/>
  <c r="D141" i="7"/>
  <c r="W140" i="7"/>
  <c r="K140" i="7"/>
  <c r="E140" i="7"/>
  <c r="D140" i="7"/>
  <c r="W139" i="7"/>
  <c r="K139" i="7"/>
  <c r="E139" i="7"/>
  <c r="D139" i="7"/>
  <c r="W138" i="7"/>
  <c r="K138" i="7"/>
  <c r="E138" i="7"/>
  <c r="D138" i="7"/>
  <c r="W137" i="7"/>
  <c r="K137" i="7"/>
  <c r="E137" i="7"/>
  <c r="D137" i="7"/>
  <c r="W136" i="7"/>
  <c r="K136" i="7"/>
  <c r="E136" i="7"/>
  <c r="D136" i="7"/>
  <c r="W135" i="7"/>
  <c r="K135" i="7"/>
  <c r="E135" i="7"/>
  <c r="D135" i="7"/>
  <c r="W134" i="7"/>
  <c r="K134" i="7"/>
  <c r="E134" i="7"/>
  <c r="D134" i="7"/>
  <c r="W133" i="7"/>
  <c r="K133" i="7"/>
  <c r="E133" i="7"/>
  <c r="D133" i="7"/>
  <c r="W132" i="7"/>
  <c r="K132" i="7"/>
  <c r="E132" i="7"/>
  <c r="D132" i="7"/>
  <c r="W131" i="7"/>
  <c r="K131" i="7"/>
  <c r="E131" i="7"/>
  <c r="D131" i="7"/>
  <c r="W130" i="7"/>
  <c r="K130" i="7"/>
  <c r="E130" i="7"/>
  <c r="D130" i="7"/>
  <c r="W129" i="7"/>
  <c r="K129" i="7"/>
  <c r="E129" i="7"/>
  <c r="D129" i="7"/>
  <c r="W128" i="7"/>
  <c r="K128" i="7"/>
  <c r="E128" i="7"/>
  <c r="D128" i="7"/>
  <c r="W127" i="7"/>
  <c r="K127" i="7"/>
  <c r="E127" i="7"/>
  <c r="D127" i="7"/>
  <c r="W126" i="7"/>
  <c r="K126" i="7"/>
  <c r="E126" i="7"/>
  <c r="D126" i="7"/>
  <c r="W125" i="7"/>
  <c r="K125" i="7"/>
  <c r="E125" i="7"/>
  <c r="D125" i="7"/>
  <c r="W124" i="7"/>
  <c r="K124" i="7"/>
  <c r="E124" i="7"/>
  <c r="D124" i="7"/>
  <c r="W123" i="7"/>
  <c r="K123" i="7"/>
  <c r="E123" i="7"/>
  <c r="D123" i="7"/>
  <c r="W122" i="7"/>
  <c r="K122" i="7"/>
  <c r="E122" i="7"/>
  <c r="D122" i="7"/>
  <c r="W121" i="7"/>
  <c r="K121" i="7"/>
  <c r="E121" i="7"/>
  <c r="D121" i="7"/>
  <c r="W120" i="7"/>
  <c r="K120" i="7"/>
  <c r="E120" i="7"/>
  <c r="D120" i="7"/>
  <c r="W119" i="7"/>
  <c r="K119" i="7"/>
  <c r="E119" i="7"/>
  <c r="D119" i="7"/>
  <c r="W118" i="7"/>
  <c r="K118" i="7"/>
  <c r="E118" i="7"/>
  <c r="D118" i="7"/>
  <c r="W117" i="7"/>
  <c r="K117" i="7"/>
  <c r="E117" i="7"/>
  <c r="D117" i="7"/>
  <c r="W116" i="7"/>
  <c r="K116" i="7"/>
  <c r="E116" i="7"/>
  <c r="D116" i="7"/>
  <c r="W115" i="7"/>
  <c r="K115" i="7"/>
  <c r="E115" i="7"/>
  <c r="D115" i="7"/>
  <c r="W114" i="7"/>
  <c r="K114" i="7"/>
  <c r="E114" i="7"/>
  <c r="D114" i="7"/>
  <c r="W113" i="7"/>
  <c r="K113" i="7"/>
  <c r="E113" i="7"/>
  <c r="D113" i="7"/>
  <c r="W112" i="7"/>
  <c r="K112" i="7"/>
  <c r="E112" i="7"/>
  <c r="D112" i="7"/>
  <c r="W111" i="7"/>
  <c r="K111" i="7"/>
  <c r="E111" i="7"/>
  <c r="D111" i="7"/>
  <c r="W110" i="7"/>
  <c r="K110" i="7"/>
  <c r="E110" i="7"/>
  <c r="D110" i="7"/>
  <c r="W109" i="7"/>
  <c r="K109" i="7"/>
  <c r="E109" i="7"/>
  <c r="D109" i="7"/>
  <c r="W108" i="7"/>
  <c r="K108" i="7"/>
  <c r="E108" i="7"/>
  <c r="D108" i="7"/>
  <c r="W107" i="7"/>
  <c r="K107" i="7"/>
  <c r="E107" i="7"/>
  <c r="D107" i="7"/>
  <c r="W106" i="7"/>
  <c r="K106" i="7"/>
  <c r="E106" i="7"/>
  <c r="D106" i="7"/>
  <c r="W105" i="7"/>
  <c r="K105" i="7"/>
  <c r="E105" i="7"/>
  <c r="D105" i="7"/>
  <c r="W104" i="7"/>
  <c r="K104" i="7"/>
  <c r="E104" i="7"/>
  <c r="D104" i="7"/>
  <c r="W103" i="7"/>
  <c r="K103" i="7"/>
  <c r="E103" i="7"/>
  <c r="D103" i="7"/>
  <c r="W102" i="7"/>
  <c r="K102" i="7"/>
  <c r="E102" i="7"/>
  <c r="D102" i="7"/>
  <c r="W101" i="7"/>
  <c r="K101" i="7"/>
  <c r="E101" i="7"/>
  <c r="D101" i="7"/>
  <c r="W100" i="7"/>
  <c r="K100" i="7"/>
  <c r="E100" i="7"/>
  <c r="D100" i="7"/>
  <c r="W99" i="7"/>
  <c r="K99" i="7"/>
  <c r="E99" i="7"/>
  <c r="D99" i="7"/>
  <c r="W98" i="7"/>
  <c r="K98" i="7"/>
  <c r="E98" i="7"/>
  <c r="D98" i="7"/>
  <c r="W97" i="7"/>
  <c r="K97" i="7"/>
  <c r="E97" i="7"/>
  <c r="D97" i="7"/>
  <c r="W96" i="7"/>
  <c r="K96" i="7"/>
  <c r="E96" i="7"/>
  <c r="D96" i="7"/>
  <c r="W95" i="7"/>
  <c r="K95" i="7"/>
  <c r="E95" i="7"/>
  <c r="D95" i="7"/>
  <c r="W94" i="7"/>
  <c r="K94" i="7"/>
  <c r="E94" i="7"/>
  <c r="D94" i="7"/>
  <c r="W93" i="7"/>
  <c r="K93" i="7"/>
  <c r="E93" i="7"/>
  <c r="D93" i="7"/>
  <c r="W92" i="7"/>
  <c r="K92" i="7"/>
  <c r="E92" i="7"/>
  <c r="D92" i="7"/>
  <c r="W91" i="7"/>
  <c r="K91" i="7"/>
  <c r="E91" i="7"/>
  <c r="D91" i="7"/>
  <c r="W90" i="7"/>
  <c r="K90" i="7"/>
  <c r="E90" i="7"/>
  <c r="D90" i="7"/>
  <c r="W89" i="7"/>
  <c r="K89" i="7"/>
  <c r="E89" i="7"/>
  <c r="D89" i="7"/>
  <c r="W88" i="7"/>
  <c r="K88" i="7"/>
  <c r="E88" i="7"/>
  <c r="D88" i="7"/>
  <c r="W87" i="7"/>
  <c r="K87" i="7"/>
  <c r="E87" i="7"/>
  <c r="D87" i="7"/>
  <c r="W86" i="7"/>
  <c r="K86" i="7"/>
  <c r="E86" i="7"/>
  <c r="D86" i="7"/>
  <c r="W85" i="7"/>
  <c r="K85" i="7"/>
  <c r="E85" i="7"/>
  <c r="D85" i="7"/>
  <c r="W84" i="7"/>
  <c r="K84" i="7"/>
  <c r="E84" i="7"/>
  <c r="D84" i="7"/>
  <c r="W83" i="7"/>
  <c r="K83" i="7"/>
  <c r="E83" i="7"/>
  <c r="D83" i="7"/>
  <c r="W82" i="7"/>
  <c r="K82" i="7"/>
  <c r="E82" i="7"/>
  <c r="D82" i="7"/>
  <c r="W81" i="7"/>
  <c r="K81" i="7"/>
  <c r="E81" i="7"/>
  <c r="D81" i="7"/>
  <c r="W80" i="7"/>
  <c r="K80" i="7"/>
  <c r="E80" i="7"/>
  <c r="D80" i="7"/>
  <c r="W79" i="7"/>
  <c r="K79" i="7"/>
  <c r="E79" i="7"/>
  <c r="D79" i="7"/>
  <c r="W78" i="7"/>
  <c r="K78" i="7"/>
  <c r="E78" i="7"/>
  <c r="D78" i="7"/>
  <c r="W77" i="7"/>
  <c r="K77" i="7"/>
  <c r="E77" i="7"/>
  <c r="D77" i="7"/>
  <c r="W76" i="7"/>
  <c r="K76" i="7"/>
  <c r="E76" i="7"/>
  <c r="D76" i="7"/>
  <c r="W75" i="7"/>
  <c r="K75" i="7"/>
  <c r="E75" i="7"/>
  <c r="D75" i="7"/>
  <c r="W74" i="7"/>
  <c r="K74" i="7"/>
  <c r="E74" i="7"/>
  <c r="D74" i="7"/>
  <c r="W73" i="7"/>
  <c r="K73" i="7"/>
  <c r="E73" i="7"/>
  <c r="D73" i="7"/>
  <c r="W72" i="7"/>
  <c r="K72" i="7"/>
  <c r="E72" i="7"/>
  <c r="D72" i="7"/>
  <c r="W71" i="7"/>
  <c r="K71" i="7"/>
  <c r="E71" i="7"/>
  <c r="D71" i="7"/>
  <c r="W70" i="7"/>
  <c r="K70" i="7"/>
  <c r="E70" i="7"/>
  <c r="D70" i="7"/>
  <c r="W69" i="7"/>
  <c r="K69" i="7"/>
  <c r="E69" i="7"/>
  <c r="D69" i="7"/>
  <c r="W68" i="7"/>
  <c r="K68" i="7"/>
  <c r="E68" i="7"/>
  <c r="D68" i="7"/>
  <c r="W67" i="7"/>
  <c r="K67" i="7"/>
  <c r="E67" i="7"/>
  <c r="D67" i="7"/>
  <c r="W66" i="7"/>
  <c r="K66" i="7"/>
  <c r="E66" i="7"/>
  <c r="D66" i="7"/>
  <c r="W65" i="7"/>
  <c r="K65" i="7"/>
  <c r="E65" i="7"/>
  <c r="D65" i="7"/>
  <c r="W64" i="7"/>
  <c r="K64" i="7"/>
  <c r="E64" i="7"/>
  <c r="D64" i="7"/>
  <c r="W63" i="7"/>
  <c r="K63" i="7"/>
  <c r="E63" i="7"/>
  <c r="D63" i="7"/>
  <c r="W62" i="7"/>
  <c r="K62" i="7"/>
  <c r="E62" i="7"/>
  <c r="D62" i="7"/>
  <c r="W61" i="7"/>
  <c r="K61" i="7"/>
  <c r="E61" i="7"/>
  <c r="D61" i="7"/>
  <c r="W60" i="7"/>
  <c r="K60" i="7"/>
  <c r="E60" i="7"/>
  <c r="D60" i="7"/>
  <c r="W59" i="7"/>
  <c r="K59" i="7"/>
  <c r="E59" i="7"/>
  <c r="D59" i="7"/>
  <c r="W58" i="7"/>
  <c r="K58" i="7"/>
  <c r="E58" i="7"/>
  <c r="D58" i="7"/>
  <c r="W57" i="7"/>
  <c r="K57" i="7"/>
  <c r="E57" i="7"/>
  <c r="D57" i="7"/>
  <c r="W56" i="7"/>
  <c r="K56" i="7"/>
  <c r="E56" i="7"/>
  <c r="D56" i="7"/>
  <c r="W55" i="7"/>
  <c r="K55" i="7"/>
  <c r="E55" i="7"/>
  <c r="D55" i="7"/>
  <c r="W54" i="7"/>
  <c r="K54" i="7"/>
  <c r="E54" i="7"/>
  <c r="D54" i="7"/>
  <c r="W53" i="7"/>
  <c r="K53" i="7"/>
  <c r="E53" i="7"/>
  <c r="D53" i="7"/>
  <c r="W52" i="7"/>
  <c r="K52" i="7"/>
  <c r="E52" i="7"/>
  <c r="D52" i="7"/>
  <c r="W51" i="7"/>
  <c r="K51" i="7"/>
  <c r="E51" i="7"/>
  <c r="D51" i="7"/>
  <c r="W50" i="7"/>
  <c r="K50" i="7"/>
  <c r="E50" i="7"/>
  <c r="D50" i="7"/>
  <c r="W49" i="7"/>
  <c r="K49" i="7"/>
  <c r="E49" i="7"/>
  <c r="D49" i="7"/>
  <c r="W48" i="7"/>
  <c r="K48" i="7"/>
  <c r="E48" i="7"/>
  <c r="D48" i="7"/>
  <c r="W47" i="7"/>
  <c r="K47" i="7"/>
  <c r="E47" i="7"/>
  <c r="D47" i="7"/>
  <c r="W46" i="7"/>
  <c r="K46" i="7"/>
  <c r="E46" i="7"/>
  <c r="D46" i="7"/>
  <c r="W45" i="7"/>
  <c r="K45" i="7"/>
  <c r="E45" i="7"/>
  <c r="D45" i="7"/>
  <c r="W44" i="7"/>
  <c r="K44" i="7"/>
  <c r="E44" i="7"/>
  <c r="D44" i="7"/>
  <c r="W43" i="7"/>
  <c r="K43" i="7"/>
  <c r="E43" i="7"/>
  <c r="D43" i="7"/>
  <c r="W42" i="7"/>
  <c r="K42" i="7"/>
  <c r="E42" i="7"/>
  <c r="D42" i="7"/>
  <c r="W41" i="7"/>
  <c r="K41" i="7"/>
  <c r="E41" i="7"/>
  <c r="D41" i="7"/>
  <c r="W40" i="7"/>
  <c r="K40" i="7"/>
  <c r="E40" i="7"/>
  <c r="D40" i="7"/>
  <c r="W39" i="7"/>
  <c r="K39" i="7"/>
  <c r="E39" i="7"/>
  <c r="D39" i="7"/>
  <c r="W38" i="7"/>
  <c r="K38" i="7"/>
  <c r="E38" i="7"/>
  <c r="D38" i="7"/>
  <c r="W37" i="7"/>
  <c r="K37" i="7"/>
  <c r="E37" i="7"/>
  <c r="D37" i="7"/>
  <c r="W36" i="7"/>
  <c r="K36" i="7"/>
  <c r="E36" i="7"/>
  <c r="D36" i="7"/>
  <c r="W35" i="7"/>
  <c r="K35" i="7"/>
  <c r="E35" i="7"/>
  <c r="D35" i="7"/>
  <c r="W34" i="7"/>
  <c r="K34" i="7"/>
  <c r="E34" i="7"/>
  <c r="D34" i="7"/>
  <c r="W33" i="7"/>
  <c r="K33" i="7"/>
  <c r="E33" i="7"/>
  <c r="D33" i="7"/>
  <c r="W32" i="7"/>
  <c r="K32" i="7"/>
  <c r="E32" i="7"/>
  <c r="D32" i="7"/>
  <c r="W31" i="7"/>
  <c r="K31" i="7"/>
  <c r="E31" i="7"/>
  <c r="D31" i="7"/>
  <c r="W30" i="7"/>
  <c r="K30" i="7"/>
  <c r="E30" i="7"/>
  <c r="D30" i="7"/>
  <c r="W29" i="7"/>
  <c r="K29" i="7"/>
  <c r="E29" i="7"/>
  <c r="D29" i="7"/>
  <c r="W28" i="7"/>
  <c r="K28" i="7"/>
  <c r="E28" i="7"/>
  <c r="D28" i="7"/>
  <c r="W27" i="7"/>
  <c r="K27" i="7"/>
  <c r="E27" i="7"/>
  <c r="D27" i="7"/>
  <c r="W26" i="7"/>
  <c r="K26" i="7"/>
  <c r="E26" i="7"/>
  <c r="D26" i="7"/>
  <c r="W25" i="7"/>
  <c r="K25" i="7"/>
  <c r="E25" i="7"/>
  <c r="D25" i="7"/>
  <c r="W24" i="7"/>
  <c r="K24" i="7"/>
  <c r="E24" i="7"/>
  <c r="D24" i="7"/>
  <c r="W23" i="7"/>
  <c r="K23" i="7"/>
  <c r="E23" i="7"/>
  <c r="D23" i="7"/>
  <c r="W22" i="7"/>
  <c r="K22" i="7"/>
  <c r="E22" i="7"/>
  <c r="D22" i="7"/>
  <c r="W21" i="7"/>
  <c r="K21" i="7"/>
  <c r="E21" i="7"/>
  <c r="D21" i="7"/>
  <c r="W20" i="7"/>
  <c r="K20" i="7"/>
  <c r="E20" i="7"/>
  <c r="D20" i="7"/>
  <c r="W19" i="7"/>
  <c r="K19" i="7"/>
  <c r="E19" i="7"/>
  <c r="D19" i="7"/>
  <c r="W18" i="7"/>
  <c r="K18" i="7"/>
  <c r="E18" i="7"/>
  <c r="D18" i="7"/>
  <c r="W17" i="7"/>
  <c r="K17" i="7"/>
  <c r="E17" i="7"/>
  <c r="D17" i="7"/>
  <c r="W16" i="7"/>
  <c r="K16" i="7"/>
  <c r="E16" i="7"/>
  <c r="D16" i="7"/>
  <c r="W15" i="7"/>
  <c r="K15" i="7"/>
  <c r="E15" i="7"/>
  <c r="W14" i="7"/>
  <c r="K14" i="7"/>
  <c r="E14" i="7"/>
  <c r="D14" i="7"/>
  <c r="W13" i="7"/>
  <c r="K13" i="7"/>
  <c r="E13" i="7"/>
  <c r="D13" i="7"/>
  <c r="W12" i="7"/>
  <c r="K12" i="7"/>
  <c r="E12" i="7"/>
  <c r="D12" i="7"/>
  <c r="W11" i="7"/>
  <c r="K11" i="7"/>
  <c r="E11" i="7"/>
  <c r="D11" i="7"/>
  <c r="W10" i="7"/>
  <c r="K10" i="7"/>
  <c r="E10" i="7"/>
  <c r="D10" i="7"/>
  <c r="W9" i="7"/>
  <c r="K9" i="7"/>
  <c r="E9" i="7"/>
  <c r="D9" i="7"/>
  <c r="W8" i="7"/>
  <c r="K8" i="7"/>
  <c r="E8" i="7"/>
  <c r="D8" i="7"/>
  <c r="W7" i="7"/>
  <c r="K7" i="7"/>
  <c r="E7" i="7"/>
  <c r="D7" i="7"/>
  <c r="W6" i="7"/>
  <c r="K6" i="7"/>
  <c r="E6" i="7"/>
  <c r="D6" i="7"/>
  <c r="W5" i="7"/>
  <c r="K5" i="7"/>
  <c r="E5" i="7"/>
  <c r="D5" i="7"/>
  <c r="W4" i="7"/>
  <c r="K4" i="7"/>
  <c r="E4" i="7"/>
  <c r="D4" i="7"/>
  <c r="W3" i="7"/>
  <c r="K3" i="7"/>
  <c r="E3" i="7"/>
  <c r="D3" i="7"/>
  <c r="K2" i="7"/>
  <c r="E2" i="7"/>
  <c r="D2" i="7"/>
  <c r="W2" i="7" l="1"/>
</calcChain>
</file>

<file path=xl/sharedStrings.xml><?xml version="1.0" encoding="utf-8"?>
<sst xmlns="http://schemas.openxmlformats.org/spreadsheetml/2006/main" count="34110" uniqueCount="3921">
  <si>
    <t>fulfilled-by</t>
  </si>
  <si>
    <t>INR</t>
  </si>
  <si>
    <t>Easy Ship</t>
  </si>
  <si>
    <t>Second Class</t>
  </si>
  <si>
    <t>Standard Class</t>
  </si>
  <si>
    <t>First Class</t>
  </si>
  <si>
    <t>Same Day</t>
  </si>
  <si>
    <t>CG-12520</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</si>
  <si>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</si>
  <si>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</si>
  <si>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</si>
  <si>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</si>
  <si>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</si>
  <si>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</si>
  <si>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</si>
  <si>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</si>
  <si>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</si>
  <si>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</si>
  <si>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</si>
  <si>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</si>
  <si>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</si>
  <si>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</si>
  <si>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</si>
  <si>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</si>
  <si>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</si>
  <si>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</si>
  <si>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</si>
  <si>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</si>
  <si>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</si>
  <si>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</si>
  <si>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</si>
  <si>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</si>
  <si>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</si>
  <si>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</si>
  <si>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</si>
  <si>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</si>
  <si>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</si>
  <si>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</si>
  <si>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</si>
  <si>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</si>
  <si>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</si>
  <si>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</si>
  <si>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</si>
  <si>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</si>
  <si>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</si>
  <si>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</si>
  <si>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</si>
  <si>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</si>
  <si>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</si>
  <si>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</si>
  <si>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</si>
  <si>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</si>
  <si>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</si>
  <si>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</si>
  <si>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</si>
  <si>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</si>
  <si>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</si>
  <si>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</si>
  <si>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</si>
  <si>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</si>
  <si>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</si>
  <si>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</si>
  <si>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</si>
  <si>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</si>
  <si>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</si>
  <si>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</si>
  <si>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</si>
  <si>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</si>
  <si>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</si>
  <si>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</si>
  <si>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</si>
  <si>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</si>
  <si>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</si>
  <si>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</si>
  <si>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</si>
  <si>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</si>
  <si>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</si>
  <si>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</si>
  <si>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</si>
  <si>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</si>
  <si>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</si>
  <si>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</si>
  <si>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</si>
  <si>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</si>
  <si>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</si>
  <si>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</si>
  <si>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</si>
  <si>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</si>
  <si>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</si>
  <si>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</si>
  <si>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</si>
  <si>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</si>
  <si>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</si>
  <si>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</si>
  <si>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</si>
  <si>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</si>
  <si>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</si>
  <si>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</si>
  <si>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</si>
  <si>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</si>
  <si>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</si>
  <si>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</si>
  <si>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</si>
  <si>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</si>
  <si>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</si>
  <si>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</si>
  <si>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</si>
  <si>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</si>
  <si>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</si>
  <si>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</si>
  <si>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</si>
  <si>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</si>
  <si>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</si>
  <si>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</si>
  <si>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</si>
  <si>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</si>
  <si>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</si>
  <si>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</si>
  <si>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</si>
  <si>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</si>
  <si>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</si>
  <si>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</si>
  <si>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</si>
  <si>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</si>
  <si>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</si>
  <si>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</si>
  <si>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</si>
  <si>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</si>
  <si>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</si>
  <si>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</si>
  <si>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</si>
  <si>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</si>
  <si>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</si>
  <si>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</si>
  <si>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</si>
  <si>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</si>
  <si>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</si>
  <si>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</si>
  <si>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</si>
  <si>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</si>
  <si>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</si>
  <si>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</si>
  <si>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</si>
  <si>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</si>
  <si>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</si>
  <si>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</si>
  <si>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</si>
  <si>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</si>
  <si>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</si>
  <si>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</si>
  <si>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</si>
  <si>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</si>
  <si>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</si>
  <si>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</si>
  <si>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</si>
  <si>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</si>
  <si>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</si>
  <si>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</si>
  <si>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</si>
  <si>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</si>
  <si>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</si>
  <si>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</si>
  <si>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</si>
  <si>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</si>
  <si>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</si>
  <si>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</si>
  <si>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</si>
  <si>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</si>
  <si>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</si>
  <si>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</si>
  <si>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</si>
  <si>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</si>
  <si>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</si>
  <si>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</si>
  <si>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</si>
  <si>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</si>
  <si>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</si>
  <si>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</si>
  <si>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</si>
  <si>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</si>
  <si>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</si>
  <si>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</si>
  <si>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</si>
  <si>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</si>
  <si>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</si>
  <si>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</si>
  <si>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</si>
  <si>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</si>
  <si>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</si>
  <si>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</si>
  <si>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</si>
  <si>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</si>
  <si>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</si>
  <si>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</si>
  <si>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</si>
  <si>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</si>
  <si>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</si>
  <si>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</si>
  <si>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</si>
  <si>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</si>
  <si>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</si>
  <si>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</si>
  <si>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</si>
  <si>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</si>
  <si>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</si>
  <si>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</si>
  <si>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</si>
  <si>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</si>
  <si>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</si>
  <si>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</si>
  <si>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</si>
  <si>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</si>
  <si>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</si>
  <si>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</si>
  <si>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</si>
  <si>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</si>
  <si>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</si>
  <si>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</si>
  <si>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</si>
  <si>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</si>
  <si>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</si>
  <si>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</si>
  <si>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</si>
  <si>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</si>
  <si>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</si>
  <si>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</si>
  <si>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</si>
  <si>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</si>
  <si>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</si>
  <si>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</si>
  <si>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</si>
  <si>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</si>
  <si>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</si>
  <si>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</si>
  <si>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</si>
  <si>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</si>
  <si>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</si>
  <si>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</si>
  <si>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</si>
  <si>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</si>
  <si>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</si>
  <si>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</si>
  <si>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</si>
  <si>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</si>
  <si>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</si>
  <si>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</si>
  <si>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</si>
  <si>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</si>
  <si>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</si>
  <si>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</si>
  <si>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</si>
  <si>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</si>
  <si>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</si>
  <si>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</si>
  <si>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</si>
  <si>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</si>
  <si>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</si>
  <si>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</si>
  <si>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</si>
  <si>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</si>
  <si>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</si>
  <si>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</si>
  <si>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</si>
  <si>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</si>
  <si>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</si>
  <si>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</si>
  <si>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</si>
  <si>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</si>
  <si>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</si>
  <si>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</si>
  <si>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</si>
  <si>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</si>
  <si>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</si>
  <si>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</si>
  <si>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</si>
  <si>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</si>
  <si>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</si>
  <si>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</si>
  <si>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</si>
  <si>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</si>
  <si>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</si>
  <si>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</si>
  <si>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</si>
  <si>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</si>
  <si>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</si>
  <si>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</si>
  <si>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</si>
  <si>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</si>
  <si>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</si>
  <si>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</si>
  <si>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</si>
  <si>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</si>
  <si>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</si>
  <si>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</si>
  <si>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</si>
  <si>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</si>
  <si>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</si>
  <si>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</si>
  <si>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</si>
  <si>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</si>
  <si>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</si>
  <si>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</si>
  <si>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</si>
  <si>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</si>
  <si>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</si>
  <si>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</si>
  <si>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</si>
  <si>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</si>
  <si>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</si>
  <si>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</si>
  <si>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</si>
  <si>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</si>
  <si>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</si>
  <si>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</si>
  <si>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</si>
  <si>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</si>
  <si>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</si>
  <si>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</si>
  <si>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</si>
  <si>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</si>
  <si>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</si>
  <si>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</si>
  <si>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</si>
  <si>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</si>
  <si>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</si>
  <si>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</si>
  <si>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</si>
  <si>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</si>
  <si>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</si>
  <si>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</si>
  <si>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</si>
  <si>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</si>
  <si>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</si>
  <si>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</si>
  <si>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</si>
  <si>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</si>
  <si>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</si>
  <si>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</si>
  <si>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</si>
  <si>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</si>
  <si>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</si>
  <si>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</si>
  <si>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</si>
  <si>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</si>
  <si>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</si>
  <si>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</si>
  <si>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</si>
  <si>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</si>
  <si>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</si>
  <si>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</si>
  <si>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</si>
  <si>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</si>
  <si>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</si>
  <si>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</si>
  <si>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</si>
  <si>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</si>
  <si>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</si>
  <si>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</si>
  <si>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</si>
  <si>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</si>
  <si>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</si>
  <si>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</si>
  <si>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</si>
  <si>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</si>
  <si>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</si>
  <si>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</si>
  <si>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</si>
  <si>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</si>
  <si>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</si>
  <si>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</si>
  <si>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</si>
  <si>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</si>
  <si>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</si>
  <si>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</si>
  <si>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</si>
  <si>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</si>
  <si>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</si>
  <si>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</si>
  <si>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</si>
  <si>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</si>
  <si>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</si>
  <si>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</si>
  <si>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</si>
  <si>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</si>
  <si>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</si>
  <si>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</si>
  <si>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</si>
  <si>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</si>
  <si>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</si>
  <si>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</si>
  <si>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</si>
  <si>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</si>
  <si>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</si>
  <si>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</si>
  <si>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</si>
  <si>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</si>
  <si>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</si>
  <si>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</si>
  <si>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</si>
  <si>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</si>
  <si>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</si>
  <si>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</si>
  <si>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</si>
  <si>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</si>
  <si>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</si>
  <si>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</si>
  <si>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</si>
  <si>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</si>
  <si>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</si>
  <si>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</si>
  <si>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</si>
  <si>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</si>
  <si>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</si>
  <si>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</si>
  <si>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</si>
  <si>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</si>
  <si>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</si>
  <si>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</si>
  <si>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</si>
  <si>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</si>
  <si>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</si>
  <si>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</si>
  <si>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</si>
  <si>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</si>
  <si>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</si>
  <si>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</si>
  <si>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</si>
  <si>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</si>
  <si>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</si>
  <si>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</si>
  <si>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</si>
  <si>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</si>
  <si>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</si>
  <si>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</si>
  <si>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</si>
  <si>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</si>
  <si>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</si>
  <si>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</si>
  <si>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</si>
  <si>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</si>
  <si>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</si>
  <si>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</si>
  <si>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</si>
  <si>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</si>
  <si>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</si>
  <si>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</si>
  <si>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</si>
  <si>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</si>
  <si>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</si>
  <si>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</si>
  <si>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</si>
  <si>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</si>
  <si>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</si>
  <si>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</si>
  <si>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</si>
  <si>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</si>
  <si>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</si>
  <si>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</si>
  <si>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</si>
  <si>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</si>
  <si>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</si>
  <si>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</si>
  <si>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</si>
  <si>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</si>
  <si>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</si>
  <si>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</si>
  <si>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</si>
  <si>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</si>
  <si>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</si>
  <si>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</si>
  <si>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</si>
  <si>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</si>
  <si>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</si>
  <si>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</si>
  <si>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</si>
  <si>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</si>
  <si>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</si>
  <si>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</si>
  <si>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</si>
  <si>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</si>
  <si>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</si>
  <si>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</si>
  <si>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</si>
  <si>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</si>
  <si>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</si>
  <si>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</si>
  <si>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</si>
  <si>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</si>
  <si>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</si>
  <si>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</si>
  <si>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</si>
  <si>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</si>
  <si>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</si>
  <si>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</si>
  <si>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</si>
  <si>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</si>
  <si>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</si>
  <si>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</si>
  <si>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</si>
  <si>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</si>
  <si>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</si>
  <si>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</si>
  <si>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</si>
  <si>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</si>
  <si>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</si>
  <si>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</si>
  <si>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</si>
  <si>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</si>
  <si>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</si>
  <si>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</si>
  <si>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</si>
  <si>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</si>
  <si>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</si>
  <si>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</si>
  <si>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</si>
  <si>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</si>
  <si>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</si>
  <si>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</si>
  <si>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</si>
  <si>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</si>
  <si>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</si>
  <si>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</si>
  <si>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</si>
  <si>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</si>
  <si>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</si>
  <si>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</si>
  <si>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</si>
  <si>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</si>
  <si>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</si>
  <si>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</si>
  <si>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</si>
  <si>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</si>
  <si>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</si>
  <si>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</si>
  <si>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</si>
  <si>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</si>
  <si>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</si>
  <si>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</si>
  <si>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</si>
  <si>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</si>
  <si>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</si>
  <si>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</si>
  <si>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</si>
  <si>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</si>
  <si>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</si>
  <si>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</si>
  <si>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INDIA</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</si>
  <si>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</si>
  <si>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</si>
  <si>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</si>
  <si>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</si>
  <si>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</si>
  <si>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</si>
  <si>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</si>
  <si>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</si>
  <si>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</si>
  <si>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</si>
  <si>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</si>
  <si>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</si>
  <si>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</si>
  <si>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</si>
  <si>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</si>
  <si>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</si>
  <si>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</si>
  <si>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</si>
  <si>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</si>
  <si>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</si>
  <si>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</si>
  <si>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</si>
  <si>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</si>
  <si>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</si>
  <si>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</si>
  <si>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</si>
  <si>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</si>
  <si>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</si>
  <si>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</si>
  <si>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</si>
  <si>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</si>
  <si>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</si>
  <si>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</si>
  <si>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</si>
  <si>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</si>
  <si>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</si>
  <si>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</si>
  <si>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</si>
  <si>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</si>
  <si>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</si>
  <si>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</si>
  <si>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</si>
  <si>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</si>
  <si>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</si>
  <si>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</si>
  <si>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</si>
  <si>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</si>
  <si>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</si>
  <si>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</si>
  <si>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</si>
  <si>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</si>
  <si>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</si>
  <si>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</si>
  <si>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</si>
  <si>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</si>
  <si>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</si>
  <si>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</si>
  <si>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</si>
  <si>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</si>
  <si>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</si>
  <si>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</si>
  <si>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</si>
  <si>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</si>
  <si>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</si>
  <si>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</si>
  <si>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</si>
  <si>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</si>
  <si>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</si>
  <si>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</si>
  <si>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</si>
  <si>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</si>
  <si>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</si>
  <si>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</si>
  <si>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</si>
  <si>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</si>
  <si>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</si>
  <si>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</si>
  <si>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</si>
  <si>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</si>
  <si>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</si>
  <si>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</si>
  <si>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</si>
  <si>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</si>
  <si>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</si>
  <si>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</si>
  <si>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</si>
  <si>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</si>
  <si>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</si>
  <si>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</si>
  <si>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</si>
  <si>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</si>
  <si>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</si>
  <si>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</si>
  <si>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</si>
  <si>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</si>
  <si>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</si>
  <si>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</si>
  <si>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</si>
  <si>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</si>
  <si>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</si>
  <si>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</si>
  <si>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</si>
  <si>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</si>
  <si>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</si>
  <si>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</si>
  <si>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</si>
  <si>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</si>
  <si>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</si>
  <si>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</si>
  <si>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</si>
  <si>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</si>
  <si>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</si>
  <si>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</si>
  <si>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</si>
  <si>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</si>
  <si>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</si>
  <si>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</si>
  <si>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</si>
  <si>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</si>
  <si>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</si>
  <si>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</si>
  <si>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</si>
  <si>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</si>
  <si>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</si>
  <si>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</si>
  <si>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</si>
  <si>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</si>
  <si>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</si>
  <si>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</si>
  <si>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</si>
  <si>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</si>
  <si>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</si>
  <si>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</si>
  <si>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</si>
  <si>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</si>
  <si>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</si>
  <si>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</si>
  <si>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</si>
  <si>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</si>
  <si>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</si>
  <si>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</si>
  <si>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</si>
  <si>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</si>
  <si>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</si>
  <si>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</si>
  <si>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</si>
  <si>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OFF-ST-10001590</t>
  </si>
  <si>
    <t>OFF-AR-10001547</t>
  </si>
  <si>
    <t>OFF-LA-10002475</t>
  </si>
  <si>
    <t>TEC-PH-10004536</t>
  </si>
  <si>
    <t>OFF-PA-10002751</t>
  </si>
  <si>
    <t>TEC-AC-10003657</t>
  </si>
  <si>
    <t>OFF-EN-10001990</t>
  </si>
  <si>
    <t>OFF-BI-10004002</t>
  </si>
  <si>
    <t>OFF-AR-10004441</t>
  </si>
  <si>
    <t>TEC-MA-10000822</t>
  </si>
  <si>
    <t>OFF-ST-10000991</t>
  </si>
  <si>
    <t>FUR-CH-10004287</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</si>
  <si>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</si>
  <si>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</si>
  <si>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</si>
  <si>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</si>
  <si>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</si>
  <si>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</si>
  <si>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</si>
  <si>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</si>
  <si>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</si>
  <si>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</si>
  <si>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</si>
  <si>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</si>
  <si>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</si>
  <si>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</si>
  <si>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</si>
  <si>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</si>
  <si>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</si>
  <si>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</si>
  <si>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</si>
  <si>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</si>
  <si>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</si>
  <si>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</si>
  <si>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</si>
  <si>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</si>
  <si>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</si>
  <si>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</si>
  <si>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</si>
  <si>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</si>
  <si>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</si>
  <si>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</si>
  <si>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</si>
  <si>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</si>
  <si>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</si>
  <si>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</si>
  <si>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</si>
  <si>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</si>
  <si>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</si>
  <si>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</si>
  <si>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</si>
  <si>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</si>
  <si>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</si>
  <si>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</si>
  <si>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</si>
  <si>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</si>
  <si>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</si>
  <si>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</si>
  <si>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</si>
  <si>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</si>
  <si>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</si>
  <si>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</si>
  <si>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</si>
  <si>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</si>
  <si>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</si>
  <si>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</si>
  <si>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</si>
  <si>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</si>
  <si>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</si>
  <si>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</si>
  <si>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</si>
  <si>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</si>
  <si>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</si>
  <si>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</si>
  <si>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</si>
  <si>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</si>
  <si>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</si>
  <si>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</si>
  <si>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</si>
  <si>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</si>
  <si>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</si>
  <si>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</si>
  <si>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</si>
  <si>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</si>
  <si>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</si>
  <si>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</si>
  <si>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</si>
  <si>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</si>
  <si>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</si>
  <si>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</si>
  <si>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</si>
  <si>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</si>
  <si>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</si>
  <si>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</si>
  <si>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</si>
  <si>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</si>
  <si>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</si>
  <si>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</si>
  <si>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</si>
  <si>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</si>
  <si>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</si>
  <si>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</si>
  <si>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</si>
  <si>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</si>
  <si>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</si>
  <si>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</si>
  <si>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</si>
  <si>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</si>
  <si>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</si>
  <si>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</si>
  <si>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</si>
  <si>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</si>
  <si>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</si>
  <si>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</si>
  <si>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</si>
  <si>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</si>
  <si>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</si>
  <si>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</si>
  <si>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</si>
  <si>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</si>
  <si>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</si>
  <si>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</si>
  <si>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</si>
  <si>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</si>
  <si>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</si>
  <si>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</si>
  <si>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OFF-PA-10002105</t>
  </si>
  <si>
    <t>OFF-ST-10002756</t>
  </si>
  <si>
    <t>OFF-PA-10004243</t>
  </si>
  <si>
    <t>FUR-FU-10001861</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</si>
  <si>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</si>
  <si>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</si>
  <si>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</si>
  <si>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</si>
  <si>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</si>
  <si>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</si>
  <si>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</si>
  <si>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</si>
  <si>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</si>
  <si>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</si>
  <si>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</si>
  <si>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</si>
  <si>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</si>
  <si>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</si>
  <si>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</si>
  <si>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</si>
  <si>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</si>
  <si>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</si>
  <si>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</si>
  <si>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</si>
  <si>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</si>
  <si>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</si>
  <si>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</si>
  <si>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</si>
  <si>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</si>
  <si>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</si>
  <si>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</si>
  <si>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</si>
  <si>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</si>
  <si>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</si>
  <si>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</si>
  <si>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</si>
  <si>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</si>
  <si>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</si>
  <si>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</si>
  <si>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</si>
  <si>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</si>
  <si>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</si>
  <si>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OFF-PA-10001970</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</si>
  <si>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</si>
  <si>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</si>
  <si>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</si>
  <si>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</si>
  <si>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</si>
  <si>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</si>
  <si>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</si>
  <si>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</si>
  <si>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</si>
  <si>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</si>
  <si>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</si>
  <si>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</si>
  <si>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</si>
  <si>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</si>
  <si>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</si>
  <si>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</si>
  <si>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TEC-AC-10003911</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</si>
  <si>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</si>
  <si>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</si>
  <si>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</si>
  <si>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</si>
  <si>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</si>
  <si>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</si>
  <si>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</si>
  <si>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</si>
  <si>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</si>
  <si>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</si>
  <si>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</si>
  <si>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</si>
  <si>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</si>
  <si>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</si>
  <si>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</si>
  <si>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</si>
  <si>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</si>
  <si>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</si>
  <si>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</si>
  <si>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</si>
  <si>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</si>
  <si>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</si>
  <si>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</si>
  <si>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OFF-ST-10001580</t>
  </si>
  <si>
    <t>OFF-ST-10000934</t>
  </si>
  <si>
    <t>TEC-AC-10000158</t>
  </si>
  <si>
    <t>OFF-PA-10001947</t>
  </si>
  <si>
    <t>OFF-AR-10003478</t>
  </si>
  <si>
    <t>OFF-AP-10004249</t>
  </si>
  <si>
    <t>TEC-CO-10004115</t>
  </si>
  <si>
    <t>OFF-PA-10003724</t>
  </si>
  <si>
    <t>FUR-TA-10002041</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</si>
  <si>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</si>
  <si>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</si>
  <si>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</si>
  <si>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</si>
  <si>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</si>
  <si>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</si>
  <si>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</si>
  <si>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</si>
  <si>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</si>
  <si>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</si>
  <si>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</si>
  <si>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</si>
  <si>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</si>
  <si>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</si>
  <si>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</si>
  <si>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</si>
  <si>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</si>
  <si>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</si>
  <si>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</si>
  <si>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</si>
  <si>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</si>
  <si>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</si>
  <si>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</si>
  <si>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</si>
  <si>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</si>
  <si>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</si>
  <si>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</si>
  <si>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</si>
  <si>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</si>
  <si>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</si>
  <si>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</si>
  <si>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</si>
  <si>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</si>
  <si>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</si>
  <si>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</si>
  <si>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</si>
  <si>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</si>
  <si>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</si>
  <si>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</si>
  <si>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OFF-ST-10000142</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</si>
  <si>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</si>
  <si>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</si>
  <si>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</si>
  <si>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</si>
  <si>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</si>
  <si>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</si>
  <si>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</si>
  <si>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</si>
  <si>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</si>
  <si>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</si>
  <si>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</si>
  <si>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</si>
  <si>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</si>
  <si>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</si>
  <si>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</si>
  <si>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</si>
  <si>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</si>
  <si>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</si>
  <si>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</si>
  <si>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</si>
  <si>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</si>
  <si>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</si>
  <si>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</si>
  <si>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</si>
  <si>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</si>
  <si>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</si>
  <si>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</si>
  <si>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</si>
  <si>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</si>
  <si>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</si>
  <si>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</si>
  <si>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</si>
  <si>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</si>
  <si>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</si>
  <si>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</si>
  <si>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</si>
  <si>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</si>
  <si>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</si>
  <si>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</si>
  <si>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OFF-BI-10001670</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</si>
  <si>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</si>
  <si>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</si>
  <si>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</si>
  <si>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</si>
  <si>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</si>
  <si>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</si>
  <si>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</si>
  <si>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</si>
  <si>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</si>
  <si>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</si>
  <si>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</si>
  <si>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</si>
  <si>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</si>
  <si>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</si>
  <si>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</si>
  <si>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</si>
  <si>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</si>
  <si>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</si>
  <si>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</si>
  <si>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</si>
  <si>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</si>
  <si>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</si>
  <si>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</si>
  <si>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</si>
  <si>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</si>
  <si>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</si>
  <si>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</si>
  <si>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</si>
  <si>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</si>
  <si>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</si>
  <si>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</si>
  <si>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</si>
  <si>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</si>
  <si>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</si>
  <si>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</si>
  <si>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FUR-FU-10000723</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</si>
  <si>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</si>
  <si>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</si>
  <si>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</si>
  <si>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</si>
  <si>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</si>
  <si>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</si>
  <si>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</si>
  <si>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</si>
  <si>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</si>
  <si>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</si>
  <si>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</si>
  <si>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</si>
  <si>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</si>
  <si>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</si>
  <si>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</si>
  <si>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</si>
  <si>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</si>
  <si>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</si>
  <si>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</si>
  <si>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</si>
  <si>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</si>
  <si>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</si>
  <si>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</si>
  <si>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</si>
  <si>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</si>
  <si>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</si>
  <si>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</si>
  <si>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</si>
  <si>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</si>
  <si>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</si>
  <si>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</si>
  <si>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</si>
  <si>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</si>
  <si>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</si>
  <si>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</si>
  <si>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</si>
  <si>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TEC-PH-10001425</t>
  </si>
  <si>
    <t>TEC-PH-10003963</t>
  </si>
  <si>
    <t>OFF-ST-10001490</t>
  </si>
  <si>
    <t>OFF-PA-10002120</t>
  </si>
  <si>
    <t>OFF-BI-10000848</t>
  </si>
  <si>
    <t>TEC-PH-10003092</t>
  </si>
  <si>
    <t>OFF-LA-10004345</t>
  </si>
  <si>
    <t>OFF-PA-10001204</t>
  </si>
  <si>
    <t>TEC-PH-10004667</t>
  </si>
  <si>
    <t>OFF-BI-10002949</t>
  </si>
  <si>
    <t>FUR-FU-10003849</t>
  </si>
  <si>
    <t>FUR-FU-10000010</t>
  </si>
  <si>
    <t>OFF-BI-10002824</t>
  </si>
  <si>
    <t>TEC-PH-10002538</t>
  </si>
  <si>
    <t>OFF-BI-10002103</t>
  </si>
  <si>
    <t>FUR-CH-10004853</t>
  </si>
  <si>
    <t>OFF-AP-10000179</t>
  </si>
  <si>
    <t>OFF-ST-10001272</t>
  </si>
  <si>
    <t>FUR-FU-10000221</t>
  </si>
  <si>
    <t>OFF-AP-10001563</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</si>
  <si>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</si>
  <si>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</si>
  <si>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</si>
  <si>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</si>
  <si>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</si>
  <si>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</si>
  <si>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</si>
  <si>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</si>
  <si>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</si>
  <si>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</si>
  <si>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</si>
  <si>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</si>
  <si>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</si>
  <si>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</si>
  <si>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</si>
  <si>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</si>
  <si>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</si>
  <si>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</si>
  <si>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</si>
  <si>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OFF-BI-10002827</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</si>
  <si>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</si>
  <si>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</si>
  <si>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</si>
  <si>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</si>
  <si>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</si>
  <si>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</si>
  <si>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</si>
  <si>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</si>
  <si>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</si>
  <si>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</si>
  <si>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</si>
  <si>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</si>
  <si>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</si>
  <si>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</si>
  <si>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</si>
  <si>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</si>
  <si>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</si>
  <si>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</si>
  <si>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</si>
  <si>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</si>
  <si>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</si>
  <si>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</si>
  <si>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</si>
  <si>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</si>
  <si>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</si>
  <si>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</si>
  <si>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</si>
  <si>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</si>
  <si>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</si>
  <si>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</si>
  <si>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</si>
  <si>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FUR-BO-10003272</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</si>
  <si>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</si>
  <si>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</si>
  <si>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</si>
  <si>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</si>
  <si>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</si>
  <si>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</si>
  <si>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</si>
  <si>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</si>
  <si>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</si>
  <si>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</si>
  <si>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</si>
  <si>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</si>
  <si>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</si>
  <si>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</si>
  <si>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</si>
  <si>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</si>
  <si>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</si>
  <si>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</si>
  <si>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</si>
  <si>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</si>
  <si>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</si>
  <si>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</si>
  <si>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</si>
  <si>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</si>
  <si>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</si>
  <si>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</si>
  <si>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</si>
  <si>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</si>
  <si>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</si>
  <si>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</si>
  <si>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</si>
  <si>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</si>
  <si>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</si>
  <si>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</si>
  <si>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</si>
  <si>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</si>
  <si>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</si>
  <si>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</si>
  <si>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</si>
  <si>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</si>
  <si>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</si>
  <si>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</si>
  <si>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</si>
  <si>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</si>
  <si>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</si>
  <si>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</si>
  <si>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</si>
  <si>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</si>
  <si>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</si>
  <si>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</si>
  <si>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</si>
  <si>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OFF-LA-10001569</t>
  </si>
  <si>
    <t>OFF-PA-10000176</t>
  </si>
  <si>
    <t>OFF-LA-10002271</t>
  </si>
  <si>
    <t>FUR-FU-10004090</t>
  </si>
  <si>
    <t>OFF-AP-10000576</t>
  </si>
  <si>
    <t>OFF-PA-10003953</t>
  </si>
  <si>
    <t>FUR-FU-10000794</t>
  </si>
  <si>
    <t>OFF-AR-10001897</t>
  </si>
  <si>
    <t>TEC-PH-10001795</t>
  </si>
  <si>
    <t>TEC-AC-10004901</t>
  </si>
  <si>
    <t>OFF-AR-10003190</t>
  </si>
  <si>
    <t>OFF-AP-10000240</t>
  </si>
  <si>
    <t>TEC-AC-10001838</t>
  </si>
  <si>
    <t>OFF-PA-10003651</t>
  </si>
  <si>
    <t>OFF-BI-10003094</t>
  </si>
  <si>
    <t>FUR-CH-10001394</t>
  </si>
  <si>
    <t>OFF-BI-10004230</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</si>
  <si>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</si>
  <si>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</si>
  <si>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</si>
  <si>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</si>
  <si>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</si>
  <si>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</si>
  <si>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</si>
  <si>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</si>
  <si>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</si>
  <si>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</si>
  <si>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</si>
  <si>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</si>
  <si>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</si>
  <si>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</si>
  <si>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</si>
  <si>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</si>
  <si>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</si>
  <si>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</si>
  <si>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</si>
  <si>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</si>
  <si>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</si>
  <si>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</si>
  <si>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</si>
  <si>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</si>
  <si>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</si>
  <si>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</si>
  <si>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</si>
  <si>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</si>
  <si>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</si>
  <si>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</si>
  <si>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</si>
  <si>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</si>
  <si>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</si>
  <si>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</si>
  <si>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</si>
  <si>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</si>
  <si>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</si>
  <si>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</si>
  <si>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</si>
  <si>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</si>
  <si>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</si>
  <si>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</si>
  <si>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</si>
  <si>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</si>
  <si>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</si>
  <si>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</si>
  <si>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</si>
  <si>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</si>
  <si>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</si>
  <si>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</si>
  <si>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</si>
  <si>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</si>
  <si>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</si>
  <si>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</si>
  <si>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</si>
  <si>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</si>
  <si>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</si>
  <si>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</si>
  <si>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</si>
  <si>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</si>
  <si>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</si>
  <si>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</si>
  <si>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</si>
  <si>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</si>
  <si>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</si>
  <si>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</si>
  <si>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</si>
  <si>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</si>
  <si>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</si>
  <si>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</si>
  <si>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</si>
  <si>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</si>
  <si>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</si>
  <si>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</si>
  <si>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</si>
  <si>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OFF-AP-10003040</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</si>
  <si>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</si>
  <si>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</si>
  <si>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</si>
  <si>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</si>
  <si>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</si>
  <si>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</si>
  <si>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</si>
  <si>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</si>
  <si>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</si>
  <si>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</si>
  <si>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</si>
  <si>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</si>
  <si>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</si>
  <si>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</si>
  <si>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</si>
  <si>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</si>
  <si>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</si>
  <si>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</si>
  <si>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</si>
  <si>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</si>
  <si>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OFF-PA-10004156</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</si>
  <si>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</si>
  <si>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</si>
  <si>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</si>
  <si>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</si>
  <si>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</si>
  <si>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</si>
  <si>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</si>
  <si>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</si>
  <si>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</si>
  <si>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</si>
  <si>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</si>
  <si>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</si>
  <si>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</si>
  <si>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</si>
  <si>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</si>
  <si>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</si>
  <si>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</si>
  <si>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</si>
  <si>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</si>
  <si>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</si>
  <si>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</si>
  <si>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</si>
  <si>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</si>
  <si>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</si>
  <si>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</si>
  <si>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</si>
  <si>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</si>
  <si>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</si>
  <si>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</si>
  <si>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</si>
  <si>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</si>
  <si>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</si>
  <si>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</si>
  <si>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</si>
  <si>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OFF-AR-10004790</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</si>
  <si>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</si>
  <si>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</si>
  <si>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</si>
  <si>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</si>
  <si>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</si>
  <si>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</si>
  <si>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</si>
  <si>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</si>
  <si>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</si>
  <si>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</si>
  <si>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</si>
  <si>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</si>
  <si>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</si>
  <si>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</si>
  <si>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</si>
  <si>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</si>
  <si>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</si>
  <si>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</si>
  <si>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</si>
  <si>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</si>
  <si>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</si>
  <si>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</si>
  <si>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</si>
  <si>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</si>
  <si>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</si>
  <si>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</si>
  <si>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</si>
  <si>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</si>
  <si>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</si>
  <si>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</si>
  <si>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</si>
  <si>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</si>
  <si>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</si>
  <si>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</si>
  <si>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</si>
  <si>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</si>
  <si>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</si>
  <si>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</si>
  <si>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</si>
  <si>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</si>
  <si>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</si>
  <si>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</si>
  <si>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</si>
  <si>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</si>
  <si>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</si>
  <si>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</si>
  <si>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</si>
  <si>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</si>
  <si>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</si>
  <si>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</si>
  <si>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</si>
  <si>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</si>
  <si>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</si>
  <si>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</si>
  <si>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</si>
  <si>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</si>
  <si>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</si>
  <si>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</si>
  <si>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</si>
  <si>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</si>
  <si>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</si>
  <si>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</si>
  <si>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</si>
  <si>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</si>
  <si>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</si>
  <si>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</si>
  <si>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</si>
  <si>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</si>
  <si>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</si>
  <si>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</si>
  <si>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</si>
  <si>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</si>
  <si>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</si>
  <si>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OFF-ST-10002352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</si>
  <si>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</si>
  <si>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</si>
  <si>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</si>
  <si>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</si>
  <si>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</si>
  <si>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</si>
  <si>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</si>
  <si>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</si>
  <si>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</si>
  <si>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</si>
  <si>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</si>
  <si>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</si>
  <si>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</si>
  <si>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</si>
  <si>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</si>
  <si>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</si>
  <si>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</si>
  <si>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</si>
  <si>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</si>
  <si>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</si>
  <si>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</si>
  <si>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</si>
  <si>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</si>
  <si>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</si>
  <si>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</si>
  <si>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</si>
  <si>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</si>
  <si>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</si>
  <si>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</si>
  <si>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</si>
  <si>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</si>
  <si>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</si>
  <si>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</si>
  <si>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</si>
  <si>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</si>
  <si>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</si>
  <si>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</si>
  <si>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</si>
  <si>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</si>
  <si>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</si>
  <si>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</si>
  <si>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</si>
  <si>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</si>
  <si>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</si>
  <si>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</si>
  <si>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</si>
  <si>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</si>
  <si>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</si>
  <si>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</si>
  <si>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</si>
  <si>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</si>
  <si>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</si>
  <si>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</si>
  <si>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</si>
  <si>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</si>
  <si>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</si>
  <si>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</si>
  <si>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</si>
  <si>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</si>
  <si>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OFF-PA-10000994</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</si>
  <si>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</si>
  <si>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</si>
  <si>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</si>
  <si>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</si>
  <si>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</si>
  <si>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</si>
  <si>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</si>
  <si>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</si>
  <si>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</si>
  <si>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</si>
  <si>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</si>
  <si>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</si>
  <si>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</si>
  <si>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</si>
  <si>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</si>
  <si>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</si>
  <si>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</si>
  <si>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</si>
  <si>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</si>
  <si>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</si>
  <si>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</si>
  <si>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</si>
  <si>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</si>
  <si>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</si>
  <si>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</si>
  <si>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</si>
  <si>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</si>
  <si>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</si>
  <si>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OFF-AR-10003829</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</si>
  <si>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</si>
  <si>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</si>
  <si>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</si>
  <si>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</si>
  <si>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</si>
  <si>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</si>
  <si>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</si>
  <si>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</si>
  <si>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</si>
  <si>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</si>
  <si>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</si>
  <si>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</si>
  <si>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</si>
  <si>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</si>
  <si>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</si>
  <si>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</si>
  <si>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</si>
  <si>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</si>
  <si>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</si>
  <si>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</si>
  <si>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</si>
  <si>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</si>
  <si>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</si>
  <si>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</si>
  <si>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</si>
  <si>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</si>
  <si>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</si>
  <si>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</si>
  <si>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</si>
  <si>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</si>
  <si>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</si>
  <si>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</si>
  <si>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</si>
  <si>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</si>
  <si>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</si>
  <si>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</si>
  <si>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</si>
  <si>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</si>
  <si>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</si>
  <si>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</si>
  <si>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</si>
  <si>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</si>
  <si>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</si>
  <si>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</si>
  <si>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</si>
  <si>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</si>
  <si>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</si>
  <si>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</si>
  <si>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</si>
  <si>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</si>
  <si>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</si>
  <si>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</si>
  <si>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</si>
  <si>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</si>
  <si>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</si>
  <si>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</si>
  <si>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</si>
  <si>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</si>
  <si>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</si>
  <si>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</si>
  <si>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</si>
  <si>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</si>
  <si>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</si>
  <si>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</si>
  <si>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</si>
  <si>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</si>
  <si>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</si>
  <si>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</si>
  <si>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</si>
  <si>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</si>
  <si>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</si>
  <si>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</si>
  <si>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</si>
  <si>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</si>
  <si>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</si>
  <si>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</si>
  <si>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</si>
  <si>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</si>
  <si>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</si>
  <si>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</si>
  <si>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</si>
  <si>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</si>
  <si>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</si>
  <si>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</si>
  <si>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</si>
  <si>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</si>
  <si>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</si>
  <si>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</si>
  <si>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</si>
  <si>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</si>
  <si>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</si>
  <si>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</si>
  <si>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</si>
  <si>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</si>
  <si>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</si>
  <si>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</si>
  <si>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</si>
  <si>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</si>
  <si>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</si>
  <si>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</si>
  <si>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</si>
  <si>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</si>
  <si>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</si>
  <si>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</si>
  <si>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</si>
  <si>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</si>
  <si>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</si>
  <si>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</si>
  <si>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</si>
  <si>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</si>
  <si>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</si>
  <si>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</si>
  <si>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</si>
  <si>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</si>
  <si>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</si>
  <si>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</si>
  <si>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TEC-AC-10004855</t>
  </si>
  <si>
    <t>OFF-AR-10001915</t>
  </si>
  <si>
    <t>OFF-ST-10000352</t>
  </si>
  <si>
    <t>OFF-PA-10000575</t>
  </si>
  <si>
    <t>FUR-FU-10002937</t>
  </si>
  <si>
    <t>TEC-AC-10003063</t>
  </si>
  <si>
    <t>FUR-FU-10004415</t>
  </si>
  <si>
    <t>OFF-ST-10002011</t>
  </si>
  <si>
    <t>TEC-PH-10000038</t>
  </si>
  <si>
    <t>OFF-PA-10002689</t>
  </si>
  <si>
    <t>TEC-CO-10001766</t>
  </si>
  <si>
    <t>OFF-PA-10004359</t>
  </si>
  <si>
    <t>OFF-FA-10001135</t>
  </si>
  <si>
    <t>OFF-BI-10004224</t>
  </si>
  <si>
    <t>TEC-PH-10003357</t>
  </si>
  <si>
    <t>OFF-PA-10004475</t>
  </si>
  <si>
    <t>OFF-PA-10003001</t>
  </si>
  <si>
    <t>OFF-FA-10000611</t>
  </si>
  <si>
    <t>OFF-BI-10001116</t>
  </si>
  <si>
    <t>TEC-PH-10004922</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</si>
  <si>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</si>
  <si>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</si>
  <si>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</si>
  <si>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</si>
  <si>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</si>
  <si>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</si>
  <si>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</si>
  <si>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</si>
  <si>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</si>
  <si>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</si>
  <si>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</si>
  <si>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</si>
  <si>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</si>
  <si>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</si>
  <si>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</si>
  <si>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</si>
  <si>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</si>
  <si>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</si>
  <si>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</si>
  <si>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</si>
  <si>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</si>
  <si>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</si>
  <si>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</si>
  <si>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</si>
  <si>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</si>
  <si>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</si>
  <si>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</si>
  <si>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</si>
  <si>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</si>
  <si>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</si>
  <si>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</si>
  <si>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</si>
  <si>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</si>
  <si>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</si>
  <si>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</si>
  <si>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</si>
  <si>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</si>
  <si>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</si>
  <si>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</si>
  <si>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</si>
  <si>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</si>
  <si>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</si>
  <si>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</si>
  <si>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</si>
  <si>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</si>
  <si>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OFF-AR-10000475</t>
  </si>
  <si>
    <t>TEC-PH-10000455</t>
  </si>
  <si>
    <t>OFF-PA-10001994</t>
  </si>
  <si>
    <t>TEC-AC-10002926</t>
  </si>
  <si>
    <t>TEC-PH-10004897</t>
  </si>
  <si>
    <t>FUR-FU-10001196</t>
  </si>
  <si>
    <t>OFF-PA-10000595</t>
  </si>
  <si>
    <t>OFF-LA-10000443</t>
  </si>
  <si>
    <t>OFF-LA-10001771</t>
  </si>
  <si>
    <t>OFF-AP-10001394</t>
  </si>
  <si>
    <t>FUR-FU-10002553</t>
  </si>
  <si>
    <t>OFF-AP-10004233</t>
  </si>
  <si>
    <t>FUR-CH-10004754</t>
  </si>
  <si>
    <t>OFF-PA-10000809</t>
  </si>
  <si>
    <t>INDEX</t>
  </si>
  <si>
    <t>ORDER ID</t>
  </si>
  <si>
    <t>DATE</t>
  </si>
  <si>
    <t>SHIP MODE</t>
  </si>
  <si>
    <t>CUSTOMER ID</t>
  </si>
  <si>
    <t>PRODUCT ID</t>
  </si>
  <si>
    <t>CATEGORY</t>
  </si>
  <si>
    <t>SUB-CATEGORY</t>
  </si>
  <si>
    <t>CURRENCY</t>
  </si>
  <si>
    <t>SHIP COUNTRY</t>
  </si>
  <si>
    <t>SALES</t>
  </si>
  <si>
    <t>QUANTITY</t>
  </si>
  <si>
    <t>DISCOUNT</t>
  </si>
  <si>
    <t>PROFIT</t>
  </si>
  <si>
    <t>POSTAL CODE</t>
  </si>
  <si>
    <t>YEAR</t>
  </si>
  <si>
    <t>Sum of SALES</t>
  </si>
  <si>
    <t>Sum of QUANTITY</t>
  </si>
  <si>
    <t>Sum of PROFIT</t>
  </si>
  <si>
    <t>2021</t>
  </si>
  <si>
    <t>2022</t>
  </si>
  <si>
    <t>2023</t>
  </si>
  <si>
    <t>2024</t>
  </si>
  <si>
    <t>2025</t>
  </si>
  <si>
    <t>Row Labels</t>
  </si>
  <si>
    <t>Grand Total</t>
  </si>
  <si>
    <t>Total Sales</t>
  </si>
  <si>
    <t>Total Profit</t>
  </si>
  <si>
    <t>Jan</t>
  </si>
  <si>
    <t>Feb</t>
  </si>
  <si>
    <t>Mar</t>
  </si>
  <si>
    <t>Apr</t>
  </si>
  <si>
    <t>May</t>
  </si>
  <si>
    <t>Jun</t>
  </si>
  <si>
    <t>Jul</t>
  </si>
  <si>
    <t>Aug</t>
  </si>
  <si>
    <t>Sep</t>
  </si>
  <si>
    <t>Oct</t>
  </si>
  <si>
    <t>Nov</t>
  </si>
  <si>
    <t>Dec</t>
  </si>
  <si>
    <t>Average of PROFIT</t>
  </si>
  <si>
    <t>COST</t>
  </si>
  <si>
    <t>REVIEWS</t>
  </si>
  <si>
    <t>Automotive</t>
  </si>
  <si>
    <t>Books</t>
  </si>
  <si>
    <t>Electronics</t>
  </si>
  <si>
    <t>Fashion</t>
  </si>
  <si>
    <t>Grocery</t>
  </si>
  <si>
    <t>Home &amp; Kitchen</t>
  </si>
  <si>
    <t>Pet Supplies</t>
  </si>
  <si>
    <t>Sports</t>
  </si>
  <si>
    <t>Toys</t>
  </si>
  <si>
    <t>Category</t>
  </si>
  <si>
    <t>Count of INDEX</t>
  </si>
  <si>
    <t>Average of REVIEWS</t>
  </si>
  <si>
    <t>Average of SALES</t>
  </si>
  <si>
    <t>Impressions</t>
  </si>
  <si>
    <t>Clicks</t>
  </si>
  <si>
    <t>CTR</t>
  </si>
  <si>
    <t>Average of DISCOUNT</t>
  </si>
  <si>
    <t>STATE</t>
  </si>
  <si>
    <t>Andhra Pradesh</t>
  </si>
  <si>
    <t>Assam</t>
  </si>
  <si>
    <t>Bihar</t>
  </si>
  <si>
    <t>Goa</t>
  </si>
  <si>
    <t>Gujarat</t>
  </si>
  <si>
    <t>Haryana</t>
  </si>
  <si>
    <t>Jharkhand</t>
  </si>
  <si>
    <t>Karnataka</t>
  </si>
  <si>
    <t>Kerala</t>
  </si>
  <si>
    <t>Maharashtra</t>
  </si>
  <si>
    <t>Manipur</t>
  </si>
  <si>
    <t>Meghalaya</t>
  </si>
  <si>
    <t>Mizoram</t>
  </si>
  <si>
    <t>Nagaland</t>
  </si>
  <si>
    <t>Odisha</t>
  </si>
  <si>
    <t>Punjab</t>
  </si>
  <si>
    <t>Rajasthan</t>
  </si>
  <si>
    <t>Sikkim</t>
  </si>
  <si>
    <t>Tamil Nadu</t>
  </si>
  <si>
    <t>Telangana</t>
  </si>
  <si>
    <t>Tripura</t>
  </si>
  <si>
    <t>Uttar Pradesh</t>
  </si>
  <si>
    <t>West Bengal</t>
  </si>
  <si>
    <t>BH74</t>
  </si>
  <si>
    <t>UN43</t>
  </si>
  <si>
    <t>EI33</t>
  </si>
  <si>
    <t>XB18</t>
  </si>
  <si>
    <t>WE63</t>
  </si>
  <si>
    <t>DW52</t>
  </si>
  <si>
    <t>TV25</t>
  </si>
  <si>
    <t>UC87</t>
  </si>
  <si>
    <t>DN66</t>
  </si>
  <si>
    <t>DZ43</t>
  </si>
  <si>
    <t>MD48</t>
  </si>
  <si>
    <t>XN89</t>
  </si>
  <si>
    <t>XO69</t>
  </si>
  <si>
    <t>UG95</t>
  </si>
  <si>
    <t>YG13</t>
  </si>
  <si>
    <t>YR91</t>
  </si>
  <si>
    <t>GT14</t>
  </si>
  <si>
    <t>OV46</t>
  </si>
  <si>
    <t>IP73</t>
  </si>
  <si>
    <t>UZ43</t>
  </si>
  <si>
    <t>NQ68</t>
  </si>
  <si>
    <t>JN21</t>
  </si>
  <si>
    <t>VS45</t>
  </si>
  <si>
    <t>JG39</t>
  </si>
  <si>
    <t>AV18</t>
  </si>
  <si>
    <t>CZ51</t>
  </si>
  <si>
    <t>UM30</t>
  </si>
  <si>
    <t>JE90</t>
  </si>
  <si>
    <t>TB54</t>
  </si>
  <si>
    <t>FL56</t>
  </si>
  <si>
    <t>FF45</t>
  </si>
  <si>
    <t>KG55</t>
  </si>
  <si>
    <t>RZ76</t>
  </si>
  <si>
    <t>WW35</t>
  </si>
  <si>
    <t>HQ10</t>
  </si>
  <si>
    <t>AM19</t>
  </si>
  <si>
    <t>SH22</t>
  </si>
  <si>
    <t>TJ37</t>
  </si>
  <si>
    <t>KO25</t>
  </si>
  <si>
    <t>SU76</t>
  </si>
  <si>
    <t>PB40</t>
  </si>
  <si>
    <t>DQ33</t>
  </si>
  <si>
    <t>YM61</t>
  </si>
  <si>
    <t>DF32</t>
  </si>
  <si>
    <t>MX64</t>
  </si>
  <si>
    <t>UP94</t>
  </si>
  <si>
    <t>DE61</t>
  </si>
  <si>
    <t>SF61</t>
  </si>
  <si>
    <t>JP98</t>
  </si>
  <si>
    <t>BS84</t>
  </si>
  <si>
    <t>JK94</t>
  </si>
  <si>
    <t>TJ76</t>
  </si>
  <si>
    <t>IJ86</t>
  </si>
  <si>
    <t>GU25</t>
  </si>
  <si>
    <t>CX36</t>
  </si>
  <si>
    <t>WV50</t>
  </si>
  <si>
    <t>QM53</t>
  </si>
  <si>
    <t>XE44</t>
  </si>
  <si>
    <t>XO38</t>
  </si>
  <si>
    <t>UV60</t>
  </si>
  <si>
    <t>QD90</t>
  </si>
  <si>
    <t>ZW50</t>
  </si>
  <si>
    <t>KM76</t>
  </si>
  <si>
    <t>RG91</t>
  </si>
  <si>
    <t>GR17</t>
  </si>
  <si>
    <t>ER85</t>
  </si>
  <si>
    <t>MG62</t>
  </si>
  <si>
    <t>EY78</t>
  </si>
  <si>
    <t>NK59</t>
  </si>
  <si>
    <t>RZ74</t>
  </si>
  <si>
    <t>IB30</t>
  </si>
  <si>
    <t>GA34</t>
  </si>
  <si>
    <t>FW56</t>
  </si>
  <si>
    <t>VG94</t>
  </si>
  <si>
    <t>WT38</t>
  </si>
  <si>
    <t>XY64</t>
  </si>
  <si>
    <t>EH63</t>
  </si>
  <si>
    <t>GR52</t>
  </si>
  <si>
    <t>DF93</t>
  </si>
  <si>
    <t>PI47</t>
  </si>
  <si>
    <t>WF80</t>
  </si>
  <si>
    <t>SO92</t>
  </si>
  <si>
    <t>NS69</t>
  </si>
  <si>
    <t>MA93</t>
  </si>
  <si>
    <t>PZ38</t>
  </si>
  <si>
    <t>KT87</t>
  </si>
  <si>
    <t>PQ31</t>
  </si>
  <si>
    <t>BI90</t>
  </si>
  <si>
    <t>TR15</t>
  </si>
  <si>
    <t>NQ21</t>
  </si>
  <si>
    <t>RM26</t>
  </si>
  <si>
    <t>YJ62</t>
  </si>
  <si>
    <t>XD83</t>
  </si>
  <si>
    <t>FO62</t>
  </si>
  <si>
    <t>EY61</t>
  </si>
  <si>
    <t>JJ22</t>
  </si>
  <si>
    <t>TA31</t>
  </si>
  <si>
    <t>TU75</t>
  </si>
  <si>
    <t>KW31</t>
  </si>
  <si>
    <t>OS38</t>
  </si>
  <si>
    <t>DL94</t>
  </si>
  <si>
    <t>XN95</t>
  </si>
  <si>
    <t>EW30</t>
  </si>
  <si>
    <t>QH81</t>
  </si>
  <si>
    <t>TC67</t>
  </si>
  <si>
    <t>AI97</t>
  </si>
  <si>
    <t>LS12</t>
  </si>
  <si>
    <t>QA45</t>
  </si>
  <si>
    <t>ST51</t>
  </si>
  <si>
    <t>BS47</t>
  </si>
  <si>
    <t>JY92</t>
  </si>
  <si>
    <t>KT34</t>
  </si>
  <si>
    <t>JK44</t>
  </si>
  <si>
    <t>HG63</t>
  </si>
  <si>
    <t>KW87</t>
  </si>
  <si>
    <t>HJ75</t>
  </si>
  <si>
    <t>ZO38</t>
  </si>
  <si>
    <t>NK42</t>
  </si>
  <si>
    <t>ZO51</t>
  </si>
  <si>
    <t>OJ56</t>
  </si>
  <si>
    <t>RG33</t>
  </si>
  <si>
    <t>PY24</t>
  </si>
  <si>
    <t>MO80</t>
  </si>
  <si>
    <t>QI98</t>
  </si>
  <si>
    <t>DA45</t>
  </si>
  <si>
    <t>SJ47</t>
  </si>
  <si>
    <t>MC72</t>
  </si>
  <si>
    <t>DN81</t>
  </si>
  <si>
    <t>YD66</t>
  </si>
  <si>
    <t>XJ92</t>
  </si>
  <si>
    <t>KD85</t>
  </si>
  <si>
    <t>LA89</t>
  </si>
  <si>
    <t>OU92</t>
  </si>
  <si>
    <t>QT78</t>
  </si>
  <si>
    <t>MC53</t>
  </si>
  <si>
    <t>ZL28</t>
  </si>
  <si>
    <t>ZH84</t>
  </si>
  <si>
    <t>RF27</t>
  </si>
  <si>
    <t>AY63</t>
  </si>
  <si>
    <t>VL39</t>
  </si>
  <si>
    <t>MI41</t>
  </si>
  <si>
    <t>SY11</t>
  </si>
  <si>
    <t>LO18</t>
  </si>
  <si>
    <t>SZ20</t>
  </si>
  <si>
    <t>KJ99</t>
  </si>
  <si>
    <t>QQ57</t>
  </si>
  <si>
    <t>ZH44</t>
  </si>
  <si>
    <t>SL79</t>
  </si>
  <si>
    <t>LI99</t>
  </si>
  <si>
    <t>QA84</t>
  </si>
  <si>
    <t>QT83</t>
  </si>
  <si>
    <t>SJ50</t>
  </si>
  <si>
    <t>GG59</t>
  </si>
  <si>
    <t>WE39</t>
  </si>
  <si>
    <t>BQ98</t>
  </si>
  <si>
    <t>YF85</t>
  </si>
  <si>
    <t>ZV80</t>
  </si>
  <si>
    <t>AO30</t>
  </si>
  <si>
    <t>GD65</t>
  </si>
  <si>
    <t>CO88</t>
  </si>
  <si>
    <t>FB24</t>
  </si>
  <si>
    <t>UA18</t>
  </si>
  <si>
    <t>BV55</t>
  </si>
  <si>
    <t>RR81</t>
  </si>
  <si>
    <t>UO94</t>
  </si>
  <si>
    <t>BY36</t>
  </si>
  <si>
    <t>QH90</t>
  </si>
  <si>
    <t>CC86</t>
  </si>
  <si>
    <t>VC10</t>
  </si>
  <si>
    <t>TB88</t>
  </si>
  <si>
    <t>ZO22</t>
  </si>
  <si>
    <t>UD22</t>
  </si>
  <si>
    <t>QD42</t>
  </si>
  <si>
    <t>FW44</t>
  </si>
  <si>
    <t>EC16</t>
  </si>
  <si>
    <t>BL85</t>
  </si>
  <si>
    <t>BC29</t>
  </si>
  <si>
    <t>TG31</t>
  </si>
  <si>
    <t>JY65</t>
  </si>
  <si>
    <t>WI15</t>
  </si>
  <si>
    <t>RA54</t>
  </si>
  <si>
    <t>NK87</t>
  </si>
  <si>
    <t>YD24</t>
  </si>
  <si>
    <t>RV14</t>
  </si>
  <si>
    <t>ZO33</t>
  </si>
  <si>
    <t>GV66</t>
  </si>
  <si>
    <t>GR12</t>
  </si>
  <si>
    <t>JS60</t>
  </si>
  <si>
    <t>SX42</t>
  </si>
  <si>
    <t>SL32</t>
  </si>
  <si>
    <t>MI96</t>
  </si>
  <si>
    <t>XM44</t>
  </si>
  <si>
    <t>AA85</t>
  </si>
  <si>
    <t>KA26</t>
  </si>
  <si>
    <t>JR23</t>
  </si>
  <si>
    <t>EI43</t>
  </si>
  <si>
    <t>TI88</t>
  </si>
  <si>
    <t>MH58</t>
  </si>
  <si>
    <t>UY91</t>
  </si>
  <si>
    <t>SL39</t>
  </si>
  <si>
    <t>AJ14</t>
  </si>
  <si>
    <t>VJ42</t>
  </si>
  <si>
    <t>DN98</t>
  </si>
  <si>
    <t>HR11</t>
  </si>
  <si>
    <t>AS54</t>
  </si>
  <si>
    <t>BQ54</t>
  </si>
  <si>
    <t>MY30</t>
  </si>
  <si>
    <t>SY22</t>
  </si>
  <si>
    <t>YN52</t>
  </si>
  <si>
    <t>SM31</t>
  </si>
  <si>
    <t>MZ57</t>
  </si>
  <si>
    <t>TG51</t>
  </si>
  <si>
    <t>TH10</t>
  </si>
  <si>
    <t>WM49</t>
  </si>
  <si>
    <t>FL62</t>
  </si>
  <si>
    <t>HX33</t>
  </si>
  <si>
    <t>VU56</t>
  </si>
  <si>
    <t>XM58</t>
  </si>
  <si>
    <t>UR86</t>
  </si>
  <si>
    <t>MQ53</t>
  </si>
  <si>
    <t>PW11</t>
  </si>
  <si>
    <t>MP77</t>
  </si>
  <si>
    <t>WP35</t>
  </si>
  <si>
    <t>AJ38</t>
  </si>
  <si>
    <t>HH67</t>
  </si>
  <si>
    <t>QR88</t>
  </si>
  <si>
    <t>XA96</t>
  </si>
  <si>
    <t>LK84</t>
  </si>
  <si>
    <t>WV21</t>
  </si>
  <si>
    <t>PF14</t>
  </si>
  <si>
    <t>SN75</t>
  </si>
  <si>
    <t>OT84</t>
  </si>
  <si>
    <t>JW78</t>
  </si>
  <si>
    <t>AG90</t>
  </si>
  <si>
    <t>WV93</t>
  </si>
  <si>
    <t>GH84</t>
  </si>
  <si>
    <t>FX78</t>
  </si>
  <si>
    <t>VJ69</t>
  </si>
  <si>
    <t>TX66</t>
  </si>
  <si>
    <t>OL20</t>
  </si>
  <si>
    <t>CZ60</t>
  </si>
  <si>
    <t>JZ65</t>
  </si>
  <si>
    <t>PY45</t>
  </si>
  <si>
    <t>DP62</t>
  </si>
  <si>
    <t>OS81</t>
  </si>
  <si>
    <t>ZS64</t>
  </si>
  <si>
    <t>GJ20</t>
  </si>
  <si>
    <t>LP68</t>
  </si>
  <si>
    <t>EG59</t>
  </si>
  <si>
    <t>MU12</t>
  </si>
  <si>
    <t>MY23</t>
  </si>
  <si>
    <t>IZ50</t>
  </si>
  <si>
    <t>RM31</t>
  </si>
  <si>
    <t>CR91</t>
  </si>
  <si>
    <t>EA63</t>
  </si>
  <si>
    <t>EP53</t>
  </si>
  <si>
    <t>TZ95</t>
  </si>
  <si>
    <t>RJ45</t>
  </si>
  <si>
    <t>WH23</t>
  </si>
  <si>
    <t>LY63</t>
  </si>
  <si>
    <t>BE18</t>
  </si>
  <si>
    <t>KV89</t>
  </si>
  <si>
    <t>AY68</t>
  </si>
  <si>
    <t>HJ81</t>
  </si>
  <si>
    <t>JP13</t>
  </si>
  <si>
    <t>JF81</t>
  </si>
  <si>
    <t>YF32</t>
  </si>
  <si>
    <t>VX83</t>
  </si>
  <si>
    <t>GU96</t>
  </si>
  <si>
    <t>UR23</t>
  </si>
  <si>
    <t>KF67</t>
  </si>
  <si>
    <t>YB73</t>
  </si>
  <si>
    <t>EI83</t>
  </si>
  <si>
    <t>TC65</t>
  </si>
  <si>
    <t>RW60</t>
  </si>
  <si>
    <t>DM78</t>
  </si>
  <si>
    <t>SI26</t>
  </si>
  <si>
    <t>XX98</t>
  </si>
  <si>
    <t>IL41</t>
  </si>
  <si>
    <t>EU56</t>
  </si>
  <si>
    <t>XO16</t>
  </si>
  <si>
    <t>BE58</t>
  </si>
  <si>
    <t>OO47</t>
  </si>
  <si>
    <t>IB45</t>
  </si>
  <si>
    <t>WY90</t>
  </si>
  <si>
    <t>ME84</t>
  </si>
  <si>
    <t>TX34</t>
  </si>
  <si>
    <t>UQ32</t>
  </si>
  <si>
    <t>LM84</t>
  </si>
  <si>
    <t>JJ25</t>
  </si>
  <si>
    <t>KQ45</t>
  </si>
  <si>
    <t>HP39</t>
  </si>
  <si>
    <t>MS13</t>
  </si>
  <si>
    <t>HJ61</t>
  </si>
  <si>
    <t>XB62</t>
  </si>
  <si>
    <t>GN19</t>
  </si>
  <si>
    <t>HM17</t>
  </si>
  <si>
    <t>KY80</t>
  </si>
  <si>
    <t>KQ21</t>
  </si>
  <si>
    <t>FM53</t>
  </si>
  <si>
    <t>DV94</t>
  </si>
  <si>
    <t>ES40</t>
  </si>
  <si>
    <t>OZ82</t>
  </si>
  <si>
    <t>CL72</t>
  </si>
  <si>
    <t>BC46</t>
  </si>
  <si>
    <t>QX35</t>
  </si>
  <si>
    <t>BB61</t>
  </si>
  <si>
    <t>FU31</t>
  </si>
  <si>
    <t>FK94</t>
  </si>
  <si>
    <t>MI58</t>
  </si>
  <si>
    <t>DU46</t>
  </si>
  <si>
    <t>EH90</t>
  </si>
  <si>
    <t>EG54</t>
  </si>
  <si>
    <t>VE96</t>
  </si>
  <si>
    <t>YF56</t>
  </si>
  <si>
    <t>YM60</t>
  </si>
  <si>
    <t>MS10</t>
  </si>
  <si>
    <t>AL90</t>
  </si>
  <si>
    <t>NF38</t>
  </si>
  <si>
    <t>RL56</t>
  </si>
  <si>
    <t>JD72</t>
  </si>
  <si>
    <t>EQ39</t>
  </si>
  <si>
    <t>CQ54</t>
  </si>
  <si>
    <t>MT91</t>
  </si>
  <si>
    <t>WS66</t>
  </si>
  <si>
    <t>SC42</t>
  </si>
  <si>
    <t>AP37</t>
  </si>
  <si>
    <t>NL97</t>
  </si>
  <si>
    <t>UT36</t>
  </si>
  <si>
    <t>BD70</t>
  </si>
  <si>
    <t>NP54</t>
  </si>
  <si>
    <t>YD47</t>
  </si>
  <si>
    <t>SG52</t>
  </si>
  <si>
    <t>FN98</t>
  </si>
  <si>
    <t>HR96</t>
  </si>
  <si>
    <t>SV56</t>
  </si>
  <si>
    <t>NQ64</t>
  </si>
  <si>
    <t>LC74</t>
  </si>
  <si>
    <t>JN32</t>
  </si>
  <si>
    <t>BF30</t>
  </si>
  <si>
    <t>UA44</t>
  </si>
  <si>
    <t>YX39</t>
  </si>
  <si>
    <t>IO74</t>
  </si>
  <si>
    <t>UN51</t>
  </si>
  <si>
    <t>HV75</t>
  </si>
  <si>
    <t>AW24</t>
  </si>
  <si>
    <t>OI57</t>
  </si>
  <si>
    <t>JP75</t>
  </si>
  <si>
    <t>GC11</t>
  </si>
  <si>
    <t>MK33</t>
  </si>
  <si>
    <t>ES57</t>
  </si>
  <si>
    <t>UV44</t>
  </si>
  <si>
    <t>YL57</t>
  </si>
  <si>
    <t>VF12</t>
  </si>
  <si>
    <t>AD45</t>
  </si>
  <si>
    <t>VR32</t>
  </si>
  <si>
    <t>XD68</t>
  </si>
  <si>
    <t>RJ43</t>
  </si>
  <si>
    <t>TE35</t>
  </si>
  <si>
    <t>MF43</t>
  </si>
  <si>
    <t>RD76</t>
  </si>
  <si>
    <t>DM81</t>
  </si>
  <si>
    <t>KF82</t>
  </si>
  <si>
    <t>BF98</t>
  </si>
  <si>
    <t>JA90</t>
  </si>
  <si>
    <t>XT72</t>
  </si>
  <si>
    <t>WT36</t>
  </si>
  <si>
    <t>MU43</t>
  </si>
  <si>
    <t>BA83</t>
  </si>
  <si>
    <t>FR63</t>
  </si>
  <si>
    <t>YI75</t>
  </si>
  <si>
    <t>OV33</t>
  </si>
  <si>
    <t>VC72</t>
  </si>
  <si>
    <t>VA15</t>
  </si>
  <si>
    <t>UZ92</t>
  </si>
  <si>
    <t>JF30</t>
  </si>
  <si>
    <t>BF23</t>
  </si>
  <si>
    <t>CY39</t>
  </si>
  <si>
    <t>AV38</t>
  </si>
  <si>
    <t>XQ33</t>
  </si>
  <si>
    <t>SY83</t>
  </si>
  <si>
    <t>KB67</t>
  </si>
  <si>
    <t>JN82</t>
  </si>
  <si>
    <t>TU71</t>
  </si>
  <si>
    <t>XR82</t>
  </si>
  <si>
    <t>WR20</t>
  </si>
  <si>
    <t>YI71</t>
  </si>
  <si>
    <t>YF20</t>
  </si>
  <si>
    <t>CL34</t>
  </si>
  <si>
    <t>RM32</t>
  </si>
  <si>
    <t>WO17</t>
  </si>
  <si>
    <t>EP54</t>
  </si>
  <si>
    <t>CQ90</t>
  </si>
  <si>
    <t>VR24</t>
  </si>
  <si>
    <t>SE44</t>
  </si>
  <si>
    <t>DU95</t>
  </si>
  <si>
    <t>QM14</t>
  </si>
  <si>
    <t>YS66</t>
  </si>
  <si>
    <t>WG99</t>
  </si>
  <si>
    <t>XU86</t>
  </si>
  <si>
    <t>NY93</t>
  </si>
  <si>
    <t>XS95</t>
  </si>
  <si>
    <t>QI92</t>
  </si>
  <si>
    <t>VJ48</t>
  </si>
  <si>
    <t>LL20</t>
  </si>
  <si>
    <t>XA50</t>
  </si>
  <si>
    <t>VU65</t>
  </si>
  <si>
    <t>LY10</t>
  </si>
  <si>
    <t>ZW84</t>
  </si>
  <si>
    <t>YO14</t>
  </si>
  <si>
    <t>GN43</t>
  </si>
  <si>
    <t>HT60</t>
  </si>
  <si>
    <t>IW67</t>
  </si>
  <si>
    <t>RO94</t>
  </si>
  <si>
    <t>FI82</t>
  </si>
  <si>
    <t>RJ13</t>
  </si>
  <si>
    <t>IX68</t>
  </si>
  <si>
    <t>YF77</t>
  </si>
  <si>
    <t>AT87</t>
  </si>
  <si>
    <t>VA42</t>
  </si>
  <si>
    <t>VY74</t>
  </si>
  <si>
    <t>UM77</t>
  </si>
  <si>
    <t>LE10</t>
  </si>
  <si>
    <t>RD20</t>
  </si>
  <si>
    <t>RQ29</t>
  </si>
  <si>
    <t>VY55</t>
  </si>
  <si>
    <t>LG13</t>
  </si>
  <si>
    <t>VU79</t>
  </si>
  <si>
    <t>PE44</t>
  </si>
  <si>
    <t>LH27</t>
  </si>
  <si>
    <t>NH53</t>
  </si>
  <si>
    <t>EA46</t>
  </si>
  <si>
    <t>UQ68</t>
  </si>
  <si>
    <t>UT19</t>
  </si>
  <si>
    <t>EV43</t>
  </si>
  <si>
    <t>VV93</t>
  </si>
  <si>
    <t>MU33</t>
  </si>
  <si>
    <t>EN12</t>
  </si>
  <si>
    <t>TG27</t>
  </si>
  <si>
    <t>VK81</t>
  </si>
  <si>
    <t>QI12</t>
  </si>
  <si>
    <t>KK89</t>
  </si>
  <si>
    <t>MH62</t>
  </si>
  <si>
    <t>EG14</t>
  </si>
  <si>
    <t>XO22</t>
  </si>
  <si>
    <t>PT58</t>
  </si>
  <si>
    <t>NC81</t>
  </si>
  <si>
    <t>UQ33</t>
  </si>
  <si>
    <t>TE86</t>
  </si>
  <si>
    <t>UH82</t>
  </si>
  <si>
    <t>BZ57</t>
  </si>
  <si>
    <t>WU60</t>
  </si>
  <si>
    <t>WC81</t>
  </si>
  <si>
    <t>XN43</t>
  </si>
  <si>
    <t>HY86</t>
  </si>
  <si>
    <t>CX15</t>
  </si>
  <si>
    <t>MU32</t>
  </si>
  <si>
    <t>XK14</t>
  </si>
  <si>
    <t>PX98</t>
  </si>
  <si>
    <t>PL27</t>
  </si>
  <si>
    <t>CD47</t>
  </si>
  <si>
    <t>RY16</t>
  </si>
  <si>
    <t>ET32</t>
  </si>
  <si>
    <t>VL74</t>
  </si>
  <si>
    <t>EZ15</t>
  </si>
  <si>
    <t>WE97</t>
  </si>
  <si>
    <t>VD84</t>
  </si>
  <si>
    <t>UH14</t>
  </si>
  <si>
    <t>LS93</t>
  </si>
  <si>
    <t>SG63</t>
  </si>
  <si>
    <t>FS63</t>
  </si>
  <si>
    <t>WW41</t>
  </si>
  <si>
    <t>UE90</t>
  </si>
  <si>
    <t>FD42</t>
  </si>
  <si>
    <t>LC55</t>
  </si>
  <si>
    <t>PI33</t>
  </si>
  <si>
    <t>KO91</t>
  </si>
  <si>
    <t>VW87</t>
  </si>
  <si>
    <t>AD84</t>
  </si>
  <si>
    <t>NQ49</t>
  </si>
  <si>
    <t>LR65</t>
  </si>
  <si>
    <t>CC65</t>
  </si>
  <si>
    <t>QV37</t>
  </si>
  <si>
    <t>EI54</t>
  </si>
  <si>
    <t>QL56</t>
  </si>
  <si>
    <t>QD69</t>
  </si>
  <si>
    <t>SD49</t>
  </si>
  <si>
    <t>QN63</t>
  </si>
  <si>
    <t>EF53</t>
  </si>
  <si>
    <t>ST83</t>
  </si>
  <si>
    <t>XF99</t>
  </si>
  <si>
    <t>QO40</t>
  </si>
  <si>
    <t>NV49</t>
  </si>
  <si>
    <t>QK66</t>
  </si>
  <si>
    <t>NB45</t>
  </si>
  <si>
    <t>CZ16</t>
  </si>
  <si>
    <t>GX91</t>
  </si>
  <si>
    <t>TA59</t>
  </si>
  <si>
    <t>BS18</t>
  </si>
  <si>
    <t>TU60</t>
  </si>
  <si>
    <t>UU42</t>
  </si>
  <si>
    <t>DR58</t>
  </si>
  <si>
    <t>JA50</t>
  </si>
  <si>
    <t>KL27</t>
  </si>
  <si>
    <t>NX22</t>
  </si>
  <si>
    <t>FA73</t>
  </si>
  <si>
    <t>NK19</t>
  </si>
  <si>
    <t>VW77</t>
  </si>
  <si>
    <t>US34</t>
  </si>
  <si>
    <t>WH48</t>
  </si>
  <si>
    <t>OU81</t>
  </si>
  <si>
    <t>BN11</t>
  </si>
  <si>
    <t>LZ18</t>
  </si>
  <si>
    <t>RZ95</t>
  </si>
  <si>
    <t>VR85</t>
  </si>
  <si>
    <t>ZV65</t>
  </si>
  <si>
    <t>FC70</t>
  </si>
  <si>
    <t>YL63</t>
  </si>
  <si>
    <t>AR70</t>
  </si>
  <si>
    <t>TA18</t>
  </si>
  <si>
    <t>DX55</t>
  </si>
  <si>
    <t>CR25</t>
  </si>
  <si>
    <t>ET81</t>
  </si>
  <si>
    <t>XL13</t>
  </si>
  <si>
    <t>HC90</t>
  </si>
  <si>
    <t>UZ33</t>
  </si>
  <si>
    <t>DW69</t>
  </si>
  <si>
    <t>GF68</t>
  </si>
  <si>
    <t>XP21</t>
  </si>
  <si>
    <t>AD44</t>
  </si>
  <si>
    <t>SV32</t>
  </si>
  <si>
    <t>ZF92</t>
  </si>
  <si>
    <t>LZ87</t>
  </si>
  <si>
    <t>WE15</t>
  </si>
  <si>
    <t>NE62</t>
  </si>
  <si>
    <t>DE43</t>
  </si>
  <si>
    <t>BX94</t>
  </si>
  <si>
    <t>UE64</t>
  </si>
  <si>
    <t>PA99</t>
  </si>
  <si>
    <t>KS38</t>
  </si>
  <si>
    <t>BC21</t>
  </si>
  <si>
    <t>GC51</t>
  </si>
  <si>
    <t>OK88</t>
  </si>
  <si>
    <t>HH64</t>
  </si>
  <si>
    <t>PG45</t>
  </si>
  <si>
    <t>LW77</t>
  </si>
  <si>
    <t>DE91</t>
  </si>
  <si>
    <t>CU67</t>
  </si>
  <si>
    <t>RB68</t>
  </si>
  <si>
    <t>UW77</t>
  </si>
  <si>
    <t>NB87</t>
  </si>
  <si>
    <t>RP26</t>
  </si>
  <si>
    <t>CL13</t>
  </si>
  <si>
    <t>US43</t>
  </si>
  <si>
    <t>IF19</t>
  </si>
  <si>
    <t>RX12</t>
  </si>
  <si>
    <t>IA80</t>
  </si>
  <si>
    <t>OZ96</t>
  </si>
  <si>
    <t>XO12</t>
  </si>
  <si>
    <t>HO22</t>
  </si>
  <si>
    <t>CG50</t>
  </si>
  <si>
    <t>IZ89</t>
  </si>
  <si>
    <t>XH99</t>
  </si>
  <si>
    <t>GL82</t>
  </si>
  <si>
    <t>OB91</t>
  </si>
  <si>
    <t>HC48</t>
  </si>
  <si>
    <t>OM84</t>
  </si>
  <si>
    <t>TJ54</t>
  </si>
  <si>
    <t>JZ61</t>
  </si>
  <si>
    <t>ZO19</t>
  </si>
  <si>
    <t>VH91</t>
  </si>
  <si>
    <t>KG95</t>
  </si>
  <si>
    <t>OH51</t>
  </si>
  <si>
    <t>YN30</t>
  </si>
  <si>
    <t>AR77</t>
  </si>
  <si>
    <t>MC84</t>
  </si>
  <si>
    <t>EH33</t>
  </si>
  <si>
    <t>CF31</t>
  </si>
  <si>
    <t>UB77</t>
  </si>
  <si>
    <t>PO70</t>
  </si>
  <si>
    <t>VG11</t>
  </si>
  <si>
    <t>XO68</t>
  </si>
  <si>
    <t>MD83</t>
  </si>
  <si>
    <t>RQ57</t>
  </si>
  <si>
    <t>SP58</t>
  </si>
  <si>
    <t>HA51</t>
  </si>
  <si>
    <t>PW53</t>
  </si>
  <si>
    <t>FV11</t>
  </si>
  <si>
    <t>PF78</t>
  </si>
  <si>
    <t>WE66</t>
  </si>
  <si>
    <t>PM84</t>
  </si>
  <si>
    <t>OV17</t>
  </si>
  <si>
    <t>WA69</t>
  </si>
  <si>
    <t>NR36</t>
  </si>
  <si>
    <t>SZ42</t>
  </si>
  <si>
    <t>EG53</t>
  </si>
  <si>
    <t>OF29</t>
  </si>
  <si>
    <t>DP64</t>
  </si>
  <si>
    <t>FF16</t>
  </si>
  <si>
    <t>MR13</t>
  </si>
  <si>
    <t>LQ71</t>
  </si>
  <si>
    <t>VN78</t>
  </si>
  <si>
    <t>OU33</t>
  </si>
  <si>
    <t>VU73</t>
  </si>
  <si>
    <t>SJ13</t>
  </si>
  <si>
    <t>VW46</t>
  </si>
  <si>
    <t>WD77</t>
  </si>
  <si>
    <t>NF77</t>
  </si>
  <si>
    <t>ZA14</t>
  </si>
  <si>
    <t>IZ39</t>
  </si>
  <si>
    <t>LT72</t>
  </si>
  <si>
    <t>LZ37</t>
  </si>
  <si>
    <t>SG85</t>
  </si>
  <si>
    <t>XM20</t>
  </si>
  <si>
    <t>WD65</t>
  </si>
  <si>
    <t>YZ71</t>
  </si>
  <si>
    <t>EO98</t>
  </si>
  <si>
    <t>PF26</t>
  </si>
  <si>
    <t>MU21</t>
  </si>
  <si>
    <t>VT22</t>
  </si>
  <si>
    <t>RJ21</t>
  </si>
  <si>
    <t>UT87</t>
  </si>
  <si>
    <t>MN15</t>
  </si>
  <si>
    <t>QW75</t>
  </si>
  <si>
    <t>AY98</t>
  </si>
  <si>
    <t>DE72</t>
  </si>
  <si>
    <t>GQ84</t>
  </si>
  <si>
    <t>CB30</t>
  </si>
  <si>
    <t>DW29</t>
  </si>
  <si>
    <t>LB99</t>
  </si>
  <si>
    <t>LJ17</t>
  </si>
  <si>
    <t>SB21</t>
  </si>
  <si>
    <t>WH35</t>
  </si>
  <si>
    <t>CP20</t>
  </si>
  <si>
    <t>TH47</t>
  </si>
  <si>
    <t>UL75</t>
  </si>
  <si>
    <t>KP44</t>
  </si>
  <si>
    <t>ED60</t>
  </si>
  <si>
    <t>TH80</t>
  </si>
  <si>
    <t>LD59</t>
  </si>
  <si>
    <t>LH76</t>
  </si>
  <si>
    <t>WO68</t>
  </si>
  <si>
    <t>HR14</t>
  </si>
  <si>
    <t>NG79</t>
  </si>
  <si>
    <t>NO50</t>
  </si>
  <si>
    <t>EJ97</t>
  </si>
  <si>
    <t>GP21</t>
  </si>
  <si>
    <t>LA96</t>
  </si>
  <si>
    <t>FP34</t>
  </si>
  <si>
    <t>MO35</t>
  </si>
  <si>
    <t>ZB94</t>
  </si>
  <si>
    <t>TE14</t>
  </si>
  <si>
    <t>FU65</t>
  </si>
  <si>
    <t>AJ85</t>
  </si>
  <si>
    <t>MH36</t>
  </si>
  <si>
    <t>VN88</t>
  </si>
  <si>
    <t>DC84</t>
  </si>
  <si>
    <t>LK68</t>
  </si>
  <si>
    <t>RG34</t>
  </si>
  <si>
    <t>IZ92</t>
  </si>
  <si>
    <t>GT57</t>
  </si>
  <si>
    <t>BB22</t>
  </si>
  <si>
    <t>GC42</t>
  </si>
  <si>
    <t>NV40</t>
  </si>
  <si>
    <t>RZ37</t>
  </si>
  <si>
    <t>GB33</t>
  </si>
  <si>
    <t>EE15</t>
  </si>
  <si>
    <t>TH50</t>
  </si>
  <si>
    <t>XX89</t>
  </si>
  <si>
    <t>QW33</t>
  </si>
  <si>
    <t>YK63</t>
  </si>
  <si>
    <t>ZB32</t>
  </si>
  <si>
    <t>VU11</t>
  </si>
  <si>
    <t>QZ99</t>
  </si>
  <si>
    <t>MO34</t>
  </si>
  <si>
    <t>BC26</t>
  </si>
  <si>
    <t>MX75</t>
  </si>
  <si>
    <t>IK42</t>
  </si>
  <si>
    <t>OW28</t>
  </si>
  <si>
    <t>BC86</t>
  </si>
  <si>
    <t>MY46</t>
  </si>
  <si>
    <t>IP94</t>
  </si>
  <si>
    <t>BG71</t>
  </si>
  <si>
    <t>HY77</t>
  </si>
  <si>
    <t>UK75</t>
  </si>
  <si>
    <t>BS76</t>
  </si>
  <si>
    <t>ZK56</t>
  </si>
  <si>
    <t>LR45</t>
  </si>
  <si>
    <t>QU63</t>
  </si>
  <si>
    <t>BK14</t>
  </si>
  <si>
    <t>LR27</t>
  </si>
  <si>
    <t>CD49</t>
  </si>
  <si>
    <t>HO57</t>
  </si>
  <si>
    <t>PX71</t>
  </si>
  <si>
    <t>LT61</t>
  </si>
  <si>
    <t>UZ61</t>
  </si>
  <si>
    <t>FO67</t>
  </si>
  <si>
    <t>GG74</t>
  </si>
  <si>
    <t>VP19</t>
  </si>
  <si>
    <t>TX99</t>
  </si>
  <si>
    <t>ZY36</t>
  </si>
  <si>
    <t>TA73</t>
  </si>
  <si>
    <t>PK89</t>
  </si>
  <si>
    <t>WP30</t>
  </si>
  <si>
    <t>KB15</t>
  </si>
  <si>
    <t>IK82</t>
  </si>
  <si>
    <t>UU56</t>
  </si>
  <si>
    <t>FE70</t>
  </si>
  <si>
    <t>WU53</t>
  </si>
  <si>
    <t>WC77</t>
  </si>
  <si>
    <t>WK99</t>
  </si>
  <si>
    <t>PS23</t>
  </si>
  <si>
    <t>HI55</t>
  </si>
  <si>
    <t>GG85</t>
  </si>
  <si>
    <t>BB50</t>
  </si>
  <si>
    <t>LE77</t>
  </si>
  <si>
    <t>CX93</t>
  </si>
  <si>
    <t>IZ99</t>
  </si>
  <si>
    <t>TM12</t>
  </si>
  <si>
    <t>IV51</t>
  </si>
  <si>
    <t>LI65</t>
  </si>
  <si>
    <t>AX86</t>
  </si>
  <si>
    <t>RS16</t>
  </si>
  <si>
    <t>HX83</t>
  </si>
  <si>
    <t>EJ77</t>
  </si>
  <si>
    <t>AG47</t>
  </si>
  <si>
    <t>CG54</t>
  </si>
  <si>
    <t>VZ12</t>
  </si>
  <si>
    <t>VZ22</t>
  </si>
  <si>
    <t>DR12</t>
  </si>
  <si>
    <t>ZI22</t>
  </si>
  <si>
    <t>TD36</t>
  </si>
  <si>
    <t>TV62</t>
  </si>
  <si>
    <t>DX37</t>
  </si>
  <si>
    <t>NF20</t>
  </si>
  <si>
    <t>HV29</t>
  </si>
  <si>
    <t>DV65</t>
  </si>
  <si>
    <t>NA30</t>
  </si>
  <si>
    <t>NU88</t>
  </si>
  <si>
    <t>KJ29</t>
  </si>
  <si>
    <t>JH34</t>
  </si>
  <si>
    <t>YA86</t>
  </si>
  <si>
    <t>FF18</t>
  </si>
  <si>
    <t>FP25</t>
  </si>
  <si>
    <t>MZ42</t>
  </si>
  <si>
    <t>VS69</t>
  </si>
  <si>
    <t>BO97</t>
  </si>
  <si>
    <t>VL81</t>
  </si>
  <si>
    <t>DO43</t>
  </si>
  <si>
    <t>DS98</t>
  </si>
  <si>
    <t>NH36</t>
  </si>
  <si>
    <t>TH77</t>
  </si>
  <si>
    <t>XZ68</t>
  </si>
  <si>
    <t>HS27</t>
  </si>
  <si>
    <t>CV15</t>
  </si>
  <si>
    <t>JH20</t>
  </si>
  <si>
    <t>QZ26</t>
  </si>
  <si>
    <t>ZS21</t>
  </si>
  <si>
    <t>CC79</t>
  </si>
  <si>
    <t>MI71</t>
  </si>
  <si>
    <t>AI25</t>
  </si>
  <si>
    <t>VI48</t>
  </si>
  <si>
    <t>HW90</t>
  </si>
  <si>
    <t>MB43</t>
  </si>
  <si>
    <t>ND74</t>
  </si>
  <si>
    <t>PK32</t>
  </si>
  <si>
    <t>UD90</t>
  </si>
  <si>
    <t>JJ50</t>
  </si>
  <si>
    <t>FY79</t>
  </si>
  <si>
    <t>PL47</t>
  </si>
  <si>
    <t>MY49</t>
  </si>
  <si>
    <t>LM17</t>
  </si>
  <si>
    <t>NF48</t>
  </si>
  <si>
    <t>HK88</t>
  </si>
  <si>
    <t>SK56</t>
  </si>
  <si>
    <t>JG16</t>
  </si>
  <si>
    <t>HY32</t>
  </si>
  <si>
    <t>XU35</t>
  </si>
  <si>
    <t>VE55</t>
  </si>
  <si>
    <t>ED99</t>
  </si>
  <si>
    <t>QA78</t>
  </si>
  <si>
    <t>HQ81</t>
  </si>
  <si>
    <t>NM38</t>
  </si>
  <si>
    <t>NQ56</t>
  </si>
  <si>
    <t>JZ98</t>
  </si>
  <si>
    <t>KE22</t>
  </si>
  <si>
    <t>BW56</t>
  </si>
  <si>
    <t>ZS71</t>
  </si>
  <si>
    <t>KB62</t>
  </si>
  <si>
    <t>IP93</t>
  </si>
  <si>
    <t>UU50</t>
  </si>
  <si>
    <t>GK50</t>
  </si>
  <si>
    <t>JO95</t>
  </si>
  <si>
    <t>FI31</t>
  </si>
  <si>
    <t>YV47</t>
  </si>
  <si>
    <t>SZ26</t>
  </si>
  <si>
    <t>RT66</t>
  </si>
  <si>
    <t>NT82</t>
  </si>
  <si>
    <t>HF80</t>
  </si>
  <si>
    <t>NB78</t>
  </si>
  <si>
    <t>UD52</t>
  </si>
  <si>
    <t>XV30</t>
  </si>
  <si>
    <t>AB98</t>
  </si>
  <si>
    <t>KS35</t>
  </si>
  <si>
    <t>SL16</t>
  </si>
  <si>
    <t>FF68</t>
  </si>
  <si>
    <t>LB29</t>
  </si>
  <si>
    <t>LJ59</t>
  </si>
  <si>
    <t>MW47</t>
  </si>
  <si>
    <t>RI80</t>
  </si>
  <si>
    <t>IB87</t>
  </si>
  <si>
    <t>BW88</t>
  </si>
  <si>
    <t>GI13</t>
  </si>
  <si>
    <t>AJ50</t>
  </si>
  <si>
    <t>ZX99</t>
  </si>
  <si>
    <t>MZ71</t>
  </si>
  <si>
    <t>VF76</t>
  </si>
  <si>
    <t>MG74</t>
  </si>
  <si>
    <t>AQ48</t>
  </si>
  <si>
    <t>KC41</t>
  </si>
  <si>
    <t>VM88</t>
  </si>
  <si>
    <t>DT73</t>
  </si>
  <si>
    <t>YK79</t>
  </si>
  <si>
    <t>WZ20</t>
  </si>
  <si>
    <t>DC56</t>
  </si>
  <si>
    <t>LY76</t>
  </si>
  <si>
    <t>WP41</t>
  </si>
  <si>
    <t>WG96</t>
  </si>
  <si>
    <t>LF92</t>
  </si>
  <si>
    <t>HO17</t>
  </si>
  <si>
    <t>LN70</t>
  </si>
  <si>
    <t>NY44</t>
  </si>
  <si>
    <t>KE88</t>
  </si>
  <si>
    <t>FJ34</t>
  </si>
  <si>
    <t>BA46</t>
  </si>
  <si>
    <t>KC51</t>
  </si>
  <si>
    <t>UO36</t>
  </si>
  <si>
    <t>XZ87</t>
  </si>
  <si>
    <t>CS90</t>
  </si>
  <si>
    <t>TD35</t>
  </si>
  <si>
    <t>ZX25</t>
  </si>
  <si>
    <t>EA87</t>
  </si>
  <si>
    <t>ME12</t>
  </si>
  <si>
    <t>NC48</t>
  </si>
  <si>
    <t>MM60</t>
  </si>
  <si>
    <t>QY91</t>
  </si>
  <si>
    <t>IV40</t>
  </si>
  <si>
    <t>RM57</t>
  </si>
  <si>
    <t>UE82</t>
  </si>
  <si>
    <t>FY41</t>
  </si>
  <si>
    <t>TQ30</t>
  </si>
  <si>
    <t>EP11</t>
  </si>
  <si>
    <t>ST92</t>
  </si>
  <si>
    <t>MS86</t>
  </si>
  <si>
    <t>PD58</t>
  </si>
  <si>
    <t>YA23</t>
  </si>
  <si>
    <t>QG54</t>
  </si>
  <si>
    <t>KC57</t>
  </si>
  <si>
    <t>PU50</t>
  </si>
  <si>
    <t>ZH68</t>
  </si>
  <si>
    <t>TM58</t>
  </si>
  <si>
    <t>OK10</t>
  </si>
  <si>
    <t>TR16</t>
  </si>
  <si>
    <t>PE31</t>
  </si>
  <si>
    <t>SZ63</t>
  </si>
  <si>
    <t>AR53</t>
  </si>
  <si>
    <t>RM33</t>
  </si>
  <si>
    <t>HG51</t>
  </si>
  <si>
    <t>NY97</t>
  </si>
  <si>
    <t>VR91</t>
  </si>
  <si>
    <t>MZ58</t>
  </si>
  <si>
    <t>BC70</t>
  </si>
  <si>
    <t>CG57</t>
  </si>
  <si>
    <t>YL11</t>
  </si>
  <si>
    <t>EY44</t>
  </si>
  <si>
    <t>BH67</t>
  </si>
  <si>
    <t>WK91</t>
  </si>
  <si>
    <t>FN75</t>
  </si>
  <si>
    <t>LA82</t>
  </si>
  <si>
    <t>MP79</t>
  </si>
  <si>
    <t>YE56</t>
  </si>
  <si>
    <t>TN31</t>
  </si>
  <si>
    <t>HT66</t>
  </si>
  <si>
    <t>AB63</t>
  </si>
  <si>
    <t>JP97</t>
  </si>
  <si>
    <t>ZL24</t>
  </si>
  <si>
    <t>RE25</t>
  </si>
  <si>
    <t>OH33</t>
  </si>
  <si>
    <t>UX92</t>
  </si>
  <si>
    <t>YG57</t>
  </si>
  <si>
    <t>JH67</t>
  </si>
  <si>
    <t>VU14</t>
  </si>
  <si>
    <t>FG82</t>
  </si>
  <si>
    <t>AS48</t>
  </si>
  <si>
    <t>FY28</t>
  </si>
  <si>
    <t>OQ88</t>
  </si>
  <si>
    <t>XP83</t>
  </si>
  <si>
    <t>HW42</t>
  </si>
  <si>
    <t>AJ90</t>
  </si>
  <si>
    <t>RU73</t>
  </si>
  <si>
    <t>MV92</t>
  </si>
  <si>
    <t>PC89</t>
  </si>
  <si>
    <t>OW52</t>
  </si>
  <si>
    <t>PB73</t>
  </si>
  <si>
    <t>JT57</t>
  </si>
  <si>
    <t>BZ40</t>
  </si>
  <si>
    <t>EP24</t>
  </si>
  <si>
    <t>JC41</t>
  </si>
  <si>
    <t>JD45</t>
  </si>
  <si>
    <t>KI92</t>
  </si>
  <si>
    <t>MK16</t>
  </si>
  <si>
    <t>KN46</t>
  </si>
  <si>
    <t>BT23</t>
  </si>
  <si>
    <t>WG31</t>
  </si>
  <si>
    <t>GV50</t>
  </si>
  <si>
    <t>OW32</t>
  </si>
  <si>
    <t>WN25</t>
  </si>
  <si>
    <t>QE90</t>
  </si>
  <si>
    <t>IO41</t>
  </si>
  <si>
    <t>FU52</t>
  </si>
  <si>
    <t>DK39</t>
  </si>
  <si>
    <t>XC36</t>
  </si>
  <si>
    <t>GN58</t>
  </si>
  <si>
    <t>PK64</t>
  </si>
  <si>
    <t>IL40</t>
  </si>
  <si>
    <t>DP72</t>
  </si>
  <si>
    <t>GJ72</t>
  </si>
  <si>
    <t>IR43</t>
  </si>
  <si>
    <t>IJ13</t>
  </si>
  <si>
    <t>UV49</t>
  </si>
  <si>
    <t>GF75</t>
  </si>
  <si>
    <t>OC31</t>
  </si>
  <si>
    <t>JC59</t>
  </si>
  <si>
    <t>WQ84</t>
  </si>
  <si>
    <t>EF51</t>
  </si>
  <si>
    <t>VD43</t>
  </si>
  <si>
    <t>AT24</t>
  </si>
  <si>
    <t>PU79</t>
  </si>
  <si>
    <t>FN89</t>
  </si>
  <si>
    <t>GW25</t>
  </si>
  <si>
    <t>FM77</t>
  </si>
  <si>
    <t>UP58</t>
  </si>
  <si>
    <t>FW13</t>
  </si>
  <si>
    <t>MQ26</t>
  </si>
  <si>
    <t>KV79</t>
  </si>
  <si>
    <t>QC67</t>
  </si>
  <si>
    <t>NC98</t>
  </si>
  <si>
    <t>VW51</t>
  </si>
  <si>
    <t>GG31</t>
  </si>
  <si>
    <t>VU67</t>
  </si>
  <si>
    <t>QK36</t>
  </si>
  <si>
    <t>SG25</t>
  </si>
  <si>
    <t>KF58</t>
  </si>
  <si>
    <t>ZB62</t>
  </si>
  <si>
    <t>CQ35</t>
  </si>
  <si>
    <t>YE83</t>
  </si>
  <si>
    <t>ZT46</t>
  </si>
  <si>
    <t>YN15</t>
  </si>
  <si>
    <t>WR80</t>
  </si>
  <si>
    <t>MR37</t>
  </si>
  <si>
    <t>IF57</t>
  </si>
  <si>
    <t>UQ49</t>
  </si>
  <si>
    <t>FX77</t>
  </si>
  <si>
    <t>WG88</t>
  </si>
  <si>
    <t>AO95</t>
  </si>
  <si>
    <t>JV35</t>
  </si>
  <si>
    <t>PF59</t>
  </si>
  <si>
    <t>VY34</t>
  </si>
  <si>
    <t>PD65</t>
  </si>
  <si>
    <t>ES51</t>
  </si>
  <si>
    <t>EW78</t>
  </si>
  <si>
    <t>FW67</t>
  </si>
  <si>
    <t>YX82</t>
  </si>
  <si>
    <t>NK35</t>
  </si>
  <si>
    <t>ZS51</t>
  </si>
  <si>
    <t>YH72</t>
  </si>
  <si>
    <t>KA98</t>
  </si>
  <si>
    <t>TD74</t>
  </si>
  <si>
    <t>LP94</t>
  </si>
  <si>
    <t>LW42</t>
  </si>
  <si>
    <t>MZ54</t>
  </si>
  <si>
    <t>DW12</t>
  </si>
  <si>
    <t>ZT62</t>
  </si>
  <si>
    <t>IX61</t>
  </si>
  <si>
    <t>DV26</t>
  </si>
  <si>
    <t>KO58</t>
  </si>
  <si>
    <t>WS69</t>
  </si>
  <si>
    <t>JQ23</t>
  </si>
  <si>
    <t>ZA54</t>
  </si>
  <si>
    <t>VG76</t>
  </si>
  <si>
    <t>VC48</t>
  </si>
  <si>
    <t>BM94</t>
  </si>
  <si>
    <t>GX37</t>
  </si>
  <si>
    <t>SH11</t>
  </si>
  <si>
    <t>BM34</t>
  </si>
  <si>
    <t>UW25</t>
  </si>
  <si>
    <t>PU74</t>
  </si>
  <si>
    <t>LM50</t>
  </si>
  <si>
    <t>CD24</t>
  </si>
  <si>
    <t>HX72</t>
  </si>
  <si>
    <t>IH77</t>
  </si>
  <si>
    <t>XX14</t>
  </si>
  <si>
    <t>GU27</t>
  </si>
  <si>
    <t>RE75</t>
  </si>
  <si>
    <t>XS80</t>
  </si>
  <si>
    <t>VY65</t>
  </si>
  <si>
    <t>VQ21</t>
  </si>
  <si>
    <t>KI76</t>
  </si>
  <si>
    <t>QK24</t>
  </si>
  <si>
    <t>QG80</t>
  </si>
  <si>
    <t>BE69</t>
  </si>
  <si>
    <t>WO88</t>
  </si>
  <si>
    <t>VD58</t>
  </si>
  <si>
    <t>FO26</t>
  </si>
  <si>
    <t>KS66</t>
  </si>
  <si>
    <t>LR49</t>
  </si>
  <si>
    <t>VG82</t>
  </si>
  <si>
    <t>UW19</t>
  </si>
  <si>
    <t>GE33</t>
  </si>
  <si>
    <t>MZ26</t>
  </si>
  <si>
    <t>ZC93</t>
  </si>
  <si>
    <t>YG48</t>
  </si>
  <si>
    <t>OX15</t>
  </si>
  <si>
    <t>SQ25</t>
  </si>
  <si>
    <t>XY81</t>
  </si>
  <si>
    <t>WW65</t>
  </si>
  <si>
    <t>QZ89</t>
  </si>
  <si>
    <t>LG22</t>
  </si>
  <si>
    <t>YZ46</t>
  </si>
  <si>
    <t>RY31</t>
  </si>
  <si>
    <t>VB26</t>
  </si>
  <si>
    <t>QW41</t>
  </si>
  <si>
    <t>DN85</t>
  </si>
  <si>
    <t>MR66</t>
  </si>
  <si>
    <t>WA86</t>
  </si>
  <si>
    <t>JD44</t>
  </si>
  <si>
    <t>LC76</t>
  </si>
  <si>
    <t>NQ57</t>
  </si>
  <si>
    <t>LR57</t>
  </si>
  <si>
    <t>BF95</t>
  </si>
  <si>
    <t>SH37</t>
  </si>
  <si>
    <t>GM26</t>
  </si>
  <si>
    <t>GC20</t>
  </si>
  <si>
    <t>PS10</t>
  </si>
  <si>
    <t>PK31</t>
  </si>
  <si>
    <t>UW31</t>
  </si>
  <si>
    <t>JG47</t>
  </si>
  <si>
    <t>RF59</t>
  </si>
  <si>
    <t>XS24</t>
  </si>
  <si>
    <t>OR20</t>
  </si>
  <si>
    <t>XB73</t>
  </si>
  <si>
    <t>ZN55</t>
  </si>
  <si>
    <t>JY30</t>
  </si>
  <si>
    <t>TZ54</t>
  </si>
  <si>
    <t>JP83</t>
  </si>
  <si>
    <t>EQ44</t>
  </si>
  <si>
    <t>WP57</t>
  </si>
  <si>
    <t>GP66</t>
  </si>
  <si>
    <t>QS82</t>
  </si>
  <si>
    <t>PY89</t>
  </si>
  <si>
    <t>ST24</t>
  </si>
  <si>
    <t>YG83</t>
  </si>
  <si>
    <t>OI21</t>
  </si>
  <si>
    <t>MZ44</t>
  </si>
  <si>
    <t>NI20</t>
  </si>
  <si>
    <t>JM67</t>
  </si>
  <si>
    <t>RH57</t>
  </si>
  <si>
    <t>NS46</t>
  </si>
  <si>
    <t>HU23</t>
  </si>
  <si>
    <t>GL57</t>
  </si>
  <si>
    <t>YF55</t>
  </si>
  <si>
    <t>AO49</t>
  </si>
  <si>
    <t>RI39</t>
  </si>
  <si>
    <t>TQ38</t>
  </si>
  <si>
    <t>CR86</t>
  </si>
  <si>
    <t>LX93</t>
  </si>
  <si>
    <t>CY52</t>
  </si>
  <si>
    <t>PB48</t>
  </si>
  <si>
    <t>TG75</t>
  </si>
  <si>
    <t>HQ19</t>
  </si>
  <si>
    <t>FH99</t>
  </si>
  <si>
    <t>OM45</t>
  </si>
  <si>
    <t>DP40</t>
  </si>
  <si>
    <t>UW10</t>
  </si>
  <si>
    <t>TT18</t>
  </si>
  <si>
    <t>FP98</t>
  </si>
  <si>
    <t>ER34</t>
  </si>
  <si>
    <t>DS96</t>
  </si>
  <si>
    <t>ZO93</t>
  </si>
  <si>
    <t>JK18</t>
  </si>
  <si>
    <t>EE76</t>
  </si>
  <si>
    <t>UT60</t>
  </si>
  <si>
    <t>SE55</t>
  </si>
  <si>
    <t>DB22</t>
  </si>
  <si>
    <t>TX79</t>
  </si>
  <si>
    <t>NN34</t>
  </si>
  <si>
    <t>EW89</t>
  </si>
  <si>
    <t>SU12</t>
  </si>
  <si>
    <t>LS26</t>
  </si>
  <si>
    <t>YT76</t>
  </si>
  <si>
    <t>LT96</t>
  </si>
  <si>
    <t>MV14</t>
  </si>
  <si>
    <t>JA21</t>
  </si>
  <si>
    <t>GO88</t>
  </si>
  <si>
    <t>QQ75</t>
  </si>
  <si>
    <t>GR14</t>
  </si>
  <si>
    <t>YM26</t>
  </si>
  <si>
    <t>XA10</t>
  </si>
  <si>
    <t>IC12</t>
  </si>
  <si>
    <t>VO27</t>
  </si>
  <si>
    <t>ZZ47</t>
  </si>
  <si>
    <t>FT30</t>
  </si>
  <si>
    <t>VO67</t>
  </si>
  <si>
    <t>BC16</t>
  </si>
  <si>
    <t>IV60</t>
  </si>
  <si>
    <t>NH86</t>
  </si>
  <si>
    <t>FV30</t>
  </si>
  <si>
    <t>SB33</t>
  </si>
  <si>
    <t>GJ97</t>
  </si>
  <si>
    <t>QG87</t>
  </si>
  <si>
    <t>KH54</t>
  </si>
  <si>
    <t>FL45</t>
  </si>
  <si>
    <t>DY64</t>
  </si>
  <si>
    <t>MZ64</t>
  </si>
  <si>
    <t>KT52</t>
  </si>
  <si>
    <t>PJ46</t>
  </si>
  <si>
    <t>QH12</t>
  </si>
  <si>
    <t>OT38</t>
  </si>
  <si>
    <t>DM19</t>
  </si>
  <si>
    <t>QI43</t>
  </si>
  <si>
    <t>YU52</t>
  </si>
  <si>
    <t>UX82</t>
  </si>
  <si>
    <t>LA76</t>
  </si>
  <si>
    <t>QB99</t>
  </si>
  <si>
    <t>CX67</t>
  </si>
  <si>
    <t>ZR31</t>
  </si>
  <si>
    <t>EG85</t>
  </si>
  <si>
    <t>OE11</t>
  </si>
  <si>
    <t>CH25</t>
  </si>
  <si>
    <t>PP43</t>
  </si>
  <si>
    <t>QC41</t>
  </si>
  <si>
    <t>GQ57</t>
  </si>
  <si>
    <t>FF13</t>
  </si>
  <si>
    <t>SG59</t>
  </si>
  <si>
    <t>OR97</t>
  </si>
  <si>
    <t>FA54</t>
  </si>
  <si>
    <t>JD51</t>
  </si>
  <si>
    <t>IV80</t>
  </si>
  <si>
    <t>FD39</t>
  </si>
  <si>
    <t>SL15</t>
  </si>
  <si>
    <t>JV72</t>
  </si>
  <si>
    <t>RM67</t>
  </si>
  <si>
    <t>LP20</t>
  </si>
  <si>
    <t>QW72</t>
  </si>
  <si>
    <t>BQ57</t>
  </si>
  <si>
    <t>TS65</t>
  </si>
  <si>
    <t>FU81</t>
  </si>
  <si>
    <t>NY72</t>
  </si>
  <si>
    <t>VK83</t>
  </si>
  <si>
    <t>FX71</t>
  </si>
  <si>
    <t>VI64</t>
  </si>
  <si>
    <t>FS52</t>
  </si>
  <si>
    <t>VJ57</t>
  </si>
  <si>
    <t>TM48</t>
  </si>
  <si>
    <t>JV96</t>
  </si>
  <si>
    <t>CV33</t>
  </si>
  <si>
    <t>MI64</t>
  </si>
  <si>
    <t>PC40</t>
  </si>
  <si>
    <t>IT20</t>
  </si>
  <si>
    <t>RK68</t>
  </si>
  <si>
    <t>LT35</t>
  </si>
  <si>
    <t>KV40</t>
  </si>
  <si>
    <t>NP37</t>
  </si>
  <si>
    <t>NW34</t>
  </si>
  <si>
    <t>SA61</t>
  </si>
  <si>
    <t>OI44</t>
  </si>
  <si>
    <t>YB12</t>
  </si>
  <si>
    <t>BH64</t>
  </si>
  <si>
    <t>SW79</t>
  </si>
  <si>
    <t>LW97</t>
  </si>
  <si>
    <t>BC44</t>
  </si>
  <si>
    <t>PN76</t>
  </si>
  <si>
    <t>LS23</t>
  </si>
  <si>
    <t>QB24</t>
  </si>
  <si>
    <t>WS50</t>
  </si>
  <si>
    <t>PZ98</t>
  </si>
  <si>
    <t>JL56</t>
  </si>
  <si>
    <t>BG20</t>
  </si>
  <si>
    <t>TZ39</t>
  </si>
  <si>
    <t>VU64</t>
  </si>
  <si>
    <t>SR30</t>
  </si>
  <si>
    <t>DW92</t>
  </si>
  <si>
    <t>OR28</t>
  </si>
  <si>
    <t>XV73</t>
  </si>
  <si>
    <t>CQ67</t>
  </si>
  <si>
    <t>LF53</t>
  </si>
  <si>
    <t>CZ78</t>
  </si>
  <si>
    <t>MU26</t>
  </si>
  <si>
    <t>LL75</t>
  </si>
  <si>
    <t>TL54</t>
  </si>
  <si>
    <t>NX48</t>
  </si>
  <si>
    <t>BG72</t>
  </si>
  <si>
    <t>OW43</t>
  </si>
  <si>
    <t>UC89</t>
  </si>
  <si>
    <t>HT72</t>
  </si>
  <si>
    <t>CC92</t>
  </si>
  <si>
    <t>UP26</t>
  </si>
  <si>
    <t>IJ55</t>
  </si>
  <si>
    <t>EW37</t>
  </si>
  <si>
    <t>BD49</t>
  </si>
  <si>
    <t>PD47</t>
  </si>
  <si>
    <t>JH35</t>
  </si>
  <si>
    <t>IS71</t>
  </si>
  <si>
    <t>PX97</t>
  </si>
  <si>
    <t>KW35</t>
  </si>
  <si>
    <t>PD60</t>
  </si>
  <si>
    <t>JT23</t>
  </si>
  <si>
    <t>DB68</t>
  </si>
  <si>
    <t>ZH76</t>
  </si>
  <si>
    <t>ZN34</t>
  </si>
  <si>
    <t>CQ13</t>
  </si>
  <si>
    <t>YI33</t>
  </si>
  <si>
    <t>DG93</t>
  </si>
  <si>
    <t>EX42</t>
  </si>
  <si>
    <t>PP10</t>
  </si>
  <si>
    <t>IY71</t>
  </si>
  <si>
    <t>RL12</t>
  </si>
  <si>
    <t>BQ26</t>
  </si>
  <si>
    <t>QE85</t>
  </si>
  <si>
    <t>SL45</t>
  </si>
  <si>
    <t>EL20</t>
  </si>
  <si>
    <t>KQ76</t>
  </si>
  <si>
    <t>FZ97</t>
  </si>
  <si>
    <t>UC47</t>
  </si>
  <si>
    <t>SX10</t>
  </si>
  <si>
    <t>GY74</t>
  </si>
  <si>
    <t>CS19</t>
  </si>
  <si>
    <t>BG47</t>
  </si>
  <si>
    <t>FS28</t>
  </si>
  <si>
    <t>RS29</t>
  </si>
  <si>
    <t>BH68</t>
  </si>
  <si>
    <t>TH40</t>
  </si>
  <si>
    <t>KG80</t>
  </si>
  <si>
    <t>NY12</t>
  </si>
  <si>
    <t>FU99</t>
  </si>
  <si>
    <t>AM15</t>
  </si>
  <si>
    <t>UE98</t>
  </si>
  <si>
    <t>PZ36</t>
  </si>
  <si>
    <t>KA34</t>
  </si>
  <si>
    <t>ME11</t>
  </si>
  <si>
    <t>OA81</t>
  </si>
  <si>
    <t>KZ64</t>
  </si>
  <si>
    <t>HO98</t>
  </si>
  <si>
    <t>UF18</t>
  </si>
  <si>
    <t>SE95</t>
  </si>
  <si>
    <t>VH36</t>
  </si>
  <si>
    <t>PZ72</t>
  </si>
  <si>
    <t>WM53</t>
  </si>
  <si>
    <t>QR24</t>
  </si>
  <si>
    <t>VJ59</t>
  </si>
  <si>
    <t>IU53</t>
  </si>
  <si>
    <t>UV69</t>
  </si>
  <si>
    <t>NJ43</t>
  </si>
  <si>
    <t>NG80</t>
  </si>
  <si>
    <t>KV81</t>
  </si>
  <si>
    <t>PP68</t>
  </si>
  <si>
    <t>CI54</t>
  </si>
  <si>
    <t>AT71</t>
  </si>
  <si>
    <t>GO60</t>
  </si>
  <si>
    <t>WI68</t>
  </si>
  <si>
    <t>PN96</t>
  </si>
  <si>
    <t>DE57</t>
  </si>
  <si>
    <t>ZW93</t>
  </si>
  <si>
    <t>OE72</t>
  </si>
  <si>
    <t>WQ11</t>
  </si>
  <si>
    <t>JW84</t>
  </si>
  <si>
    <t>PT25</t>
  </si>
  <si>
    <t>UJ43</t>
  </si>
  <si>
    <t>HG88</t>
  </si>
  <si>
    <t>UY12</t>
  </si>
  <si>
    <t>QO78</t>
  </si>
  <si>
    <t>QQ21</t>
  </si>
  <si>
    <t>ZN18</t>
  </si>
  <si>
    <t>PU23</t>
  </si>
  <si>
    <t>TC45</t>
  </si>
  <si>
    <t>OK68</t>
  </si>
  <si>
    <t>IK50</t>
  </si>
  <si>
    <t>SY91</t>
  </si>
  <si>
    <t>FR31</t>
  </si>
  <si>
    <t>RR53</t>
  </si>
  <si>
    <t>XF70</t>
  </si>
  <si>
    <t>XR33</t>
  </si>
  <si>
    <t>MB35</t>
  </si>
  <si>
    <t>CA30</t>
  </si>
  <si>
    <t>HQ50</t>
  </si>
  <si>
    <t>BI67</t>
  </si>
  <si>
    <t>OE50</t>
  </si>
  <si>
    <t>XI63</t>
  </si>
  <si>
    <t>AO37</t>
  </si>
  <si>
    <t>WX24</t>
  </si>
  <si>
    <t>PX67</t>
  </si>
  <si>
    <t>OG46</t>
  </si>
  <si>
    <t>TC92</t>
  </si>
  <si>
    <t>AX19</t>
  </si>
  <si>
    <t>BT93</t>
  </si>
  <si>
    <t>GT11</t>
  </si>
  <si>
    <t>VQ72</t>
  </si>
  <si>
    <t>BX43</t>
  </si>
  <si>
    <t>MR74</t>
  </si>
  <si>
    <t>NK61</t>
  </si>
  <si>
    <t>BO51</t>
  </si>
  <si>
    <t>VL99</t>
  </si>
  <si>
    <t>YT16</t>
  </si>
  <si>
    <t>GI41</t>
  </si>
  <si>
    <t>FC34</t>
  </si>
  <si>
    <t>SJ17</t>
  </si>
  <si>
    <t>TW44</t>
  </si>
  <si>
    <t>NM14</t>
  </si>
  <si>
    <t>EZ10</t>
  </si>
  <si>
    <t>WY52</t>
  </si>
  <si>
    <t>OT60</t>
  </si>
  <si>
    <t>GS81</t>
  </si>
  <si>
    <t>IA42</t>
  </si>
  <si>
    <t>FA35</t>
  </si>
  <si>
    <t>NQ18</t>
  </si>
  <si>
    <t>IM24</t>
  </si>
  <si>
    <t>UF53</t>
  </si>
  <si>
    <t>LT49</t>
  </si>
  <si>
    <t>SN23</t>
  </si>
  <si>
    <t>LD98</t>
  </si>
  <si>
    <t>FG68</t>
  </si>
  <si>
    <t>MX83</t>
  </si>
  <si>
    <t>CC52</t>
  </si>
  <si>
    <t>BH15</t>
  </si>
  <si>
    <t>TS63</t>
  </si>
  <si>
    <t>NX43</t>
  </si>
  <si>
    <t>WO16</t>
  </si>
  <si>
    <t>QU84</t>
  </si>
  <si>
    <t>WT20</t>
  </si>
  <si>
    <t>OK85</t>
  </si>
  <si>
    <t>CQ11</t>
  </si>
  <si>
    <t>LJ49</t>
  </si>
  <si>
    <t>UL92</t>
  </si>
  <si>
    <t>EV79</t>
  </si>
  <si>
    <t>PK36</t>
  </si>
  <si>
    <t>LP30</t>
  </si>
  <si>
    <t>DT98</t>
  </si>
  <si>
    <t>VP20</t>
  </si>
  <si>
    <t>ZA80</t>
  </si>
  <si>
    <t>CB32</t>
  </si>
  <si>
    <t>MB42</t>
  </si>
  <si>
    <t>FQ77</t>
  </si>
  <si>
    <t>UY17</t>
  </si>
  <si>
    <t>NL17</t>
  </si>
  <si>
    <t>ZF20</t>
  </si>
  <si>
    <t>ZZ85</t>
  </si>
  <si>
    <t>ZV70</t>
  </si>
  <si>
    <t>HT43</t>
  </si>
  <si>
    <t>XV49</t>
  </si>
  <si>
    <t>VF32</t>
  </si>
  <si>
    <t>YN63</t>
  </si>
  <si>
    <t>IN48</t>
  </si>
  <si>
    <t>VY10</t>
  </si>
  <si>
    <t>ZG93</t>
  </si>
  <si>
    <t>SS28</t>
  </si>
  <si>
    <t>BU52</t>
  </si>
  <si>
    <t>BC35</t>
  </si>
  <si>
    <t>SV44</t>
  </si>
  <si>
    <t>EI68</t>
  </si>
  <si>
    <t>KD54</t>
  </si>
  <si>
    <t>IC72</t>
  </si>
  <si>
    <t>YZ29</t>
  </si>
  <si>
    <t>GP91</t>
  </si>
  <si>
    <t>CN66</t>
  </si>
  <si>
    <t>AU99</t>
  </si>
  <si>
    <t>ZQ34</t>
  </si>
  <si>
    <t>NW42</t>
  </si>
  <si>
    <t>QP14</t>
  </si>
  <si>
    <t>VH57</t>
  </si>
  <si>
    <t>GX14</t>
  </si>
  <si>
    <t>MX25</t>
  </si>
  <si>
    <t>BR39</t>
  </si>
  <si>
    <t>SE93</t>
  </si>
  <si>
    <t>ER69</t>
  </si>
  <si>
    <t>UJ22</t>
  </si>
  <si>
    <t>XU75</t>
  </si>
  <si>
    <t>SM27</t>
  </si>
  <si>
    <t>FO52</t>
  </si>
  <si>
    <t>ZI47</t>
  </si>
  <si>
    <t>KC88</t>
  </si>
  <si>
    <t>HH94</t>
  </si>
  <si>
    <t>AC18</t>
  </si>
  <si>
    <t>SH21</t>
  </si>
  <si>
    <t>UN94</t>
  </si>
  <si>
    <t>VI36</t>
  </si>
  <si>
    <t>PP66</t>
  </si>
  <si>
    <t>BP70</t>
  </si>
  <si>
    <t>MF23</t>
  </si>
  <si>
    <t>VE85</t>
  </si>
  <si>
    <t>KE74</t>
  </si>
  <si>
    <t>UE41</t>
  </si>
  <si>
    <t>IO98</t>
  </si>
  <si>
    <t>EM13</t>
  </si>
  <si>
    <t>HK67</t>
  </si>
  <si>
    <t>BM41</t>
  </si>
  <si>
    <t>ZC44</t>
  </si>
  <si>
    <t>QN55</t>
  </si>
  <si>
    <t>IK87</t>
  </si>
  <si>
    <t>CR81</t>
  </si>
  <si>
    <t>IN94</t>
  </si>
  <si>
    <t>IF79</t>
  </si>
  <si>
    <t>TZ16</t>
  </si>
  <si>
    <t>CL23</t>
  </si>
  <si>
    <t>UG19</t>
  </si>
  <si>
    <t>LT78</t>
  </si>
  <si>
    <t>FT65</t>
  </si>
  <si>
    <t>LT58</t>
  </si>
  <si>
    <t>DQ65</t>
  </si>
  <si>
    <t>TO57</t>
  </si>
  <si>
    <t>KP21</t>
  </si>
  <si>
    <t>MX31</t>
  </si>
  <si>
    <t>OM38</t>
  </si>
  <si>
    <t>XV80</t>
  </si>
  <si>
    <t>MC55</t>
  </si>
  <si>
    <t>VL57</t>
  </si>
  <si>
    <t>FS64</t>
  </si>
  <si>
    <t>NX30</t>
  </si>
  <si>
    <t>XU74</t>
  </si>
  <si>
    <t>EO71</t>
  </si>
  <si>
    <t>TU76</t>
  </si>
  <si>
    <t>DQ86</t>
  </si>
  <si>
    <t>OY76</t>
  </si>
  <si>
    <t>PB32</t>
  </si>
  <si>
    <t>CP64</t>
  </si>
  <si>
    <t>OM92</t>
  </si>
  <si>
    <t>HW63</t>
  </si>
  <si>
    <t>RG69</t>
  </si>
  <si>
    <t>LC15</t>
  </si>
  <si>
    <t>XE41</t>
  </si>
  <si>
    <t>CC44</t>
  </si>
  <si>
    <t>YK38</t>
  </si>
  <si>
    <t>IS34</t>
  </si>
  <si>
    <t>DG98</t>
  </si>
  <si>
    <t>AB31</t>
  </si>
  <si>
    <t>DD54</t>
  </si>
  <si>
    <t>TQ37</t>
  </si>
  <si>
    <t>PZ41</t>
  </si>
  <si>
    <t>EP76</t>
  </si>
  <si>
    <t>NR90</t>
  </si>
  <si>
    <t>EE49</t>
  </si>
  <si>
    <t>ID73</t>
  </si>
  <si>
    <t>IE70</t>
  </si>
  <si>
    <t>TT97</t>
  </si>
  <si>
    <t>QS43</t>
  </si>
  <si>
    <t>YZ50</t>
  </si>
  <si>
    <t>PD49</t>
  </si>
  <si>
    <t>MV83</t>
  </si>
  <si>
    <t>KT75</t>
  </si>
  <si>
    <t>ZR96</t>
  </si>
  <si>
    <t>NC91</t>
  </si>
  <si>
    <t>LN23</t>
  </si>
  <si>
    <t>FW79</t>
  </si>
  <si>
    <t>XI43</t>
  </si>
  <si>
    <t>TE87</t>
  </si>
  <si>
    <t>ZY10</t>
  </si>
  <si>
    <t>OK11</t>
  </si>
  <si>
    <t>LB86</t>
  </si>
  <si>
    <t>BL69</t>
  </si>
  <si>
    <t>FP53</t>
  </si>
  <si>
    <t>LR16</t>
  </si>
  <si>
    <t>RP85</t>
  </si>
  <si>
    <t>AW63</t>
  </si>
  <si>
    <t>QY37</t>
  </si>
  <si>
    <t>TF85</t>
  </si>
  <si>
    <t>TZ43</t>
  </si>
  <si>
    <t>TL49</t>
  </si>
  <si>
    <t>BQ77</t>
  </si>
  <si>
    <t>OF32</t>
  </si>
  <si>
    <t>MV85</t>
  </si>
  <si>
    <t>PA43</t>
  </si>
  <si>
    <t>AK66</t>
  </si>
  <si>
    <t>DD37</t>
  </si>
  <si>
    <t>PR51</t>
  </si>
  <si>
    <t>SC38</t>
  </si>
  <si>
    <t>PQ21</t>
  </si>
  <si>
    <t>AR36</t>
  </si>
  <si>
    <t>PC99</t>
  </si>
  <si>
    <t>EW96</t>
  </si>
  <si>
    <t>KB76</t>
  </si>
  <si>
    <t>LV96</t>
  </si>
  <si>
    <t>FD51</t>
  </si>
  <si>
    <t>BR34</t>
  </si>
  <si>
    <t>HJ21</t>
  </si>
  <si>
    <t>JA31</t>
  </si>
  <si>
    <t>DO36</t>
  </si>
  <si>
    <t>NP88</t>
  </si>
  <si>
    <t>AV26</t>
  </si>
  <si>
    <t>EV28</t>
  </si>
  <si>
    <t>IZ23</t>
  </si>
  <si>
    <t>NO21</t>
  </si>
  <si>
    <t>NN30</t>
  </si>
  <si>
    <t>YH14</t>
  </si>
  <si>
    <t>QH25</t>
  </si>
  <si>
    <t>ZF55</t>
  </si>
  <si>
    <t>RH48</t>
  </si>
  <si>
    <t>AD12</t>
  </si>
  <si>
    <t>AC45</t>
  </si>
  <si>
    <t>ZT45</t>
  </si>
  <si>
    <t>LX57</t>
  </si>
  <si>
    <t>RS17</t>
  </si>
  <si>
    <t>ZI19</t>
  </si>
  <si>
    <t>TE57</t>
  </si>
  <si>
    <t>YZ77</t>
  </si>
  <si>
    <t>SZ41</t>
  </si>
  <si>
    <t>WM54</t>
  </si>
  <si>
    <t>FZ83</t>
  </si>
  <si>
    <t>MD60</t>
  </si>
  <si>
    <t>TR32</t>
  </si>
  <si>
    <t>EZ46</t>
  </si>
  <si>
    <t>EX16</t>
  </si>
  <si>
    <t>JW19</t>
  </si>
  <si>
    <t>YI65</t>
  </si>
  <si>
    <t>LZ98</t>
  </si>
  <si>
    <t>RD79</t>
  </si>
  <si>
    <t>OY48</t>
  </si>
  <si>
    <t>EC70</t>
  </si>
  <si>
    <t>DP39</t>
  </si>
  <si>
    <t>IM44</t>
  </si>
  <si>
    <t>PN74</t>
  </si>
  <si>
    <t>VV34</t>
  </si>
  <si>
    <t>YQ35</t>
  </si>
  <si>
    <t>UV17</t>
  </si>
  <si>
    <t>LS71</t>
  </si>
  <si>
    <t>IJ42</t>
  </si>
  <si>
    <t>PL73</t>
  </si>
  <si>
    <t>AK10</t>
  </si>
  <si>
    <t>KA10</t>
  </si>
  <si>
    <t>EQ64</t>
  </si>
  <si>
    <t>FD46</t>
  </si>
  <si>
    <t>JB44</t>
  </si>
  <si>
    <t>VG52</t>
  </si>
  <si>
    <t>BV63</t>
  </si>
  <si>
    <t>NU16</t>
  </si>
  <si>
    <t>QH88</t>
  </si>
  <si>
    <t>NK69</t>
  </si>
  <si>
    <t>GQ12</t>
  </si>
  <si>
    <t>UJ19</t>
  </si>
  <si>
    <t>NT88</t>
  </si>
  <si>
    <t>UR22</t>
  </si>
  <si>
    <t>EC79</t>
  </si>
  <si>
    <t>DE92</t>
  </si>
  <si>
    <t>KK62</t>
  </si>
  <si>
    <t>XW29</t>
  </si>
  <si>
    <t>VS97</t>
  </si>
  <si>
    <t>QW37</t>
  </si>
  <si>
    <t>GU79</t>
  </si>
  <si>
    <t>PR34</t>
  </si>
  <si>
    <t>AL88</t>
  </si>
  <si>
    <t>EJ86</t>
  </si>
  <si>
    <t>DX86</t>
  </si>
  <si>
    <t>GH30</t>
  </si>
  <si>
    <t>WC88</t>
  </si>
  <si>
    <t>AJ89</t>
  </si>
  <si>
    <t>FD19</t>
  </si>
  <si>
    <t>HN54</t>
  </si>
  <si>
    <t>WW70</t>
  </si>
  <si>
    <t>BU47</t>
  </si>
  <si>
    <t>UN75</t>
  </si>
  <si>
    <t>PI63</t>
  </si>
  <si>
    <t>UJ84</t>
  </si>
  <si>
    <t>PN20</t>
  </si>
  <si>
    <t>VY30</t>
  </si>
  <si>
    <t>KI34</t>
  </si>
  <si>
    <t>FD68</t>
  </si>
  <si>
    <t>RU88</t>
  </si>
  <si>
    <t>WF14</t>
  </si>
  <si>
    <t>EQ52</t>
  </si>
  <si>
    <t>AU15</t>
  </si>
  <si>
    <t>GP62</t>
  </si>
  <si>
    <t>AB14</t>
  </si>
  <si>
    <t>YB92</t>
  </si>
  <si>
    <t>CC62</t>
  </si>
  <si>
    <t>YJ23</t>
  </si>
  <si>
    <t>RM19</t>
  </si>
  <si>
    <t>CP78</t>
  </si>
  <si>
    <t>LC56</t>
  </si>
  <si>
    <t>WN15</t>
  </si>
  <si>
    <t>JM97</t>
  </si>
  <si>
    <t>FH80</t>
  </si>
  <si>
    <t>CL57</t>
  </si>
  <si>
    <t>OI92</t>
  </si>
  <si>
    <t>CU13</t>
  </si>
  <si>
    <t>IL53</t>
  </si>
  <si>
    <t>NT33</t>
  </si>
  <si>
    <t>VW27</t>
  </si>
  <si>
    <t>GA86</t>
  </si>
  <si>
    <t>VY33</t>
  </si>
  <si>
    <t>VJ52</t>
  </si>
  <si>
    <t>NP32</t>
  </si>
  <si>
    <t>FV74</t>
  </si>
  <si>
    <t>JM54</t>
  </si>
  <si>
    <t>QH11</t>
  </si>
  <si>
    <t>HX59</t>
  </si>
  <si>
    <t>DY42</t>
  </si>
  <si>
    <t>OO93</t>
  </si>
  <si>
    <t>VV70</t>
  </si>
  <si>
    <t>SR91</t>
  </si>
  <si>
    <t>DT94</t>
  </si>
  <si>
    <t>PZ89</t>
  </si>
  <si>
    <t>WE80</t>
  </si>
  <si>
    <t>DI95</t>
  </si>
  <si>
    <t>ZX91</t>
  </si>
  <si>
    <t>MN46</t>
  </si>
  <si>
    <t>NK56</t>
  </si>
  <si>
    <t>RW20</t>
  </si>
  <si>
    <t>VI15</t>
  </si>
  <si>
    <t>GT48</t>
  </si>
  <si>
    <t>BV78</t>
  </si>
  <si>
    <t>KX18</t>
  </si>
  <si>
    <t>RJ89</t>
  </si>
  <si>
    <t>QU61</t>
  </si>
  <si>
    <t>XG57</t>
  </si>
  <si>
    <t>PU94</t>
  </si>
  <si>
    <t>ZS99</t>
  </si>
  <si>
    <t>NI18</t>
  </si>
  <si>
    <t>SH62</t>
  </si>
  <si>
    <t>GN70</t>
  </si>
  <si>
    <t>QS66</t>
  </si>
  <si>
    <t>VM15</t>
  </si>
  <si>
    <t>JM44</t>
  </si>
  <si>
    <t>DE86</t>
  </si>
  <si>
    <t>OF40</t>
  </si>
  <si>
    <t>IQ42</t>
  </si>
  <si>
    <t>AE76</t>
  </si>
  <si>
    <t>WY39</t>
  </si>
  <si>
    <t>ON99</t>
  </si>
  <si>
    <t>DC94</t>
  </si>
  <si>
    <t>YB45</t>
  </si>
  <si>
    <t>YO38</t>
  </si>
  <si>
    <t>EZ50</t>
  </si>
  <si>
    <t>GI36</t>
  </si>
  <si>
    <t>KU86</t>
  </si>
  <si>
    <t>IU77</t>
  </si>
  <si>
    <t>NL31</t>
  </si>
  <si>
    <t>JD20</t>
  </si>
  <si>
    <t>XH90</t>
  </si>
  <si>
    <t>KW27</t>
  </si>
  <si>
    <t>MW25</t>
  </si>
  <si>
    <t>JJ98</t>
  </si>
  <si>
    <t>WA79</t>
  </si>
  <si>
    <t>PT43</t>
  </si>
  <si>
    <t>PM93</t>
  </si>
  <si>
    <t>RF15</t>
  </si>
  <si>
    <t>BK65</t>
  </si>
  <si>
    <t>PJ16</t>
  </si>
  <si>
    <t>MQ36</t>
  </si>
  <si>
    <t>IX98</t>
  </si>
  <si>
    <t>KF52</t>
  </si>
  <si>
    <t>MM53</t>
  </si>
  <si>
    <t>KX14</t>
  </si>
  <si>
    <t>LY97</t>
  </si>
  <si>
    <t>QG33</t>
  </si>
  <si>
    <t>TI84</t>
  </si>
  <si>
    <t>GH36</t>
  </si>
  <si>
    <t>ER18</t>
  </si>
  <si>
    <t>ZV58</t>
  </si>
  <si>
    <t>KC66</t>
  </si>
  <si>
    <t>JN16</t>
  </si>
  <si>
    <t>GT58</t>
  </si>
  <si>
    <t>WQ16</t>
  </si>
  <si>
    <t>CN25</t>
  </si>
  <si>
    <t>WX75</t>
  </si>
  <si>
    <t>YV11</t>
  </si>
  <si>
    <t>TU74</t>
  </si>
  <si>
    <t>CW99</t>
  </si>
  <si>
    <t>KQ13</t>
  </si>
  <si>
    <t>MI49</t>
  </si>
  <si>
    <t>ZZ62</t>
  </si>
  <si>
    <t>HA63</t>
  </si>
  <si>
    <t>GR79</t>
  </si>
  <si>
    <t>TB90</t>
  </si>
  <si>
    <t>OQ36</t>
  </si>
  <si>
    <t>VD89</t>
  </si>
  <si>
    <t>YH85</t>
  </si>
  <si>
    <t>TQ39</t>
  </si>
  <si>
    <t>DX46</t>
  </si>
  <si>
    <t>NL82</t>
  </si>
  <si>
    <t>LR75</t>
  </si>
  <si>
    <t>XF20</t>
  </si>
  <si>
    <t>RR77</t>
  </si>
  <si>
    <t>NC57</t>
  </si>
  <si>
    <t>UA93</t>
  </si>
  <si>
    <t>OF99</t>
  </si>
  <si>
    <t>DO17</t>
  </si>
  <si>
    <t>GY36</t>
  </si>
  <si>
    <t>QQ87</t>
  </si>
  <si>
    <t>HH95</t>
  </si>
  <si>
    <t>OZ30</t>
  </si>
  <si>
    <t>NV14</t>
  </si>
  <si>
    <t>YW34</t>
  </si>
  <si>
    <t>CY10</t>
  </si>
  <si>
    <t>JH94</t>
  </si>
  <si>
    <t>QL84</t>
  </si>
  <si>
    <t>HH28</t>
  </si>
  <si>
    <t>LO61</t>
  </si>
  <si>
    <t>TG28</t>
  </si>
  <si>
    <t>AQ57</t>
  </si>
  <si>
    <t>VX22</t>
  </si>
  <si>
    <t>UD98</t>
  </si>
  <si>
    <t>YU84</t>
  </si>
  <si>
    <t>YW47</t>
  </si>
  <si>
    <t>XJ33</t>
  </si>
  <si>
    <t>SE89</t>
  </si>
  <si>
    <t>IQ87</t>
  </si>
  <si>
    <t>PO84</t>
  </si>
  <si>
    <t>DA39</t>
  </si>
  <si>
    <t>GK85</t>
  </si>
  <si>
    <t>GA59</t>
  </si>
  <si>
    <t>JT49</t>
  </si>
  <si>
    <t>CT66</t>
  </si>
  <si>
    <t>HX85</t>
  </si>
  <si>
    <t>MX30</t>
  </si>
  <si>
    <t>JG72</t>
  </si>
  <si>
    <t>BW57</t>
  </si>
  <si>
    <t>OP73</t>
  </si>
  <si>
    <t>HV48</t>
  </si>
  <si>
    <t>BB51</t>
  </si>
  <si>
    <t>XY65</t>
  </si>
  <si>
    <t>TF98</t>
  </si>
  <si>
    <t>RU75</t>
  </si>
  <si>
    <t>TR37</t>
  </si>
  <si>
    <t>AX81</t>
  </si>
  <si>
    <t>FM70</t>
  </si>
  <si>
    <t>FM11</t>
  </si>
  <si>
    <t>SH89</t>
  </si>
  <si>
    <t>SU83</t>
  </si>
  <si>
    <t>OW70</t>
  </si>
  <si>
    <t>OQ15</t>
  </si>
  <si>
    <t>HI74</t>
  </si>
  <si>
    <t>FP54</t>
  </si>
  <si>
    <t>RA88</t>
  </si>
  <si>
    <t>FC78</t>
  </si>
  <si>
    <t>TW83</t>
  </si>
  <si>
    <t>KN44</t>
  </si>
  <si>
    <t>QG26</t>
  </si>
  <si>
    <t>GJ85</t>
  </si>
  <si>
    <t>EY10</t>
  </si>
  <si>
    <t>KE49</t>
  </si>
  <si>
    <t>TI54</t>
  </si>
  <si>
    <t>QT16</t>
  </si>
  <si>
    <t>QE27</t>
  </si>
  <si>
    <t>BN75</t>
  </si>
  <si>
    <t>YC29</t>
  </si>
  <si>
    <t>CD21</t>
  </si>
  <si>
    <t>CK14</t>
  </si>
  <si>
    <t>CM79</t>
  </si>
  <si>
    <t>EA98</t>
  </si>
  <si>
    <t>YB90</t>
  </si>
  <si>
    <t>GC94</t>
  </si>
  <si>
    <t>KW33</t>
  </si>
  <si>
    <t>RO91</t>
  </si>
  <si>
    <t>ET20</t>
  </si>
  <si>
    <t>TU70</t>
  </si>
  <si>
    <t>LB38</t>
  </si>
  <si>
    <t>KW85</t>
  </si>
  <si>
    <t>EE47</t>
  </si>
  <si>
    <t>GV18</t>
  </si>
  <si>
    <t>ZH67</t>
  </si>
  <si>
    <t>HF59</t>
  </si>
  <si>
    <t>JC44</t>
  </si>
  <si>
    <t>KU69</t>
  </si>
  <si>
    <t>TO48</t>
  </si>
  <si>
    <t>QK74</t>
  </si>
  <si>
    <t>JT82</t>
  </si>
  <si>
    <t>BZ61</t>
  </si>
  <si>
    <t>BZ20</t>
  </si>
  <si>
    <t>GT96</t>
  </si>
  <si>
    <t>UG58</t>
  </si>
  <si>
    <t>KJ85</t>
  </si>
  <si>
    <t>HO82</t>
  </si>
  <si>
    <t>NT78</t>
  </si>
  <si>
    <t>MR83</t>
  </si>
  <si>
    <t>UT72</t>
  </si>
  <si>
    <t>VX89</t>
  </si>
  <si>
    <t>IF80</t>
  </si>
  <si>
    <t>QU38</t>
  </si>
  <si>
    <t>UV28</t>
  </si>
  <si>
    <t>LZ36</t>
  </si>
  <si>
    <t>QS46</t>
  </si>
  <si>
    <t>GP12</t>
  </si>
  <si>
    <t>IC29</t>
  </si>
  <si>
    <t>GM48</t>
  </si>
  <si>
    <t>WO13</t>
  </si>
  <si>
    <t>RQ88</t>
  </si>
  <si>
    <t>NQ40</t>
  </si>
  <si>
    <t>WO81</t>
  </si>
  <si>
    <t>GA55</t>
  </si>
  <si>
    <t>AV88</t>
  </si>
  <si>
    <t>HF57</t>
  </si>
  <si>
    <t>PP97</t>
  </si>
  <si>
    <t>UH36</t>
  </si>
  <si>
    <t>Month</t>
  </si>
  <si>
    <t>Fiction</t>
  </si>
  <si>
    <t>Camping Gear</t>
  </si>
  <si>
    <t>Women’s Dresses</t>
  </si>
  <si>
    <t>Car Parts</t>
  </si>
  <si>
    <t>Smartwatches</t>
  </si>
  <si>
    <t>Cookware</t>
  </si>
  <si>
    <t>Board Games</t>
  </si>
  <si>
    <t>Snacks</t>
  </si>
  <si>
    <t>Dog Food</t>
  </si>
  <si>
    <t>Men’s Jackets</t>
  </si>
  <si>
    <t>Headphones</t>
  </si>
  <si>
    <t>Treadmills</t>
  </si>
  <si>
    <t>Furniture</t>
  </si>
  <si>
    <t>Academic Textbooks</t>
  </si>
  <si>
    <t>Motorbike Accessories</t>
  </si>
  <si>
    <t>Kids’ Footwear</t>
  </si>
  <si>
    <t>Televisions</t>
  </si>
  <si>
    <t>Action Figures</t>
  </si>
  <si>
    <t>Beverages</t>
  </si>
  <si>
    <t>Cat Food</t>
  </si>
  <si>
    <t>Laptops</t>
  </si>
  <si>
    <t>Women’s Jewelry</t>
  </si>
  <si>
    <t>Cycling Equipment</t>
  </si>
  <si>
    <t>Children’s Books</t>
  </si>
  <si>
    <t>Bedding</t>
  </si>
  <si>
    <t>Car Electronics</t>
  </si>
  <si>
    <t>Puzzles</t>
  </si>
  <si>
    <t>Bakery</t>
  </si>
  <si>
    <t>Fish Food</t>
  </si>
  <si>
    <t>Men’s Formal Shoes</t>
  </si>
  <si>
    <t>Printers</t>
  </si>
  <si>
    <t>Swimming Gear</t>
  </si>
  <si>
    <t>Non-Fiction</t>
  </si>
  <si>
    <t>Lighting</t>
  </si>
  <si>
    <t>Car Care</t>
  </si>
  <si>
    <t>Educational Toys</t>
  </si>
  <si>
    <t>Frozen Foods</t>
  </si>
  <si>
    <t>Bird Supplies</t>
  </si>
  <si>
    <t>Women’s Kurtis</t>
  </si>
  <si>
    <t>VR Headsets</t>
  </si>
  <si>
    <t>Kitchen Storage</t>
  </si>
  <si>
    <t>Comics</t>
  </si>
  <si>
    <t>Outdoor Games</t>
  </si>
  <si>
    <t>Projectors</t>
  </si>
  <si>
    <t>Men’s Watches</t>
  </si>
  <si>
    <t>Tyres</t>
  </si>
  <si>
    <t>Remote Control Cars</t>
  </si>
  <si>
    <t>Dairy Products</t>
  </si>
  <si>
    <t>Pet Grooming</t>
  </si>
  <si>
    <t>Women’s Bags</t>
  </si>
  <si>
    <t>Streaming Devices</t>
  </si>
  <si>
    <t>Boxing Equipment</t>
  </si>
  <si>
    <t>Poetry</t>
  </si>
  <si>
    <t>Home Decor</t>
  </si>
  <si>
    <t>Car Tools</t>
  </si>
  <si>
    <t>Musical Toys</t>
  </si>
  <si>
    <t>Organic Foods</t>
  </si>
  <si>
    <t>Pet Toys</t>
  </si>
  <si>
    <t>Kids’ Accessories</t>
  </si>
  <si>
    <t>Console Accessories</t>
  </si>
  <si>
    <t>Science Fiction</t>
  </si>
  <si>
    <t>Table Tennis</t>
  </si>
  <si>
    <t>Smart Lights</t>
  </si>
  <si>
    <t>Women’s Heels</t>
  </si>
  <si>
    <t>Cleaning Supplies</t>
  </si>
  <si>
    <t>Car Covers</t>
  </si>
  <si>
    <t>Stuffed Animals</t>
  </si>
  <si>
    <t>Canned Foods</t>
  </si>
  <si>
    <t>Pet Beds</t>
  </si>
  <si>
    <t>Men’s T-Shirts</t>
  </si>
  <si>
    <t>Modems</t>
  </si>
  <si>
    <t>Cricket Gear</t>
  </si>
  <si>
    <t>Biographies</t>
  </si>
  <si>
    <t>Storage Furniture</t>
  </si>
  <si>
    <t>Car Batteries</t>
  </si>
  <si>
    <t>Playsets</t>
  </si>
  <si>
    <t>Spices</t>
  </si>
  <si>
    <t>Pet Collars</t>
  </si>
  <si>
    <t>Women’s Sarees</t>
  </si>
  <si>
    <t>Graphics Cards</t>
  </si>
  <si>
    <t>Tableware</t>
  </si>
  <si>
    <t>Travel Guides</t>
  </si>
  <si>
    <t>Hiking Equipment</t>
  </si>
  <si>
    <t>Smart Doorbells</t>
  </si>
  <si>
    <t>Kids’ Clothing</t>
  </si>
  <si>
    <t>Car Mats</t>
  </si>
  <si>
    <t>Building Blocks</t>
  </si>
  <si>
    <t>Condiments</t>
  </si>
  <si>
    <t>Pet Leashes</t>
  </si>
  <si>
    <t>Men’s Jeans</t>
  </si>
  <si>
    <t>SSD Drives</t>
  </si>
  <si>
    <t>Football Gear</t>
  </si>
  <si>
    <t>Reference Books</t>
  </si>
  <si>
    <t>Curtains</t>
  </si>
  <si>
    <t>Car Oils</t>
  </si>
  <si>
    <t>Science Kits</t>
  </si>
  <si>
    <t>Tea &amp; Coffee</t>
  </si>
  <si>
    <t>Pet Bowls</t>
  </si>
  <si>
    <t>Women’s Tops</t>
  </si>
  <si>
    <t>Camera Lenses</t>
  </si>
  <si>
    <t>History</t>
  </si>
  <si>
    <t>Running Shoes</t>
  </si>
  <si>
    <t>Smart Plugs</t>
  </si>
  <si>
    <t>Women’s Flats</t>
  </si>
  <si>
    <t>Wall Art</t>
  </si>
  <si>
    <t>Car Seats</t>
  </si>
  <si>
    <t>Board Puzzles</t>
  </si>
  <si>
    <t>Meat &amp; Poultry</t>
  </si>
  <si>
    <t>Pet Vitamins</t>
  </si>
  <si>
    <t>Men’s Casual Shoes</t>
  </si>
  <si>
    <t>Motherboards</t>
  </si>
  <si>
    <t>Skating Gear</t>
  </si>
  <si>
    <t>Philosophy</t>
  </si>
  <si>
    <t>Clocks</t>
  </si>
  <si>
    <t>Car Lights</t>
  </si>
  <si>
    <t>Outdoor Playsets</t>
  </si>
  <si>
    <t>Health Drinks</t>
  </si>
  <si>
    <t>Pet Brushes</t>
  </si>
  <si>
    <t>Women’s Skirts</t>
  </si>
  <si>
    <t>Action Cameras</t>
  </si>
  <si>
    <t>Art &amp; Photography</t>
  </si>
  <si>
    <t>Gym Equipment</t>
  </si>
  <si>
    <t>Hard Drives</t>
  </si>
  <si>
    <t>Kitchen Appliances</t>
  </si>
  <si>
    <t>Car Audio Systems</t>
  </si>
  <si>
    <t>Card Games</t>
  </si>
  <si>
    <t>Instant Foods</t>
  </si>
  <si>
    <t>Pet Carriers</t>
  </si>
  <si>
    <t>Men’s Belts</t>
  </si>
  <si>
    <t>Routers</t>
  </si>
  <si>
    <t>Volleyball Gear</t>
  </si>
  <si>
    <t>Self-Help</t>
  </si>
  <si>
    <t>Mirrors</t>
  </si>
  <si>
    <t>Car Cleaning Kits</t>
  </si>
  <si>
    <t>Learning Tablets</t>
  </si>
  <si>
    <t>Packaged Foods</t>
  </si>
  <si>
    <t>Pet Shampoo</t>
  </si>
  <si>
    <t>DSLR Cameras</t>
  </si>
  <si>
    <t>Mattresses</t>
  </si>
  <si>
    <t>Children’s Educational</t>
  </si>
  <si>
    <t>Archery Equipment</t>
  </si>
  <si>
    <t>Tripods</t>
  </si>
  <si>
    <t>Kids’ Jackets</t>
  </si>
  <si>
    <t>Car GPS Devices</t>
  </si>
  <si>
    <t>Play Dough</t>
  </si>
  <si>
    <t>Ready-to-Eat Meals</t>
  </si>
  <si>
    <t>Pet Supplements</t>
  </si>
  <si>
    <t>Men’s Wallets</t>
  </si>
  <si>
    <t>Mirrorless Cameras</t>
  </si>
  <si>
    <t>Karate Gear</t>
  </si>
  <si>
    <t>Religion &amp; Spirituality</t>
  </si>
  <si>
    <t>Carpets</t>
  </si>
  <si>
    <t>Car Spare Parts</t>
  </si>
  <si>
    <t>Electronic Learning Toys</t>
  </si>
  <si>
    <t>Energy Drinks</t>
  </si>
  <si>
    <t>Pet Food Storage</t>
  </si>
  <si>
    <t>Medical Textbooks</t>
  </si>
  <si>
    <t>Rowing Machines</t>
  </si>
  <si>
    <t>Smart Security Cameras</t>
  </si>
  <si>
    <t>Kitchen Tools</t>
  </si>
  <si>
    <t>Car Engine Parts</t>
  </si>
  <si>
    <t>Herbal Products</t>
  </si>
  <si>
    <t>Pet Training Pads</t>
  </si>
  <si>
    <t>Weightlifting Equipment</t>
  </si>
  <si>
    <t>Law Books</t>
  </si>
  <si>
    <t>Home Storage</t>
  </si>
  <si>
    <t>Car Tires</t>
  </si>
  <si>
    <t>Playhouses</t>
  </si>
  <si>
    <t>Men’s Shirts</t>
  </si>
  <si>
    <t>Drama</t>
  </si>
  <si>
    <t>Climbing Gear</t>
  </si>
  <si>
    <t>Smart Home Hubs</t>
  </si>
  <si>
    <t>Women’s Scarves</t>
  </si>
  <si>
    <t>Kitchen Utensils</t>
  </si>
  <si>
    <t>Car Dash Cameras</t>
  </si>
  <si>
    <t>Role Play Sets</t>
  </si>
  <si>
    <t>Pickles</t>
  </si>
  <si>
    <t>Pet Blankets</t>
  </si>
  <si>
    <t>Men’s Sports Shoes</t>
  </si>
  <si>
    <t>Speakers</t>
  </si>
  <si>
    <t>Badminton Gear</t>
  </si>
  <si>
    <t>Anthologies</t>
  </si>
  <si>
    <t>Kitchen Racks</t>
  </si>
  <si>
    <t>Car Horns</t>
  </si>
  <si>
    <t>Magic Kits</t>
  </si>
  <si>
    <t>Chocolates</t>
  </si>
  <si>
    <t>Pet Harnesses</t>
  </si>
  <si>
    <t>Women’s Coats</t>
  </si>
  <si>
    <t>Digital Cameras</t>
  </si>
  <si>
    <t>Children’s Storybooks</t>
  </si>
  <si>
    <t>Elliptical Trainers</t>
  </si>
  <si>
    <t>Smart Thermostats</t>
  </si>
  <si>
    <t>Kids’ Dresses</t>
  </si>
  <si>
    <t>Kitchen Knives</t>
  </si>
  <si>
    <t>Car Steering Covers</t>
  </si>
  <si>
    <t>Construction Sets</t>
  </si>
  <si>
    <t>Juices</t>
  </si>
  <si>
    <t>Pet Towels</t>
  </si>
  <si>
    <t>Men’s Accessories</t>
  </si>
  <si>
    <t>Smart Speakers</t>
  </si>
  <si>
    <t>Martial Arts Gear</t>
  </si>
  <si>
    <t>Encyclopedias</t>
  </si>
  <si>
    <t>Kitchen Shelves</t>
  </si>
  <si>
    <t>Car Air Fresheners</t>
  </si>
  <si>
    <t>Mini Cars</t>
  </si>
  <si>
    <t>Ready Mixes</t>
  </si>
  <si>
    <t>Women’s Sunglasses</t>
  </si>
  <si>
    <t>Smart Cameras</t>
  </si>
  <si>
    <t>Children’s Activity Books</t>
  </si>
  <si>
    <t>Smart Sensors</t>
  </si>
  <si>
    <t>Kitchen Organizers</t>
  </si>
  <si>
    <t>Car Wipers</t>
  </si>
  <si>
    <t>Herbal Teas</t>
  </si>
  <si>
    <t>Smart Door Locks</t>
  </si>
  <si>
    <t>Poetry Collections</t>
  </si>
  <si>
    <t>Running Gear</t>
  </si>
  <si>
    <t>Smart Switches</t>
  </si>
  <si>
    <t>Kitchen Containers</t>
  </si>
  <si>
    <t>Car Mirrors</t>
  </si>
  <si>
    <t>Play Kitchens</t>
  </si>
  <si>
    <t>Protein Powders</t>
  </si>
  <si>
    <t>Pet Chew Toys</t>
  </si>
  <si>
    <t>Smart Displays</t>
  </si>
  <si>
    <t>Children’s Novels</t>
  </si>
  <si>
    <t>Weight Training</t>
  </si>
  <si>
    <t>Smart Remotes</t>
  </si>
  <si>
    <t>Kitchen Trays</t>
  </si>
  <si>
    <t>Learning Games</t>
  </si>
  <si>
    <t>Smart Routers</t>
  </si>
  <si>
    <t>Children’s Comics</t>
  </si>
  <si>
    <t>Table Tennis Gear</t>
  </si>
  <si>
    <t>Kitchen Mats</t>
  </si>
  <si>
    <t>Energy Bars</t>
  </si>
  <si>
    <t>Smart TVs</t>
  </si>
  <si>
    <t>Children’s Poetry</t>
  </si>
  <si>
    <t>Smart Watches</t>
  </si>
  <si>
    <t>Kitchen Towels</t>
  </si>
  <si>
    <t>Pet Grooming Kits</t>
  </si>
  <si>
    <t>Smart Tablets</t>
  </si>
  <si>
    <t>Engineering Textbooks</t>
  </si>
  <si>
    <t>Boxing Gloves</t>
  </si>
  <si>
    <t>Kitchen Cabinets</t>
  </si>
  <si>
    <t>Car Tyres</t>
  </si>
  <si>
    <t>Educational Kits</t>
  </si>
  <si>
    <t>Organic Juices</t>
  </si>
  <si>
    <t>Children’s Picture Books</t>
  </si>
  <si>
    <t>Kitchen Drawers</t>
  </si>
  <si>
    <t>Musical Instruments</t>
  </si>
  <si>
    <t>Instant Noodles</t>
  </si>
  <si>
    <t>Children’s Encyclopedias</t>
  </si>
  <si>
    <t>Football Shoes</t>
  </si>
  <si>
    <t>Packaged Snacks</t>
  </si>
  <si>
    <t>Cricket Bats</t>
  </si>
  <si>
    <t>Learning Toys</t>
  </si>
  <si>
    <t>Table Tennis Rackets</t>
  </si>
  <si>
    <t>Protein Bars</t>
  </si>
  <si>
    <t>Children’s Educational Books</t>
  </si>
  <si>
    <t>Archery Gear</t>
  </si>
  <si>
    <t>Fantasy</t>
  </si>
  <si>
    <t>Surfing Gear</t>
  </si>
  <si>
    <t>Smart Keyboards</t>
  </si>
  <si>
    <t>Women’s Blazers</t>
  </si>
  <si>
    <t>Kitchen Stools</t>
  </si>
  <si>
    <t>Car Floor Mats</t>
  </si>
  <si>
    <t>Organic Vegetables</t>
  </si>
  <si>
    <t>Pet Nail Clippers</t>
  </si>
  <si>
    <t>Men’s Hoodies</t>
  </si>
  <si>
    <t>Smart Monitors</t>
  </si>
  <si>
    <t>Baseball Gear</t>
  </si>
  <si>
    <t>Children’s Fairy Tales</t>
  </si>
  <si>
    <t>Kitchen Tables</t>
  </si>
  <si>
    <t>Car Exhausts</t>
  </si>
  <si>
    <t>STEM Toys</t>
  </si>
  <si>
    <t>Spices &amp; Herbs</t>
  </si>
  <si>
    <t>Pet Litter Boxes</t>
  </si>
  <si>
    <t>Women’s Leggings</t>
  </si>
  <si>
    <t>Smart Microphones</t>
  </si>
  <si>
    <t>Children’s Coloring Books</t>
  </si>
  <si>
    <t>Kayaking Gear</t>
  </si>
  <si>
    <t>Smart Chargers</t>
  </si>
  <si>
    <t>Kids’ Sweaters</t>
  </si>
  <si>
    <t>Kitchen Chairs</t>
  </si>
  <si>
    <t>Car Engines</t>
  </si>
  <si>
    <t>Wooden Toys</t>
  </si>
  <si>
    <t>Organic Snacks</t>
  </si>
  <si>
    <t>Pet Scratching Posts</t>
  </si>
  <si>
    <t>Men’s Polo Shirts</t>
  </si>
  <si>
    <t>Smart Projectors</t>
  </si>
  <si>
    <t>Rock Climbing Gear</t>
  </si>
  <si>
    <t>Children’s Adventure Books</t>
  </si>
  <si>
    <t>Car Suspension</t>
  </si>
  <si>
    <t>Creative Kits</t>
  </si>
  <si>
    <t>Packaged Juices</t>
  </si>
  <si>
    <t>Women’s Swimwear</t>
  </si>
  <si>
    <t>Ice Skating Gear</t>
  </si>
  <si>
    <t>Kids’ Shorts</t>
  </si>
  <si>
    <t>Car Brakes</t>
  </si>
  <si>
    <t>Educational Blocks</t>
  </si>
  <si>
    <t>Protein Shakes</t>
  </si>
  <si>
    <t>Men’s Track Pants</t>
  </si>
  <si>
    <t>Rowing Gear</t>
  </si>
  <si>
    <t>Children’s Atlases</t>
  </si>
  <si>
    <t>Handball Gear</t>
  </si>
  <si>
    <t>Smart VR Headsets</t>
  </si>
  <si>
    <t>Women’s Tunics</t>
  </si>
  <si>
    <t>Kitchen Blenders</t>
  </si>
  <si>
    <t>Car Radiators</t>
  </si>
  <si>
    <t>Logic Games</t>
  </si>
  <si>
    <t>Organic Cereals</t>
  </si>
  <si>
    <t>Pet First Aid Kits</t>
  </si>
  <si>
    <t>Men’s Tracksuits</t>
  </si>
  <si>
    <t>Smart Earbuds</t>
  </si>
  <si>
    <t>Softball Gear</t>
  </si>
  <si>
    <t>Children’s Puzzle Books</t>
  </si>
  <si>
    <t>Kitchen Mixers</t>
  </si>
  <si>
    <t>Car Gearboxes</t>
  </si>
  <si>
    <t>Clay Modeling Kits</t>
  </si>
  <si>
    <t>Packaged Rice</t>
  </si>
  <si>
    <t>Women’s Jackets</t>
  </si>
  <si>
    <t>Children’s Science Books</t>
  </si>
  <si>
    <t>Rowing Oars</t>
  </si>
  <si>
    <t>Kids’ Pajamas</t>
  </si>
  <si>
    <t>Kitchen Cooktops</t>
  </si>
  <si>
    <t>Car Clutches</t>
  </si>
  <si>
    <t>Educational Robots</t>
  </si>
  <si>
    <t>Protein Supplements</t>
  </si>
  <si>
    <t>Men’s Coats</t>
  </si>
  <si>
    <t>Ice Hockey Gear</t>
  </si>
  <si>
    <t>Children’s Adventure Novels</t>
  </si>
  <si>
    <t>Kitchen Ovens</t>
  </si>
  <si>
    <t>Car Fuel Pumps</t>
  </si>
  <si>
    <t>Pet Grooming Brushes</t>
  </si>
  <si>
    <t>Medical Journals</t>
  </si>
  <si>
    <t>Boxing Headgear</t>
  </si>
  <si>
    <t xml:space="preserve">january </t>
  </si>
  <si>
    <t xml:space="preserve">andhra pradesh </t>
  </si>
  <si>
    <t>category</t>
  </si>
  <si>
    <t>assam</t>
  </si>
  <si>
    <t>BIHAR</t>
  </si>
  <si>
    <t>categories</t>
  </si>
  <si>
    <t>states</t>
  </si>
  <si>
    <t>Count of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</si>
</sst>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6" x14ac:knownFonts="1">
    <font>
      <sz val="11"/>
      <color theme="1"/>
      <name val="Aptos Narrow"/>
      <family val="2"/>
      <scheme val="minor"/>
    </font>
    <font>
      <b/>
      <sz val="12"/>
      <color theme="0"/>
      <name val="Aptos Narrow"/>
      <family val="2"/>
      <scheme val="minor"/>
    </font>
    <font>
      <b/>
      <sz val="11"/>
      <color theme="0"/>
      <name val="Aptos Narrow"/>
      <family val="2"/>
      <scheme val="minor"/>
    </font>
    <font>
      <b/>
      <sz val="11"/>
      <color theme="1"/>
      <name val="Aptos Narrow"/>
      <family val="2"/>
      <scheme val="minor"/>
    </font>
    <font>
      <b/>
      <sz val="11.5"/>
      <color theme="1"/>
      <name val="Aptos Narrow"/>
      <family val="2"/>
      <scheme val="minor"/>
    </font>
    <font>
      <b/>
      <sz val="11.5"/>
      <color theme="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rgb="FFFF6600"/>
        <bgColor indexed="64"/>
      </patternFill>
    </fill>
    <fill>
      <patternFill patternType="solid">
        <fgColor rgb="FFFF9933"/>
        <bgColor indexed="64"/>
      </patternFill>
    </fill>
  </fills>
  <borders count="9">
    <border>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style="medium">
        <color theme="0"/>
      </right>
      <top style="medium">
        <color theme="0"/>
      </top>
      <bottom/>
      <diagonal/>
    </border>
    <border>
      <left style="medium">
        <color theme="0"/>
      </left>
      <right/>
      <top/>
      <bottom/>
      <diagonal/>
    </border>
    <border>
      <left style="medium">
        <color theme="0"/>
      </left>
      <right/>
      <top/>
      <bottom style="medium">
        <color theme="0"/>
      </bottom>
      <diagonal/>
    </border>
    <border>
      <left style="medium">
        <color theme="0"/>
      </left>
      <right/>
      <top style="medium">
        <color theme="0"/>
      </top>
      <bottom style="medium">
        <color theme="0"/>
      </bottom>
      <diagonal/>
    </border>
  </borders>
  <cellStyleXfs count="1">
    <xf numFmtId="0" fontId="0" fillId="0" borderId="0"/>
  </cellStyleXfs>
  <cellXfs count="23">
    <xf numFmtId="0" fontId="0" fillId="0" borderId="0" xfId="0"/>
    <xf numFmtId="0" fontId="0" fillId="2" borderId="0" xfId="0" applyFill="1"/>
    <xf numFmtId="2" fontId="0" fillId="0" borderId="0" xfId="0" applyNumberFormat="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xf numFmtId="165" fontId="0" fillId="0" borderId="0" xfId="0" applyNumberFormat="1"/>
    <xf numFmtId="0" fontId="3" fillId="0" borderId="0" xfId="0" applyFont="1"/>
    <xf numFmtId="0" fontId="2" fillId="0" borderId="3" xfId="0" applyFont="1" applyBorder="1" applyAlignment="1">
      <alignment horizontal="left"/>
    </xf>
    <xf numFmtId="2" fontId="2" fillId="0" borderId="3" xfId="0" applyNumberFormat="1" applyFont="1" applyBorder="1"/>
    <xf numFmtId="2" fontId="5" fillId="3" borderId="4" xfId="0" applyNumberFormat="1" applyFont="1" applyFill="1" applyBorder="1"/>
    <xf numFmtId="2" fontId="2" fillId="4" borderId="2" xfId="0" applyNumberFormat="1" applyFont="1" applyFill="1" applyBorder="1"/>
    <xf numFmtId="2" fontId="2" fillId="4" borderId="6" xfId="0" applyNumberFormat="1" applyFont="1" applyFill="1" applyBorder="1"/>
    <xf numFmtId="2" fontId="5" fillId="3" borderId="7" xfId="0" applyNumberFormat="1" applyFont="1" applyFill="1" applyBorder="1"/>
    <xf numFmtId="0" fontId="1" fillId="0" borderId="1" xfId="0" pivotButton="1" applyFont="1" applyBorder="1"/>
    <xf numFmtId="0" fontId="2" fillId="0" borderId="4" xfId="0" applyFont="1" applyBorder="1" applyAlignment="1">
      <alignment horizontal="left"/>
    </xf>
    <xf numFmtId="0" fontId="4" fillId="0" borderId="1" xfId="0" applyFont="1" applyBorder="1" applyAlignment="1">
      <alignment horizontal="left"/>
    </xf>
    <xf numFmtId="0" fontId="1" fillId="0" borderId="8" xfId="0" applyFont="1" applyBorder="1"/>
    <xf numFmtId="2" fontId="2" fillId="0" borderId="5" xfId="0" applyNumberFormat="1" applyFont="1" applyBorder="1"/>
    <xf numFmtId="0" fontId="1" fillId="0" borderId="1" xfId="0" applyFont="1" applyBorder="1"/>
    <xf numFmtId="0" fontId="2" fillId="0" borderId="5" xfId="0" applyFont="1" applyBorder="1" applyAlignment="1"/>
    <xf numFmtId="0" fontId="0" fillId="0" borderId="0" xfId="0" applyNumberFormat="1"/>
  </cellXfs>
  <cellStyles count="1">
    <cellStyle name="Normal" xfId="0" builtinId="0"/>
  </cellStyles>
  <dxfs count="348">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alignment horizontal="general" vertical="bottom" textRotation="0" wrapText="0" indent="0" justifyLastLine="0" shrinkToFit="0" readingOrder="0"/>
    </dxf>
    <dxf>
      <numFmt numFmtId="2" formatCode="0.00"/>
    </dxf>
    <dxf>
      <font>
        <color theme="0"/>
      </font>
    </dxf>
    <dxf>
      <font>
        <color theme="0"/>
      </font>
    </dxf>
    <dxf>
      <fill>
        <patternFill patternType="solid">
          <bgColor rgb="FFFF6600"/>
        </patternFill>
      </fill>
    </dxf>
    <dxf>
      <fill>
        <patternFill>
          <bgColor rgb="FFFF9933"/>
        </patternFill>
      </fill>
    </dxf>
    <dxf>
      <fill>
        <patternFill patternType="solid">
          <bgColor rgb="FFFF9933"/>
        </patternFill>
      </fill>
    </dxf>
    <dxf>
      <fill>
        <patternFill patternType="solid">
          <bgColor rgb="FFFF6600"/>
        </patternFill>
      </fill>
    </dxf>
    <dxf>
      <fill>
        <patternFill patternType="solid">
          <bgColor rgb="FFFF6600"/>
        </patternFill>
      </fill>
    </dxf>
    <dxf>
      <font>
        <b/>
      </font>
    </dxf>
    <dxf>
      <font>
        <b/>
      </font>
    </dxf>
    <dxf>
      <font>
        <b/>
      </font>
    </dxf>
    <dxf>
      <font>
        <b/>
      </font>
    </dxf>
    <dxf>
      <font>
        <color theme="0"/>
      </font>
    </dxf>
    <dxf>
      <font>
        <color theme="0"/>
      </font>
    </dxf>
    <dxf>
      <font>
        <b/>
      </font>
    </dxf>
    <dxf>
      <font>
        <color theme="0"/>
      </font>
    </dxf>
    <dxf>
      <font>
        <b/>
      </font>
    </dxf>
    <dxf>
      <font>
        <color theme="0"/>
      </font>
    </dxf>
    <dxf>
      <font>
        <sz val="12"/>
      </font>
    </dxf>
    <dxf>
      <font>
        <sz val="12"/>
      </font>
    </dxf>
    <dxf>
      <font>
        <sz val="12"/>
      </font>
    </dxf>
    <dxf>
      <font>
        <sz val="11.5"/>
      </font>
    </dxf>
    <dxf>
      <font>
        <sz val="11.5"/>
      </font>
    </dxf>
    <dxf>
      <font>
        <sz val="11.5"/>
      </font>
    </dxf>
    <dxf>
      <font>
        <b/>
      </font>
    </dxf>
    <dxf>
      <font>
        <b/>
      </font>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border>
    </dxf>
    <dxf>
      <border>
        <left style="medium">
          <color theme="0"/>
        </left>
      </border>
    </dxf>
    <dxf>
      <numFmt numFmtId="2" formatCode="0.00"/>
    </dxf>
    <dxf>
      <numFmt numFmtId="19" formatCode="dd/mm/yyyy"/>
    </dxf>
    <dxf>
      <numFmt numFmtId="19" formatCode="dd/mm/yyyy"/>
    </dxf>
    <dxf>
      <border>
        <left style="medium">
          <color theme="0"/>
        </left>
      </border>
    </dxf>
    <dxf>
      <border>
        <left style="medium">
          <color theme="0"/>
        </left>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border>
        <left style="medium">
          <color theme="0"/>
        </left>
        <right style="medium">
          <color theme="0"/>
        </right>
        <top style="medium">
          <color theme="0"/>
        </top>
        <bottom style="medium">
          <color theme="0"/>
        </bottom>
      </border>
    </dxf>
    <dxf>
      <font>
        <b/>
      </font>
    </dxf>
    <dxf>
      <font>
        <b/>
      </font>
    </dxf>
    <dxf>
      <font>
        <sz val="11.5"/>
      </font>
    </dxf>
    <dxf>
      <font>
        <sz val="11.5"/>
      </font>
    </dxf>
    <dxf>
      <font>
        <sz val="11.5"/>
      </font>
    </dxf>
    <dxf>
      <font>
        <sz val="12"/>
      </font>
    </dxf>
    <dxf>
      <font>
        <sz val="12"/>
      </font>
    </dxf>
    <dxf>
      <font>
        <sz val="12"/>
      </font>
    </dxf>
    <dxf>
      <font>
        <color theme="0"/>
      </font>
    </dxf>
    <dxf>
      <font>
        <b/>
      </font>
    </dxf>
    <dxf>
      <font>
        <color theme="0"/>
      </font>
    </dxf>
    <dxf>
      <font>
        <b/>
      </font>
    </dxf>
    <dxf>
      <font>
        <color theme="0"/>
      </font>
    </dxf>
    <dxf>
      <font>
        <color theme="0"/>
      </font>
    </dxf>
    <dxf>
      <font>
        <b/>
      </font>
    </dxf>
    <dxf>
      <font>
        <b/>
      </font>
    </dxf>
    <dxf>
      <font>
        <b/>
      </font>
    </dxf>
    <dxf>
      <font>
        <b/>
      </font>
    </dxf>
    <dxf>
      <fill>
        <patternFill patternType="solid">
          <bgColor rgb="FFFF6600"/>
        </patternFill>
      </fill>
    </dxf>
    <dxf>
      <fill>
        <patternFill patternType="solid">
          <bgColor rgb="FFFF6600"/>
        </patternFill>
      </fill>
    </dxf>
    <dxf>
      <fill>
        <patternFill patternType="solid">
          <bgColor rgb="FFFF9933"/>
        </patternFill>
      </fill>
    </dxf>
    <dxf>
      <fill>
        <patternFill>
          <bgColor rgb="FFFF9933"/>
        </patternFill>
      </fill>
    </dxf>
    <dxf>
      <fill>
        <patternFill patternType="solid">
          <bgColor rgb="FFFF6600"/>
        </patternFill>
      </fill>
    </dxf>
    <dxf>
      <font>
        <color theme="0"/>
      </font>
    </dxf>
    <dxf>
      <font>
        <color theme="0"/>
      </font>
    </dxf>
    <dxf>
      <numFmt numFmtId="2" formatCode="0.00"/>
    </dxf>
    <dxf>
      <alignment horizontal="general" vertical="bottom" textRotation="0" wrapText="0" indent="0" justifyLastLine="0" shrinkToFit="0" readingOrder="0"/>
    </dxf>
    <dxf>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1"/>
        </patternFill>
      </fill>
    </dxf>
    <dxf>
      <fill>
        <patternFill>
          <bgColor rgb="FFFF6600"/>
        </patternFill>
      </fill>
      <border>
        <left style="thin">
          <color theme="0"/>
        </left>
        <right style="thin">
          <color theme="0"/>
        </right>
        <top style="thin">
          <color theme="0"/>
        </top>
        <bottom style="thin">
          <color theme="0"/>
        </bottom>
      </border>
    </dxf>
    <dxf>
      <fill>
        <patternFill>
          <bgColor rgb="FFFF6600"/>
        </patternFill>
      </fill>
      <border>
        <left style="thin">
          <color theme="0"/>
        </left>
        <right style="thin">
          <color theme="0"/>
        </right>
        <top style="thin">
          <color theme="0"/>
        </top>
        <bottom style="thin">
          <color theme="0"/>
        </bottom>
      </border>
    </dxf>
    <dxf>
      <fill>
        <patternFill>
          <bgColor rgb="FFFF9933"/>
        </patternFill>
      </fill>
      <border>
        <left style="thin">
          <color theme="0"/>
        </left>
        <right style="thin">
          <color theme="0"/>
        </right>
        <top style="thin">
          <color theme="0"/>
        </top>
        <bottom style="thin">
          <color theme="0"/>
        </bottom>
      </border>
    </dxf>
    <dxf>
      <fill>
        <patternFill>
          <bgColor rgb="FFFF9933"/>
        </patternFill>
      </fill>
    </dxf>
    <dxf>
      <border>
        <left style="thin">
          <color auto="1"/>
        </left>
        <right style="thin">
          <color auto="1"/>
        </right>
        <top style="thin">
          <color auto="1"/>
        </top>
        <bottom style="thin">
          <color auto="1"/>
        </bottom>
      </border>
    </dxf>
    <dxf>
      <fill>
        <patternFill>
          <bgColor rgb="FFFF6600"/>
        </patternFill>
      </fill>
      <border>
        <left style="thin">
          <color auto="1"/>
        </left>
        <right style="thin">
          <color auto="1"/>
        </right>
        <top style="thin">
          <color auto="1"/>
        </top>
        <bottom style="thin">
          <color auto="1"/>
        </bottom>
      </border>
    </dxf>
    <dxf>
      <fill>
        <patternFill patternType="none">
          <fgColor auto="1"/>
          <bgColor auto="1"/>
        </patternFill>
      </fill>
      <border>
        <left style="thin">
          <color auto="1"/>
        </left>
        <right style="thin">
          <color auto="1"/>
        </right>
        <top style="thin">
          <color auto="1"/>
        </top>
        <bottom style="thin">
          <color auto="1"/>
        </bottom>
      </border>
    </dxf>
    <dxf>
      <font>
        <b/>
        <i val="0"/>
        <color theme="0"/>
      </font>
      <fill>
        <patternFill>
          <bgColor rgb="FFFF6600"/>
        </patternFill>
      </fill>
      <border>
        <left style="thin">
          <color theme="0"/>
        </left>
        <right style="thin">
          <color theme="0"/>
        </right>
        <top style="thin">
          <color theme="0"/>
        </top>
        <bottom style="thin">
          <color theme="0"/>
        </bottom>
      </border>
    </dxf>
    <dxf>
      <font>
        <b/>
        <i val="0"/>
        <color theme="0"/>
      </font>
      <fill>
        <patternFill>
          <bgColor rgb="FFFF6600"/>
        </patternFill>
      </fill>
      <border>
        <left style="thin">
          <color theme="0"/>
        </left>
        <right style="thin">
          <color theme="0"/>
        </right>
        <top style="thin">
          <color theme="0"/>
        </top>
        <bottom style="thin">
          <color theme="0"/>
        </bottom>
      </border>
    </dxf>
    <dxf>
      <fill>
        <patternFill>
          <bgColor rgb="FFFF9933"/>
        </patternFill>
      </fill>
      <border>
        <left style="thin">
          <color theme="0"/>
        </left>
        <right style="thin">
          <color theme="0"/>
        </right>
        <top style="thin">
          <color theme="0"/>
        </top>
        <bottom style="thin">
          <color theme="0"/>
        </bottom>
      </border>
    </dxf>
    <dxf>
      <font>
        <color theme="0"/>
      </font>
      <border>
        <left style="thin">
          <color theme="0"/>
        </left>
        <right style="thin">
          <color theme="0"/>
        </right>
        <top style="thin">
          <color theme="0"/>
        </top>
        <bottom style="thin">
          <color theme="0"/>
        </bottom>
      </border>
    </dxf>
    <dxf>
      <fill>
        <patternFill>
          <bgColor rgb="FFFF9933"/>
        </patternFill>
      </fill>
      <border>
        <left style="thin">
          <color theme="0"/>
        </left>
        <right style="thin">
          <color theme="0"/>
        </right>
        <top style="thin">
          <color theme="0"/>
        </top>
        <bottom style="thin">
          <color theme="0"/>
        </bottom>
      </border>
    </dxf>
    <dxf>
      <fill>
        <patternFill>
          <bgColor rgb="FFFF9933"/>
        </patternFill>
      </fill>
    </dxf>
    <dxf>
      <font>
        <color theme="0"/>
      </font>
      <fill>
        <patternFill>
          <bgColor rgb="FFFF9933"/>
        </patternFill>
      </fill>
      <border>
        <left style="thin">
          <color theme="0"/>
        </left>
        <right style="thin">
          <color theme="0"/>
        </right>
        <top style="thin">
          <color theme="0"/>
        </top>
        <bottom style="thin">
          <color theme="0"/>
        </bottom>
      </border>
    </dxf>
    <dxf>
      <font>
        <b/>
        <i val="0"/>
        <color theme="0" tint="-4.9989318521683403E-2"/>
      </font>
      <border>
        <left style="thin">
          <color auto="1"/>
        </left>
        <right style="thin">
          <color auto="1"/>
        </right>
        <top style="thin">
          <color auto="1"/>
        </top>
        <bottom style="thin">
          <color auto="1"/>
        </bottom>
      </border>
    </dxf>
    <dxf>
      <fill>
        <patternFill>
          <bgColor rgb="FFFF6600"/>
        </patternFill>
      </fill>
      <border>
        <left style="thin">
          <color auto="1"/>
        </left>
        <right style="thin">
          <color auto="1"/>
        </right>
        <top style="thin">
          <color auto="1"/>
        </top>
        <bottom style="thin">
          <color auto="1"/>
        </bottom>
      </border>
    </dxf>
    <dxf>
      <font>
        <b/>
        <i val="0"/>
        <color theme="0"/>
      </font>
    </dxf>
    <dxf>
      <fill>
        <patternFill>
          <fgColor rgb="FFFF9933"/>
          <bgColor rgb="FFFF6600"/>
        </patternFill>
      </fill>
      <border>
        <left style="thin">
          <color theme="0"/>
        </left>
        <right style="thin">
          <color theme="0"/>
        </right>
        <top style="thin">
          <color theme="0"/>
        </top>
        <bottom style="thin">
          <color theme="0"/>
        </bottom>
      </border>
    </dxf>
    <dxf>
      <fill>
        <patternFill patternType="none">
          <fgColor auto="1"/>
          <bgColor auto="1"/>
        </patternFill>
      </fill>
      <border>
        <left style="thin">
          <color auto="1"/>
        </left>
        <right style="thin">
          <color auto="1"/>
        </right>
        <top style="thin">
          <color auto="1"/>
        </top>
        <bottom style="thin">
          <color auto="1"/>
        </bottom>
      </border>
    </dxf>
  </dxfs>
  <tableStyles count="5" defaultTableStyle="TableStyleMedium2" defaultPivotStyle="PivotStyleLight16">
    <tableStyle name="PivotTable Style 1" table="0" count="12" xr9:uid="{6FCD4710-0C6B-4BA4-979D-58C8C7C25236}">
      <tableStyleElement type="wholeTable" dxfId="347"/>
      <tableStyleElement type="headerRow" dxfId="346"/>
      <tableStyleElement type="totalRow" dxfId="345"/>
      <tableStyleElement type="firstColumn" dxfId="344"/>
      <tableStyleElement type="lastColumn" dxfId="343"/>
      <tableStyleElement type="firstRowStripe" dxfId="342"/>
      <tableStyleElement type="secondRowStripe" dxfId="341"/>
      <tableStyleElement type="secondColumnStripe" dxfId="340"/>
      <tableStyleElement type="firstSubtotalColumn" dxfId="339"/>
      <tableStyleElement type="secondSubtotalColumn" dxfId="338"/>
      <tableStyleElement type="secondColumnSubheading" dxfId="337"/>
      <tableStyleElement type="thirdColumnSubheading" dxfId="336"/>
    </tableStyle>
    <tableStyle name="PivotTable Style 1 2" table="0" count="7" xr9:uid="{B3585160-C303-4E4F-9604-59E5DB43645C}">
      <tableStyleElement type="wholeTable" dxfId="335"/>
      <tableStyleElement type="firstColumn" dxfId="334"/>
      <tableStyleElement type="lastColumn" dxfId="333"/>
      <tableStyleElement type="secondRowStripe" dxfId="332"/>
      <tableStyleElement type="secondColumnStripe" dxfId="331"/>
      <tableStyleElement type="secondColumnSubheading" dxfId="330"/>
      <tableStyleElement type="thirdColumnSubheading" dxfId="329"/>
    </tableStyle>
    <tableStyle name="Slicer Style 1" pivot="0" table="0" count="1" xr9:uid="{C39DD6B0-8E82-44BA-B31B-A8F89C24DEBD}"/>
    <tableStyle name="Slicer Style 2 2" pivot="0" table="0" count="6" xr9:uid="{421891E1-2180-4EBE-9FD6-64D36B950E16}">
      <tableStyleElement type="wholeTable" dxfId="328"/>
      <tableStyleElement type="headerRow" dxfId="327"/>
    </tableStyle>
    <tableStyle name="Slicer Style 3" pivot="0" table="0" count="2" xr9:uid="{B68871AE-4CB8-40CE-8FF9-7CAA81268492}">
      <tableStyleElement type="headerRow" dxfId="326"/>
    </tableStyle>
  </tableStyles>
  <colors>
    <mruColors>
      <color rgb="FFFF6600"/>
      <color rgb="FFFFCC99"/>
      <color rgb="FFFF9933"/>
      <color rgb="FFFF9F5D"/>
      <color rgb="FFFF8029"/>
      <color rgb="FFFF8837"/>
      <color rgb="FFFF944B"/>
      <color rgb="FFFF9147"/>
      <color rgb="FFFF3300"/>
      <color rgb="FFF26200"/>
    </mruColors>
  </colors>
  <extLst>
    <ext xmlns:x14="http://schemas.microsoft.com/office/spreadsheetml/2009/9/main" uri="{46F421CA-312F-682f-3DD2-61675219B42D}">
      <x14:dxfs count="6">
        <dxf>
          <fill>
            <patternFill>
              <bgColor rgb="FFFF6600"/>
            </patternFill>
          </fill>
        </dxf>
        <dxf>
          <fill>
            <patternFill>
              <bgColor rgb="FFFF944B"/>
            </patternFill>
          </fill>
          <border>
            <left style="thin">
              <color theme="1"/>
            </left>
            <right style="thin">
              <color theme="1"/>
            </right>
            <top style="thin">
              <color theme="1"/>
            </top>
            <bottom style="thin">
              <color theme="1"/>
            </bottom>
          </border>
        </dxf>
        <dxf>
          <fill>
            <patternFill>
              <bgColor rgb="FFFF9933"/>
            </patternFill>
          </fill>
        </dxf>
        <dxf>
          <fill>
            <patternFill>
              <bgColor rgb="FFFF6600"/>
            </patternFill>
          </fill>
          <border>
            <left style="thin">
              <color auto="1"/>
            </left>
            <right style="thin">
              <color auto="1"/>
            </right>
            <top style="thin">
              <color auto="1"/>
            </top>
            <bottom style="thin">
              <color auto="1"/>
            </bottom>
          </border>
        </dxf>
        <dxf>
          <fill>
            <patternFill>
              <bgColor rgb="FFFF9933"/>
            </patternFill>
          </fill>
        </dxf>
        <dxf>
          <fill>
            <patternFill>
              <bgColor rgb="FFFF6600"/>
            </patternFill>
          </fill>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s>
        </x14:slicerStyle>
        <x14:slicerStyle name="Slicer Style 2 2">
          <x14:slicerStyleElements>
            <x14:slicerStyleElement type="unselectedItemWithData" dxfId="4"/>
            <x14:slicerStyleElement type="selectedItemWithData" dxfId="3"/>
            <x14:slicerStyleElement type="hoveredUnselectedItemWithData" dxfId="2"/>
            <x14:slicerStyleElement type="hoveredSelectedItemWithData" dxfId="1"/>
          </x14:slicerStyleElements>
        </x14:slicerStyle>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SALES.xlsx]PIVOT TABLE!PivotTable4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600"/>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92903294142572E-2"/>
          <c:y val="0"/>
          <c:w val="0.92601419341171487"/>
          <c:h val="0.84235970102634283"/>
        </c:manualLayout>
      </c:layout>
      <c:barChart>
        <c:barDir val="col"/>
        <c:grouping val="clustered"/>
        <c:varyColors val="0"/>
        <c:ser>
          <c:idx val="0"/>
          <c:order val="0"/>
          <c:tx>
            <c:strRef>
              <c:f>'PIVOT TABLE'!$S$3</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anchor="ctr" anchorCtr="0"/>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TABLE'!$S$4:$S$16</c:f>
              <c:numCache>
                <c:formatCode>0.0</c:formatCode>
                <c:ptCount val="12"/>
                <c:pt idx="0">
                  <c:v>208.68689032258052</c:v>
                </c:pt>
                <c:pt idx="1">
                  <c:v>198.58326099290773</c:v>
                </c:pt>
                <c:pt idx="2">
                  <c:v>210.47314838709673</c:v>
                </c:pt>
                <c:pt idx="3">
                  <c:v>168.92502533333334</c:v>
                </c:pt>
                <c:pt idx="4">
                  <c:v>273.8506580645161</c:v>
                </c:pt>
                <c:pt idx="5">
                  <c:v>273.0460700000001</c:v>
                </c:pt>
                <c:pt idx="6">
                  <c:v>169.53394838709676</c:v>
                </c:pt>
                <c:pt idx="7">
                  <c:v>182.33713741935483</c:v>
                </c:pt>
                <c:pt idx="8">
                  <c:v>311.54538666666667</c:v>
                </c:pt>
                <c:pt idx="9">
                  <c:v>218.04057419354851</c:v>
                </c:pt>
                <c:pt idx="10">
                  <c:v>238.85248666666672</c:v>
                </c:pt>
                <c:pt idx="11">
                  <c:v>297.062529032258</c:v>
                </c:pt>
              </c:numCache>
            </c:numRef>
          </c:val>
          <c:extLst>
            <c:ext xmlns:c16="http://schemas.microsoft.com/office/drawing/2014/chart" uri="{C3380CC4-5D6E-409C-BE32-E72D297353CC}">
              <c16:uniqueId val="{00000000-22B4-49F6-89CD-A80E93B2C031}"/>
            </c:ext>
          </c:extLst>
        </c:ser>
        <c:dLbls>
          <c:dLblPos val="outEnd"/>
          <c:showLegendKey val="0"/>
          <c:showVal val="1"/>
          <c:showCatName val="0"/>
          <c:showSerName val="0"/>
          <c:showPercent val="0"/>
          <c:showBubbleSize val="0"/>
        </c:dLbls>
        <c:gapWidth val="80"/>
        <c:overlap val="-27"/>
        <c:axId val="1692162991"/>
        <c:axId val="1692171151"/>
      </c:barChart>
      <c:catAx>
        <c:axId val="1692162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chemeClr val="bg1">
                    <a:lumMod val="65000"/>
                  </a:schemeClr>
                </a:solidFill>
                <a:latin typeface="+mn-lt"/>
                <a:ea typeface="+mn-ea"/>
                <a:cs typeface="+mn-cs"/>
              </a:defRPr>
            </a:pPr>
            <a:endParaRPr lang="en-US"/>
          </a:p>
        </c:txPr>
        <c:crossAx val="1692171151"/>
        <c:crosses val="autoZero"/>
        <c:auto val="1"/>
        <c:lblAlgn val="ctr"/>
        <c:lblOffset val="100"/>
        <c:noMultiLvlLbl val="0"/>
      </c:catAx>
      <c:valAx>
        <c:axId val="1692171151"/>
        <c:scaling>
          <c:orientation val="minMax"/>
        </c:scaling>
        <c:delete val="1"/>
        <c:axPos val="l"/>
        <c:numFmt formatCode="0.0" sourceLinked="1"/>
        <c:majorTickMark val="out"/>
        <c:minorTickMark val="none"/>
        <c:tickLblPos val="nextTo"/>
        <c:crossAx val="169216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900" b="1" i="0" u="none" strike="noStrike" kern="1200" baseline="0">
          <a:solidFill>
            <a:schemeClr val="bg1">
              <a:lumMod val="6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837420526793823E-2"/>
          <c:y val="6.0944965431073292E-2"/>
          <c:w val="0.93591684327379143"/>
          <c:h val="0.68471079716189287"/>
        </c:manualLayout>
      </c:layout>
      <c:barChart>
        <c:barDir val="col"/>
        <c:grouping val="clustered"/>
        <c:varyColors val="0"/>
        <c:ser>
          <c:idx val="0"/>
          <c:order val="0"/>
          <c:tx>
            <c:strRef>
              <c:f>'PIVOT TABLE'!$W$3</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TABLE'!$V$4:$V$13</c:f>
              <c:strCache>
                <c:ptCount val="9"/>
                <c:pt idx="0">
                  <c:v>Pet Supplies</c:v>
                </c:pt>
                <c:pt idx="1">
                  <c:v>Grocery</c:v>
                </c:pt>
                <c:pt idx="2">
                  <c:v>Automotive</c:v>
                </c:pt>
                <c:pt idx="3">
                  <c:v>Electronics</c:v>
                </c:pt>
                <c:pt idx="4">
                  <c:v>Toys</c:v>
                </c:pt>
                <c:pt idx="5">
                  <c:v>Fashion</c:v>
                </c:pt>
                <c:pt idx="6">
                  <c:v>Sports</c:v>
                </c:pt>
                <c:pt idx="7">
                  <c:v>Books</c:v>
                </c:pt>
                <c:pt idx="8">
                  <c:v>Home &amp; Kitchen</c:v>
                </c:pt>
              </c:strCache>
            </c:strRef>
          </c:cat>
          <c:val>
            <c:numRef>
              <c:f>'PIVOT TABLE'!$W$4:$W$13</c:f>
              <c:numCache>
                <c:formatCode>0.0%</c:formatCode>
                <c:ptCount val="9"/>
                <c:pt idx="0">
                  <c:v>0.22892655367231668</c:v>
                </c:pt>
                <c:pt idx="1">
                  <c:v>0.22164772727272763</c:v>
                </c:pt>
                <c:pt idx="2">
                  <c:v>0.21271186440678008</c:v>
                </c:pt>
                <c:pt idx="3">
                  <c:v>0.21141891891891981</c:v>
                </c:pt>
                <c:pt idx="4">
                  <c:v>0.20715909090909121</c:v>
                </c:pt>
                <c:pt idx="5">
                  <c:v>0.20236301369863094</c:v>
                </c:pt>
                <c:pt idx="6">
                  <c:v>0.1989265536723166</c:v>
                </c:pt>
                <c:pt idx="7">
                  <c:v>0.19359550561797773</c:v>
                </c:pt>
                <c:pt idx="8">
                  <c:v>0.18920903954802276</c:v>
                </c:pt>
              </c:numCache>
            </c:numRef>
          </c:val>
          <c:extLst>
            <c:ext xmlns:c16="http://schemas.microsoft.com/office/drawing/2014/chart" uri="{C3380CC4-5D6E-409C-BE32-E72D297353CC}">
              <c16:uniqueId val="{00000000-CE12-4A00-ADA1-D65ADD76BCFF}"/>
            </c:ext>
          </c:extLst>
        </c:ser>
        <c:dLbls>
          <c:dLblPos val="outEnd"/>
          <c:showLegendKey val="0"/>
          <c:showVal val="1"/>
          <c:showCatName val="0"/>
          <c:showSerName val="0"/>
          <c:showPercent val="0"/>
          <c:showBubbleSize val="0"/>
        </c:dLbls>
        <c:gapWidth val="90"/>
        <c:overlap val="-100"/>
        <c:axId val="789846927"/>
        <c:axId val="789847407"/>
      </c:barChart>
      <c:catAx>
        <c:axId val="789846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700" b="1" i="0" u="none" strike="noStrike" kern="1200" baseline="0">
                <a:solidFill>
                  <a:schemeClr val="bg1">
                    <a:lumMod val="65000"/>
                  </a:schemeClr>
                </a:solidFill>
                <a:latin typeface="+mn-lt"/>
                <a:ea typeface="+mn-ea"/>
                <a:cs typeface="+mn-cs"/>
              </a:defRPr>
            </a:pPr>
            <a:endParaRPr lang="en-US"/>
          </a:p>
        </c:txPr>
        <c:crossAx val="789847407"/>
        <c:crosses val="autoZero"/>
        <c:auto val="1"/>
        <c:lblAlgn val="ctr"/>
        <c:lblOffset val="100"/>
        <c:noMultiLvlLbl val="0"/>
      </c:catAx>
      <c:valAx>
        <c:axId val="789847407"/>
        <c:scaling>
          <c:orientation val="minMax"/>
        </c:scaling>
        <c:delete val="1"/>
        <c:axPos val="l"/>
        <c:numFmt formatCode="0.0%" sourceLinked="1"/>
        <c:majorTickMark val="out"/>
        <c:minorTickMark val="none"/>
        <c:tickLblPos val="nextTo"/>
        <c:crossAx val="7898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SALES.xlsx]PIVOT 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99"/>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1179102421386174"/>
          <c:w val="0.93043145840845842"/>
          <c:h val="0.77655056164047498"/>
        </c:manualLayout>
      </c:layout>
      <c:barChart>
        <c:barDir val="col"/>
        <c:grouping val="clustered"/>
        <c:varyColors val="0"/>
        <c:ser>
          <c:idx val="0"/>
          <c:order val="0"/>
          <c:tx>
            <c:strRef>
              <c:f>'PIVOT TABLE'!$J$3</c:f>
              <c:strCache>
                <c:ptCount val="1"/>
                <c:pt idx="0">
                  <c:v>Total Sales</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2021</c:v>
                </c:pt>
                <c:pt idx="1">
                  <c:v>2022</c:v>
                </c:pt>
                <c:pt idx="2">
                  <c:v>2023</c:v>
                </c:pt>
                <c:pt idx="3">
                  <c:v>2024</c:v>
                </c:pt>
                <c:pt idx="4">
                  <c:v>2025</c:v>
                </c:pt>
              </c:strCache>
            </c:strRef>
          </c:cat>
          <c:val>
            <c:numRef>
              <c:f>'PIVOT TABLE'!$J$4:$J$9</c:f>
              <c:numCache>
                <c:formatCode>0.0</c:formatCode>
                <c:ptCount val="5"/>
                <c:pt idx="0">
                  <c:v>94748.846199999956</c:v>
                </c:pt>
                <c:pt idx="1">
                  <c:v>91660.845900000015</c:v>
                </c:pt>
                <c:pt idx="2">
                  <c:v>80507.443800000023</c:v>
                </c:pt>
                <c:pt idx="3">
                  <c:v>76359.353499999997</c:v>
                </c:pt>
                <c:pt idx="4">
                  <c:v>75376.753000000012</c:v>
                </c:pt>
              </c:numCache>
            </c:numRef>
          </c:val>
          <c:extLst>
            <c:ext xmlns:c16="http://schemas.microsoft.com/office/drawing/2014/chart" uri="{C3380CC4-5D6E-409C-BE32-E72D297353CC}">
              <c16:uniqueId val="{00000000-7B1F-4A38-9C53-48CD11A2FE88}"/>
            </c:ext>
          </c:extLst>
        </c:ser>
        <c:ser>
          <c:idx val="1"/>
          <c:order val="1"/>
          <c:tx>
            <c:strRef>
              <c:f>'PIVOT TABLE'!$K$3</c:f>
              <c:strCache>
                <c:ptCount val="1"/>
                <c:pt idx="0">
                  <c:v>Total Profit</c:v>
                </c:pt>
              </c:strCache>
            </c:strRef>
          </c:tx>
          <c:spPr>
            <a:solidFill>
              <a:srgbClr val="FFCC99"/>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TABLE'!$I$4:$I$9</c:f>
              <c:strCache>
                <c:ptCount val="5"/>
                <c:pt idx="0">
                  <c:v>2021</c:v>
                </c:pt>
                <c:pt idx="1">
                  <c:v>2022</c:v>
                </c:pt>
                <c:pt idx="2">
                  <c:v>2023</c:v>
                </c:pt>
                <c:pt idx="3">
                  <c:v>2024</c:v>
                </c:pt>
                <c:pt idx="4">
                  <c:v>2025</c:v>
                </c:pt>
              </c:strCache>
            </c:strRef>
          </c:cat>
          <c:val>
            <c:numRef>
              <c:f>'PIVOT TABLE'!$K$4:$K$9</c:f>
              <c:numCache>
                <c:formatCode>0.0</c:formatCode>
                <c:ptCount val="5"/>
                <c:pt idx="0">
                  <c:v>3453.9181999999996</c:v>
                </c:pt>
                <c:pt idx="1">
                  <c:v>6588.7712000000038</c:v>
                </c:pt>
                <c:pt idx="2">
                  <c:v>14505.626900000001</c:v>
                </c:pt>
                <c:pt idx="3">
                  <c:v>6818.7404999999962</c:v>
                </c:pt>
                <c:pt idx="4">
                  <c:v>8001.8729000000021</c:v>
                </c:pt>
              </c:numCache>
            </c:numRef>
          </c:val>
          <c:extLst>
            <c:ext xmlns:c16="http://schemas.microsoft.com/office/drawing/2014/chart" uri="{C3380CC4-5D6E-409C-BE32-E72D297353CC}">
              <c16:uniqueId val="{00000001-7B1F-4A38-9C53-48CD11A2FE88}"/>
            </c:ext>
          </c:extLst>
        </c:ser>
        <c:dLbls>
          <c:dLblPos val="outEnd"/>
          <c:showLegendKey val="0"/>
          <c:showVal val="1"/>
          <c:showCatName val="0"/>
          <c:showSerName val="0"/>
          <c:showPercent val="0"/>
          <c:showBubbleSize val="0"/>
        </c:dLbls>
        <c:gapWidth val="85"/>
        <c:overlap val="-34"/>
        <c:axId val="787774799"/>
        <c:axId val="787781039"/>
      </c:barChart>
      <c:catAx>
        <c:axId val="78777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81039"/>
        <c:crosses val="autoZero"/>
        <c:auto val="1"/>
        <c:lblAlgn val="ctr"/>
        <c:lblOffset val="100"/>
        <c:noMultiLvlLbl val="0"/>
      </c:catAx>
      <c:valAx>
        <c:axId val="787781039"/>
        <c:scaling>
          <c:orientation val="minMax"/>
        </c:scaling>
        <c:delete val="1"/>
        <c:axPos val="l"/>
        <c:numFmt formatCode="0.0" sourceLinked="1"/>
        <c:majorTickMark val="none"/>
        <c:minorTickMark val="none"/>
        <c:tickLblPos val="nextTo"/>
        <c:crossAx val="787774799"/>
        <c:crosses val="autoZero"/>
        <c:crossBetween val="between"/>
      </c:valAx>
      <c:spPr>
        <a:noFill/>
        <a:ln>
          <a:noFill/>
        </a:ln>
        <a:effectLst/>
      </c:spPr>
    </c:plotArea>
    <c:legend>
      <c:legendPos val="r"/>
      <c:layout>
        <c:manualLayout>
          <c:xMode val="edge"/>
          <c:yMode val="edge"/>
          <c:x val="0.33401598774216312"/>
          <c:y val="4.2390650106124902E-2"/>
          <c:w val="0.40519969378827642"/>
          <c:h val="7.29177602799650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SALES.xlsx]PIVOT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72908720413815E-2"/>
          <c:y val="0"/>
          <c:w val="0.92981507755006898"/>
          <c:h val="1"/>
        </c:manualLayout>
      </c:layout>
      <c:barChart>
        <c:barDir val="col"/>
        <c:grouping val="clustered"/>
        <c:varyColors val="0"/>
        <c:ser>
          <c:idx val="0"/>
          <c:order val="0"/>
          <c:tx>
            <c:strRef>
              <c:f>'PIVOT TABLE'!$O$3</c:f>
              <c:strCache>
                <c:ptCount val="1"/>
                <c:pt idx="0">
                  <c:v>Total</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TABLE'!$O$4:$O$16</c:f>
              <c:numCache>
                <c:formatCode>0.0</c:formatCode>
                <c:ptCount val="12"/>
                <c:pt idx="0">
                  <c:v>7.4404980645161301</c:v>
                </c:pt>
                <c:pt idx="1">
                  <c:v>25.177629787234039</c:v>
                </c:pt>
                <c:pt idx="2">
                  <c:v>35.873693548387088</c:v>
                </c:pt>
                <c:pt idx="3">
                  <c:v>-6.5387399999999962</c:v>
                </c:pt>
                <c:pt idx="4">
                  <c:v>50.228030967741951</c:v>
                </c:pt>
                <c:pt idx="5">
                  <c:v>18.497971333333339</c:v>
                </c:pt>
                <c:pt idx="6">
                  <c:v>26.400338709677413</c:v>
                </c:pt>
                <c:pt idx="7">
                  <c:v>-7.6186109677419269</c:v>
                </c:pt>
                <c:pt idx="8">
                  <c:v>36.409194666666664</c:v>
                </c:pt>
                <c:pt idx="9">
                  <c:v>24.547258709677433</c:v>
                </c:pt>
                <c:pt idx="10">
                  <c:v>7.3203326666666646</c:v>
                </c:pt>
                <c:pt idx="11">
                  <c:v>40.326017419354827</c:v>
                </c:pt>
              </c:numCache>
            </c:numRef>
          </c:val>
          <c:extLst>
            <c:ext xmlns:c16="http://schemas.microsoft.com/office/drawing/2014/chart" uri="{C3380CC4-5D6E-409C-BE32-E72D297353CC}">
              <c16:uniqueId val="{00000000-9A24-4835-98A2-CCC39DD13D0B}"/>
            </c:ext>
          </c:extLst>
        </c:ser>
        <c:dLbls>
          <c:dLblPos val="outEnd"/>
          <c:showLegendKey val="0"/>
          <c:showVal val="1"/>
          <c:showCatName val="0"/>
          <c:showSerName val="0"/>
          <c:showPercent val="0"/>
          <c:showBubbleSize val="0"/>
        </c:dLbls>
        <c:gapWidth val="43"/>
        <c:overlap val="-13"/>
        <c:axId val="767015519"/>
        <c:axId val="767010239"/>
      </c:barChart>
      <c:catAx>
        <c:axId val="7670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baseline="0">
                <a:solidFill>
                  <a:schemeClr val="bg1">
                    <a:lumMod val="65000"/>
                  </a:schemeClr>
                </a:solidFill>
                <a:latin typeface="+mn-lt"/>
                <a:ea typeface="+mn-ea"/>
                <a:cs typeface="+mn-cs"/>
              </a:defRPr>
            </a:pPr>
            <a:endParaRPr lang="en-US"/>
          </a:p>
        </c:txPr>
        <c:crossAx val="767010239"/>
        <c:crosses val="autoZero"/>
        <c:auto val="1"/>
        <c:lblAlgn val="ctr"/>
        <c:lblOffset val="100"/>
        <c:noMultiLvlLbl val="0"/>
      </c:catAx>
      <c:valAx>
        <c:axId val="767010239"/>
        <c:scaling>
          <c:orientation val="minMax"/>
        </c:scaling>
        <c:delete val="1"/>
        <c:axPos val="l"/>
        <c:numFmt formatCode="0.0" sourceLinked="1"/>
        <c:majorTickMark val="none"/>
        <c:minorTickMark val="none"/>
        <c:tickLblPos val="nextTo"/>
        <c:crossAx val="76701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B3B563FD-5C9E-4B6D-ACFA-9C9BCA4041DD}">
          <cx:dataLabels>
            <cx:txPr>
              <a:bodyPr spcFirstLastPara="1" vertOverflow="ellipsis" horzOverflow="overflow" wrap="square" lIns="0" tIns="0" rIns="0" bIns="0" anchor="ctr" anchorCtr="1"/>
              <a:lstStyle/>
              <a:p>
                <a:pPr algn="ctr" rtl="0">
                  <a:defRPr sz="800">
                    <a:solidFill>
                      <a:schemeClr val="bg1"/>
                    </a:solidFill>
                  </a:defRPr>
                </a:pPr>
                <a:endParaRPr lang="en-US" sz="800" b="0" i="0" u="none" strike="noStrike" baseline="0">
                  <a:solidFill>
                    <a:schemeClr val="bg1"/>
                  </a:solidFill>
                  <a:latin typeface="Aptos Narrow" panose="02110004020202020204"/>
                </a:endParaRPr>
              </a:p>
            </cx:txPr>
            <cx:visibility seriesName="0" categoryName="1" value="1"/>
            <cx:separator>
</cx:separator>
            <cx:dataLabel idx="2">
              <cx:txPr>
                <a:bodyPr spcFirstLastPara="1" vertOverflow="ellipsis" horzOverflow="overflow" wrap="square" lIns="0" tIns="0" rIns="0" bIns="0" anchor="ctr" anchorCtr="1"/>
                <a:lstStyle/>
                <a:p>
                  <a:pPr algn="ctr" rtl="0">
                    <a:defRPr>
                      <a:solidFill>
                        <a:schemeClr val="bg1"/>
                      </a:solidFill>
                    </a:defRPr>
                  </a:pPr>
                  <a:r>
                    <a:rPr lang="en-US" sz="850" b="0" i="0" u="none" strike="noStrike" baseline="0">
                      <a:solidFill>
                        <a:schemeClr val="bg1"/>
                      </a:solidFill>
                      <a:latin typeface="Aptos Narrow" panose="02110004020202020204"/>
                    </a:rPr>
                    <a:t>Bihar
16474.1</a:t>
                  </a:r>
                </a:p>
              </cx:txPr>
              <cx:visibility seriesName="0" categoryName="1" value="1"/>
              <cx:separator>
</cx:separator>
            </cx:dataLabel>
            <cx:dataLabel idx="4">
              <cx:txPr>
                <a:bodyPr spcFirstLastPara="1" vertOverflow="ellipsis" horzOverflow="overflow" wrap="square" lIns="0" tIns="0" rIns="0" bIns="0" anchor="ctr" anchorCtr="1"/>
                <a:lstStyle/>
                <a:p>
                  <a:pPr algn="ctr" rtl="0">
                    <a:defRPr>
                      <a:solidFill>
                        <a:schemeClr val="bg1"/>
                      </a:solidFill>
                    </a:defRPr>
                  </a:pPr>
                  <a:r>
                    <a:rPr lang="en-US" sz="850" b="0" i="0" u="none" strike="noStrike" baseline="0">
                      <a:solidFill>
                        <a:schemeClr val="bg1"/>
                      </a:solidFill>
                      <a:latin typeface="Aptos Narrow" panose="02110004020202020204"/>
                    </a:rPr>
                    <a:t>Haryana
41237.0</a:t>
                  </a:r>
                </a:p>
              </cx:txPr>
              <cx:visibility seriesName="0" categoryName="1" value="1"/>
              <cx:separator>
</cx:separator>
            </cx:dataLabel>
            <cx:dataLabel idx="7">
              <cx:numFmt formatCode="0.0" sourceLinked="0"/>
              <cx:visibility seriesName="0" categoryName="1" value="1"/>
              <cx:separator>
</cx:separator>
            </cx:dataLabel>
            <cx:dataLabel idx="8">
              <cx:txPr>
                <a:bodyPr spcFirstLastPara="1" vertOverflow="ellipsis" horzOverflow="overflow" wrap="square" lIns="0" tIns="0" rIns="0" bIns="0" anchor="ctr" anchorCtr="1"/>
                <a:lstStyle/>
                <a:p>
                  <a:pPr algn="ctr" rtl="0">
                    <a:defRPr/>
                  </a:pPr>
                  <a:r>
                    <a:rPr lang="en-US" sz="800" b="0" i="0" u="none" strike="noStrike" baseline="0">
                      <a:solidFill>
                        <a:schemeClr val="bg1"/>
                      </a:solidFill>
                      <a:latin typeface="Aptos Narrow" panose="02110004020202020204"/>
                    </a:rPr>
                    <a:t>Manipur
12818.9</a:t>
                  </a:r>
                </a:p>
              </cx:txPr>
              <cx:visibility seriesName="0" categoryName="1" value="1"/>
              <cx:separator>
</cx:separator>
            </cx:dataLabel>
            <cx:dataLabel idx="9">
              <cx:txPr>
                <a:bodyPr spcFirstLastPara="1" vertOverflow="ellipsis" horzOverflow="overflow" wrap="square" lIns="0" tIns="0" rIns="0" bIns="0" anchor="ctr" anchorCtr="1"/>
                <a:lstStyle/>
                <a:p>
                  <a:pPr algn="ctr" rtl="0">
                    <a:defRPr>
                      <a:solidFill>
                        <a:schemeClr val="bg1"/>
                      </a:solidFill>
                    </a:defRPr>
                  </a:pPr>
                  <a:r>
                    <a:rPr lang="en-US" sz="850" b="0" i="0" u="none" strike="noStrike" baseline="0">
                      <a:solidFill>
                        <a:schemeClr val="bg1"/>
                      </a:solidFill>
                      <a:latin typeface="Aptos Narrow" panose="02110004020202020204"/>
                    </a:rPr>
                    <a:t>Meghalaya
15496.7</a:t>
                  </a:r>
                </a:p>
              </cx:txPr>
              <cx:visibility seriesName="0" categoryName="1"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US" sz="850" b="0" i="0" u="none" strike="noStrike" baseline="0">
                      <a:solidFill>
                        <a:schemeClr val="bg1"/>
                      </a:solidFill>
                      <a:latin typeface="Aptos Narrow" panose="02110004020202020204"/>
                    </a:rPr>
                    <a:t>Rajasthan
15973.6</a:t>
                  </a:r>
                </a:p>
              </cx:txPr>
              <cx:visibility seriesName="0" categoryName="1" value="1"/>
              <cx:separator>
</cx:separator>
            </cx:dataLabel>
            <cx:dataLabel idx="16">
              <cx:txPr>
                <a:bodyPr spcFirstLastPara="1" vertOverflow="ellipsis" horzOverflow="overflow" wrap="square" lIns="0" tIns="0" rIns="0" bIns="0" anchor="ctr" anchorCtr="1"/>
                <a:lstStyle/>
                <a:p>
                  <a:pPr algn="ctr" rtl="0">
                    <a:defRPr>
                      <a:solidFill>
                        <a:schemeClr val="bg1"/>
                      </a:solidFill>
                    </a:defRPr>
                  </a:pPr>
                  <a:r>
                    <a:rPr lang="en-US" sz="850" b="0" i="0" u="none" strike="noStrike" baseline="0">
                      <a:solidFill>
                        <a:schemeClr val="bg1"/>
                      </a:solidFill>
                      <a:latin typeface="Aptos Narrow" panose="02110004020202020204"/>
                    </a:rPr>
                    <a:t>Telangana
17897.8</a:t>
                  </a:r>
                </a:p>
              </cx:txPr>
              <cx:visibility seriesName="0" categoryName="1" value="1"/>
              <cx:separator>
</cx:separator>
            </cx:dataLabel>
            <cx:dataLabel idx="19">
              <cx:txPr>
                <a:bodyPr spcFirstLastPara="1" vertOverflow="ellipsis" horzOverflow="overflow" wrap="square" lIns="0" tIns="0" rIns="0" bIns="0" anchor="ctr" anchorCtr="1"/>
                <a:lstStyle/>
                <a:p>
                  <a:pPr algn="ctr" rtl="0">
                    <a:defRPr>
                      <a:solidFill>
                        <a:schemeClr val="bg1">
                          <a:lumMod val="95000"/>
                        </a:schemeClr>
                      </a:solidFill>
                    </a:defRPr>
                  </a:pPr>
                  <a:r>
                    <a:rPr lang="en-US" sz="850" b="0" i="0" u="none" strike="noStrike" baseline="0">
                      <a:solidFill>
                        <a:schemeClr val="bg1">
                          <a:lumMod val="95000"/>
                        </a:schemeClr>
                      </a:solidFill>
                      <a:latin typeface="Aptos Narrow" panose="02110004020202020204"/>
                    </a:rPr>
                    <a:t>West Bengal
15744.8</a:t>
                  </a:r>
                </a:p>
              </cx:txPr>
              <cx:visibility seriesName="0" categoryName="1" value="1"/>
              <cx:separator>
</cx:separator>
            </cx:dataLabel>
            <cx:dataLabel idx="21">
              <cx:txPr>
                <a:bodyPr spcFirstLastPara="1" vertOverflow="ellipsis" horzOverflow="overflow" wrap="square" lIns="0" tIns="0" rIns="0" bIns="0" anchor="ctr" anchorCtr="1"/>
                <a:lstStyle/>
                <a:p>
                  <a:pPr algn="ctr" rtl="0">
                    <a:defRPr>
                      <a:solidFill>
                        <a:schemeClr val="bg1">
                          <a:lumMod val="95000"/>
                        </a:schemeClr>
                      </a:solidFill>
                    </a:defRPr>
                  </a:pPr>
                  <a:r>
                    <a:rPr lang="en-US" sz="850" b="0" i="0" u="none" strike="noStrike" baseline="0">
                      <a:solidFill>
                        <a:schemeClr val="bg1">
                          <a:lumMod val="95000"/>
                        </a:schemeClr>
                      </a:solidFill>
                      <a:latin typeface="Aptos Narrow" panose="02110004020202020204"/>
                    </a:rPr>
                    <a:t>West Bengal
16089.8</a:t>
                  </a:r>
                </a:p>
              </cx:txPr>
              <cx:visibility seriesName="0" categoryName="1" value="1"/>
              <cx:separator>
</cx:separator>
            </cx:dataLabel>
            <cx:dataLabel idx="22">
              <cx:txPr>
                <a:bodyPr spcFirstLastPara="1" vertOverflow="ellipsis" horzOverflow="overflow" wrap="square" lIns="0" tIns="0" rIns="0" bIns="0" anchor="ctr" anchorCtr="1"/>
                <a:lstStyle/>
                <a:p>
                  <a:pPr algn="ctr" rtl="0">
                    <a:defRPr>
                      <a:solidFill>
                        <a:schemeClr val="bg1"/>
                      </a:solidFill>
                    </a:defRPr>
                  </a:pPr>
                  <a:r>
                    <a:rPr lang="en-US" sz="850" b="0" i="0" u="none" strike="noStrike" baseline="0">
                      <a:solidFill>
                        <a:schemeClr val="bg1"/>
                      </a:solidFill>
                      <a:latin typeface="Aptos Narrow" panose="02110004020202020204"/>
                    </a:rPr>
                    <a:t>West Bengal
16089.8</a:t>
                  </a:r>
                </a:p>
              </cx:txPr>
              <cx:visibility seriesName="0" categoryName="1" value="1"/>
              <cx:separator>
</cx:separator>
            </cx:dataLabel>
          </cx:dataLabels>
          <cx:dataId val="0"/>
          <cx:layoutPr>
            <cx:regionLabelLayout val="none"/>
            <cx:geography viewedRegionType="dataOnly" cultureLanguage="en-US" cultureRegion="IN" attribution="Powered by Bing">
              <cx:geoCache provider="{E9337A44-BEBE-4D9F-B70C-5C5E7DAFC167}">
                <cx:binary>1FvZctw4sv0Vh58v1SBAgMDE9I0YkCxWabc2y35hlCWZO0AA3L/+prz0WGp12xPXD2NGOBw2C4UE
DjLz5EnUP+/mf9w1D3v7am4b5f5xN//+uuj77h+//ebuiod27w7a8s5qpz/2B3e6/U1//FjePfx2
b/dTqfLfMPKD3+6Kve0f5tf/+0/4tvxBH+u7fV9q9WZ4sMvFgxua3v3Nuxdfvdrft6WKS9fb8q73
f399CJPUxV7dv371oPqyX66W7uH3108+9vrVb8+/7E8Tv2rAtn64h7GYHDDKfCw4EZ8e/vpVo1X+
5TWnB5QFPsGMf34dfJ36dN/C8B+y6JM9+/t7++AcrOnT30+GPlkAvNm+fnWnB9U/7lwOm/j76526
L/evX5VOR59fRPrR+t3pp+X+9nTP//efz/4DNuDZ/3wDy/Pd+t6rvzDtW0CeGP+fAoIPCMWB8MlT
JEJxQBgJEafo8+M/ReLLDv21GS+j8GXYE4v/u7b7yeEAJ0Bf1/1Xh/8nQv187n+p+8LuX53b/f2D
K75nyNNT+Xde6NODkFLqc4E+u5l44oWAvWA08KkIPr8mX6f+7IU/btbLh+D5+CfL/v31v87/q/3x
ibVwQE72quwG+3WL/uqY/Dg6ODgIScDA/V5ER5ADHgoeUj/8A7zPbvgZnR+w52VY/hj4ZIWwQIh6
v5DDbvd22SuI3t/GpidL+k9DpDjwBfdFQJ96CTsgAcIBCvjnCMm+TvkZhx+w42Uc/hj4xOjfX28v
fikcZAn04euW/ASvoAcMjj31KfkjIT1lDgwJxgKBv875GYbvmvEyCF+GPYNA/loQ/Mu5fft1O34C
BHDiaUC4gMTx+XniEAIfcBxSyClfuN3ztPE9a15G4ssiniHxr8tfyhnSodrbff8TscAHTGDmhwF+
yR1C/4CKEDEfkvin51lw+gF7Xkbjj4HP8EgPfyk8jvZW7ft9/RPThA9p20cBDv4CEXbgQwCD8PWy
d/yQRS9j8s3QZ6gc/euXQuVkDylj74re/kxcxEFAMeIEItOnx38StULABXFBoAb6/ECWf0qnfsim
l5F5sqBn2Jz8d5edT6x9pLkPebFv9stPRAZDtQ8JxSfhF5d4WoYI/wCHIeMQxr5A8wyZH7HoL3D5
99An64RlHv9aHlOu2v7UHE8OCILaAj3TAx6TO2EIC/RyTXjyfUP+AoqvA58D8f6XAuJ0n4N3/FSp
jB1A/uYc9L4/jv83hFcEBwHjfhh+qT5Q+NQ7fsSglxH598hnkJz+Wr5xdl+64meGK3RAfYKCADLJ
5+dJIuEACObAj9GXPPMskXzfnJfh+DruGRhnv1Ypcj6oav/h6xH9/9ciBB3wAAO7xXDuv3GLkB4E
PuOAwRd15FkR8n07Xkbh67hnKJzLXypKXeyrvetB0v95QGB2QHlAAg6b/unBT/EAtYpCBGNfBf9n
XvFDFr0MyTdDn6Fy8WsVI1f7tmxene7vh58Hi+8fIJ/5CPFnuj4/CFCIMKLP8sWPGfEyEt+OfQbF
1a8lHl49QBLPf6p86IcH4BmMgmry1DPEAUKCB4J+YVTw+tvC44dM+Qs8/r2K53Ckv1S8urKP0vrP
zOHkIAwoEpj8qdYAJSUkDOjWp+dZmPoBQ/4Ciq8reA7Er5W+r/seGtY/vREFyQOggIYwBKpPz9Pa
nAPjYgz6k1+Tx7Nk/sNWvYzNs+HPELr+tdpQbx9c/0o+QPBqvsaR/z/LgnY9MFqfovApy+LhgQgx
E8HXwv2Zu/ygMS/D8mTwM1De/lp8K7VQEr660v33Qfm7NvJfv/ujyxuDmpl8uqTxzYWCv3/7affh
7sizoX/XN/ucn3b3v78mj9LyN420xy95kr6eoPincQ9AQ39/LRCUuNA+A0YS+gGwSEiBE5zj31/D
RRCOBYRjSJsELiEIuAiitO0LuEISHmCQKB4Z/iP7h1bp61dOD59egeodIB+DZBRyTiGi/3FB5lw3
S67VHzvy5d+v1NCe61L17vfXIJF3nz/1uMAwYI+XVOCQQ/yBMpsxMK6721/AHRz4sP8/YeDlpgHa
m9piqDcGVUKOOStjWtZc9mrZfbM9L0znQzB7Pl/g+zh4LOkfWQHcPPh2vgrPGYHmSpj6tcvTHNfV
A/Bu82b0VZfMyzjFbbY6Iwf4lJPrMnIhq4ION6vNmmgaMbmux4yP8Xfsghj8J7swRzxAFGNBQyD4
39olnCuDaml5OuHmfa/ADn/yuAxXusV9cCjEqlPdELvJymaOi+WE2gEBQ//j4tALmwOY/skG4oOM
i6DnQTB9ZkPNDcvmauBpV84mzWqXHXK/1Fd/P8sLiIN6zykHQTKELtbj+28Rh02uirXiKdF0S+vp
LQ/CcjuVTSfN5KbvbOwLa4JeJqwmCOEGDhykp7NZbH00V1ykQoVsM/O5kdXQ4e/MAk75fOcEeAQI
FgzBGcbPThXOat9MNAtTWrSwjHqZpGqGixHuoP3Hmyf8ADpSAtbDGXs2EfVW2NHH45uVCMnWqz5O
5WqimqhzUtWfb1Z9viTxwnl4ASnhMwJKDAE6B3eUnu7dPARahy4IUw09+qjhfiCLEddxu7Immiu2
/fu14UcsnsUCgX1OCPSXGcSpZ1iVPg9WG+ZharyglnbU4ngKM3TR+AXb6bao404Ztin6CW9XXemN
j9rsA2uIkpOazUVVc5sS1Y4xqVnmS0RNFzHCm5jSdT3vcdd2MS+UMLuhUmVE2pb30nZrMUo9mSnq
+tWPB1qxUaKKvbFta9/8/Rr9F/xcUMGwwHCl4c/ncVIlnuhShmmuCryrqMd3y0hRFI702lvUpqsy
t1M2/xiSoksCXOOrKQ/4d7b6pfMqIHLDlbQQUdAVniJrqyVQNGtE2jRDsJuD8lRBf0D6qGDR3y/4
zzOBUAf5A9glp7DXz2YqusJNohI8DbOyjeaBc2l1+94VCCd/PxOczD8fWAFFt48wAf0w/Pz+m9Bi
Wp94IXZhGogRJ/XolVsLEf8cIzZfMA8OAjb9VV7PbVIN/VLHPUcmypjqJlnredoK1zXpEoZikG6g
7HIoR7qno+HbiVV9ExEzLJfC9cFx34/6qC7aMlW2WFrZ+UM1bxouaGQG30SoDYcdEgvfdkXANsKq
JfWMM7G1BieEWuHDB1HjS5prmqVTj02Ut352MhQVPVPUn6vIFY4l+TjjeAx5eZahttovpmp3wSim
BDVi3S6CelKPJtzVpg9vS7IGZxOGha8ucJGXoUZSYdkhRzg78aslFnVPkibr2l1BSxu51tdSz0N3
FWDb3eJBdXueIy7zwigsi8VkkdKTS0I1LhslVLMtUV9deqgzZxy13Mg57Ka4tvNq5TwRc9vNY3Zi
xyK7KcRapmNr+B2b3Kxlhsi72qveqgaLXNaeZkdVb8+IsOQ0bIvYoHJLAq/dqtEnHUSAHF/4PtdO
koLxIxQQd7aOC5J5b1jqjK1TWE4X8VFUMmtMGbtVD83hqMsZSYhSy7EYBIBZ1kM7xAPOhjAaPFOm
jZnGB6BMsCcTUcdFoTqpm8E/NX2WwZYRPOyMDtxb36nxhga8MnFLO8dkZpG4Adq29JIq0V/zpg12
w4DGaDLGiyzc+Ts2I2sTbVDmZJnzLovMCqlf1rnfZrJqAj3E9cjLLc6F3SgOeGM3wvaNnqP7jNVT
nAO2EIRGv0yCjtJ3RYeXo1Dg4B0pDBolR3VxNuYGUcnHGubhA3I8guAxQ+QMFstk3U7iZnK0b24I
aZQcEaruDK1gDWFG4cSLsXKXTQBEKG6LqUsKoDiHrbNR4wfhxzUnSyXRAEwtRj3JqpTjrlplVQ/L
Ma5bc7iynum4bKYFXChHsshmluIVCI6EeNB+gJpzFDLXmReLwJqdFW0oSV4P2zFD8wlbvbyUVZCL
VGtvtRGq2zbmKjuthznfUqLHQs7KB3uLyRItC96zMmoxK4T0vHI9xpPdDKNvDgtB7VHeq/aSqKmP
6nLZzF1YXGEk5qQsu37jwLbt5Ol8I0wvtqCmtoDv3MY5m+F8NGsNphbNwDahzv2bkfDwiCzmQfvU
JOVgS+CnxrwXmWA+EFRidp5vrWRehaMaj0Mp/ZVOqcdZEJumht1HvD7hgxJRMS/FrlCWw1ppLokr
2z2yeXVaKX/acmKz+5qsNJN1NU1vxgp1cQMQX2YhQduq9JpkWsYi9WbIwkBF7d1I2/4NFm7Zislr
U+sGnhic+xuOiCdbLDbzCARxXv3gKMNTlczhMEk7VIEcu8OclvzIaW76qF0nKBRczqOsyq7zZQyO
jPXzM69e8JG1vdiXnJFrvNI+afKcUGkzOwArt9kWtE+9Ldq+TGZagitwLz8sa3+MWQfkuMW0OMq7
8ZZz6w65RnUEWW+R0zAMW5ut6qRvKB+iLpjWWKsykDmzVSNDr6miYKh0PLdAvAldTx0xRTJW4XqJ
TehOurUuP8wlRFzk4SqCNF+mxtTzuRv1tKuwl912OcrlUK/implgTWa7eLFawvUkF9XtwARLtWvn
SKjMRTk7z5r2AqG62bVFy3bTQGqZ1VWcr+OYNgP3Npqw6UFNqsey7up2BV/z/NtZGHISNO5kygoX
867Ko3lCS4SDxT9uehLkkvGi2dgmrGPa6GmjA9FJ5/dQUPisk6u140XmOlVubBA62fQrlpXyPs7M
yXYK6RWQpDUdTGEk1eDKIESnvs9oMk3aPwlU/6Yr7TGp1CJD3+uiFSJ4mmVq72ttowJWTmwNASjX
0gT9LF3o4qJcg2TG0xiRYSKnZhqyC4WyNgmzfDmqeHAS6FHFgnurnAmbN9M0mPeZyHgULr6O2LKe
M2r4ppoUmySbJ3arwmJO/CZfNqHJahJxlGdlFChvAlq1qO4aeNn8BquSbBtGstSWUxP5EGxOyxZ1
0jeeuCxgve+smEYb13NjYTdYy2YI56aapd8MOoxDozOU0MXWY8I07Ih0Yg3PG6pYA9lqtW/HwroP
2MMZikwo7LDLq2XmG6ZaFfVu/bjgUsm8ZLWcwmHfro3ewdetsuez21SBDSJohZnYLc0FxP4YQfA5
BSc06Vq5LAK1s36HETGHOM9y6Q/rKv1lMnHd5MWmLOtFQs8M3HiyR3bN5rOwCW5GXKI4F941aaYu
IpDkz5mn+catWVVHdeGrUGZsgpNbuyZaw8BcYoYuw9KZre4qT4p+Rdve1dXhvLhg25ph2A1ZVUCU
H5RJGVwySEeDcZrrhqUQUrwksw7JqcPN8dK3+HzomjJWqFDvNA9cYgKaZN5SHSkL0WJ2Qn+EhFQm
lZqa7crQeJ37yFdROdPpwTYrDaRGqo0r61a5rgIBZ6TLxvO43vJGt7updB81xvpwnjL/kvjCbCxa
zks71ofLSmmkBZkH6fveeDPWdf6RrrVNCsDmzPAF7UJqso2nhL1YaZNvXJvdW2GGU195+aYphTpk
vCprCI9DvZ1HNKdTpZdoyEyV9C16Y9aAR44UeLPycd6sGQ1KmQe5OqwonAQ+Y7TxydDLGVfrRs9l
fRQspWhk3w7lFM11P0UDzfQdnnFzlClc9xvVw44IVjVppoS/CwrNZVewozoYbhc765NZz6dzo909
bbvh2HSki3O/mSOoDU8Hol0iMrioSRyjaYvMuGvpktbau1HZUtdyWLs8MSpThzprq6To5jzOB9Ze
z27uT0U46RRBEtzOXX6oltZeB13BpSo4jo0Y7b1R0wqZG0iBxKUuIz3kU9xhiM21Zvlp2Kn8jT8q
FTnUMclb7NWSoEbHIGSM53Nh33aL6qX2huMCj03ULlOiC4jba193STPMsdUzL+Wo13QU/Rg1eJRu
7cITvPotzFmWb4DYUyvzKouXNetyqQjHsp3Vjau8ctOFKhlrdKdYuR0mv981w2JlWDi8JTrME+6P
kIXJHGz7kq5p4yk5iHDjNA03C1uWUnadxw+FnqsYkzLckuZqnL02NkPtx1BCxcrkXQpUvk54LvKE
FVWWFqMoUwLzS9vSu97Q7DZsWS87BN48LSxZq3Xbd+Z66R2XblwOe2+44RUez4txjWFr34negxxd
eHe81DeY1CeqZJf5CBmqbP2zZg4f8vrBTnxMTVkOEpX5Vc+GQramO+xoeFxS/8TD6xA14eCOG+sd
WzhBxwESdZpNhN/pOaw2OW4jyFKR4t2YEmbatyu5Bymu2XBs/MifqjZqTNfIgS4eAOjKq0GXDqKY
urYrv2Gmgj9mX3fZ+1nT48Jv3gWY9keuDWw0NLbaqLa4LrDY0ra9mnj1TmGz6/qgiahTp4TVYDse
tWTdOCXDuOSyr/QksTdUcUBBvygM3ik1mc3EmosKvGrXVMUHkB12bFpijxsqPezL3oxjbKoi28IP
0sYzJXJ6tnShe+ibRoBoRnd15rWHoqRsM2bTmrZT9qEmIRTmUO5f9SYoIBpnCFzWo+yuWP1u07og
yrOWbqxAzeFSNyjC2VQ8UilmkoAsYVQ0fIjdrKoYflNgpVDqBAd2jpyagat0mYDifgpSL4cSwU1l
DVW9BxwGFlzhqoZQMGSSB4GKVw14Q92q5eSFl5zlZwGZyohh+35s143rgecrBuyzrfEgaQYxv8uB
0BNxUazkhFTZ235Rpy3LAqlmwD33OiSrsLG7olg7SPrqGvXBHNmRSDxX3W3ljzr2w6qTpf4QesFb
1qA+Wi3k7KVzAJqtbzpMhvOlGdubGcRQuVDabO2U+9tgxTrpsmKRnXHVvhyHPi2CooWQoqvDUCEr
l9B4sWkn4Lahfa/8YUwDxmClqJpkW41n1DeLLFqik5U0w8dwKchZqWdgd4w0mwUhvfHE3MdLjU4U
1CybCuqfw0llQI6Yjii257aHAoN23NwWnUdTVWRDChLLpRlyvck6E9ExP+VAD8+c8YZkhtiRBCJj
J1rgGkj/DHVz6VtzumKkpC3neoMYFMdc2bekrtZk4ARtcGlRkme9iMKJzVfYU1C6qA64pJ3QJteh
vpthUYehDZuYzQAp9oduiwtvSCHfotPOFGiX61odtmarlrVKmNL4BC2mSXI3VCc14cGN8zW74TN9
yGYfxxirMS0agt42Y9NvlV95l1032g8TnO3z3nJ2spSkiypCvLTrizGd27mIpka4Uzq4NglAxonD
ogglMqXN5QRsXgHvc+E10nXkDXlPNsgv4Rg60PiihrgWyaHohp1rGyRn1LxbDFDFHBSvuywvVFIa
f4kKC1SohxI5FRUloFVXwJUqNGyZUTSuFGOHne2Xd8O6xFAwsaQB990g5w+7LKhIMlV0im2bz+cl
ohWwxbo7DMNijJVjbwoQoqKxBcTXRYgtHqm/mUFLqWU1DanGrjwJZmt3FWoSJaZ5I8DRoZZq7ZGu
yjGpSgu8kpL2REwDEFzVFBGt/Ske16zYdeto02HGLG2bnh7BPEsylHWRrhSP26ye+GHGRQaaizYx
KYHNQwF2OTlM3teq8iM29/ezINOtX+fvVbg2J2YusrdNud5DOW4vxGSaQubWG6LSG9zGr+145CF3
jTF9C9O6Q2XFrmBDkLgC6LALliWyGUhueHalA6BscYqRB9qQso4k7YBAC2o9H1THkkU5V3B8tO42
tNBZvoGiL3g75NaP4Qh2b8cK0nRW615yNYzSFBpqq6Vi6g1oFeq68yYRWVF0+6ouyEU5lugcG0OS
YoHSULK1tOc1Fh9M04oL0ONY1Hmkl23Q6WjK1irqRUhAYBrC49ope6y0qRMm5no3zgokUZOxxHi6
TT2vUFHnuJIk9MvDpVhWKMysDiX39RRVan0/uQBt8zVfbgttZ9lUlQWFg30IZ10BORBLFBA/T1xL
urOGZDqqx6U8ZiNUWnC7u9rB8XsjAtb50qrcbOecFMf5qKpk1bo8wuNYNtKrQVE9auahCWUwkPHN
UqHgfqwmgw+9tV7ScQoJjwhbw1tfzahOgimcaWKHovyo4ZCFEemWqjsucvix9NqKMIwa5Nks4d7c
B3FQ2+Z2YnRIvGWCSm/t1yuE8yDtxgay41IHMXRNLis2QMwUtr5rM1NsKu7PMZ/nPEGKuah2Hb3O
anVU9+Mpb3172MCVBqlryB3gq816omwrkirkBFYRrm6QhTKF7MNG38BE9hp+dq5v68fY6ev2VKu+
3lSqC49pIfxN408FhDneq3ed7shhT1ucrEGolzjQJtv6NBuvJ7Osl3U2mquyJsEJagVKJi9AEilv
kYtXgcrumq7Z+p2YLUxdDrFZs5XJfvEhJrYI8q+nG97KVbRjlIeTl5ShNoEMCq+Kmn7INibMQUtf
TJ3FdQ3JQIbD4HWSGddsvGzq9qwWmD5iUl+FEH9Oh5bDz98V9VqZQTGZDrDV/Bjyd1FvSmwvMuog
etUX8OPyNhVjMUcU9EvZCZSfTHQ4D3KfxqDkjJHLRibX0TsFwT2UZTZFbswg8EIfYePRyUpbdyYN
xzzuyqqLBhZEwvNc7M017eQoTH1C88rI2rib0JRVERc18aBA6NieQSm1FSPHkbVZn0yi76BX1g8X
UFJm4P9tlbaFx5LZdGBVX9xOC2Q/TIc58fwapSB93K8OBzs1j6vU63QzLMXWTP2UglLrS8EzdO6w
cgkRHEk1eHXUlGGwVb1qoqWozSHh5QXr1ZDocTzMAjR7EZwWP2agCieg6gwnoavwh1mHZRa3Vdv6
wMGXMO0tGilIoV1/FIR2SMOQehqCF+L3rBpFOiy4ewvyR/dGcddf5BPvb7ng1RnsPNTFIN1t/NGG
Z8DlpoiZnG9a8L4YjfihL3K7Fas/n9E1XzOJRJN9AA0WGD7o5d2RInmfyQBiHpKjC8NwM9TKq5Mp
N10V1Vr0/cc6QP6cID9bUcymGdqOLVUFxEzSiWvIpQOVBWlAzaLLAGVwrTO77nqxdBpIN4KWKu8b
ueqwPelpXV3XbMwSv+Dm2OVsijP02HHJSu/90nXR3JRF0hQavn2Y3AWduiBtOx+dgSwSwlc7AfKF
A0WPhuEMIjpwWRGZ2eDmrKshTBcYSej0zJGyKqZdMJ5lTRP3rnJyIlUCFVAWdbb7OKz2WvWzuFbz
pCDt5ksVyly5Ng799bZV89vVlYUM+hpvirGMPVcXknd9HumlLA9zDZoQNHR2eVN6N27yyliUoF2C
7F5HZbGWh102x21bBJteQ9Vlclpt4fYsFLNj4IHwUliyAwY7Klnalq0b1ENWlNrxzoG0MwkVWd5X
MnDTkEvuFcMqoavinWpHFr1BXgs6DigaxSX8yIMeAenTO1wxnfRl0V2ycWm1DHvmO9m1DrrUIHiw
TK4D7s8dUYEPAYywK5R3ZmvrHIpIC9WKjkkW2EOPYNTLBS3zpubOSpODrImmkN3CutZNv7TusVFB
9Q1Zx548VizNeYZyDcLNasj9gg2QXq/zRNwJ5eMIlMXumi+PwbIeHyXkmmTkY8BqDFSIcy+toIcA
6Q30krd0rsPbfinCY+hI6ZMGrghcQOMz3DFMyDWied7FjHpFBaw6mJzsGyfejQvXQGS8Vu0QZDgE
ZxuVIKcxEO0G2oJvVaNWJvb8wH8IVECuB3DhmwxV3cc6VCsU/sK1Z8ogDC0GU6FVGhHU98ajaJfN
y7xF0Bm5LFua5XFdeA7yjmbvlzAIz2hXNR+acM1AMc3zs2HWwe3gkRGq4yFv9xUV62HXBvBvNQmQ
IRoPCqZobu0YiU7TS6Ep7yLdBv7edTneTrYfW+l4wc5rlIEawY3Lz701AG238Da4yMob5ET/USus
b6CJlL1t81a/88D3E8/BzlewnfWOAZPcLqpc32aLLm5VjsE1lzLr32HrsT2owMH7xi0uGrsVrhCQ
MofDBhR+JWOYKDgih50XBJBSdJW04TJ/xCufIg90m0jBXX3pHA/aaDGK3Hi0LXZkRsuJnSbxrvJx
HaHQaYkWXh4ykJkZ9DH6btNpm+1XEFnAAXRj3nHVZ4crcG0g1Wtj0xoIoOxd64pNPtIrSF7qYVSD
PmfKohSaDR6RlP4fZWe2JKmRdesn4hiO44DfnAuGGHOeKrNusKrKSmf2ARxwnv5foe6jllL6VafN
ZG2qrhwiAvC991rf2jKiQJvXZKT1vtaQe2QKH96HduOX+UxEt59F29yA45iGFMe+LqhU/R3ssglT
noDexeoOTckQ9OrRjYvhaeu6BB8OgwgZBmNzHUxLdwwXlxzXsppOdSjVe4MmTWeSTFRnDYm7LQ2S
unsa+eL7+dT28hoHRqLysMaVC5Qzco8xeQ2yOdCYomXPmr4Y6q5Fnx3FwQ/SmOUegvVy5/ulfmRz
LH8ybbvrwR/a02bL6APJ+OS6nJS6EmHseVlAZvrB7CR/tkG7hKk3S/s2AD15bYwZ47SjsYnypNZ2
yNwShmXqBhodcKvyvIJB+jQyTZo0kWyr07Ac/QfPTOGLiPv+fRDmhXCoosOIjmR2amvSuBNkheKu
27vNLu5bP/Iqzgy0U4t+KsIJA+l9O4wTZD3G57HfYQzAh2zVjAbDi9Tmn5pKh31eTcSH37CW9Y1b
JyZzBtcVZ4QYkh0V1XSuGtSvvIVesVs2jVunH+a+y4IExSYYWxjRKvH861mHK2yrwQY3vo0h2MXT
5DIWxeKbNapsc2HG15A41eR9rKvj3Bv5UOFCJbswGcPnEQahK/xex+9ojcI55XXvfjRiWCCudCpu
DiruKRqpYHRuh7u5GfclQc1MJzOuURbzIfpqJY+qVKHlP4uSLs/RdKlsPFr2YvOg2nsD4ScRu+/G
tFsK53hZU4zWeE7QI+EdwEwgQZRJjZILHXuFjxO/iW7r3o1YSkiWE8uqyAEVIeSKTZAwUQtCE+2x
vCKs8hgKdpDWzMDwoPiLJzLNs02VC8lQKEF7OB0kllMRVjWks5E0P8ox7I5xWLMg68Tkkzz2/bro
u1L/MC52qLohQfmHdePObet1mb9M0eum4TrAxMDw1puybw+ma+l7003+2ZlwwIC7ObJ3cz/saTtH
WddMbhd1MIFwSw7HRVgYZTHMtLuIQ86EB2lRTcZy/LE1iqDFCzzzpYmrPl9mdBOyUh90JvzMvJCf
GtBWd8tGvS7F2x5Pzozm2jnr5fBqMeO7dhdGvpd6cPv2mG1klWNqVh86mWmV8q6p76qE3XbwffeB
0OKp6ntaZ8HorYemJ9W8g29f7YYx/Mak7x68qAl/eBGkHTL4Vy4g8t0y2jzTuOr8w7ZIDvE31K8c
1fzKE5LcdEp6D8ILfgViXPCHPyMvyPqBgkLhDkIWXrZf/BGGqlo/VqrSyWWmh3mKifkujmR1202q
Rt1Gq3o7E6959ucZpfSfgYnw73AJIChwQYM4AHjzie/ZAi9Kar4mexeJ6ZZHyhxmM8JF8GHb02X1
sxIzGYxxv5nflw0lxVjb79TcktTiyrZqZFmS9BA7lV9n3QCDaVgjulvQxsNvDsjdIBYKWaaPYgoB
lW0HE4XytITNdj2N9c0YzLAqGLRBClKry+zSbjhX0AGj1ncehO022Pdr66U16KA8KnGWWWNDdCjs
abUYDtjiyJ2uox/NIMPMi+fpoD0c+I0cYpliGAMqtSb0Fx9d8FeMkHNotiGlWKMFM/gTxNbjVsLH
F6JbB0OJucG/C8PVycw27jgQIEuLA5tBOXx34qw716N1O94V6AIujMES5GUteJz11Twkqe2jouF0
PvpyrDK5eufVt5h3uxYNMG2aw9C08S/AnAtI+vnW41j0wcPf1n0EyYWc+wMsU6OWqJkbvveNajDi
8HnrsmRbq/PmTQ9knaN8RnHOnBurE9By+xOOlz0a/0LrQXBjZGjxiC0+ZA9wG7+4N//uxSF6ifvy
so/kMyQooOFFJOr5viUQqmBFCn7ll4P5xa8hCCT85UPgl10CeARwtJNP11HBMA7HUvE97E/XonzH
3mFZjM3XtYu+BxjgcUa2KhtIOeSlnaOHGk3omkMYb89gdvht55IW2AweFsWG/nai1ndpW25eEdb+
k5ra8eWfPxryGWnEee0Txnygk2EC7ecTpqk7vUGQwL03jwEOhS0YWBb7EAebslUpdP/whbe30q/l
W7dBPYP/42fV3FUnF7ooB8zg3lnDVwRRQY/+G4u++9ep9S+094dES1OjVH/64/99kj3++e17fv+a
3wjo//zp+v+t3fvHr9r/lJfNMuPnL7q8mt9/Fn77v1/dBYz+0x/+Qmn/Lxz2v7b4/S9/+f8Hacfc
p8HlIvyO2v4F0/59n8d/EO3fv+tfkHaMXCuANWhnWF0BE5ng54G9AKQdJViMhIuN0xJrkC5k238g
7csyjIDhPojB0xIW4ZvGf0Pa/v8hBDIa1hjiZCdgRv8bSPvzHYedPzHWmBGQpQTPSfypUPCgnqMR
3lcxsQpC67Y596UKovW/5E0R1IqQDwINHkdQZumnXzOCrW0WMURFFLbz19n3kgvSIsBFTe28Fz28
sj9chX/fsX+Ezy/hsD89/pffGAFhv6QqOSXJp8ef91ub2BYCakxWDo2196FbW6/qwe/GdMj7qK8f
E4tWcSqTB7v43MOw2G9fB0fJ3te8OY1RRU9EgzeE69ecuOuW615s2xVZW3X9i9f7+cy+vF5c8hB7
5UDm+/GnM7uJgeYs6xAXbSn792XGkTXGBP/b8oHnjVcm6SJigBl1It+N9Ld3uybLixON2jMrww9h
bfs8yHU6CUg7H//88oK/3id4eRS5AYLCiHvy08kUc+2rhsNntUSFWGZA2jWrmaR5PC7V2TUrSvJA
lDyDj4HG5PniMIlghf4UJ4dqDeMvgRP9rUMNIkQd/cq7XyEnQomcbVJBtJzbNzSIyX6GdHHXyUB+
t4K0+95p9fDP7yX8XBkuH3US4xGC1BCCVb/cOn8oj0m9Lf5kKSuU7aorx0ySLesaiHxVSXVaTG3b
rKc+Kzw5Lu+AYWSZdv3AW5zAEzusEffu7bpOb1E4A7QgZLjqW4+9rqTdjSO7jk0d5ENcz1nceeJ2
oHY+TrKqCqBhb4pBPqlL9srZRG9gUmfD4G4TV88H5aL+CAk8uiH9oK9Cr9xUGlQLG+DLk3JX9XDJ
Gmh7hXVJmAbdQq+N8qv3JDIC7qWl6swijf6r6amAlhf4Zwh3i4Mz6vEpl9vavP7zZ/nbg/vHLhef
ZexftlrFhBIaRZ8eM4xZY8tGxwpS0h6VqR12sln8qyQAF0zJh9cs66119Tpm/Qrb8GBNt3xEujPf
Q6Wnay0WyCSBDuLjIqHwxZ5eonQYYgLClao7WcnxMM+jWAGd9e6dAzl4tKqUZ96t3iuhrbhSWyQE
GlXMYU7461XS2mY32cj/xY3zl/L825tFVQbyjCUGeBT+fOOoxFdzfHkIxlbPN6K/WM2XNuOokL25
81zEdxoJFcyF3XZvdCLOVDEMzGGSqAO6neSZjcyBMRD+fxkewCtDvoQnAa5A5CfRp2EDhFY/d2wB
QJYELKNGflSzO0L1XPN4nf/LMMlvv4wjy+JjywnBkf7nj0GiPiyJm1iB/jF+9aUD/jvb5vafb62/
ORATpAV+/y2fntIOZFA0UsOKltb1T7TP8srZAQZHiOzQ7p9/19+cCEh4oEZfZiUKnOLP7wi3ZKNU
oFkxAA8+U6/f3rdIR1ehof4DjEQcuyCluYTM7w93wAtN/s8v4G+OV6ifIY8TnP8h/vXPL0B6C4Oj
zVjRTfH8QhYYPWu5xb+owpfdDn8qiizBnlqfMVhbAVY6xZcIwx9OvgBHbuK6JipmZh7UGIis990e
Lu/9iu6P17frQDO6Lu8ryF9bdd7tRroyRT1J8oYCDuHWAlWpQnkfjWrZx2KCD7k+jIFCUsVVfqFq
0aW+hTEcroFLKd9M3i/6ZyPqX0w5n+8PliBaGaJWhoRf+qrLHPeH97KFW6ttZOJCo+xgnK2TNHJw
nCBoeb+4On/52LiP2gx/NEIDQ1jy6faotjIA8+PxIu4i+MGu9Q6xv81nYYZuR8fSHvBR81/8UrSC
l8Pzj4drhC0Dfox2CScrMk6fL9cSTCzoyVIWc7c8ITYnCyqQg+HlurxSLfsoJev4ANb6CMXpDaJW
s4sxYX9rxAXf8aszeh9AIwnY7DK6G5Xycxxuel8bte8mcPFjWb+VwfgmIb7U/iLTJGnHFJxekOpu
gjC4rEfWzmFq4tG/gzSmMt13UNtcJVKPdRjefefvDCnZdSLhlMDruoIe1O3idYF8UwZeSlV/D9KV
pxesCw/Qg4uBecyodGHyKLi0t1v0LVTb++Bv4+2w9QDAGBOvIxi2W083wQ7qnchhlxOgWHBEIZE2
+66OBqSkdNe8uc0j+Qqavcr4Os7vQcfNPqxC3qQ9YN23tQ6SHff7J7AedyaB7SnTuhHkRwnxrWBl
D+/GE/1XrPytQYx2zOwglbYQebk6rB3rs8CZ/ibUTXtH1qi0adDoqSBNiJprbPBzpG1y3ffxuKuJ
IBj/26XMOIE7ti1R3OclqtRXGPxLUQNiGtLGZaqLHpmqZT7pi9A3WAt8a9OVOxtahfdlNessrh04
X78AKXeQ1bDtg44eyujJznB91zCfXMA/3EKv2sU+6dn+BLvAXupAtju6DX3Bk/lLX+kTiOhxN9pp
vi5BoL3opqH3c2tYksLZ6/GzOkg6fOMpp/q+5xvAJJtczy0s0UnBMqqsgHoH0DfKiDfNt4iDrHuy
dexumhMoziMumzXIZKZlJT6SeeIQUMvx4GsYnSOyZa8DeLcvS033QzPJaVc3a3InZa/uvbaziJYI
2DKg/7XLx2Z2z53YpntaOvusggauoGfck1eVag+lrr3xlBaHbTXeQ4tG6wZKUZU1yA7lRPfIXm2R
usGIbosWKldhw4R880pijhJg8U1glM4rXL3D1oC0r2z33cxQeJvLO1x85u2Bjtz5IA42+eQTcpmw
wbKW7rqEIgz1rFmOkrTyR1mS6gniGUk1tTUa8ITkiW7JyYOjkE+TnvKNw4+Sq2D3sV6qm1bLLfeV
IzAezfCR+OO68+bQnXplYFmx5Gel2dsAEwH0M5FgFUxQr1/iMZaHUCxe6hzk64quNLVjtR2TpQFY
acQXo8YvCmhOk06MmO8drI0XkbTRoQfDs+ewGUGVDUGGyWe8Mr1hOdCJ6NAYBYLdS0TBKF4U8aPh
JTSDd13jVeWKlPjidnjACbsedK+XIxyTqMBXiX0QL1flOP+kTJw7uUbp2PBoSAefrllTV/gCT1SP
88qTYl5nbwcUK7n4vm1BpJc8Uuu+jwmTD51ZoltmcSrgGdzykNbzsevZ3aZ8em+rHtcksHLIkTOz
p5CMCx6qqdpVfAHWy2m2BlJdxQ2yJC0FSicc3ERgfNXzRKFDtxSsiu9rvEGpx8wxnI4sHB0KhO5T
Riqs+rGDvZoFW27qrezumZMLrG2vLzzgVnnVNXsAx2+66sediJohD71O41wFnDXzOQez2tyAQKMA
OtbgB10aCxtUN7nmlZ/XrdB3gdcjDVVitIMM2ocvtNTgH6hoQElXA1DB9tabfPsgSncm4CosHY9b
2zyVADrwjlV7T/2VZJ2rg3d/W7sHNTfo9JNlC/fNGMRI3G0AJVcT3ZoA+ZRBVdtBr/SRwDlnQxik
1pYzvAu7HzZlC26C78OszxVAji5svyOeEaWQC8P9oqJgbzz/UbYqH6t1vh7YXF4tVl6UWF+Nr9PW
EyBJgAW/CoxnM0JBPYjeBiR6CuvxPBGY6kEPfG1sxY3dkFmagoVk1UK3IIsl0kueNjaz4L69FKhq
uMOCBBDOS3lC24EMdNO0Z0m9+c4jtd7VPhR6AATqxKJRPoSRvq9a4pDl4t63OjTy22b8dk/KuH4p
hyQsJoQdr+rS0Fe8almMtmU3A7ClPXTwbV9FqvrGIbifdOKDlYlQOU3gNJ4LxQ9zbRFZmRqMg1D9
8lGAfleUwWhwDDEA0/rXoPztbtI4vEHE3Rvy0VbQEZATcuNTMsUgskml7oKlcw+RaJOzMh1yXVvc
XMJtrgi7qfwybNy92g6qIw868rAKrfcDC1ELq6DZh2aqv15cPYRnRr1DNjG+JF78Y11xeWqoQLmt
3J0PDCVfWyruoOxMhY93e7UIx87TPLKrklpWVOXsIyJV1fddPdGjGZfkKuTCFj5vxPUMDqiA9zzf
6Lh5V71unirW+1kdCv+AW7TQdvye9Ay2Sod+MY3N5XThVUXatFPo+7c4cscxpAX1zEnZW3ZxocZo
uF26WqdCrcmUERWVhWeT+JrqSD5MW83eWa371/gianpe+OLKkOWyAuc16GneMyREeDptU7NHvH9I
vTDqT1OLNCCnodnBOaV57TdjFntGP3psBk61bh2fd7Fi1VGDgtn5Do52R7TMt7DHjV9OxlP5OkTh
sRHzdhwSH5n0Kb5L8P2pXT3vfuBNd73V+j0aA1L4raHogDszPA7G3ngjPSAm/TEk5iTaTdyxlkc5
Yu5wKJeqOc4Un7OIayRDKcBqyFHXo1DFDIwYjVq5g922gKYgDjknj/DbhXB7O02jeMaIibjZ0NVk
x8MBPmQ8zuYG+0LKl9jE5KHvJ//iX6sTFWK9Xtd1fB9Z7ffprKvqaRnwYjw/ZD/h13MQ7dVwauu6
KYIK30fKxMsNzHaS1mj6diVrKOjFlbpvCJfFV/08gj0XVA6F4fHwoIZ4OFa6mX92yxrZtKGeOguk
BvYjEDfgV6Qmzx5wtgzpFJ7kkqFez5B/4O9Gpb8PQfegVFpdPoVIy+LiA5lNx6UXe6cp69BnasSi
dBVsaT0G3YtkfH01oD1FbsZuMkhgVGWJ5C7CoKmWDb9pq3beBa235BTD0IrDxmNvQqMExars3qLA
xnvkY0HTtciMpMvS82sOrh4v3o/AVPINXOyskMtNO+1tt2t7ye/B/VW3ylXjdTM3D+B1vodx88X2
od1VlQtOBvGfg7Xbq4X0no1bry9AmDlYuski6EH5JJdy4wega1NuNn2RiGAZ9JHOFbj1q4AasgMy
Xe1i8OOn3osHWGt9uR7natmVPc2bvuM7VFfECmkvQYi4oTl7a61ewJifbfkOlvAhWYInk8zfCLzv
xImvrB1fK2xOPvTC6+/17CeH0R/iLEQW+aqbk3bKO1n3ufQJrFmJLM8N8lcmj0GtHPrOswRSVIA+
KWHDNRKV0yM4qDYnMqFjGqrA3rRDLQCDRIx9A0iV1Blegr3TJRP3HV8fy7WnBwDvw9u6+Rt4sMWn
B0hLy8+5KafHDS793q3SKwal4gMgRwGKDGXv3dpkhvhKSuR2QC6VA1V7PMmJziYj7xPRLIfZJ+Jt
kBPIU4K8YyTFsGaCn+jQqvuoheCSEl7rfB5rhUjRsLz4BrwIZpWZalBkDIEDYH7vq4//BA/cy6j+
wPcMRWf6TeXaeREKa2SqMNu20TsBSW4K9P8jUlwckFoIqbUwAe+vZrCVLK0jGe8QiIiBM/kTjtxQ
0ozUgQeTmSePMPkxMMQQDZ+rzcGHmWL/DIlC7g02suDhthzZBCQPwnK7J82SzaAx3ieIjruVTv43
PMNB4ehSHlqbbHfe7AOiBwKBNtgaeaRD4l37FUK5qb+a9rqrdHlr0HwUoDQHcCud3NsyqfOahuTc
i+S5m/1T0I/y+2ZFvfcrXT2GsycfN0a9zKrJ3dc9jtOx59E9B+r2tWIdf4D7GlwHsV+m+JHix+Uo
/NoLWT3apUf+A00uOZsGeV8k1fgz+MvpKW55y3M71T9wsHQ31bysz4hF1k1exy02Nuhx+LqADsN7
qNpDJZINYcla3JBNYAkLolUn2Sh6VMJONzUB2Ca9QHzBArPyVgViwAME7WWBb33u0bB96TkS77Cl
ebdHz6NUoUHcFUm/wpSdYQZfVIb6Fsrg/NKGUAZXz/UnCXyFp5Fcxnt/rGLIKZtxhwH92jnqpujn
QnSg0w0rIu4pbtV7nTRuqFJvCYIjizEfVx2myUNrIMqmA9KMO90kw6EalubLOPbmTTeAKAvqwzhI
pd58nqM5b54t3Ng8SBwpwt5DxhEoDgabRPT+la7m6saL/KEgTCowFWZOPUoUxsDK3KFMNjtDt47i
KdEiq1ziAJgMw7OHfHCWdAnLtQKVtulhumnj9T4ukxg3/4ywtcJb8EDUqOEDfwyjbAk7tJatS2Jk
wD0kRTBbJezBq0SdxwDxirAM2jDTXIzPZCIQTH0f/R3+Wv8AHr0W8zYHtwS4DcZ7NDw3pfHmb6wq
ETJi3mCKkjBkxuQQLvUDraoJaXuKZtfbnNVnGQL4McI94I1CQldm9TBU9XSPou72axz1h5Z6Pn3p
y3L8AHneYbSGcjicgrAHIozBgC1n7uooSLeSxC7vXGuwgEBoz7v1WTQlZ+Ii8HErY6+2X/uD2hL6
0G2UH2qvRvaln+WUABjUjcTTjhhLgTlzuZ30onEUwORekQCuebUDGarySc5obuMtUYUbjQuuIO8h
Vxgh0VREiUQkni3aO66aSeRJ+PiMnRFNtnh+lC46xpzmJevHpvjWQwYOl9MGVv87I2reYdkESqRD
hRUAGmZ61cf99iUYwvEDifbo2t+Y9463rt9siSB/mpRqOqEU4hjAtQmHwgHWNjcsEe5mlFGikEze
ut3MZv8KapjAeQ6uChkMigSoLqW6rWfu30jEP75itMS4GC86+Y4QQAt1HQf3F43/KAUCdXTBXoYq
Qf4AUJ5O+RKpt1FzmXcqLF9hKeG5mrsag14tHy9M2lVpmGh3XkK/dwgo0QXcQDghaaqgZ+6beTu1
LTLH2wYJLB0Q/H+oXdyB4FinHfWVOCPfSG5b1iIH2Bhr4tTOw7hzwzYdXY+FGcqrzVT0gUQ+COtZ
Dg3K14toEQ7CCV9FwNcWMp7M1rTfJNqlS0R6OuBRFWedWHKnxsZDEBKQYILsl1d62bRO5ZCtqyvH
nMUg3UKA4NcNIRgMMA1/DxByBhC4CaQa1p8jmX+a0QOGg8wfcCNypCRGngCR/F244AiVbLAvRglx
SrjiV9hqUP+c4x6Q8CZrdwNlC5WhR2MNvDeILQLZBDKoQaRvW5X3E2BhCSg/ph9jwJbxx+VXDGkY
LRN/WJHvYkUEUqYFTV9jtI9gZ7rUpy5MFSjBLCzx5qQrMYJvL8wgeJu12/K99hQIjTlZp9u1jO/m
amLXE85ghrdV5vW0AifnLbXnedLb0SzhlOLpePPxUyIEAdklRxG3+2hyWJqEIwKpULd9TSx0OLHn
ffgWm2S59XVMX0e89VOCMpxCX5yO8LgQLht6+oLqlIVepbE3onTsxiPrkqGXaZCKapNck+26Gnp9
5hEI2XLS6t11K+S23nr7UmHW9ZCYw9aVZQJxiww/6GLw54lH2HFESysQO+DBkk4rSjLg7XUfmc3b
S3/s8t5E2BsibKBAGXnDzg9NfJRxgEUVOOnIo0pM9ANSRsPzpUmAb3jNetzI+NCXprojAXRB7o2A
DiNLr8vSZlOD+xDZVCnAPEl3wBVHcngLQpiuyYI7tuJnOfPXxaPxS7UhjtU6o7I22Qik2X7NGWrv
CXgsvU5mC3QT7crrTKLm3INrz9AcqCJY5yWrZy1TrDNdrtclaUNoCZ4rOK3g1g2Yr+5jh6k4nJf5
bGJe/xAGewNUV5qMMthobS2G5z5i7ZMQdnvwPBG/wK+XGInqEutHQovoETa8yKyLGkJz7BFIXpIL
MkVVFzwizMgxz9ZlhhFIHck2jjtFkdcxi8FCGt3OA6L9uFV4eAnxLegl9yjTAIjq2Acy3LKyynkV
CrRbbv6KY1RPGH/Bm+y4XNDaA+GasC8FH0vmRq363VjH9mECnXbo0N6D2YI8smDsCgApc7Z493Xn
mhstJbaR6R5xR2m6fFlYdLWGyGUtLRl2id6anM0jZqCxi3JTNuquXuUdgkz0maxlOpjgay2jb7zj
DMh9tNZAVmeN2PDWA1ozUTa57jqyJTsIUfkPgLVpBtw5OSEb3V3XY/s0VDwAwjlXH5oE5DE2Yfhk
EX841mhBCk9jY0ewtDiko+Vh6Rf/YDvW3qyopFiPNxSjaOxD6W3iMdr6fj8iQbkLeqjMEHTp9TKE
SFBG2FRiRzmkMEPebGL8sy86b7+W/RGRo3hvQ9xGTTV9TJhW3t3mIynlrZl11mQr22KA1ypta+z2
8QPZFdoM7R6Za2hDZTxJ3OFUIPO5VU+TtbsNfizVA64xvK7Cd+OPcOy3s1gWepvYySAPiiyIQsII
wDb0p31Y+nYnW9/TqZqCpAjYrWYaoxhC46BW2Wh3jYsVoG5Yy6rwdXdODGgR5RW8GW5mRPPees7e
sVND7K23kiNC6PjqpIvurW8yOUZXwTYdPCTtUzmJ8Gw0SEg0vPAO+r2smnsJRv97pbblgiRXabBc
9nissztDAHtuOdaIKD/OYDxkl4x6KmarjtTUZzE0IWaJtXunE3ZTtNR83TZxhY2pRGAjhJTY5xCI
PoW3H6AceGynGEagjdXHOHAjEEiusdhtGuBkofWIga2ubWY2DMhYMhSnkrIBmfYeW4gu4wQjfP06
JDw69zPiaFRGGNrtuhM4c3M/Fu2cdzX7LvshfESCBxkiUQWVQQQ5iHaha6ZD55wKobXI6sS8ugUO
3BMsyJiJJ76V+D/weBqFPA3l5Ilifx5mrRlqW+vmosVzqzLM0sWWJI7vYFBAygD0dV96YfmIXQXY
h2S55Ps4CY6c0VwkiOZpFtQwMOdlcYc53upvZVyiKsYNbilTE9k8YeVOA8uR0Ip/E3WJg5gwGme+
rrzyHNWYTzLRRmR547xp77mIGT3Czm6Ql7LwR2DQNlcdm7dsa9cV25ICaKLRBKBToB5G2B90OU95
hMCXqR+aZW4f7RTitMW5Aei4QaIpXcqBgQOpo/hNYcHeNycD9t7GWKlgQm77dOHom0fMdVkg1263
bVOASIUj0wG7IAbECHGpMQzOmBZLBbok8cwrhGJTNMFiYGFO8SmOGDR8D6m/cEJMa+tuIl+umH/1
LW0CRHT/h7kzWa4b2bLsDxXKAHe0Nbwd2IkiRUqiNIGFFAr0fY+vr3WVmU+kP1HMdKtBTWIgC8MF
Hd4e33vt5q/ELDpedH7vsL7Dw3wvjfi6zwbjwbbm1dzBnojvHTYk7+hxyRdAFS0n4nY397F5A0bl
785ZxkOMyvWimNqU26W1xZmNoK8Mvk7x9MFplyck+8uA3YttRrbBG1rwTcd+PIR21dW3KIqDvdvR
0cuUYmPsiLPIxho/sHZXrJA5VbKsaMojxwBOqoNho8kutqn8sU1Ose8gaWGqSnD4JxJnYcSZyZ5M
VCYut1JN0M9YVarhYzw2cGBSSZG6cNrbDAGDWeTvemlg6lo862D5CUWKvo6iJ84LpXlEldYePIBG
l1Mth6+plfXlvnPX5XobeogHE6YwNr4p18It3h2jHGOmvAThab1bszi4WE1rPJgcdQTzT1nfmkXl
PLQzpkpsomBJTIPLESf70sfGWY/OjEttdXmX1k53ENGyPa0ep7Zyz1UWlQ2XzvLe7cqnebbkfbxZ
2Hf7Qa5fESznFyO743d2gPx9bTeL4hfXemyJNpgl2RqY75bCMNud59EM6MEMPIV9HL2XlIa+czbl
FLJlQGymuKJQQfvRkkbiWcfIsYqPHOHAkXX4XFaxn0vLvLYDg/uCfso/lgNOrLGZT045fxr6sqUF
449cIIeN5XsXBXdJx3Hr+r25rl1ycDoID3VmvJcxV4rMK+nHofYKFCMNJ5OJjrYrXLP7p9pSLO9e
vrPTNfREh0q1qI/gxFiyKeTvNz+lAg9WEH/IBD3BT8adLRqYWGspOOOjhnEPtpN+E6NwGkSNzXxR
cv58MqGzoMC320snE+3fVU499rAIOsicYubblVBJHgrHEsu+tYb8Io9yTg3b5t14iV9isnZ7/N8U
64K9accb7+W1GDvc+D5p89vBG9lZTE16xc0JVw6iLC6WLijKQ2diCN/Z5bx92Ja0ukB4NvcHAQfl
ws/NAlsP5BN2K1n2lDErft+szkKqa4kHt4kAeg1Lk147m80U5njT3ZBzbTaJiINcLYzrIhUNRyZQ
P5edmOxq7zpzfjuzj7ma1igeuEJrbG7TcGlDgi1qBvtgCvswDzT53hDjp7zf8An6m39MXRzus2/B
owjEpesh6t/NiRM6PTuoHYdS8Y4THAyzjltFgBntdl81f/fgvX7UOc7RzhuNm/y84503kX5Ar1ff
ymAa8YoV2V22be4FQ0neBZSDPtmJ8I5+YDgHf9oqznvOsBO4WXHc18vezjLmLTA2N+icwJZ4E3vn
qJ2vmXGX/cRe7jQyS4euzLn3rwH14bCNrM8F5YariFugQ5MHyQFck/th3IL0XW7VzncLGzaG0q0+
w/SyRR5GG/BgMp99xsk4H6ghyYOZYDBucmN46tLEebDon/dJY9GVYjlQd9jqDzjo+13NPdSelac/
ZEyyFKgm+9JsTQhKVb6mBz93Svx3TR6OvTt8biH27mtTcqE/VyjbcCtm/MWlMSaQaSqANE3sDRAK
6+Q7wTHiiwNb7/0q4ElwnYiTCqHirs4kXgUvmPbCjF1aqqhxxMv1OoHZxnVEPfF15rr1/zJm40vl
rz/iyZPvnEDe0aGo1lNN2kMvyO4SwzqzBLPufHIAvbHcBhtX12HDqRdUApNnAquhny7o1i3bR0nJ
dC795NLK0vij15r9el6IJvNQB8W67A1aFsnAFtxAPYwuHK/svot4xsRffYABN7xvjRJTgbl4e+w6
U7cf5gz5TDKk0X1MseiB3pV+zqvGepqFBITh9fERmEp8iupoew/xogCHNXK+jFYgN0NhmU+oLoeP
+SYoTPkgpXbZZvmXSQeCEtlY/COIN//QRFjzA3dbH9qgbW4wgpUnVovi6How3TDuN5xHcR1z/WL9
PCWP+0VW7bWRcfoScVFcOWtsXRpDMPTnNUTut8JfT709bbcUWobLLcmNv/I4dj/Jno12xSHpojeS
njqsl4RLmqUnawBjIZbxbyMAR5POAqqrJ7Da7RMrvYm2ebmjRxZsqe3uS+1O2XcsF9TSk3h78Dwx
zbuV805zWLk+RsFwoGq8Q9/If3OqJI9rHAXjnssNf9mb09A/WEvZ39p53Tq3pl9NVxjt4SQ5xjwe
Hc5aF22acIO+5ebdKhNsiIZbWheBlRTHxh3QqFgYer0g8x6jSYrbpKnZiFgeRZtCzIxnhl4T91xi
+lsB56VEQmIgodr6+p1RGx+9yvghkXY+lo3RfqhHGy4WvKrzrrae9naKF9TopvfrGHuPcsmnD8YK
SibL7mdKrSdhZ+MT/Kf+zrHk8mRgZjxmCFGuZZ36+9GLxiemlSc3L+S71TjvD+Yyv5W5La6rogfr
FSflXTyk+T5ypvzvaYr6UztjHejKKeWoYjI7ILC64GyYxvu2EUOyR/4BF8jr23Dq/O1LGbfdCp1g
E99LabAf6xtcWwX75OssdeJDBQ78orWhifWut+3jZhT71j5LI6oR/IiMm0vM/dR93CHspDdeNTMM
isS1rCcnKGrmWt6q3LWgmO4ptqbX0wZLhZptxlO95VQ3Zn4Zj4W8a7y2P5ZBYB2AYvjXo0VJI6v+
manXAIpBBxphxWMbDTtoBf+9g6iG26nPqovWpWrs+vEXP0n+RqX0w6faCpnVO6URTBQPiVrbu1nY
tDgz3bzeBa4RVmlX7Mo1Z/Jb7UNSTjdxFwMvrj8tI9POsnmHpeBiyLBWk3vj5MiQ3Y+WfZhSz7os
prM31bpAMYSRY0ouVvgpe2dOUSBwKzTs5oWLLB/bE/5u4KfCuNjM9qqQ9gV+oxu7pfq9kov5gVKX
fdH7S3ayB7ib3LinHCbHMfvqYeg4GV6cvfO9NH8Q3H89OhUnxnpLKYWXtRX+r62GWdlxdX/08iH+
y0gS+x1HYBOTYpyHFaCUjz/1jP+vHSP//3lBvtdjNXTrhx8cDav/CoI48+wpDz6TdP6bD+Sy+jv9
69/+///E9HtkamHZcBwU7GSYushPnztASMc2Ef37Z3PIvxwg0vvfwJVd/FEmCH1A3UhG/9MB4v5v
z0UzgPJaIH4k3PF/hOl/KT0F5EWdFmlboIgawaZGNTUc9yKxDoHzvp/+RyrhX889/94zXaauo+S1
11Zkn9m/fBJJ13bdh9ndzPjxv+F4eKm9/PX6itHhl28Edkq/3TcW7BZkV5lj7UyuW8XOloCE39Af
v/bHKHrcX7aYhWVSgv49W2Lq1fW/PuuLv3HDvBSw/vpjFNuN4tqwrNkuH2aTGeJmxf+GY5laS8fs
9rbH4oVy9V8/6J+F1s8+/i+F/FQE3nJVJyPlVbvnpu7457/opWL71w8oqvBf3o057735yl1lJPZN
3ovkxsmTTLyzxpy7J3Dc1JR3Jgzk9mRWyfSWvfCV7qGGDpTBNDsZqzS4q76NPnDP146fZLsF5hUn
xMC7J0VDupd//mOt83f6JQT+9dcqsvDmX+6KMY5RX/yXqQJCSsvp+D+8E+PqGTc1BLn8OIq6hhFl
xL4o/8MC+H35PySY/KYHvdJDVRvVb4wFHqvXxZ//vtcerkxBmkaC155+/vdnffF3BoKK+tr4hg79
tccrE5GmZP+1pyvT0C9HwgBAezuCIIKf6zakNmi+vjL1iH9ZAQCdcEhfXXexd23LuD1ofVw1z6Lo
pGutS+ahKsQpEA8WB+5Y+vHfWo/3lalNZKtR1X3DBq1ePcTtZJkOn8phMP7Rer6nzGQ9IkFzXhwf
JbBVHtfYNlBopDkM9T8//9zHfzO0PWUiC+rcLkaxRiGS2K08sc9vpiPecov73BTxuubPKDOItOvI
nxsDNtUANOiicuvK5P4OoC1WjWFe9EayappvuUiPJGSrsBH59phTvXxPKEvwqNdWyjwx54tvoc4O
EBYv6bHoO0+CUlnr9nPu+BgR//wrrww51YGZ+HGT+15DXlFhr5d4gMz3QWyx+9d7vHw5HdVRupo0
jgtXgGoNKSSL/cXduBnUe7wyYYxwZ8hFct1wKvgCQxGDqxwNr9F8e2W6GFNZrVzW+aFNlZNvsPqI
O3rUP5vmDyjjOafm1QZc0oSBVbbVZWMh9Dp2wOHnO60GOm/Cny8HXPbI3jLIMaCKk37y/L6/W9IY
zYje45WB5q0d6T34eSgW2UN6MWxyIXaApAZTb4ipTkvA+C21Rq4KSbdqbG4rxETuwGh3b63G55nn
NzOS6iHESRybJRfmITVqtINZLKlelcY2uVew5cr8uMRirZ6K0pdfR+gfleYuxz0PyOcL9RJHHgI+
psLCL5oruFwR8sqNUmV69CmJcSVdDdk2AWRzuVXOly32Di7ijPphMgd31GxgZYCukWt4fm5EYekZ
I6zSmYO5hy7rz/3DOo+U3zWvePlXOtOwpIjPglCaW4eGwoqmgfuhbSsumkB66/u4L+t/gHXNJSxg
v3JuFykF8GPP97MnH6aS88arvDLRucpY9qvMaeo5BavpRb3cu1vwo1mWudWbRx1loI1WB9U9w0Nz
FoJ/cVh+bntAd3rznHPuvc86Syu58DUMLwgdMMAZlRaf2IYx7db+jW7wyjBwlIHcI5RxxIJPbFjn
SFz6dteZ3xZK3R3wrQRKWZWODaIqjEbx96Y8F+f/3ENe+SzO+cjx7C+Tc1XwleFDETVQUmxvRV/u
1tEmr0HvB5Rl9Jdjcmwd6/jfNUu+9vrKKHajwKyydtlCeHlDuFUIJF3wM29MEq89XRmcLvlVxsI5
K8wEYVNi4DoGHt5bQVOvPV0ZmxxE6nMcHhY7zo077jo+VzG0db1mV4ab5TaVveBpC2GJDe/GFaTO
sWgTK9N8vrJyJuRdNRL9VmhEZXCJpi0/RMCvQ623/wlTeN4rm8mBdMPTh0jY+1kCRiNY6i0z7ysN
r6aV+RU0wsnjsxoD8nQUa9MOqZmt1+FVV3VGTd2co34LWystTn1QnS+p7e2N4s152PxmQv/J4HrW
MlXkJNtmGXM4G84PzNsYFjDcN1U4wNjU/AuUIQvDEQRzHs2hRMH+IRiAOFp2nb9htX+t9c///uwv
wAEsSekBeFfbjnvpB854QA6tOd3YypC1BsB0/paNYdwX9nValN67Zik0X10ZsaykeOQsOYS4RSIL
iZJABZcsOKP0ur0yaAGE9jmqZmSuVbpcUTQfbkbiwzQHlTJkIe4YE6lyw6kj3qN/kLPpF++xFCB8
0nr9c1r38y+bWygN4wn+Cl7ebZ83zpcV6cwbHf+VbqPyU5zMwLrtR9MRNDvk437ELX6OYtN7dWX9
lU1miyjzJ1re+NLheUYauUR6n1Uqa2yOURGAnfufr27DHUFlgeNJ79XV0er4ETAbazoGM0VjcX56
r98wymjNzQnnE3Ll45IFoIygnOxcFzGr3rsrozWxHbK8hMnTbfGjTe3iFKexZrFJ5ZqRylj4aczD
g20sw8Ljbi7J3UVvb3C+RHne2ZdBehFOgenoDBGOB2tCzNlEg97y+pOA82ySLJNGVDWGj2OFIgPl
R/pj5E5dr9WFMk77rRuaOuEOuswTe+fazhcD9Jvmw5Wtshk5HYImYziiTKgQBaUYnpGsaPWXn6iR
Z83S9sGCi2YcuYgO0O1lqIzHTniaT1fGKeY5qBYwi45eMFrveq5H7iIvLvSuqFTcC+m3ODF4coiq
CM3KVgHUORiD4fd6feYnTetZ44gW5NjYxFO42mXVYfdpnLCZxfBdr+2VsWqlkejqpWRljfriKsh6
60CM2HrUe7p4OZzGLmokduIxHAL51crEPU7fe71HqyO1X7NyXY0hTBPjlunxyyoQu+k9W1lTgzQt
PTLXhjCbE/8wJs5jDUpN74P+hE0++6BV3iOr8McxNFKu94sM+ZtoTb03/4mye/ZwroXnBske5sli
+Ttdrc/CKa+1GsVSFlM/nZELZcYa8th+2G2iR4C99jLWm3pVyCbsBLR/+NZD8rPNJ3tgHtj10OH0
dho/QafPWmZsC2EWUT2GZd2RJrl434DWRprNrqynmChbb0qJaXDWbt2XZcOr52/dvL6yRzqLB56v
SfCl7bQx8DTUhG2+8/vYegcxvvms91mVISoGMXQDnLoQLEqyIw/riRBhzU+qjNHNroMsSvIx7Bxk
r5a/fClaX68G+/Oe89n3tGd7AQPDs1GSPdojUfd2/wZI8ZUGN5WVFIoEuk5CMI5mBGLdyKKbdHsz
iPq1hysrKSrBxtsMYRxdM3hfrt4Xv1sLvanFVIYojqWJ2Zw2KZLqvj6HbJWJ3kxuKquo3cyrXCh6
H+ttImRMXNuO3gpqKjvdZnUICG4427llfOPXC1HZ0Ruwstfa+vzvz/pIWgxLMo68dFN+3JDJZt4n
rUFjKkOyCEDebDkf0U7yb90S3PubqzdPmcp4HKFXLuuMtG3tM+txWwcRwjLoD3ovroxIWUWk4aXB
EOI3BQVZ5ReEFT/pPVtZNfMi7QEdmgZhCuxucbb+ZQdSb2HD1/byU9Kx27YwWZKT1F1AvtjERQeI
bXVe3Q6UQen3k4cPdTKOrfvQ1Qef+2W9BysjMiEf3QbFNYSwCzCegKMnydZ91Hu4MiaBBIGjJp+Y
5JzmYiZJ8dDKbNDqKbaq6erG0QT7z8N96FxybL6nNtmcei+ujEtCLFaIXkF/7Ep55/DsZZx0n60M
TQtlvpSLRdlYSPNmBAtxBfTD1WwVZXQm6JIL9rN0FAetKGGJHws30dpg2YEyNkkYt2eYMEMIXGXI
8EBEBKcLdkCp1tQC7/DlGGrm0o5QUQxhbDcI2KfPXD581PqiqlgLv4DZuZJ2GccYysCIDQlmrqe1
j6Ag9PLFu2TyqEcvvPiy3I21ebVMreYI9ZURmpWeaXuJ7EM/l+8KENaYoTyh1+Kq5Omc/ucG4zSE
ZlPcg/zaZ12itUkBz6+0CQyFlWSPPhSCDA+sQ93esrN/9D6nMkBXbhR6vxx6FADul7hfrlLPedB7
tDI+l26Icp+YD7TIxbwraq/F8p7pSRdsXxmftUP+JmwPEs4DEwfRVhPN3evdy4P7e9nkY0PsTGLN
XVijT4FENHbGNdCV9YNeyyjDE0c4s6I98kWn9e+eHdzS+9+0Hq0qkAYWnqTB6R7mbvxhaYBml6Ve
P1TFR2AdchKw7S7coEkdpzkWB6Oovuu9tzI40w1/Y7fkfUgw5j6319vSf2vbeR4n/37lAlb/5cec
DerBU+N1ITp8Z4RK6mbvIEstuzkT47rXe39lkDo5jM4czyGMUfm1SOzPRpM/6j1aGaILFOPC9aKO
8T+Bte4BdFmTrXdVR/Lby9YhWcNJOyl4cdv6XE4AN7DHfdJ7c2WMJkvb5J2Z9CFeYnvGaj6CqKj8
Isn1FmlPGad2Esf+6BMeti1wAUrxmLZ6Z3FbzTjAj91yYObR0RrcD2b6PpKu1jUUHpeXTY7rKSrb
ae1CGZUiNHwx3FvxnGqJb6Hfv3y68CbTAbPGi5sbsaFdS3SUpqLLdpVhWi6RgWc96cJqItbanDws
QbFedRjXw8s3H8iIGm2gViHT4/W0iuvCWfTGkCpTCua4wH0Xd6EXYfbyMCAFWBJ3Wt1clSIF9BJz
EXkXWvV0J632pjMHzfdWRmeXcjvhzkYb9q7/ObW6+yJvtQ5x9jks5PmROVrsMo+brAvdc25SgC58
166lrzcfqnKhQWatkUFJ4N4mafedyO9BYettQVWRMHjWZK0csw3jVIJYmClUHEfTcPUaRpUikaCI
bCxbGTf4oAEUuu6HIjU3vS+qSpEmcr0ixHBtuAWd2Fu9fctKqnd7bqsypNGoIIEuNd2lJq6K6Al/
zXtscgEhfVp9XdUboZ8Fs7NUtH2czN6+ongWRpHd6t0jEGzysleuOew/0IdN6AMbbPfT3JT/jIE3
ax4aHfvl8y2yj+w5MJqwS9b+UELo3dFCzkmvdZTh6nnL4puTicG5cMXexOa+l5x+9eYZRxmxQ4E2
ngDXJuxtGPrkrYr8r3xdoIXpvb2ymi5p53bzQtuAVgGLMZQfl8LSW/McZcsLBWyGaznS7iTGXqy9
2Z+AESQXWm+u6o0gqsq1AT0XZpGzfTYJZb+wPR9Dst7jlSWVuJDGESuflRCHtj95I3EQOyeqMYrr
/YCyrHIZl9dVM9Hysp8vuzMmsi30avO2KjnyciDp7tCB0LSHB/KT7+d8eNB7b2W0QqCeZVHEpHZX
wVfCLqxdYttviV/PQ/I3+/Zz0NXzBaqlZO5jGm5C2WX+V49LhYsxLyfNLqMMVSBay7pJpw4ZqThe
kb4ADjG8o17DKEO1w1A9NKRhhs60jnDDm6u8ekvF9HML+ruGUcZpmy7I63xRh5ML8Q4eRpUx2Xgp
CKIYdHh+UTbr/DCWfXGJk95wwyEBE/+Ixc1r76j/9d1D4JXuRc69ZH2R5diwiXuF3HEbL61P9Mxm
Z233ET4EQUMmKb9A9JLEaAFiTIQUWQ61doi6I9CawqJKtne5pV4ux9bws1B4AOouI/J8VvjwVBOe
SJXM1pMls947SG/hmRCfh+0UgzzvcduRk3UqhVi2Qz+Vsvq6eKTX3g22a2TfesuBdu1DJpjCjgjC
/NAMm3PMzMnx95UnrHzvrvBYLmKrJhLQ9SusWma7iQfhBzNwD7e7bNK+20KzDqANzGUBqH7q7Ng5
Tt4MG9Qpksnex7BxiCyegmCFpJRKb1fWaWdd437OgktQGAN0f1p73jvEnV5um1HedtVk2gebKM4z
za6LtofCympPbxeiql/aKh3Qtwc1IOsR8rnIbpIt1nOtkFHycmiZ/GkOtJg6XMkMOBOA5yxcWhMu
gF73V2b7crFHNx/Bs7vwPShZGTsRy0BvslRlatKOVnbBRQOdvfwR2fkDMHfNRlcm+olrpKUQvLcz
RmEfFFege/Qqm1KZ4p0JWQ1AsCYUQQBP1CAYLCisWrNNlKNTZ8bSzblxDGMBTHHJ23/crNPbsUpl
ks8mKCmVZ4IQXsfmFvtXegHKqdSbh6Uyyyduao6VcPswBi93Y7P5xlcwDl+0OqKa99OBkpmmZqrD
3I8BcsIF5Caigleq93iln1tVam2G5KO6ceksR9FXI6HPhpO3B60fUKVeAxkakZEMdchF1T8A06G/
9XqWC1sonb0Z525qV68OExNAI9Hr3lLsZZCJf/TeXenxk9NucoK3Ce432PydV7eAUal2gJbS+wGl
088g3yxzidkgEHu5G70ZRHdKJJ7e05Vu33hzBGOOJZw7GvBuo+XuG2M2Q72nK90eBPYKmb+qcaJC
xnHlBMHIbWF2683APwOLn12IQy6JETLVzGTV6F0lYDu+cqZd9UrBQrxcP7ylbOFksl+llLVcRnY0
hp45eJqdXlmdgBaNsFCZ4LO0jPf93BJqPpSlZq9Rx2xngRnmnBwaayV/JKjNf2zlWOopP4kZe9k0
gPeqLMly8jVdbzIu86Cy9mYEn/SNu8NX7P22KvzCDxpFbuFX4VZYsnts8nQiycyrRHOYib96xBF2
axiEoB/YxeUwGAMOoycg9fCotfquqg/DSOuaY8b+c17bxIfZlwGgKJOKbCC9H1AGtmvKjTPLeWaK
Biu6LtMYR/jargAC9X5AGdubOXZYUgUYSWmlxEnP2WzvstyGEaf3A8rwdkmB6CrBD6yjQLa8jZ9R
73/Xe7Z82cOKoVyHYNyqsOmqfr/E8p9tcHRfXBnZMdzDvs+9MmRveypEfiVEr1cC+OlxfDYllQb5
rjMEkXCwp36fGzZXDZD89BpFGdVDUnSxNU9VGI2dfxwTEe9KkmP0+ouqE5s9uD8VX5QQvMX4Vmaz
/N4ZLDda724qC3Gf2WTVw60L2a7cetN2XbTxGyyXc3/7zVFR1YnFC/eMbldXYb8IUtuLzj/jbWe9
RUyVis25mxIpIMuQLDuQuZnvt1eJN5Kpp9cwyjC1g6WWJPaVIQEe2b4N/Ivctla9IWoqQ7Rrqhjc
W1qFgZ3MN31X2ntvyKb7P7/6+RV/1/DKIA1m0LuzxfpebHbLrtns4+BYmBYZUwDE60prjyVV7Q5A
jogQgK4It877xkH9Xekln//8F/y+6xBz+nKaAf/K1SB2LByCNcEibT9OP2bZ6rEBYN29fHzKXrlK
ooqgrcaPqO70/iWU8lFrSElgVy9qR7XIxmXrePkoTjjjWwKwZ77oTQcwlV8+HQiitzo9xQ5rHqwV
NCaXv9Ajq2zSOizCAHj5A/4E/p9tRBFaibseoLObdzXmKa25kgL0y6evbsqJnIyKQ2zFBKxkpmXe
CtE4o9bbE1L/8vn+6ka+K+M6NEc5NDt6EQFcuWESGKHTNclOefkDpZH27RSkTJiOAAptfoitSKvj
2KbS8iBJBt/seHdKvs4h7bhf2kayF3ReXKraxooZ0siRqh4tr4s+TKvRPFSJo2exA/X2slmKtLJG
U/SgRymy3zeldMIhdXytRpeBcpxrKHmZRC4yYJNzDE/r3xukWmg2jLLjG1fimQn8LpCtwBXb44ht
vxDTBsL8zw3/s1jx7/Mx2ZEv28a1JdRhd2Q2c4GPvydxuxov0nxquxMHsVGcYOm5/aF1iqW+MVZO
BTeNl7XlFwEOH0Cu2C4921gdMMbRCP5gNfL8fVk5i9iXbbum+y1Oou1bHa3peKoa1tz96GTLdwIc
7eupyYarNU2mk4xGQnY2IBUEgpWpvT0mFv6W+/wMknisUr8hfWD0CIk1y27eJybKz9sMNPl24P/u
03dSRPX0/c+N8soMrwri0DW24mxIPsaRld1OBDXdiFTEegusVCVxxK46NdXRPBSL+cMV7X1gxXd6
b65sDDhrrqXhznkoN3S2hbAvRd2/Rbo497nfdRVl4RtHo4y3fsnDtgGmQQ7iRmZOsKJ6gO87BfGl
G7hg3PX+EmUZtFqCfWwg6KHRGO7RzgmP2poi/qj3dGUmTtZo5Iwo83Cq7eRgRNvnIRNvtdO5sX/X
TsosbJlxOubdSCJMMaYPqKrt934SL38tmWW8UYN57SeU2ZhYWy8WTZsf+0Xm7iEZ2q5Nd1NHsR36
L462Nw7Vr3xyVTWHPCEeJ7eAk5wOeX4ancVCHWYUx7TcfCIDJs1rJ6mK6OKE2knUFTRaJQyEbu5n
JiLNPZWnTNEGwBEKAYR8WFzHDXI+DdL68Oee9MqXUEV0nkTLueHBPedqecNlUPTOqfYD7v3deCpM
LXWB9M6//uyI6PBsN009A0xH7z3hdY+fgtbTs7ZKldXVr0GbpmuXhZ7nDCc01z7h05beYUWqQrop
pRQpRysJU9u3T820lrDfU61znPSUgWy6jVUUXhEdrCm9MiO5s2tXs82VYbxKs+jrgUdvm32MgvZU
pkLrfChVDd0KqSztgzw65Km49hzjunX1qnhS1dAhKzyDcNPo0GRze5X1/RAajnz4c2d/ZWFUJXQR
SRjTKg06uxX3x6bp7B052vZJ7+nKKDWDvIsc00hDL+2ba1Svn9t41YPDSlVDF7tebEwChHaxiuI0
BgMpCW2hJ0WVqozOWBfuDcsuDdMsI7w08W8Mr+uPeu2irLtLZhIhLOvgMJR2upyEmD82XZ7rFRWl
q6y0SR0MbWFXwYEs61tw/2HW1XqLuCqlW5NlicuYjVQxjOmuGisTtr3zxsz7WmdUxueEOn/D4ccg
6ifSoYJu37gQhfXaXFlgNyA9/TQ0Ka6lct1XgOVhn3dVoCdIA0j9ckIPyhXPRU7MpW/XxJL5xJJd
E+qd6vkgpaqmG90qqrxWBgcyQbj2vEcF8EbLWK+0u6qls93NAk4VJ6G1GnK6NtPSwWAUA9t8hJRU
hykxuXLntVNJGh/VtXlP8JUzgbBs3PXUjoHZHrfGisVfpeeIKYx8mXpaFXhpK+tkEQxyk77TH1Nv
6U4OSXl7DpZ692pSFd5IYiO2IidBQ85lgspieMRSubzRrq80qwr4GecWTI639sfVs7ZdTnb2nrym
R63ubIuX3c3JR9eQ7dQftxJEwzys/5hdoucfIin35cONjazVqJCEc6GYPwRzkuxNgX1L79XVkYj0
OUonJlOvEd/IqXsoE6FnqZSqYiIpObHXjT0eU7Mj/7wR0TGKkM5ovbkqCV2M1gICM5zLSd0QX6bS
JCk+6fO+Ouj9gNLbqzQdXN9KyEzoEpfVcs3Gap84riW/6/3Aua8+23Z2Qz5uU9SMx7EmDan07fnQ
BLbWtYd0lHWH84MjG1mOR+sMoZudFmyA7WmJ/aUqCW28ye6jgYdPI2zvoie6oi6EnuBUOkqPt5MR
NMNIHJ3ILGI3c4s8u6r4ptfoSoevc5/YUhkNx0kkRBMbxBe1i23qbbJURWiM8Nm0DTkca2Reuzrv
4tuC8JxPWu+uEuiIrm+k5RK+ZQRcwdn5Fh/T1dFrGBVAl3azVaMKGI4QTcVdVS75N9fcPL09uaoG
3ZxkboeRKZJst2IP2Rw8kR29heA5D8nf1ARUyldh5a3Ia3Jt3Ihov7tkLNOS+BZRkBfWNayCWu2v
iqlI04lsK2NCc4RvHCbhxPtqGfXEVFLlfTUJ6ZiDy9PjuCJ9CiUVmYPr33qvrkxmecYXQM/YHZul
Wfdp2WaHvoz05hpVTBU0tjmUjtMdSfaeTiXBaDsIw5veZKOKqdaS48bWkY44JMRKW33+cbMyR/OT
Kkv3lpTEgVHrOTY+6ctlsRAklnZ6sn9u9V/O8JW3eoNHXvbRIGl9n21NRbztqkduwgH98umRbRed
lbnNMR3aZL85JRnsoOX1lj9VAzZaKyXnLvZPWVZtj5vZLJ8yEvj0Vm9VBRZJkhBHxMpHp7Pwo5zn
+EZYb9UIzyvob+YDFfhFwg3l6jUITjaJzMFkfK+L6lFrIIlzLe/Zop0TuhsRaeGd4HxFxW7aEPgN
ydI/6T1eGadWUct6M7vg5DRlhYY1W9zkxrWKytcbqyruq+n9kY1TQw5yb+2yQFwVpubip4q/AHG1
A2miwam02Qqf9RCVniBRqsovAhTSKPHa4LSd0Uf5bNl7O/HnnV6jK8M0M4tk2NbaPkDhuqi65s50
9WiCUihj1HQQFcmytA8u8oesMm7sKv2/nH3ZlqQ4lu2v9MrnphoQmnp11gNg5mY+u4eHx/DCisET
EAgEEgjx9XdbdN3blXErq3rlqnqJjHBzDJB0zj57ePpTV/3/Ub5gI9TMZMjKlC06ucpMD9114/Xy
/s99/k+zKyT5TapfENuajckGj/PMZtcXqd6/8hO8AE//YJH+zOdqo85kwlfsiJw5e3LVuup7y+O6
PkCnyqtzrXff3Lm9+l801z+6g3/0S39avjyk1bCqqUensPlhK5K+7VNz6Dqsuv7YVFvX59OoPY6w
gUw42zcV5gGR7b1hjT6isVadRoRtt4ZzU4Wo+kKIB+1uiEFp7XKiwu59jobHTLdIIRbmbrWVT9h5
izI+ISB47+uozWMiWwSpz44bNEUjw6PLqZzG+ouZG70kedbxVp/J3sHuuQxo6Hldhmn1c9EForZ3
sJDza5vTTkPDkw+h3eyQJ3KJWIZoaHi3d6fEdEgwzDUwS6dz6Ar6BRdo+Ti8N6lG7ai4Er9po/Gf
52XK1pKB7kvyBXeoK9bVp+3VHpYNqUtdTOzwZQRoy5d8m5FX7XOKiMbm09Bmnfym6yVoBNeGfZx1
DrcvFZBl24iT2XXY8gGmUbbwvrVJV3IIJ6vDjpFNeogQlWuLSuBNk8XKfKC6TNedxjeJWBlCo+my
XyK3JwTdw8Z/KDgzK7tT8dKKMm6JJ0XD2YQqTGhRCg0D3HybajYN4G+qsalLJ9FiIbKSrls94sqm
Yea5SBmHbmRtr6qMo2zEXsL0co2nNTbIsBao7HKZRIh+RWR6+nlympU+7Bv/trR7IEczj8hU3+dU
sNdmSjm/R543Ibd71YilLvsdGpXsKP2SwBFhZ3zp76DQEHhepm0NLq6Od1kvxxiuxqjGdDzu3Skw
svmvk9AtwqaRA4pYZA4FknxBwvF2CescsoEfamRFA2Pol37wEVQsO0hbcNDhy7ocAp7lOJ5TCiAN
6a/dIJCpyjp5ZF0zFEib93pGAxsiu14qy9XexIvtDn7GHnXPxnpRL9uW1oPA6zCmiFEn1G7FWDcI
ZgfuEPoSGEcjPglHhvFGbjtAoIbGy4bIcOMA5udSUJ6ignKOIGgT0apEPSWdQMY8DFa67WZIfQJU
O3bwVtsxZnZrDe0WQt8ZglQbBpO1uF++pn0Ezcy88sy841QnomwqS9VX4CDiEqupsxG5wYqO9r5b
EKP6AnrWpC+p75AJyTEe6fVOIyTPJo3v9u/t0CPEsszmaMzuJyza5jCYJqRnoxM1fWgiLeIU21tX
M5pznUlzHzukiX7NVFUJRHTXUtdX3q8rvY5nhKF/VJ4FWsDzPoYavfYkkbB2pqz/VjlfdzWCbDvx
lRI2mQ9Ql+9NgekSzi5IJcZwB1afFfjhMcq+jWpe97NOTQgv3R4nSWEarKRvKsNrfqq7dL93Mq6P
cToJ9SDmhbNDLFrTPE9ds+2PHhqJFNGWKXwDRHlxImZn690w/NZhctPcKDaRcDWOqq+uplQm880y
SZ4WKiNZ+kmwNJPfE99V95CQR9cYI+3foA7RyORETGYNg6Co3Npd+GuEPKz7CeZB5GMv20yWpofS
8YmHph/uk7pqk7Mf2yUcoqlR20mGOWZXnG1d/CFmVVc9N8jlNoUJLoInooqlhQ5FMwT5rbul852N
dxefiWGmf49kjWp8WKjkzTFuupGXblMr9k5PxdwcwZ9O5jtEPbNvPTwBhqICSuMfmi1GUnXVjJs/
MDq6uS5jTKvWm07B4PhYITwbCpWIr/VLI6zMEPFpDMtdFc3sa9NIZYp6sJ1TuRiSKkY4UEa2s+21
daVD/mhUOjukST70uzefiJO4gpLGdQI7ww1X0Ua1nXO1RXY4DBdLnhyGdnt3P3kI0w7UzP5zGgfP
kHhWD/DlRBQEu0O5VL9VWMK8UH2T6oJpT8cPYUI+IwyOtIblWU66fW/P3kEl+xKQT4eE+GZyfMN+
vxuPJHnlcEz7HIj3ar/5ZSX0FRkZMw4EZG5L+dzjUy4P0rhlPiDEEZPOw+BTTXNoPwd61ctEdogW
rkkf8jpxYr/xG+JB+3xD9JM8xVVAjQglW9Oc7RjGKN/nto3eMdrNadlkbIlKG6+JLHnYd/U6xztR
p9XtXl4teoyqEgGuVbglSJ57jBPETb8DipyGLm/73skjXONrd30JPNf3ASiEOGZdi/POVRWdwPPO
mu1W17HqinGfE1dkZuYRdAuzrVoP9dxuk2cXdxpijCFz7rHdYp6eRoyM1f0Ip7sWKd8hQ8INfMXz
yc8yOSdEWvdA7RQNX9J2E/0t64nFOzY0um++k17seBM0LNvsYaxFux7xzTZ1oLrL7HvWrU11betW
kTNEtKy/W+YUoVgHbEc9ssuXiFRvO6yS4WluG0VPdmzrGtxmiJjwjgj4KF03ygVzMkoTcIZTcIjj
gzVIPcxXF4b0HX6neF2Txm2fe5jGQ5Mu02bMign2i3URYX+qiq0y2zuVMkdOQhpoXegwgKyq11lE
RTCLy3BWj36DgGTlSYGBgmgecbmUPmw+1O0pGlLE3uZt1UXLi9b7OFyDutvsqIqGffuGU8MOHTxS
4zh5ukxqSFyQZuL73R7LTFvsxHuozkLh0cNoliER7NZjQ54ekH5h53PsGulOm2OSXk7urYEnQI3b
aG3uJFZ5DL+6ekcM7tT6EJ6I3HqZI2lMsCPPNPa3vCNezQ+xS8T0BUH0JlN579aNngMStrf7DG9/
81HZDRkx+JJkrB46QOP+WXS4idd7quatHMhC3Qnnf2Rq3NxUrwe/c+5rFE9u3PEw53o9rr6L9Hue
BKcfV9yz9XpSYOA9qLVtWoSZIy/842Z4Sj/plAehcziExYPBnSJ9/X2AZ2r8CNf6TH4Z4bzSfZ76
qUvRX8EQkRRapYqfNNLBA+q3BuHWYz5FS8BR2G84PlDtwTKWRXTlpYVJwxhAG+XRV7jKh6yIcair
875M3Qtf8H4futj3rGi3HfMXzYfsA03BiyhIEJUq0Itm/BDCyJertOeUrTnZYj3dm2ZqIDlOYN95
NFL14x3Rxkd9zqDA+qLGyW1HmrTZ+pAM8Qz/XcxZ5UsmBt8c1x5JOY9T2pCPwiLlpbRZBShAtJFj
92EwFT/Gs/LpA+ZPZHjuO273m0QN04gNM8PaAC0eRDVx1cFEdb6rdC/NVogsqx8DmC9RsbFWr892
9xME0dC9pr6AjWHVFVwmrXnoLDCmvNF1Px1IgK62P0KilhxERYahnOMqxZNomz65yxbT9PD4tpfi
R4Dt29SFFCtNS71McbLk3b6FD0r0cE3Kdw3h34uBuI281paNt/OwoOIqmlpFRaLgChcK7O5rzj0j
7kO6wPbgVDNvcN7zLUaZTiDgNe4S3hy5c4tLiJ+WcXC8SCmbyi40y3DVbVjqn2g8+/WY8q5PkEwy
w/IsyVoiStKDiZlbkuxHicPIu3ymlbL3C6hTcig007y/7WwVHkS4BKDu805urBBdfBBIsNlwjKLk
KOc9w7bv+zWqzx0bqHtZ+ipZn4d5SQrA0lP6OfSVX4vKN9kJ5Ro9hA4qmhFTt3zeVHNqnIGxRgZd
NQ5bpKTvTpp8RBgSK90cp6ca9cAHrzm5qWGlpHMm1WQRgJ6yGp6tBtn2Y6bYtfB1+J5B/aPuUiwd
fbUru8u7KUrnx9jD4hUtEHG3NRPpjtopyebHNUJu/e6QLM8gI78DhA6xNvJECdzIoeS9C7NI348+
qg9dqliXa725m7Xr5UPt4aBfdniNC7otvkibqj1lWSZvF1aH6zrZ+s+hXtU7Sfq5aGP21NNZv6dK
DjKvY2NBO1n6rpvyLW6lt3mNajccA+Ldwomtaf3Kks1cOxWELPE6s0Lvy74dh1nR6wD6YvbeR4K/
q3sP1kKZuoFHp0rz1fd5hTdXQCYfmvh766rg3lPKWMjXVm8CVM5k9aFsL34A5z5sO2xTxJwEg2Td
abIp+piWjKqs2ZpE12uSQdAM+bSPr+cmqeS9jTbrjkiPD/HrzvqUFTJkq7tZMkPrz6hc9XSgLo3S
k2lNm92qDbn2+VIj3j73iZnFK1l6Ez9MZCHmAJuGMMCSwLLmPEar7D9FDbKEVUFDS9sytqpx+UJb
lKLSLbwt5h41is8rEhHS54GGpf22CUqm23Ub1/0rQqk8yqHGCYq3u8faoiZXEAypA1x0qvRqFn2r
nrYEvf9hHDKij45j3ynR0dT8PF3od4eJ65Q8QFSj6A34syQpE7lReU4gm9p+a6EP0A+LdcLERZD1
2lzbyZKY5TAUEZhI7SrtwxNaY56iCwZlc7+xtrfYF5qB++TOaCzJdx2aVf+po508Z8jbRoOsPf+U
WNJFnzVmWmiTt5EipRAgdFPg7UCxlFfLit3dzstWrrqexQcGTb97FR57+0drJ5mqkvIpwnlVDTRa
3zG/q63OozTlJHeumnUhK9Kn93YXW/gtg9y//z63ULMdhELU33Pom03CcICO86NYcHnbYVjh7nol
2ygdHxlWGXbEmMyTwPbUbBxgYTNAvn9SJG78iXRNF+sy22eUAHnPGKthAz+i/0DFh4D3sJpLLYIY
F+eflJvn2l/Jru7m195G43ocVeTk2Vq5UDyxXfq5nNJ+Wz93kkKLxJpO2s/Od9N6NHWso0J2S3LT
TnXFigmzR3cblMpqPBLeQgxogbIXs1knFKUTg53M67LDJRdGAFN1O9bpdOWrTTxPJA0O1QHdd/MQ
+r7PZ+Rp5hCF1QtBvphQ4zF4QUNRI4J0Oe/EokFr5MJz6/wYmdwtztsnnnje/LYi2kQc9i6Om5L5
y7ma1xYZE6cKZfZtC2suvHUk0eS6Usg0vTF1GD9IpMzPJXEuS/o8bjFlfrX9riJUqSGOrrYd7/UV
6oCEXzscAeqL96S9QguQyE8jLM55U1BZx+2zWWnTwBI60axdcrxklBQCu2pANxdBOLfzJmnvhfLx
XsxY8O+7hOpDX7VswFKrlusxBoJxB7yC0EcxbKy79ussvwKJ+YjSw6UMkSoMFPARGTHp85DW1Wf4
Wai2rDU2xVbN3Z1zMSqzHQYj/txz0RRmDwgcAYM+PrV8Jv3d5Ijt7+ZqsTeLMaP6wmE68RZNnbXl
tkR4jNnGX7sluwx3OoGzfcv8K0Mt4cp6n1Crg9fktrz3XB8hVpYsV8bXqA1AW1gRdic24LXYCS3w
HafuPQj9iEgUF6QHwu/5tUMxlqcUDPQzoHRpb8kkpuiRcJD4QAriQ72eV1bXrsdDWUJsoeiuVHvY
YiIUPyjB2qd6Qjb8IYFQYPptW9NuLaIGyNVn2B0gQXamwmaHoUlDilezTd/NLfqRqzAom6cKG6jJ
12VGil2dLs03QbVNX4lfmrUI2ibodnjWr1uuVtFHn9o2qb6KS2lyEhtU5u8DM2+u612GcldOCYpZ
nXXLSSITRBSSzfptpFiyuUBkR4FYkDg79DITP8C/juy4CUEc4G9ZZWhlEKp+3FLu+UdTRxL641ZW
QAYjqeGMZA2sOEoUJdpfUzaO3/p+Iwn2uaxRwyuc2qQq0rnx5KRcFr6jda73m7lPqzfd9LukiOQO
a3qrG59N76MqZvQtQWQG/Y7WsgEyomp6K8e5w94RN6FI62Tyj7OsuIHUCLOlrGZ1/NhGjAHNRukR
31APQ9GjXGeWlpvbY3JY2WrXvNfL9g6eyEn2wcxyfYqizH4QFU/eY9zu9quxgt7iFI1ojLdeb+uB
ZQKGvrtazQfc8+5mSDrQ2philsDjJBvPYyPlVFAzaJ+bqOo+Qqm75ROFTsaYzLObeTPRI2d+u2Ny
b8RxrGAxcuhp2K4mxEpcJaaPzxlyjLHnDcS+NrKm4cHUI9TD6wq/n5xOS+Xe+QUWr5/hwYHmzAaf
NR8BDROeszXgPqReKWwLkiRkRMXBoT8WsXvfbAxFIgGUUNeoMhSNYA/L96icQYOnBypq4CYeiefI
KeHz3l6lJjavsF9X3XMqRojANyQwPLe4kJy0a2KWAtt2cD6fgY2RB9M1PCuIweW8H8fKj0c1Vaop
0owb//XCdT2PQ6/1zcb53uN3dJF97pLM9w+k5h4FW2jJUQgTjSdQKLl/AhQ9HLBNDMNxplTZMm3W
PgFdDsmth9HH2ETgA3ONZwE4ojJ0NGi3PUjLawju2UaNWouBLkl/HUWr3q9gP7Z/jyhik/Ie0ZA3
9T5uWD6VwO3ofHzoZLYU0+T8NRkTFJxNO9wE09BnsJcnKATg7wicA0YNJOPVx2gHnfwooJAJ74Ez
bSsOIhsn352Y65QjA6fbAQ/YfjHDecCEov3c7JPVBZ4UBO+ia1CZY8fsV100U2XgXw7zInkHizTB
C+mZWc7bmE3iiiM3G9ml1cpEm0cUtodHL8llEUZqrWukK07omLD5dKXarfRnB1GGzNNxcz2WMeZd
bwvOzupsZhfX5QpH7RhMTJ1myeuYoUIrVy/npuDZyqD1cSx0ry2D00sZw2++/dgD0MhyPSxN8z7e
duwedRSx5JrxRNNCy7RPyxFo2FqMwwpoK4cub6tLBR1X/JCZaRZPCARp1zzABdocllDRMQ/pnqGC
kSZx36IZqQo5hdRDPiHLZuVXTTCef2P4Uv6DRYHKbqlNel5kPe/Sx772MUyTDZqCprVaPwcI+Ltj
qmysQ04htl8BYDbDXqNRd4Ac8FJvKAqRa15NCKOWtrprxrjdz0kWb8OdNMBpc2aIh1+6aea3mJK2
uU/3agAVpIq74bSINUofIVHjDGtqJrvH/GcI5oj8Rj8fQS4yusBUhS5fB69thIDE3Ylz1ANO+Rj3
+vKEGBqfMpmlUdD9oQHT9wvww66AvsLZJYfnUJLexCylaC6pi4ZTC57F+tWnQdqyYqxyVx77tS9n
akx36AkRU5kikcZ1+TTr0BzRDfbypspgvwbyZX+JB0Na2liqppXbdeViLgroRGpJSzgxxFhQbaUx
z8YodKyv2bqRHTWLM9kJIMGIaf2E2i4HDpt0ObR5uyonvAb9MduWZHrjLe36CL1DkjmCJHqYmPxm
Ot1Dz9VhQuZwmGrUiVkR9bO8YqlJw3buEkHEKzyjtbv1aO03gy/eZipDDbKR8YHytt8+RPg2Msqb
xJFxOV7crNGQrmJfs/vl0kHfVNHYbSi+wJeFwVSo6voh6MSiWZkXwrDAsw6YFS8wa6HoVmOr5fCt
DeiuQacKXMdvs1ujCcUAp2iYRge57Yq0mnG+tnJcxAPF5lGjVBRq/941mEZ8VsqP3TGrsyHyuLuG
DAhLZnP7lKHcx1pOJc/o0aA0mt4ak1EvcpdIuDV7ni3iJQE+1yL+Bfi/+yrnbOleTbSM0eNYY+Dz
tF4aVTgWBNGnBV8n+BpDNmfm/txozL3wkmSGHGeOxocdkKO4TDcQpdbUFztmSCM63XbmLS9jypy4
8QaTpFtU14LdoizK7LuhV918zWvix3O0IMz8M4njKi7YpWY7LqOOlrznqY9uxxgGT0/RYpcWexxs
6AuJyng4hEWL+b61DkIXTWO+vuw9WGSFiC2GPC3pB1jMzHXkvglmTfVCvMXmPyDfQK37dbQjXxsl
K3wN+7M3NQmop5BBXSR8c8spjIMkpxkou7/qO7bHr0AVKb1uO0wCCxNrEAAOkG7Gsyjxbu7Ati6I
WnSc5jRdCsK0inKsuTtmbMgwa6SwxzjGCajV07GNEsx72IART8h7RKyJPEyboeXccJqd3LbI/WSy
LYoHWLqlfpHA9GpkpY2LTNQtTWZrX6mFq/obr7NF36Kwbfmxp80i33mP0UzZ10LVUCeCnPrYDkPP
bqq6H7p3XuDG3IRUdPY6XhCpc7fiWlNEjoedPqqF6/p6U7Ps3qPRa6u1iBdUy1OpRqEBW2fwaGvj
YsFiNlEB7w8WTIk5IBfy2IEafLEw5p/gYBjbpJASBpj6oDEKsssZBdiMG+u4MvMjzukBwDPIOBil
oXaT4R3BbYe4StKm299jelJtxxUr+Sj3nd+iiWbRTRpVEoUdi+Fel17GeCK9ihVj5qpTfKK3ez9C
5JqkYXSffLtImFZ0C6xDjq42W2jyxDPKMeNMQbqKJyvWggHYsJ/1Csv6xxG2CzY9XqxeE2AaG0X6
uph3uapCau+7Muj5kijnLLunc5UN5wzicn+aBrOQsl6DGW5TC58aQKQx5q1jmPlybAHiJ3lkkyQ6
Ykbp2rIXtUTbaSZrUCER3ZIvG0fM+02112p7hiVD5oC9N9W8fycDJfVX041xf44JpI7nGKjvdAeB
9uxeelhSo7YZaLbdJllkw29hosrchlBHFgDflopilyhHcuDLC2YrrbUg+00uu1tibX3hAoJDzzMu
QZXLnqZdAW48w8w8yy6MxlUcJcik9/2KZOD3se9qeze7PRmuOWLv9svT5hW0DtIFRLdbnqmvgPki
UioqImNh1op+prAD3nZ9QGXd4YDERnpp8/1s/IOM5pUUIYqSGYtFTDPkEoZe7qA0gKtQScxUPli+
9hGU3S1vvy+X8/E7X6BUh70Brc/TKEOSx9jv+ndknlOHtVdTPbncCAuhPyAmBEXxJm7jkqQ0Ar2G
1FN1nzbc+SO2UXghrv3Qrm9ObWa7HXeu6Yd5W1iG5mVSy3UIfN8+CK7N+nDxcCQnq5cq1zC7mXJU
o/UFLDfbijMXA8xHEYLk17aB0uAegxINDwbUxjugrakDakURXJlR9wXC1UnkEBal/rAx0wG1m6fm
GTSJBBXRSsz6rMBsxLmIjA14N8pVVPKVm1iC3DvEmGetV0M1T6PLW+j9snwU4BGQArPveXkDkFQD
vAVgE7svQCv2NsqZQ/mqcopd1gFD7EeoPXKY1KPvPG6QhyIcaNgy1nyCwjosc754hNhMV3p1tFWF
n+Afjjo0ZhtNypk0oHKU/25nB3veiIorTKqIK2IwgmweCTdVBYySyXuCn45uVt/U5iybC/Zbo/3e
zGXPzKqHMbXzAWjBvoDXGlXR+d+rZYu3YLP+BKPubStjpsYl30NDHzCwGpaSVRB//zkG08/hcyxk
gx4H2x9i+VFlL2z9c3zmHyqVv2O70Z6sGNfgc0n7LABatPRPSmh+Dp0bYXgoq5bzI47JGCCSXOM7
i93a/gsN7x8YVmFk8HuiHqCw1IGRhslEhPU3NWPrbrSPRtgI2tkAcEpXhVgALqf0cbOAbtFgqSgu
xmjDc/rnFKoLq+gfsY1+IpbVGNFsbTTz44g0075soSO4A3lwKlCvYfyIWZz4F+YXf0Sm+olnNk8W
rxo4xUcYAkz8nQtjtZSmRp1bepxMcCeFI0mPqnQLw7+4w39AsvzZnUiBH4bTJKVHJpDJ4WA7c5iA
Nf+LL/RHn/4T+8wg0c/yRlIwR/TXbk5evTDVnyOfxpeb+HdvNcr0SZu6oseA2I+8mcO5XXryJz/8
J4aZSxI3jAujR2DQBwxS27xKgDz+8xfqj+7KT/TQaltbR2XLjnUcWZzpa5UnDU7/P/fpl9/6d/cl
7QwBOwj3Jd01vHmdRMrkPr775x/+B29oTH7/4WxOtDebwuvScJl+t8CUfBGzkCJXSKTa5GYBG/sE
XQk1fyqej/zsCNOI2nPYCNEj4lDph2ya7b1KAK/+8y/0Y3P9B6v7Zz8YrgIBLFRnRy1kAwRaDsFj
uIL/vYXEsdcMlTf+y5AlA7tqjXpRe/uS4E2jp8q2S4NepW4OSGf8vq0E0c254yjJ/vvq/uPb9p/1
2/j439dh//pf+PO30aDZrxv30x//+jJq/P+/Lj/z//7N73/ir1dv4/0X/WZ//ke/+xl87t9+b/nF
ffndHw6oy114Wt7m8Pxml979+Hxc4eVf/m//8t/efnzKSzBvv/7y5btuhxJNz9x+c7/87a/O33/9
JQFuKNLsst/8x9//lr/9k8vX+PWX6+bL3DVfhu9/8JNvX6z79RfB/yKpgFsil1LECC3BLuPffvwN
+QsI9RgVEkLlD0eAAemnza+/pPQvqeACP5ARgVSfC7PUjsuPv0r+AvIUjHQppwLdIBI5/u/1/e45
/c9z+7dh0Y9jOzj76y/8RyDt/7xXHDwBIkgKPRI+LqPsZ0FIrGNVV1HYr3SCOU7RL/F44XgmpDnY
hS6yiGnFPtg6xH1pZ9a6g0Eo7FrUAaZ0pbUpuobKTOs7YDoSmlHq6NH1kb4Dcu2OiW/c84jSKB+S
0ReK6l3mJvTt6YKgIH6T6RJMO3/ycmH+LlDht1s2xjPmJOPQPlAksckcjLAGjQBShpubmXObHkCV
6J+zwdGA+XoIoaB8J+kBPs+DvBp5A/XqqFqPIUdNQT4RSolTLAe6nrq1Us/rQqfThIlFVybb8JEO
4yaLpUqW7/hySdEJC9Y9g+XBCweTBSPfqOqr3OukuvIU3jlF5Jkfcz9ocqQZW+vjTODpeGx3n40I
Fq/a+9YlALm6Zsp0WXOzx9dpV5Eur/wGvEeJruInxRMSn7Id9lqHas5a4IbMs61omyH6PC6VlFC8
hfYWOLP6MumlvbVpnMX5PAKOvEEfiHQw0cNfqNCEz6zs5tnyfESa1cfaj8sneBzC+5EtbnxL94j8
1mT8EgXrjLmt9jbcbX61dY693k75YmUA+GY2cHqj1D9Ge7Q+KTJr2Pw0kSo61dT9IUw++minLMDG
YmJ2vMomyx6jlFbArTO0zPluoVYogCb2LyPp1wAeZgyP2WxnoM/YXiS/MVTlPTDIpP+0c0eqI2p7
STGF2dVV28KgHM0e4M5c8W7HcAfzlRvQM8wxMcNaprOdHg3MpR4bWKWciBun50aJ+H7aWhph+qu0
L3tKxaGj2nyJ0bDcx6siSxEmjGZGw7tr+NenmAZ0ppAbPIkAUK4GNfMQ4N44jceRJuHY1N32gYcK
ZNF6+D/UnceSrEzWZV+lX4AycAcHhg1EBKEyUos7wfIqtNY8fa+oqjb7/zLrQQ960FaTz+rqTMI5
vvfa+7hhb+X9+9LU6YfpZlzVJDdulBPH+Sy5HrwYNSv9qlj1njksk58b7nzLDAeRL7cAe2h5uXLj
cvdY4+7BhigMImOmuBBfORhNHOm45680A/vuCCFsV22EI67pXT/xoq9DUSYAbNQFHiw9Kd87w2z8
2pFvSpqlh+K48FpovHY6T4KPAbBGunodV/Bnd7LkMU34l4JMOUFKcufcRp0eREO6vjUxbJEax+Uk
By6Rib1Nfstij9VTa+f6BqmlyctFFD8alrE9STHdxZtsufGsS9jFDLMiqa3qrzObw9MYNSLIRst4
2eJ5e9fKToXYgau7nzP2SgMINdU7K33Fh1lnzXteD+PfMemyd9uwjjinY2jm/N6ZDm/nw0iqx1WU
7Vcryv6pKk3je3YRnmFabfdFpKPuVwmra/ysBBngAkxvOhi9zHazXLeAynDxjR0+rDg5vfkmRBvf
2HqZB908lT8XSlchXaX6kSVav0tKctvBBCn6LB07CtcG1DQt6+K33UfgfHWrU7I3aJg5mV1teDN6
1vwVKbbt/UF4lZu9/U3seW4CZ9aLt63V7ae1XB7tOtUmb0kGmGjbMmb+nVo7BYVwjC8pGZYPo7lU
VuAWRfQgpc31mTPiOcKcx0/LlxpLaFk/KNotBjb16XVIFTooXyYj+Tfv6i3jOy/bBOVTqNeRPl7h
j+Dj94qG+JnKzepbdSaf/mmsuFg7TfGopxi5fuNW3KBZO3GxRDwA72zptl+awaXzH/jFTCMavx0d
EkjxDHTd2u5jU+iDh4XYnTbdapugKzplBPSybWGxOla7qyCRHh1DshGxzvmQNMoyYVAH0T/HomgP
ab0kNWjK2L9QsZHulJLtUc9cdZaqiJ7jwjS/KGjIT5W+RT+0uX/Rm3K5ZPE4S6/RqRJzO5WXYT3j
4039JkrYkHg85ksnVgxnaGvDWOVF5c5wBY0Ds8crTm65tbgPrrAAsLNNQzSrC3N7mlUfz6FIh+El
0tPiNWF3+w+RafMOSNUmGwBmhco+nyCR1aUQU4maOVLarI0EqfN8YfF1ta7hVC/WKc86sndgsRW5
DX1Otd3QD0rbs1I9tfxZue2Vj4J4U0lf4yRn8VkMkzqtblR+L6Ac3xrh+0Pr6vydZym738YwkP6q
U/E64WvvtjuW7xB2uMRd1/yKo3j+xohAU4qlNTg0EOYt936iGyH6I1pqOhR26xnV36jHbfXu00aI
0y73YFfaGgjk0OMQ0QeXzbnc1+39K7rimkChWfWeoBLJk2TKnzSa4ZTf6cQe9izh4H3rNG774CYc
Lwi2gPNeMk/ztyaLCOeoFFDYwzr+pfS7HG9GPiY5z52ZT7w97eoaYRXsqzFdnzA8Mt7sXd89VbVd
uj5rnXqPLQKYkDna9aWaiIvw/Kv8oe+xf2yC/qfE6uE1TJmJ3wikEeKJGGfdJxeRnl1rnd29EJP+
plj58c47OwcigkguPJu6vR9AMta5KBz4FmW5b27SKeTrjsC9U2fkPnIxaucijTb9mE599SqrVvZe
O/TZeWs13Twn1So/6gZRJ1is7pj2aKme1Vf1aern9jzUtnhedEecTDfJ91GvA/g5ceFt9TY/blXP
F8Tl0PU0exg+7kmcv1yr2Okzd+pQDG11BNQpMAEhINyoNS/AEwLVEGLqY8B0Hz1WYDIOWTEO0ZHl
3eqaJkn6UERt/lG7hroysLXmIWqrsaXU1C0uLjjLl7ulC6SX+tTNojmsKl8CoZk8zrG5BW7XmK9a
JvMj8ZQC0k82/V2x6O23TA1jtWtg8Q8JVtFXFevzu+DohLISXXN2wVF2SFi6DvAollAsRXJSaT0e
VyjgnRhaxf4sdNxRJmygyTIwEgJFP1axtpmXUhDmF9LOvxzCTwOWmnTCLtKdB7mCYwWtoU9/Iqt3
dyN52Y7BaKc3dwdG9t9V2jjhPPP4j/SSnKHJX82VLZKzO70YNgZ/hwd/mEw6Gzx7cjixssnSD3Dz
IOx1ERcvKY/JR4t4BphM6CCdcZh3Bo3ZzwIJezmN0DOZX4/NEO8qKcxPUO71Z2M7QHMrpzrqcOFy
qmdl1I8hTX3Rndti0NHjwu59vs10tkSj1XNsN8VX2qqZL6I74aIKXp+HKBOGvyVj/pittLx4mJtR
UKPtPqo6fS302H6MUzN6xei3NZ+8pjyO5jwGbGFZIg7DWvvTWKX+OuQZKAaFSFgOcceNPTHJFk/y
dWZRDV/yPctHvabsrWtf6vql1GdzR0JHQt1jpdmQ6MfSwDexsXwfe2doAqzhB7tMjQcA9AhjUp+f
orZOL/lWGHvW6miJPxi8Y705okTXt9vZDqaoFvuxdLMHg0zABeVjzncau8fKkEV8w7XbGBbhDCz1
bk1WQRBmqBMZiLXS1LllQHxnybCCU13M+L3lrOMNtlrP7ClA/JYjU+LeaKtiYreIg69o4dW9ZXgN
DyDdyWNsD5riU7GukkNs2U5IFu1nrwz15hRqhbq3I2zKalIALLX1xGHHToWy1ZMvPsD6Xq5zxQit
yZK3aVG9IGDH1ya3Ok7UoSbtszXOSfAP/+uqqRyCZI5tuFvmzSNmMRZKsWGT+aY99HrYlIPYs5qo
T8KywGTk1FwNLRh7KyLGUwh0uU0v+S4NcSx9c+ztdGc7ku3H0LXa951ieaniCG16YGYPCOiWt80u
xq/avptH7NasriOEQWtC1fk9BB2LMCk0vjlEBL76fOGGlphZVt7AknWCdm1bWIGVmMjXLgzEEhjT
Mke+XiW9DGnVw22reZTDaBLuR0SMLPLIUbmll5NjBCsf274+aViF7Ceq7hwT5UEffQ/edRiU7pxR
H6D/MxGnb7UGv/9U1t067s2sNv/2LCOqD01bdus+0gcbi8J24gG7jYfjNkiTK0dRgPR6TmJsvPQK
FhsJZ33mM0P4j8XQC6z5xqzB6X8ekinsCMudQVvND44l61mxYQLsLXLP1bQOL8ua9znT1PYxQ3hq
Hl2ksMBbnQ1+l2CAeRxJm/p/I35c01+E5uq/w3+qH/9NMPn/SSKx7s10/2d15H9Wv5Pu+388dt+/
//TJf5NI/vkr/62OmP9A33Bty7UEkgt6x/9WR2zFj4BqKAOJ4t8iyL/1EcP9h6GUY+uGYRvOvUrx
3+qIIf4B2QIVwW+nGEjd/xtx5D9UfbQR/ggmRAPdRlmO9Z+VcIq9BpNBU+O+G2Om0WR0nNfN1qom
sGpX3di47vSBZmBRV/pS7019yKhJY3X8f/my/Vu0+a8izZ3P/W/avm3y18ATdm0qdkwlnX/+Tf+L
aMrWW5Vqqyt2tYGXnTvrCFHiRscpZjEwe+rdCw3ADOuVV0ZAUU09hk7hajsjW6yQ/yvda0ZeH+o8
KX9YCYHCKgHCAtlNUxZFRtajPhCy2TB0AxoNxockS6Hvs9bKdybm8VPSYzmmVOoeHXgGX2u1DZ4s
LqKd1uVzIC173VUxUQJMq/nTECbL5wdlVaCTq3tWsMWr5woSvxk/f/UILRnHLlLLd008yB8z8wFT
VQvpI7EYl/pBfhNqL64WU2XHh7Zg9RB1/+eFIy+FTvop5cBxkXfWq8tDcCA0PJ2GfO4fUzIXmZcl
eQqHO9c/B9vpj6OaultiDsZJrw0RKAK0e+WawyPIXBSYlVh3eiZPRd2EOClEsgD731bW9bbAMzRp
mAi6nwZ6DPlWXbwlLNncj5iQx6ySEVO3FJc2ibU9P4Uhw45UUM9JF/bIi5dYk/Nxcu4u4Frs2Xa/
Bq3ZjmdCiikwjBnvmrltdvZIuYw/tpXcr4zguwi6kjIuNbxard4EblrLwI7b5IVIrvVpb06Eposb
KAleh00vN/5p7eOWc6CWSpuvcZlnryMbLz/mGXw6w4EPhflP7Uiku7ZuMl9u3fS7LTNnp8q8ejLZ
3IqNoLTxymLSjulQmoEBUUaG/WombehU2pkrCLbAopG11e2bLbMEgSePGWV0gMOyEgBuwIh2js6R
s1zI63t1Jx7WIlSJFlTRlvPOKne96h9p1lVekWAL2yN9WkwlaSgnunwp/SdJlOfDZ5qxgrXqhxqW
Jh58xgXtp721y86ZKtaoM0/RVcbzxI2HEp57zrgBrb//l/odY7Ye4JPij42EAkO3Ma3X2EQTLJLa
eNLBWh/HclpueqNtfgtxE8wbvQ+QRjcig+QKynE7NPEwPBWFxYB+vzSaQ0S4YNNSFDdIsgmr+DFf
0+qGNRjvpEitHekedSSwbfpW0pKZqXThT/bQcG1tmveikpLvJhNfVeRkhN3yr8Tu3RmzW74SFAdN
ghII+D0o2U5aFU4LHTcLeatjzUXvUFWx2MlqdXlrl3bM1OK6uy7WHX8hqRd0sUzDDgp4l6PYLgfb
qnXAAqez9qMk+cURofis9RQOa81CTKAq1zLMsAtOa2JH3igXdSPIKZ8ZEpgR+oel2baDO9XW1anN
9ZAViHCAhsY1dpKbyyGDTmDe9LH0i4Q5INar8TwZMv211l3yt4yX0XcLFEqDcvHLSraEaUa2nzGn
fkg6RJ06lphdKxSk41ZN1l6j+vTW89f2WwD155jYxrdonPSkssEKh3kcfzHct8+czA64ed39EO2Y
cY/LIkAnRalfAyFUgSPGKj8iefvYQd0d8h7H9WBtjKYB0StAw75px32U5POeS4bTPLDycK4C2miy
6wjhFCSdlu2zGOQiqR0iBRH7FnwDVH4IRKtLenDGSbKqVs4qmNLonXhWdDNJ1m8Es9xaeITE7pM9
FjGBPsMZnwhVqMITet+9922zoRNG8U0NXXnCAZiukSQWxJm2Hvp1rE7zWiZfjVFNk+/EHZ/rZOLa
sUg3p0Z7rmJfkFSRl4RJ9XRfK2nuZOP+WQnjx8emqtrdPA7VySG192mmZCS3rCa9OtGdDBpvq0MF
9LqRpnebv2mdr80u2rrhr907vceVaPgsaXoIG1XfqkTjqjT3YaXpBp0FJNgdjLXNawqDOREsdODz
v5lf0J2KfaNJXH/SpFoQW+Wa4OqzfYxmQPW1LKtjIqK5CP7VyQD3UDySn5+MQxkRtzmqbJ3cS1OS
Rf1DUrEfn42sNF/ippbLfmi05rvno/AdRaJ6r4tEu1LDUCVeVPOC3hkdf1rpblSrZmaHzt1G5ns8
TZ956WpnFKolOusm4UhFUEb51oB6+K96B7rz5QlYTz7/q+MBPR6UL13VX2MV1jOvQjZ4zHZWZE9D
39dHUkTpy4gd/pIYVFcEAPLCephKt/0bl6SDdklqq4+qXeQvgiTrEcHdOqzppM5qnZw/bmlz/4iE
noWaY1iXKDOpPtHauX3hRqWu1XKfvvPCPkwGEojZa616ziPVfpWmap/ZbV69rGXbhlS9TPu4j7HH
obcd5cH8L1e5RTI0rTTe2T2zyz8b0IZptt97RmDn1tOjnZ2m/FkDkjkTGkW0ppZgp+d11PgZ1Z46
YkKXfs1WNgqva1IYlbKIB7njam/9UPDK1S2DLa13Q1rdJUhStrvC0DpGbfL/T0Yla45bLX5KZmv+
LLrGeJPaLF/qwShPrkG9tpBLfYsKLX6rUOiOTDU5F4uJ34JZa+bOV3XIpEs603kghrNhm2CMrqNB
IrOby6BM16/mrYZhXcQetle7Rwmi6a1bjCoL8qyFBlVVvjyseSmG3UYiRXrbnTJijWy9hJnBXXqO
4yPy2PIzsbU54NaSfMSozVdbxiXhjsTw0Z2lj0cifAo+kOHJNGnu4hyTctluI0urg651e+oDCScx
izmHZSFiz6Gal8CgLKkblnMTVYgtZFdGEdo90Z5TX2fJiXGGzhUB8otbG6lXMvcJadWG9/vBxRh6
ZA0od+yVVul8q1XvZ53sUJfavZWt6aEbF5bQllYVqEK3z3Pcr7ukXuMyqPqu/2witXlRZq3k2AR9
4MSPeR1JXIQWl6Q2bLbH1Ft8m7hm7weTZ9RMOueiaFbw0rgjrm16jfkn0Y9LV31CEH5THI3szM4s
+7ObZil8KDegZySVn8yXSIYG3lFQLev0oSVr+1h0abaTORpcUOCJPtzB1+2wwkdSCpe7BzpdCR7m
bnHfa22GWRwr3A0aV/CxKTEmy574DvC/Z4xls1si3Vgf+0UX9amuN4sARkkFn5VonTfJIjunuZu/
TmOUeALUlNXELAjO6PN4nJJEgrA29fpnEiUMelzP2YczuFFQaRZBJrL1tvQz2ExcEiIX5a4uHUGo
vur1LPJYbsqr9p9NKRByqZ+lzUwFRFTGobUgslBG0+xV21WXCtD/IZvtVjDf5u8LCoc4TfGkBdls
4Cq4UdQWYeZk1cURDjK0sVkh/+TZv8cvw0lOxs+xj+WjOYueubpf9RdOm4QIcQLqGSQLleDdEO3K
KZpOOSuBu9zZI6ABTvWsko6jKr7MFpKTGAvte5ujoT+Qh9JO2J/fyL4uQUw70bx1E8WfsbLjW86p
yNt/KCk8AWbDLsXxCnJTr64oqExv2qS/N6RWH3nBtWd26Zpn19Ugc02qW0wcSMoo6uivRS5/lxvS
vi1WKhig7RGtb6YPgEII7V1TG2fIuqA+oIxV+iFHkdrZhdU+b7NCoFoGIR/Q/lw/dbfl26JK5Gnl
FD+IWNNhB3F4SqMq/LHo/3R3VJ+QUBvgqDS8OVkTrVmbEeCvPEQdQ0E6y7PkO7TL1twmLaTXdBHZ
5k7xoiF20Ga7Mo3sK7Uiybsxdg8t7QZ72PH+UEDYYaZxubl0Vpyfie3jXFHxOIakGhnc4kQcddNa
79A4YaWiOhd18aZE+UeLnNswObWXG0nut0uu77Fx56OGem90LAmqMa49ZQzbrWjb8te0duOtZvqC
Mo9iFiDnSQjjNJ9s42eOtj4QDtznMkdQXNZQambCXWqbgzVZy73BC4megXhNMp/Sh5Dw3+pHAm0z
OeKDnpJVETOPz/mWqmtsx8a5cghiohXOub81VnNfbk0gfil/O6ygNLx+ml/ZxMIQXcW1r5y1YdN0
ngbo0/lTvDLRRl1snp1hNJ9Mo3ROk95Mu8HIqOPQHCqO+LSfx/XeFyLrzmAErfT7Y4g+uPJoaEtX
BLW1hBEh0QNp2BPlCQcipAE2y0G3J57p1Z8rqwiYOtITqQYkX5Et5w7bJkCyrrln1SjLhl0a+wy9
2kMEB4At886k3X8JzRRHX2eG2MzJ8S2B3hirrDhGW8n5N018q6Om1vykXAkDk9A8J3HrfupWYx4I
vhsf5L9N323j4tQsG0KrZsTXQrOoVUFVDrcpEz+IPsgPZW/NMxNwhn+STu95FdVHWTXaswFV8Jxv
bc5ZaREANqsuuXRDllwTVorudIa2Xwa7eY6O0cgMp7j+jS5ueZo5XJY2O1OVaQWrHv3UF959cvU3
tsz4Y6q9wtVCc6+T8prZ7UNtLezjIkb3CoXgvlDIMAQVppJfYyoHk13JHVF/h3Bwc9ETdnQaaR0o
nUYXaXKL1MvnbFpy5oSq+4ZUMgOkz8inM0E79lKERDK0ky7TclexA4xuoKE/2W7+bJEosZxKecLs
Hmrx0erLdaQhgLbuvRjUV57Mt2rWjZDWoBdygvtYI9pTdmGUG/fXkoqB1EgZMRp+dLH7WZYuPVzp
d4ew4Rcde4Vjp4LpXcYydCmi8XjNVBcznwXPcVcfXSc/O1ZSUh9ibmfVsfwMpqVAYXYO5prXd0Sh
CCO9SumxKeIDC3pfdAka56zV5AvilcFGZiTn4ajVEQtThbBg+S8pspqUhU2YAWJE4WFzRtLFEyZ1
JgNrKPQD5UzRvs7t6LwU5GdJTfahS2VW5FVtZl/SmL2/zmIHG5D8kQ0oxSG1j8aYnI1ShFTz0fxp
pNZb09jDRTdt+ZZmJkUh3TS41LyyS+KQlyU0XB6tzug7uOj7rU+bd212i8CRXFE2BYoHPNOcST5N
L41dPuaWTnTG4ucTKYESPw1l+6fCmLqW+aqVXuzopD4c+qQaJ2gh4/ZITM3xjp74rVzyQOTdet0E
OV5lC/2X5N9HN8GYD74N2vw5ak57nMhMPS5jZaHfTri9tuv1LJTfTXgnezUN/ijRtemc+pRK05+B
a3puOIuLDKxT00X3ser2g0XyYGYjsDfPOl96og9kZGZ3N2sUFXlgmJcSwDlQjZovQBfOZZL1NU7p
896MP6Y0Mbg3++S6L4ueA7jKR9ZpHcsh/TnH458V60B6elMziIt2KTxLxW3YG12957WpUUtdLEEm
NH1Xa+X8MOYTBTi2loa8uULy0KFh9/CrUzDrDv1PSOGOU/OBsssdb9s/ahYPWmW5h97eQkszzhae
ncestW+n6WsUc9z57FLKjy2vgxdq69YHGSVfoxRErmvtXaaudSuzZfhmiUcT8uNelTO22FwgjrLl
NsaIor0srrzWksUT2aL7dt2oSyvuEIwlPjnAY1IcrfUuZWkEGvm8wFmN99JWFEYop/M3KquYoQm/
5z5pjj+j3gtv4tXsuTa1KPnodN5aqr+5TWVbkh7LfPGTuXxtaUTxcgCntJ3Al3mB78uoQfSXh6Ja
P7XGMfn0aPkunfHIvYI43guX7H5fmOk1i+i2c43hce4KRj3M40cshbeMiIFvL5KsXKEzL7Lmb28b
YvRkn+4XttT4ZioKpDzDfFgW9pI5xVSBLmVRYFVqR9/Zjg1jdedbxnQy84vm6udmTiHG6uqFNL2H
yX6K3N4N0358UJu7dEE/jm4w1kb5Grf18ulWw4koJaXhXDi8sllC1RbLgV0QotoVy1ofUxJ7e43u
xKNmJCLMe2N6bLcp/hHnBrCSLb+58r/KrvDnR9AP4nK/bXSuVyIh9dFg9D0mKEO7apkuGpVEXkVx
w15fMNlNUWTcTcZbXCK3jGPdvEsjo9YsW8fYSzVH7oyGlrBqmGg7aNbmImwUM64NERTypl6odEr9
SN+Wa72ZC1qmUO1RqWwMOm1Jg8pdWExSVp5LbSvfKD2GxInwkGgMcr22kenbZC3mA8/ZTozrhYWF
/YV48wYQp6N6HWmscHb82p4OCVM7Cm6Ku1rqa8Cfaf9qtqgP6TR4caPspRR1crChdQ6kHvN3rUL5
bq3ucYSL8LJUT3c5IXWStRp90rznmZMJF2eJSVKiaJ7J8U3expywbraJ9aPhcG8NMFI7z19WTdx9
5RQ/Knzoa6GLnFBQoiERF3nTesg3TMvzIp2LHZMN9tCFGjuwMn4ehTxTkFSspeBD8dtG6gKAWcVj
pbLlKevj1gjyux7u6jY5TyqHciHiD6q/8kvv0D8FSrU0ux7fiEBudK+fitYlO8wE7n50GSnSIZes
gGLSZKDKRwhF3sjpRvuQ19mN0DgXVmqAQDSn+DKp9UzbhfZOPxBZxoarx67XDOPVtQDJcLPynCrF
uswutGfGZ6xII5xmQydHHUOL4O9tibesyn6wpUrJnfVtyC+ROx02hbZHKd5Tt7COwL7t3z5pGB0j
s7/MHRemSpP6k6is+KapWh5acKoD7RcMQDS4G2z8GnnzTk1pXfRpAH3KfWm4gnYwVIqL21lsmCxF
fMI+Fq8c/NVthLQ8THE7VISJ2vZAEkm25F1KyiqLljolLv8Nrz4M2tVsJ2S2dkQJq1eRfDuK84Lw
xpy/CcO5jhRyIWbO1WPW1oAWi/kncnX5U5dGnZB7ldHvqEhL4KnqK3MtaJK8exJj/yrcfAqmu+A1
EhcDRWnIytn9eVl0HlcL4ctR1RQu2lZ9N1Zqhw6VXT6ovb6bakLUMfJgEK/59qiP0+LjIwCArLaD
bJaLgY+WiUCnoEJLamfrNGsenBw+sGkX+zAkw9u0JsSvRPeRGpi19KXQriQs9bANcUpUuW9/mBRk
suMwsueDtEaz9UdTJl4DYZDH0Ss9f+7Rce/jDtWuyhnPC3l4DrwlO63C/psy/tPhipGcI0FxEtAs
5k/jvYSzoOfF7zcAjXEwqovaosfR3h5VrNynhJIo35iKZl8P4leVODyMViqvS8ls3GX3wqZs1b7v
NRaUvbo/3MFwQtUkNLdA/tLFQtMoIc1GwyIqsiMVFkbIW5ersTilTE1vWWFYD2T52pCCofg0Lo4W
crEjcNUVT0OqNG/BmNrb7XAxGNSBBSZ2FKJK7iax9Ud2YmgP2O/3Vg7zNWkge6u8xF7piFElmpqC
kRTnWtHdSqHVnSG4aVurXwwoVs+JWEADK8OlOM9dlCGVn4dqeTYE8BJMmA2XNBsnEbkvhFruJE71
ovMh8nRr3neT7e4Iy7/WRfawwqP4iaK3ZqGmxPC23LBtn4pXPVRVN+wFEw5nIdKouRvciTN5tnOK
Rms5JKgAncnDPAMDGYoD2YCOeVtdTf2uLRvVkoYIn8Fi49tr9ceaxzBY732uXKnzZo/bn12HpI8e
u23bTuugnKvjDoWfN9mbFasn1WcwoNS3qcw4FyR8HdTug2kB4RKhf3KZi84pdS4sAgzSsntfx+zT
mmqEVmo5/La2SXE/Rf2UBBsGy0uHQQ6aDAkt9bo749NTBRCr5N2iwSrMIR2DeelrmrUcalQMO2iT
xgQ2aLRDOVBNNT4teE3XeE6yU8Zn7bsEXI78wm4Yuwc6vaiI4RMQV9bFGAW+GCwzhWDNcIpJgAaL
0R0NxXnqmRZ1EzSHMQ2mTAuQuyuvk7KIyONapo7kCLoq29Ll2+iU4l1vE/M+ABGmdJai+kk/8sDn
h5j/hd80O9Hc8jY4SFSFJvY159vVXYG/fY1+vV8bG9xBB7P5KZ236Rg3VZ7AkQ36J6trtFfu/XTk
8ii/LwAj/oLGngRgaP2NcwHOOR7N4oda3OkXkUbudYgG7oQplOcW1U2Vleaot+b4bg19epu0hY/x
mvNNwGOak4eItDbI+ZAyZkJ3uK+FofpjstQbx1WnT18znP3byOY9mq5sdKoqtuoKJdM0qSaqRXGL
yXqSAisWF7gyvq92ssnPN74p7PRtLObuiB3FGFeNIt1zozZDm0UTm6fqhi4zm2ZBWpDm6RMQ9VdS
UmYxrMMvruVwpm1Kl5feil8FAx+G24ZgBXaFJAI66gAHDyknRc3/Akot+uuq6oSRUrc+Kcfks8QP
6/1Vk6r/SWsUNHrPQtZ9M07W74yBfE98Xx2dKAY7K5BWx47YujXhCQNnDfsmLaynUZmcaIkd86C0
Nt+9MVEy1LSow3+i74VaSveudFUeo+L0h68OG2WHhci8kaWhvnTPajGxIamVY+u0aWl+FmXFFb5n
eUFZS/bUZvvbNrk6S6HacvAoeVEQWfBdcWDT/hjYRmT9rCkanHZmobennoblNzG4RiBQZUPqgOSt
mLW89+3ImbGiYVxkq5gqTcPXaTLhxbekexzFQzvzAMeb8w1IE+8d2lAeefDZfKW547EWtbjpU/Lt
siy78lJmWm+cpy+TAlS/N+N2l5vbIwU/5OGa0iVSTGozoh/IV0O5Be362aSsPdNbT4r6AUew5te3
xlvctMG05h0dXM72TiGHHixx3e3GbJyDZTFsLyq6E0Fnbh321oXcApN9L7UIZobeBHtUP5ZoSNZd
VjktSc2pu2YO4hebkexnM4+oHs9IQLPnK9n2yf9i7zyWI0myLPtDYymqRtW2zikcnG1MEIGAca5G
v36OI2u6s7K6M6VEejUzm9xEAg5nZvruu/fcKAnuhmKIN3o0xrdAy19Qx51l6gf2pWia/JnaXq6I
KRhNwirxXUfGY9tDIc6XjV9jVmWL4s6UTuDAiZElmTrSJHmMOqHvPZOFz9rM47Bf5qaIj44/cSQI
icrgz+ae7KTeEqPTeLXtyB0Y7n5r49TtsIazVYvhb5asTq3eW1/v1B6Dx9rzc3ACGAIWBAPF89hV
zWLscKzbus+ui1m5IvbRryHBPTKZcUrRdrNVZWWdkyGhNoToyWpKzXf2b8GRg0hyyjhNLvOagWaK
c/cImwMATZKQdWD3d86SyHnxjHkNG3bYJLE17Vqsubu0qsiozDLeEJkX9xFBTzjm3AcXuhrAbXNq
qbe6GIKHqB/dG+RKnkrCUtCrC/vIalre8qrivXLtqTpLnIJLtmvFuCBRbWKjqChpBo/qfU1TQdU7
2xdmQLZu42FooG0pe+bTg5b6GM52d7G66tYI51WBmneugaHuIa1grxVAio8hTHOxqAW8sxVrFZDb
Ff1Y/lx+1YNL/ffgslLxSqv7zLAObLSRBTsrzHi8sq3MreSgcCRHvsvySX+kUC7lmraLwVuEThE/
8/5i6KyT7YiIwK2LvfoizCVj2xis3KTFdJpE28iOcRjD9nGahY1Mh7jD/k6siEYBrpitzl0PqctK
sZH9EQi6u1SYWN/0ZE0YJLk/VrWXLDQUAEpfyqNXOO23v5ybDTtzzv/1FMX3mlA8cnECzcgKuULr
UtyyawAqwOc3h/MjMyf9pOw7fmz9xvtkA+efnE4e4i6xqgXzNu5OZQ5NwbVQZvCRjPLVYCF7KWXd
XMm3kk8Fbj6RWtX74F/jBXB9oPThrkUK5szwEw2UycOsrUtowqrCGARVS2HiY/E/gpgqSGq0oy2O
YU7GHmonCybjap7XBub3sXn3Iae4S7fsxRH1mbtNnzjJzwCxkjEBCtXWGmSyw7MDuqvs6heEobc4
mn8Mo59xG3ebJ8uE0RHXDvZYbqfxKwCu+UVPYMW5ColpNzSc05k1WqYpkeEOYGZZhX7cX13txZ2a
8nkZFMq96Dz31iZWvB00pB5PpqWIdLVhaVMDDrkkHABn0fk9aFDAZFu/B5wUWWIze80dGy+5aOJS
omKE7bhTBmTYOTLU1qhH8+7an33y8L0fNNeje0wexnJG6V9xaB9vyS/YO1NTkhuRTXmqU53idcC1
wrZHYOYw7H7bdld93EgbeZOYA7qTaHLFwgtyzdCkqzJ2MBN5IXeCGKN+TvKAVgU5wHwGKHIS0O2X
uiCYsChm6DYwkLxk5dYudESv/UpkDJO7DLDVtwl2hibN5rVpyUcPbX8ZCwkSh6vpmv1ufjIy89bp
i3lz9ZcuTGf2biB7UCkRj+OPPqO2b9GqQd3ZLL8bRiScqyKW+T1LWsIshj3essB2f5gqKo7G5LJX
K0R/SBpQ18swzIA0lJF6sCkG38MNeG3Roa91Cs18tjDlb3DSNFtupfhdYORcOjO/l46bnkbOXLsE
rMjKHtQzLswIon0dc5RUY/JEsqa4HQAdjwvR2cnzWM/sCAw1Y26Kezjq1nyGjFgsizToryQKb99G
6TbKh+jg5DDDIW+pQ+I4N1WQ0mJg5WpXlFOxR8vol3Nc5XwjxuEAwWG+m5MGfZPwXk4TwyReAxpQ
znwlrBfDte5VEzyRxRpuoyYsVl7AFJc2bbgCVB6t8jG5i9gTxrihdrbCfd76/nSckgrlNRuLm7Ts
m2XRpHuL4+xdAYFoNzBEYX7PwX8zPFnnigDADt3vp2qrR1tMx5DwIicx51DUOUsbocJulwSjeI0g
smzaLPe3jm3nT7LzuHBpdtL7IikOsnS7I5oAnhDbGVexNOvnDMLemcQgmKLchFLRsKjG6utCS8av
VC+xfmebsA6TnWnE2DpKYNS5qGFPpRoBYOwmUyyqkL0sJt3sjss0+FRW8uOaO0e5YScpjp3Z/6oa
idbThgR74wFpL2MVecN1y1ni/5oO+AlANfnh+NjrcLxRRTDs/E7N91gss/UcB0hSvizuaw4X99RH
muswyqu3KesTYKXd2B/HXMDa9aX6ckcreO4xEy+imaEURZqIAd/8Geo23aAvRZxNqyouUQ2i0lil
hZmuHZg9+4T0yD6PPPNOxm58YxUtQvkcwcX1B0vfog1EP7OBffIirgpocwiR2B2keyTkYL/KdBi5
ns0tquHoHLt5ohF2SscM31bMPsGx/Z914NugsGT4E5GQM0RylaKsOrmLGcJzBoHOOSj9epWCXkSA
KwtrvdBvc+Caz6gb8Rv+tPmCtmGtQz8wqBDyk1+RYcv7CT70fgjK7DFIgmjNWoDxHjj2wvIr78ER
UmyjrnaWFHJE933I+nxZ2V120FGSfgGc6x8Kbq8sZqbgUvu14+CdyDDA68ReG7Q8HLrcsjZ1y72G
4bkQt1k2DW/ILO6ZlVW2ViUMVj7ydnthY2A/5B0DuFFO6UNaGj+StqF5ruH+iUP7QLFJyzrHaS5h
PcoPB2zrmskZB0ZRasE9MTYwBgGA1TUtHW1KIgh5pr8HDsQB0By6ZpVR5rqZG4SMKvEHEmGm/DIT
FRxx6FAhBtyqYa4NuujW5XAAnW0MDnnJ93Bo6vyKJqdzZfBQC9hGmfdD2Qb3ie+X6xAjwGMRxA/c
XTnzOMzS3H6tXZN7Hru0KD22aTY+uUM07yYNbsE2MgLpJsfaFWfk9IWA5YQYbQTRa2/TTrLws2RA
dkDfBmrDXogMQrrxhGUfW9OdP4oqdrcqYnvX6pxCEEbOJTQublfs+h5QwwCzO97V3XfV3ivRtV+Y
ayZCP6HzMAOd2vdTl4HymVpIc7F/qFKyJj0revIfYb3QNgwBikw8dIXJNQg8IZvzsWSDnY83sBLu
8llqnHG633R+oDa4yThzhrGxLVjdPLQ9dOewb52dsEkvLluaJByGykl9zaCnuVPMxVNK4J6zYGtt
4swFRdkPwU2TdM3FDtr0EEHZYoTHKIgr31a85PIXFxzj3FMmr9cuXSakIggR6sX/wiuWJFcq8Sbq
B0cuM1X+cuoyWI9OkL1legpZoWAZfnIz9h9UJva3fREkMHfb/gZwnsCJVGCGTXuw7SQJit+bpP4f
ZgXgW4c/8RdG+Lb9yP/of//9B373v/vub0JaJrcEnN2u51899f+gA/i/4Yrnd7v4cm3z+1/+Dx8A
pIDrOSAFXH4Y5N4f+AD2b9LE/q5c0HeO5Un571jg3W+CzX/yAZTtC4E5XyILw7/jsf4EAymJtQoy
stYuiGbCU2I0IrnuZGAlW1FitORrNGe3iua0CIeWpYoltgTNlKoTfBqR9nqCP+DmmtWM/WtTKDE7
lI44XYmC2wUx3m0b47ff9GtTSvsKtWAlZnAXP9gODUQINgqnhd/He7eAk+0U7a0dF+Yd1XLMVSxP
GS6N4jSafrxvw4CdtGk/KLtql7yC01ZUslmVmMjO+Hw2ELZWiT3QseFaBy/Pl17Vdau5oSgIa16x
MK8XpLlR5cZDQF4B2cVt62CuKGv/HJBZv+mNNtxSt/NeyDiGDJepVYK1CQNk6xMdtz65kJL4pCQF
FxhdBFUMR7B15kU3BtMeH5K+m31/OKSxiD792u2X2STbQyH1hzcaaic80WySrgKpQ/vLWcXur6D3
5I2ux88Z4CRbponjQWLcuLXHTmf+wRy+N0KLavngZaytI9PxyeYoSwzzkNtyG0dkfZg7jZ92qYZN
MFqfGTnAlhg2zU3TrsumcmkO1mPoIxYjiM9rJ8VqlIfUvtQyeaE8YFxrz3t1E3FKSA0vlLcaWmrC
4m6s135YU4vVGf1RXnHsZi0PeV5OGB7tLU5xho5M36ZNxSJyHtt8bZNZoBzA/jFRDLEiJi7uZuLa
l6kjBJVBVnwHjow/l16d8KcZuPgW2J7epp3FBVUO9s+m6Yxt1tXqkuckdbEsT1+Nr2EFUHZQM7WO
8xGH0XBqovQiZBV/2c2APeDKvZehQU1EC3DZiTP9WaUdE4TCvFH7hxQj1FKGkjvkbDTWhcM6WfBM
3VIP5K8Gd75XUXkHG3NrwHy5nfN42Dt9FoOZ1JRtiDQwb3FK16vYmX5mTjJulJG951bXn1vP3Rtm
NotFb7bpvedBPPdwIh1HoRDuXHxcSTWwT4TgWdrFdNSpd5GG7dzrsG3lyfOAt7N8KWS9KkAEsKKF
kNltdM7ZH0DnEGKG8DOXwAKpRwgIlc33LnE77uysOvJsbc9Bzn4ipttgaRiJed8o5aMFkbFi2xJb
BT49lyjnsqNzBOAxWly4bj01hdhrothFoSsDbwUHY2DZl0hG+M4oInrXwoYtmGHHud515Fv1MjLT
lvBICm74BZcfNT58n5WeV2murhOZKNUSlkDB7SZihCZYgBHhGNRRNmwUviqoZ2hPivVjzWkydTKj
BEwazz6Py6ZoI1owqcsQRdrlgBJ8kxEhqq/h86MOhj08+21kAf0BJYfEsdaIT9EmyA3VfpZmH+UY
ZRTRAUnNEGZN4BPvwgynl2LgG+PrBP0+bNS0ohIHOjhxk6jcYa7KcDT1BvoTR8srypkcqbPiOMWL
BQsZM4e97vgzntJE8A0BI7wwY1Z7aVLkDy1Bhl8DOUob+wKJDLwqsUzJeiY5EU0QEGqda4ymN1Fa
8O6jCUXbsB+xrpp4NzMQRmq2VnAKq2Sbd5En91gOdfazbowu3vgeZWBLM1cEou1eciTyqU+oxy66
94tZrNni8IBdla7Yh/c80SryCOkGY+NAjYCrXs4Hl9qA99SNgcGTjPkYwEtRHBON9bmDK4Zeq+Zk
n4+ctxSqrBMREgYV8Zho7zHS46uCC7Fqi3p6U85Qs2mLsjsrkVz24pDESFHoB9uDkNL3rXoLzZqz
paXt+V2K+XNwO4yNoiuegVvTTl6sjDbp0dOpmnD5vc3C1UI6ZBnHoc9PuulTa0uWkVcUF93VDAhx
bZEhCF+mJpNrIyJ5uw3pHwFs7LEHWZsgPYcjV+3nXoOahw5V64eE0hPrnmKsPthknsdCg9gIR8qC
OOLEPmG8dzLsiLvMJsbRC+IaD5kno08W/jB3hzinBVdBbXlsKGPp3xkINEFjXEHoqj3Z8EUdwtCM
02nHWPNjRGpVC05qtNWA6vbxK1fzRgYtRrex7W+1nuKLbbDd7K1xPCuru5tAv+6DyE3uFBMTQynn
RGMWHtpaNr5dC4nuKgP2PqFX339sZ4ooCEHn2W3vl+WPgnqvXZfOwz7oc7KQA+VKHy4lancG4heb
BO1fRp1ThYONT/0IOe++ZDHWaSIrDsmcxuqoxgm0pb5UNtenauqGr4AzZYdJs/SyR2zpHGY9A0e9
ablRtPYoE8i+YuViNk6MSNykfe/el6V0X2DiAXfpY9PbgNR1s5PEHc9VgZo8o/CbxzKsqxDqB4hW
01PlV48j+3WoTWyvtR35K9fJseEi7TCM00lUX0DsWeeQGon8jF3gO8Fe56eiGlWKp4d6JJbfRp+s
ISqoV68M6V9MWn/cJhVR5YMrU/uzBKd556amegR5lJ2KGM0PZTbwnrJGOu9zd+1vmLiqLrx8Cl/d
3mDXPkry+9mU4c4gc7ZSpufuAkTxtQwdiaXQ1PvephwAeyJKhgOcwOAaAYJho5DTyf5StkRIyp/b
J9ocjBt0EFTPMWzRmdwwmzFvGdjsr6uhAu5QX9OW1giCdewPJgpFM10eYNp0gFctq3XumqTPXvM2
5ENXEii+Gin7gGQ1aPjkAOTDYlcZdDrAh2oaDROI4P5Xh2zQ71ByjeniuCwl7gwQ8GiZBGX7jYEg
rigL8ogbV4xQ4WoYspBGHCOFwxErpvRt2PhOeIqJb0/Lvhj6O4kHJTzY1eyIE/z6mQ06qEuFNFHe
+yWlVoD3jam7D+BhVM8BPvwR8zpeD2DaJjT0dZHylffZnWPCJguTkvvcDrr2H4Mxd+/g6Q6oJgHX
fRcP0c6wZ2vnO2pcVWZs7rif5RdrZtpGulNbQmSsBCck5pVBMdCpDWxFHwRbkmOMVbpeVngZoFG1
fUOhjFsX+C9Kjg+WuAHHz+61Ce4FX3gqM+JgrV1E0jar+lclu/qYJ3H4lLS1BlMx4E4WlRs+2k5I
iIvTTcE7XGKymVRdnVAoVLq1bDvxd6wcFW9rpWnoAKtv61sTp/pFYT7HZhpZT/agx3qbxQbh7JLs
/Yjv2XUJXZPl3huUUD1NsofSUkJYDdeAHbqH0UqGai8nxYRozuEntzkulkEzIOkBEbXCHYScYC2Z
Pz4qmfvHCYHpdrbL29qT4xY8HH5ov6IApZidE0Z2BQLZOdazg3Bt6sfQjVO5iIvgOOCw/uCGkTyE
npl9Vl3Vb+u0lvVmsIwUb0oTQA2zvfozDAuOYCWACmoohh14fG5Q1Rh5rInjJpFr0Vr2pra8qwaE
Xw9oAzWAwdmJiOuBZ0AjHkbSFSl+1GUNYvInROifujbQ3LSMAYWUwnQgf1sZFn7EqST5G9TeFUD4
VxPPn9iKFm5HUZLc2NtlBhjXctrmUIDUffzDDPhfpHr/q4ch7uy7QKA9DxvzP6MK+5nqbegYw96j
xqhAIg+TZT3Vtvc3T+fKsPznp3N9fyWMOcFEyDz3z48jfcPU2BXosemK7iO53uFdPTMRhBMVW8vR
SONfWY9Wwg4tN9XfPLp5fbX+/PAe6CKKdjym2z8/zZiuUoNkld7bkFg2+Db0g6lyFz4Ah4Me1f5O
1ViMUsKFb+lUInNwmuiF/zhzurC/jxkgfrPrwaNwOffP4+3oUUALOwhZRcCp/+58QhU2hji7tJQM
QZzxZqgXQOJY2vinv37f/vUJMQkLj5FdSDp8nevr/Yco9owb1aPrtdrP4KHxRKQxrpUesIlYkzP2
uceHmbL+BlD6rw9qCVdQKa84mbqe+NNnsiF7aPcoNDxoOJ8sz+IsrdEOw0PsTfXHXz/D60j/z28Z
DyaFzxPkN9m2+c/PMPQtk3qNXO8HQMhrpzE/x9TY5GLUf/Os/vUrgOGcYwiFvYgclnP99z+8lGSt
ZFXWcQEZlZTWxZZVwI2zkE63++tn9CfK4VXFgLBoM0VyTDQxHv/pTQtTuEPO7GR7bSM2Rx1HCtDJ
UXhC/bC6FaRts93CyWHOq6KhvaRDZ9m3hPOW3IiiTxo3Of1VEpMBvphg3o3f58Pm+6z413/qv7wm
UkJ3FD7CDi+Lc8Uh/PE1CeFq6KZU8T6NIuHtK9Xp27EcGZb+7cex+No7jn9Vkiz/T6+9W0dtHYZd
tC8ChgEAG2ZBH0uQZYfvx/mflvv+76NjWI7iW/rfq4K7j2b6KPhq/s4j/YaO/v4zvwuDnvcbWAwh
PNQ324WMwTv0uzDo2b8BgXApROUhEAivV4N/CIOW+E35pksDlufx1bX+gMYwvd9ciw+WL02+29d/
+Te4oY6HLPmHiwRSICojZlGHRxEKMMWfLhKpNBnzKW/dJr2hLlwwB7zjc5FvSIQmxLt190bfVrYv
sEdTw1wH5gJbMq5W2tx2DawZtLAGN7nN7yCzkvjP1HZYr+ZQeDfzLOyn2Ana88AOfT/lVvID5pKF
5Sgc9wX/3bm5gx6vmH6mZS21/ZmOMx5zjtH6hkSk+YgCxvAeM69joajMM1j37NHM5LBSvjAPRUT8
v62tdNWh+6008CusZISq3CpIntEp2kPDoetZVFFy5gS2iSf2KorMLKHQ2l8zy6hFkmixcj1UeSdV
5tJKLLm/FksvnRBAHqbwMsTZYxXbuCWBY48p9WJ1l64tNeYPsW68RY8B4Kbjmr9icbBSkVMtptgV
J9u2q7NFLuAwUua1cXBZ3thmb2MRT9OHHmLSudThvE48tyC/ZrectlpJ4Lfu77MiYgjRPmugjENW
2jk3Qddk6IUjh7ax899kY9O9aRT9gdMcyymzTi9ZZjU7h37wpW4qqDydnj/83M7oikqwnHLHo74J
U64GRgSsVDuHxoaFEaTVF/d0yjgKqA0xp/p0eBN6DJ91Hw6vE6Xqj37QBb/kbNPBZiv84IBEJAfl
SWB52zPZ5u0mtiLxlvvwAhc2B+xqoWZvfE/AjRKCC+z4tlB9cIpVPh59xvt1U7F3p3hwVvGKlg9/
xeBPiy2fEQrQDAzAJXbCmaBl3+VfcgKCEvSSNasoyXs0bVmcrNw21sHo1A/ZxPti17lYtjF+m5GN
xxwxZuH9s84pPhjyUYV+GRM6SFvldy9en8TPlJbSDlUb96abVMekH8wv7Pl08bD1ogqhq/H+JuE0
3tGW9xlF6p0dVHCumhnrC8GhowmhedUNeLcXOikpZWfS7lJc7pVz7vsuuY9KJTGdt9OBxbx3ySsw
J0bK1FjIiMVb2J96eCwfDdD33WTawy6MFXmzqUr35CfXZjgGu5JRPwRWarl3tBSWl0EPFI+67nhA
m3DeIgvo1jqde+OVMqD4OayydF+kw/Cec3/6GAKGkAiT4aqkC/Y40Le8osB0lbrOXTzK+t7qRyom
u6z/YANbPzsj5vGm7Ky3qq9Czps9LTGTRSUbqjLjup2TEVnxv1Y3Yev4Lhw/OzxaEZkw/CLVxRlj
AC6qql4C6D7sN3PR7cwanW8p8irdJEB5gx4O5DJA174nXkaXVcrV4WJaZAs1Oh1/L00duNBMOTy7
eewdOoKbK2rSyjP9EKh5OjEvtM23VFR2cq0jNJu29xpEGS+B1epWUPXSKMQME5Ae+YX6Jn8pdyJT
4zr12WQR14AqqWdJjAzLGeVmGPZYczcjmEcxPMUNDZlbfLEiW1JelnorGjdo3CFDCYTComW0tlDs
Vx2wi7NJZnhdZpbYdMifBWqVFs6qQg5UyyIBM6ktr49x0xjqRitZ44/iUvzm2eYMqgXdm+CMcxUQ
pjmkAb3PBodq39gl9NWwLTzhUyWYZUfk2XGz4fc1+uKzpRR+xOATmu9244zOoqja6G0EKGsvuCCy
8PaKxOtJz5id9zZRrzLg37bUk2TwumHoG15rYc7FgVIqy12gvU17YxBOsdUgZOSy82PjR1iOZrnQ
TuW9dmDg1NrPVHMrqk6drXK6XrSHgDbYGJMu+jVW7w0Wh6nbKlOM0IlM33hzI+obFmmJM3HBigRR
jP1ZTqdkbFbN0iJOcjNkSR2tx1Fb4zo0JW6Z1qDMezsVpC6wdjrlA7hT4IKDmpH8UcfaHwJuXEIw
x3UjLIuOqR+qSBhHKvPolsxhz8DiiXCUJTXbYxHi3cabm3ZvMYEL6tKICCZoaYNN+KWdomXaGe61
oMoJMKpnMgHICWiF/EsqD1OSuXspNSzUFqPOV2O4xQu22XZbqnbKlqbtDGx0xzq7jwnfveCubM8U
N36Bpm4+nNi/twk9lIsZM5S3GLPS3XQi9w+d043vk+rxUNpd777b5L0UYIN02gs3JMUXe5m7DWXv
3QepmtVtmAZGASYup8kx9ZqBnhqfJwBVTW+pOKbD3SWnOywzLr5PhGvHI5HY8FmwaIMMndntqpIC
nPVAP98vqbirWD4c6yXDJLALKA9nI2VBzqpcsgHSeefsDQOxFDufq14r9OdH3PDpEQaoSf6AiP+4
LCObJdEcBP02YOny1AFAOKe5w7RHXQ/lmwXa7ysRG/5mj3HkwHbcLlhGxKR22shvD7Df6hflJrm9
jzHKVcsAJigV5fQwE4VDZzilBW8caFJcjoZo+QOdPsw+a6MH0kDkdr4BoME3Rgcye0mKrDtyDZUf
QurphTAgUfLiSqj7JlOXRmHZlGpnmBH5cHdvPj9/1/ZW4C+i1B9A7TjGW03TJEldJZ7yguygxF21
DeLCfw7n0XgSlZ/d2RZqH8Z8PHeRtvIzxVswroA9D7+46OoLWS2JEkYZ8nPf25NezXQ0vxtpSSUM
Yz4Tp1VZD05MNJtoW2r8KFBJSFC4oiEv6QObWJqB4qjgA6j4iKNqrrZG3yfNml2Ljzk/Lpt6i2Am
XjXVZA9lIejFimyVv0hSfjZRhMG7h6QchRtvgH7V9JTUL3RaprcQP9loaLw0QLEoLzsGOC6udPXo
btBRPFxdbkj5SGhYDrMfvFegO+dRVc9Dq7kL9Jr7uy3n+7SJ6NFNoS00i7CWfEHSqiihzV7pxiaw
1ecquYZyWI14pz6aoWCMgeeFOx1TKkUizGymddq5sASDyNGXa1idj6dntvHSTKPgNXBHEqL+2MOz
yHhVWftVz107und6iH32YzHve9KwTEZCms/zKLiiCmW394C6q/uB+iCesxAmnhtJ1IbmvhySNrl6
CClWvbS5w/HJcCYP8bGTG1nKDg5In8brZBbkMBgbSa0mTXJxpUOlFdlm84MQRvkM7RzjPLkBceM2
I6+In6U1g+jIK1TZVbyTY6g+0jizfkKK488KMZo+EzceeH2jCYu77YU/FefZnZt1/jM5PPZdEGq5
+GnzJp2t5JxNDqRHw8nmLb5nZ8edtkq3uStzYk+JmLxtiRx+CoCZHEdbW/5yNj2drOI4at8Hhl32
KeilX1nl578CHEsHJzDCH7M2Ye2H7eyfzNG6iZQl9tNMVv131ej/D41/0zph+SZz1H8/My7i6KP5
48T4+w/8g6SofrOQOfBSmIILwR8GRvXdM+ExF3IQshy8n/8xMDIVOqYgKHx1eLim6/8nS9G0f+Mn
aPSlSfBqJPn3YIrK/TPD0OSKaQE4sJ2rCimcP02Mde9mLbwzyPGBtB+TK3y4m6LiMBLuW/XsVLd9
nb9FaQ6smMKKtxh/xolbJCxj/c01LkBPUfxppy/JFXtc9LN7ln7hBXsqkCKC6d+M5Lhx3RdzvsKB
B4r8TgEfZowOV7xy6k/cFq/IZR9629fMceslmolhchJFf3I9Y7zFCQrfvQXdTBdAuuE2YB5G5tX7
7op4tq+wZw4jyI2EjPchhb0AVU3jamOdTftYaWDRSebDjSY4UTzio5jFHvXJOALyxQrn2EmPvd/F
McKxKHhi5UJpmGM4R9cHUU23ETf1xKCpeFl7U/xMYbl44jID2ZomNn63VZIPh3gDDoB1kfnpXzUb
mFvAsZsWTLZzBWbPZkLla9KC0RbfRO3mCtcmRYF8HrlWc2dUZeoTsATE7V+R3GwIi3PxzekW38xu
s7/yu8Mrypt0lnFPjzx8b+DYA5uEb+q3gfEdVMpU30TfXPD6mxEefPPCwys6vL1CxF0MocSYrmTx
gmv0ArSJRaTIK0/o6s4+kZLYQm7ThpujAezMziHwN1JV8c0vdyOCtZDy7GaXfBPOS190oO604N2N
Oh869qwIILRYMImLwEhnSq82rScxbJbC2/QWLPVJZ1gQkpalcMfh5meVyuFNavjrrNPDI7vs8g7k
ifk0gOw4p06aODj9hGdsnEokxnrseny6qY2LfeklrnPAqz3tiED5+EiLag0lk7WtU4LURkvwTvaV
Gu9oja+F8+/RujLlpQs6iyk+e8wLRz9g+IqGXWkSyY6/kfSKBQF4eof8i7gy6yswW/HCu5LsnUZZ
J6cmui+kAeg+COCgdN/4+2LgJaUWk2CTNHw8sOEVlZ8CsD4FAEvzK0ffvxL1jdS23zws2Ef2tdmO
26fJy1RK/6bpeKEWjleAfat6DBfLApMU92OfFS6pM6gHbKkHvFGqna19i0kBR6xLB0s89c29URJ8
V1OyvkLvV05Vv1fg24CTlvmKDJYBzZnJqPHLgxg7Y+N1QblyJvuiUwKa2N82uU/0j/KTlyCK13ln
thvKTRpYpl50QnkaCKXUP2GL1Te52zzUTfXlx20A8Z1yDU44iwqjl57t4ZKzpfecyl7KxKVtwnTJ
9rpdfgmcnE89etnobgY6G4tVDT0HwNWImFG283bkdkixQYJxuHHr5SAs1jF2Dp/an3V+IjzlIhSo
/gljRHE2RMS+DE7UNrN1191pF22eQ3/WqMUsjGhYhMao3jswG6RIlDbIIOow+klgU4gVVxPQUqWY
tX9Q8xhFW6vjxSGimxkj5riBP5IfcsSitEINGMkaOgOok6bfeVBe+oma1G06mVAtACuVj4Uet9Q4
21vR2wJrVS33siGd3Q9QsPIQHOEi5Iz95PHSLjsARYuhomuZTs28WUFsIfAiMsJqRaK7zcTi9kwE
Qzwo6NrvDJyANcy46Y+5aUK58YL0NjBVsBFJGX9VQCE0iVSH5NusxbQZsGqvwbgOIxw4jy+81Xdv
FSLUrk5dBp1+TuPdFMQs78o0hBLVeuhyrnAXVurHO9g7zattNlTBNBNshICmxRy/3DoD3f0gMtm8
GlmXYttjTbYyE6KzbceCjte/vU0S0fWU69ndj5CZEve2v5tD0PBpOp20SLPXxgxbbP/jrptT44EF
Zgq+VaX3U0w1CIex+WIaab5VRWHd1sWpivWeXfoEGRdGLsTe/gl7Y7+hABJibTJ69Z7Mr3Ej2kJU
R4tP02WomuzEapfa8pTm2QPV6G90+Og3z0jT5zruyjMvc3qXp7P9rp2C5W5NXgoeAkCJSxhBa4j6
iRO+Gc4tGBqIewOgsmULPgWG0FzMqyHo4rXtd8dsmu1lNPcOYP3/zd6ZLFeObFf2X2qONHfAATgG
Nbk9L/uewQmMQQbRA46++fpaYL4yvSfJJNNcszTLaBi3gR/fZ++1h+WysQa9DpK8dcuY5Yd8KZbH
kHGtQSuJslfNVX0/G/oAQY/jfGTmJfKYL2bbemn6RVdGfwG/iDepoKH8MVcRn7L17/YRbu46ag4P
6/XyZEvjfVLqNB+9kPaYPWneeeuUeUn7sJy6iYO0tK58IkIrwSE/DiPHvWlqqq2ldyAlPT5wc1s1
Lyuqjlrr7CJY5ugYqthskzDMX62yX54h0tlXC11r2UbCUzsbRQ6Hwhf01Ug4X5DRsp2QY/bbjXWd
7QF8m+eJbDyF4Ywe5S6oG/9qMjq9trloY2bg2Qo56MOhEI6PcZbepKqJbqk6cEjpL2FEvGUMsndK
LSjvzOCmW/s54kKC2VqyB6uT5amyGd6wSBT9WbSN90J96fA8pfKrQWJajknYWoSNSJf6QRv9oXM1
OpQe4SWA/0Ti5hZJd6PGYMKt7dgvZHvGJzzs40c4+QkPXYoi/Y3OBG42hCjz7CMe/MkdTAi9g4+h
iBN8ZkUnf8WpbXunJiVh1uFiwNYdHKYI4quuyNAvZLnegjD6vSKK+GrpyxoU076wYdYMVnQqa/ko
Ft7nOa3G80y1K5fzeiPobt3qflxIuZjZfswaviQnlBz3cipT73EgA7Sx2t4+pmXQAYFOGToImLW/
TVrcYIXhjZrt5sI2lnusgT7bG6xp6S5P0nxXuvZ4D9K+Zd4THK0FHELDmfKM/y4/SNhOW13K5i73
1fScGaj3XkYhVJaXHv6RnMh65VpP8JX2k5oT7DC2vh9bt7hpwP9gIkjSVzlT/jI0Rb9vhtJ8lU2a
gfNoSxyDQ3ma/DJ485xivg2lV30NrT0dSAiNXOs8b37Ew1WfwHwzmNjtSdGhcBVXPSjWIa7fg7Jd
LidyP9+IiHJrQvfW2E1yWVgc9yVm198UR/3Ew7UdbqehhQQxD1ZymVPkDHKfEM13GIrxakGBS3ZT
YXk3YE94kJDh+V0MVD6NVqsvKWGjH74YkztvpmtFRmFw8DsJtIK+jWvY05hfkxJ/aqhwlrXTV+Et
qKWmvmFt0oEVosmKogHGgS5BRgaZdgXFg/aQfrxi6Ex2aVCq23ywQWQZHuvo1wpiQXYUfnI1d/Fv
fFlfRga3wIbaQ1F1mL1VlPgPlTEQgWoj5CGurUueiUWPvAW3kgYFrLLVPJXJVox9yhgR1Mul71EV
DPvZetBidsSv0SzaPw9hC47YMwHvPf073wxZVX+EYCBfOKTq4zSitvroYfV5KWqfnKfOgi+wGFKS
UuE0atUwPgJC8ZH9++VatNZ1JlP3gWFyPqfoJRtHtABemiRgmltBQZpNAs7tSLZ0twFLeEKTi05F
S9KiXM0jY5deOq7xbngidHu3joorL7KHZlNAUX4z/I4ru7BQQJgzl5um06TJjKCwO2eyfqwau7ni
+8qyWlLCcGjqebjPrBodYvYhPyhLsjEyXrnYe/RqgUUathDUhDJ/XKRnwwSDMvwLekFx5bTr4gVY
mHvjVEwoWVajgzCsFvYmjrzqDnCJ623bog29DUXmNDxldcP+J1poAgEbZuJXkcXY14zpyN8LZbHa
YcSAhH1RZXlxgynWy3ddW1zbg+ff60goOkB8h5R/CoLmS8+J/B2t8qwHhuIXBIP+AoMw4Vzy9bDV
iijOYkRjtuZgD7UT4BSaMGpW5LABB4/6qZ2bGPEZK+9+wgqy8btKH1TtHgMgnzvwBUQyLdJlKNE0
tfDU+iA600GF7yswgyo+UsxTwIvsjrEd3dm1+12zbz+FZWVdTGkITpX0I+u4FW17QxQh2AyeKXY5
ztpHMTYWUdsGEKGb07AtQgctMzta6xWDzOGJF2LZjtWhrJgN+UnOsOm/BUbEXRJZJ9tbNee1L4or
coZgFFi7oIpfg2YEABVHT3RQUDCVR88WY8eG6yDQkbS75XZegrlE0rbbeleAjHMSaENcRn5jorvK
3HRXJu5aKk6htC+i966yLyMYIxs8RbTZ9r63W8Z6RuRmZednBTHzEfEPT96yCxMWL4CO8JmRMtsl
A0xiL8DHPubNocjtncinD+ybO3TTU7euFDCO3y7kFe9Gp6j2XiwWSO6LOho0yh1Hj9yM49xgow1s
55yWbfQQGvxpKiRCGNVDv69FzwpKJWvGykCiXwCFM5Ra83CcELFwl7oy3Oo8mx2Shr1ehdmuufLg
lCSwOXl9dQO1OJss7H6OGk7K8sOXXtr9W5uWCOlxTCXTJu3gHE3tTH3cYg/DfS7SIt57kQleEKCn
D7Lu4WVLVzyrOopbGGjcN9y8IJ67n1Ye+dPQA0coefBMNEEDcZzlZCbKfDg4xGtER/VjJyJDjqRR
Hnb9LG/PLMxpAxp02/DIG8wrne2PDhuBo6A9qFtrhHjA4HJcq4WmvP6ABe/gzF/944iYAYxwIH5U
Etl/txOFQt9EPZVF3LHW9iJBy8+MKLfmyGg3qppweOeblWzxO7KILooY+W3yjtPMUe2uJUl2HERg
ymw2VxqVYEMFCntluzGX8qdjaSUOvERr8RL9LMkx+WljKvzWf9YMLoqE6drXFK7VTT+a0v+qb/+N
+sZDV/6XQa7Lj6akaTb7V9PG37/rH6YN/ZcLWxTfgceXSNPj90+mDREoFyWNTQmOp9Vw8//bTPRf
iiyXEEy1wIhwVPxbn4n8y/XhuAf8H8V/ePp/4tr4954NzGoapyHeEZQyjf3nX71FXutaxofnuUd6
OTG23Hph9i11eRgIXOOnvx+q7LtWXfO3nEtxzX/eMsuV+N+5RZARsZ24rIY87F72T8rsn5xeLJsd
mgTzfu+FQfOHngNBWEeRIRndQUYXtli49iTctGmQTazlYWoN+n2O8n+TyNZ8K9ghE7teaOs8qKnd
rPRcAS9XLBnrhMXWLooo7GIPN+s71v+kY3vgLAfHDe1tDDLiuHiDf7aijjBCGwBqK2ceLfkcsTPx
mtsxguXNY+Qzpe5z18NVTnG/bDsrBqlSl2BMibx2EWhCyxYUEXFeqKlJHxyyyxQ8ToNzIytL3uWk
h278ljZ2wgrpeOPolFiV5u+DMNce2ZcW97Nb7dkqXrFiaa8zw0sxBYsEuYAQMVGLlvCbxzmBd1DV
wydYTfXc+e3UbtteRrdY1Jort8RALZM55MDCO7cx9uxvGRFS0Fpp9JKMMnjw3GHiZI7NLspBpo82
gYKqVruw6uI3no4Ou/NGWeulzKnYXODiYRDtvsPJDkj1gICPtlHaBV8ATVB75hEAGLZv8cyqhKtO
BOnd2wGLjB/aCo4/DdRzVm5z+uEYoLJ5PGqh40vbEePl6BLQs6lk2zoWILUpKdStSJYk3tvZ7N7h
7fW3bPfEVdJO/bY3U3k3Rcz2ECbWC9RS+92Z1W9JdTA09WOl+ukKMGl3iC0IPexYAsgs3XIJjtE8
15Qb9MyrLf4M33GrF3uy2p1NJwZncDYCv+o1AYm7yHbQhWNiVPTgzFjkdwMsADC4Jujwc/aK65NI
KFrlHH3hvBUZ1mpoEt3WJqM4UX6g51t+3ViTpy7lH9fyXbGP0Ar37BSDu9gbW4hCXLqA+DZeCs/S
6tDtgCjBA6nSgYCPqJBQhe0c8ZROECgAHb648+Av+yUF3Lhjdx2y5+80rtKmxelc+Wa+CBFOUH9h
3Fz3fdy916XNBymrxVskqvhP2Pnmk1cmeWgRnW79zOUaUM/5XO4BW8VvqixQYxOCOYS6WWpuPCGH
O8/u+VsWO5YnJ8xodCDWrd6J6bVnb0lXwwD1qWyWoQWUOy7i0CVX9j641/nRrhaqE+i7rXejtAl6
pVwNis16TH/W4EAoLOX8vh9CGbwDYIxfsQLneq90U11TfZpJPFmR9zJ08BL9vpfTvmdd/sElpH0e
owAXgF023kedpFj1DWrKTsqGZbyXpw09IbKWf6w2kY9xZ4qXwYVpBMDAfyt7WjtJyeehtbNHRzxF
hOhga8ghM/u+dIvHyqvVnrIND9Wujgx9osTjaAR2iOqD79bM0l6TAxXyJli2UQzlcx9z/TzKeOib
bQxVbTN0WpxmfxmGIyNy8wB2jWhLEIn8coGnwtZzJjXD2r0Al1KAnrqdzdxykct09gKxj/yOELA5
t17pV59CUBhD3MUpTmz00GGllfozT0Lbv+iRYaCR9wXrQwNH/s4q8vjO7nwYwOQxgOou5CPvE5wc
L7yl7qYCwudtPG0QMBXqKfNKvFNGjXu2RMV9LkH0L6aFV2NIVbw5LTczHmZi/jXSY/7Ow5x3VJsS
IRhJvXS3LImtYAsrNqV4dDJYr2l8o0SELzkcm27iJ7XAw636OI52nQYUYCIdkAkO6e5lr78MN2Pn
jS85LE0C+oqbFJaewDYngbzyK+nagVm0d12zR+wGTT3OAv8dl4Q7Czvhs8bKVWxbErF6H46lehuL
xXzV0QJfvIipIN4k5E5quvO4HRHziAkbR7qZowsZWjaXEkC9N9x3RHxXCcB3e0U/+rkCmhgf29xB
lZ0tGPzcmqEYXAM4SzysYan1McLmCbdzhIOEaEQZHtqypSxobH11UOAn8h2jNqXNZGdYwPPBob+C
/dGEIgV1OOOWIAIkzWp2CRS6Lb9Eui4mhEb3V03LxUd3ejkH6cpdQWHFgtQ07/5gSZwVjf/Sg085
D8WQXS6p4EEs2nX7G8+coFnZz6+Fljz0Ip2MN6rLdLkvGISfofYwys+UkEMZc5X/VcGpfZxwOyN/
C3bqoxGZ4SvnN99zP8T3gJShXyWolHss+OON5jpy4B+Kskq08rWkYvIcZbqiBgEqHRPomgvihos+
XIqt5fctt3+URlxLFBB06U0/xpQK+YL6r/XO+xtsUX6jQnZp+x7UBvYZbqCs7A1uzlMYzYLK9F6H
HyKakQB6r0O9rTxwB/gbBu64zkQNfaGRlbZ6miA0cP2ssQbE89vqcnvi8WvupsZmzUdO+he1MfLK
wwoHMSu3819FD2Z5A8fE9zaR8CB4oLpRA2MD+GV/SOSbr6Elmvexd7s75VvDTTiR6hV+6/6hJtLa
6jBZYDn2zmfgWSEtjsKDalzlR1slOFB0BRR+03Ar+lqSITJbt259l2C8hebJm2bfJ6pGO8AtcNEj
b+ZX9TD4v9w+jr+XLKS9SMY1ngWZZ5oXLo0XoE3dNNkUTUxqqFEzKHefUWE/OF2Se0/KeOKxZQo5
bWyAQGD2O2MhPNQtCWIRcuRv1QBI+CL3odRuLQdefsvSZzdhZeFLgKYxtRb9EHYQ3lRD9TqsmKCy
wT4Qp7LaEnOc4wODAUCNvrN88Fyx8h69xQG/W8+oh8Sy2CCaeLLMjs5s1hHhDK/OWEDuCZR81nbn
XJYxpjQEBxmhSLOMPNWW5V31Sv6CIFw/Z5OjfuvMDvKTL/iY7QOcHPQX43MDpE8B6Df4kpRS297n
nqq4VD8Ix4vCw+oxnNFNo7ClIKNP+XY6PdrJODqrpw+tisSRTkFE6h6a1yWYP/VKroxPFDakkkGI
K+dWCY69JkfLx3hKHHnDAS+/m4xVG8/pPHpLGrbNW4u27lsq82jJE3MxAIqkcGXjE8flsj8V85m2
Z+t3mDQ9+yW8rNkma7TYsnDp3p16IGFHWtt6j4D1elunndOPaXR4CgR2gdom0RcfS22UOkWDYTbB
KDM+j9koOIwhMLQkdh0n2PARICIGZm+OrtHXnAdR5os+gNUZ6cJc8rpBMi7ri86z/a8iZAUwKW7t
AS7XpjbB1umQ4l0ycq8je/aNa8Fm2jRhLDe01tDPLdZA57rw2gb0tUFdk9bnLCPzC+22ZG2xHZXF
qjJY9CbqNG1rNBNu2pDbcr9gzKNxzb5l/cVSzFvpTc4AUcSddwVev1MUuCCt51Sr+9RY1n4sSsoD
2iYnvR4qjtwhvENlWHHPoIuQE4rPAEL9K59E5xv4doq+i+ALxdIP7vy+adi3TCPOvjT3HxY5J9Ve
dEH8aM0Spasfef34UrzATeNxlSMTlEcNJveVQGD71DYdCLpkcad5h5WopWtmNv13wDT4qeKBpgNs
emtaHMR9u8WZpr8dTWYQ63QcPykzw/qqWltdjy0OGPKVtHFENp/CDWakMt7Jfh6/EwuHgFnq4nFc
eKhsTBmafmdB08LBWUYxQ2UHAPPU4wvToAmn+czGjCYlrGSUZs+ctCh7+HFcNTsxx1hZ5zcF03yx
y6BeiguXHnagO17yaDLsyBVW0D0Va8AWCn/RELIbfz/aetxWQeqAPaj7UWDu8axzloeQpiawhyMf
Yi94qsJhcTYOJQTw4ZxsxSg3Q6520O8Iv0eLF1MCaWomJEvNvLS+qp5lVxSwP0Xm7fvMQLVmq0kz
CE6PdhvR1v06QzZuzwWt6X8yPyL3XfshU1FpFYyI0iPARVGjXb0IEn1PYyv0lw154jTO82Qu+oTv
KEVlXPMip0k/UlVF4sA11r1l2zjLjWMh5bIwE/IyiAbGw6AM5oZXGS/KDoiO4uGgJI5sBRP0vtEj
yznqblgvNMnCgN1bXHNa1Yg7zOg1VF7dEIGd8bY/+aRnNyAq/pRLPvnYNDVG/4YmH28zFFYanVwv
kmccke5NhZkAk2yHyfqcFFqcQRbzgUNYyy466ufu2DMZlLVM0WqrXK55w0SSP7GVuBh1BP/ZqtIv
z29Fs3F8Ysjckt17Ly0vpUYZGmugWra93Exx9rya4XbwI7195YyUIyrIaJVFJ52MKB6yKc/jC3Cb
0Eezn73ObP1csU32GT+aamhZTvhdtu9nAnLhkqS7uM97YE6jOGQO+in7ofJ+JAl4V8wN6GDJ1AhW
a25C/ppZ5VcV3JO9xaaYHQNhU+zyHjqo2yKt5ic2YRJs67iPiHKDY2/EiyiL1SwIaXFXNO1rGQ79
tkts72HwNK5gk84Ht5xu6SWaRmrpe+9UAQG9CP2QXqDR2BFyKBUA5CPq5FKSPUZag4y6F01eYkCr
gvMyNCOM0jCA3MLD+w+R2mOtRftt5jiD2Dpg8BzK4BcNVPrsx7bzZtde9KU5QLc+LxDZCICjHSba
emPg2Lh7/sTMuls8B3L05EA950huzVNB6As/eqjNZsTU/eQUtMgAOe43A1nnk+/Fw7Px6+w9JKxN
eFvM1vfQ+2X77mRcgxgAksE+lKEWy5EF1ah5ktrTrqMElMZ5Ko+/WBk0lCTGTJZDHHCApZMUTANm
pgKEAhPMwqkO7skE6fQgNf2FvTsO3HGEwcLXJyA6uGYyKeyy9cw0GpvjxjFsBjd6pPtnx4zUns3P
Y6fjR/vVeWoZAB9A/gUua/GhGLB2uye34JpwoP+knLZ21apsa/zewfZbSu+980f5B/K6DdwbWDtl
FMQiLoIhmIJTUY9txEY4ZojGLOv90VgjdglKzmULMuZmTqfF3woRM5hiY/A+m4IiHDZNdXKPLFCd
ut5xHlQnqGOPtOCRGGpvJJi2RPPWkCbHWFX4s3tMsAFTV0cdpb3xBltc9ew+TjC4mJ46TVLlUFkT
ZOR50d3xf/XRsku6+b/RR9Wad/2v7InXH9gTP1oyE/+ikP7j9/3DpSj+Il+F2InVUAvh/5NCSnez
K1FH/2Oszbb/EjwLeSI4thMgAyKrtjDa4//7f6T7FwbaNcXosPeGhaX+Jwqp/NuG+G/pV/7s1TnJ
xOY4WKYRXfkX/3MA0+5nTR2ZNWElM/ZAtRZIUta6mPyXWH1HWRfwACv8wNkBEV8aYB7rsSN/TiCL
WhnooanmVta61VtBiXBwM/Bk4VeUrf0JaVquI4dz4U+K86/5OQvzn3MxtNLc3Lvgcl4B/yTRo5jV
WN0T8snJ3SBwcYtUsBZI63uhvVOwwpsdIREix93ikXfwBqawTVDYnOd/j5SEb5DWKjoT7soukt+S
UvZ9Onk2l3gsKhdE+AkwZbFlQ11ehmJHGadyuURLEmEjIasr8TOGuOtEQvXpeMbV5upd41ZDeBP+
DDE0i4nsgdn9LR2WWR5hIjAB1b7NHW0MPagSSQxXdJkalV6pwQHjh9eMscrmdgyaa2hpb4COyUSl
LYLhzc9UhpkAF9NI0iq9bR2BsIba9OzVmPot4czRYaFqKac/MxqzczOZHq9aBH2VIIOio35ug7zd
TOucabNE59EhVM8YykDaraMpm1f71s/b6ko2Or6H6mF+tcy5btMx8bZTRtwtCwp3z8at7eDseppy
zTx55U9DQR6i5i50LV1duLlh6l5+JnBmGfWQ0eYUgX1fZ3Ts2SrYID8yu5fzgsNrrED+ULIMjPla
dX6zrmm5zG3FuEBBa5Cw6SFbRoyK9FnQCNtMdGO5PzcOTZzlrpwmSVsPoB+ybaJDPhwC2nVx1tMq
gurIXaZFOg4oqctic8mlhEsIVt1+gM85lid70l23w71mA2pc4Ovuup8LFK6FJDzMWTbkF2Ku1jLJ
grTBPvaNZ/N0NtNTSxqR+sL1ombWK1tBEdXWi5rmC/SjnM586tDwxc/lb2iYaXeurMhGAPZZw4ns
3oixLc1WWNzK0I1C74xpy/ltAtlPJ/bNutjHRCPQTdi3z9u5iaqzM3ZrXpCN7VXXJAgUiX/no2o8
ty3r520X1tZF1Mv4rMcRIb2VhXkFRSQfGDfb9wW/7yXVIqcB/hvJF/5q+zFsBq5cFZUD9hOZHpQA
SfUpHR7CzI9J6SxfBV6r68EVDYGYvorlLXBe1IipyuwVJUSC8bSIqLgmRNN0p0lVqGQiHYpfHYUW
t0Hq001IYQ74FBoN2Z3T+6SeAFTTSSHsAreNtrBsAFumWEF1ZUziK5oTqhRnK5KXPTa7iZKtQl03
RvZIYHRNEcNM8bl2QYV90J8pxPIgmS1bJgNb76qawVxpEb5YSx4eF8Jb22Kqyq8ciucmb+LkEIVq
eg1W9lXdptqnQrUpYL9GfG9M0JKPqADKA7ytLkuRD08t3XkxsnjOsyAPpnOilHOHxsjEpwInPfUD
PZkljGw4X2Kwi1MtavUsi6y9hKASvbsZ28390nUUOWZT4nPBcLjbHQMSnSS9ovj3ZCwW32mskTQX
IenhqPP6KfHI+zIhrDnQnM3/BhXd2ajQ94COuDHge9JbAFQm2PhsQ8rPeqiG4ABieYqOMScOEgS3
DIZeIPCKBOpNXOMfCJWNGAGzNR8fzZiESLcM4WoXMz4QcAkKmHWeHZozloK8Z0frSJvKMWHoknUU
xLQl5LO6dUXdvg7p7N8ydVRbIFvWO0Ydv3zWaWsJQj18UTb4HcQutCoXOhjHoP7EQ+JgnV6co9uM
fDzjV7gK4nfXw6rSdpWiZ2QNcZ243sUtOgeP8DVziTorSNngTWI3goDWBvgNQBJG3bme56B8IoVE
JEkC3dlTSxA+0GyIxg3dfq2sHClVLF2ZjNgn0/Re9Diz2YmBPyPp6OJHV5jEP7whrAaSo6LPrpUT
LmvT9ERNg3SKvbETgQ+3b/q7MKH7iqtImVMwMkmKQR0YUDvpAmfa0PNDNwg6/fgczAsykZtIiiZa
XvkEeVl59/lUW6D9INnXIANLY3bAFvlBbDc2D0m9Bjx5NqAGMvjiwI2Z9+2LRLMx4qVIPJwdKguo
+E6my7UyB/i5WizkcDaH01SZBMpsgKQEXrkJD13tBqcSOPKXNwX1K2lxckUEj0gQYeP7zJRFt3vl
uzZyVNrT9MZfAfePyO1yIUuVZafWxVlMo8Nc07C72vo3Wq8vQknAXIxZkQKVX2YGhMZxPjTUbMRI
YqBPM3LBdSXMSJNdNmWw2DK0KXwSiDYDlRg34JyTB0fHw8s4c3HJZlAbB2Gx70wLrM4o1ayHrjMc
kU/DIjRB05Q7/ibK0G1Ok9frP/6o5lPhRPImHGNUksoakewrfJVQzOk7qHYaaRzq2BTTRc6wPZ9U
n5rgbkY/HUCk+DEFH03wy3Nn955SPNKoaTJh1ike+iLghpUSpdiFXPLo9hHRLowG65QSoVr1s9+p
oVIlMTwzbbxWzjvZU+Cckb3o1y7pnW+UYmiNaqo+kPplDDUTl62YVgDAegCIJEofMbj2W9jwaURo
uwDoPtnJA8hZ/yxrX9jHwUF4Kaix2eWsdzZGRlGyrcM5Rl5iF0R9QExdCJ571MRwOVv1QnxORNwo
VY7S/h7LLrryhgzwYQViGKh1z94wQEeMzchON+eHPqa0AAPpY1lF5VM0XuLbjtRW0GOyhzw6+3vq
SPybobaaTwSQ6EuNXvwrbucnS3KwbmzSKwkVhlQMJhOoziL2KDHCY76WOvIs4l7sYG25UGXn/a6t
2Igjti/bOlMscSEV1xe6BjQ4+AWOYJbIpxzh/d2VJBFunLQevj3tlyOzQQbXyutithtxOlrIdvYC
6G/GKcV+ZKwkl+Vsgt0WBV+EF6gjrdiKJEevktVX7TqiuR9DG+6ynUrsYKpAbblKAsnLGEVBT23G
EJovyh4GeuqVHQ8XIXqox+mcETTIZUXYFD/08Ei4g3tiklnIWEFbORfVRFvDg9PUD0NrsursNvWw
krJHGHS+wzLAWeJrVNSEXo+5hZw8Nd2R0N+y7fKuQJVQlOZsuUzzNWEQ7+4SOgwvCh3pc5nSzRjC
C78VipQEGKyRpvGJzXBYmRyiG3514oJe+NWgmT27pR/ve3+0d2De7A0PXv1iWWVItcssNF5VQkDl
x1x2gTnyoA2eZso3v6Bc0vgQqYbOs6CtX/oJITtF4pdnJ5vzq9YGcbfN60i+wlWXLx6z2k3budEx
yIcISQxuaXF0C0/le7EafKfZmHrrwKL75IDMdxxZ+gct6rx2YfthN3UIbGnIKfWObKAJiHX1q8Qc
ZG1kEPsgFYE0jFsrmcuXOuqjp5F+EDgIHk2ygnnxcaTC0NV8kmv7bRkpHcNrmY+f0KlJK1iKpzEt
gBMz+YecqLcnWvWYZjYFh7bDk7+bXCc413hCPBxLcliuMnYMM0aysk9vkmpw7F0wWpRsWIrl68lm
Lbgc+K/C55nnD/FWyFJHh6Tu13wN/aHg2XX31FI3524TO7IfE0qEcMorjvJ4zsxDQ2/HA5/95bQM
aLgbSmRkvyuB2BLyT2B0t465FDnIa9tiKkhy9UeRYGu3ZhXe4kan7kWbsn14LWpqzHBhGuq9C9Mw
EeINl9cGmMadGsk5FlDkph5rfE1o/ExEuto70Cm3Qzu8Z/24Jg4oBAi3ce43wcaJ6Syop6B7GK1w
OUa2jduT1/aiLKeGijyK46tTYlHDAWVJJcleeDFFE2qwrF9xh2R4TrHHUenjFP7z6FAwvStTJWGy
NgMb3Fz72LI4aG8itV7OKp9uaU7vYHpM6MDOyaUEKW+hu/wiFjW+2/wUtM6OsZBbzettdgp/11E5
zfSODZRdDqhQdUvtqXhiwOUJm9JGf5jhs59D4mB/irCeD97s5xeNRNM74W5Q11wadHiuaXf7nVbG
ofCZ68yOIQP5JV4CttfUzE3vuNVYmsIxUjbvIt3iORE0ymGGpcMt4WQUe5ZC1hvidMNvvr7eFfR2
9r6xFJzuA3XRgKHj3OyGOD+MmGOxupO4ubUFw9A+rEUiz20Qh96BG7FwdlFipdyquN54Wy65yxEA
jP3udhxgtH/Ag+ayISiLhMjuEagHdDM/N2Er1ckipZoekraMv4a6cS+GuJe/iqnUuzZ26UEyPOYX
Gw1z46J7Hpusq/ZNibGpcDVhE4qzapgjrIgqtlJe+66smtCFP7hHTzbxC6IiKOcI8Gp2oHLKu18a
0kHnurKRxtpgxRCTePBIPEwrPmAERQtlImKucWP0S210EG+jLgm+EijYj04bPdMD2KwNBR47m5Kd
fWEWn772RBzx+evz3NJDqxW5RENL+p0/1GJnCC82e87mnP6hpG8fmnBE5G7wOO+SMmk/U0g13QFY
d9ec/K6k00/GYIy7ZbjFjwRblKYlP9u4wCA5pKdZfKhuFLuc9+Eb+Xl5wFJF4CpPvCu8IB5bGEzq
RRyO1xUxEjzDrChyt6LBqC6GU6a8z7Zn4MnACrDhKPHyxNyS7Foc2zRn4h085xU+8BcfNxaQBXJj
7yVf+UBaug0d7LmJ5vVOmZBxSt0oKlzOhdvyAw2VudMcwwc4ONE7M0VRAfafvUeVfcCZcImXhS6D
funsEmqj9lJV7kVG1uYxNJ04Npo9DA9O0N6tc5RJ6X/1GDWof27UhWMyGms0a0Cvz9KdmUx5SIvG
eWyknC/ZiojfQaPKS3TD8QPdEB2TBpPiEFCSQ89RVkF64SE5fi6911Pumskaz4Grz11GQG5T2/zb
SVhZ9YebERzcL17tXs09AJ1qYqbPEI6PKTznk2H/ysfEYMnVznzjof1DpBvz+WrEMhYgynbLnzlt
aUiE+8u2WBX6aXY972q2sct6LSWFUDAQik0mdjaT/B9yYs2x6eqfw+StDjCF0Yzu9tetx0O089KK
LkxSwuGRsgby8nI+1jku3xLTGq1aK+Io80z3zLhbI1DMrdlOP3cO9na7unWzb+3EAVulanlg+7T8
wvbsPdDr0lMTE9NjD22IooRS9BJrK49LlJsjLOSL0Y7MMaYD6bbPFBwM9iXW1qb9jmHHKtTB6RGn
I79zr4ac+2nvq/ptbMSlL2cWrgIW2gPoi+5UF82EJZjFzSTiQm9hOLzVIFLeQlHQW983zQ1SttxD
ybYPxmWVlLfjjjYRCYoGNxmV6t7eJbd0NqR+amfuT87k37C8GYn0+v+PvfPYrhxJu+uraGmOWnAB
M9DkAtfxenrmBItMJuG9DTz9v8GuUle1pNZf8+5hZ5GZvAQiPnPOPuZBCl2jkHJn1g0Gzjd0c/TI
Q4wOA4r2wGW8sVyV8s7CEMBBlax5ZZyXQqkZy4dNXXuFgW2OfcsjGil32MbqMD0C1Wk3IxGMPB9u
Ly5OaDuIDBJLnsYMAygnLkhzrFIb2S0ehzmsdHwlSdWtmaax2o3aNyVx1Edh1Z1CrwIhdh5cqr0w
NV7qKVG3dp7i6StJsqzAt3lNQQKx3SL4u6unkTJkjEZ/EEJQ5xCS+IEN7h0xA0ymEmIQzMf8F3bl
YMv5UN7X8zhSDgXKmXQipFjB+AKwHwYqZCYEg1FVbkHDDAzYJ0hEmX2uRJBrSCAHBc1+RHuzCkYR
H1DFFXtbbZxfamdclYCyu2WPQEEWyKsF6nc9YY7wtDZTlihg5kcKsAKoV3trmplNyXK2ni09F28i
VTzI3twkYR8f7LqrtpJ+g10ThS0yDCE/ZpgIT2iq1K+x6RX6AVdce6In8eTO3blS2JKcoqGKqKmV
aJfP8LGFprdrxWinHaW3/CI1leD0Vug7dBf1ulHzTt4At6MxkMhgnY6wKilbrKgT0BWdcthGTQSs
m32OQ9NyU42cXa+AwYQN9D9rhf/OWkFTIR7axr9VXp/ei7jq/4I++OeX/WOx4Jq/2SaTYMMxeYGX
If4f0mtX/22BHMKMEuyjaJ1gHPwRpMH2wAWYwMZM+2YjACX4fbGgG785BoU139EQqMDI2PgbwDz9
W1z9p70CYjnOFA35NdDFZcWxSKT/JIFGCFRUipq6O4D4+U5GKkcnYTNmx8q96mjhoMZNjylhkluU
lqjgonl6wqykPNCMvzShW5+U2pnvwwDEjK2Pwz1S0pvGTGWV0muvtNGkbJ9K1uPwoGsK6ODZBLV6
6lJl3zaB65k9WcRZ2t4r3GhUkVP0IZR0BoqTFB4wqyuKPTb/WZJzH7WWxBRd9+ZGsaGg+5WwhkdX
Stz3AcbkeSS2sElMEjdFLVWPaTCcIjVgqV2lMFHwSosdIe3TQ9bn0WtcVb9SiHM2eFcDgQqJyD9i
PfkYXR2gk2meE2B5K6Dx6WGEPIoCE+YQiuIvVSly3+yL+jyJEe+TEuT3SZjVJzdFwt7TyI45aYZN
LCZyO0bNG2oSbLDyvILWs7CaVGRFgm/jB2qZkYzCwEXfJM+J7Wr5Su3DTaPnmocT2YUXQWd6r47J
54hCD0F8EHhGJIEJaerYek6r/kBmlfOtgmLYSr0kido1w4dhnDxCS5QHNqrZbcgs0ilGERQ+tlX1
JkYSd6lqxyhb9JkDPq9m+Z76qDK4SJsUwz5RiMUON5S8BaiVGWGZRJsK0qT8XsksfZdVUajsUXdl
B3TxXbIJZh1ChDm1aYAiMECyEMEmPAyg+l/QPgbNvq2tNmLeGg93dSdqfGTuXFvcD5IBNGq7IYB/
XWV4UvGm/bRo6J5pf4phhVqDIt60a6ZfQ05Q8Foq0r12gAeZy9QmAi5yaQTalHGGMegwKXntWqs5
Me01q7VWYnP0QmyKl4h8c83vRiKTyCqgjQH4SIxoMVyEabQafPvOYYrK6JS0cdPO0KmYGrNvFt/j
eI9DNoh2iAz6mnmnilw9c0JgETSf+llRxuKLyV8Ot6sn8LqTtIXbgf0Qv3Nm6Xddm6LoG7VGMAca
3Vs7hHuqbmpiMQYkV6ZrGIpko0OwQXEBUNs0zo5qvmatfZ2WyhYrtQ4QsNlFHTNO0ainDIEnN3h5
TyTpR1CZDz3tgGSac6biZ2OenvKxr49JGPhGCqA4Oln5AAXSdoF4o0YF68qvTB+F3+US2iQhktdY
GsovHme/dJCuDKhQOjAKxeTcVJWEuBIrfc4RtWGpV/n8qF/GfCMogvwwvkbTqtccR9qtVdV9ZUWx
PzbEFBK/CwKqTSy/TJVPk6zeB7dSghVBkVfHkn7LBbeqx4ZQAzqjXSZmkmcN7JzGEG3TlBHAmIEO
r+1F22nlTDAl810tL1tPQuZc01gp7yaqWJZ826koo/VsIF8bKvBMxPsUq7o0YBQlFEqYKEqfKN/y
pMaJ9cOV4YOe5QDWHb3fjkFW8cokmxRDoa8ZNvHRTKl/Aops1w0Cc82Z2iP4xAlJkrOPiizYD8J+
4Og7hQl6SqOWOjk6DikoYo0CLNuYEuVn7TbbvHL6rWmpn6xW2QNa8hcItAuSxdJDDAl9unUeESNr
v8bOST8YLH79ae99/cex/j+Q8FzLuOja//U/sfz8xfHimAxSwLZaQCUNG7vjvxKHSSIYlCEm7Rjw
lArKMNFX7pwVRN9OiJciWgy4dyjCKoynaXtSyyl+DZMywA0yDBZoLwLSOCc7i7fOQtxyTXQ63HU4
YbDkuYwdAy0SyYco8lP5XDaF9nOQAe+z1oysHu0qs/E15HNj+bLsG5zrVTPcpRrs4y2WUqVhWCA4
LApycAeZDMNGfJ8myvfJUn+fMkRKZIcpnyKG7Z209R3vJdSyhraaVQLeESdKk/sOsL+9ympoxRTH
HFOjteT2VOVKxwNfRVZPxi61MdysTb+0iUYyHBf+yUGoxUFHm3kwWK+sEz3H4qPT0xHr43p6ASFy
6I37OWfhkHCcHa0iwF3OQtx3hw4DTEmEKZnlpPQV+p2B4uWXRhz5E3k05bo2ooxnta3zYtumrBi3
yVCyurfmWG5bfDGxb6kJNblrOpxCZqUlKfMZevID/r3cI3NOrAg+0teTa7G1rJXcd92weI5qd75a
gWXi3MiZnDXJQYaaee1N8noJsg+LNw6Fltkh5BRRjiVzyUXFy+IvuQw4bD9DcEZEkiY3hEdkUagx
4McwT7QTg0bU6W6MVKhDa5R4jErn+Jg7OsxqTJWXAv39lmGc+dMJBmWrkZx3RdceMGMKw58opHhb
J0Z0P6Tg9BqcQQd/0qu3GPYSCyXtwyRYe6eSU7BuycYBtZZjuyecF7mqvs2W1CbMFHfcdks8O4lO
Tki2kzU19XqM4PEjfI2X/CeIc8eqE68YICZckclLtmRFmUtqVBm6cq2w41jplfYI3YXgJfa7zXfa
FLFTgCg+0UqMG4tAKpYPgOhp3bZV1N0ZhFZFGonMBA63hFmBZfAdwq0Iw/uINZqpEjjOgGSR7AOx
meaeTe2kQaQ0fpVm6J7SnlG8RjOycZYkrZJILeG07V3kaIPXWmn0SU7KyI7PaW95qct9u+RyJUtC
V75kdQ1D+5NiEZUrMV6DmbkbhSkvSonQ8fMl7YvUrTdA+eE2l6p2JjjoBCYF/kVKSlhBUqRvEJK0
MZYMsbpHSzyIhlyxioSxYsg8drd3CACTdceWkiphU1Ztd5orTOESVNLWXjLL8kl/aJYUs0zT4r2O
rv6oaGScOe2SdoZ++oadp72i6FgbLploSrcsYJAIg0ZdMtNQ3ejjSlcYprZBRqZar1Vf6RCiSEkJ
E8UGXfo5/c/KyHX+NBYhQNY02dbjlHDD9rp8m2AukkU4Sf3FxhcF3L6BFYgMpnuuOxMcZREnyVcU
MPQlAjaMvKQPO2sl9KmFNNgAz1yXbJcPZBsUX81yW6ffF3f1fYkTp8SFbthZGO+c74t++L705+8C
ANUDxcD0XRiwcqZIsJZ6IVoqh/90W3+j28L6+f/GzJ1+hdF79i7/ouL6vd/iC3/vt/TfMLTpxqLZ
0g38QPzJ/w4uxL0COk4j8+H3P/mj37J+Uy3bcF2X6Ydh8zT+s98SaLxUfLAYVIk9tF37b/VbS//4
Z0A5/RZ+WkPgxHVMvpn5LyD9Pog6R2A+2zXM+kJ0m6nF8WygQ2LhEkdkGsC676wJlbEwrP7BJEcl
XFuEa88bkmHJnF6CV1jgLRks/8hj+c5mEd85LfkS2bJUyqdgHNVLriiiuxowfQzP/k56wd0Kz6z9
ToBRv9Ng1CUYBucXELjvtBgn6MLHFio0oXAc5BQ/mvKIGKY+OL3dv1YmCeYFcs+1tkTR1AWWB+4R
fyClRkoufjetkJWlS4gN0oklz8ZYsm34YcOjmrS4GBscBEfwZhXupCUSp+0zh9kQMTlI5/NLrROd
w1iTzA1BnI6MJQ2kWbseR9lE2k4mrRspMu4jKlvCeNDeniqHBJ4E7wOrPkJ7jCbHRNsTT6RHFi2k
qVfPA1E95PyUS+ZPTfoPASTkAI1VLPN1qVNvU9ItWUHjEhtUcw4ClCw4v4913JG4C7p0YJv2nTjk
EhIFZJueABOrsqQSMU6l1wm1Ja0oQ3Wr3WYNa/ClCR0SjUDlk240q3XAPiBRmmAfVQ75rr3KXPQu
GEZEeyWpbsO6h+Y8byh4s9chgzVxcxD36rBoQBKReqYjeNV7VEiws9uh3wRWO2xhM0efalmFtpdX
ubstml57FsHoNn6ohiFq2faLJc+hV8b6qjN+JlEHGvfKgAsBEmx4ta1m4VMH13Fixc24lpV4N+Xu
ySCxL5coYEkLUzfEDeXokwLq3lqo4xbqbftp5IMNL06JAAEMc6z5WYnKiEmu8yjsJMABYeOTwmTR
OQ+ZpjBgxqhEgxgLP2677AEjVe33Bv2yWxaU+aEBkc2mt1YghK/V2LljPkmrhxH5MUDYsxnqUtxZ
VsImLlG2caGpF+QJXlq27bLCj71Is9oLgqVgg0UFGwz4cprJrJHEr5Aamq9qUPAhzPIxOwoblRLf
i5suz/JjU1PokOa1ZKdBmjqUqqHB+NZLCTvFjZM9GbVjBRO39/HvWKusCtGQQWe4uNQ9bx2/W3q4
MkBKGLLjYFs04loktHEc/Qb+Nte5/TzFcX6rZbktR3Dotbu4eJMh/hQ609iGGHEClsN2a0d9wuee
yK2VhPWb7XbmPqMwP1Wd/FX2PaZQNFb52mHssUuVJAEIiwP1tVJG62EsJcMHLUrtH5XstHatshDe
j9mgbCYW1n6sV8Yay3i/FgNibbwY9XZ27dFriDn0cs0gu53JrgeMKttBHWF12VmeGPPpZAm1Z+Td
In9qw+yKUqS+aysiyBGSuZfQqIN3cxyCzvvPtfjfvBaXMeC/lzfHc9m8/yXJl0vx9y/7/VI0fjMN
ZnwL4OE7fOMfNyITSJ1H3DCXRtCgJUS//MeNSJiHATCC/xncfvaSJ/THBFL7zaWFFC7gVI2vtf7W
BFLj7/jLhUhePVwKA8grocCMIP8lCGrC9sjcj61eMZjYidKi2o6izrEiaGejad19zLvFCnFa4W/8
tQSvnkIB3vlPlcT/pTN2/49B6PLv0NlCCpt5rQlU4a+DUMMNyUDEarTDap3tOlvDQJtuSirl/hhF
B7Pe1dY1yONzH0PowixLm0JAGEavDqiY8djX9rnVd3P7PJMwTwtpJBPwOKiJWKkcf7TsQ6UhxBmp
Yk3R3WRPVxO0TL0qNvVq/zS2yVEKyGlBsU7y9jql02VMgzvdqNAIW5ugzV/MPLwoJBiD5Ewf+9ho
1lh43k1WJ75q95bPNHSqkB011XriL/Jxq0mTmIPXFqOIISdSK+QuCY0rchmmaYtoiA+2NYzuFUkj
7mnWOBsw1iuENEfwomykotCT+qlUSlojg+bthdnsPWvmB1rfuxZwoW7Y5JYAPEiRUtn1wzSJNwdO
Kiac9OyaCJzNEPs0glRnZ4j4Bcz0GTXxnTWJX2VEua3+UFr1aZnrhJ19akRzbwXaVmdRrk2KP+o6
KAPSTMAM6Z4kp6ST2UeZDZ9xbVhgEw3NR3r7xeYs2NNCINeZsakjJK99Qi8PnTaeFBRsvh2yGxk1
AlFY5+ZZuG/U+7YA8YBl05/N8YFb/aoRa0LQc8KnxeQ1K+QaqzXWcCQLxlPuwBYCULay2oe6mL6G
3NlPrfo2t+ZKViqq4rF6Dcd4I1lB6bUhNjmFQh6gE7LdpyViMxUb1TK4kDQ796duWEt1OIcKYPBq
PrC0vm8YRKIg658QQzNJ+yzz/NyqAwZRaD9oWPxymvFkdkThEfPkpUHmu1P3IzHgPzCzJwg7e4Vz
uKoj6ynOVXUVqMUnfQ/7oyj3yzbJ0cgp6zzpfqodK6lAJSBASirOYm2j4RbYmZNcezTzFxu82QU/
UPpCKNyhTc1bwAxo68jRXTWEm+5JkPPR9B7A2PmkFe66KH0lM/VXqpQnOV8q8dSahEBoNfg3vVKR
vNss04H5sbx8MbViXPS6IJaj6xzYx2HC12eJzSAMJIJ44qoT7jCvbSLsjKYsjyZaSorREFNkdO1Q
rEDR63aGqSEjQkeEEAFJtRNdh1A7omtAP7tvC4Oy1oKK7LjXOO4RLQbTSzV3uzm1PhClrBNgzKtU
0ZpT7WqLYC/NvNgCSjkx7XfiD5E5mzq9mppKrajd4K2Qz2tuMq5twMI7uHUMkVGDzbP1osSBh4xz
y6Nh+2qk53tjSasdNBWN2GCdy14jEJFxiT4/YbkSfo3VKbYs20tjxCez8KRkFpVjOyP2CyKrV8yO
fSDIch3W0U9rMK9akCyvk34BODwy7xCX2EVtmro/irTGrCU+y1TbJ/V8k4tcBQ5NvgFYuBMFqL+s
VpJNaWNeYtVwD8OkRUBM/YT2Y11o18aa2XSqfPLMUENV2WPTOuVxMfpWYIweczoGmVgmFEtcRRPc
clIuVhKBaewU2yHCdR6LSGOhUX2UArKXtJ5zlhkW/4fPOG2TscX35VQeyqh5QnJ/AVD11kMVXFT2
EU4u55n1zYM9jiEeltNkdwc8xZgam0dVcS+zUb91mfihUxCzsz+qsn+rZfqSSjvfdhU/BxJlqaCu
GZA+2LF+L03l3nX4eMiXwP5S3HU98sg+JZagNktWD3aT7Gxn3EPT3ungTmYwvgawVbRn704I4n6U
wZ5UYv2Euw4la43nTqudX+wNn6fFMVym5romu4bslMqLzKxdkyUDO0Urds7svlOrUyzD9Vm5aEMy
0GeenihPemkcp1a2a96wcye1l9otPqRt12szJ7mepJj3hICWgfdwMW++DW5wLRQmw6NzVIcOjLY6
wPC3GRg26Yl9z34OzV91qIiVSsXma3F7nPlY2RSd0oUJR34yRtORPJZF2aoopgN8CP4L7AgEaemB
V2/faX2x7k3lio4NsVQUpohNlZNJgIoXh/FnU5LNPmf3jHRaPubw1qJIr22eBwjDkZ2uG8s+9S4S
zNm8w1K3zpo7OKME1TkxgT9kkcgAvN1bb6RPkGLW6Gu2gJNW9lh4dckhpJaIpKNgi9bIr8ofUVsw
c7RfhkbbT5nrd5l5wPOyG4dqA83C11xmV45j7dV4CvAfdqBMHoDzgnc26RnPddm9yJxIojHbuTzp
Tqa9kvh+YUy/S2fih2x3G3dB6os22OGcnnFTNY9W0L03af+tFobG10CobXyBFXXR+xeuvhuz/qjZ
x4nY6xxAJDs8qOWzcQIAshkqMFBuwiuvCPsqpuhXJQ/hYK+xuV6i6Ssf5rMqrA0441WjGl9dUNZr
o098FPcH6je0O/EXaqbPKDQvhtWdDavZLRJ3VY5rlQEW+x731SHROum/OqHBOeDopHFvRXMW9cRL
WL7yijzDP7izsx+Dk77BGcXYn/hoeY692l8AhXtGKThegugkOLQQXd5Inrqzx+ncu4knKzpwkf/I
QyXzpWJ+uHaNVUxHQyRPNnETOJUMNigaeu/WG7X+vZ/71yhx12xsdqAvf85N8YEa4RApJ6cKVsWk
rxyB1dOKKtRAzBIzGiS8aGP8oOd3BocCAhFsICRjET0C9aDr0dXm29E4zYmDgCe7kKf2i7Hx2mA8
hyiK+7PsttaEXCtjo5yqp3KJl8nc+hia6Q0jmjfO1n2fD7BwWEXk3Rv54dlRb58SM/WNWtlUbXKu
kpbVAWwBY4if7dgWK7YMazyi3phc7RmUpL3NJnjoeftp0kFHcbojnsXyGv1o5khHlzAPt46xFWcH
c0p8y7aem6n5cOuefF5sKwwDomdRK60Ha2H2piSHB2yZN1aUmmfhqsDko1LYlGW8RevqjUpzlyLi
Sjuc5YUprqwp3sJEsrfoX9oh24L9hOxgNs9NWu3oIFkYo8tblok64KaJYmZ+HDp9hV4G/KbjwdO5
ryv4rEG7lZpY2wPip/A0jIJA42g6ui6POjQJd/zKMOH08a2r3bsxd69BF1+S9g7tm29l+I3vpzna
lO0msooLwBi89nozgeqOuD9wXqv9fc9VtCx1VoxLZvcptPUXJsD3ca9yHjjbOCR2IN12BvHfsXmd
gZlVTX+c1Pw2aFfgu2u2z8wQfoAyR2dEJ172AoLCxzh2O2vUj+xpw5VST3eT22reWFtfLmsP3k1Z
MrbRoDk1JQJtGomqRr53jDVa8Mx5hPG9cciOjwX7XNXtfRGo8GipH3rFfkk7o1zJ+rle+ASsiXr9
4KIQixOOLJOSdMIQVufWg5Y/DmIdlpgfvf57i4uU2uWwzp9C1DhegSfwzrWRZtncyI3aznd2UKSM
pqz8pyKwHRX4IPZBYDTUkI3bvYoxLRldz8iGY1BJQ9bJr6LrnKubqM6JBfzwOaC2XmMyUbdCIIlc
zVYweAFRA7oj4LWj6PhpFVl0cwwQ+modsn3ksM93aJLTZ1gUzjojX/l+Hgw+SaWLfkBqHklfrgJs
XYogaKzCzZaA+es9lB/ROjMKXtgs3mu2DHc2vIFf/JXOTzub5w9skOouF7LbBmqiQalqjI0Geuzi
RLK5U4skP6iK3TzQ71EfU5jBEyDK5sbExXh0+BdD56y5W5JoRO3QVodyMMN9ryCYs1kuXItZmfxA
as4+xJgD83LI3G1fVvUJLlm45q5BFCjcea+4VXsipCy4y5q+vXN7G5gH1o72eWpcPvfSqk6daWvg
q+WpdGBYkyqsJg+l09nPaqPKn1VZ1IcESP4mxBd5Mae5fJuM2T1jLa/xcxq8Pw5mtw8nsXr47oaA
kDBEycVkw/cowPreM2iUt3Z0q7M2NuJ+MJPp0pRuRJr184DgFCNoQ3ZrNzF01MwnxTTlwI5C6m/C
UcbNhGwPZPCU3ZrB7s+wc+2j5ML8EYnY3uVl72B6mfC2NHNxBWLaXYXWtZes15J9DtOHHhI3kBsu
BpLS6TfIFcMt67puhWfDWqWkkLCf1jXMuUm+dSNUkPnSYBcpA1XovQRfphnCFA3Z+YvRsy+ZOJ5+
JCLTzxUOrp2Z2NpBmVkkWXPBSiWLryXC7Kj3kjgS3tBl8qLrkpu0yuXwAPzKkwjtW5lvwS1AK6zn
n4JAEDreFq4PGbqPgWI9OcV8ser0zYqznSnyfVTqHuTkjGM/3inWdKihf8UVfFOkl55C7olvKi7a
Y+5f1X5F3bpnL6x6vWZ+WpgjDOxiZpOuGcF6Q5huumJxAKIVgPQuJrhsbMTPTmiqW/KsXkh/e0RV
vo/BpGZm7zOJ9qLE4F/cb4f0rKvNs6ahLamU9hX9MFiKEHZLk1uPgzk8BYp2qaDzwm8NycRJj3LC
5wlvz4nDYV9pYAyFAsk6L4YUDIp+kWSrL34xr0yKNSzcExhmkiTI7UzZla96neTMpgNlpeh+tUYk
00fVCn33wY1A9bjOJsyKr6pon/79sAOw5l+GLo5pQduE90mvKUDFq+6/DF0s0ENJJ6yRqKYX2vz4
ME/9dJnGSl8pWibvVGuRNpXhfON8iu7H2BKPWtImlyaoQYq0VjG8OumQf2C5WK6a5a3BW+SexfIm
Rcs7lS5vV728Z9r3G7e8e+Ucpg+jUTBAYdF56pd31FneVrm8t8w32+fg+2WeQqO967MUI3LAuy6X
t95Z3n9SKcJ1ns/1KUfGtR37EcZ7AH1qnwQgH+C1B1cUdUhwl7NFW06ZeTlvwoCTR+0CoBnmaDza
uH9utQZxHXxe1D2QHNE+qGWbH1hqN3cVKvtLONONuctJpweCM285/azlHBTLiUhQgPZLX07JRnYx
E/1y5Vak/qXfhyn6XJI641BfA+7lsO0zd9zJ1Il+FBV1RqVK995MUncdGXr6PBgRDcM4cnyr0Wgd
ajlGN9MttZ/w1ad1zu7DqBIu+e9LoATYvR2XmwGv2/AZLLdFudwbSeyiTFvuEuzimC2X+0Vbbhqo
z1w6/DbLPQY2d10vd5Kz3E7tck8FdhYtjsVjudxhxDuDx+Nag2TBKtWZ2/mTIeHBsfENIDLX2udx
2bw630tYGWf6ixTLapYoDwh97hTy1gAY3VQhA6iUZ3PdW5Do55wCTo9ddrxTAYx04aSQl7TWKz06
VwNPnpHVm4qmbWcB5AbOgtLq3cxFX+5K2CQ0N2WnbVqCpho/7r7/RgMUnmfnDhF6U6DYBQ9TEUUe
663sWhIQgA1S1w95wiGxtUaHfhV1DJVC3ikF3l/LTD8MtboNxsJdR5ct6k0UwNtv6Ba8HgAoA68c
j30CuxIteDWth7q+h+eo7kbFfGsWTCVAVzqJmbpy5vGV6Aq5bKa1qwSPSVI/Zl2UrxXSH310hvl5
VIuOoX3q/qKJeVEcVZwMgmLXbWU+DaSceQPGKOb1SNGHLnK8uA6ze2e0lKMTT+mai77Fvp3Gj7aK
X8Ii1+kusqzHWEsenTqODkntprvCpszuc/UuNDScg0M0RRtrGih6uixlU2f9iDGX7xwtJoRYSdGE
zBFVcdqvdU0eG+oP5Iv85yMPhpfYw6votfKuEChliEg0AbSW+hZ0Z+Nrg5vjSDa3DtEEXlbAvIrU
WmwYpjJWUZv3bJF5uAwUVWsiMEsbn6pyei71vHgYYTJedCeLtmbfD1C7+rQ84uzHYZmSwtGRj0wG
gaZtjcSqNo49kyZoDu1m0HnXAO2aq6At6cBg8kF9bH+MxWDvWXzEr/Fc4FrMqCBE1Wwz2+m2uWs0
2wDUL49VjM4sR9TTaC0UuwqEhgxwHRCDqHtgkUxuRzentKhU2vkrOlIMOMTF0hTT8kdOUGJn7PgN
S7rWYOkHWnd45OvEPjQAz60M3TCfcEwXh7ITwV6vXKTxXLunMrA/tarNH1MdLbozcaAQBI0tJftK
DOsxIgjPmzQs97oSmueqxGuBIEunsYk+W0Iv0MAiJEzrNvepCjQUcPEHCROvYwYELTl1jsoTocee
LOzrrJU63K7iy2rne6mVrKucnrzJrMsMjJS2vqbpCM9tow8+3k7wg+riHinQbZSl2TwMSMieYC20
dK/aT/S7Boqw5Mlusp3WcHAphjPSGVcNgAstOoa2cZD2yDLX4P2aGi4JwMOxz0D6PAQCLRDhWjVi
0qHcR+wLd4B059fEWZrM0JCbeUINAvLPxqjNLnX+gbc798mHjzwbB41nInu/2HgB3pNIGntYdeoh
Gt1kn3VmewlKu7uCGSmu5AFOHwHnz0HTaxt3MhXVsNRW9VJlsWbPbuN35bXUYLrS2WTElooffFdn
nLjmk7OUbIuPZ9vziX9fvP9BmP9/ED3soxYt/b9dY53fQ8QdxeefcwT/+XW/77HEbzpK9QWWYus6
RQy6+N9XWUuWoG6ZLpoPV5BQ86dVlvUb4g2TEa8FrId3D4n7H6ss8RuAc8t1SCC02Pbqf0/c4S5i
+b+I6YWz8HnIuncZPdn6suv6k5h+dlpGcxJ9howNiWX7PUSkjmW/yc+RKUkKz6iEQcw9lVXKsibt
lW3NxP59MoV9ShBT8QY420RYxeIKvxYGZzypy0+hmRMO2rg4OPsFTAo71RtTc7gNjQCXir0Qzmuf
PbQRbhXwHw1zcJPZD3Lu1jrJFtekI2KwKQkH3hDcerKLrSLnokkRexsJgX9R4Gwa9HgrOxdHxjfW
O8A3kpJ41dtS59Rx3PmEcDP3OvToqyyTOMgYoPSKM2IwQlGsJ85mptqk6e4BRdR5lawmzfb7sFH8
0h1vdQS82sQSDvF2rPLjAsGUrX4f5+JQNlWItoHxbKl/wYeY7pQoWOZkBAVv9ah5iPlsL2Wcl5th
Vqot6URPGLFQD4/HHrub73aVcUwkP3IMSxeH+7ZWAnh+dI+G6Jn/qWW+jafuZ6XL+Rw8g62IV22N
mi6q+ztTi7IzHfIzAAI/q3voFL6sc+zMcOi/OlClvmvBNmPXhC0NSnvyWNPmR1Wu+0QmoVmuKBAo
LXywlTtF9jdFFwODoXZ66uNZkO4EuYJxMGb1ksQrNhFEdZH6UobRQ5E399Ei3hbLTQY5jy09hoak
hEcuwAvifEQLjSG2gvSrJFunA5yZsevds/OSj6Rq3ENyQw6uGbQ0hFZIYsmQkjKKx63UwQS8TNbJ
zcWToSbdFmx2cR0bRfGgkp2wtV4iRoro8F7CTJ6zBJNl108mCa3NMWzavYK+XJ3DlzEcm8MUr6WQ
oHH79tw03VdaPMBiQjhoL2Jz5L2eJFN83WGEmwZPHbA51K6h4JicSZ3R67McVBJIwEVJG6qp42zK
Wi5LNIbCz3oGp6SKcsUHfs/fnexrVYFcUKlPxL0By5XQoyc4B2D9InJHcmfUtjVCJYgi72ZAutGs
uV9ZgnQF/wggK0Yw9dXoHO61BNm5ft/MkfY2NCpfE2MUNnvXeXCtAvodQecrXdJyGnmjXObIEFdt
nLsNWIJoWxiO+FmZdX/omjTugBkJ65rVRnVnBK08JGbjvIMaiLD6FeFBQYC2pxPp9xnZ8C+JEboD
KVZtfIz0SN1HSdhA5m7Cx9ZGQcSj2rIogm4t07b0INGU18gyhr1tF9mPVAb2w2wimsnUNEW1WaC5
tUr3ADrC2mjWiLmSsEqmKPN0osHPH2fS1R+dijywRK3ypxy/+6YeAE//F3tnslu7sWbpVynknAb7
poCa7L7TVt+dCSEdyeybYDAYJJ++PtquC9vIynvvIGcJeGDDR1tH2pvR/Gutb626Nuo+eiDVGwEo
/OrqyLuJPLe9FEOo75n/O1coferUm531buXUIgRJM4IRjriSkHs+dqBsbunFSr8dd2TMLYExfrVV
AdiLq0N0M5NpvwHrQbUTLfUwCGlJWjcD+YEwHM0HMuniajGTuFQ0yzxj6olQ3bzuwkcluFDQZ15A
7fUUPnYZx++qhQcEHvka8QMyGSaGkv+WSPknl2Hzrw6ExRMf2YzX2QVCXA2B9TflvyjQJR05k8RI
kvLaul0zHHM5yKvAwb1RsQkp1aLleLIBBVDvRt/dABXKGw3yGb169gdp7GgbFjwF+XKklBZtkkmG
Z2q5x+BjTt77WBEhyZrEu/NrMz/3mLRBdrqrbPFtt74FLSEOy5spoS2OT9IzRckNTrnIO8hxgANj
SXzfk/eEkQjkiNIAOFQS5hs9qfip1do29pE3cXqiGVOAwq954ZWtU4QpP2infT2nscKhHw/j3qQ2
Kd8Osdu8G4Cds41YrOnebNXPTpCG79JOTrLs551hhw8qWCq+ekLqyORtPXlr0Qf1JjNLf59V+ICd
BMFlMcMr5Ty0Y3/BFgvOKgjXbWPSWTB6J6PMyEHVkCBgMWA9M6g9CnROADNFWZ7d4Rx3zSXIePwz
YtW7QSY7gCEUGmL/2lYeIWyx2PfTwdOnetCkv5KlgTXwgZwuLFrE23IXLLb/dvaTDaU81VXNOthH
xEPXag74VM1YMy+69ZizAWS+ZJ4R3SjPTJ9TMC2XBMTPtcD08tBAf71LC4fZWZQN/Zn3erzUrZ/d
4GeObiwa2wjIYzz/ojl3cMnpOOl3VTb1egRPveuWJwWOjn8Ol6fHXp4jtTxRpQzVKY0pqC6Merxv
RSaoEq3Zn1M5XFvNVgmaVH6IiaDcSkWu3BXLExwtz7K5PNVxUNRPw/Kk41dNjgh1eieWdSBbVoRp
ZnTQug03R1EvnwMRPqJ6lj/Qs4fjvKwrNOORKVjWGm9Zdfpl/ZmXlShb1iQckZQCcyu81InPkjX2
XbVw39QxL6ro2PY6OZc9Uu3Q++FHXtrTuY1JzsPjD+4As7EwRvzpMwcQ/6cfhOmerFuPLJb5d/xp
41YJ8AoWI/RtlvmBiZljWvTOuAvxoJCa5eNBIlLuFii0RSQqyPUuyGKUFZRXn26CxOngDLlpNVxr
cIZr0xMemLsgkqSmI2bD6DlRnJ/qWSbtqx1RLcvLFG2/plGi6A+A4ofkYpdmMoJIzsDUqz6E3E3Z
PR6/TmSYL8wEmA6tR+mUbGh3EYybZg/c0eh5s4mN1a8w3tY5NZGid24dY7BvwmT07glCWLulYnlL
/tB6kHPnAe2Y48rcg/8AnGAQUdDrOIc+1xRt/AmhQ+hNGC1Fh1AFU2OrKkDcsN+XcWjAsvlG0CVz
1nNaW6wtwG0jPmIkIS6d09sPRS/4vdTinkwzpQV5jkgop3bd2zWsqNDc5UH/3A8XH+V8m8TmTRBG
7Y2bpSYJGIPWgIxOwKLDtIB1COZxPC1AomSElt7qFcYvvTKH/EdbRHo35fqnVVMwH3YO6cLJvotN
oQEM84z6svvMgk/cBdQU4KFlvZnszdCzDTg0u6wAz2FnbBhoWQ85osQGcgBGBh0fUnzQ66TqzK0S
bnDuKaI6lE1crbPMOcUh1OhCsedlcMxhaAE8mdufwBHpGUgYK+dTS9go1Xds58+z1Wa/eq5Oj1Ix
+9JlM5/zotdYdpv+hQKgaZNbYvqVKx6fQZXAHsFa8luY5bdgy//c8/4Vu6KN6MDu+f+38N9+ZTL9
+PMV748v+f1+Fwa/uL4JPwnGaehEfwpLh9YvlE+brmeZ3OR+t/X/P6uiTRnVb6jVgBM2GWaumX/c
76zgl6XgCct9ZEWu43jRv2PeDxae65/vdy5lAKG1xK8dTJMmKbq/3u/IK4mQE8q8a8tGGOum8sp6
1Y2GeYOXJN12gaQPvbXiLYdtxn6ECuOLhUK3i2HNnWHjW1Q2w6JkBpfhCokxEK9sbFGoBLEOur1d
e90NE6A0wA/NiIlanxAVK9PdCX64eEMoLDfKBmuROWV6IBDdHVC5qcVY2vaESOrbzA1cDIlJP0Qb
j/tAt64g70GWnFwcQ7ZLSu7I0M09Z2MWAwtqXbmNlWPcMKIsBFD3LmM+Go3GdywVyydH7OgzizoW
W5NKQcpcs1OjIq5e9AU3l5CQwit0dPiPIKEJFxU0R3FwyTqGvza6EjaWGpm6L9/1bGY3PMZPcTdD
40uq4QiEpvvw/Rl7pS3Sh7jr/Ud/dssll2nviSpiXQ5QuKBPpcg+BjhJ0PK90ZW7pKnnbcSvbkst
Xbo2FoubWaf6oYOcsWYKfxNCPTkDKiL2K4svO2kXCAykuzj0co7nMBwYW08/ECz8S8raPnNCANuO
/QvcKDUxjnMqmow+GGk6eIGkoksCA7wXno0+yVrCqQYJtZJEFIDuUeOsq9IgfKY53rzzJzk+4FAp
I0BfmS1psk3EbeGME2TeypYfTZBqcdQUNZ39JLFxnjU6vm3CamHlCMIGq6qjYfWM6ax0aBhrU1wl
AY2L4CqS6I7csO2s/Z58ya6GRHGiiCtfx21ZMWnFq5RtElVl2c53pbOxNc3CSSTtazYY+Q8DNwdm
Ul3vQZo1y480lA8iicLntpfe1uvD8VLIarjtraDkrYyWhgh3DEHw2LobHkOrSanQyBz7VRF+f6Fr
E0JYqzvrPmJ2c8sUBmQvDrHmoLwANSxydbvWaphee9NOPoWXkQ3OUvpYjDQRW9pQp+TCCCEZdjhh
OIgyWY7XdMJkD2mgQry4BcpLkYw7ToJVuY6LoTmINmhuuB30YG8f7S5T+NOHXWCkL40W47oppuGq
en7Hlgzydy7b6s5rumHtuSmkU/hqVGlcKemwYJKP830By+Umx6m4I4PaMBquyPKXnlPtSw+A7U5N
Y7rXXbfUqNYGuf2WnlV4IhH67NoA04VKaepvMg/vvVPS/8Dd4UaLaDzS9wiTKZ8Dynxl5V4opmWW
DidYIg1aMSYLaXSreojrMy0ckCJtzQh43ZlZcF9npXyxig4f1Qgk7EbiUXwbbaqysPC1PYW6qGdn
r6X+9KhDW6pjzRGLjXJwwukHF+DMeZQhpwzp1c0XGhTjZBxsvt/SHz9M6DmWAM/+aiTpOHIxDTzY
7skQim3juIX506FFPsJMKcAVocBmvBVNQX5dBWF1ygxeHv7aMD2nMNQ2nuqrV8seKSBOG6pz4S8X
OfQsjyx1plimybTiNtvSC1W+Ztmo9yrqDG/NYv+iBKcFy+nllVtg/Vx2Hv2kwBMDMMHlaH4FQR7s
JZ7Pm85uit1Aj9hu6HM6DwAYO7e4w6fPGt7ve9mNnJ263sOpEw6ssC3mD3ALTzpjls0levZo7Ctd
0XwlQ9/cz64ff+eGnA5FoOavDgAS6B2TF4ZbZyUYIiip2SNHevIp42AYrt1Ahsm6R3QfHyYp4JkG
THn8HUro7B6TnBFRT0+N3mY5iL9DbI9FTF5EV+VNDUXNPlYQ67k92plWK6tI5iccY3YF/s3tF0u2
76Y4T93O39vEKRkcyKi4Gb3GYHtJ0Ka4utM9h/yNpzZu9lOERd2MGt7KMrktZVVeupDyCMMl6gE1
L6EGi41nVWnZnpSfz1QQRr7eT+NY3YDw1M8eGtOl58KSrmaSUj9Ux4+z7mhuK1dSEwvfBEo458Qw
qD4RAU4dLFxtkB+KpNY4i0j3/jTJ3U8rIt/RZyoMFOE2p2tk1QYpGJFJmHW094PZsVG2pmla05QD
SKmA4PMgg4AaP7ykQXqOfXjPG1+pJGIHa+rsNmjM7qwrAvLHfG7JsLS2q29KzIxYySmcsKRRneEQ
ZwcdMwBeGVgmGJyxTIId6h+CUfU7WXbmBz6bBxcGqbOKi1g9mmPh1qvEWPC4lGIFwxrNnvY6OJb+
R4dZpNwUXDleO+UpCCV+S68GDq4BpKPwcVbI1ISYSD9av8acR4yfMfMzBg392EcJcLdmmPpHn1H1
WfAMr0bDdh8sKdxXck0VDpHaPUnPIO6QwzvQerqZo9Id1zibuVp6xWVGDrd7HtiVtErQzyUuDjYc
F3CrPUtuvVlaSWNd8Vbi9YZNNe1kpw0YLaXr/MrBaVK7lhK06d6hN/zZY7y4vLoZnola+Mk+cxrn
OR9z1rvA9PsWoBzoNowOor+lL4tGPe410WtbRtXBgiIIBMU1BRM+w4LQEeMsHTd+ynmNTFNXeNgL
JW90BtK3umVekaJxDrJ8h6Np3nZYqaZV5aACr7thqjlDRNw7zaDEwFvV1a2y6VbH6js7a+oy5SMD
AeMD5r4HxE5JzMmgNFhozCp1QSXaABxAjuFSrDpxilPDpFG+heu3LlIlvyUjIryZiSZbHMNBIZ42
9UT0OsVoYx1ShM1ExkxZsP3ZwpiX95W+CUazndcNqUpot57VflE5wO0tqIfmBDDYadeuFj9Jy5SH
FiTwT8VAmHHkyB2F65bhMYr0aEluGxrXViCZk3cvTujDNPMBV3g5c6ucZH4zWM1zqAUx51JmibUl
luOdKxoUyXsMudqkiIGmS187MJDuba6b5tiJBdY7KF9dx4KZH/IqDJaYCjfWFKBqqxKe57SrSTug
/89E/SlMhWxSOnnagScQ6j1TRacwdDNG2yXEsN+mtMK2XuDVTLZG6DKwdMPkWaGVfeOQdXikB+5P
20Y1MzC1ueajNyaV2Mx91wpWZSUBmEnXXzNK86NNbMMlGGBkvAyiA7PhpJDg0CFXMG5okKkmaiOn
dM+B9FCYhS9XXZ7XO+zh9JKZM+prMfYg1UPdoDpDljMlFNZNBrT7VWcR/rekH9fs+6wnBZ/KUxI6
8aFPyha/QqKfsGYDRO9j1ELLHd8j4ZclVztTfCZggDNuz6nzc6woqI6HbVw08zvYx+8B2jZOdjM5
SJiYVHItfPyVO9EGFilo+PsYZCmmsiyd99OU2sAD+s58s1x2o9cF3k2P5MiMmEt8eJwzmXekTstS
HJK+ZXahI0VqhQRq8dkm3ghEkgWCtGvDRdsPU2PA8xm1h47tYt2zBxzHrGwfmijTL0jLZIJ0aROx
hB+qjLQ+D+RfDOz+aJ8HQ1aMSzr4t9WqtiP9FGLwB98n+EvTGI8lhxbKNzsrXG+DjcD4pk214tRp
+7z2GHb3rEBQGJTptCCaCE7ema2OmERBbt8g4kV3RV53j6ble8U+9gtY63qqxQ8f4QlrO1k/a8MB
bXpnptv+BEHP0xH0UAfOPHgcDLM6bT4iX8knzxocutQc+64i5fUcOiEFl4SZYE46iY8+ZidMEweQ
pnuCCuOBT49Od1Vqqi+3J3B5aOYsOpPXrhAgqBilu7HTIZ7Lif7xTQ6DiiyLnR7KsiLrYMggeSPu
5lMRqmsgI6rkDewbh2pUjmzWRxRKdWJintxois0QVMLlCDb0CeeBaqaPrDSdmJ6phUMDol9eptjv
iAoMUwskDt5mtE9rt/pmkaDxSevgpgzN3CHSIOotvzMTiAsmDaZjJC83Y4amAPy2eZF+Ppx5WMlH
ZFT1Da1jnSyKREl9F3gNPKW3rKqMbAPDtjbZ0ji2skilwu2cp+QZrFT0ldANzJue+sXnqLz80rUe
RpogC2nZG2RnfToqazcIYsk6MwrcTxP3RtDL7baxx3MXT4xIZ6ipEfiRWyfHUtgEfg6Lw2AaEkmK
vFdUux11B00De6L4iEozwGShvB9Zkc6fNI9XJV66pdstqvPP1m7qDWJ68qjgXL3ZTLkeM51w/2Pk
hl+8bWO9t+kW6ZkG2VSE8GCZ9o6WDtoRsq472zwW27GCc0Og6qBDDgV1/YiFjFZV8B3TPXP6EO9i
6wCbIkd/nhKooms19uWLTJ30MM4cLjYdhqwFOSjTL2yPHBYb+qWERyIEWO+cwByr03NCN8qdb8Xp
seQNeIq8oXxkvcAs7vBjcDLCazwU6bTqNRsu0IvhydYGBJSGG5VVvgc5q+24ILVEM/8TK97fcADg
CWC4IViDezMjopSLUe9PinGI56ly4KTui87K71sUp6ub+tYGe0dwojUPCaQGZvanmct/Enb8KwSI
LpkIgdwBAITkgUj996ijTSETiati3Os0KS+cMvo7ikGaDfJg+oT3Te24kvlHqbX4/q+/M6OYvw5Q
+M6MTSwTuDN+MfdvvsPW8/AUVXLei7AlZhcGLjXVjW+cu2mR7LBhLQYB5kv/Y7n4J5YLm0/UfzmK
u1N1/vH5l1Hc71/y+yguwDWBvcZZUBohmQSTt/J3q0UAgZCxzuJwYJbkUx//j9SwwyjOoisejIZn
4c74E0Yj+sVzed/5Qj7svm/a/84kjonf3z5IZuABLnRslDuPf/6O0UiShFATjbd7rGPyAHJKgWok
6LccDu6c0pBnLZj5lhDIz/UQgkqramz5Y5ifI7NGEuKC+RKiZn1FnUkCiVLVXcDskWFJPp6NogYf
5hr+iotoDKCemVgyzh++cu+aPNvQ5TmR/qjOBkSbjYY3sgrAAjArIfo7sYZyPHyxG/crdtXaGbzq
VMhW7G2iL0srcTHuRKsCcrVhxjUxsJ5LLzPgF0EaPHGLrG+wi823LAHVT0xx9NmEvv85Zex1fD99
24I+29muAU6x9d3kBdMJYS6Dkl53UhklL3Hxw6tUuUlmvmtMMQMWXQ4YX4OJEsTdN3l1K6mPRr0g
0XyLbpu6um+xJnwUE8Sj3AIEp1FlbnF3hPsm9Ubi/nLJYBe0e9yl5TgejGIxuCVANdCr8Pb7tY0V
vc/t54n7H30dcMWRvq8ypV3Qjodmb1TBHbOL4bmPzORblFn3lvnavSemioBsLhHNkIjxSNRsW/lx
9kgCzj5G9kTKZRB3GOOtR4wO3pH4H0p8FWeXIQ3rF81MlWmDCZ9Dkg/io7HuhMg/FqMXHtOQO5XI
LAvZRQfDoxvlSK8theQIrmtgr6iiyhdvPmRnbs1T+9Of41+nfArnTRCNr6ndHorUOynAGxjTLeue
XJW5zbBQ3+WBjt5cf2wvVHS6Z6wDzlGpufxieEJED58k7sg89a5T7RhXKno4cTCrxkvgKbEHegyO
emTjoVZZnyrTja+6rMWBbkRsNlZo0fxhED6cgu+4w9D25uR8Z9OKokfuvc2p9KTczACWPMw3qt1S
RpcASIECT9TPqqq7xG+IYKez3EfGPD3bc2nd1rCK14nbiFeS9/g9JqyviYkrY7LFsEm4Va2dYNAb
ZfEGcRCxowUg2DXEDFp5MPHHblRNeWFp+L8q7YbXHsLZVtgi2vk9kzcM/eOxZ1e4sg3hXMrEBigm
RoosCHdy6oKniGM8E/QKDnBqYMmVmZOR0gWeERfcivKOO4IAPbWba0wq46ToKprAiviqMbfunHGZ
oQTlpvKbCX7OEtLKzYrUN8naEcaeU9MdHc7tTRzGGPKRCT04UBAb2/1MGqytkNty5C+uomttN59e
ShCfEq0zB3WKDJRZ3HP1z7g/SyKK3HWggrg7aOxMZOKsxiFuhu9FNhLnSMx6gNIh9INft+9Ig581
MSJvlheC5T/J3vlEm4vw0Bqdu2OmGLP4LK9YdSFhL0uX63Z+0NJ9QHTlilx2/UbQKfKYoKWuKEas
V0xXBFjS6svxmivdoOOWm1W9tpSPOgbD6zVtNCNfq6C7sfBNBiaMJJqpts5MnPsTFHJ3Cywr+AYo
GO8o+HVuuAnzMJkBWgSHzUe4EfxWR0D77hSNazksdc5eQ8sCXMBtaE3cu5i9jK9JhcseGBopoULK
HSiF5jQGBkTqYpD7ocmnY9F4lEFaUnJ4mJN5j+lhviNJ6+24JlCp7iQBPqYJsk/Huz0VXrr2ZioL
LCPt90UkEEljMuLtpNy9rdAwV65PFVeOSYE/3Uy0bdFGUJn9eKIcK37lXD+vB9TUC2rjcDLFWJ/q
Uocoi0RqNSI3YHjbRLEszAcecgLvaCskBUmPAaC2tfPsZ02A7ZdKqW1Rj4qRoZuGV5Db1ICm4Ax3
+cCdnhRY8jVG1bOjhdi2U7Y3SgvWTyEPDKOCDRuG9zbUxr2SlEnSHxDH+TodsnqZeGDrn0M/f+sS
ZgRVGeagivp+1zQ5NZJdGdE3BbqD+2Mq6WNQPP899yJJXdG+rz3zTgbltjCZaeFLXlMhMqzyKLio
HKM/gMyEsnL3nM9UUKKcPdbzMJ69hr0bUqvbP6aGny3jx6+C68ZBN4m1ialwwx9yj+eYRs6c/rcZ
u+s6k7APemLCe4fG+r3jsYJ7YKcg6yIgq2oevplt3adD8Iwhu6c8iBegh7qd3tqcZYNsfZV7h8En
Cc4IB1m5p6KgjLt9T8oAcSWeftDa5T2YfjmceXXIqcMhHjDH4LMndPbEkfVKy+62MaRmxpiAA+wN
c+WVsUFTi0wvnWHmJwrP3CM5VoEQ4LivHtbud+nkepOJsDiySxzqPm4fk9Lo9hNJTIiMw6ARtdK6
faPEKzkLf+pvg2oigWZAZ0SgMFZ8cpdtcELRKaqamAGTjWCW0YNEf15Vo9r6pnpTNtXr5NyUzuer
VSU3TZfabLNlTQtMjdxMHLShZitnUR0t82Sgya20Iy8oPwtED/xg2lsrd4kclfke8D9XVNAS7coo
8BVYc3/scJeMY9hebKYyiDP5tyWnyNtR/8FvsZR29+gkWlza8DsYHZqcgymmNqQgUIvP+uz13RLH
11kPaLXR/cfMNvSdz2ZI4YBZ3lkU8GG+w43P9kY14hNV1/1TAaHFwO5QVPZal5m4nwaz30wtciSR
U2DKfdV5q8yezBeWnsWPEY97KWqJ+XTSe9NmKDCH8FKV7sgQW6n/aBTpSHPONFd7P4Ejv3FS+dQy
xhilCG9Dw1PtqgqNF7C4M04hjiiJ2X7jAByf2oqSG+7z/k65Jbu341TRPcLryxgM5DroYK3r9Mo9
ckf5FIEpR71ZfffczRWtPXXh3APfanZ1VE87tr3opqbBHt+iWQZvuScppuJYAWv3Z566e6dJYLZk
557Une61YhpLewg8kCqpeLLok0uoNimZ0TW51+wsUxyoNbij0+yhMNOfbGjEYYYv6bl7cPfetU0S
sQO8Ga39HMKqh8uNfZdTWJzSdegHm9yfp5tWuiaZ3MrdOJMrrrGX7kpGhulGj4HcRKmrronpzqug
FRRtGAyCNjnxiyeW3/AyzVItPl7D5T4f1aScOHW66dVsiuxsjNLYZIN2DqD6zXtOcdNjk5fzzh00
lsaQZqcq/wIhwX4zugqwCD3uolQ3fk4K3EhxV0gPU40nbbkxW9p5Yjtbuhmt8YDZxVw3nfGRM7w7
TKIsL9zc2aIJhYE4QYMQklR2M6feRerYuuP4LU4oTfahbTR9AHF+roxRvKt8DF6GmPXPJvQCaXoy
iOMgdj90XAxvo5jUh86bj7Cs+ftG0GxAecVYZv0jEh2gWdG/CaRjavbgftg9+JVK7H0IXKfYtIxX
L6vCt7rSxjYTqfFcu92m8hexHesqMRV+dd8jyO4tJ0pYcsiPRLNrk9Efw9gT6UT4PwK5Tg3+gapH
n19qlVzixGjvgpBNisK+jdPX6hU8qLh4Wdi9N1mDkuiBw4ONIgwWHuY3CK9yZ8Wi47ODzSadqnhN
IZ2xQ9eK1jOJkX07qPi5nlJxjwkt3IiUwjyna52rnyX0jFulfmjssn7tcOJiTdULW8CbHmxqyldD
1pcAYix6pTO//jVi6LInwueuQ8EJGoXGvUCkxzq8JI8+MjtLL94w597KQiuEbjZlj0nCKY85qMhe
JBVbLLUtsr2Kk6tVmuY+cSrzShSY53pIHBL8Uh5jwLcHGG3Jj9qdLRqFAnujDV19uUJFVyNsvZfJ
sqhB6AGj+46S7xRZJQ8Fo/FHwNH2SUPRYcuzsoFfPeM6xsRE6C3qVqVcNtc6vZe5u8M/lXJgk/JF
wRZh7Dnqa+CgPvha1FdX9vIMgzrYznH8DbSvo2+EtPyuLieObqMT74rZD9+tsUO6wur+ABFAbsfe
EudE5j7nTx9Se+95P7iyiu0M2/e77SmwjbgAHtMpbG5hIWfXwQJR5LlwCXq3FqfGiUx2DTfajbVg
xmZndwVAUSQKTuYhZmFkUYshlx3lVxvGSQUHZmm5kqsh6KtTONMUiA86wnuHq8nTXfErP6jYxlEb
nIsgxZJW9g0V4+X0qxfPP/sK2l8I1gOBnSis1VEswneB5zEkrJ9lHZ/jNLkORcHJET+t3U7FBhsL
ZNkC1hK1RtNGz+V7Ew4zHI88uFm85xWGtl2NFrdubKnPyyWfeur6W+h274VVRHAJXG6M33fTgh1+
SYnsOKuAPtpNyjMHd4GxPWUfuGNVZ1Gfi+mQpF39nHCAB/trDi8JpAvS+uZjPiXxzo13oY73ViGK
U1wN97kGHZRoFpeJI7lp4ue0pusSw9rROQCLeRpvc1d+8vEcaQSo8quiCAgNupMAPkTAndt3991s
kVcvzKWiBvykVcbw/rqcqpcyhYhrXhPWz20J33M5G2RYzQ2aVFrD3nLPiw9hXiHzuVl3P7RlBrFH
isMgo3lreHl1YKfIT9bA1FnAebpVgLQAoATUrHgAFACMLjRkMzllo6IwqUSr3uA/tW34QLGkiSCy
X22bw9MiGYuSsETZlMm6acnbcfA9pM2lCEO9UsmgLxVLIcNLYxwepZfX71Vs8/A4qRX/7GJi8as4
DcBumqkYTUz1+X3VWcYDqZGqr46dS3gu7FO8tjNv/LWpivqa97n1gx2wo3+Eop457fiL54UIgQ1Y
IyYAI3pTuBNf8DTDsBm4t6z6bOJ+WtXjdKw7MqY+mOQ93YE+npqxOE29r47e1HgPzui6e4Wn/Kff
5egafqqy9wYFEZ0F4JNsWx5GcOEHfjXRORZWcyRCEYIl0GhZpC7XWSP7DS/gkiI29cugsuqxF9q9
FoFNEQtodnoLze7W4T29BzfMX4Zat5fE1t9tmdtbbkJLUnWwbieLf1Pj0iPhOANzA2+RrZn337Lb
WtvKHeBbxWkF5Mq4GLlZEHt3k13AwWIVWcJYDDw0Z4EcZsYz5zy25ACDx6AcDVxcNtV3sKRuzMrc
4vfABJV4rFgDlGC6QotT1DndGpj00+gXH12rb+YpMwBgZF9F4ebHQHSY8rFMmogELcHXV8nlh86p
VeBY5J+j6UcjauOU5Wl6/98y99x/N9eP6lv+NlD9SYEW9q60/32++o//lP+Yt24++o+//Mf2N1vg
vfrupodvQK186c/xfyffzfIn/9X/+b++/yVzYYBL/0/j5uU7/PGVy4/wf/7j4SP/kH36Uf9lqPn7
V/0x1AwBHvoB0LnFC/gnEqIf/QKVF3HIo1vd/72l5Q97oWP+Yll29J/Gx5xf8CpS4uo5jkmM3vP+
naEmobO/DTUtm4oKkyYYOMROgAfyr2JAY7ajgblI7szKr4C9xKOMb+zS47Qno8Y/0nRIHQn6uvT3
UZ7TbiB8e643FZcHkpwRptjKTsKzPRTOTjujc/GJA2drbjodrhjdIXLP3IppQFCVrS5RNe5UkDvD
qhCB7vc0xzKJGwaaexHiDUAnmRvfqE7T6I7V3z8SZ2g7KLVV1e59fPfvczaOmsPhSKteyImN5pCm
IoNl1nFyAS7rfzpI0FsK3DR2vijEgW7NN8IIQdC1dIZGjDe3rVDFA6le8XOATUcn5lhWzySY/M+q
6Os3G/m/Y1aqFoedR63fLnFlwiwzAPBOK4tYCfqDCdXrAFp6MFTjozRNtSdIAKgHIqF6J0pMvpty
3Hdqeka90rXZXjMGteamqq2crHzdU0BY2ORzNmVvODNY2ISFZKjo7oViQmp3ldROe8vCK1hQLBW9
t40Fe9GsQ1T4rCFHvdWFUNgx8FhefddaKIhWXqMqpWTi3IjnXEqnJBFRDaCODDq6SNUPk6QJAKnf
OkLNoOx6OVcq1TN0sPte8gOwXpEtG7tqJ7BSfjq9wh+Su+0d8zn3K7Ws8Tkix4BUzP5ZrzRy5Kml
oBeuUavHbVzq9qWSNVm+GbcYTgUFyL+eBBKoOSvvJYWT/iJEW1C0NkfkFcXsNg+Wn+Riy99gfBl0
X94RpEvvCwuhexdPfXRIs17uHXNM3nK4Q/jGbLglIRA+NYLHx0v1ythp6E6+pS1jjdxpWDu07Mk+
GO6Qf3jwiytMrhB/zxbSLgI2c3jeM2swVgyETSo8B0T1mGqQdsXhUAxcEiUVPzQ+MMCM2KpelI+p
aA0cZXwnaBBeACBEBcejLlbbAYWv5QOLI52jkA+z0Oqy2tnrqum4jWnu3NteVEmxMRtj2EPFVhfu
Y/YywQmfi5y4TVRw2GH9l1W1joZqvotzvH0PYyIapH3pHDLhO3cWNWzncTBTkuayJo5pERl8r20F
GDEwYoPzAHGItjeDDa1IobFj/tafsnjyafYdCSF2HoC/qG789yjJaTGA6W8xglM0dGy4HkQa+INd
7nxhd8fQGanZYegAtbcxVQ/nynA4xcFsfqA5GyKMSPPozaRb9DWn8vPTH0L3HOihx4Ji8OK5nqgM
bcJXNdAsuW4cbhQggt2PwKPk/P9SdyY7rmPpdn4Vw3MmNrnZDuyBRPUKRd9OiGjOYU9uNpvd0/tT
Vl4jq3yvDQ9s4E4SBdQJKUIiuf9mrW/dxnZcu8yoRlxIwVToW5wk44xEUtvHdoAHvFoK+rYtLYp+
c+qk+8LNRk9Z0CMUu5bnQLa18gV8TD5bs7OKXcE7R+gRNamZ1LenRsWjs65TDzVyIgMiECY3UNBn
HB0zVc+BhTOt5ySdl8k2Q0tZ7dVWwvYW8LLPbU6dMxMbIIKcFGYu2M/aNlKCncmS2ZPSUfww8zG3
WRDLc8UdTg9NfNt367r1xfOUs5sE7MYkIA+SrYS0v1tdZrf+DAziREBt2l5iSs0PY6nkKqvsa8hS
HZyJE4qfuaIIPywDrsqqXeoth8n8nuu5uDSxL6AnC9ZILHFia4cUrAJa4w3fWYt+kLSXZj3T/0EX
A+sa6szUtC+9ObjnuHCXRx42DlgAONKffmb4F5KTK96A+gHEqsrfCORhveT3RLqsRFEar9iG9SUf
AsEMnvn+ys/Ap6EQaeCucn+fBdjqn17iveTZnlpke5o8HV/syYAQpEUpjS2Ls9nb2VXLbTbajujW
fYVE76b15n7vRbXz5EdmYeJ4I5EZKHUe2hhKq02X1USjOOlH3JvlXhYpDY6l9GcxafWox+Ga8oPy
gpw+49HmcVYiRGhQ2GGcQ84ZB4W10fMyfKICg9+aTrK6YyOABHpg887Go3cOHkQKSHYeOw2TROyN
qWRd7duot9NHYZeTw7+N0hemDbhKdeIXW5TH8pBPFjFYxIlSf5JjZf4wx/RuUQPKD8MYyjsLDsJW
NpN+KeLJT+9KcHM8UCxqupV0xuojK8ppj2pzkmsNGv7HRZC3TtK29jfGgph3TczH6D3Fhh5+40C2
kDmXZUPeuO212P5gleLviWFMsJ3p14AJyaOKa6y/JFmjo3EGiPusB6I73Q5EFuFtiocQMA5PLdsw
EdK7rs3BnUeEIdMUWWUAFymIxscc6/fJMixrH+sheapLnayUCVBFoWY/Rnmv3wFKXiOkytrAMw53
FYUX96GBftar6Ptbeds37oMuvCmUbvNax8hIo5hxT5IhwqhTJzrBEwYRMXX2z5Rk4hAnAaQxB81X
P6g5BP75kVPIwbzwfjlT+tXHNmEvaVGHfRSXDKMZWWdQmif7tc9puDa14kmMwqULUFbWcHcOgImY
9TLyytRhtCNme6gga3stgYqyfCpmLEYxwsBlO6FinTD7+j913dR4c83efEmUbywrhRnO2Y954U8X
RFjVT4SFAH3XcM0eSwpy2mjl4MX2GSskAD4IVTNjYxHBxrXC6BkRiR963BBdWEiw7jUpYJsky7yH
HGrI1hmA6kZkXH4jH7N++2nUvxe+7MJpmbsvo5FExyyuTawV1CBorE7kXjw2K/Ahx4qY1arALSZa
mMTnOasN49lOUmhU0Tik9dpHqFeFVgMt/9JcrQGbkgsGSLBC24VLq5fmZmjj6aBSQ14a86ozLCaJ
PbM2tUTfRI95CBbZ/fIbEF6lW4xcO74qDmWJpX3NE2EgzXcS/u2y4EldLVUb3IyLCs6it1DZ9LBW
v0rVSbLRWwOACWLNL2XB/131QT1/CAvKRjijRQ7WbH8hB2iUmd6OZgrcZS8QxwERKpZdOWNRpX3u
sxuz9S250jnJGoT7use8RL+PRIj2tnat7oUiCgMF3j7ru2vm9k3XfXIsSsdPwsryCS3lUJouMWwn
ThL28QbKQgfzPiyR7FZ7hFquwDf0oQIMtIRm3rfAqUFRHhwsdehiedhtx7G9nn406AXHquD9cN8s
N07Bbbom+oKsHNgs92Ow1C8STZmHzimtD77hMRQeG53tCc9s7gcwe3Xo48iYNzrlJc/sh+b0tjWj
+GbKupZ9PiFmn6wHmntLle5D1LXAgSLL7dmADAujfEBIXCeDg6gql4UW2FmzsGX+gSkuwUBgUJje
O7EznnTEx7OOEhOzPo9x54V8geVK4U5mxUYbpu8GkINfvsZOVv+y2tJKsf3NPC7i8VodZcSYK7Zs
ffFJoRA9zMOElcJXqhOruukB3dJxsEbJyxS3PZMcRis8oOeeDUXSv+SRbbLw4oy+1fUcnSo9DBtu
gfZXqR3zYcyHpAtNFRT3yTLBrW1E8GLh591ZQxD80nIQzzP4h5PvOMb7LCIySeHhLPdjnel3nr+U
C3bTW/YaQlO2Q9uJlHUshX8QVTy/1umMhlpzxrwiP1F9SBA0wdFxIbJ8h7OQPZ0dSKCQsURTSaUs
2PsI9m7+qkNcB+OC6v/oegP+m3pI5CHtLLfYNoLBFyMJTrcV6SLNvItYkqXHhcyyk6PtuTlo2yRJ
Ks2wLIZkNQa/B3YK313LYHJNmmplbTp6qRc7m4FJIcmeWnMn8DQYEFfbxD5ivsJJIgGxZ1tnGUeA
uUwsAuOzbjtvP2dW4dchsWr4jJIqgyezXgbanRCRTe2/sSYw/QcHKCxrea40ZaOANR2IjJH+dCqs
sHMMa2LsDVYbE/GDsWXXBpF2tgsnwEWKqhek3WcSt+ERIwof5AVTEAWrrD3kdL7zJDhvliOs9+g+
D6gJ7gptXiF+V/CtdS5sdu27hK1+sSn9GOoTGQCuXMtyGK70DkxorMGqpGmam2SpKY9UnWqkMaYq
7Qv41yo6OmY3JLf+6GkMP2kUjXuc7304DU51j1+ngVflUJMQRSws0tQh0sptB0I0PbBSTLM3pttt
ucckxJpf5f7cfZQLqeCkbBAsp2btRB+Ee1cRQ8cY3m6MLjmK+d5HrD4oHjvKzHZq0rVpzSm7pXi2
xIfEiN+v274d9bqJlBVGqTMHZ47vZtzjawbzgU+93VhOZ+5rYeW7Hmkx2onInR6Tqi+v3BY3E9uE
AbwPf1XH2U2ND9ZbM/Ou+02fQ55ojGQwwj4e3d2MFyI6AiGbUNtjGGvWQRVBpawaPRNtmfaWQCZU
4xjeGIZbdO9TTrmtmmkubwoJjQbbGs4zJMHoINWxEtUc7CMS25EikhGUvHBIud3BnvqKMkeM45m9
DuZITPLdUD4nLoknXyb3cH0f6x76nauuOMgmwnIgOne4gwYWvGcUd/YKSp3ywo4/xw7rNp2XvRmz
mYHSy4Zg40eOZ7Mn8PqtZ7WNyySxNU5osN8DQk2oyEkuwBOvOBPtSH0YcmJgjJnmLuvih4yIeB22
aY5tHTEhCs5FDtkun1xYXmlEcpCFyD7nijKi3whuDAu8KOEwwBJHnIl9kczfc9xKieIQize1/UDC
fTPoR41Xaa3dGKOy5aBJGkD32qvRLh7ISOHZVAVdfoon7liqlgilSeRD5ljjDh6+Os/HRo0ijXRN
UKXlVXlAX7NPuxbNazfM8UsXwy5A1XrdiRQI8m9nVxbWDQKxIQ75aTCxyJWEETaYtivWhuS6rRn6
Xg1BJLs3PPpJZG6s7rlDQMLtlSmCOgy3OhgES68L14vOnio6ve7L5RoYEzttES4lhHuniOUDu2J7
lyp4QRmb1eVLmnwc7ui2SFan/olPPtjbQQw+vgfCVW/GpTsoUU2fcSfil3lOQVzj9Mx2ZmZax0Ga
3kHjE0Xd5iNbjfPBU7DaSl+svdoUJdgKR4mwajIDqIbWiHUWybSfPLlkemniPDj5LCdLgs7YHK8q
PKkN8/8+CMnpdZuwd1I8BUuaiSEcNTlRIalM7ub/ydzyJv1u667+3f8nGFxKy3VRQv7HruinzzIt
/svl80f/fXL514/95YwWf0imjJ5vBQ6yXVui6f1Ljun+ga6SjBjsRP5fQ82/RpcmsS8BcE+kbwFC
X99h4PiXM9r/AwWlxU/ZhL8g5kTe+W+T278ExAx9/zHJ/XcExf+ME71KeSXJ0vyHXDO2Kf/KvWob
6WvM++2GxzrW/pKBotF8lDbpuC0VpNHnR5unPwZIAkf+9kn9O2/tXsleqMdm/F+Hn//2Xz1owgLO
xxXh4ksGte5VYv03CTWDJZGN3GYbE4DoPuqxOII6nqHbd9PqKk5jZpGBj+bA2mklUrxupvjmURtv
AjVh0056u0O5gXnmQvQsuazL5Jzo8BHcO4AImpZ7P207qEJpxya0nbGfRthF5n0kFAoe5d1Tdjuw
nq9+E9yVT5LJxpoYFV7QW2qFVWQ0b+2anWqo3e6G0jUn2zJHqeVgJi+QrpOrXHTy4tmL8YTGgNpF
lXK5b2fOa8vvjCcPHyI60Dq4HSWePs+TNva968jMMObnLG3Y4nhRQXzVtKySwtU7HinOKWBGsHNw
Wx4Wot+u4krjmsaBnSTf215jnT2MI13YGqlGD9o4tTw11HFqZ3sy2sUpNSxSLTdfU5L6HwjqMKzk
lrIeGN3Eat2xIuIJbvCpdXLezwNglR5xF91Zk5T3KE+HX2U0i3cmKR1dkWNU81pQiqg1y6DxbYzj
JAdHOJaPlexedWM4cGkQkgZWf/Ir+xRUldrHWdvth9ZPdzh0P1wtghuh7ckNC41XptCdBmacZzo9
YZuYCPcoJ2D2DIf4snLiDXBJ7Aq8EzvLv4aFZY1fnyv21geErEwwhmR8imWdAYuB5JW2dJ9dx4R6
0XzdnZmLz6JyxQaJXxetQXxPu5w8CpLRxjPT9Xibq1bdSIOi1fJgjDsj57dndP7eBM+5CbhzHLJe
tHme0zFRDGBL7L3ZGCkkhggzirZctoHG3Rh7OHtQfAZbIusYQfe6e4Wu6L8Sci1uVAb+doqdk2+C
a+yu1zk+9GJNVW7fSAi6TwP29lVS6j6Eat9tJImqDCgCxRyuSSbwQX735CECDVaO0+aPfoyfOBwQ
WptwpwIDnU9eN6ZG6puOH5mvpblVLnJHPmJREevWDSl3izk6+dZelpKhyWjZwxaj+XLxK09+VXbU
PwhZUYV4WP53c4X6ZISd+Wuho3r0xi54vg61UfMl2vjIUms6p7q0nyTaRdBq9dR4+B/ygEHZNNQt
bThJdlvTMJodoY1Zth5FGsOJzLGHHjBOjV9qnhCEDixez1lrtuYHrp55twD4XQeO6Tfc12721U1t
cTeWGVvyWBdPXWo5e2zNh65ikuAX4+/lWm2X7TRu80rK3wxt1E+Kp34/x056Axo1OcAERqFFUA/G
0UYOyFsTdRJOypGqJ7N/hlEffGeRjA5G7TLfdygBKjwU+Hi60sH71mRNmCKOvFlMYBGYmNpXGRUs
qPVoIt5ZnM9oGaqtHuv0t+Wa5gZZQ/VQGYOPcCIwP8t4ce9MvehdlER8hJPfPdPH1bti6MS5x6NH
DoPTvNSZlM+YP+xDAp98pTjCI2CDQ85CR+fjTnXAd1fMKSZgebic229meHDLEtmSSl1mhW+TUZLW
4wbWe/TWLtEuohX6Dbve9fb2LPSyMRMkontsMgvpO2k2b/DMbf05YeIQUNH6RFS07Kpj0dB2ONOM
ZZaVcxtOZN19cqVN86qKIHmuJy9IRWikPI2BHKBzSBB2ZltPYToL5dUprb3GC869msvjImeTCtzO
aVN84FSHCA3Gh2M4ARO1ZQAX50WvnSRpPsyMYTTCrBpTY4PgkdsGo1n0Sc3MhDRCLnrCfDa+6KyC
ARrRVURUeflyb6JTYegrE8yCcTp9VtmkLj3STOuYlKReDgagNpy2wFVjPhgSdI3HSkv1C93ugOqV
3PHRs2AKCa2vyZAYgVEuz2X1xsWPOBgZJet3Bh6B3OVRz+5IOw3j0mYcXESPXkNWie4bvP32qMz3
SQ3yOjbIzasxriJ6Sjf9O/Tizt54ubJfS1uJt4aElrVoFus71T0BV/YShEG/tFtRxN3tyIT9p5NL
fUEgG2QoO3vi0E1k7lDllquHPKZvW/PP0hMTZEZpsfLkEzpdLOGjzU1PAFPf0Ni2/AJgPwj6KpOF
aSOppATxxnlWGiR+5goJOl52csVZgxc7GAwkckexo8u15cJe3frMN4wdwm0f69713MHkW79w9EQk
RzCA0+t6GtQziL3llCMt2PKVIdLO/H5r58V0RnbIgcdsPFiJxuuPQz1gOSsSafTrsi6rO0pyQBA2
twM6Cw9x6uzcdRFtPLt8T95miBIulOoI4InrPoOvY3jB8OVUBs24S3ImPiv2shkgaUCVhFIqmTyA
8zNdhn1Ld8WPjOJ6o6NixA1rbWIR+D/ZXHLd6jkNgGnkQfe7nf8cv6EeRAM7GVuqdSohiC7JG3oE
O4RF2d8bOX7N3p3uEggrDwuhlC9m7/wJRvfWUStYj5E8xAykKp114gXtuUvi5LbzQH3wcRr2Mwya
4XuY05x7Jm2hBot4nlZoL8WCs1YKGE5Oe+MvyRnD+YaRBQeybrodYcmKCsJKnggVGy/DovjhxG7g
38PsZa1YyIs9mS4YJeTdD1PfixUDQYC7EclKRGCtBoz7LPOGlXG1CFOTbVMRV/Bm5Lc9GE5IC3Ob
z7FYlVArUbsq3o8fdLdDVHpHNMb1DqO9RWCpSrZ4/MbrAqPy78akRovhdqYsw9zCFErnpgiMQinz
ximHJqbmoqIOohD6XQ7Jcpk7NRWg4Y3lwbUylymkxIXOkItf6GAlJXoqC+v6Ku10+4u1Ayho20/7
b+0neOZLCJgJ612l9ogUAVMW1YC32SchY52V3uzwaCXXGqFIGY2Hq8GIl8ZUg2eZpCa2G3Nz6uZ+
uaZ32J1PyedwHiqd6tceAeUrHqQCiKJPi38tVdxV72o2hML3baLHGuF+Lyr37m1wES/mQkm5boY0
vzqcwVNBcg7STduJ+rmJyw7AzjhwP5Wkhd81nVou8LWHfVt59j86RWFZ2S3GWv9tQvIrIElrRvO5
707qEE2pjfKldPlNBh7gan3dw6SrxkEcHORIA8GqWqQqSqh8j3i4HJYI3cToDtSpcMhmr9uzNoKk
21CYg+nOSvW792Lehp3lNFy/F3ZfUZcgNMBNxkMMDarTkak6FuNtVdqQZVv2JhVe22FYMHUbc3Qb
i8mvwgx6AkCVeeEDgomfIsqiIHa2Dr7rx6GNWuOoI4/tYDZY1nAM3GbwtyaWh4tfF8FRD17hU/aI
iQrYhexpznZ+VGiwO6o1y8fROFqvXiJc5oxBNhxNG01gaRJ/s/DQyXmk594zCoGhOiHjwWog0rEZ
Gcqh+wjR9LWUrGoiSKAq4BJAECClxFgYqHqCMmozWlUHEJXOYcDg6rKc5jsJ2mMyR9FrUQzZSzsX
Q3peErB5BweK3qGo8VgiyTJ+CTOLGNSZ6DoEp8phnmjS17WfZG+sZqEsMS7pX/m21Q1ZFRC6l1L2
B4eH+T7qCuu02GgjAifqzyUqX2w00bV150/fAAEPNMtVe4Ku7xRJSIRi1ME16mYdqqBxnqDxsI39
P/Rj5r868+gyA2G6nsTW6pvIY/65HWPx3esitftNREA0u5X4q0qrRwZIbzIoH2GacLB6CAspMj86
BOj/0D39h63ovyCY7evbu0L4uKiw6wlx/f//1g3mUWcR8Gv0mzYiW9NYVHXmwy9O//uu88+O9p+a
Tt4G1jQdp+B9oIb+89uAVB6scbHRGcQsk/RA4MPaM6Th7+0EN8U6H0ADr6ygSn4qjicLX2FDfrLJ
/vANWI1zmI1Kn11V9g85Lpyb60e2dm1hAcDBUIEQhezQ6wR0rTkX+zsGtOSj/f8dtfCd/E+J2H//
TyQkM10YbhaH0d++8/9FTPb0Cxh5/Fl9/n0k87ef/GssY/7BnNbFKOvyeszJGU78NZbx/rCwupIp
G/zJpLt6Yf9tLBP8QcWAyAuBt+X7wv8bsM75g5KHHHob9LFEIvt/N5a55tb/02zEdRxpupbvYTjw
pW39i708zf20wxoTU4L0Dy6T933ZT9YaDK3eBkY5/sr8mVAANwj2YBnmNSpTAhbAD+85KUg/IbdG
bAauS0Aj9H33HZNq4sij6tBfvY1Jwd7Oi2L3Rvqxd2BeWW97Zsk/rRXV24UQaY+XVP0X3FnR3WRX
ft+qnVL3jZ4zeemJtrlp6pZGT1t9GgFpEf7Jmxb/kJL6xfo3doJiD1AFUkU8trQvtjHgaxq/iRFv
ecT5J0rK4c21iHpzamXhrjXddOGM8+x966L5bXgE5OuytdsDTXH2DIPJVuuqcYlDtIopgAJi+0a1
rtiT3eYIW+t1ZpsKHIMBHllHflohGfGc56oVw3sgCNTFh5D2BxVk0dMVy4pQC9LVDMnXTS5z3sIx
ga8Ol6dPZHrbcwK8tJWT5hvQeuLEarJaDeN8MZE67WkHx+9alCUj9YLnVVd03W2fTwZOkKogUakw
nZdIjPLcS2k8kegt3oy6YorGCnM4zM0w3g9RXG1aGcc//gxGaR270/UXL2BF5fzumuBx/GDtvgYc
eBZFysCGr7n6crVyDoCMKJGolix+ST9AXSJpKHNSb25RH1B85948hxH5WwUdFymzaCXSnUX9xT7R
bA823Phw6MZj7XVIZLVlkLU1Jg96Qgc7whIDad8slNpoqqN1CpP3M06a7DgSFnHDBaWzaOX6NAUu
8OpNXHioqNsgHKaO0kXgTA6W1t17oMZeVFf3MCcMAoUM6k/D8EoWi1NzC9mZQPeynpn7jfI2wey3
wWUX710yUE58o2RwGF2zLZdcfDTLshwTm7ixWlbZzZxxobYYg7967H9bIacOFyNGa2xRT00zrscA
HBypq8ldnk8jtW6rnlGjEBymffszNfV8SkVrs6RsEexQ5Uiv7V6FUO94juaV6VEc8TXBmx/QBla6
h3DjBU76WJIs2E7ZnbKY1+MvJuMk9sj2pS9HFT4hqmq00iS39kqtqe1yb6WwNz9xHwCCg+L0EOQE
BezpMLJjwWrlrfOE/8Q+voY/JU3p7/hHKW6DSQJQSdtifmSD2+xh6zoXwcfHpLNHUMd8Kj1gooNy
Utau/VJlvn1xSl8S9HGVE80lfoTII5tSDIXatkB6SEyZou4LJRLVh9Z+8OQBVISllPKgQPPVXjFK
7nwH+pogowY8P/segShn8eM7BVOX7pnZ1cPk+wBrR4BEGybYw7tKM3SZqT0eZ1E5F8SBNGSjHBZe
qWiwHWjzIbAaj3TVRgbQ3ZzhyQ8m61mX3khI4DR/BUVaPs29Vbd7y83sL67v9HfiDlIC1iK8FeWj
lXyaUUEqV4NCFRFM4nmYDYC4zKK02KJmpWy2eZ01uzFukK9dRac7pfPqFvGFfBrQ2B6j1rEe87KT
eBIR5q34UNy7JNVmGVpuY25Eizpmp4WOb5cxM+/RdLgQ9Ykl7BNVfmdcwnyrkbRemNT1Z4ykkoJp
afbQR1OS3wr/UlUlsgBIO3igGMaKkwuNZE+jGp8g62Rn089z+ibHwYjaGqb5ZDjuSKisWxgb7l/v
4uV9ee+3sXiwrclSCIbgqx2phrFlF6VA44Qc/HtcrgC5EvmXJ/BxrnGjrLHVHTN2ttzzGToCpIAD
ojejzndpOTbdJk/95CgFCNIxqC4ia0HxmIZjhEpeI3KC3txPvlneu1lPpDQ37qaDRbhr+Q/mo6V6
7AYGRX2XMmlJg9shS+ObfCr971wG6c0YR/nWtOqF0Xs/nGK3tLDEOuIrX5r8ZhiADWRV1LPBdrwT
3T3foRW75yhocibCGUMEr6tO1TzjXcWrN268svwyO5BWhWm0e2lX7quRNFvX16+ZW6gdt35yMHN3
kzRWEhpZPvzYdfor65S3cTtjhjpmwmWumZwXssHhYzc7Rzs2FNH01jJsj0hJ17g3jYrt/xJXxNNE
R0LYkZXV7iQ2fWHMb7O6jkUjM27vrciWEk6BoTatbcF6KZ6W0pvAW9LY1Il6K8RsHQrVm6Hbpl/X
UVZxpB325EqhmA7H2Gauxxhu2vaRPTyYg53dTINBShKs60tL5pXnOx96UnumB2pVdYhKGBtolOBQ
L/3aOpuEhaP6AtyI0aINGMKPQc1m2NPZyZKVj8YCvTRBnJD8dyCj+Z+6tstdI7NjC0EP2Ci0+TnE
ZQM0w/R71oZMDBVj+uKznAuEGewg3iV+sgCBy0wuwNwPuyoxG7EGhtA8NH3R7pZm9GkMbZ86YZj0
qSR3uET3BhWvA+y4WrQhf5V9PJATVg4OMDDVJxQzRox1ftQp8lzVcQ6AWIVkOlsdqRBse9zvqu70
ref24y38IhIFKryp3sghFgR6XrN8v6lr/5Y/y0VL4xDnITv4duso6Md6DZx6esGw+RNwub8vjhtS
9tw4CTGLeQdYggdi85C69M8EPJXyz00Tf1TdXDGv1j0jzuUdOIdA915Mx0y2YIXgBRIxNfbzWgYt
xDk/d746K48+2OU2q9iE9usH0oWnZ3jbVqr2ufaGao/UilxUD1diW+o7lUXxS+6gvi/R8f+WMPTe
0POoreUtbB6udsl0X7CA2Y9V4KjVwGYCpAE77JVj29UdZwDUzSIfLqgzIAxSkL0QjpQfMY1Ox4b1
SIheXxxU6fQcSJ5zZiBNQCMaLf+QtHxWDmPFb6txxN6P+y6UiBm3XUl+QFiazg5Oxm7p8+fZBebD
ujj0nLFZK+JprA6MpBgjoHmoI2DgAsUf21/SHqnnai5F1ALoUGiDeRCHZT+WISqVELXLvSEbeaSr
tQ9YzZ19Wkb1p8PzbN3ZlBROV7KE9yuxVX1ac8JYPZgw3793F8M8E/s3blG7RTcVs0o4whFsrKIi
ryQCdJVK6xIP+kSM5W/T7BKUJRxTEwNE1/nRpHnb0ELzlUWpdQlyYt+reGxO/RInO2OhYe9GTpWg
NYenHnTxM4TlAlbDNGxHc7qImGU5ZHpctAmOaXIXqlU3xnKTE4PJPE0FW8gwU7KWcnrnh4ZzWnrL
F7x9NPuZyLZ2EldnoXL5yueNzdl2dZWvlUq9rUoIHndiyFlVaieknHjevULxvopYcJ4QgOS30PNJ
tImW6F4gSD+XiMmgpcAGI1kod+64Q5lWMn5rz/Qh5X0VW86vBTk/BoSoupWTZV4cbblH3RbOryCJ
ghuXsJQVG6z0UYJXOTnCBeySNVX6bphlf8NjszgAGRtDoKjfyFSDvVdlMGjsTF962/TfEQOTRpdV
FcNnDnrqIpmpGwyGiHBbGCCHuoy7Dr2omnl6IDSNl6kiNr7W+6DF+ms43vwQZRmwf4iGRzTkEWFK
QXWUUz6/4LKvbqcyeauRXdyJSOVI0PxmLz2CVudc7iQKFaZXWUOmwNUZxi4tnBMTrIaXcdKpKAbg
iPyygp2FLMxN8UnmzqugleFj9gFOah541I/1G/QE5yOoivxoxhUXcNvZSMQR2KyWWONrh+6Y3McW
C6BSu+ir1DJ9R3NxZdlz7kW+xTvPjIs6j3N88kAS1B6xs/0Qv/pGRJVJ1iSb4uG9bWPC3XPi63p1
MCGmsBUb7jhRJ6a7lLyhcHSHYMYIhZhVSJtF0pMavyHNaeTkqjxm7dVzx+D7IB3TPHoToi+ry0U4
lciMRyIGA4G5BRMudrXiZxwEtDngXIes5qUoYQWDqaL9nvFunPB9siGy0yLfWsSmgRYacb3WV7P9
MvLx2aN9azg++7ckb+9Q0lVrwmrUl+CCuRBbSa6KBSQhtTJvRetDOdEEBlDhuSfOU2ACiNP5MYrS
jnohKz5zM1j4U1jtl8SXfNOMWYcBzWeIeMheDSjbng1jGR8Iu0WC2VTSfK+82vgomXxtm1SoPZun
Px0hhcJvPZU0PQDV71pcQ0AuOzi72JXQzAb51lfz7JGDzeqOTm5I16rj+3KQZr9hSBq5shB81dfY
yCrSbHsRBjYcKTUwT1TioP9S/3dAwU/uwXmqAl5fAW3GVxkGCFApT8Uxd0k6KL0Sm+20xwf+5DOF
XoNfSu9wprBBIYVi3/levJ3tlphbWfcH1vf9eyPq4XMZkK4FZMa8GMymwEjX0Te+dI5PQjQYQLdO
sOPrgQlQDt4NID11dnu7fPf8SFMbOc6hFpS0SMKJZiTYwkAvYaViHyzOBH/aNFivVBWP+CYtg51F
LPAqGWs00/Cq/W3UZv63CGawIlHnzKu5iLyPwDVcb0VGb/6iKJE2KpiDS4/d+K0hbXI3JxE2SUtO
n26VlJwdecV2Qc9YlexquQcoPBxzZ5nuja5jA+CgN13jjLOgdHrLYWFS8RDgtviEHpHu3HZUbySZ
I15YOnnwZrvcuPnIfgOVHcLfXrmAbkwRWlFT3/cgf7Cg10P7i+iq4cmo3NFbdYPd3bgODhcsDcR+
41Hx35FdNDsYxL/TvAqOKEbRGSKtknd+bApgGDJ94cGBrlDA2A8V3IqbyVusYxtZ1taY5/KN/DEq
18XDJMXtDgOrqC9ROziXom2v7nswS2GdwEpekRrf3eVer24proF7ouue921m8ahpOEQf4hqxCYga
pzgot/R3mOXax0xRw5KPkpf70grsENeqf7Zik2VBQTSwK+AI11dB89zlV9EqMomojRAwBssA0rFy
rZXTjcuxpDw7Ns0yvqFSHp4CqtB7bY2cJksmX0prSo/BYGZfsac5i6JxuTiLQ8RGrkR8bu3MvKm6
oVlhzv0f7J1Jj9xItqX/SqH2FIxG0oxcvF747B7hMSkmaUNEKCTO88xf3x+lrHxSVmWhsgW8Fhrt
i0JmRcbgdNLs2r3nfEfBLU6doyh75BczY8eCgGPlvPS2EZbYpizxkim83jQP5vHJThDBAKjyGhoP
rS0II/HA3hP2a26tguH7CsXJvJsYZ57Zx8sP4eiXj72unO1c2hwMXMJ7JlcW15j33AfYCfrk1g6T
rq5n1GTI7IoJKiVW3DYkGJBx1z+bGvwJ+N3w2rdHua8bc2Y+NiTqw2wCk3EwCJL86aaQ3hyqThhs
xcro7GqrYVQgalQBH637Ug50QMLY2M80rXZi4gzO+2DixaSiXwD8vsvqSrs5adb50nswCcM6mC2y
itrAxGilAmRA0nRAxdEfvxo254txjimXvAS+PTKRCpyvZZa+wJ2fr3nXlLcGetTIj9NzZDv8sXLM
185oYxX7n+3/LgzG3xvAv4ZHmFar0OT6/NvObh2VXf1jX/f3b/vW1vXk1zRJ6DvukkLynVHYM9+Z
iNwkUSBIMGCQosP7ra0r7XcODVsiDvgWV6GI+11tJyURlJ5gOGEhl0Gw5v4VtZ2t6Cp/39ZFsmop
G9GerWAsKsYtfP27IUeZJ4i+bLM72L49rbsE2LIB9SrrgbSa3vjsKi8geCtMudMTduOi/TxK+RQz
RgWtI+6QTeBDqoa3FvrOijZBt21H1W0MA3DH2Fb5ex765kL3AfNoOsQbNh+guFV8q5irbwYCRQ6E
lpPZG5RXuqSobKIJSUvhPIM15mTdTXeFLT5nJcChKedYHsDIzr0YjXFivNmBdYWEnnWpQCYYFjCS
HNWPhxbqKA0Ny+e3Bv3HqEkP1NmXdRovMuEBCW+mghsO1x7QF4cuRzVBG7PiHBiSti7a2J5PpVES
54EMm+pW27CURDo9+l5wL6LkZQjr50TQkmWbnuazoW1nCzHe37QFY7uwmzpQXHZ3R4QhQNbEviyV
OR4la8Ru9qcCOp6HZaYyI+hXmkgI1hzH7L7gBr5aRPtbs7aY5tIuX2NppJtAhTM1TrbOjSo/a0TE
a/A8JD9VASHXdq1PyErKDcAYWvKDp49AYInTSgP12qrpY43IGlE+58ZyWKI8vZR/woT82inPOPuK
KBRvKBU68yHe4DawzzN1Mczb4nNstsPe8Cp9XQtkFBw70JkgEl7hZnRZlrW9TcK849CPw7ACTHXn
EvMNQCYiOYOW6pB2ybNVTM9Yi5aoUfwAjRczz0dZQT+vo1KG0T1jembSlX6Jcjc56ML76C0B0wpN
wmpu0ynkIAQbsCeJutCKGwBU9UGUdXgR6fQ+QihJLlt8cgUt6SwYo/vGh+8BAoJoc2yU5HEQfj0s
MdgmJOv1jGZmO0QhRsXSftDEljJbN+h1x9UT96v3eVzCtclwya7YkkD+tPQV+7K5h1d/H5LJrYqR
4fvcPMZLXHe/BHc3S4T3aNgf0nwUB3aQO9Mh5jtpKSgREza7DLPSowjoMTnKvSMz436maUu5xj3L
877uQxttU48TYOVRO+/HsQn8c2zJChTh3NIj8iMEasFUlzc2o/it6RgGPe4kvSaRJd0WdjAcs8gs
d4p78JpDdX/yoSYegoVInIbhfR15Dafq8tyJ2AdhnzK9Js4jvoOS4+7RYk4wgZpHM2jG95mXBadB
uYJNiO2ktdUD6li5T6I+e0xjDHJ8VP12cCYIjknMiMXrDP8DxM2FjS6rS1zdwWmeBjLJCIq0MbZg
oicDsf6MmS/fIMpl9DDO3pXK7PEW5zeEmNFOtuPQoVhoFH4c17oWDF83zIHoLXlDdDuYwDam0u2u
RTxnHfMmwDZYHZD5gH8cdHEApI3iqZzNW7yM+GMNYBzEbTNNEgQYisbXa2pb9IntwHBVlW50kKGT
czBIMwYRhiAAdjC6p6nx1EMXdPpQuRPTd/RgawNQwM7pRbyPbB0eY11NF5V2ogcvKmFAF5i4OXPO
8i4lEOAKBBTeNi+NnwCaPuHqBtSnplXQBPmBY9dN2fbyc1+a/V00qAHhWgOVzeqpg6ORjiVs9+XQ
X75GFG2fe6vJrjX6lhOV83BoWyzX+CectaE5QpmEqrp2Wl4ZtXvhG5mExbpqkRRhI8kEvTr0Q8gN
MJdTanJktuJNtoSJlH2oL7BKxTfD7JeXvtnG16GgLMERftmpqN9nyLWechRo2C6z+qqtpg76FLQD
wl5wHOL7XZMyFz/0Hn9GOkzznR/Ot6NDrox0QbkV0xAdy7i7ZR8yFtxqtXOEE7wy88M3khr3wUh3
a7YwKxUyb68R6Dgb150h4+Zuh6kvAv4QJqQK2cWtQzODuCAbPK6pKWe0litrdP0NaDQCbxHvmRzt
jW7Toj/Gs+Nme1En9eVotBRlWYWsJEM43WuLVThyPpsm3CFPpSbWWA8SjvoUSXdiRjMQn+KhBxtF
SZeljzHOd828hbDF8uIndDdz/1HYBbvi8jcA1rC2QTR4a2hH8snteZpTRypcmLN3TpJQxmu4Ejbn
a4B7r0aAURxL+FDfy9L9Ah1o4aKy+poHwiDNrSvd694ig2SEvoHyEOzsnRww6oOLNbC5xnd6NMuz
Fip+LAFzg0x18P3P4SOjgz1WmHSj2BPytTK8DzNioF3llW/FyA2lmvS+r9CzxeM0bPJUXM39zIm5
YuJVqvihQYpGAqzhrevlk3YJjaW3FEjabCw9rZe/5XJ+JYD9Y6/pZqCKsIB4IgLfakaiy7ksOo1+
cBOFFecpETC9seRtZOIJm/weDDuqKPwwDS6imeaNHWvr0PRJjWo6YCTXBKhz2xYl9Vi8CINVCMcT
sRD+VrXO65TLw2A7bwimnLXfmjkBzc7/h3z/R0gci1qCKvPPnSWoqV/qv93UL2+fm/B7JcNv3/mb
isF+R0CTpCyFzI2sxUQm8LuKAfKjNB3PRuwiXRMHyW/lLlwcGCZoC5hVSITtFt9EK64N/+vvEkK4
jfYG+qBnm7ga/xLs+4+IfNOTjmnzXCi8x9Dq+RO+L3bbvPVU3Tn9voxb7z0o4uma3Y/0EGZF9avh
zcnFILyqXH93oW6+aXn+lnfZTRGRdfpff0eV9kf1BJmB1N6m6+CzY6S92Ge+/81dQxLc6PT9Xtmd
v4tqyylfQELREot6085WRP0RxB7hN3xOUefP29Em2H3t6tTqgJMOQu1FWppy3dRW+sHHl8fgFJ7/
yjanoF2TpclIoCnZ1JMM4ephkAsBBnyF0TImaznwlVTfrzBnV1Y71TldGUt/yAAgvEyF9B4zQdj3
FvhNfzuxppdsjwwPI1QZEV1Av4zXvSm759zW0Q5eO6iBLLuwCb5msLmbhhkb3Jy/4qlYhy05C3NB
bnHjF5/6tDYvm3qIb5k26ScU9NXe8g1iJ7KS5zekPw6SOVD+g9GnUQx32iiOnNDHde5Pn+mJJUQM
WzsfVf6xlcS3IoK/ccNO7/oRPhg9umRtmPljFCHbGEraT+aA0g8vNvAWCU+84sAbw1RNs6KjRLHs
67wkKnWEFCAtEWygjvONdeXsyOUFFbromVUJebQe5QumChT6no02nw4fyausZvU+99MdAKSeZgPe
cKbHe0XY7rohWp3/qKDnSiTe9VB31SXyyPY4+3W98vHugcTtMiyTkNyZXaHHChpMgEOktxB1rQ2h
ZO2+dYLuKEVj7mwWt6ONYWkJUKo4EHQdSMom2luAiAlpHeHVOKyICZKCHfmPZKVlCTQnGLebGtX0
fh5qGHU4fnG7mkF6zHPDfqPcCA6dTZtXG8q4ooEA9ZPe3N00p02yyUl92gRAQeMVmUQhA5BYWDEG
9zALNszWbG+RgaJoHyy7eQF1khSApy0+d+Jt9Iegs90zJnfzlXU+e6Mdi4qESaJjQauF7x4UyaUY
0VxsBlLprmLpVccW5SuEUuNEekV5CueseMrQTHOt4xohgZjbcN7WzkBweePBIIbxVyhFj0MVNxmB
g0tMobNgkYoEHAJjd4iOCfm6o2mRSNFk5p7NMs1w2oTu+8wx6mpjZLbYVCqf5dYxTDTJs1buWdRW
SHesmvpbSc7Uzg7CKThxLqXzhtpBf2halxmOD5XmqtJWEa4rqDx30+CK46LeYb9FXYsStJDHxMSU
A2DGDbBdpvZ9UdfMVIgNBznquAt/ClorVYapSlJUsqJ/9IIKpSy6GRAdapRLSppdD1vXQTlwmobW
/FxUJbujlZmPiRVW3b7NTPsL3Ujf25GMM9Urq6kIYVjNk2PcuQwsd8qrUL838OUxvUrgcTmWdnQl
KeEcnQSwRH+awIxS4M7hZRGlGem7jgEgpFxY/Lt0Nmh7TW8qSF6bLLxELLAvhWHvuglMQ9bL9NCH
nnWtbKIMKhvEQZtAH2Rod+m1UbKiDKbLKiCBZrPRHuKyusrV3NxUsXjDiEAoQlETEtWmwUHEujzn
WjMPCHhHespQsWQ6ugl9o92PmKAumFLLbTuMxeus6n434Y+9ElMMqB9x+HDpN8n4Jcs48jBbktGF
F7rYv+LYhds051jtVvXkmK9EQUenVHbphYdaY8SExYGsMVtrY5Iyoz5XxbSQTDUxp2s3NzKeS+O5
hSXN2s/BU5nOA+cpvWvyvrv1UHXSyIyQLjGk7E9zN38urYr1A3+0jTAXWpgnJ33uLZthYMIg2lvC
3ocsYEjFqfLGEGBd147FoUcQ3HkHsT9BGWLMdbuiTUjfPkCb3xpZd9UMuB63NDmK1Ri107Vb9+F6
agtJ1KI1au4sBM6sFsGri3tuY+SOe7BcIFogAcSaxBquBs2bBzcFu+PwOa5QDvETRm7gYEiuiHFv
oMr6hy6V2ZpI2hOGan0upQpPnXK+sDtFV9AJyn1aV/RzFHdKc4ytZFyXPqfsLWms2NSjJjDzjTFV
9VtkwC3B1VGLS61IVcQgz8F4G9ak69Ge6QFhhBx/piB5aiME0Km23M8iNLs9bXOyrjwemL2DSLs/
lJSn9rbve/cKS0v2qPmc1v1o1gcGCPkbgF37phkr/3UCw2i/b6qMZbad87DdFC3+NWRLICY3JdUB
ZSvaiS1muxkD5WzBsBOvJTYkGh4EyqTS7C90RLp0nT8boIiyBRkuIZQ0iQUvtMdYinqlQ2Rnl66L
FqmK2vsBl8EiyojtK91oaGmToi2V9kN1M7n5rW8h1gNuWW+aMjNu0paEhtHAFZ3gBIxceydwgIP1
WkBVVQC/JTiC4423g2vXFzEkEsOpe/IXIyLpdXimQfBW6fHTxPqOGlFTKgg5HaOZPg9YZNBoWC1X
UYA1XsqUplY6Yqipnb3bc5j3A+mjtwBLXYQjxHcneAwsbFNVO3AD+JwfaPO0qwE3K3GGxhzeZWOJ
MSuOdsbgbyNa8rt26uRlSDbVJjXgkAtDR29jQGCu3/XtmYR6QvwM2kTFOIIpbYAYBPRk9qVmuMgn
NGypBQnONnPOY+P84Kfo+wjTWvI6uLBplftnSLOkpzXlw+CEhC0VeX1oPVD1lBp6Fau63RfKNfes
QC6JCyXcwKRWW0G6xsYBcXGg60IqVkzGrTHx+GbSvh753BlCAneQdT/ae6JHiIofdbCvOeusLKvG
L0Kcu3NBudB8iNzlQw0Zee1AEjU3Kiq9LR2xBiJR7g8fYDCmd7qdxYXg/PulGR1my2w5R7P3hqcY
MjBy1LFgjO+IAiIffIFNoIX/RYRzd1DO5KJ0S2ncsc36e4NzI0KQyAzpTHrsnEnQixODOCgBMrZe
PFR0l72Q4zVD3AT6S5l7Edeb2XrgZXhVemJOToHsoDF7pnMh3N68B9Xif04b/ICoNzgQo+KKEhYm
0z/GrXBOAZdaMNGMvW1gGRFarLGJVvh/epSQzOP2mZDmo2VzHAX+QK8H4Y+3DmUavKFjEz1sAk8X
fAh5doO5xrgHmxkfaK1NF/EYz/tcTP2z7bSQ7qspJ/6M8oEQk5zYh6Zj4t4KkcA3C635Pomn6XMX
q4zHFEXaXQ3X8M4jLITxT6Ro2WR+h21T6l3sJ82jOxXiyg/z/BRiENhPYJkYkaEGBZ9Qq+A5sit7
k2UiJSHAGO/7IbMPfR71t4aH8aGVinifpnDPYGDMC4Id9bMBAmldAeV7tmz/SEqNs1JtcFW7scI6
HRjztjKcXnGf2UCz0TIhEZoRI4LOjIi9s2b0vHXNbBfJOAx9Etx0xcli1TFkT5E9E8i6Shw/u/I9
He49AlpWss+XIf2Epro15iNmxYTmZm4+WKrvk1VRt9jn/EEF29mQsXnDFsH+RlZeP7GA4SbLGpzi
KWJf9K05wSlWjgVYQYLvwMaudeq9xETNbA1pwsolpmgve5jVQBrDN4oWYjIUahfy4VIZoBWd8n3m
DPWxrPrmAw/tfGfQWwQwPua0sfklriHkNkZztKU5HMCws4KbYqzl1dCIfnwpLDlWtxhpq/S9oYZA
b1pmgj4nEQ54ayRr8QAduh79tS17oBi6a+n9K7c39g6xcXeZPQT3Y2lGX2YEJnt6XfCq5sEO9l0t
mttykuaHrvDs+24cSJ6cagl8eA4gLccR3pAgM8K3cVDxyWDq8VLZsg1WuooiPo5SjXeCAvVzbdFd
C4aCuWYWjdXdVJusFTM2Pgq2xmRVc9oqgMGfsGTXjdVh9snES+Jr+8FRQtX3Liak9sovKtvazjGu
na3ZYOgMMkBKyBFjc+06Ad4YWqjQ3JByTvTATG7CTcfIIaZub+ptm02KdM2Ep9eeYpdWGfvhRWHG
nqJNVJVQrHSIeNtAYVYZpQbeX2o6tEVfBseq6KwP6TyE+9z0SrpAsnuRHImInyqru9qxbyMDChoa
/E3ZuO5FOwXIBLkPwaoo8RKTGf4xYIpyVJET0cTujWezLBx3q7zJ/kCA0Xjq22HaAVotruVsqdsA
nwEjkmD0D3acbqupTI5U1OEl1q7hUDUdTAYu4Uuvgx4ugqFu7LCsd2jQ9mZb6OtIx9OpVeQSdn0X
3+W2YZ898ha+CsGIYiFhCTm8WzHS1ykEqaKea1Yc7Z+D0P3YBeEb3L3xFlWST1+uqjNWa0kATqN6
7wvZDZqhSxbtbKkIih9k+Fi7Xvc0xDw5qZG3T3EaBBt/VNY5hxR7ighGukWI9SWwQ7GWhJDcVZSz
N3jKKqqrqPxs431lBx0k86lE3c/IJ05zIMSWaI3hMWFYtGpIprhqfCe+Keba2k511eTbzCzby9G3
Bwa3gPdVkIW3PQ2AjVVGAByw65c3HWfS12qS9m2IBHo3zR5Webeor3ukC0cUPE+dGKNiM7qSKKko
s7rtWIDQQ4Ejd0nXzriPUyThYyfWSWpRA5GW9dwTmISolS5GqhLvOWIC/fFrExRCWHNkW+3vsNwR
nUItdpW3AWmqjd+eO5gA71uqPJSbKcEtMwDMk2XbxB413PJ9w3qvy6L7GEV1vvXnNnqZmGk6eMM4
Ups5GhGUJjHa/4mnK2JX2ZBXAx7cY09xBwDyCDYRGSHFhasfn3PQ+4+p6zQn4sbjR6PgvmpClXES
JLsS9UyyyULLvNEAQk6+JkCKnPn0fpxKeQ6NLP9iDyPWukjkEq5k3F6JjD2PMHXfenODhBNWV2f1
hQiYM61mKIoHgxsNhUDaE2fbtglU3Cppgw3w/fKpHcvK49w1mu8TZyrvdS2bl5io1HGlvxL2Rq/K
n/G5+y9DK6DveQHry0UDivVmZvV7nL/y+eKvrD7alXa9ixPgm0E7cL5yush67VVOtr3M5mVcVrxA
8CjRlgj9VCiaNE7WFpcBlRrwOtYO/qAYy2oOiTJibHLnGazepqrBFDp9Az2u6RnO9e1Ll3X9hbmg
CBvp+tumiNLD1FmAChdkIeIfk9FnVD7XWkQ7tLDGnZMmDmZU4a9MzeAL/P4aWnD+VuBhGa/glIXO
gYEKJEXQP9OqGwLzEbQByMQyGaMvvbDdHUy9aTvFGLpXPkKtcFWgjn5KOENuAiBZB0KWoUby5gNq
gq9YRhk2dobioa8vJ9GHH6QXmfc6zrmBInPmbzCa4m4q3GakERTkj3ZWfWm+Qh8rPeUvM2CvLwU1
KHk8BssQAo9NmFXFxukNvB7AI5OAxpZZJKtOT6BDnWnTsjWvh7YlGWuhT1KMPaI2LU4w/98Lf5D7
oIuMiyCGVukFcCshtzkbQ8HR70qfKt29a6PGvgbAkF2KwMajbX3FYI5+gusyzy8GhN9Hcru4HUDh
Oqc5qzuyDEJr2aYyFP849T2dIhvyGp40Y74Yu8k9R8EUbmh61HvT88VryO3zWuJtnLFqFBnfn1YX
KhTOuecEtVOp1d7Fk76Z5tDcszcjT/MNuuatCSq+M5xhnxoeyDeaUteOFNdLT+iDIDQJ/kQ5mNYm
MfL4mspuSb1lvTqHONLpdjVOCJMX5wqOQA6eeHhmm/7b3G4sBv2PhNukauUNtbqlNEht0rAT/1rG
EUKXQTeHlljRdYyaaYPSWaxcf+K5TH0P/Bbm5l2LbBfKTVfUF3a9zIfsTvpPVdBLgsXL5kM8WeIM
7hLHAaFtLOB279xaUVedK37buiC27CYk9vMsSgOYM0YwfdEh5jpYBaEsEtb2BQjk8iKyIxcjGj6S
fCB9eSNznlOkkO01zbWm3TpWQ0njapBpVW9MA5H0ZbwN7OmTh9BoA6vVWsMSEW8Gsshjj771vWJl
WindYVauyhk53uwmuyDugl3tiJkpK923UGrU2Wacuecxacvb2RhJAugqwZcMKz8oYq/QVqb6VDpl
/ECIAKvgWDREjVsKzjDNK3PFQw1MwRHyUYWTjfZS9NRcGM2shs2sLWC9kjLHcQ9CYS2NB7ft8dtO
+MHIU4RaIspwRG6Qjrfal7hPJtc4tqkqT0ZB1CyG0OqjiChAjKCINk0WM0T3mgPHdXRgWXXdQw3Y
1QnKDRMp47TiX51ja0MCTEc97KyU7XSTh3E5kbbrt1vbCnnGCxzua8UwdN8lVW2y8RBhZaZe8wg0
1Xx0B8KO0OTF4YrOFQb0XsXRVqegJwFQROV9Av1a7CKnGRH7I1fNdwbJMMVFTyYILdmywFiS0fyA
85oExhNZ8Q0DfWiqyCppDqzDMO7vcBLUERpXFb0P9QxjPvUMmr0o651hE1dR9yXW2byfu0F9TOSs
7tzRK8ydxnBdbeMYW9XOIaiJTkgVeiSkpEqCm8XxeNe4NiXygMYS5pTrlU+dbcWvvSGmGWr0IOzj
uMDLTjOt/vvInvPnyvKRRsR5dT3CCiDX06maW2hwWCQkesCbcqARZ/VLwHzSfnBMcpV9t0nAenve
R6Owwh3IGXzZlrZOjSuzx7hZIBg5TrRdp0KJK9FMaaS0R67CjJC1HAnzgUaH2sUr3rdtP26IQpvv
aV86J7eS+saa4E5v4oHQrwC2Y0MkmOW+0TVQzjog4ztZiZrRgTEiVIAbP9QHesjVvK6DYnyOXMUG
QQt1OreZrbddeBuVuus2Qa68+wQ192UAw95OVJ1sJPjfM4Ht03jAS1bi2cCV/orbvCkYEI9oiUf4
/f2KrrNziwrYQkUzTCl6Gz1B92wtOrWbvnCR9FgQk3ZsI/Imtb321prk/ETjfLg10KlDgTHxjUB9
2rdNaT1YmOeuMfXb28g1BrEriBIjG86Jr8mUmDiXD6762JZJiBJepRck2Pc3tSGTihakGdoXlTsy
dTHNJdI7dPGvTRFV1rrVRv88oayj/U9xvQudMYbUGY3XGDvxNWo78bAwciFui7ieDcAmMnjzzRDS
SGSb5vvAXzAfUSay93GE8pRUKA7QnpodttPGWcP44SA1ZpZzVRdmw0C7EEx1rfx6Mpw8BikYVR9m
WNJXao4rzvKVq86iQY9ADnoT50gcKvNBhZ68QOoMsSlDlhyumo7+J94qYBjxZPifoiSbX0qCte0t
+nrOnr2oFlzszKRbTRbHuLnu0yfutr5f52nETkDXc7xuSCz/NBjtssDxEGELS5+0tuTRMtv5TCob
CqPQJ8epypoL1nY2oMYTb43d1eHGK9j54LEYD8qIylvwbfo0Io+/tIe2PzIi7r40nY3yltu2WhG8
ziS+asfxs4r9bFOn3YYzRBqvW9XmB7Kg9Mlh3WZOX6TvbYAyJ0PCUJ+TqXvL44qU+Ble5b5MRX6I
bT3mG4BF1YuJ0Czcotgo7jgi0f3GE/yQMEi/hQiSwsfQ+j3h7PxPzTrUBH31DHccxxvGL8YdkW6M
U5uIYdtxDd/DxWk/sQNl7mrJZr03ZtPy13lWy2hbNOENPsHmDlaFw/SAtYVZdmcDGRNte5NZOr0o
Tb6J0PbFe6D0jRpzugliyrqPSHnAWwqzl2cm4c0OgRm6kSAf0juQEQlpj14sS8TrBUKKhBEbzgLG
JiJStwy38mMqzPCukU65lsmIbKivOGrYRb2tazNczeHgX2f9pE58W0B0TWW8joB41/zrc+j3ydaM
CriP3uxedXqeb6Yxe6tMZ5MlHTrgEFEXwtTprPBhvY8Ga9jXhcbJHHrvp6iR20ShbFgpWpfHthFQ
ZqxhhECC4eYe+Ap1hdI8PNMC4U15rvETNsOu5/jKhKajw2Hgujm2lO0fdVioG18IEzWzNdZ3NgU9
J4HUwZjtktSx6sexPEW9YxG54wUNGMqxvmS6+qmoE4nGp22c6zCQ+jyowr4daWd8zLVrO6sExHLL
cZfxTdhxNw0iOLCqYtRFswRJip4C8jb5pSQBk5A6UQETMYuGAFLa7pgCEmeYMrJeZXDRGTp/sgK2
LIJAKVlCOpyJKQd4nkxb8Geb5SPz1PaYcX3R6bXFYQxrdyO0sLYu9J5iLyzHZjcNRoZWbZt9VJaP
V92fu22qJvcL3CEipo0EVyrb/QcBXqRGiJ+6xhp8KVAS36GQ1TFzK2vuOMFIMxwuGsj4pEBXYEWY
5tDuLZ2X0rFzG4dhaxx9A/WKTY8kApmVzOd2dFjkPF2VgAyb8L2TM/MBvDfcR3q034phGl8jytZ7
kPZdvVLY11n//QUs4cVuAYZ1HD9WCfPLFasCvFPWPE54GWe8VR+zGPedq5nDJK3FRpO04XkwhHhN
LTLAtkPp432tJzauKffU0QdYfMGbInGVPZic35Is6cnBbAZlCxpb3TilvSkDSfxu7KfTU+UmkrlN
6O2kLNnz8yoECqJE4a8LXxqILnU0n7vIZ/VuB5mctKeaUzA2YGicZNKfQLdH9PIEEz/sYQW7lYxK
H6epN5GzmEVhvaLRhjQ/DtnFVsholiQX1VnVpTeO/BoymAIwKQW6y4xAloe0r5mjyDxBUqXHYtX6
hnGkyZ5h4Kyb5f8YeOgwUUXygZmtlcIRksD6stxx3vCE5FclE9RbNi9ql5TtcuXjhm+OrcjMZANZ
b3ym30w6FaGq98Fyuspc+I5d4I3tGvGfRL0oks0YpeLser18S2zMdS3tvp3hJ4QHIOnt/Z2DimDt
0Ry+mDNhnjDMjVcweyBOm0uTPAsLHOXApwhoN3myeuLM4uHWNuiMAnzjdN08dxThp8nPQSORKLRt
CW7ZDFPVfzZLJ0ZIWEdXxLWxfs1k+2kt8kujLyWeGP4JGi56TLNrxLMAdkMWbpicwRrIbdEKtJh4
O+DdABF7Drtyvq37Pr8sSBZjjG4aW1v62TE1tfiUlj3s6tKtL9FQIsRHPlyvy2iINiS2zJ+A74YH
yD/6SJYG+GhUe+uh6ALn/zHKyaKi/7O8rN8ZrAue5KtQ5b5gYsmY8LvErf/oP/oHzPVf/6D/MIAL
Fc53Gprff9TXv+Xf/Yj0hT+5eyOiSyowtoBaPRNc7NfX3/+WFnnw25fR3btIiWDW0lheXt8QLd9d
oj+7CP/+/d39UzTZP/+cH97Ap6LL2yXSLIiKH+LETPOP1JivP+mfL8EffsJ3l0ByCaTtAWD44b1r
750FtAOGr/j2QtSPsOt//r2/vGXM/yJEg9Gn9nvNGGovNF4/iM3+5M3/4Uf895s3nXfagUjg8hF/
e/3xGnjKQVbmId1cXv+3Pv8/vIFvYrwFNwxMx/zZh8C032nYVNK2kdwtLz7p7x4Crd4tdCAToNAv
ehEsTyKF+6kbQTrveI8QNxzrX10Dly8LkNa29+0X/UJPAQ1sZtw//f7lO+UtDqI/uQfMdzDFBOLD
BQbFC0TUL7YYUAR++6P+e//6q6uB9N6ZRHd5i/DyxwfAgnRm05n+dm/8em9emYC9bPGzyyFCWeUo
oOXYzL6+ftwSeAoc6lKL09G3LwOz+8XuAmTDYEd++kZQ77jXXbxxNNG+vn64ITz7HX47U+vf7gfx
bQX+hRYFzk3yZy+CSQYpDf+F//avlsRlWxAgQCgdvr14aH7Jm+Fnt0d8lBp5OsXQv6wRPMTl7BxE
SkLQ+/r6Ra/DTy8OPP0UyyaN5N/f6HerJE5UqVG4skv8/uVf7n5YzLg/+1ywSAKygbL5h4J5OSxY
eAKwwX67AL9csSht8ji+3p0/sUeKd45pETP8FQu5vNEflkaXpVG6HKm+xnywbvxyq4LEn/yzFwGv
iWsvLhTJ4vLdM6AdPCi4GT3x21rwy90Cf2JI/8uVkvVO24vvfHHZfHcBWASoINmA2Tq/vn69j19L
+2c/froGDjYjTPW/FQBU399dBM2O4FA5qH9UUb/cRaCC+6cEoL96C5jmOwF/FpPWj0Widt/hJxFS
OL9cVfQdLped6f98DTQ1/jShMIL+4a177zCZLajn33YAvvxrbYHUMf9k0PurHzx3P889xwQ++6+v
H9sFLhuEUrSU/nH3/3JroLUcY392G1yecRpDQv+4A7j6HUQg5UHD+Pb6C8/+f3B++I1q8in9/FL/
r/8NAAD//w==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www.flickr.com/photos/7235424@N02/3501748543" TargetMode="External"/><Relationship Id="rId7" Type="http://schemas.openxmlformats.org/officeDocument/2006/relationships/chart" Target="../charts/chart4.xml"/><Relationship Id="rId2" Type="http://schemas.openxmlformats.org/officeDocument/2006/relationships/image" Target="../media/image1.jpeg"/><Relationship Id="rId1" Type="http://schemas.microsoft.com/office/2014/relationships/chartEx" Target="../charts/chartEx1.xml"/><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54726</xdr:colOff>
      <xdr:row>0</xdr:row>
      <xdr:rowOff>53340</xdr:rowOff>
    </xdr:from>
    <xdr:to>
      <xdr:col>2</xdr:col>
      <xdr:colOff>199506</xdr:colOff>
      <xdr:row>33</xdr:row>
      <xdr:rowOff>163304</xdr:rowOff>
    </xdr:to>
    <xdr:sp macro="" textlink="">
      <xdr:nvSpPr>
        <xdr:cNvPr id="2" name="Rectangle 1">
          <a:extLst>
            <a:ext uri="{FF2B5EF4-FFF2-40B4-BE49-F238E27FC236}">
              <a16:creationId xmlns:a16="http://schemas.microsoft.com/office/drawing/2014/main" id="{338F9C8A-0121-BA74-0BF5-5DC996740B37}"/>
            </a:ext>
          </a:extLst>
        </xdr:cNvPr>
        <xdr:cNvSpPr/>
      </xdr:nvSpPr>
      <xdr:spPr>
        <a:xfrm>
          <a:off x="54726" y="53340"/>
          <a:ext cx="1634144" cy="6012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0</xdr:row>
      <xdr:rowOff>76200</xdr:rowOff>
    </xdr:from>
    <xdr:to>
      <xdr:col>8</xdr:col>
      <xdr:colOff>381000</xdr:colOff>
      <xdr:row>5</xdr:row>
      <xdr:rowOff>106680</xdr:rowOff>
    </xdr:to>
    <xdr:sp macro="" textlink="">
      <xdr:nvSpPr>
        <xdr:cNvPr id="3" name="Rectangle 2">
          <a:extLst>
            <a:ext uri="{FF2B5EF4-FFF2-40B4-BE49-F238E27FC236}">
              <a16:creationId xmlns:a16="http://schemas.microsoft.com/office/drawing/2014/main" id="{96B8A4D2-D604-D6A7-8E68-B1FBF92ED2D2}"/>
            </a:ext>
          </a:extLst>
        </xdr:cNvPr>
        <xdr:cNvSpPr/>
      </xdr:nvSpPr>
      <xdr:spPr>
        <a:xfrm>
          <a:off x="1797627" y="76200"/>
          <a:ext cx="3536373" cy="931025"/>
        </a:xfrm>
        <a:prstGeom prst="rect">
          <a:avLst/>
        </a:prstGeom>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448186</xdr:colOff>
      <xdr:row>0</xdr:row>
      <xdr:rowOff>45720</xdr:rowOff>
    </xdr:from>
    <xdr:to>
      <xdr:col>14</xdr:col>
      <xdr:colOff>69273</xdr:colOff>
      <xdr:row>5</xdr:row>
      <xdr:rowOff>167640</xdr:rowOff>
    </xdr:to>
    <xdr:sp macro="" textlink="">
      <xdr:nvSpPr>
        <xdr:cNvPr id="4" name="Rectangle 3">
          <a:extLst>
            <a:ext uri="{FF2B5EF4-FFF2-40B4-BE49-F238E27FC236}">
              <a16:creationId xmlns:a16="http://schemas.microsoft.com/office/drawing/2014/main" id="{E6446807-AFDD-3D0A-9EA9-3CC81E0506DA}"/>
            </a:ext>
          </a:extLst>
        </xdr:cNvPr>
        <xdr:cNvSpPr/>
      </xdr:nvSpPr>
      <xdr:spPr>
        <a:xfrm>
          <a:off x="5401186" y="45720"/>
          <a:ext cx="3278687" cy="102246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xdr:colOff>
      <xdr:row>6</xdr:row>
      <xdr:rowOff>22860</xdr:rowOff>
    </xdr:from>
    <xdr:to>
      <xdr:col>6</xdr:col>
      <xdr:colOff>0</xdr:colOff>
      <xdr:row>9</xdr:row>
      <xdr:rowOff>17820</xdr:rowOff>
    </xdr:to>
    <xdr:sp macro="" textlink="">
      <xdr:nvSpPr>
        <xdr:cNvPr id="5" name="Rectangle 4">
          <a:extLst>
            <a:ext uri="{FF2B5EF4-FFF2-40B4-BE49-F238E27FC236}">
              <a16:creationId xmlns:a16="http://schemas.microsoft.com/office/drawing/2014/main" id="{435AD3CC-B202-4D20-A55A-F4BF33D75E2E}"/>
            </a:ext>
          </a:extLst>
        </xdr:cNvPr>
        <xdr:cNvSpPr/>
      </xdr:nvSpPr>
      <xdr:spPr>
        <a:xfrm>
          <a:off x="1756410" y="1120140"/>
          <a:ext cx="3097530" cy="5436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xdr:colOff>
      <xdr:row>6</xdr:row>
      <xdr:rowOff>38100</xdr:rowOff>
    </xdr:from>
    <xdr:to>
      <xdr:col>13</xdr:col>
      <xdr:colOff>76200</xdr:colOff>
      <xdr:row>21</xdr:row>
      <xdr:rowOff>68580</xdr:rowOff>
    </xdr:to>
    <xdr:sp macro="" textlink="">
      <xdr:nvSpPr>
        <xdr:cNvPr id="9" name="Rectangle 8">
          <a:extLst>
            <a:ext uri="{FF2B5EF4-FFF2-40B4-BE49-F238E27FC236}">
              <a16:creationId xmlns:a16="http://schemas.microsoft.com/office/drawing/2014/main" id="{4E8F15B2-3945-478C-A934-57230F592147}"/>
            </a:ext>
          </a:extLst>
        </xdr:cNvPr>
        <xdr:cNvSpPr/>
      </xdr:nvSpPr>
      <xdr:spPr>
        <a:xfrm>
          <a:off x="4389120" y="1135380"/>
          <a:ext cx="3680460" cy="27051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221670</xdr:colOff>
      <xdr:row>6</xdr:row>
      <xdr:rowOff>30480</xdr:rowOff>
    </xdr:from>
    <xdr:to>
      <xdr:col>4</xdr:col>
      <xdr:colOff>297870</xdr:colOff>
      <xdr:row>8</xdr:row>
      <xdr:rowOff>15240</xdr:rowOff>
    </xdr:to>
    <xdr:sp macro="" textlink="">
      <xdr:nvSpPr>
        <xdr:cNvPr id="11" name="TextBox 10">
          <a:extLst>
            <a:ext uri="{FF2B5EF4-FFF2-40B4-BE49-F238E27FC236}">
              <a16:creationId xmlns:a16="http://schemas.microsoft.com/office/drawing/2014/main" id="{450AF90D-49E2-FC99-3549-A5D5AA0AA8B8}"/>
            </a:ext>
          </a:extLst>
        </xdr:cNvPr>
        <xdr:cNvSpPr txBox="1"/>
      </xdr:nvSpPr>
      <xdr:spPr>
        <a:xfrm>
          <a:off x="1711034" y="1111135"/>
          <a:ext cx="1309254" cy="344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SALES</a:t>
          </a:r>
        </a:p>
      </xdr:txBody>
    </xdr:sp>
    <xdr:clientData/>
  </xdr:twoCellAnchor>
  <xdr:twoCellAnchor>
    <xdr:from>
      <xdr:col>3</xdr:col>
      <xdr:colOff>129540</xdr:colOff>
      <xdr:row>7</xdr:row>
      <xdr:rowOff>83820</xdr:rowOff>
    </xdr:from>
    <xdr:to>
      <xdr:col>4</xdr:col>
      <xdr:colOff>22860</xdr:colOff>
      <xdr:row>8</xdr:row>
      <xdr:rowOff>167640</xdr:rowOff>
    </xdr:to>
    <xdr:sp macro="" textlink="'PIVOT TABLE'!B7">
      <xdr:nvSpPr>
        <xdr:cNvPr id="13" name="TextBox 12">
          <a:extLst>
            <a:ext uri="{FF2B5EF4-FFF2-40B4-BE49-F238E27FC236}">
              <a16:creationId xmlns:a16="http://schemas.microsoft.com/office/drawing/2014/main" id="{A3A7DF39-F027-7B71-B6FB-28BA7EC9F9C3}"/>
            </a:ext>
          </a:extLst>
        </xdr:cNvPr>
        <xdr:cNvSpPr txBox="1"/>
      </xdr:nvSpPr>
      <xdr:spPr>
        <a:xfrm>
          <a:off x="1882140" y="1363980"/>
          <a:ext cx="9829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8178BD-D924-44A7-A773-269F44C2DB40}" type="TxLink">
            <a:rPr lang="en-US" sz="1100" b="0" i="0" u="none" strike="noStrike">
              <a:solidFill>
                <a:schemeClr val="bg1"/>
              </a:solidFill>
              <a:latin typeface="Aptos Narrow"/>
              <a:ea typeface="+mn-ea"/>
              <a:cs typeface="+mn-cs"/>
            </a:rPr>
            <a:pPr marL="0" indent="0"/>
            <a:t>418653.24</a:t>
          </a:fld>
          <a:endParaRPr lang="en-IN" sz="1100" b="0" i="0" u="none" strike="noStrike">
            <a:solidFill>
              <a:schemeClr val="bg1"/>
            </a:solidFill>
            <a:latin typeface="Aptos Narrow"/>
            <a:ea typeface="+mn-ea"/>
            <a:cs typeface="+mn-cs"/>
          </a:endParaRPr>
        </a:p>
      </xdr:txBody>
    </xdr:sp>
    <xdr:clientData/>
  </xdr:twoCellAnchor>
  <xdr:twoCellAnchor>
    <xdr:from>
      <xdr:col>3</xdr:col>
      <xdr:colOff>3810</xdr:colOff>
      <xdr:row>9</xdr:row>
      <xdr:rowOff>68580</xdr:rowOff>
    </xdr:from>
    <xdr:to>
      <xdr:col>6</xdr:col>
      <xdr:colOff>0</xdr:colOff>
      <xdr:row>12</xdr:row>
      <xdr:rowOff>63540</xdr:rowOff>
    </xdr:to>
    <xdr:sp macro="" textlink="">
      <xdr:nvSpPr>
        <xdr:cNvPr id="14" name="Rectangle 13">
          <a:extLst>
            <a:ext uri="{FF2B5EF4-FFF2-40B4-BE49-F238E27FC236}">
              <a16:creationId xmlns:a16="http://schemas.microsoft.com/office/drawing/2014/main" id="{0200FE39-2772-482D-8B89-EE701D99CF8C}"/>
            </a:ext>
          </a:extLst>
        </xdr:cNvPr>
        <xdr:cNvSpPr/>
      </xdr:nvSpPr>
      <xdr:spPr>
        <a:xfrm>
          <a:off x="1756410" y="1714500"/>
          <a:ext cx="3097530" cy="5436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221670</xdr:colOff>
      <xdr:row>9</xdr:row>
      <xdr:rowOff>130406</xdr:rowOff>
    </xdr:from>
    <xdr:to>
      <xdr:col>4</xdr:col>
      <xdr:colOff>651161</xdr:colOff>
      <xdr:row>11</xdr:row>
      <xdr:rowOff>54206</xdr:rowOff>
    </xdr:to>
    <xdr:sp macro="" textlink="">
      <xdr:nvSpPr>
        <xdr:cNvPr id="15" name="TextBox 14">
          <a:extLst>
            <a:ext uri="{FF2B5EF4-FFF2-40B4-BE49-F238E27FC236}">
              <a16:creationId xmlns:a16="http://schemas.microsoft.com/office/drawing/2014/main" id="{48AA1F9C-C631-40EA-9FC8-9A91A94F2A1E}"/>
            </a:ext>
          </a:extLst>
        </xdr:cNvPr>
        <xdr:cNvSpPr txBox="1"/>
      </xdr:nvSpPr>
      <xdr:spPr>
        <a:xfrm>
          <a:off x="1711034" y="1751388"/>
          <a:ext cx="1662545" cy="28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QUANTITY</a:t>
          </a:r>
        </a:p>
      </xdr:txBody>
    </xdr:sp>
    <xdr:clientData/>
  </xdr:twoCellAnchor>
  <xdr:twoCellAnchor>
    <xdr:from>
      <xdr:col>3</xdr:col>
      <xdr:colOff>175260</xdr:colOff>
      <xdr:row>11</xdr:row>
      <xdr:rowOff>0</xdr:rowOff>
    </xdr:from>
    <xdr:to>
      <xdr:col>4</xdr:col>
      <xdr:colOff>60960</xdr:colOff>
      <xdr:row>12</xdr:row>
      <xdr:rowOff>83820</xdr:rowOff>
    </xdr:to>
    <xdr:sp macro="" textlink="'PIVOT TABLE'!C7">
      <xdr:nvSpPr>
        <xdr:cNvPr id="16" name="TextBox 15">
          <a:extLst>
            <a:ext uri="{FF2B5EF4-FFF2-40B4-BE49-F238E27FC236}">
              <a16:creationId xmlns:a16="http://schemas.microsoft.com/office/drawing/2014/main" id="{740AD02A-6BF8-408E-890E-96C27E7E9237}"/>
            </a:ext>
          </a:extLst>
        </xdr:cNvPr>
        <xdr:cNvSpPr txBox="1"/>
      </xdr:nvSpPr>
      <xdr:spPr>
        <a:xfrm>
          <a:off x="1927860" y="2011680"/>
          <a:ext cx="9753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C3AD468-50DE-4904-9A5D-6D5B2A76029F}" type="TxLink">
            <a:rPr lang="en-US" sz="1100" b="0" i="0" u="none" strike="noStrike">
              <a:solidFill>
                <a:schemeClr val="bg1"/>
              </a:solidFill>
              <a:latin typeface="Aptos Narrow"/>
              <a:ea typeface="+mn-ea"/>
              <a:cs typeface="+mn-cs"/>
            </a:rPr>
            <a:pPr marL="0" indent="0"/>
            <a:t>6960.0</a:t>
          </a:fld>
          <a:endParaRPr lang="en-IN" sz="1100" b="0" i="0" u="none" strike="noStrike">
            <a:solidFill>
              <a:schemeClr val="bg1"/>
            </a:solidFill>
            <a:latin typeface="Aptos Narrow"/>
            <a:ea typeface="+mn-ea"/>
            <a:cs typeface="+mn-cs"/>
          </a:endParaRPr>
        </a:p>
      </xdr:txBody>
    </xdr:sp>
    <xdr:clientData/>
  </xdr:twoCellAnchor>
  <xdr:twoCellAnchor>
    <xdr:from>
      <xdr:col>3</xdr:col>
      <xdr:colOff>3810</xdr:colOff>
      <xdr:row>12</xdr:row>
      <xdr:rowOff>121920</xdr:rowOff>
    </xdr:from>
    <xdr:to>
      <xdr:col>6</xdr:col>
      <xdr:colOff>0</xdr:colOff>
      <xdr:row>16</xdr:row>
      <xdr:rowOff>2580</xdr:rowOff>
    </xdr:to>
    <xdr:sp macro="" textlink="">
      <xdr:nvSpPr>
        <xdr:cNvPr id="17" name="Rectangle 16">
          <a:extLst>
            <a:ext uri="{FF2B5EF4-FFF2-40B4-BE49-F238E27FC236}">
              <a16:creationId xmlns:a16="http://schemas.microsoft.com/office/drawing/2014/main" id="{B794FA6D-26BF-44D0-8B9F-F4F8E399736B}"/>
            </a:ext>
          </a:extLst>
        </xdr:cNvPr>
        <xdr:cNvSpPr/>
      </xdr:nvSpPr>
      <xdr:spPr>
        <a:xfrm>
          <a:off x="1756410" y="2316480"/>
          <a:ext cx="3097530" cy="5436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221670</xdr:colOff>
      <xdr:row>12</xdr:row>
      <xdr:rowOff>169372</xdr:rowOff>
    </xdr:from>
    <xdr:to>
      <xdr:col>4</xdr:col>
      <xdr:colOff>451655</xdr:colOff>
      <xdr:row>14</xdr:row>
      <xdr:rowOff>93172</xdr:rowOff>
    </xdr:to>
    <xdr:sp macro="" textlink="">
      <xdr:nvSpPr>
        <xdr:cNvPr id="18" name="TextBox 17">
          <a:extLst>
            <a:ext uri="{FF2B5EF4-FFF2-40B4-BE49-F238E27FC236}">
              <a16:creationId xmlns:a16="http://schemas.microsoft.com/office/drawing/2014/main" id="{ED2FF31F-E01E-4208-9CB9-55A04A2C38DC}"/>
            </a:ext>
          </a:extLst>
        </xdr:cNvPr>
        <xdr:cNvSpPr txBox="1"/>
      </xdr:nvSpPr>
      <xdr:spPr>
        <a:xfrm>
          <a:off x="1711034" y="2330681"/>
          <a:ext cx="1463039" cy="28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PROFIT</a:t>
          </a:r>
        </a:p>
      </xdr:txBody>
    </xdr:sp>
    <xdr:clientData/>
  </xdr:twoCellAnchor>
  <xdr:twoCellAnchor>
    <xdr:from>
      <xdr:col>3</xdr:col>
      <xdr:colOff>160020</xdr:colOff>
      <xdr:row>14</xdr:row>
      <xdr:rowOff>15240</xdr:rowOff>
    </xdr:from>
    <xdr:to>
      <xdr:col>4</xdr:col>
      <xdr:colOff>236220</xdr:colOff>
      <xdr:row>15</xdr:row>
      <xdr:rowOff>167640</xdr:rowOff>
    </xdr:to>
    <xdr:sp macro="" textlink="'PIVOT TABLE'!D7">
      <xdr:nvSpPr>
        <xdr:cNvPr id="19" name="TextBox 18">
          <a:extLst>
            <a:ext uri="{FF2B5EF4-FFF2-40B4-BE49-F238E27FC236}">
              <a16:creationId xmlns:a16="http://schemas.microsoft.com/office/drawing/2014/main" id="{6068F63B-6513-4AC3-9150-B7E2BFBB8BA7}"/>
            </a:ext>
          </a:extLst>
        </xdr:cNvPr>
        <xdr:cNvSpPr txBox="1"/>
      </xdr:nvSpPr>
      <xdr:spPr>
        <a:xfrm>
          <a:off x="1912620" y="2575560"/>
          <a:ext cx="11658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B65825B-04EA-45E3-BB0D-EBFA8E41F514}" type="TxLink">
            <a:rPr lang="en-US" sz="1100" b="0" i="0" u="none" strike="noStrike">
              <a:solidFill>
                <a:schemeClr val="bg1"/>
              </a:solidFill>
              <a:latin typeface="Aptos Narrow"/>
              <a:ea typeface="+mn-ea"/>
              <a:cs typeface="+mn-cs"/>
            </a:rPr>
            <a:pPr marL="0" indent="0"/>
            <a:t>39368.93</a:t>
          </a:fld>
          <a:endParaRPr lang="en-IN" sz="1100" b="0" i="0" u="none" strike="noStrike">
            <a:solidFill>
              <a:schemeClr val="bg1"/>
            </a:solidFill>
            <a:latin typeface="Aptos Narrow"/>
            <a:ea typeface="+mn-ea"/>
            <a:cs typeface="+mn-cs"/>
          </a:endParaRPr>
        </a:p>
      </xdr:txBody>
    </xdr:sp>
    <xdr:clientData/>
  </xdr:twoCellAnchor>
  <xdr:twoCellAnchor>
    <xdr:from>
      <xdr:col>8</xdr:col>
      <xdr:colOff>53340</xdr:colOff>
      <xdr:row>6</xdr:row>
      <xdr:rowOff>22860</xdr:rowOff>
    </xdr:from>
    <xdr:to>
      <xdr:col>11</xdr:col>
      <xdr:colOff>198120</xdr:colOff>
      <xdr:row>8</xdr:row>
      <xdr:rowOff>45720</xdr:rowOff>
    </xdr:to>
    <xdr:sp macro="" textlink="">
      <xdr:nvSpPr>
        <xdr:cNvPr id="23" name="TextBox 22">
          <a:extLst>
            <a:ext uri="{FF2B5EF4-FFF2-40B4-BE49-F238E27FC236}">
              <a16:creationId xmlns:a16="http://schemas.microsoft.com/office/drawing/2014/main" id="{59FF5D04-0C9D-AFB0-E7BA-FEE1B0114352}"/>
            </a:ext>
          </a:extLst>
        </xdr:cNvPr>
        <xdr:cNvSpPr txBox="1"/>
      </xdr:nvSpPr>
      <xdr:spPr>
        <a:xfrm>
          <a:off x="4930140" y="1120140"/>
          <a:ext cx="19735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6600"/>
              </a:solidFill>
            </a:rPr>
            <a:t>Total Sales &amp; Profit by Year</a:t>
          </a:r>
        </a:p>
      </xdr:txBody>
    </xdr:sp>
    <xdr:clientData/>
  </xdr:twoCellAnchor>
  <xdr:twoCellAnchor>
    <xdr:from>
      <xdr:col>13</xdr:col>
      <xdr:colOff>135774</xdr:colOff>
      <xdr:row>6</xdr:row>
      <xdr:rowOff>45720</xdr:rowOff>
    </xdr:from>
    <xdr:to>
      <xdr:col>19</xdr:col>
      <xdr:colOff>311034</xdr:colOff>
      <xdr:row>21</xdr:row>
      <xdr:rowOff>76200</xdr:rowOff>
    </xdr:to>
    <xdr:sp macro="" textlink="">
      <xdr:nvSpPr>
        <xdr:cNvPr id="24" name="Rectangle 23">
          <a:extLst>
            <a:ext uri="{FF2B5EF4-FFF2-40B4-BE49-F238E27FC236}">
              <a16:creationId xmlns:a16="http://schemas.microsoft.com/office/drawing/2014/main" id="{660D0B17-5E1C-41B1-ABB9-BA2E0D791896}"/>
            </a:ext>
          </a:extLst>
        </xdr:cNvPr>
        <xdr:cNvSpPr/>
      </xdr:nvSpPr>
      <xdr:spPr>
        <a:xfrm>
          <a:off x="8076241" y="1156673"/>
          <a:ext cx="3849952" cy="273664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xdr:colOff>
      <xdr:row>16</xdr:row>
      <xdr:rowOff>53340</xdr:rowOff>
    </xdr:from>
    <xdr:to>
      <xdr:col>6</xdr:col>
      <xdr:colOff>0</xdr:colOff>
      <xdr:row>19</xdr:row>
      <xdr:rowOff>62700</xdr:rowOff>
    </xdr:to>
    <xdr:sp macro="" textlink="">
      <xdr:nvSpPr>
        <xdr:cNvPr id="7" name="Rectangle 6">
          <a:extLst>
            <a:ext uri="{FF2B5EF4-FFF2-40B4-BE49-F238E27FC236}">
              <a16:creationId xmlns:a16="http://schemas.microsoft.com/office/drawing/2014/main" id="{086ED969-FF20-4244-AE57-B3773F2CC851}"/>
            </a:ext>
          </a:extLst>
        </xdr:cNvPr>
        <xdr:cNvSpPr/>
      </xdr:nvSpPr>
      <xdr:spPr>
        <a:xfrm>
          <a:off x="1756410" y="2910840"/>
          <a:ext cx="3097530" cy="558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xdr:colOff>
      <xdr:row>19</xdr:row>
      <xdr:rowOff>106680</xdr:rowOff>
    </xdr:from>
    <xdr:to>
      <xdr:col>6</xdr:col>
      <xdr:colOff>0</xdr:colOff>
      <xdr:row>22</xdr:row>
      <xdr:rowOff>116040</xdr:rowOff>
    </xdr:to>
    <xdr:sp macro="" textlink="">
      <xdr:nvSpPr>
        <xdr:cNvPr id="8" name="Rectangle 7">
          <a:extLst>
            <a:ext uri="{FF2B5EF4-FFF2-40B4-BE49-F238E27FC236}">
              <a16:creationId xmlns:a16="http://schemas.microsoft.com/office/drawing/2014/main" id="{D32E91BB-1CAF-4D02-855C-8246C848141E}"/>
            </a:ext>
          </a:extLst>
        </xdr:cNvPr>
        <xdr:cNvSpPr/>
      </xdr:nvSpPr>
      <xdr:spPr>
        <a:xfrm>
          <a:off x="1756410" y="3512820"/>
          <a:ext cx="2579370" cy="558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221670</xdr:colOff>
      <xdr:row>16</xdr:row>
      <xdr:rowOff>90574</xdr:rowOff>
    </xdr:from>
    <xdr:to>
      <xdr:col>5</xdr:col>
      <xdr:colOff>282630</xdr:colOff>
      <xdr:row>18</xdr:row>
      <xdr:rowOff>14374</xdr:rowOff>
    </xdr:to>
    <xdr:sp macro="" textlink="">
      <xdr:nvSpPr>
        <xdr:cNvPr id="10" name="TextBox 9">
          <a:extLst>
            <a:ext uri="{FF2B5EF4-FFF2-40B4-BE49-F238E27FC236}">
              <a16:creationId xmlns:a16="http://schemas.microsoft.com/office/drawing/2014/main" id="{9805478E-EC7C-4BC4-AC2B-A8049BFEA6F1}"/>
            </a:ext>
          </a:extLst>
        </xdr:cNvPr>
        <xdr:cNvSpPr txBox="1"/>
      </xdr:nvSpPr>
      <xdr:spPr>
        <a:xfrm>
          <a:off x="1711034" y="2909974"/>
          <a:ext cx="1979814" cy="28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solidFill>
            </a:rPr>
            <a:t>TOTAL NO. OF ORDERS</a:t>
          </a:r>
        </a:p>
      </xdr:txBody>
    </xdr:sp>
    <xdr:clientData/>
  </xdr:twoCellAnchor>
  <xdr:twoCellAnchor>
    <xdr:from>
      <xdr:col>19</xdr:col>
      <xdr:colOff>377535</xdr:colOff>
      <xdr:row>6</xdr:row>
      <xdr:rowOff>48296</xdr:rowOff>
    </xdr:from>
    <xdr:to>
      <xdr:col>27</xdr:col>
      <xdr:colOff>69273</xdr:colOff>
      <xdr:row>33</xdr:row>
      <xdr:rowOff>172988</xdr:rowOff>
    </xdr:to>
    <xdr:sp macro="" textlink="">
      <xdr:nvSpPr>
        <xdr:cNvPr id="34" name="Rectangle 33">
          <a:extLst>
            <a:ext uri="{FF2B5EF4-FFF2-40B4-BE49-F238E27FC236}">
              <a16:creationId xmlns:a16="http://schemas.microsoft.com/office/drawing/2014/main" id="{F2C94768-7E47-4316-B767-848E9BED951B}"/>
            </a:ext>
          </a:extLst>
        </xdr:cNvPr>
        <xdr:cNvSpPr/>
      </xdr:nvSpPr>
      <xdr:spPr>
        <a:xfrm>
          <a:off x="11992694" y="1159249"/>
          <a:ext cx="4591327" cy="508837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182880</xdr:colOff>
      <xdr:row>17</xdr:row>
      <xdr:rowOff>121920</xdr:rowOff>
    </xdr:from>
    <xdr:to>
      <xdr:col>3</xdr:col>
      <xdr:colOff>777240</xdr:colOff>
      <xdr:row>19</xdr:row>
      <xdr:rowOff>22860</xdr:rowOff>
    </xdr:to>
    <xdr:sp macro="" textlink="'PIVOT TABLE'!E7">
      <xdr:nvSpPr>
        <xdr:cNvPr id="21" name="TextBox 20">
          <a:extLst>
            <a:ext uri="{FF2B5EF4-FFF2-40B4-BE49-F238E27FC236}">
              <a16:creationId xmlns:a16="http://schemas.microsoft.com/office/drawing/2014/main" id="{9D6E49E5-8653-45DD-A9B7-23A826695BDB}"/>
            </a:ext>
          </a:extLst>
        </xdr:cNvPr>
        <xdr:cNvSpPr txBox="1"/>
      </xdr:nvSpPr>
      <xdr:spPr>
        <a:xfrm>
          <a:off x="1935480" y="3162300"/>
          <a:ext cx="5943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0264F7-B63F-426C-B92A-8F7BC708DDE6}" type="TxLink">
            <a:rPr lang="en-US" sz="1100" b="0" i="0" u="none" strike="noStrike">
              <a:solidFill>
                <a:schemeClr val="bg1"/>
              </a:solidFill>
              <a:latin typeface="Aptos Narrow"/>
              <a:ea typeface="+mn-ea"/>
              <a:cs typeface="+mn-cs"/>
            </a:rPr>
            <a:pPr marL="0" indent="0"/>
            <a:t>1826</a:t>
          </a:fld>
          <a:endParaRPr lang="en-IN" sz="1100" b="0" i="0" u="none" strike="noStrike">
            <a:solidFill>
              <a:schemeClr val="bg1"/>
            </a:solidFill>
            <a:latin typeface="Aptos Narrow"/>
            <a:ea typeface="+mn-ea"/>
            <a:cs typeface="+mn-cs"/>
          </a:endParaRPr>
        </a:p>
      </xdr:txBody>
    </xdr:sp>
    <xdr:clientData/>
  </xdr:twoCellAnchor>
  <xdr:twoCellAnchor>
    <xdr:from>
      <xdr:col>2</xdr:col>
      <xdr:colOff>221670</xdr:colOff>
      <xdr:row>19</xdr:row>
      <xdr:rowOff>129540</xdr:rowOff>
    </xdr:from>
    <xdr:to>
      <xdr:col>5</xdr:col>
      <xdr:colOff>24936</xdr:colOff>
      <xdr:row>21</xdr:row>
      <xdr:rowOff>53340</xdr:rowOff>
    </xdr:to>
    <xdr:sp macro="" textlink="">
      <xdr:nvSpPr>
        <xdr:cNvPr id="22" name="TextBox 21">
          <a:extLst>
            <a:ext uri="{FF2B5EF4-FFF2-40B4-BE49-F238E27FC236}">
              <a16:creationId xmlns:a16="http://schemas.microsoft.com/office/drawing/2014/main" id="{3AD302ED-46BB-4488-B818-CDE368795F06}"/>
            </a:ext>
          </a:extLst>
        </xdr:cNvPr>
        <xdr:cNvSpPr txBox="1"/>
      </xdr:nvSpPr>
      <xdr:spPr>
        <a:xfrm>
          <a:off x="1711034" y="3489267"/>
          <a:ext cx="1722120" cy="28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chemeClr val="bg1"/>
              </a:solidFill>
            </a:rPr>
            <a:t>AVERAGE REVIEWS</a:t>
          </a:r>
        </a:p>
      </xdr:txBody>
    </xdr:sp>
    <xdr:clientData/>
  </xdr:twoCellAnchor>
  <xdr:twoCellAnchor>
    <xdr:from>
      <xdr:col>3</xdr:col>
      <xdr:colOff>182880</xdr:colOff>
      <xdr:row>21</xdr:row>
      <xdr:rowOff>30480</xdr:rowOff>
    </xdr:from>
    <xdr:to>
      <xdr:col>3</xdr:col>
      <xdr:colOff>777240</xdr:colOff>
      <xdr:row>22</xdr:row>
      <xdr:rowOff>114300</xdr:rowOff>
    </xdr:to>
    <xdr:sp macro="" textlink="'PIVOT TABLE'!F7">
      <xdr:nvSpPr>
        <xdr:cNvPr id="25" name="TextBox 24">
          <a:extLst>
            <a:ext uri="{FF2B5EF4-FFF2-40B4-BE49-F238E27FC236}">
              <a16:creationId xmlns:a16="http://schemas.microsoft.com/office/drawing/2014/main" id="{B85355AA-B3AB-41C0-8303-569404DDE951}"/>
            </a:ext>
          </a:extLst>
        </xdr:cNvPr>
        <xdr:cNvSpPr txBox="1"/>
      </xdr:nvSpPr>
      <xdr:spPr>
        <a:xfrm>
          <a:off x="1935480" y="3802380"/>
          <a:ext cx="5943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5C34DA2-B3F2-4D73-9D06-F79D065F6C2C}" type="TxLink">
            <a:rPr lang="en-US" sz="1100" b="0" i="0" u="none" strike="noStrike">
              <a:solidFill>
                <a:schemeClr val="bg1"/>
              </a:solidFill>
              <a:latin typeface="Aptos Narrow"/>
              <a:ea typeface="+mn-ea"/>
              <a:cs typeface="+mn-cs"/>
            </a:rPr>
            <a:pPr marL="0" indent="0"/>
            <a:t>3.0</a:t>
          </a:fld>
          <a:endParaRPr lang="en-IN" sz="1100" b="0" i="0" u="none" strike="noStrike">
            <a:solidFill>
              <a:schemeClr val="bg1"/>
            </a:solidFill>
            <a:latin typeface="Aptos Narrow"/>
            <a:ea typeface="+mn-ea"/>
            <a:cs typeface="+mn-cs"/>
          </a:endParaRPr>
        </a:p>
      </xdr:txBody>
    </xdr:sp>
    <xdr:clientData/>
  </xdr:twoCellAnchor>
  <xdr:twoCellAnchor>
    <xdr:from>
      <xdr:col>15</xdr:col>
      <xdr:colOff>15240</xdr:colOff>
      <xdr:row>6</xdr:row>
      <xdr:rowOff>61460</xdr:rowOff>
    </xdr:from>
    <xdr:to>
      <xdr:col>18</xdr:col>
      <xdr:colOff>160020</xdr:colOff>
      <xdr:row>8</xdr:row>
      <xdr:rowOff>84320</xdr:rowOff>
    </xdr:to>
    <xdr:sp macro="" textlink="">
      <xdr:nvSpPr>
        <xdr:cNvPr id="12" name="TextBox 11">
          <a:extLst>
            <a:ext uri="{FF2B5EF4-FFF2-40B4-BE49-F238E27FC236}">
              <a16:creationId xmlns:a16="http://schemas.microsoft.com/office/drawing/2014/main" id="{6BC0B876-2854-4C0A-B359-ADCB7FF0A329}"/>
            </a:ext>
          </a:extLst>
        </xdr:cNvPr>
        <xdr:cNvSpPr txBox="1"/>
      </xdr:nvSpPr>
      <xdr:spPr>
        <a:xfrm>
          <a:off x="9180604" y="1172413"/>
          <a:ext cx="1982126" cy="393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6600"/>
              </a:solidFill>
            </a:rPr>
            <a:t>Average</a:t>
          </a:r>
          <a:r>
            <a:rPr lang="en-IN" sz="1200" b="1" baseline="0">
              <a:solidFill>
                <a:srgbClr val="FF6600"/>
              </a:solidFill>
            </a:rPr>
            <a:t> Profit by Month</a:t>
          </a:r>
          <a:endParaRPr lang="en-IN" sz="1200" b="1">
            <a:solidFill>
              <a:srgbClr val="FF6600"/>
            </a:solidFill>
          </a:endParaRPr>
        </a:p>
      </xdr:txBody>
    </xdr:sp>
    <xdr:clientData/>
  </xdr:twoCellAnchor>
  <xdr:twoCellAnchor>
    <xdr:from>
      <xdr:col>7</xdr:col>
      <xdr:colOff>53340</xdr:colOff>
      <xdr:row>21</xdr:row>
      <xdr:rowOff>137160</xdr:rowOff>
    </xdr:from>
    <xdr:to>
      <xdr:col>13</xdr:col>
      <xdr:colOff>99060</xdr:colOff>
      <xdr:row>33</xdr:row>
      <xdr:rowOff>167640</xdr:rowOff>
    </xdr:to>
    <xdr:sp macro="" textlink="">
      <xdr:nvSpPr>
        <xdr:cNvPr id="26" name="Rectangle 25">
          <a:extLst>
            <a:ext uri="{FF2B5EF4-FFF2-40B4-BE49-F238E27FC236}">
              <a16:creationId xmlns:a16="http://schemas.microsoft.com/office/drawing/2014/main" id="{31F609C3-69BE-4AEC-9257-095917CDF98D}"/>
            </a:ext>
          </a:extLst>
        </xdr:cNvPr>
        <xdr:cNvSpPr/>
      </xdr:nvSpPr>
      <xdr:spPr>
        <a:xfrm>
          <a:off x="4472940" y="3857105"/>
          <a:ext cx="3703320" cy="239960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563880</xdr:colOff>
      <xdr:row>21</xdr:row>
      <xdr:rowOff>167783</xdr:rowOff>
    </xdr:from>
    <xdr:to>
      <xdr:col>12</xdr:col>
      <xdr:colOff>99060</xdr:colOff>
      <xdr:row>23</xdr:row>
      <xdr:rowOff>196767</xdr:rowOff>
    </xdr:to>
    <xdr:sp macro="" textlink="">
      <xdr:nvSpPr>
        <xdr:cNvPr id="30" name="TextBox 29">
          <a:extLst>
            <a:ext uri="{FF2B5EF4-FFF2-40B4-BE49-F238E27FC236}">
              <a16:creationId xmlns:a16="http://schemas.microsoft.com/office/drawing/2014/main" id="{401993DF-DCF2-4E9A-AA23-14F98CFB5343}"/>
            </a:ext>
          </a:extLst>
        </xdr:cNvPr>
        <xdr:cNvSpPr txBox="1"/>
      </xdr:nvSpPr>
      <xdr:spPr>
        <a:xfrm>
          <a:off x="5442104" y="3984904"/>
          <a:ext cx="1984975" cy="406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6600"/>
              </a:solidFill>
            </a:rPr>
            <a:t>Average</a:t>
          </a:r>
          <a:r>
            <a:rPr lang="en-IN" sz="1200" b="1" baseline="0">
              <a:solidFill>
                <a:srgbClr val="FF6600"/>
              </a:solidFill>
            </a:rPr>
            <a:t> Sales by Month</a:t>
          </a:r>
          <a:endParaRPr lang="en-IN" sz="1200" b="1">
            <a:solidFill>
              <a:srgbClr val="FF6600"/>
            </a:solidFill>
          </a:endParaRPr>
        </a:p>
      </xdr:txBody>
    </xdr:sp>
    <xdr:clientData/>
  </xdr:twoCellAnchor>
  <xdr:twoCellAnchor>
    <xdr:from>
      <xdr:col>13</xdr:col>
      <xdr:colOff>144780</xdr:colOff>
      <xdr:row>21</xdr:row>
      <xdr:rowOff>129540</xdr:rowOff>
    </xdr:from>
    <xdr:to>
      <xdr:col>19</xdr:col>
      <xdr:colOff>320040</xdr:colOff>
      <xdr:row>33</xdr:row>
      <xdr:rowOff>160020</xdr:rowOff>
    </xdr:to>
    <xdr:sp macro="" textlink="">
      <xdr:nvSpPr>
        <xdr:cNvPr id="29" name="Rectangle 28">
          <a:extLst>
            <a:ext uri="{FF2B5EF4-FFF2-40B4-BE49-F238E27FC236}">
              <a16:creationId xmlns:a16="http://schemas.microsoft.com/office/drawing/2014/main" id="{61964311-05A2-478F-B136-80798F7F4D06}"/>
            </a:ext>
          </a:extLst>
        </xdr:cNvPr>
        <xdr:cNvSpPr/>
      </xdr:nvSpPr>
      <xdr:spPr>
        <a:xfrm>
          <a:off x="8221980" y="3849485"/>
          <a:ext cx="3832860" cy="239960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129543</xdr:colOff>
      <xdr:row>0</xdr:row>
      <xdr:rowOff>45719</xdr:rowOff>
    </xdr:from>
    <xdr:to>
      <xdr:col>21</xdr:col>
      <xdr:colOff>254343</xdr:colOff>
      <xdr:row>5</xdr:row>
      <xdr:rowOff>167639</xdr:rowOff>
    </xdr:to>
    <xdr:sp macro="" textlink="">
      <xdr:nvSpPr>
        <xdr:cNvPr id="36" name="Rectangle 35">
          <a:extLst>
            <a:ext uri="{FF2B5EF4-FFF2-40B4-BE49-F238E27FC236}">
              <a16:creationId xmlns:a16="http://schemas.microsoft.com/office/drawing/2014/main" id="{53701EFF-CE43-45AC-8F8F-985DA710EDEB}"/>
            </a:ext>
          </a:extLst>
        </xdr:cNvPr>
        <xdr:cNvSpPr/>
      </xdr:nvSpPr>
      <xdr:spPr>
        <a:xfrm>
          <a:off x="8444868" y="45719"/>
          <a:ext cx="4392000" cy="102679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380337</xdr:colOff>
      <xdr:row>21</xdr:row>
      <xdr:rowOff>126225</xdr:rowOff>
    </xdr:from>
    <xdr:to>
      <xdr:col>18</xdr:col>
      <xdr:colOff>212697</xdr:colOff>
      <xdr:row>23</xdr:row>
      <xdr:rowOff>149085</xdr:rowOff>
    </xdr:to>
    <xdr:sp macro="" textlink="">
      <xdr:nvSpPr>
        <xdr:cNvPr id="32" name="TextBox 31">
          <a:extLst>
            <a:ext uri="{FF2B5EF4-FFF2-40B4-BE49-F238E27FC236}">
              <a16:creationId xmlns:a16="http://schemas.microsoft.com/office/drawing/2014/main" id="{35D1D12D-C3E3-4D92-B433-D0499108AD8F}"/>
            </a:ext>
          </a:extLst>
        </xdr:cNvPr>
        <xdr:cNvSpPr txBox="1"/>
      </xdr:nvSpPr>
      <xdr:spPr>
        <a:xfrm>
          <a:off x="9300707" y="3886529"/>
          <a:ext cx="2284012" cy="395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F6600"/>
              </a:solidFill>
            </a:rPr>
            <a:t>Average</a:t>
          </a:r>
          <a:r>
            <a:rPr lang="en-IN" sz="1200" b="1" baseline="0">
              <a:solidFill>
                <a:srgbClr val="FF6600"/>
              </a:solidFill>
            </a:rPr>
            <a:t> Discount by Category</a:t>
          </a:r>
          <a:endParaRPr lang="en-IN" sz="1200" b="1">
            <a:solidFill>
              <a:srgbClr val="FF6600"/>
            </a:solidFill>
          </a:endParaRPr>
        </a:p>
      </xdr:txBody>
    </xdr:sp>
    <xdr:clientData/>
  </xdr:twoCellAnchor>
  <xdr:twoCellAnchor>
    <xdr:from>
      <xdr:col>19</xdr:col>
      <xdr:colOff>339435</xdr:colOff>
      <xdr:row>6</xdr:row>
      <xdr:rowOff>90054</xdr:rowOff>
    </xdr:from>
    <xdr:to>
      <xdr:col>27</xdr:col>
      <xdr:colOff>0</xdr:colOff>
      <xdr:row>34</xdr:row>
      <xdr:rowOff>34636</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CF87FEE9-BD82-4AE6-93DD-4920CA247C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287595" y="1187334"/>
              <a:ext cx="4537365" cy="50499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303587</xdr:colOff>
      <xdr:row>0</xdr:row>
      <xdr:rowOff>59574</xdr:rowOff>
    </xdr:from>
    <xdr:to>
      <xdr:col>27</xdr:col>
      <xdr:colOff>65987</xdr:colOff>
      <xdr:row>6</xdr:row>
      <xdr:rowOff>1384</xdr:rowOff>
    </xdr:to>
    <xdr:sp macro="" textlink="">
      <xdr:nvSpPr>
        <xdr:cNvPr id="40" name="Rectangle 39">
          <a:extLst>
            <a:ext uri="{FF2B5EF4-FFF2-40B4-BE49-F238E27FC236}">
              <a16:creationId xmlns:a16="http://schemas.microsoft.com/office/drawing/2014/main" id="{8DEE1FAE-C8E8-44C3-8791-3261C4690B41}"/>
            </a:ext>
          </a:extLst>
        </xdr:cNvPr>
        <xdr:cNvSpPr/>
      </xdr:nvSpPr>
      <xdr:spPr>
        <a:xfrm>
          <a:off x="12886112" y="59574"/>
          <a:ext cx="3420000" cy="102766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69595</xdr:colOff>
      <xdr:row>2</xdr:row>
      <xdr:rowOff>34637</xdr:rowOff>
    </xdr:from>
    <xdr:to>
      <xdr:col>3</xdr:col>
      <xdr:colOff>717701</xdr:colOff>
      <xdr:row>4</xdr:row>
      <xdr:rowOff>0</xdr:rowOff>
    </xdr:to>
    <xdr:pic>
      <xdr:nvPicPr>
        <xdr:cNvPr id="39" name="Picture 38">
          <a:extLst>
            <a:ext uri="{FF2B5EF4-FFF2-40B4-BE49-F238E27FC236}">
              <a16:creationId xmlns:a16="http://schemas.microsoft.com/office/drawing/2014/main" id="{94150B98-324C-1F4B-819F-4047976FC8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1823967" y="406777"/>
          <a:ext cx="648106" cy="337502"/>
        </a:xfrm>
        <a:prstGeom prst="rect">
          <a:avLst/>
        </a:prstGeom>
      </xdr:spPr>
    </xdr:pic>
    <xdr:clientData/>
  </xdr:twoCellAnchor>
  <xdr:twoCellAnchor>
    <xdr:from>
      <xdr:col>3</xdr:col>
      <xdr:colOff>655524</xdr:colOff>
      <xdr:row>1</xdr:row>
      <xdr:rowOff>106325</xdr:rowOff>
    </xdr:from>
    <xdr:to>
      <xdr:col>8</xdr:col>
      <xdr:colOff>575933</xdr:colOff>
      <xdr:row>4</xdr:row>
      <xdr:rowOff>131617</xdr:rowOff>
    </xdr:to>
    <xdr:sp macro="" textlink="">
      <xdr:nvSpPr>
        <xdr:cNvPr id="41" name="TextBox 40">
          <a:extLst>
            <a:ext uri="{FF2B5EF4-FFF2-40B4-BE49-F238E27FC236}">
              <a16:creationId xmlns:a16="http://schemas.microsoft.com/office/drawing/2014/main" id="{39F8748E-C416-EBF0-F045-3C1433EC8C1B}"/>
            </a:ext>
          </a:extLst>
        </xdr:cNvPr>
        <xdr:cNvSpPr txBox="1"/>
      </xdr:nvSpPr>
      <xdr:spPr>
        <a:xfrm>
          <a:off x="2409896" y="292395"/>
          <a:ext cx="3048153" cy="583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50" b="1">
              <a:solidFill>
                <a:srgbClr val="FFC000"/>
              </a:solidFill>
            </a:rPr>
            <a:t>SALES DASHBOARD</a:t>
          </a:r>
        </a:p>
      </xdr:txBody>
    </xdr:sp>
    <xdr:clientData/>
  </xdr:twoCellAnchor>
  <xdr:twoCellAnchor>
    <xdr:from>
      <xdr:col>0</xdr:col>
      <xdr:colOff>166255</xdr:colOff>
      <xdr:row>0</xdr:row>
      <xdr:rowOff>145472</xdr:rowOff>
    </xdr:from>
    <xdr:to>
      <xdr:col>2</xdr:col>
      <xdr:colOff>138544</xdr:colOff>
      <xdr:row>33</xdr:row>
      <xdr:rowOff>180109</xdr:rowOff>
    </xdr:to>
    <xdr:sp macro="" textlink="">
      <xdr:nvSpPr>
        <xdr:cNvPr id="42" name="TextBox 41">
          <a:extLst>
            <a:ext uri="{FF2B5EF4-FFF2-40B4-BE49-F238E27FC236}">
              <a16:creationId xmlns:a16="http://schemas.microsoft.com/office/drawing/2014/main" id="{A919094E-D950-B861-4AA1-1A0F651311C5}"/>
            </a:ext>
          </a:extLst>
        </xdr:cNvPr>
        <xdr:cNvSpPr txBox="1"/>
      </xdr:nvSpPr>
      <xdr:spPr>
        <a:xfrm>
          <a:off x="166255" y="145472"/>
          <a:ext cx="1461653" cy="6123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n>
                <a:noFill/>
              </a:ln>
              <a:solidFill>
                <a:schemeClr val="bg1"/>
              </a:solidFill>
            </a:rPr>
            <a:t>Dashboard Purpose</a:t>
          </a:r>
        </a:p>
        <a:p>
          <a:endParaRPr lang="en-IN" sz="1100">
            <a:ln>
              <a:noFill/>
            </a:ln>
            <a:solidFill>
              <a:schemeClr val="bg1"/>
            </a:solidFill>
          </a:endParaRPr>
        </a:p>
        <a:p>
          <a:endParaRPr lang="en-IN" sz="1100">
            <a:ln>
              <a:noFill/>
            </a:ln>
            <a:solidFill>
              <a:schemeClr val="bg1"/>
            </a:solidFill>
          </a:endParaRPr>
        </a:p>
        <a:p>
          <a:r>
            <a:rPr lang="en-IN" sz="1100">
              <a:ln>
                <a:noFill/>
              </a:ln>
              <a:solidFill>
                <a:schemeClr val="bg1"/>
              </a:solidFill>
            </a:rPr>
            <a:t>This Amazon Sales Dasboard</a:t>
          </a:r>
          <a:r>
            <a:rPr lang="en-IN" sz="1100" baseline="0">
              <a:ln>
                <a:noFill/>
              </a:ln>
              <a:solidFill>
                <a:schemeClr val="bg1"/>
              </a:solidFill>
            </a:rPr>
            <a:t> offers a clear visual summary of sales and profit performance across states, months, categories, and years.</a:t>
          </a:r>
        </a:p>
        <a:p>
          <a:r>
            <a:rPr lang="en-IN" sz="1100" baseline="0">
              <a:ln>
                <a:noFill/>
              </a:ln>
              <a:solidFill>
                <a:schemeClr val="bg1"/>
              </a:solidFill>
            </a:rPr>
            <a:t>It helps stakeholders to:</a:t>
          </a:r>
        </a:p>
        <a:p>
          <a:endParaRPr lang="en-IN" sz="1100" baseline="0">
            <a:ln>
              <a:noFill/>
            </a:ln>
            <a:solidFill>
              <a:schemeClr val="bg1"/>
            </a:solidFill>
          </a:endParaRPr>
        </a:p>
        <a:p>
          <a:endParaRPr lang="en-IN" sz="1100" baseline="0">
            <a:ln>
              <a:noFill/>
            </a:ln>
            <a:solidFill>
              <a:schemeClr val="bg1"/>
            </a:solidFill>
          </a:endParaRPr>
        </a:p>
        <a:p>
          <a:r>
            <a:rPr lang="en-IN" sz="1100" baseline="0">
              <a:ln>
                <a:noFill/>
              </a:ln>
              <a:solidFill>
                <a:schemeClr val="bg1"/>
              </a:solidFill>
            </a:rPr>
            <a:t>Identify high and low performung states by tracking total profit.</a:t>
          </a:r>
        </a:p>
        <a:p>
          <a:endParaRPr lang="en-IN" sz="1100" baseline="0">
            <a:ln>
              <a:noFill/>
            </a:ln>
            <a:solidFill>
              <a:schemeClr val="bg1"/>
            </a:solidFill>
          </a:endParaRPr>
        </a:p>
        <a:p>
          <a:r>
            <a:rPr lang="en-IN" sz="1100" baseline="0">
              <a:ln>
                <a:noFill/>
              </a:ln>
              <a:solidFill>
                <a:schemeClr val="bg1"/>
              </a:solidFill>
            </a:rPr>
            <a:t>Monitor monthly trends to understand seasonal performance.</a:t>
          </a:r>
        </a:p>
        <a:p>
          <a:endParaRPr lang="en-IN" sz="1100" baseline="0">
            <a:ln>
              <a:noFill/>
            </a:ln>
            <a:solidFill>
              <a:schemeClr val="bg1"/>
            </a:solidFill>
          </a:endParaRPr>
        </a:p>
        <a:p>
          <a:r>
            <a:rPr lang="en-IN" sz="1100" baseline="0">
              <a:ln>
                <a:noFill/>
              </a:ln>
              <a:solidFill>
                <a:schemeClr val="bg1"/>
              </a:solidFill>
            </a:rPr>
            <a:t>Analyze sales and profit by category for product optimization.</a:t>
          </a:r>
        </a:p>
        <a:p>
          <a:endParaRPr lang="en-IN" sz="1100" baseline="0">
            <a:ln>
              <a:noFill/>
            </a:ln>
            <a:solidFill>
              <a:schemeClr val="bg1"/>
            </a:solidFill>
          </a:endParaRPr>
        </a:p>
        <a:p>
          <a:r>
            <a:rPr lang="en-IN" sz="1100" baseline="0">
              <a:ln>
                <a:noFill/>
              </a:ln>
              <a:solidFill>
                <a:schemeClr val="bg1"/>
              </a:solidFill>
            </a:rPr>
            <a:t>Compare average profit across different months.</a:t>
          </a:r>
        </a:p>
        <a:p>
          <a:endParaRPr lang="en-IN" sz="1100" baseline="0">
            <a:ln>
              <a:noFill/>
            </a:ln>
            <a:solidFill>
              <a:schemeClr val="bg1"/>
            </a:solidFill>
          </a:endParaRPr>
        </a:p>
        <a:p>
          <a:r>
            <a:rPr lang="en-IN" sz="1100" baseline="0">
              <a:ln>
                <a:noFill/>
              </a:ln>
              <a:solidFill>
                <a:schemeClr val="bg1"/>
              </a:solidFill>
            </a:rPr>
            <a:t>Assess year-wise growth in sales performance.</a:t>
          </a:r>
        </a:p>
      </xdr:txBody>
    </xdr:sp>
    <xdr:clientData/>
  </xdr:twoCellAnchor>
  <xdr:twoCellAnchor>
    <xdr:from>
      <xdr:col>7</xdr:col>
      <xdr:colOff>18010</xdr:colOff>
      <xdr:row>23</xdr:row>
      <xdr:rowOff>14243</xdr:rowOff>
    </xdr:from>
    <xdr:to>
      <xdr:col>13</xdr:col>
      <xdr:colOff>136810</xdr:colOff>
      <xdr:row>33</xdr:row>
      <xdr:rowOff>173545</xdr:rowOff>
    </xdr:to>
    <xdr:graphicFrame macro="">
      <xdr:nvGraphicFramePr>
        <xdr:cNvPr id="33" name="Chart 1">
          <a:extLst>
            <a:ext uri="{FF2B5EF4-FFF2-40B4-BE49-F238E27FC236}">
              <a16:creationId xmlns:a16="http://schemas.microsoft.com/office/drawing/2014/main" id="{2C8C32E0-772D-6227-E151-A2E5EB5AB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105988</xdr:colOff>
      <xdr:row>22</xdr:row>
      <xdr:rowOff>42258</xdr:rowOff>
    </xdr:from>
    <xdr:to>
      <xdr:col>19</xdr:col>
      <xdr:colOff>411988</xdr:colOff>
      <xdr:row>33</xdr:row>
      <xdr:rowOff>145472</xdr:rowOff>
    </xdr:to>
    <xdr:graphicFrame macro="">
      <xdr:nvGraphicFramePr>
        <xdr:cNvPr id="37" name="Chart 2">
          <a:extLst>
            <a:ext uri="{FF2B5EF4-FFF2-40B4-BE49-F238E27FC236}">
              <a16:creationId xmlns:a16="http://schemas.microsoft.com/office/drawing/2014/main" id="{44004121-72B1-8D6D-5DD6-0F4E2421F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131619</xdr:colOff>
      <xdr:row>0</xdr:row>
      <xdr:rowOff>83130</xdr:rowOff>
    </xdr:from>
    <xdr:to>
      <xdr:col>21</xdr:col>
      <xdr:colOff>219148</xdr:colOff>
      <xdr:row>6</xdr:row>
      <xdr:rowOff>10475</xdr:rowOff>
    </xdr:to>
    <mc:AlternateContent xmlns:mc="http://schemas.openxmlformats.org/markup-compatibility/2006" xmlns:a14="http://schemas.microsoft.com/office/drawing/2010/main">
      <mc:Choice Requires="a14">
        <xdr:graphicFrame macro="">
          <xdr:nvGraphicFramePr>
            <xdr:cNvPr id="45" name="STATE 2">
              <a:extLst>
                <a:ext uri="{FF2B5EF4-FFF2-40B4-BE49-F238E27FC236}">
                  <a16:creationId xmlns:a16="http://schemas.microsoft.com/office/drawing/2014/main" id="{76504862-107A-4428-B18B-9D5365D738BD}"/>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8675544" y="83130"/>
              <a:ext cx="4354728" cy="1013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464128</xdr:colOff>
      <xdr:row>0</xdr:row>
      <xdr:rowOff>76005</xdr:rowOff>
    </xdr:from>
    <xdr:to>
      <xdr:col>14</xdr:col>
      <xdr:colOff>46526</xdr:colOff>
      <xdr:row>5</xdr:row>
      <xdr:rowOff>170916</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220F3156-4D6B-4998-99E2-86333DF83B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42352" y="76005"/>
              <a:ext cx="3257090" cy="1020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335974</xdr:colOff>
      <xdr:row>0</xdr:row>
      <xdr:rowOff>87458</xdr:rowOff>
    </xdr:from>
    <xdr:to>
      <xdr:col>27</xdr:col>
      <xdr:colOff>25102</xdr:colOff>
      <xdr:row>5</xdr:row>
      <xdr:rowOff>158913</xdr:rowOff>
    </xdr:to>
    <mc:AlternateContent xmlns:mc="http://schemas.openxmlformats.org/markup-compatibility/2006" xmlns:a14="http://schemas.microsoft.com/office/drawing/2010/main">
      <mc:Choice Requires="a14">
        <xdr:graphicFrame macro="">
          <xdr:nvGraphicFramePr>
            <xdr:cNvPr id="47" name="CATEGORY 1">
              <a:extLst>
                <a:ext uri="{FF2B5EF4-FFF2-40B4-BE49-F238E27FC236}">
                  <a16:creationId xmlns:a16="http://schemas.microsoft.com/office/drawing/2014/main" id="{DC84BDCA-2CAA-420E-B475-CE6B721DEE5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147099" y="87458"/>
              <a:ext cx="3346728" cy="976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719273</xdr:colOff>
      <xdr:row>6</xdr:row>
      <xdr:rowOff>142431</xdr:rowOff>
    </xdr:from>
    <xdr:to>
      <xdr:col>13</xdr:col>
      <xdr:colOff>170918</xdr:colOff>
      <xdr:row>21</xdr:row>
      <xdr:rowOff>150989</xdr:rowOff>
    </xdr:to>
    <xdr:graphicFrame macro="">
      <xdr:nvGraphicFramePr>
        <xdr:cNvPr id="27" name="Chart 26">
          <a:extLst>
            <a:ext uri="{FF2B5EF4-FFF2-40B4-BE49-F238E27FC236}">
              <a16:creationId xmlns:a16="http://schemas.microsoft.com/office/drawing/2014/main" id="{E5B1ADD0-27E0-41AC-A29F-B02DF5C89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42732</xdr:colOff>
      <xdr:row>7</xdr:row>
      <xdr:rowOff>121058</xdr:rowOff>
    </xdr:from>
    <xdr:to>
      <xdr:col>19</xdr:col>
      <xdr:colOff>348952</xdr:colOff>
      <xdr:row>21</xdr:row>
      <xdr:rowOff>149548</xdr:rowOff>
    </xdr:to>
    <xdr:graphicFrame macro="">
      <xdr:nvGraphicFramePr>
        <xdr:cNvPr id="31" name="Chart 30">
          <a:extLst>
            <a:ext uri="{FF2B5EF4-FFF2-40B4-BE49-F238E27FC236}">
              <a16:creationId xmlns:a16="http://schemas.microsoft.com/office/drawing/2014/main" id="{1CB5B879-E104-460B-8CD5-36DA018BD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122.07327523148" createdVersion="8" refreshedVersion="8" minRefreshableVersion="3" recordCount="1826" xr:uid="{915A491F-F4CF-44DE-90A5-8C9DD55BE6E9}">
  <cacheSource type="worksheet">
    <worksheetSource name="Table2"/>
  </cacheSource>
  <cacheFields count="24">
    <cacheField name="INDEX" numFmtId="0">
      <sharedItems containsSemiMixedTypes="0" containsString="0" containsNumber="1" containsInteger="1" minValue="1" maxValue="1826"/>
    </cacheField>
    <cacheField name="ORDER ID" numFmtId="0">
      <sharedItems/>
    </cacheField>
    <cacheField name="DATE" numFmtId="14">
      <sharedItems containsSemiMixedTypes="0" containsNonDate="0" containsDate="1" containsString="0" minDate="2021-01-01T00:00:00" maxDate="2026-01-01T00:00:00"/>
    </cacheField>
    <cacheField name="Month" numFmtId="0">
      <sharedItems count="12">
        <s v="Jan"/>
        <s v="Feb"/>
        <s v="Mar"/>
        <s v="Apr"/>
        <s v="May"/>
        <s v="Jun"/>
        <s v="Jul"/>
        <s v="Aug"/>
        <s v="Sep"/>
        <s v="Oct"/>
        <s v="Nov"/>
        <s v="Dec"/>
      </sharedItems>
    </cacheField>
    <cacheField name="YEAR" numFmtId="0">
      <sharedItems count="5">
        <s v="2021"/>
        <s v="2022"/>
        <s v="2023"/>
        <s v="2024"/>
        <s v="2025"/>
      </sharedItems>
    </cacheField>
    <cacheField name="SHIP MODE" numFmtId="0">
      <sharedItems/>
    </cacheField>
    <cacheField name="CUSTOMER ID" numFmtId="0">
      <sharedItems/>
    </cacheField>
    <cacheField name="PRODUCT ID" numFmtId="0">
      <sharedItems/>
    </cacheField>
    <cacheField name="Impressions" numFmtId="0">
      <sharedItems containsSemiMixedTypes="0" containsString="0" containsNumber="1" containsInteger="1" minValue="100" maxValue="250"/>
    </cacheField>
    <cacheField name="Clicks" numFmtId="0">
      <sharedItems containsSemiMixedTypes="0" containsString="0" containsNumber="1" containsInteger="1" minValue="6" maxValue="30"/>
    </cacheField>
    <cacheField name="CTR" numFmtId="0">
      <sharedItems containsSemiMixedTypes="0" containsString="0" containsNumber="1" minValue="2.4" maxValue="30"/>
    </cacheField>
    <cacheField name="CATEGORY" numFmtId="0">
      <sharedItems count="9">
        <s v="Books"/>
        <s v="Sports"/>
        <s v="Fashion"/>
        <s v="Automotive"/>
        <s v="Electronics"/>
        <s v="Home &amp; Kitchen"/>
        <s v="Toys"/>
        <s v="Grocery"/>
        <s v="Pet Supplies"/>
      </sharedItems>
    </cacheField>
    <cacheField name="SUB-CATEGORY" numFmtId="0">
      <sharedItems/>
    </cacheField>
    <cacheField name="CURRENCY" numFmtId="0">
      <sharedItems containsBlank="1"/>
    </cacheField>
    <cacheField name="POSTAL CODE" numFmtId="0">
      <sharedItems containsString="0" containsBlank="1" containsNumber="1" containsInteger="1" minValue="110001" maxValue="855115"/>
    </cacheField>
    <cacheField name="SHIP COUNTRY" numFmtId="0">
      <sharedItems containsBlank="1"/>
    </cacheField>
    <cacheField name="STATE" numFmtId="0">
      <sharedItems count="23">
        <s v="Karnataka"/>
        <s v="Assam"/>
        <s v="Telangana"/>
        <s v="Haryana"/>
        <s v="Tamil Nadu"/>
        <s v="Uttar Pradesh"/>
        <s v="Tripura"/>
        <s v="Odisha"/>
        <s v="West Bengal"/>
        <s v="Meghalaya"/>
        <s v="Nagaland"/>
        <s v="Andhra Pradesh"/>
        <s v="Punjab"/>
        <s v="Jharkhand"/>
        <s v="Gujarat"/>
        <s v="Manipur"/>
        <s v="Mizoram"/>
        <s v="Rajasthan"/>
        <s v="Maharashtra"/>
        <s v="Bihar"/>
        <s v="Goa" u="1"/>
        <s v="Sikkim" u="1"/>
        <s v="Kerala" u="1"/>
      </sharedItems>
    </cacheField>
    <cacheField name="fulfilled-by" numFmtId="0">
      <sharedItems containsBlank="1"/>
    </cacheField>
    <cacheField name="SALES" numFmtId="0">
      <sharedItems containsSemiMixedTypes="0" containsString="0" containsNumber="1" minValue="1.08" maxValue="8159.9520000000002"/>
    </cacheField>
    <cacheField name="QUANTITY" numFmtId="0">
      <sharedItems containsSemiMixedTypes="0" containsString="0" containsNumber="1" containsInteger="1" minValue="1" maxValue="14"/>
    </cacheField>
    <cacheField name="DISCOUNT" numFmtId="0">
      <sharedItems containsSemiMixedTypes="0" containsString="0" containsNumber="1" minValue="0.1" maxValue="0.8"/>
    </cacheField>
    <cacheField name="PROFIT" numFmtId="0">
      <sharedItems containsSemiMixedTypes="0" containsString="0" containsNumber="1" minValue="-3839.9904000000001" maxValue="3177.4749999999999"/>
    </cacheField>
    <cacheField name="COST" numFmtId="0">
      <sharedItems containsSemiMixedTypes="0" containsString="0" containsNumber="1" minValue="0.65720000000000001" maxValue="2959.9926"/>
    </cacheField>
    <cacheField name="REVIEWS"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485692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6">
  <r>
    <n v="1"/>
    <s v="BH74"/>
    <d v="2021-01-01T00:00:00"/>
    <x v="0"/>
    <x v="0"/>
    <s v="Second Class"/>
    <s v="CG-12520"/>
    <s v="FUR-BO-10001798"/>
    <n v="190"/>
    <n v="22"/>
    <n v="11.578947368421053"/>
    <x v="0"/>
    <s v="Fiction"/>
    <s v="INR"/>
    <n v="600091"/>
    <s v="INDIA"/>
    <x v="0"/>
    <m/>
    <n v="261.95999999999998"/>
    <n v="2"/>
    <n v="0.1"/>
    <n v="41.913600000000002"/>
    <n v="110.02319999999999"/>
    <n v="5"/>
  </r>
  <r>
    <n v="2"/>
    <s v="UN43"/>
    <d v="2021-01-02T00:00:00"/>
    <x v="0"/>
    <x v="0"/>
    <s v="Second Class"/>
    <s v="CG-12520"/>
    <s v="FUR-CH-10000454"/>
    <n v="100"/>
    <n v="26"/>
    <n v="26"/>
    <x v="1"/>
    <s v="Camping Gear"/>
    <s v="INR"/>
    <n v="831005"/>
    <s v="INDIA"/>
    <x v="1"/>
    <m/>
    <n v="731.94"/>
    <n v="3"/>
    <n v="0.1"/>
    <n v="219.58199999999999"/>
    <n v="170.78600000000003"/>
    <n v="4"/>
  </r>
  <r>
    <n v="3"/>
    <s v="EI33"/>
    <d v="2021-01-03T00:00:00"/>
    <x v="0"/>
    <x v="0"/>
    <s v="Second Class"/>
    <s v="DV-13045"/>
    <s v="OFF-LA-10000240"/>
    <n v="110"/>
    <n v="28"/>
    <n v="25.454545454545453"/>
    <x v="2"/>
    <s v="Women’s Dresses"/>
    <s v="INR"/>
    <n v="440024"/>
    <s v="INDIA"/>
    <x v="2"/>
    <s v="Easy Ship"/>
    <n v="14.62"/>
    <n v="2"/>
    <n v="0.1"/>
    <n v="6.8714000000000004"/>
    <n v="3.8742999999999994"/>
    <n v="3"/>
  </r>
  <r>
    <n v="4"/>
    <s v="XB18"/>
    <d v="2021-01-04T00:00:00"/>
    <x v="0"/>
    <x v="0"/>
    <s v="Standard Class"/>
    <s v="SO-20335"/>
    <s v="FUR-TA-10000577"/>
    <n v="220"/>
    <n v="28"/>
    <n v="12.727272727272727"/>
    <x v="3"/>
    <s v="Car Parts"/>
    <s v="INR"/>
    <n v="201309"/>
    <s v="INDIA"/>
    <x v="3"/>
    <m/>
    <n v="957.57749999999999"/>
    <n v="5"/>
    <n v="0.45"/>
    <n v="-383.03100000000001"/>
    <n v="268.12170000000003"/>
    <n v="3"/>
  </r>
  <r>
    <n v="5"/>
    <s v="WE63"/>
    <d v="2021-01-05T00:00:00"/>
    <x v="0"/>
    <x v="0"/>
    <s v="Standard Class"/>
    <s v="SO-20335"/>
    <s v="OFF-ST-10000760"/>
    <n v="150"/>
    <n v="6"/>
    <n v="4"/>
    <x v="4"/>
    <s v="Smartwatches"/>
    <s v="INR"/>
    <n v="302018"/>
    <s v="INDIA"/>
    <x v="4"/>
    <m/>
    <n v="22.367999999999999"/>
    <n v="2"/>
    <n v="0.2"/>
    <n v="2.5164"/>
    <n v="9.9257999999999988"/>
    <n v="4"/>
  </r>
  <r>
    <n v="6"/>
    <s v="DW52"/>
    <d v="2021-01-06T00:00:00"/>
    <x v="0"/>
    <x v="0"/>
    <s v="Standard Class"/>
    <s v="BH-11710"/>
    <s v="FUR-FU-10001487"/>
    <n v="190"/>
    <n v="14"/>
    <n v="7.3684210526315779"/>
    <x v="5"/>
    <s v="Cookware"/>
    <s v="INR"/>
    <n v="517002"/>
    <s v="INDIA"/>
    <x v="5"/>
    <m/>
    <n v="48.86"/>
    <n v="7"/>
    <n v="0.1"/>
    <n v="14.1694"/>
    <n v="4.9558000000000009"/>
    <n v="5"/>
  </r>
  <r>
    <n v="7"/>
    <s v="TV25"/>
    <d v="2021-01-07T00:00:00"/>
    <x v="0"/>
    <x v="0"/>
    <s v="Standard Class"/>
    <s v="BH-11710"/>
    <s v="OFF-AR-10002833"/>
    <n v="120"/>
    <n v="24"/>
    <n v="20"/>
    <x v="6"/>
    <s v="Board Games"/>
    <s v="INR"/>
    <n v="411014"/>
    <s v="INDIA"/>
    <x v="2"/>
    <m/>
    <n v="7.28"/>
    <n v="4"/>
    <n v="0.1"/>
    <n v="1.9656"/>
    <n v="1.3286"/>
    <n v="4"/>
  </r>
  <r>
    <n v="8"/>
    <s v="UC87"/>
    <d v="2021-01-08T00:00:00"/>
    <x v="0"/>
    <x v="0"/>
    <s v="Standard Class"/>
    <s v="BH-11710"/>
    <s v="TEC-PH-10002275"/>
    <n v="100"/>
    <n v="6"/>
    <n v="6"/>
    <x v="7"/>
    <s v="Snacks"/>
    <s v="INR"/>
    <n v="560094"/>
    <s v="INDIA"/>
    <x v="6"/>
    <m/>
    <n v="907.15200000000004"/>
    <n v="6"/>
    <n v="0.2"/>
    <n v="90.715199999999996"/>
    <n v="136.0728"/>
    <n v="4"/>
  </r>
  <r>
    <n v="9"/>
    <s v="DN66"/>
    <d v="2021-01-09T00:00:00"/>
    <x v="0"/>
    <x v="0"/>
    <s v="Standard Class"/>
    <s v="BH-11710"/>
    <s v="OFF-BI-10003910"/>
    <n v="100"/>
    <n v="12"/>
    <n v="12"/>
    <x v="8"/>
    <s v="Dog Food"/>
    <s v="INR"/>
    <n v="800013"/>
    <s v="INDIA"/>
    <x v="0"/>
    <s v="Easy Ship"/>
    <n v="18.504000000000001"/>
    <n v="3"/>
    <n v="0.2"/>
    <n v="5.7824999999999998"/>
    <n v="4.2405000000000008"/>
    <n v="3"/>
  </r>
  <r>
    <n v="10"/>
    <s v="DZ43"/>
    <d v="2021-01-10T00:00:00"/>
    <x v="0"/>
    <x v="0"/>
    <s v="Standard Class"/>
    <s v="BH-11710"/>
    <s v="OFF-AP-10002892"/>
    <n v="210"/>
    <n v="10"/>
    <n v="4.7619047619047619"/>
    <x v="2"/>
    <s v="Men’s Jackets"/>
    <s v="INR"/>
    <n v="700010"/>
    <s v="INDIA"/>
    <x v="0"/>
    <s v="Easy Ship"/>
    <n v="114.9"/>
    <n v="5"/>
    <n v="0.1"/>
    <n v="34.47"/>
    <n v="16.086000000000002"/>
    <n v="1"/>
  </r>
  <r>
    <n v="11"/>
    <s v="MD48"/>
    <d v="2021-01-11T00:00:00"/>
    <x v="0"/>
    <x v="0"/>
    <s v="Standard Class"/>
    <s v="BH-11710"/>
    <s v="FUR-TA-10001539"/>
    <n v="190"/>
    <n v="26"/>
    <n v="13.684210526315791"/>
    <x v="4"/>
    <s v="Headphones"/>
    <m/>
    <n v="400601"/>
    <s v="INDIA"/>
    <x v="7"/>
    <s v="Easy Ship"/>
    <n v="1706.184"/>
    <n v="9"/>
    <n v="0.2"/>
    <n v="85.309200000000004"/>
    <n v="180.09720000000002"/>
    <n v="1"/>
  </r>
  <r>
    <n v="12"/>
    <s v="XN89"/>
    <d v="2021-01-12T00:00:00"/>
    <x v="0"/>
    <x v="0"/>
    <s v="Standard Class"/>
    <s v="BH-11710"/>
    <s v="TEC-PH-10002033"/>
    <n v="130"/>
    <n v="12"/>
    <n v="9.2307692307692317"/>
    <x v="1"/>
    <s v="Treadmills"/>
    <s v="INR"/>
    <n v="410405"/>
    <s v="INDIA"/>
    <x v="3"/>
    <m/>
    <n v="911.42399999999998"/>
    <n v="4"/>
    <n v="0.2"/>
    <n v="68.356800000000007"/>
    <n v="210.76679999999999"/>
    <n v="3"/>
  </r>
  <r>
    <n v="13"/>
    <s v="XO69"/>
    <d v="2021-01-13T00:00:00"/>
    <x v="0"/>
    <x v="0"/>
    <s v="Standard Class"/>
    <s v="AA-10480"/>
    <s v="OFF-PA-10002365"/>
    <n v="160"/>
    <n v="24"/>
    <n v="15"/>
    <x v="5"/>
    <s v="Furniture"/>
    <s v="INR"/>
    <n v="274001"/>
    <s v="INDIA"/>
    <x v="8"/>
    <s v="Easy Ship"/>
    <n v="15.552"/>
    <n v="3"/>
    <n v="0.2"/>
    <n v="5.4432"/>
    <n v="3.3695999999999997"/>
    <n v="3"/>
  </r>
  <r>
    <n v="14"/>
    <s v="UG95"/>
    <d v="2021-01-14T00:00:00"/>
    <x v="0"/>
    <x v="0"/>
    <s v="Standard Class"/>
    <s v="IM-15070"/>
    <s v="OFF-BI-10003656"/>
    <n v="230"/>
    <n v="18"/>
    <n v="7.8260869565217401"/>
    <x v="0"/>
    <s v="Academic Textbooks"/>
    <s v="INR"/>
    <n v="600083"/>
    <s v="INDIA"/>
    <x v="9"/>
    <m/>
    <n v="407.976"/>
    <n v="3"/>
    <n v="0.2"/>
    <n v="132.59219999999999"/>
    <n v="91.794600000000003"/>
    <n v="4"/>
  </r>
  <r>
    <n v="15"/>
    <s v="YG13"/>
    <d v="2021-01-15T00:00:00"/>
    <x v="0"/>
    <x v="0"/>
    <s v="Standard Class"/>
    <s v="HP-14815"/>
    <s v="OFF-AP-10002311"/>
    <n v="230"/>
    <n v="18"/>
    <n v="7.8260869565217401"/>
    <x v="3"/>
    <s v="Motorbike Accessories"/>
    <s v="INR"/>
    <n v="400017"/>
    <s v="INDIA"/>
    <x v="0"/>
    <s v="Easy Ship"/>
    <n v="68.81"/>
    <n v="5"/>
    <n v="0.8"/>
    <n v="-123.858"/>
    <n v="38.5336"/>
    <n v="2"/>
  </r>
  <r>
    <n v="16"/>
    <s v="YR91"/>
    <d v="2021-01-16T00:00:00"/>
    <x v="0"/>
    <x v="0"/>
    <s v="Standard Class"/>
    <s v="HP-14815"/>
    <s v="OFF-BI-10000756"/>
    <n v="180"/>
    <n v="28"/>
    <n v="15.555555555555555"/>
    <x v="2"/>
    <s v="Kids’ Footwear"/>
    <s v="INR"/>
    <n v="695004"/>
    <s v="INDIA"/>
    <x v="3"/>
    <m/>
    <n v="2.544"/>
    <n v="3"/>
    <n v="0.8"/>
    <n v="-3.8159999999999998"/>
    <n v="2.1199999999999997"/>
    <n v="1"/>
  </r>
  <r>
    <n v="17"/>
    <s v="GT14"/>
    <d v="2021-01-17T00:00:00"/>
    <x v="0"/>
    <x v="0"/>
    <s v="Standard Class"/>
    <s v="PK-19075"/>
    <s v="OFF-ST-10004186"/>
    <n v="150"/>
    <n v="22"/>
    <n v="14.666666666666666"/>
    <x v="4"/>
    <s v="Televisions"/>
    <m/>
    <n v="301019"/>
    <s v="INDIA"/>
    <x v="5"/>
    <m/>
    <n v="665.88"/>
    <n v="6"/>
    <n v="0.1"/>
    <n v="13.317600000000001"/>
    <n v="108.7604"/>
    <n v="2"/>
  </r>
  <r>
    <n v="18"/>
    <s v="OV46"/>
    <d v="2021-01-18T00:00:00"/>
    <x v="0"/>
    <x v="0"/>
    <s v="Second Class"/>
    <s v="AG-10270"/>
    <s v="OFF-ST-10000107"/>
    <n v="110"/>
    <n v="16"/>
    <n v="14.545454545454545"/>
    <x v="6"/>
    <s v="Action Figures"/>
    <s v="INR"/>
    <n v="421202"/>
    <s v="INDIA"/>
    <x v="10"/>
    <m/>
    <n v="55.5"/>
    <n v="2"/>
    <n v="0.1"/>
    <n v="9.99"/>
    <n v="22.754999999999999"/>
    <n v="5"/>
  </r>
  <r>
    <n v="19"/>
    <s v="IP73"/>
    <d v="2021-01-19T00:00:00"/>
    <x v="0"/>
    <x v="0"/>
    <s v="Second Class"/>
    <s v="ZD-21925"/>
    <s v="OFF-AR-10003056"/>
    <n v="220"/>
    <n v="10"/>
    <n v="4.5454545454545459"/>
    <x v="7"/>
    <s v="Beverages"/>
    <s v="INR"/>
    <n v="516309"/>
    <s v="INDIA"/>
    <x v="3"/>
    <m/>
    <n v="8.56"/>
    <n v="2"/>
    <n v="0.1"/>
    <n v="2.4824000000000002"/>
    <n v="3.0388000000000002"/>
    <n v="2"/>
  </r>
  <r>
    <n v="20"/>
    <s v="UZ43"/>
    <d v="2021-01-20T00:00:00"/>
    <x v="0"/>
    <x v="0"/>
    <s v="Second Class"/>
    <s v="ZD-21925"/>
    <s v="TEC-PH-10001949"/>
    <n v="210"/>
    <n v="18"/>
    <n v="8.5714285714285712"/>
    <x v="8"/>
    <s v="Cat Food"/>
    <s v="INR"/>
    <n v="121010"/>
    <s v="INDIA"/>
    <x v="10"/>
    <m/>
    <n v="213.48"/>
    <n v="3"/>
    <n v="0.2"/>
    <n v="16.010999999999999"/>
    <n v="65.822999999999993"/>
    <n v="5"/>
  </r>
  <r>
    <n v="21"/>
    <s v="NQ68"/>
    <d v="2021-01-21T00:00:00"/>
    <x v="0"/>
    <x v="0"/>
    <s v="Second Class"/>
    <s v="ZD-21925"/>
    <s v="OFF-BI-10002215"/>
    <n v="110"/>
    <n v="14"/>
    <n v="12.727272727272727"/>
    <x v="4"/>
    <s v="Laptops"/>
    <s v="INR"/>
    <n v="110054"/>
    <s v="INDIA"/>
    <x v="11"/>
    <m/>
    <n v="22.72"/>
    <n v="4"/>
    <n v="0.2"/>
    <n v="7.3840000000000003"/>
    <n v="3.8339999999999996"/>
    <n v="4"/>
  </r>
  <r>
    <n v="22"/>
    <s v="JN21"/>
    <d v="2021-01-22T00:00:00"/>
    <x v="0"/>
    <x v="0"/>
    <s v="Standard Class"/>
    <s v="KB-16585"/>
    <s v="OFF-AR-10000246"/>
    <n v="150"/>
    <n v="30"/>
    <n v="20"/>
    <x v="2"/>
    <s v="Women’s Jewelry"/>
    <m/>
    <n v="400017"/>
    <s v="INDIA"/>
    <x v="4"/>
    <m/>
    <n v="19.46"/>
    <n v="7"/>
    <n v="0.1"/>
    <n v="5.0595999999999997"/>
    <n v="2.0572000000000004"/>
    <n v="3"/>
  </r>
  <r>
    <n v="23"/>
    <s v="VS45"/>
    <d v="2021-01-23T00:00:00"/>
    <x v="0"/>
    <x v="0"/>
    <s v="Standard Class"/>
    <s v="KB-16585"/>
    <s v="OFF-AP-10001492"/>
    <n v="110"/>
    <n v="10"/>
    <n v="9.0909090909090917"/>
    <x v="1"/>
    <s v="Cycling Equipment"/>
    <s v="INR"/>
    <n v="400068"/>
    <s v="INDIA"/>
    <x v="12"/>
    <m/>
    <n v="60.34"/>
    <n v="7"/>
    <n v="0.1"/>
    <n v="15.6884"/>
    <n v="6.3788"/>
    <n v="3"/>
  </r>
  <r>
    <n v="24"/>
    <s v="JG39"/>
    <d v="2021-01-24T00:00:00"/>
    <x v="0"/>
    <x v="0"/>
    <s v="Second Class"/>
    <s v="SF-20065"/>
    <s v="FUR-CH-10002774"/>
    <n v="190"/>
    <n v="14"/>
    <n v="7.3684210526315779"/>
    <x v="0"/>
    <s v="Children’s Books"/>
    <s v="INR"/>
    <n v="175008"/>
    <s v="INDIA"/>
    <x v="3"/>
    <m/>
    <n v="71.372"/>
    <n v="2"/>
    <n v="0.3"/>
    <n v="-1.0196000000000001"/>
    <n v="36.195799999999998"/>
    <n v="4"/>
  </r>
  <r>
    <n v="25"/>
    <s v="AV18"/>
    <d v="2021-01-25T00:00:00"/>
    <x v="0"/>
    <x v="0"/>
    <s v="Standard Class"/>
    <s v="EB-13870"/>
    <s v="FUR-TA-10000577"/>
    <n v="160"/>
    <n v="22"/>
    <n v="13.750000000000002"/>
    <x v="5"/>
    <s v="Bedding"/>
    <m/>
    <n v="380022"/>
    <s v="INDIA"/>
    <x v="7"/>
    <m/>
    <n v="1044.6300000000001"/>
    <n v="3"/>
    <n v="0.1"/>
    <n v="240.26490000000001"/>
    <n v="268.12170000000003"/>
    <n v="1"/>
  </r>
  <r>
    <n v="26"/>
    <s v="CZ51"/>
    <d v="2021-01-26T00:00:00"/>
    <x v="0"/>
    <x v="0"/>
    <s v="Second Class"/>
    <s v="EH-13945"/>
    <s v="OFF-BI-10001634"/>
    <n v="130"/>
    <n v="18"/>
    <n v="13.846153846153847"/>
    <x v="3"/>
    <s v="Car Electronics"/>
    <s v="INR"/>
    <n v="342001"/>
    <s v="INDIA"/>
    <x v="1"/>
    <m/>
    <n v="11.648"/>
    <n v="2"/>
    <n v="0.2"/>
    <n v="4.2224000000000004"/>
    <n v="3.7127999999999997"/>
    <n v="1"/>
  </r>
  <r>
    <n v="27"/>
    <s v="UM30"/>
    <d v="2021-01-27T00:00:00"/>
    <x v="0"/>
    <x v="0"/>
    <s v="Second Class"/>
    <s v="EH-13945"/>
    <s v="TEC-AC-10003027"/>
    <n v="170"/>
    <n v="26"/>
    <n v="15.294117647058824"/>
    <x v="6"/>
    <s v="Puzzles"/>
    <s v="INR"/>
    <n v="602105"/>
    <s v="INDIA"/>
    <x v="13"/>
    <m/>
    <n v="90.57"/>
    <n v="3"/>
    <n v="0.1"/>
    <n v="11.774100000000001"/>
    <n v="26.265299999999996"/>
    <n v="3"/>
  </r>
  <r>
    <n v="28"/>
    <s v="JE90"/>
    <d v="2021-01-28T00:00:00"/>
    <x v="0"/>
    <x v="0"/>
    <s v="Standard Class"/>
    <s v="TB-21520"/>
    <s v="FUR-BO-10004834"/>
    <n v="120"/>
    <n v="10"/>
    <n v="8.3333333333333321"/>
    <x v="7"/>
    <s v="Bakery"/>
    <s v="INR"/>
    <n v="560068"/>
    <s v="INDIA"/>
    <x v="11"/>
    <m/>
    <n v="3083.43"/>
    <n v="7"/>
    <n v="0.5"/>
    <n v="-1665.0522000000001"/>
    <n v="678.3546"/>
    <n v="3"/>
  </r>
  <r>
    <n v="29"/>
    <s v="TB54"/>
    <d v="2021-01-29T00:00:00"/>
    <x v="0"/>
    <x v="0"/>
    <s v="Standard Class"/>
    <s v="TB-21520"/>
    <s v="OFF-BI-10000474"/>
    <n v="180"/>
    <n v="20"/>
    <n v="11.111111111111111"/>
    <x v="8"/>
    <s v="Fish Food"/>
    <s v="INR"/>
    <n v="226016"/>
    <s v="INDIA"/>
    <x v="1"/>
    <m/>
    <n v="9.6180000000000003"/>
    <n v="2"/>
    <n v="0.7"/>
    <n v="-7.0532000000000004"/>
    <n v="8.3355999999999995"/>
    <n v="3"/>
  </r>
  <r>
    <n v="30"/>
    <s v="FL56"/>
    <d v="2021-01-30T00:00:00"/>
    <x v="0"/>
    <x v="0"/>
    <s v="Standard Class"/>
    <s v="TB-21520"/>
    <s v="FUR-FU-10004848"/>
    <n v="200"/>
    <n v="10"/>
    <n v="5"/>
    <x v="2"/>
    <s v="Men’s Formal Shoes"/>
    <s v="INR"/>
    <n v="411028"/>
    <s v="INDIA"/>
    <x v="14"/>
    <m/>
    <n v="124.2"/>
    <n v="3"/>
    <n v="0.2"/>
    <n v="15.525"/>
    <n v="36.225000000000001"/>
    <n v="1"/>
  </r>
  <r>
    <n v="31"/>
    <s v="FF45"/>
    <d v="2021-01-31T00:00:00"/>
    <x v="0"/>
    <x v="0"/>
    <s v="Standard Class"/>
    <s v="TB-21520"/>
    <s v="OFF-EN-10001509"/>
    <n v="110"/>
    <n v="24"/>
    <n v="21.818181818181817"/>
    <x v="4"/>
    <s v="Printers"/>
    <s v="INR"/>
    <n v="411028"/>
    <s v="INDIA"/>
    <x v="3"/>
    <m/>
    <n v="3.2639999999999998"/>
    <n v="2"/>
    <n v="0.2"/>
    <n v="1.1015999999999999"/>
    <n v="1.0811999999999999"/>
    <n v="3"/>
  </r>
  <r>
    <n v="32"/>
    <s v="KG55"/>
    <d v="2021-02-01T00:00:00"/>
    <x v="1"/>
    <x v="0"/>
    <s v="Standard Class"/>
    <s v="TB-21520"/>
    <s v="OFF-AR-10004042"/>
    <n v="150"/>
    <n v="6"/>
    <n v="4"/>
    <x v="1"/>
    <s v="Swimming Gear"/>
    <s v="INR"/>
    <n v="500034"/>
    <s v="INDIA"/>
    <x v="15"/>
    <m/>
    <n v="86.304000000000002"/>
    <n v="6"/>
    <n v="0.2"/>
    <n v="9.7091999999999992"/>
    <n v="12.7658"/>
    <n v="4"/>
  </r>
  <r>
    <n v="33"/>
    <s v="RZ76"/>
    <d v="2021-02-02T00:00:00"/>
    <x v="1"/>
    <x v="0"/>
    <s v="Standard Class"/>
    <s v="TB-21520"/>
    <s v="OFF-BI-10001525"/>
    <n v="150"/>
    <n v="10"/>
    <n v="6.666666666666667"/>
    <x v="0"/>
    <s v="Non-Fiction"/>
    <s v="INR"/>
    <n v="560100"/>
    <s v="INDIA"/>
    <x v="16"/>
    <m/>
    <n v="6.8579999999999997"/>
    <n v="6"/>
    <n v="0.7"/>
    <n v="-5.7149999999999999"/>
    <n v="2.0954999999999999"/>
    <n v="3"/>
  </r>
  <r>
    <n v="34"/>
    <s v="WW35"/>
    <d v="2021-02-03T00:00:00"/>
    <x v="1"/>
    <x v="0"/>
    <s v="Standard Class"/>
    <s v="TB-21520"/>
    <s v="OFF-AR-10001683"/>
    <n v="190"/>
    <n v="16"/>
    <n v="8.4210526315789469"/>
    <x v="5"/>
    <s v="Lighting"/>
    <s v="INR"/>
    <n v="422009"/>
    <s v="INDIA"/>
    <x v="17"/>
    <m/>
    <n v="15.76"/>
    <n v="2"/>
    <n v="0.2"/>
    <n v="3.5459999999999998"/>
    <n v="6.1070000000000002"/>
    <n v="2"/>
  </r>
  <r>
    <n v="35"/>
    <s v="HQ10"/>
    <d v="2021-02-04T00:00:00"/>
    <x v="1"/>
    <x v="0"/>
    <s v="Second Class"/>
    <s v="MA-17560"/>
    <s v="OFF-PA-10000249"/>
    <n v="220"/>
    <n v="26"/>
    <n v="11.818181818181818"/>
    <x v="3"/>
    <s v="Car Care"/>
    <s v="INR"/>
    <n v="560028"/>
    <s v="INDIA"/>
    <x v="15"/>
    <m/>
    <n v="29.472000000000001"/>
    <n v="3"/>
    <n v="0.2"/>
    <n v="9.9467999999999996"/>
    <n v="6.5084000000000009"/>
    <n v="2"/>
  </r>
  <r>
    <n v="36"/>
    <s v="AM19"/>
    <d v="2021-02-05T00:00:00"/>
    <x v="1"/>
    <x v="0"/>
    <s v="First Class"/>
    <s v="GH-14485"/>
    <s v="TEC-PH-10004977"/>
    <n v="250"/>
    <n v="10"/>
    <n v="4"/>
    <x v="6"/>
    <s v="Educational Toys"/>
    <s v="INR"/>
    <n v="400089"/>
    <s v="INDIA"/>
    <x v="15"/>
    <m/>
    <n v="1097.5440000000001"/>
    <n v="7"/>
    <n v="0.2"/>
    <n v="123.47369999999999"/>
    <n v="139.15290000000002"/>
    <n v="1"/>
  </r>
  <r>
    <n v="37"/>
    <s v="SH22"/>
    <d v="2021-02-06T00:00:00"/>
    <x v="1"/>
    <x v="0"/>
    <s v="First Class"/>
    <s v="GH-14485"/>
    <s v="FUR-FU-10003664"/>
    <n v="200"/>
    <n v="30"/>
    <n v="15"/>
    <x v="7"/>
    <s v="Frozen Foods"/>
    <s v="INR"/>
    <n v="580023"/>
    <s v="INDIA"/>
    <x v="18"/>
    <m/>
    <n v="190.92"/>
    <n v="5"/>
    <n v="0.6"/>
    <n v="-147.96299999999999"/>
    <n v="67.776600000000002"/>
    <n v="3"/>
  </r>
  <r>
    <n v="38"/>
    <s v="TJ37"/>
    <d v="2021-02-07T00:00:00"/>
    <x v="1"/>
    <x v="0"/>
    <s v="Standard Class"/>
    <s v="SN-20710"/>
    <s v="OFF-EN-10002986"/>
    <n v="140"/>
    <n v="18"/>
    <n v="12.857142857142856"/>
    <x v="8"/>
    <s v="Bird Supplies"/>
    <s v="INR"/>
    <n v="110058"/>
    <s v="INDIA"/>
    <x v="15"/>
    <m/>
    <n v="113.328"/>
    <n v="9"/>
    <n v="0.2"/>
    <n v="35.414999999999999"/>
    <n v="8.6570000000000018"/>
    <n v="4"/>
  </r>
  <r>
    <n v="39"/>
    <s v="KO25"/>
    <d v="2021-02-08T00:00:00"/>
    <x v="1"/>
    <x v="0"/>
    <s v="Standard Class"/>
    <s v="SN-20710"/>
    <s v="FUR-BO-10002545"/>
    <n v="200"/>
    <n v="30"/>
    <n v="15"/>
    <x v="2"/>
    <s v="Women’s Kurtis"/>
    <s v="INR"/>
    <n v="560059"/>
    <s v="INDIA"/>
    <x v="5"/>
    <s v="Easy Ship"/>
    <n v="532.39919999999995"/>
    <n v="3"/>
    <n v="0.32"/>
    <n v="-46.976399999999998"/>
    <n v="193.12519999999998"/>
    <n v="5"/>
  </r>
  <r>
    <n v="40"/>
    <s v="SU76"/>
    <d v="2021-02-09T00:00:00"/>
    <x v="1"/>
    <x v="0"/>
    <s v="Standard Class"/>
    <s v="SN-20710"/>
    <s v="FUR-CH-10004218"/>
    <n v="130"/>
    <n v="30"/>
    <n v="23.076923076923077"/>
    <x v="4"/>
    <s v="VR Headsets"/>
    <s v="INR"/>
    <n v="799250"/>
    <s v="INDIA"/>
    <x v="1"/>
    <m/>
    <n v="212.05799999999999"/>
    <n v="3"/>
    <n v="0.3"/>
    <n v="-15.147"/>
    <n v="75.734999999999999"/>
    <n v="5"/>
  </r>
  <r>
    <n v="41"/>
    <s v="PB40"/>
    <d v="2021-02-10T00:00:00"/>
    <x v="1"/>
    <x v="0"/>
    <s v="Standard Class"/>
    <s v="SN-20710"/>
    <s v="TEC-PH-10000486"/>
    <n v="180"/>
    <n v="6"/>
    <n v="3.3333333333333335"/>
    <x v="5"/>
    <s v="Kitchen Storage"/>
    <s v="INR"/>
    <n v="695009"/>
    <s v="INDIA"/>
    <x v="19"/>
    <m/>
    <n v="371.16800000000001"/>
    <n v="4"/>
    <n v="0.2"/>
    <n v="41.756399999999999"/>
    <n v="82.352900000000005"/>
    <n v="2"/>
  </r>
  <r>
    <n v="42"/>
    <s v="DQ33"/>
    <d v="2021-02-11T00:00:00"/>
    <x v="1"/>
    <x v="0"/>
    <s v="Standard Class"/>
    <s v="LC-16930"/>
    <s v="TEC-PH-10004093"/>
    <n v="140"/>
    <n v="10"/>
    <n v="7.1428571428571423"/>
    <x v="0"/>
    <s v="Comics"/>
    <s v="INR"/>
    <n v="201005"/>
    <s v="INDIA"/>
    <x v="16"/>
    <m/>
    <n v="147.16800000000001"/>
    <n v="4"/>
    <n v="0.2"/>
    <n v="16.5564"/>
    <n v="32.652900000000002"/>
    <n v="1"/>
  </r>
  <r>
    <n v="43"/>
    <s v="YM61"/>
    <d v="2021-02-12T00:00:00"/>
    <x v="1"/>
    <x v="0"/>
    <s v="Standard Class"/>
    <s v="RA-19885"/>
    <s v="OFF-ST-10003479"/>
    <n v="170"/>
    <n v="26"/>
    <n v="15.294117647058824"/>
    <x v="1"/>
    <s v="Outdoor Games"/>
    <s v="INR"/>
    <n v="395007"/>
    <s v="INDIA"/>
    <x v="16"/>
    <s v="Easy Ship"/>
    <n v="77.88"/>
    <n v="2"/>
    <n v="0.1"/>
    <n v="3.8940000000000001"/>
    <n v="36.992999999999995"/>
    <n v="1"/>
  </r>
  <r>
    <n v="44"/>
    <s v="DF32"/>
    <d v="2021-02-13T00:00:00"/>
    <x v="1"/>
    <x v="0"/>
    <s v="Standard Class"/>
    <s v="ES-14080"/>
    <s v="OFF-ST-10003282"/>
    <n v="180"/>
    <n v="8"/>
    <n v="4.4444444444444446"/>
    <x v="4"/>
    <s v="Projectors"/>
    <s v="INR"/>
    <n v="560008"/>
    <s v="INDIA"/>
    <x v="0"/>
    <m/>
    <n v="95.616"/>
    <n v="2"/>
    <n v="0.2"/>
    <n v="9.5616000000000003"/>
    <n v="43.027200000000001"/>
    <n v="3"/>
  </r>
  <r>
    <n v="45"/>
    <s v="MX64"/>
    <d v="2021-02-14T00:00:00"/>
    <x v="1"/>
    <x v="0"/>
    <s v="First Class"/>
    <s v="ON-18715"/>
    <s v="TEC-AC-10000171"/>
    <n v="170"/>
    <n v="16"/>
    <n v="9.4117647058823533"/>
    <x v="2"/>
    <s v="Men’s Watches"/>
    <s v="INR"/>
    <n v="560024"/>
    <s v="INDIA"/>
    <x v="18"/>
    <m/>
    <n v="45.98"/>
    <n v="2"/>
    <n v="0.1"/>
    <n v="19.7714"/>
    <n v="13.104299999999999"/>
    <n v="4"/>
  </r>
  <r>
    <n v="46"/>
    <s v="UP94"/>
    <d v="2021-02-15T00:00:00"/>
    <x v="1"/>
    <x v="0"/>
    <s v="First Class"/>
    <s v="ON-18715"/>
    <s v="OFF-BI-10003291"/>
    <n v="230"/>
    <n v="28"/>
    <n v="12.173913043478262"/>
    <x v="3"/>
    <s v="Tyres"/>
    <s v="INR"/>
    <n v="500084"/>
    <s v="INDIA"/>
    <x v="0"/>
    <s v="Easy Ship"/>
    <n v="17.46"/>
    <n v="2"/>
    <n v="0.1"/>
    <n v="8.2062000000000008"/>
    <n v="4.6269"/>
    <n v="1"/>
  </r>
  <r>
    <n v="47"/>
    <s v="DE61"/>
    <d v="2021-02-16T00:00:00"/>
    <x v="1"/>
    <x v="0"/>
    <s v="Second Class"/>
    <s v="PO-18865"/>
    <s v="OFF-ST-10001713"/>
    <n v="220"/>
    <n v="8"/>
    <n v="3.6363636363636362"/>
    <x v="6"/>
    <s v="Remote Control Cars"/>
    <s v="INR"/>
    <n v="485001"/>
    <s v="INDIA"/>
    <x v="3"/>
    <m/>
    <n v="211.96"/>
    <n v="4"/>
    <n v="0.1"/>
    <n v="8.4784000000000006"/>
    <n v="50.870400000000004"/>
    <n v="4"/>
  </r>
  <r>
    <n v="48"/>
    <s v="SF61"/>
    <d v="2021-02-17T00:00:00"/>
    <x v="1"/>
    <x v="0"/>
    <s v="Standard Class"/>
    <s v="LH-16900"/>
    <s v="TEC-AC-10002167"/>
    <n v="130"/>
    <n v="20"/>
    <n v="15.384615384615385"/>
    <x v="7"/>
    <s v="Dairy Products"/>
    <s v="INR"/>
    <n v="575001"/>
    <s v="INDIA"/>
    <x v="4"/>
    <m/>
    <n v="45"/>
    <n v="3"/>
    <n v="0.1"/>
    <n v="4.95"/>
    <n v="13.35"/>
    <n v="3"/>
  </r>
  <r>
    <n v="49"/>
    <s v="JP98"/>
    <d v="2021-02-18T00:00:00"/>
    <x v="1"/>
    <x v="0"/>
    <s v="Standard Class"/>
    <s v="LH-16900"/>
    <s v="TEC-PH-10003988"/>
    <n v="100"/>
    <n v="18"/>
    <n v="18"/>
    <x v="8"/>
    <s v="Pet Grooming"/>
    <s v="INR"/>
    <n v="486661"/>
    <s v="INDIA"/>
    <x v="0"/>
    <m/>
    <n v="21.8"/>
    <n v="2"/>
    <n v="0.1"/>
    <n v="6.1040000000000001"/>
    <n v="7.8480000000000008"/>
    <n v="5"/>
  </r>
  <r>
    <n v="50"/>
    <s v="BS84"/>
    <d v="2021-02-19T00:00:00"/>
    <x v="1"/>
    <x v="0"/>
    <s v="Standard Class"/>
    <s v="DP-13000"/>
    <s v="OFF-BI-10004410"/>
    <n v="170"/>
    <n v="18"/>
    <n v="10.588235294117647"/>
    <x v="2"/>
    <s v="Women’s Bags"/>
    <s v="INR"/>
    <n v="560084"/>
    <s v="INDIA"/>
    <x v="10"/>
    <m/>
    <n v="38.22"/>
    <n v="6"/>
    <n v="0.1"/>
    <n v="17.9634"/>
    <n v="3.3760999999999997"/>
    <n v="1"/>
  </r>
  <r>
    <n v="51"/>
    <s v="JK94"/>
    <d v="2021-02-20T00:00:00"/>
    <x v="1"/>
    <x v="0"/>
    <s v="Standard Class"/>
    <s v="DP-13000"/>
    <s v="OFF-LA-10002762"/>
    <n v="240"/>
    <n v="8"/>
    <n v="3.3333333333333335"/>
    <x v="4"/>
    <s v="Streaming Devices"/>
    <s v="INR"/>
    <n v="411036"/>
    <s v="INDIA"/>
    <x v="5"/>
    <m/>
    <n v="75.180000000000007"/>
    <n v="6"/>
    <n v="0.1"/>
    <n v="35.334600000000002"/>
    <n v="6.6409000000000011"/>
    <n v="3"/>
  </r>
  <r>
    <n v="52"/>
    <s v="TJ76"/>
    <d v="2021-02-21T00:00:00"/>
    <x v="1"/>
    <x v="0"/>
    <s v="Standard Class"/>
    <s v="DP-13000"/>
    <s v="FUR-FU-10001706"/>
    <n v="190"/>
    <n v="26"/>
    <n v="13.684210526315791"/>
    <x v="1"/>
    <s v="Boxing Equipment"/>
    <s v="INR"/>
    <n v="400102"/>
    <s v="INDIA"/>
    <x v="13"/>
    <m/>
    <n v="6.16"/>
    <n v="2"/>
    <n v="0.1"/>
    <n v="2.9567999999999999"/>
    <n v="1.6016000000000001"/>
    <n v="1"/>
  </r>
  <r>
    <n v="53"/>
    <s v="IJ86"/>
    <d v="2021-02-22T00:00:00"/>
    <x v="1"/>
    <x v="0"/>
    <s v="Standard Class"/>
    <s v="DP-13000"/>
    <s v="FUR-CH-10003061"/>
    <n v="230"/>
    <n v="20"/>
    <n v="8.695652173913043"/>
    <x v="0"/>
    <s v="Poetry"/>
    <s v="INR"/>
    <n v="600003"/>
    <s v="INDIA"/>
    <x v="15"/>
    <m/>
    <n v="89.99"/>
    <n v="1"/>
    <n v="0.1"/>
    <n v="17.098099999999999"/>
    <n v="72.891899999999993"/>
    <n v="3"/>
  </r>
  <r>
    <n v="54"/>
    <s v="GU25"/>
    <d v="2021-02-23T00:00:00"/>
    <x v="1"/>
    <x v="0"/>
    <s v="Standard Class"/>
    <s v="JM-15265"/>
    <s v="OFF-FA-10000304"/>
    <n v="200"/>
    <n v="28"/>
    <n v="14.000000000000002"/>
    <x v="5"/>
    <s v="Home Decor"/>
    <s v="INR"/>
    <n v="799003"/>
    <s v="INDIA"/>
    <x v="4"/>
    <m/>
    <n v="15.26"/>
    <n v="7"/>
    <n v="0.1"/>
    <n v="6.2565999999999997"/>
    <n v="1.2861999999999998"/>
    <n v="4"/>
  </r>
  <r>
    <n v="55"/>
    <s v="CX36"/>
    <d v="2021-02-24T00:00:00"/>
    <x v="1"/>
    <x v="0"/>
    <s v="Standard Class"/>
    <s v="JM-15265"/>
    <s v="TEC-PH-10002447"/>
    <n v="220"/>
    <n v="28"/>
    <n v="12.727272727272727"/>
    <x v="3"/>
    <s v="Car Tools"/>
    <s v="INR"/>
    <n v="175008"/>
    <s v="INDIA"/>
    <x v="16"/>
    <m/>
    <n v="1029.95"/>
    <n v="5"/>
    <n v="0.1"/>
    <n v="298.68549999999999"/>
    <n v="146.25290000000001"/>
    <n v="5"/>
  </r>
  <r>
    <n v="56"/>
    <s v="WV50"/>
    <d v="2021-02-25T00:00:00"/>
    <x v="1"/>
    <x v="0"/>
    <s v="First Class"/>
    <s v="TB-21055"/>
    <s v="OFF-ST-10000604"/>
    <n v="180"/>
    <n v="16"/>
    <n v="8.8888888888888893"/>
    <x v="6"/>
    <s v="Musical Toys"/>
    <s v="INR"/>
    <n v="122001"/>
    <s v="INDIA"/>
    <x v="7"/>
    <m/>
    <n v="208.56"/>
    <n v="6"/>
    <n v="0.1"/>
    <n v="52.14"/>
    <n v="26.070000000000004"/>
    <n v="1"/>
  </r>
  <r>
    <n v="57"/>
    <s v="QM53"/>
    <d v="2021-02-26T00:00:00"/>
    <x v="1"/>
    <x v="0"/>
    <s v="First Class"/>
    <s v="TB-21055"/>
    <s v="OFF-PA-10001569"/>
    <n v="170"/>
    <n v="6"/>
    <n v="3.5294117647058822"/>
    <x v="7"/>
    <s v="Organic Foods"/>
    <s v="INR"/>
    <n v="390019"/>
    <s v="INDIA"/>
    <x v="3"/>
    <m/>
    <n v="32.4"/>
    <n v="5"/>
    <n v="0.1"/>
    <n v="15.552"/>
    <n v="3.3695999999999997"/>
    <n v="3"/>
  </r>
  <r>
    <n v="58"/>
    <s v="XE44"/>
    <d v="2021-02-27T00:00:00"/>
    <x v="1"/>
    <x v="0"/>
    <s v="First Class"/>
    <s v="TB-21055"/>
    <s v="FUR-CH-10003968"/>
    <n v="140"/>
    <n v="14"/>
    <n v="10"/>
    <x v="8"/>
    <s v="Pet Toys"/>
    <s v="INR"/>
    <n v="700048"/>
    <s v="INDIA"/>
    <x v="14"/>
    <m/>
    <n v="319.41000000000003"/>
    <n v="5"/>
    <n v="0.11"/>
    <n v="7.0979999999999999"/>
    <n v="62.462400000000002"/>
    <n v="4"/>
  </r>
  <r>
    <n v="59"/>
    <s v="XO38"/>
    <d v="2021-02-28T00:00:00"/>
    <x v="1"/>
    <x v="0"/>
    <s v="First Class"/>
    <s v="TB-21055"/>
    <s v="OFF-PA-10000587"/>
    <n v="210"/>
    <n v="14"/>
    <n v="6.666666666666667"/>
    <x v="2"/>
    <s v="Kids’ Accessories"/>
    <s v="INR"/>
    <n v="700049"/>
    <s v="INDIA"/>
    <x v="0"/>
    <s v="Easy Ship"/>
    <n v="14.56"/>
    <n v="2"/>
    <n v="0.1"/>
    <n v="6.9888000000000003"/>
    <n v="3.7856000000000001"/>
    <n v="5"/>
  </r>
  <r>
    <n v="60"/>
    <s v="UV60"/>
    <d v="2021-03-01T00:00:00"/>
    <x v="2"/>
    <x v="0"/>
    <s v="First Class"/>
    <s v="TB-21055"/>
    <s v="TEC-AC-10002167"/>
    <n v="220"/>
    <n v="10"/>
    <n v="4.5454545454545459"/>
    <x v="4"/>
    <s v="Console Accessories"/>
    <s v="INR"/>
    <n v="491001"/>
    <s v="INDIA"/>
    <x v="1"/>
    <m/>
    <n v="30"/>
    <n v="2"/>
    <n v="0.1"/>
    <n v="3.3"/>
    <n v="13.35"/>
    <n v="2"/>
  </r>
  <r>
    <n v="61"/>
    <s v="QD90"/>
    <d v="2021-03-02T00:00:00"/>
    <x v="2"/>
    <x v="0"/>
    <s v="First Class"/>
    <s v="TB-21055"/>
    <s v="OFF-BI-10001460"/>
    <n v="210"/>
    <n v="10"/>
    <n v="4.7619047619047619"/>
    <x v="0"/>
    <s v="Science Fiction"/>
    <s v="INR"/>
    <n v="491001"/>
    <s v="INDIA"/>
    <x v="18"/>
    <m/>
    <n v="48.48"/>
    <n v="4"/>
    <n v="0.2"/>
    <n v="16.361999999999998"/>
    <n v="8.0294999999999987"/>
    <n v="4"/>
  </r>
  <r>
    <n v="62"/>
    <s v="ZW50"/>
    <d v="2021-03-03T00:00:00"/>
    <x v="2"/>
    <x v="0"/>
    <s v="First Class"/>
    <s v="TB-21055"/>
    <s v="OFF-AR-10001868"/>
    <n v="100"/>
    <n v="6"/>
    <n v="6"/>
    <x v="1"/>
    <s v="Table Tennis"/>
    <s v="INR"/>
    <n v="273001"/>
    <s v="INDIA"/>
    <x v="0"/>
    <m/>
    <n v="1.68"/>
    <n v="1"/>
    <n v="0.1"/>
    <n v="0.84"/>
    <n v="0.84"/>
    <n v="3"/>
  </r>
  <r>
    <n v="63"/>
    <s v="KM76"/>
    <d v="2021-03-04T00:00:00"/>
    <x v="2"/>
    <x v="0"/>
    <s v="Standard Class"/>
    <s v="KM-16720"/>
    <s v="TEC-AC-10004633"/>
    <n v="130"/>
    <n v="20"/>
    <n v="15.384615384615385"/>
    <x v="4"/>
    <s v="Smart Lights"/>
    <m/>
    <n v="741152"/>
    <s v="INDIA"/>
    <x v="10"/>
    <m/>
    <n v="13.98"/>
    <n v="2"/>
    <n v="0.1"/>
    <n v="6.1512000000000002"/>
    <n v="3.9144000000000001"/>
    <n v="2"/>
  </r>
  <r>
    <n v="64"/>
    <s v="RG91"/>
    <d v="2021-03-05T00:00:00"/>
    <x v="2"/>
    <x v="0"/>
    <s v="Standard Class"/>
    <s v="KM-16720"/>
    <s v="OFF-BI-10001078"/>
    <n v="250"/>
    <n v="30"/>
    <n v="12"/>
    <x v="2"/>
    <s v="Women’s Heels"/>
    <s v="INR"/>
    <n v="133103"/>
    <s v="INDIA"/>
    <x v="0"/>
    <m/>
    <n v="25.824000000000002"/>
    <n v="6"/>
    <n v="0.2"/>
    <n v="9.3612000000000002"/>
    <n v="2.7438000000000002"/>
    <n v="4"/>
  </r>
  <r>
    <n v="65"/>
    <s v="GR17"/>
    <d v="2021-03-06T00:00:00"/>
    <x v="2"/>
    <x v="0"/>
    <s v="Standard Class"/>
    <s v="KM-16720"/>
    <s v="OFF-PA-10003892"/>
    <n v="230"/>
    <n v="24"/>
    <n v="10.434782608695652"/>
    <x v="5"/>
    <s v="Cleaning Supplies"/>
    <s v="INR"/>
    <n v="799006"/>
    <s v="INDIA"/>
    <x v="6"/>
    <s v="Easy Ship"/>
    <n v="146.72999999999999"/>
    <n v="3"/>
    <n v="0.1"/>
    <n v="68.963099999999997"/>
    <n v="25.922299999999996"/>
    <n v="5"/>
  </r>
  <r>
    <n v="66"/>
    <s v="ER85"/>
    <d v="2021-03-07T00:00:00"/>
    <x v="2"/>
    <x v="0"/>
    <s v="Standard Class"/>
    <s v="KM-16720"/>
    <s v="FUR-FU-10000397"/>
    <n v="150"/>
    <n v="30"/>
    <n v="20"/>
    <x v="3"/>
    <s v="Car Covers"/>
    <m/>
    <n v="670612"/>
    <s v="INDIA"/>
    <x v="16"/>
    <m/>
    <n v="79.760000000000005"/>
    <n v="4"/>
    <n v="0.1"/>
    <n v="22.332799999999999"/>
    <n v="14.356800000000002"/>
    <n v="1"/>
  </r>
  <r>
    <n v="67"/>
    <s v="MG62"/>
    <d v="2021-03-08T00:00:00"/>
    <x v="2"/>
    <x v="0"/>
    <s v="Standard Class"/>
    <s v="PS-18970"/>
    <s v="FUR-CH-10001146"/>
    <n v="250"/>
    <n v="14"/>
    <n v="5.6000000000000005"/>
    <x v="6"/>
    <s v="Stuffed Animals"/>
    <s v="INR"/>
    <n v="682017"/>
    <s v="INDIA"/>
    <x v="18"/>
    <s v="Easy Ship"/>
    <n v="213.11500000000001"/>
    <n v="5"/>
    <n v="0.3"/>
    <n v="-15.2225"/>
    <n v="45.667500000000004"/>
    <n v="4"/>
  </r>
  <r>
    <n v="68"/>
    <s v="EY78"/>
    <d v="2021-03-09T00:00:00"/>
    <x v="2"/>
    <x v="0"/>
    <s v="Standard Class"/>
    <s v="BS-11590"/>
    <s v="OFF-AR-10002671"/>
    <n v="100"/>
    <n v="18"/>
    <n v="18"/>
    <x v="7"/>
    <s v="Canned Foods"/>
    <s v="INR"/>
    <n v="673601"/>
    <s v="INDIA"/>
    <x v="9"/>
    <m/>
    <n v="1113.0239999999999"/>
    <n v="8"/>
    <n v="0.2"/>
    <n v="111.30240000000001"/>
    <n v="125.21519999999998"/>
    <n v="4"/>
  </r>
  <r>
    <n v="69"/>
    <s v="NK59"/>
    <d v="2021-03-10T00:00:00"/>
    <x v="2"/>
    <x v="0"/>
    <s v="Standard Class"/>
    <s v="BS-11590"/>
    <s v="TEC-PH-10002726"/>
    <n v="120"/>
    <n v="22"/>
    <n v="18.333333333333332"/>
    <x v="8"/>
    <s v="Pet Beds"/>
    <s v="INR"/>
    <n v="122001"/>
    <s v="INDIA"/>
    <x v="10"/>
    <s v="Easy Ship"/>
    <n v="167.96799999999999"/>
    <n v="4"/>
    <n v="0.2"/>
    <n v="62.988"/>
    <n v="26.244999999999997"/>
    <n v="1"/>
  </r>
  <r>
    <n v="70"/>
    <s v="RZ74"/>
    <d v="2021-03-11T00:00:00"/>
    <x v="2"/>
    <x v="0"/>
    <s v="First Class"/>
    <s v="KD-16270"/>
    <s v="OFF-PA-10000482"/>
    <n v="240"/>
    <n v="14"/>
    <n v="5.833333333333333"/>
    <x v="2"/>
    <s v="Men’s T-Shirts"/>
    <s v="INR"/>
    <n v="332001"/>
    <s v="INDIA"/>
    <x v="18"/>
    <s v="Easy Ship"/>
    <n v="75.88"/>
    <n v="2"/>
    <n v="0.1"/>
    <n v="35.663600000000002"/>
    <n v="20.108199999999997"/>
    <n v="4"/>
  </r>
  <r>
    <n v="71"/>
    <s v="IB30"/>
    <d v="2021-03-12T00:00:00"/>
    <x v="2"/>
    <x v="0"/>
    <s v="Standard Class"/>
    <s v="HM-14980"/>
    <s v="OFF-BI-10004654"/>
    <n v="170"/>
    <n v="30"/>
    <n v="17.647058823529413"/>
    <x v="4"/>
    <s v="Modems"/>
    <s v="INR"/>
    <n v="560100"/>
    <s v="INDIA"/>
    <x v="0"/>
    <m/>
    <n v="4.6159999999999997"/>
    <n v="1"/>
    <n v="0.2"/>
    <n v="1.7310000000000001"/>
    <n v="2.8849999999999998"/>
    <n v="3"/>
  </r>
  <r>
    <n v="72"/>
    <s v="GA34"/>
    <d v="2021-03-13T00:00:00"/>
    <x v="2"/>
    <x v="0"/>
    <s v="Second Class"/>
    <s v="TB-21520"/>
    <s v="OFF-PA-10004675"/>
    <n v="130"/>
    <n v="16"/>
    <n v="12.307692307692308"/>
    <x v="1"/>
    <s v="Cricket Gear"/>
    <s v="INR"/>
    <n v="422101"/>
    <s v="INDIA"/>
    <x v="2"/>
    <m/>
    <n v="19.05"/>
    <n v="3"/>
    <n v="0.1"/>
    <n v="8.7629999999999999"/>
    <n v="3.4290000000000003"/>
    <n v="2"/>
  </r>
  <r>
    <n v="73"/>
    <s v="FW56"/>
    <d v="2021-03-14T00:00:00"/>
    <x v="2"/>
    <x v="0"/>
    <s v="Standard Class"/>
    <s v="JE-15745"/>
    <s v="FUR-CH-10000513"/>
    <n v="150"/>
    <n v="14"/>
    <n v="9.3333333333333339"/>
    <x v="0"/>
    <s v="Biographies"/>
    <s v="INR"/>
    <n v="122017"/>
    <s v="INDIA"/>
    <x v="13"/>
    <s v="Easy Ship"/>
    <n v="831.93600000000004"/>
    <n v="8"/>
    <n v="0.2"/>
    <n v="-114.3912"/>
    <n v="118.29090000000001"/>
    <n v="1"/>
  </r>
  <r>
    <n v="74"/>
    <s v="VG94"/>
    <d v="2021-03-15T00:00:00"/>
    <x v="2"/>
    <x v="0"/>
    <s v="Standard Class"/>
    <s v="JE-15745"/>
    <s v="FUR-FU-10003708"/>
    <n v="240"/>
    <n v="16"/>
    <n v="6.666666666666667"/>
    <x v="5"/>
    <s v="Storage Furniture"/>
    <s v="INR"/>
    <n v="201308"/>
    <s v="INDIA"/>
    <x v="16"/>
    <s v="Easy Ship"/>
    <n v="97.04"/>
    <n v="2"/>
    <n v="0.2"/>
    <n v="1.2130000000000001"/>
    <n v="47.913500000000006"/>
    <n v="1"/>
  </r>
  <r>
    <n v="75"/>
    <s v="WT38"/>
    <d v="2021-03-16T00:00:00"/>
    <x v="2"/>
    <x v="0"/>
    <s v="Standard Class"/>
    <s v="JE-15745"/>
    <s v="OFF-ST-10004123"/>
    <n v="150"/>
    <n v="18"/>
    <n v="12"/>
    <x v="3"/>
    <s v="Car Batteries"/>
    <s v="INR"/>
    <n v="474001"/>
    <s v="INDIA"/>
    <x v="8"/>
    <m/>
    <n v="72.784000000000006"/>
    <n v="1"/>
    <n v="0.2"/>
    <n v="-18.196000000000002"/>
    <n v="90.98"/>
    <n v="3"/>
  </r>
  <r>
    <n v="76"/>
    <s v="XY64"/>
    <d v="2021-03-17T00:00:00"/>
    <x v="2"/>
    <x v="0"/>
    <s v="First Class"/>
    <s v="KB-16600"/>
    <s v="OFF-BI-10004182"/>
    <n v="170"/>
    <n v="18"/>
    <n v="10.588235294117647"/>
    <x v="6"/>
    <s v="Playsets"/>
    <s v="INR"/>
    <n v="110023"/>
    <s v="INDIA"/>
    <x v="6"/>
    <m/>
    <n v="1.248"/>
    <n v="3"/>
    <n v="0.8"/>
    <n v="-1.9343999999999999"/>
    <n v="1.0608"/>
    <n v="4"/>
  </r>
  <r>
    <n v="77"/>
    <s v="EH63"/>
    <d v="2021-03-18T00:00:00"/>
    <x v="2"/>
    <x v="0"/>
    <s v="First Class"/>
    <s v="KB-16600"/>
    <s v="FUR-FU-10000260"/>
    <n v="220"/>
    <n v="18"/>
    <n v="8.1818181818181817"/>
    <x v="7"/>
    <s v="Spices"/>
    <s v="INR"/>
    <n v="110023"/>
    <s v="INDIA"/>
    <x v="6"/>
    <m/>
    <n v="9.7080000000000002"/>
    <n v="3"/>
    <n v="0.6"/>
    <n v="-5.8247999999999998"/>
    <n v="5.1776"/>
    <n v="5"/>
  </r>
  <r>
    <n v="78"/>
    <s v="GR52"/>
    <d v="2021-03-19T00:00:00"/>
    <x v="2"/>
    <x v="0"/>
    <s v="First Class"/>
    <s v="KB-16600"/>
    <s v="OFF-ST-10000615"/>
    <n v="130"/>
    <n v="6"/>
    <n v="4.6153846153846159"/>
    <x v="8"/>
    <s v="Pet Collars"/>
    <s v="INR"/>
    <n v="800003"/>
    <s v="INDIA"/>
    <x v="16"/>
    <m/>
    <n v="27.24"/>
    <n v="3"/>
    <n v="0.2"/>
    <n v="2.7240000000000002"/>
    <n v="8.1719999999999988"/>
    <n v="5"/>
  </r>
  <r>
    <n v="79"/>
    <s v="DF93"/>
    <d v="2021-03-20T00:00:00"/>
    <x v="2"/>
    <x v="0"/>
    <s v="Second Class"/>
    <s v="JE-15745"/>
    <s v="FUR-FU-10003194"/>
    <n v="120"/>
    <n v="26"/>
    <n v="21.666666666666668"/>
    <x v="2"/>
    <s v="Women’s Sarees"/>
    <s v="INR"/>
    <n v="834002"/>
    <s v="INDIA"/>
    <x v="6"/>
    <m/>
    <n v="19.3"/>
    <n v="5"/>
    <n v="0.6"/>
    <n v="-14.475"/>
    <n v="6.7549999999999999"/>
    <n v="5"/>
  </r>
  <r>
    <n v="80"/>
    <s v="PI47"/>
    <d v="2021-03-21T00:00:00"/>
    <x v="2"/>
    <x v="0"/>
    <s v="First Class"/>
    <s v="SC-20770"/>
    <s v="OFF-AP-10002118"/>
    <n v="140"/>
    <n v="8"/>
    <n v="5.7142857142857144"/>
    <x v="4"/>
    <s v="Graphics Cards"/>
    <m/>
    <n v="400601"/>
    <s v="INDIA"/>
    <x v="4"/>
    <s v="Easy Ship"/>
    <n v="208.16"/>
    <n v="1"/>
    <n v="0.1"/>
    <n v="56.203200000000002"/>
    <n v="151.95679999999999"/>
    <n v="3"/>
  </r>
  <r>
    <n v="81"/>
    <s v="WF80"/>
    <d v="2021-03-22T00:00:00"/>
    <x v="2"/>
    <x v="0"/>
    <s v="First Class"/>
    <s v="SC-20770"/>
    <s v="OFF-BI-10002309"/>
    <n v="250"/>
    <n v="12"/>
    <n v="4.8"/>
    <x v="5"/>
    <s v="Tableware"/>
    <s v="INR"/>
    <n v="560046"/>
    <s v="INDIA"/>
    <x v="9"/>
    <m/>
    <n v="16.739999999999998"/>
    <n v="3"/>
    <n v="0.1"/>
    <n v="8.0351999999999997"/>
    <n v="2.9015999999999997"/>
    <n v="4"/>
  </r>
  <r>
    <n v="82"/>
    <s v="SO92"/>
    <d v="2021-03-23T00:00:00"/>
    <x v="2"/>
    <x v="0"/>
    <s v="Standard Class"/>
    <s v="DN-13690"/>
    <s v="OFF-AR-10002053"/>
    <n v="240"/>
    <n v="24"/>
    <n v="10"/>
    <x v="0"/>
    <s v="Travel Guides"/>
    <s v="INR"/>
    <n v="474011"/>
    <s v="INDIA"/>
    <x v="9"/>
    <m/>
    <n v="14.9"/>
    <n v="5"/>
    <n v="0.1"/>
    <n v="4.1719999999999997"/>
    <n v="2.1456000000000004"/>
    <n v="2"/>
  </r>
  <r>
    <n v="83"/>
    <s v="NS69"/>
    <d v="2021-03-24T00:00:00"/>
    <x v="2"/>
    <x v="0"/>
    <s v="Standard Class"/>
    <s v="DN-13690"/>
    <s v="OFF-ST-10002370"/>
    <n v="100"/>
    <n v="18"/>
    <n v="18"/>
    <x v="1"/>
    <s v="Hiking Equipment"/>
    <s v="INR"/>
    <n v="400101"/>
    <s v="INDIA"/>
    <x v="0"/>
    <m/>
    <n v="21.39"/>
    <n v="1"/>
    <n v="0.1"/>
    <n v="6.2031000000000001"/>
    <n v="15.186900000000001"/>
    <n v="2"/>
  </r>
  <r>
    <n v="84"/>
    <s v="MA93"/>
    <d v="2021-03-25T00:00:00"/>
    <x v="2"/>
    <x v="0"/>
    <s v="Standard Class"/>
    <s v="JC-16105"/>
    <s v="OFF-EN-10000927"/>
    <n v="130"/>
    <n v="28"/>
    <n v="21.53846153846154"/>
    <x v="4"/>
    <s v="Smart Doorbells"/>
    <s v="INR"/>
    <n v="201306"/>
    <s v="INDIA"/>
    <x v="3"/>
    <m/>
    <n v="200.98400000000001"/>
    <n v="7"/>
    <n v="0.2"/>
    <n v="62.807499999999997"/>
    <n v="19.7395"/>
    <n v="2"/>
  </r>
  <r>
    <n v="85"/>
    <s v="PZ38"/>
    <d v="2021-03-26T00:00:00"/>
    <x v="2"/>
    <x v="0"/>
    <s v="First Class"/>
    <s v="CS-12400"/>
    <s v="OFF-ST-10003656"/>
    <n v="200"/>
    <n v="8"/>
    <n v="4"/>
    <x v="2"/>
    <s v="Kids’ Clothing"/>
    <s v="INR"/>
    <n v="323022"/>
    <s v="INDIA"/>
    <x v="0"/>
    <m/>
    <n v="230.376"/>
    <n v="3"/>
    <n v="0.2"/>
    <n v="-48.954900000000002"/>
    <n v="93.110299999999995"/>
    <n v="5"/>
  </r>
  <r>
    <n v="86"/>
    <s v="KT87"/>
    <d v="2021-03-27T00:00:00"/>
    <x v="2"/>
    <x v="0"/>
    <s v="Second Class"/>
    <s v="PO-18865"/>
    <s v="FUR-CH-10000863"/>
    <n v="170"/>
    <n v="24"/>
    <n v="14.117647058823529"/>
    <x v="3"/>
    <s v="Car Mats"/>
    <m/>
    <n v="474001"/>
    <s v="INDIA"/>
    <x v="19"/>
    <m/>
    <n v="301.95999999999998"/>
    <n v="2"/>
    <n v="0.1"/>
    <n v="33.215600000000002"/>
    <n v="134.37219999999999"/>
    <n v="4"/>
  </r>
  <r>
    <n v="87"/>
    <s v="PQ31"/>
    <d v="2021-03-28T00:00:00"/>
    <x v="2"/>
    <x v="0"/>
    <s v="Standard Class"/>
    <s v="PG-18895"/>
    <s v="TEC-AC-10001998"/>
    <n v="200"/>
    <n v="18"/>
    <n v="9"/>
    <x v="6"/>
    <s v="Building Blocks"/>
    <s v="INR"/>
    <n v="201310"/>
    <s v="INDIA"/>
    <x v="14"/>
    <m/>
    <n v="19.989999999999998"/>
    <n v="1"/>
    <n v="0.1"/>
    <n v="6.7965999999999998"/>
    <n v="13.193399999999999"/>
    <n v="4"/>
  </r>
  <r>
    <n v="88"/>
    <s v="BI90"/>
    <d v="2021-03-29T00:00:00"/>
    <x v="2"/>
    <x v="0"/>
    <s v="Standard Class"/>
    <s v="PG-18895"/>
    <s v="OFF-LA-10000134"/>
    <n v="150"/>
    <n v="22"/>
    <n v="14.666666666666666"/>
    <x v="7"/>
    <s v="Condiments"/>
    <s v="INR"/>
    <n v="201304"/>
    <s v="INDIA"/>
    <x v="19"/>
    <m/>
    <n v="6.16"/>
    <n v="2"/>
    <n v="0.1"/>
    <n v="2.9567999999999999"/>
    <n v="1.6016000000000001"/>
    <n v="1"/>
  </r>
  <r>
    <n v="89"/>
    <s v="TR15"/>
    <d v="2021-03-30T00:00:00"/>
    <x v="2"/>
    <x v="0"/>
    <s v="Second Class"/>
    <s v="GM-14455"/>
    <s v="OFF-ST-10003442"/>
    <n v="140"/>
    <n v="20"/>
    <n v="14.285714285714285"/>
    <x v="8"/>
    <s v="Pet Leashes"/>
    <s v="INR"/>
    <n v="560059"/>
    <s v="INDIA"/>
    <x v="17"/>
    <s v="Easy Ship"/>
    <n v="158.36799999999999"/>
    <n v="7"/>
    <n v="0.2"/>
    <n v="13.857200000000001"/>
    <n v="20.644399999999997"/>
    <n v="5"/>
  </r>
  <r>
    <n v="90"/>
    <s v="NQ21"/>
    <d v="2021-03-31T00:00:00"/>
    <x v="2"/>
    <x v="0"/>
    <s v="Standard Class"/>
    <s v="JS-15685"/>
    <s v="OFF-AR-10004930"/>
    <n v="230"/>
    <n v="28"/>
    <n v="12.173913043478262"/>
    <x v="2"/>
    <s v="Men’s Jeans"/>
    <s v="INR"/>
    <n v="560059"/>
    <s v="INDIA"/>
    <x v="10"/>
    <s v="Easy Ship"/>
    <n v="20.100000000000001"/>
    <n v="3"/>
    <n v="0.1"/>
    <n v="6.633"/>
    <n v="4.4890000000000008"/>
    <n v="2"/>
  </r>
  <r>
    <n v="91"/>
    <s v="RM26"/>
    <d v="2021-04-01T00:00:00"/>
    <x v="3"/>
    <x v="0"/>
    <s v="Standard Class"/>
    <s v="JS-15685"/>
    <s v="TEC-PH-10004093"/>
    <n v="150"/>
    <n v="14"/>
    <n v="9.3333333333333339"/>
    <x v="4"/>
    <s v="SSD Drives"/>
    <s v="INR"/>
    <n v="804421"/>
    <s v="INDIA"/>
    <x v="3"/>
    <m/>
    <n v="73.584000000000003"/>
    <n v="2"/>
    <n v="0.2"/>
    <n v="8.2782"/>
    <n v="32.652900000000002"/>
    <n v="2"/>
  </r>
  <r>
    <n v="92"/>
    <s v="YJ62"/>
    <d v="2021-04-02T00:00:00"/>
    <x v="3"/>
    <x v="0"/>
    <s v="Standard Class"/>
    <s v="JS-15685"/>
    <s v="OFF-PA-10000304"/>
    <n v="120"/>
    <n v="16"/>
    <n v="13.333333333333334"/>
    <x v="1"/>
    <s v="Football Gear"/>
    <s v="INR"/>
    <n v="401107"/>
    <s v="INDIA"/>
    <x v="17"/>
    <m/>
    <n v="6.48"/>
    <n v="1"/>
    <n v="0.1"/>
    <n v="3.1103999999999998"/>
    <n v="3.3696000000000006"/>
    <n v="5"/>
  </r>
  <r>
    <n v="93"/>
    <s v="XD83"/>
    <d v="2021-04-03T00:00:00"/>
    <x v="3"/>
    <x v="0"/>
    <s v="Second Class"/>
    <s v="KB-16315"/>
    <s v="OFF-PA-10003177"/>
    <n v="220"/>
    <n v="22"/>
    <n v="10"/>
    <x v="0"/>
    <s v="Reference Books"/>
    <s v="INR"/>
    <n v="695009"/>
    <s v="INDIA"/>
    <x v="3"/>
    <m/>
    <n v="12.96"/>
    <n v="2"/>
    <n v="0.1"/>
    <n v="6.2207999999999997"/>
    <n v="3.3696000000000006"/>
    <n v="2"/>
  </r>
  <r>
    <n v="94"/>
    <s v="FO62"/>
    <d v="2021-04-04T00:00:00"/>
    <x v="3"/>
    <x v="0"/>
    <s v="Second Class"/>
    <s v="KB-16315"/>
    <s v="FUR-FU-10003799"/>
    <n v="160"/>
    <n v="14"/>
    <n v="8.75"/>
    <x v="5"/>
    <s v="Curtains"/>
    <m/>
    <n v="816107"/>
    <s v="INDIA"/>
    <x v="3"/>
    <m/>
    <n v="53.34"/>
    <n v="3"/>
    <n v="0.1"/>
    <n v="16.535399999999999"/>
    <n v="12.268200000000002"/>
    <n v="2"/>
  </r>
  <r>
    <n v="95"/>
    <s v="EY61"/>
    <d v="2021-04-05T00:00:00"/>
    <x v="3"/>
    <x v="0"/>
    <s v="Second Class"/>
    <s v="KB-16315"/>
    <s v="OFF-BI-10002852"/>
    <n v="110"/>
    <n v="20"/>
    <n v="18.181818181818183"/>
    <x v="3"/>
    <s v="Car Oils"/>
    <s v="INR"/>
    <n v="686664"/>
    <s v="INDIA"/>
    <x v="9"/>
    <s v="Easy Ship"/>
    <n v="32.96"/>
    <n v="2"/>
    <n v="0.1"/>
    <n v="16.150400000000001"/>
    <n v="8.4047999999999998"/>
    <n v="1"/>
  </r>
  <r>
    <n v="96"/>
    <s v="JJ22"/>
    <d v="2021-04-06T00:00:00"/>
    <x v="3"/>
    <x v="0"/>
    <s v="Standard Class"/>
    <s v="RB-19705"/>
    <s v="OFF-BI-10004738"/>
    <n v="250"/>
    <n v="18"/>
    <n v="7.1999999999999993"/>
    <x v="6"/>
    <s v="Science Kits"/>
    <s v="INR"/>
    <n v="641041"/>
    <s v="INDIA"/>
    <x v="3"/>
    <m/>
    <n v="5.6820000000000004"/>
    <n v="1"/>
    <n v="0.7"/>
    <n v="-3.7879999999999998"/>
    <n v="9.4700000000000006"/>
    <n v="4"/>
  </r>
  <r>
    <n v="97"/>
    <s v="TA31"/>
    <d v="2021-04-07T00:00:00"/>
    <x v="3"/>
    <x v="0"/>
    <s v="Second Class"/>
    <s v="PN-18775"/>
    <s v="FUR-FU-10000629"/>
    <n v="100"/>
    <n v="16"/>
    <n v="16"/>
    <x v="7"/>
    <s v="Tea &amp; Coffee"/>
    <s v="INR"/>
    <n v="500080"/>
    <s v="INDIA"/>
    <x v="13"/>
    <s v="Easy Ship"/>
    <n v="96.53"/>
    <n v="7"/>
    <n v="0.1"/>
    <n v="40.5426"/>
    <n v="7.9981999999999998"/>
    <n v="2"/>
  </r>
  <r>
    <n v="98"/>
    <s v="TU75"/>
    <d v="2021-04-08T00:00:00"/>
    <x v="3"/>
    <x v="0"/>
    <s v="First Class"/>
    <s v="KD-16345"/>
    <s v="OFF-BI-10001721"/>
    <n v="180"/>
    <n v="24"/>
    <n v="13.333333333333334"/>
    <x v="8"/>
    <s v="Pet Bowls"/>
    <s v="INR"/>
    <n v="500080"/>
    <s v="INDIA"/>
    <x v="17"/>
    <s v="Easy Ship"/>
    <n v="51.311999999999998"/>
    <n v="3"/>
    <n v="0.2"/>
    <n v="17.959199999999999"/>
    <n v="11.117600000000001"/>
    <n v="4"/>
  </r>
  <r>
    <n v="99"/>
    <s v="KW31"/>
    <d v="2021-04-09T00:00:00"/>
    <x v="3"/>
    <x v="0"/>
    <s v="Standard Class"/>
    <s v="ER-13855"/>
    <s v="OFF-AP-10000358"/>
    <n v="250"/>
    <n v="16"/>
    <n v="6.4"/>
    <x v="2"/>
    <s v="Women’s Tops"/>
    <s v="INR"/>
    <n v="500080"/>
    <s v="INDIA"/>
    <x v="3"/>
    <m/>
    <n v="77.88"/>
    <n v="6"/>
    <n v="0.1"/>
    <n v="22.5852"/>
    <n v="9.2157999999999998"/>
    <n v="1"/>
  </r>
  <r>
    <n v="100"/>
    <s v="OS38"/>
    <d v="2021-04-10T00:00:00"/>
    <x v="3"/>
    <x v="0"/>
    <s v="Standard Class"/>
    <s v="RB-19465"/>
    <s v="OFF-PA-10003256"/>
    <n v="190"/>
    <n v="24"/>
    <n v="12.631578947368421"/>
    <x v="4"/>
    <s v="Camera Lenses"/>
    <s v="INR"/>
    <n v="522529"/>
    <s v="INDIA"/>
    <x v="1"/>
    <s v="Easy Ship"/>
    <n v="64.623999999999995"/>
    <n v="7"/>
    <n v="0.2"/>
    <n v="22.618400000000001"/>
    <n v="6.000799999999999"/>
    <n v="3"/>
  </r>
  <r>
    <n v="101"/>
    <s v="DL94"/>
    <d v="2021-04-11T00:00:00"/>
    <x v="3"/>
    <x v="0"/>
    <s v="Standard Class"/>
    <s v="RB-19465"/>
    <s v="TEC-AC-10001767"/>
    <n v="220"/>
    <n v="16"/>
    <n v="7.2727272727272725"/>
    <x v="0"/>
    <s v="History"/>
    <s v="INR"/>
    <n v="411037"/>
    <s v="INDIA"/>
    <x v="0"/>
    <s v="Easy Ship"/>
    <n v="95.975999999999999"/>
    <n v="3"/>
    <n v="0.2"/>
    <n v="-10.7973"/>
    <n v="35.591100000000004"/>
    <n v="1"/>
  </r>
  <r>
    <n v="102"/>
    <s v="XN95"/>
    <d v="2021-04-12T00:00:00"/>
    <x v="3"/>
    <x v="0"/>
    <s v="Standard Class"/>
    <s v="RB-19465"/>
    <s v="OFF-BI-10002609"/>
    <n v="170"/>
    <n v="10"/>
    <n v="5.8823529411764701"/>
    <x v="1"/>
    <s v="Running Shoes"/>
    <s v="INR"/>
    <n v="826001"/>
    <s v="INDIA"/>
    <x v="18"/>
    <s v="Easy Ship"/>
    <n v="1.788"/>
    <n v="3"/>
    <n v="0.8"/>
    <n v="-3.0396000000000001"/>
    <n v="1.6092000000000002"/>
    <n v="4"/>
  </r>
  <r>
    <n v="103"/>
    <s v="EW30"/>
    <d v="2021-04-13T00:00:00"/>
    <x v="3"/>
    <x v="0"/>
    <s v="Second Class"/>
    <s v="GZ-14470"/>
    <s v="OFF-PA-10004040"/>
    <n v="220"/>
    <n v="22"/>
    <n v="10"/>
    <x v="4"/>
    <s v="Smart Plugs"/>
    <s v="INR"/>
    <n v="700059"/>
    <s v="INDIA"/>
    <x v="5"/>
    <m/>
    <n v="23.92"/>
    <n v="4"/>
    <n v="0.1"/>
    <n v="11.720800000000001"/>
    <n v="3.0498000000000003"/>
    <n v="3"/>
  </r>
  <r>
    <n v="104"/>
    <s v="QH81"/>
    <d v="2021-04-14T00:00:00"/>
    <x v="3"/>
    <x v="0"/>
    <s v="Standard Class"/>
    <s v="LC-16870"/>
    <s v="TEC-AC-10001552"/>
    <n v="200"/>
    <n v="28"/>
    <n v="14.000000000000002"/>
    <x v="2"/>
    <s v="Women’s Flats"/>
    <s v="INR"/>
    <n v="560100"/>
    <s v="INDIA"/>
    <x v="17"/>
    <m/>
    <n v="238.89599999999999"/>
    <n v="6"/>
    <n v="0.2"/>
    <n v="-26.875800000000002"/>
    <n v="44.295299999999997"/>
    <n v="2"/>
  </r>
  <r>
    <n v="105"/>
    <s v="TC67"/>
    <d v="2021-04-15T00:00:00"/>
    <x v="3"/>
    <x v="0"/>
    <s v="Standard Class"/>
    <s v="LC-16870"/>
    <s v="FUR-FU-10004006"/>
    <n v="150"/>
    <n v="10"/>
    <n v="6.666666666666667"/>
    <x v="5"/>
    <s v="Wall Art"/>
    <s v="INR"/>
    <n v="302004"/>
    <s v="INDIA"/>
    <x v="3"/>
    <m/>
    <n v="102.36"/>
    <n v="3"/>
    <n v="0.2"/>
    <n v="-3.8384999999999998"/>
    <n v="35.399499999999996"/>
    <n v="4"/>
  </r>
  <r>
    <n v="106"/>
    <s v="AI97"/>
    <d v="2021-04-16T00:00:00"/>
    <x v="3"/>
    <x v="0"/>
    <s v="Standard Class"/>
    <s v="LC-16870"/>
    <s v="OFF-BI-10002794"/>
    <n v="150"/>
    <n v="30"/>
    <n v="20"/>
    <x v="3"/>
    <s v="Car Seats"/>
    <s v="INR"/>
    <n v="400063"/>
    <s v="INDIA"/>
    <x v="12"/>
    <m/>
    <n v="36.881999999999998"/>
    <n v="3"/>
    <n v="0.7"/>
    <n v="-25.817399999999999"/>
    <n v="20.899799999999999"/>
    <n v="4"/>
  </r>
  <r>
    <n v="107"/>
    <s v="LS12"/>
    <d v="2021-04-17T00:00:00"/>
    <x v="3"/>
    <x v="0"/>
    <s v="Standard Class"/>
    <s v="JM-15250"/>
    <s v="TEC-AC-10003499"/>
    <n v="240"/>
    <n v="22"/>
    <n v="9.1666666666666661"/>
    <x v="6"/>
    <s v="Board Puzzles"/>
    <s v="INR"/>
    <n v="500072"/>
    <s v="INDIA"/>
    <x v="12"/>
    <m/>
    <n v="74.111999999999995"/>
    <n v="8"/>
    <n v="0.2"/>
    <n v="17.601600000000001"/>
    <n v="7.0637999999999987"/>
    <n v="5"/>
  </r>
  <r>
    <n v="108"/>
    <s v="QA45"/>
    <d v="2021-04-18T00:00:00"/>
    <x v="3"/>
    <x v="0"/>
    <s v="Standard Class"/>
    <s v="JM-15250"/>
    <s v="TEC-PH-10002844"/>
    <n v="190"/>
    <n v="14"/>
    <n v="7.3684210526315779"/>
    <x v="7"/>
    <s v="Meat &amp; Poultry"/>
    <s v="INR"/>
    <n v="600004"/>
    <s v="INDIA"/>
    <x v="0"/>
    <m/>
    <n v="27.992000000000001"/>
    <n v="1"/>
    <n v="0.2"/>
    <n v="2.0994000000000002"/>
    <n v="25.892600000000002"/>
    <n v="3"/>
  </r>
  <r>
    <n v="109"/>
    <s v="ST51"/>
    <d v="2021-04-19T00:00:00"/>
    <x v="3"/>
    <x v="0"/>
    <s v="Standard Class"/>
    <s v="JM-15250"/>
    <s v="OFF-AR-10000390"/>
    <n v="220"/>
    <n v="10"/>
    <n v="4.5454545454545459"/>
    <x v="8"/>
    <s v="Pet Vitamins"/>
    <s v="INR"/>
    <n v="638459"/>
    <s v="INDIA"/>
    <x v="11"/>
    <m/>
    <n v="3.3039999999999998"/>
    <n v="1"/>
    <n v="0.2"/>
    <n v="1.0738000000000001"/>
    <n v="2.2302"/>
    <n v="4"/>
  </r>
  <r>
    <n v="110"/>
    <s v="BS47"/>
    <d v="2021-04-20T00:00:00"/>
    <x v="3"/>
    <x v="0"/>
    <s v="Standard Class"/>
    <s v="PA-19060"/>
    <s v="TEC-AC-10000844"/>
    <n v="200"/>
    <n v="6"/>
    <n v="3"/>
    <x v="2"/>
    <s v="Men’s Casual Shoes"/>
    <s v="INR"/>
    <n v="560093"/>
    <s v="INDIA"/>
    <x v="10"/>
    <s v="Easy Ship"/>
    <n v="339.96"/>
    <n v="5"/>
    <n v="0.2"/>
    <n v="67.992000000000004"/>
    <n v="54.393599999999992"/>
    <n v="1"/>
  </r>
  <r>
    <n v="111"/>
    <s v="JY92"/>
    <d v="2021-04-21T00:00:00"/>
    <x v="3"/>
    <x v="0"/>
    <s v="Standard Class"/>
    <s v="CV-12805"/>
    <s v="FUR-FU-10001934"/>
    <n v="250"/>
    <n v="18"/>
    <n v="7.1999999999999993"/>
    <x v="4"/>
    <s v="Motherboards"/>
    <s v="INR"/>
    <n v="560086"/>
    <s v="INDIA"/>
    <x v="11"/>
    <m/>
    <n v="41.96"/>
    <n v="2"/>
    <n v="0.1"/>
    <n v="10.909599999999999"/>
    <n v="15.525200000000002"/>
    <n v="2"/>
  </r>
  <r>
    <n v="112"/>
    <s v="KT34"/>
    <d v="2021-04-22T00:00:00"/>
    <x v="3"/>
    <x v="0"/>
    <s v="Standard Class"/>
    <s v="CL-12565"/>
    <s v="OFF-AR-10000380"/>
    <n v="210"/>
    <n v="22"/>
    <n v="10.476190476190476"/>
    <x v="1"/>
    <s v="Skating Gear"/>
    <m/>
    <n v="636121"/>
    <s v="INDIA"/>
    <x v="4"/>
    <m/>
    <n v="75.959999999999994"/>
    <n v="2"/>
    <n v="0.1"/>
    <n v="22.788"/>
    <n v="26.585999999999999"/>
    <n v="2"/>
  </r>
  <r>
    <n v="113"/>
    <s v="JK44"/>
    <d v="2021-04-23T00:00:00"/>
    <x v="3"/>
    <x v="0"/>
    <s v="Standard Class"/>
    <s v="CL-12565"/>
    <s v="OFF-BI-10003981"/>
    <n v="110"/>
    <n v="14"/>
    <n v="12.727272727272727"/>
    <x v="0"/>
    <s v="Philosophy"/>
    <s v="INR"/>
    <n v="600077"/>
    <s v="INDIA"/>
    <x v="18"/>
    <m/>
    <n v="27.24"/>
    <n v="6"/>
    <n v="0.1"/>
    <n v="13.3476"/>
    <n v="2.3153999999999999"/>
    <n v="3"/>
  </r>
  <r>
    <n v="114"/>
    <s v="HG63"/>
    <d v="2021-04-24T00:00:00"/>
    <x v="3"/>
    <x v="0"/>
    <s v="Second Class"/>
    <s v="RC-19960"/>
    <s v="OFF-FA-10000621"/>
    <n v="230"/>
    <n v="20"/>
    <n v="8.695652173913043"/>
    <x v="5"/>
    <s v="Clocks"/>
    <s v="INR"/>
    <n v="713101"/>
    <s v="INDIA"/>
    <x v="10"/>
    <m/>
    <n v="40.095999999999997"/>
    <n v="14"/>
    <n v="0.2"/>
    <n v="14.534800000000001"/>
    <n v="1.8257999999999996"/>
    <n v="1"/>
  </r>
  <r>
    <n v="115"/>
    <s v="KW87"/>
    <d v="2021-04-25T00:00:00"/>
    <x v="3"/>
    <x v="0"/>
    <s v="Second Class"/>
    <s v="RC-19960"/>
    <s v="OFF-EN-10002600"/>
    <n v="170"/>
    <n v="30"/>
    <n v="17.647058823529413"/>
    <x v="3"/>
    <s v="Car Lights"/>
    <s v="INR"/>
    <n v="560093"/>
    <s v="INDIA"/>
    <x v="3"/>
    <m/>
    <n v="4.72"/>
    <n v="2"/>
    <n v="0.2"/>
    <n v="1.6519999999999999"/>
    <n v="1.5339999999999998"/>
    <n v="2"/>
  </r>
  <r>
    <n v="116"/>
    <s v="HJ75"/>
    <d v="2021-04-26T00:00:00"/>
    <x v="3"/>
    <x v="0"/>
    <s v="Second Class"/>
    <s v="RC-19960"/>
    <s v="OFF-PA-10004965"/>
    <n v="160"/>
    <n v="22"/>
    <n v="13.750000000000002"/>
    <x v="6"/>
    <s v="Outdoor Playsets"/>
    <s v="INR"/>
    <n v="400072"/>
    <s v="INDIA"/>
    <x v="5"/>
    <m/>
    <n v="23.975999999999999"/>
    <n v="3"/>
    <n v="0.2"/>
    <n v="7.4924999999999997"/>
    <n v="5.4944999999999995"/>
    <n v="3"/>
  </r>
  <r>
    <n v="117"/>
    <s v="ZO38"/>
    <d v="2021-04-27T00:00:00"/>
    <x v="3"/>
    <x v="0"/>
    <s v="Second Class"/>
    <s v="RC-19960"/>
    <s v="OFF-EN-10002504"/>
    <n v="190"/>
    <n v="8"/>
    <n v="4.2105263157894735"/>
    <x v="7"/>
    <s v="Health Drinks"/>
    <s v="INR"/>
    <n v="700024"/>
    <s v="INDIA"/>
    <x v="9"/>
    <s v="Easy Ship"/>
    <n v="130.464"/>
    <n v="6"/>
    <n v="0.2"/>
    <n v="44.031599999999997"/>
    <n v="14.4054"/>
    <n v="5"/>
  </r>
  <r>
    <n v="118"/>
    <s v="NK42"/>
    <d v="2021-04-28T00:00:00"/>
    <x v="3"/>
    <x v="0"/>
    <s v="Standard Class"/>
    <s v="DK-13090"/>
    <s v="FUR-TA-10001768"/>
    <n v="180"/>
    <n v="28"/>
    <n v="15.555555555555555"/>
    <x v="8"/>
    <s v="Pet Brushes"/>
    <s v="INR"/>
    <n v="516001"/>
    <s v="INDIA"/>
    <x v="19"/>
    <s v="Easy Ship"/>
    <n v="787.53"/>
    <n v="3"/>
    <n v="0.1"/>
    <n v="165.38130000000001"/>
    <n v="207.38289999999998"/>
    <n v="3"/>
  </r>
  <r>
    <n v="119"/>
    <s v="ZO51"/>
    <d v="2021-04-29T00:00:00"/>
    <x v="3"/>
    <x v="0"/>
    <s v="Standard Class"/>
    <s v="GG-14650"/>
    <s v="OFF-BI-10003650"/>
    <n v="190"/>
    <n v="8"/>
    <n v="4.2105263157894735"/>
    <x v="2"/>
    <s v="Women’s Skirts"/>
    <s v="INR"/>
    <n v="500050"/>
    <s v="INDIA"/>
    <x v="0"/>
    <m/>
    <n v="157.79400000000001"/>
    <n v="1"/>
    <n v="0.7"/>
    <n v="-115.71559999999999"/>
    <n v="273.50959999999998"/>
    <n v="3"/>
  </r>
  <r>
    <n v="120"/>
    <s v="OJ56"/>
    <d v="2021-04-30T00:00:00"/>
    <x v="3"/>
    <x v="0"/>
    <s v="First Class"/>
    <s v="SC-20725"/>
    <s v="FUR-FU-10002157"/>
    <n v="180"/>
    <n v="14"/>
    <n v="7.7777777777777777"/>
    <x v="4"/>
    <s v="Action Cameras"/>
    <s v="INR"/>
    <n v="400093"/>
    <s v="INDIA"/>
    <x v="11"/>
    <m/>
    <n v="47.04"/>
    <n v="3"/>
    <n v="0.1"/>
    <n v="18.345600000000001"/>
    <n v="9.5648"/>
    <n v="2"/>
  </r>
  <r>
    <n v="121"/>
    <s v="RG33"/>
    <d v="2021-05-01T00:00:00"/>
    <x v="4"/>
    <x v="0"/>
    <s v="First Class"/>
    <s v="SC-20725"/>
    <s v="OFF-BI-10003910"/>
    <n v="170"/>
    <n v="10"/>
    <n v="5.8823529411764701"/>
    <x v="0"/>
    <s v="Art &amp; Photography"/>
    <m/>
    <n v="500050"/>
    <s v="INDIA"/>
    <x v="18"/>
    <m/>
    <n v="30.84"/>
    <n v="4"/>
    <n v="0.1"/>
    <n v="13.878"/>
    <n v="4.2404999999999999"/>
    <n v="4"/>
  </r>
  <r>
    <n v="122"/>
    <s v="PY24"/>
    <d v="2021-05-02T00:00:00"/>
    <x v="4"/>
    <x v="0"/>
    <s v="First Class"/>
    <s v="SC-20725"/>
    <s v="OFF-ST-10000777"/>
    <n v="210"/>
    <n v="10"/>
    <n v="4.7619047619047619"/>
    <x v="1"/>
    <s v="Gym Equipment"/>
    <s v="INR"/>
    <n v="222125"/>
    <s v="INDIA"/>
    <x v="6"/>
    <s v="Easy Ship"/>
    <n v="226.56"/>
    <n v="6"/>
    <n v="0.1"/>
    <n v="63.436799999999998"/>
    <n v="27.187200000000001"/>
    <n v="1"/>
  </r>
  <r>
    <n v="123"/>
    <s v="MO80"/>
    <d v="2021-05-03T00:00:00"/>
    <x v="4"/>
    <x v="0"/>
    <s v="First Class"/>
    <s v="SC-20725"/>
    <s v="OFF-EN-10002500"/>
    <n v="210"/>
    <n v="26"/>
    <n v="12.380952380952381"/>
    <x v="4"/>
    <s v="Hard Drives"/>
    <s v="INR"/>
    <n v="500083"/>
    <s v="INDIA"/>
    <x v="16"/>
    <m/>
    <n v="115.02"/>
    <n v="9"/>
    <n v="0.1"/>
    <n v="51.759"/>
    <n v="7.0289999999999999"/>
    <n v="4"/>
  </r>
  <r>
    <n v="124"/>
    <s v="QI98"/>
    <d v="2021-05-04T00:00:00"/>
    <x v="4"/>
    <x v="0"/>
    <s v="First Class"/>
    <s v="SC-20725"/>
    <s v="TEC-PH-10003875"/>
    <n v="230"/>
    <n v="24"/>
    <n v="10.434782608695652"/>
    <x v="2"/>
    <s v="Women’s Kurtis"/>
    <s v="INR"/>
    <n v="302006"/>
    <s v="INDIA"/>
    <x v="11"/>
    <s v="Easy Ship"/>
    <n v="68.040000000000006"/>
    <n v="7"/>
    <n v="0.1"/>
    <n v="19.7316"/>
    <n v="6.9012000000000011"/>
    <n v="3"/>
  </r>
  <r>
    <n v="125"/>
    <s v="DA45"/>
    <d v="2021-05-05T00:00:00"/>
    <x v="4"/>
    <x v="0"/>
    <s v="Second Class"/>
    <s v="AD-10180"/>
    <s v="FUR-CH-10004063"/>
    <n v="150"/>
    <n v="14"/>
    <n v="9.3333333333333339"/>
    <x v="5"/>
    <s v="Kitchen Appliances"/>
    <s v="INR"/>
    <n v="313002"/>
    <s v="INDIA"/>
    <x v="10"/>
    <m/>
    <n v="600.55799999999999"/>
    <n v="3"/>
    <n v="0.3"/>
    <n v="-8.5793999999999997"/>
    <n v="203.04579999999999"/>
    <n v="4"/>
  </r>
  <r>
    <n v="126"/>
    <s v="SJ47"/>
    <d v="2021-05-06T00:00:00"/>
    <x v="4"/>
    <x v="0"/>
    <s v="Standard Class"/>
    <s v="PF-19165"/>
    <s v="FUR-TA-10004534"/>
    <n v="240"/>
    <n v="14"/>
    <n v="5.833333333333333"/>
    <x v="3"/>
    <s v="Car Audio Systems"/>
    <s v="INR"/>
    <n v="560004"/>
    <s v="INDIA"/>
    <x v="18"/>
    <m/>
    <n v="617.70000000000005"/>
    <n v="6"/>
    <n v="0.5"/>
    <n v="-407.68200000000002"/>
    <n v="170.89700000000002"/>
    <n v="3"/>
  </r>
  <r>
    <n v="127"/>
    <s v="MC72"/>
    <d v="2021-05-07T00:00:00"/>
    <x v="4"/>
    <x v="0"/>
    <s v="Standard Class"/>
    <s v="TS-21610"/>
    <s v="OFF-BI-10003274"/>
    <n v="110"/>
    <n v="16"/>
    <n v="14.545454545454545"/>
    <x v="6"/>
    <s v="Card Games"/>
    <s v="INR"/>
    <n v="144102"/>
    <s v="INDIA"/>
    <x v="12"/>
    <m/>
    <n v="2.3879999999999999"/>
    <n v="2"/>
    <n v="0.7"/>
    <n v="-1.8308"/>
    <n v="2.1093999999999999"/>
    <n v="2"/>
  </r>
  <r>
    <n v="128"/>
    <s v="DN81"/>
    <d v="2021-05-08T00:00:00"/>
    <x v="4"/>
    <x v="0"/>
    <s v="Standard Class"/>
    <s v="TS-21610"/>
    <s v="OFF-ST-10002974"/>
    <n v="230"/>
    <n v="14"/>
    <n v="6.0869565217391308"/>
    <x v="7"/>
    <s v="Instant Foods"/>
    <m/>
    <n v="507303"/>
    <s v="INDIA"/>
    <x v="19"/>
    <m/>
    <n v="243.99199999999999"/>
    <n v="7"/>
    <n v="0.2"/>
    <n v="30.498999999999999"/>
    <n v="30.498999999999999"/>
    <n v="3"/>
  </r>
  <r>
    <n v="129"/>
    <s v="YD66"/>
    <d v="2021-05-09T00:00:00"/>
    <x v="4"/>
    <x v="0"/>
    <s v="Second Class"/>
    <s v="LS-16975"/>
    <s v="FUR-CH-10001146"/>
    <n v="210"/>
    <n v="18"/>
    <n v="8.5714285714285712"/>
    <x v="8"/>
    <s v="Pet Carriers"/>
    <s v="INR"/>
    <n v="751021"/>
    <s v="INDIA"/>
    <x v="9"/>
    <m/>
    <n v="81.424000000000007"/>
    <n v="2"/>
    <n v="0.2"/>
    <n v="-9.1601999999999997"/>
    <n v="45.292100000000005"/>
    <n v="4"/>
  </r>
  <r>
    <n v="130"/>
    <s v="XJ92"/>
    <d v="2021-05-10T00:00:00"/>
    <x v="4"/>
    <x v="0"/>
    <s v="Second Class"/>
    <s v="LS-16975"/>
    <s v="FUR-FU-10003773"/>
    <n v="110"/>
    <n v="26"/>
    <n v="23.636363636363637"/>
    <x v="2"/>
    <s v="Men’s Belts"/>
    <s v="INR"/>
    <n v="571127"/>
    <s v="INDIA"/>
    <x v="6"/>
    <m/>
    <n v="238.56"/>
    <n v="3"/>
    <n v="0.1"/>
    <n v="26.241599999999998"/>
    <n v="70.772800000000004"/>
    <n v="2"/>
  </r>
  <r>
    <n v="131"/>
    <s v="KD85"/>
    <d v="2021-05-11T00:00:00"/>
    <x v="4"/>
    <x v="0"/>
    <s v="First Class"/>
    <s v="DW-13585"/>
    <s v="TEC-PH-10002293"/>
    <n v="220"/>
    <n v="24"/>
    <n v="10.909090909090908"/>
    <x v="4"/>
    <s v="Routers"/>
    <s v="INR"/>
    <n v="635103"/>
    <s v="INDIA"/>
    <x v="13"/>
    <s v="Easy Ship"/>
    <n v="59.97"/>
    <n v="5"/>
    <n v="0.4"/>
    <n v="-11.994"/>
    <n v="14.392799999999999"/>
    <n v="4"/>
  </r>
  <r>
    <n v="132"/>
    <s v="LA89"/>
    <d v="2021-05-12T00:00:00"/>
    <x v="4"/>
    <x v="0"/>
    <s v="First Class"/>
    <s v="DW-13585"/>
    <s v="OFF-PA-10002377"/>
    <n v="220"/>
    <n v="28"/>
    <n v="12.727272727272727"/>
    <x v="1"/>
    <s v="Volleyball Gear"/>
    <s v="INR"/>
    <n v="572102"/>
    <s v="INDIA"/>
    <x v="3"/>
    <m/>
    <n v="78.304000000000002"/>
    <n v="2"/>
    <n v="0.2"/>
    <n v="29.364000000000001"/>
    <n v="24.47"/>
    <n v="5"/>
  </r>
  <r>
    <n v="133"/>
    <s v="OU92"/>
    <d v="2021-05-13T00:00:00"/>
    <x v="4"/>
    <x v="0"/>
    <s v="First Class"/>
    <s v="DW-13585"/>
    <s v="OFF-FA-10002780"/>
    <n v="220"/>
    <n v="26"/>
    <n v="11.818181818181818"/>
    <x v="0"/>
    <s v="Self-Help"/>
    <s v="INR"/>
    <n v="700017"/>
    <s v="INDIA"/>
    <x v="9"/>
    <m/>
    <n v="21.456"/>
    <n v="9"/>
    <n v="0.2"/>
    <n v="6.9732000000000003"/>
    <n v="1.6092"/>
    <n v="1"/>
  </r>
  <r>
    <n v="134"/>
    <s v="QT78"/>
    <d v="2021-05-14T00:00:00"/>
    <x v="4"/>
    <x v="0"/>
    <s v="Standard Class"/>
    <s v="LC-16885"/>
    <s v="OFF-PA-10001804"/>
    <n v="230"/>
    <n v="24"/>
    <n v="10.434782608695652"/>
    <x v="5"/>
    <s v="Mirrors"/>
    <s v="INR"/>
    <n v="380015"/>
    <s v="INDIA"/>
    <x v="19"/>
    <m/>
    <n v="20.04"/>
    <n v="3"/>
    <n v="0.1"/>
    <n v="9.6191999999999993"/>
    <n v="3.4735999999999998"/>
    <n v="1"/>
  </r>
  <r>
    <n v="135"/>
    <s v="MC53"/>
    <d v="2021-05-15T00:00:00"/>
    <x v="4"/>
    <x v="0"/>
    <s v="Standard Class"/>
    <s v="LC-16885"/>
    <s v="OFF-PA-10001736"/>
    <n v="130"/>
    <n v="24"/>
    <n v="18.461538461538463"/>
    <x v="3"/>
    <s v="Car Cleaning Kits"/>
    <s v="INR"/>
    <n v="122002"/>
    <s v="INDIA"/>
    <x v="0"/>
    <m/>
    <n v="35.44"/>
    <n v="1"/>
    <n v="0.1"/>
    <n v="16.6568"/>
    <n v="18.783199999999997"/>
    <n v="4"/>
  </r>
  <r>
    <n v="136"/>
    <s v="ZL28"/>
    <d v="2021-05-16T00:00:00"/>
    <x v="4"/>
    <x v="0"/>
    <s v="Standard Class"/>
    <s v="LC-16885"/>
    <s v="OFF-AR-10001149"/>
    <n v="170"/>
    <n v="24"/>
    <n v="14.117647058823529"/>
    <x v="6"/>
    <s v="Learning Tablets"/>
    <s v="INR"/>
    <n v="751012"/>
    <s v="INDIA"/>
    <x v="0"/>
    <m/>
    <n v="11.52"/>
    <n v="4"/>
    <n v="0.1"/>
    <n v="3.456"/>
    <n v="2.016"/>
    <n v="5"/>
  </r>
  <r>
    <n v="137"/>
    <s v="ZH84"/>
    <d v="2021-05-17T00:00:00"/>
    <x v="4"/>
    <x v="0"/>
    <s v="Standard Class"/>
    <s v="LC-16885"/>
    <s v="OFF-FA-10002988"/>
    <n v="220"/>
    <n v="28"/>
    <n v="12.727272727272727"/>
    <x v="7"/>
    <s v="Packaged Foods"/>
    <s v="INR"/>
    <n v="110075"/>
    <s v="INDIA"/>
    <x v="0"/>
    <m/>
    <n v="4.0199999999999996"/>
    <n v="2"/>
    <n v="0.1"/>
    <n v="1.9698"/>
    <n v="1.0250999999999997"/>
    <n v="2"/>
  </r>
  <r>
    <n v="138"/>
    <s v="RF27"/>
    <d v="2021-05-18T00:00:00"/>
    <x v="4"/>
    <x v="0"/>
    <s v="Standard Class"/>
    <s v="LC-16885"/>
    <s v="OFF-BI-10004781"/>
    <n v="170"/>
    <n v="30"/>
    <n v="17.647058823529413"/>
    <x v="8"/>
    <s v="Pet Shampoo"/>
    <s v="INR"/>
    <n v="201301"/>
    <s v="INDIA"/>
    <x v="16"/>
    <m/>
    <n v="76.176000000000002"/>
    <n v="3"/>
    <n v="0.2"/>
    <n v="26.6616"/>
    <n v="16.504799999999999"/>
    <n v="5"/>
  </r>
  <r>
    <n v="139"/>
    <s v="AY63"/>
    <d v="2021-05-19T00:00:00"/>
    <x v="4"/>
    <x v="0"/>
    <s v="Standard Class"/>
    <s v="LC-16885"/>
    <s v="OFF-SU-10001218"/>
    <n v="230"/>
    <n v="22"/>
    <n v="9.5652173913043477"/>
    <x v="2"/>
    <s v="Women’s Jewelry"/>
    <m/>
    <n v="500083"/>
    <s v="INDIA"/>
    <x v="13"/>
    <m/>
    <n v="65.88"/>
    <n v="6"/>
    <n v="0.1"/>
    <n v="18.446400000000001"/>
    <n v="7.9055999999999997"/>
    <n v="5"/>
  </r>
  <r>
    <n v="140"/>
    <s v="VL39"/>
    <d v="2021-05-20T00:00:00"/>
    <x v="4"/>
    <x v="0"/>
    <s v="Standard Class"/>
    <s v="LC-16885"/>
    <s v="FUR-FU-10001706"/>
    <n v="200"/>
    <n v="20"/>
    <n v="10"/>
    <x v="4"/>
    <s v="DSLR Cameras"/>
    <s v="INR"/>
    <n v="122101"/>
    <s v="INDIA"/>
    <x v="13"/>
    <m/>
    <n v="43.12"/>
    <n v="14"/>
    <n v="0.1"/>
    <n v="20.697600000000001"/>
    <n v="1.6015999999999997"/>
    <n v="5"/>
  </r>
  <r>
    <n v="141"/>
    <s v="MI41"/>
    <d v="2021-05-21T00:00:00"/>
    <x v="4"/>
    <x v="0"/>
    <s v="Second Class"/>
    <s v="JD-15895"/>
    <s v="FUR-FU-10004848"/>
    <n v="220"/>
    <n v="6"/>
    <n v="2.7272727272727271"/>
    <x v="5"/>
    <s v="Mattresses"/>
    <s v="INR"/>
    <n v="411042"/>
    <s v="INDIA"/>
    <x v="7"/>
    <m/>
    <n v="82.8"/>
    <n v="2"/>
    <n v="0.2"/>
    <n v="10.35"/>
    <n v="36.225000000000001"/>
    <n v="1"/>
  </r>
  <r>
    <n v="142"/>
    <s v="SY11"/>
    <d v="2021-05-22T00:00:00"/>
    <x v="4"/>
    <x v="0"/>
    <s v="Standard Class"/>
    <s v="SH-19975"/>
    <s v="OFF-AR-10000940"/>
    <n v="250"/>
    <n v="24"/>
    <n v="9.6"/>
    <x v="0"/>
    <s v="Children’s Educational"/>
    <s v="INR"/>
    <n v="683102"/>
    <s v="INDIA"/>
    <x v="10"/>
    <m/>
    <n v="8.82"/>
    <n v="3"/>
    <n v="0.1"/>
    <n v="2.3814000000000002"/>
    <n v="2.1461999999999999"/>
    <n v="1"/>
  </r>
  <r>
    <n v="143"/>
    <s v="LO18"/>
    <d v="2021-05-23T00:00:00"/>
    <x v="4"/>
    <x v="0"/>
    <s v="Standard Class"/>
    <s v="SH-19975"/>
    <s v="OFF-EN-10004030"/>
    <n v="170"/>
    <n v="10"/>
    <n v="5.8823529411764701"/>
    <x v="1"/>
    <s v="Archery Equipment"/>
    <s v="INR"/>
    <n v="141003"/>
    <s v="INDIA"/>
    <x v="13"/>
    <m/>
    <n v="10.86"/>
    <n v="3"/>
    <n v="0.1"/>
    <n v="5.1041999999999996"/>
    <n v="1.9185999999999999"/>
    <n v="1"/>
  </r>
  <r>
    <n v="144"/>
    <s v="SZ20"/>
    <d v="2021-05-24T00:00:00"/>
    <x v="4"/>
    <x v="0"/>
    <s v="Standard Class"/>
    <s v="SH-19975"/>
    <s v="OFF-PA-10004327"/>
    <n v="180"/>
    <n v="10"/>
    <n v="5.5555555555555554"/>
    <x v="4"/>
    <s v="Tripods"/>
    <m/>
    <n v="670612"/>
    <s v="INDIA"/>
    <x v="4"/>
    <m/>
    <n v="143.69999999999999"/>
    <n v="3"/>
    <n v="0.1"/>
    <n v="68.975999999999999"/>
    <n v="24.907999999999998"/>
    <n v="3"/>
  </r>
  <r>
    <n v="145"/>
    <s v="KJ99"/>
    <d v="2021-05-25T00:00:00"/>
    <x v="4"/>
    <x v="0"/>
    <s v="Standard Class"/>
    <s v="SG-20080"/>
    <s v="OFF-AP-10001058"/>
    <n v="170"/>
    <n v="24"/>
    <n v="14.117647058823529"/>
    <x v="2"/>
    <s v="Kids’ Jackets"/>
    <s v="INR"/>
    <n v="411060"/>
    <s v="INDIA"/>
    <x v="10"/>
    <s v="Easy Ship"/>
    <n v="839.43"/>
    <n v="3"/>
    <n v="0.1"/>
    <n v="218.2518"/>
    <n v="207.05939999999998"/>
    <n v="5"/>
  </r>
  <r>
    <n v="146"/>
    <s v="QQ57"/>
    <d v="2021-05-26T00:00:00"/>
    <x v="4"/>
    <x v="0"/>
    <s v="Standard Class"/>
    <s v="HA-14920"/>
    <s v="OFF-ST-10003656"/>
    <n v="240"/>
    <n v="6"/>
    <n v="2.5"/>
    <x v="3"/>
    <s v="Car GPS Devices"/>
    <s v="INR"/>
    <n v="209863"/>
    <s v="INDIA"/>
    <x v="19"/>
    <m/>
    <n v="671.93"/>
    <n v="7"/>
    <n v="0.1"/>
    <n v="20.157900000000001"/>
    <n v="93.110299999999981"/>
    <n v="1"/>
  </r>
  <r>
    <n v="147"/>
    <s v="ZH44"/>
    <d v="2021-05-27T00:00:00"/>
    <x v="4"/>
    <x v="0"/>
    <s v="Standard Class"/>
    <s v="MG-17680"/>
    <s v="FUR-FU-10000521"/>
    <n v="170"/>
    <n v="14"/>
    <n v="8.235294117647058"/>
    <x v="6"/>
    <s v="Play Dough"/>
    <s v="INR"/>
    <n v="600113"/>
    <s v="INDIA"/>
    <x v="7"/>
    <m/>
    <n v="93.888000000000005"/>
    <n v="4"/>
    <n v="0.2"/>
    <n v="12.909599999999999"/>
    <n v="20.244600000000002"/>
    <n v="3"/>
  </r>
  <r>
    <n v="148"/>
    <s v="SL79"/>
    <d v="2021-05-28T00:00:00"/>
    <x v="4"/>
    <x v="0"/>
    <s v="Standard Class"/>
    <s v="JE-16165"/>
    <s v="TEC-PH-10000215"/>
    <n v="240"/>
    <n v="18"/>
    <n v="7.5"/>
    <x v="7"/>
    <s v="Ready-to-Eat Meals"/>
    <s v="INR"/>
    <n v="600113"/>
    <s v="INDIA"/>
    <x v="1"/>
    <m/>
    <n v="384.45"/>
    <n v="11"/>
    <n v="0.1"/>
    <n v="103.8015"/>
    <n v="25.513500000000001"/>
    <n v="2"/>
  </r>
  <r>
    <n v="149"/>
    <s v="LI99"/>
    <d v="2021-05-29T00:00:00"/>
    <x v="4"/>
    <x v="0"/>
    <s v="Standard Class"/>
    <s v="JE-16165"/>
    <s v="TEC-PH-10001448"/>
    <n v="130"/>
    <n v="10"/>
    <n v="7.6923076923076925"/>
    <x v="8"/>
    <s v="Pet Supplements"/>
    <s v="INR"/>
    <n v="500068"/>
    <s v="INDIA"/>
    <x v="1"/>
    <s v="Easy Ship"/>
    <n v="149.97"/>
    <n v="3"/>
    <n v="0.1"/>
    <n v="5.9988000000000001"/>
    <n v="47.990400000000001"/>
    <n v="3"/>
  </r>
  <r>
    <n v="150"/>
    <s v="QA84"/>
    <d v="2021-05-30T00:00:00"/>
    <x v="4"/>
    <x v="0"/>
    <s v="Standard Class"/>
    <s v="JE-16165"/>
    <s v="FUR-CH-10000454"/>
    <n v="200"/>
    <n v="10"/>
    <n v="5"/>
    <x v="2"/>
    <s v="Men’s Wallets"/>
    <s v="INR"/>
    <n v="500089"/>
    <s v="INDIA"/>
    <x v="0"/>
    <m/>
    <n v="1951.84"/>
    <n v="8"/>
    <n v="0.1"/>
    <n v="585.55200000000002"/>
    <n v="170.786"/>
    <n v="4"/>
  </r>
  <r>
    <n v="151"/>
    <s v="QT83"/>
    <d v="2021-05-31T00:00:00"/>
    <x v="4"/>
    <x v="0"/>
    <s v="Standard Class"/>
    <s v="JE-16165"/>
    <s v="OFF-BI-10002735"/>
    <n v="100"/>
    <n v="18"/>
    <n v="18"/>
    <x v="4"/>
    <s v="Mirrorless Cameras"/>
    <s v="INR"/>
    <n v="560075"/>
    <s v="INDIA"/>
    <x v="5"/>
    <m/>
    <n v="171.55"/>
    <n v="5"/>
    <n v="0.1"/>
    <n v="80.628500000000003"/>
    <n v="18.1843"/>
    <n v="1"/>
  </r>
  <r>
    <n v="152"/>
    <s v="SJ50"/>
    <d v="2021-06-01T00:00:00"/>
    <x v="5"/>
    <x v="0"/>
    <s v="First Class"/>
    <s v="TW-21025"/>
    <s v="OFF-AP-10000326"/>
    <n v="160"/>
    <n v="24"/>
    <n v="15"/>
    <x v="1"/>
    <s v="Karate Gear"/>
    <m/>
    <n v="600054"/>
    <s v="INDIA"/>
    <x v="16"/>
    <m/>
    <n v="157.91999999999999"/>
    <n v="5"/>
    <n v="0.2"/>
    <n v="17.765999999999998"/>
    <n v="28.030799999999999"/>
    <n v="3"/>
  </r>
  <r>
    <n v="153"/>
    <s v="GG59"/>
    <d v="2021-06-02T00:00:00"/>
    <x v="5"/>
    <x v="0"/>
    <s v="First Class"/>
    <s v="TW-21025"/>
    <s v="TEC-PH-10001254"/>
    <n v="160"/>
    <n v="16"/>
    <n v="10"/>
    <x v="0"/>
    <s v="Religion &amp; Spirituality"/>
    <s v="INR"/>
    <n v="695011"/>
    <s v="INDIA"/>
    <x v="14"/>
    <m/>
    <n v="203.184"/>
    <n v="2"/>
    <n v="0.2"/>
    <n v="15.238799999999999"/>
    <n v="93.9726"/>
    <n v="5"/>
  </r>
  <r>
    <n v="154"/>
    <s v="WE39"/>
    <d v="2021-06-03T00:00:00"/>
    <x v="5"/>
    <x v="0"/>
    <s v="First Class"/>
    <s v="SP-20650"/>
    <s v="OFF-PA-10001950"/>
    <n v="130"/>
    <n v="14"/>
    <n v="10.76923076923077"/>
    <x v="5"/>
    <s v="Carpets"/>
    <s v="INR"/>
    <n v="491995"/>
    <s v="INDIA"/>
    <x v="4"/>
    <s v="Easy Ship"/>
    <n v="58.38"/>
    <n v="7"/>
    <n v="0.1"/>
    <n v="26.271000000000001"/>
    <n v="4.5870000000000006"/>
    <n v="1"/>
  </r>
  <r>
    <n v="155"/>
    <s v="BQ98"/>
    <d v="2021-06-04T00:00:00"/>
    <x v="5"/>
    <x v="0"/>
    <s v="First Class"/>
    <s v="SP-20650"/>
    <s v="OFF-PA-10002254"/>
    <n v="240"/>
    <n v="16"/>
    <n v="6.666666666666667"/>
    <x v="3"/>
    <s v="Car Spare Parts"/>
    <m/>
    <n v="700017"/>
    <s v="INDIA"/>
    <x v="3"/>
    <m/>
    <n v="105.52"/>
    <n v="4"/>
    <n v="0.1"/>
    <n v="48.539200000000001"/>
    <n v="14.245199999999999"/>
    <n v="1"/>
  </r>
  <r>
    <n v="156"/>
    <s v="YF85"/>
    <d v="2021-06-05T00:00:00"/>
    <x v="5"/>
    <x v="0"/>
    <s v="First Class"/>
    <s v="SP-20650"/>
    <s v="OFF-ST-10001590"/>
    <n v="180"/>
    <n v="20"/>
    <n v="11.111111111111111"/>
    <x v="6"/>
    <s v="Electronic Learning Toys"/>
    <s v="INR"/>
    <n v="226022"/>
    <s v="INDIA"/>
    <x v="3"/>
    <s v="Easy Ship"/>
    <n v="80.88"/>
    <n v="6"/>
    <n v="0.1"/>
    <n v="21.0288"/>
    <n v="9.9751999999999992"/>
    <n v="1"/>
  </r>
  <r>
    <n v="157"/>
    <s v="ZV80"/>
    <d v="2021-06-06T00:00:00"/>
    <x v="5"/>
    <x v="0"/>
    <s v="Standard Class"/>
    <s v="NK-18490"/>
    <s v="OFF-AR-10001547"/>
    <n v="250"/>
    <n v="16"/>
    <n v="6.4"/>
    <x v="7"/>
    <s v="Energy Drinks"/>
    <s v="INR"/>
    <n v="390009"/>
    <s v="INDIA"/>
    <x v="1"/>
    <m/>
    <n v="6.63"/>
    <n v="3"/>
    <n v="0.1"/>
    <n v="1.7901"/>
    <n v="1.6133"/>
    <n v="2"/>
  </r>
  <r>
    <n v="158"/>
    <s v="AO30"/>
    <d v="2021-06-07T00:00:00"/>
    <x v="5"/>
    <x v="0"/>
    <s v="Second Class"/>
    <s v="DB-13060"/>
    <s v="FUR-CH-10004063"/>
    <n v="180"/>
    <n v="26"/>
    <n v="14.444444444444443"/>
    <x v="8"/>
    <s v="Pet Food Storage"/>
    <s v="INR"/>
    <n v="441904"/>
    <s v="INDIA"/>
    <x v="18"/>
    <m/>
    <n v="457.56799999999998"/>
    <n v="2"/>
    <n v="0.2"/>
    <n v="51.476399999999998"/>
    <n v="203.04579999999999"/>
    <n v="4"/>
  </r>
  <r>
    <n v="159"/>
    <s v="GD65"/>
    <d v="2021-06-08T00:00:00"/>
    <x v="5"/>
    <x v="0"/>
    <s v="Standard Class"/>
    <s v="NP-18670"/>
    <s v="OFF-LA-10002475"/>
    <n v="240"/>
    <n v="22"/>
    <n v="9.1666666666666661"/>
    <x v="2"/>
    <s v="Women’s Bags"/>
    <s v="INR"/>
    <n v="560068"/>
    <s v="INDIA"/>
    <x v="10"/>
    <s v="Easy Ship"/>
    <n v="14.62"/>
    <n v="2"/>
    <n v="0.1"/>
    <n v="6.8714000000000004"/>
    <n v="3.8742999999999994"/>
    <n v="1"/>
  </r>
  <r>
    <n v="160"/>
    <s v="CO88"/>
    <d v="2021-06-09T00:00:00"/>
    <x v="5"/>
    <x v="0"/>
    <s v="Standard Class"/>
    <s v="NP-18670"/>
    <s v="TEC-PH-10004536"/>
    <n v="110"/>
    <n v="20"/>
    <n v="18.181818181818183"/>
    <x v="4"/>
    <s v="Streaming Devices"/>
    <s v="INR"/>
    <n v="380015"/>
    <s v="INDIA"/>
    <x v="5"/>
    <s v="Easy Ship"/>
    <n v="944.93"/>
    <n v="7"/>
    <n v="0.1"/>
    <n v="236.23249999999999"/>
    <n v="101.24249999999999"/>
    <n v="2"/>
  </r>
  <r>
    <n v="161"/>
    <s v="FB24"/>
    <d v="2021-06-10T00:00:00"/>
    <x v="5"/>
    <x v="0"/>
    <s v="First Class"/>
    <s v="TT-21070"/>
    <s v="OFF-PA-10002751"/>
    <n v="200"/>
    <n v="14"/>
    <n v="7.0000000000000009"/>
    <x v="0"/>
    <s v="Medical Textbooks"/>
    <s v="INR"/>
    <n v="380015"/>
    <s v="INDIA"/>
    <x v="6"/>
    <s v="Easy Ship"/>
    <n v="5.98"/>
    <n v="1"/>
    <n v="0.1"/>
    <n v="2.6909999999999998"/>
    <n v="3.2890000000000006"/>
    <n v="2"/>
  </r>
  <r>
    <n v="162"/>
    <s v="UA18"/>
    <d v="2021-06-11T00:00:00"/>
    <x v="5"/>
    <x v="0"/>
    <s v="Second Class"/>
    <s v="EM-13960"/>
    <s v="TEC-AC-10003657"/>
    <n v="130"/>
    <n v="24"/>
    <n v="18.461538461538463"/>
    <x v="1"/>
    <s v="Rowing Machines"/>
    <s v="INR"/>
    <n v="380015"/>
    <s v="INDIA"/>
    <x v="13"/>
    <s v="Easy Ship"/>
    <n v="54.384"/>
    <n v="2"/>
    <n v="0.2"/>
    <n v="1.3595999999999999"/>
    <n v="26.5122"/>
    <n v="3"/>
  </r>
  <r>
    <n v="163"/>
    <s v="BV55"/>
    <d v="2021-06-12T00:00:00"/>
    <x v="5"/>
    <x v="0"/>
    <s v="Standard Class"/>
    <s v="RD-19900"/>
    <s v="OFF-EN-10001990"/>
    <n v="240"/>
    <n v="28"/>
    <n v="11.666666666666666"/>
    <x v="4"/>
    <s v="Smart Security Cameras"/>
    <s v="INR"/>
    <n v="122017"/>
    <s v="INDIA"/>
    <x v="8"/>
    <m/>
    <n v="28.4"/>
    <n v="5"/>
    <n v="0.1"/>
    <n v="13.348000000000001"/>
    <n v="3.0103999999999997"/>
    <n v="5"/>
  </r>
  <r>
    <n v="164"/>
    <s v="RR81"/>
    <d v="2021-06-13T00:00:00"/>
    <x v="5"/>
    <x v="0"/>
    <s v="Standard Class"/>
    <s v="MJ-17740"/>
    <s v="OFF-BI-10004002"/>
    <n v="200"/>
    <n v="6"/>
    <n v="3"/>
    <x v="2"/>
    <s v="Women’s Flats"/>
    <s v="INR"/>
    <n v="560068"/>
    <s v="INDIA"/>
    <x v="3"/>
    <s v="Easy Ship"/>
    <n v="27.68"/>
    <n v="2"/>
    <n v="0.2"/>
    <n v="9.6880000000000006"/>
    <n v="8.9959999999999987"/>
    <n v="4"/>
  </r>
  <r>
    <n v="165"/>
    <s v="UO94"/>
    <d v="2021-06-14T00:00:00"/>
    <x v="5"/>
    <x v="0"/>
    <s v="Standard Class"/>
    <s v="BM-11140"/>
    <s v="OFF-AR-10004441"/>
    <n v="190"/>
    <n v="12"/>
    <n v="6.3157894736842106"/>
    <x v="5"/>
    <s v="Kitchen Tools"/>
    <s v="INR"/>
    <n v="500100"/>
    <s v="INDIA"/>
    <x v="15"/>
    <m/>
    <n v="9.9359999999999999"/>
    <n v="3"/>
    <n v="0.2"/>
    <n v="2.7324000000000002"/>
    <n v="2.4011999999999998"/>
    <n v="5"/>
  </r>
  <r>
    <n v="166"/>
    <s v="BY36"/>
    <d v="2021-06-15T00:00:00"/>
    <x v="5"/>
    <x v="0"/>
    <s v="Standard Class"/>
    <s v="BM-11140"/>
    <s v="TEC-MA-10000822"/>
    <n v="100"/>
    <n v="8"/>
    <n v="8"/>
    <x v="3"/>
    <s v="Car Engine Parts"/>
    <s v="INR"/>
    <n v="781006"/>
    <s v="INDIA"/>
    <x v="10"/>
    <s v="Easy Ship"/>
    <n v="8159.9520000000002"/>
    <n v="8"/>
    <n v="0.4"/>
    <n v="-1359.992"/>
    <n v="1189.9929999999999"/>
    <n v="5"/>
  </r>
  <r>
    <n v="167"/>
    <s v="QH90"/>
    <d v="2021-06-16T00:00:00"/>
    <x v="5"/>
    <x v="0"/>
    <s v="Standard Class"/>
    <s v="BM-11140"/>
    <s v="OFF-ST-10000991"/>
    <n v="250"/>
    <n v="16"/>
    <n v="6.4"/>
    <x v="6"/>
    <s v="Board Games"/>
    <s v="INR"/>
    <n v="431113"/>
    <s v="INDIA"/>
    <x v="3"/>
    <m/>
    <n v="275.928"/>
    <n v="3"/>
    <n v="0.2"/>
    <n v="-58.634700000000002"/>
    <n v="111.5209"/>
    <n v="1"/>
  </r>
  <r>
    <n v="168"/>
    <s v="CC86"/>
    <d v="2021-06-17T00:00:00"/>
    <x v="5"/>
    <x v="0"/>
    <s v="Standard Class"/>
    <s v="BM-11140"/>
    <s v="FUR-CH-10004287"/>
    <n v="180"/>
    <n v="20"/>
    <n v="11.111111111111111"/>
    <x v="7"/>
    <s v="Herbal Products"/>
    <m/>
    <n v="110092"/>
    <s v="INDIA"/>
    <x v="12"/>
    <m/>
    <n v="1740.06"/>
    <n v="9"/>
    <n v="0.3"/>
    <n v="-24.858000000000001"/>
    <n v="196.10199999999998"/>
    <n v="3"/>
  </r>
  <r>
    <n v="169"/>
    <s v="VC10"/>
    <d v="2021-06-18T00:00:00"/>
    <x v="5"/>
    <x v="0"/>
    <s v="Standard Class"/>
    <s v="BM-11140"/>
    <s v="OFF-AR-10002656"/>
    <n v="190"/>
    <n v="6"/>
    <n v="3.1578947368421053"/>
    <x v="8"/>
    <s v="Pet Training Pads"/>
    <s v="INR"/>
    <n v="500096"/>
    <s v="INDIA"/>
    <x v="18"/>
    <m/>
    <n v="32.064"/>
    <n v="6"/>
    <n v="0.2"/>
    <n v="6.8136000000000001"/>
    <n v="4.2084000000000001"/>
    <n v="4"/>
  </r>
  <r>
    <n v="170"/>
    <s v="TB88"/>
    <d v="2021-06-19T00:00:00"/>
    <x v="5"/>
    <x v="0"/>
    <s v="Standard Class"/>
    <s v="BM-11140"/>
    <s v="OFF-AP-10002518"/>
    <n v="250"/>
    <n v="12"/>
    <n v="4.8"/>
    <x v="2"/>
    <s v="Men’s Jackets"/>
    <s v="INR"/>
    <n v="403401"/>
    <s v="INDIA"/>
    <x v="10"/>
    <m/>
    <n v="177.98"/>
    <n v="5"/>
    <n v="0.8"/>
    <n v="-453.84899999999999"/>
    <n v="126.36579999999999"/>
    <n v="4"/>
  </r>
  <r>
    <n v="171"/>
    <s v="ZO22"/>
    <d v="2021-06-20T00:00:00"/>
    <x v="5"/>
    <x v="0"/>
    <s v="Standard Class"/>
    <s v="BM-11140"/>
    <s v="TEC-PH-10003931"/>
    <n v="220"/>
    <n v="18"/>
    <n v="8.1818181818181817"/>
    <x v="4"/>
    <s v="Console Accessories"/>
    <s v="INR"/>
    <n v="311001"/>
    <s v="INDIA"/>
    <x v="1"/>
    <m/>
    <n v="143.976"/>
    <n v="3"/>
    <n v="0.2"/>
    <n v="8.9984999999999999"/>
    <n v="44.9925"/>
    <n v="3"/>
  </r>
  <r>
    <n v="172"/>
    <s v="UD22"/>
    <d v="2021-06-21T00:00:00"/>
    <x v="5"/>
    <x v="0"/>
    <s v="Standard Class"/>
    <s v="CS-12130"/>
    <s v="OFF-PA-10000659"/>
    <n v="110"/>
    <n v="22"/>
    <n v="20"/>
    <x v="1"/>
    <s v="Weightlifting Equipment"/>
    <s v="INR"/>
    <n v="781006"/>
    <s v="INDIA"/>
    <x v="1"/>
    <m/>
    <n v="20.94"/>
    <n v="3"/>
    <n v="0.1"/>
    <n v="9.8417999999999992"/>
    <n v="3.6994000000000007"/>
    <n v="2"/>
  </r>
  <r>
    <n v="173"/>
    <s v="QD42"/>
    <d v="2021-06-22T00:00:00"/>
    <x v="5"/>
    <x v="0"/>
    <s v="Standard Class"/>
    <s v="CS-12130"/>
    <s v="OFF-PA-10001144"/>
    <n v="220"/>
    <n v="22"/>
    <n v="10"/>
    <x v="0"/>
    <s v="Law Books"/>
    <s v="INR"/>
    <n v="380015"/>
    <s v="INDIA"/>
    <x v="17"/>
    <m/>
    <n v="110.96"/>
    <n v="2"/>
    <n v="0.1"/>
    <n v="53.260800000000003"/>
    <n v="28.849599999999995"/>
    <n v="1"/>
  </r>
  <r>
    <n v="174"/>
    <s v="FW44"/>
    <d v="2021-06-23T00:00:00"/>
    <x v="5"/>
    <x v="0"/>
    <s v="Standard Class"/>
    <s v="CS-12130"/>
    <s v="FUR-CH-10003817"/>
    <n v="230"/>
    <n v="22"/>
    <n v="9.5652173913043477"/>
    <x v="5"/>
    <s v="Home Storage"/>
    <s v="INR"/>
    <n v="400610"/>
    <s v="INDIA"/>
    <x v="1"/>
    <s v="Easy Ship"/>
    <n v="340.14400000000001"/>
    <n v="7"/>
    <n v="0.2"/>
    <n v="21.259"/>
    <n v="45.555"/>
    <n v="2"/>
  </r>
  <r>
    <n v="175"/>
    <s v="EC16"/>
    <d v="2021-06-24T00:00:00"/>
    <x v="5"/>
    <x v="0"/>
    <s v="Standard Class"/>
    <s v="JB-15400"/>
    <s v="OFF-AP-10000891"/>
    <n v="240"/>
    <n v="14"/>
    <n v="5.833333333333333"/>
    <x v="3"/>
    <s v="Car Tires"/>
    <s v="INR"/>
    <n v="440022"/>
    <s v="INDIA"/>
    <x v="1"/>
    <s v="Easy Ship"/>
    <n v="52.448"/>
    <n v="2"/>
    <n v="0.8"/>
    <n v="-131.12"/>
    <n v="91.784000000000006"/>
    <n v="5"/>
  </r>
  <r>
    <n v="176"/>
    <s v="BL85"/>
    <d v="2021-06-25T00:00:00"/>
    <x v="5"/>
    <x v="0"/>
    <s v="Standard Class"/>
    <s v="JB-15400"/>
    <s v="OFF-LA-10003148"/>
    <n v="130"/>
    <n v="20"/>
    <n v="15.384615384615385"/>
    <x v="6"/>
    <s v="Playhouses"/>
    <s v="INR"/>
    <n v="380054"/>
    <s v="INDIA"/>
    <x v="2"/>
    <m/>
    <n v="20.16"/>
    <n v="4"/>
    <n v="0.2"/>
    <n v="6.5519999999999996"/>
    <n v="3.4020000000000001"/>
    <n v="3"/>
  </r>
  <r>
    <n v="177"/>
    <s v="BC29"/>
    <d v="2021-06-26T00:00:00"/>
    <x v="5"/>
    <x v="0"/>
    <s v="Second Class"/>
    <s v="SJ-20500"/>
    <s v="OFF-AP-10002684"/>
    <n v="190"/>
    <n v="28"/>
    <n v="14.736842105263156"/>
    <x v="7"/>
    <s v="Snacks"/>
    <s v="INR"/>
    <n v="201309"/>
    <s v="INDIA"/>
    <x v="3"/>
    <m/>
    <n v="97.263999999999996"/>
    <n v="4"/>
    <n v="0.8"/>
    <n v="-243.16"/>
    <n v="85.105999999999995"/>
    <n v="5"/>
  </r>
  <r>
    <n v="178"/>
    <s v="TG31"/>
    <d v="2021-06-27T00:00:00"/>
    <x v="5"/>
    <x v="0"/>
    <s v="Second Class"/>
    <s v="JE-15745"/>
    <s v="FUR-CH-10004698"/>
    <n v="240"/>
    <n v="24"/>
    <n v="10"/>
    <x v="8"/>
    <s v="Pet Bowls"/>
    <s v="INR"/>
    <n v="411048"/>
    <s v="INDIA"/>
    <x v="7"/>
    <s v="Easy Ship"/>
    <n v="396.80200000000002"/>
    <n v="7"/>
    <n v="0.3"/>
    <n v="-11.337199999999999"/>
    <n v="58.305600000000005"/>
    <n v="3"/>
  </r>
  <r>
    <n v="179"/>
    <s v="JY65"/>
    <d v="2021-06-28T00:00:00"/>
    <x v="5"/>
    <x v="0"/>
    <s v="Second Class"/>
    <s v="JE-15745"/>
    <s v="OFF-SU-10002189"/>
    <n v="150"/>
    <n v="26"/>
    <n v="17.333333333333336"/>
    <x v="2"/>
    <s v="Women’s Sarees"/>
    <m/>
    <n v="122102"/>
    <s v="INDIA"/>
    <x v="0"/>
    <m/>
    <n v="15.88"/>
    <n v="5"/>
    <n v="0.2"/>
    <n v="-3.7715000000000001"/>
    <n v="3.9303000000000003"/>
    <n v="1"/>
  </r>
  <r>
    <n v="180"/>
    <s v="WI15"/>
    <d v="2021-06-29T00:00:00"/>
    <x v="5"/>
    <x v="0"/>
    <s v="Standard Class"/>
    <s v="JK-15640"/>
    <s v="OFF-AR-10001940"/>
    <n v="200"/>
    <n v="30"/>
    <n v="15"/>
    <x v="4"/>
    <s v="VR Headsets"/>
    <s v="INR"/>
    <n v="560077"/>
    <s v="INDIA"/>
    <x v="0"/>
    <m/>
    <n v="3.28"/>
    <n v="1"/>
    <n v="0.1"/>
    <n v="1.4104000000000001"/>
    <n v="1.8695999999999997"/>
    <n v="3"/>
  </r>
  <r>
    <n v="181"/>
    <s v="RA54"/>
    <d v="2021-06-30T00:00:00"/>
    <x v="5"/>
    <x v="0"/>
    <s v="Second Class"/>
    <s v="DK-13150"/>
    <s v="OFF-ST-10003455"/>
    <n v="160"/>
    <n v="24"/>
    <n v="15"/>
    <x v="0"/>
    <s v="Fiction"/>
    <s v="INR"/>
    <n v="560075"/>
    <s v="INDIA"/>
    <x v="1"/>
    <m/>
    <n v="24.815999999999999"/>
    <n v="2"/>
    <n v="0.2"/>
    <n v="1.8612"/>
    <n v="11.477399999999999"/>
    <n v="1"/>
  </r>
  <r>
    <n v="182"/>
    <s v="NK87"/>
    <d v="2021-07-01T00:00:00"/>
    <x v="6"/>
    <x v="0"/>
    <s v="Second Class"/>
    <s v="DK-13150"/>
    <s v="TEC-AC-10004659"/>
    <n v="170"/>
    <n v="8"/>
    <n v="4.7058823529411766"/>
    <x v="1"/>
    <s v="Camping Gear"/>
    <s v="INR"/>
    <n v="690109"/>
    <s v="INDIA"/>
    <x v="4"/>
    <m/>
    <n v="408.74400000000003"/>
    <n v="7"/>
    <n v="0.2"/>
    <n v="76.639499999999998"/>
    <n v="47.443500000000007"/>
    <n v="2"/>
  </r>
  <r>
    <n v="183"/>
    <s v="YD24"/>
    <d v="2021-07-02T00:00:00"/>
    <x v="6"/>
    <x v="0"/>
    <s v="Second Class"/>
    <s v="RM-19675"/>
    <s v="TEC-PH-10003273"/>
    <n v="230"/>
    <n v="6"/>
    <n v="2.6086956521739131"/>
    <x v="2"/>
    <s v="Women’s Dresses"/>
    <s v="INR"/>
    <n v="224001"/>
    <s v="INDIA"/>
    <x v="12"/>
    <m/>
    <n v="503.96"/>
    <n v="4"/>
    <n v="0.1"/>
    <n v="131.02959999999999"/>
    <n v="93.232599999999991"/>
    <n v="3"/>
  </r>
  <r>
    <n v="184"/>
    <s v="RV14"/>
    <d v="2021-07-03T00:00:00"/>
    <x v="6"/>
    <x v="0"/>
    <s v="Second Class"/>
    <s v="RM-19675"/>
    <s v="TEC-PH-10004896"/>
    <n v="170"/>
    <n v="20"/>
    <n v="11.76470588235294"/>
    <x v="3"/>
    <s v="Car Parts"/>
    <s v="INR"/>
    <n v="600115"/>
    <s v="INDIA"/>
    <x v="10"/>
    <s v="Easy Ship"/>
    <n v="149.94999999999999"/>
    <n v="5"/>
    <n v="0.1"/>
    <n v="41.985999999999997"/>
    <n v="21.5928"/>
    <n v="3"/>
  </r>
  <r>
    <n v="185"/>
    <s v="ZO33"/>
    <d v="2021-07-04T00:00:00"/>
    <x v="6"/>
    <x v="0"/>
    <s v="Second Class"/>
    <s v="RM-19675"/>
    <s v="TEC-AC-10002345"/>
    <n v="240"/>
    <n v="18"/>
    <n v="7.5"/>
    <x v="4"/>
    <s v="Smartwatches"/>
    <s v="INR"/>
    <n v="686006"/>
    <s v="INDIA"/>
    <x v="3"/>
    <m/>
    <n v="29"/>
    <n v="2"/>
    <n v="0.1"/>
    <n v="7.25"/>
    <n v="10.875"/>
    <n v="5"/>
  </r>
  <r>
    <n v="186"/>
    <s v="GV66"/>
    <d v="2021-07-05T00:00:00"/>
    <x v="6"/>
    <x v="0"/>
    <s v="Standard Class"/>
    <s v="SK-19990"/>
    <s v="OFF-BI-10001890"/>
    <n v="210"/>
    <n v="20"/>
    <n v="9.5238095238095237"/>
    <x v="5"/>
    <s v="Cookware"/>
    <s v="INR"/>
    <n v="400018"/>
    <s v="INDIA"/>
    <x v="3"/>
    <m/>
    <n v="7.16"/>
    <n v="2"/>
    <n v="0.1"/>
    <n v="3.4367999999999999"/>
    <n v="1.8616000000000001"/>
    <n v="2"/>
  </r>
  <r>
    <n v="187"/>
    <s v="GR12"/>
    <d v="2021-07-06T00:00:00"/>
    <x v="6"/>
    <x v="0"/>
    <s v="Standard Class"/>
    <s v="FM-14290"/>
    <s v="TEC-AC-10002323"/>
    <n v="200"/>
    <n v="22"/>
    <n v="11"/>
    <x v="6"/>
    <s v="Board Games"/>
    <m/>
    <n v="500010"/>
    <s v="INDIA"/>
    <x v="18"/>
    <m/>
    <n v="176.8"/>
    <n v="8"/>
    <n v="0.1"/>
    <n v="22.984000000000002"/>
    <n v="19.227"/>
    <n v="1"/>
  </r>
  <r>
    <n v="188"/>
    <s v="JS60"/>
    <d v="2021-07-07T00:00:00"/>
    <x v="6"/>
    <x v="0"/>
    <s v="Standard Class"/>
    <s v="AM-10360"/>
    <s v="OFF-ST-10001328"/>
    <n v="160"/>
    <n v="28"/>
    <n v="17.5"/>
    <x v="7"/>
    <s v="Snacks"/>
    <m/>
    <n v="445202"/>
    <s v="INDIA"/>
    <x v="2"/>
    <m/>
    <n v="37.223999999999997"/>
    <n v="3"/>
    <n v="0.2"/>
    <n v="3.7223999999999999"/>
    <n v="11.167199999999999"/>
    <n v="3"/>
  </r>
  <r>
    <n v="189"/>
    <s v="SX42"/>
    <d v="2021-07-08T00:00:00"/>
    <x v="6"/>
    <x v="0"/>
    <s v="Standard Class"/>
    <s v="AM-10360"/>
    <s v="OFF-PA-10001950"/>
    <n v="230"/>
    <n v="16"/>
    <n v="6.9565217391304346"/>
    <x v="8"/>
    <s v="Dog Food"/>
    <s v="INR"/>
    <n v="445202"/>
    <s v="INDIA"/>
    <x v="17"/>
    <s v="Easy Ship"/>
    <n v="20.015999999999998"/>
    <n v="3"/>
    <n v="0.2"/>
    <n v="6.2549999999999999"/>
    <n v="4.5869999999999997"/>
    <n v="5"/>
  </r>
  <r>
    <n v="190"/>
    <s v="SL32"/>
    <d v="2021-07-09T00:00:00"/>
    <x v="6"/>
    <x v="0"/>
    <s v="First Class"/>
    <s v="MP-17470"/>
    <s v="FUR-BO-10002613"/>
    <n v="130"/>
    <n v="8"/>
    <n v="6.1538461538461542"/>
    <x v="2"/>
    <s v="Men’s Jackets"/>
    <s v="INR"/>
    <n v="500035"/>
    <s v="INDIA"/>
    <x v="1"/>
    <m/>
    <n v="899.13599999999997"/>
    <n v="4"/>
    <n v="0.2"/>
    <n v="112.392"/>
    <n v="196.68599999999998"/>
    <n v="2"/>
  </r>
  <r>
    <n v="191"/>
    <s v="MI96"/>
    <d v="2021-07-10T00:00:00"/>
    <x v="6"/>
    <x v="0"/>
    <s v="First Class"/>
    <s v="MP-17470"/>
    <s v="TEC-PH-10001552"/>
    <n v="190"/>
    <n v="26"/>
    <n v="13.684210526315791"/>
    <x v="4"/>
    <s v="Headphones"/>
    <s v="INR"/>
    <n v="422009"/>
    <s v="INDIA"/>
    <x v="0"/>
    <m/>
    <n v="71.760000000000005"/>
    <n v="6"/>
    <n v="0.1"/>
    <n v="20.0928"/>
    <n v="8.611200000000002"/>
    <n v="3"/>
  </r>
  <r>
    <n v="192"/>
    <s v="XM44"/>
    <d v="2021-07-11T00:00:00"/>
    <x v="6"/>
    <x v="0"/>
    <s v="First Class"/>
    <s v="MP-17470"/>
    <s v="OFF-PA-10000061"/>
    <n v="200"/>
    <n v="6"/>
    <n v="3"/>
    <x v="1"/>
    <s v="Treadmills"/>
    <m/>
    <n v="560037"/>
    <s v="INDIA"/>
    <x v="0"/>
    <m/>
    <n v="51.84"/>
    <n v="8"/>
    <n v="0.1"/>
    <n v="24.883199999999999"/>
    <n v="3.3696000000000006"/>
    <n v="3"/>
  </r>
  <r>
    <n v="193"/>
    <s v="AA85"/>
    <d v="2021-07-12T00:00:00"/>
    <x v="6"/>
    <x v="0"/>
    <s v="First Class"/>
    <s v="MP-17470"/>
    <s v="FUR-BO-10002545"/>
    <n v="160"/>
    <n v="24"/>
    <n v="15"/>
    <x v="5"/>
    <s v="Furniture"/>
    <s v="INR"/>
    <n v="600010"/>
    <s v="INDIA"/>
    <x v="13"/>
    <m/>
    <n v="626.35199999999998"/>
    <n v="3"/>
    <n v="0.2"/>
    <n v="46.976399999999998"/>
    <n v="193.12519999999998"/>
    <n v="2"/>
  </r>
  <r>
    <n v="194"/>
    <s v="KA26"/>
    <d v="2021-07-13T00:00:00"/>
    <x v="6"/>
    <x v="0"/>
    <s v="First Class"/>
    <s v="MP-17470"/>
    <s v="OFF-AR-10003514"/>
    <n v="220"/>
    <n v="18"/>
    <n v="8.1818181818181817"/>
    <x v="0"/>
    <s v="Academic Textbooks"/>
    <s v="INR"/>
    <n v="382007"/>
    <s v="INDIA"/>
    <x v="14"/>
    <m/>
    <n v="19.899999999999999"/>
    <n v="5"/>
    <n v="0.1"/>
    <n v="6.5670000000000002"/>
    <n v="2.6665999999999999"/>
    <n v="5"/>
  </r>
  <r>
    <n v="195"/>
    <s v="JR23"/>
    <d v="2021-07-14T00:00:00"/>
    <x v="6"/>
    <x v="0"/>
    <s v="Standard Class"/>
    <s v="MZ-17515"/>
    <s v="OFF-EN-10001509"/>
    <n v="190"/>
    <n v="10"/>
    <n v="5.2631578947368416"/>
    <x v="3"/>
    <s v="Motorbike Accessories"/>
    <s v="INR"/>
    <n v="411005"/>
    <s v="INDIA"/>
    <x v="6"/>
    <m/>
    <n v="14.28"/>
    <n v="7"/>
    <n v="0.1"/>
    <n v="6.7115999999999998"/>
    <n v="1.0811999999999999"/>
    <n v="2"/>
  </r>
  <r>
    <n v="196"/>
    <s v="EI43"/>
    <d v="2021-07-15T00:00:00"/>
    <x v="6"/>
    <x v="0"/>
    <s v="Standard Class"/>
    <s v="CB-12025"/>
    <s v="OFF-AR-10004685"/>
    <n v="250"/>
    <n v="10"/>
    <n v="4"/>
    <x v="2"/>
    <s v="Kids’ Footwear"/>
    <s v="INR"/>
    <n v="121008"/>
    <s v="INDIA"/>
    <x v="10"/>
    <m/>
    <n v="7.4080000000000004"/>
    <n v="2"/>
    <n v="0.2"/>
    <n v="1.2038"/>
    <n v="3.1021000000000001"/>
    <n v="1"/>
  </r>
  <r>
    <n v="197"/>
    <s v="TI88"/>
    <d v="2021-07-16T00:00:00"/>
    <x v="6"/>
    <x v="0"/>
    <s v="Standard Class"/>
    <s v="CB-12025"/>
    <s v="OFF-AR-10004027"/>
    <n v="130"/>
    <n v="22"/>
    <n v="16.923076923076923"/>
    <x v="4"/>
    <s v="Televisions"/>
    <s v="INR"/>
    <n v="734101"/>
    <s v="INDIA"/>
    <x v="15"/>
    <m/>
    <n v="6.048"/>
    <n v="3"/>
    <n v="0.2"/>
    <n v="1.5875999999999999"/>
    <n v="1.4867999999999999"/>
    <n v="4"/>
  </r>
  <r>
    <n v="198"/>
    <s v="MH58"/>
    <d v="2021-07-17T00:00:00"/>
    <x v="6"/>
    <x v="0"/>
    <s v="Standard Class"/>
    <s v="VM-21685"/>
    <s v="OFF-ST-10001414"/>
    <n v="250"/>
    <n v="20"/>
    <n v="8"/>
    <x v="6"/>
    <s v="Action Figures"/>
    <s v="INR"/>
    <n v="560037"/>
    <s v="INDIA"/>
    <x v="10"/>
    <m/>
    <n v="46.26"/>
    <n v="3"/>
    <n v="0.1"/>
    <n v="12.0276"/>
    <n v="11.4108"/>
    <n v="1"/>
  </r>
  <r>
    <n v="199"/>
    <s v="UY91"/>
    <d v="2021-07-18T00:00:00"/>
    <x v="6"/>
    <x v="0"/>
    <s v="Standard Class"/>
    <s v="FH-14365"/>
    <s v="OFF-BI-10000343"/>
    <n v="200"/>
    <n v="6"/>
    <n v="3"/>
    <x v="7"/>
    <s v="Beverages"/>
    <s v="INR"/>
    <n v="380052"/>
    <s v="INDIA"/>
    <x v="18"/>
    <m/>
    <n v="2.9460000000000002"/>
    <n v="2"/>
    <n v="0.7"/>
    <n v="-2.2585999999999999"/>
    <n v="2.6023000000000001"/>
    <n v="2"/>
  </r>
  <r>
    <n v="200"/>
    <s v="SL39"/>
    <d v="2021-07-19T00:00:00"/>
    <x v="6"/>
    <x v="0"/>
    <s v="Standard Class"/>
    <s v="FH-14365"/>
    <s v="OFF-PA-10002749"/>
    <n v="250"/>
    <n v="6"/>
    <n v="2.4"/>
    <x v="8"/>
    <s v="Cat Food"/>
    <m/>
    <n v="382007"/>
    <s v="INDIA"/>
    <x v="9"/>
    <m/>
    <n v="16.056000000000001"/>
    <n v="3"/>
    <n v="0.2"/>
    <n v="5.8202999999999996"/>
    <n v="3.4119000000000006"/>
    <n v="3"/>
  </r>
  <r>
    <n v="201"/>
    <s v="AJ14"/>
    <d v="2021-07-20T00:00:00"/>
    <x v="6"/>
    <x v="0"/>
    <s v="Standard Class"/>
    <s v="MB-17305"/>
    <s v="OFF-PA-10002666"/>
    <n v="200"/>
    <n v="28"/>
    <n v="14.000000000000002"/>
    <x v="2"/>
    <s v="Men’s Shirts"/>
    <s v="INR"/>
    <n v="122006"/>
    <s v="INDIA"/>
    <x v="8"/>
    <m/>
    <n v="21.744"/>
    <n v="3"/>
    <n v="0.2"/>
    <n v="6.7949999999999999"/>
    <n v="4.9829999999999997"/>
    <n v="5"/>
  </r>
  <r>
    <n v="202"/>
    <s v="VJ42"/>
    <d v="2021-07-21T00:00:00"/>
    <x v="6"/>
    <x v="0"/>
    <s v="First Class"/>
    <s v="BS-11755"/>
    <s v="FUR-TA-10004289"/>
    <n v="140"/>
    <n v="10"/>
    <n v="7.1428571428571423"/>
    <x v="4"/>
    <s v="Laptops"/>
    <s v="INR"/>
    <n v="676107"/>
    <s v="INDIA"/>
    <x v="1"/>
    <m/>
    <n v="218.75"/>
    <n v="2"/>
    <n v="0.5"/>
    <n v="-161.875"/>
    <n v="190.3125"/>
    <n v="5"/>
  </r>
  <r>
    <n v="203"/>
    <s v="DN98"/>
    <d v="2021-07-22T00:00:00"/>
    <x v="6"/>
    <x v="0"/>
    <s v="First Class"/>
    <s v="BS-11755"/>
    <s v="OFF-AP-10003622"/>
    <n v="180"/>
    <n v="14"/>
    <n v="7.7777777777777777"/>
    <x v="1"/>
    <s v="Cycling Equipment"/>
    <s v="INR"/>
    <n v="600110"/>
    <s v="INDIA"/>
    <x v="3"/>
    <s v="Easy Ship"/>
    <n v="2.6"/>
    <n v="1"/>
    <n v="0.2"/>
    <n v="0.29249999999999998"/>
    <n v="2.3075000000000001"/>
    <n v="3"/>
  </r>
  <r>
    <n v="204"/>
    <s v="HR11"/>
    <d v="2021-07-23T00:00:00"/>
    <x v="6"/>
    <x v="0"/>
    <s v="Second Class"/>
    <s v="LC-17140"/>
    <s v="OFF-AP-10003217"/>
    <n v="200"/>
    <n v="30"/>
    <n v="15"/>
    <x v="0"/>
    <s v="Children’s Books"/>
    <s v="INR"/>
    <n v="560001"/>
    <s v="INDIA"/>
    <x v="16"/>
    <m/>
    <n v="66.284000000000006"/>
    <n v="2"/>
    <n v="0.8"/>
    <n v="-178.96680000000001"/>
    <n v="122.62540000000001"/>
    <n v="1"/>
  </r>
  <r>
    <n v="205"/>
    <s v="AS54"/>
    <d v="2021-07-24T00:00:00"/>
    <x v="6"/>
    <x v="0"/>
    <s v="Standard Class"/>
    <s v="HK-14890"/>
    <s v="FUR-FU-10002960"/>
    <n v="230"/>
    <n v="24"/>
    <n v="10.434782608695652"/>
    <x v="5"/>
    <s v="Bedding"/>
    <s v="INR"/>
    <n v="560085"/>
    <s v="INDIA"/>
    <x v="4"/>
    <m/>
    <n v="35.167999999999999"/>
    <n v="7"/>
    <n v="0.2"/>
    <n v="9.6712000000000007"/>
    <n v="3.6423999999999999"/>
    <n v="4"/>
  </r>
  <r>
    <n v="206"/>
    <s v="BQ54"/>
    <d v="2021-07-25T00:00:00"/>
    <x v="6"/>
    <x v="0"/>
    <s v="Standard Class"/>
    <s v="LE-16810"/>
    <s v="TEC-PH-10001918"/>
    <n v="220"/>
    <n v="20"/>
    <n v="9.0909090909090917"/>
    <x v="3"/>
    <s v="Car Electronics"/>
    <s v="INR"/>
    <n v="560085"/>
    <s v="INDIA"/>
    <x v="4"/>
    <m/>
    <n v="444.76799999999997"/>
    <n v="4"/>
    <n v="0.2"/>
    <n v="44.476799999999997"/>
    <n v="100.0728"/>
    <n v="1"/>
  </r>
  <r>
    <n v="207"/>
    <s v="MY30"/>
    <d v="2021-07-26T00:00:00"/>
    <x v="6"/>
    <x v="0"/>
    <s v="Standard Class"/>
    <s v="JH-15985"/>
    <s v="OFF-ST-10000642"/>
    <n v="100"/>
    <n v="20"/>
    <n v="20"/>
    <x v="6"/>
    <s v="Puzzles"/>
    <s v="INR"/>
    <n v="160022"/>
    <s v="INDIA"/>
    <x v="3"/>
    <s v="Easy Ship"/>
    <n v="83.92"/>
    <n v="4"/>
    <n v="0.1"/>
    <n v="5.8743999999999996"/>
    <n v="19.511400000000002"/>
    <n v="4"/>
  </r>
  <r>
    <n v="208"/>
    <s v="SY22"/>
    <d v="2021-07-27T00:00:00"/>
    <x v="6"/>
    <x v="0"/>
    <s v="Standard Class"/>
    <s v="JH-15985"/>
    <s v="TEC-PH-10001700"/>
    <n v="190"/>
    <n v="20"/>
    <n v="10.526315789473683"/>
    <x v="7"/>
    <s v="Bakery"/>
    <s v="INR"/>
    <n v="834008"/>
    <s v="INDIA"/>
    <x v="16"/>
    <m/>
    <n v="131.97999999999999"/>
    <n v="2"/>
    <n v="0.1"/>
    <n v="35.634599999999999"/>
    <n v="48.172699999999992"/>
    <n v="5"/>
  </r>
  <r>
    <n v="209"/>
    <s v="YN52"/>
    <d v="2021-07-28T00:00:00"/>
    <x v="6"/>
    <x v="0"/>
    <s v="Standard Class"/>
    <s v="JH-15985"/>
    <s v="OFF-BI-10003274"/>
    <n v="170"/>
    <n v="12"/>
    <n v="7.0588235294117645"/>
    <x v="8"/>
    <s v="Fish Food"/>
    <s v="INR"/>
    <n v="636701"/>
    <s v="INDIA"/>
    <x v="9"/>
    <m/>
    <n v="15.92"/>
    <n v="4"/>
    <n v="0.1"/>
    <n v="7.4824000000000002"/>
    <n v="2.1093999999999999"/>
    <n v="5"/>
  </r>
  <r>
    <n v="210"/>
    <s v="SM31"/>
    <d v="2021-07-29T00:00:00"/>
    <x v="6"/>
    <x v="0"/>
    <s v="Standard Class"/>
    <s v="JH-15985"/>
    <s v="OFF-FA-10000134"/>
    <n v="120"/>
    <n v="6"/>
    <n v="5"/>
    <x v="2"/>
    <s v="Women’s Jewelry"/>
    <s v="INR"/>
    <n v="122001"/>
    <s v="INDIA"/>
    <x v="19"/>
    <s v="Easy Ship"/>
    <n v="52.29"/>
    <n v="9"/>
    <n v="0.1"/>
    <n v="16.209900000000001"/>
    <n v="4.0089000000000006"/>
    <n v="3"/>
  </r>
  <r>
    <n v="211"/>
    <s v="MZ57"/>
    <d v="2021-07-30T00:00:00"/>
    <x v="6"/>
    <x v="0"/>
    <s v="Standard Class"/>
    <s v="JH-15985"/>
    <s v="OFF-ST-10001522"/>
    <n v="110"/>
    <n v="30"/>
    <n v="27.27272727272727"/>
    <x v="4"/>
    <s v="Printers"/>
    <s v="INR"/>
    <n v="742101"/>
    <s v="INDIA"/>
    <x v="14"/>
    <m/>
    <n v="91.99"/>
    <n v="1"/>
    <n v="0.1"/>
    <n v="3.6796000000000002"/>
    <n v="88.310400000000001"/>
    <n v="1"/>
  </r>
  <r>
    <n v="212"/>
    <s v="TG51"/>
    <d v="2021-07-31T00:00:00"/>
    <x v="6"/>
    <x v="0"/>
    <s v="Second Class"/>
    <s v="MS-17980"/>
    <s v="TEC-AC-10001266"/>
    <n v="170"/>
    <n v="20"/>
    <n v="11.76470588235294"/>
    <x v="1"/>
    <s v="Swimming Gear"/>
    <s v="INR"/>
    <n v="440009"/>
    <s v="INDIA"/>
    <x v="3"/>
    <s v="Easy Ship"/>
    <n v="20.8"/>
    <n v="2"/>
    <n v="0.2"/>
    <n v="6.5"/>
    <n v="7.15"/>
    <n v="5"/>
  </r>
  <r>
    <n v="213"/>
    <s v="TH10"/>
    <d v="2021-08-01T00:00:00"/>
    <x v="7"/>
    <x v="0"/>
    <s v="Standard Class"/>
    <s v="VW-21775"/>
    <s v="OFF-LA-10004544"/>
    <n v="220"/>
    <n v="8"/>
    <n v="3.6363636363636362"/>
    <x v="0"/>
    <s v="Non-Fiction"/>
    <s v="INR"/>
    <n v="683110"/>
    <s v="INDIA"/>
    <x v="6"/>
    <m/>
    <n v="23.68"/>
    <n v="2"/>
    <n v="0.2"/>
    <n v="8.8800000000000008"/>
    <n v="7.3999999999999995"/>
    <n v="3"/>
  </r>
  <r>
    <n v="214"/>
    <s v="WM49"/>
    <d v="2021-08-02T00:00:00"/>
    <x v="7"/>
    <x v="0"/>
    <s v="Standard Class"/>
    <s v="VW-21775"/>
    <s v="FUR-BO-10004695"/>
    <n v="200"/>
    <n v="12"/>
    <n v="6"/>
    <x v="5"/>
    <s v="Lighting"/>
    <s v="INR"/>
    <n v="400078"/>
    <s v="INDIA"/>
    <x v="5"/>
    <m/>
    <n v="452.45"/>
    <n v="5"/>
    <n v="0.5"/>
    <n v="-244.32300000000001"/>
    <n v="139.3546"/>
    <n v="3"/>
  </r>
  <r>
    <n v="215"/>
    <s v="FL62"/>
    <d v="2021-08-03T00:00:00"/>
    <x v="7"/>
    <x v="0"/>
    <s v="Standard Class"/>
    <s v="VW-21775"/>
    <s v="TEC-PH-10002844"/>
    <n v="200"/>
    <n v="8"/>
    <n v="4"/>
    <x v="3"/>
    <s v="Car Care"/>
    <s v="INR"/>
    <n v="400050"/>
    <s v="INDIA"/>
    <x v="19"/>
    <s v="Easy Ship"/>
    <n v="62.981999999999999"/>
    <n v="3"/>
    <n v="0.4"/>
    <n v="-14.6958"/>
    <n v="25.892600000000002"/>
    <n v="2"/>
  </r>
  <r>
    <n v="216"/>
    <s v="HX33"/>
    <d v="2021-08-04T00:00:00"/>
    <x v="7"/>
    <x v="0"/>
    <s v="Standard Class"/>
    <s v="VW-21775"/>
    <s v="TEC-MA-10000864"/>
    <n v="180"/>
    <n v="10"/>
    <n v="5.5555555555555554"/>
    <x v="6"/>
    <s v="Educational Toys"/>
    <s v="INR"/>
    <n v="524003"/>
    <s v="INDIA"/>
    <x v="0"/>
    <m/>
    <n v="1188"/>
    <n v="9"/>
    <n v="0.7"/>
    <n v="-950.4"/>
    <n v="237.60000000000002"/>
    <n v="5"/>
  </r>
  <r>
    <n v="217"/>
    <s v="VU56"/>
    <d v="2021-08-05T00:00:00"/>
    <x v="7"/>
    <x v="0"/>
    <s v="Standard Class"/>
    <s v="VW-21775"/>
    <s v="TEC-AC-10000109"/>
    <n v="150"/>
    <n v="18"/>
    <n v="12"/>
    <x v="7"/>
    <s v="Frozen Foods"/>
    <s v="INR"/>
    <n v="801503"/>
    <s v="INDIA"/>
    <x v="9"/>
    <m/>
    <n v="89.584000000000003"/>
    <n v="2"/>
    <n v="0.2"/>
    <n v="4.4791999999999996"/>
    <n v="42.552399999999999"/>
    <n v="2"/>
  </r>
  <r>
    <n v="218"/>
    <s v="XM58"/>
    <d v="2021-08-06T00:00:00"/>
    <x v="7"/>
    <x v="0"/>
    <s v="Standard Class"/>
    <s v="JH-15910"/>
    <s v="OFF-ST-10001328"/>
    <n v="160"/>
    <n v="24"/>
    <n v="15"/>
    <x v="8"/>
    <s v="Bird Supplies"/>
    <s v="INR"/>
    <n v="631502"/>
    <s v="INDIA"/>
    <x v="18"/>
    <m/>
    <n v="93.06"/>
    <n v="6"/>
    <n v="0.1"/>
    <n v="26.056799999999999"/>
    <n v="11.167200000000001"/>
    <n v="2"/>
  </r>
  <r>
    <n v="219"/>
    <s v="UR86"/>
    <d v="2021-08-07T00:00:00"/>
    <x v="7"/>
    <x v="0"/>
    <s v="Standard Class"/>
    <s v="JH-15910"/>
    <s v="TEC-PH-10002563"/>
    <n v="120"/>
    <n v="16"/>
    <n v="13.333333333333334"/>
    <x v="2"/>
    <s v="Women’s Kurtis"/>
    <s v="INR"/>
    <n v="800001"/>
    <s v="INDIA"/>
    <x v="1"/>
    <s v="Easy Ship"/>
    <n v="302.37599999999998"/>
    <n v="3"/>
    <n v="0.2"/>
    <n v="22.6782"/>
    <n v="93.232599999999991"/>
    <n v="1"/>
  </r>
  <r>
    <n v="220"/>
    <s v="MQ53"/>
    <d v="2021-08-08T00:00:00"/>
    <x v="7"/>
    <x v="0"/>
    <s v="First Class"/>
    <s v="JB-15925"/>
    <s v="OFF-FA-10000585"/>
    <n v="210"/>
    <n v="16"/>
    <n v="7.6190476190476195"/>
    <x v="4"/>
    <s v="VR Headsets"/>
    <s v="INR"/>
    <n v="600096"/>
    <s v="INDIA"/>
    <x v="2"/>
    <m/>
    <n v="5.5839999999999996"/>
    <n v="2"/>
    <n v="0.2"/>
    <n v="1.8148"/>
    <n v="1.8845999999999998"/>
    <n v="2"/>
  </r>
  <r>
    <n v="221"/>
    <s v="PW11"/>
    <d v="2021-08-09T00:00:00"/>
    <x v="7"/>
    <x v="0"/>
    <s v="First Class"/>
    <s v="JB-15925"/>
    <s v="OFF-PA-10004000"/>
    <n v="110"/>
    <n v="24"/>
    <n v="21.818181818181817"/>
    <x v="5"/>
    <s v="Kitchen Storage"/>
    <s v="INR"/>
    <n v="600096"/>
    <s v="INDIA"/>
    <x v="3"/>
    <s v="Easy Ship"/>
    <n v="22.704000000000001"/>
    <n v="6"/>
    <n v="0.2"/>
    <n v="8.2302"/>
    <n v="2.4123000000000001"/>
    <n v="5"/>
  </r>
  <r>
    <n v="222"/>
    <s v="MP77"/>
    <d v="2021-08-10T00:00:00"/>
    <x v="7"/>
    <x v="0"/>
    <s v="First Class"/>
    <s v="JB-15925"/>
    <s v="OFF-BI-10002852"/>
    <n v="160"/>
    <n v="8"/>
    <n v="5"/>
    <x v="0"/>
    <s v="Comics"/>
    <s v="INR"/>
    <n v="695009"/>
    <s v="INDIA"/>
    <x v="3"/>
    <s v="Easy Ship"/>
    <n v="19.776"/>
    <n v="4"/>
    <n v="0.7"/>
    <n v="-13.8432"/>
    <n v="8.4047999999999998"/>
    <n v="1"/>
  </r>
  <r>
    <n v="223"/>
    <s v="WP35"/>
    <d v="2021-08-11T00:00:00"/>
    <x v="7"/>
    <x v="0"/>
    <s v="First Class"/>
    <s v="JB-15925"/>
    <s v="FUR-FU-10000087"/>
    <n v="130"/>
    <n v="6"/>
    <n v="4.6153846153846159"/>
    <x v="1"/>
    <s v="Outdoor Games"/>
    <m/>
    <n v="201309"/>
    <s v="INDIA"/>
    <x v="16"/>
    <m/>
    <n v="72.703999999999994"/>
    <n v="4"/>
    <n v="0.2"/>
    <n v="19.084800000000001"/>
    <n v="13.404799999999998"/>
    <n v="2"/>
  </r>
  <r>
    <n v="224"/>
    <s v="AJ38"/>
    <d v="2021-08-12T00:00:00"/>
    <x v="7"/>
    <x v="0"/>
    <s v="First Class"/>
    <s v="JB-15925"/>
    <s v="TEC-MA-10001148"/>
    <n v="130"/>
    <n v="8"/>
    <n v="6.1538461538461542"/>
    <x v="4"/>
    <s v="Projectors"/>
    <s v="INR"/>
    <n v="500097"/>
    <s v="INDIA"/>
    <x v="16"/>
    <m/>
    <n v="479.988"/>
    <n v="4"/>
    <n v="0.7"/>
    <n v="-383.99040000000002"/>
    <n v="215.99459999999999"/>
    <n v="2"/>
  </r>
  <r>
    <n v="225"/>
    <s v="HH67"/>
    <d v="2021-08-13T00:00:00"/>
    <x v="7"/>
    <x v="0"/>
    <s v="First Class"/>
    <s v="JB-15925"/>
    <s v="OFF-AR-10001958"/>
    <n v="150"/>
    <n v="26"/>
    <n v="17.333333333333336"/>
    <x v="2"/>
    <s v="Men’s Watches"/>
    <s v="INR"/>
    <n v="450001"/>
    <s v="INDIA"/>
    <x v="14"/>
    <m/>
    <n v="27.167999999999999"/>
    <n v="2"/>
    <n v="0.2"/>
    <n v="2.7168000000000001"/>
    <n v="12.2256"/>
    <n v="3"/>
  </r>
  <r>
    <n v="226"/>
    <s v="QR88"/>
    <d v="2021-08-14T00:00:00"/>
    <x v="7"/>
    <x v="0"/>
    <s v="Standard Class"/>
    <s v="DS-13180"/>
    <s v="OFF-AR-10001026"/>
    <n v="220"/>
    <n v="8"/>
    <n v="3.6363636363636362"/>
    <x v="3"/>
    <s v="Tyres"/>
    <s v="INR"/>
    <n v="575006"/>
    <s v="INDIA"/>
    <x v="8"/>
    <s v="Easy Ship"/>
    <n v="2.2000000000000002"/>
    <n v="1"/>
    <n v="0.1"/>
    <n v="0.96799999999999997"/>
    <n v="1.2320000000000002"/>
    <n v="2"/>
  </r>
  <r>
    <n v="227"/>
    <s v="XA96"/>
    <d v="2021-08-15T00:00:00"/>
    <x v="7"/>
    <x v="0"/>
    <s v="Standard Class"/>
    <s v="DS-13180"/>
    <s v="FUR-TA-10003748"/>
    <n v="140"/>
    <n v="14"/>
    <n v="10"/>
    <x v="6"/>
    <s v="Remote Control Cars"/>
    <s v="INR"/>
    <n v="391101"/>
    <s v="INDIA"/>
    <x v="0"/>
    <m/>
    <n v="622.45000000000005"/>
    <n v="5"/>
    <n v="0.1"/>
    <n v="136.93899999999999"/>
    <n v="97.102200000000011"/>
    <n v="4"/>
  </r>
  <r>
    <n v="228"/>
    <s v="LK84"/>
    <d v="2021-08-16T00:00:00"/>
    <x v="7"/>
    <x v="0"/>
    <s v="Standard Class"/>
    <s v="DS-13180"/>
    <s v="OFF-ST-10002485"/>
    <n v="130"/>
    <n v="12"/>
    <n v="9.2307692307692317"/>
    <x v="7"/>
    <s v="Dairy Products"/>
    <s v="INR"/>
    <n v="483504"/>
    <s v="INDIA"/>
    <x v="2"/>
    <m/>
    <n v="21.98"/>
    <n v="1"/>
    <n v="0.1"/>
    <n v="0.2198"/>
    <n v="21.760200000000001"/>
    <n v="4"/>
  </r>
  <r>
    <n v="229"/>
    <s v="WV21"/>
    <d v="2021-08-17T00:00:00"/>
    <x v="7"/>
    <x v="0"/>
    <s v="Standard Class"/>
    <s v="VD-21670"/>
    <s v="FUR-CH-10004860"/>
    <n v="180"/>
    <n v="28"/>
    <n v="15.555555555555555"/>
    <x v="8"/>
    <s v="Pet Grooming"/>
    <s v="INR"/>
    <n v="768002"/>
    <s v="INDIA"/>
    <x v="11"/>
    <m/>
    <n v="161.56800000000001"/>
    <n v="2"/>
    <n v="0.2"/>
    <n v="-28.2744"/>
    <n v="94.921199999999999"/>
    <n v="2"/>
  </r>
  <r>
    <n v="230"/>
    <s v="PF14"/>
    <d v="2021-08-18T00:00:00"/>
    <x v="7"/>
    <x v="0"/>
    <s v="Standard Class"/>
    <s v="VD-21670"/>
    <s v="FUR-CH-10004477"/>
    <n v="190"/>
    <n v="16"/>
    <n v="8.4210526315789469"/>
    <x v="2"/>
    <s v="Women’s Bags"/>
    <s v="INR"/>
    <n v="500089"/>
    <s v="INDIA"/>
    <x v="4"/>
    <m/>
    <n v="389.69600000000003"/>
    <n v="8"/>
    <n v="0.2"/>
    <n v="43.840800000000002"/>
    <n v="43.231900000000003"/>
    <n v="5"/>
  </r>
  <r>
    <n v="231"/>
    <s v="TA31"/>
    <d v="2021-08-19T00:00:00"/>
    <x v="7"/>
    <x v="0"/>
    <s v="Standard Class"/>
    <s v="EA-14035"/>
    <s v="OFF-BI-10001679"/>
    <n v="150"/>
    <n v="26"/>
    <n v="17.333333333333336"/>
    <x v="4"/>
    <s v="Streaming Devices"/>
    <s v="INR"/>
    <n v="845454"/>
    <s v="INDIA"/>
    <x v="4"/>
    <m/>
    <n v="18.648"/>
    <n v="7"/>
    <n v="0.7"/>
    <n v="-12.432"/>
    <n v="4.4399999999999995"/>
    <n v="2"/>
  </r>
  <r>
    <n v="232"/>
    <s v="SN75"/>
    <d v="2021-08-20T00:00:00"/>
    <x v="7"/>
    <x v="0"/>
    <s v="Standard Class"/>
    <s v="CS-12400"/>
    <s v="FUR-TA-10001705"/>
    <n v="220"/>
    <n v="22"/>
    <n v="10"/>
    <x v="1"/>
    <s v="Boxing Equipment"/>
    <s v="INR"/>
    <n v="474001"/>
    <s v="INDIA"/>
    <x v="6"/>
    <m/>
    <n v="233.86"/>
    <n v="2"/>
    <n v="0.45"/>
    <n v="-102.048"/>
    <n v="167.95400000000001"/>
    <n v="4"/>
  </r>
  <r>
    <n v="233"/>
    <s v="OT84"/>
    <d v="2021-08-21T00:00:00"/>
    <x v="7"/>
    <x v="0"/>
    <s v="Standard Class"/>
    <s v="CS-12400"/>
    <s v="FUR-TA-10003473"/>
    <n v="220"/>
    <n v="30"/>
    <n v="13.636363636363635"/>
    <x v="0"/>
    <s v="Poetry"/>
    <s v="INR"/>
    <n v="396210"/>
    <s v="INDIA"/>
    <x v="8"/>
    <m/>
    <n v="620.61450000000002"/>
    <n v="3"/>
    <n v="0.45"/>
    <n v="-248.2458"/>
    <n v="289.62010000000004"/>
    <n v="2"/>
  </r>
  <r>
    <n v="234"/>
    <s v="JW78"/>
    <d v="2021-08-22T00:00:00"/>
    <x v="7"/>
    <x v="0"/>
    <s v="Standard Class"/>
    <s v="CS-12400"/>
    <s v="OFF-BI-10001679"/>
    <n v="130"/>
    <n v="16"/>
    <n v="12.307692307692308"/>
    <x v="5"/>
    <s v="Home Decor"/>
    <s v="INR"/>
    <n v="641105"/>
    <s v="INDIA"/>
    <x v="1"/>
    <m/>
    <n v="5.3280000000000003"/>
    <n v="2"/>
    <n v="0.7"/>
    <n v="-3.552"/>
    <n v="4.4400000000000004"/>
    <n v="4"/>
  </r>
  <r>
    <n v="235"/>
    <s v="AG90"/>
    <d v="2021-08-23T00:00:00"/>
    <x v="7"/>
    <x v="0"/>
    <s v="Standard Class"/>
    <s v="CS-12400"/>
    <s v="FUR-FU-10004017"/>
    <n v="190"/>
    <n v="18"/>
    <n v="9.4736842105263168"/>
    <x v="3"/>
    <s v="Car Tools"/>
    <s v="INR"/>
    <n v="690573"/>
    <s v="INDIA"/>
    <x v="7"/>
    <m/>
    <n v="258.072"/>
    <n v="3"/>
    <n v="0.2"/>
    <n v="0.1"/>
    <n v="85.990666666666655"/>
    <n v="1"/>
  </r>
  <r>
    <n v="236"/>
    <s v="WV93"/>
    <d v="2021-08-24T00:00:00"/>
    <x v="7"/>
    <x v="0"/>
    <s v="Standard Class"/>
    <s v="CS-12400"/>
    <s v="TEC-AC-10003832"/>
    <n v="190"/>
    <n v="24"/>
    <n v="12.631578947368421"/>
    <x v="6"/>
    <s v="Musical Toys"/>
    <s v="INR"/>
    <n v="690573"/>
    <s v="INDIA"/>
    <x v="16"/>
    <m/>
    <n v="617.976"/>
    <n v="3"/>
    <n v="0.2"/>
    <n v="-7.7247000000000003"/>
    <n v="208.5669"/>
    <n v="2"/>
  </r>
  <r>
    <n v="237"/>
    <s v="GH84"/>
    <d v="2021-08-25T00:00:00"/>
    <x v="7"/>
    <x v="0"/>
    <s v="Standard Class"/>
    <s v="DB-13120"/>
    <s v="OFF-PA-10002479"/>
    <n v="180"/>
    <n v="26"/>
    <n v="14.444444444444443"/>
    <x v="7"/>
    <s v="Organic Foods"/>
    <s v="INR"/>
    <n v="400705"/>
    <s v="INDIA"/>
    <x v="0"/>
    <m/>
    <n v="10.56"/>
    <n v="2"/>
    <n v="0.1"/>
    <n v="4.7519999999999998"/>
    <n v="2.9040000000000004"/>
    <n v="1"/>
  </r>
  <r>
    <n v="238"/>
    <s v="FX78"/>
    <d v="2021-08-26T00:00:00"/>
    <x v="7"/>
    <x v="0"/>
    <s v="Second Class"/>
    <s v="KL-16645"/>
    <s v="OFF-PA-10003349"/>
    <n v="240"/>
    <n v="24"/>
    <n v="10"/>
    <x v="8"/>
    <s v="Pet Toys"/>
    <s v="INR"/>
    <n v="600033"/>
    <s v="INDIA"/>
    <x v="7"/>
    <m/>
    <n v="25.92"/>
    <n v="5"/>
    <n v="0.2"/>
    <n v="9.3960000000000008"/>
    <n v="3.3048000000000002"/>
    <n v="1"/>
  </r>
  <r>
    <n v="239"/>
    <s v="VJ69"/>
    <d v="2021-08-27T00:00:00"/>
    <x v="7"/>
    <x v="0"/>
    <s v="Second Class"/>
    <s v="KL-16645"/>
    <s v="FUR-FU-10000576"/>
    <n v="160"/>
    <n v="28"/>
    <n v="17.5"/>
    <x v="2"/>
    <s v="Kids’ Accessories"/>
    <s v="INR"/>
    <n v="600033"/>
    <s v="INDIA"/>
    <x v="15"/>
    <m/>
    <n v="419.68"/>
    <n v="5"/>
    <n v="0.6"/>
    <n v="-356.72800000000001"/>
    <n v="155.2816"/>
    <n v="5"/>
  </r>
  <r>
    <n v="240"/>
    <s v="TX66"/>
    <d v="2021-08-28T00:00:00"/>
    <x v="7"/>
    <x v="0"/>
    <s v="Second Class"/>
    <s v="KL-16645"/>
    <s v="FUR-FU-10004351"/>
    <n v="110"/>
    <n v="8"/>
    <n v="7.2727272727272725"/>
    <x v="4"/>
    <s v="Console Accessories"/>
    <s v="INR"/>
    <n v="500029"/>
    <s v="INDIA"/>
    <x v="10"/>
    <m/>
    <n v="11.688000000000001"/>
    <n v="3"/>
    <n v="0.6"/>
    <n v="-4.6752000000000002"/>
    <n v="5.4543999999999997"/>
    <n v="3"/>
  </r>
  <r>
    <n v="241"/>
    <s v="OL20"/>
    <d v="2021-08-29T00:00:00"/>
    <x v="7"/>
    <x v="0"/>
    <s v="Second Class"/>
    <s v="KL-16645"/>
    <s v="TEC-PH-10000011"/>
    <n v="230"/>
    <n v="20"/>
    <n v="8.695652173913043"/>
    <x v="0"/>
    <s v="Science Fiction"/>
    <s v="INR"/>
    <n v="226018"/>
    <s v="INDIA"/>
    <x v="3"/>
    <m/>
    <n v="31.984000000000002"/>
    <n v="2"/>
    <n v="0.2"/>
    <n v="11.1944"/>
    <n v="10.3948"/>
    <n v="4"/>
  </r>
  <r>
    <n v="242"/>
    <s v="CZ60"/>
    <d v="2021-08-30T00:00:00"/>
    <x v="7"/>
    <x v="0"/>
    <s v="Second Class"/>
    <s v="KL-16645"/>
    <s v="FUR-TA-10002607"/>
    <n v="230"/>
    <n v="8"/>
    <n v="3.4782608695652173"/>
    <x v="1"/>
    <s v="Table Tennis"/>
    <s v="INR"/>
    <n v="421301"/>
    <s v="INDIA"/>
    <x v="19"/>
    <m/>
    <n v="177.22499999999999"/>
    <n v="5"/>
    <n v="0.5"/>
    <n v="-120.51300000000001"/>
    <n v="59.547600000000003"/>
    <n v="5"/>
  </r>
  <r>
    <n v="243"/>
    <s v="JZ65"/>
    <d v="2021-08-31T00:00:00"/>
    <x v="7"/>
    <x v="0"/>
    <s v="Second Class"/>
    <s v="KL-16645"/>
    <s v="FUR-FU-10002505"/>
    <n v="240"/>
    <n v="18"/>
    <n v="7.5"/>
    <x v="4"/>
    <s v="Smart Lights"/>
    <s v="INR"/>
    <n v="560076"/>
    <s v="INDIA"/>
    <x v="4"/>
    <m/>
    <n v="4.0439999999999996"/>
    <n v="3"/>
    <n v="0.6"/>
    <n v="-2.8308"/>
    <n v="2.2915999999999999"/>
    <n v="4"/>
  </r>
  <r>
    <n v="244"/>
    <s v="PY45"/>
    <d v="2021-09-01T00:00:00"/>
    <x v="8"/>
    <x v="0"/>
    <s v="Second Class"/>
    <s v="KL-16645"/>
    <s v="OFF-AR-10004685"/>
    <n v="180"/>
    <n v="18"/>
    <n v="10"/>
    <x v="2"/>
    <s v="Women’s Heels"/>
    <s v="INR"/>
    <n v="700032"/>
    <s v="INDIA"/>
    <x v="7"/>
    <m/>
    <n v="7.4080000000000004"/>
    <n v="2"/>
    <n v="0.2"/>
    <n v="1.2038"/>
    <n v="3.1021000000000001"/>
    <n v="1"/>
  </r>
  <r>
    <n v="245"/>
    <s v="DP62"/>
    <d v="2021-09-02T00:00:00"/>
    <x v="8"/>
    <x v="0"/>
    <s v="Second Class"/>
    <s v="DW-13480"/>
    <s v="FUR-CH-10004063"/>
    <n v="170"/>
    <n v="22"/>
    <n v="12.941176470588237"/>
    <x v="5"/>
    <s v="Cleaning Supplies"/>
    <s v="INR"/>
    <n v="110033"/>
    <s v="INDIA"/>
    <x v="18"/>
    <m/>
    <n v="2001.86"/>
    <n v="7"/>
    <n v="0.1"/>
    <n v="580.5394"/>
    <n v="203.04580000000001"/>
    <n v="2"/>
  </r>
  <r>
    <n v="246"/>
    <s v="OS81"/>
    <d v="2021-09-03T00:00:00"/>
    <x v="8"/>
    <x v="0"/>
    <s v="Second Class"/>
    <s v="DW-13480"/>
    <s v="OFF-ST-10002276"/>
    <n v="130"/>
    <n v="10"/>
    <n v="7.6923076923076925"/>
    <x v="3"/>
    <s v="Car Covers"/>
    <s v="INR"/>
    <n v="415301"/>
    <s v="INDIA"/>
    <x v="0"/>
    <m/>
    <n v="166.72"/>
    <n v="2"/>
    <n v="0.1"/>
    <n v="41.68"/>
    <n v="62.519999999999996"/>
    <n v="4"/>
  </r>
  <r>
    <n v="247"/>
    <s v="ZS64"/>
    <d v="2021-09-04T00:00:00"/>
    <x v="8"/>
    <x v="0"/>
    <s v="Second Class"/>
    <s v="DW-13480"/>
    <s v="OFF-PA-10004082"/>
    <n v="140"/>
    <n v="10"/>
    <n v="7.1428571428571423"/>
    <x v="6"/>
    <s v="Stuffed Animals"/>
    <s v="INR"/>
    <n v="712249"/>
    <s v="INDIA"/>
    <x v="2"/>
    <s v="Easy Ship"/>
    <n v="47.88"/>
    <n v="6"/>
    <n v="0.1"/>
    <n v="23.94"/>
    <n v="3.99"/>
    <n v="4"/>
  </r>
  <r>
    <n v="248"/>
    <s v="GJ20"/>
    <d v="2021-09-05T00:00:00"/>
    <x v="8"/>
    <x v="0"/>
    <s v="Second Class"/>
    <s v="DW-13480"/>
    <s v="OFF-AP-10002945"/>
    <n v="200"/>
    <n v="24"/>
    <n v="12"/>
    <x v="7"/>
    <s v="Canned Foods"/>
    <s v="INR"/>
    <n v="560040"/>
    <s v="INDIA"/>
    <x v="8"/>
    <m/>
    <n v="1503.25"/>
    <n v="5"/>
    <n v="0.1"/>
    <n v="496.07249999999999"/>
    <n v="201.43549999999999"/>
    <n v="5"/>
  </r>
  <r>
    <n v="249"/>
    <s v="LP68"/>
    <d v="2021-09-06T00:00:00"/>
    <x v="8"/>
    <x v="0"/>
    <s v="Second Class"/>
    <s v="DW-13480"/>
    <s v="OFF-PA-10000061"/>
    <n v="180"/>
    <n v="30"/>
    <n v="16.666666666666664"/>
    <x v="8"/>
    <s v="Pet Beds"/>
    <s v="INR"/>
    <n v="431003"/>
    <s v="INDIA"/>
    <x v="0"/>
    <s v="Easy Ship"/>
    <n v="25.92"/>
    <n v="4"/>
    <n v="0.1"/>
    <n v="12.441599999999999"/>
    <n v="3.3696000000000006"/>
    <n v="3"/>
  </r>
  <r>
    <n v="250"/>
    <s v="EG59"/>
    <d v="2021-09-07T00:00:00"/>
    <x v="8"/>
    <x v="0"/>
    <s v="Second Class"/>
    <s v="LH-17155"/>
    <s v="FUR-CH-10002965"/>
    <n v="240"/>
    <n v="16"/>
    <n v="6.666666666666667"/>
    <x v="2"/>
    <s v="Men’s T-Shirts"/>
    <s v="INR"/>
    <n v="560099"/>
    <s v="INDIA"/>
    <x v="17"/>
    <m/>
    <n v="321.56799999999998"/>
    <n v="2"/>
    <n v="0.2"/>
    <n v="28.1372"/>
    <n v="146.71539999999999"/>
    <n v="1"/>
  </r>
  <r>
    <n v="251"/>
    <s v="MU12"/>
    <d v="2021-09-08T00:00:00"/>
    <x v="8"/>
    <x v="0"/>
    <s v="Standard Class"/>
    <s v="KC-16540"/>
    <s v="OFF-PA-10004569"/>
    <n v="220"/>
    <n v="20"/>
    <n v="9.0909090909090917"/>
    <x v="4"/>
    <s v="Modems"/>
    <s v="INR"/>
    <n v="560077"/>
    <s v="INDIA"/>
    <x v="0"/>
    <m/>
    <n v="7.61"/>
    <n v="1"/>
    <n v="0.1"/>
    <n v="3.5767000000000002"/>
    <n v="4.0333000000000006"/>
    <n v="3"/>
  </r>
  <r>
    <n v="252"/>
    <s v="MY23"/>
    <d v="2021-09-09T00:00:00"/>
    <x v="8"/>
    <x v="0"/>
    <s v="Standard Class"/>
    <s v="KC-16540"/>
    <s v="TEC-AC-10003832"/>
    <n v="110"/>
    <n v="26"/>
    <n v="23.636363636363637"/>
    <x v="1"/>
    <s v="Cricket Gear"/>
    <s v="INR"/>
    <n v="560077"/>
    <s v="INDIA"/>
    <x v="3"/>
    <m/>
    <n v="3347.37"/>
    <n v="13"/>
    <n v="0.1"/>
    <n v="636.00030000000004"/>
    <n v="208.56689999999998"/>
    <n v="4"/>
  </r>
  <r>
    <n v="253"/>
    <s v="IZ50"/>
    <d v="2021-09-10T00:00:00"/>
    <x v="8"/>
    <x v="0"/>
    <s v="First Class"/>
    <s v="DL-13315"/>
    <s v="OFF-ST-10001228"/>
    <n v="150"/>
    <n v="26"/>
    <n v="17.333333333333336"/>
    <x v="0"/>
    <s v="Biographies"/>
    <s v="INR"/>
    <n v="400097"/>
    <s v="INDIA"/>
    <x v="3"/>
    <m/>
    <n v="80.58"/>
    <n v="6"/>
    <n v="0.1"/>
    <n v="22.5624"/>
    <n v="9.6696000000000009"/>
    <n v="2"/>
  </r>
  <r>
    <n v="254"/>
    <s v="RM31"/>
    <d v="2021-09-11T00:00:00"/>
    <x v="8"/>
    <x v="0"/>
    <s v="First Class"/>
    <s v="DL-13315"/>
    <s v="OFF-EN-10003296"/>
    <n v="200"/>
    <n v="16"/>
    <n v="8"/>
    <x v="5"/>
    <s v="Storage Furniture"/>
    <s v="INR"/>
    <n v="600058"/>
    <s v="INDIA"/>
    <x v="5"/>
    <s v="Easy Ship"/>
    <n v="361.92"/>
    <n v="4"/>
    <n v="0.1"/>
    <n v="162.864"/>
    <n v="49.764000000000003"/>
    <n v="2"/>
  </r>
  <r>
    <n v="255"/>
    <s v="CR91"/>
    <d v="2021-09-12T00:00:00"/>
    <x v="8"/>
    <x v="0"/>
    <s v="Standard Class"/>
    <s v="DR-12880"/>
    <s v="FUR-FU-10002505"/>
    <n v="230"/>
    <n v="28"/>
    <n v="12.173913043478262"/>
    <x v="3"/>
    <s v="Car Batteries"/>
    <s v="INR"/>
    <n v="500084"/>
    <s v="INDIA"/>
    <x v="3"/>
    <s v="Easy Ship"/>
    <n v="12.132"/>
    <n v="9"/>
    <n v="0.6"/>
    <n v="-8.4923999999999999"/>
    <n v="2.2916000000000003"/>
    <n v="2"/>
  </r>
  <r>
    <n v="256"/>
    <s v="EA63"/>
    <d v="2021-09-13T00:00:00"/>
    <x v="8"/>
    <x v="0"/>
    <s v="Standard Class"/>
    <s v="DR-12880"/>
    <s v="OFF-ST-10004804"/>
    <n v="230"/>
    <n v="30"/>
    <n v="13.043478260869565"/>
    <x v="6"/>
    <s v="Playsets"/>
    <s v="INR"/>
    <n v="500084"/>
    <s v="INDIA"/>
    <x v="6"/>
    <s v="Easy Ship"/>
    <n v="82.367999999999995"/>
    <n v="2"/>
    <n v="0.2"/>
    <n v="-19.5624"/>
    <n v="50.965199999999996"/>
    <n v="3"/>
  </r>
  <r>
    <n v="257"/>
    <s v="EP53"/>
    <d v="2021-09-14T00:00:00"/>
    <x v="8"/>
    <x v="0"/>
    <s v="Standard Class"/>
    <s v="DR-12880"/>
    <s v="OFF-ST-10001590"/>
    <n v="190"/>
    <n v="12"/>
    <n v="6.3157894736842106"/>
    <x v="7"/>
    <s v="Spices"/>
    <s v="INR"/>
    <n v="760001"/>
    <s v="INDIA"/>
    <x v="5"/>
    <m/>
    <n v="53.92"/>
    <n v="5"/>
    <n v="0.2"/>
    <n v="4.0439999999999996"/>
    <n v="9.975200000000001"/>
    <n v="2"/>
  </r>
  <r>
    <n v="258"/>
    <s v="TZ95"/>
    <d v="2021-09-15T00:00:00"/>
    <x v="8"/>
    <x v="0"/>
    <s v="Standard Class"/>
    <s v="DR-12880"/>
    <s v="TEC-PH-10001580"/>
    <n v="190"/>
    <n v="16"/>
    <n v="8.4210526315789469"/>
    <x v="8"/>
    <s v="Pet Collars"/>
    <s v="INR"/>
    <n v="760001"/>
    <s v="INDIA"/>
    <x v="1"/>
    <m/>
    <n v="647.904"/>
    <n v="6"/>
    <n v="0.2"/>
    <n v="56.691600000000001"/>
    <n v="98.535399999999996"/>
    <n v="2"/>
  </r>
  <r>
    <n v="259"/>
    <s v="RJ45"/>
    <d v="2021-09-16T00:00:00"/>
    <x v="8"/>
    <x v="0"/>
    <s v="Second Class"/>
    <s v="CC-12670"/>
    <s v="TEC-AC-10000290"/>
    <n v="140"/>
    <n v="22"/>
    <n v="15.714285714285714"/>
    <x v="2"/>
    <s v="Women’s Sarees"/>
    <s v="INR"/>
    <n v="760001"/>
    <s v="INDIA"/>
    <x v="19"/>
    <s v="Easy Ship"/>
    <n v="20.37"/>
    <n v="3"/>
    <n v="0.1"/>
    <n v="6.9257999999999997"/>
    <n v="4.4814000000000007"/>
    <n v="1"/>
  </r>
  <r>
    <n v="260"/>
    <s v="WH23"/>
    <d v="2021-09-17T00:00:00"/>
    <x v="8"/>
    <x v="0"/>
    <s v="Second Class"/>
    <s v="CC-12670"/>
    <s v="OFF-ST-10002790"/>
    <n v="180"/>
    <n v="20"/>
    <n v="11.111111111111111"/>
    <x v="4"/>
    <s v="Graphics Cards"/>
    <s v="INR"/>
    <n v="411008"/>
    <s v="INDIA"/>
    <x v="0"/>
    <m/>
    <n v="221.55"/>
    <n v="3"/>
    <n v="0.1"/>
    <n v="6.6464999999999996"/>
    <n v="71.634500000000003"/>
    <n v="4"/>
  </r>
  <r>
    <n v="261"/>
    <s v="LY63"/>
    <d v="2021-09-18T00:00:00"/>
    <x v="8"/>
    <x v="0"/>
    <s v="Second Class"/>
    <s v="CC-12670"/>
    <s v="OFF-BI-10003460"/>
    <n v="210"/>
    <n v="10"/>
    <n v="4.7619047619047619"/>
    <x v="5"/>
    <s v="Tableware"/>
    <s v="INR"/>
    <n v="411007"/>
    <s v="INDIA"/>
    <x v="16"/>
    <s v="Easy Ship"/>
    <n v="17.52"/>
    <n v="5"/>
    <n v="0.2"/>
    <n v="6.1319999999999997"/>
    <n v="2.2776000000000001"/>
    <n v="2"/>
  </r>
  <r>
    <n v="262"/>
    <s v="BE18"/>
    <d v="2021-09-19T00:00:00"/>
    <x v="8"/>
    <x v="0"/>
    <s v="Standard Class"/>
    <s v="Dl-13600"/>
    <s v="OFF-AP-10002203"/>
    <n v="180"/>
    <n v="10"/>
    <n v="5.5555555555555554"/>
    <x v="0"/>
    <s v="Travel Guides"/>
    <s v="INR"/>
    <n v="411007"/>
    <s v="INDIA"/>
    <x v="1"/>
    <s v="Easy Ship"/>
    <n v="1.6240000000000001"/>
    <n v="2"/>
    <n v="0.8"/>
    <n v="-4.4660000000000002"/>
    <n v="3.0449999999999999"/>
    <n v="5"/>
  </r>
  <r>
    <n v="263"/>
    <s v="KV89"/>
    <d v="2021-09-20T00:00:00"/>
    <x v="8"/>
    <x v="0"/>
    <s v="Second Class"/>
    <s v="SB-20290"/>
    <s v="TEC-MA-10000822"/>
    <n v="110"/>
    <n v="22"/>
    <n v="20"/>
    <x v="1"/>
    <s v="Hiking Equipment"/>
    <m/>
    <n v="502319"/>
    <s v="INDIA"/>
    <x v="4"/>
    <m/>
    <n v="3059.982"/>
    <n v="3"/>
    <n v="0.4"/>
    <n v="-509.99700000000001"/>
    <n v="1189.9929999999999"/>
    <n v="5"/>
  </r>
  <r>
    <n v="264"/>
    <s v="AY68"/>
    <d v="2021-09-21T00:00:00"/>
    <x v="8"/>
    <x v="0"/>
    <s v="Second Class"/>
    <s v="SB-20290"/>
    <s v="TEC-MA-10003353"/>
    <n v="160"/>
    <n v="18"/>
    <n v="11.25"/>
    <x v="4"/>
    <s v="Smart Doorbells"/>
    <s v="INR"/>
    <n v="122505"/>
    <s v="INDIA"/>
    <x v="7"/>
    <m/>
    <n v="2519.9580000000001"/>
    <n v="7"/>
    <n v="0.4"/>
    <n v="-251.9958"/>
    <n v="395.99340000000001"/>
    <n v="3"/>
  </r>
  <r>
    <n v="265"/>
    <s v="HJ81"/>
    <d v="2021-09-22T00:00:00"/>
    <x v="8"/>
    <x v="0"/>
    <s v="Standard Class"/>
    <s v="RC-19825"/>
    <s v="TEC-PH-10001433"/>
    <n v="130"/>
    <n v="20"/>
    <n v="15.384615384615385"/>
    <x v="2"/>
    <s v="Kids’ Clothing"/>
    <s v="INR"/>
    <n v="440027"/>
    <s v="INDIA"/>
    <x v="1"/>
    <m/>
    <n v="328.22399999999999"/>
    <n v="4"/>
    <n v="0.2"/>
    <n v="28.7196"/>
    <n v="74.876099999999994"/>
    <n v="1"/>
  </r>
  <r>
    <n v="266"/>
    <s v="JP13"/>
    <d v="2021-09-23T00:00:00"/>
    <x v="8"/>
    <x v="0"/>
    <s v="Standard Class"/>
    <s v="AH-10210"/>
    <s v="TEC-AC-10004469"/>
    <n v="100"/>
    <n v="18"/>
    <n v="18"/>
    <x v="3"/>
    <s v="Car Mats"/>
    <s v="INR"/>
    <n v="781036"/>
    <s v="INDIA"/>
    <x v="18"/>
    <m/>
    <n v="79.900000000000006"/>
    <n v="2"/>
    <n v="0.1"/>
    <n v="35.155999999999999"/>
    <n v="22.372000000000003"/>
    <n v="4"/>
  </r>
  <r>
    <n v="267"/>
    <s v="JF81"/>
    <d v="2021-09-24T00:00:00"/>
    <x v="8"/>
    <x v="0"/>
    <s v="Standard Class"/>
    <s v="CB-12535"/>
    <s v="OFF-AR-10003602"/>
    <n v="130"/>
    <n v="30"/>
    <n v="23.076923076923077"/>
    <x v="6"/>
    <s v="Building Blocks"/>
    <s v="INR"/>
    <n v="110078"/>
    <s v="INDIA"/>
    <x v="18"/>
    <m/>
    <n v="14.016"/>
    <n v="3"/>
    <n v="0.2"/>
    <n v="4.7304000000000004"/>
    <n v="3.0951999999999997"/>
    <n v="1"/>
  </r>
  <r>
    <n v="268"/>
    <s v="YF32"/>
    <d v="2021-09-25T00:00:00"/>
    <x v="8"/>
    <x v="0"/>
    <s v="Standard Class"/>
    <s v="PG-18895"/>
    <s v="OFF-FA-10003472"/>
    <n v="110"/>
    <n v="24"/>
    <n v="21.818181818181817"/>
    <x v="7"/>
    <s v="Condiments"/>
    <s v="INR"/>
    <n v="560043"/>
    <s v="INDIA"/>
    <x v="6"/>
    <m/>
    <n v="7.56"/>
    <n v="6"/>
    <n v="0.1"/>
    <n v="0.3024"/>
    <n v="1.2096"/>
    <n v="3"/>
  </r>
  <r>
    <n v="269"/>
    <s v="VX83"/>
    <d v="2021-09-26T00:00:00"/>
    <x v="8"/>
    <x v="0"/>
    <s v="Standard Class"/>
    <s v="CA-12310"/>
    <s v="OFF-ST-10004180"/>
    <n v="120"/>
    <n v="16"/>
    <n v="13.333333333333334"/>
    <x v="8"/>
    <s v="Pet Leashes"/>
    <s v="INR"/>
    <n v="500006"/>
    <s v="INDIA"/>
    <x v="4"/>
    <m/>
    <n v="37.207999999999998"/>
    <n v="1"/>
    <n v="0.2"/>
    <n v="-7.4416000000000002"/>
    <n v="44.6496"/>
    <n v="4"/>
  </r>
  <r>
    <n v="270"/>
    <s v="GU96"/>
    <d v="2021-09-27T00:00:00"/>
    <x v="8"/>
    <x v="0"/>
    <s v="Standard Class"/>
    <s v="CA-12310"/>
    <s v="OFF-EN-10004386"/>
    <n v="130"/>
    <n v="28"/>
    <n v="21.53846153846154"/>
    <x v="2"/>
    <s v="Men’s Jeans"/>
    <s v="INR"/>
    <n v="560055"/>
    <s v="INDIA"/>
    <x v="0"/>
    <m/>
    <n v="57.576000000000001"/>
    <n v="3"/>
    <n v="0.2"/>
    <n v="21.591000000000001"/>
    <n v="11.994999999999999"/>
    <n v="2"/>
  </r>
  <r>
    <n v="271"/>
    <s v="UR23"/>
    <d v="2021-09-28T00:00:00"/>
    <x v="8"/>
    <x v="0"/>
    <s v="Second Class"/>
    <s v="KH-16690"/>
    <s v="OFF-ST-10003208"/>
    <n v="250"/>
    <n v="6"/>
    <n v="2.4"/>
    <x v="4"/>
    <s v="SSD Drives"/>
    <s v="INR"/>
    <n v="751024"/>
    <s v="INDIA"/>
    <x v="0"/>
    <m/>
    <n v="725.84"/>
    <n v="4"/>
    <n v="0.1"/>
    <n v="210.49359999999999"/>
    <n v="128.8366"/>
    <n v="3"/>
  </r>
  <r>
    <n v="272"/>
    <s v="KF67"/>
    <d v="2021-09-29T00:00:00"/>
    <x v="8"/>
    <x v="0"/>
    <s v="First Class"/>
    <s v="HA-14920"/>
    <s v="TEC-AC-10003628"/>
    <n v="200"/>
    <n v="26"/>
    <n v="13"/>
    <x v="1"/>
    <s v="Football Gear"/>
    <s v="INR"/>
    <n v="110024"/>
    <s v="INDIA"/>
    <x v="1"/>
    <s v="Easy Ship"/>
    <n v="209.93"/>
    <n v="7"/>
    <n v="0.1"/>
    <n v="92.369200000000006"/>
    <n v="16.7944"/>
    <n v="1"/>
  </r>
  <r>
    <n v="273"/>
    <s v="YB73"/>
    <d v="2021-09-30T00:00:00"/>
    <x v="8"/>
    <x v="0"/>
    <s v="First Class"/>
    <s v="HA-14920"/>
    <s v="FUR-FU-10003274"/>
    <n v="200"/>
    <n v="20"/>
    <n v="10"/>
    <x v="0"/>
    <s v="Reference Books"/>
    <s v="INR"/>
    <n v="574224"/>
    <s v="INDIA"/>
    <x v="4"/>
    <m/>
    <n v="5.28"/>
    <n v="3"/>
    <n v="0.1"/>
    <n v="2.3231999999999999"/>
    <n v="0.98560000000000014"/>
    <n v="3"/>
  </r>
  <r>
    <n v="274"/>
    <s v="EI83"/>
    <d v="2021-10-01T00:00:00"/>
    <x v="9"/>
    <x v="0"/>
    <s v="First Class"/>
    <s v="HA-14920"/>
    <s v="OFF-BI-10002557"/>
    <n v="150"/>
    <n v="16"/>
    <n v="10.666666666666668"/>
    <x v="5"/>
    <s v="Curtains"/>
    <s v="INR"/>
    <n v="560103"/>
    <s v="INDIA"/>
    <x v="0"/>
    <m/>
    <n v="10.92"/>
    <n v="3"/>
    <n v="0.2"/>
    <n v="4.0949999999999998"/>
    <n v="2.2749999999999999"/>
    <n v="1"/>
  </r>
  <r>
    <n v="275"/>
    <s v="TC65"/>
    <d v="2021-10-02T00:00:00"/>
    <x v="9"/>
    <x v="0"/>
    <s v="First Class"/>
    <s v="BB-10990"/>
    <s v="OFF-PA-10002615"/>
    <n v="150"/>
    <n v="20"/>
    <n v="13.333333333333334"/>
    <x v="3"/>
    <s v="Car Oils"/>
    <s v="INR"/>
    <n v="534204"/>
    <s v="INDIA"/>
    <x v="6"/>
    <m/>
    <n v="8.82"/>
    <n v="2"/>
    <n v="0.1"/>
    <n v="4.0571999999999999"/>
    <n v="2.3814000000000002"/>
    <n v="4"/>
  </r>
  <r>
    <n v="276"/>
    <s v="RW60"/>
    <d v="2021-10-03T00:00:00"/>
    <x v="9"/>
    <x v="0"/>
    <s v="First Class"/>
    <s v="BB-10990"/>
    <s v="OFF-AR-10001427"/>
    <n v="160"/>
    <n v="26"/>
    <n v="16.25"/>
    <x v="6"/>
    <s v="Science Kits"/>
    <s v="INR"/>
    <n v="522006"/>
    <s v="INDIA"/>
    <x v="17"/>
    <m/>
    <n v="5.98"/>
    <n v="1"/>
    <n v="0.1"/>
    <n v="1.5548"/>
    <n v="4.4252000000000002"/>
    <n v="2"/>
  </r>
  <r>
    <n v="277"/>
    <s v="DM78"/>
    <d v="2021-10-04T00:00:00"/>
    <x v="9"/>
    <x v="0"/>
    <s v="Standard Class"/>
    <s v="AG-10495"/>
    <s v="OFF-PA-10000673"/>
    <n v="120"/>
    <n v="26"/>
    <n v="21.666666666666668"/>
    <x v="7"/>
    <s v="Tea &amp; Coffee"/>
    <s v="INR"/>
    <n v="201002"/>
    <s v="INDIA"/>
    <x v="14"/>
    <m/>
    <n v="11.648"/>
    <n v="2"/>
    <n v="0.2"/>
    <n v="4.0768000000000004"/>
    <n v="3.7855999999999996"/>
    <n v="2"/>
  </r>
  <r>
    <n v="278"/>
    <s v="SI26"/>
    <d v="2021-10-05T00:00:00"/>
    <x v="9"/>
    <x v="0"/>
    <s v="Standard Class"/>
    <s v="AG-10495"/>
    <s v="OFF-PA-10004470"/>
    <n v="180"/>
    <n v="12"/>
    <n v="6.666666666666667"/>
    <x v="8"/>
    <s v="Pet Bowls"/>
    <s v="INR"/>
    <n v="516356"/>
    <s v="INDIA"/>
    <x v="2"/>
    <m/>
    <n v="18.175999999999998"/>
    <n v="4"/>
    <n v="0.2"/>
    <n v="5.9071999999999996"/>
    <n v="3.0671999999999997"/>
    <n v="4"/>
  </r>
  <r>
    <n v="279"/>
    <s v="XX98"/>
    <d v="2021-10-06T00:00:00"/>
    <x v="9"/>
    <x v="0"/>
    <s v="Standard Class"/>
    <s v="AG-10495"/>
    <s v="OFF-ST-10000876"/>
    <n v="230"/>
    <n v="26"/>
    <n v="11.304347826086957"/>
    <x v="2"/>
    <s v="Women’s Tops"/>
    <s v="INR"/>
    <n v="516356"/>
    <s v="INDIA"/>
    <x v="0"/>
    <s v="Easy Ship"/>
    <n v="59.712000000000003"/>
    <n v="6"/>
    <n v="0.2"/>
    <n v="5.9711999999999996"/>
    <n v="8.9568000000000012"/>
    <n v="5"/>
  </r>
  <r>
    <n v="280"/>
    <s v="IL41"/>
    <d v="2021-10-07T00:00:00"/>
    <x v="9"/>
    <x v="0"/>
    <s v="Standard Class"/>
    <s v="AG-10495"/>
    <s v="OFF-LA-10002043"/>
    <n v="180"/>
    <n v="12"/>
    <n v="6.666666666666667"/>
    <x v="4"/>
    <s v="Camera Lenses"/>
    <s v="INR"/>
    <n v="686006"/>
    <s v="INDIA"/>
    <x v="4"/>
    <s v="Easy Ship"/>
    <n v="24.84"/>
    <n v="3"/>
    <n v="0.2"/>
    <n v="8.6940000000000008"/>
    <n v="5.3820000000000006"/>
    <n v="5"/>
  </r>
  <r>
    <n v="281"/>
    <s v="EU56"/>
    <d v="2021-10-08T00:00:00"/>
    <x v="9"/>
    <x v="0"/>
    <s v="Second Class"/>
    <s v="SC-20725"/>
    <s v="OFF-BI-10004967"/>
    <n v="170"/>
    <n v="18"/>
    <n v="10.588235294117647"/>
    <x v="0"/>
    <s v="Drama"/>
    <s v="INR"/>
    <n v="431009"/>
    <s v="INDIA"/>
    <x v="19"/>
    <m/>
    <n v="2.08"/>
    <n v="5"/>
    <n v="0.8"/>
    <n v="-3.4319999999999999"/>
    <n v="1.1024"/>
    <n v="4"/>
  </r>
  <r>
    <n v="282"/>
    <s v="XO16"/>
    <d v="2021-10-09T00:00:00"/>
    <x v="9"/>
    <x v="0"/>
    <s v="Second Class"/>
    <s v="SC-20725"/>
    <s v="TEC-PH-10001760"/>
    <n v="240"/>
    <n v="18"/>
    <n v="7.5"/>
    <x v="1"/>
    <s v="Climbing Gear"/>
    <s v="INR"/>
    <n v="562114"/>
    <s v="INDIA"/>
    <x v="11"/>
    <m/>
    <n v="1114.4000000000001"/>
    <n v="7"/>
    <n v="0.2"/>
    <n v="376.11"/>
    <n v="105.47000000000001"/>
    <n v="2"/>
  </r>
  <r>
    <n v="283"/>
    <s v="BE58"/>
    <d v="2021-10-10T00:00:00"/>
    <x v="9"/>
    <x v="0"/>
    <s v="Standard Class"/>
    <s v="JO-15280"/>
    <s v="FUR-TA-10002903"/>
    <n v="150"/>
    <n v="30"/>
    <n v="20"/>
    <x v="4"/>
    <s v="Smart Home Hubs"/>
    <s v="INR"/>
    <n v="560102"/>
    <s v="INDIA"/>
    <x v="18"/>
    <m/>
    <n v="1038.8399999999999"/>
    <n v="5"/>
    <n v="0.2"/>
    <n v="51.942"/>
    <n v="197.37959999999998"/>
    <n v="5"/>
  </r>
  <r>
    <n v="284"/>
    <s v="OO47"/>
    <d v="2021-10-11T00:00:00"/>
    <x v="9"/>
    <x v="0"/>
    <s v="Standard Class"/>
    <s v="TB-21520"/>
    <s v="OFF-PA-10000474"/>
    <n v="180"/>
    <n v="16"/>
    <n v="8.8888888888888893"/>
    <x v="2"/>
    <s v="Women’s Scarves"/>
    <s v="INR"/>
    <n v="560049"/>
    <s v="INDIA"/>
    <x v="3"/>
    <m/>
    <n v="141.76"/>
    <n v="5"/>
    <n v="0.2"/>
    <n v="47.844000000000001"/>
    <n v="18.783200000000001"/>
    <n v="1"/>
  </r>
  <r>
    <n v="285"/>
    <s v="IB45"/>
    <d v="2021-10-12T00:00:00"/>
    <x v="9"/>
    <x v="0"/>
    <s v="Standard Class"/>
    <s v="TB-21520"/>
    <s v="TEC-AC-10001956"/>
    <n v="250"/>
    <n v="26"/>
    <n v="10.4"/>
    <x v="5"/>
    <s v="Kitchen Utensils"/>
    <s v="INR"/>
    <n v="560068"/>
    <s v="INDIA"/>
    <x v="19"/>
    <m/>
    <n v="239.8"/>
    <n v="5"/>
    <n v="0.2"/>
    <n v="47.96"/>
    <n v="38.368000000000002"/>
    <n v="5"/>
  </r>
  <r>
    <n v="286"/>
    <s v="WY90"/>
    <d v="2021-10-13T00:00:00"/>
    <x v="9"/>
    <x v="0"/>
    <s v="Standard Class"/>
    <s v="TB-21520"/>
    <s v="OFF-PA-10004100"/>
    <n v="210"/>
    <n v="26"/>
    <n v="12.380952380952381"/>
    <x v="3"/>
    <s v="Car Dash Cameras"/>
    <s v="INR"/>
    <n v="560036"/>
    <s v="INDIA"/>
    <x v="3"/>
    <m/>
    <n v="31.103999999999999"/>
    <n v="6"/>
    <n v="0.2"/>
    <n v="10.8864"/>
    <n v="3.3695999999999997"/>
    <n v="5"/>
  </r>
  <r>
    <n v="287"/>
    <s v="ME84"/>
    <d v="2021-10-14T00:00:00"/>
    <x v="9"/>
    <x v="0"/>
    <s v="Second Class"/>
    <s v="AH-10195"/>
    <s v="OFF-BI-10000778"/>
    <n v="180"/>
    <n v="12"/>
    <n v="6.666666666666667"/>
    <x v="6"/>
    <s v="Role Play Sets"/>
    <s v="INR"/>
    <n v="231223"/>
    <s v="INDIA"/>
    <x v="19"/>
    <m/>
    <n v="254.05799999999999"/>
    <n v="7"/>
    <n v="0.7"/>
    <n v="-169.37200000000001"/>
    <n v="60.49"/>
    <n v="3"/>
  </r>
  <r>
    <n v="288"/>
    <s v="TX34"/>
    <d v="2021-10-15T00:00:00"/>
    <x v="9"/>
    <x v="0"/>
    <s v="Second Class"/>
    <s v="AH-10195"/>
    <s v="OFF-AP-10002684"/>
    <n v="180"/>
    <n v="26"/>
    <n v="14.444444444444443"/>
    <x v="7"/>
    <s v="Pickles"/>
    <s v="INR"/>
    <n v="800007"/>
    <s v="INDIA"/>
    <x v="0"/>
    <s v="Easy Ship"/>
    <n v="194.52799999999999"/>
    <n v="2"/>
    <n v="0.2"/>
    <n v="24.315999999999999"/>
    <n v="85.105999999999995"/>
    <n v="4"/>
  </r>
  <r>
    <n v="289"/>
    <s v="UQ32"/>
    <d v="2021-10-16T00:00:00"/>
    <x v="9"/>
    <x v="0"/>
    <s v="Second Class"/>
    <s v="AH-10195"/>
    <s v="OFF-SU-10000646"/>
    <n v="130"/>
    <n v="28"/>
    <n v="21.53846153846154"/>
    <x v="8"/>
    <s v="Pet Blankets"/>
    <s v="INR"/>
    <n v="442001"/>
    <s v="INDIA"/>
    <x v="1"/>
    <m/>
    <n v="961.48"/>
    <n v="5"/>
    <n v="0.2"/>
    <n v="-204.31450000000001"/>
    <n v="233.15889999999999"/>
    <n v="4"/>
  </r>
  <r>
    <n v="290"/>
    <s v="LM84"/>
    <d v="2021-10-17T00:00:00"/>
    <x v="9"/>
    <x v="0"/>
    <s v="Second Class"/>
    <s v="NZ-18565"/>
    <s v="OFF-FA-10002983"/>
    <n v="180"/>
    <n v="8"/>
    <n v="4.4444444444444446"/>
    <x v="2"/>
    <s v="Men’s Sports Shoes"/>
    <s v="INR"/>
    <n v="122009"/>
    <s v="INDIA"/>
    <x v="9"/>
    <m/>
    <n v="19.096"/>
    <n v="7"/>
    <n v="0.2"/>
    <n v="6.6836000000000002"/>
    <n v="1.7731999999999999"/>
    <n v="2"/>
  </r>
  <r>
    <n v="291"/>
    <s v="JJ25"/>
    <d v="2021-10-18T00:00:00"/>
    <x v="9"/>
    <x v="0"/>
    <s v="Second Class"/>
    <s v="NZ-18565"/>
    <s v="OFF-LA-10004689"/>
    <n v="130"/>
    <n v="14"/>
    <n v="10.76923076923077"/>
    <x v="4"/>
    <s v="Speakers"/>
    <s v="INR"/>
    <n v="125050"/>
    <s v="INDIA"/>
    <x v="9"/>
    <m/>
    <n v="18.495999999999999"/>
    <n v="8"/>
    <n v="0.2"/>
    <n v="6.2423999999999999"/>
    <n v="1.5316999999999998"/>
    <n v="1"/>
  </r>
  <r>
    <n v="292"/>
    <s v="KQ45"/>
    <d v="2021-10-19T00:00:00"/>
    <x v="9"/>
    <x v="0"/>
    <s v="Second Class"/>
    <s v="NZ-18565"/>
    <s v="TEC-AC-10002001"/>
    <n v="240"/>
    <n v="8"/>
    <n v="3.3333333333333335"/>
    <x v="1"/>
    <s v="Badminton Gear"/>
    <s v="INR"/>
    <n v="125050"/>
    <s v="INDIA"/>
    <x v="0"/>
    <m/>
    <n v="255.98400000000001"/>
    <n v="2"/>
    <n v="0.2"/>
    <n v="54.396599999999999"/>
    <n v="100.7937"/>
    <n v="5"/>
  </r>
  <r>
    <n v="293"/>
    <s v="HP39"/>
    <d v="2021-10-20T00:00:00"/>
    <x v="9"/>
    <x v="0"/>
    <s v="Second Class"/>
    <s v="NZ-18565"/>
    <s v="FUR-BO-10004709"/>
    <n v="150"/>
    <n v="16"/>
    <n v="10.666666666666668"/>
    <x v="0"/>
    <s v="Anthologies"/>
    <s v="INR"/>
    <n v="125050"/>
    <s v="INDIA"/>
    <x v="16"/>
    <m/>
    <n v="86.97"/>
    <n v="3"/>
    <n v="0.5"/>
    <n v="-48.703200000000002"/>
    <n v="45.224400000000003"/>
    <n v="2"/>
  </r>
  <r>
    <n v="294"/>
    <s v="MS13"/>
    <d v="2021-10-21T00:00:00"/>
    <x v="9"/>
    <x v="0"/>
    <s v="First Class"/>
    <s v="KL-16555"/>
    <s v="FUR-FU-10004091"/>
    <n v="240"/>
    <n v="20"/>
    <n v="8.3333333333333321"/>
    <x v="5"/>
    <s v="Kitchen Racks"/>
    <s v="INR"/>
    <n v="125050"/>
    <s v="INDIA"/>
    <x v="19"/>
    <m/>
    <n v="300.416"/>
    <n v="8"/>
    <n v="0.2"/>
    <n v="78.859200000000001"/>
    <n v="27.694600000000001"/>
    <n v="5"/>
  </r>
  <r>
    <n v="295"/>
    <s v="HJ61"/>
    <d v="2021-10-22T00:00:00"/>
    <x v="9"/>
    <x v="0"/>
    <s v="First Class"/>
    <s v="KL-16555"/>
    <s v="FUR-CH-10001891"/>
    <n v="190"/>
    <n v="12"/>
    <n v="6.3157894736842106"/>
    <x v="3"/>
    <s v="Car Horns"/>
    <s v="INR"/>
    <n v="125050"/>
    <s v="INDIA"/>
    <x v="12"/>
    <s v="Easy Ship"/>
    <n v="230.352"/>
    <n v="3"/>
    <n v="0.2"/>
    <n v="20.155799999999999"/>
    <n v="70.065399999999997"/>
    <n v="4"/>
  </r>
  <r>
    <n v="296"/>
    <s v="XB62"/>
    <d v="2021-10-23T00:00:00"/>
    <x v="9"/>
    <x v="0"/>
    <s v="First Class"/>
    <s v="KL-16555"/>
    <s v="FUR-FU-10002918"/>
    <n v="170"/>
    <n v="30"/>
    <n v="17.647058823529413"/>
    <x v="6"/>
    <s v="Magic Kits"/>
    <s v="INR"/>
    <n v="827013"/>
    <s v="INDIA"/>
    <x v="0"/>
    <m/>
    <n v="218.352"/>
    <n v="3"/>
    <n v="0.2"/>
    <n v="-24.564599999999999"/>
    <n v="80.972200000000001"/>
    <n v="1"/>
  </r>
  <r>
    <n v="297"/>
    <s v="GN19"/>
    <d v="2021-10-24T00:00:00"/>
    <x v="9"/>
    <x v="0"/>
    <s v="First Class"/>
    <s v="KL-16555"/>
    <s v="OFF-BI-10004593"/>
    <n v="180"/>
    <n v="20"/>
    <n v="11.111111111111111"/>
    <x v="7"/>
    <s v="Chocolates"/>
    <s v="INR"/>
    <n v="411006"/>
    <s v="INDIA"/>
    <x v="10"/>
    <m/>
    <n v="78.599999999999994"/>
    <n v="5"/>
    <n v="0.7"/>
    <n v="-62.88"/>
    <n v="28.295999999999999"/>
    <n v="2"/>
  </r>
  <r>
    <n v="298"/>
    <s v="HM17"/>
    <d v="2021-10-25T00:00:00"/>
    <x v="9"/>
    <x v="0"/>
    <s v="First Class"/>
    <s v="KL-16555"/>
    <s v="OFF-FA-10004854"/>
    <n v="130"/>
    <n v="30"/>
    <n v="23.076923076923077"/>
    <x v="8"/>
    <s v="Pet Harnesses"/>
    <s v="INR"/>
    <n v="411006"/>
    <s v="INDIA"/>
    <x v="7"/>
    <m/>
    <n v="27.552"/>
    <n v="3"/>
    <n v="0.2"/>
    <n v="9.2988"/>
    <n v="6.0843999999999996"/>
    <n v="3"/>
  </r>
  <r>
    <n v="299"/>
    <s v="KY80"/>
    <d v="2021-10-26T00:00:00"/>
    <x v="9"/>
    <x v="0"/>
    <s v="Standard Class"/>
    <s v="JD-15895"/>
    <s v="OFF-PA-10002105"/>
    <n v="110"/>
    <n v="14"/>
    <n v="12.727272727272727"/>
    <x v="2"/>
    <s v="Women’s Coats"/>
    <s v="INR"/>
    <n v="411006"/>
    <s v="INDIA"/>
    <x v="3"/>
    <s v="Easy Ship"/>
    <n v="32.4"/>
    <n v="5"/>
    <n v="0.1"/>
    <n v="15.552"/>
    <n v="3.3695999999999997"/>
    <n v="4"/>
  </r>
  <r>
    <n v="300"/>
    <s v="KQ21"/>
    <d v="2021-10-27T00:00:00"/>
    <x v="9"/>
    <x v="0"/>
    <s v="Standard Class"/>
    <s v="JD-15895"/>
    <s v="OFF-ST-10002756"/>
    <n v="110"/>
    <n v="10"/>
    <n v="9.0909090909090917"/>
    <x v="4"/>
    <s v="Digital Cameras"/>
    <s v="INR"/>
    <n v="600074"/>
    <s v="INDIA"/>
    <x v="10"/>
    <m/>
    <n v="1082.48"/>
    <n v="8"/>
    <n v="0.1"/>
    <n v="10.8248"/>
    <n v="133.95689999999999"/>
    <n v="1"/>
  </r>
  <r>
    <n v="301"/>
    <s v="FM53"/>
    <d v="2021-10-28T00:00:00"/>
    <x v="9"/>
    <x v="0"/>
    <s v="Standard Class"/>
    <s v="JD-15895"/>
    <s v="OFF-PA-10004243"/>
    <n v="170"/>
    <n v="26"/>
    <n v="15.294117647058824"/>
    <x v="0"/>
    <s v="Children’s Storybooks"/>
    <s v="INR"/>
    <n v="500010"/>
    <s v="INDIA"/>
    <x v="7"/>
    <m/>
    <n v="56.91"/>
    <n v="3"/>
    <n v="0.1"/>
    <n v="27.316800000000001"/>
    <n v="9.8643999999999981"/>
    <n v="2"/>
  </r>
  <r>
    <n v="302"/>
    <s v="DV94"/>
    <d v="2021-10-29T00:00:00"/>
    <x v="9"/>
    <x v="0"/>
    <s v="Standard Class"/>
    <s v="JD-15895"/>
    <s v="FUR-FU-10001861"/>
    <n v="230"/>
    <n v="18"/>
    <n v="7.8260869565217401"/>
    <x v="1"/>
    <s v="Elliptical Trainers"/>
    <s v="INR"/>
    <n v="400066"/>
    <s v="INDIA"/>
    <x v="3"/>
    <m/>
    <n v="77.599999999999994"/>
    <n v="4"/>
    <n v="0.1"/>
    <n v="38.024000000000001"/>
    <n v="9.8939999999999984"/>
    <n v="1"/>
  </r>
  <r>
    <n v="303"/>
    <s v="ES40"/>
    <d v="2021-10-30T00:00:00"/>
    <x v="9"/>
    <x v="0"/>
    <s v="Standard Class"/>
    <s v="JD-15895"/>
    <s v="OFF-BI-10002706"/>
    <n v="240"/>
    <n v="18"/>
    <n v="7.5"/>
    <x v="4"/>
    <s v="Smart Thermostats"/>
    <s v="INR"/>
    <n v="415304"/>
    <s v="INDIA"/>
    <x v="5"/>
    <m/>
    <n v="14.28"/>
    <n v="1"/>
    <n v="0.1"/>
    <n v="6.5688000000000004"/>
    <n v="7.7111999999999989"/>
    <n v="3"/>
  </r>
  <r>
    <n v="304"/>
    <s v="OZ82"/>
    <d v="2021-10-31T00:00:00"/>
    <x v="9"/>
    <x v="0"/>
    <s v="Standard Class"/>
    <s v="JH-15910"/>
    <s v="FUR-TA-10002533"/>
    <n v="130"/>
    <n v="26"/>
    <n v="20"/>
    <x v="2"/>
    <s v="Kids’ Dresses"/>
    <s v="INR"/>
    <n v="171005"/>
    <s v="INDIA"/>
    <x v="2"/>
    <m/>
    <n v="219.07499999999999"/>
    <n v="3"/>
    <n v="0.5"/>
    <n v="-131.44499999999999"/>
    <n v="116.83999999999999"/>
    <n v="2"/>
  </r>
  <r>
    <n v="305"/>
    <s v="CL72"/>
    <d v="2021-11-01T00:00:00"/>
    <x v="10"/>
    <x v="0"/>
    <s v="Second Class"/>
    <s v="AS-10225"/>
    <s v="FUR-FU-10002671"/>
    <n v="150"/>
    <n v="16"/>
    <n v="10.666666666666668"/>
    <x v="5"/>
    <s v="Kitchen Knives"/>
    <s v="INR"/>
    <n v="440015"/>
    <s v="INDIA"/>
    <x v="8"/>
    <m/>
    <n v="26.8"/>
    <n v="2"/>
    <n v="0.1"/>
    <n v="12.864000000000001"/>
    <n v="6.968"/>
    <n v="4"/>
  </r>
  <r>
    <n v="306"/>
    <s v="BC46"/>
    <d v="2021-11-02T00:00:00"/>
    <x v="10"/>
    <x v="0"/>
    <s v="Standard Class"/>
    <s v="KB-16600"/>
    <s v="OFF-AR-10003651"/>
    <n v="150"/>
    <n v="30"/>
    <n v="20"/>
    <x v="3"/>
    <s v="Car Steering Covers"/>
    <s v="INR"/>
    <n v="500064"/>
    <s v="INDIA"/>
    <x v="3"/>
    <m/>
    <n v="9.84"/>
    <n v="3"/>
    <n v="0.1"/>
    <n v="2.8536000000000001"/>
    <n v="2.3287999999999998"/>
    <n v="4"/>
  </r>
  <r>
    <n v="307"/>
    <s v="QX35"/>
    <d v="2021-11-03T00:00:00"/>
    <x v="10"/>
    <x v="0"/>
    <s v="Standard Class"/>
    <s v="CR-12625"/>
    <s v="OFF-BI-10001072"/>
    <n v="180"/>
    <n v="8"/>
    <n v="4.4444444444444446"/>
    <x v="6"/>
    <s v="Construction Sets"/>
    <s v="INR"/>
    <n v="411028"/>
    <s v="INDIA"/>
    <x v="18"/>
    <s v="Easy Ship"/>
    <n v="45.48"/>
    <n v="3"/>
    <n v="0.1"/>
    <n v="20.9208"/>
    <n v="8.186399999999999"/>
    <n v="4"/>
  </r>
  <r>
    <n v="308"/>
    <s v="BB61"/>
    <d v="2021-11-04T00:00:00"/>
    <x v="10"/>
    <x v="0"/>
    <s v="Standard Class"/>
    <s v="CR-12625"/>
    <s v="OFF-AR-10002135"/>
    <n v="160"/>
    <n v="24"/>
    <n v="15"/>
    <x v="7"/>
    <s v="Juices"/>
    <s v="INR"/>
    <n v="781028"/>
    <s v="INDIA"/>
    <x v="5"/>
    <m/>
    <n v="289.2"/>
    <n v="6"/>
    <n v="0.1"/>
    <n v="83.867999999999995"/>
    <n v="34.222000000000001"/>
    <n v="2"/>
  </r>
  <r>
    <n v="309"/>
    <s v="FU31"/>
    <d v="2021-11-05T00:00:00"/>
    <x v="10"/>
    <x v="0"/>
    <s v="First Class"/>
    <s v="SH-20395"/>
    <s v="OFF-AR-10002804"/>
    <n v="210"/>
    <n v="10"/>
    <n v="4.7619047619047619"/>
    <x v="8"/>
    <s v="Pet Towels"/>
    <s v="INR"/>
    <n v="781028"/>
    <s v="INDIA"/>
    <x v="12"/>
    <m/>
    <n v="4.8899999999999997"/>
    <n v="1"/>
    <n v="0.1"/>
    <n v="2.0049000000000001"/>
    <n v="2.8850999999999996"/>
    <n v="3"/>
  </r>
  <r>
    <n v="310"/>
    <s v="FK94"/>
    <d v="2021-11-06T00:00:00"/>
    <x v="10"/>
    <x v="0"/>
    <s v="Second Class"/>
    <s v="BP-11185"/>
    <s v="FUR-FU-10001918"/>
    <n v="230"/>
    <n v="14"/>
    <n v="6.0869565217391308"/>
    <x v="2"/>
    <s v="Men’s Accessories"/>
    <s v="INR"/>
    <n v="712235"/>
    <s v="INDIA"/>
    <x v="13"/>
    <m/>
    <n v="15.135999999999999"/>
    <n v="4"/>
    <n v="0.2"/>
    <n v="3.5948000000000002"/>
    <n v="2.8853"/>
    <n v="5"/>
  </r>
  <r>
    <n v="311"/>
    <s v="MI58"/>
    <d v="2021-11-07T00:00:00"/>
    <x v="10"/>
    <x v="0"/>
    <s v="Second Class"/>
    <s v="BP-11185"/>
    <s v="FUR-CH-10004086"/>
    <n v="130"/>
    <n v="14"/>
    <n v="10.76923076923077"/>
    <x v="4"/>
    <s v="Smart Speakers"/>
    <s v="INR"/>
    <n v="400706"/>
    <s v="INDIA"/>
    <x v="4"/>
    <m/>
    <n v="466.76799999999997"/>
    <n v="2"/>
    <n v="0.2"/>
    <n v="52.511400000000002"/>
    <n v="207.1283"/>
    <n v="1"/>
  </r>
  <r>
    <n v="312"/>
    <s v="DU46"/>
    <d v="2021-11-08T00:00:00"/>
    <x v="10"/>
    <x v="0"/>
    <s v="Second Class"/>
    <s v="BP-11185"/>
    <s v="FUR-FU-10001756"/>
    <n v="190"/>
    <n v="12"/>
    <n v="6.3157894736842106"/>
    <x v="1"/>
    <s v="Martial Arts Gear"/>
    <m/>
    <n v="682314"/>
    <s v="INDIA"/>
    <x v="4"/>
    <m/>
    <n v="15.231999999999999"/>
    <n v="1"/>
    <n v="0.2"/>
    <n v="1.7136"/>
    <n v="13.5184"/>
    <n v="2"/>
  </r>
  <r>
    <n v="313"/>
    <s v="EH90"/>
    <d v="2021-11-09T00:00:00"/>
    <x v="10"/>
    <x v="0"/>
    <s v="Second Class"/>
    <s v="BP-11185"/>
    <s v="OFF-LA-10000634"/>
    <n v="150"/>
    <n v="10"/>
    <n v="6.666666666666667"/>
    <x v="0"/>
    <s v="Encyclopedias"/>
    <s v="INR"/>
    <n v="110034"/>
    <s v="INDIA"/>
    <x v="10"/>
    <m/>
    <n v="6.2640000000000002"/>
    <n v="3"/>
    <n v="0.2"/>
    <n v="2.0358000000000001"/>
    <n v="1.4094"/>
    <n v="1"/>
  </r>
  <r>
    <n v="314"/>
    <s v="EG54"/>
    <d v="2021-11-10T00:00:00"/>
    <x v="10"/>
    <x v="0"/>
    <s v="Standard Class"/>
    <s v="TS-21205"/>
    <s v="FUR-FU-10001588"/>
    <n v="140"/>
    <n v="12"/>
    <n v="8.5714285714285712"/>
    <x v="5"/>
    <s v="Kitchen Shelves"/>
    <s v="INR"/>
    <n v="500061"/>
    <s v="INDIA"/>
    <x v="11"/>
    <m/>
    <n v="87.54"/>
    <n v="3"/>
    <n v="0.1"/>
    <n v="37.642200000000003"/>
    <n v="16.6326"/>
    <n v="2"/>
  </r>
  <r>
    <n v="315"/>
    <s v="VE96"/>
    <d v="2021-11-11T00:00:00"/>
    <x v="10"/>
    <x v="0"/>
    <s v="Standard Class"/>
    <s v="AG-10525"/>
    <s v="TEC-PH-10002398"/>
    <n v="120"/>
    <n v="20"/>
    <n v="16.666666666666664"/>
    <x v="3"/>
    <s v="Car Air Fresheners"/>
    <s v="INR"/>
    <n v="560024"/>
    <s v="INDIA"/>
    <x v="18"/>
    <m/>
    <n v="178.38399999999999"/>
    <n v="2"/>
    <n v="0.2"/>
    <n v="22.297999999999998"/>
    <n v="78.042999999999992"/>
    <n v="3"/>
  </r>
  <r>
    <n v="316"/>
    <s v="YF56"/>
    <d v="2021-11-12T00:00:00"/>
    <x v="10"/>
    <x v="0"/>
    <s v="Standard Class"/>
    <s v="AG-10525"/>
    <s v="OFF-PA-10001937"/>
    <n v="160"/>
    <n v="18"/>
    <n v="11.25"/>
    <x v="6"/>
    <s v="Mini Cars"/>
    <m/>
    <n v="171011"/>
    <s v="INDIA"/>
    <x v="14"/>
    <m/>
    <n v="15.552"/>
    <n v="3"/>
    <n v="0.2"/>
    <n v="5.4432"/>
    <n v="3.3695999999999997"/>
    <n v="5"/>
  </r>
  <r>
    <n v="317"/>
    <s v="YM60"/>
    <d v="2021-11-13T00:00:00"/>
    <x v="10"/>
    <x v="0"/>
    <s v="First Class"/>
    <s v="SP-20860"/>
    <s v="OFF-AR-10003373"/>
    <n v="190"/>
    <n v="6"/>
    <n v="3.1578947368421053"/>
    <x v="7"/>
    <s v="Ready Mixes"/>
    <s v="INR"/>
    <n v="671319"/>
    <s v="INDIA"/>
    <x v="18"/>
    <s v="Easy Ship"/>
    <n v="99.135999999999996"/>
    <n v="4"/>
    <n v="0.2"/>
    <n v="8.6744000000000003"/>
    <n v="22.615399999999998"/>
    <n v="3"/>
  </r>
  <r>
    <n v="318"/>
    <s v="MS10"/>
    <d v="2021-11-14T00:00:00"/>
    <x v="10"/>
    <x v="0"/>
    <s v="Standard Class"/>
    <s v="NM-18445"/>
    <s v="FUR-CH-10002602"/>
    <n v="240"/>
    <n v="24"/>
    <n v="10"/>
    <x v="8"/>
    <s v="Pet Beds"/>
    <s v="INR"/>
    <n v="524004"/>
    <s v="INDIA"/>
    <x v="4"/>
    <m/>
    <n v="135.88200000000001"/>
    <n v="1"/>
    <n v="0.11"/>
    <n v="24.1568"/>
    <n v="111.7252"/>
    <n v="2"/>
  </r>
  <r>
    <n v="319"/>
    <s v="AL90"/>
    <d v="2021-11-15T00:00:00"/>
    <x v="10"/>
    <x v="0"/>
    <s v="Standard Class"/>
    <s v="NM-18445"/>
    <s v="TEC-MA-10002927"/>
    <n v="220"/>
    <n v="18"/>
    <n v="8.1818181818181817"/>
    <x v="2"/>
    <s v="Women’s Sunglasses"/>
    <s v="INR"/>
    <n v="627764"/>
    <s v="INDIA"/>
    <x v="4"/>
    <m/>
    <n v="3991.98"/>
    <n v="2"/>
    <n v="0.1"/>
    <n v="1995.99"/>
    <n v="997.995"/>
    <n v="1"/>
  </r>
  <r>
    <n v="320"/>
    <s v="NF38"/>
    <d v="2021-11-16T00:00:00"/>
    <x v="10"/>
    <x v="0"/>
    <s v="Standard Class"/>
    <s v="NM-18445"/>
    <s v="TEC-PH-10004093"/>
    <n v="160"/>
    <n v="16"/>
    <n v="10"/>
    <x v="4"/>
    <s v="Smart Cameras"/>
    <s v="INR"/>
    <n v="171102"/>
    <s v="INDIA"/>
    <x v="11"/>
    <m/>
    <n v="275.94"/>
    <n v="6"/>
    <n v="0.1"/>
    <n v="80.022599999999997"/>
    <n v="32.652899999999995"/>
    <n v="2"/>
  </r>
  <r>
    <n v="321"/>
    <s v="RL56"/>
    <d v="2021-11-17T00:00:00"/>
    <x v="10"/>
    <x v="0"/>
    <s v="Standard Class"/>
    <s v="NM-18445"/>
    <s v="TEC-AC-10000892"/>
    <n v="200"/>
    <n v="14"/>
    <n v="7.0000000000000009"/>
    <x v="0"/>
    <s v="Children’s Activity Books"/>
    <s v="INR"/>
    <n v="110021"/>
    <s v="INDIA"/>
    <x v="4"/>
    <m/>
    <n v="360"/>
    <n v="4"/>
    <n v="0.1"/>
    <n v="129.6"/>
    <n v="57.6"/>
    <n v="2"/>
  </r>
  <r>
    <n v="322"/>
    <s v="JD72"/>
    <d v="2021-11-18T00:00:00"/>
    <x v="10"/>
    <x v="0"/>
    <s v="Standard Class"/>
    <s v="NM-18445"/>
    <s v="OFF-ST-10002974"/>
    <n v="130"/>
    <n v="20"/>
    <n v="15.384615384615385"/>
    <x v="1"/>
    <s v="Rowing Machines"/>
    <s v="INR"/>
    <n v="502032"/>
    <s v="INDIA"/>
    <x v="15"/>
    <m/>
    <n v="43.57"/>
    <n v="1"/>
    <n v="0.1"/>
    <n v="13.071"/>
    <n v="30.499000000000002"/>
    <n v="2"/>
  </r>
  <r>
    <n v="323"/>
    <s v="EQ39"/>
    <d v="2021-11-19T00:00:00"/>
    <x v="10"/>
    <x v="0"/>
    <s v="Standard Class"/>
    <s v="FA-14230"/>
    <s v="OFF-FA-10000624"/>
    <n v="220"/>
    <n v="8"/>
    <n v="3.6363636363636362"/>
    <x v="4"/>
    <s v="Smart Sensors"/>
    <s v="INR"/>
    <n v="700053"/>
    <s v="INDIA"/>
    <x v="18"/>
    <s v="Easy Ship"/>
    <n v="7.16"/>
    <n v="2"/>
    <n v="0.1"/>
    <n v="3.58"/>
    <n v="1.79"/>
    <n v="4"/>
  </r>
  <r>
    <n v="324"/>
    <s v="CQ54"/>
    <d v="2021-11-20T00:00:00"/>
    <x v="10"/>
    <x v="0"/>
    <s v="Standard Class"/>
    <s v="GK-14620"/>
    <s v="OFF-BI-10004593"/>
    <n v="140"/>
    <n v="10"/>
    <n v="7.1428571428571423"/>
    <x v="2"/>
    <s v="Men’s Jackets"/>
    <s v="INR"/>
    <n v="396445"/>
    <s v="INDIA"/>
    <x v="9"/>
    <s v="Easy Ship"/>
    <n v="251.52"/>
    <n v="6"/>
    <n v="0.2"/>
    <n v="81.744"/>
    <n v="28.296000000000003"/>
    <n v="1"/>
  </r>
  <r>
    <n v="325"/>
    <s v="MT91"/>
    <d v="2021-11-21T00:00:00"/>
    <x v="10"/>
    <x v="0"/>
    <s v="Standard Class"/>
    <s v="GK-14620"/>
    <s v="TEC-AC-10001908"/>
    <n v="170"/>
    <n v="16"/>
    <n v="9.4117647058823533"/>
    <x v="5"/>
    <s v="Kitchen Organizers"/>
    <s v="INR"/>
    <n v="560016"/>
    <s v="INDIA"/>
    <x v="0"/>
    <m/>
    <n v="99.99"/>
    <n v="1"/>
    <n v="0.1"/>
    <n v="34.996499999999997"/>
    <n v="64.993499999999997"/>
    <n v="1"/>
  </r>
  <r>
    <n v="326"/>
    <s v="WS66"/>
    <d v="2021-11-22T00:00:00"/>
    <x v="10"/>
    <x v="0"/>
    <s v="Second Class"/>
    <s v="DJ-13510"/>
    <s v="FUR-FU-10001967"/>
    <n v="130"/>
    <n v="28"/>
    <n v="21.53846153846154"/>
    <x v="3"/>
    <s v="Car Wipers"/>
    <s v="INR"/>
    <n v="148109"/>
    <s v="INDIA"/>
    <x v="10"/>
    <m/>
    <n v="15.992000000000001"/>
    <n v="1"/>
    <n v="0.2"/>
    <n v="0.99950000000000006"/>
    <n v="14.992500000000001"/>
    <n v="2"/>
  </r>
  <r>
    <n v="327"/>
    <s v="SC42"/>
    <d v="2021-11-23T00:00:00"/>
    <x v="10"/>
    <x v="0"/>
    <s v="First Class"/>
    <s v="PO-18850"/>
    <s v="TEC-PH-10003645"/>
    <n v="190"/>
    <n v="18"/>
    <n v="9.4736842105263168"/>
    <x v="6"/>
    <s v="Board Puzzles"/>
    <s v="INR"/>
    <n v="222001"/>
    <s v="INDIA"/>
    <x v="13"/>
    <m/>
    <n v="290.89800000000002"/>
    <n v="3"/>
    <n v="0.4"/>
    <n v="-67.876199999999997"/>
    <n v="119.59140000000001"/>
    <n v="4"/>
  </r>
  <r>
    <n v="328"/>
    <s v="AP37"/>
    <d v="2021-11-24T00:00:00"/>
    <x v="10"/>
    <x v="0"/>
    <s v="First Class"/>
    <s v="PO-18850"/>
    <s v="OFF-ST-10000675"/>
    <n v="150"/>
    <n v="20"/>
    <n v="13.333333333333334"/>
    <x v="7"/>
    <s v="Herbal Teas"/>
    <s v="INR"/>
    <n v="380054"/>
    <s v="INDIA"/>
    <x v="0"/>
    <m/>
    <n v="54.223999999999997"/>
    <n v="2"/>
    <n v="0.2"/>
    <n v="3.3889999999999998"/>
    <n v="25.417499999999997"/>
    <n v="4"/>
  </r>
  <r>
    <n v="329"/>
    <s v="NL97"/>
    <d v="2021-11-25T00:00:00"/>
    <x v="10"/>
    <x v="0"/>
    <s v="First Class"/>
    <s v="PO-18850"/>
    <s v="FUR-CH-10003312"/>
    <n v="220"/>
    <n v="28"/>
    <n v="12.727272727272727"/>
    <x v="8"/>
    <s v="Pet Brushes"/>
    <s v="INR"/>
    <n v="571401"/>
    <s v="INDIA"/>
    <x v="18"/>
    <m/>
    <n v="786.74400000000003"/>
    <n v="4"/>
    <n v="0.3"/>
    <n v="-258.5016"/>
    <n v="261.31139999999999"/>
    <n v="5"/>
  </r>
  <r>
    <n v="330"/>
    <s v="UT36"/>
    <d v="2021-11-26T00:00:00"/>
    <x v="10"/>
    <x v="0"/>
    <s v="First Class"/>
    <s v="PO-18850"/>
    <s v="OFF-LA-10001074"/>
    <n v="120"/>
    <n v="22"/>
    <n v="18.333333333333332"/>
    <x v="2"/>
    <s v="Women’s Skirts"/>
    <s v="INR"/>
    <n v="444101"/>
    <s v="INDIA"/>
    <x v="1"/>
    <m/>
    <n v="100.24"/>
    <n v="10"/>
    <n v="0.2"/>
    <n v="33.831000000000003"/>
    <n v="6.6408999999999994"/>
    <n v="4"/>
  </r>
  <r>
    <n v="331"/>
    <s v="BD70"/>
    <d v="2021-11-27T00:00:00"/>
    <x v="10"/>
    <x v="0"/>
    <s v="First Class"/>
    <s v="PO-18850"/>
    <s v="OFF-BI-10001524"/>
    <n v="100"/>
    <n v="24"/>
    <n v="24"/>
    <x v="4"/>
    <s v="Smart Door Locks"/>
    <s v="INR"/>
    <n v="500083"/>
    <s v="INDIA"/>
    <x v="6"/>
    <m/>
    <n v="37.764000000000003"/>
    <n v="6"/>
    <n v="0.7"/>
    <n v="-27.6936"/>
    <n v="10.909599999999999"/>
    <n v="5"/>
  </r>
  <r>
    <n v="332"/>
    <s v="NP54"/>
    <d v="2021-11-28T00:00:00"/>
    <x v="10"/>
    <x v="0"/>
    <s v="Second Class"/>
    <s v="JL-15850"/>
    <s v="TEC-PH-10004614"/>
    <n v="240"/>
    <n v="22"/>
    <n v="9.1666666666666661"/>
    <x v="0"/>
    <s v="Poetry Collections"/>
    <s v="INR"/>
    <n v="500079"/>
    <s v="INDIA"/>
    <x v="3"/>
    <m/>
    <n v="82.8"/>
    <n v="2"/>
    <n v="0.4"/>
    <n v="-20.7"/>
    <n v="51.75"/>
    <n v="4"/>
  </r>
  <r>
    <n v="333"/>
    <s v="YD47"/>
    <d v="2021-11-29T00:00:00"/>
    <x v="10"/>
    <x v="0"/>
    <s v="Second Class"/>
    <s v="JL-15850"/>
    <s v="OFF-BI-10001153"/>
    <n v="170"/>
    <n v="20"/>
    <n v="11.76470588235294"/>
    <x v="1"/>
    <s v="Running Gear"/>
    <s v="INR"/>
    <n v="700092"/>
    <s v="INDIA"/>
    <x v="18"/>
    <m/>
    <n v="20.724"/>
    <n v="2"/>
    <n v="0.7"/>
    <n v="-13.816000000000001"/>
    <n v="17.27"/>
    <n v="4"/>
  </r>
  <r>
    <n v="334"/>
    <s v="SG52"/>
    <d v="2021-11-30T00:00:00"/>
    <x v="10"/>
    <x v="0"/>
    <s v="Second Class"/>
    <s v="JL-15850"/>
    <s v="OFF-BI-10001982"/>
    <n v="220"/>
    <n v="20"/>
    <n v="9.0909090909090917"/>
    <x v="4"/>
    <s v="Smart Switches"/>
    <s v="INR"/>
    <n v="421203"/>
    <s v="INDIA"/>
    <x v="6"/>
    <m/>
    <n v="4.8959999999999999"/>
    <n v="3"/>
    <n v="0.7"/>
    <n v="-3.4272"/>
    <n v="2.7744"/>
    <n v="4"/>
  </r>
  <r>
    <n v="335"/>
    <s v="FN98"/>
    <d v="2021-12-01T00:00:00"/>
    <x v="11"/>
    <x v="0"/>
    <s v="Second Class"/>
    <s v="DB-13615"/>
    <s v="OFF-BI-10001922"/>
    <n v="230"/>
    <n v="16"/>
    <n v="6.9565217391304346"/>
    <x v="2"/>
    <s v="Kids’ Footwear"/>
    <s v="INR"/>
    <n v="474020"/>
    <s v="INDIA"/>
    <x v="2"/>
    <m/>
    <n v="4.7519999999999998"/>
    <n v="1"/>
    <n v="0.2"/>
    <n v="1.6037999999999999"/>
    <n v="3.1482000000000001"/>
    <n v="3"/>
  </r>
  <r>
    <n v="336"/>
    <s v="HR96"/>
    <d v="2021-12-02T00:00:00"/>
    <x v="11"/>
    <x v="0"/>
    <s v="Second Class"/>
    <s v="DB-13615"/>
    <s v="TEC-CO-10001449"/>
    <n v="150"/>
    <n v="24"/>
    <n v="16"/>
    <x v="5"/>
    <s v="Kitchen Containers"/>
    <s v="INR"/>
    <n v="474020"/>
    <s v="INDIA"/>
    <x v="12"/>
    <s v="Easy Ship"/>
    <n v="959.98400000000004"/>
    <n v="2"/>
    <n v="0.2"/>
    <n v="335.99439999999998"/>
    <n v="311.99480000000005"/>
    <n v="1"/>
  </r>
  <r>
    <n v="337"/>
    <s v="SV56"/>
    <d v="2021-12-03T00:00:00"/>
    <x v="11"/>
    <x v="0"/>
    <s v="Second Class"/>
    <s v="DB-13615"/>
    <s v="OFF-BI-10004140"/>
    <n v="210"/>
    <n v="20"/>
    <n v="9.5238095238095237"/>
    <x v="3"/>
    <s v="Car Mirrors"/>
    <s v="INR"/>
    <n v="411041"/>
    <s v="INDIA"/>
    <x v="3"/>
    <s v="Easy Ship"/>
    <n v="14.368"/>
    <n v="4"/>
    <n v="0.2"/>
    <n v="4.49"/>
    <n v="2.4695"/>
    <n v="5"/>
  </r>
  <r>
    <n v="338"/>
    <s v="NQ64"/>
    <d v="2021-12-04T00:00:00"/>
    <x v="11"/>
    <x v="0"/>
    <s v="Standard Class"/>
    <s v="AC-10420"/>
    <s v="OFF-BI-10003314"/>
    <n v="100"/>
    <n v="6"/>
    <n v="6"/>
    <x v="6"/>
    <s v="Play Kitchens"/>
    <s v="INR"/>
    <n v="410210"/>
    <s v="INDIA"/>
    <x v="17"/>
    <m/>
    <n v="7.7119999999999997"/>
    <n v="2"/>
    <n v="0.2"/>
    <n v="2.7955999999999999"/>
    <n v="2.4581999999999997"/>
    <n v="5"/>
  </r>
  <r>
    <n v="339"/>
    <s v="LC74"/>
    <d v="2021-12-05T00:00:00"/>
    <x v="11"/>
    <x v="0"/>
    <s v="Standard Class"/>
    <s v="AC-10420"/>
    <s v="FUR-TA-10004575"/>
    <n v="160"/>
    <n v="8"/>
    <n v="5"/>
    <x v="7"/>
    <s v="Protein Powders"/>
    <s v="INR"/>
    <n v="600059"/>
    <s v="INDIA"/>
    <x v="8"/>
    <s v="Easy Ship"/>
    <n v="698.35199999999998"/>
    <n v="3"/>
    <n v="0.2"/>
    <n v="-17.4588"/>
    <n v="238.6036"/>
    <n v="3"/>
  </r>
  <r>
    <n v="340"/>
    <s v="JN32"/>
    <d v="2021-12-06T00:00:00"/>
    <x v="11"/>
    <x v="0"/>
    <s v="Second Class"/>
    <s v="KL-16645"/>
    <s v="OFF-FA-10000490"/>
    <n v="130"/>
    <n v="12"/>
    <n v="9.2307692307692317"/>
    <x v="8"/>
    <s v="Pet Chew Toys"/>
    <s v="INR"/>
    <n v="670571"/>
    <s v="INDIA"/>
    <x v="18"/>
    <s v="Easy Ship"/>
    <n v="4.96"/>
    <n v="4"/>
    <n v="0.1"/>
    <n v="2.3311999999999999"/>
    <n v="0.65720000000000001"/>
    <n v="1"/>
  </r>
  <r>
    <n v="341"/>
    <s v="BF30"/>
    <d v="2021-12-07T00:00:00"/>
    <x v="11"/>
    <x v="0"/>
    <s v="Second Class"/>
    <s v="JD-15895"/>
    <s v="OFF-AR-10000122"/>
    <n v="230"/>
    <n v="14"/>
    <n v="6.0869565217391308"/>
    <x v="2"/>
    <s v="Men’s Watches"/>
    <s v="INR"/>
    <n v="502319"/>
    <s v="INDIA"/>
    <x v="0"/>
    <m/>
    <n v="17.856000000000002"/>
    <n v="4"/>
    <n v="0.2"/>
    <n v="1.1160000000000001"/>
    <n v="4.1850000000000005"/>
    <n v="2"/>
  </r>
  <r>
    <n v="342"/>
    <s v="UA44"/>
    <d v="2021-12-08T00:00:00"/>
    <x v="11"/>
    <x v="0"/>
    <s v="Second Class"/>
    <s v="JD-15895"/>
    <s v="OFF-BI-10003656"/>
    <n v="150"/>
    <n v="24"/>
    <n v="16"/>
    <x v="4"/>
    <s v="Smart Displays"/>
    <s v="INR"/>
    <n v="700102"/>
    <s v="INDIA"/>
    <x v="18"/>
    <m/>
    <n v="509.97"/>
    <n v="10"/>
    <n v="0.7"/>
    <n v="-407.976"/>
    <n v="91.794600000000003"/>
    <n v="2"/>
  </r>
  <r>
    <n v="343"/>
    <s v="YX39"/>
    <d v="2021-12-09T00:00:00"/>
    <x v="11"/>
    <x v="0"/>
    <s v="Second Class"/>
    <s v="JD-15895"/>
    <s v="OFF-FA-10002780"/>
    <n v="150"/>
    <n v="10"/>
    <n v="6.666666666666667"/>
    <x v="0"/>
    <s v="Children’s Novels"/>
    <s v="INR"/>
    <n v="560084"/>
    <s v="INDIA"/>
    <x v="19"/>
    <m/>
    <n v="30.992000000000001"/>
    <n v="13"/>
    <n v="0.2"/>
    <n v="10.0724"/>
    <n v="1.6092000000000002"/>
    <n v="5"/>
  </r>
  <r>
    <n v="344"/>
    <s v="IO74"/>
    <d v="2021-12-10T00:00:00"/>
    <x v="11"/>
    <x v="0"/>
    <s v="Second Class"/>
    <s v="JD-15895"/>
    <s v="TEC-PH-10000702"/>
    <n v="170"/>
    <n v="8"/>
    <n v="4.7058823529411766"/>
    <x v="1"/>
    <s v="Weight Training"/>
    <s v="INR"/>
    <n v="400095"/>
    <s v="INDIA"/>
    <x v="3"/>
    <m/>
    <n v="71.927999999999997"/>
    <n v="12"/>
    <n v="0.4"/>
    <n v="8.3916000000000004"/>
    <n v="5.2946999999999997"/>
    <n v="1"/>
  </r>
  <r>
    <n v="345"/>
    <s v="UN51"/>
    <d v="2021-12-11T00:00:00"/>
    <x v="11"/>
    <x v="0"/>
    <s v="Standard Class"/>
    <s v="CS-12130"/>
    <s v="OFF-ST-10000107"/>
    <n v="100"/>
    <n v="24"/>
    <n v="24"/>
    <x v="4"/>
    <s v="Smart Remotes"/>
    <s v="INR"/>
    <n v="827012"/>
    <s v="INDIA"/>
    <x v="5"/>
    <m/>
    <n v="88.8"/>
    <n v="4"/>
    <n v="0.2"/>
    <n v="-2.2200000000000002"/>
    <n v="22.754999999999999"/>
    <n v="4"/>
  </r>
  <r>
    <n v="346"/>
    <s v="HV75"/>
    <d v="2021-12-12T00:00:00"/>
    <x v="11"/>
    <x v="0"/>
    <s v="Standard Class"/>
    <s v="CC-12550"/>
    <s v="TEC-PH-10002293"/>
    <n v="170"/>
    <n v="22"/>
    <n v="12.941176470588237"/>
    <x v="2"/>
    <s v="Women’s Jewelry"/>
    <s v="INR"/>
    <n v="392020"/>
    <s v="INDIA"/>
    <x v="7"/>
    <s v="Easy Ship"/>
    <n v="47.975999999999999"/>
    <n v="3"/>
    <n v="0.2"/>
    <n v="4.7976000000000001"/>
    <n v="14.392799999999999"/>
    <n v="2"/>
  </r>
  <r>
    <n v="347"/>
    <s v="AW24"/>
    <d v="2021-12-13T00:00:00"/>
    <x v="11"/>
    <x v="0"/>
    <s v="Standard Class"/>
    <s v="TD-20995"/>
    <s v="OFF-AR-10004027"/>
    <n v="180"/>
    <n v="22"/>
    <n v="12.222222222222221"/>
    <x v="5"/>
    <s v="Kitchen Trays"/>
    <s v="INR"/>
    <n v="392020"/>
    <s v="INDIA"/>
    <x v="5"/>
    <m/>
    <n v="7.56"/>
    <n v="3"/>
    <n v="0.1"/>
    <n v="3.0996000000000001"/>
    <n v="1.4867999999999999"/>
    <n v="3"/>
  </r>
  <r>
    <n v="348"/>
    <s v="OI57"/>
    <d v="2021-12-14T00:00:00"/>
    <x v="11"/>
    <x v="0"/>
    <s v="Standard Class"/>
    <s v="TD-20995"/>
    <s v="OFF-PA-10000249"/>
    <n v="160"/>
    <n v="8"/>
    <n v="5"/>
    <x v="3"/>
    <s v="Car Covers"/>
    <s v="INR"/>
    <n v="392020"/>
    <s v="INDIA"/>
    <x v="11"/>
    <m/>
    <n v="24.56"/>
    <n v="2"/>
    <n v="0.1"/>
    <n v="11.543200000000001"/>
    <n v="6.5083999999999991"/>
    <n v="1"/>
  </r>
  <r>
    <n v="349"/>
    <s v="JP75"/>
    <d v="2021-12-15T00:00:00"/>
    <x v="11"/>
    <x v="0"/>
    <s v="Standard Class"/>
    <s v="TD-20995"/>
    <s v="OFF-AR-10001374"/>
    <n v="240"/>
    <n v="14"/>
    <n v="5.833333333333333"/>
    <x v="6"/>
    <s v="Learning Games"/>
    <s v="INR"/>
    <n v="507002"/>
    <s v="INDIA"/>
    <x v="10"/>
    <m/>
    <n v="12.96"/>
    <n v="2"/>
    <n v="0.1"/>
    <n v="4.1471999999999998"/>
    <n v="4.4064000000000005"/>
    <n v="4"/>
  </r>
  <r>
    <n v="350"/>
    <s v="GC11"/>
    <d v="2021-12-16T00:00:00"/>
    <x v="11"/>
    <x v="0"/>
    <s v="First Class"/>
    <s v="AB-10060"/>
    <s v="TEC-AC-10000290"/>
    <n v="200"/>
    <n v="16"/>
    <n v="8"/>
    <x v="7"/>
    <s v="Snacks"/>
    <s v="INR"/>
    <n v="575003"/>
    <s v="INDIA"/>
    <x v="0"/>
    <m/>
    <n v="6.79"/>
    <n v="1"/>
    <n v="0.1"/>
    <n v="2.3086000000000002"/>
    <n v="4.4813999999999998"/>
    <n v="2"/>
  </r>
  <r>
    <n v="351"/>
    <s v="MK33"/>
    <d v="2021-12-17T00:00:00"/>
    <x v="11"/>
    <x v="0"/>
    <s v="First Class"/>
    <s v="AB-10060"/>
    <s v="OFF-PA-10001970"/>
    <n v="150"/>
    <n v="8"/>
    <n v="5.3333333333333339"/>
    <x v="8"/>
    <s v="Pet Bowls"/>
    <s v="INR"/>
    <n v="500083"/>
    <s v="INDIA"/>
    <x v="8"/>
    <m/>
    <n v="24.56"/>
    <n v="2"/>
    <n v="0.1"/>
    <n v="11.543200000000001"/>
    <n v="6.5083999999999991"/>
    <n v="2"/>
  </r>
  <r>
    <n v="352"/>
    <s v="ES57"/>
    <d v="2021-12-18T00:00:00"/>
    <x v="11"/>
    <x v="0"/>
    <s v="First Class"/>
    <s v="AB-10060"/>
    <s v="OFF-BI-10002160"/>
    <n v="140"/>
    <n v="24"/>
    <n v="17.142857142857142"/>
    <x v="8"/>
    <s v="Men’s Shirts"/>
    <s v="INR"/>
    <n v="560036"/>
    <s v="INDIA"/>
    <x v="7"/>
    <m/>
    <n v="3.048"/>
    <n v="1"/>
    <n v="0.2"/>
    <n v="1.0668"/>
    <n v="1.9812000000000001"/>
    <n v="3"/>
  </r>
  <r>
    <n v="353"/>
    <s v="UV44"/>
    <d v="2021-12-19T00:00:00"/>
    <x v="11"/>
    <x v="0"/>
    <s v="First Class"/>
    <s v="AB-10060"/>
    <s v="OFF-PA-10001970"/>
    <n v="170"/>
    <n v="30"/>
    <n v="17.647058823529413"/>
    <x v="4"/>
    <s v="Smart Routers"/>
    <s v="INR"/>
    <n v="122001"/>
    <s v="INDIA"/>
    <x v="16"/>
    <m/>
    <n v="49.12"/>
    <n v="4"/>
    <n v="0.1"/>
    <n v="23.086400000000001"/>
    <n v="6.5083999999999991"/>
    <n v="4"/>
  </r>
  <r>
    <n v="354"/>
    <s v="YL57"/>
    <d v="2021-12-20T00:00:00"/>
    <x v="11"/>
    <x v="0"/>
    <s v="First Class"/>
    <s v="AB-10060"/>
    <s v="OFF-BI-10004995"/>
    <n v="150"/>
    <n v="16"/>
    <n v="10.666666666666668"/>
    <x v="0"/>
    <s v="Children’s Comics"/>
    <s v="INR"/>
    <n v="638052"/>
    <s v="INDIA"/>
    <x v="1"/>
    <m/>
    <n v="4355.1679999999997"/>
    <n v="4"/>
    <n v="0.2"/>
    <n v="1415.4295999999999"/>
    <n v="734.93459999999993"/>
    <n v="2"/>
  </r>
  <r>
    <n v="355"/>
    <s v="VF12"/>
    <d v="2021-12-21T00:00:00"/>
    <x v="11"/>
    <x v="0"/>
    <s v="Standard Class"/>
    <s v="JL-15505"/>
    <s v="FUR-BO-10002268"/>
    <n v="160"/>
    <n v="28"/>
    <n v="17.5"/>
    <x v="1"/>
    <s v="Table Tennis Gear"/>
    <s v="INR"/>
    <n v="700084"/>
    <s v="INDIA"/>
    <x v="7"/>
    <m/>
    <n v="388.70400000000001"/>
    <n v="6"/>
    <n v="0.2"/>
    <n v="-4.8587999999999996"/>
    <n v="65.593800000000002"/>
    <n v="2"/>
  </r>
  <r>
    <n v="356"/>
    <s v="AD45"/>
    <d v="2021-12-22T00:00:00"/>
    <x v="11"/>
    <x v="0"/>
    <s v="Standard Class"/>
    <s v="JL-15505"/>
    <s v="OFF-EN-10001137"/>
    <n v="140"/>
    <n v="30"/>
    <n v="21.428571428571427"/>
    <x v="4"/>
    <s v="Smart Plugs"/>
    <s v="INR"/>
    <n v="411038"/>
    <s v="INDIA"/>
    <x v="11"/>
    <m/>
    <n v="8.26"/>
    <n v="2"/>
    <n v="0.1"/>
    <n v="3.7995999999999999"/>
    <n v="2.2302"/>
    <n v="2"/>
  </r>
  <r>
    <n v="357"/>
    <s v="VR32"/>
    <d v="2021-12-23T00:00:00"/>
    <x v="11"/>
    <x v="0"/>
    <s v="Standard Class"/>
    <s v="JL-15505"/>
    <s v="OFF-AR-10002399"/>
    <n v="240"/>
    <n v="26"/>
    <n v="10.833333333333334"/>
    <x v="2"/>
    <s v="Women’s Flats"/>
    <s v="INR"/>
    <n v="603209"/>
    <s v="INDIA"/>
    <x v="9"/>
    <s v="Easy Ship"/>
    <n v="17.04"/>
    <n v="4"/>
    <n v="0.1"/>
    <n v="6.9863999999999997"/>
    <n v="2.5133999999999999"/>
    <n v="4"/>
  </r>
  <r>
    <n v="358"/>
    <s v="XD68"/>
    <d v="2021-12-24T00:00:00"/>
    <x v="11"/>
    <x v="0"/>
    <s v="Standard Class"/>
    <s v="JL-15505"/>
    <s v="OFF-PA-10002713"/>
    <n v="230"/>
    <n v="10"/>
    <n v="4.3478260869565215"/>
    <x v="5"/>
    <s v="Kitchen Mats"/>
    <s v="INR"/>
    <n v="400081"/>
    <s v="INDIA"/>
    <x v="0"/>
    <m/>
    <n v="34.4"/>
    <n v="5"/>
    <n v="0.1"/>
    <n v="15.824"/>
    <n v="3.7152000000000003"/>
    <n v="2"/>
  </r>
  <r>
    <n v="359"/>
    <s v="RJ43"/>
    <d v="2021-12-25T00:00:00"/>
    <x v="11"/>
    <x v="0"/>
    <s v="Standard Class"/>
    <s v="HK-14890"/>
    <s v="OFF-PA-10002666"/>
    <n v="190"/>
    <n v="20"/>
    <n v="10.526315789473683"/>
    <x v="3"/>
    <s v="Car Oils"/>
    <s v="INR"/>
    <n v="682021"/>
    <s v="INDIA"/>
    <x v="17"/>
    <s v="Easy Ship"/>
    <n v="36.24"/>
    <n v="5"/>
    <n v="0.2"/>
    <n v="11.324999999999999"/>
    <n v="4.9830000000000005"/>
    <n v="2"/>
  </r>
  <r>
    <n v="360"/>
    <s v="TE35"/>
    <d v="2021-12-26T00:00:00"/>
    <x v="11"/>
    <x v="0"/>
    <s v="First Class"/>
    <s v="VB-21745"/>
    <s v="OFF-AP-10001124"/>
    <n v="170"/>
    <n v="12"/>
    <n v="7.0588235294117645"/>
    <x v="6"/>
    <s v="Playhouses"/>
    <s v="INR"/>
    <n v="570017"/>
    <s v="INDIA"/>
    <x v="19"/>
    <m/>
    <n v="647.84"/>
    <n v="8"/>
    <n v="0.1"/>
    <n v="168.4384"/>
    <n v="59.925200000000004"/>
    <n v="2"/>
  </r>
  <r>
    <n v="361"/>
    <s v="MF43"/>
    <d v="2021-12-27T00:00:00"/>
    <x v="11"/>
    <x v="0"/>
    <s v="First Class"/>
    <s v="VB-21745"/>
    <s v="OFF-LA-10001158"/>
    <n v="240"/>
    <n v="30"/>
    <n v="12.5"/>
    <x v="7"/>
    <s v="Energy Bars"/>
    <s v="INR"/>
    <n v="560068"/>
    <s v="INDIA"/>
    <x v="7"/>
    <m/>
    <n v="20.7"/>
    <n v="2"/>
    <n v="0.1"/>
    <n v="9.9359999999999999"/>
    <n v="5.3819999999999997"/>
    <n v="2"/>
  </r>
  <r>
    <n v="362"/>
    <s v="RD76"/>
    <d v="2021-12-28T00:00:00"/>
    <x v="11"/>
    <x v="0"/>
    <s v="Standard Class"/>
    <s v="KW-16435"/>
    <s v="OFF-LA-10001158"/>
    <n v="200"/>
    <n v="18"/>
    <n v="9"/>
    <x v="8"/>
    <s v="Pet Collars"/>
    <s v="INR"/>
    <n v="855115"/>
    <s v="INDIA"/>
    <x v="15"/>
    <m/>
    <n v="20.7"/>
    <n v="2"/>
    <n v="0.1"/>
    <n v="9.9359999999999999"/>
    <n v="5.3819999999999997"/>
    <n v="5"/>
  </r>
  <r>
    <n v="363"/>
    <s v="DM81"/>
    <d v="2021-12-29T00:00:00"/>
    <x v="11"/>
    <x v="0"/>
    <s v="Standard Class"/>
    <s v="KW-16435"/>
    <s v="FUR-CH-10000785"/>
    <n v="100"/>
    <n v="10"/>
    <n v="10"/>
    <x v="2"/>
    <s v="Kids’ Accessories"/>
    <s v="INR"/>
    <n v="500089"/>
    <s v="INDIA"/>
    <x v="17"/>
    <m/>
    <n v="488.64600000000002"/>
    <n v="3"/>
    <n v="0.11"/>
    <n v="86.870400000000004"/>
    <n v="133.92519999999999"/>
    <n v="4"/>
  </r>
  <r>
    <n v="364"/>
    <s v="KF82"/>
    <d v="2021-12-30T00:00:00"/>
    <x v="11"/>
    <x v="0"/>
    <s v="Standard Class"/>
    <s v="KW-16435"/>
    <s v="OFF-AR-10003732"/>
    <n v="250"/>
    <n v="10"/>
    <n v="4"/>
    <x v="4"/>
    <s v="Smart TVs"/>
    <s v="INR"/>
    <n v="695581"/>
    <s v="INDIA"/>
    <x v="4"/>
    <m/>
    <n v="5.56"/>
    <n v="2"/>
    <n v="0.1"/>
    <n v="1.4456"/>
    <n v="2.0571999999999999"/>
    <n v="5"/>
  </r>
  <r>
    <n v="365"/>
    <s v="BF98"/>
    <d v="2021-12-31T00:00:00"/>
    <x v="11"/>
    <x v="0"/>
    <s v="Standard Class"/>
    <s v="KW-16435"/>
    <s v="FUR-FU-10000023"/>
    <n v="170"/>
    <n v="16"/>
    <n v="9.4117647058823533"/>
    <x v="0"/>
    <s v="Children’s Poetry"/>
    <s v="INR"/>
    <n v="845438"/>
    <s v="INDIA"/>
    <x v="12"/>
    <m/>
    <n v="47.12"/>
    <n v="8"/>
    <n v="0.1"/>
    <n v="20.732800000000001"/>
    <n v="3.2983999999999996"/>
    <n v="3"/>
  </r>
  <r>
    <n v="366"/>
    <s v="JA90"/>
    <d v="2022-01-01T00:00:00"/>
    <x v="0"/>
    <x v="1"/>
    <s v="Standard Class"/>
    <s v="JD-16060"/>
    <s v="OFF-ST-10001713"/>
    <n v="130"/>
    <n v="12"/>
    <n v="9.2307692307692317"/>
    <x v="1"/>
    <s v="Swimming Gear"/>
    <s v="INR"/>
    <n v="380015"/>
    <s v="INDIA"/>
    <x v="11"/>
    <s v="Easy Ship"/>
    <n v="211.96"/>
    <n v="4"/>
    <n v="0.1"/>
    <n v="8.4784000000000006"/>
    <n v="50.870400000000004"/>
    <n v="4"/>
  </r>
  <r>
    <n v="367"/>
    <s v="XT72"/>
    <d v="2022-01-02T00:00:00"/>
    <x v="0"/>
    <x v="1"/>
    <s v="Same Day"/>
    <s v="MK-17905"/>
    <s v="OFF-BI-10002412"/>
    <n v="240"/>
    <n v="28"/>
    <n v="11.666666666666666"/>
    <x v="4"/>
    <s v="Smart Watches"/>
    <s v="INR"/>
    <n v="380015"/>
    <s v="INDIA"/>
    <x v="14"/>
    <m/>
    <n v="23.2"/>
    <n v="4"/>
    <n v="0.1"/>
    <n v="10.44"/>
    <n v="3.19"/>
    <n v="1"/>
  </r>
  <r>
    <n v="368"/>
    <s v="WT36"/>
    <d v="2022-01-03T00:00:00"/>
    <x v="0"/>
    <x v="1"/>
    <s v="Same Day"/>
    <s v="MK-17905"/>
    <s v="OFF-SU-10001225"/>
    <n v="130"/>
    <n v="14"/>
    <n v="10.76923076923077"/>
    <x v="2"/>
    <s v="Men’s Belts"/>
    <s v="INR"/>
    <n v="122017"/>
    <s v="INDIA"/>
    <x v="14"/>
    <m/>
    <n v="7.36"/>
    <n v="2"/>
    <n v="0.1"/>
    <n v="0.1472"/>
    <n v="3.6064000000000003"/>
    <n v="3"/>
  </r>
  <r>
    <n v="369"/>
    <s v="MU43"/>
    <d v="2022-01-04T00:00:00"/>
    <x v="0"/>
    <x v="1"/>
    <s v="Same Day"/>
    <s v="MK-17905"/>
    <s v="OFF-ST-10002406"/>
    <n v="170"/>
    <n v="26"/>
    <n v="15.294117647058824"/>
    <x v="5"/>
    <s v="Kitchen Towels"/>
    <s v="INR"/>
    <n v="560083"/>
    <s v="INDIA"/>
    <x v="3"/>
    <m/>
    <n v="104.79"/>
    <n v="7"/>
    <n v="0.1"/>
    <n v="29.341200000000001"/>
    <n v="10.778400000000001"/>
    <n v="5"/>
  </r>
  <r>
    <n v="370"/>
    <s v="BA83"/>
    <d v="2022-01-05T00:00:00"/>
    <x v="0"/>
    <x v="1"/>
    <s v="Same Day"/>
    <s v="MK-17905"/>
    <s v="FUR-BO-10002545"/>
    <n v="130"/>
    <n v="6"/>
    <n v="4.6153846153846159"/>
    <x v="3"/>
    <s v="Car Batteries"/>
    <s v="INR"/>
    <n v="735214"/>
    <s v="INDIA"/>
    <x v="19"/>
    <m/>
    <n v="1043.92"/>
    <n v="4"/>
    <n v="0.1"/>
    <n v="271.41919999999999"/>
    <n v="193.12520000000001"/>
    <n v="2"/>
  </r>
  <r>
    <n v="371"/>
    <s v="FR63"/>
    <d v="2022-01-06T00:00:00"/>
    <x v="0"/>
    <x v="1"/>
    <s v="Standard Class"/>
    <s v="GT-14755"/>
    <s v="OFF-PA-10002036"/>
    <n v="110"/>
    <n v="18"/>
    <n v="16.363636363636363"/>
    <x v="6"/>
    <s v="Board Games"/>
    <s v="INR"/>
    <n v="494441"/>
    <s v="INDIA"/>
    <x v="19"/>
    <m/>
    <n v="25.92"/>
    <n v="5"/>
    <n v="0.2"/>
    <n v="9.3960000000000008"/>
    <n v="3.3048000000000002"/>
    <n v="1"/>
  </r>
  <r>
    <n v="372"/>
    <s v="YI75"/>
    <d v="2022-01-07T00:00:00"/>
    <x v="0"/>
    <x v="1"/>
    <s v="Standard Class"/>
    <s v="GT-14755"/>
    <s v="OFF-ST-10002205"/>
    <n v="100"/>
    <n v="6"/>
    <n v="6"/>
    <x v="7"/>
    <s v="Packaged Foods"/>
    <s v="INR"/>
    <n v="602117"/>
    <s v="INDIA"/>
    <x v="13"/>
    <s v="Easy Ship"/>
    <n v="53.423999999999999"/>
    <n v="3"/>
    <n v="0.2"/>
    <n v="4.6745999999999999"/>
    <n v="16.2498"/>
    <n v="5"/>
  </r>
  <r>
    <n v="373"/>
    <s v="OV33"/>
    <d v="2022-01-08T00:00:00"/>
    <x v="0"/>
    <x v="1"/>
    <s v="Standard Class"/>
    <s v="AG-10900"/>
    <s v="OFF-BI-10001982"/>
    <n v="210"/>
    <n v="18"/>
    <n v="8.5714285714285712"/>
    <x v="8"/>
    <s v="Pet Grooming Kits"/>
    <s v="INR"/>
    <n v="691583"/>
    <s v="INDIA"/>
    <x v="11"/>
    <s v="Easy Ship"/>
    <n v="8.16"/>
    <n v="5"/>
    <n v="0.7"/>
    <n v="-5.7119999999999997"/>
    <n v="2.7744"/>
    <n v="1"/>
  </r>
  <r>
    <n v="374"/>
    <s v="VC72"/>
    <d v="2022-01-09T00:00:00"/>
    <x v="0"/>
    <x v="1"/>
    <s v="Standard Class"/>
    <s v="AG-10900"/>
    <s v="TEC-AC-10003911"/>
    <n v="210"/>
    <n v="6"/>
    <n v="2.8571428571428572"/>
    <x v="2"/>
    <s v="Women’s Sarees"/>
    <s v="INR"/>
    <n v="691583"/>
    <s v="INDIA"/>
    <x v="8"/>
    <m/>
    <n v="1023.936"/>
    <n v="8"/>
    <n v="0.2"/>
    <n v="179.18879999999999"/>
    <n v="105.5934"/>
    <n v="5"/>
  </r>
  <r>
    <n v="375"/>
    <s v="VA15"/>
    <d v="2022-01-10T00:00:00"/>
    <x v="0"/>
    <x v="1"/>
    <s v="Standard Class"/>
    <s v="AG-10900"/>
    <s v="OFF-AR-10000658"/>
    <n v="210"/>
    <n v="14"/>
    <n v="6.666666666666667"/>
    <x v="4"/>
    <s v="Smart Tablets"/>
    <s v="INR"/>
    <n v="492112"/>
    <s v="INDIA"/>
    <x v="9"/>
    <s v="Easy Ship"/>
    <n v="9.24"/>
    <n v="1"/>
    <n v="0.2"/>
    <n v="0.92400000000000004"/>
    <n v="8.3160000000000007"/>
    <n v="3"/>
  </r>
  <r>
    <n v="376"/>
    <s v="UZ92"/>
    <d v="2022-01-11T00:00:00"/>
    <x v="0"/>
    <x v="1"/>
    <s v="Standard Class"/>
    <s v="AG-10900"/>
    <s v="TEC-AC-10002076"/>
    <n v="150"/>
    <n v="24"/>
    <n v="16"/>
    <x v="0"/>
    <s v="Engineering Textbooks"/>
    <s v="INR"/>
    <n v="600117"/>
    <s v="INDIA"/>
    <x v="4"/>
    <s v="Easy Ship"/>
    <n v="479.04"/>
    <n v="10"/>
    <n v="0.2"/>
    <n v="-29.94"/>
    <n v="50.898000000000003"/>
    <n v="2"/>
  </r>
  <r>
    <n v="377"/>
    <s v="JF30"/>
    <d v="2022-01-12T00:00:00"/>
    <x v="0"/>
    <x v="1"/>
    <s v="First Class"/>
    <s v="MM-18280"/>
    <s v="OFF-PA-10003039"/>
    <n v="170"/>
    <n v="16"/>
    <n v="9.4117647058823533"/>
    <x v="1"/>
    <s v="Boxing Gloves"/>
    <s v="INR"/>
    <n v="500005"/>
    <s v="INDIA"/>
    <x v="8"/>
    <m/>
    <n v="99.135999999999996"/>
    <n v="4"/>
    <n v="0.2"/>
    <n v="30.98"/>
    <n v="17.038999999999998"/>
    <n v="2"/>
  </r>
  <r>
    <n v="378"/>
    <s v="BF23"/>
    <d v="2022-01-13T00:00:00"/>
    <x v="0"/>
    <x v="1"/>
    <s v="Standard Class"/>
    <s v="AR-10405"/>
    <s v="FUR-TA-10004915"/>
    <n v="140"/>
    <n v="22"/>
    <n v="15.714285714285714"/>
    <x v="4"/>
    <s v="Smart Doorbells"/>
    <s v="INR"/>
    <n v="560076"/>
    <s v="INDIA"/>
    <x v="8"/>
    <s v="Easy Ship"/>
    <n v="1488.424"/>
    <n v="7"/>
    <n v="0.3"/>
    <n v="-297.6848"/>
    <n v="255.1584"/>
    <n v="5"/>
  </r>
  <r>
    <n v="379"/>
    <s v="CY39"/>
    <d v="2022-01-14T00:00:00"/>
    <x v="0"/>
    <x v="1"/>
    <s v="Standard Class"/>
    <s v="RA-19915"/>
    <s v="OFF-AP-10000696"/>
    <n v="150"/>
    <n v="18"/>
    <n v="12"/>
    <x v="2"/>
    <s v="Women’s Kurtis"/>
    <s v="INR"/>
    <n v="737126"/>
    <s v="INDIA"/>
    <x v="3"/>
    <m/>
    <n v="8.6519999999999992"/>
    <n v="3"/>
    <n v="0.8"/>
    <n v="-20.3322"/>
    <n v="9.6614000000000004"/>
    <n v="3"/>
  </r>
  <r>
    <n v="380"/>
    <s v="AV38"/>
    <d v="2022-01-15T00:00:00"/>
    <x v="0"/>
    <x v="1"/>
    <s v="Standard Class"/>
    <s v="RA-19915"/>
    <s v="OFF-ST-10003327"/>
    <n v="150"/>
    <n v="6"/>
    <n v="4"/>
    <x v="5"/>
    <s v="Kitchen Cabinets"/>
    <m/>
    <n v="737126"/>
    <s v="INDIA"/>
    <x v="11"/>
    <m/>
    <n v="23.832000000000001"/>
    <n v="3"/>
    <n v="0.2"/>
    <n v="2.6810999999999998"/>
    <n v="7.0503"/>
    <n v="2"/>
  </r>
  <r>
    <n v="381"/>
    <s v="XQ33"/>
    <d v="2022-01-16T00:00:00"/>
    <x v="0"/>
    <x v="1"/>
    <s v="Standard Class"/>
    <s v="RA-19915"/>
    <s v="OFF-BI-10000309"/>
    <n v="250"/>
    <n v="14"/>
    <n v="5.6000000000000005"/>
    <x v="3"/>
    <s v="Car Tyres"/>
    <s v="INR"/>
    <n v="380058"/>
    <s v="INDIA"/>
    <x v="18"/>
    <s v="Easy Ship"/>
    <n v="12.176"/>
    <n v="4"/>
    <n v="0.8"/>
    <n v="-18.872800000000002"/>
    <n v="7.7622"/>
    <n v="3"/>
  </r>
  <r>
    <n v="382"/>
    <s v="SY83"/>
    <d v="2022-01-17T00:00:00"/>
    <x v="0"/>
    <x v="1"/>
    <s v="First Class"/>
    <s v="AS-10285"/>
    <s v="OFF-PA-10004734"/>
    <n v="120"/>
    <n v="30"/>
    <n v="25"/>
    <x v="6"/>
    <s v="Educational Kits"/>
    <s v="INR"/>
    <n v="249403"/>
    <s v="INDIA"/>
    <x v="10"/>
    <m/>
    <n v="50.96"/>
    <n v="7"/>
    <n v="0.1"/>
    <n v="25.48"/>
    <n v="3.64"/>
    <n v="5"/>
  </r>
  <r>
    <n v="383"/>
    <s v="KB67"/>
    <d v="2022-01-18T00:00:00"/>
    <x v="0"/>
    <x v="1"/>
    <s v="First Class"/>
    <s v="AS-10285"/>
    <s v="OFF-BI-10002225"/>
    <n v="160"/>
    <n v="16"/>
    <n v="10"/>
    <x v="7"/>
    <s v="Organic Juices"/>
    <s v="INR"/>
    <n v="400074"/>
    <s v="INDIA"/>
    <x v="0"/>
    <s v="Easy Ship"/>
    <n v="49.536000000000001"/>
    <n v="3"/>
    <n v="0.2"/>
    <n v="17.337599999999998"/>
    <n v="10.732800000000003"/>
    <n v="2"/>
  </r>
  <r>
    <n v="384"/>
    <s v="JN82"/>
    <d v="2022-01-19T00:00:00"/>
    <x v="0"/>
    <x v="1"/>
    <s v="Second Class"/>
    <s v="LA-16780"/>
    <s v="TEC-AC-10004708"/>
    <n v="100"/>
    <n v="26"/>
    <n v="26"/>
    <x v="8"/>
    <s v="Pet Vitamins"/>
    <s v="INR"/>
    <n v="400074"/>
    <s v="INDIA"/>
    <x v="3"/>
    <s v="Easy Ship"/>
    <n v="41.9"/>
    <n v="2"/>
    <n v="0.1"/>
    <n v="8.7989999999999995"/>
    <n v="16.5505"/>
    <n v="5"/>
  </r>
  <r>
    <n v="385"/>
    <s v="TU71"/>
    <d v="2022-01-20T00:00:00"/>
    <x v="0"/>
    <x v="1"/>
    <s v="Standard Class"/>
    <s v="DO-13435"/>
    <s v="FUR-TA-10000617"/>
    <n v="230"/>
    <n v="18"/>
    <n v="7.8260869565217401"/>
    <x v="2"/>
    <s v="Men’s Formal Shoes"/>
    <s v="INR"/>
    <n v="400074"/>
    <s v="INDIA"/>
    <x v="7"/>
    <s v="Easy Ship"/>
    <n v="375.45749999999998"/>
    <n v="3"/>
    <n v="0.45"/>
    <n v="-157.0095"/>
    <n v="177.489"/>
    <n v="5"/>
  </r>
  <r>
    <n v="386"/>
    <s v="XR82"/>
    <d v="2022-01-21T00:00:00"/>
    <x v="0"/>
    <x v="1"/>
    <s v="Standard Class"/>
    <s v="DO-13435"/>
    <s v="TEC-AC-10002335"/>
    <n v="110"/>
    <n v="18"/>
    <n v="16.363636363636363"/>
    <x v="4"/>
    <s v="Smart Cameras"/>
    <s v="INR"/>
    <n v="600083"/>
    <s v="INDIA"/>
    <x v="18"/>
    <m/>
    <n v="83.975999999999999"/>
    <n v="3"/>
    <n v="0.2"/>
    <n v="-1.0497000000000001"/>
    <n v="28.341899999999999"/>
    <n v="2"/>
  </r>
  <r>
    <n v="387"/>
    <s v="WR20"/>
    <d v="2022-01-22T00:00:00"/>
    <x v="0"/>
    <x v="1"/>
    <s v="Standard Class"/>
    <s v="DK-13225"/>
    <s v="TEC-MA-10001681"/>
    <n v="150"/>
    <n v="22"/>
    <n v="14.666666666666666"/>
    <x v="1"/>
    <s v="Skating Gear"/>
    <s v="INR"/>
    <n v="401501"/>
    <s v="INDIA"/>
    <x v="0"/>
    <s v="Easy Ship"/>
    <n v="482.34"/>
    <n v="4"/>
    <n v="0.7"/>
    <n v="-337.63799999999998"/>
    <n v="204.99449999999999"/>
    <n v="1"/>
  </r>
  <r>
    <n v="388"/>
    <s v="YI71"/>
    <d v="2022-01-23T00:00:00"/>
    <x v="0"/>
    <x v="1"/>
    <s v="Standard Class"/>
    <s v="DK-13225"/>
    <s v="FUR-FU-10001935"/>
    <n v="130"/>
    <n v="18"/>
    <n v="13.846153846153847"/>
    <x v="0"/>
    <s v="Children’s Picture Books"/>
    <s v="INR"/>
    <n v="570004"/>
    <s v="INDIA"/>
    <x v="10"/>
    <m/>
    <n v="2.96"/>
    <n v="1"/>
    <n v="0.2"/>
    <n v="0.77700000000000002"/>
    <n v="2.1829999999999998"/>
    <n v="3"/>
  </r>
  <r>
    <n v="389"/>
    <s v="YF20"/>
    <d v="2022-01-24T00:00:00"/>
    <x v="0"/>
    <x v="1"/>
    <s v="First Class"/>
    <s v="NG-18430"/>
    <s v="OFF-AR-10004757"/>
    <n v="110"/>
    <n v="14"/>
    <n v="12.727272727272727"/>
    <x v="5"/>
    <s v="Kitchen Drawers"/>
    <s v="INR"/>
    <n v="685595"/>
    <s v="INDIA"/>
    <x v="1"/>
    <s v="Easy Ship"/>
    <n v="2.6240000000000001"/>
    <n v="1"/>
    <n v="0.2"/>
    <n v="0.4264"/>
    <n v="2.1976"/>
    <n v="5"/>
  </r>
  <r>
    <n v="390"/>
    <s v="CL34"/>
    <d v="2022-01-25T00:00:00"/>
    <x v="0"/>
    <x v="1"/>
    <s v="Standard Class"/>
    <s v="MV-18190"/>
    <s v="OFF-BI-10000050"/>
    <n v="210"/>
    <n v="26"/>
    <n v="12.380952380952381"/>
    <x v="3"/>
    <s v="Car Covers"/>
    <s v="INR"/>
    <n v="122001"/>
    <s v="INDIA"/>
    <x v="12"/>
    <m/>
    <n v="23.36"/>
    <n v="4"/>
    <n v="0.2"/>
    <n v="7.8840000000000003"/>
    <n v="3.8689999999999998"/>
    <n v="5"/>
  </r>
  <r>
    <n v="391"/>
    <s v="RM32"/>
    <d v="2022-01-26T00:00:00"/>
    <x v="0"/>
    <x v="1"/>
    <s v="Standard Class"/>
    <s v="MV-18190"/>
    <s v="TEC-AC-10001998"/>
    <n v="210"/>
    <n v="10"/>
    <n v="4.7619047619047619"/>
    <x v="6"/>
    <s v="Musical Instruments"/>
    <s v="INR"/>
    <n v="612104"/>
    <s v="INDIA"/>
    <x v="1"/>
    <s v="Easy Ship"/>
    <n v="39.979999999999997"/>
    <n v="2"/>
    <n v="0.1"/>
    <n v="13.5932"/>
    <n v="13.193399999999999"/>
    <n v="2"/>
  </r>
  <r>
    <n v="392"/>
    <s v="WO17"/>
    <d v="2022-01-27T00:00:00"/>
    <x v="0"/>
    <x v="1"/>
    <s v="Second Class"/>
    <s v="JG-15115"/>
    <s v="TEC-PH-10003012"/>
    <n v="160"/>
    <n v="14"/>
    <n v="8.75"/>
    <x v="7"/>
    <s v="Instant Noodles"/>
    <s v="INR"/>
    <n v="400605"/>
    <s v="INDIA"/>
    <x v="7"/>
    <m/>
    <n v="246.38399999999999"/>
    <n v="2"/>
    <n v="0.2"/>
    <n v="27.7182"/>
    <n v="109.3329"/>
    <n v="2"/>
  </r>
  <r>
    <n v="393"/>
    <s v="EP54"/>
    <d v="2022-01-28T00:00:00"/>
    <x v="0"/>
    <x v="1"/>
    <s v="Second Class"/>
    <s v="JG-15115"/>
    <s v="TEC-CO-10002313"/>
    <n v="180"/>
    <n v="8"/>
    <n v="4.4444444444444446"/>
    <x v="8"/>
    <s v="Pet Collars"/>
    <s v="INR"/>
    <n v="560100"/>
    <s v="INDIA"/>
    <x v="6"/>
    <m/>
    <n v="1799.97"/>
    <n v="3"/>
    <n v="0.1"/>
    <n v="701.98829999999998"/>
    <n v="365.9939"/>
    <n v="2"/>
  </r>
  <r>
    <n v="394"/>
    <s v="CQ90"/>
    <d v="2022-01-29T00:00:00"/>
    <x v="0"/>
    <x v="1"/>
    <s v="Second Class"/>
    <s v="BP-11095"/>
    <s v="OFF-BI-10003982"/>
    <n v="250"/>
    <n v="12"/>
    <n v="4.8"/>
    <x v="2"/>
    <s v="Women’s Sarees"/>
    <s v="INR"/>
    <n v="400605"/>
    <s v="INDIA"/>
    <x v="19"/>
    <m/>
    <n v="12.462"/>
    <n v="3"/>
    <n v="0.8"/>
    <n v="-20.5623"/>
    <n v="11.008099999999999"/>
    <n v="5"/>
  </r>
  <r>
    <n v="395"/>
    <s v="VR24"/>
    <d v="2022-01-30T00:00:00"/>
    <x v="0"/>
    <x v="1"/>
    <s v="Standard Class"/>
    <s v="VP-21730"/>
    <s v="OFF-BI-10004492"/>
    <n v="220"/>
    <n v="30"/>
    <n v="13.636363636363635"/>
    <x v="4"/>
    <s v="Smart Speakers"/>
    <s v="INR"/>
    <n v="180007"/>
    <s v="INDIA"/>
    <x v="13"/>
    <m/>
    <n v="75.792000000000002"/>
    <n v="3"/>
    <n v="0.2"/>
    <n v="25.579799999999999"/>
    <n v="16.737400000000001"/>
    <n v="1"/>
  </r>
  <r>
    <n v="396"/>
    <s v="SE44"/>
    <d v="2022-01-31T00:00:00"/>
    <x v="0"/>
    <x v="1"/>
    <s v="Second Class"/>
    <s v="SS-20140"/>
    <s v="OFF-ST-10000798"/>
    <n v="170"/>
    <n v="22"/>
    <n v="12.941176470588237"/>
    <x v="0"/>
    <s v="Children’s Encyclopedias"/>
    <s v="INR"/>
    <n v="401107"/>
    <s v="INDIA"/>
    <x v="13"/>
    <m/>
    <n v="49.96"/>
    <n v="2"/>
    <n v="0.1"/>
    <n v="9.4923999999999999"/>
    <n v="20.233800000000002"/>
    <n v="2"/>
  </r>
  <r>
    <n v="397"/>
    <s v="DU95"/>
    <d v="2022-02-01T00:00:00"/>
    <x v="1"/>
    <x v="1"/>
    <s v="Second Class"/>
    <s v="SS-20140"/>
    <s v="OFF-PA-10002552"/>
    <n v="250"/>
    <n v="14"/>
    <n v="5.6000000000000005"/>
    <x v="1"/>
    <s v="Football Shoes"/>
    <s v="INR"/>
    <n v="825409"/>
    <s v="INDIA"/>
    <x v="3"/>
    <m/>
    <n v="12.96"/>
    <n v="2"/>
    <n v="0.1"/>
    <n v="6.2207999999999997"/>
    <n v="3.3696000000000006"/>
    <n v="3"/>
  </r>
  <r>
    <n v="398"/>
    <s v="QM14"/>
    <d v="2022-02-02T00:00:00"/>
    <x v="1"/>
    <x v="1"/>
    <s v="Standard Class"/>
    <s v="HP-14815"/>
    <s v="OFF-SU-10002573"/>
    <n v="100"/>
    <n v="28"/>
    <n v="28.000000000000004"/>
    <x v="4"/>
    <s v="Smart Sensors"/>
    <s v="INR"/>
    <n v="401107"/>
    <s v="INDIA"/>
    <x v="0"/>
    <m/>
    <n v="70.12"/>
    <n v="4"/>
    <n v="0.1"/>
    <n v="21.036000000000001"/>
    <n v="12.271000000000001"/>
    <n v="2"/>
  </r>
  <r>
    <n v="399"/>
    <s v="YS66"/>
    <d v="2022-02-03T00:00:00"/>
    <x v="1"/>
    <x v="1"/>
    <s v="Second Class"/>
    <s v="AG-10675"/>
    <s v="OFF-ST-10001580"/>
    <n v="120"/>
    <n v="8"/>
    <n v="6.666666666666667"/>
    <x v="2"/>
    <s v="Kids’ Jackets"/>
    <s v="INR"/>
    <n v="194101"/>
    <s v="INDIA"/>
    <x v="12"/>
    <s v="Easy Ship"/>
    <n v="35.951999999999998"/>
    <n v="3"/>
    <n v="0.2"/>
    <n v="3.5952000000000002"/>
    <n v="10.785600000000001"/>
    <n v="4"/>
  </r>
  <r>
    <n v="400"/>
    <s v="WG99"/>
    <d v="2022-02-04T00:00:00"/>
    <x v="1"/>
    <x v="1"/>
    <s v="Second Class"/>
    <s v="AG-10675"/>
    <s v="FUR-BO-10004834"/>
    <n v="150"/>
    <n v="16"/>
    <n v="10.666666666666668"/>
    <x v="5"/>
    <s v="Kitchen Shelves"/>
    <s v="INR"/>
    <n v="713206"/>
    <s v="INDIA"/>
    <x v="2"/>
    <m/>
    <n v="2396.2656000000002"/>
    <n v="4"/>
    <n v="0.32"/>
    <n v="-317.15280000000001"/>
    <n v="678.3546"/>
    <n v="5"/>
  </r>
  <r>
    <n v="401"/>
    <s v="XU86"/>
    <d v="2022-02-05T00:00:00"/>
    <x v="1"/>
    <x v="1"/>
    <s v="Second Class"/>
    <s v="AG-10675"/>
    <s v="OFF-ST-10000934"/>
    <n v="210"/>
    <n v="24"/>
    <n v="11.428571428571429"/>
    <x v="3"/>
    <s v="Car Oils"/>
    <s v="INR"/>
    <n v="831017"/>
    <s v="INDIA"/>
    <x v="5"/>
    <m/>
    <n v="131.136"/>
    <n v="4"/>
    <n v="0.2"/>
    <n v="-32.783999999999999"/>
    <n v="40.98"/>
    <n v="5"/>
  </r>
  <r>
    <n v="402"/>
    <s v="NY93"/>
    <d v="2022-02-06T00:00:00"/>
    <x v="1"/>
    <x v="1"/>
    <s v="Second Class"/>
    <s v="AG-10675"/>
    <s v="TEC-AC-10000158"/>
    <n v="170"/>
    <n v="30"/>
    <n v="17.647058823529413"/>
    <x v="6"/>
    <s v="Board Games"/>
    <s v="INR"/>
    <n v="583123"/>
    <s v="INDIA"/>
    <x v="3"/>
    <m/>
    <n v="57.584000000000003"/>
    <n v="2"/>
    <n v="0.2"/>
    <n v="0.7198"/>
    <n v="28.432100000000002"/>
    <n v="4"/>
  </r>
  <r>
    <n v="403"/>
    <s v="XS95"/>
    <d v="2022-02-07T00:00:00"/>
    <x v="1"/>
    <x v="1"/>
    <s v="First Class"/>
    <s v="LF-17185"/>
    <s v="OFF-PA-10001947"/>
    <n v="100"/>
    <n v="12"/>
    <n v="12"/>
    <x v="7"/>
    <s v="Packaged Snacks"/>
    <s v="INR"/>
    <n v="560046"/>
    <s v="INDIA"/>
    <x v="16"/>
    <s v="Easy Ship"/>
    <n v="9.5679999999999996"/>
    <n v="2"/>
    <n v="0.2"/>
    <n v="3.4683999999999999"/>
    <n v="3.0497999999999998"/>
    <n v="4"/>
  </r>
  <r>
    <n v="404"/>
    <s v="QI92"/>
    <d v="2022-02-08T00:00:00"/>
    <x v="1"/>
    <x v="1"/>
    <s v="Standard Class"/>
    <s v="SP-20650"/>
    <s v="OFF-AR-10003478"/>
    <n v="140"/>
    <n v="16"/>
    <n v="11.428571428571429"/>
    <x v="8"/>
    <s v="Pet Brushes"/>
    <s v="INR"/>
    <n v="560046"/>
    <s v="INDIA"/>
    <x v="19"/>
    <m/>
    <n v="39.072000000000003"/>
    <n v="6"/>
    <n v="0.2"/>
    <n v="9.7680000000000007"/>
    <n v="4.8840000000000003"/>
    <n v="3"/>
  </r>
  <r>
    <n v="405"/>
    <s v="VJ48"/>
    <d v="2022-02-09T00:00:00"/>
    <x v="1"/>
    <x v="1"/>
    <s v="Standard Class"/>
    <s v="RF-19840"/>
    <s v="OFF-AP-10004249"/>
    <n v="230"/>
    <n v="30"/>
    <n v="13.043478260869565"/>
    <x v="2"/>
    <s v="Men’s Jeans"/>
    <s v="INR"/>
    <n v="226017"/>
    <s v="INDIA"/>
    <x v="13"/>
    <m/>
    <n v="35.909999999999997"/>
    <n v="3"/>
    <n v="0.1"/>
    <n v="9.6957000000000004"/>
    <n v="8.7380999999999975"/>
    <n v="1"/>
  </r>
  <r>
    <n v="406"/>
    <s v="LL20"/>
    <d v="2022-02-10T00:00:00"/>
    <x v="1"/>
    <x v="1"/>
    <s v="Standard Class"/>
    <s v="KH-16510"/>
    <s v="TEC-AC-10000158"/>
    <n v="120"/>
    <n v="8"/>
    <n v="6.666666666666667"/>
    <x v="4"/>
    <s v="Smart TVs"/>
    <s v="INR"/>
    <n v="122003"/>
    <s v="INDIA"/>
    <x v="0"/>
    <m/>
    <n v="179.95"/>
    <n v="5"/>
    <n v="0.1"/>
    <n v="37.789499999999997"/>
    <n v="28.432099999999998"/>
    <n v="1"/>
  </r>
  <r>
    <n v="407"/>
    <s v="XA50"/>
    <d v="2022-02-11T00:00:00"/>
    <x v="1"/>
    <x v="1"/>
    <s v="Standard Class"/>
    <s v="KH-16510"/>
    <s v="TEC-CO-10004115"/>
    <n v="120"/>
    <n v="28"/>
    <n v="23.333333333333332"/>
    <x v="1"/>
    <s v="Cricket Bats"/>
    <s v="INR"/>
    <n v="603103"/>
    <s v="INDIA"/>
    <x v="4"/>
    <s v="Easy Ship"/>
    <n v="1199.9760000000001"/>
    <n v="3"/>
    <n v="0.2"/>
    <n v="434.99130000000002"/>
    <n v="254.99490000000003"/>
    <n v="4"/>
  </r>
  <r>
    <n v="408"/>
    <s v="VU65"/>
    <d v="2022-02-12T00:00:00"/>
    <x v="1"/>
    <x v="1"/>
    <s v="Standard Class"/>
    <s v="KH-16510"/>
    <s v="OFF-PA-10003724"/>
    <n v="120"/>
    <n v="28"/>
    <n v="23.333333333333332"/>
    <x v="0"/>
    <s v="Children’s Novels"/>
    <s v="INR"/>
    <n v="232101"/>
    <s v="INDIA"/>
    <x v="10"/>
    <m/>
    <n v="27.15"/>
    <n v="5"/>
    <n v="0.1"/>
    <n v="13.3035"/>
    <n v="2.7692999999999999"/>
    <n v="4"/>
  </r>
  <r>
    <n v="409"/>
    <s v="LY10"/>
    <d v="2022-02-13T00:00:00"/>
    <x v="1"/>
    <x v="1"/>
    <s v="Standard Class"/>
    <s v="KH-16510"/>
    <s v="FUR-TA-10002041"/>
    <n v="160"/>
    <n v="30"/>
    <n v="18.75"/>
    <x v="5"/>
    <s v="Kitchen Towels"/>
    <m/>
    <n v="500025"/>
    <s v="INDIA"/>
    <x v="3"/>
    <m/>
    <n v="1004.024"/>
    <n v="7"/>
    <n v="0.2"/>
    <n v="-112.95269999999999"/>
    <n v="159.56809999999999"/>
    <n v="1"/>
  </r>
  <r>
    <n v="410"/>
    <s v="ZW84"/>
    <d v="2022-02-14T00:00:00"/>
    <x v="1"/>
    <x v="1"/>
    <s v="Standard Class"/>
    <s v="KH-16510"/>
    <s v="OFF-PA-10002893"/>
    <n v="190"/>
    <n v="28"/>
    <n v="14.736842105263156"/>
    <x v="3"/>
    <s v="Car Batteries"/>
    <s v="INR"/>
    <n v="201305"/>
    <s v="INDIA"/>
    <x v="13"/>
    <m/>
    <n v="9.68"/>
    <n v="1"/>
    <n v="0.1"/>
    <n v="4.6463999999999999"/>
    <n v="5.0335999999999999"/>
    <n v="1"/>
  </r>
  <r>
    <n v="411"/>
    <s v="YO14"/>
    <d v="2022-02-15T00:00:00"/>
    <x v="1"/>
    <x v="1"/>
    <s v="Standard Class"/>
    <s v="KH-16510"/>
    <s v="OFF-LA-10003766"/>
    <n v="150"/>
    <n v="16"/>
    <n v="10.666666666666668"/>
    <x v="6"/>
    <s v="Learning Toys"/>
    <s v="INR"/>
    <n v="560076"/>
    <s v="INDIA"/>
    <x v="19"/>
    <m/>
    <n v="28.35"/>
    <n v="9"/>
    <n v="0.1"/>
    <n v="13.608000000000001"/>
    <n v="1.6380000000000001"/>
    <n v="5"/>
  </r>
  <r>
    <n v="412"/>
    <s v="GN43"/>
    <d v="2022-02-16T00:00:00"/>
    <x v="1"/>
    <x v="1"/>
    <s v="Standard Class"/>
    <s v="KH-16510"/>
    <s v="OFF-PA-10001970"/>
    <n v="160"/>
    <n v="14"/>
    <n v="8.75"/>
    <x v="7"/>
    <s v="Energy Drinks"/>
    <s v="INR"/>
    <n v="695003"/>
    <s v="INDIA"/>
    <x v="12"/>
    <m/>
    <n v="55.98"/>
    <n v="1"/>
    <n v="0.1"/>
    <n v="27.430199999999999"/>
    <n v="28.549799999999998"/>
    <n v="3"/>
  </r>
  <r>
    <n v="413"/>
    <s v="HT60"/>
    <d v="2022-02-17T00:00:00"/>
    <x v="1"/>
    <x v="1"/>
    <s v="Standard Class"/>
    <s v="KH-16510"/>
    <s v="FUR-BO-10001972"/>
    <n v="200"/>
    <n v="16"/>
    <n v="8"/>
    <x v="8"/>
    <s v="Pet Grooming Kits"/>
    <s v="INR"/>
    <n v="842002"/>
    <s v="INDIA"/>
    <x v="0"/>
    <s v="Easy Ship"/>
    <n v="1336.829"/>
    <n v="13"/>
    <n v="0.15"/>
    <n v="31.454799999999999"/>
    <n v="100.4134"/>
    <n v="3"/>
  </r>
  <r>
    <n v="414"/>
    <s v="IW67"/>
    <d v="2022-02-18T00:00:00"/>
    <x v="1"/>
    <x v="1"/>
    <s v="Standard Class"/>
    <s v="KH-16510"/>
    <s v="FUR-CH-10003956"/>
    <n v="110"/>
    <n v="14"/>
    <n v="12.727272727272727"/>
    <x v="2"/>
    <s v="Women’s Jewelry"/>
    <s v="INR"/>
    <n v="560061"/>
    <s v="INDIA"/>
    <x v="2"/>
    <m/>
    <n v="113.568"/>
    <n v="2"/>
    <n v="0.2"/>
    <n v="-18.454799999999999"/>
    <n v="66.011399999999995"/>
    <n v="4"/>
  </r>
  <r>
    <n v="415"/>
    <s v="RO94"/>
    <d v="2022-02-19T00:00:00"/>
    <x v="1"/>
    <x v="1"/>
    <s v="Standard Class"/>
    <s v="KC-16675"/>
    <s v="OFF-PA-10000157"/>
    <n v="240"/>
    <n v="18"/>
    <n v="7.5"/>
    <x v="4"/>
    <s v="Smart Tablets"/>
    <s v="INR"/>
    <n v="629251"/>
    <s v="INDIA"/>
    <x v="3"/>
    <s v="Easy Ship"/>
    <n v="139.86000000000001"/>
    <n v="7"/>
    <n v="0.1"/>
    <n v="65.734200000000001"/>
    <n v="10.589400000000001"/>
    <n v="1"/>
  </r>
  <r>
    <n v="416"/>
    <s v="FI82"/>
    <d v="2022-02-20T00:00:00"/>
    <x v="1"/>
    <x v="1"/>
    <s v="Standard Class"/>
    <s v="KC-16675"/>
    <s v="FUR-CH-10001891"/>
    <n v="200"/>
    <n v="14"/>
    <n v="7.0000000000000009"/>
    <x v="0"/>
    <s v="Children’s Comics"/>
    <s v="INR"/>
    <n v="629251"/>
    <s v="INDIA"/>
    <x v="0"/>
    <m/>
    <n v="307.13600000000002"/>
    <n v="4"/>
    <n v="0.2"/>
    <n v="26.874400000000001"/>
    <n v="70.065400000000011"/>
    <n v="2"/>
  </r>
  <r>
    <n v="417"/>
    <s v="RJ13"/>
    <d v="2022-02-21T00:00:00"/>
    <x v="1"/>
    <x v="1"/>
    <s v="Standard Class"/>
    <s v="CJ-12010"/>
    <s v="OFF-AR-10004344"/>
    <n v="230"/>
    <n v="16"/>
    <n v="6.9565217391304346"/>
    <x v="1"/>
    <s v="Table Tennis Rackets"/>
    <s v="INR"/>
    <n v="629251"/>
    <s v="INDIA"/>
    <x v="9"/>
    <m/>
    <n v="95.92"/>
    <n v="8"/>
    <n v="0.1"/>
    <n v="25.898399999999999"/>
    <n v="8.7527000000000008"/>
    <n v="2"/>
  </r>
  <r>
    <n v="418"/>
    <s v="IX68"/>
    <d v="2022-02-22T00:00:00"/>
    <x v="1"/>
    <x v="1"/>
    <s v="Standard Class"/>
    <s v="PB-19150"/>
    <s v="FUR-CH-10004886"/>
    <n v="180"/>
    <n v="8"/>
    <n v="4.4444444444444446"/>
    <x v="4"/>
    <s v="Smart Plugs"/>
    <s v="INR"/>
    <n v="560084"/>
    <s v="INDIA"/>
    <x v="3"/>
    <m/>
    <n v="383.8"/>
    <n v="5"/>
    <n v="0.2"/>
    <n v="38.380000000000003"/>
    <n v="69.084000000000003"/>
    <n v="3"/>
  </r>
  <r>
    <n v="419"/>
    <s v="YF77"/>
    <d v="2022-02-23T00:00:00"/>
    <x v="1"/>
    <x v="1"/>
    <s v="Standard Class"/>
    <s v="VB-21745"/>
    <s v="OFF-PA-10003845"/>
    <n v="210"/>
    <n v="22"/>
    <n v="10.476190476190476"/>
    <x v="2"/>
    <s v="Women’s Flats"/>
    <s v="INR"/>
    <n v="400013"/>
    <s v="INDIA"/>
    <x v="12"/>
    <m/>
    <n v="5.78"/>
    <n v="1"/>
    <n v="0.1"/>
    <n v="2.8321999999999998"/>
    <n v="2.9478000000000004"/>
    <n v="2"/>
  </r>
  <r>
    <n v="420"/>
    <s v="AT87"/>
    <d v="2022-02-24T00:00:00"/>
    <x v="1"/>
    <x v="1"/>
    <s v="Standard Class"/>
    <s v="SP-20860"/>
    <s v="OFF-AR-10001573"/>
    <n v="160"/>
    <n v="16"/>
    <n v="10"/>
    <x v="5"/>
    <s v="Kitchen Mats"/>
    <m/>
    <n v="121004"/>
    <s v="INDIA"/>
    <x v="3"/>
    <m/>
    <n v="9.32"/>
    <n v="4"/>
    <n v="0.1"/>
    <n v="2.7027999999999999"/>
    <n v="1.6543000000000001"/>
    <n v="3"/>
  </r>
  <r>
    <n v="421"/>
    <s v="VA42"/>
    <d v="2022-02-25T00:00:00"/>
    <x v="1"/>
    <x v="1"/>
    <s v="Standard Class"/>
    <s v="SP-20860"/>
    <s v="OFF-EN-10000483"/>
    <n v="240"/>
    <n v="16"/>
    <n v="6.666666666666667"/>
    <x v="3"/>
    <s v="Car Lights"/>
    <s v="INR"/>
    <n v="500028"/>
    <s v="INDIA"/>
    <x v="3"/>
    <m/>
    <n v="15.25"/>
    <n v="1"/>
    <n v="0.1"/>
    <n v="7.0149999999999997"/>
    <n v="8.2349999999999994"/>
    <n v="3"/>
  </r>
  <r>
    <n v="422"/>
    <s v="VY74"/>
    <d v="2022-02-26T00:00:00"/>
    <x v="1"/>
    <x v="1"/>
    <s v="First Class"/>
    <s v="JE-15745"/>
    <s v="TEC-AC-10004114"/>
    <n v="100"/>
    <n v="6"/>
    <n v="6"/>
    <x v="6"/>
    <s v="Playhouses"/>
    <s v="INR"/>
    <n v="403509"/>
    <s v="INDIA"/>
    <x v="17"/>
    <s v="Easy Ship"/>
    <n v="196.75200000000001"/>
    <n v="6"/>
    <n v="0.2"/>
    <n v="56.566200000000002"/>
    <n v="23.3643"/>
    <n v="5"/>
  </r>
  <r>
    <n v="423"/>
    <s v="UM77"/>
    <d v="2022-02-27T00:00:00"/>
    <x v="1"/>
    <x v="1"/>
    <s v="Standard Class"/>
    <s v="MP-17965"/>
    <s v="FUR-FU-10004712"/>
    <n v="100"/>
    <n v="14"/>
    <n v="14.000000000000002"/>
    <x v="7"/>
    <s v="Protein Powders"/>
    <m/>
    <n v="403509"/>
    <s v="INDIA"/>
    <x v="3"/>
    <m/>
    <n v="56.56"/>
    <n v="4"/>
    <n v="0.1"/>
    <n v="14.7056"/>
    <n v="10.4636"/>
    <n v="1"/>
  </r>
  <r>
    <n v="424"/>
    <s v="LE10"/>
    <d v="2022-02-28T00:00:00"/>
    <x v="1"/>
    <x v="1"/>
    <s v="Standard Class"/>
    <s v="MP-17965"/>
    <s v="OFF-ST-10000918"/>
    <n v="220"/>
    <n v="12"/>
    <n v="5.4545454545454541"/>
    <x v="8"/>
    <s v="Pet Chew Toys"/>
    <s v="INR"/>
    <n v="700159"/>
    <s v="INDIA"/>
    <x v="1"/>
    <m/>
    <n v="32.700000000000003"/>
    <n v="3"/>
    <n v="0.1"/>
    <n v="8.5020000000000007"/>
    <n v="8.0660000000000007"/>
    <n v="5"/>
  </r>
  <r>
    <n v="425"/>
    <s v="RD20"/>
    <d v="2022-03-01T00:00:00"/>
    <x v="2"/>
    <x v="1"/>
    <s v="Second Class"/>
    <s v="NF-18385"/>
    <s v="FUR-CH-10000015"/>
    <n v="110"/>
    <n v="26"/>
    <n v="23.636363636363637"/>
    <x v="2"/>
    <s v="Kids’ Accessories"/>
    <s v="INR"/>
    <n v="122001"/>
    <s v="INDIA"/>
    <x v="0"/>
    <s v="Easy Ship"/>
    <n v="866.4"/>
    <n v="4"/>
    <n v="0.1"/>
    <n v="225.26400000000001"/>
    <n v="160.28399999999999"/>
    <n v="2"/>
  </r>
  <r>
    <n v="426"/>
    <s v="RQ29"/>
    <d v="2022-03-02T00:00:00"/>
    <x v="2"/>
    <x v="1"/>
    <s v="Second Class"/>
    <s v="JM-15265"/>
    <s v="FUR-FU-10003347"/>
    <n v="120"/>
    <n v="14"/>
    <n v="11.666666666666666"/>
    <x v="4"/>
    <s v="Smart Watches"/>
    <s v="INR"/>
    <n v="122001"/>
    <s v="INDIA"/>
    <x v="7"/>
    <m/>
    <n v="28.4"/>
    <n v="2"/>
    <n v="0.1"/>
    <n v="11.076000000000001"/>
    <n v="8.661999999999999"/>
    <n v="1"/>
  </r>
  <r>
    <n v="427"/>
    <s v="VY55"/>
    <d v="2022-03-03T00:00:00"/>
    <x v="2"/>
    <x v="1"/>
    <s v="Second Class"/>
    <s v="JM-15265"/>
    <s v="OFF-BI-10001543"/>
    <n v="170"/>
    <n v="24"/>
    <n v="14.117647058823529"/>
    <x v="0"/>
    <s v="Children’s Poetry"/>
    <s v="INR"/>
    <n v="560043"/>
    <s v="INDIA"/>
    <x v="19"/>
    <m/>
    <n v="287.92"/>
    <n v="8"/>
    <n v="0.1"/>
    <n v="138.20160000000001"/>
    <n v="18.7148"/>
    <n v="4"/>
  </r>
  <r>
    <n v="428"/>
    <s v="LG13"/>
    <d v="2022-03-04T00:00:00"/>
    <x v="2"/>
    <x v="1"/>
    <s v="First Class"/>
    <s v="SD-20485"/>
    <s v="TEC-MA-10000029"/>
    <n v="180"/>
    <n v="14"/>
    <n v="7.7777777777777777"/>
    <x v="1"/>
    <s v="Swimming Gear"/>
    <s v="INR"/>
    <n v="422001"/>
    <s v="INDIA"/>
    <x v="14"/>
    <m/>
    <n v="69.989999999999995"/>
    <n v="1"/>
    <n v="0.1"/>
    <n v="30.095700000000001"/>
    <n v="39.894299999999994"/>
    <n v="1"/>
  </r>
  <r>
    <n v="429"/>
    <s v="VU79"/>
    <d v="2022-03-05T00:00:00"/>
    <x v="2"/>
    <x v="1"/>
    <s v="Standard Class"/>
    <s v="KH-16630"/>
    <s v="OFF-AR-10000369"/>
    <n v="160"/>
    <n v="24"/>
    <n v="15"/>
    <x v="4"/>
    <s v="Smart Routers"/>
    <s v="INR"/>
    <n v="221106"/>
    <s v="INDIA"/>
    <x v="7"/>
    <m/>
    <n v="6.6719999999999997"/>
    <n v="6"/>
    <n v="0.2"/>
    <n v="0.50039999999999996"/>
    <n v="1.0286"/>
    <n v="3"/>
  </r>
  <r>
    <n v="430"/>
    <s v="PE44"/>
    <d v="2022-03-06T00:00:00"/>
    <x v="2"/>
    <x v="1"/>
    <s v="Standard Class"/>
    <s v="RB-19795"/>
    <s v="OFF-BI-10004584"/>
    <n v="170"/>
    <n v="30"/>
    <n v="17.647058823529413"/>
    <x v="2"/>
    <s v="Men’s Belts"/>
    <m/>
    <n v="121004"/>
    <s v="INDIA"/>
    <x v="5"/>
    <m/>
    <n v="189.58799999999999"/>
    <n v="2"/>
    <n v="0.7"/>
    <n v="-145.35079999999999"/>
    <n v="167.46940000000001"/>
    <n v="3"/>
  </r>
  <r>
    <n v="431"/>
    <s v="LH27"/>
    <d v="2022-03-07T00:00:00"/>
    <x v="2"/>
    <x v="1"/>
    <s v="Standard Class"/>
    <s v="RB-19795"/>
    <s v="TEC-AC-10004659"/>
    <n v="220"/>
    <n v="10"/>
    <n v="4.5454545454545459"/>
    <x v="5"/>
    <s v="Kitchen Trays"/>
    <s v="INR"/>
    <n v="713216"/>
    <s v="INDIA"/>
    <x v="5"/>
    <m/>
    <n v="408.74400000000003"/>
    <n v="7"/>
    <n v="0.2"/>
    <n v="76.639499999999998"/>
    <n v="47.443500000000007"/>
    <n v="1"/>
  </r>
  <r>
    <n v="432"/>
    <s v="NH53"/>
    <d v="2022-03-08T00:00:00"/>
    <x v="2"/>
    <x v="1"/>
    <s v="Standard Class"/>
    <s v="RB-19795"/>
    <s v="TEC-AC-10004659"/>
    <n v="180"/>
    <n v="10"/>
    <n v="5.5555555555555554"/>
    <x v="3"/>
    <s v="Car Mirrors"/>
    <s v="INR"/>
    <n v="500008"/>
    <s v="INDIA"/>
    <x v="18"/>
    <m/>
    <n v="291.95999999999998"/>
    <n v="5"/>
    <n v="0.2"/>
    <n v="54.7425"/>
    <n v="47.443499999999993"/>
    <n v="3"/>
  </r>
  <r>
    <n v="433"/>
    <s v="EA46"/>
    <d v="2022-03-09T00:00:00"/>
    <x v="2"/>
    <x v="1"/>
    <s v="Standard Class"/>
    <s v="RB-19795"/>
    <s v="OFF-ST-10000617"/>
    <n v="130"/>
    <n v="14"/>
    <n v="10.76923076923077"/>
    <x v="6"/>
    <s v="Board Puzzles"/>
    <m/>
    <n v="201303"/>
    <s v="INDIA"/>
    <x v="1"/>
    <m/>
    <n v="4.7679999999999998"/>
    <n v="2"/>
    <n v="0.2"/>
    <n v="-0.77480000000000004"/>
    <n v="2.7713999999999999"/>
    <n v="2"/>
  </r>
  <r>
    <n v="434"/>
    <s v="UQ68"/>
    <d v="2022-03-10T00:00:00"/>
    <x v="2"/>
    <x v="1"/>
    <s v="First Class"/>
    <s v="DB-13060"/>
    <s v="OFF-ST-10003306"/>
    <n v="110"/>
    <n v="6"/>
    <n v="5.4545454545454541"/>
    <x v="7"/>
    <s v="Herbal Teas"/>
    <s v="INR"/>
    <n v="600091"/>
    <s v="INDIA"/>
    <x v="19"/>
    <m/>
    <n v="714.3"/>
    <n v="5"/>
    <n v="0.1"/>
    <n v="207.14699999999999"/>
    <n v="101.4306"/>
    <n v="3"/>
  </r>
  <r>
    <n v="435"/>
    <s v="UT19"/>
    <d v="2022-03-11T00:00:00"/>
    <x v="2"/>
    <x v="1"/>
    <s v="Standard Class"/>
    <s v="MK-18160"/>
    <s v="OFF-BI-10000773"/>
    <n v="120"/>
    <n v="16"/>
    <n v="13.333333333333334"/>
    <x v="8"/>
    <s v="Pet Beds"/>
    <s v="INR"/>
    <n v="122004"/>
    <s v="INDIA"/>
    <x v="3"/>
    <m/>
    <n v="4.8120000000000003"/>
    <n v="2"/>
    <n v="0.7"/>
    <n v="-3.6892"/>
    <n v="4.2506000000000004"/>
    <n v="5"/>
  </r>
  <r>
    <n v="436"/>
    <s v="EV43"/>
    <d v="2022-03-12T00:00:00"/>
    <x v="2"/>
    <x v="1"/>
    <s v="Standard Class"/>
    <s v="MK-18160"/>
    <s v="TEC-AC-10002600"/>
    <n v="220"/>
    <n v="20"/>
    <n v="9.0909090909090917"/>
    <x v="2"/>
    <s v="Women’s Skirts"/>
    <s v="INR"/>
    <n v="560095"/>
    <s v="INDIA"/>
    <x v="12"/>
    <m/>
    <n v="247.8"/>
    <n v="5"/>
    <n v="0.2"/>
    <n v="-18.585000000000001"/>
    <n v="53.277000000000001"/>
    <n v="3"/>
  </r>
  <r>
    <n v="437"/>
    <s v="VV93"/>
    <d v="2022-03-13T00:00:00"/>
    <x v="2"/>
    <x v="1"/>
    <s v="Second Class"/>
    <s v="PO-19180"/>
    <s v="TEC-MA-10002937"/>
    <n v="170"/>
    <n v="8"/>
    <n v="4.7058823529411766"/>
    <x v="4"/>
    <s v="Smart Displays"/>
    <s v="INR"/>
    <n v="560095"/>
    <s v="INDIA"/>
    <x v="19"/>
    <m/>
    <n v="1007.979"/>
    <n v="3"/>
    <n v="0.3"/>
    <n v="43.199100000000001"/>
    <n v="321.5933"/>
    <n v="3"/>
  </r>
  <r>
    <n v="438"/>
    <s v="MU33"/>
    <d v="2022-03-14T00:00:00"/>
    <x v="2"/>
    <x v="1"/>
    <s v="Second Class"/>
    <s v="PO-19180"/>
    <s v="OFF-PA-10001970"/>
    <n v="200"/>
    <n v="12"/>
    <n v="6"/>
    <x v="0"/>
    <s v="Children’s Activity Books"/>
    <s v="INR"/>
    <n v="390025"/>
    <s v="INDIA"/>
    <x v="4"/>
    <m/>
    <n v="313.488"/>
    <n v="7"/>
    <n v="0.2"/>
    <n v="113.63939999999999"/>
    <n v="28.549800000000001"/>
    <n v="4"/>
  </r>
  <r>
    <n v="439"/>
    <s v="EN12"/>
    <d v="2022-03-15T00:00:00"/>
    <x v="2"/>
    <x v="1"/>
    <s v="Standard Class"/>
    <s v="BB-11545"/>
    <s v="OFF-PA-10002230"/>
    <n v="150"/>
    <n v="20"/>
    <n v="13.333333333333334"/>
    <x v="1"/>
    <s v="Rowing Machines"/>
    <s v="INR"/>
    <n v="560095"/>
    <s v="INDIA"/>
    <x v="3"/>
    <m/>
    <n v="31.872"/>
    <n v="8"/>
    <n v="0.2"/>
    <n v="11.553599999999999"/>
    <n v="2.5398000000000001"/>
    <n v="2"/>
  </r>
  <r>
    <n v="440"/>
    <s v="TG27"/>
    <d v="2022-03-16T00:00:00"/>
    <x v="2"/>
    <x v="1"/>
    <s v="Second Class"/>
    <s v="CV-12805"/>
    <s v="FUR-CH-10003396"/>
    <n v="220"/>
    <n v="14"/>
    <n v="6.3636363636363633"/>
    <x v="4"/>
    <s v="Smart Remotes"/>
    <s v="INR"/>
    <n v="600092"/>
    <s v="INDIA"/>
    <x v="8"/>
    <s v="Easy Ship"/>
    <n v="207.846"/>
    <n v="3"/>
    <n v="0.11"/>
    <n v="2.3094000000000001"/>
    <n v="68.512199999999993"/>
    <n v="1"/>
  </r>
  <r>
    <n v="441"/>
    <s v="VK81"/>
    <d v="2022-03-17T00:00:00"/>
    <x v="2"/>
    <x v="1"/>
    <s v="Second Class"/>
    <s v="PK-19075"/>
    <s v="FUR-FU-10000246"/>
    <n v="250"/>
    <n v="30"/>
    <n v="12"/>
    <x v="2"/>
    <s v="Men’s Jackets"/>
    <s v="INR"/>
    <n v="682024"/>
    <s v="INDIA"/>
    <x v="18"/>
    <m/>
    <n v="12.22"/>
    <n v="1"/>
    <n v="0.1"/>
    <n v="3.6659999999999999"/>
    <n v="8.5540000000000003"/>
    <n v="3"/>
  </r>
  <r>
    <n v="442"/>
    <s v="QI12"/>
    <d v="2022-03-18T00:00:00"/>
    <x v="2"/>
    <x v="1"/>
    <s v="Second Class"/>
    <s v="PK-19075"/>
    <s v="OFF-ST-10000060"/>
    <n v="240"/>
    <n v="24"/>
    <n v="10"/>
    <x v="5"/>
    <s v="Kitchen Organizers"/>
    <s v="INR"/>
    <n v="176310"/>
    <s v="INDIA"/>
    <x v="7"/>
    <m/>
    <n v="194.94"/>
    <n v="3"/>
    <n v="0.1"/>
    <n v="23.392800000000001"/>
    <n v="57.182400000000001"/>
    <n v="2"/>
  </r>
  <r>
    <n v="443"/>
    <s v="KK89"/>
    <d v="2022-03-19T00:00:00"/>
    <x v="2"/>
    <x v="1"/>
    <s v="Second Class"/>
    <s v="PK-19075"/>
    <s v="OFF-ST-10003058"/>
    <n v="210"/>
    <n v="12"/>
    <n v="5.7142857142857144"/>
    <x v="3"/>
    <s v="Car Wipers"/>
    <s v="INR"/>
    <n v="226010"/>
    <s v="INDIA"/>
    <x v="2"/>
    <m/>
    <n v="70.95"/>
    <n v="3"/>
    <n v="0.1"/>
    <n v="20.575500000000002"/>
    <n v="16.791499999999999"/>
    <n v="3"/>
  </r>
  <r>
    <n v="444"/>
    <s v="MH62"/>
    <d v="2022-03-20T00:00:00"/>
    <x v="2"/>
    <x v="1"/>
    <s v="Second Class"/>
    <s v="PK-19075"/>
    <s v="OFF-PA-10002222"/>
    <n v="190"/>
    <n v="30"/>
    <n v="15.789473684210526"/>
    <x v="6"/>
    <s v="Play Kitchens"/>
    <s v="INR"/>
    <n v="410218"/>
    <s v="INDIA"/>
    <x v="3"/>
    <m/>
    <n v="91.36"/>
    <n v="4"/>
    <n v="0.1"/>
    <n v="42.025599999999997"/>
    <n v="12.333600000000001"/>
    <n v="1"/>
  </r>
  <r>
    <n v="445"/>
    <s v="EG14"/>
    <d v="2022-03-21T00:00:00"/>
    <x v="2"/>
    <x v="1"/>
    <s v="Second Class"/>
    <s v="PK-19075"/>
    <s v="FUR-CH-10002372"/>
    <n v="140"/>
    <n v="6"/>
    <n v="4.2857142857142856"/>
    <x v="7"/>
    <s v="Protein Bars"/>
    <s v="INR"/>
    <n v="411041"/>
    <s v="INDIA"/>
    <x v="1"/>
    <m/>
    <n v="242.94"/>
    <n v="3"/>
    <n v="0.1"/>
    <n v="29.152799999999999"/>
    <n v="71.2624"/>
    <n v="3"/>
  </r>
  <r>
    <n v="446"/>
    <s v="XO22"/>
    <d v="2022-03-22T00:00:00"/>
    <x v="2"/>
    <x v="1"/>
    <s v="Second Class"/>
    <s v="PK-19075"/>
    <s v="OFF-LA-10001317"/>
    <n v="220"/>
    <n v="30"/>
    <n v="13.636363636363635"/>
    <x v="8"/>
    <s v="Pet Towels"/>
    <s v="INR"/>
    <n v="600001"/>
    <s v="INDIA"/>
    <x v="3"/>
    <m/>
    <n v="22.05"/>
    <n v="7"/>
    <n v="0.1"/>
    <n v="10.584"/>
    <n v="1.6380000000000001"/>
    <n v="3"/>
  </r>
  <r>
    <n v="447"/>
    <s v="PT58"/>
    <d v="2022-03-23T00:00:00"/>
    <x v="2"/>
    <x v="1"/>
    <s v="Second Class"/>
    <s v="TB-21595"/>
    <s v="FUR-FU-10000206"/>
    <n v="160"/>
    <n v="22"/>
    <n v="13.750000000000002"/>
    <x v="2"/>
    <s v="Women’s Sunglasses"/>
    <s v="INR"/>
    <n v="682023"/>
    <s v="INDIA"/>
    <x v="3"/>
    <m/>
    <n v="2.91"/>
    <n v="1"/>
    <n v="0.1"/>
    <n v="1.3676999999999999"/>
    <n v="1.5423000000000002"/>
    <n v="3"/>
  </r>
  <r>
    <n v="448"/>
    <s v="NC81"/>
    <d v="2022-03-24T00:00:00"/>
    <x v="2"/>
    <x v="1"/>
    <s v="Second Class"/>
    <s v="RB-19360"/>
    <s v="OFF-AR-10000588"/>
    <n v="200"/>
    <n v="12"/>
    <n v="6"/>
    <x v="4"/>
    <s v="Smart Sensors"/>
    <s v="INR"/>
    <n v="682023"/>
    <s v="INDIA"/>
    <x v="10"/>
    <m/>
    <n v="59.52"/>
    <n v="3"/>
    <n v="0.1"/>
    <n v="15.475199999999999"/>
    <n v="14.681600000000001"/>
    <n v="3"/>
  </r>
  <r>
    <n v="449"/>
    <s v="UQ33"/>
    <d v="2022-03-25T00:00:00"/>
    <x v="2"/>
    <x v="1"/>
    <s v="Second Class"/>
    <s v="RB-19360"/>
    <s v="OFF-ST-10001469"/>
    <n v="100"/>
    <n v="8"/>
    <n v="8"/>
    <x v="0"/>
    <s v="Children’s Storybooks"/>
    <s v="INR"/>
    <n v="460004"/>
    <s v="INDIA"/>
    <x v="1"/>
    <m/>
    <n v="161.94"/>
    <n v="3"/>
    <n v="0.1"/>
    <n v="9.7164000000000001"/>
    <n v="50.741199999999999"/>
    <n v="2"/>
  </r>
  <r>
    <n v="450"/>
    <s v="TE86"/>
    <d v="2022-03-26T00:00:00"/>
    <x v="2"/>
    <x v="1"/>
    <s v="Second Class"/>
    <s v="RB-19360"/>
    <s v="OFF-AR-10001953"/>
    <n v="130"/>
    <n v="14"/>
    <n v="10.76923076923077"/>
    <x v="1"/>
    <s v="Elliptical Trainers"/>
    <s v="INR"/>
    <n v="834002"/>
    <s v="INDIA"/>
    <x v="5"/>
    <m/>
    <n v="263.88"/>
    <n v="6"/>
    <n v="0.1"/>
    <n v="71.247600000000006"/>
    <n v="32.105399999999996"/>
    <n v="1"/>
  </r>
  <r>
    <n v="451"/>
    <s v="UH82"/>
    <d v="2022-03-27T00:00:00"/>
    <x v="2"/>
    <x v="1"/>
    <s v="Second Class"/>
    <s v="RB-19360"/>
    <s v="OFF-AR-10003156"/>
    <n v="120"/>
    <n v="12"/>
    <n v="10"/>
    <x v="4"/>
    <s v="Smart Thermostats"/>
    <s v="INR"/>
    <n v="637505"/>
    <s v="INDIA"/>
    <x v="18"/>
    <m/>
    <n v="30.48"/>
    <n v="3"/>
    <n v="0.1"/>
    <n v="7.9248000000000003"/>
    <n v="7.5183999999999997"/>
    <n v="3"/>
  </r>
  <r>
    <n v="452"/>
    <s v="BZ57"/>
    <d v="2022-03-28T00:00:00"/>
    <x v="2"/>
    <x v="1"/>
    <s v="Second Class"/>
    <s v="RB-19360"/>
    <s v="OFF-AR-10004974"/>
    <n v="230"/>
    <n v="8"/>
    <n v="3.4782608695652173"/>
    <x v="2"/>
    <s v="Kids’ Dresses"/>
    <s v="INR"/>
    <n v="380055"/>
    <s v="INDIA"/>
    <x v="6"/>
    <m/>
    <n v="9.84"/>
    <n v="3"/>
    <n v="0.1"/>
    <n v="2.8536000000000001"/>
    <n v="2.3287999999999998"/>
    <n v="1"/>
  </r>
  <r>
    <n v="453"/>
    <s v="WU60"/>
    <d v="2022-03-29T00:00:00"/>
    <x v="2"/>
    <x v="1"/>
    <s v="Second Class"/>
    <s v="RB-19360"/>
    <s v="TEC-PH-10002365"/>
    <n v="180"/>
    <n v="20"/>
    <n v="11.111111111111111"/>
    <x v="5"/>
    <s v="Kitchen Containers"/>
    <s v="INR"/>
    <n v="577002"/>
    <s v="INDIA"/>
    <x v="1"/>
    <m/>
    <n v="35.119999999999997"/>
    <n v="4"/>
    <n v="0.1"/>
    <n v="9.1311999999999998"/>
    <n v="6.4971999999999994"/>
    <n v="5"/>
  </r>
  <r>
    <n v="454"/>
    <s v="WC81"/>
    <d v="2022-03-30T00:00:00"/>
    <x v="2"/>
    <x v="1"/>
    <s v="Standard Class"/>
    <s v="EB-13705"/>
    <s v="FUR-TA-10001539"/>
    <n v="120"/>
    <n v="28"/>
    <n v="23.333333333333332"/>
    <x v="3"/>
    <s v="Car Steering Covers"/>
    <s v="INR"/>
    <n v="751024"/>
    <s v="INDIA"/>
    <x v="1"/>
    <m/>
    <n v="284.36399999999998"/>
    <n v="2"/>
    <n v="0.4"/>
    <n v="-75.830399999999997"/>
    <n v="180.09719999999999"/>
    <n v="1"/>
  </r>
  <r>
    <n v="455"/>
    <s v="XN43"/>
    <d v="2022-03-31T00:00:00"/>
    <x v="2"/>
    <x v="1"/>
    <s v="Standard Class"/>
    <s v="EB-13705"/>
    <s v="OFF-ST-10000142"/>
    <n v="100"/>
    <n v="18"/>
    <n v="18"/>
    <x v="6"/>
    <s v="Construction Sets"/>
    <s v="INR"/>
    <n v="535591"/>
    <s v="INDIA"/>
    <x v="0"/>
    <m/>
    <n v="665.40800000000002"/>
    <n v="2"/>
    <n v="0.2"/>
    <n v="66.540800000000004"/>
    <n v="299.43360000000001"/>
    <n v="4"/>
  </r>
  <r>
    <n v="456"/>
    <s v="HY86"/>
    <d v="2022-04-01T00:00:00"/>
    <x v="3"/>
    <x v="1"/>
    <s v="Standard Class"/>
    <s v="KH-16630"/>
    <s v="TEC-AC-10001772"/>
    <n v="220"/>
    <n v="22"/>
    <n v="10"/>
    <x v="7"/>
    <s v="Juices"/>
    <m/>
    <n v="781011"/>
    <s v="INDIA"/>
    <x v="17"/>
    <m/>
    <n v="63.88"/>
    <n v="4"/>
    <n v="0.1"/>
    <n v="24.9132"/>
    <n v="9.7417000000000016"/>
    <n v="3"/>
  </r>
  <r>
    <n v="457"/>
    <s v="CX15"/>
    <d v="2022-04-02T00:00:00"/>
    <x v="3"/>
    <x v="1"/>
    <s v="Standard Class"/>
    <s v="SC-20095"/>
    <s v="FUR-CH-10000225"/>
    <n v="150"/>
    <n v="30"/>
    <n v="20"/>
    <x v="8"/>
    <s v="Pet Harnesses"/>
    <s v="INR"/>
    <n v="500032"/>
    <s v="INDIA"/>
    <x v="3"/>
    <m/>
    <n v="129.56800000000001"/>
    <n v="2"/>
    <n v="0.2"/>
    <n v="-24.294"/>
    <n v="76.931000000000012"/>
    <n v="5"/>
  </r>
  <r>
    <n v="458"/>
    <s v="MU32"/>
    <d v="2022-04-03T00:00:00"/>
    <x v="3"/>
    <x v="1"/>
    <s v="Standard Class"/>
    <s v="NF-18385"/>
    <s v="FUR-CH-10002331"/>
    <n v="110"/>
    <n v="10"/>
    <n v="9.0909090909090917"/>
    <x v="2"/>
    <s v="Men’s Accessories"/>
    <s v="INR"/>
    <n v="415002"/>
    <s v="INDIA"/>
    <x v="9"/>
    <m/>
    <n v="747.55799999999999"/>
    <n v="3"/>
    <n v="0.3"/>
    <n v="-96.114599999999996"/>
    <n v="281.2242"/>
    <n v="2"/>
  </r>
  <r>
    <n v="459"/>
    <s v="XK14"/>
    <d v="2022-04-04T00:00:00"/>
    <x v="3"/>
    <x v="1"/>
    <s v="Standard Class"/>
    <s v="NF-18385"/>
    <s v="OFF-EN-10001415"/>
    <n v="130"/>
    <n v="20"/>
    <n v="15.384615384615385"/>
    <x v="4"/>
    <s v="Smart Home Hubs"/>
    <s v="INR"/>
    <n v="700144"/>
    <s v="INDIA"/>
    <x v="18"/>
    <s v="Easy Ship"/>
    <n v="8.9280000000000008"/>
    <n v="2"/>
    <n v="0.2"/>
    <n v="3.3479999999999999"/>
    <n v="2.7900000000000005"/>
    <n v="5"/>
  </r>
  <r>
    <n v="460"/>
    <s v="PX98"/>
    <d v="2022-04-05T00:00:00"/>
    <x v="3"/>
    <x v="1"/>
    <s v="Standard Class"/>
    <s v="JH-15985"/>
    <s v="OFF-AP-10002472"/>
    <n v="220"/>
    <n v="30"/>
    <n v="13.636363636363635"/>
    <x v="0"/>
    <s v="Children’s Educational Books"/>
    <s v="INR"/>
    <n v="700144"/>
    <s v="INDIA"/>
    <x v="4"/>
    <m/>
    <n v="103.92"/>
    <n v="4"/>
    <n v="0.1"/>
    <n v="36.372"/>
    <n v="16.887"/>
    <n v="5"/>
  </r>
  <r>
    <n v="461"/>
    <s v="PL27"/>
    <d v="2022-04-06T00:00:00"/>
    <x v="3"/>
    <x v="1"/>
    <s v="Standard Class"/>
    <s v="JH-15985"/>
    <s v="TEC-AC-10004571"/>
    <n v="230"/>
    <n v="28"/>
    <n v="12.173913043478262"/>
    <x v="1"/>
    <s v="Archery Gear"/>
    <s v="INR"/>
    <n v="721140"/>
    <s v="INDIA"/>
    <x v="15"/>
    <m/>
    <n v="899.91"/>
    <n v="9"/>
    <n v="0.1"/>
    <n v="377.9622"/>
    <n v="57.994199999999992"/>
    <n v="2"/>
  </r>
  <r>
    <n v="462"/>
    <s v="CD47"/>
    <d v="2022-04-07T00:00:00"/>
    <x v="3"/>
    <x v="1"/>
    <s v="Standard Class"/>
    <s v="JH-15985"/>
    <s v="OFF-BI-10001098"/>
    <n v="210"/>
    <n v="12"/>
    <n v="5.7142857142857144"/>
    <x v="4"/>
    <s v="Smart Switches"/>
    <s v="INR"/>
    <n v="382330"/>
    <s v="INDIA"/>
    <x v="18"/>
    <m/>
    <n v="51.311999999999998"/>
    <n v="3"/>
    <n v="0.2"/>
    <n v="18.6006"/>
    <n v="10.903799999999999"/>
    <n v="5"/>
  </r>
  <r>
    <n v="463"/>
    <s v="RY16"/>
    <d v="2022-04-08T00:00:00"/>
    <x v="3"/>
    <x v="1"/>
    <s v="Standard Class"/>
    <s v="TN-21040"/>
    <s v="FUR-FU-10000023"/>
    <n v="120"/>
    <n v="12"/>
    <n v="10"/>
    <x v="2"/>
    <s v="Women’s Scarves"/>
    <s v="INR"/>
    <n v="799010"/>
    <s v="INDIA"/>
    <x v="17"/>
    <s v="Easy Ship"/>
    <n v="23.56"/>
    <n v="5"/>
    <n v="0.2"/>
    <n v="7.0679999999999996"/>
    <n v="3.2983999999999996"/>
    <n v="5"/>
  </r>
  <r>
    <n v="464"/>
    <s v="ET32"/>
    <d v="2022-04-09T00:00:00"/>
    <x v="3"/>
    <x v="1"/>
    <s v="Standard Class"/>
    <s v="TN-21040"/>
    <s v="FUR-TA-10001889"/>
    <n v="170"/>
    <n v="18"/>
    <n v="10.588235294117647"/>
    <x v="5"/>
    <s v="Kitchen Utensils"/>
    <s v="INR"/>
    <n v="500062"/>
    <s v="INDIA"/>
    <x v="11"/>
    <s v="Easy Ship"/>
    <n v="1272.6300000000001"/>
    <n v="6"/>
    <n v="0.5"/>
    <n v="-814.48320000000001"/>
    <n v="347.85220000000004"/>
    <n v="2"/>
  </r>
  <r>
    <n v="465"/>
    <s v="VL74"/>
    <d v="2022-04-10T00:00:00"/>
    <x v="3"/>
    <x v="1"/>
    <s v="Standard Class"/>
    <s v="TN-21040"/>
    <s v="OFF-BI-10000315"/>
    <n v="240"/>
    <n v="16"/>
    <n v="6.666666666666667"/>
    <x v="3"/>
    <s v="Car Dash Cameras"/>
    <s v="INR"/>
    <n v="560066"/>
    <s v="INDIA"/>
    <x v="18"/>
    <m/>
    <n v="28.484999999999999"/>
    <n v="5"/>
    <n v="0.7"/>
    <n v="-20.888999999999999"/>
    <n v="9.8747999999999987"/>
    <n v="4"/>
  </r>
  <r>
    <n v="466"/>
    <s v="EZ15"/>
    <d v="2022-04-11T00:00:00"/>
    <x v="3"/>
    <x v="1"/>
    <s v="Standard Class"/>
    <s v="TN-21040"/>
    <s v="OFF-SU-10003505"/>
    <n v="110"/>
    <n v="18"/>
    <n v="16.363636363636363"/>
    <x v="6"/>
    <s v="Role Play Sets"/>
    <s v="INR"/>
    <n v="721429"/>
    <s v="INDIA"/>
    <x v="9"/>
    <s v="Easy Ship"/>
    <n v="185.376"/>
    <n v="2"/>
    <n v="0.2"/>
    <n v="-34.758000000000003"/>
    <n v="110.06700000000001"/>
    <n v="4"/>
  </r>
  <r>
    <n v="467"/>
    <s v="WE97"/>
    <d v="2022-04-12T00:00:00"/>
    <x v="3"/>
    <x v="1"/>
    <s v="Standard Class"/>
    <s v="TN-21040"/>
    <s v="OFF-AP-10002578"/>
    <n v="160"/>
    <n v="30"/>
    <n v="18.75"/>
    <x v="7"/>
    <s v="Pickles"/>
    <s v="INR"/>
    <n v="400706"/>
    <s v="INDIA"/>
    <x v="3"/>
    <m/>
    <n v="78.272000000000006"/>
    <n v="2"/>
    <n v="0.2"/>
    <n v="5.8704000000000001"/>
    <n v="36.200800000000001"/>
    <n v="4"/>
  </r>
  <r>
    <n v="468"/>
    <s v="VD84"/>
    <d v="2022-04-13T00:00:00"/>
    <x v="3"/>
    <x v="1"/>
    <s v="Standard Class"/>
    <s v="JS-15940"/>
    <s v="FUR-FU-10002918"/>
    <n v="200"/>
    <n v="10"/>
    <n v="5"/>
    <x v="8"/>
    <s v="Pet Blankets"/>
    <s v="INR"/>
    <n v="500090"/>
    <s v="INDIA"/>
    <x v="3"/>
    <m/>
    <n v="254.744"/>
    <n v="7"/>
    <n v="0.6"/>
    <n v="-312.06139999999999"/>
    <n v="80.972200000000001"/>
    <n v="2"/>
  </r>
  <r>
    <n v="469"/>
    <s v="UH14"/>
    <d v="2022-04-14T00:00:00"/>
    <x v="3"/>
    <x v="1"/>
    <s v="Standard Class"/>
    <s v="DS-13180"/>
    <s v="FUR-BO-10002824"/>
    <n v="110"/>
    <n v="18"/>
    <n v="16.363636363636363"/>
    <x v="2"/>
    <s v="Men’s Sports Shoes"/>
    <s v="INR"/>
    <n v="411006"/>
    <s v="INDIA"/>
    <x v="3"/>
    <m/>
    <n v="205.33279999999999"/>
    <n v="2"/>
    <n v="0.32"/>
    <n v="-36.235199999999999"/>
    <n v="120.78399999999999"/>
    <n v="5"/>
  </r>
  <r>
    <n v="470"/>
    <s v="LS93"/>
    <d v="2022-04-15T00:00:00"/>
    <x v="3"/>
    <x v="1"/>
    <s v="Second Class"/>
    <s v="CC-12670"/>
    <s v="OFF-BI-10002194"/>
    <n v="110"/>
    <n v="28"/>
    <n v="25.454545454545453"/>
    <x v="4"/>
    <s v="Speakers"/>
    <s v="INR"/>
    <n v="224001"/>
    <s v="INDIA"/>
    <x v="3"/>
    <m/>
    <n v="4.7880000000000003"/>
    <n v="3"/>
    <n v="0.8"/>
    <n v="-7.9001999999999999"/>
    <n v="4.2294"/>
    <n v="5"/>
  </r>
  <r>
    <n v="471"/>
    <s v="SG63"/>
    <d v="2022-04-16T00:00:00"/>
    <x v="3"/>
    <x v="1"/>
    <s v="Standard Class"/>
    <s v="MH-17785"/>
    <s v="OFF-PA-10004071"/>
    <n v="180"/>
    <n v="12"/>
    <n v="6.666666666666667"/>
    <x v="0"/>
    <s v="Fiction"/>
    <s v="INR"/>
    <n v="500084"/>
    <s v="INDIA"/>
    <x v="9"/>
    <s v="Easy Ship"/>
    <n v="55.48"/>
    <n v="1"/>
    <n v="0.1"/>
    <n v="26.630400000000002"/>
    <n v="28.849599999999995"/>
    <n v="2"/>
  </r>
  <r>
    <n v="472"/>
    <s v="FS63"/>
    <d v="2022-04-17T00:00:00"/>
    <x v="3"/>
    <x v="1"/>
    <s v="Second Class"/>
    <s v="JP-15520"/>
    <s v="OFF-ST-10002743"/>
    <n v="230"/>
    <n v="12"/>
    <n v="5.2173913043478262"/>
    <x v="1"/>
    <s v="Camping Gear"/>
    <s v="INR"/>
    <n v="500084"/>
    <s v="INDIA"/>
    <x v="10"/>
    <s v="Easy Ship"/>
    <n v="340.92"/>
    <n v="3"/>
    <n v="0.1"/>
    <n v="3.4091999999999998"/>
    <n v="112.50360000000001"/>
    <n v="5"/>
  </r>
  <r>
    <n v="473"/>
    <s v="WW41"/>
    <d v="2022-04-18T00:00:00"/>
    <x v="3"/>
    <x v="1"/>
    <s v="Second Class"/>
    <s v="JP-15520"/>
    <s v="FUR-BO-10001601"/>
    <n v="240"/>
    <n v="28"/>
    <n v="11.666666666666666"/>
    <x v="2"/>
    <s v="Women’s Dresses"/>
    <s v="INR"/>
    <n v="401107"/>
    <s v="INDIA"/>
    <x v="7"/>
    <m/>
    <n v="222.666"/>
    <n v="2"/>
    <n v="0.15"/>
    <n v="10.478400000000001"/>
    <n v="106.0938"/>
    <n v="2"/>
  </r>
  <r>
    <n v="474"/>
    <s v="UE90"/>
    <d v="2022-04-19T00:00:00"/>
    <x v="3"/>
    <x v="1"/>
    <s v="Second Class"/>
    <s v="JP-15520"/>
    <s v="TEC-PH-10002680"/>
    <n v="170"/>
    <n v="12"/>
    <n v="7.0588235294117645"/>
    <x v="3"/>
    <s v="Car Parts"/>
    <s v="INR"/>
    <n v="421504"/>
    <s v="INDIA"/>
    <x v="3"/>
    <m/>
    <n v="703.96799999999996"/>
    <n v="4"/>
    <n v="0.2"/>
    <n v="87.995999999999995"/>
    <n v="153.99299999999999"/>
    <n v="3"/>
  </r>
  <r>
    <n v="475"/>
    <s v="FD42"/>
    <d v="2022-04-20T00:00:00"/>
    <x v="3"/>
    <x v="1"/>
    <s v="Second Class"/>
    <s v="JP-15520"/>
    <s v="OFF-ST-10001321"/>
    <n v="180"/>
    <n v="18"/>
    <n v="10"/>
    <x v="4"/>
    <s v="Smartwatches"/>
    <s v="INR"/>
    <n v="560024"/>
    <s v="INDIA"/>
    <x v="19"/>
    <s v="Easy Ship"/>
    <n v="92.52"/>
    <n v="6"/>
    <n v="0.1"/>
    <n v="24.980399999999999"/>
    <n v="11.256599999999999"/>
    <n v="1"/>
  </r>
  <r>
    <n v="476"/>
    <s v="LC55"/>
    <d v="2022-04-21T00:00:00"/>
    <x v="3"/>
    <x v="1"/>
    <s v="Second Class"/>
    <s v="JP-15520"/>
    <s v="OFF-PA-10001509"/>
    <n v="110"/>
    <n v="24"/>
    <n v="21.818181818181817"/>
    <x v="5"/>
    <s v="Cookware"/>
    <s v="INR"/>
    <n v="401107"/>
    <s v="INDIA"/>
    <x v="1"/>
    <m/>
    <n v="62.65"/>
    <n v="7"/>
    <n v="0.1"/>
    <n v="28.818999999999999"/>
    <n v="4.8330000000000002"/>
    <n v="5"/>
  </r>
  <r>
    <n v="477"/>
    <s v="PI33"/>
    <d v="2022-04-22T00:00:00"/>
    <x v="3"/>
    <x v="1"/>
    <s v="Second Class"/>
    <s v="JP-15520"/>
    <s v="OFF-PA-10003465"/>
    <n v="230"/>
    <n v="30"/>
    <n v="13.043478260869565"/>
    <x v="6"/>
    <s v="Board Games"/>
    <s v="INR"/>
    <n v="400092"/>
    <s v="INDIA"/>
    <x v="0"/>
    <s v="Easy Ship"/>
    <n v="94.85"/>
    <n v="5"/>
    <n v="0.1"/>
    <n v="45.527999999999999"/>
    <n v="9.8643999999999998"/>
    <n v="4"/>
  </r>
  <r>
    <n v="478"/>
    <s v="KO91"/>
    <d v="2022-04-23T00:00:00"/>
    <x v="3"/>
    <x v="1"/>
    <s v="Standard Class"/>
    <s v="KH-16690"/>
    <s v="TEC-PH-10000149"/>
    <n v="170"/>
    <n v="26"/>
    <n v="15.294117647058824"/>
    <x v="7"/>
    <s v="Snacks"/>
    <s v="INR"/>
    <n v="641046"/>
    <s v="INDIA"/>
    <x v="3"/>
    <m/>
    <n v="95.76"/>
    <n v="6"/>
    <n v="0.2"/>
    <n v="7.1820000000000004"/>
    <n v="14.763"/>
    <n v="2"/>
  </r>
  <r>
    <n v="479"/>
    <s v="VW87"/>
    <d v="2022-04-24T00:00:00"/>
    <x v="3"/>
    <x v="1"/>
    <s v="Standard Class"/>
    <s v="JE-15475"/>
    <s v="FUR-FU-10002671"/>
    <n v="170"/>
    <n v="12"/>
    <n v="7.0588235294117645"/>
    <x v="8"/>
    <s v="Dog Food"/>
    <s v="INR"/>
    <n v="251309"/>
    <s v="INDIA"/>
    <x v="18"/>
    <m/>
    <n v="40.200000000000003"/>
    <n v="3"/>
    <n v="0.1"/>
    <n v="19.295999999999999"/>
    <n v="6.9680000000000009"/>
    <n v="2"/>
  </r>
  <r>
    <n v="480"/>
    <s v="AD84"/>
    <d v="2022-04-25T00:00:00"/>
    <x v="3"/>
    <x v="1"/>
    <s v="Standard Class"/>
    <s v="JG-15805"/>
    <s v="OFF-AR-10003045"/>
    <n v="150"/>
    <n v="10"/>
    <n v="6.666666666666667"/>
    <x v="2"/>
    <s v="Men’s Jackets"/>
    <s v="INR"/>
    <n v="700028"/>
    <s v="INDIA"/>
    <x v="19"/>
    <s v="Easy Ship"/>
    <n v="14.7"/>
    <n v="5"/>
    <n v="0.1"/>
    <n v="6.6150000000000002"/>
    <n v="1.6169999999999998"/>
    <n v="2"/>
  </r>
  <r>
    <n v="481"/>
    <s v="NQ49"/>
    <d v="2022-04-26T00:00:00"/>
    <x v="3"/>
    <x v="1"/>
    <s v="Standard Class"/>
    <s v="JG-15805"/>
    <s v="OFF-ST-10000689"/>
    <n v="240"/>
    <n v="16"/>
    <n v="6.666666666666667"/>
    <x v="4"/>
    <s v="Headphones"/>
    <s v="INR"/>
    <n v="700028"/>
    <s v="INDIA"/>
    <x v="11"/>
    <m/>
    <n v="704.25"/>
    <n v="5"/>
    <n v="0.1"/>
    <n v="84.51"/>
    <n v="123.94800000000001"/>
    <n v="3"/>
  </r>
  <r>
    <n v="482"/>
    <s v="LR65"/>
    <d v="2022-04-27T00:00:00"/>
    <x v="3"/>
    <x v="1"/>
    <s v="Standard Class"/>
    <s v="XP-21865"/>
    <s v="TEC-AC-10001445"/>
    <n v="110"/>
    <n v="14"/>
    <n v="12.727272727272727"/>
    <x v="1"/>
    <s v="Treadmills"/>
    <s v="INR"/>
    <n v="570023"/>
    <s v="INDIA"/>
    <x v="15"/>
    <m/>
    <n v="9.09"/>
    <n v="3"/>
    <n v="0.1"/>
    <n v="1.9089"/>
    <n v="2.3936999999999999"/>
    <n v="3"/>
  </r>
  <r>
    <n v="483"/>
    <s v="CC65"/>
    <d v="2022-04-28T00:00:00"/>
    <x v="3"/>
    <x v="1"/>
    <s v="Standard Class"/>
    <s v="EM-14065"/>
    <s v="OFF-AR-10002053"/>
    <n v="210"/>
    <n v="22"/>
    <n v="10.476190476190476"/>
    <x v="5"/>
    <s v="Furniture"/>
    <s v="INR"/>
    <n v="700095"/>
    <s v="INDIA"/>
    <x v="10"/>
    <m/>
    <n v="5.96"/>
    <n v="2"/>
    <n v="0.1"/>
    <n v="1.6688000000000001"/>
    <n v="2.1456"/>
    <n v="2"/>
  </r>
  <r>
    <n v="484"/>
    <s v="TI88"/>
    <d v="2022-04-29T00:00:00"/>
    <x v="3"/>
    <x v="1"/>
    <s v="Standard Class"/>
    <s v="EM-14065"/>
    <s v="TEC-AC-10002567"/>
    <n v="230"/>
    <n v="16"/>
    <n v="6.9565217391304346"/>
    <x v="0"/>
    <s v="Academic Textbooks"/>
    <s v="INR"/>
    <n v="482003"/>
    <s v="INDIA"/>
    <x v="11"/>
    <s v="Easy Ship"/>
    <n v="159.97999999999999"/>
    <n v="2"/>
    <n v="0.1"/>
    <n v="57.592799999999997"/>
    <n v="51.193599999999996"/>
    <n v="3"/>
  </r>
  <r>
    <n v="485"/>
    <s v="QV37"/>
    <d v="2022-04-30T00:00:00"/>
    <x v="3"/>
    <x v="1"/>
    <s v="First Class"/>
    <s v="MT-18070"/>
    <s v="OFF-LA-10003923"/>
    <n v="180"/>
    <n v="30"/>
    <n v="16.666666666666664"/>
    <x v="3"/>
    <s v="Motorbike Accessories"/>
    <m/>
    <n v="192123"/>
    <s v="INDIA"/>
    <x v="4"/>
    <m/>
    <n v="29.6"/>
    <n v="2"/>
    <n v="0.1"/>
    <n v="14.8"/>
    <n v="7.4"/>
    <n v="1"/>
  </r>
  <r>
    <n v="486"/>
    <s v="EI54"/>
    <d v="2022-05-01T00:00:00"/>
    <x v="4"/>
    <x v="1"/>
    <s v="First Class"/>
    <s v="MT-18070"/>
    <s v="FUR-BO-10001337"/>
    <n v="110"/>
    <n v="8"/>
    <n v="7.2727272727272725"/>
    <x v="2"/>
    <s v="Kids’ Footwear"/>
    <s v="INR"/>
    <n v="134114"/>
    <s v="INDIA"/>
    <x v="5"/>
    <s v="Easy Ship"/>
    <n v="514.16499999999996"/>
    <n v="5"/>
    <n v="0.15"/>
    <n v="-30.245000000000001"/>
    <n v="108.88199999999999"/>
    <n v="4"/>
  </r>
  <r>
    <n v="487"/>
    <s v="QL56"/>
    <d v="2022-05-02T00:00:00"/>
    <x v="4"/>
    <x v="1"/>
    <s v="First Class"/>
    <s v="MT-18070"/>
    <s v="TEC-PH-10001924"/>
    <n v="240"/>
    <n v="16"/>
    <n v="6.666666666666667"/>
    <x v="4"/>
    <s v="Televisions"/>
    <s v="INR"/>
    <n v="226008"/>
    <s v="INDIA"/>
    <x v="1"/>
    <m/>
    <n v="279.95999999999998"/>
    <n v="5"/>
    <n v="0.2"/>
    <n v="17.497499999999999"/>
    <n v="52.492499999999993"/>
    <n v="4"/>
  </r>
  <r>
    <n v="488"/>
    <s v="QD69"/>
    <d v="2022-05-03T00:00:00"/>
    <x v="4"/>
    <x v="1"/>
    <s v="First Class"/>
    <s v="SA-20830"/>
    <s v="TEC-PH-10001363"/>
    <n v="150"/>
    <n v="18"/>
    <n v="12"/>
    <x v="6"/>
    <s v="Action Figures"/>
    <s v="INR"/>
    <n v="500004"/>
    <s v="INDIA"/>
    <x v="17"/>
    <m/>
    <n v="2735.9520000000002"/>
    <n v="6"/>
    <n v="0.2"/>
    <n v="341.99400000000003"/>
    <n v="398.99299999999999"/>
    <n v="1"/>
  </r>
  <r>
    <n v="489"/>
    <s v="SD49"/>
    <d v="2022-05-04T00:00:00"/>
    <x v="4"/>
    <x v="1"/>
    <s v="Second Class"/>
    <s v="CW-11905"/>
    <s v="TEC-PH-10000376"/>
    <n v="140"/>
    <n v="14"/>
    <n v="10"/>
    <x v="7"/>
    <s v="Beverages"/>
    <s v="INR"/>
    <n v="122002"/>
    <s v="INDIA"/>
    <x v="3"/>
    <s v="Easy Ship"/>
    <n v="7.992"/>
    <n v="1"/>
    <n v="0.2"/>
    <n v="0.59940000000000004"/>
    <n v="7.3925999999999998"/>
    <n v="1"/>
  </r>
  <r>
    <n v="490"/>
    <s v="QN63"/>
    <d v="2022-05-05T00:00:00"/>
    <x v="4"/>
    <x v="1"/>
    <s v="Second Class"/>
    <s v="CW-11905"/>
    <s v="TEC-AC-10000303"/>
    <n v="130"/>
    <n v="8"/>
    <n v="6.1538461538461542"/>
    <x v="8"/>
    <s v="Cat Food"/>
    <s v="INR"/>
    <n v="400008"/>
    <s v="INDIA"/>
    <x v="15"/>
    <m/>
    <n v="63.984000000000002"/>
    <n v="2"/>
    <n v="0.2"/>
    <n v="10.397399999999999"/>
    <n v="26.793300000000002"/>
    <n v="4"/>
  </r>
  <r>
    <n v="491"/>
    <s v="EF53"/>
    <d v="2022-05-06T00:00:00"/>
    <x v="4"/>
    <x v="1"/>
    <s v="Second Class"/>
    <s v="CW-11905"/>
    <s v="OFF-AR-10001953"/>
    <n v="230"/>
    <n v="6"/>
    <n v="2.6086956521739131"/>
    <x v="2"/>
    <s v="Men’s Shirts"/>
    <s v="INR"/>
    <n v="500010"/>
    <s v="INDIA"/>
    <x v="1"/>
    <m/>
    <n v="70.367999999999995"/>
    <n v="2"/>
    <n v="0.2"/>
    <n v="6.1571999999999996"/>
    <n v="32.105399999999996"/>
    <n v="3"/>
  </r>
  <r>
    <n v="492"/>
    <s v="ST83"/>
    <d v="2022-05-07T00:00:00"/>
    <x v="4"/>
    <x v="1"/>
    <s v="Standard Class"/>
    <s v="AJ-10960"/>
    <s v="OFF-ST-10001809"/>
    <n v="230"/>
    <n v="24"/>
    <n v="10.434782608695652"/>
    <x v="4"/>
    <s v="Laptops"/>
    <s v="INR"/>
    <n v="110025"/>
    <s v="INDIA"/>
    <x v="3"/>
    <m/>
    <n v="449.15"/>
    <n v="5"/>
    <n v="0.1"/>
    <n v="8.9830000000000005"/>
    <n v="88.0334"/>
    <n v="3"/>
  </r>
  <r>
    <n v="493"/>
    <s v="XF99"/>
    <d v="2022-05-08T00:00:00"/>
    <x v="4"/>
    <x v="1"/>
    <s v="Standard Class"/>
    <s v="AJ-10960"/>
    <s v="OFF-EN-10003845"/>
    <n v="240"/>
    <n v="8"/>
    <n v="3.3333333333333335"/>
    <x v="1"/>
    <s v="Cycling Equipment"/>
    <s v="INR"/>
    <n v="500010"/>
    <s v="INDIA"/>
    <x v="8"/>
    <m/>
    <n v="11.07"/>
    <n v="3"/>
    <n v="0.1"/>
    <n v="5.0922000000000001"/>
    <n v="1.9926000000000001"/>
    <n v="5"/>
  </r>
  <r>
    <n v="494"/>
    <s v="QO40"/>
    <d v="2022-05-09T00:00:00"/>
    <x v="4"/>
    <x v="1"/>
    <s v="Standard Class"/>
    <s v="SS-20590"/>
    <s v="TEC-AC-10000991"/>
    <n v="120"/>
    <n v="26"/>
    <n v="21.666666666666668"/>
    <x v="0"/>
    <s v="Children’s Books"/>
    <s v="INR"/>
    <n v="201301"/>
    <s v="INDIA"/>
    <x v="2"/>
    <m/>
    <n v="93.98"/>
    <n v="2"/>
    <n v="0.1"/>
    <n v="13.1572"/>
    <n v="40.4114"/>
    <n v="4"/>
  </r>
  <r>
    <n v="495"/>
    <s v="NV49"/>
    <d v="2022-05-10T00:00:00"/>
    <x v="4"/>
    <x v="1"/>
    <s v="Second Class"/>
    <s v="RO-19780"/>
    <s v="FUR-TA-10001857"/>
    <n v="250"/>
    <n v="20"/>
    <n v="8"/>
    <x v="5"/>
    <s v="Bedding"/>
    <s v="INR"/>
    <n v="201301"/>
    <s v="INDIA"/>
    <x v="8"/>
    <m/>
    <n v="189.88200000000001"/>
    <n v="3"/>
    <n v="0.4"/>
    <n v="-94.941000000000003"/>
    <n v="94.940999999999988"/>
    <n v="4"/>
  </r>
  <r>
    <n v="496"/>
    <s v="QK66"/>
    <d v="2022-05-11T00:00:00"/>
    <x v="4"/>
    <x v="1"/>
    <s v="Standard Class"/>
    <s v="MD-17350"/>
    <s v="OFF-EN-10001434"/>
    <n v="150"/>
    <n v="8"/>
    <n v="5.3333333333333339"/>
    <x v="3"/>
    <s v="Car Electronics"/>
    <s v="INR"/>
    <n v="246763"/>
    <s v="INDIA"/>
    <x v="11"/>
    <m/>
    <n v="105.42"/>
    <n v="2"/>
    <n v="0.1"/>
    <n v="51.655799999999999"/>
    <n v="26.882100000000001"/>
    <n v="4"/>
  </r>
  <r>
    <n v="497"/>
    <s v="NB45"/>
    <d v="2022-05-12T00:00:00"/>
    <x v="4"/>
    <x v="1"/>
    <s v="Standard Class"/>
    <s v="SC-20095"/>
    <s v="OFF-BI-10002498"/>
    <n v="240"/>
    <n v="24"/>
    <n v="10"/>
    <x v="6"/>
    <s v="Puzzles"/>
    <s v="INR"/>
    <n v="201301"/>
    <s v="INDIA"/>
    <x v="5"/>
    <m/>
    <n v="119.616"/>
    <n v="8"/>
    <n v="0.2"/>
    <n v="40.370399999999997"/>
    <n v="9.9056999999999995"/>
    <n v="2"/>
  </r>
  <r>
    <n v="498"/>
    <s v="CZ16"/>
    <d v="2022-05-13T00:00:00"/>
    <x v="4"/>
    <x v="1"/>
    <s v="Standard Class"/>
    <s v="SC-20095"/>
    <s v="FUR-FU-10004864"/>
    <n v="110"/>
    <n v="26"/>
    <n v="23.636363636363637"/>
    <x v="7"/>
    <s v="Bakery"/>
    <s v="INR"/>
    <n v="500076"/>
    <s v="INDIA"/>
    <x v="15"/>
    <m/>
    <n v="255.76"/>
    <n v="4"/>
    <n v="0.1"/>
    <n v="81.843199999999996"/>
    <n v="43.479199999999999"/>
    <n v="2"/>
  </r>
  <r>
    <n v="499"/>
    <s v="GX91"/>
    <d v="2022-05-14T00:00:00"/>
    <x v="4"/>
    <x v="1"/>
    <s v="Standard Class"/>
    <s v="SC-20095"/>
    <s v="FUR-CH-10002602"/>
    <n v="250"/>
    <n v="30"/>
    <n v="12"/>
    <x v="8"/>
    <s v="Fish Food"/>
    <s v="INR"/>
    <n v="421301"/>
    <s v="INDIA"/>
    <x v="15"/>
    <m/>
    <n v="241.56800000000001"/>
    <n v="2"/>
    <n v="0.2"/>
    <n v="18.117599999999999"/>
    <n v="111.7252"/>
    <n v="5"/>
  </r>
  <r>
    <n v="500"/>
    <s v="TA59"/>
    <d v="2022-05-15T00:00:00"/>
    <x v="4"/>
    <x v="1"/>
    <s v="Standard Class"/>
    <s v="SC-20095"/>
    <s v="FUR-FU-10000073"/>
    <n v="180"/>
    <n v="28"/>
    <n v="15.555555555555555"/>
    <x v="2"/>
    <s v="Women’s Jewelry"/>
    <s v="INR"/>
    <n v="401208"/>
    <s v="INDIA"/>
    <x v="11"/>
    <m/>
    <n v="69.3"/>
    <n v="9"/>
    <n v="0.1"/>
    <n v="22.869"/>
    <n v="5.1589999999999998"/>
    <n v="1"/>
  </r>
  <r>
    <n v="501"/>
    <s v="BS18"/>
    <d v="2022-05-16T00:00:00"/>
    <x v="4"/>
    <x v="1"/>
    <s v="Standard Class"/>
    <s v="MY-17380"/>
    <s v="OFF-BI-10001670"/>
    <n v="180"/>
    <n v="22"/>
    <n v="12.222222222222221"/>
    <x v="4"/>
    <s v="Printers"/>
    <s v="INR"/>
    <n v="226012"/>
    <s v="INDIA"/>
    <x v="14"/>
    <m/>
    <n v="22.62"/>
    <n v="2"/>
    <n v="0.7"/>
    <n v="-15.08"/>
    <n v="18.850000000000001"/>
    <n v="4"/>
  </r>
  <r>
    <n v="502"/>
    <s v="TU60"/>
    <d v="2022-05-17T00:00:00"/>
    <x v="4"/>
    <x v="1"/>
    <s v="Standard Class"/>
    <s v="MY-17380"/>
    <s v="OFF-BI-10001658"/>
    <n v="200"/>
    <n v="16"/>
    <n v="8"/>
    <x v="1"/>
    <s v="Swimming Gear"/>
    <s v="INR"/>
    <n v="211004"/>
    <s v="INDIA"/>
    <x v="17"/>
    <m/>
    <n v="14.952"/>
    <n v="2"/>
    <n v="0.7"/>
    <n v="-11.961600000000001"/>
    <n v="13.456800000000001"/>
    <n v="1"/>
  </r>
  <r>
    <n v="503"/>
    <s v="UU42"/>
    <d v="2022-05-18T00:00:00"/>
    <x v="4"/>
    <x v="1"/>
    <s v="Standard Class"/>
    <s v="MY-17380"/>
    <s v="FUR-CH-10001215"/>
    <n v="190"/>
    <n v="20"/>
    <n v="10.526315789473683"/>
    <x v="0"/>
    <s v="Non-Fiction"/>
    <s v="INR"/>
    <n v="535145"/>
    <s v="INDIA"/>
    <x v="3"/>
    <s v="Easy Ship"/>
    <n v="801.56799999999998"/>
    <n v="2"/>
    <n v="0.2"/>
    <n v="50.097999999999999"/>
    <n v="375.73500000000001"/>
    <n v="4"/>
  </r>
  <r>
    <n v="504"/>
    <s v="DR58"/>
    <d v="2022-05-19T00:00:00"/>
    <x v="4"/>
    <x v="1"/>
    <s v="Standard Class"/>
    <s v="MY-17380"/>
    <s v="OFF-BI-10000831"/>
    <n v="230"/>
    <n v="14"/>
    <n v="6.0869565217391308"/>
    <x v="5"/>
    <s v="Lighting"/>
    <s v="INR"/>
    <n v="600126"/>
    <s v="INDIA"/>
    <x v="3"/>
    <m/>
    <n v="2.3759999999999999"/>
    <n v="3"/>
    <n v="0.7"/>
    <n v="-1.9008"/>
    <n v="1.4256"/>
    <n v="4"/>
  </r>
  <r>
    <n v="505"/>
    <s v="JA50"/>
    <d v="2022-05-20T00:00:00"/>
    <x v="4"/>
    <x v="1"/>
    <s v="Standard Class"/>
    <s v="MY-17380"/>
    <s v="OFF-PA-10000357"/>
    <n v="210"/>
    <n v="14"/>
    <n v="6.666666666666667"/>
    <x v="3"/>
    <s v="Car Care"/>
    <s v="INR"/>
    <n v="495330"/>
    <s v="INDIA"/>
    <x v="5"/>
    <m/>
    <n v="32.792000000000002"/>
    <n v="1"/>
    <n v="0.2"/>
    <n v="11.8871"/>
    <n v="20.904900000000001"/>
    <n v="5"/>
  </r>
  <r>
    <n v="506"/>
    <s v="KL27"/>
    <d v="2022-05-21T00:00:00"/>
    <x v="4"/>
    <x v="1"/>
    <s v="Second Class"/>
    <s v="EB-13705"/>
    <s v="OFF-BI-10003274"/>
    <n v="130"/>
    <n v="26"/>
    <n v="20"/>
    <x v="6"/>
    <s v="Educational Toys"/>
    <s v="INR"/>
    <n v="134116"/>
    <s v="INDIA"/>
    <x v="11"/>
    <m/>
    <n v="15.92"/>
    <n v="5"/>
    <n v="0.2"/>
    <n v="5.3730000000000002"/>
    <n v="2.1093999999999999"/>
    <n v="3"/>
  </r>
  <r>
    <n v="507"/>
    <s v="NX22"/>
    <d v="2022-05-22T00:00:00"/>
    <x v="4"/>
    <x v="1"/>
    <s v="Standard Class"/>
    <s v="CM-12385"/>
    <s v="OFF-AR-10001662"/>
    <n v="210"/>
    <n v="12"/>
    <n v="5.7142857142857144"/>
    <x v="7"/>
    <s v="Frozen Foods"/>
    <s v="INR"/>
    <n v="134116"/>
    <s v="INDIA"/>
    <x v="10"/>
    <m/>
    <n v="2.74"/>
    <n v="1"/>
    <n v="0.1"/>
    <n v="0.73980000000000001"/>
    <n v="2.0002000000000004"/>
    <n v="5"/>
  </r>
  <r>
    <n v="508"/>
    <s v="FA73"/>
    <d v="2022-05-23T00:00:00"/>
    <x v="4"/>
    <x v="1"/>
    <s v="Standard Class"/>
    <s v="CM-12385"/>
    <s v="OFF-AR-10003856"/>
    <n v="250"/>
    <n v="26"/>
    <n v="10.4"/>
    <x v="8"/>
    <s v="Bird Supplies"/>
    <s v="INR"/>
    <n v="575003"/>
    <s v="INDIA"/>
    <x v="3"/>
    <s v="Easy Ship"/>
    <n v="8.34"/>
    <n v="3"/>
    <n v="0.1"/>
    <n v="2.1684000000000001"/>
    <n v="2.0571999999999999"/>
    <n v="3"/>
  </r>
  <r>
    <n v="509"/>
    <s v="NK19"/>
    <d v="2022-05-24T00:00:00"/>
    <x v="4"/>
    <x v="1"/>
    <s v="Standard Class"/>
    <s v="CM-12385"/>
    <s v="OFF-ST-10001228"/>
    <n v="140"/>
    <n v="26"/>
    <n v="18.571428571428573"/>
    <x v="2"/>
    <s v="Women’s Kurtis"/>
    <s v="INR"/>
    <n v="700064"/>
    <s v="INDIA"/>
    <x v="0"/>
    <s v="Easy Ship"/>
    <n v="46.74"/>
    <n v="3"/>
    <n v="0.1"/>
    <n v="11.685"/>
    <n v="11.685"/>
    <n v="1"/>
  </r>
  <r>
    <n v="510"/>
    <s v="VW77"/>
    <d v="2022-05-25T00:00:00"/>
    <x v="4"/>
    <x v="1"/>
    <s v="Standard Class"/>
    <s v="CM-12385"/>
    <s v="OFF-BI-10003527"/>
    <n v="130"/>
    <n v="16"/>
    <n v="12.307692307692308"/>
    <x v="4"/>
    <s v="VR Headsets"/>
    <s v="INR"/>
    <n v="671310"/>
    <s v="INDIA"/>
    <x v="4"/>
    <m/>
    <n v="6354.95"/>
    <n v="5"/>
    <n v="0.1"/>
    <n v="3177.4749999999999"/>
    <n v="635.495"/>
    <n v="4"/>
  </r>
  <r>
    <n v="511"/>
    <s v="US34"/>
    <d v="2022-05-26T00:00:00"/>
    <x v="4"/>
    <x v="1"/>
    <s v="First Class"/>
    <s v="LS-17245"/>
    <s v="FUR-FU-10001290"/>
    <n v="180"/>
    <n v="6"/>
    <n v="3.3333333333333335"/>
    <x v="5"/>
    <s v="Kitchen Storage"/>
    <s v="INR"/>
    <n v="180005"/>
    <s v="INDIA"/>
    <x v="10"/>
    <m/>
    <n v="126.3"/>
    <n v="3"/>
    <n v="0.1"/>
    <n v="40.415999999999997"/>
    <n v="28.628"/>
    <n v="3"/>
  </r>
  <r>
    <n v="512"/>
    <s v="WH48"/>
    <d v="2022-05-27T00:00:00"/>
    <x v="4"/>
    <x v="1"/>
    <s v="First Class"/>
    <s v="LS-17245"/>
    <s v="TEC-AC-10002399"/>
    <n v="160"/>
    <n v="10"/>
    <n v="6.25"/>
    <x v="0"/>
    <s v="Comics"/>
    <s v="INR"/>
    <n v="110016"/>
    <s v="INDIA"/>
    <x v="10"/>
    <m/>
    <n v="38.04"/>
    <n v="2"/>
    <n v="0.1"/>
    <n v="12.172800000000001"/>
    <n v="12.933599999999998"/>
    <n v="3"/>
  </r>
  <r>
    <n v="513"/>
    <s v="OU81"/>
    <d v="2022-05-28T00:00:00"/>
    <x v="4"/>
    <x v="1"/>
    <s v="First Class"/>
    <s v="LF-17185"/>
    <s v="OFF-AR-10002053"/>
    <n v="170"/>
    <n v="10"/>
    <n v="5.8823529411764701"/>
    <x v="1"/>
    <s v="Outdoor Games"/>
    <s v="INR"/>
    <n v="380060"/>
    <s v="INDIA"/>
    <x v="5"/>
    <s v="Easy Ship"/>
    <n v="7.1520000000000001"/>
    <n v="3"/>
    <n v="0.2"/>
    <n v="0.71519999999999995"/>
    <n v="2.1456"/>
    <n v="5"/>
  </r>
  <r>
    <n v="514"/>
    <s v="BN11"/>
    <d v="2022-05-29T00:00:00"/>
    <x v="4"/>
    <x v="1"/>
    <s v="Standard Class"/>
    <s v="BN-11515"/>
    <s v="OFF-AR-10003811"/>
    <n v="100"/>
    <n v="20"/>
    <n v="20"/>
    <x v="4"/>
    <s v="Projectors"/>
    <s v="INR"/>
    <n v="390009"/>
    <s v="INDIA"/>
    <x v="7"/>
    <m/>
    <n v="6.63"/>
    <n v="3"/>
    <n v="0.1"/>
    <n v="1.7901"/>
    <n v="1.6133"/>
    <n v="3"/>
  </r>
  <r>
    <n v="515"/>
    <s v="LZ18"/>
    <d v="2022-05-30T00:00:00"/>
    <x v="4"/>
    <x v="1"/>
    <s v="Standard Class"/>
    <s v="BN-11515"/>
    <s v="OFF-AR-10001246"/>
    <n v="170"/>
    <n v="18"/>
    <n v="10.588235294117647"/>
    <x v="2"/>
    <s v="Men’s Watches"/>
    <s v="INR"/>
    <n v="400706"/>
    <s v="INDIA"/>
    <x v="0"/>
    <m/>
    <n v="5.88"/>
    <n v="2"/>
    <n v="0.1"/>
    <n v="1.7052"/>
    <n v="2.0873999999999997"/>
    <n v="1"/>
  </r>
  <r>
    <n v="516"/>
    <s v="RZ95"/>
    <d v="2022-05-31T00:00:00"/>
    <x v="4"/>
    <x v="1"/>
    <s v="Standard Class"/>
    <s v="AD-10180"/>
    <s v="TEC-CO-10003236"/>
    <n v="170"/>
    <n v="6"/>
    <n v="3.5294117647058822"/>
    <x v="3"/>
    <s v="Tyres"/>
    <s v="INR"/>
    <n v="144022"/>
    <s v="INDIA"/>
    <x v="2"/>
    <m/>
    <n v="2999.95"/>
    <n v="5"/>
    <n v="0.1"/>
    <n v="1379.9770000000001"/>
    <n v="323.99459999999993"/>
    <n v="1"/>
  </r>
  <r>
    <n v="517"/>
    <s v="VR85"/>
    <d v="2022-06-01T00:00:00"/>
    <x v="5"/>
    <x v="1"/>
    <s v="Standard Class"/>
    <s v="AD-10180"/>
    <s v="OFF-ST-10004507"/>
    <n v="110"/>
    <n v="18"/>
    <n v="16.363636363636363"/>
    <x v="6"/>
    <s v="Remote Control Cars"/>
    <m/>
    <n v="721101"/>
    <s v="INDIA"/>
    <x v="0"/>
    <m/>
    <n v="51.45"/>
    <n v="3"/>
    <n v="0.1"/>
    <n v="13.891500000000001"/>
    <n v="12.519500000000001"/>
    <n v="2"/>
  </r>
  <r>
    <n v="518"/>
    <s v="ZV65"/>
    <d v="2022-06-02T00:00:00"/>
    <x v="5"/>
    <x v="1"/>
    <s v="Standard Class"/>
    <s v="AD-10180"/>
    <s v="OFF-PA-10001667"/>
    <n v="190"/>
    <n v="26"/>
    <n v="13.684210526315791"/>
    <x v="7"/>
    <s v="Dairy Products"/>
    <m/>
    <n v="812001"/>
    <s v="INDIA"/>
    <x v="0"/>
    <m/>
    <n v="11.96"/>
    <n v="2"/>
    <n v="0.1"/>
    <n v="5.3819999999999997"/>
    <n v="3.2890000000000006"/>
    <n v="3"/>
  </r>
  <r>
    <n v="519"/>
    <s v="FC70"/>
    <d v="2022-06-03T00:00:00"/>
    <x v="5"/>
    <x v="1"/>
    <s v="Standard Class"/>
    <s v="AD-10180"/>
    <s v="OFF-ST-10004459"/>
    <n v="250"/>
    <n v="22"/>
    <n v="8.7999999999999989"/>
    <x v="8"/>
    <s v="Pet Grooming"/>
    <s v="INR"/>
    <n v="224001"/>
    <s v="INDIA"/>
    <x v="11"/>
    <m/>
    <n v="1126.02"/>
    <n v="3"/>
    <n v="0.1"/>
    <n v="56.301000000000002"/>
    <n v="356.57300000000004"/>
    <n v="1"/>
  </r>
  <r>
    <n v="520"/>
    <s v="YL63"/>
    <d v="2022-06-04T00:00:00"/>
    <x v="5"/>
    <x v="1"/>
    <s v="Standard Class"/>
    <s v="DB-13210"/>
    <s v="TEC-AC-10000171"/>
    <n v="200"/>
    <n v="22"/>
    <n v="11"/>
    <x v="2"/>
    <s v="Women’s Bags"/>
    <m/>
    <n v="249201"/>
    <s v="INDIA"/>
    <x v="14"/>
    <m/>
    <n v="18.391999999999999"/>
    <n v="1"/>
    <n v="0.2"/>
    <n v="5.2877000000000001"/>
    <n v="13.104299999999999"/>
    <n v="1"/>
  </r>
  <r>
    <n v="521"/>
    <s v="AR70"/>
    <d v="2022-06-05T00:00:00"/>
    <x v="5"/>
    <x v="1"/>
    <s v="Standard Class"/>
    <s v="DB-13210"/>
    <s v="OFF-ST-10000736"/>
    <n v="180"/>
    <n v="10"/>
    <n v="5.5555555555555554"/>
    <x v="4"/>
    <s v="Streaming Devices"/>
    <s v="INR"/>
    <n v="249201"/>
    <s v="INDIA"/>
    <x v="3"/>
    <m/>
    <n v="129.56800000000001"/>
    <n v="2"/>
    <n v="0.2"/>
    <n v="-25.913599999999999"/>
    <n v="77.740800000000007"/>
    <n v="2"/>
  </r>
  <r>
    <n v="522"/>
    <s v="TA18"/>
    <d v="2022-06-06T00:00:00"/>
    <x v="5"/>
    <x v="1"/>
    <s v="Standard Class"/>
    <s v="DB-13210"/>
    <s v="OFF-BI-10000285"/>
    <n v="190"/>
    <n v="30"/>
    <n v="15.789473684210526"/>
    <x v="1"/>
    <s v="Boxing Equipment"/>
    <m/>
    <n v="490006"/>
    <s v="INDIA"/>
    <x v="10"/>
    <m/>
    <n v="14.112"/>
    <n v="9"/>
    <n v="0.8"/>
    <n v="-21.167999999999999"/>
    <n v="3.92"/>
    <n v="5"/>
  </r>
  <r>
    <n v="523"/>
    <s v="DX55"/>
    <d v="2022-06-07T00:00:00"/>
    <x v="5"/>
    <x v="1"/>
    <s v="First Class"/>
    <s v="MC-17605"/>
    <s v="FUR-TA-10001857"/>
    <n v="210"/>
    <n v="22"/>
    <n v="10.476190476190476"/>
    <x v="0"/>
    <s v="Poetry"/>
    <s v="INR"/>
    <n v="500010"/>
    <s v="INDIA"/>
    <x v="14"/>
    <m/>
    <n v="210.98"/>
    <n v="2"/>
    <n v="0.1"/>
    <n v="21.097999999999999"/>
    <n v="94.941000000000003"/>
    <n v="4"/>
  </r>
  <r>
    <n v="524"/>
    <s v="CR25"/>
    <d v="2022-06-08T00:00:00"/>
    <x v="5"/>
    <x v="1"/>
    <s v="First Class"/>
    <s v="LH-17155"/>
    <s v="TEC-PH-10003555"/>
    <n v="140"/>
    <n v="8"/>
    <n v="5.7142857142857144"/>
    <x v="5"/>
    <s v="Home Decor"/>
    <s v="INR"/>
    <n v="560087"/>
    <s v="INDIA"/>
    <x v="3"/>
    <m/>
    <n v="55.176000000000002"/>
    <n v="3"/>
    <n v="0.2"/>
    <n v="-12.4146"/>
    <n v="22.530199999999997"/>
    <n v="3"/>
  </r>
  <r>
    <n v="525"/>
    <s v="ET81"/>
    <d v="2022-06-09T00:00:00"/>
    <x v="5"/>
    <x v="1"/>
    <s v="First Class"/>
    <s v="LH-17155"/>
    <s v="TEC-AC-10003832"/>
    <n v="210"/>
    <n v="16"/>
    <n v="7.6190476190476195"/>
    <x v="3"/>
    <s v="Car Tools"/>
    <s v="INR"/>
    <n v="700016"/>
    <s v="INDIA"/>
    <x v="0"/>
    <m/>
    <n v="66.260000000000005"/>
    <n v="2"/>
    <n v="0.1"/>
    <n v="27.166599999999999"/>
    <n v="19.546700000000001"/>
    <n v="5"/>
  </r>
  <r>
    <n v="526"/>
    <s v="XL13"/>
    <d v="2022-06-10T00:00:00"/>
    <x v="5"/>
    <x v="1"/>
    <s v="Standard Class"/>
    <s v="BD-11605"/>
    <s v="OFF-FA-10002815"/>
    <n v="140"/>
    <n v="20"/>
    <n v="14.285714285714285"/>
    <x v="6"/>
    <s v="Musical Toys"/>
    <s v="INR"/>
    <n v="721101"/>
    <s v="INDIA"/>
    <x v="5"/>
    <m/>
    <n v="22.2"/>
    <n v="5"/>
    <n v="0.1"/>
    <n v="10.433999999999999"/>
    <n v="2.3532000000000002"/>
    <n v="5"/>
  </r>
  <r>
    <n v="527"/>
    <s v="HC90"/>
    <d v="2022-06-11T00:00:00"/>
    <x v="5"/>
    <x v="1"/>
    <s v="Standard Class"/>
    <s v="PH-18790"/>
    <s v="FUR-CH-10003379"/>
    <n v="170"/>
    <n v="22"/>
    <n v="12.941176470588237"/>
    <x v="7"/>
    <s v="Organic Foods"/>
    <s v="INR"/>
    <n v="421201"/>
    <s v="INDIA"/>
    <x v="4"/>
    <m/>
    <n v="683.952"/>
    <n v="3"/>
    <n v="0.2"/>
    <n v="42.747"/>
    <n v="213.73500000000001"/>
    <n v="2"/>
  </r>
  <r>
    <n v="528"/>
    <s v="UZ33"/>
    <d v="2022-06-12T00:00:00"/>
    <x v="5"/>
    <x v="1"/>
    <s v="Standard Class"/>
    <s v="PH-18790"/>
    <s v="FUR-FU-10001756"/>
    <n v="100"/>
    <n v="6"/>
    <n v="6"/>
    <x v="8"/>
    <s v="Pet Toys"/>
    <s v="INR"/>
    <n v="441204"/>
    <s v="INDIA"/>
    <x v="18"/>
    <m/>
    <n v="45.695999999999998"/>
    <n v="3"/>
    <n v="0.2"/>
    <n v="5.1407999999999996"/>
    <n v="13.5184"/>
    <n v="2"/>
  </r>
  <r>
    <n v="529"/>
    <s v="DW69"/>
    <d v="2022-06-13T00:00:00"/>
    <x v="5"/>
    <x v="1"/>
    <s v="Standard Class"/>
    <s v="MG-18145"/>
    <s v="OFF-ST-10004963"/>
    <n v="140"/>
    <n v="6"/>
    <n v="4.2857142857142856"/>
    <x v="2"/>
    <s v="Kids’ Accessories"/>
    <s v="INR"/>
    <n v="560086"/>
    <s v="INDIA"/>
    <x v="0"/>
    <m/>
    <n v="36.335999999999999"/>
    <n v="3"/>
    <n v="0.2"/>
    <n v="-7.2671999999999999"/>
    <n v="14.5344"/>
    <n v="2"/>
  </r>
  <r>
    <n v="530"/>
    <s v="GF68"/>
    <d v="2022-06-14T00:00:00"/>
    <x v="5"/>
    <x v="1"/>
    <s v="Standard Class"/>
    <s v="MG-18145"/>
    <s v="OFF-SU-10002881"/>
    <n v="100"/>
    <n v="26"/>
    <n v="26"/>
    <x v="4"/>
    <s v="Console Accessories"/>
    <s v="INR"/>
    <n v="770002"/>
    <s v="INDIA"/>
    <x v="18"/>
    <m/>
    <n v="666.24800000000005"/>
    <n v="1"/>
    <n v="0.2"/>
    <n v="-149.9058"/>
    <n v="816.15380000000005"/>
    <n v="5"/>
  </r>
  <r>
    <n v="531"/>
    <s v="XP21"/>
    <d v="2022-06-15T00:00:00"/>
    <x v="5"/>
    <x v="1"/>
    <s v="Standard Class"/>
    <s v="MG-18145"/>
    <s v="OFF-EN-10001335"/>
    <n v="200"/>
    <n v="12"/>
    <n v="6"/>
    <x v="0"/>
    <s v="Science Fiction"/>
    <s v="INR"/>
    <n v="201304"/>
    <s v="INDIA"/>
    <x v="10"/>
    <m/>
    <n v="52.512"/>
    <n v="6"/>
    <n v="0.2"/>
    <n v="19.692"/>
    <n v="5.47"/>
    <n v="1"/>
  </r>
  <r>
    <n v="532"/>
    <s v="AD44"/>
    <d v="2022-06-16T00:00:00"/>
    <x v="5"/>
    <x v="1"/>
    <s v="Second Class"/>
    <s v="KB-16240"/>
    <s v="FUR-CH-10000595"/>
    <n v="100"/>
    <n v="22"/>
    <n v="22"/>
    <x v="1"/>
    <s v="Table Tennis"/>
    <s v="INR"/>
    <n v="500090"/>
    <s v="INDIA"/>
    <x v="1"/>
    <m/>
    <n v="190.72"/>
    <n v="1"/>
    <n v="0.2"/>
    <n v="11.92"/>
    <n v="178.8"/>
    <n v="2"/>
  </r>
  <r>
    <n v="533"/>
    <s v="SV32"/>
    <d v="2022-06-17T00:00:00"/>
    <x v="5"/>
    <x v="1"/>
    <s v="Standard Class"/>
    <s v="JC-15340"/>
    <s v="FUR-FU-10000448"/>
    <n v="240"/>
    <n v="28"/>
    <n v="11.666666666666666"/>
    <x v="4"/>
    <s v="Smart Lights"/>
    <s v="INR"/>
    <n v="560061"/>
    <s v="INDIA"/>
    <x v="16"/>
    <m/>
    <n v="47.94"/>
    <n v="3"/>
    <n v="0.1"/>
    <n v="2.3969999999999998"/>
    <n v="15.180999999999999"/>
    <n v="4"/>
  </r>
  <r>
    <n v="534"/>
    <s v="ZF92"/>
    <d v="2022-06-18T00:00:00"/>
    <x v="5"/>
    <x v="1"/>
    <s v="Second Class"/>
    <s v="RL-19615"/>
    <s v="TEC-PH-10000984"/>
    <n v="220"/>
    <n v="18"/>
    <n v="8.1818181818181817"/>
    <x v="2"/>
    <s v="Women’s Heels"/>
    <s v="INR"/>
    <n v="502291"/>
    <s v="INDIA"/>
    <x v="9"/>
    <s v="Easy Ship"/>
    <n v="979.95"/>
    <n v="5"/>
    <n v="0.1"/>
    <n v="274.38600000000002"/>
    <n v="141.11280000000002"/>
    <n v="5"/>
  </r>
  <r>
    <n v="535"/>
    <s v="LZ87"/>
    <d v="2022-06-19T00:00:00"/>
    <x v="5"/>
    <x v="1"/>
    <s v="Second Class"/>
    <s v="RL-19615"/>
    <s v="OFF-BI-10002557"/>
    <n v="190"/>
    <n v="26"/>
    <n v="13.684210526315791"/>
    <x v="5"/>
    <s v="Cleaning Supplies"/>
    <s v="INR"/>
    <n v="695564"/>
    <s v="INDIA"/>
    <x v="1"/>
    <m/>
    <n v="22.75"/>
    <n v="5"/>
    <n v="0.1"/>
    <n v="11.375"/>
    <n v="2.2749999999999999"/>
    <n v="5"/>
  </r>
  <r>
    <n v="536"/>
    <s v="WE15"/>
    <d v="2022-06-20T00:00:00"/>
    <x v="5"/>
    <x v="1"/>
    <s v="Standard Class"/>
    <s v="AA-10375"/>
    <s v="OFF-ST-10001325"/>
    <n v="140"/>
    <n v="8"/>
    <n v="5.7142857142857144"/>
    <x v="3"/>
    <s v="Car Covers"/>
    <s v="INR"/>
    <n v="410206"/>
    <s v="INDIA"/>
    <x v="0"/>
    <m/>
    <n v="16.768000000000001"/>
    <n v="2"/>
    <n v="0.2"/>
    <n v="1.4672000000000001"/>
    <n v="7.6504000000000003"/>
    <n v="2"/>
  </r>
  <r>
    <n v="537"/>
    <s v="NE62"/>
    <d v="2022-06-21T00:00:00"/>
    <x v="5"/>
    <x v="1"/>
    <s v="Second Class"/>
    <s v="EP-13915"/>
    <s v="OFF-BI-10002429"/>
    <n v="250"/>
    <n v="24"/>
    <n v="9.6"/>
    <x v="6"/>
    <s v="Stuffed Animals"/>
    <s v="INR"/>
    <n v="390008"/>
    <s v="INDIA"/>
    <x v="3"/>
    <m/>
    <n v="42.616"/>
    <n v="7"/>
    <n v="0.8"/>
    <n v="-68.185599999999994"/>
    <n v="15.828799999999999"/>
    <n v="2"/>
  </r>
  <r>
    <n v="538"/>
    <s v="DE43"/>
    <d v="2022-06-22T00:00:00"/>
    <x v="5"/>
    <x v="1"/>
    <s v="Standard Class"/>
    <s v="MP-17470"/>
    <s v="OFF-BI-10004528"/>
    <n v="240"/>
    <n v="6"/>
    <n v="2.5"/>
    <x v="7"/>
    <s v="Canned Foods"/>
    <s v="INR"/>
    <n v="831013"/>
    <s v="INDIA"/>
    <x v="10"/>
    <s v="Easy Ship"/>
    <n v="10.752000000000001"/>
    <n v="4"/>
    <n v="0.2"/>
    <n v="3.36"/>
    <n v="1.8480000000000003"/>
    <n v="3"/>
  </r>
  <r>
    <n v="539"/>
    <s v="BX94"/>
    <d v="2022-06-23T00:00:00"/>
    <x v="5"/>
    <x v="1"/>
    <s v="Standard Class"/>
    <s v="DK-12985"/>
    <s v="OFF-AP-10001271"/>
    <n v="100"/>
    <n v="8"/>
    <n v="8"/>
    <x v="8"/>
    <s v="Pet Beds"/>
    <s v="INR"/>
    <n v="110092"/>
    <s v="INDIA"/>
    <x v="18"/>
    <m/>
    <n v="152.94"/>
    <n v="3"/>
    <n v="0.1"/>
    <n v="41.293799999999997"/>
    <n v="37.215399999999995"/>
    <n v="1"/>
  </r>
  <r>
    <n v="540"/>
    <s v="UE64"/>
    <d v="2022-06-24T00:00:00"/>
    <x v="5"/>
    <x v="1"/>
    <s v="Standard Class"/>
    <s v="DK-12985"/>
    <s v="FUR-CH-10002647"/>
    <n v="180"/>
    <n v="30"/>
    <n v="16.666666666666664"/>
    <x v="2"/>
    <s v="Men’s T-Shirts"/>
    <s v="INR"/>
    <n v="400002"/>
    <s v="INDIA"/>
    <x v="19"/>
    <m/>
    <n v="283.92"/>
    <n v="4"/>
    <n v="0.1"/>
    <n v="70.98"/>
    <n v="53.234999999999999"/>
    <n v="3"/>
  </r>
  <r>
    <n v="541"/>
    <s v="DF32"/>
    <d v="2022-06-25T00:00:00"/>
    <x v="5"/>
    <x v="1"/>
    <s v="First Class"/>
    <s v="BD-11500"/>
    <s v="TEC-AC-10001432"/>
    <n v="250"/>
    <n v="18"/>
    <n v="7.1999999999999993"/>
    <x v="4"/>
    <s v="Modems"/>
    <s v="INR"/>
    <n v="411019"/>
    <s v="INDIA"/>
    <x v="0"/>
    <m/>
    <n v="468.9"/>
    <n v="6"/>
    <n v="0.1"/>
    <n v="206.316"/>
    <n v="43.763999999999989"/>
    <n v="5"/>
  </r>
  <r>
    <n v="542"/>
    <s v="PA99"/>
    <d v="2022-06-26T00:00:00"/>
    <x v="5"/>
    <x v="1"/>
    <s v="First Class"/>
    <s v="ES-14080"/>
    <s v="TEC-PH-10002262"/>
    <n v="180"/>
    <n v="20"/>
    <n v="11.111111111111111"/>
    <x v="1"/>
    <s v="Cricket Gear"/>
    <s v="INR"/>
    <n v="700156"/>
    <s v="INDIA"/>
    <x v="3"/>
    <m/>
    <n v="380.86399999999998"/>
    <n v="8"/>
    <n v="0.2"/>
    <n v="38.086399999999998"/>
    <n v="42.847200000000001"/>
    <n v="2"/>
  </r>
  <r>
    <n v="543"/>
    <s v="KS38"/>
    <d v="2022-06-27T00:00:00"/>
    <x v="5"/>
    <x v="1"/>
    <s v="Standard Class"/>
    <s v="LM-17065"/>
    <s v="OFF-ST-10001809"/>
    <n v="110"/>
    <n v="16"/>
    <n v="14.545454545454545"/>
    <x v="0"/>
    <s v="Biographies"/>
    <s v="INR"/>
    <n v="500055"/>
    <s v="INDIA"/>
    <x v="2"/>
    <m/>
    <n v="646.77599999999995"/>
    <n v="9"/>
    <n v="0.2"/>
    <n v="-145.52459999999999"/>
    <n v="88.033399999999986"/>
    <n v="4"/>
  </r>
  <r>
    <n v="544"/>
    <s v="BC21"/>
    <d v="2022-06-28T00:00:00"/>
    <x v="5"/>
    <x v="1"/>
    <s v="Standard Class"/>
    <s v="PG-18895"/>
    <s v="TEC-AC-10001465"/>
    <n v="150"/>
    <n v="6"/>
    <n v="4"/>
    <x v="5"/>
    <s v="Storage Furniture"/>
    <s v="INR"/>
    <n v="411038"/>
    <s v="INDIA"/>
    <x v="1"/>
    <m/>
    <n v="58.112000000000002"/>
    <n v="2"/>
    <n v="0.2"/>
    <n v="7.2640000000000002"/>
    <n v="25.423999999999999"/>
    <n v="3"/>
  </r>
  <r>
    <n v="545"/>
    <s v="GC51"/>
    <d v="2022-06-29T00:00:00"/>
    <x v="5"/>
    <x v="1"/>
    <s v="Standard Class"/>
    <s v="PG-18895"/>
    <s v="TEC-PH-10002597"/>
    <n v="180"/>
    <n v="30"/>
    <n v="16.666666666666664"/>
    <x v="3"/>
    <s v="Car Batteries"/>
    <s v="INR"/>
    <n v="415002"/>
    <s v="INDIA"/>
    <x v="18"/>
    <m/>
    <n v="100.792"/>
    <n v="1"/>
    <n v="0.2"/>
    <n v="6.2995000000000001"/>
    <n v="94.492500000000007"/>
    <n v="1"/>
  </r>
  <r>
    <n v="546"/>
    <s v="OK88"/>
    <d v="2022-06-30T00:00:00"/>
    <x v="5"/>
    <x v="1"/>
    <s v="Standard Class"/>
    <s v="PG-18895"/>
    <s v="FUR-FU-10000723"/>
    <n v="140"/>
    <n v="26"/>
    <n v="18.571428571428573"/>
    <x v="6"/>
    <s v="Playsets"/>
    <s v="INR"/>
    <n v="380054"/>
    <s v="INDIA"/>
    <x v="12"/>
    <s v="Easy Ship"/>
    <n v="66.111999999999995"/>
    <n v="4"/>
    <n v="0.6"/>
    <n v="-84.2928"/>
    <n v="37.601199999999999"/>
    <n v="2"/>
  </r>
  <r>
    <n v="547"/>
    <s v="HH64"/>
    <d v="2022-07-01T00:00:00"/>
    <x v="6"/>
    <x v="1"/>
    <s v="First Class"/>
    <s v="AS-10135"/>
    <s v="OFF-BI-10000404"/>
    <n v="120"/>
    <n v="18"/>
    <n v="15"/>
    <x v="7"/>
    <s v="Spices"/>
    <m/>
    <n v="249201"/>
    <s v="INDIA"/>
    <x v="0"/>
    <m/>
    <n v="41.28"/>
    <n v="6"/>
    <n v="0.2"/>
    <n v="13.932"/>
    <n v="4.5579999999999998"/>
    <n v="2"/>
  </r>
  <r>
    <n v="548"/>
    <s v="PG45"/>
    <d v="2022-07-02T00:00:00"/>
    <x v="6"/>
    <x v="1"/>
    <s v="First Class"/>
    <s v="AS-10135"/>
    <s v="OFF-PA-10002986"/>
    <n v="180"/>
    <n v="14"/>
    <n v="7.7777777777777777"/>
    <x v="8"/>
    <s v="Pet Collars"/>
    <m/>
    <n v="249201"/>
    <s v="INDIA"/>
    <x v="9"/>
    <s v="Easy Ship"/>
    <n v="13.36"/>
    <n v="2"/>
    <n v="0.1"/>
    <n v="6.4127999999999998"/>
    <n v="3.4735999999999998"/>
    <n v="3"/>
  </r>
  <r>
    <n v="549"/>
    <s v="LW77"/>
    <d v="2022-07-03T00:00:00"/>
    <x v="6"/>
    <x v="1"/>
    <s v="Second Class"/>
    <s v="DK-13225"/>
    <s v="OFF-ST-10000604"/>
    <n v="210"/>
    <n v="24"/>
    <n v="11.428571428571429"/>
    <x v="2"/>
    <s v="Women’s Sarees"/>
    <s v="INR"/>
    <n v="282001"/>
    <s v="INDIA"/>
    <x v="0"/>
    <m/>
    <n v="250.27199999999999"/>
    <n v="9"/>
    <n v="0.2"/>
    <n v="15.641999999999999"/>
    <n v="26.07"/>
    <n v="5"/>
  </r>
  <r>
    <n v="550"/>
    <s v="DE91"/>
    <d v="2022-07-04T00:00:00"/>
    <x v="6"/>
    <x v="1"/>
    <s v="Second Class"/>
    <s v="DK-13225"/>
    <s v="OFF-BI-10004738"/>
    <n v="240"/>
    <n v="6"/>
    <n v="2.5"/>
    <x v="4"/>
    <s v="Graphics Cards"/>
    <s v="INR"/>
    <n v="226003"/>
    <s v="INDIA"/>
    <x v="2"/>
    <m/>
    <n v="11.364000000000001"/>
    <n v="3"/>
    <n v="0.8"/>
    <n v="-17.045999999999999"/>
    <n v="9.4700000000000006"/>
    <n v="5"/>
  </r>
  <r>
    <n v="551"/>
    <s v="CU67"/>
    <d v="2022-07-05T00:00:00"/>
    <x v="6"/>
    <x v="1"/>
    <s v="Second Class"/>
    <s v="DK-13225"/>
    <s v="OFF-SU-10001935"/>
    <n v="110"/>
    <n v="26"/>
    <n v="23.636363636363637"/>
    <x v="5"/>
    <s v="Tableware"/>
    <s v="INR"/>
    <n v="361335"/>
    <s v="INDIA"/>
    <x v="0"/>
    <m/>
    <n v="8.7200000000000006"/>
    <n v="5"/>
    <n v="0.2"/>
    <n v="-1.744"/>
    <n v="2.0928"/>
    <n v="5"/>
  </r>
  <r>
    <n v="552"/>
    <s v="RB68"/>
    <d v="2022-07-06T00:00:00"/>
    <x v="6"/>
    <x v="1"/>
    <s v="Second Class"/>
    <s v="BD-11320"/>
    <s v="FUR-CH-10002024"/>
    <n v="110"/>
    <n v="18"/>
    <n v="16.363636363636363"/>
    <x v="0"/>
    <s v="Travel Guides"/>
    <s v="INR"/>
    <n v="686536"/>
    <s v="INDIA"/>
    <x v="4"/>
    <s v="Easy Ship"/>
    <n v="1121.568"/>
    <n v="2"/>
    <n v="0.2"/>
    <n v="0.1"/>
    <n v="560.73400000000004"/>
    <n v="1"/>
  </r>
  <r>
    <n v="553"/>
    <s v="UW77"/>
    <d v="2022-07-07T00:00:00"/>
    <x v="6"/>
    <x v="1"/>
    <s v="First Class"/>
    <s v="RC-19960"/>
    <s v="FUR-FU-10003039"/>
    <n v="220"/>
    <n v="14"/>
    <n v="6.3636363636363633"/>
    <x v="1"/>
    <s v="Hiking Equipment"/>
    <s v="INR"/>
    <n v="122001"/>
    <s v="INDIA"/>
    <x v="18"/>
    <m/>
    <n v="34.503999999999998"/>
    <n v="1"/>
    <n v="0.2"/>
    <n v="6.0381999999999998"/>
    <n v="28.465799999999998"/>
    <n v="2"/>
  </r>
  <r>
    <n v="554"/>
    <s v="NB87"/>
    <d v="2022-07-08T00:00:00"/>
    <x v="6"/>
    <x v="1"/>
    <s v="Standard Class"/>
    <s v="GT-14710"/>
    <s v="OFF-FA-10004248"/>
    <n v="100"/>
    <n v="28"/>
    <n v="28.000000000000004"/>
    <x v="4"/>
    <s v="Smart Doorbells"/>
    <s v="INR"/>
    <n v="452001"/>
    <s v="INDIA"/>
    <x v="6"/>
    <s v="Easy Ship"/>
    <n v="10.824"/>
    <n v="3"/>
    <n v="0.2"/>
    <n v="2.5707"/>
    <n v="2.7510999999999997"/>
    <n v="5"/>
  </r>
  <r>
    <n v="555"/>
    <s v="RP26"/>
    <d v="2022-07-09T00:00:00"/>
    <x v="6"/>
    <x v="1"/>
    <s v="Second Class"/>
    <s v="DK-13225"/>
    <s v="OFF-ST-10001780"/>
    <n v="150"/>
    <n v="10"/>
    <n v="6.666666666666667"/>
    <x v="2"/>
    <s v="Kids’ Clothing"/>
    <s v="INR"/>
    <n v="440034"/>
    <s v="INDIA"/>
    <x v="18"/>
    <m/>
    <n v="1295.78"/>
    <n v="2"/>
    <n v="0.1"/>
    <n v="310.98719999999997"/>
    <n v="492.39639999999997"/>
    <n v="3"/>
  </r>
  <r>
    <n v="556"/>
    <s v="CL13"/>
    <d v="2022-07-10T00:00:00"/>
    <x v="6"/>
    <x v="1"/>
    <s v="Second Class"/>
    <s v="AJ-10945"/>
    <s v="OFF-AR-10003560"/>
    <n v="200"/>
    <n v="24"/>
    <n v="12"/>
    <x v="3"/>
    <s v="Car Mats"/>
    <s v="INR"/>
    <n v="822101"/>
    <s v="INDIA"/>
    <x v="9"/>
    <s v="Easy Ship"/>
    <n v="19.456"/>
    <n v="4"/>
    <n v="0.2"/>
    <n v="3.4047999999999998"/>
    <n v="4.0128000000000004"/>
    <n v="3"/>
  </r>
  <r>
    <n v="557"/>
    <s v="US43"/>
    <d v="2022-07-11T00:00:00"/>
    <x v="6"/>
    <x v="1"/>
    <s v="Standard Class"/>
    <s v="OT-18730"/>
    <s v="OFF-LA-10001297"/>
    <n v="230"/>
    <n v="20"/>
    <n v="8.695652173913043"/>
    <x v="6"/>
    <s v="Building Blocks"/>
    <s v="INR"/>
    <n v="751013"/>
    <s v="INDIA"/>
    <x v="18"/>
    <m/>
    <n v="20.7"/>
    <n v="2"/>
    <n v="0.1"/>
    <n v="9.9359999999999999"/>
    <n v="5.3819999999999997"/>
    <n v="2"/>
  </r>
  <r>
    <n v="558"/>
    <s v="IF19"/>
    <d v="2022-07-12T00:00:00"/>
    <x v="6"/>
    <x v="1"/>
    <s v="Standard Class"/>
    <s v="OT-18730"/>
    <s v="FUR-TA-10004256"/>
    <n v="230"/>
    <n v="18"/>
    <n v="7.8260869565217401"/>
    <x v="7"/>
    <s v="Condiments"/>
    <s v="INR"/>
    <n v="628004"/>
    <s v="INDIA"/>
    <x v="0"/>
    <m/>
    <n v="1335.68"/>
    <n v="4"/>
    <n v="0.2"/>
    <n v="-217.048"/>
    <n v="388.18200000000002"/>
    <n v="3"/>
  </r>
  <r>
    <n v="559"/>
    <s v="RX12"/>
    <d v="2022-07-13T00:00:00"/>
    <x v="6"/>
    <x v="1"/>
    <s v="Standard Class"/>
    <s v="OT-18730"/>
    <s v="OFF-PA-10003441"/>
    <n v="110"/>
    <n v="20"/>
    <n v="18.181818181818183"/>
    <x v="8"/>
    <s v="Pet Leashes"/>
    <s v="INR"/>
    <n v="403206"/>
    <s v="INDIA"/>
    <x v="11"/>
    <m/>
    <n v="32.4"/>
    <n v="5"/>
    <n v="0.1"/>
    <n v="15.552"/>
    <n v="3.3695999999999997"/>
    <n v="3"/>
  </r>
  <r>
    <n v="560"/>
    <s v="IA80"/>
    <d v="2022-07-14T00:00:00"/>
    <x v="6"/>
    <x v="1"/>
    <s v="Second Class"/>
    <s v="LP-17080"/>
    <s v="FUR-FU-10003347"/>
    <n v="100"/>
    <n v="12"/>
    <n v="12"/>
    <x v="2"/>
    <s v="Men’s Jeans"/>
    <s v="INR"/>
    <n v="403206"/>
    <s v="INDIA"/>
    <x v="3"/>
    <m/>
    <n v="42.6"/>
    <n v="3"/>
    <n v="0.1"/>
    <n v="16.614000000000001"/>
    <n v="8.6620000000000008"/>
    <n v="4"/>
  </r>
  <r>
    <n v="561"/>
    <s v="OZ96"/>
    <d v="2022-07-15T00:00:00"/>
    <x v="6"/>
    <x v="1"/>
    <s v="Second Class"/>
    <s v="LP-17080"/>
    <s v="OFF-BI-10000069"/>
    <n v="100"/>
    <n v="24"/>
    <n v="24"/>
    <x v="4"/>
    <s v="SSD Drives"/>
    <s v="INR"/>
    <n v="834002"/>
    <s v="INDIA"/>
    <x v="6"/>
    <m/>
    <n v="84.055999999999997"/>
    <n v="7"/>
    <n v="0.2"/>
    <n v="27.318200000000001"/>
    <n v="8.1053999999999995"/>
    <n v="4"/>
  </r>
  <r>
    <n v="562"/>
    <s v="XO12"/>
    <d v="2022-07-16T00:00:00"/>
    <x v="6"/>
    <x v="1"/>
    <s v="Second Class"/>
    <s v="CA-12775"/>
    <s v="OFF-AP-10003914"/>
    <n v="140"/>
    <n v="22"/>
    <n v="15.714285714285714"/>
    <x v="1"/>
    <s v="Football Gear"/>
    <m/>
    <n v="160030"/>
    <s v="INDIA"/>
    <x v="8"/>
    <m/>
    <n v="13"/>
    <n v="5"/>
    <n v="0.2"/>
    <n v="1.3"/>
    <n v="2.34"/>
    <n v="5"/>
  </r>
  <r>
    <n v="563"/>
    <s v="HO22"/>
    <d v="2022-07-17T00:00:00"/>
    <x v="6"/>
    <x v="1"/>
    <s v="Second Class"/>
    <s v="CA-12775"/>
    <s v="FUR-FU-10004020"/>
    <n v="230"/>
    <n v="30"/>
    <n v="13.043478260869565"/>
    <x v="0"/>
    <s v="Reference Books"/>
    <m/>
    <n v="400025"/>
    <s v="INDIA"/>
    <x v="7"/>
    <m/>
    <n v="13.128"/>
    <n v="3"/>
    <n v="0.2"/>
    <n v="3.7743000000000002"/>
    <n v="3.1179000000000001"/>
    <n v="1"/>
  </r>
  <r>
    <n v="564"/>
    <s v="CG50"/>
    <d v="2022-07-18T00:00:00"/>
    <x v="6"/>
    <x v="1"/>
    <s v="First Class"/>
    <s v="JF-15490"/>
    <s v="OFF-FA-10003467"/>
    <n v="150"/>
    <n v="26"/>
    <n v="17.333333333333336"/>
    <x v="5"/>
    <s v="Curtains"/>
    <s v="INR"/>
    <n v="631501"/>
    <s v="INDIA"/>
    <x v="3"/>
    <s v="Easy Ship"/>
    <n v="3.96"/>
    <n v="2"/>
    <n v="0.1"/>
    <n v="0.1"/>
    <n v="1.93"/>
    <n v="2"/>
  </r>
  <r>
    <n v="565"/>
    <s v="SY83"/>
    <d v="2022-07-19T00:00:00"/>
    <x v="6"/>
    <x v="1"/>
    <s v="First Class"/>
    <s v="JF-15490"/>
    <s v="OFF-LA-10000634"/>
    <n v="160"/>
    <n v="28"/>
    <n v="17.5"/>
    <x v="3"/>
    <s v="Car Oils"/>
    <s v="INR"/>
    <n v="500047"/>
    <s v="INDIA"/>
    <x v="11"/>
    <m/>
    <n v="2.61"/>
    <n v="1"/>
    <n v="0.1"/>
    <n v="1.2005999999999999"/>
    <n v="1.4094"/>
    <n v="1"/>
  </r>
  <r>
    <n v="566"/>
    <s v="IZ89"/>
    <d v="2022-07-20T00:00:00"/>
    <x v="6"/>
    <x v="1"/>
    <s v="First Class"/>
    <s v="FP-14320"/>
    <s v="TEC-PH-10002496"/>
    <n v="160"/>
    <n v="26"/>
    <n v="16.25"/>
    <x v="6"/>
    <s v="Science Kits"/>
    <s v="INR"/>
    <n v="131001"/>
    <s v="INDIA"/>
    <x v="9"/>
    <s v="Easy Ship"/>
    <n v="374.37599999999998"/>
    <n v="3"/>
    <n v="0.2"/>
    <n v="46.796999999999997"/>
    <n v="109.19299999999998"/>
    <n v="4"/>
  </r>
  <r>
    <n v="567"/>
    <s v="XH99"/>
    <d v="2022-07-21T00:00:00"/>
    <x v="6"/>
    <x v="1"/>
    <s v="Standard Class"/>
    <s v="EB-13840"/>
    <s v="OFF-PA-10004530"/>
    <n v="180"/>
    <n v="24"/>
    <n v="13.333333333333334"/>
    <x v="7"/>
    <s v="Tea &amp; Coffee"/>
    <s v="INR"/>
    <n v="411041"/>
    <s v="INDIA"/>
    <x v="0"/>
    <m/>
    <n v="91.84"/>
    <n v="8"/>
    <n v="0.1"/>
    <n v="45.001600000000003"/>
    <n v="5.8548"/>
    <n v="2"/>
  </r>
  <r>
    <n v="568"/>
    <s v="GL82"/>
    <d v="2022-07-22T00:00:00"/>
    <x v="6"/>
    <x v="1"/>
    <s v="Standard Class"/>
    <s v="EB-13840"/>
    <s v="OFF-BI-10001107"/>
    <n v="220"/>
    <n v="16"/>
    <n v="7.2727272727272725"/>
    <x v="8"/>
    <s v="Pet Bowls"/>
    <s v="INR"/>
    <n v="400059"/>
    <s v="INDIA"/>
    <x v="15"/>
    <m/>
    <n v="81.087999999999994"/>
    <n v="7"/>
    <n v="0.2"/>
    <n v="27.3672"/>
    <n v="7.6743999999999994"/>
    <n v="4"/>
  </r>
  <r>
    <n v="569"/>
    <s v="OB91"/>
    <d v="2022-07-23T00:00:00"/>
    <x v="6"/>
    <x v="1"/>
    <s v="Standard Class"/>
    <s v="EB-13840"/>
    <s v="OFF-PA-10004451"/>
    <n v="180"/>
    <n v="10"/>
    <n v="5.5555555555555554"/>
    <x v="2"/>
    <s v="Women’s Tops"/>
    <m/>
    <n v="500015"/>
    <s v="INDIA"/>
    <x v="7"/>
    <m/>
    <n v="19.440000000000001"/>
    <n v="3"/>
    <n v="0.1"/>
    <n v="9.3312000000000008"/>
    <n v="3.3696000000000002"/>
    <n v="5"/>
  </r>
  <r>
    <n v="570"/>
    <s v="HC48"/>
    <d v="2022-07-24T00:00:00"/>
    <x v="6"/>
    <x v="1"/>
    <s v="Standard Class"/>
    <s v="EB-13840"/>
    <s v="FUR-CH-10004997"/>
    <n v="120"/>
    <n v="30"/>
    <n v="25"/>
    <x v="4"/>
    <s v="Camera Lenses"/>
    <s v="INR"/>
    <n v="263139"/>
    <s v="INDIA"/>
    <x v="9"/>
    <m/>
    <n v="451.15199999999999"/>
    <n v="3"/>
    <n v="0.2"/>
    <n v="0.1"/>
    <n v="150.35066666666665"/>
    <n v="5"/>
  </r>
  <r>
    <n v="571"/>
    <s v="OM84"/>
    <d v="2022-07-25T00:00:00"/>
    <x v="6"/>
    <x v="1"/>
    <s v="Standard Class"/>
    <s v="JF-15415"/>
    <s v="OFF-LA-10001297"/>
    <n v="170"/>
    <n v="22"/>
    <n v="12.941176470588237"/>
    <x v="0"/>
    <s v="History"/>
    <s v="INR"/>
    <n v="680687"/>
    <s v="INDIA"/>
    <x v="1"/>
    <m/>
    <n v="72.45"/>
    <n v="7"/>
    <n v="0.1"/>
    <n v="34.776000000000003"/>
    <n v="5.3819999999999997"/>
    <n v="5"/>
  </r>
  <r>
    <n v="572"/>
    <s v="TJ54"/>
    <d v="2022-07-26T00:00:00"/>
    <x v="6"/>
    <x v="1"/>
    <s v="Standard Class"/>
    <s v="JF-15415"/>
    <s v="OFF-FA-10000585"/>
    <n v="170"/>
    <n v="26"/>
    <n v="15.294117647058824"/>
    <x v="1"/>
    <s v="Running Shoes"/>
    <s v="INR"/>
    <n v="400008"/>
    <s v="INDIA"/>
    <x v="1"/>
    <m/>
    <n v="13.96"/>
    <n v="4"/>
    <n v="0.1"/>
    <n v="6.4215999999999998"/>
    <n v="1.8846000000000003"/>
    <n v="3"/>
  </r>
  <r>
    <n v="573"/>
    <s v="JZ61"/>
    <d v="2022-07-27T00:00:00"/>
    <x v="6"/>
    <x v="1"/>
    <s v="Standard Class"/>
    <s v="JF-15415"/>
    <s v="OFF-BI-10001922"/>
    <n v="210"/>
    <n v="12"/>
    <n v="5.7142857142857144"/>
    <x v="4"/>
    <s v="Smart Plugs"/>
    <s v="INR"/>
    <n v="415612"/>
    <s v="INDIA"/>
    <x v="13"/>
    <m/>
    <n v="33.264000000000003"/>
    <n v="7"/>
    <n v="0.2"/>
    <n v="11.226599999999999"/>
    <n v="3.1482000000000006"/>
    <n v="4"/>
  </r>
  <r>
    <n v="574"/>
    <s v="ZO19"/>
    <d v="2022-07-28T00:00:00"/>
    <x v="6"/>
    <x v="1"/>
    <s v="Standard Class"/>
    <s v="JF-15415"/>
    <s v="TEC-PH-10000347"/>
    <n v="170"/>
    <n v="20"/>
    <n v="11.76470588235294"/>
    <x v="2"/>
    <s v="Women’s Flats"/>
    <s v="INR"/>
    <n v="800001"/>
    <s v="INDIA"/>
    <x v="17"/>
    <m/>
    <n v="14.85"/>
    <n v="3"/>
    <n v="0.1"/>
    <n v="4.0095000000000001"/>
    <n v="3.6134999999999997"/>
    <n v="5"/>
  </r>
  <r>
    <n v="575"/>
    <s v="VH91"/>
    <d v="2022-07-29T00:00:00"/>
    <x v="6"/>
    <x v="1"/>
    <s v="Standard Class"/>
    <s v="SF-20200"/>
    <s v="OFF-AR-10003394"/>
    <n v="210"/>
    <n v="24"/>
    <n v="11.428571428571429"/>
    <x v="5"/>
    <s v="Wall Art"/>
    <s v="INR"/>
    <n v="560093"/>
    <s v="INDIA"/>
    <x v="9"/>
    <m/>
    <n v="8.82"/>
    <n v="3"/>
    <n v="0.1"/>
    <n v="2.3814000000000002"/>
    <n v="2.1461999999999999"/>
    <n v="1"/>
  </r>
  <r>
    <n v="576"/>
    <s v="KG95"/>
    <d v="2022-07-30T00:00:00"/>
    <x v="6"/>
    <x v="1"/>
    <s v="Second Class"/>
    <s v="TG-21640"/>
    <s v="OFF-PA-10004530"/>
    <n v="220"/>
    <n v="18"/>
    <n v="8.1818181818181817"/>
    <x v="3"/>
    <s v="Car Seats"/>
    <m/>
    <n v="263139"/>
    <s v="INDIA"/>
    <x v="6"/>
    <m/>
    <n v="160.72"/>
    <n v="14"/>
    <n v="0.1"/>
    <n v="78.752799999999993"/>
    <n v="5.8548"/>
    <n v="3"/>
  </r>
  <r>
    <n v="577"/>
    <s v="OH51"/>
    <d v="2022-07-31T00:00:00"/>
    <x v="6"/>
    <x v="1"/>
    <s v="Second Class"/>
    <s v="TG-21640"/>
    <s v="OFF-PA-10001450"/>
    <n v="130"/>
    <n v="16"/>
    <n v="12.307692307692308"/>
    <x v="6"/>
    <s v="Board Puzzles"/>
    <s v="INR"/>
    <n v="620001"/>
    <s v="INDIA"/>
    <x v="1"/>
    <m/>
    <n v="19.920000000000002"/>
    <n v="4"/>
    <n v="0.1"/>
    <n v="9.7607999999999997"/>
    <n v="2.5398000000000005"/>
    <n v="1"/>
  </r>
  <r>
    <n v="578"/>
    <s v="YN30"/>
    <d v="2022-08-01T00:00:00"/>
    <x v="7"/>
    <x v="1"/>
    <s v="Second Class"/>
    <s v="TG-21640"/>
    <s v="OFF-SU-10001574"/>
    <n v="120"/>
    <n v="26"/>
    <n v="21.666666666666668"/>
    <x v="7"/>
    <s v="Meat &amp; Poultry"/>
    <s v="INR"/>
    <n v="181131"/>
    <s v="INDIA"/>
    <x v="11"/>
    <m/>
    <n v="7.3"/>
    <n v="2"/>
    <n v="0.1"/>
    <n v="2.19"/>
    <n v="2.5549999999999997"/>
    <n v="1"/>
  </r>
  <r>
    <n v="579"/>
    <s v="AR77"/>
    <d v="2022-08-02T00:00:00"/>
    <x v="7"/>
    <x v="1"/>
    <s v="Standard Class"/>
    <s v="CS-11950"/>
    <s v="OFF-ST-10002974"/>
    <n v="150"/>
    <n v="24"/>
    <n v="16"/>
    <x v="8"/>
    <s v="Pet Vitamins"/>
    <s v="INR"/>
    <n v="831004"/>
    <s v="INDIA"/>
    <x v="14"/>
    <m/>
    <n v="69.712000000000003"/>
    <n v="2"/>
    <n v="0.2"/>
    <n v="8.7140000000000004"/>
    <n v="30.499000000000002"/>
    <n v="3"/>
  </r>
  <r>
    <n v="580"/>
    <s v="MC84"/>
    <d v="2022-08-03T00:00:00"/>
    <x v="7"/>
    <x v="1"/>
    <s v="Standard Class"/>
    <s v="CS-11950"/>
    <s v="FUR-FU-10001475"/>
    <n v="150"/>
    <n v="12"/>
    <n v="8"/>
    <x v="2"/>
    <s v="Men’s Casual Shoes"/>
    <s v="INR"/>
    <n v="600106"/>
    <s v="INDIA"/>
    <x v="14"/>
    <m/>
    <n v="8.7919999999999998"/>
    <n v="1"/>
    <n v="0.6"/>
    <n v="-5.7148000000000003"/>
    <n v="14.5068"/>
    <n v="3"/>
  </r>
  <r>
    <n v="581"/>
    <s v="EH33"/>
    <d v="2022-08-04T00:00:00"/>
    <x v="7"/>
    <x v="1"/>
    <s v="Standard Class"/>
    <s v="CC-12145"/>
    <s v="OFF-SU-10004498"/>
    <n v="250"/>
    <n v="26"/>
    <n v="10.4"/>
    <x v="4"/>
    <s v="Motherboards"/>
    <s v="INR"/>
    <n v="831004"/>
    <s v="INDIA"/>
    <x v="7"/>
    <m/>
    <n v="51.52"/>
    <n v="4"/>
    <n v="0.1"/>
    <n v="1.5456000000000001"/>
    <n v="12.493600000000001"/>
    <n v="5"/>
  </r>
  <r>
    <n v="582"/>
    <s v="CF31"/>
    <d v="2022-08-05T00:00:00"/>
    <x v="7"/>
    <x v="1"/>
    <s v="Standard Class"/>
    <s v="DV-13465"/>
    <s v="TEC-PH-10004977"/>
    <n v="230"/>
    <n v="12"/>
    <n v="5.2173913043478262"/>
    <x v="1"/>
    <s v="Skating Gear"/>
    <s v="INR"/>
    <n v="226003"/>
    <s v="INDIA"/>
    <x v="16"/>
    <m/>
    <n v="470.37599999999998"/>
    <n v="3"/>
    <n v="0.2"/>
    <n v="52.917299999999997"/>
    <n v="139.15289999999999"/>
    <n v="5"/>
  </r>
  <r>
    <n v="583"/>
    <s v="UB77"/>
    <d v="2022-08-06T00:00:00"/>
    <x v="7"/>
    <x v="1"/>
    <s v="Standard Class"/>
    <s v="DV-13465"/>
    <s v="TEC-PH-10000586"/>
    <n v="190"/>
    <n v="28"/>
    <n v="14.736842105263156"/>
    <x v="0"/>
    <s v="Philosophy"/>
    <s v="INR"/>
    <n v="627358"/>
    <s v="INDIA"/>
    <x v="3"/>
    <m/>
    <n v="105.584"/>
    <n v="2"/>
    <n v="0.2"/>
    <n v="9.2385999999999999"/>
    <n v="48.172699999999999"/>
    <n v="5"/>
  </r>
  <r>
    <n v="584"/>
    <s v="PO70"/>
    <d v="2022-08-07T00:00:00"/>
    <x v="7"/>
    <x v="1"/>
    <s v="Standard Class"/>
    <s v="DV-13465"/>
    <s v="OFF-AP-10000358"/>
    <n v="120"/>
    <n v="6"/>
    <n v="5"/>
    <x v="5"/>
    <s v="Clocks"/>
    <s v="INR"/>
    <n v="400091"/>
    <s v="INDIA"/>
    <x v="1"/>
    <s v="Easy Ship"/>
    <n v="31.152000000000001"/>
    <n v="3"/>
    <n v="0.2"/>
    <n v="3.5045999999999999"/>
    <n v="9.2157999999999998"/>
    <n v="5"/>
  </r>
  <r>
    <n v="585"/>
    <s v="VG11"/>
    <d v="2022-08-08T00:00:00"/>
    <x v="7"/>
    <x v="1"/>
    <s v="Standard Class"/>
    <s v="DV-13465"/>
    <s v="OFF-BI-10002764"/>
    <n v="110"/>
    <n v="22"/>
    <n v="20"/>
    <x v="3"/>
    <s v="Car Lights"/>
    <s v="INR"/>
    <n v="831004"/>
    <s v="INDIA"/>
    <x v="15"/>
    <m/>
    <n v="6.7830000000000004"/>
    <n v="7"/>
    <n v="0.7"/>
    <n v="-4.7481"/>
    <n v="1.6473"/>
    <n v="5"/>
  </r>
  <r>
    <n v="586"/>
    <s v="XO68"/>
    <d v="2022-08-09T00:00:00"/>
    <x v="7"/>
    <x v="1"/>
    <s v="Standard Class"/>
    <s v="DV-13465"/>
    <s v="TEC-PH-10001254"/>
    <n v="110"/>
    <n v="18"/>
    <n v="16.363636363636363"/>
    <x v="6"/>
    <s v="Outdoor Playsets"/>
    <m/>
    <n v="249201"/>
    <s v="INDIA"/>
    <x v="18"/>
    <m/>
    <n v="406.36799999999999"/>
    <n v="4"/>
    <n v="0.2"/>
    <n v="30.477599999999999"/>
    <n v="93.9726"/>
    <n v="1"/>
  </r>
  <r>
    <n v="587"/>
    <s v="MD83"/>
    <d v="2022-08-10T00:00:00"/>
    <x v="7"/>
    <x v="1"/>
    <s v="Standard Class"/>
    <s v="BD-11725"/>
    <s v="FUR-CH-10003956"/>
    <n v="140"/>
    <n v="8"/>
    <n v="5.7142857142857144"/>
    <x v="7"/>
    <s v="Health Drinks"/>
    <m/>
    <n v="249201"/>
    <s v="INDIA"/>
    <x v="0"/>
    <m/>
    <n v="70.98"/>
    <n v="1"/>
    <n v="0.1"/>
    <n v="4.9686000000000003"/>
    <n v="66.011400000000009"/>
    <n v="2"/>
  </r>
  <r>
    <n v="588"/>
    <s v="RQ57"/>
    <d v="2022-08-11T00:00:00"/>
    <x v="7"/>
    <x v="1"/>
    <s v="Standard Class"/>
    <s v="BD-11725"/>
    <s v="OFF-LA-10003930"/>
    <n v="220"/>
    <n v="30"/>
    <n v="13.636363636363635"/>
    <x v="8"/>
    <s v="Pet Brushes"/>
    <m/>
    <n v="249201"/>
    <s v="INDIA"/>
    <x v="10"/>
    <s v="Easy Ship"/>
    <n v="294.93"/>
    <n v="3"/>
    <n v="0.1"/>
    <n v="144.51570000000001"/>
    <n v="50.138100000000001"/>
    <n v="5"/>
  </r>
  <r>
    <n v="589"/>
    <s v="SP58"/>
    <d v="2022-08-12T00:00:00"/>
    <x v="7"/>
    <x v="1"/>
    <s v="Standard Class"/>
    <s v="ZC-21910"/>
    <s v="TEC-PH-10003800"/>
    <n v="230"/>
    <n v="10"/>
    <n v="4.3478260869565215"/>
    <x v="2"/>
    <s v="Women’s Skirts"/>
    <s v="INR"/>
    <n v="396125"/>
    <s v="INDIA"/>
    <x v="3"/>
    <m/>
    <n v="84.784000000000006"/>
    <n v="2"/>
    <n v="0.2"/>
    <n v="-20.136199999999999"/>
    <n v="52.460100000000004"/>
    <n v="5"/>
  </r>
  <r>
    <n v="590"/>
    <s v="HA51"/>
    <d v="2022-08-13T00:00:00"/>
    <x v="7"/>
    <x v="1"/>
    <s v="Standard Class"/>
    <s v="ZC-21910"/>
    <s v="OFF-PA-10002005"/>
    <n v="190"/>
    <n v="12"/>
    <n v="6.3157894736842106"/>
    <x v="4"/>
    <s v="Action Cameras"/>
    <s v="INR"/>
    <n v="283202"/>
    <s v="INDIA"/>
    <x v="17"/>
    <m/>
    <n v="20.736000000000001"/>
    <n v="4"/>
    <n v="0.2"/>
    <n v="7.2576000000000001"/>
    <n v="3.3696000000000002"/>
    <n v="1"/>
  </r>
  <r>
    <n v="591"/>
    <s v="PW53"/>
    <d v="2022-08-14T00:00:00"/>
    <x v="7"/>
    <x v="1"/>
    <s v="Standard Class"/>
    <s v="ZC-21910"/>
    <s v="OFF-BI-10002498"/>
    <n v="210"/>
    <n v="24"/>
    <n v="11.428571428571429"/>
    <x v="0"/>
    <s v="Art &amp; Photography"/>
    <s v="INR"/>
    <n v="263139"/>
    <s v="INDIA"/>
    <x v="10"/>
    <m/>
    <n v="16.821000000000002"/>
    <n v="3"/>
    <n v="0.7"/>
    <n v="-12.896100000000001"/>
    <n v="9.9057000000000013"/>
    <n v="4"/>
  </r>
  <r>
    <n v="592"/>
    <s v="FV11"/>
    <d v="2022-08-15T00:00:00"/>
    <x v="7"/>
    <x v="1"/>
    <s v="Standard Class"/>
    <s v="ZC-21910"/>
    <s v="OFF-PA-10004101"/>
    <n v="120"/>
    <n v="18"/>
    <n v="15"/>
    <x v="1"/>
    <s v="Gym Equipment"/>
    <s v="INR"/>
    <n v="560068"/>
    <s v="INDIA"/>
    <x v="3"/>
    <m/>
    <n v="10.368"/>
    <n v="2"/>
    <n v="0.2"/>
    <n v="3.6288"/>
    <n v="3.3696000000000002"/>
    <n v="5"/>
  </r>
  <r>
    <n v="593"/>
    <s v="PF78"/>
    <d v="2022-08-16T00:00:00"/>
    <x v="7"/>
    <x v="1"/>
    <s v="Standard Class"/>
    <s v="MS-17830"/>
    <s v="OFF-AR-10004078"/>
    <n v="160"/>
    <n v="28"/>
    <n v="17.5"/>
    <x v="4"/>
    <s v="Hard Drives"/>
    <s v="INR"/>
    <n v="560086"/>
    <s v="INDIA"/>
    <x v="3"/>
    <m/>
    <n v="9.3439999999999994"/>
    <n v="2"/>
    <n v="0.2"/>
    <n v="1.1679999999999999"/>
    <n v="4.0880000000000001"/>
    <n v="4"/>
  </r>
  <r>
    <n v="594"/>
    <s v="WE66"/>
    <d v="2022-08-17T00:00:00"/>
    <x v="7"/>
    <x v="1"/>
    <s v="Standard Class"/>
    <s v="MS-17830"/>
    <s v="TEC-AC-10001266"/>
    <n v="200"/>
    <n v="20"/>
    <n v="10"/>
    <x v="2"/>
    <s v="Women’s Kurtis"/>
    <s v="INR"/>
    <n v="560086"/>
    <s v="INDIA"/>
    <x v="0"/>
    <s v="Easy Ship"/>
    <n v="31.2"/>
    <n v="3"/>
    <n v="0.2"/>
    <n v="9.75"/>
    <n v="7.1499999999999995"/>
    <n v="2"/>
  </r>
  <r>
    <n v="595"/>
    <s v="PM84"/>
    <d v="2022-08-18T00:00:00"/>
    <x v="7"/>
    <x v="1"/>
    <s v="Standard Class"/>
    <s v="LR-16915"/>
    <s v="OFF-AP-10004708"/>
    <n v="160"/>
    <n v="28"/>
    <n v="17.5"/>
    <x v="5"/>
    <s v="Kitchen Appliances"/>
    <s v="INR"/>
    <n v="201309"/>
    <s v="INDIA"/>
    <x v="6"/>
    <m/>
    <n v="76.12"/>
    <n v="2"/>
    <n v="0.1"/>
    <n v="22.0748"/>
    <n v="27.022600000000004"/>
    <n v="3"/>
  </r>
  <r>
    <n v="596"/>
    <s v="OV17"/>
    <d v="2022-08-19T00:00:00"/>
    <x v="7"/>
    <x v="1"/>
    <s v="Standard Class"/>
    <s v="LR-16915"/>
    <s v="TEC-CO-10004115"/>
    <n v="100"/>
    <n v="28"/>
    <n v="28.000000000000004"/>
    <x v="3"/>
    <s v="Car Audio Systems"/>
    <s v="INR"/>
    <n v="473335"/>
    <s v="INDIA"/>
    <x v="4"/>
    <m/>
    <n v="1199.9760000000001"/>
    <n v="3"/>
    <n v="0.2"/>
    <n v="434.99130000000002"/>
    <n v="254.99490000000003"/>
    <n v="5"/>
  </r>
  <r>
    <n v="597"/>
    <s v="WA69"/>
    <d v="2022-08-20T00:00:00"/>
    <x v="7"/>
    <x v="1"/>
    <s v="Standard Class"/>
    <s v="LR-16915"/>
    <s v="TEC-PH-10002398"/>
    <n v="140"/>
    <n v="6"/>
    <n v="4.2857142857142856"/>
    <x v="6"/>
    <s v="Card Games"/>
    <s v="INR"/>
    <n v="422013"/>
    <s v="INDIA"/>
    <x v="13"/>
    <m/>
    <n v="445.96"/>
    <n v="5"/>
    <n v="0.2"/>
    <n v="55.744999999999997"/>
    <n v="78.042999999999992"/>
    <n v="5"/>
  </r>
  <r>
    <n v="598"/>
    <s v="NR36"/>
    <d v="2022-08-21T00:00:00"/>
    <x v="7"/>
    <x v="1"/>
    <s v="Standard Class"/>
    <s v="LR-16915"/>
    <s v="FUR-FU-10001979"/>
    <n v="220"/>
    <n v="26"/>
    <n v="11.818181818181818"/>
    <x v="7"/>
    <s v="Instant Foods"/>
    <s v="INR"/>
    <n v="422013"/>
    <s v="INDIA"/>
    <x v="8"/>
    <m/>
    <n v="327.76"/>
    <n v="8"/>
    <n v="0.1"/>
    <n v="91.772800000000004"/>
    <n v="29.498399999999997"/>
    <n v="5"/>
  </r>
  <r>
    <n v="599"/>
    <s v="SZ42"/>
    <d v="2022-08-22T00:00:00"/>
    <x v="7"/>
    <x v="1"/>
    <s v="First Class"/>
    <s v="TP-21130"/>
    <s v="OFF-SU-10004115"/>
    <n v="240"/>
    <n v="8"/>
    <n v="3.3333333333333335"/>
    <x v="8"/>
    <s v="Pet Carriers"/>
    <m/>
    <n v="244001"/>
    <s v="INDIA"/>
    <x v="0"/>
    <m/>
    <n v="11.632"/>
    <n v="2"/>
    <n v="0.2"/>
    <n v="1.0178"/>
    <n v="5.3071000000000002"/>
    <n v="2"/>
  </r>
  <r>
    <n v="600"/>
    <s v="EG53"/>
    <d v="2022-08-23T00:00:00"/>
    <x v="7"/>
    <x v="1"/>
    <s v="Standard Class"/>
    <s v="CK-12205"/>
    <s v="TEC-PH-10001425"/>
    <n v="200"/>
    <n v="24"/>
    <n v="12"/>
    <x v="2"/>
    <s v="Men’s Belts"/>
    <m/>
    <n v="201304"/>
    <s v="INDIA"/>
    <x v="17"/>
    <m/>
    <n v="143.982"/>
    <n v="3"/>
    <n v="0.4"/>
    <n v="-28.796399999999998"/>
    <n v="57.592800000000004"/>
    <n v="4"/>
  </r>
  <r>
    <n v="601"/>
    <s v="OF29"/>
    <d v="2022-08-24T00:00:00"/>
    <x v="7"/>
    <x v="1"/>
    <s v="Standard Class"/>
    <s v="CK-12205"/>
    <s v="TEC-PH-10003963"/>
    <n v="140"/>
    <n v="20"/>
    <n v="14.285714285714285"/>
    <x v="4"/>
    <s v="Routers"/>
    <s v="INR"/>
    <n v="274602"/>
    <s v="INDIA"/>
    <x v="19"/>
    <m/>
    <n v="494.37599999999998"/>
    <n v="4"/>
    <n v="0.4"/>
    <n v="-115.3544"/>
    <n v="152.43259999999998"/>
    <n v="3"/>
  </r>
  <r>
    <n v="602"/>
    <s v="DP64"/>
    <d v="2022-08-25T00:00:00"/>
    <x v="7"/>
    <x v="1"/>
    <s v="Standard Class"/>
    <s v="CK-12205"/>
    <s v="OFF-SU-10001574"/>
    <n v="130"/>
    <n v="16"/>
    <n v="12.307692307692308"/>
    <x v="1"/>
    <s v="Volleyball Gear"/>
    <s v="INR"/>
    <n v="110002"/>
    <s v="INDIA"/>
    <x v="14"/>
    <m/>
    <n v="5.84"/>
    <n v="2"/>
    <n v="0.2"/>
    <n v="0.73"/>
    <n v="2.5549999999999997"/>
    <n v="5"/>
  </r>
  <r>
    <n v="603"/>
    <s v="FF16"/>
    <d v="2022-08-26T00:00:00"/>
    <x v="7"/>
    <x v="1"/>
    <s v="Standard Class"/>
    <s v="AS-10240"/>
    <s v="OFF-ST-10001490"/>
    <n v="230"/>
    <n v="12"/>
    <n v="5.2173913043478262"/>
    <x v="0"/>
    <s v="Self-Help"/>
    <s v="INR"/>
    <n v="421204"/>
    <s v="INDIA"/>
    <x v="4"/>
    <m/>
    <n v="142.77600000000001"/>
    <n v="1"/>
    <n v="0.2"/>
    <n v="17.847000000000001"/>
    <n v="124.929"/>
    <n v="4"/>
  </r>
  <r>
    <n v="604"/>
    <s v="MR13"/>
    <d v="2022-08-27T00:00:00"/>
    <x v="7"/>
    <x v="1"/>
    <s v="Standard Class"/>
    <s v="AS-10240"/>
    <s v="FUR-FU-10001756"/>
    <n v="220"/>
    <n v="10"/>
    <n v="4.5454545454545459"/>
    <x v="5"/>
    <s v="Mirrors"/>
    <s v="INR"/>
    <n v="575029"/>
    <s v="INDIA"/>
    <x v="18"/>
    <m/>
    <n v="45.695999999999998"/>
    <n v="3"/>
    <n v="0.2"/>
    <n v="5.1407999999999996"/>
    <n v="13.5184"/>
    <n v="4"/>
  </r>
  <r>
    <n v="605"/>
    <s v="LQ71"/>
    <d v="2022-08-28T00:00:00"/>
    <x v="7"/>
    <x v="1"/>
    <s v="Standard Class"/>
    <s v="AS-10240"/>
    <s v="OFF-BI-10000773"/>
    <n v="250"/>
    <n v="30"/>
    <n v="12"/>
    <x v="3"/>
    <s v="Car Cleaning Kits"/>
    <s v="INR"/>
    <n v="110005"/>
    <s v="INDIA"/>
    <x v="14"/>
    <m/>
    <n v="7.218"/>
    <n v="3"/>
    <n v="0.7"/>
    <n v="-5.5338000000000003"/>
    <n v="4.2505999999999995"/>
    <n v="4"/>
  </r>
  <r>
    <n v="606"/>
    <s v="VN78"/>
    <d v="2022-08-29T00:00:00"/>
    <x v="7"/>
    <x v="1"/>
    <s v="Standard Class"/>
    <s v="AS-10240"/>
    <s v="OFF-BI-10001543"/>
    <n v="230"/>
    <n v="26"/>
    <n v="11.304347826086957"/>
    <x v="6"/>
    <s v="Learning Tablets"/>
    <s v="INR"/>
    <n v="208001"/>
    <s v="INDIA"/>
    <x v="13"/>
    <s v="Easy Ship"/>
    <n v="43.188000000000002"/>
    <n v="4"/>
    <n v="0.7"/>
    <n v="-31.671199999999999"/>
    <n v="18.7148"/>
    <n v="1"/>
  </r>
  <r>
    <n v="607"/>
    <s v="OU33"/>
    <d v="2022-08-30T00:00:00"/>
    <x v="7"/>
    <x v="1"/>
    <s v="Standard Class"/>
    <s v="AS-10240"/>
    <s v="OFF-PA-10002120"/>
    <n v="100"/>
    <n v="22"/>
    <n v="22"/>
    <x v="7"/>
    <s v="Packaged Foods"/>
    <s v="INR"/>
    <n v="110062"/>
    <s v="INDIA"/>
    <x v="0"/>
    <s v="Easy Ship"/>
    <n v="131.904"/>
    <n v="3"/>
    <n v="0.2"/>
    <n v="47.815199999999997"/>
    <n v="28.029599999999999"/>
    <n v="4"/>
  </r>
  <r>
    <n v="608"/>
    <s v="VU73"/>
    <d v="2022-08-31T00:00:00"/>
    <x v="7"/>
    <x v="1"/>
    <s v="Standard Class"/>
    <s v="AR-10510"/>
    <s v="OFF-BI-10000848"/>
    <n v="190"/>
    <n v="20"/>
    <n v="10.526315789473683"/>
    <x v="8"/>
    <s v="Pet Shampoo"/>
    <s v="INR"/>
    <n v="401107"/>
    <s v="INDIA"/>
    <x v="5"/>
    <m/>
    <n v="3.282"/>
    <n v="2"/>
    <n v="0.7"/>
    <n v="-2.6255999999999999"/>
    <n v="2.9538000000000002"/>
    <n v="4"/>
  </r>
  <r>
    <n v="609"/>
    <s v="SJ13"/>
    <d v="2022-09-01T00:00:00"/>
    <x v="8"/>
    <x v="1"/>
    <s v="Standard Class"/>
    <s v="AR-10510"/>
    <s v="OFF-AR-10001246"/>
    <n v="230"/>
    <n v="22"/>
    <n v="9.5652173913043477"/>
    <x v="2"/>
    <s v="Women’s Jewelry"/>
    <s v="INR"/>
    <n v="122017"/>
    <s v="INDIA"/>
    <x v="14"/>
    <m/>
    <n v="21.167999999999999"/>
    <n v="9"/>
    <n v="0.2"/>
    <n v="2.3814000000000002"/>
    <n v="2.0874000000000001"/>
    <n v="3"/>
  </r>
  <r>
    <n v="610"/>
    <s v="VW46"/>
    <d v="2022-09-02T00:00:00"/>
    <x v="8"/>
    <x v="1"/>
    <s v="Standard Class"/>
    <s v="AR-10510"/>
    <s v="TEC-PH-10003092"/>
    <n v="210"/>
    <n v="14"/>
    <n v="6.666666666666667"/>
    <x v="4"/>
    <s v="DSLR Cameras"/>
    <s v="INR"/>
    <n v="302019"/>
    <s v="INDIA"/>
    <x v="0"/>
    <s v="Easy Ship"/>
    <n v="55.188000000000002"/>
    <n v="2"/>
    <n v="0.4"/>
    <n v="-10.117800000000001"/>
    <n v="32.652900000000002"/>
    <n v="5"/>
  </r>
  <r>
    <n v="611"/>
    <s v="WD77"/>
    <d v="2022-09-03T00:00:00"/>
    <x v="8"/>
    <x v="1"/>
    <s v="First Class"/>
    <s v="NB-18655"/>
    <s v="TEC-PH-10003012"/>
    <n v="150"/>
    <n v="24"/>
    <n v="16"/>
    <x v="5"/>
    <s v="Mattresses"/>
    <s v="INR"/>
    <n v="400069"/>
    <s v="INDIA"/>
    <x v="10"/>
    <m/>
    <n v="369.57600000000002"/>
    <n v="3"/>
    <n v="0.2"/>
    <n v="41.577300000000001"/>
    <n v="109.33290000000001"/>
    <n v="3"/>
  </r>
  <r>
    <n v="612"/>
    <s v="NF77"/>
    <d v="2022-09-04T00:00:00"/>
    <x v="8"/>
    <x v="1"/>
    <s v="First Class"/>
    <s v="NB-18655"/>
    <s v="OFF-LA-10004345"/>
    <n v="210"/>
    <n v="16"/>
    <n v="7.6190476190476195"/>
    <x v="0"/>
    <s v="Children’s Educational"/>
    <s v="INR"/>
    <n v="530026"/>
    <s v="INDIA"/>
    <x v="11"/>
    <m/>
    <n v="15.712"/>
    <n v="4"/>
    <n v="0.2"/>
    <n v="5.6955999999999998"/>
    <n v="2.5041000000000002"/>
    <n v="4"/>
  </r>
  <r>
    <n v="613"/>
    <s v="ZA14"/>
    <d v="2022-09-05T00:00:00"/>
    <x v="8"/>
    <x v="1"/>
    <s v="Second Class"/>
    <s v="GD-14590"/>
    <s v="OFF-PA-10001204"/>
    <n v="160"/>
    <n v="8"/>
    <n v="5"/>
    <x v="1"/>
    <s v="Archery Equipment"/>
    <s v="INR"/>
    <n v="831009"/>
    <s v="INDIA"/>
    <x v="1"/>
    <m/>
    <n v="8.4480000000000004"/>
    <n v="2"/>
    <n v="0.2"/>
    <n v="2.64"/>
    <n v="2.9039999999999999"/>
    <n v="2"/>
  </r>
  <r>
    <n v="614"/>
    <s v="IZ39"/>
    <d v="2022-09-06T00:00:00"/>
    <x v="8"/>
    <x v="1"/>
    <s v="Second Class"/>
    <s v="GD-14590"/>
    <s v="TEC-PH-10004667"/>
    <n v="140"/>
    <n v="28"/>
    <n v="20"/>
    <x v="4"/>
    <s v="Tripods"/>
    <s v="INR"/>
    <n v="400615"/>
    <s v="INDIA"/>
    <x v="2"/>
    <s v="Easy Ship"/>
    <n v="728.94600000000003"/>
    <n v="9"/>
    <n v="0.4"/>
    <n v="-157.9383"/>
    <n v="98.542700000000011"/>
    <n v="1"/>
  </r>
  <r>
    <n v="615"/>
    <s v="LT72"/>
    <d v="2022-09-07T00:00:00"/>
    <x v="8"/>
    <x v="1"/>
    <s v="Second Class"/>
    <s v="CK-12595"/>
    <s v="TEC-PH-10000011"/>
    <n v="160"/>
    <n v="12"/>
    <n v="7.5"/>
    <x v="2"/>
    <s v="Kids’ Jackets"/>
    <s v="INR"/>
    <n v="521121"/>
    <s v="INDIA"/>
    <x v="8"/>
    <s v="Easy Ship"/>
    <n v="119.94"/>
    <n v="10"/>
    <n v="0.4"/>
    <n v="15.992000000000001"/>
    <n v="10.3948"/>
    <n v="1"/>
  </r>
  <r>
    <n v="616"/>
    <s v="LZ37"/>
    <d v="2022-09-08T00:00:00"/>
    <x v="8"/>
    <x v="1"/>
    <s v="Second Class"/>
    <s v="CK-12595"/>
    <s v="OFF-BI-10002949"/>
    <n v="100"/>
    <n v="30"/>
    <n v="30"/>
    <x v="3"/>
    <s v="Car GPS Devices"/>
    <s v="INR"/>
    <n v="201301"/>
    <s v="INDIA"/>
    <x v="18"/>
    <m/>
    <n v="3.6480000000000001"/>
    <n v="2"/>
    <n v="0.7"/>
    <n v="-2.7968000000000002"/>
    <n v="3.2224000000000004"/>
    <n v="2"/>
  </r>
  <r>
    <n v="617"/>
    <s v="SG85"/>
    <d v="2022-09-09T00:00:00"/>
    <x v="8"/>
    <x v="1"/>
    <s v="Second Class"/>
    <s v="NG-18355"/>
    <s v="FUR-FU-10003849"/>
    <n v="220"/>
    <n v="24"/>
    <n v="10.909090909090908"/>
    <x v="6"/>
    <s v="Play Dough"/>
    <s v="INR"/>
    <n v="201301"/>
    <s v="INDIA"/>
    <x v="0"/>
    <m/>
    <n v="40.479999999999997"/>
    <n v="2"/>
    <n v="0.1"/>
    <n v="15.7872"/>
    <n v="12.346399999999999"/>
    <n v="4"/>
  </r>
  <r>
    <n v="618"/>
    <s v="XM20"/>
    <d v="2022-09-10T00:00:00"/>
    <x v="8"/>
    <x v="1"/>
    <s v="Second Class"/>
    <s v="NG-18355"/>
    <s v="FUR-FU-10000010"/>
    <n v="110"/>
    <n v="12"/>
    <n v="10.909090909090908"/>
    <x v="7"/>
    <s v="Ready-to-Eat Meals"/>
    <s v="INR"/>
    <n v="201301"/>
    <s v="INDIA"/>
    <x v="18"/>
    <s v="Easy Ship"/>
    <n v="9.94"/>
    <n v="2"/>
    <n v="0.1"/>
    <n v="3.0813999999999999"/>
    <n v="3.4292999999999996"/>
    <n v="4"/>
  </r>
  <r>
    <n v="619"/>
    <s v="WD65"/>
    <d v="2022-09-11T00:00:00"/>
    <x v="8"/>
    <x v="1"/>
    <s v="Second Class"/>
    <s v="NG-18355"/>
    <s v="OFF-BI-10002824"/>
    <n v="100"/>
    <n v="14"/>
    <n v="14.000000000000002"/>
    <x v="8"/>
    <s v="Pet Supplements"/>
    <s v="INR"/>
    <n v="201301"/>
    <s v="INDIA"/>
    <x v="13"/>
    <s v="Easy Ship"/>
    <n v="107.42400000000001"/>
    <n v="9"/>
    <n v="0.2"/>
    <n v="33.57"/>
    <n v="8.2060000000000013"/>
    <n v="4"/>
  </r>
  <r>
    <n v="620"/>
    <s v="YZ71"/>
    <d v="2022-09-12T00:00:00"/>
    <x v="8"/>
    <x v="1"/>
    <s v="Second Class"/>
    <s v="NG-18355"/>
    <s v="TEC-PH-10002538"/>
    <n v="110"/>
    <n v="18"/>
    <n v="16.363636363636363"/>
    <x v="2"/>
    <s v="Men’s Wallets"/>
    <s v="INR"/>
    <n v="410210"/>
    <s v="INDIA"/>
    <x v="5"/>
    <m/>
    <n v="37.909999999999997"/>
    <n v="1"/>
    <n v="0.1"/>
    <n v="10.9939"/>
    <n v="26.916099999999997"/>
    <n v="4"/>
  </r>
  <r>
    <n v="621"/>
    <s v="EO98"/>
    <d v="2022-09-13T00:00:00"/>
    <x v="8"/>
    <x v="1"/>
    <s v="Second Class"/>
    <s v="NG-18355"/>
    <s v="FUR-FU-10000521"/>
    <n v="180"/>
    <n v="22"/>
    <n v="12.222222222222221"/>
    <x v="4"/>
    <s v="Mirrorless Cameras"/>
    <s v="INR"/>
    <n v="501359"/>
    <s v="INDIA"/>
    <x v="18"/>
    <m/>
    <n v="88.02"/>
    <n v="3"/>
    <n v="0.1"/>
    <n v="27.286200000000001"/>
    <n v="20.244599999999998"/>
    <n v="4"/>
  </r>
  <r>
    <n v="622"/>
    <s v="PF26"/>
    <d v="2022-09-14T00:00:00"/>
    <x v="8"/>
    <x v="1"/>
    <s v="Standard Class"/>
    <s v="CA-12265"/>
    <s v="OFF-BI-10002103"/>
    <n v="190"/>
    <n v="12"/>
    <n v="6.3157894736842106"/>
    <x v="1"/>
    <s v="Karate Gear"/>
    <s v="INR"/>
    <n v="501359"/>
    <s v="INDIA"/>
    <x v="5"/>
    <m/>
    <n v="8.69"/>
    <n v="5"/>
    <n v="0.8"/>
    <n v="-14.773"/>
    <n v="4.6926000000000005"/>
    <n v="2"/>
  </r>
  <r>
    <n v="623"/>
    <s v="MU21"/>
    <d v="2022-09-15T00:00:00"/>
    <x v="8"/>
    <x v="1"/>
    <s v="Standard Class"/>
    <s v="SF-20965"/>
    <s v="FUR-CH-10004853"/>
    <n v="140"/>
    <n v="22"/>
    <n v="15.714285714285714"/>
    <x v="0"/>
    <s v="Religion &amp; Spirituality"/>
    <s v="INR"/>
    <n v="501359"/>
    <s v="INDIA"/>
    <x v="16"/>
    <m/>
    <n v="301.95999999999998"/>
    <n v="2"/>
    <n v="0.1"/>
    <n v="87.568399999999997"/>
    <n v="107.19579999999999"/>
    <n v="3"/>
  </r>
  <r>
    <n v="624"/>
    <s v="VT22"/>
    <d v="2022-09-16T00:00:00"/>
    <x v="8"/>
    <x v="1"/>
    <s v="Standard Class"/>
    <s v="SF-20965"/>
    <s v="OFF-AP-10000179"/>
    <n v="250"/>
    <n v="10"/>
    <n v="4"/>
    <x v="5"/>
    <s v="Carpets"/>
    <s v="INR"/>
    <n v="500072"/>
    <s v="INDIA"/>
    <x v="18"/>
    <m/>
    <n v="555.21"/>
    <n v="5"/>
    <n v="0.11"/>
    <n v="178.90100000000001"/>
    <n v="75.261800000000008"/>
    <n v="3"/>
  </r>
  <r>
    <n v="625"/>
    <s v="RJ21"/>
    <d v="2022-09-17T00:00:00"/>
    <x v="8"/>
    <x v="1"/>
    <s v="Standard Class"/>
    <s v="SF-20965"/>
    <s v="OFF-ST-10001272"/>
    <n v="190"/>
    <n v="28"/>
    <n v="14.736842105263156"/>
    <x v="3"/>
    <s v="Car Spare Parts"/>
    <s v="INR"/>
    <n v="400615"/>
    <s v="INDIA"/>
    <x v="7"/>
    <m/>
    <n v="523.48"/>
    <n v="4"/>
    <n v="0.1"/>
    <n v="130.87"/>
    <n v="98.152500000000003"/>
    <n v="2"/>
  </r>
  <r>
    <n v="626"/>
    <s v="UT87"/>
    <d v="2022-09-18T00:00:00"/>
    <x v="8"/>
    <x v="1"/>
    <s v="Standard Class"/>
    <s v="SF-20965"/>
    <s v="OFF-AR-10004042"/>
    <n v="170"/>
    <n v="10"/>
    <n v="5.8823529411764701"/>
    <x v="6"/>
    <s v="Electronic Learning Toys"/>
    <s v="INR"/>
    <n v="600123"/>
    <s v="INDIA"/>
    <x v="9"/>
    <m/>
    <n v="161.82"/>
    <n v="9"/>
    <n v="0.1"/>
    <n v="46.927799999999998"/>
    <n v="12.7658"/>
    <n v="5"/>
  </r>
  <r>
    <n v="627"/>
    <s v="MN15"/>
    <d v="2022-09-19T00:00:00"/>
    <x v="8"/>
    <x v="1"/>
    <s v="Standard Class"/>
    <s v="MO-17800"/>
    <s v="FUR-FU-10000221"/>
    <n v="180"/>
    <n v="14"/>
    <n v="7.7777777777777777"/>
    <x v="7"/>
    <s v="Energy Drinks"/>
    <m/>
    <n v="721126"/>
    <s v="INDIA"/>
    <x v="2"/>
    <m/>
    <n v="35.56"/>
    <n v="7"/>
    <n v="0.1"/>
    <n v="12.090400000000001"/>
    <n v="3.3527999999999998"/>
    <n v="5"/>
  </r>
  <r>
    <n v="628"/>
    <s v="QW75"/>
    <d v="2022-09-20T00:00:00"/>
    <x v="8"/>
    <x v="1"/>
    <s v="Standard Class"/>
    <s v="AT-10735"/>
    <s v="OFF-AP-10001563"/>
    <n v="250"/>
    <n v="20"/>
    <n v="8"/>
    <x v="8"/>
    <s v="Pet Food Storage"/>
    <m/>
    <n v="211002"/>
    <s v="INDIA"/>
    <x v="12"/>
    <s v="Easy Ship"/>
    <n v="97.16"/>
    <n v="2"/>
    <n v="0.1"/>
    <n v="28.176400000000001"/>
    <n v="34.491799999999998"/>
    <n v="4"/>
  </r>
  <r>
    <n v="629"/>
    <s v="AY98"/>
    <d v="2022-09-21T00:00:00"/>
    <x v="8"/>
    <x v="1"/>
    <s v="Standard Class"/>
    <s v="LC-17140"/>
    <s v="OFF-BI-10000605"/>
    <n v="150"/>
    <n v="24"/>
    <n v="16"/>
    <x v="2"/>
    <s v="Women’s Bags"/>
    <s v="INR"/>
    <n v="396445"/>
    <s v="INDIA"/>
    <x v="18"/>
    <s v="Easy Ship"/>
    <n v="15.24"/>
    <n v="5"/>
    <n v="0.2"/>
    <n v="5.1435000000000004"/>
    <n v="2.0192999999999999"/>
    <n v="2"/>
  </r>
  <r>
    <n v="630"/>
    <s v="DE72"/>
    <d v="2022-09-22T00:00:00"/>
    <x v="8"/>
    <x v="1"/>
    <s v="Standard Class"/>
    <s v="LC-17140"/>
    <s v="OFF-PA-10002615"/>
    <n v="200"/>
    <n v="26"/>
    <n v="13"/>
    <x v="4"/>
    <s v="Streaming Devices"/>
    <m/>
    <n v="110005"/>
    <s v="INDIA"/>
    <x v="18"/>
    <m/>
    <n v="13.23"/>
    <n v="3"/>
    <n v="0.1"/>
    <n v="6.0857999999999999"/>
    <n v="2.3814000000000002"/>
    <n v="2"/>
  </r>
  <r>
    <n v="631"/>
    <s v="GQ84"/>
    <d v="2022-09-23T00:00:00"/>
    <x v="8"/>
    <x v="1"/>
    <s v="Second Class"/>
    <s v="FM-14380"/>
    <s v="OFF-ST-10001963"/>
    <n v="150"/>
    <n v="26"/>
    <n v="17.333333333333336"/>
    <x v="0"/>
    <s v="Medical Textbooks"/>
    <s v="INR"/>
    <n v="721126"/>
    <s v="INDIA"/>
    <x v="12"/>
    <m/>
    <n v="243.38399999999999"/>
    <n v="3"/>
    <n v="0.2"/>
    <n v="-51.719099999999997"/>
    <n v="98.367699999999999"/>
    <n v="5"/>
  </r>
  <r>
    <n v="632"/>
    <s v="CB30"/>
    <d v="2022-09-24T00:00:00"/>
    <x v="8"/>
    <x v="1"/>
    <s v="Second Class"/>
    <s v="FM-14380"/>
    <s v="TEC-AC-10001267"/>
    <n v="130"/>
    <n v="8"/>
    <n v="6.1538461538461542"/>
    <x v="1"/>
    <s v="Rowing Machines"/>
    <s v="INR"/>
    <n v="160014"/>
    <s v="INDIA"/>
    <x v="3"/>
    <m/>
    <n v="119.8"/>
    <n v="5"/>
    <n v="0.2"/>
    <n v="29.95"/>
    <n v="17.97"/>
    <n v="1"/>
  </r>
  <r>
    <n v="633"/>
    <s v="DW29"/>
    <d v="2022-09-25T00:00:00"/>
    <x v="8"/>
    <x v="1"/>
    <s v="Second Class"/>
    <s v="FM-14380"/>
    <s v="TEC-PH-10002103"/>
    <n v="150"/>
    <n v="8"/>
    <n v="5.3333333333333339"/>
    <x v="4"/>
    <s v="Smart Security Cameras"/>
    <s v="INR"/>
    <n v="411045"/>
    <s v="INDIA"/>
    <x v="0"/>
    <m/>
    <n v="300.76799999999997"/>
    <n v="4"/>
    <n v="0.2"/>
    <n v="30.076799999999999"/>
    <n v="67.672799999999995"/>
    <n v="2"/>
  </r>
  <r>
    <n v="634"/>
    <s v="LB99"/>
    <d v="2022-09-26T00:00:00"/>
    <x v="8"/>
    <x v="1"/>
    <s v="Second Class"/>
    <s v="BD-11605"/>
    <s v="TEC-AC-10002857"/>
    <n v="240"/>
    <n v="18"/>
    <n v="7.5"/>
    <x v="2"/>
    <s v="Women’s Flats"/>
    <s v="INR"/>
    <n v="402104"/>
    <s v="INDIA"/>
    <x v="3"/>
    <m/>
    <n v="17.88"/>
    <n v="3"/>
    <n v="0.2"/>
    <n v="2.4584999999999999"/>
    <n v="5.1404999999999994"/>
    <n v="2"/>
  </r>
  <r>
    <n v="635"/>
    <s v="LJ17"/>
    <d v="2022-09-27T00:00:00"/>
    <x v="8"/>
    <x v="1"/>
    <s v="Second Class"/>
    <s v="BD-11605"/>
    <s v="OFF-LA-10003930"/>
    <n v="230"/>
    <n v="12"/>
    <n v="5.2173913043478262"/>
    <x v="5"/>
    <s v="Kitchen Tools"/>
    <s v="INR"/>
    <n v="400101"/>
    <s v="INDIA"/>
    <x v="6"/>
    <m/>
    <n v="235.94399999999999"/>
    <n v="3"/>
    <n v="0.2"/>
    <n v="85.529700000000005"/>
    <n v="50.138099999999987"/>
    <n v="5"/>
  </r>
  <r>
    <n v="636"/>
    <s v="SB21"/>
    <d v="2022-09-28T00:00:00"/>
    <x v="8"/>
    <x v="1"/>
    <s v="Second Class"/>
    <s v="DJ-13420"/>
    <s v="FUR-CH-10001482"/>
    <n v="200"/>
    <n v="30"/>
    <n v="15"/>
    <x v="3"/>
    <s v="Car Engine Parts"/>
    <s v="INR"/>
    <n v="171301"/>
    <s v="INDIA"/>
    <x v="15"/>
    <m/>
    <n v="392.94"/>
    <n v="3"/>
    <n v="0.1"/>
    <n v="43.223399999999998"/>
    <n v="116.5722"/>
    <n v="1"/>
  </r>
  <r>
    <n v="637"/>
    <s v="WH35"/>
    <d v="2022-09-29T00:00:00"/>
    <x v="8"/>
    <x v="1"/>
    <s v="Standard Class"/>
    <s v="ME-17725"/>
    <s v="OFF-BI-10001989"/>
    <n v="230"/>
    <n v="12"/>
    <n v="5.2173913043478262"/>
    <x v="6"/>
    <s v="Board Games"/>
    <s v="INR"/>
    <n v="570009"/>
    <s v="INDIA"/>
    <x v="12"/>
    <m/>
    <n v="18.882000000000001"/>
    <n v="3"/>
    <n v="0.7"/>
    <n v="-13.8468"/>
    <n v="10.909599999999999"/>
    <n v="3"/>
  </r>
  <r>
    <n v="638"/>
    <s v="CP20"/>
    <d v="2022-09-30T00:00:00"/>
    <x v="8"/>
    <x v="1"/>
    <s v="Standard Class"/>
    <s v="ME-17725"/>
    <s v="OFF-AP-10003287"/>
    <n v="150"/>
    <n v="24"/>
    <n v="16"/>
    <x v="7"/>
    <s v="Herbal Products"/>
    <s v="INR"/>
    <n v="515001"/>
    <s v="INDIA"/>
    <x v="15"/>
    <m/>
    <n v="122.328"/>
    <n v="3"/>
    <n v="0.2"/>
    <n v="12.232799999999999"/>
    <n v="36.698399999999999"/>
    <n v="4"/>
  </r>
  <r>
    <n v="639"/>
    <s v="TH47"/>
    <d v="2022-10-01T00:00:00"/>
    <x v="9"/>
    <x v="1"/>
    <s v="Standard Class"/>
    <s v="RB-19465"/>
    <s v="FUR-FU-10000576"/>
    <n v="160"/>
    <n v="22"/>
    <n v="13.750000000000002"/>
    <x v="8"/>
    <s v="Pet Training Pads"/>
    <s v="INR"/>
    <n v="695608"/>
    <s v="INDIA"/>
    <x v="6"/>
    <m/>
    <n v="1049.2"/>
    <n v="5"/>
    <n v="0.1"/>
    <n v="272.79199999999997"/>
    <n v="155.28160000000003"/>
    <n v="3"/>
  </r>
  <r>
    <n v="640"/>
    <s v="UL75"/>
    <d v="2022-10-02T00:00:00"/>
    <x v="9"/>
    <x v="1"/>
    <s v="Standard Class"/>
    <s v="RB-19465"/>
    <s v="OFF-BI-10004728"/>
    <n v="180"/>
    <n v="30"/>
    <n v="16.666666666666664"/>
    <x v="2"/>
    <s v="Men’s Jackets"/>
    <s v="INR"/>
    <n v="201301"/>
    <s v="INDIA"/>
    <x v="2"/>
    <m/>
    <n v="15.423999999999999"/>
    <n v="4"/>
    <n v="0.2"/>
    <n v="5.0128000000000004"/>
    <n v="2.6027999999999998"/>
    <n v="3"/>
  </r>
  <r>
    <n v="641"/>
    <s v="KP44"/>
    <d v="2022-10-03T00:00:00"/>
    <x v="9"/>
    <x v="1"/>
    <s v="Standard Class"/>
    <s v="JD-16150"/>
    <s v="FUR-FU-10000732"/>
    <n v="110"/>
    <n v="8"/>
    <n v="7.2727272727272725"/>
    <x v="4"/>
    <s v="Console Accessories"/>
    <s v="INR"/>
    <n v="670307"/>
    <s v="INDIA"/>
    <x v="17"/>
    <m/>
    <n v="18.84"/>
    <n v="3"/>
    <n v="0.1"/>
    <n v="6.0288000000000004"/>
    <n v="4.2703999999999995"/>
    <n v="1"/>
  </r>
  <r>
    <n v="642"/>
    <s v="RJ43"/>
    <d v="2022-10-04T00:00:00"/>
    <x v="9"/>
    <x v="1"/>
    <s v="Second Class"/>
    <s v="JL-15835"/>
    <s v="OFF-ST-10000585"/>
    <n v="110"/>
    <n v="22"/>
    <n v="20"/>
    <x v="1"/>
    <s v="Weightlifting Equipment"/>
    <s v="INR"/>
    <n v="400708"/>
    <s v="INDIA"/>
    <x v="1"/>
    <m/>
    <n v="330.4"/>
    <n v="2"/>
    <n v="0.1"/>
    <n v="85.903999999999996"/>
    <n v="122.24799999999999"/>
    <n v="2"/>
  </r>
  <r>
    <n v="643"/>
    <s v="ED60"/>
    <d v="2022-10-05T00:00:00"/>
    <x v="9"/>
    <x v="1"/>
    <s v="Second Class"/>
    <s v="JL-15835"/>
    <s v="OFF-LA-10002787"/>
    <n v="190"/>
    <n v="18"/>
    <n v="9.4736842105263168"/>
    <x v="0"/>
    <s v="Law Books"/>
    <s v="INR"/>
    <n v="444105"/>
    <s v="INDIA"/>
    <x v="18"/>
    <s v="Easy Ship"/>
    <n v="26.25"/>
    <n v="7"/>
    <n v="0.1"/>
    <n v="12.6"/>
    <n v="1.95"/>
    <n v="5"/>
  </r>
  <r>
    <n v="644"/>
    <s v="TH80"/>
    <d v="2022-10-06T00:00:00"/>
    <x v="9"/>
    <x v="1"/>
    <s v="Standard Class"/>
    <s v="SC-20305"/>
    <s v="TEC-AC-10003832"/>
    <n v="130"/>
    <n v="16"/>
    <n v="12.307692307692308"/>
    <x v="5"/>
    <s v="Home Storage"/>
    <s v="INR"/>
    <n v="848101"/>
    <s v="INDIA"/>
    <x v="4"/>
    <m/>
    <n v="132.52000000000001"/>
    <n v="4"/>
    <n v="0.1"/>
    <n v="54.333199999999998"/>
    <n v="19.546700000000001"/>
    <n v="5"/>
  </r>
  <r>
    <n v="645"/>
    <s v="LD59"/>
    <d v="2022-10-07T00:00:00"/>
    <x v="9"/>
    <x v="1"/>
    <s v="Standard Class"/>
    <s v="TW-21025"/>
    <s v="OFF-PA-10001934"/>
    <n v="140"/>
    <n v="30"/>
    <n v="21.428571428571427"/>
    <x v="3"/>
    <s v="Car Tires"/>
    <s v="INR"/>
    <n v="848101"/>
    <s v="INDIA"/>
    <x v="12"/>
    <m/>
    <n v="6.48"/>
    <n v="1"/>
    <n v="0.1"/>
    <n v="3.1751999999999998"/>
    <n v="3.3048000000000006"/>
    <n v="3"/>
  </r>
  <r>
    <n v="646"/>
    <s v="LH76"/>
    <d v="2022-10-08T00:00:00"/>
    <x v="9"/>
    <x v="1"/>
    <s v="Standard Class"/>
    <s v="CC-12430"/>
    <s v="OFF-AP-10002457"/>
    <n v="150"/>
    <n v="20"/>
    <n v="13.333333333333334"/>
    <x v="6"/>
    <s v="Playhouses"/>
    <s v="INR"/>
    <n v="380008"/>
    <s v="INDIA"/>
    <x v="6"/>
    <s v="Easy Ship"/>
    <n v="209.3"/>
    <n v="2"/>
    <n v="0.1"/>
    <n v="56.511000000000003"/>
    <n v="76.394500000000008"/>
    <n v="5"/>
  </r>
  <r>
    <n v="647"/>
    <s v="WO68"/>
    <d v="2022-10-09T00:00:00"/>
    <x v="9"/>
    <x v="1"/>
    <s v="Standard Class"/>
    <s v="BB-10990"/>
    <s v="OFF-FA-10003112"/>
    <n v="110"/>
    <n v="28"/>
    <n v="25.454545454545453"/>
    <x v="7"/>
    <s v="Snacks"/>
    <s v="INR"/>
    <n v="413501"/>
    <s v="INDIA"/>
    <x v="2"/>
    <m/>
    <n v="31.56"/>
    <n v="5"/>
    <n v="0.2"/>
    <n v="9.8625000000000007"/>
    <n v="4.3394999999999992"/>
    <n v="5"/>
  </r>
  <r>
    <n v="648"/>
    <s v="HR14"/>
    <d v="2022-10-10T00:00:00"/>
    <x v="9"/>
    <x v="1"/>
    <s v="Standard Class"/>
    <s v="BB-10990"/>
    <s v="OFF-AP-10002350"/>
    <n v="140"/>
    <n v="14"/>
    <n v="10"/>
    <x v="8"/>
    <s v="Pet Bowls"/>
    <s v="INR"/>
    <n v="600117"/>
    <s v="INDIA"/>
    <x v="16"/>
    <s v="Easy Ship"/>
    <n v="30.143999999999998"/>
    <n v="2"/>
    <n v="0.2"/>
    <n v="3.0144000000000002"/>
    <n v="13.564799999999998"/>
    <n v="1"/>
  </r>
  <r>
    <n v="649"/>
    <s v="NG79"/>
    <d v="2022-10-11T00:00:00"/>
    <x v="9"/>
    <x v="1"/>
    <s v="Second Class"/>
    <s v="AR-10825"/>
    <s v="FUR-FU-10001935"/>
    <n v="140"/>
    <n v="18"/>
    <n v="12.857142857142856"/>
    <x v="2"/>
    <s v="Women’s Sarees"/>
    <s v="INR"/>
    <n v="400028"/>
    <s v="INDIA"/>
    <x v="0"/>
    <s v="Easy Ship"/>
    <n v="14.8"/>
    <n v="4"/>
    <n v="0.1"/>
    <n v="6.0679999999999996"/>
    <n v="2.1830000000000003"/>
    <n v="4"/>
  </r>
  <r>
    <n v="650"/>
    <s v="NO50"/>
    <d v="2022-10-12T00:00:00"/>
    <x v="9"/>
    <x v="1"/>
    <s v="Second Class"/>
    <s v="AR-10825"/>
    <s v="TEC-PH-10003273"/>
    <n v="100"/>
    <n v="6"/>
    <n v="6"/>
    <x v="4"/>
    <s v="VR Headsets"/>
    <s v="INR"/>
    <n v="584102"/>
    <s v="INDIA"/>
    <x v="8"/>
    <m/>
    <n v="302.37599999999998"/>
    <n v="3"/>
    <n v="0.2"/>
    <n v="22.6782"/>
    <n v="93.232599999999991"/>
    <n v="3"/>
  </r>
  <r>
    <n v="651"/>
    <s v="EJ97"/>
    <d v="2022-10-13T00:00:00"/>
    <x v="9"/>
    <x v="1"/>
    <s v="Second Class"/>
    <s v="AR-10825"/>
    <s v="TEC-AC-10001142"/>
    <n v="240"/>
    <n v="10"/>
    <n v="4.1666666666666661"/>
    <x v="0"/>
    <s v="Drama"/>
    <s v="INR"/>
    <n v="411007"/>
    <s v="INDIA"/>
    <x v="15"/>
    <m/>
    <n v="316"/>
    <n v="4"/>
    <n v="0.1"/>
    <n v="31.6"/>
    <n v="71.099999999999994"/>
    <n v="3"/>
  </r>
  <r>
    <n v="652"/>
    <s v="GP21"/>
    <d v="2022-10-14T00:00:00"/>
    <x v="9"/>
    <x v="1"/>
    <s v="Standard Class"/>
    <s v="SR-20740"/>
    <s v="OFF-PA-10000482"/>
    <n v="120"/>
    <n v="6"/>
    <n v="5"/>
    <x v="1"/>
    <s v="Climbing Gear"/>
    <s v="INR"/>
    <n v="625512"/>
    <s v="INDIA"/>
    <x v="3"/>
    <m/>
    <n v="379.4"/>
    <n v="10"/>
    <n v="0.1"/>
    <n v="178.31800000000001"/>
    <n v="20.108199999999997"/>
    <n v="1"/>
  </r>
  <r>
    <n v="653"/>
    <s v="LA96"/>
    <d v="2022-10-15T00:00:00"/>
    <x v="9"/>
    <x v="1"/>
    <s v="Standard Class"/>
    <s v="AR-10405"/>
    <s v="OFF-PA-10003892"/>
    <n v="190"/>
    <n v="6"/>
    <n v="3.1578947368421053"/>
    <x v="4"/>
    <s v="Smart Home Hubs"/>
    <m/>
    <n v="403709"/>
    <s v="INDIA"/>
    <x v="0"/>
    <m/>
    <n v="97.82"/>
    <n v="2"/>
    <n v="0.1"/>
    <n v="45.9754"/>
    <n v="25.922299999999996"/>
    <n v="1"/>
  </r>
  <r>
    <n v="654"/>
    <s v="FP34"/>
    <d v="2022-10-16T00:00:00"/>
    <x v="9"/>
    <x v="1"/>
    <s v="Standard Class"/>
    <s v="AR-10405"/>
    <s v="TEC-AC-10001101"/>
    <n v="230"/>
    <n v="18"/>
    <n v="7.8260869565217401"/>
    <x v="2"/>
    <s v="Women’s Scarves"/>
    <s v="INR"/>
    <n v="226022"/>
    <s v="INDIA"/>
    <x v="12"/>
    <m/>
    <n v="103.12"/>
    <n v="8"/>
    <n v="0.1"/>
    <n v="10.311999999999999"/>
    <n v="11.601000000000001"/>
    <n v="1"/>
  </r>
  <r>
    <n v="655"/>
    <s v="MO35"/>
    <d v="2022-10-17T00:00:00"/>
    <x v="9"/>
    <x v="1"/>
    <s v="Standard Class"/>
    <s v="CR-12730"/>
    <s v="OFF-AP-10002439"/>
    <n v="220"/>
    <n v="10"/>
    <n v="4.5454545454545459"/>
    <x v="5"/>
    <s v="Kitchen Utensils"/>
    <s v="INR"/>
    <n v="700101"/>
    <s v="INDIA"/>
    <x v="3"/>
    <m/>
    <n v="113.55200000000001"/>
    <n v="2"/>
    <n v="0.2"/>
    <n v="8.5164000000000009"/>
    <n v="52.517800000000001"/>
    <n v="1"/>
  </r>
  <r>
    <n v="656"/>
    <s v="ZB94"/>
    <d v="2022-10-18T00:00:00"/>
    <x v="9"/>
    <x v="1"/>
    <s v="Standard Class"/>
    <s v="CR-12730"/>
    <s v="OFF-BI-10002827"/>
    <n v="180"/>
    <n v="6"/>
    <n v="3.3333333333333335"/>
    <x v="3"/>
    <s v="Car Dash Cameras"/>
    <s v="INR"/>
    <n v="160036"/>
    <s v="INDIA"/>
    <x v="6"/>
    <m/>
    <n v="3.3180000000000001"/>
    <n v="2"/>
    <n v="0.7"/>
    <n v="-2.6543999999999999"/>
    <n v="2.9862000000000002"/>
    <n v="5"/>
  </r>
  <r>
    <n v="657"/>
    <s v="TE14"/>
    <d v="2022-10-19T00:00:00"/>
    <x v="9"/>
    <x v="1"/>
    <s v="Standard Class"/>
    <s v="CR-12730"/>
    <s v="OFF-EN-10002230"/>
    <n v="240"/>
    <n v="16"/>
    <n v="6.666666666666667"/>
    <x v="6"/>
    <s v="Role Play Sets"/>
    <s v="INR"/>
    <n v="581301"/>
    <s v="INDIA"/>
    <x v="6"/>
    <m/>
    <n v="134.28800000000001"/>
    <n v="2"/>
    <n v="0.2"/>
    <n v="45.322200000000002"/>
    <n v="44.482900000000001"/>
    <n v="2"/>
  </r>
  <r>
    <n v="658"/>
    <s v="FU65"/>
    <d v="2022-10-20T00:00:00"/>
    <x v="9"/>
    <x v="1"/>
    <s v="Same Day"/>
    <s v="EH-14125"/>
    <s v="FUR-CH-10001215"/>
    <n v="150"/>
    <n v="24"/>
    <n v="16"/>
    <x v="7"/>
    <s v="Pickles"/>
    <s v="INR"/>
    <n v="226022"/>
    <s v="INDIA"/>
    <x v="17"/>
    <m/>
    <n v="701.37199999999996"/>
    <n v="2"/>
    <n v="0.3"/>
    <n v="-50.097999999999999"/>
    <n v="375.73499999999996"/>
    <n v="4"/>
  </r>
  <r>
    <n v="659"/>
    <s v="AJ85"/>
    <d v="2022-10-21T00:00:00"/>
    <x v="9"/>
    <x v="1"/>
    <s v="Same Day"/>
    <s v="EH-14125"/>
    <s v="OFF-BI-10004654"/>
    <n v="230"/>
    <n v="28"/>
    <n v="12.173913043478262"/>
    <x v="8"/>
    <s v="Pet Blankets"/>
    <s v="INR"/>
    <n v="110075"/>
    <s v="INDIA"/>
    <x v="14"/>
    <m/>
    <n v="2.3079999999999998"/>
    <n v="2"/>
    <n v="0.8"/>
    <n v="-3.4620000000000002"/>
    <n v="2.8849999999999998"/>
    <n v="3"/>
  </r>
  <r>
    <n v="660"/>
    <s v="MH36"/>
    <d v="2022-10-22T00:00:00"/>
    <x v="9"/>
    <x v="1"/>
    <s v="Standard Class"/>
    <s v="CB-12025"/>
    <s v="OFF-ST-10001490"/>
    <n v="130"/>
    <n v="22"/>
    <n v="16.923076923076923"/>
    <x v="2"/>
    <s v="Men’s Sports Shoes"/>
    <s v="INR"/>
    <n v="226003"/>
    <s v="INDIA"/>
    <x v="18"/>
    <m/>
    <n v="999.43200000000002"/>
    <n v="7"/>
    <n v="0.2"/>
    <n v="124.929"/>
    <n v="124.929"/>
    <n v="5"/>
  </r>
  <r>
    <n v="661"/>
    <s v="VN88"/>
    <d v="2022-10-23T00:00:00"/>
    <x v="9"/>
    <x v="1"/>
    <s v="Standard Class"/>
    <s v="CB-12025"/>
    <s v="OFF-ST-10001511"/>
    <n v="110"/>
    <n v="26"/>
    <n v="23.636363636363637"/>
    <x v="4"/>
    <s v="Speakers"/>
    <s v="INR"/>
    <n v="121002"/>
    <s v="INDIA"/>
    <x v="14"/>
    <m/>
    <n v="724.08"/>
    <n v="14"/>
    <n v="0.2"/>
    <n v="-135.76499999999999"/>
    <n v="61.417500000000004"/>
    <n v="3"/>
  </r>
  <r>
    <n v="662"/>
    <s v="DC84"/>
    <d v="2022-10-24T00:00:00"/>
    <x v="9"/>
    <x v="1"/>
    <s v="Standard Class"/>
    <s v="CB-12025"/>
    <s v="FUR-TA-10001768"/>
    <n v="180"/>
    <n v="14"/>
    <n v="7.7777777777777777"/>
    <x v="1"/>
    <s v="Badminton Gear"/>
    <s v="INR"/>
    <n v="524002"/>
    <s v="INDIA"/>
    <x v="16"/>
    <m/>
    <n v="918.78499999999997"/>
    <n v="5"/>
    <n v="0.3"/>
    <n v="-118.12949999999999"/>
    <n v="207.38289999999998"/>
    <n v="5"/>
  </r>
  <r>
    <n v="663"/>
    <s v="LK68"/>
    <d v="2022-10-25T00:00:00"/>
    <x v="9"/>
    <x v="1"/>
    <s v="Standard Class"/>
    <s v="CB-12025"/>
    <s v="OFF-BI-10003981"/>
    <n v="150"/>
    <n v="26"/>
    <n v="17.333333333333336"/>
    <x v="0"/>
    <s v="Anthologies"/>
    <s v="INR"/>
    <n v="134113"/>
    <s v="INDIA"/>
    <x v="18"/>
    <m/>
    <n v="2.7240000000000002"/>
    <n v="3"/>
    <n v="0.8"/>
    <n v="-4.2222"/>
    <n v="2.3153999999999999"/>
    <n v="1"/>
  </r>
  <r>
    <n v="664"/>
    <s v="RG34"/>
    <d v="2022-10-26T00:00:00"/>
    <x v="9"/>
    <x v="1"/>
    <s v="Standard Class"/>
    <s v="SP-20545"/>
    <s v="OFF-ST-10001522"/>
    <n v="150"/>
    <n v="24"/>
    <n v="16"/>
    <x v="5"/>
    <s v="Kitchen Racks"/>
    <s v="INR"/>
    <n v="482001"/>
    <s v="INDIA"/>
    <x v="8"/>
    <m/>
    <n v="459.95"/>
    <n v="5"/>
    <n v="0.1"/>
    <n v="18.398"/>
    <n v="88.310399999999987"/>
    <n v="4"/>
  </r>
  <r>
    <n v="665"/>
    <s v="IZ92"/>
    <d v="2022-10-27T00:00:00"/>
    <x v="9"/>
    <x v="1"/>
    <s v="Same Day"/>
    <s v="RC-19825"/>
    <s v="OFF-FA-10000621"/>
    <n v="250"/>
    <n v="18"/>
    <n v="7.1999999999999993"/>
    <x v="3"/>
    <s v="Car Horns"/>
    <s v="INR"/>
    <n v="799001"/>
    <s v="INDIA"/>
    <x v="7"/>
    <m/>
    <n v="10.74"/>
    <n v="3"/>
    <n v="0.1"/>
    <n v="5.2625999999999999"/>
    <n v="1.8258000000000001"/>
    <n v="3"/>
  </r>
  <r>
    <n v="666"/>
    <s v="GT57"/>
    <d v="2022-10-28T00:00:00"/>
    <x v="9"/>
    <x v="1"/>
    <s v="Second Class"/>
    <s v="TH-21235"/>
    <s v="OFF-SU-10004231"/>
    <n v="190"/>
    <n v="22"/>
    <n v="11.578947368421053"/>
    <x v="6"/>
    <s v="Magic Kits"/>
    <s v="INR"/>
    <n v="500048"/>
    <s v="INDIA"/>
    <x v="9"/>
    <m/>
    <n v="23.76"/>
    <n v="3"/>
    <n v="0.2"/>
    <n v="2.0790000000000002"/>
    <n v="7.2270000000000003"/>
    <n v="1"/>
  </r>
  <r>
    <n v="667"/>
    <s v="BB22"/>
    <d v="2022-10-29T00:00:00"/>
    <x v="9"/>
    <x v="1"/>
    <s v="Second Class"/>
    <s v="TH-21235"/>
    <s v="OFF-PA-10000474"/>
    <n v="140"/>
    <n v="18"/>
    <n v="12.857142857142856"/>
    <x v="7"/>
    <s v="Chocolates"/>
    <s v="INR"/>
    <n v="400706"/>
    <s v="INDIA"/>
    <x v="0"/>
    <m/>
    <n v="85.055999999999997"/>
    <n v="3"/>
    <n v="0.2"/>
    <n v="28.706399999999999"/>
    <n v="18.783199999999997"/>
    <n v="3"/>
  </r>
  <r>
    <n v="668"/>
    <s v="GC42"/>
    <d v="2022-10-30T00:00:00"/>
    <x v="9"/>
    <x v="1"/>
    <s v="Second Class"/>
    <s v="TH-21235"/>
    <s v="TEC-PH-10004042"/>
    <n v="170"/>
    <n v="12"/>
    <n v="7.0588235294117645"/>
    <x v="8"/>
    <s v="Pet Harnesses"/>
    <s v="INR"/>
    <n v="500008"/>
    <s v="INDIA"/>
    <x v="6"/>
    <s v="Easy Ship"/>
    <n v="381.57600000000002"/>
    <n v="3"/>
    <n v="0.2"/>
    <n v="28.618200000000002"/>
    <n v="117.65260000000001"/>
    <n v="5"/>
  </r>
  <r>
    <n v="669"/>
    <s v="NV40"/>
    <d v="2022-10-31T00:00:00"/>
    <x v="9"/>
    <x v="1"/>
    <s v="First Class"/>
    <s v="RP-19390"/>
    <s v="FUR-FU-10003096"/>
    <n v="240"/>
    <n v="20"/>
    <n v="8.3333333333333321"/>
    <x v="2"/>
    <s v="Women’s Coats"/>
    <m/>
    <n v="110095"/>
    <s v="INDIA"/>
    <x v="18"/>
    <m/>
    <n v="30.36"/>
    <n v="5"/>
    <n v="0.2"/>
    <n v="8.7285000000000004"/>
    <n v="4.3262999999999998"/>
    <n v="4"/>
  </r>
  <r>
    <n v="670"/>
    <s v="RZ37"/>
    <d v="2022-11-01T00:00:00"/>
    <x v="10"/>
    <x v="1"/>
    <s v="Standard Class"/>
    <s v="MO-17800"/>
    <s v="FUR-FU-10002759"/>
    <n v="250"/>
    <n v="24"/>
    <n v="9.6"/>
    <x v="4"/>
    <s v="Digital Cameras"/>
    <s v="INR"/>
    <n v="380015"/>
    <s v="INDIA"/>
    <x v="17"/>
    <s v="Easy Ship"/>
    <n v="23.975999999999999"/>
    <n v="3"/>
    <n v="0.6"/>
    <n v="-14.3856"/>
    <n v="12.787199999999999"/>
    <n v="5"/>
  </r>
  <r>
    <n v="671"/>
    <s v="GB33"/>
    <d v="2022-11-02T00:00:00"/>
    <x v="10"/>
    <x v="1"/>
    <s v="Standard Class"/>
    <s v="MO-17800"/>
    <s v="FUR-TA-10000688"/>
    <n v="100"/>
    <n v="18"/>
    <n v="18"/>
    <x v="0"/>
    <s v="Children’s Storybooks"/>
    <s v="INR"/>
    <n v="400030"/>
    <s v="INDIA"/>
    <x v="5"/>
    <m/>
    <n v="108.925"/>
    <n v="1"/>
    <n v="0.5"/>
    <n v="-71.890500000000003"/>
    <n v="180.81549999999999"/>
    <n v="4"/>
  </r>
  <r>
    <n v="672"/>
    <s v="EE15"/>
    <d v="2022-11-03T00:00:00"/>
    <x v="10"/>
    <x v="1"/>
    <s v="Standard Class"/>
    <s v="MO-17800"/>
    <s v="OFF-PA-10002377"/>
    <n v="230"/>
    <n v="16"/>
    <n v="6.9565217391304346"/>
    <x v="1"/>
    <s v="Elliptical Trainers"/>
    <s v="INR"/>
    <n v="520008"/>
    <s v="INDIA"/>
    <x v="16"/>
    <m/>
    <n v="36.351999999999997"/>
    <n v="8"/>
    <n v="0.2"/>
    <n v="11.36"/>
    <n v="3.1239999999999997"/>
    <n v="2"/>
  </r>
  <r>
    <n v="673"/>
    <s v="TH50"/>
    <d v="2022-11-04T00:00:00"/>
    <x v="10"/>
    <x v="1"/>
    <s v="Standard Class"/>
    <s v="TD-20995"/>
    <s v="OFF-AR-10001954"/>
    <n v="250"/>
    <n v="20"/>
    <n v="8"/>
    <x v="4"/>
    <s v="Smart Thermostats"/>
    <s v="INR"/>
    <n v="844504"/>
    <s v="INDIA"/>
    <x v="7"/>
    <m/>
    <n v="19.559999999999999"/>
    <n v="5"/>
    <n v="0.2"/>
    <n v="1.7115"/>
    <n v="3.5696999999999997"/>
    <n v="4"/>
  </r>
  <r>
    <n v="674"/>
    <s v="XX89"/>
    <d v="2022-11-05T00:00:00"/>
    <x v="10"/>
    <x v="1"/>
    <s v="First Class"/>
    <s v="RB-19570"/>
    <s v="OFF-AP-10004532"/>
    <n v="200"/>
    <n v="22"/>
    <n v="11"/>
    <x v="2"/>
    <s v="Kids’ Dresses"/>
    <s v="INR"/>
    <n v="160014"/>
    <s v="INDIA"/>
    <x v="8"/>
    <m/>
    <n v="61.44"/>
    <n v="3"/>
    <n v="0.1"/>
    <n v="16.588799999999999"/>
    <n v="14.9504"/>
    <n v="4"/>
  </r>
  <r>
    <n v="675"/>
    <s v="QW33"/>
    <d v="2022-11-06T00:00:00"/>
    <x v="10"/>
    <x v="1"/>
    <s v="First Class"/>
    <s v="RB-19570"/>
    <s v="OFF-PA-10002137"/>
    <n v="250"/>
    <n v="26"/>
    <n v="10.4"/>
    <x v="5"/>
    <s v="Kitchen Knives"/>
    <s v="INR"/>
    <n v="825301"/>
    <s v="INDIA"/>
    <x v="12"/>
    <s v="Easy Ship"/>
    <n v="38.9"/>
    <n v="5"/>
    <n v="0.1"/>
    <n v="17.504999999999999"/>
    <n v="4.2789999999999999"/>
    <n v="5"/>
  </r>
  <r>
    <n v="676"/>
    <s v="YK63"/>
    <d v="2022-11-07T00:00:00"/>
    <x v="10"/>
    <x v="1"/>
    <s v="First Class"/>
    <s v="RB-19570"/>
    <s v="TEC-AC-10003832"/>
    <n v="180"/>
    <n v="16"/>
    <n v="8.8888888888888893"/>
    <x v="3"/>
    <s v="Car Steering Covers"/>
    <s v="INR"/>
    <n v="800014"/>
    <s v="INDIA"/>
    <x v="9"/>
    <m/>
    <n v="99.39"/>
    <n v="3"/>
    <n v="0.1"/>
    <n v="40.749899999999997"/>
    <n v="19.546700000000001"/>
    <n v="2"/>
  </r>
  <r>
    <n v="677"/>
    <s v="ZB32"/>
    <d v="2022-11-08T00:00:00"/>
    <x v="10"/>
    <x v="1"/>
    <s v="Standard Class"/>
    <s v="CD-11980"/>
    <s v="OFF-AP-10000804"/>
    <n v="130"/>
    <n v="12"/>
    <n v="9.2307692307692317"/>
    <x v="6"/>
    <s v="Construction Sets"/>
    <s v="INR"/>
    <n v="535240"/>
    <s v="INDIA"/>
    <x v="4"/>
    <s v="Easy Ship"/>
    <n v="2.6880000000000002"/>
    <n v="3"/>
    <n v="0.8"/>
    <n v="-7.3920000000000003"/>
    <n v="3.36"/>
    <n v="3"/>
  </r>
  <r>
    <n v="678"/>
    <s v="VU11"/>
    <d v="2022-11-09T00:00:00"/>
    <x v="10"/>
    <x v="1"/>
    <s v="Standard Class"/>
    <s v="CD-11980"/>
    <s v="TEC-AC-10003614"/>
    <n v="140"/>
    <n v="18"/>
    <n v="12.857142857142856"/>
    <x v="7"/>
    <s v="Juices"/>
    <m/>
    <n v="110095"/>
    <s v="INDIA"/>
    <x v="9"/>
    <m/>
    <n v="27.815999999999999"/>
    <n v="3"/>
    <n v="0.2"/>
    <n v="4.5201000000000002"/>
    <n v="7.7652999999999999"/>
    <n v="3"/>
  </r>
  <r>
    <n v="679"/>
    <s v="QZ99"/>
    <d v="2022-11-10T00:00:00"/>
    <x v="10"/>
    <x v="1"/>
    <s v="Standard Class"/>
    <s v="CD-11980"/>
    <s v="FUR-FU-10003553"/>
    <n v="100"/>
    <n v="30"/>
    <n v="30"/>
    <x v="8"/>
    <s v="Pet Towels"/>
    <s v="INR"/>
    <n v="400607"/>
    <s v="INDIA"/>
    <x v="13"/>
    <m/>
    <n v="82.524000000000001"/>
    <n v="3"/>
    <n v="0.6"/>
    <n v="-41.262"/>
    <n v="41.262"/>
    <n v="2"/>
  </r>
  <r>
    <n v="680"/>
    <s v="MO34"/>
    <d v="2022-11-11T00:00:00"/>
    <x v="10"/>
    <x v="1"/>
    <s v="Standard Class"/>
    <s v="CD-11980"/>
    <s v="OFF-BI-10004632"/>
    <n v="190"/>
    <n v="10"/>
    <n v="5.2631578947368416"/>
    <x v="2"/>
    <s v="Men’s Accessories"/>
    <s v="INR"/>
    <n v="631002"/>
    <s v="INDIA"/>
    <x v="0"/>
    <m/>
    <n v="182.994"/>
    <n v="3"/>
    <n v="0.8"/>
    <n v="-320.23950000000002"/>
    <n v="167.74450000000002"/>
    <n v="2"/>
  </r>
  <r>
    <n v="681"/>
    <s v="BC26"/>
    <d v="2022-11-12T00:00:00"/>
    <x v="10"/>
    <x v="1"/>
    <s v="Standard Class"/>
    <s v="DJ-13630"/>
    <s v="OFF-BI-10003305"/>
    <n v="100"/>
    <n v="18"/>
    <n v="18"/>
    <x v="4"/>
    <s v="Smart Speakers"/>
    <s v="INR"/>
    <n v="577204"/>
    <s v="INDIA"/>
    <x v="12"/>
    <m/>
    <n v="14.352"/>
    <n v="3"/>
    <n v="0.2"/>
    <n v="4.6643999999999997"/>
    <n v="3.2292000000000001"/>
    <n v="3"/>
  </r>
  <r>
    <n v="682"/>
    <s v="MX75"/>
    <d v="2022-11-13T00:00:00"/>
    <x v="10"/>
    <x v="1"/>
    <s v="Standard Class"/>
    <s v="DJ-13630"/>
    <s v="OFF-ST-10002583"/>
    <n v="190"/>
    <n v="8"/>
    <n v="4.2105263157894735"/>
    <x v="1"/>
    <s v="Martial Arts Gear"/>
    <s v="INR"/>
    <n v="753009"/>
    <s v="INDIA"/>
    <x v="4"/>
    <s v="Easy Ship"/>
    <n v="64.959999999999994"/>
    <n v="2"/>
    <n v="0.1"/>
    <n v="2.5983999999999998"/>
    <n v="31.180799999999998"/>
    <n v="4"/>
  </r>
  <r>
    <n v="683"/>
    <s v="IK42"/>
    <d v="2022-11-14T00:00:00"/>
    <x v="10"/>
    <x v="1"/>
    <s v="Standard Class"/>
    <s v="DJ-13630"/>
    <s v="OFF-ST-10004507"/>
    <n v="100"/>
    <n v="12"/>
    <n v="12"/>
    <x v="0"/>
    <s v="Encyclopedias"/>
    <s v="INR"/>
    <n v="500087"/>
    <s v="INDIA"/>
    <x v="17"/>
    <m/>
    <n v="68.599999999999994"/>
    <n v="4"/>
    <n v="0.1"/>
    <n v="18.521999999999998"/>
    <n v="12.519499999999999"/>
    <n v="1"/>
  </r>
  <r>
    <n v="684"/>
    <s v="OW28"/>
    <d v="2022-11-15T00:00:00"/>
    <x v="10"/>
    <x v="1"/>
    <s v="Same Day"/>
    <s v="GT-14635"/>
    <s v="TEC-MA-10004125"/>
    <n v="220"/>
    <n v="12"/>
    <n v="5.4545454545454541"/>
    <x v="5"/>
    <s v="Kitchen Shelves"/>
    <s v="INR"/>
    <n v="401107"/>
    <s v="INDIA"/>
    <x v="0"/>
    <m/>
    <n v="7999.98"/>
    <n v="4"/>
    <n v="0.5"/>
    <n v="-3839.9904000000001"/>
    <n v="2959.9926"/>
    <n v="5"/>
  </r>
  <r>
    <n v="685"/>
    <s v="BC86"/>
    <d v="2022-11-16T00:00:00"/>
    <x v="10"/>
    <x v="1"/>
    <s v="Same Day"/>
    <s v="GT-14635"/>
    <s v="OFF-AP-10002457"/>
    <n v="120"/>
    <n v="12"/>
    <n v="10"/>
    <x v="3"/>
    <s v="Car Air Fresheners"/>
    <s v="INR"/>
    <n v="600089"/>
    <s v="INDIA"/>
    <x v="12"/>
    <s v="Easy Ship"/>
    <n v="167.44"/>
    <n v="2"/>
    <n v="0.2"/>
    <n v="14.651"/>
    <n v="76.394499999999994"/>
    <n v="5"/>
  </r>
  <r>
    <n v="686"/>
    <s v="MY46"/>
    <d v="2022-11-17T00:00:00"/>
    <x v="10"/>
    <x v="1"/>
    <s v="First Class"/>
    <s v="MC-17845"/>
    <s v="TEC-AC-10003911"/>
    <n v="130"/>
    <n v="18"/>
    <n v="13.846153846153847"/>
    <x v="6"/>
    <s v="Mini Cars"/>
    <s v="INR"/>
    <n v="560049"/>
    <s v="INDIA"/>
    <x v="7"/>
    <s v="Easy Ship"/>
    <n v="479.97"/>
    <n v="3"/>
    <n v="0.1"/>
    <n v="163.18979999999999"/>
    <n v="105.59340000000002"/>
    <n v="2"/>
  </r>
  <r>
    <n v="687"/>
    <s v="IP94"/>
    <d v="2022-11-18T00:00:00"/>
    <x v="10"/>
    <x v="1"/>
    <s v="First Class"/>
    <s v="MC-17845"/>
    <s v="OFF-LA-10001934"/>
    <n v="100"/>
    <n v="28"/>
    <n v="28.000000000000004"/>
    <x v="7"/>
    <s v="Ready Mixes"/>
    <s v="INR"/>
    <n v="560049"/>
    <s v="INDIA"/>
    <x v="9"/>
    <s v="Easy Ship"/>
    <n v="14.62"/>
    <n v="2"/>
    <n v="0.1"/>
    <n v="6.8714000000000004"/>
    <n v="3.8742999999999994"/>
    <n v="1"/>
  </r>
  <r>
    <n v="688"/>
    <s v="BG71"/>
    <d v="2022-11-19T00:00:00"/>
    <x v="10"/>
    <x v="1"/>
    <s v="First Class"/>
    <s v="MC-17845"/>
    <s v="OFF-PA-10000304"/>
    <n v="160"/>
    <n v="8"/>
    <n v="5"/>
    <x v="8"/>
    <s v="Pet Beds"/>
    <s v="INR"/>
    <n v="700053"/>
    <s v="INDIA"/>
    <x v="4"/>
    <m/>
    <n v="19.440000000000001"/>
    <n v="3"/>
    <n v="0.1"/>
    <n v="9.3312000000000008"/>
    <n v="3.3696000000000002"/>
    <n v="5"/>
  </r>
  <r>
    <n v="689"/>
    <s v="HY77"/>
    <d v="2022-11-20T00:00:00"/>
    <x v="10"/>
    <x v="1"/>
    <s v="Standard Class"/>
    <s v="RA-19285"/>
    <s v="FUR-BO-10004015"/>
    <n v="130"/>
    <n v="12"/>
    <n v="9.2307692307692317"/>
    <x v="2"/>
    <s v="Women’s Sunglasses"/>
    <s v="INR"/>
    <n v="249408"/>
    <s v="INDIA"/>
    <x v="1"/>
    <m/>
    <n v="191.98400000000001"/>
    <n v="2"/>
    <n v="0.2"/>
    <n v="4.7995999999999999"/>
    <n v="93.592200000000005"/>
    <n v="3"/>
  </r>
  <r>
    <n v="690"/>
    <s v="UK75"/>
    <d v="2022-11-21T00:00:00"/>
    <x v="10"/>
    <x v="1"/>
    <s v="Second Class"/>
    <s v="NP-18325"/>
    <s v="FUR-FU-10004071"/>
    <n v="140"/>
    <n v="10"/>
    <n v="7.1428571428571423"/>
    <x v="4"/>
    <s v="Smart Cameras"/>
    <s v="INR"/>
    <n v="574203"/>
    <s v="INDIA"/>
    <x v="3"/>
    <s v="Easy Ship"/>
    <n v="104.01"/>
    <n v="1"/>
    <n v="0.1"/>
    <n v="14.561400000000001"/>
    <n v="89.448599999999999"/>
    <n v="4"/>
  </r>
  <r>
    <n v="691"/>
    <s v="BS76"/>
    <d v="2022-11-22T00:00:00"/>
    <x v="10"/>
    <x v="1"/>
    <s v="Second Class"/>
    <s v="NP-18325"/>
    <s v="TEC-PH-10002033"/>
    <n v="130"/>
    <n v="6"/>
    <n v="4.6153846153846159"/>
    <x v="0"/>
    <s v="Children’s Activity Books"/>
    <s v="INR"/>
    <n v="571216"/>
    <s v="INDIA"/>
    <x v="11"/>
    <m/>
    <n v="284.82"/>
    <n v="1"/>
    <n v="0.1"/>
    <n v="74.053200000000004"/>
    <n v="210.76679999999999"/>
    <n v="5"/>
  </r>
  <r>
    <n v="692"/>
    <s v="ZK56"/>
    <d v="2022-11-23T00:00:00"/>
    <x v="10"/>
    <x v="1"/>
    <s v="Second Class"/>
    <s v="NP-18325"/>
    <s v="OFF-ST-10002444"/>
    <n v="220"/>
    <n v="28"/>
    <n v="12.727272727272727"/>
    <x v="1"/>
    <s v="Rowing Machines"/>
    <s v="INR"/>
    <n v="768005"/>
    <s v="INDIA"/>
    <x v="3"/>
    <m/>
    <n v="36.840000000000003"/>
    <n v="3"/>
    <n v="0.1"/>
    <n v="10.315200000000001"/>
    <n v="8.8416000000000015"/>
    <n v="4"/>
  </r>
  <r>
    <n v="693"/>
    <s v="LR45"/>
    <d v="2022-11-24T00:00:00"/>
    <x v="10"/>
    <x v="1"/>
    <s v="Standard Class"/>
    <s v="AB-10165"/>
    <s v="TEC-AC-10002253"/>
    <n v="150"/>
    <n v="28"/>
    <n v="18.666666666666668"/>
    <x v="4"/>
    <s v="Smart Sensors"/>
    <s v="INR"/>
    <n v="841226"/>
    <s v="INDIA"/>
    <x v="8"/>
    <m/>
    <n v="166.24"/>
    <n v="1"/>
    <n v="0.1"/>
    <n v="24.936"/>
    <n v="141.304"/>
    <n v="4"/>
  </r>
  <r>
    <n v="694"/>
    <s v="QU63"/>
    <d v="2022-11-25T00:00:00"/>
    <x v="10"/>
    <x v="1"/>
    <s v="Standard Class"/>
    <s v="AB-10165"/>
    <s v="OFF-PA-10000743"/>
    <n v="240"/>
    <n v="6"/>
    <n v="2.5"/>
    <x v="2"/>
    <s v="Men’s Jackets"/>
    <s v="INR"/>
    <n v="560032"/>
    <s v="INDIA"/>
    <x v="18"/>
    <m/>
    <n v="33.4"/>
    <n v="5"/>
    <n v="0.1"/>
    <n v="16.032"/>
    <n v="3.4735999999999998"/>
    <n v="5"/>
  </r>
  <r>
    <n v="695"/>
    <s v="BK14"/>
    <d v="2022-11-26T00:00:00"/>
    <x v="10"/>
    <x v="1"/>
    <s v="First Class"/>
    <s v="JO-15550"/>
    <s v="OFF-AR-10003373"/>
    <n v="150"/>
    <n v="20"/>
    <n v="13.333333333333334"/>
    <x v="5"/>
    <s v="Kitchen Organizers"/>
    <m/>
    <n v="302019"/>
    <s v="INDIA"/>
    <x v="11"/>
    <m/>
    <n v="198.27199999999999"/>
    <n v="8"/>
    <n v="0.2"/>
    <n v="17.348800000000001"/>
    <n v="22.615399999999998"/>
    <n v="4"/>
  </r>
  <r>
    <n v="696"/>
    <s v="LR27"/>
    <d v="2022-11-27T00:00:00"/>
    <x v="10"/>
    <x v="1"/>
    <s v="First Class"/>
    <s v="JO-15550"/>
    <s v="OFF-LA-10002312"/>
    <n v="180"/>
    <n v="30"/>
    <n v="16.666666666666664"/>
    <x v="3"/>
    <s v="Car Wipers"/>
    <s v="INR"/>
    <n v="400022"/>
    <s v="INDIA"/>
    <x v="17"/>
    <m/>
    <n v="47.36"/>
    <n v="4"/>
    <n v="0.2"/>
    <n v="17.760000000000002"/>
    <n v="7.3999999999999995"/>
    <n v="3"/>
  </r>
  <r>
    <n v="697"/>
    <s v="CD49"/>
    <d v="2022-11-28T00:00:00"/>
    <x v="10"/>
    <x v="1"/>
    <s v="First Class"/>
    <s v="JO-15550"/>
    <s v="OFF-EN-10000927"/>
    <n v="100"/>
    <n v="8"/>
    <n v="8"/>
    <x v="6"/>
    <s v="Board Puzzles"/>
    <s v="INR"/>
    <n v="400101"/>
    <s v="INDIA"/>
    <x v="18"/>
    <s v="Easy Ship"/>
    <n v="200.98400000000001"/>
    <n v="7"/>
    <n v="0.2"/>
    <n v="62.807499999999997"/>
    <n v="19.7395"/>
    <n v="4"/>
  </r>
  <r>
    <n v="698"/>
    <s v="HO57"/>
    <d v="2022-11-29T00:00:00"/>
    <x v="10"/>
    <x v="1"/>
    <s v="First Class"/>
    <s v="JO-15550"/>
    <s v="OFF-LA-10003510"/>
    <n v="100"/>
    <n v="12"/>
    <n v="12"/>
    <x v="7"/>
    <s v="Herbal Teas"/>
    <s v="INR"/>
    <n v="500049"/>
    <s v="INDIA"/>
    <x v="13"/>
    <m/>
    <n v="97.695999999999998"/>
    <n v="4"/>
    <n v="0.2"/>
    <n v="31.751200000000001"/>
    <n v="16.4862"/>
    <n v="4"/>
  </r>
  <r>
    <n v="699"/>
    <s v="PX71"/>
    <d v="2022-11-30T00:00:00"/>
    <x v="10"/>
    <x v="1"/>
    <s v="First Class"/>
    <s v="JO-15550"/>
    <s v="OFF-AR-10001118"/>
    <n v="180"/>
    <n v="6"/>
    <n v="3.3333333333333335"/>
    <x v="8"/>
    <s v="Pet Brushes"/>
    <s v="INR"/>
    <n v="400028"/>
    <s v="INDIA"/>
    <x v="4"/>
    <m/>
    <n v="2.6960000000000002"/>
    <n v="1"/>
    <n v="0.2"/>
    <n v="0.80879999999999996"/>
    <n v="1.8872000000000002"/>
    <n v="2"/>
  </r>
  <r>
    <n v="700"/>
    <s v="LT61"/>
    <d v="2022-12-01T00:00:00"/>
    <x v="11"/>
    <x v="1"/>
    <s v="First Class"/>
    <s v="JO-15550"/>
    <s v="OFF-BI-10001575"/>
    <n v="160"/>
    <n v="6"/>
    <n v="3.75"/>
    <x v="2"/>
    <s v="Women’s Skirts"/>
    <m/>
    <n v="800001"/>
    <s v="INDIA"/>
    <x v="0"/>
    <m/>
    <n v="18.588000000000001"/>
    <n v="2"/>
    <n v="0.7"/>
    <n v="-13.6312"/>
    <n v="16.1096"/>
    <n v="3"/>
  </r>
  <r>
    <n v="701"/>
    <s v="UZ61"/>
    <d v="2022-12-02T00:00:00"/>
    <x v="11"/>
    <x v="1"/>
    <s v="First Class"/>
    <s v="JO-15550"/>
    <s v="OFF-BI-10001982"/>
    <n v="170"/>
    <n v="28"/>
    <n v="16.470588235294116"/>
    <x v="4"/>
    <s v="Smart Door Locks"/>
    <s v="INR"/>
    <n v="700063"/>
    <s v="INDIA"/>
    <x v="0"/>
    <m/>
    <n v="4.8959999999999999"/>
    <n v="3"/>
    <n v="0.7"/>
    <n v="-3.4272"/>
    <n v="2.7744"/>
    <n v="1"/>
  </r>
  <r>
    <n v="702"/>
    <s v="FO67"/>
    <d v="2022-12-03T00:00:00"/>
    <x v="11"/>
    <x v="1"/>
    <s v="Standard Class"/>
    <s v="Dl-13600"/>
    <s v="FUR-FU-10002960"/>
    <n v="220"/>
    <n v="22"/>
    <n v="10"/>
    <x v="0"/>
    <s v="Poetry Collections"/>
    <s v="INR"/>
    <n v="500051"/>
    <s v="INDIA"/>
    <x v="17"/>
    <m/>
    <n v="15.071999999999999"/>
    <n v="3"/>
    <n v="0.2"/>
    <n v="4.1448"/>
    <n v="3.6423999999999999"/>
    <n v="3"/>
  </r>
  <r>
    <n v="703"/>
    <s v="GG74"/>
    <d v="2022-12-04T00:00:00"/>
    <x v="11"/>
    <x v="1"/>
    <s v="Second Class"/>
    <s v="AS-10285"/>
    <s v="FUR-FU-10003394"/>
    <n v="130"/>
    <n v="12"/>
    <n v="9.2307692307692317"/>
    <x v="4"/>
    <s v="Running Gear"/>
    <s v="INR"/>
    <n v="506167"/>
    <s v="INDIA"/>
    <x v="7"/>
    <m/>
    <n v="209.88"/>
    <n v="3"/>
    <n v="0.1"/>
    <n v="35.679600000000001"/>
    <n v="58.066800000000001"/>
    <n v="1"/>
  </r>
  <r>
    <n v="704"/>
    <s v="VP19"/>
    <d v="2022-12-05T00:00:00"/>
    <x v="11"/>
    <x v="1"/>
    <s v="Standard Class"/>
    <s v="JK-15370"/>
    <s v="FUR-TA-10002774"/>
    <n v="160"/>
    <n v="14"/>
    <n v="8.75"/>
    <x v="4"/>
    <s v="Smart Switches"/>
    <s v="INR"/>
    <n v="682039"/>
    <s v="INDIA"/>
    <x v="9"/>
    <m/>
    <n v="369.91199999999998"/>
    <n v="3"/>
    <n v="0.2"/>
    <n v="-13.871700000000001"/>
    <n v="127.92789999999998"/>
    <n v="3"/>
  </r>
  <r>
    <n v="705"/>
    <s v="TX99"/>
    <d v="2022-12-06T00:00:00"/>
    <x v="11"/>
    <x v="1"/>
    <s v="Standard Class"/>
    <s v="BN-11470"/>
    <s v="OFF-PA-10001800"/>
    <n v="150"/>
    <n v="22"/>
    <n v="14.666666666666666"/>
    <x v="2"/>
    <s v="Kids’ Footwear"/>
    <m/>
    <n v="341510"/>
    <s v="INDIA"/>
    <x v="8"/>
    <m/>
    <n v="10.368"/>
    <n v="2"/>
    <n v="0.2"/>
    <n v="3.6288"/>
    <n v="3.3696000000000002"/>
    <n v="1"/>
  </r>
  <r>
    <n v="706"/>
    <s v="ZY36"/>
    <d v="2022-12-07T00:00:00"/>
    <x v="11"/>
    <x v="1"/>
    <s v="Standard Class"/>
    <s v="BN-11470"/>
    <s v="OFF-AP-10001469"/>
    <n v="220"/>
    <n v="16"/>
    <n v="7.2727272727272725"/>
    <x v="5"/>
    <s v="Kitchen Containers"/>
    <s v="INR"/>
    <n v="400604"/>
    <s v="INDIA"/>
    <x v="1"/>
    <s v="Easy Ship"/>
    <n v="166.84"/>
    <n v="5"/>
    <n v="0.2"/>
    <n v="18.769500000000001"/>
    <n v="29.614100000000001"/>
    <n v="4"/>
  </r>
  <r>
    <n v="707"/>
    <s v="EP54"/>
    <d v="2022-12-08T00:00:00"/>
    <x v="11"/>
    <x v="1"/>
    <s v="Standard Class"/>
    <s v="BN-11470"/>
    <s v="TEC-AC-10002399"/>
    <n v="140"/>
    <n v="14"/>
    <n v="10"/>
    <x v="3"/>
    <s v="Car Mirrors"/>
    <s v="INR"/>
    <n v="834002"/>
    <s v="INDIA"/>
    <x v="1"/>
    <m/>
    <n v="15.215999999999999"/>
    <n v="1"/>
    <n v="0.2"/>
    <n v="2.2824"/>
    <n v="12.933599999999998"/>
    <n v="3"/>
  </r>
  <r>
    <n v="708"/>
    <s v="TA73"/>
    <d v="2022-12-09T00:00:00"/>
    <x v="11"/>
    <x v="1"/>
    <s v="First Class"/>
    <s v="DP-13165"/>
    <s v="TEC-AC-10003628"/>
    <n v="150"/>
    <n v="18"/>
    <n v="12"/>
    <x v="6"/>
    <s v="Play Kitchens"/>
    <s v="INR"/>
    <n v="400101"/>
    <s v="INDIA"/>
    <x v="9"/>
    <m/>
    <n v="119.96"/>
    <n v="4"/>
    <n v="0.1"/>
    <n v="52.782400000000003"/>
    <n v="16.794399999999996"/>
    <n v="4"/>
  </r>
  <r>
    <n v="709"/>
    <s v="PK89"/>
    <d v="2022-12-10T00:00:00"/>
    <x v="11"/>
    <x v="1"/>
    <s v="First Class"/>
    <s v="DP-13165"/>
    <s v="FUR-BO-10003272"/>
    <n v="180"/>
    <n v="12"/>
    <n v="6.666666666666667"/>
    <x v="7"/>
    <s v="Protein Powders"/>
    <s v="INR"/>
    <n v="689676"/>
    <s v="INDIA"/>
    <x v="1"/>
    <m/>
    <n v="883.92"/>
    <n v="5"/>
    <n v="0.2"/>
    <n v="-110.49"/>
    <n v="198.88200000000001"/>
    <n v="5"/>
  </r>
  <r>
    <n v="710"/>
    <s v="WP30"/>
    <d v="2022-12-11T00:00:00"/>
    <x v="11"/>
    <x v="1"/>
    <s v="First Class"/>
    <s v="DP-13165"/>
    <s v="OFF-BI-10000050"/>
    <n v="110"/>
    <n v="10"/>
    <n v="9.0909090909090917"/>
    <x v="8"/>
    <s v="Pet Chew Toys"/>
    <s v="INR"/>
    <n v="560047"/>
    <s v="INDIA"/>
    <x v="12"/>
    <m/>
    <n v="46.72"/>
    <n v="8"/>
    <n v="0.2"/>
    <n v="15.768000000000001"/>
    <n v="3.8689999999999998"/>
    <n v="1"/>
  </r>
  <r>
    <n v="711"/>
    <s v="KB15"/>
    <d v="2022-12-12T00:00:00"/>
    <x v="11"/>
    <x v="1"/>
    <s v="First Class"/>
    <s v="TH-21550"/>
    <s v="OFF-PA-10004071"/>
    <n v="160"/>
    <n v="28"/>
    <n v="17.5"/>
    <x v="2"/>
    <s v="Men’s Watches"/>
    <s v="INR"/>
    <n v="445203"/>
    <s v="INDIA"/>
    <x v="8"/>
    <m/>
    <n v="55.48"/>
    <n v="1"/>
    <n v="0.1"/>
    <n v="26.630400000000002"/>
    <n v="28.849599999999995"/>
    <n v="2"/>
  </r>
  <r>
    <n v="712"/>
    <s v="IK82"/>
    <d v="2022-12-13T00:00:00"/>
    <x v="11"/>
    <x v="1"/>
    <s v="Standard Class"/>
    <s v="AP-10915"/>
    <s v="OFF-EN-10001219"/>
    <n v="120"/>
    <n v="24"/>
    <n v="20"/>
    <x v="4"/>
    <s v="Smart Displays"/>
    <s v="INR"/>
    <n v="753008"/>
    <s v="INDIA"/>
    <x v="19"/>
    <m/>
    <n v="24.448"/>
    <n v="4"/>
    <n v="0.2"/>
    <n v="8.8623999999999992"/>
    <n v="3.8964000000000003"/>
    <n v="5"/>
  </r>
  <r>
    <n v="713"/>
    <s v="UU56"/>
    <d v="2022-12-14T00:00:00"/>
    <x v="11"/>
    <x v="1"/>
    <s v="Standard Class"/>
    <s v="RS-19765"/>
    <s v="OFF-AP-10001154"/>
    <n v="150"/>
    <n v="6"/>
    <n v="4"/>
    <x v="0"/>
    <s v="Children’s Novels"/>
    <s v="INR"/>
    <n v="400056"/>
    <s v="INDIA"/>
    <x v="4"/>
    <s v="Easy Ship"/>
    <n v="281.33999999999997"/>
    <n v="6"/>
    <n v="0.1"/>
    <n v="109.7226"/>
    <n v="28.602899999999995"/>
    <n v="3"/>
  </r>
  <r>
    <n v="714"/>
    <s v="FE70"/>
    <d v="2022-12-15T00:00:00"/>
    <x v="11"/>
    <x v="1"/>
    <s v="Standard Class"/>
    <s v="RS-19765"/>
    <s v="TEC-PH-10003012"/>
    <n v="140"/>
    <n v="12"/>
    <n v="8.5714285714285712"/>
    <x v="1"/>
    <s v="Weight Training"/>
    <s v="INR"/>
    <n v="144004"/>
    <s v="INDIA"/>
    <x v="0"/>
    <m/>
    <n v="307.98"/>
    <n v="2"/>
    <n v="0.1"/>
    <n v="89.3142"/>
    <n v="109.33290000000001"/>
    <n v="2"/>
  </r>
  <r>
    <n v="715"/>
    <s v="WU53"/>
    <d v="2022-12-16T00:00:00"/>
    <x v="11"/>
    <x v="1"/>
    <s v="Standard Class"/>
    <s v="RS-19765"/>
    <s v="TEC-AC-10001606"/>
    <n v="180"/>
    <n v="12"/>
    <n v="6.666666666666667"/>
    <x v="4"/>
    <s v="Smart Remotes"/>
    <s v="INR"/>
    <n v="400706"/>
    <s v="INDIA"/>
    <x v="18"/>
    <m/>
    <n v="299.97000000000003"/>
    <n v="3"/>
    <n v="0.1"/>
    <n v="113.98860000000001"/>
    <n v="61.9938"/>
    <n v="2"/>
  </r>
  <r>
    <n v="716"/>
    <s v="WC77"/>
    <d v="2022-12-17T00:00:00"/>
    <x v="11"/>
    <x v="1"/>
    <s v="Second Class"/>
    <s v="Dl-13600"/>
    <s v="OFF-BI-10003355"/>
    <n v="240"/>
    <n v="22"/>
    <n v="9.1666666666666661"/>
    <x v="2"/>
    <s v="Women’s Jewelry"/>
    <s v="INR"/>
    <n v="401107"/>
    <s v="INDIA"/>
    <x v="17"/>
    <m/>
    <n v="19.920000000000002"/>
    <n v="5"/>
    <n v="0.2"/>
    <n v="6.9720000000000004"/>
    <n v="2.5895999999999999"/>
    <n v="2"/>
  </r>
  <r>
    <n v="717"/>
    <s v="WK99"/>
    <d v="2022-12-18T00:00:00"/>
    <x v="11"/>
    <x v="1"/>
    <s v="First Class"/>
    <s v="SV-20365"/>
    <s v="FUR-FU-10000010"/>
    <n v="140"/>
    <n v="30"/>
    <n v="21.428571428571427"/>
    <x v="5"/>
    <s v="Kitchen Trays"/>
    <s v="INR"/>
    <n v="401107"/>
    <s v="INDIA"/>
    <x v="13"/>
    <m/>
    <n v="9.94"/>
    <n v="2"/>
    <n v="0.1"/>
    <n v="3.0813999999999999"/>
    <n v="3.4292999999999996"/>
    <n v="3"/>
  </r>
  <r>
    <n v="718"/>
    <s v="PS23"/>
    <d v="2022-12-19T00:00:00"/>
    <x v="11"/>
    <x v="1"/>
    <s v="Standard Class"/>
    <s v="KC-16540"/>
    <s v="FUR-FU-10002253"/>
    <n v="250"/>
    <n v="12"/>
    <n v="4.8"/>
    <x v="3"/>
    <s v="Car Covers"/>
    <s v="INR"/>
    <n v="500084"/>
    <s v="INDIA"/>
    <x v="1"/>
    <m/>
    <n v="103.056"/>
    <n v="3"/>
    <n v="0.2"/>
    <n v="24.4758"/>
    <n v="26.193399999999997"/>
    <n v="4"/>
  </r>
  <r>
    <n v="719"/>
    <s v="HI55"/>
    <d v="2022-12-20T00:00:00"/>
    <x v="11"/>
    <x v="1"/>
    <s v="Standard Class"/>
    <s v="CK-12325"/>
    <s v="OFF-BI-10001658"/>
    <n v="150"/>
    <n v="8"/>
    <n v="5.3333333333333339"/>
    <x v="6"/>
    <s v="Learning Games"/>
    <s v="INR"/>
    <n v="700064"/>
    <s v="INDIA"/>
    <x v="0"/>
    <m/>
    <n v="59.808"/>
    <n v="3"/>
    <n v="0.2"/>
    <n v="19.4376"/>
    <n v="13.456800000000001"/>
    <n v="1"/>
  </r>
  <r>
    <n v="720"/>
    <s v="GG85"/>
    <d v="2022-12-21T00:00:00"/>
    <x v="11"/>
    <x v="1"/>
    <s v="Standard Class"/>
    <s v="CK-12325"/>
    <s v="FUR-FU-10000246"/>
    <n v="230"/>
    <n v="18"/>
    <n v="7.8260869565217401"/>
    <x v="7"/>
    <s v="Snacks"/>
    <s v="INR"/>
    <n v="313001"/>
    <s v="INDIA"/>
    <x v="16"/>
    <m/>
    <n v="73.319999999999993"/>
    <n v="6"/>
    <n v="0.1"/>
    <n v="21.995999999999999"/>
    <n v="8.5540000000000003"/>
    <n v="5"/>
  </r>
  <r>
    <n v="721"/>
    <s v="BB50"/>
    <d v="2022-12-22T00:00:00"/>
    <x v="11"/>
    <x v="1"/>
    <s v="Standard Class"/>
    <s v="RD-19810"/>
    <s v="OFF-PA-10004092"/>
    <n v="240"/>
    <n v="12"/>
    <n v="5"/>
    <x v="8"/>
    <s v="Pet Bowls"/>
    <s v="INR"/>
    <n v="560002"/>
    <s v="INDIA"/>
    <x v="4"/>
    <m/>
    <n v="146.82"/>
    <n v="3"/>
    <n v="0.1"/>
    <n v="73.41"/>
    <n v="24.47"/>
    <n v="2"/>
  </r>
  <r>
    <n v="722"/>
    <s v="LE77"/>
    <d v="2022-12-23T00:00:00"/>
    <x v="11"/>
    <x v="1"/>
    <s v="Standard Class"/>
    <s v="MP-17965"/>
    <s v="FUR-TA-10000198"/>
    <n v="200"/>
    <n v="10"/>
    <n v="5"/>
    <x v="2"/>
    <s v="Men’s Shirts"/>
    <m/>
    <n v="841226"/>
    <s v="INDIA"/>
    <x v="4"/>
    <s v="Easy Ship"/>
    <n v="1652.94"/>
    <n v="3"/>
    <n v="0.1"/>
    <n v="231.41159999999999"/>
    <n v="473.84280000000007"/>
    <n v="4"/>
  </r>
  <r>
    <n v="723"/>
    <s v="CX93"/>
    <d v="2022-12-24T00:00:00"/>
    <x v="11"/>
    <x v="1"/>
    <s v="Standard Class"/>
    <s v="MP-17965"/>
    <s v="OFF-ST-10000036"/>
    <n v="210"/>
    <n v="30"/>
    <n v="14.285714285714285"/>
    <x v="4"/>
    <s v="Smart Routers"/>
    <s v="INR"/>
    <n v="560091"/>
    <s v="INDIA"/>
    <x v="10"/>
    <m/>
    <n v="296.37"/>
    <n v="3"/>
    <n v="0.1"/>
    <n v="80.019900000000007"/>
    <n v="72.116699999999994"/>
    <n v="1"/>
  </r>
  <r>
    <n v="724"/>
    <s v="IZ99"/>
    <d v="2022-12-25T00:00:00"/>
    <x v="11"/>
    <x v="1"/>
    <s v="Standard Class"/>
    <s v="MR-17545"/>
    <s v="FUR-FU-10000222"/>
    <n v="250"/>
    <n v="22"/>
    <n v="8.7999999999999989"/>
    <x v="0"/>
    <s v="Children’s Comics"/>
    <m/>
    <n v="110016"/>
    <s v="INDIA"/>
    <x v="2"/>
    <m/>
    <n v="129.91999999999999"/>
    <n v="5"/>
    <n v="0.2"/>
    <n v="21.111999999999998"/>
    <n v="21.761599999999998"/>
    <n v="2"/>
  </r>
  <r>
    <n v="725"/>
    <s v="TM12"/>
    <d v="2022-12-26T00:00:00"/>
    <x v="11"/>
    <x v="1"/>
    <s v="Standard Class"/>
    <s v="SC-20695"/>
    <s v="OFF-SU-10004664"/>
    <n v="180"/>
    <n v="20"/>
    <n v="11.111111111111111"/>
    <x v="1"/>
    <s v="Table Tennis Gear"/>
    <m/>
    <n v="302019"/>
    <s v="INDIA"/>
    <x v="2"/>
    <m/>
    <n v="45.584000000000003"/>
    <n v="7"/>
    <n v="0.2"/>
    <n v="5.1281999999999996"/>
    <n v="5.7794000000000008"/>
    <n v="1"/>
  </r>
  <r>
    <n v="726"/>
    <s v="IV51"/>
    <d v="2022-12-27T00:00:00"/>
    <x v="11"/>
    <x v="1"/>
    <s v="Standard Class"/>
    <s v="JF-15355"/>
    <s v="OFF-EN-10001141"/>
    <n v="170"/>
    <n v="12"/>
    <n v="7.0588235294117645"/>
    <x v="4"/>
    <s v="Smart Plugs"/>
    <s v="INR"/>
    <n v="390006"/>
    <s v="INDIA"/>
    <x v="3"/>
    <m/>
    <n v="17.568000000000001"/>
    <n v="2"/>
    <n v="0.2"/>
    <n v="6.3684000000000003"/>
    <n v="5.5998000000000001"/>
    <n v="1"/>
  </r>
  <r>
    <n v="727"/>
    <s v="LI65"/>
    <d v="2022-12-28T00:00:00"/>
    <x v="11"/>
    <x v="1"/>
    <s v="Standard Class"/>
    <s v="JF-15355"/>
    <s v="TEC-PH-10002170"/>
    <n v="120"/>
    <n v="8"/>
    <n v="6.666666666666667"/>
    <x v="2"/>
    <s v="Women’s Flats"/>
    <s v="INR"/>
    <n v="500028"/>
    <s v="INDIA"/>
    <x v="15"/>
    <m/>
    <n v="55.991999999999997"/>
    <n v="1"/>
    <n v="0.2"/>
    <n v="5.5991999999999997"/>
    <n v="50.392799999999994"/>
    <n v="1"/>
  </r>
  <r>
    <n v="728"/>
    <s v="AX86"/>
    <d v="2022-12-29T00:00:00"/>
    <x v="11"/>
    <x v="1"/>
    <s v="First Class"/>
    <s v="EG-13900"/>
    <s v="OFF-PA-10001954"/>
    <n v="220"/>
    <n v="14"/>
    <n v="6.3636363636363633"/>
    <x v="5"/>
    <s v="Kitchen Mats"/>
    <s v="INR"/>
    <n v="534004"/>
    <s v="INDIA"/>
    <x v="4"/>
    <s v="Easy Ship"/>
    <n v="182.72"/>
    <n v="8"/>
    <n v="0.1"/>
    <n v="84.051199999999994"/>
    <n v="12.333600000000001"/>
    <n v="4"/>
  </r>
  <r>
    <n v="729"/>
    <s v="RS16"/>
    <d v="2022-12-30T00:00:00"/>
    <x v="11"/>
    <x v="1"/>
    <s v="First Class"/>
    <s v="EG-13900"/>
    <s v="FUR-TA-10002228"/>
    <n v="110"/>
    <n v="18"/>
    <n v="16.363636363636363"/>
    <x v="3"/>
    <s v="Car Oils"/>
    <s v="INR"/>
    <n v="401107"/>
    <s v="INDIA"/>
    <x v="19"/>
    <m/>
    <n v="400.03199999999998"/>
    <n v="2"/>
    <n v="0.4"/>
    <n v="-153.34559999999999"/>
    <n v="276.68880000000001"/>
    <n v="1"/>
  </r>
  <r>
    <n v="730"/>
    <s v="HX83"/>
    <d v="2022-12-31T00:00:00"/>
    <x v="11"/>
    <x v="1"/>
    <s v="First Class"/>
    <s v="EG-13900"/>
    <s v="OFF-ST-10004634"/>
    <n v="240"/>
    <n v="18"/>
    <n v="7.5"/>
    <x v="6"/>
    <s v="Playhouses"/>
    <m/>
    <n v="302019"/>
    <s v="INDIA"/>
    <x v="10"/>
    <m/>
    <n v="33.630000000000003"/>
    <n v="3"/>
    <n v="0.1"/>
    <n v="10.089"/>
    <n v="7.8470000000000013"/>
    <n v="1"/>
  </r>
  <r>
    <n v="731"/>
    <s v="EJ77"/>
    <d v="2023-01-01T00:00:00"/>
    <x v="0"/>
    <x v="2"/>
    <s v="First Class"/>
    <s v="EG-13900"/>
    <s v="FUR-CH-10002965"/>
    <n v="230"/>
    <n v="6"/>
    <n v="2.6086956521739131"/>
    <x v="7"/>
    <s v="Energy Bars"/>
    <s v="INR"/>
    <n v="600018"/>
    <s v="INDIA"/>
    <x v="1"/>
    <m/>
    <n v="542.64599999999996"/>
    <n v="3"/>
    <n v="0.11"/>
    <n v="102.49979999999999"/>
    <n v="146.71539999999999"/>
    <n v="2"/>
  </r>
  <r>
    <n v="732"/>
    <s v="AG47"/>
    <d v="2023-01-02T00:00:00"/>
    <x v="0"/>
    <x v="2"/>
    <s v="First Class"/>
    <s v="EG-13900"/>
    <s v="OFF-LA-10001317"/>
    <n v="160"/>
    <n v="16"/>
    <n v="10"/>
    <x v="8"/>
    <s v="Pet Collars"/>
    <s v="INR"/>
    <n v="600004"/>
    <s v="INDIA"/>
    <x v="9"/>
    <m/>
    <n v="6.3"/>
    <n v="2"/>
    <n v="0.1"/>
    <n v="3.024"/>
    <n v="1.6379999999999999"/>
    <n v="5"/>
  </r>
  <r>
    <n v="733"/>
    <s v="CG54"/>
    <d v="2023-01-03T00:00:00"/>
    <x v="0"/>
    <x v="2"/>
    <s v="Standard Class"/>
    <s v="DS-13030"/>
    <s v="OFF-ST-10000736"/>
    <n v="100"/>
    <n v="16"/>
    <n v="16"/>
    <x v="2"/>
    <s v="Kids’ Accessories"/>
    <s v="INR"/>
    <n v="411038"/>
    <s v="INDIA"/>
    <x v="1"/>
    <m/>
    <n v="242.94"/>
    <n v="3"/>
    <n v="0.1"/>
    <n v="9.7175999999999991"/>
    <n v="77.740799999999993"/>
    <n v="3"/>
  </r>
  <r>
    <n v="734"/>
    <s v="VZ12"/>
    <d v="2023-01-04T00:00:00"/>
    <x v="0"/>
    <x v="2"/>
    <s v="Standard Class"/>
    <s v="DS-13030"/>
    <s v="TEC-AC-10003610"/>
    <n v="140"/>
    <n v="24"/>
    <n v="17.142857142857142"/>
    <x v="4"/>
    <s v="Smart TVs"/>
    <m/>
    <n v="400101"/>
    <s v="INDIA"/>
    <x v="10"/>
    <m/>
    <n v="179.97"/>
    <n v="3"/>
    <n v="0.1"/>
    <n v="86.385599999999997"/>
    <n v="31.194800000000001"/>
    <n v="1"/>
  </r>
  <r>
    <n v="735"/>
    <s v="VZ22"/>
    <d v="2023-01-05T00:00:00"/>
    <x v="0"/>
    <x v="2"/>
    <s v="Standard Class"/>
    <s v="DS-13030"/>
    <s v="OFF-BI-10003982"/>
    <n v="160"/>
    <n v="8"/>
    <n v="5"/>
    <x v="0"/>
    <s v="Children’s Poetry"/>
    <s v="INR"/>
    <n v="560076"/>
    <s v="INDIA"/>
    <x v="8"/>
    <m/>
    <n v="99.695999999999998"/>
    <n v="6"/>
    <n v="0.2"/>
    <n v="33.647399999999998"/>
    <n v="11.008099999999999"/>
    <n v="5"/>
  </r>
  <r>
    <n v="736"/>
    <s v="DR12"/>
    <d v="2023-01-06T00:00:00"/>
    <x v="0"/>
    <x v="2"/>
    <s v="Standard Class"/>
    <s v="DS-13030"/>
    <s v="OFF-BI-10003291"/>
    <n v="190"/>
    <n v="16"/>
    <n v="8.4210526315789469"/>
    <x v="1"/>
    <s v="Swimming Gear"/>
    <s v="INR"/>
    <n v="400066"/>
    <s v="INDIA"/>
    <x v="17"/>
    <m/>
    <n v="27.936"/>
    <n v="4"/>
    <n v="0.2"/>
    <n v="9.4283999999999999"/>
    <n v="4.6269"/>
    <n v="2"/>
  </r>
  <r>
    <n v="737"/>
    <s v="ZI22"/>
    <d v="2023-01-07T00:00:00"/>
    <x v="0"/>
    <x v="2"/>
    <s v="Standard Class"/>
    <s v="DS-13030"/>
    <s v="FUR-BO-10001619"/>
    <n v="180"/>
    <n v="24"/>
    <n v="13.333333333333334"/>
    <x v="4"/>
    <s v="Smart Watches"/>
    <s v="INR"/>
    <n v="781031"/>
    <s v="INDIA"/>
    <x v="7"/>
    <m/>
    <n v="84.98"/>
    <n v="1"/>
    <n v="0.1"/>
    <n v="18.695599999999999"/>
    <n v="66.284400000000005"/>
    <n v="3"/>
  </r>
  <r>
    <n v="738"/>
    <s v="TD36"/>
    <d v="2023-01-08T00:00:00"/>
    <x v="0"/>
    <x v="2"/>
    <s v="Standard Class"/>
    <s v="DS-13030"/>
    <s v="OFF-BI-10000138"/>
    <n v="110"/>
    <n v="16"/>
    <n v="14.545454545454545"/>
    <x v="2"/>
    <s v="Men’s Belts"/>
    <s v="INR"/>
    <n v="781003"/>
    <s v="INDIA"/>
    <x v="9"/>
    <m/>
    <n v="18.72"/>
    <n v="5"/>
    <n v="0.2"/>
    <n v="6.5519999999999996"/>
    <n v="2.4335999999999998"/>
    <n v="1"/>
  </r>
  <r>
    <n v="739"/>
    <s v="TV62"/>
    <d v="2023-01-09T00:00:00"/>
    <x v="0"/>
    <x v="2"/>
    <s v="Standard Class"/>
    <s v="GZ-14470"/>
    <s v="TEC-AC-10001383"/>
    <n v="150"/>
    <n v="26"/>
    <n v="17.333333333333336"/>
    <x v="5"/>
    <s v="Kitchen Towels"/>
    <s v="INR"/>
    <n v="110095"/>
    <s v="INDIA"/>
    <x v="10"/>
    <m/>
    <n v="49.98"/>
    <n v="2"/>
    <n v="0.1"/>
    <n v="8.4966000000000008"/>
    <n v="20.741699999999998"/>
    <n v="4"/>
  </r>
  <r>
    <n v="740"/>
    <s v="DX37"/>
    <d v="2023-01-10T00:00:00"/>
    <x v="0"/>
    <x v="2"/>
    <s v="Standard Class"/>
    <s v="PO-19195"/>
    <s v="OFF-LA-10003223"/>
    <n v="100"/>
    <n v="12"/>
    <n v="12"/>
    <x v="3"/>
    <s v="Car Batteries"/>
    <s v="INR"/>
    <n v="560100"/>
    <s v="INDIA"/>
    <x v="14"/>
    <s v="Easy Ship"/>
    <n v="11.784000000000001"/>
    <n v="3"/>
    <n v="0.2"/>
    <n v="4.2717000000000001"/>
    <n v="2.5041000000000002"/>
    <n v="2"/>
  </r>
  <r>
    <n v="741"/>
    <s v="NF20"/>
    <d v="2023-01-11T00:00:00"/>
    <x v="0"/>
    <x v="2"/>
    <s v="Standard Class"/>
    <s v="PO-19195"/>
    <s v="OFF-ST-10002743"/>
    <n v="130"/>
    <n v="28"/>
    <n v="21.53846153846154"/>
    <x v="6"/>
    <s v="Board Games"/>
    <s v="INR"/>
    <n v="600033"/>
    <s v="INDIA"/>
    <x v="11"/>
    <m/>
    <n v="272.73599999999999"/>
    <n v="3"/>
    <n v="0.2"/>
    <n v="-64.774799999999999"/>
    <n v="112.50360000000001"/>
    <n v="1"/>
  </r>
  <r>
    <n v="742"/>
    <s v="HV29"/>
    <d v="2023-01-12T00:00:00"/>
    <x v="0"/>
    <x v="2"/>
    <s v="Standard Class"/>
    <s v="PO-19195"/>
    <s v="OFF-BI-10004094"/>
    <n v="200"/>
    <n v="26"/>
    <n v="13"/>
    <x v="7"/>
    <s v="Packaged Foods"/>
    <s v="INR"/>
    <n v="600033"/>
    <s v="INDIA"/>
    <x v="16"/>
    <m/>
    <n v="3.54"/>
    <n v="2"/>
    <n v="0.8"/>
    <n v="-5.4870000000000001"/>
    <n v="4.5135000000000005"/>
    <n v="2"/>
  </r>
  <r>
    <n v="743"/>
    <s v="DV65"/>
    <d v="2023-01-13T00:00:00"/>
    <x v="0"/>
    <x v="2"/>
    <s v="Standard Class"/>
    <s v="SS-20875"/>
    <s v="OFF-SU-10004498"/>
    <n v="170"/>
    <n v="16"/>
    <n v="9.4117647058823533"/>
    <x v="8"/>
    <s v="Pet Grooming Kits"/>
    <s v="INR"/>
    <n v="505188"/>
    <s v="INDIA"/>
    <x v="15"/>
    <m/>
    <n v="51.52"/>
    <n v="5"/>
    <n v="0.2"/>
    <n v="-10.948"/>
    <n v="12.493600000000001"/>
    <n v="1"/>
  </r>
  <r>
    <n v="744"/>
    <s v="NA30"/>
    <d v="2023-01-14T00:00:00"/>
    <x v="0"/>
    <x v="2"/>
    <s v="Standard Class"/>
    <s v="SS-20875"/>
    <s v="OFF-PA-10002615"/>
    <n v="140"/>
    <n v="30"/>
    <n v="21.428571428571427"/>
    <x v="2"/>
    <s v="Women’s Sarees"/>
    <s v="INR"/>
    <n v="743145"/>
    <s v="INDIA"/>
    <x v="3"/>
    <m/>
    <n v="3.528"/>
    <n v="1"/>
    <n v="0.2"/>
    <n v="1.1466000000000001"/>
    <n v="2.3814000000000002"/>
    <n v="5"/>
  </r>
  <r>
    <n v="745"/>
    <s v="NU88"/>
    <d v="2023-01-15T00:00:00"/>
    <x v="0"/>
    <x v="2"/>
    <s v="Standard Class"/>
    <s v="SS-20875"/>
    <s v="OFF-PA-10004971"/>
    <n v="130"/>
    <n v="16"/>
    <n v="12.307692307692308"/>
    <x v="4"/>
    <s v="Smart Tablets"/>
    <s v="INR"/>
    <n v="624703"/>
    <s v="INDIA"/>
    <x v="18"/>
    <m/>
    <n v="4.6239999999999997"/>
    <n v="1"/>
    <n v="0.2"/>
    <n v="1.6761999999999999"/>
    <n v="2.9478"/>
    <n v="5"/>
  </r>
  <r>
    <n v="746"/>
    <s v="KJ29"/>
    <d v="2023-01-16T00:00:00"/>
    <x v="0"/>
    <x v="2"/>
    <s v="Standard Class"/>
    <s v="SS-20875"/>
    <s v="OFF-SU-10004261"/>
    <n v="170"/>
    <n v="8"/>
    <n v="4.7058823529411766"/>
    <x v="0"/>
    <s v="Children’s Encyclopedias"/>
    <s v="INR"/>
    <n v="201304"/>
    <s v="INDIA"/>
    <x v="18"/>
    <m/>
    <n v="55.167999999999999"/>
    <n v="4"/>
    <n v="0.2"/>
    <n v="6.2064000000000004"/>
    <n v="12.240399999999999"/>
    <n v="2"/>
  </r>
  <r>
    <n v="747"/>
    <s v="JH34"/>
    <d v="2023-01-17T00:00:00"/>
    <x v="0"/>
    <x v="2"/>
    <s v="Same Day"/>
    <s v="MH-17785"/>
    <s v="FUR-TA-10002607"/>
    <n v="220"/>
    <n v="20"/>
    <n v="9.0909090909090917"/>
    <x v="1"/>
    <s v="Football Shoes"/>
    <s v="INR"/>
    <n v="500024"/>
    <s v="INDIA"/>
    <x v="13"/>
    <s v="Easy Ship"/>
    <n v="567.12"/>
    <n v="10"/>
    <n v="0.2"/>
    <n v="-28.356000000000002"/>
    <n v="59.547600000000003"/>
    <n v="1"/>
  </r>
  <r>
    <n v="748"/>
    <s v="YA86"/>
    <d v="2023-01-18T00:00:00"/>
    <x v="0"/>
    <x v="2"/>
    <s v="Same Day"/>
    <s v="MH-17785"/>
    <s v="OFF-ST-10001809"/>
    <n v="150"/>
    <n v="28"/>
    <n v="18.666666666666668"/>
    <x v="4"/>
    <s v="Smart Sensors"/>
    <s v="INR"/>
    <n v="575003"/>
    <s v="INDIA"/>
    <x v="15"/>
    <m/>
    <n v="359.32"/>
    <n v="4"/>
    <n v="0.1"/>
    <n v="7.1863999999999999"/>
    <n v="88.0334"/>
    <n v="2"/>
  </r>
  <r>
    <n v="749"/>
    <s v="FF18"/>
    <d v="2023-01-19T00:00:00"/>
    <x v="0"/>
    <x v="2"/>
    <s v="Second Class"/>
    <s v="PB-19105"/>
    <s v="TEC-PH-10000004"/>
    <n v="180"/>
    <n v="10"/>
    <n v="5.5555555555555554"/>
    <x v="2"/>
    <s v="Kids’ Jackets"/>
    <s v="INR"/>
    <n v="712103"/>
    <s v="INDIA"/>
    <x v="14"/>
    <m/>
    <n v="11.992000000000001"/>
    <n v="1"/>
    <n v="0.2"/>
    <n v="0.89939999999999998"/>
    <n v="11.092600000000001"/>
    <n v="1"/>
  </r>
  <r>
    <n v="750"/>
    <s v="FP25"/>
    <d v="2023-01-20T00:00:00"/>
    <x v="0"/>
    <x v="2"/>
    <s v="Standard Class"/>
    <s v="RF-19735"/>
    <s v="OFF-BI-10003638"/>
    <n v="160"/>
    <n v="18"/>
    <n v="11.25"/>
    <x v="5"/>
    <s v="Kitchen Shelves"/>
    <s v="INR"/>
    <n v="562125"/>
    <s v="INDIA"/>
    <x v="14"/>
    <s v="Easy Ship"/>
    <n v="58.05"/>
    <n v="3"/>
    <n v="0.1"/>
    <n v="26.702999999999999"/>
    <n v="10.449"/>
    <n v="1"/>
  </r>
  <r>
    <n v="751"/>
    <s v="MZ42"/>
    <d v="2023-01-21T00:00:00"/>
    <x v="0"/>
    <x v="2"/>
    <s v="Standard Class"/>
    <s v="RF-19735"/>
    <s v="FUR-FU-10003577"/>
    <n v="110"/>
    <n v="20"/>
    <n v="18.181818181818183"/>
    <x v="3"/>
    <s v="Car Oils"/>
    <s v="INR"/>
    <n v="248002"/>
    <s v="INDIA"/>
    <x v="6"/>
    <m/>
    <n v="157.74"/>
    <n v="11"/>
    <n v="0.1"/>
    <n v="56.7864"/>
    <n v="9.1776"/>
    <n v="1"/>
  </r>
  <r>
    <n v="752"/>
    <s v="VS69"/>
    <d v="2023-01-22T00:00:00"/>
    <x v="0"/>
    <x v="2"/>
    <s v="Standard Class"/>
    <s v="RF-19735"/>
    <s v="OFF-AR-10003478"/>
    <n v="150"/>
    <n v="6"/>
    <n v="4"/>
    <x v="6"/>
    <s v="Board Games"/>
    <s v="INR"/>
    <n v="248001"/>
    <s v="INDIA"/>
    <x v="3"/>
    <m/>
    <n v="56.98"/>
    <n v="7"/>
    <n v="0.1"/>
    <n v="22.792000000000002"/>
    <n v="4.8839999999999995"/>
    <n v="4"/>
  </r>
  <r>
    <n v="753"/>
    <s v="BO97"/>
    <d v="2023-01-23T00:00:00"/>
    <x v="0"/>
    <x v="2"/>
    <s v="Standard Class"/>
    <s v="RF-19735"/>
    <s v="OFF-BI-10000546"/>
    <n v="100"/>
    <n v="10"/>
    <n v="10"/>
    <x v="7"/>
    <s v="Packaged Snacks"/>
    <s v="INR"/>
    <n v="302020"/>
    <s v="INDIA"/>
    <x v="19"/>
    <s v="Easy Ship"/>
    <n v="2.88"/>
    <n v="1"/>
    <n v="0.1"/>
    <n v="1.4112"/>
    <n v="1.4687999999999999"/>
    <n v="2"/>
  </r>
  <r>
    <n v="754"/>
    <s v="VL81"/>
    <d v="2023-01-24T00:00:00"/>
    <x v="0"/>
    <x v="2"/>
    <s v="First Class"/>
    <s v="YC-21895"/>
    <s v="TEC-CO-10002095"/>
    <n v="200"/>
    <n v="24"/>
    <n v="12"/>
    <x v="8"/>
    <s v="Pet Brushes"/>
    <s v="INR"/>
    <n v="600070"/>
    <s v="INDIA"/>
    <x v="13"/>
    <m/>
    <n v="1199.9760000000001"/>
    <n v="3"/>
    <n v="0.2"/>
    <n v="374.99250000000001"/>
    <n v="274.99450000000002"/>
    <n v="5"/>
  </r>
  <r>
    <n v="755"/>
    <s v="DO43"/>
    <d v="2023-01-25T00:00:00"/>
    <x v="0"/>
    <x v="2"/>
    <s v="Standard Class"/>
    <s v="MS-17830"/>
    <s v="FUR-FU-10002759"/>
    <n v="120"/>
    <n v="30"/>
    <n v="25"/>
    <x v="2"/>
    <s v="Men’s Jeans"/>
    <s v="INR"/>
    <n v="395009"/>
    <s v="INDIA"/>
    <x v="9"/>
    <m/>
    <n v="79.92"/>
    <n v="4"/>
    <n v="0.1"/>
    <n v="28.7712"/>
    <n v="12.7872"/>
    <n v="1"/>
  </r>
  <r>
    <n v="756"/>
    <s v="DS98"/>
    <d v="2023-01-26T00:00:00"/>
    <x v="0"/>
    <x v="2"/>
    <s v="Standard Class"/>
    <s v="NB-18655"/>
    <s v="FUR-TA-10001095"/>
    <n v="160"/>
    <n v="28"/>
    <n v="17.5"/>
    <x v="4"/>
    <s v="Smart TVs"/>
    <s v="INR"/>
    <n v="390025"/>
    <s v="INDIA"/>
    <x v="17"/>
    <m/>
    <n v="383.43799999999999"/>
    <n v="4"/>
    <n v="0.45"/>
    <n v="-167.3184"/>
    <n v="137.6891"/>
    <n v="4"/>
  </r>
  <r>
    <n v="757"/>
    <s v="NH36"/>
    <d v="2023-01-27T00:00:00"/>
    <x v="0"/>
    <x v="2"/>
    <s v="Standard Class"/>
    <s v="DC-13285"/>
    <s v="OFF-ST-10002444"/>
    <n v="200"/>
    <n v="12"/>
    <n v="6"/>
    <x v="1"/>
    <s v="Cricket Bats"/>
    <s v="INR"/>
    <n v="560037"/>
    <s v="INDIA"/>
    <x v="14"/>
    <m/>
    <n v="24.56"/>
    <n v="2"/>
    <n v="0.1"/>
    <n v="6.8768000000000002"/>
    <n v="8.8415999999999997"/>
    <n v="5"/>
  </r>
  <r>
    <n v="758"/>
    <s v="TH77"/>
    <d v="2023-01-28T00:00:00"/>
    <x v="0"/>
    <x v="2"/>
    <s v="Standard Class"/>
    <s v="DC-13285"/>
    <s v="TEC-AC-10001267"/>
    <n v="110"/>
    <n v="22"/>
    <n v="20"/>
    <x v="0"/>
    <s v="Children’s Novels"/>
    <s v="INR"/>
    <n v="500090"/>
    <s v="INDIA"/>
    <x v="1"/>
    <m/>
    <n v="119.8"/>
    <n v="4"/>
    <n v="0.1"/>
    <n v="47.92"/>
    <n v="17.97"/>
    <n v="3"/>
  </r>
  <r>
    <n v="759"/>
    <s v="XZ68"/>
    <d v="2023-01-29T00:00:00"/>
    <x v="0"/>
    <x v="2"/>
    <s v="Standard Class"/>
    <s v="CP-12340"/>
    <s v="OFF-BI-10000848"/>
    <n v="100"/>
    <n v="14"/>
    <n v="14.000000000000002"/>
    <x v="5"/>
    <s v="Kitchen Towels"/>
    <s v="INR"/>
    <n v="380015"/>
    <s v="INDIA"/>
    <x v="13"/>
    <m/>
    <n v="13.128"/>
    <n v="3"/>
    <n v="0.2"/>
    <n v="4.2666000000000004"/>
    <n v="2.9537999999999998"/>
    <n v="5"/>
  </r>
  <r>
    <n v="760"/>
    <s v="HS27"/>
    <d v="2023-01-30T00:00:00"/>
    <x v="0"/>
    <x v="2"/>
    <s v="Standard Class"/>
    <s v="BF-11020"/>
    <s v="OFF-PA-10002377"/>
    <n v="100"/>
    <n v="28"/>
    <n v="28.000000000000004"/>
    <x v="3"/>
    <s v="Car Batteries"/>
    <s v="INR"/>
    <n v="333026"/>
    <s v="INDIA"/>
    <x v="16"/>
    <m/>
    <n v="22.72"/>
    <n v="4"/>
    <n v="0.1"/>
    <n v="10.224"/>
    <n v="3.1239999999999997"/>
    <n v="1"/>
  </r>
  <r>
    <n v="761"/>
    <s v="CV15"/>
    <d v="2023-01-31T00:00:00"/>
    <x v="0"/>
    <x v="2"/>
    <s v="Standard Class"/>
    <s v="AR-10510"/>
    <s v="OFF-PA-10003441"/>
    <n v="160"/>
    <n v="18"/>
    <n v="11.25"/>
    <x v="6"/>
    <s v="Learning Toys"/>
    <m/>
    <n v="248001"/>
    <s v="INDIA"/>
    <x v="18"/>
    <m/>
    <n v="58.32"/>
    <n v="9"/>
    <n v="0.1"/>
    <n v="27.993600000000001"/>
    <n v="3.3696000000000002"/>
    <n v="1"/>
  </r>
  <r>
    <n v="762"/>
    <s v="JH20"/>
    <d v="2023-02-01T00:00:00"/>
    <x v="1"/>
    <x v="2"/>
    <s v="Standard Class"/>
    <s v="JC-16105"/>
    <s v="OFF-LA-10004484"/>
    <n v="100"/>
    <n v="6"/>
    <n v="6"/>
    <x v="7"/>
    <s v="Energy Drinks"/>
    <s v="INR"/>
    <n v="122018"/>
    <s v="INDIA"/>
    <x v="3"/>
    <m/>
    <n v="12.39"/>
    <n v="3"/>
    <n v="0.1"/>
    <n v="5.6993999999999998"/>
    <n v="2.2302000000000004"/>
    <n v="4"/>
  </r>
  <r>
    <n v="763"/>
    <s v="QZ26"/>
    <d v="2023-02-02T00:00:00"/>
    <x v="1"/>
    <x v="2"/>
    <s v="Standard Class"/>
    <s v="LH-17020"/>
    <s v="TEC-PH-10003931"/>
    <n v="240"/>
    <n v="10"/>
    <n v="4.1666666666666661"/>
    <x v="8"/>
    <s v="Pet Grooming Kits"/>
    <s v="INR"/>
    <n v="825301"/>
    <s v="INDIA"/>
    <x v="7"/>
    <s v="Easy Ship"/>
    <n v="107.982"/>
    <n v="3"/>
    <n v="0.4"/>
    <n v="-26.9955"/>
    <n v="44.9925"/>
    <n v="4"/>
  </r>
  <r>
    <n v="764"/>
    <s v="ZS21"/>
    <d v="2023-02-03T00:00:00"/>
    <x v="1"/>
    <x v="2"/>
    <s v="Second Class"/>
    <s v="CS-12250"/>
    <s v="OFF-EN-10001990"/>
    <n v="160"/>
    <n v="6"/>
    <n v="3.75"/>
    <x v="2"/>
    <s v="Women’s Jewelry"/>
    <s v="INR"/>
    <n v="500032"/>
    <s v="INDIA"/>
    <x v="4"/>
    <m/>
    <n v="11.36"/>
    <n v="2"/>
    <n v="0.1"/>
    <n v="5.3391999999999999"/>
    <n v="3.0103999999999997"/>
    <n v="4"/>
  </r>
  <r>
    <n v="765"/>
    <s v="CC79"/>
    <d v="2023-02-04T00:00:00"/>
    <x v="1"/>
    <x v="2"/>
    <s v="Second Class"/>
    <s v="CS-12250"/>
    <s v="OFF-EN-10001532"/>
    <n v="190"/>
    <n v="18"/>
    <n v="9.4736842105263168"/>
    <x v="4"/>
    <s v="Smart Tablets"/>
    <s v="INR"/>
    <n v="400059"/>
    <s v="INDIA"/>
    <x v="19"/>
    <m/>
    <n v="50.94"/>
    <n v="3"/>
    <n v="0.1"/>
    <n v="25.47"/>
    <n v="8.49"/>
    <n v="5"/>
  </r>
  <r>
    <n v="766"/>
    <s v="MI71"/>
    <d v="2023-02-05T00:00:00"/>
    <x v="1"/>
    <x v="2"/>
    <s v="Second Class"/>
    <s v="CS-12250"/>
    <s v="TEC-AC-10003174"/>
    <n v="200"/>
    <n v="22"/>
    <n v="11"/>
    <x v="0"/>
    <s v="Children’s Comics"/>
    <m/>
    <n v="403401"/>
    <s v="INDIA"/>
    <x v="3"/>
    <m/>
    <n v="646.74"/>
    <n v="6"/>
    <n v="0.1"/>
    <n v="258.69600000000003"/>
    <n v="64.673999999999992"/>
    <n v="5"/>
  </r>
  <r>
    <n v="767"/>
    <s v="AI25"/>
    <d v="2023-02-06T00:00:00"/>
    <x v="1"/>
    <x v="2"/>
    <s v="Second Class"/>
    <s v="CS-12250"/>
    <s v="OFF-BI-10004187"/>
    <n v="190"/>
    <n v="26"/>
    <n v="13.684210526315791"/>
    <x v="1"/>
    <s v="Table Tennis Rackets"/>
    <s v="INR"/>
    <n v="583219"/>
    <s v="INDIA"/>
    <x v="3"/>
    <s v="Easy Ship"/>
    <n v="5.64"/>
    <n v="3"/>
    <n v="0.1"/>
    <n v="2.7071999999999998"/>
    <n v="0.97759999999999991"/>
    <n v="5"/>
  </r>
  <r>
    <n v="768"/>
    <s v="VI48"/>
    <d v="2023-02-07T00:00:00"/>
    <x v="1"/>
    <x v="2"/>
    <s v="Second Class"/>
    <s v="CS-12250"/>
    <s v="OFF-ST-10000025"/>
    <n v="160"/>
    <n v="24"/>
    <n v="15"/>
    <x v="4"/>
    <s v="Smart Plugs"/>
    <s v="INR"/>
    <n v="721607"/>
    <s v="INDIA"/>
    <x v="4"/>
    <s v="Easy Ship"/>
    <n v="572.58000000000004"/>
    <n v="6"/>
    <n v="0.1"/>
    <n v="34.354799999999997"/>
    <n v="89.704200000000014"/>
    <n v="3"/>
  </r>
  <r>
    <n v="769"/>
    <s v="HW90"/>
    <d v="2023-02-08T00:00:00"/>
    <x v="1"/>
    <x v="2"/>
    <s v="Standard Class"/>
    <s v="AJ-10795"/>
    <s v="FUR-FU-10004306"/>
    <n v="190"/>
    <n v="30"/>
    <n v="15.789473684210526"/>
    <x v="2"/>
    <s v="Women’s Flats"/>
    <s v="INR"/>
    <n v="125051"/>
    <s v="INDIA"/>
    <x v="0"/>
    <m/>
    <n v="310.88"/>
    <n v="2"/>
    <n v="0.2"/>
    <n v="23.315999999999999"/>
    <n v="143.78200000000001"/>
    <n v="1"/>
  </r>
  <r>
    <n v="770"/>
    <s v="MB43"/>
    <d v="2023-02-09T00:00:00"/>
    <x v="1"/>
    <x v="2"/>
    <s v="Standard Class"/>
    <s v="LE-16810"/>
    <s v="FUR-CH-10003746"/>
    <n v="240"/>
    <n v="18"/>
    <n v="7.5"/>
    <x v="5"/>
    <s v="Kitchen Mats"/>
    <s v="INR"/>
    <n v="682030"/>
    <s v="INDIA"/>
    <x v="0"/>
    <m/>
    <n v="641.96"/>
    <n v="2"/>
    <n v="0.1"/>
    <n v="179.74879999999999"/>
    <n v="231.10560000000004"/>
    <n v="3"/>
  </r>
  <r>
    <n v="771"/>
    <s v="ND74"/>
    <d v="2023-02-10T00:00:00"/>
    <x v="1"/>
    <x v="2"/>
    <s v="Standard Class"/>
    <s v="BV-11245"/>
    <s v="OFF-BI-10001036"/>
    <n v="120"/>
    <n v="8"/>
    <n v="6.666666666666667"/>
    <x v="3"/>
    <s v="Car Lights"/>
    <s v="INR"/>
    <n v="132041"/>
    <s v="INDIA"/>
    <x v="7"/>
    <m/>
    <n v="18.28"/>
    <n v="2"/>
    <n v="0.1"/>
    <n v="9.14"/>
    <n v="4.57"/>
    <n v="5"/>
  </r>
  <r>
    <n v="772"/>
    <s v="PK32"/>
    <d v="2023-02-11T00:00:00"/>
    <x v="1"/>
    <x v="2"/>
    <s v="Standard Class"/>
    <s v="BV-11245"/>
    <s v="TEC-PH-10004614"/>
    <n v="250"/>
    <n v="28"/>
    <n v="11.200000000000001"/>
    <x v="6"/>
    <s v="Playhouses"/>
    <s v="INR"/>
    <n v="695574"/>
    <s v="INDIA"/>
    <x v="0"/>
    <m/>
    <n v="207"/>
    <n v="3"/>
    <n v="0.1"/>
    <n v="51.75"/>
    <n v="51.75"/>
    <n v="2"/>
  </r>
  <r>
    <n v="773"/>
    <s v="UD90"/>
    <d v="2023-02-12T00:00:00"/>
    <x v="1"/>
    <x v="2"/>
    <s v="Standard Class"/>
    <s v="BV-11245"/>
    <s v="OFF-BI-10000301"/>
    <n v="160"/>
    <n v="22"/>
    <n v="13.750000000000002"/>
    <x v="7"/>
    <s v="Protein Powders"/>
    <m/>
    <n v="333026"/>
    <s v="INDIA"/>
    <x v="18"/>
    <m/>
    <n v="32.35"/>
    <n v="5"/>
    <n v="0.1"/>
    <n v="16.175000000000001"/>
    <n v="3.2350000000000003"/>
    <n v="3"/>
  </r>
  <r>
    <n v="774"/>
    <s v="JJ50"/>
    <d v="2023-02-13T00:00:00"/>
    <x v="1"/>
    <x v="2"/>
    <s v="Standard Class"/>
    <s v="BV-11245"/>
    <s v="OFF-BI-10003910"/>
    <n v="210"/>
    <n v="22"/>
    <n v="10.476190476190476"/>
    <x v="8"/>
    <s v="Pet Chew Toys"/>
    <s v="INR"/>
    <n v="600041"/>
    <s v="INDIA"/>
    <x v="10"/>
    <m/>
    <n v="7.71"/>
    <n v="1"/>
    <n v="0.1"/>
    <n v="3.4695"/>
    <n v="4.2404999999999999"/>
    <n v="5"/>
  </r>
  <r>
    <n v="775"/>
    <s v="FY79"/>
    <d v="2023-02-14T00:00:00"/>
    <x v="1"/>
    <x v="2"/>
    <s v="Standard Class"/>
    <s v="BV-11245"/>
    <s v="OFF-AR-10004648"/>
    <n v="120"/>
    <n v="16"/>
    <n v="13.333333333333334"/>
    <x v="2"/>
    <s v="Kids’ Accessories"/>
    <s v="INR"/>
    <n v="110095"/>
    <s v="INDIA"/>
    <x v="3"/>
    <m/>
    <n v="40.299999999999997"/>
    <n v="2"/>
    <n v="0.1"/>
    <n v="10.881"/>
    <n v="14.709499999999998"/>
    <n v="5"/>
  </r>
  <r>
    <n v="776"/>
    <s v="PL47"/>
    <d v="2023-02-15T00:00:00"/>
    <x v="1"/>
    <x v="2"/>
    <s v="Standard Class"/>
    <s v="BV-11245"/>
    <s v="FUR-FU-10002597"/>
    <n v="160"/>
    <n v="22"/>
    <n v="13.750000000000002"/>
    <x v="4"/>
    <s v="Smart Watches"/>
    <s v="INR"/>
    <m/>
    <s v="INDIA"/>
    <x v="0"/>
    <m/>
    <n v="34.58"/>
    <n v="7"/>
    <n v="0.1"/>
    <n v="14.5236"/>
    <n v="2.8651999999999993"/>
    <n v="1"/>
  </r>
  <r>
    <n v="777"/>
    <s v="MY49"/>
    <d v="2023-02-16T00:00:00"/>
    <x v="1"/>
    <x v="2"/>
    <s v="Standard Class"/>
    <s v="DL-12865"/>
    <s v="OFF-AR-10003405"/>
    <n v="220"/>
    <n v="20"/>
    <n v="9.0909090909090917"/>
    <x v="0"/>
    <s v="Children’s Poetry"/>
    <s v="INR"/>
    <m/>
    <m/>
    <x v="1"/>
    <m/>
    <n v="32.76"/>
    <n v="7"/>
    <n v="0.2"/>
    <n v="3.6855000000000002"/>
    <n v="4.1534999999999993"/>
    <n v="5"/>
  </r>
  <r>
    <n v="778"/>
    <s v="LM17"/>
    <d v="2023-02-17T00:00:00"/>
    <x v="1"/>
    <x v="2"/>
    <s v="First Class"/>
    <s v="NZ-18565"/>
    <s v="FUR-CH-10002335"/>
    <n v="220"/>
    <n v="28"/>
    <n v="12.727272727272727"/>
    <x v="1"/>
    <s v="Swimming Gear"/>
    <s v="INR"/>
    <n v="400601"/>
    <s v="INDIA"/>
    <x v="3"/>
    <m/>
    <n v="544.00800000000004"/>
    <n v="3"/>
    <n v="0.2"/>
    <n v="40.800600000000003"/>
    <n v="167.73580000000001"/>
    <n v="5"/>
  </r>
  <r>
    <n v="779"/>
    <s v="NF48"/>
    <d v="2023-02-18T00:00:00"/>
    <x v="1"/>
    <x v="2"/>
    <s v="First Class"/>
    <s v="NZ-18565"/>
    <s v="OFF-PA-10000157"/>
    <n v="150"/>
    <n v="24"/>
    <n v="16"/>
    <x v="4"/>
    <s v="Smart Routers"/>
    <s v="INR"/>
    <n v="560078"/>
    <s v="INDIA"/>
    <x v="1"/>
    <m/>
    <n v="59.94"/>
    <n v="3"/>
    <n v="0.1"/>
    <n v="28.171800000000001"/>
    <n v="10.589399999999999"/>
    <n v="2"/>
  </r>
  <r>
    <n v="780"/>
    <s v="HK88"/>
    <d v="2023-02-19T00:00:00"/>
    <x v="1"/>
    <x v="2"/>
    <s v="First Class"/>
    <s v="NZ-18565"/>
    <s v="OFF-PA-10001947"/>
    <n v="250"/>
    <n v="24"/>
    <n v="9.6"/>
    <x v="2"/>
    <s v="Men’s Belts"/>
    <s v="INR"/>
    <n v="587313"/>
    <s v="INDIA"/>
    <x v="18"/>
    <m/>
    <n v="23.92"/>
    <n v="4"/>
    <n v="0.1"/>
    <n v="11.720800000000001"/>
    <n v="3.0498000000000003"/>
    <n v="2"/>
  </r>
  <r>
    <n v="781"/>
    <s v="SK56"/>
    <d v="2023-02-20T00:00:00"/>
    <x v="1"/>
    <x v="2"/>
    <s v="First Class"/>
    <s v="NZ-18565"/>
    <s v="OFF-PA-10003657"/>
    <n v="230"/>
    <n v="24"/>
    <n v="10.434782608695652"/>
    <x v="5"/>
    <s v="Kitchen Trays"/>
    <s v="INR"/>
    <n v="342010"/>
    <s v="INDIA"/>
    <x v="12"/>
    <m/>
    <n v="4.28"/>
    <n v="1"/>
    <n v="0.1"/>
    <n v="1.9259999999999999"/>
    <n v="2.3540000000000001"/>
    <n v="2"/>
  </r>
  <r>
    <n v="782"/>
    <s v="JG16"/>
    <d v="2023-02-21T00:00:00"/>
    <x v="1"/>
    <x v="2"/>
    <s v="Second Class"/>
    <s v="BM-11785"/>
    <s v="OFF-BI-10001098"/>
    <n v="200"/>
    <n v="10"/>
    <n v="5"/>
    <x v="3"/>
    <s v="Car Mirrors"/>
    <s v="INR"/>
    <n v="342010"/>
    <s v="INDIA"/>
    <x v="11"/>
    <m/>
    <n v="32.07"/>
    <n v="5"/>
    <n v="0.7"/>
    <n v="-22.449000000000002"/>
    <n v="10.9038"/>
    <n v="3"/>
  </r>
  <r>
    <n v="783"/>
    <s v="HY32"/>
    <d v="2023-02-22T00:00:00"/>
    <x v="1"/>
    <x v="2"/>
    <s v="Second Class"/>
    <s v="BM-11785"/>
    <s v="TEC-AC-10002167"/>
    <n v="170"/>
    <n v="26"/>
    <n v="15.294117647058824"/>
    <x v="6"/>
    <s v="Board Puzzles"/>
    <s v="INR"/>
    <n v="410210"/>
    <s v="INDIA"/>
    <x v="17"/>
    <s v="Easy Ship"/>
    <n v="24"/>
    <n v="2"/>
    <n v="0.2"/>
    <n v="-2.7"/>
    <n v="13.35"/>
    <n v="5"/>
  </r>
  <r>
    <n v="784"/>
    <s v="XU35"/>
    <d v="2023-02-23T00:00:00"/>
    <x v="1"/>
    <x v="2"/>
    <s v="Second Class"/>
    <s v="BM-11785"/>
    <s v="FUR-BO-10004409"/>
    <n v="100"/>
    <n v="30"/>
    <n v="30"/>
    <x v="7"/>
    <s v="Herbal Teas"/>
    <s v="INR"/>
    <n v="431001"/>
    <s v="INDIA"/>
    <x v="4"/>
    <m/>
    <n v="35.49"/>
    <n v="1"/>
    <n v="0.5"/>
    <n v="-15.615600000000001"/>
    <n v="51.105600000000003"/>
    <n v="2"/>
  </r>
  <r>
    <n v="785"/>
    <s v="VE55"/>
    <d v="2023-02-24T00:00:00"/>
    <x v="1"/>
    <x v="2"/>
    <s v="Second Class"/>
    <s v="BM-11785"/>
    <s v="TEC-AC-10000057"/>
    <n v="200"/>
    <n v="24"/>
    <n v="12"/>
    <x v="8"/>
    <s v="Pet Beds"/>
    <s v="INR"/>
    <n v="110018"/>
    <s v="INDIA"/>
    <x v="3"/>
    <s v="Easy Ship"/>
    <n v="47.984000000000002"/>
    <n v="2"/>
    <n v="0.2"/>
    <n v="0.5998"/>
    <n v="23.6921"/>
    <n v="2"/>
  </r>
  <r>
    <n v="786"/>
    <s v="ED99"/>
    <d v="2023-02-25T00:00:00"/>
    <x v="1"/>
    <x v="2"/>
    <s v="Standard Class"/>
    <s v="EA-14035"/>
    <s v="OFF-EN-10000056"/>
    <n v="200"/>
    <n v="24"/>
    <n v="12"/>
    <x v="2"/>
    <s v="Women’s Skirts"/>
    <s v="INR"/>
    <n v="751002"/>
    <s v="INDIA"/>
    <x v="5"/>
    <s v="Easy Ship"/>
    <n v="186.69"/>
    <n v="3"/>
    <n v="0.1"/>
    <n v="87.744299999999996"/>
    <n v="32.981900000000003"/>
    <n v="2"/>
  </r>
  <r>
    <n v="787"/>
    <s v="QA78"/>
    <d v="2023-02-26T00:00:00"/>
    <x v="1"/>
    <x v="2"/>
    <s v="Second Class"/>
    <s v="CL-12565"/>
    <s v="OFF-BI-10000014"/>
    <n v="250"/>
    <n v="20"/>
    <n v="8"/>
    <x v="4"/>
    <s v="Smart Displays"/>
    <s v="INR"/>
    <n v="500076"/>
    <s v="INDIA"/>
    <x v="5"/>
    <m/>
    <n v="17.456"/>
    <n v="2"/>
    <n v="0.2"/>
    <n v="5.8914"/>
    <n v="5.7822999999999993"/>
    <n v="1"/>
  </r>
  <r>
    <n v="788"/>
    <s v="HQ81"/>
    <d v="2023-02-27T00:00:00"/>
    <x v="1"/>
    <x v="2"/>
    <s v="Standard Class"/>
    <s v="LT-17110"/>
    <s v="FUR-CH-10004675"/>
    <n v="160"/>
    <n v="28"/>
    <n v="17.5"/>
    <x v="0"/>
    <s v="Children’s Activity Books"/>
    <m/>
    <n v="570007"/>
    <s v="INDIA"/>
    <x v="0"/>
    <m/>
    <n v="348.928"/>
    <n v="2"/>
    <n v="0.2"/>
    <n v="34.892800000000001"/>
    <n v="157.01759999999999"/>
    <n v="2"/>
  </r>
  <r>
    <n v="789"/>
    <s v="NM38"/>
    <d v="2023-02-28T00:00:00"/>
    <x v="1"/>
    <x v="2"/>
    <s v="Standard Class"/>
    <s v="SA-20830"/>
    <s v="OFF-BI-10001543"/>
    <n v="230"/>
    <n v="10"/>
    <n v="4.3478260869565215"/>
    <x v="1"/>
    <s v="Rowing Machines"/>
    <s v="INR"/>
    <n v="524001"/>
    <s v="INDIA"/>
    <x v="3"/>
    <s v="Easy Ship"/>
    <n v="143.96"/>
    <n v="4"/>
    <n v="0.1"/>
    <n v="69.100800000000007"/>
    <n v="18.7148"/>
    <n v="3"/>
  </r>
  <r>
    <n v="790"/>
    <s v="NQ56"/>
    <d v="2023-03-01T00:00:00"/>
    <x v="2"/>
    <x v="2"/>
    <s v="Standard Class"/>
    <s v="SA-20830"/>
    <s v="OFF-ST-10001321"/>
    <n v="210"/>
    <n v="8"/>
    <n v="3.8095238095238098"/>
    <x v="4"/>
    <s v="Smart Remotes"/>
    <s v="INR"/>
    <n v="713102"/>
    <s v="INDIA"/>
    <x v="19"/>
    <m/>
    <n v="15.42"/>
    <n v="1"/>
    <n v="0.1"/>
    <n v="4.1634000000000002"/>
    <n v="11.256599999999999"/>
    <n v="2"/>
  </r>
  <r>
    <n v="791"/>
    <s v="JZ98"/>
    <d v="2023-03-02T00:00:00"/>
    <x v="2"/>
    <x v="2"/>
    <s v="Standard Class"/>
    <s v="SA-20830"/>
    <s v="OFF-BI-10001132"/>
    <n v="230"/>
    <n v="10"/>
    <n v="4.3478260869565215"/>
    <x v="2"/>
    <s v="Men’s Jackets"/>
    <s v="INR"/>
    <n v="641035"/>
    <s v="INDIA"/>
    <x v="7"/>
    <m/>
    <n v="43.04"/>
    <n v="8"/>
    <n v="0.1"/>
    <n v="21.089600000000001"/>
    <n v="2.7437999999999998"/>
    <n v="5"/>
  </r>
  <r>
    <n v="792"/>
    <s v="KE22"/>
    <d v="2023-03-03T00:00:00"/>
    <x v="2"/>
    <x v="2"/>
    <s v="Standard Class"/>
    <s v="SA-20830"/>
    <s v="FUR-CH-10003199"/>
    <n v="220"/>
    <n v="6"/>
    <n v="2.7272727272727271"/>
    <x v="5"/>
    <s v="Kitchen Organizers"/>
    <s v="INR"/>
    <n v="641027"/>
    <s v="INDIA"/>
    <x v="19"/>
    <m/>
    <n v="332.94"/>
    <n v="3"/>
    <n v="0.1"/>
    <n v="79.905600000000007"/>
    <n v="84.344800000000006"/>
    <n v="5"/>
  </r>
  <r>
    <n v="793"/>
    <s v="BW56"/>
    <d v="2023-03-04T00:00:00"/>
    <x v="2"/>
    <x v="2"/>
    <s v="Same Day"/>
    <s v="JK-15730"/>
    <s v="TEC-PH-10001530"/>
    <n v="250"/>
    <n v="6"/>
    <n v="2.4"/>
    <x v="3"/>
    <s v="Car Wipers"/>
    <s v="INR"/>
    <n v="500072"/>
    <s v="INDIA"/>
    <x v="1"/>
    <m/>
    <n v="1363.96"/>
    <n v="5"/>
    <n v="0.2"/>
    <n v="85.247500000000002"/>
    <n v="255.74250000000001"/>
    <n v="1"/>
  </r>
  <r>
    <n v="794"/>
    <s v="ZS71"/>
    <d v="2023-03-05T00:00:00"/>
    <x v="2"/>
    <x v="2"/>
    <s v="Standard Class"/>
    <s v="ES-14020"/>
    <s v="OFF-LA-10001569"/>
    <n v="170"/>
    <n v="26"/>
    <n v="15.294117647058824"/>
    <x v="6"/>
    <s v="Play Kitchens"/>
    <s v="INR"/>
    <n v="302001"/>
    <s v="INDIA"/>
    <x v="18"/>
    <m/>
    <n v="9.9600000000000009"/>
    <n v="2"/>
    <n v="0.1"/>
    <n v="4.5815999999999999"/>
    <n v="2.6892000000000005"/>
    <n v="3"/>
  </r>
  <r>
    <n v="795"/>
    <s v="KB62"/>
    <d v="2023-03-06T00:00:00"/>
    <x v="2"/>
    <x v="2"/>
    <s v="Standard Class"/>
    <s v="ES-14020"/>
    <s v="OFF-PA-10003724"/>
    <n v="230"/>
    <n v="16"/>
    <n v="6.9565217391304346"/>
    <x v="7"/>
    <s v="Protein Bars"/>
    <s v="INR"/>
    <n v="620017"/>
    <s v="INDIA"/>
    <x v="9"/>
    <m/>
    <n v="21.72"/>
    <n v="4"/>
    <n v="0.1"/>
    <n v="10.642799999999999"/>
    <n v="2.7692999999999999"/>
    <n v="1"/>
  </r>
  <r>
    <n v="796"/>
    <s v="IP93"/>
    <d v="2023-03-07T00:00:00"/>
    <x v="2"/>
    <x v="2"/>
    <s v="Standard Class"/>
    <s v="RH-19495"/>
    <s v="OFF-BI-10000546"/>
    <n v="170"/>
    <n v="8"/>
    <n v="4.7058823529411766"/>
    <x v="8"/>
    <s v="Pet Towels"/>
    <s v="INR"/>
    <n v="110089"/>
    <s v="INDIA"/>
    <x v="12"/>
    <m/>
    <n v="20.16"/>
    <n v="7"/>
    <n v="0.1"/>
    <n v="9.8783999999999992"/>
    <n v="1.4688000000000001"/>
    <n v="1"/>
  </r>
  <r>
    <n v="797"/>
    <s v="UU50"/>
    <d v="2023-03-08T00:00:00"/>
    <x v="2"/>
    <x v="2"/>
    <s v="First Class"/>
    <s v="DB-13120"/>
    <s v="OFF-PA-10000176"/>
    <n v="240"/>
    <n v="26"/>
    <n v="10.833333333333334"/>
    <x v="2"/>
    <s v="Women’s Sunglasses"/>
    <s v="INR"/>
    <n v="560061"/>
    <s v="INDIA"/>
    <x v="4"/>
    <m/>
    <n v="132.79"/>
    <n v="7"/>
    <n v="0.1"/>
    <n v="63.739199999999997"/>
    <n v="9.8643999999999998"/>
    <n v="1"/>
  </r>
  <r>
    <n v="798"/>
    <s v="GK50"/>
    <d v="2023-03-09T00:00:00"/>
    <x v="2"/>
    <x v="2"/>
    <s v="First Class"/>
    <s v="DB-13120"/>
    <s v="OFF-PA-10002365"/>
    <n v="170"/>
    <n v="12"/>
    <n v="7.0588235294117645"/>
    <x v="4"/>
    <s v="Smart Sensors"/>
    <m/>
    <n v="560077"/>
    <s v="INDIA"/>
    <x v="17"/>
    <m/>
    <n v="12.96"/>
    <n v="2"/>
    <n v="0.1"/>
    <n v="6.2207999999999997"/>
    <n v="3.3696000000000006"/>
    <n v="5"/>
  </r>
  <r>
    <n v="799"/>
    <s v="JO95"/>
    <d v="2023-03-10T00:00:00"/>
    <x v="2"/>
    <x v="2"/>
    <s v="First Class"/>
    <s v="DB-13120"/>
    <s v="OFF-LA-10002271"/>
    <n v="150"/>
    <n v="10"/>
    <n v="6.666666666666667"/>
    <x v="0"/>
    <s v="Children’s Storybooks"/>
    <s v="INR"/>
    <n v="482001"/>
    <s v="INDIA"/>
    <x v="1"/>
    <s v="Easy Ship"/>
    <n v="21.56"/>
    <n v="7"/>
    <n v="0.1"/>
    <n v="10.348800000000001"/>
    <n v="1.6015999999999997"/>
    <n v="1"/>
  </r>
  <r>
    <n v="800"/>
    <s v="FI31"/>
    <d v="2023-03-11T00:00:00"/>
    <x v="2"/>
    <x v="2"/>
    <s v="Standard Class"/>
    <s v="CD-11920"/>
    <s v="FUR-CH-10002647"/>
    <n v="110"/>
    <n v="10"/>
    <n v="9.0909090909090917"/>
    <x v="1"/>
    <s v="Elliptical Trainers"/>
    <s v="INR"/>
    <n v="751003"/>
    <s v="INDIA"/>
    <x v="16"/>
    <s v="Easy Ship"/>
    <n v="283.92"/>
    <n v="5"/>
    <n v="0.2"/>
    <n v="17.745000000000001"/>
    <n v="53.234999999999999"/>
    <n v="5"/>
  </r>
  <r>
    <n v="801"/>
    <s v="YV47"/>
    <d v="2023-03-12T00:00:00"/>
    <x v="2"/>
    <x v="2"/>
    <s v="First Class"/>
    <s v="HW-14935"/>
    <s v="FUR-FU-10004090"/>
    <n v="210"/>
    <n v="18"/>
    <n v="8.5714285714285712"/>
    <x v="4"/>
    <s v="Smart Thermostats"/>
    <s v="INR"/>
    <n v="590006"/>
    <s v="INDIA"/>
    <x v="0"/>
    <m/>
    <n v="22.23"/>
    <n v="1"/>
    <n v="0.1"/>
    <n v="7.3358999999999996"/>
    <n v="14.894100000000002"/>
    <n v="3"/>
  </r>
  <r>
    <n v="802"/>
    <s v="SZ26"/>
    <d v="2023-03-13T00:00:00"/>
    <x v="2"/>
    <x v="2"/>
    <s v="First Class"/>
    <s v="HW-14935"/>
    <s v="TEC-PH-10001580"/>
    <n v="170"/>
    <n v="6"/>
    <n v="3.5294117647058822"/>
    <x v="2"/>
    <s v="Kids’ Dresses"/>
    <s v="INR"/>
    <n v="560040"/>
    <s v="INDIA"/>
    <x v="19"/>
    <s v="Easy Ship"/>
    <n v="215.96799999999999"/>
    <n v="2"/>
    <n v="0.2"/>
    <n v="18.897200000000002"/>
    <n v="98.535399999999996"/>
    <n v="1"/>
  </r>
  <r>
    <n v="803"/>
    <s v="RT66"/>
    <d v="2023-03-14T00:00:00"/>
    <x v="2"/>
    <x v="2"/>
    <s v="Second Class"/>
    <s v="HW-14935"/>
    <s v="OFF-AP-10000576"/>
    <n v="130"/>
    <n v="26"/>
    <n v="20"/>
    <x v="5"/>
    <s v="Kitchen Containers"/>
    <s v="INR"/>
    <n v="400028"/>
    <s v="INDIA"/>
    <x v="9"/>
    <s v="Easy Ship"/>
    <n v="355.32"/>
    <n v="9"/>
    <n v="0.1"/>
    <n v="99.489599999999996"/>
    <n v="28.425599999999999"/>
    <n v="3"/>
  </r>
  <r>
    <n v="804"/>
    <s v="NT82"/>
    <d v="2023-03-15T00:00:00"/>
    <x v="2"/>
    <x v="2"/>
    <s v="Standard Class"/>
    <s v="MC-18130"/>
    <s v="OFF-PA-10003953"/>
    <n v="110"/>
    <n v="18"/>
    <n v="16.363636363636363"/>
    <x v="3"/>
    <s v="Car Steering Covers"/>
    <s v="INR"/>
    <n v="600017"/>
    <s v="INDIA"/>
    <x v="1"/>
    <m/>
    <n v="12.96"/>
    <n v="2"/>
    <n v="0.1"/>
    <n v="6.2207999999999997"/>
    <n v="3.3696000000000006"/>
    <n v="4"/>
  </r>
  <r>
    <n v="805"/>
    <s v="HF80"/>
    <d v="2023-03-16T00:00:00"/>
    <x v="2"/>
    <x v="2"/>
    <s v="First Class"/>
    <s v="GM-14440"/>
    <s v="FUR-FU-10000794"/>
    <n v="180"/>
    <n v="28"/>
    <n v="15.555555555555555"/>
    <x v="6"/>
    <s v="Construction Sets"/>
    <s v="INR"/>
    <n v="411060"/>
    <s v="INDIA"/>
    <x v="3"/>
    <m/>
    <n v="18.28"/>
    <n v="2"/>
    <n v="0.1"/>
    <n v="6.2152000000000003"/>
    <n v="6.0324000000000009"/>
    <n v="2"/>
  </r>
  <r>
    <n v="806"/>
    <s v="NB78"/>
    <d v="2023-03-17T00:00:00"/>
    <x v="2"/>
    <x v="2"/>
    <s v="Standard Class"/>
    <s v="RA-19915"/>
    <s v="OFF-AR-10001897"/>
    <n v="190"/>
    <n v="16"/>
    <n v="8.4210526315789469"/>
    <x v="7"/>
    <s v="Juices"/>
    <m/>
    <n v="380059"/>
    <s v="INDIA"/>
    <x v="1"/>
    <m/>
    <n v="43.176000000000002"/>
    <n v="3"/>
    <n v="0.2"/>
    <n v="4.3175999999999997"/>
    <n v="12.952800000000002"/>
    <n v="5"/>
  </r>
  <r>
    <n v="807"/>
    <s v="UD52"/>
    <d v="2023-03-18T00:00:00"/>
    <x v="2"/>
    <x v="2"/>
    <s v="Standard Class"/>
    <s v="RA-19915"/>
    <s v="TEC-PH-10001795"/>
    <n v="150"/>
    <n v="20"/>
    <n v="13.333333333333334"/>
    <x v="8"/>
    <s v="Pet Harnesses"/>
    <s v="INR"/>
    <n v="201014"/>
    <s v="INDIA"/>
    <x v="3"/>
    <m/>
    <n v="1983.9680000000001"/>
    <n v="4"/>
    <n v="0.2"/>
    <n v="247.99600000000001"/>
    <n v="433.99299999999999"/>
    <n v="5"/>
  </r>
  <r>
    <n v="808"/>
    <s v="XV30"/>
    <d v="2023-03-19T00:00:00"/>
    <x v="2"/>
    <x v="2"/>
    <s v="First Class"/>
    <s v="AA-10375"/>
    <s v="FUR-FU-10003347"/>
    <n v="240"/>
    <n v="14"/>
    <n v="5.833333333333333"/>
    <x v="2"/>
    <s v="Men’s Accessories"/>
    <s v="INR"/>
    <n v="785640"/>
    <s v="INDIA"/>
    <x v="0"/>
    <m/>
    <n v="28.4"/>
    <n v="2"/>
    <n v="0.1"/>
    <n v="11.076000000000001"/>
    <n v="8.661999999999999"/>
    <n v="4"/>
  </r>
  <r>
    <n v="809"/>
    <s v="AB98"/>
    <d v="2023-03-20T00:00:00"/>
    <x v="2"/>
    <x v="2"/>
    <s v="First Class"/>
    <s v="AA-10375"/>
    <s v="TEC-AC-10004901"/>
    <n v="160"/>
    <n v="22"/>
    <n v="13.750000000000002"/>
    <x v="4"/>
    <s v="Smart Home Hubs"/>
    <s v="INR"/>
    <n v="110084"/>
    <s v="INDIA"/>
    <x v="13"/>
    <m/>
    <n v="149.97"/>
    <n v="3"/>
    <n v="0.1"/>
    <n v="50.989800000000002"/>
    <n v="32.993400000000001"/>
    <n v="2"/>
  </r>
  <r>
    <n v="810"/>
    <s v="KS35"/>
    <d v="2023-03-21T00:00:00"/>
    <x v="2"/>
    <x v="2"/>
    <s v="First Class"/>
    <s v="ZC-21910"/>
    <s v="OFF-AR-10003190"/>
    <n v="140"/>
    <n v="30"/>
    <n v="21.428571428571427"/>
    <x v="0"/>
    <s v="Children’s Educational Books"/>
    <s v="INR"/>
    <n v="400060"/>
    <s v="INDIA"/>
    <x v="0"/>
    <m/>
    <n v="11.52"/>
    <n v="4"/>
    <n v="0.1"/>
    <n v="3.2256"/>
    <n v="2.0735999999999999"/>
    <n v="1"/>
  </r>
  <r>
    <n v="811"/>
    <s v="SL16"/>
    <d v="2023-03-22T00:00:00"/>
    <x v="2"/>
    <x v="2"/>
    <s v="First Class"/>
    <s v="ZC-21910"/>
    <s v="FUR-TA-10002903"/>
    <n v="240"/>
    <n v="26"/>
    <n v="10.833333333333334"/>
    <x v="1"/>
    <s v="Archery Gear"/>
    <s v="INR"/>
    <n v="400092"/>
    <s v="INDIA"/>
    <x v="1"/>
    <m/>
    <n v="1298.55"/>
    <n v="5"/>
    <n v="0.1"/>
    <n v="311.65199999999999"/>
    <n v="197.37959999999998"/>
    <n v="1"/>
  </r>
  <r>
    <n v="812"/>
    <s v="FF68"/>
    <d v="2023-03-23T00:00:00"/>
    <x v="2"/>
    <x v="2"/>
    <s v="First Class"/>
    <s v="ZC-21910"/>
    <s v="OFF-AP-10000240"/>
    <n v="140"/>
    <n v="30"/>
    <n v="21.428571428571427"/>
    <x v="4"/>
    <s v="Smart Switches"/>
    <s v="INR"/>
    <n v="785640"/>
    <s v="INDIA"/>
    <x v="1"/>
    <s v="Easy Ship"/>
    <n v="213.92"/>
    <n v="4"/>
    <n v="0.1"/>
    <n v="62.036799999999999"/>
    <n v="37.970799999999997"/>
    <n v="2"/>
  </r>
  <r>
    <n v="813"/>
    <s v="LB29"/>
    <d v="2023-03-24T00:00:00"/>
    <x v="2"/>
    <x v="2"/>
    <s v="First Class"/>
    <s v="ZC-21910"/>
    <s v="TEC-AC-10001101"/>
    <n v="230"/>
    <n v="10"/>
    <n v="4.3478260869565215"/>
    <x v="2"/>
    <s v="Women’s Scarves"/>
    <s v="INR"/>
    <n v="509001"/>
    <s v="INDIA"/>
    <x v="5"/>
    <m/>
    <n v="25.78"/>
    <n v="2"/>
    <n v="0.1"/>
    <n v="2.5779999999999998"/>
    <n v="11.601000000000001"/>
    <n v="3"/>
  </r>
  <r>
    <n v="814"/>
    <s v="LJ59"/>
    <d v="2023-03-25T00:00:00"/>
    <x v="2"/>
    <x v="2"/>
    <s v="Same Day"/>
    <s v="PJ-19015"/>
    <s v="FUR-FU-10000794"/>
    <n v="100"/>
    <n v="6"/>
    <n v="6"/>
    <x v="5"/>
    <s v="Kitchen Utensils"/>
    <s v="INR"/>
    <n v="533103"/>
    <s v="INDIA"/>
    <x v="14"/>
    <m/>
    <n v="18.28"/>
    <n v="2"/>
    <n v="0.1"/>
    <n v="6.2152000000000003"/>
    <n v="6.0324000000000009"/>
    <n v="3"/>
  </r>
  <r>
    <n v="815"/>
    <s v="MW47"/>
    <d v="2023-03-26T00:00:00"/>
    <x v="2"/>
    <x v="2"/>
    <s v="Same Day"/>
    <s v="PJ-19015"/>
    <s v="TEC-AC-10001838"/>
    <n v="240"/>
    <n v="14"/>
    <n v="5.833333333333333"/>
    <x v="3"/>
    <s v="Car Dash Cameras"/>
    <s v="INR"/>
    <n v="800014"/>
    <s v="INDIA"/>
    <x v="3"/>
    <m/>
    <n v="1399.93"/>
    <n v="7"/>
    <n v="0.1"/>
    <n v="601.96990000000005"/>
    <n v="113.9943"/>
    <n v="2"/>
  </r>
  <r>
    <n v="816"/>
    <s v="RI80"/>
    <d v="2023-03-27T00:00:00"/>
    <x v="2"/>
    <x v="2"/>
    <s v="First Class"/>
    <s v="BW-11110"/>
    <s v="OFF-PA-10000061"/>
    <n v="250"/>
    <n v="24"/>
    <n v="9.6"/>
    <x v="6"/>
    <s v="Role Play Sets"/>
    <s v="INR"/>
    <n v="400069"/>
    <s v="INDIA"/>
    <x v="16"/>
    <m/>
    <n v="51.84"/>
    <n v="8"/>
    <n v="0.1"/>
    <n v="24.883199999999999"/>
    <n v="3.3696000000000006"/>
    <n v="5"/>
  </r>
  <r>
    <n v="817"/>
    <s v="IB87"/>
    <d v="2023-03-28T00:00:00"/>
    <x v="2"/>
    <x v="2"/>
    <s v="Standard Class"/>
    <s v="DB-13210"/>
    <s v="OFF-PA-10003651"/>
    <n v="170"/>
    <n v="26"/>
    <n v="15.294117647058824"/>
    <x v="7"/>
    <s v="Pickles"/>
    <s v="INR"/>
    <n v="560029"/>
    <s v="INDIA"/>
    <x v="3"/>
    <m/>
    <n v="5.3440000000000003"/>
    <n v="1"/>
    <n v="0.2"/>
    <n v="1.8704000000000001"/>
    <n v="3.4736000000000002"/>
    <n v="2"/>
  </r>
  <r>
    <n v="818"/>
    <s v="BW88"/>
    <d v="2023-03-29T00:00:00"/>
    <x v="2"/>
    <x v="2"/>
    <s v="Standard Class"/>
    <s v="CA-12775"/>
    <s v="OFF-PA-10000304"/>
    <n v="180"/>
    <n v="26"/>
    <n v="14.444444444444443"/>
    <x v="8"/>
    <s v="Pet Blankets"/>
    <m/>
    <n v="608001"/>
    <s v="INDIA"/>
    <x v="7"/>
    <m/>
    <n v="41.472000000000001"/>
    <n v="8"/>
    <n v="0.2"/>
    <n v="14.5152"/>
    <n v="3.3696000000000002"/>
    <n v="2"/>
  </r>
  <r>
    <n v="819"/>
    <s v="GI13"/>
    <d v="2023-03-30T00:00:00"/>
    <x v="2"/>
    <x v="2"/>
    <s v="Standard Class"/>
    <s v="CA-12775"/>
    <s v="OFF-BI-10003094"/>
    <n v="130"/>
    <n v="26"/>
    <n v="20"/>
    <x v="2"/>
    <s v="Men’s Sports Shoes"/>
    <s v="INR"/>
    <n v="560017"/>
    <s v="INDIA"/>
    <x v="13"/>
    <m/>
    <n v="3.1680000000000001"/>
    <n v="3"/>
    <n v="0.7"/>
    <n v="-2.4287999999999998"/>
    <n v="1.8655999999999999"/>
    <n v="1"/>
  </r>
  <r>
    <n v="820"/>
    <s v="AJ50"/>
    <d v="2023-03-31T00:00:00"/>
    <x v="2"/>
    <x v="2"/>
    <s v="Standard Class"/>
    <s v="CA-12775"/>
    <s v="FUR-CH-10001394"/>
    <n v="190"/>
    <n v="22"/>
    <n v="11.578947368421053"/>
    <x v="4"/>
    <s v="Speakers"/>
    <s v="INR"/>
    <n v="400701"/>
    <s v="INDIA"/>
    <x v="17"/>
    <s v="Easy Ship"/>
    <n v="1228.4649999999999"/>
    <n v="5"/>
    <n v="0.3"/>
    <n v="0.1"/>
    <n v="245.673"/>
    <n v="4"/>
  </r>
  <r>
    <n v="821"/>
    <s v="ZX99"/>
    <d v="2023-04-01T00:00:00"/>
    <x v="3"/>
    <x v="2"/>
    <s v="Standard Class"/>
    <s v="CA-12775"/>
    <s v="OFF-BI-10004230"/>
    <n v="240"/>
    <n v="14"/>
    <n v="5.833333333333333"/>
    <x v="1"/>
    <s v="Badminton Gear"/>
    <s v="INR"/>
    <n v="500094"/>
    <s v="INDIA"/>
    <x v="2"/>
    <m/>
    <n v="31.085999999999999"/>
    <n v="3"/>
    <n v="0.7"/>
    <n v="-22.796399999999998"/>
    <n v="17.960799999999999"/>
    <n v="5"/>
  </r>
  <r>
    <n v="822"/>
    <s v="MZ71"/>
    <d v="2023-04-02T00:00:00"/>
    <x v="3"/>
    <x v="2"/>
    <s v="Standard Class"/>
    <s v="CA-12775"/>
    <s v="OFF-PA-10003395"/>
    <n v="190"/>
    <n v="20"/>
    <n v="10.526315789473683"/>
    <x v="0"/>
    <s v="Anthologies"/>
    <s v="INR"/>
    <n v="673506"/>
    <s v="INDIA"/>
    <x v="3"/>
    <m/>
    <n v="335.52"/>
    <n v="4"/>
    <n v="0.2"/>
    <n v="117.432"/>
    <n v="54.521999999999991"/>
    <n v="3"/>
  </r>
  <r>
    <n v="823"/>
    <s v="VF76"/>
    <d v="2023-04-03T00:00:00"/>
    <x v="3"/>
    <x v="2"/>
    <s v="Standard Class"/>
    <s v="TR-21325"/>
    <s v="TEC-AC-10002402"/>
    <n v="150"/>
    <n v="22"/>
    <n v="14.666666666666666"/>
    <x v="5"/>
    <s v="Kitchen Racks"/>
    <s v="INR"/>
    <n v="721305"/>
    <s v="INDIA"/>
    <x v="0"/>
    <m/>
    <n v="239.97"/>
    <n v="3"/>
    <n v="0.1"/>
    <n v="71.991"/>
    <n v="55.992999999999995"/>
    <n v="5"/>
  </r>
  <r>
    <n v="824"/>
    <s v="MG74"/>
    <d v="2023-04-04T00:00:00"/>
    <x v="3"/>
    <x v="2"/>
    <s v="Standard Class"/>
    <s v="TR-21325"/>
    <s v="OFF-LA-10003223"/>
    <n v="250"/>
    <n v="30"/>
    <n v="12"/>
    <x v="3"/>
    <s v="Car Horns"/>
    <s v="INR"/>
    <n v="721305"/>
    <s v="INDIA"/>
    <x v="10"/>
    <m/>
    <n v="9.82"/>
    <n v="2"/>
    <n v="0.1"/>
    <n v="4.8117999999999999"/>
    <n v="2.5041000000000002"/>
    <n v="3"/>
  </r>
  <r>
    <n v="825"/>
    <s v="AQ48"/>
    <d v="2023-04-05T00:00:00"/>
    <x v="3"/>
    <x v="2"/>
    <s v="Standard Class"/>
    <s v="PG-18820"/>
    <s v="TEC-AC-10003441"/>
    <n v="120"/>
    <n v="24"/>
    <n v="20"/>
    <x v="6"/>
    <s v="Magic Kits"/>
    <s v="INR"/>
    <n v="721305"/>
    <s v="INDIA"/>
    <x v="2"/>
    <m/>
    <n v="67.8"/>
    <n v="4"/>
    <n v="0.1"/>
    <n v="4.0679999999999996"/>
    <n v="15.933"/>
    <n v="1"/>
  </r>
  <r>
    <n v="826"/>
    <s v="KC41"/>
    <d v="2023-04-06T00:00:00"/>
    <x v="3"/>
    <x v="2"/>
    <s v="Standard Class"/>
    <s v="PG-18820"/>
    <s v="TEC-AC-10000109"/>
    <n v="250"/>
    <n v="8"/>
    <n v="3.2"/>
    <x v="7"/>
    <s v="Chocolates"/>
    <s v="INR"/>
    <n v="411017"/>
    <s v="INDIA"/>
    <x v="19"/>
    <m/>
    <n v="167.97"/>
    <n v="3"/>
    <n v="0.1"/>
    <n v="40.312800000000003"/>
    <n v="42.552399999999999"/>
    <n v="2"/>
  </r>
  <r>
    <n v="827"/>
    <s v="VM88"/>
    <d v="2023-04-07T00:00:00"/>
    <x v="3"/>
    <x v="2"/>
    <s v="Standard Class"/>
    <s v="GT-14710"/>
    <s v="OFF-FA-10002280"/>
    <n v="120"/>
    <n v="18"/>
    <n v="15"/>
    <x v="8"/>
    <s v="Pet Harnesses"/>
    <s v="INR"/>
    <n v="700041"/>
    <s v="INDIA"/>
    <x v="2"/>
    <s v="Easy Ship"/>
    <n v="35"/>
    <n v="7"/>
    <n v="0.1"/>
    <n v="16.8"/>
    <n v="2.6"/>
    <n v="4"/>
  </r>
  <r>
    <n v="828"/>
    <s v="DT73"/>
    <d v="2023-04-08T00:00:00"/>
    <x v="3"/>
    <x v="2"/>
    <s v="Standard Class"/>
    <s v="GT-14710"/>
    <s v="OFF-SU-10000381"/>
    <n v="160"/>
    <n v="24"/>
    <n v="15"/>
    <x v="2"/>
    <s v="Women’s Coats"/>
    <s v="INR"/>
    <n v="683110"/>
    <s v="INDIA"/>
    <x v="10"/>
    <m/>
    <n v="37.24"/>
    <n v="4"/>
    <n v="0.1"/>
    <n v="10.7996"/>
    <n v="6.610100000000001"/>
    <n v="4"/>
  </r>
  <r>
    <n v="829"/>
    <s v="YK79"/>
    <d v="2023-04-09T00:00:00"/>
    <x v="3"/>
    <x v="2"/>
    <s v="Standard Class"/>
    <s v="GT-14710"/>
    <s v="OFF-EN-10004459"/>
    <n v="250"/>
    <n v="8"/>
    <n v="3.2"/>
    <x v="4"/>
    <s v="Digital Cameras"/>
    <s v="INR"/>
    <n v="641034"/>
    <s v="INDIA"/>
    <x v="12"/>
    <m/>
    <n v="15.28"/>
    <n v="2"/>
    <n v="0.1"/>
    <n v="7.4871999999999996"/>
    <n v="3.8963999999999999"/>
    <n v="5"/>
  </r>
  <r>
    <n v="830"/>
    <s v="WZ20"/>
    <d v="2023-04-10T00:00:00"/>
    <x v="3"/>
    <x v="2"/>
    <s v="Second Class"/>
    <s v="JE-15745"/>
    <s v="FUR-CH-10000665"/>
    <n v="110"/>
    <n v="16"/>
    <n v="14.545454545454545"/>
    <x v="0"/>
    <s v="Children’s Storybooks"/>
    <s v="INR"/>
    <n v="533005"/>
    <s v="INDIA"/>
    <x v="3"/>
    <s v="Easy Ship"/>
    <n v="301.95999999999998"/>
    <n v="2"/>
    <n v="0.1"/>
    <n v="90.587999999999994"/>
    <n v="105.68599999999999"/>
    <n v="4"/>
  </r>
  <r>
    <n v="831"/>
    <s v="DC56"/>
    <d v="2023-04-11T00:00:00"/>
    <x v="3"/>
    <x v="2"/>
    <s v="Second Class"/>
    <s v="JE-15745"/>
    <s v="OFF-AP-10003884"/>
    <n v="170"/>
    <n v="16"/>
    <n v="9.4117647058823533"/>
    <x v="1"/>
    <s v="Elliptical Trainers"/>
    <s v="INR"/>
    <n v="500018"/>
    <s v="INDIA"/>
    <x v="1"/>
    <m/>
    <n v="180.66"/>
    <n v="3"/>
    <n v="0.1"/>
    <n v="50.584800000000001"/>
    <n v="43.358399999999996"/>
    <n v="2"/>
  </r>
  <r>
    <n v="832"/>
    <s v="LY76"/>
    <d v="2023-04-12T00:00:00"/>
    <x v="3"/>
    <x v="2"/>
    <s v="Second Class"/>
    <s v="JE-15745"/>
    <s v="TEC-PH-10001557"/>
    <n v="150"/>
    <n v="24"/>
    <n v="16"/>
    <x v="4"/>
    <s v="Smart Thermostats"/>
    <s v="INR"/>
    <n v="614901"/>
    <s v="INDIA"/>
    <x v="13"/>
    <m/>
    <n v="191.98"/>
    <n v="2"/>
    <n v="0.1"/>
    <n v="51.834600000000002"/>
    <n v="70.072699999999998"/>
    <n v="3"/>
  </r>
  <r>
    <n v="833"/>
    <s v="WP41"/>
    <d v="2023-04-13T00:00:00"/>
    <x v="3"/>
    <x v="2"/>
    <s v="Second Class"/>
    <s v="JE-15745"/>
    <s v="TEC-PH-10002085"/>
    <n v="190"/>
    <n v="28"/>
    <n v="14.736842105263156"/>
    <x v="2"/>
    <s v="Kids’ Dresses"/>
    <s v="INR"/>
    <n v="600002"/>
    <s v="INDIA"/>
    <x v="1"/>
    <m/>
    <n v="65.989999999999995"/>
    <n v="1"/>
    <n v="0.1"/>
    <n v="17.157399999999999"/>
    <n v="48.832599999999999"/>
    <n v="3"/>
  </r>
  <r>
    <n v="834"/>
    <s v="WG96"/>
    <d v="2023-04-14T00:00:00"/>
    <x v="3"/>
    <x v="2"/>
    <s v="Standard Class"/>
    <s v="JB-15400"/>
    <s v="OFF-AR-10002956"/>
    <n v="140"/>
    <n v="24"/>
    <n v="17.142857142857142"/>
    <x v="5"/>
    <s v="Kitchen Knives"/>
    <s v="INR"/>
    <n v="226026"/>
    <s v="INDIA"/>
    <x v="12"/>
    <m/>
    <n v="35.216000000000001"/>
    <n v="2"/>
    <n v="0.2"/>
    <n v="2.6412"/>
    <n v="16.287400000000002"/>
    <n v="1"/>
  </r>
  <r>
    <n v="835"/>
    <s v="LF92"/>
    <d v="2023-04-15T00:00:00"/>
    <x v="3"/>
    <x v="2"/>
    <s v="Standard Class"/>
    <s v="JB-15400"/>
    <s v="OFF-AP-10003266"/>
    <n v="250"/>
    <n v="26"/>
    <n v="10.4"/>
    <x v="3"/>
    <s v="Car Steering Covers"/>
    <s v="INR"/>
    <n v="400607"/>
    <s v="INDIA"/>
    <x v="4"/>
    <m/>
    <n v="23.696000000000002"/>
    <n v="2"/>
    <n v="0.2"/>
    <n v="6.5164"/>
    <n v="8.5898000000000003"/>
    <n v="2"/>
  </r>
  <r>
    <n v="836"/>
    <s v="HO17"/>
    <d v="2023-04-16T00:00:00"/>
    <x v="3"/>
    <x v="2"/>
    <s v="Standard Class"/>
    <s v="JB-15400"/>
    <s v="TEC-MA-10004002"/>
    <n v="190"/>
    <n v="6"/>
    <n v="3.1578947368421053"/>
    <x v="6"/>
    <s v="Construction Sets"/>
    <m/>
    <n v="400066"/>
    <s v="INDIA"/>
    <x v="10"/>
    <m/>
    <n v="265.47500000000002"/>
    <n v="1"/>
    <n v="0.5"/>
    <n v="-111.4995"/>
    <n v="376.97450000000003"/>
    <n v="4"/>
  </r>
  <r>
    <n v="837"/>
    <s v="LN70"/>
    <d v="2023-04-17T00:00:00"/>
    <x v="3"/>
    <x v="2"/>
    <s v="Second Class"/>
    <s v="LH-17020"/>
    <s v="OFF-BI-10001071"/>
    <n v="120"/>
    <n v="8"/>
    <n v="6.666666666666667"/>
    <x v="7"/>
    <s v="Juices"/>
    <s v="INR"/>
    <n v="500018"/>
    <s v="INDIA"/>
    <x v="18"/>
    <s v="Easy Ship"/>
    <n v="51.183999999999997"/>
    <n v="4"/>
    <n v="0.8"/>
    <n v="-79.3352"/>
    <n v="32.629800000000003"/>
    <n v="4"/>
  </r>
  <r>
    <n v="838"/>
    <s v="NY44"/>
    <d v="2023-04-18T00:00:00"/>
    <x v="3"/>
    <x v="2"/>
    <s v="Standard Class"/>
    <s v="JL-15175"/>
    <s v="OFF-PA-10001560"/>
    <n v="220"/>
    <n v="10"/>
    <n v="4.5454545454545459"/>
    <x v="8"/>
    <s v="Pet Towels"/>
    <s v="INR"/>
    <n v="500018"/>
    <s v="INDIA"/>
    <x v="6"/>
    <m/>
    <n v="9.6639999999999997"/>
    <n v="2"/>
    <n v="0.2"/>
    <n v="3.2616000000000001"/>
    <n v="3.2012"/>
    <n v="5"/>
  </r>
  <r>
    <n v="839"/>
    <s v="KE88"/>
    <d v="2023-04-19T00:00:00"/>
    <x v="3"/>
    <x v="2"/>
    <s v="Standard Class"/>
    <s v="EB-13705"/>
    <s v="TEC-PH-10002365"/>
    <n v="210"/>
    <n v="8"/>
    <n v="3.8095238095238098"/>
    <x v="2"/>
    <s v="Men’s Accessories"/>
    <s v="INR"/>
    <n v="761200"/>
    <s v="INDIA"/>
    <x v="10"/>
    <m/>
    <n v="21.071999999999999"/>
    <n v="3"/>
    <n v="0.2"/>
    <n v="1.5804"/>
    <n v="6.4971999999999994"/>
    <n v="2"/>
  </r>
  <r>
    <n v="840"/>
    <s v="FJ34"/>
    <d v="2023-04-20T00:00:00"/>
    <x v="3"/>
    <x v="2"/>
    <s v="Standard Class"/>
    <s v="BM-11650"/>
    <s v="OFF-AR-10004648"/>
    <n v="130"/>
    <n v="22"/>
    <n v="16.923076923076923"/>
    <x v="4"/>
    <s v="Smart Speakers"/>
    <s v="INR"/>
    <n v="122101"/>
    <s v="INDIA"/>
    <x v="0"/>
    <m/>
    <n v="60.45"/>
    <n v="3"/>
    <n v="0.1"/>
    <n v="16.3215"/>
    <n v="14.7095"/>
    <n v="2"/>
  </r>
  <r>
    <n v="841"/>
    <s v="BA46"/>
    <d v="2023-04-21T00:00:00"/>
    <x v="3"/>
    <x v="2"/>
    <s v="Standard Class"/>
    <s v="BM-11650"/>
    <s v="OFF-AR-10002578"/>
    <n v="140"/>
    <n v="12"/>
    <n v="8.5714285714285712"/>
    <x v="1"/>
    <s v="Martial Arts Gear"/>
    <s v="INR"/>
    <n v="743235"/>
    <s v="INDIA"/>
    <x v="3"/>
    <m/>
    <n v="11.52"/>
    <n v="4"/>
    <n v="0.1"/>
    <n v="3.3408000000000002"/>
    <n v="2.0448"/>
    <n v="3"/>
  </r>
  <r>
    <n v="842"/>
    <s v="KC51"/>
    <d v="2023-04-22T00:00:00"/>
    <x v="3"/>
    <x v="2"/>
    <s v="Standard Class"/>
    <s v="BM-11650"/>
    <s v="FUR-BO-10001519"/>
    <n v="150"/>
    <n v="28"/>
    <n v="18.666666666666668"/>
    <x v="0"/>
    <s v="Encyclopedias"/>
    <s v="INR"/>
    <n v="393130"/>
    <s v="INDIA"/>
    <x v="18"/>
    <m/>
    <n v="186.048"/>
    <n v="4"/>
    <n v="0.2"/>
    <n v="9.3024000000000004"/>
    <n v="44.186399999999999"/>
    <n v="5"/>
  </r>
  <r>
    <n v="843"/>
    <s v="UO36"/>
    <d v="2023-04-23T00:00:00"/>
    <x v="3"/>
    <x v="2"/>
    <s v="First Class"/>
    <s v="EM-14095"/>
    <s v="OFF-BI-10001294"/>
    <n v="160"/>
    <n v="30"/>
    <n v="18.75"/>
    <x v="5"/>
    <s v="Kitchen Shelves"/>
    <s v="INR"/>
    <n v="854105"/>
    <s v="INDIA"/>
    <x v="0"/>
    <s v="Easy Ship"/>
    <n v="37.44"/>
    <n v="4"/>
    <n v="0.2"/>
    <n v="11.7"/>
    <n v="6.4349999999999996"/>
    <n v="5"/>
  </r>
  <r>
    <n v="844"/>
    <s v="XZ87"/>
    <d v="2023-04-24T00:00:00"/>
    <x v="3"/>
    <x v="2"/>
    <s v="First Class"/>
    <s v="EM-14095"/>
    <s v="OFF-BI-10001636"/>
    <n v="220"/>
    <n v="16"/>
    <n v="7.2727272727272725"/>
    <x v="3"/>
    <s v="Car Air Fresheners"/>
    <s v="INR"/>
    <n v="571403"/>
    <s v="INDIA"/>
    <x v="1"/>
    <m/>
    <n v="26.975999999999999"/>
    <n v="4"/>
    <n v="0.2"/>
    <n v="8.7672000000000008"/>
    <n v="4.5521999999999991"/>
    <n v="4"/>
  </r>
  <r>
    <n v="845"/>
    <s v="CS90"/>
    <d v="2023-04-25T00:00:00"/>
    <x v="3"/>
    <x v="2"/>
    <s v="First Class"/>
    <s v="EM-14095"/>
    <s v="OFF-SU-10002503"/>
    <n v="180"/>
    <n v="12"/>
    <n v="6.666666666666667"/>
    <x v="6"/>
    <s v="Mini Cars"/>
    <s v="INR"/>
    <n v="522403"/>
    <s v="INDIA"/>
    <x v="19"/>
    <m/>
    <n v="11.36"/>
    <n v="2"/>
    <n v="0.1"/>
    <n v="3.2944"/>
    <n v="4.0327999999999999"/>
    <n v="2"/>
  </r>
  <r>
    <n v="846"/>
    <s v="TD35"/>
    <d v="2023-04-26T00:00:00"/>
    <x v="3"/>
    <x v="2"/>
    <s v="First Class"/>
    <s v="EM-14095"/>
    <s v="OFF-LA-10004093"/>
    <n v="170"/>
    <n v="30"/>
    <n v="17.647058823529413"/>
    <x v="7"/>
    <s v="Ready Mixes"/>
    <s v="INR"/>
    <n v="500047"/>
    <s v="INDIA"/>
    <x v="1"/>
    <m/>
    <n v="14.62"/>
    <n v="2"/>
    <n v="0.1"/>
    <n v="6.8714000000000004"/>
    <n v="3.8742999999999994"/>
    <n v="4"/>
  </r>
  <r>
    <n v="847"/>
    <s v="ZX25"/>
    <d v="2023-04-27T00:00:00"/>
    <x v="3"/>
    <x v="2"/>
    <s v="Standard Class"/>
    <s v="AF-10885"/>
    <s v="TEC-PH-10001552"/>
    <n v="190"/>
    <n v="26"/>
    <n v="13.684210526315791"/>
    <x v="8"/>
    <s v="Pet Beds"/>
    <s v="INR"/>
    <n v="524003"/>
    <s v="INDIA"/>
    <x v="16"/>
    <s v="Easy Ship"/>
    <n v="83.72"/>
    <n v="7"/>
    <n v="0.1"/>
    <n v="23.441600000000001"/>
    <n v="8.6112000000000002"/>
    <n v="3"/>
  </r>
  <r>
    <n v="848"/>
    <s v="EA87"/>
    <d v="2023-04-28T00:00:00"/>
    <x v="3"/>
    <x v="2"/>
    <s v="Standard Class"/>
    <s v="AF-10885"/>
    <s v="FUR-CH-10001891"/>
    <n v="100"/>
    <n v="26"/>
    <n v="26"/>
    <x v="2"/>
    <s v="Women’s Sunglasses"/>
    <s v="INR"/>
    <n v="400092"/>
    <s v="INDIA"/>
    <x v="4"/>
    <s v="Easy Ship"/>
    <n v="287.94"/>
    <n v="3"/>
    <n v="0.1"/>
    <n v="77.743799999999993"/>
    <n v="70.065399999999997"/>
    <n v="1"/>
  </r>
  <r>
    <n v="849"/>
    <s v="ME12"/>
    <d v="2023-04-29T00:00:00"/>
    <x v="3"/>
    <x v="2"/>
    <s v="Standard Class"/>
    <s v="GA-14725"/>
    <s v="FUR-FU-10003878"/>
    <n v="210"/>
    <n v="24"/>
    <n v="11.428571428571429"/>
    <x v="4"/>
    <s v="Smart Cameras"/>
    <s v="INR"/>
    <n v="603002"/>
    <s v="INDIA"/>
    <x v="15"/>
    <m/>
    <n v="48.896000000000001"/>
    <n v="4"/>
    <n v="0.2"/>
    <n v="8.5568000000000008"/>
    <n v="10.0848"/>
    <n v="4"/>
  </r>
  <r>
    <n v="850"/>
    <s v="NC48"/>
    <d v="2023-04-30T00:00:00"/>
    <x v="3"/>
    <x v="2"/>
    <s v="Standard Class"/>
    <s v="CK-12760"/>
    <s v="TEC-AC-10000710"/>
    <n v="220"/>
    <n v="30"/>
    <n v="13.636363636363635"/>
    <x v="0"/>
    <s v="Children’s Activity Books"/>
    <m/>
    <n v="743252"/>
    <s v="INDIA"/>
    <x v="1"/>
    <m/>
    <n v="115.36"/>
    <n v="7"/>
    <n v="0.1"/>
    <n v="49.604799999999997"/>
    <n v="9.3936000000000011"/>
    <n v="3"/>
  </r>
  <r>
    <n v="851"/>
    <s v="MM60"/>
    <d v="2023-05-01T00:00:00"/>
    <x v="4"/>
    <x v="2"/>
    <s v="Second Class"/>
    <s v="DP-13105"/>
    <s v="OFF-AR-10002335"/>
    <n v="100"/>
    <n v="18"/>
    <n v="18"/>
    <x v="1"/>
    <s v="Rowing Machines"/>
    <s v="INR"/>
    <n v="795001"/>
    <s v="INDIA"/>
    <x v="10"/>
    <m/>
    <n v="5.16"/>
    <n v="2"/>
    <n v="0.1"/>
    <n v="1.3415999999999999"/>
    <n v="1.9092000000000002"/>
    <n v="4"/>
  </r>
  <r>
    <n v="852"/>
    <s v="QY91"/>
    <d v="2023-05-02T00:00:00"/>
    <x v="4"/>
    <x v="2"/>
    <s v="Second Class"/>
    <s v="DP-13105"/>
    <s v="OFF-PA-10001870"/>
    <n v="250"/>
    <n v="10"/>
    <n v="4"/>
    <x v="4"/>
    <s v="Smart Sensors"/>
    <s v="INR"/>
    <n v="500084"/>
    <s v="INDIA"/>
    <x v="6"/>
    <m/>
    <n v="38.880000000000003"/>
    <n v="6"/>
    <n v="0.1"/>
    <n v="18.662400000000002"/>
    <n v="3.3696000000000002"/>
    <n v="5"/>
  </r>
  <r>
    <n v="853"/>
    <s v="IV40"/>
    <d v="2023-05-03T00:00:00"/>
    <x v="4"/>
    <x v="2"/>
    <s v="Standard Class"/>
    <s v="VD-21670"/>
    <s v="OFF-AR-10003373"/>
    <n v="100"/>
    <n v="24"/>
    <n v="24"/>
    <x v="2"/>
    <s v="Men’s Jackets"/>
    <s v="INR"/>
    <n v="500084"/>
    <s v="INDIA"/>
    <x v="10"/>
    <m/>
    <n v="185.88"/>
    <n v="6"/>
    <n v="0.1"/>
    <n v="50.187600000000003"/>
    <n v="22.615399999999998"/>
    <n v="5"/>
  </r>
  <r>
    <n v="854"/>
    <s v="RM57"/>
    <d v="2023-05-04T00:00:00"/>
    <x v="4"/>
    <x v="2"/>
    <s v="Standard Class"/>
    <s v="GT-14710"/>
    <s v="FUR-FU-10004090"/>
    <n v="240"/>
    <n v="12"/>
    <n v="5"/>
    <x v="5"/>
    <s v="Kitchen Organizers"/>
    <s v="INR"/>
    <n v="641004"/>
    <s v="INDIA"/>
    <x v="4"/>
    <s v="Easy Ship"/>
    <n v="44.46"/>
    <n v="2"/>
    <n v="0.1"/>
    <n v="14.671799999999999"/>
    <n v="14.894100000000002"/>
    <n v="1"/>
  </r>
  <r>
    <n v="855"/>
    <s v="UE82"/>
    <d v="2023-05-05T00:00:00"/>
    <x v="4"/>
    <x v="2"/>
    <s v="Standard Class"/>
    <s v="GT-14710"/>
    <s v="OFF-ST-10000736"/>
    <n v="100"/>
    <n v="6"/>
    <n v="6"/>
    <x v="3"/>
    <s v="Car Wipers"/>
    <s v="INR"/>
    <n v="500010"/>
    <s v="INDIA"/>
    <x v="2"/>
    <m/>
    <n v="242.94"/>
    <n v="3"/>
    <n v="0.1"/>
    <n v="9.7175999999999991"/>
    <n v="77.740799999999993"/>
    <n v="4"/>
  </r>
  <r>
    <n v="856"/>
    <s v="FY41"/>
    <d v="2023-05-06T00:00:00"/>
    <x v="4"/>
    <x v="2"/>
    <s v="Standard Class"/>
    <s v="BK-11260"/>
    <s v="OFF-PA-10001019"/>
    <n v="100"/>
    <n v="14"/>
    <n v="14.000000000000002"/>
    <x v="6"/>
    <s v="Board Puzzles"/>
    <s v="INR"/>
    <n v="600030"/>
    <s v="INDIA"/>
    <x v="0"/>
    <m/>
    <n v="39.96"/>
    <n v="2"/>
    <n v="0.1"/>
    <n v="18.781199999999998"/>
    <n v="10.589400000000001"/>
    <n v="3"/>
  </r>
  <r>
    <n v="857"/>
    <s v="TQ30"/>
    <d v="2023-05-07T00:00:00"/>
    <x v="4"/>
    <x v="2"/>
    <s v="Standard Class"/>
    <s v="BK-11260"/>
    <s v="OFF-SU-10002537"/>
    <n v="190"/>
    <n v="14"/>
    <n v="7.3684210526315779"/>
    <x v="7"/>
    <s v="Herbal Teas"/>
    <s v="INR"/>
    <n v="801103"/>
    <s v="INDIA"/>
    <x v="3"/>
    <m/>
    <n v="102.3"/>
    <n v="10"/>
    <n v="0.1"/>
    <n v="26.597999999999999"/>
    <n v="7.5701999999999998"/>
    <n v="3"/>
  </r>
  <r>
    <n v="858"/>
    <s v="EP11"/>
    <d v="2023-05-08T00:00:00"/>
    <x v="4"/>
    <x v="2"/>
    <s v="Standard Class"/>
    <s v="BK-11260"/>
    <s v="OFF-ST-10003221"/>
    <n v="160"/>
    <n v="10"/>
    <n v="6.25"/>
    <x v="8"/>
    <s v="Pet Brushes"/>
    <s v="INR"/>
    <n v="800002"/>
    <s v="INDIA"/>
    <x v="11"/>
    <m/>
    <n v="21.36"/>
    <n v="2"/>
    <n v="0.1"/>
    <n v="5.7671999999999999"/>
    <n v="7.7964000000000002"/>
    <n v="5"/>
  </r>
  <r>
    <n v="859"/>
    <s v="ST92"/>
    <d v="2023-05-09T00:00:00"/>
    <x v="4"/>
    <x v="2"/>
    <s v="Standard Class"/>
    <s v="SJ-20125"/>
    <s v="OFF-PA-10004569"/>
    <n v="130"/>
    <n v="8"/>
    <n v="6.1538461538461542"/>
    <x v="2"/>
    <s v="Women’s Skirts"/>
    <s v="INR"/>
    <n v="500008"/>
    <s v="INDIA"/>
    <x v="4"/>
    <m/>
    <n v="7.61"/>
    <n v="1"/>
    <n v="0.1"/>
    <n v="3.5767000000000002"/>
    <n v="4.0333000000000006"/>
    <n v="4"/>
  </r>
  <r>
    <n v="860"/>
    <s v="MS86"/>
    <d v="2023-05-10T00:00:00"/>
    <x v="4"/>
    <x v="2"/>
    <s v="Standard Class"/>
    <s v="SJ-20125"/>
    <s v="OFF-FA-10000624"/>
    <n v="150"/>
    <n v="14"/>
    <n v="9.3333333333333339"/>
    <x v="4"/>
    <s v="Smart Door Locks"/>
    <s v="INR"/>
    <n v="800004"/>
    <s v="INDIA"/>
    <x v="17"/>
    <m/>
    <n v="7.16"/>
    <n v="2"/>
    <n v="0.1"/>
    <n v="3.58"/>
    <n v="1.79"/>
    <n v="1"/>
  </r>
  <r>
    <n v="861"/>
    <s v="PD58"/>
    <d v="2023-05-11T00:00:00"/>
    <x v="4"/>
    <x v="2"/>
    <s v="Standard Class"/>
    <s v="CM-12445"/>
    <s v="OFF-SU-10001225"/>
    <n v="230"/>
    <n v="22"/>
    <n v="9.5652173913043477"/>
    <x v="0"/>
    <s v="Poetry Collections"/>
    <s v="INR"/>
    <n v="695582"/>
    <s v="INDIA"/>
    <x v="16"/>
    <s v="Easy Ship"/>
    <n v="7.36"/>
    <n v="2"/>
    <n v="0.1"/>
    <n v="0.1472"/>
    <n v="3.6064000000000003"/>
    <n v="1"/>
  </r>
  <r>
    <n v="862"/>
    <s v="YA23"/>
    <d v="2023-05-12T00:00:00"/>
    <x v="4"/>
    <x v="2"/>
    <s v="Standard Class"/>
    <s v="CM-12445"/>
    <s v="OFF-AR-10003752"/>
    <n v="110"/>
    <n v="10"/>
    <n v="9.0909090909090917"/>
    <x v="1"/>
    <s v="Running Gear"/>
    <s v="INR"/>
    <n v="400078"/>
    <s v="INDIA"/>
    <x v="4"/>
    <s v="Easy Ship"/>
    <n v="23.1"/>
    <n v="2"/>
    <n v="0.1"/>
    <n v="10.625999999999999"/>
    <n v="6.237000000000001"/>
    <n v="5"/>
  </r>
  <r>
    <n v="863"/>
    <s v="QG54"/>
    <d v="2023-05-13T00:00:00"/>
    <x v="4"/>
    <x v="2"/>
    <s v="Second Class"/>
    <s v="AJ-10795"/>
    <s v="TEC-AC-10001714"/>
    <n v="110"/>
    <n v="12"/>
    <n v="10.909090909090908"/>
    <x v="4"/>
    <s v="Smart Switches"/>
    <m/>
    <n v="400078"/>
    <s v="INDIA"/>
    <x v="11"/>
    <m/>
    <n v="191.47200000000001"/>
    <n v="6"/>
    <n v="0.2"/>
    <n v="40.687800000000003"/>
    <n v="25.130700000000001"/>
    <n v="2"/>
  </r>
  <r>
    <n v="864"/>
    <s v="KC57"/>
    <d v="2023-05-14T00:00:00"/>
    <x v="4"/>
    <x v="2"/>
    <s v="Second Class"/>
    <s v="AJ-10795"/>
    <s v="OFF-AR-10003958"/>
    <n v="230"/>
    <n v="6"/>
    <n v="2.6086956521739131"/>
    <x v="2"/>
    <s v="Kids’ Footwear"/>
    <s v="INR"/>
    <n v="400703"/>
    <s v="INDIA"/>
    <x v="2"/>
    <m/>
    <n v="5.2480000000000002"/>
    <n v="2"/>
    <n v="0.2"/>
    <n v="0.59040000000000004"/>
    <n v="2.3288000000000002"/>
    <n v="1"/>
  </r>
  <r>
    <n v="865"/>
    <s v="PU50"/>
    <d v="2023-05-15T00:00:00"/>
    <x v="4"/>
    <x v="2"/>
    <s v="Second Class"/>
    <s v="AJ-10795"/>
    <s v="TEC-PH-10002923"/>
    <n v="230"/>
    <n v="28"/>
    <n v="12.173913043478262"/>
    <x v="5"/>
    <s v="Kitchen Containers"/>
    <s v="INR"/>
    <n v="522403"/>
    <s v="INDIA"/>
    <x v="3"/>
    <m/>
    <n v="59.183999999999997"/>
    <n v="2"/>
    <n v="0.2"/>
    <n v="5.1786000000000003"/>
    <n v="27.002699999999997"/>
    <n v="4"/>
  </r>
  <r>
    <n v="866"/>
    <s v="ZH68"/>
    <d v="2023-05-16T00:00:00"/>
    <x v="4"/>
    <x v="2"/>
    <s v="Standard Class"/>
    <s v="AJ-10780"/>
    <s v="OFF-LA-10004272"/>
    <n v="190"/>
    <n v="16"/>
    <n v="8.4210526315789469"/>
    <x v="3"/>
    <s v="Car Mirrors"/>
    <s v="INR"/>
    <n v="410206"/>
    <s v="INDIA"/>
    <x v="13"/>
    <m/>
    <n v="2.89"/>
    <n v="1"/>
    <n v="0.1"/>
    <n v="1.3583000000000001"/>
    <n v="1.5317000000000001"/>
    <n v="1"/>
  </r>
  <r>
    <n v="867"/>
    <s v="TM58"/>
    <d v="2023-05-17T00:00:00"/>
    <x v="4"/>
    <x v="2"/>
    <s v="Standard Class"/>
    <s v="AJ-10780"/>
    <s v="FUR-FU-10000965"/>
    <n v="170"/>
    <n v="20"/>
    <n v="11.76470588235294"/>
    <x v="6"/>
    <s v="Play Kitchens"/>
    <s v="INR"/>
    <n v="600100"/>
    <s v="INDIA"/>
    <x v="1"/>
    <m/>
    <n v="51.94"/>
    <n v="1"/>
    <n v="0.1"/>
    <n v="21.295400000000001"/>
    <n v="30.644599999999997"/>
    <n v="3"/>
  </r>
  <r>
    <n v="868"/>
    <s v="OK10"/>
    <d v="2023-05-18T00:00:00"/>
    <x v="4"/>
    <x v="2"/>
    <s v="First Class"/>
    <s v="LS-16945"/>
    <s v="OFF-LA-10004853"/>
    <n v="150"/>
    <n v="26"/>
    <n v="17.333333333333336"/>
    <x v="7"/>
    <s v="Protein Powders"/>
    <s v="INR"/>
    <n v="122016"/>
    <s v="INDIA"/>
    <x v="14"/>
    <m/>
    <n v="15.936"/>
    <n v="4"/>
    <n v="0.2"/>
    <n v="5.1791999999999998"/>
    <n v="2.6892"/>
    <n v="2"/>
  </r>
  <r>
    <n v="869"/>
    <s v="TR16"/>
    <d v="2023-05-19T00:00:00"/>
    <x v="4"/>
    <x v="2"/>
    <s v="Standard Class"/>
    <s v="GP-14740"/>
    <s v="OFF-BI-10003719"/>
    <n v="130"/>
    <n v="18"/>
    <n v="13.846153846153847"/>
    <x v="8"/>
    <s v="Pet Chew Toys"/>
    <s v="INR"/>
    <n v="533101"/>
    <s v="INDIA"/>
    <x v="6"/>
    <m/>
    <n v="44.91"/>
    <n v="6"/>
    <n v="0.7"/>
    <n v="-35.927999999999997"/>
    <n v="13.472999999999999"/>
    <n v="1"/>
  </r>
  <r>
    <n v="870"/>
    <s v="PE31"/>
    <d v="2023-05-20T00:00:00"/>
    <x v="4"/>
    <x v="2"/>
    <s v="First Class"/>
    <s v="PK-18910"/>
    <s v="OFF-BI-10000545"/>
    <n v="200"/>
    <n v="6"/>
    <n v="3"/>
    <x v="2"/>
    <s v="Men’s Watches"/>
    <s v="INR"/>
    <n v="382470"/>
    <s v="INDIA"/>
    <x v="3"/>
    <m/>
    <n v="1141.47"/>
    <n v="5"/>
    <n v="0.7"/>
    <n v="-760.98"/>
    <n v="380.49"/>
    <n v="5"/>
  </r>
  <r>
    <n v="871"/>
    <s v="SZ63"/>
    <d v="2023-05-21T00:00:00"/>
    <x v="4"/>
    <x v="2"/>
    <s v="First Class"/>
    <s v="PK-18910"/>
    <s v="TEC-PH-10002496"/>
    <n v="230"/>
    <n v="22"/>
    <n v="9.5652173913043477"/>
    <x v="4"/>
    <s v="Smart Displays"/>
    <s v="INR"/>
    <n v="210001"/>
    <s v="INDIA"/>
    <x v="8"/>
    <m/>
    <n v="280.78199999999998"/>
    <n v="3"/>
    <n v="0.4"/>
    <n v="-46.796999999999997"/>
    <n v="109.19299999999998"/>
    <n v="3"/>
  </r>
  <r>
    <n v="872"/>
    <s v="AR53"/>
    <d v="2023-05-22T00:00:00"/>
    <x v="4"/>
    <x v="2"/>
    <s v="First Class"/>
    <s v="TB-21520"/>
    <s v="OFF-PA-10003591"/>
    <n v="130"/>
    <n v="16"/>
    <n v="12.307692307692308"/>
    <x v="0"/>
    <s v="Children’s Novels"/>
    <s v="INR"/>
    <n v="500032"/>
    <s v="INDIA"/>
    <x v="10"/>
    <m/>
    <n v="34.44"/>
    <n v="3"/>
    <n v="0.1"/>
    <n v="17.22"/>
    <n v="5.7399999999999993"/>
    <n v="1"/>
  </r>
  <r>
    <n v="873"/>
    <s v="RM33"/>
    <d v="2023-05-23T00:00:00"/>
    <x v="4"/>
    <x v="2"/>
    <s v="Standard Class"/>
    <s v="SM-20005"/>
    <s v="OFF-PA-10004470"/>
    <n v="110"/>
    <n v="14"/>
    <n v="12.727272727272727"/>
    <x v="1"/>
    <s v="Weight Training"/>
    <s v="INR"/>
    <n v="560077"/>
    <s v="INDIA"/>
    <x v="1"/>
    <m/>
    <n v="11.36"/>
    <n v="2"/>
    <n v="0.1"/>
    <n v="5.2256"/>
    <n v="3.0671999999999997"/>
    <n v="4"/>
  </r>
  <r>
    <n v="874"/>
    <s v="HG51"/>
    <d v="2023-05-24T00:00:00"/>
    <x v="4"/>
    <x v="2"/>
    <s v="Standard Class"/>
    <s v="SM-20005"/>
    <s v="OFF-BI-10000315"/>
    <n v="150"/>
    <n v="18"/>
    <n v="12"/>
    <x v="4"/>
    <s v="Smart Remotes"/>
    <s v="INR"/>
    <n v="382470"/>
    <s v="INDIA"/>
    <x v="16"/>
    <m/>
    <n v="106.34399999999999"/>
    <n v="7"/>
    <n v="0.2"/>
    <n v="37.220399999999998"/>
    <n v="9.8747999999999987"/>
    <n v="1"/>
  </r>
  <r>
    <n v="875"/>
    <s v="NY97"/>
    <d v="2023-05-25T00:00:00"/>
    <x v="4"/>
    <x v="2"/>
    <s v="Standard Class"/>
    <s v="GA-14725"/>
    <s v="OFF-PA-10001790"/>
    <n v="180"/>
    <n v="6"/>
    <n v="3.3333333333333335"/>
    <x v="2"/>
    <s v="Women’s Jewelry"/>
    <s v="INR"/>
    <n v="411035"/>
    <s v="INDIA"/>
    <x v="18"/>
    <m/>
    <n v="192.16"/>
    <n v="5"/>
    <n v="0.2"/>
    <n v="67.256"/>
    <n v="24.980799999999999"/>
    <n v="3"/>
  </r>
  <r>
    <n v="876"/>
    <s v="VR91"/>
    <d v="2023-05-26T00:00:00"/>
    <x v="4"/>
    <x v="2"/>
    <s v="Standard Class"/>
    <s v="CC-12430"/>
    <s v="FUR-FU-10004017"/>
    <n v="140"/>
    <n v="14"/>
    <n v="10"/>
    <x v="5"/>
    <s v="Kitchen Trays"/>
    <m/>
    <n v="815383"/>
    <s v="INDIA"/>
    <x v="13"/>
    <m/>
    <n v="322.58999999999997"/>
    <n v="3"/>
    <n v="0.1"/>
    <n v="64.518000000000001"/>
    <n v="86.024000000000001"/>
    <n v="2"/>
  </r>
  <r>
    <n v="877"/>
    <s v="MZ58"/>
    <d v="2023-05-27T00:00:00"/>
    <x v="4"/>
    <x v="2"/>
    <s v="Standard Class"/>
    <s v="CC-12430"/>
    <s v="TEC-AC-10003628"/>
    <n v="180"/>
    <n v="20"/>
    <n v="11.111111111111111"/>
    <x v="3"/>
    <s v="Car Covers"/>
    <m/>
    <n v="560077"/>
    <s v="INDIA"/>
    <x v="18"/>
    <m/>
    <n v="29.99"/>
    <n v="1"/>
    <n v="0.1"/>
    <n v="13.195600000000001"/>
    <n v="16.794399999999996"/>
    <n v="1"/>
  </r>
  <r>
    <n v="878"/>
    <s v="BC70"/>
    <d v="2023-05-28T00:00:00"/>
    <x v="4"/>
    <x v="2"/>
    <s v="Standard Class"/>
    <s v="CC-12430"/>
    <s v="TEC-AC-10002049"/>
    <n v="190"/>
    <n v="14"/>
    <n v="7.3684210526315779"/>
    <x v="6"/>
    <s v="Learning Games"/>
    <m/>
    <n v="533101"/>
    <s v="INDIA"/>
    <x v="4"/>
    <m/>
    <n v="371.97"/>
    <n v="3"/>
    <n v="0.1"/>
    <n v="66.954599999999999"/>
    <n v="101.6718"/>
    <n v="4"/>
  </r>
  <r>
    <n v="879"/>
    <s v="CG57"/>
    <d v="2023-05-29T00:00:00"/>
    <x v="4"/>
    <x v="2"/>
    <s v="Standard Class"/>
    <s v="AG-10765"/>
    <s v="OFF-BI-10003712"/>
    <n v="120"/>
    <n v="26"/>
    <n v="21.666666666666668"/>
    <x v="7"/>
    <s v="Snacks"/>
    <s v="INR"/>
    <n v="110058"/>
    <s v="INDIA"/>
    <x v="19"/>
    <m/>
    <n v="5.8920000000000003"/>
    <n v="4"/>
    <n v="0.7"/>
    <n v="-4.1243999999999996"/>
    <n v="2.5041000000000002"/>
    <n v="3"/>
  </r>
  <r>
    <n v="880"/>
    <s v="YL11"/>
    <d v="2023-05-30T00:00:00"/>
    <x v="4"/>
    <x v="2"/>
    <s v="Second Class"/>
    <s v="HP-14815"/>
    <s v="OFF-BI-10003984"/>
    <n v="120"/>
    <n v="14"/>
    <n v="11.666666666666666"/>
    <x v="8"/>
    <s v="Pet Bowls"/>
    <s v="INR"/>
    <n v="683511"/>
    <s v="INDIA"/>
    <x v="10"/>
    <m/>
    <n v="68.471999999999994"/>
    <n v="3"/>
    <n v="0.2"/>
    <n v="23.109300000000001"/>
    <n v="15.120899999999997"/>
    <n v="1"/>
  </r>
  <r>
    <n v="881"/>
    <s v="EY44"/>
    <d v="2023-05-31T00:00:00"/>
    <x v="4"/>
    <x v="2"/>
    <s v="Second Class"/>
    <s v="HP-14815"/>
    <s v="FUR-CH-10004287"/>
    <n v="110"/>
    <n v="14"/>
    <n v="12.727272727272727"/>
    <x v="2"/>
    <s v="Men’s Shirts"/>
    <s v="INR"/>
    <n v="521108"/>
    <s v="INDIA"/>
    <x v="0"/>
    <m/>
    <n v="1242.9000000000001"/>
    <n v="5"/>
    <n v="0.11"/>
    <n v="262.39"/>
    <n v="196.10200000000003"/>
    <n v="4"/>
  </r>
  <r>
    <n v="882"/>
    <s v="BH67"/>
    <d v="2023-06-01T00:00:00"/>
    <x v="5"/>
    <x v="2"/>
    <s v="Standard Class"/>
    <s v="DK-13090"/>
    <s v="OFF-ST-10001321"/>
    <n v="110"/>
    <n v="6"/>
    <n v="5.4545454545454541"/>
    <x v="4"/>
    <s v="Smart Routers"/>
    <s v="INR"/>
    <n v="600078"/>
    <s v="INDIA"/>
    <x v="10"/>
    <m/>
    <n v="30.84"/>
    <n v="2"/>
    <n v="0.1"/>
    <n v="8.3268000000000004"/>
    <n v="11.256599999999999"/>
    <n v="1"/>
  </r>
  <r>
    <n v="883"/>
    <s v="WK91"/>
    <d v="2023-06-02T00:00:00"/>
    <x v="5"/>
    <x v="2"/>
    <s v="Same Day"/>
    <s v="GZ-14470"/>
    <s v="OFF-AR-10001118"/>
    <n v="210"/>
    <n v="8"/>
    <n v="3.8095238095238098"/>
    <x v="0"/>
    <s v="Children’s Comics"/>
    <s v="INR"/>
    <n v="600078"/>
    <s v="INDIA"/>
    <x v="3"/>
    <s v="Easy Ship"/>
    <n v="13.48"/>
    <n v="4"/>
    <n v="0.1"/>
    <n v="5.9311999999999996"/>
    <n v="1.8872000000000002"/>
    <n v="1"/>
  </r>
  <r>
    <n v="884"/>
    <s v="FN75"/>
    <d v="2023-06-03T00:00:00"/>
    <x v="5"/>
    <x v="2"/>
    <s v="First Class"/>
    <s v="PM-19135"/>
    <s v="FUR-FU-10000732"/>
    <n v="100"/>
    <n v="28"/>
    <n v="28.000000000000004"/>
    <x v="1"/>
    <s v="Table Tennis Gear"/>
    <s v="INR"/>
    <n v="600078"/>
    <s v="INDIA"/>
    <x v="11"/>
    <s v="Easy Ship"/>
    <n v="31.4"/>
    <n v="5"/>
    <n v="0.1"/>
    <n v="10.048"/>
    <n v="4.2703999999999995"/>
    <n v="3"/>
  </r>
  <r>
    <n v="885"/>
    <s v="LA82"/>
    <d v="2023-06-04T00:00:00"/>
    <x v="5"/>
    <x v="2"/>
    <s v="Standard Class"/>
    <s v="LL-16840"/>
    <s v="FUR-FU-10001424"/>
    <n v="190"/>
    <n v="28"/>
    <n v="14.736842105263156"/>
    <x v="4"/>
    <s v="Smart Plugs"/>
    <s v="INR"/>
    <n v="600078"/>
    <s v="INDIA"/>
    <x v="3"/>
    <s v="Easy Ship"/>
    <n v="17.46"/>
    <n v="2"/>
    <n v="0.1"/>
    <n v="5.9363999999999999"/>
    <n v="5.7618000000000009"/>
    <n v="4"/>
  </r>
  <r>
    <n v="886"/>
    <s v="MP79"/>
    <d v="2023-06-05T00:00:00"/>
    <x v="5"/>
    <x v="2"/>
    <s v="Second Class"/>
    <s v="JS-15595"/>
    <s v="OFF-BI-10002071"/>
    <n v="110"/>
    <n v="12"/>
    <n v="10.909090909090908"/>
    <x v="2"/>
    <s v="Women’s Flats"/>
    <s v="INR"/>
    <n v="410209"/>
    <s v="INDIA"/>
    <x v="3"/>
    <s v="Easy Ship"/>
    <n v="13.944000000000001"/>
    <n v="3"/>
    <n v="0.2"/>
    <n v="4.5317999999999996"/>
    <n v="3.1374000000000009"/>
    <n v="2"/>
  </r>
  <r>
    <n v="887"/>
    <s v="YE56"/>
    <d v="2023-06-06T00:00:00"/>
    <x v="5"/>
    <x v="2"/>
    <s v="Standard Class"/>
    <s v="OT-18730"/>
    <s v="OFF-ST-10002486"/>
    <n v="240"/>
    <n v="28"/>
    <n v="11.666666666666666"/>
    <x v="5"/>
    <s v="Kitchen Mats"/>
    <s v="INR"/>
    <n v="452016"/>
    <s v="INDIA"/>
    <x v="11"/>
    <m/>
    <n v="83.76"/>
    <n v="12"/>
    <n v="0.1"/>
    <n v="1.6752"/>
    <n v="6.8403999999999998"/>
    <n v="1"/>
  </r>
  <r>
    <n v="888"/>
    <s v="TN31"/>
    <d v="2023-06-07T00:00:00"/>
    <x v="5"/>
    <x v="2"/>
    <s v="Standard Class"/>
    <s v="EL-13735"/>
    <s v="OFF-BI-10001078"/>
    <n v="240"/>
    <n v="24"/>
    <n v="10"/>
    <x v="3"/>
    <s v="Car Oils"/>
    <s v="INR"/>
    <n v="452016"/>
    <s v="INDIA"/>
    <x v="9"/>
    <m/>
    <n v="37.659999999999997"/>
    <n v="7"/>
    <n v="0.1"/>
    <n v="18.453399999999998"/>
    <n v="2.7437999999999998"/>
    <n v="1"/>
  </r>
  <r>
    <n v="889"/>
    <s v="HT66"/>
    <d v="2023-06-08T00:00:00"/>
    <x v="5"/>
    <x v="2"/>
    <s v="Standard Class"/>
    <s v="CK-12760"/>
    <s v="OFF-PA-10003845"/>
    <n v="190"/>
    <n v="10"/>
    <n v="5.2631578947368416"/>
    <x v="6"/>
    <s v="Playhouses"/>
    <s v="INR"/>
    <n v="520002"/>
    <s v="INDIA"/>
    <x v="16"/>
    <m/>
    <n v="34.68"/>
    <n v="6"/>
    <n v="0.1"/>
    <n v="16.993200000000002"/>
    <n v="2.9477999999999995"/>
    <n v="4"/>
  </r>
  <r>
    <n v="890"/>
    <s v="AB63"/>
    <d v="2023-06-09T00:00:00"/>
    <x v="5"/>
    <x v="2"/>
    <s v="Standard Class"/>
    <s v="JE-15475"/>
    <s v="TEC-AC-10000927"/>
    <n v="210"/>
    <n v="8"/>
    <n v="3.8095238095238098"/>
    <x v="7"/>
    <s v="Energy Bars"/>
    <s v="INR"/>
    <n v="403715"/>
    <s v="INDIA"/>
    <x v="1"/>
    <m/>
    <n v="149.94999999999999"/>
    <n v="5"/>
    <n v="0.1"/>
    <n v="14.994999999999999"/>
    <n v="26.990999999999996"/>
    <n v="5"/>
  </r>
  <r>
    <n v="891"/>
    <s v="JP97"/>
    <d v="2023-06-10T00:00:00"/>
    <x v="5"/>
    <x v="2"/>
    <s v="Standard Class"/>
    <s v="JE-15475"/>
    <s v="OFF-BI-10001098"/>
    <n v="240"/>
    <n v="24"/>
    <n v="10"/>
    <x v="8"/>
    <s v="Pet Collars"/>
    <s v="INR"/>
    <n v="403715"/>
    <s v="INDIA"/>
    <x v="17"/>
    <m/>
    <n v="51.311999999999998"/>
    <n v="3"/>
    <n v="0.2"/>
    <n v="18.6006"/>
    <n v="10.903799999999999"/>
    <n v="2"/>
  </r>
  <r>
    <n v="892"/>
    <s v="ZL24"/>
    <d v="2023-06-11T00:00:00"/>
    <x v="5"/>
    <x v="2"/>
    <s v="First Class"/>
    <s v="TH-21550"/>
    <s v="OFF-PA-10001622"/>
    <n v="240"/>
    <n v="24"/>
    <n v="10"/>
    <x v="2"/>
    <s v="Kids’ Accessories"/>
    <s v="INR"/>
    <n v="600126"/>
    <s v="INDIA"/>
    <x v="8"/>
    <m/>
    <n v="4.54"/>
    <n v="1"/>
    <n v="0.1"/>
    <n v="2.0430000000000001"/>
    <n v="2.4969999999999999"/>
    <n v="2"/>
  </r>
  <r>
    <n v="893"/>
    <s v="RE25"/>
    <d v="2023-06-12T00:00:00"/>
    <x v="5"/>
    <x v="2"/>
    <s v="First Class"/>
    <s v="TH-21550"/>
    <s v="OFF-AR-10003158"/>
    <n v="110"/>
    <n v="10"/>
    <n v="9.0909090909090917"/>
    <x v="4"/>
    <s v="Smart TVs"/>
    <s v="INR"/>
    <n v="123106"/>
    <s v="INDIA"/>
    <x v="7"/>
    <m/>
    <n v="15.92"/>
    <n v="4"/>
    <n v="0.1"/>
    <n v="5.4127999999999998"/>
    <n v="2.6268000000000002"/>
    <n v="5"/>
  </r>
  <r>
    <n v="894"/>
    <s v="OH33"/>
    <d v="2023-06-13T00:00:00"/>
    <x v="5"/>
    <x v="2"/>
    <s v="First Class"/>
    <s v="TH-21550"/>
    <s v="TEC-PH-10002660"/>
    <n v="250"/>
    <n v="16"/>
    <n v="6.4"/>
    <x v="0"/>
    <s v="Children’s Poetry"/>
    <m/>
    <n v="123106"/>
    <s v="INDIA"/>
    <x v="3"/>
    <m/>
    <n v="543.91999999999996"/>
    <n v="8"/>
    <n v="0.1"/>
    <n v="135.97999999999999"/>
    <n v="50.992499999999993"/>
    <n v="4"/>
  </r>
  <r>
    <n v="895"/>
    <s v="UX92"/>
    <d v="2023-06-14T00:00:00"/>
    <x v="5"/>
    <x v="2"/>
    <s v="First Class"/>
    <s v="PC-18745"/>
    <s v="OFF-ST-10002205"/>
    <n v="160"/>
    <n v="26"/>
    <n v="16.25"/>
    <x v="1"/>
    <s v="Swimming Gear"/>
    <s v="INR"/>
    <n v="560064"/>
    <s v="INDIA"/>
    <x v="12"/>
    <m/>
    <n v="155.82"/>
    <n v="7"/>
    <n v="0.1"/>
    <n v="42.071399999999997"/>
    <n v="16.2498"/>
    <n v="4"/>
  </r>
  <r>
    <n v="896"/>
    <s v="YG57"/>
    <d v="2023-06-15T00:00:00"/>
    <x v="5"/>
    <x v="2"/>
    <s v="First Class"/>
    <s v="PC-18745"/>
    <s v="OFF-BI-10003364"/>
    <n v="110"/>
    <n v="8"/>
    <n v="7.2727272727272725"/>
    <x v="4"/>
    <s v="Smart Watches"/>
    <s v="INR"/>
    <n v="125001"/>
    <s v="INDIA"/>
    <x v="7"/>
    <m/>
    <n v="70.007999999999996"/>
    <n v="3"/>
    <n v="0.2"/>
    <n v="24.502800000000001"/>
    <n v="15.168399999999998"/>
    <n v="5"/>
  </r>
  <r>
    <n v="897"/>
    <s v="JH67"/>
    <d v="2023-06-16T00:00:00"/>
    <x v="5"/>
    <x v="2"/>
    <s v="Second Class"/>
    <s v="HL-15040"/>
    <s v="OFF-EN-10001099"/>
    <n v="160"/>
    <n v="24"/>
    <n v="15"/>
    <x v="2"/>
    <s v="Men’s Belts"/>
    <s v="INR"/>
    <n v="600028"/>
    <s v="INDIA"/>
    <x v="18"/>
    <m/>
    <n v="15.648"/>
    <n v="2"/>
    <n v="0.2"/>
    <n v="5.0856000000000003"/>
    <n v="5.2812000000000001"/>
    <n v="1"/>
  </r>
  <r>
    <n v="898"/>
    <s v="VU14"/>
    <d v="2023-06-17T00:00:00"/>
    <x v="5"/>
    <x v="2"/>
    <s v="Standard Class"/>
    <s v="MS-17365"/>
    <s v="OFF-LA-10003923"/>
    <n v="220"/>
    <n v="14"/>
    <n v="6.3636363636363633"/>
    <x v="5"/>
    <s v="Kitchen Towels"/>
    <m/>
    <n v="410209"/>
    <s v="INDIA"/>
    <x v="15"/>
    <s v="Easy Ship"/>
    <n v="103.6"/>
    <n v="7"/>
    <n v="0.1"/>
    <n v="51.8"/>
    <n v="7.3999999999999995"/>
    <n v="3"/>
  </r>
  <r>
    <n v="899"/>
    <s v="FG82"/>
    <d v="2023-06-18T00:00:00"/>
    <x v="5"/>
    <x v="2"/>
    <s v="Second Class"/>
    <s v="GB-14530"/>
    <s v="OFF-PA-10002250"/>
    <n v="170"/>
    <n v="14"/>
    <n v="8.235294117647058"/>
    <x v="3"/>
    <s v="Car Batteries"/>
    <s v="INR"/>
    <n v="133203"/>
    <s v="INDIA"/>
    <x v="5"/>
    <s v="Easy Ship"/>
    <n v="46.96"/>
    <n v="8"/>
    <n v="0.1"/>
    <n v="22.540800000000001"/>
    <n v="3.0524"/>
    <n v="3"/>
  </r>
  <r>
    <n v="900"/>
    <s v="AS48"/>
    <d v="2023-06-19T00:00:00"/>
    <x v="5"/>
    <x v="2"/>
    <s v="First Class"/>
    <s v="JR-16210"/>
    <s v="OFF-BI-10004716"/>
    <n v="210"/>
    <n v="10"/>
    <n v="4.7619047619047619"/>
    <x v="6"/>
    <s v="Board Games"/>
    <s v="INR"/>
    <n v="560079"/>
    <s v="INDIA"/>
    <x v="9"/>
    <m/>
    <n v="8.9039999999999999"/>
    <n v="2"/>
    <n v="0.7"/>
    <n v="-6.5296000000000003"/>
    <n v="7.7168000000000001"/>
    <n v="5"/>
  </r>
  <r>
    <n v="901"/>
    <s v="FY28"/>
    <d v="2023-06-20T00:00:00"/>
    <x v="5"/>
    <x v="2"/>
    <s v="First Class"/>
    <s v="TD-20995"/>
    <s v="OFF-LA-10001045"/>
    <n v="220"/>
    <n v="12"/>
    <n v="5.4545454545454541"/>
    <x v="7"/>
    <s v="Packaged Foods"/>
    <s v="INR"/>
    <n v="121003"/>
    <s v="INDIA"/>
    <x v="9"/>
    <m/>
    <n v="10.44"/>
    <n v="5"/>
    <n v="0.2"/>
    <n v="3.3929999999999998"/>
    <n v="1.4094"/>
    <n v="3"/>
  </r>
  <r>
    <n v="902"/>
    <s v="OQ88"/>
    <d v="2023-06-21T00:00:00"/>
    <x v="5"/>
    <x v="2"/>
    <s v="First Class"/>
    <s v="TD-20995"/>
    <s v="OFF-BI-10001510"/>
    <n v="100"/>
    <n v="12"/>
    <n v="12"/>
    <x v="8"/>
    <s v="Pet Grooming Kits"/>
    <m/>
    <n v="110096"/>
    <s v="INDIA"/>
    <x v="1"/>
    <m/>
    <n v="18.335999999999999"/>
    <n v="4"/>
    <n v="0.8"/>
    <n v="-32.088000000000001"/>
    <n v="12.606"/>
    <n v="2"/>
  </r>
  <r>
    <n v="903"/>
    <s v="XP83"/>
    <d v="2023-06-22T00:00:00"/>
    <x v="5"/>
    <x v="2"/>
    <s v="First Class"/>
    <s v="DB-13060"/>
    <s v="TEC-PH-10004536"/>
    <n v="210"/>
    <n v="30"/>
    <n v="14.285714285714285"/>
    <x v="2"/>
    <s v="Women’s Sarees"/>
    <s v="INR"/>
    <n v="411044"/>
    <s v="INDIA"/>
    <x v="3"/>
    <s v="Easy Ship"/>
    <n v="323.976"/>
    <n v="3"/>
    <n v="0.2"/>
    <n v="20.2485"/>
    <n v="101.24250000000001"/>
    <n v="2"/>
  </r>
  <r>
    <n v="904"/>
    <s v="HW42"/>
    <d v="2023-06-23T00:00:00"/>
    <x v="5"/>
    <x v="2"/>
    <s v="Standard Class"/>
    <s v="LC-17140"/>
    <s v="OFF-PA-10002947"/>
    <n v="160"/>
    <n v="20"/>
    <n v="12.5"/>
    <x v="4"/>
    <s v="Smart Tablets"/>
    <s v="INR"/>
    <n v="560043"/>
    <s v="INDIA"/>
    <x v="8"/>
    <m/>
    <n v="20.04"/>
    <n v="3"/>
    <n v="0.1"/>
    <n v="9.6191999999999993"/>
    <n v="3.4735999999999998"/>
    <n v="2"/>
  </r>
  <r>
    <n v="905"/>
    <s v="AJ90"/>
    <d v="2023-06-24T00:00:00"/>
    <x v="5"/>
    <x v="2"/>
    <s v="Standard Class"/>
    <s v="LC-17140"/>
    <s v="OFF-ST-10002583"/>
    <n v="220"/>
    <n v="8"/>
    <n v="3.6363636363636362"/>
    <x v="0"/>
    <s v="Engineering Textbooks"/>
    <s v="INR"/>
    <n v="560043"/>
    <s v="INDIA"/>
    <x v="1"/>
    <m/>
    <n v="64.959999999999994"/>
    <n v="2"/>
    <n v="0.1"/>
    <n v="2.5983999999999998"/>
    <n v="31.180799999999998"/>
    <n v="3"/>
  </r>
  <r>
    <n v="906"/>
    <s v="RU73"/>
    <d v="2023-06-25T00:00:00"/>
    <x v="5"/>
    <x v="2"/>
    <s v="Standard Class"/>
    <s v="LC-17140"/>
    <s v="OFF-PA-10000019"/>
    <n v="240"/>
    <n v="6"/>
    <n v="2.5"/>
    <x v="1"/>
    <s v="Boxing Gloves"/>
    <s v="INR"/>
    <n v="560061"/>
    <s v="INDIA"/>
    <x v="8"/>
    <m/>
    <n v="12.96"/>
    <n v="2"/>
    <n v="0.1"/>
    <n v="6.2207999999999997"/>
    <n v="3.3696000000000006"/>
    <n v="4"/>
  </r>
  <r>
    <n v="907"/>
    <s v="MV92"/>
    <d v="2023-06-26T00:00:00"/>
    <x v="5"/>
    <x v="2"/>
    <s v="Standard Class"/>
    <s v="PO-18865"/>
    <s v="FUR-BO-10003441"/>
    <n v="220"/>
    <n v="22"/>
    <n v="10"/>
    <x v="4"/>
    <s v="Smart Doorbells"/>
    <s v="INR"/>
    <n v="560061"/>
    <s v="INDIA"/>
    <x v="12"/>
    <m/>
    <n v="323.13600000000002"/>
    <n v="4"/>
    <n v="0.2"/>
    <n v="12.117599999999999"/>
    <n v="77.754600000000011"/>
    <n v="3"/>
  </r>
  <r>
    <n v="908"/>
    <s v="PC89"/>
    <d v="2023-06-27T00:00:00"/>
    <x v="5"/>
    <x v="2"/>
    <s v="Standard Class"/>
    <s v="PO-18865"/>
    <s v="TEC-PH-10004774"/>
    <n v="190"/>
    <n v="24"/>
    <n v="12.631578947368421"/>
    <x v="2"/>
    <s v="Women’s Kurtis"/>
    <s v="INR"/>
    <n v="400093"/>
    <s v="INDIA"/>
    <x v="0"/>
    <m/>
    <n v="90.93"/>
    <n v="7"/>
    <n v="0.1"/>
    <n v="2.7279"/>
    <n v="12.600300000000001"/>
    <n v="5"/>
  </r>
  <r>
    <n v="909"/>
    <s v="OW52"/>
    <d v="2023-06-28T00:00:00"/>
    <x v="5"/>
    <x v="2"/>
    <s v="Standard Class"/>
    <s v="PO-18865"/>
    <s v="OFF-BI-10003684"/>
    <n v="160"/>
    <n v="18"/>
    <n v="11.25"/>
    <x v="5"/>
    <s v="Kitchen Cabinets"/>
    <s v="INR"/>
    <n v="411030"/>
    <s v="INDIA"/>
    <x v="6"/>
    <m/>
    <n v="52.776000000000003"/>
    <n v="3"/>
    <n v="0.2"/>
    <n v="19.791"/>
    <n v="10.994999999999999"/>
    <n v="5"/>
  </r>
  <r>
    <n v="910"/>
    <s v="PB73"/>
    <d v="2023-06-29T00:00:00"/>
    <x v="5"/>
    <x v="2"/>
    <s v="Standard Class"/>
    <s v="BE-11335"/>
    <s v="TEC-PH-10001494"/>
    <n v="180"/>
    <n v="24"/>
    <n v="13.333333333333334"/>
    <x v="3"/>
    <s v="Car Tyres"/>
    <s v="INR"/>
    <n v="431203"/>
    <s v="INDIA"/>
    <x v="16"/>
    <m/>
    <n v="1199.8"/>
    <n v="4"/>
    <n v="0.1"/>
    <n v="323.94600000000003"/>
    <n v="218.96349999999998"/>
    <n v="5"/>
  </r>
  <r>
    <n v="911"/>
    <s v="JT57"/>
    <d v="2023-06-30T00:00:00"/>
    <x v="5"/>
    <x v="2"/>
    <s v="Standard Class"/>
    <s v="BE-11335"/>
    <s v="TEC-AC-10004666"/>
    <n v="240"/>
    <n v="12"/>
    <n v="5"/>
    <x v="6"/>
    <s v="Educational Kits"/>
    <s v="INR"/>
    <n v="580030"/>
    <s v="INDIA"/>
    <x v="7"/>
    <m/>
    <n v="1928.78"/>
    <n v="7"/>
    <n v="0.1"/>
    <n v="829.37540000000001"/>
    <n v="157.05779999999999"/>
    <n v="1"/>
  </r>
  <r>
    <n v="912"/>
    <s v="BZ40"/>
    <d v="2023-07-01T00:00:00"/>
    <x v="6"/>
    <x v="2"/>
    <s v="Standard Class"/>
    <s v="BE-11335"/>
    <s v="OFF-ST-10003816"/>
    <n v="130"/>
    <n v="30"/>
    <n v="23.076923076923077"/>
    <x v="7"/>
    <s v="Organic Juices"/>
    <s v="INR"/>
    <n v="243601"/>
    <s v="INDIA"/>
    <x v="0"/>
    <m/>
    <n v="352.38"/>
    <n v="2"/>
    <n v="0.1"/>
    <n v="81.047399999999996"/>
    <n v="135.66630000000001"/>
    <n v="5"/>
  </r>
  <r>
    <n v="913"/>
    <s v="EP24"/>
    <d v="2023-07-02T00:00:00"/>
    <x v="6"/>
    <x v="2"/>
    <s v="Standard Class"/>
    <s v="SC-20050"/>
    <s v="FUR-FU-10001935"/>
    <n v="150"/>
    <n v="24"/>
    <n v="16"/>
    <x v="8"/>
    <s v="Pet Vitamins"/>
    <s v="INR"/>
    <n v="737102"/>
    <s v="INDIA"/>
    <x v="15"/>
    <m/>
    <n v="22.2"/>
    <n v="6"/>
    <n v="0.1"/>
    <n v="9.1020000000000003"/>
    <n v="2.1829999999999998"/>
    <n v="3"/>
  </r>
  <r>
    <n v="914"/>
    <s v="JC41"/>
    <d v="2023-07-03T00:00:00"/>
    <x v="6"/>
    <x v="2"/>
    <s v="First Class"/>
    <s v="BM-11650"/>
    <s v="FUR-FU-10004091"/>
    <n v="220"/>
    <n v="24"/>
    <n v="10.909090909090908"/>
    <x v="2"/>
    <s v="Men’s Formal Shoes"/>
    <s v="INR"/>
    <n v="400050"/>
    <s v="INDIA"/>
    <x v="4"/>
    <m/>
    <n v="46.94"/>
    <n v="1"/>
    <n v="0.1"/>
    <n v="19.2454"/>
    <n v="27.694599999999998"/>
    <n v="3"/>
  </r>
  <r>
    <n v="915"/>
    <s v="JD45"/>
    <d v="2023-07-04T00:00:00"/>
    <x v="6"/>
    <x v="2"/>
    <s v="First Class"/>
    <s v="BM-11650"/>
    <s v="TEC-AC-10001772"/>
    <n v="150"/>
    <n v="24"/>
    <n v="16"/>
    <x v="4"/>
    <s v="Smart Cameras"/>
    <s v="INR"/>
    <n v="401208"/>
    <s v="INDIA"/>
    <x v="5"/>
    <m/>
    <n v="143.72999999999999"/>
    <n v="9"/>
    <n v="0.1"/>
    <n v="56.054699999999997"/>
    <n v="9.7416999999999998"/>
    <n v="5"/>
  </r>
  <r>
    <n v="916"/>
    <s v="KI92"/>
    <d v="2023-07-05T00:00:00"/>
    <x v="6"/>
    <x v="2"/>
    <s v="Standard Class"/>
    <s v="KL-16555"/>
    <s v="FUR-TA-10001520"/>
    <n v="100"/>
    <n v="26"/>
    <n v="26"/>
    <x v="1"/>
    <s v="Skating Gear"/>
    <s v="INR"/>
    <n v="751003"/>
    <s v="INDIA"/>
    <x v="1"/>
    <m/>
    <n v="99.918000000000006"/>
    <n v="2"/>
    <n v="0.3"/>
    <n v="-18.5562"/>
    <n v="59.237100000000005"/>
    <n v="2"/>
  </r>
  <r>
    <n v="917"/>
    <s v="MK16"/>
    <d v="2023-07-06T00:00:00"/>
    <x v="6"/>
    <x v="2"/>
    <s v="Standard Class"/>
    <s v="KL-16555"/>
    <s v="FUR-CH-10003379"/>
    <n v="150"/>
    <n v="6"/>
    <n v="4"/>
    <x v="0"/>
    <s v="Children’s Picture Books"/>
    <s v="INR"/>
    <n v="560082"/>
    <s v="INDIA"/>
    <x v="3"/>
    <m/>
    <n v="797.94399999999996"/>
    <n v="4"/>
    <n v="0.3"/>
    <n v="-56.996000000000002"/>
    <n v="213.73499999999999"/>
    <n v="4"/>
  </r>
  <r>
    <n v="918"/>
    <s v="KN46"/>
    <d v="2023-07-07T00:00:00"/>
    <x v="6"/>
    <x v="2"/>
    <s v="Standard Class"/>
    <s v="KL-16555"/>
    <s v="OFF-BI-10002706"/>
    <n v="230"/>
    <n v="16"/>
    <n v="6.9565217391304346"/>
    <x v="5"/>
    <s v="Kitchen Drawers"/>
    <s v="INR"/>
    <n v="421003"/>
    <s v="INDIA"/>
    <x v="4"/>
    <m/>
    <n v="8.5679999999999996"/>
    <n v="3"/>
    <n v="0.8"/>
    <n v="-14.5656"/>
    <n v="7.7112000000000007"/>
    <n v="2"/>
  </r>
  <r>
    <n v="919"/>
    <s v="BT23"/>
    <d v="2023-07-08T00:00:00"/>
    <x v="6"/>
    <x v="2"/>
    <s v="Standard Class"/>
    <s v="RW-19630"/>
    <s v="OFF-EN-10000056"/>
    <n v="130"/>
    <n v="30"/>
    <n v="23.076923076923077"/>
    <x v="3"/>
    <s v="Car Covers"/>
    <s v="INR"/>
    <n v="110045"/>
    <s v="INDIA"/>
    <x v="3"/>
    <m/>
    <n v="149.352"/>
    <n v="3"/>
    <n v="0.2"/>
    <n v="50.406300000000002"/>
    <n v="32.981900000000003"/>
    <n v="1"/>
  </r>
  <r>
    <n v="920"/>
    <s v="WG31"/>
    <d v="2023-07-09T00:00:00"/>
    <x v="6"/>
    <x v="2"/>
    <s v="Standard Class"/>
    <s v="RW-19630"/>
    <s v="OFF-ST-10001558"/>
    <n v="250"/>
    <n v="16"/>
    <n v="6.4"/>
    <x v="6"/>
    <s v="Musical Instruments"/>
    <s v="INR"/>
    <n v="396191"/>
    <s v="INDIA"/>
    <x v="3"/>
    <m/>
    <n v="12.992000000000001"/>
    <n v="1"/>
    <n v="0.2"/>
    <n v="-0.81200000000000006"/>
    <n v="13.804"/>
    <n v="3"/>
  </r>
  <r>
    <n v="921"/>
    <s v="GV50"/>
    <d v="2023-07-10T00:00:00"/>
    <x v="6"/>
    <x v="2"/>
    <s v="Standard Class"/>
    <s v="RC-19825"/>
    <s v="OFF-ST-10002444"/>
    <n v="190"/>
    <n v="20"/>
    <n v="10.526315789473683"/>
    <x v="7"/>
    <s v="Instant Noodles"/>
    <s v="INR"/>
    <n v="401208"/>
    <s v="INDIA"/>
    <x v="19"/>
    <m/>
    <n v="24.56"/>
    <n v="2"/>
    <n v="0.1"/>
    <n v="6.8768000000000002"/>
    <n v="8.8415999999999997"/>
    <n v="5"/>
  </r>
  <r>
    <n v="922"/>
    <s v="OW32"/>
    <d v="2023-07-11T00:00:00"/>
    <x v="6"/>
    <x v="2"/>
    <s v="Standard Class"/>
    <s v="SE-20110"/>
    <s v="TEC-AC-10002473"/>
    <n v="140"/>
    <n v="20"/>
    <n v="14.285714285714285"/>
    <x v="8"/>
    <s v="Pet Collars"/>
    <s v="INR"/>
    <n v="530011"/>
    <s v="INDIA"/>
    <x v="4"/>
    <m/>
    <n v="85.14"/>
    <n v="3"/>
    <n v="0.1"/>
    <n v="34.907400000000003"/>
    <n v="16.744199999999999"/>
    <n v="2"/>
  </r>
  <r>
    <n v="923"/>
    <s v="WN25"/>
    <d v="2023-07-12T00:00:00"/>
    <x v="6"/>
    <x v="2"/>
    <s v="Standard Class"/>
    <s v="SE-20110"/>
    <s v="TEC-PH-10004531"/>
    <n v="220"/>
    <n v="22"/>
    <n v="10"/>
    <x v="2"/>
    <s v="Women’s Sarees"/>
    <s v="INR"/>
    <n v="516001"/>
    <s v="INDIA"/>
    <x v="3"/>
    <m/>
    <n v="21.99"/>
    <n v="1"/>
    <n v="0.1"/>
    <n v="10.555199999999999"/>
    <n v="11.434799999999999"/>
    <n v="2"/>
  </r>
  <r>
    <n v="924"/>
    <s v="QE90"/>
    <d v="2023-07-13T00:00:00"/>
    <x v="6"/>
    <x v="2"/>
    <s v="Standard Class"/>
    <s v="SE-20110"/>
    <s v="OFF-AP-10004487"/>
    <n v="210"/>
    <n v="6"/>
    <n v="2.8571428571428572"/>
    <x v="4"/>
    <s v="Smart Speakers"/>
    <s v="INR"/>
    <n v="400075"/>
    <s v="INDIA"/>
    <x v="18"/>
    <s v="Easy Ship"/>
    <n v="406.6"/>
    <n v="5"/>
    <n v="0.1"/>
    <n v="113.848"/>
    <n v="58.550400000000003"/>
    <n v="4"/>
  </r>
  <r>
    <n v="925"/>
    <s v="IO41"/>
    <d v="2023-07-14T00:00:00"/>
    <x v="6"/>
    <x v="2"/>
    <s v="Standard Class"/>
    <s v="AH-10075"/>
    <s v="OFF-BI-10003650"/>
    <n v="150"/>
    <n v="24"/>
    <n v="16"/>
    <x v="0"/>
    <s v="Children’s Encyclopedias"/>
    <s v="INR"/>
    <n v="411028"/>
    <s v="INDIA"/>
    <x v="11"/>
    <s v="Easy Ship"/>
    <n v="841.56799999999998"/>
    <n v="2"/>
    <n v="0.2"/>
    <n v="294.54880000000003"/>
    <n v="273.50959999999998"/>
    <n v="2"/>
  </r>
  <r>
    <n v="926"/>
    <s v="FU52"/>
    <d v="2023-07-15T00:00:00"/>
    <x v="6"/>
    <x v="2"/>
    <s v="First Class"/>
    <s v="JM-15535"/>
    <s v="OFF-PA-10003543"/>
    <n v="170"/>
    <n v="8"/>
    <n v="4.7058823529411766"/>
    <x v="1"/>
    <s v="Football Shoes"/>
    <s v="INR"/>
    <n v="560024"/>
    <s v="INDIA"/>
    <x v="18"/>
    <m/>
    <n v="15.552"/>
    <n v="3"/>
    <n v="0.2"/>
    <n v="5.4432"/>
    <n v="3.3695999999999997"/>
    <n v="5"/>
  </r>
  <r>
    <n v="927"/>
    <s v="DK39"/>
    <d v="2023-07-16T00:00:00"/>
    <x v="6"/>
    <x v="2"/>
    <s v="First Class"/>
    <s v="JM-15535"/>
    <s v="TEC-AC-10004353"/>
    <n v="100"/>
    <n v="30"/>
    <n v="30"/>
    <x v="4"/>
    <s v="Smart Sensors"/>
    <s v="INR"/>
    <n v="560024"/>
    <s v="INDIA"/>
    <x v="1"/>
    <m/>
    <n v="252"/>
    <n v="5"/>
    <n v="0.2"/>
    <n v="53.55"/>
    <n v="39.69"/>
    <n v="2"/>
  </r>
  <r>
    <n v="928"/>
    <s v="XC36"/>
    <d v="2023-07-17T00:00:00"/>
    <x v="6"/>
    <x v="2"/>
    <s v="Standard Class"/>
    <s v="JJ-15760"/>
    <s v="OFF-AR-10000658"/>
    <n v="130"/>
    <n v="30"/>
    <n v="23.076923076923077"/>
    <x v="2"/>
    <s v="Kids’ Jackets"/>
    <s v="INR"/>
    <n v="560024"/>
    <s v="INDIA"/>
    <x v="9"/>
    <m/>
    <n v="46.2"/>
    <n v="4"/>
    <n v="0.1"/>
    <n v="12.936"/>
    <n v="8.3160000000000007"/>
    <n v="3"/>
  </r>
  <r>
    <n v="929"/>
    <s v="GN58"/>
    <d v="2023-07-18T00:00:00"/>
    <x v="6"/>
    <x v="2"/>
    <s v="Standard Class"/>
    <s v="JJ-15760"/>
    <s v="OFF-AP-10000696"/>
    <n v="200"/>
    <n v="24"/>
    <n v="12"/>
    <x v="5"/>
    <s v="Kitchen Shelves"/>
    <s v="INR"/>
    <n v="560076"/>
    <s v="INDIA"/>
    <x v="17"/>
    <m/>
    <n v="28.84"/>
    <n v="2"/>
    <n v="0.1"/>
    <n v="9.5172000000000008"/>
    <n v="9.6614000000000004"/>
    <n v="2"/>
  </r>
  <r>
    <n v="930"/>
    <s v="PK64"/>
    <d v="2023-07-19T00:00:00"/>
    <x v="6"/>
    <x v="2"/>
    <s v="First Class"/>
    <s v="AB-10165"/>
    <s v="OFF-AR-10003560"/>
    <n v="170"/>
    <n v="22"/>
    <n v="12.941176470588237"/>
    <x v="3"/>
    <s v="Car Oils"/>
    <s v="INR"/>
    <n v="752055"/>
    <s v="INDIA"/>
    <x v="0"/>
    <m/>
    <n v="14.592000000000001"/>
    <n v="3"/>
    <n v="0.2"/>
    <n v="2.5535999999999999"/>
    <n v="4.0128000000000004"/>
    <n v="4"/>
  </r>
  <r>
    <n v="931"/>
    <s v="IL40"/>
    <d v="2023-07-20T00:00:00"/>
    <x v="6"/>
    <x v="2"/>
    <s v="First Class"/>
    <s v="AB-10165"/>
    <s v="OFF-AR-10001468"/>
    <n v="140"/>
    <n v="26"/>
    <n v="18.571428571428573"/>
    <x v="6"/>
    <s v="Board Games"/>
    <s v="INR"/>
    <n v="141013"/>
    <s v="INDIA"/>
    <x v="4"/>
    <m/>
    <n v="89.855999999999995"/>
    <n v="3"/>
    <n v="0.2"/>
    <n v="21.340800000000002"/>
    <n v="22.838399999999996"/>
    <n v="5"/>
  </r>
  <r>
    <n v="932"/>
    <s v="DP72"/>
    <d v="2023-07-21T00:00:00"/>
    <x v="6"/>
    <x v="2"/>
    <s v="First Class"/>
    <s v="AB-10165"/>
    <s v="OFF-PA-10004971"/>
    <n v="190"/>
    <n v="30"/>
    <n v="15.789473684210526"/>
    <x v="7"/>
    <s v="Packaged Snacks"/>
    <m/>
    <n v="424002"/>
    <s v="INDIA"/>
    <x v="3"/>
    <m/>
    <n v="13.872"/>
    <n v="3"/>
    <n v="0.2"/>
    <n v="5.0286"/>
    <n v="2.9477999999999995"/>
    <n v="1"/>
  </r>
  <r>
    <n v="933"/>
    <s v="GJ72"/>
    <d v="2023-07-22T00:00:00"/>
    <x v="6"/>
    <x v="2"/>
    <s v="Standard Class"/>
    <s v="RK-19300"/>
    <s v="OFF-PA-10002195"/>
    <n v="110"/>
    <n v="22"/>
    <n v="20"/>
    <x v="8"/>
    <s v="Pet Brushes"/>
    <s v="INR"/>
    <n v="600116"/>
    <s v="INDIA"/>
    <x v="4"/>
    <m/>
    <n v="12.192"/>
    <n v="3"/>
    <n v="0.2"/>
    <n v="4.1147999999999998"/>
    <n v="2.6924000000000006"/>
    <n v="3"/>
  </r>
  <r>
    <n v="934"/>
    <s v="IR43"/>
    <d v="2023-07-23T00:00:00"/>
    <x v="6"/>
    <x v="2"/>
    <s v="Standard Class"/>
    <s v="CG-12040"/>
    <s v="OFF-PA-10001745"/>
    <n v="230"/>
    <n v="26"/>
    <n v="11.304347826086957"/>
    <x v="2"/>
    <s v="Men’s Jeans"/>
    <s v="INR"/>
    <n v="110088"/>
    <s v="INDIA"/>
    <x v="3"/>
    <m/>
    <n v="45.055999999999997"/>
    <n v="8"/>
    <n v="0.2"/>
    <n v="15.2064"/>
    <n v="3.7311999999999994"/>
    <n v="3"/>
  </r>
  <r>
    <n v="935"/>
    <s v="IJ13"/>
    <d v="2023-07-24T00:00:00"/>
    <x v="6"/>
    <x v="2"/>
    <s v="Standard Class"/>
    <s v="CG-12040"/>
    <s v="OFF-BI-10004826"/>
    <n v="190"/>
    <n v="24"/>
    <n v="12.631578947368421"/>
    <x v="4"/>
    <s v="Smart TVs"/>
    <s v="INR"/>
    <n v="110088"/>
    <s v="INDIA"/>
    <x v="5"/>
    <m/>
    <n v="29.718"/>
    <n v="6"/>
    <n v="0.7"/>
    <n v="-21.793199999999999"/>
    <n v="8.5852000000000004"/>
    <n v="1"/>
  </r>
  <r>
    <n v="936"/>
    <s v="UV49"/>
    <d v="2023-07-25T00:00:00"/>
    <x v="6"/>
    <x v="2"/>
    <s v="Standard Class"/>
    <s v="CG-12040"/>
    <s v="OFF-PA-10001870"/>
    <n v="210"/>
    <n v="8"/>
    <n v="3.8095238095238098"/>
    <x v="1"/>
    <s v="Cricket Bats"/>
    <s v="INR"/>
    <n v="140603"/>
    <s v="INDIA"/>
    <x v="19"/>
    <m/>
    <n v="15.552"/>
    <n v="3"/>
    <n v="0.2"/>
    <n v="5.4432"/>
    <n v="3.3695999999999997"/>
    <n v="4"/>
  </r>
  <r>
    <n v="937"/>
    <s v="GF75"/>
    <d v="2023-07-26T00:00:00"/>
    <x v="6"/>
    <x v="2"/>
    <s v="Standard Class"/>
    <s v="CG-12040"/>
    <s v="OFF-AP-10001058"/>
    <n v="250"/>
    <n v="26"/>
    <n v="10.4"/>
    <x v="0"/>
    <s v="Children’s Novels"/>
    <s v="INR"/>
    <n v="110022"/>
    <s v="INDIA"/>
    <x v="14"/>
    <s v="Easy Ship"/>
    <n v="447.69600000000003"/>
    <n v="2"/>
    <n v="0.2"/>
    <n v="33.577199999999998"/>
    <n v="207.05940000000001"/>
    <n v="4"/>
  </r>
  <r>
    <n v="938"/>
    <s v="OC31"/>
    <d v="2023-07-27T00:00:00"/>
    <x v="6"/>
    <x v="2"/>
    <s v="First Class"/>
    <s v="RA-19885"/>
    <s v="TEC-AC-10003911"/>
    <n v="250"/>
    <n v="18"/>
    <n v="7.1999999999999993"/>
    <x v="5"/>
    <s v="Kitchen Towels"/>
    <m/>
    <n v="530011"/>
    <s v="INDIA"/>
    <x v="0"/>
    <m/>
    <n v="159.99"/>
    <n v="1"/>
    <n v="0.1"/>
    <n v="54.396599999999999"/>
    <n v="105.5934"/>
    <n v="4"/>
  </r>
  <r>
    <n v="939"/>
    <s v="JC59"/>
    <d v="2023-07-28T00:00:00"/>
    <x v="6"/>
    <x v="2"/>
    <s v="Standard Class"/>
    <s v="RP-19270"/>
    <s v="OFF-PA-10000289"/>
    <n v="140"/>
    <n v="24"/>
    <n v="17.142857142857142"/>
    <x v="3"/>
    <s v="Car Batteries"/>
    <m/>
    <n v="560068"/>
    <s v="INDIA"/>
    <x v="1"/>
    <m/>
    <n v="12.96"/>
    <n v="2"/>
    <n v="0.1"/>
    <n v="6.2207999999999997"/>
    <n v="3.3696000000000006"/>
    <n v="1"/>
  </r>
  <r>
    <n v="940"/>
    <s v="WQ84"/>
    <d v="2023-07-29T00:00:00"/>
    <x v="6"/>
    <x v="2"/>
    <s v="Standard Class"/>
    <s v="RP-19270"/>
    <s v="OFF-AP-10003040"/>
    <n v="220"/>
    <n v="6"/>
    <n v="2.7272727272727271"/>
    <x v="6"/>
    <s v="Learning Toys"/>
    <m/>
    <n v="203131"/>
    <s v="INDIA"/>
    <x v="3"/>
    <m/>
    <n v="134.47999999999999"/>
    <n v="4"/>
    <n v="0.1"/>
    <n v="34.964799999999997"/>
    <n v="24.878799999999998"/>
    <n v="3"/>
  </r>
  <r>
    <n v="941"/>
    <s v="EF51"/>
    <d v="2023-07-30T00:00:00"/>
    <x v="6"/>
    <x v="2"/>
    <s v="First Class"/>
    <s v="KC-16255"/>
    <s v="OFF-PA-10000350"/>
    <n v="160"/>
    <n v="16"/>
    <n v="10"/>
    <x v="7"/>
    <s v="Energy Drinks"/>
    <s v="INR"/>
    <n v="313001"/>
    <s v="INDIA"/>
    <x v="2"/>
    <s v="Easy Ship"/>
    <n v="17.12"/>
    <n v="2"/>
    <n v="0.1"/>
    <n v="8.0464000000000002"/>
    <n v="4.5368000000000004"/>
    <n v="5"/>
  </r>
  <r>
    <n v="942"/>
    <s v="VD43"/>
    <d v="2023-07-31T00:00:00"/>
    <x v="6"/>
    <x v="2"/>
    <s v="Standard Class"/>
    <s v="RW-19630"/>
    <s v="OFF-BI-10001759"/>
    <n v="230"/>
    <n v="14"/>
    <n v="6.0869565217391308"/>
    <x v="8"/>
    <s v="Pet Grooming Kits"/>
    <s v="INR"/>
    <n v="395002"/>
    <s v="INDIA"/>
    <x v="16"/>
    <m/>
    <n v="6.0960000000000001"/>
    <n v="2"/>
    <n v="0.2"/>
    <n v="2.2098"/>
    <n v="1.9431"/>
    <n v="1"/>
  </r>
  <r>
    <n v="943"/>
    <s v="AT24"/>
    <d v="2023-08-01T00:00:00"/>
    <x v="7"/>
    <x v="2"/>
    <s v="Standard Class"/>
    <s v="RW-19630"/>
    <s v="FUR-TA-10000577"/>
    <n v="250"/>
    <n v="26"/>
    <n v="10.4"/>
    <x v="2"/>
    <s v="Women’s Jewelry"/>
    <s v="INR"/>
    <n v="395007"/>
    <s v="INDIA"/>
    <x v="9"/>
    <s v="Easy Ship"/>
    <n v="1114.2719999999999"/>
    <n v="4"/>
    <n v="0.2"/>
    <n v="41.785200000000003"/>
    <n v="268.12169999999998"/>
    <n v="3"/>
  </r>
  <r>
    <n v="944"/>
    <s v="PU79"/>
    <d v="2023-08-02T00:00:00"/>
    <x v="7"/>
    <x v="2"/>
    <s v="Standard Class"/>
    <s v="JL-15850"/>
    <s v="OFF-PA-10004101"/>
    <n v="110"/>
    <n v="14"/>
    <n v="12.727272727272727"/>
    <x v="4"/>
    <s v="Smart Tablets"/>
    <s v="INR"/>
    <n v="641009"/>
    <s v="INDIA"/>
    <x v="18"/>
    <m/>
    <n v="32.4"/>
    <n v="5"/>
    <n v="0.1"/>
    <n v="15.552"/>
    <n v="3.3695999999999997"/>
    <n v="2"/>
  </r>
  <r>
    <n v="945"/>
    <s v="FN89"/>
    <d v="2023-08-03T00:00:00"/>
    <x v="7"/>
    <x v="2"/>
    <s v="Standard Class"/>
    <s v="JL-15850"/>
    <s v="OFF-ST-10001496"/>
    <n v="250"/>
    <n v="18"/>
    <n v="7.1999999999999993"/>
    <x v="0"/>
    <s v="Children’s Comics"/>
    <s v="INR"/>
    <n v="400042"/>
    <s v="INDIA"/>
    <x v="0"/>
    <m/>
    <n v="540.57000000000005"/>
    <n v="3"/>
    <n v="0.1"/>
    <n v="140.54820000000001"/>
    <n v="133.34060000000002"/>
    <n v="2"/>
  </r>
  <r>
    <n v="946"/>
    <s v="GW25"/>
    <d v="2023-08-04T00:00:00"/>
    <x v="7"/>
    <x v="2"/>
    <s v="Standard Class"/>
    <s v="JL-15850"/>
    <s v="OFF-BI-10002931"/>
    <n v="190"/>
    <n v="22"/>
    <n v="11.578947368421053"/>
    <x v="1"/>
    <s v="Table Tennis Rackets"/>
    <s v="INR"/>
    <n v="560016"/>
    <s v="INDIA"/>
    <x v="6"/>
    <s v="Easy Ship"/>
    <n v="167.76"/>
    <n v="5"/>
    <n v="0.2"/>
    <n v="62.91"/>
    <n v="20.97"/>
    <n v="2"/>
  </r>
  <r>
    <n v="947"/>
    <s v="FM77"/>
    <d v="2023-08-05T00:00:00"/>
    <x v="7"/>
    <x v="2"/>
    <s v="First Class"/>
    <s v="CA-12775"/>
    <s v="FUR-TA-10002356"/>
    <n v="170"/>
    <n v="6"/>
    <n v="3.5294117647058822"/>
    <x v="4"/>
    <s v="Smart Plugs"/>
    <s v="INR"/>
    <n v="600010"/>
    <s v="INDIA"/>
    <x v="3"/>
    <s v="Easy Ship"/>
    <n v="393.16500000000002"/>
    <n v="3"/>
    <n v="0.5"/>
    <n v="-204.44579999999999"/>
    <n v="199.20360000000002"/>
    <n v="2"/>
  </r>
  <r>
    <n v="948"/>
    <s v="UP58"/>
    <d v="2023-08-06T00:00:00"/>
    <x v="7"/>
    <x v="2"/>
    <s v="Standard Class"/>
    <s v="RB-19795"/>
    <s v="FUR-FU-10003601"/>
    <n v="190"/>
    <n v="16"/>
    <n v="8.4210526315789469"/>
    <x v="2"/>
    <s v="Women’s Flats"/>
    <s v="INR"/>
    <n v="474001"/>
    <s v="INDIA"/>
    <x v="19"/>
    <m/>
    <n v="516.48800000000006"/>
    <n v="7"/>
    <n v="0.2"/>
    <n v="-12.9122"/>
    <n v="75.628600000000006"/>
    <n v="3"/>
  </r>
  <r>
    <n v="949"/>
    <s v="FW13"/>
    <d v="2023-08-07T00:00:00"/>
    <x v="7"/>
    <x v="2"/>
    <s v="Standard Class"/>
    <s v="RB-19795"/>
    <s v="FUR-FU-10000576"/>
    <n v="150"/>
    <n v="8"/>
    <n v="5.3333333333333339"/>
    <x v="5"/>
    <s v="Kitchen Mats"/>
    <s v="INR"/>
    <n v="474001"/>
    <s v="INDIA"/>
    <x v="1"/>
    <m/>
    <n v="1007.232"/>
    <n v="6"/>
    <n v="0.2"/>
    <n v="75.542400000000001"/>
    <n v="155.2816"/>
    <n v="3"/>
  </r>
  <r>
    <n v="950"/>
    <s v="MQ26"/>
    <d v="2023-08-08T00:00:00"/>
    <x v="7"/>
    <x v="2"/>
    <s v="Standard Class"/>
    <s v="RB-19795"/>
    <s v="FUR-TA-10004154"/>
    <n v="160"/>
    <n v="22"/>
    <n v="13.750000000000002"/>
    <x v="3"/>
    <s v="Car Lights"/>
    <s v="INR"/>
    <n v="201301"/>
    <s v="INDIA"/>
    <x v="16"/>
    <m/>
    <n v="2065.3200000000002"/>
    <n v="12"/>
    <n v="0.4"/>
    <n v="-619.596"/>
    <n v="223.74300000000002"/>
    <n v="1"/>
  </r>
  <r>
    <n v="951"/>
    <s v="KV79"/>
    <d v="2023-08-09T00:00:00"/>
    <x v="7"/>
    <x v="2"/>
    <s v="Standard Class"/>
    <s v="RB-19795"/>
    <s v="OFF-PA-10000788"/>
    <n v="160"/>
    <n v="14"/>
    <n v="8.75"/>
    <x v="6"/>
    <s v="Playhouses"/>
    <s v="INR"/>
    <n v="400612"/>
    <s v="INDIA"/>
    <x v="10"/>
    <s v="Easy Ship"/>
    <n v="15.552"/>
    <n v="3"/>
    <n v="0.2"/>
    <n v="5.4432"/>
    <n v="3.3695999999999997"/>
    <n v="5"/>
  </r>
  <r>
    <n v="952"/>
    <s v="QC67"/>
    <d v="2023-08-10T00:00:00"/>
    <x v="7"/>
    <x v="2"/>
    <s v="Standard Class"/>
    <s v="RB-19795"/>
    <s v="OFF-PA-10002479"/>
    <n v="210"/>
    <n v="18"/>
    <n v="8.5714285714285712"/>
    <x v="7"/>
    <s v="Protein Powders"/>
    <s v="INR"/>
    <n v="711410"/>
    <s v="INDIA"/>
    <x v="11"/>
    <m/>
    <n v="25.344000000000001"/>
    <n v="6"/>
    <n v="0.2"/>
    <n v="7.92"/>
    <n v="2.9039999999999999"/>
    <n v="3"/>
  </r>
  <r>
    <n v="953"/>
    <s v="NC98"/>
    <d v="2023-08-11T00:00:00"/>
    <x v="7"/>
    <x v="2"/>
    <s v="Standard Class"/>
    <s v="KH-16360"/>
    <s v="FUR-FU-10001940"/>
    <n v="180"/>
    <n v="20"/>
    <n v="11.111111111111111"/>
    <x v="8"/>
    <s v="Pet Chew Toys"/>
    <s v="INR"/>
    <n v="560043"/>
    <s v="INDIA"/>
    <x v="0"/>
    <m/>
    <n v="25.472000000000001"/>
    <n v="4"/>
    <n v="0.2"/>
    <n v="7.6416000000000004"/>
    <n v="4.4576000000000002"/>
    <n v="2"/>
  </r>
  <r>
    <n v="954"/>
    <s v="VW51"/>
    <d v="2023-08-12T00:00:00"/>
    <x v="7"/>
    <x v="2"/>
    <s v="Standard Class"/>
    <s v="GH-14665"/>
    <s v="OFF-AR-10001958"/>
    <n v="110"/>
    <n v="12"/>
    <n v="10.909090909090908"/>
    <x v="2"/>
    <s v="Kids’ Accessories"/>
    <s v="INR"/>
    <n v="560043"/>
    <s v="INDIA"/>
    <x v="10"/>
    <s v="Easy Ship"/>
    <n v="27.167999999999999"/>
    <n v="2"/>
    <n v="0.2"/>
    <n v="2.7168000000000001"/>
    <n v="12.2256"/>
    <n v="1"/>
  </r>
  <r>
    <n v="955"/>
    <s v="GG31"/>
    <d v="2023-08-13T00:00:00"/>
    <x v="7"/>
    <x v="2"/>
    <s v="Standard Class"/>
    <s v="GH-14665"/>
    <s v="FUR-BO-10004709"/>
    <n v="130"/>
    <n v="10"/>
    <n v="7.6923076923076925"/>
    <x v="4"/>
    <s v="Smart Watches"/>
    <s v="INR"/>
    <n v="560043"/>
    <s v="INDIA"/>
    <x v="8"/>
    <s v="Easy Ship"/>
    <n v="78.852800000000002"/>
    <n v="2"/>
    <n v="0.32"/>
    <n v="-11.596"/>
    <n v="45.224400000000003"/>
    <n v="2"/>
  </r>
  <r>
    <n v="956"/>
    <s v="VU67"/>
    <d v="2023-08-14T00:00:00"/>
    <x v="7"/>
    <x v="2"/>
    <s v="Standard Class"/>
    <s v="SW-20275"/>
    <s v="OFF-ST-10000604"/>
    <n v="120"/>
    <n v="6"/>
    <n v="5"/>
    <x v="0"/>
    <s v="Children’s Poetry"/>
    <s v="INR"/>
    <n v="121001"/>
    <s v="INDIA"/>
    <x v="7"/>
    <m/>
    <n v="173.8"/>
    <n v="5"/>
    <n v="0.1"/>
    <n v="43.45"/>
    <n v="26.070000000000004"/>
    <n v="2"/>
  </r>
  <r>
    <n v="957"/>
    <s v="QK36"/>
    <d v="2023-08-15T00:00:00"/>
    <x v="7"/>
    <x v="2"/>
    <s v="Second Class"/>
    <s v="JA-15970"/>
    <s v="TEC-PH-10002923"/>
    <n v="120"/>
    <n v="30"/>
    <n v="25"/>
    <x v="1"/>
    <s v="Swimming Gear"/>
    <s v="INR"/>
    <n v="795005"/>
    <s v="INDIA"/>
    <x v="8"/>
    <m/>
    <n v="29.591999999999999"/>
    <n v="1"/>
    <n v="0.2"/>
    <n v="2.5893000000000002"/>
    <n v="27.002699999999997"/>
    <n v="3"/>
  </r>
  <r>
    <n v="958"/>
    <s v="SG25"/>
    <d v="2023-08-16T00:00:00"/>
    <x v="7"/>
    <x v="2"/>
    <s v="Second Class"/>
    <s v="JA-15970"/>
    <s v="OFF-BI-10004465"/>
    <n v="200"/>
    <n v="16"/>
    <n v="8"/>
    <x v="4"/>
    <s v="Smart Routers"/>
    <m/>
    <n v="313001"/>
    <s v="INDIA"/>
    <x v="6"/>
    <s v="Easy Ship"/>
    <n v="4.7519999999999998"/>
    <n v="2"/>
    <n v="0.7"/>
    <n v="-3.1680000000000001"/>
    <n v="3.96"/>
    <n v="5"/>
  </r>
  <r>
    <n v="959"/>
    <s v="KF58"/>
    <d v="2023-08-17T00:00:00"/>
    <x v="7"/>
    <x v="2"/>
    <s v="Second Class"/>
    <s v="JA-15970"/>
    <s v="OFF-PA-10002333"/>
    <n v="230"/>
    <n v="18"/>
    <n v="7.8260869565217401"/>
    <x v="2"/>
    <s v="Men’s Belts"/>
    <s v="INR"/>
    <n v="506001"/>
    <s v="INDIA"/>
    <x v="0"/>
    <m/>
    <n v="15.552"/>
    <n v="3"/>
    <n v="0.2"/>
    <n v="5.6375999999999999"/>
    <n v="3.3048000000000002"/>
    <n v="3"/>
  </r>
  <r>
    <n v="960"/>
    <s v="ZB62"/>
    <d v="2023-08-18T00:00:00"/>
    <x v="7"/>
    <x v="2"/>
    <s v="Same Day"/>
    <s v="DL-12925"/>
    <s v="FUR-FU-10004188"/>
    <n v="130"/>
    <n v="14"/>
    <n v="10.76923076923077"/>
    <x v="5"/>
    <s v="Kitchen Trays"/>
    <s v="INR"/>
    <n v="400610"/>
    <s v="INDIA"/>
    <x v="6"/>
    <m/>
    <n v="204.6"/>
    <n v="2"/>
    <n v="0.1"/>
    <n v="53.195999999999998"/>
    <n v="75.701999999999998"/>
    <n v="5"/>
  </r>
  <r>
    <n v="961"/>
    <s v="CQ35"/>
    <d v="2023-08-19T00:00:00"/>
    <x v="7"/>
    <x v="2"/>
    <s v="Standard Class"/>
    <s v="LW-16990"/>
    <s v="FUR-CH-10002965"/>
    <n v="180"/>
    <n v="8"/>
    <n v="4.4444444444444446"/>
    <x v="3"/>
    <s v="Car Mirrors"/>
    <s v="INR"/>
    <n v="400610"/>
    <s v="INDIA"/>
    <x v="14"/>
    <s v="Easy Ship"/>
    <n v="321.56799999999998"/>
    <n v="2"/>
    <n v="0.2"/>
    <n v="28.1372"/>
    <n v="146.71539999999999"/>
    <n v="3"/>
  </r>
  <r>
    <n v="962"/>
    <s v="YE83"/>
    <d v="2023-08-20T00:00:00"/>
    <x v="7"/>
    <x v="2"/>
    <s v="Standard Class"/>
    <s v="TB-21190"/>
    <s v="OFF-BI-10000145"/>
    <n v="250"/>
    <n v="12"/>
    <n v="4.8"/>
    <x v="6"/>
    <s v="Board Puzzles"/>
    <s v="INR"/>
    <n v="201102"/>
    <s v="INDIA"/>
    <x v="3"/>
    <m/>
    <n v="6.24"/>
    <n v="2"/>
    <n v="0.1"/>
    <n v="3.0575999999999999"/>
    <n v="1.5912000000000002"/>
    <n v="2"/>
  </r>
  <r>
    <n v="963"/>
    <s v="ZT46"/>
    <d v="2023-08-21T00:00:00"/>
    <x v="7"/>
    <x v="2"/>
    <s v="First Class"/>
    <s v="CV-12805"/>
    <s v="OFF-EN-10001335"/>
    <n v="210"/>
    <n v="24"/>
    <n v="11.428571428571429"/>
    <x v="7"/>
    <s v="Herbal Teas"/>
    <m/>
    <n v="201301"/>
    <s v="INDIA"/>
    <x v="3"/>
    <m/>
    <n v="21.88"/>
    <n v="2"/>
    <n v="0.1"/>
    <n v="10.94"/>
    <n v="5.47"/>
    <n v="4"/>
  </r>
  <r>
    <n v="964"/>
    <s v="YN15"/>
    <d v="2023-08-22T00:00:00"/>
    <x v="7"/>
    <x v="2"/>
    <s v="Second Class"/>
    <s v="MS-17365"/>
    <s v="OFF-LA-10001613"/>
    <n v="140"/>
    <n v="14"/>
    <n v="10"/>
    <x v="8"/>
    <s v="Pet Beds"/>
    <s v="INR"/>
    <n v="600011"/>
    <s v="INDIA"/>
    <x v="12"/>
    <m/>
    <n v="4.6079999999999997"/>
    <n v="2"/>
    <n v="0.2"/>
    <n v="1.6704000000000001"/>
    <n v="1.4687999999999999"/>
    <n v="3"/>
  </r>
  <r>
    <n v="965"/>
    <s v="WR80"/>
    <d v="2023-08-23T00:00:00"/>
    <x v="7"/>
    <x v="2"/>
    <s v="First Class"/>
    <s v="BS-11800"/>
    <s v="OFF-LA-10004055"/>
    <n v="150"/>
    <n v="24"/>
    <n v="16"/>
    <x v="2"/>
    <s v="Women’s Skirts"/>
    <s v="INR"/>
    <n v="474001"/>
    <s v="INDIA"/>
    <x v="5"/>
    <m/>
    <n v="9.82"/>
    <n v="2"/>
    <n v="0.1"/>
    <n v="4.8117999999999999"/>
    <n v="2.5041000000000002"/>
    <n v="1"/>
  </r>
  <r>
    <n v="966"/>
    <s v="MR37"/>
    <d v="2023-08-24T00:00:00"/>
    <x v="7"/>
    <x v="2"/>
    <s v="First Class"/>
    <s v="BS-11800"/>
    <s v="OFF-AR-10004344"/>
    <n v="240"/>
    <n v="28"/>
    <n v="11.666666666666666"/>
    <x v="4"/>
    <s v="Smart Displays"/>
    <s v="INR"/>
    <n v="474001"/>
    <s v="INDIA"/>
    <x v="7"/>
    <s v="Easy Ship"/>
    <n v="35.97"/>
    <n v="3"/>
    <n v="0.1"/>
    <n v="9.7119"/>
    <n v="8.752699999999999"/>
    <n v="2"/>
  </r>
  <r>
    <n v="967"/>
    <s v="IF57"/>
    <d v="2023-08-25T00:00:00"/>
    <x v="7"/>
    <x v="2"/>
    <s v="First Class"/>
    <s v="BS-11800"/>
    <s v="OFF-PA-10004621"/>
    <n v="100"/>
    <n v="30"/>
    <n v="30"/>
    <x v="0"/>
    <s v="Children’s Activity Books"/>
    <s v="INR"/>
    <n v="122003"/>
    <s v="INDIA"/>
    <x v="2"/>
    <m/>
    <n v="12.96"/>
    <n v="2"/>
    <n v="0.1"/>
    <n v="6.2207999999999997"/>
    <n v="3.3696000000000006"/>
    <n v="4"/>
  </r>
  <r>
    <n v="968"/>
    <s v="UQ49"/>
    <d v="2023-08-26T00:00:00"/>
    <x v="7"/>
    <x v="2"/>
    <s v="First Class"/>
    <s v="BS-11800"/>
    <s v="OFF-PA-10001281"/>
    <n v="100"/>
    <n v="28"/>
    <n v="28.000000000000004"/>
    <x v="1"/>
    <s v="Rowing Machines"/>
    <s v="INR"/>
    <n v="390022"/>
    <s v="INDIA"/>
    <x v="2"/>
    <m/>
    <n v="191.6"/>
    <n v="4"/>
    <n v="0.1"/>
    <n v="91.968000000000004"/>
    <n v="24.907999999999998"/>
    <n v="5"/>
  </r>
  <r>
    <n v="969"/>
    <s v="FX77"/>
    <d v="2023-08-27T00:00:00"/>
    <x v="7"/>
    <x v="2"/>
    <s v="First Class"/>
    <s v="BS-11800"/>
    <s v="OFF-LA-10001613"/>
    <n v="140"/>
    <n v="24"/>
    <n v="17.142857142857142"/>
    <x v="4"/>
    <s v="Smart Remotes"/>
    <s v="INR"/>
    <n v="390022"/>
    <s v="INDIA"/>
    <x v="4"/>
    <s v="Easy Ship"/>
    <n v="8.64"/>
    <n v="3"/>
    <n v="0.1"/>
    <n v="4.2336"/>
    <n v="1.4688000000000001"/>
    <n v="1"/>
  </r>
  <r>
    <n v="970"/>
    <s v="WG88"/>
    <d v="2023-08-28T00:00:00"/>
    <x v="7"/>
    <x v="2"/>
    <s v="First Class"/>
    <s v="BS-11800"/>
    <s v="OFF-ST-10001097"/>
    <n v="170"/>
    <n v="6"/>
    <n v="3.5294117647058822"/>
    <x v="2"/>
    <s v="Men’s Jackets"/>
    <s v="INR"/>
    <n v="180007"/>
    <s v="INDIA"/>
    <x v="0"/>
    <m/>
    <n v="501.81"/>
    <n v="3"/>
    <n v="0.1"/>
    <n v="0.1"/>
    <n v="167.23666666666665"/>
    <n v="3"/>
  </r>
  <r>
    <n v="971"/>
    <s v="AO95"/>
    <d v="2023-08-29T00:00:00"/>
    <x v="7"/>
    <x v="2"/>
    <s v="Second Class"/>
    <s v="DL-13315"/>
    <s v="FUR-FU-10001095"/>
    <n v="140"/>
    <n v="20"/>
    <n v="14.285714285714285"/>
    <x v="5"/>
    <s v="Kitchen Organizers"/>
    <s v="INR"/>
    <n v="670305"/>
    <s v="INDIA"/>
    <x v="1"/>
    <m/>
    <n v="127.104"/>
    <n v="6"/>
    <n v="0.2"/>
    <n v="28.598400000000002"/>
    <n v="16.4176"/>
    <n v="2"/>
  </r>
  <r>
    <n v="972"/>
    <s v="JV35"/>
    <d v="2023-08-30T00:00:00"/>
    <x v="7"/>
    <x v="2"/>
    <s v="Second Class"/>
    <s v="DL-13315"/>
    <s v="TEC-PH-10004614"/>
    <n v="150"/>
    <n v="12"/>
    <n v="8"/>
    <x v="3"/>
    <s v="Car Wipers"/>
    <s v="INR"/>
    <n v="600062"/>
    <s v="INDIA"/>
    <x v="18"/>
    <m/>
    <n v="124.2"/>
    <n v="3"/>
    <n v="0.4"/>
    <n v="-31.05"/>
    <n v="51.75"/>
    <n v="5"/>
  </r>
  <r>
    <n v="973"/>
    <s v="PF59"/>
    <d v="2023-08-31T00:00:00"/>
    <x v="7"/>
    <x v="2"/>
    <s v="Second Class"/>
    <s v="DL-13315"/>
    <s v="OFF-BI-10001575"/>
    <n v="140"/>
    <n v="6"/>
    <n v="4.2857142857142856"/>
    <x v="6"/>
    <s v="Play Kitchens"/>
    <s v="INR"/>
    <n v="421204"/>
    <s v="INDIA"/>
    <x v="1"/>
    <m/>
    <n v="18.588000000000001"/>
    <n v="2"/>
    <n v="0.7"/>
    <n v="-13.6312"/>
    <n v="16.1096"/>
    <n v="5"/>
  </r>
  <r>
    <n v="974"/>
    <s v="VY34"/>
    <d v="2023-09-01T00:00:00"/>
    <x v="8"/>
    <x v="2"/>
    <s v="Second Class"/>
    <s v="DL-13315"/>
    <s v="OFF-LA-10001074"/>
    <n v="100"/>
    <n v="14"/>
    <n v="14.000000000000002"/>
    <x v="7"/>
    <s v="Protein Bars"/>
    <m/>
    <n v="641009"/>
    <s v="INDIA"/>
    <x v="9"/>
    <m/>
    <n v="30.071999999999999"/>
    <n v="3"/>
    <n v="0.2"/>
    <n v="10.1493"/>
    <n v="6.6408999999999994"/>
    <n v="2"/>
  </r>
  <r>
    <n v="975"/>
    <s v="PD65"/>
    <d v="2023-09-02T00:00:00"/>
    <x v="8"/>
    <x v="2"/>
    <s v="Second Class"/>
    <s v="PO-19195"/>
    <s v="TEC-PH-10003555"/>
    <n v="100"/>
    <n v="6"/>
    <n v="6"/>
    <x v="8"/>
    <s v="Pet Towels"/>
    <s v="INR"/>
    <n v="670661"/>
    <s v="INDIA"/>
    <x v="10"/>
    <m/>
    <n v="160.93"/>
    <n v="7"/>
    <n v="0.1"/>
    <n v="3.2185999999999999"/>
    <n v="22.530200000000001"/>
    <n v="2"/>
  </r>
  <r>
    <n v="976"/>
    <s v="ES51"/>
    <d v="2023-09-03T00:00:00"/>
    <x v="8"/>
    <x v="2"/>
    <s v="Second Class"/>
    <s v="PO-19195"/>
    <s v="OFF-BI-10004492"/>
    <n v="130"/>
    <n v="14"/>
    <n v="10.76923076923077"/>
    <x v="2"/>
    <s v="Women’s Sunglasses"/>
    <s v="INR"/>
    <n v="632602"/>
    <s v="INDIA"/>
    <x v="1"/>
    <s v="Easy Ship"/>
    <n v="75.792000000000002"/>
    <n v="3"/>
    <n v="0.2"/>
    <n v="25.579799999999999"/>
    <n v="16.737400000000001"/>
    <n v="5"/>
  </r>
  <r>
    <n v="977"/>
    <s v="EW78"/>
    <d v="2023-09-04T00:00:00"/>
    <x v="8"/>
    <x v="2"/>
    <s v="Standard Class"/>
    <s v="TD-20995"/>
    <s v="OFF-BI-10002012"/>
    <n v="190"/>
    <n v="20"/>
    <n v="10.526315789473683"/>
    <x v="4"/>
    <s v="Smart Sensors"/>
    <s v="INR"/>
    <n v="522647"/>
    <s v="INDIA"/>
    <x v="1"/>
    <m/>
    <n v="1.08"/>
    <n v="2"/>
    <n v="0.7"/>
    <n v="-0.79200000000000004"/>
    <n v="0.93600000000000005"/>
    <n v="1"/>
  </r>
  <r>
    <n v="978"/>
    <s v="FW67"/>
    <d v="2023-09-05T00:00:00"/>
    <x v="8"/>
    <x v="2"/>
    <s v="First Class"/>
    <s v="BW-11110"/>
    <s v="TEC-MA-10000822"/>
    <n v="200"/>
    <n v="30"/>
    <n v="15"/>
    <x v="0"/>
    <s v="Children’s Storybooks"/>
    <s v="INR"/>
    <n v="586201"/>
    <s v="INDIA"/>
    <x v="1"/>
    <m/>
    <n v="3059.982"/>
    <n v="2"/>
    <n v="0.11"/>
    <n v="679.99599999999998"/>
    <n v="1189.9929999999999"/>
    <n v="3"/>
  </r>
  <r>
    <n v="979"/>
    <s v="YX82"/>
    <d v="2023-09-06T00:00:00"/>
    <x v="8"/>
    <x v="2"/>
    <s v="First Class"/>
    <s v="RW-19690"/>
    <s v="OFF-BI-10000848"/>
    <n v="170"/>
    <n v="8"/>
    <n v="4.7058823529411766"/>
    <x v="1"/>
    <s v="Elliptical Trainers"/>
    <s v="INR"/>
    <n v="500004"/>
    <s v="INDIA"/>
    <x v="15"/>
    <m/>
    <n v="3.282"/>
    <n v="2"/>
    <n v="0.7"/>
    <n v="-2.6255999999999999"/>
    <n v="2.9538000000000002"/>
    <n v="2"/>
  </r>
  <r>
    <n v="980"/>
    <s v="NK35"/>
    <d v="2023-09-07T00:00:00"/>
    <x v="8"/>
    <x v="2"/>
    <s v="First Class"/>
    <s v="KB-16600"/>
    <s v="OFF-PA-10004156"/>
    <n v="200"/>
    <n v="16"/>
    <n v="8"/>
    <x v="4"/>
    <s v="Smart Thermostats"/>
    <s v="INR"/>
    <n v="500044"/>
    <s v="INDIA"/>
    <x v="2"/>
    <m/>
    <n v="34.020000000000003"/>
    <n v="3"/>
    <n v="0.1"/>
    <n v="16.669799999999999"/>
    <n v="5.7834000000000012"/>
    <n v="4"/>
  </r>
  <r>
    <n v="981"/>
    <s v="ZS51"/>
    <d v="2023-09-08T00:00:00"/>
    <x v="8"/>
    <x v="2"/>
    <s v="Standard Class"/>
    <s v="EB-13870"/>
    <s v="FUR-CH-10003199"/>
    <n v="150"/>
    <n v="20"/>
    <n v="13.333333333333334"/>
    <x v="2"/>
    <s v="Kids’ Dresses"/>
    <s v="INR"/>
    <n v="834001"/>
    <s v="INDIA"/>
    <x v="0"/>
    <s v="Easy Ship"/>
    <n v="599.29200000000003"/>
    <n v="6"/>
    <n v="0.11"/>
    <n v="93.223200000000006"/>
    <n v="84.344800000000006"/>
    <n v="3"/>
  </r>
  <r>
    <n v="982"/>
    <s v="YH72"/>
    <d v="2023-09-09T00:00:00"/>
    <x v="8"/>
    <x v="2"/>
    <s v="Second Class"/>
    <s v="TZ-21580"/>
    <s v="OFF-AR-10000034"/>
    <n v="180"/>
    <n v="12"/>
    <n v="6.666666666666667"/>
    <x v="5"/>
    <s v="Kitchen Containers"/>
    <s v="INR"/>
    <n v="700064"/>
    <s v="INDIA"/>
    <x v="3"/>
    <m/>
    <n v="3.3919999999999999"/>
    <n v="1"/>
    <n v="0.2"/>
    <n v="0.80559999999999998"/>
    <n v="2.5863999999999998"/>
    <n v="2"/>
  </r>
  <r>
    <n v="983"/>
    <s v="KA98"/>
    <d v="2023-09-10T00:00:00"/>
    <x v="8"/>
    <x v="2"/>
    <s v="Second Class"/>
    <s v="TZ-21580"/>
    <s v="TEC-PH-10000560"/>
    <n v="140"/>
    <n v="6"/>
    <n v="4.2857142857142856"/>
    <x v="3"/>
    <s v="Car Steering Covers"/>
    <s v="INR"/>
    <n v="800025"/>
    <s v="INDIA"/>
    <x v="8"/>
    <m/>
    <n v="559.98400000000004"/>
    <n v="2"/>
    <n v="0.2"/>
    <n v="55.998399999999997"/>
    <n v="251.99280000000002"/>
    <n v="1"/>
  </r>
  <r>
    <n v="984"/>
    <s v="TD74"/>
    <d v="2023-09-11T00:00:00"/>
    <x v="8"/>
    <x v="2"/>
    <s v="Second Class"/>
    <s v="TZ-21580"/>
    <s v="FUR-CH-10000665"/>
    <n v="150"/>
    <n v="18"/>
    <n v="12"/>
    <x v="6"/>
    <s v="Construction Sets"/>
    <s v="INR"/>
    <n v="411033"/>
    <s v="INDIA"/>
    <x v="0"/>
    <m/>
    <n v="603.91999999999996"/>
    <n v="5"/>
    <n v="0.2"/>
    <n v="75.489999999999995"/>
    <n v="105.68599999999999"/>
    <n v="4"/>
  </r>
  <r>
    <n v="985"/>
    <s v="LP94"/>
    <d v="2023-09-12T00:00:00"/>
    <x v="8"/>
    <x v="2"/>
    <s v="Standard Class"/>
    <s v="AS-10630"/>
    <s v="OFF-LA-10001569"/>
    <n v="190"/>
    <n v="24"/>
    <n v="12.631578947368421"/>
    <x v="7"/>
    <s v="Juices"/>
    <s v="INR"/>
    <n v="263145"/>
    <s v="INDIA"/>
    <x v="0"/>
    <s v="Easy Ship"/>
    <n v="7.968"/>
    <n v="2"/>
    <n v="0.2"/>
    <n v="2.5895999999999999"/>
    <n v="2.6892"/>
    <n v="4"/>
  </r>
  <r>
    <n v="986"/>
    <s v="LW42"/>
    <d v="2023-09-13T00:00:00"/>
    <x v="8"/>
    <x v="2"/>
    <s v="Standard Class"/>
    <s v="AS-10630"/>
    <s v="OFF-EN-10000461"/>
    <n v="200"/>
    <n v="22"/>
    <n v="11"/>
    <x v="8"/>
    <s v="Pet Harnesses"/>
    <s v="INR"/>
    <n v="110019"/>
    <s v="INDIA"/>
    <x v="16"/>
    <m/>
    <n v="27.968"/>
    <n v="4"/>
    <n v="0.2"/>
    <n v="9.4391999999999996"/>
    <n v="4.6322000000000001"/>
    <n v="3"/>
  </r>
  <r>
    <n v="987"/>
    <s v="MZ54"/>
    <d v="2023-09-14T00:00:00"/>
    <x v="8"/>
    <x v="2"/>
    <s v="Standard Class"/>
    <s v="AS-10630"/>
    <s v="TEC-MA-10003066"/>
    <n v="230"/>
    <n v="22"/>
    <n v="9.5652173913043477"/>
    <x v="2"/>
    <s v="Men’s Accessories"/>
    <s v="INR"/>
    <n v="501101"/>
    <s v="INDIA"/>
    <x v="4"/>
    <m/>
    <n v="336.51"/>
    <n v="3"/>
    <n v="0.4"/>
    <n v="44.868000000000002"/>
    <n v="97.213999999999999"/>
    <n v="2"/>
  </r>
  <r>
    <n v="988"/>
    <s v="DW12"/>
    <d v="2023-09-15T00:00:00"/>
    <x v="8"/>
    <x v="2"/>
    <s v="Same Day"/>
    <s v="TS-21340"/>
    <s v="OFF-BI-10004022"/>
    <n v="240"/>
    <n v="6"/>
    <n v="2.5"/>
    <x v="4"/>
    <s v="Smart Home Hubs"/>
    <s v="INR"/>
    <n v="500058"/>
    <s v="INDIA"/>
    <x v="4"/>
    <m/>
    <n v="1.1120000000000001"/>
    <n v="2"/>
    <n v="0.8"/>
    <n v="-1.8904000000000001"/>
    <n v="1.5012000000000001"/>
    <n v="3"/>
  </r>
  <r>
    <n v="989"/>
    <s v="ZT62"/>
    <d v="2023-09-16T00:00:00"/>
    <x v="8"/>
    <x v="2"/>
    <s v="Standard Class"/>
    <s v="JG-15805"/>
    <s v="FUR-FU-10004071"/>
    <n v="110"/>
    <n v="16"/>
    <n v="14.545454545454545"/>
    <x v="0"/>
    <s v="Children’s Educational Books"/>
    <s v="INR"/>
    <n v="500058"/>
    <s v="INDIA"/>
    <x v="3"/>
    <m/>
    <n v="520.04999999999995"/>
    <n v="5"/>
    <n v="0.1"/>
    <n v="72.807000000000002"/>
    <n v="89.448599999999985"/>
    <n v="4"/>
  </r>
  <r>
    <n v="990"/>
    <s v="IX61"/>
    <d v="2023-09-17T00:00:00"/>
    <x v="8"/>
    <x v="2"/>
    <s v="Standard Class"/>
    <s v="JG-15805"/>
    <s v="OFF-AR-10001988"/>
    <n v="180"/>
    <n v="30"/>
    <n v="16.666666666666664"/>
    <x v="1"/>
    <s v="Archery Gear"/>
    <s v="INR"/>
    <n v="122010"/>
    <s v="INDIA"/>
    <x v="15"/>
    <m/>
    <n v="17.97"/>
    <n v="3"/>
    <n v="0.1"/>
    <n v="5.2112999999999996"/>
    <n v="4.2528999999999995"/>
    <n v="5"/>
  </r>
  <r>
    <n v="991"/>
    <s v="DV26"/>
    <d v="2023-09-18T00:00:00"/>
    <x v="8"/>
    <x v="2"/>
    <s v="Second Class"/>
    <s v="SL-20155"/>
    <s v="FUR-CH-10004086"/>
    <n v="170"/>
    <n v="10"/>
    <n v="5.8823529411764701"/>
    <x v="4"/>
    <s v="Smart Switches"/>
    <m/>
    <n v="110016"/>
    <s v="INDIA"/>
    <x v="19"/>
    <m/>
    <n v="1166.92"/>
    <n v="5"/>
    <n v="0.2"/>
    <n v="131.27850000000001"/>
    <n v="207.12830000000002"/>
    <n v="5"/>
  </r>
  <r>
    <n v="992"/>
    <s v="KO58"/>
    <d v="2023-09-19T00:00:00"/>
    <x v="8"/>
    <x v="2"/>
    <s v="First Class"/>
    <s v="TS-21610"/>
    <s v="OFF-BI-10001036"/>
    <n v="240"/>
    <n v="28"/>
    <n v="11.666666666666666"/>
    <x v="2"/>
    <s v="Women’s Scarves"/>
    <s v="INR"/>
    <n v="500020"/>
    <s v="INDIA"/>
    <x v="4"/>
    <m/>
    <n v="14.624000000000001"/>
    <n v="2"/>
    <n v="0.2"/>
    <n v="5.484"/>
    <n v="4.57"/>
    <n v="1"/>
  </r>
  <r>
    <n v="993"/>
    <s v="WS69"/>
    <d v="2023-09-20T00:00:00"/>
    <x v="8"/>
    <x v="2"/>
    <s v="First Class"/>
    <s v="RF-19735"/>
    <s v="OFF-FA-10002983"/>
    <n v="170"/>
    <n v="14"/>
    <n v="8.235294117647058"/>
    <x v="5"/>
    <s v="Kitchen Utensils"/>
    <s v="INR"/>
    <n v="110064"/>
    <s v="INDIA"/>
    <x v="17"/>
    <m/>
    <n v="10.23"/>
    <n v="3"/>
    <n v="0.1"/>
    <n v="4.9104000000000001"/>
    <n v="1.7732000000000001"/>
    <n v="4"/>
  </r>
  <r>
    <n v="994"/>
    <s v="JQ23"/>
    <d v="2023-09-21T00:00:00"/>
    <x v="8"/>
    <x v="2"/>
    <s v="First Class"/>
    <s v="RF-19735"/>
    <s v="OFF-PA-10003625"/>
    <n v="150"/>
    <n v="8"/>
    <n v="5.3333333333333339"/>
    <x v="3"/>
    <s v="Car Dash Cameras"/>
    <s v="INR"/>
    <n v="531031"/>
    <s v="INDIA"/>
    <x v="0"/>
    <s v="Easy Ship"/>
    <n v="154.9"/>
    <n v="5"/>
    <n v="0.1"/>
    <n v="69.704999999999998"/>
    <n v="17.039000000000001"/>
    <n v="4"/>
  </r>
  <r>
    <n v="995"/>
    <s v="ZA54"/>
    <d v="2023-09-22T00:00:00"/>
    <x v="8"/>
    <x v="2"/>
    <s v="Standard Class"/>
    <s v="MW-18235"/>
    <s v="OFF-BI-10003925"/>
    <n v="240"/>
    <n v="12"/>
    <n v="5"/>
    <x v="6"/>
    <s v="Role Play Sets"/>
    <s v="INR"/>
    <n v="495001"/>
    <s v="INDIA"/>
    <x v="0"/>
    <m/>
    <n v="2715.93"/>
    <n v="7"/>
    <n v="0.1"/>
    <n v="1276.4871000000001"/>
    <n v="205.63469999999998"/>
    <n v="1"/>
  </r>
  <r>
    <n v="996"/>
    <s v="VG76"/>
    <d v="2023-09-23T00:00:00"/>
    <x v="8"/>
    <x v="2"/>
    <s v="Standard Class"/>
    <s v="MW-18235"/>
    <s v="TEC-PH-10001530"/>
    <n v="150"/>
    <n v="30"/>
    <n v="20"/>
    <x v="7"/>
    <s v="Pickles"/>
    <s v="INR"/>
    <n v="400088"/>
    <s v="INDIA"/>
    <x v="19"/>
    <s v="Easy Ship"/>
    <n v="617.97"/>
    <n v="3"/>
    <n v="0.1"/>
    <n v="173.0316"/>
    <n v="148.31280000000001"/>
    <n v="4"/>
  </r>
  <r>
    <n v="997"/>
    <s v="VC48"/>
    <d v="2023-09-24T00:00:00"/>
    <x v="8"/>
    <x v="2"/>
    <s v="Standard Class"/>
    <s v="RD-19585"/>
    <s v="OFF-EN-10003862"/>
    <n v="140"/>
    <n v="8"/>
    <n v="5.7142857142857144"/>
    <x v="8"/>
    <s v="Pet Blankets"/>
    <s v="INR"/>
    <n v="500008"/>
    <s v="INDIA"/>
    <x v="10"/>
    <m/>
    <n v="10.67"/>
    <n v="1"/>
    <n v="0.1"/>
    <n v="4.9081999999999999"/>
    <n v="5.7618"/>
    <n v="3"/>
  </r>
  <r>
    <n v="998"/>
    <s v="BM94"/>
    <d v="2023-09-25T00:00:00"/>
    <x v="8"/>
    <x v="2"/>
    <s v="Standard Class"/>
    <s v="RD-19585"/>
    <s v="OFF-ST-10004258"/>
    <n v="180"/>
    <n v="6"/>
    <n v="3.3333333333333335"/>
    <x v="2"/>
    <s v="Men’s Sports Shoes"/>
    <s v="INR"/>
    <n v="395002"/>
    <s v="INDIA"/>
    <x v="6"/>
    <s v="Easy Ship"/>
    <n v="36.630000000000003"/>
    <n v="3"/>
    <n v="0.1"/>
    <n v="9.8901000000000003"/>
    <n v="8.9133000000000013"/>
    <n v="4"/>
  </r>
  <r>
    <n v="999"/>
    <s v="GX37"/>
    <d v="2023-09-26T00:00:00"/>
    <x v="8"/>
    <x v="2"/>
    <s v="Standard Class"/>
    <s v="RD-19585"/>
    <s v="FUR-FU-10002885"/>
    <n v="200"/>
    <n v="26"/>
    <n v="13"/>
    <x v="4"/>
    <s v="Speakers"/>
    <s v="INR"/>
    <n v="360004"/>
    <s v="INDIA"/>
    <x v="14"/>
    <s v="Easy Ship"/>
    <n v="24.1"/>
    <n v="5"/>
    <n v="0.1"/>
    <n v="9.1579999999999995"/>
    <n v="2.9884000000000004"/>
    <n v="1"/>
  </r>
  <r>
    <n v="1000"/>
    <s v="SH11"/>
    <d v="2023-09-27T00:00:00"/>
    <x v="8"/>
    <x v="2"/>
    <s v="Standard Class"/>
    <s v="RD-19585"/>
    <s v="FUR-FU-10001918"/>
    <n v="240"/>
    <n v="8"/>
    <n v="3.3333333333333335"/>
    <x v="0"/>
    <s v="Fantasy"/>
    <s v="INR"/>
    <n v="400078"/>
    <s v="INDIA"/>
    <x v="15"/>
    <s v="Easy Ship"/>
    <n v="33.11"/>
    <n v="7"/>
    <n v="0.1"/>
    <n v="12.9129"/>
    <n v="2.8853"/>
    <n v="2"/>
  </r>
  <r>
    <n v="1001"/>
    <s v="BM34"/>
    <d v="2023-09-28T00:00:00"/>
    <x v="8"/>
    <x v="2"/>
    <s v="Standard Class"/>
    <s v="FM-14290"/>
    <s v="OFF-AR-10002956"/>
    <n v="230"/>
    <n v="20"/>
    <n v="8.695652173913043"/>
    <x v="1"/>
    <s v="Surfing Gear"/>
    <s v="INR"/>
    <n v="110003"/>
    <s v="INDIA"/>
    <x v="0"/>
    <m/>
    <n v="44.02"/>
    <n v="2"/>
    <n v="0.1"/>
    <n v="11.4452"/>
    <n v="16.287400000000002"/>
    <n v="3"/>
  </r>
  <r>
    <n v="1002"/>
    <s v="UW25"/>
    <d v="2023-09-29T00:00:00"/>
    <x v="8"/>
    <x v="2"/>
    <s v="Same Day"/>
    <s v="RH-19495"/>
    <s v="TEC-AC-10003033"/>
    <n v="100"/>
    <n v="18"/>
    <n v="18"/>
    <x v="4"/>
    <s v="Smart Keyboards"/>
    <s v="INR"/>
    <n v="605001"/>
    <s v="INDIA"/>
    <x v="14"/>
    <m/>
    <n v="2309.65"/>
    <n v="7"/>
    <n v="0.1"/>
    <n v="762.18449999999996"/>
    <n v="221.06650000000005"/>
    <n v="5"/>
  </r>
  <r>
    <n v="1003"/>
    <s v="PU74"/>
    <d v="2023-09-30T00:00:00"/>
    <x v="8"/>
    <x v="2"/>
    <s v="Same Day"/>
    <s v="RH-19495"/>
    <s v="FUR-TA-10002903"/>
    <n v="190"/>
    <n v="30"/>
    <n v="15.789473684210526"/>
    <x v="2"/>
    <s v="Women’s Blazers"/>
    <s v="INR"/>
    <n v="492001"/>
    <s v="INDIA"/>
    <x v="1"/>
    <m/>
    <n v="1090.7819999999999"/>
    <n v="7"/>
    <n v="0.4"/>
    <n v="-290.87520000000001"/>
    <n v="197.37959999999998"/>
    <n v="2"/>
  </r>
  <r>
    <n v="1004"/>
    <s v="SJ47"/>
    <d v="2023-10-01T00:00:00"/>
    <x v="9"/>
    <x v="2"/>
    <s v="Same Day"/>
    <s v="RH-19495"/>
    <s v="OFF-PA-10004621"/>
    <n v="240"/>
    <n v="12"/>
    <n v="5"/>
    <x v="5"/>
    <s v="Kitchen Stools"/>
    <s v="INR"/>
    <n v="600118"/>
    <s v="INDIA"/>
    <x v="13"/>
    <m/>
    <n v="19.440000000000001"/>
    <n v="3"/>
    <n v="0.1"/>
    <n v="9.3312000000000008"/>
    <n v="3.3696000000000002"/>
    <n v="4"/>
  </r>
  <r>
    <n v="1005"/>
    <s v="LM50"/>
    <d v="2023-10-02T00:00:00"/>
    <x v="9"/>
    <x v="2"/>
    <s v="Standard Class"/>
    <s v="RA-19945"/>
    <s v="OFF-ST-10000046"/>
    <n v="240"/>
    <n v="18"/>
    <n v="7.5"/>
    <x v="3"/>
    <s v="Car Floor Mats"/>
    <m/>
    <n v="682023"/>
    <s v="INDIA"/>
    <x v="3"/>
    <m/>
    <n v="484.65"/>
    <n v="3"/>
    <n v="0.1"/>
    <n v="92.083500000000001"/>
    <n v="130.85549999999998"/>
    <n v="4"/>
  </r>
  <r>
    <n v="1006"/>
    <s v="CD24"/>
    <d v="2023-10-03T00:00:00"/>
    <x v="9"/>
    <x v="2"/>
    <s v="Standard Class"/>
    <s v="JK-15730"/>
    <s v="OFF-PA-10001790"/>
    <n v="200"/>
    <n v="6"/>
    <n v="3"/>
    <x v="6"/>
    <s v="Science Kits"/>
    <m/>
    <n v="421204"/>
    <s v="INDIA"/>
    <x v="3"/>
    <m/>
    <n v="115.29600000000001"/>
    <n v="3"/>
    <n v="0.2"/>
    <n v="40.3536"/>
    <n v="24.980800000000002"/>
    <n v="5"/>
  </r>
  <r>
    <n v="1007"/>
    <s v="HX72"/>
    <d v="2023-10-04T00:00:00"/>
    <x v="9"/>
    <x v="2"/>
    <s v="First Class"/>
    <s v="MT-17815"/>
    <s v="OFF-EN-10002600"/>
    <n v="130"/>
    <n v="16"/>
    <n v="12.307692307692308"/>
    <x v="7"/>
    <s v="Organic Vegetables"/>
    <s v="INR"/>
    <n v="110022"/>
    <s v="INDIA"/>
    <x v="0"/>
    <s v="Easy Ship"/>
    <n v="7.08"/>
    <n v="3"/>
    <n v="0.2"/>
    <n v="2.4780000000000002"/>
    <n v="1.534"/>
    <n v="5"/>
  </r>
  <r>
    <n v="1008"/>
    <s v="IH77"/>
    <d v="2023-10-05T00:00:00"/>
    <x v="9"/>
    <x v="2"/>
    <s v="First Class"/>
    <s v="MT-17815"/>
    <s v="OFF-BI-10002049"/>
    <n v="180"/>
    <n v="20"/>
    <n v="11.111111111111111"/>
    <x v="8"/>
    <s v="Pet Nail Clippers"/>
    <s v="INR"/>
    <n v="243122"/>
    <s v="INDIA"/>
    <x v="10"/>
    <m/>
    <n v="4.4009999999999998"/>
    <n v="3"/>
    <n v="0.7"/>
    <n v="-3.5207999999999999"/>
    <n v="2.6405999999999996"/>
    <n v="3"/>
  </r>
  <r>
    <n v="1009"/>
    <s v="XX14"/>
    <d v="2023-10-06T00:00:00"/>
    <x v="9"/>
    <x v="2"/>
    <s v="Standard Class"/>
    <s v="PO-18850"/>
    <s v="OFF-PA-10001509"/>
    <n v="190"/>
    <n v="8"/>
    <n v="4.2105263157894735"/>
    <x v="2"/>
    <s v="Men’s Hoodies"/>
    <s v="INR"/>
    <n v="400006"/>
    <s v="INDIA"/>
    <x v="16"/>
    <m/>
    <n v="44.75"/>
    <n v="5"/>
    <n v="0.1"/>
    <n v="20.585000000000001"/>
    <n v="4.8330000000000002"/>
    <n v="2"/>
  </r>
  <r>
    <n v="1010"/>
    <s v="GU27"/>
    <d v="2023-10-07T00:00:00"/>
    <x v="9"/>
    <x v="2"/>
    <s v="First Class"/>
    <s v="AT-10735"/>
    <s v="TEC-PH-10003931"/>
    <n v="120"/>
    <n v="6"/>
    <n v="5"/>
    <x v="4"/>
    <s v="Smart Monitors"/>
    <s v="INR"/>
    <n v="201301"/>
    <s v="INDIA"/>
    <x v="10"/>
    <m/>
    <n v="95.983999999999995"/>
    <n v="2"/>
    <n v="0.2"/>
    <n v="5.9989999999999997"/>
    <n v="44.9925"/>
    <n v="5"/>
  </r>
  <r>
    <n v="1011"/>
    <s v="RE75"/>
    <d v="2023-10-08T00:00:00"/>
    <x v="9"/>
    <x v="2"/>
    <s v="First Class"/>
    <s v="VG-21790"/>
    <s v="FUR-FU-10001602"/>
    <n v="250"/>
    <n v="24"/>
    <n v="9.6"/>
    <x v="1"/>
    <s v="Baseball Gear"/>
    <s v="INR"/>
    <n v="190003"/>
    <s v="INDIA"/>
    <x v="13"/>
    <m/>
    <n v="151.72"/>
    <n v="4"/>
    <n v="0.1"/>
    <n v="27.3096"/>
    <n v="31.102599999999999"/>
    <n v="5"/>
  </r>
  <r>
    <n v="1012"/>
    <s v="XS80"/>
    <d v="2023-10-09T00:00:00"/>
    <x v="9"/>
    <x v="2"/>
    <s v="Second Class"/>
    <s v="PF-19165"/>
    <s v="FUR-FU-10004848"/>
    <n v="110"/>
    <n v="22"/>
    <n v="20"/>
    <x v="0"/>
    <s v="Children’s Fairy Tales"/>
    <s v="INR"/>
    <n v="431720"/>
    <s v="INDIA"/>
    <x v="4"/>
    <s v="Easy Ship"/>
    <n v="155.25"/>
    <n v="3"/>
    <n v="0.1"/>
    <n v="46.575000000000003"/>
    <n v="36.225000000000001"/>
    <n v="3"/>
  </r>
  <r>
    <n v="1013"/>
    <s v="VY65"/>
    <d v="2023-10-10T00:00:00"/>
    <x v="9"/>
    <x v="2"/>
    <s v="Second Class"/>
    <s v="PF-19165"/>
    <s v="OFF-ST-10003722"/>
    <n v="250"/>
    <n v="8"/>
    <n v="3.2"/>
    <x v="5"/>
    <s v="Kitchen Tables"/>
    <s v="INR"/>
    <n v="689546"/>
    <s v="INDIA"/>
    <x v="11"/>
    <m/>
    <n v="14.03"/>
    <n v="1"/>
    <n v="0.1"/>
    <n v="4.0686999999999998"/>
    <n v="9.9612999999999996"/>
    <n v="2"/>
  </r>
  <r>
    <n v="1014"/>
    <s v="VQ21"/>
    <d v="2023-10-11T00:00:00"/>
    <x v="9"/>
    <x v="2"/>
    <s v="Second Class"/>
    <s v="JS-15880"/>
    <s v="FUR-TA-10003748"/>
    <n v="100"/>
    <n v="6"/>
    <n v="6"/>
    <x v="3"/>
    <s v="Car Exhausts"/>
    <s v="INR"/>
    <n v="689546"/>
    <s v="INDIA"/>
    <x v="11"/>
    <m/>
    <n v="1618.37"/>
    <n v="13"/>
    <n v="0.1"/>
    <n v="356.04140000000001"/>
    <n v="97.102199999999982"/>
    <n v="5"/>
  </r>
  <r>
    <n v="1015"/>
    <s v="KI76"/>
    <d v="2023-10-12T00:00:00"/>
    <x v="9"/>
    <x v="2"/>
    <s v="Second Class"/>
    <s v="JS-15880"/>
    <s v="TEC-AC-10003198"/>
    <n v="150"/>
    <n v="10"/>
    <n v="6.666666666666667"/>
    <x v="6"/>
    <s v="STEM Toys"/>
    <s v="INR"/>
    <n v="689546"/>
    <s v="INDIA"/>
    <x v="3"/>
    <s v="Easy Ship"/>
    <n v="99.6"/>
    <n v="1"/>
    <n v="0.1"/>
    <n v="36.851999999999997"/>
    <n v="62.747999999999998"/>
    <n v="1"/>
  </r>
  <r>
    <n v="1016"/>
    <s v="QK24"/>
    <d v="2023-10-13T00:00:00"/>
    <x v="9"/>
    <x v="2"/>
    <s v="Second Class"/>
    <s v="MO-17800"/>
    <s v="OFF-PA-10004100"/>
    <n v="250"/>
    <n v="24"/>
    <n v="9.6"/>
    <x v="7"/>
    <s v="Spices &amp; Herbs"/>
    <s v="INR"/>
    <n v="486331"/>
    <s v="INDIA"/>
    <x v="1"/>
    <m/>
    <n v="32.4"/>
    <n v="5"/>
    <n v="0.1"/>
    <n v="15.552"/>
    <n v="3.3695999999999997"/>
    <n v="4"/>
  </r>
  <r>
    <n v="1017"/>
    <s v="QG80"/>
    <d v="2023-10-14T00:00:00"/>
    <x v="9"/>
    <x v="2"/>
    <s v="Standard Class"/>
    <s v="KM-16225"/>
    <s v="FUR-FU-10002191"/>
    <n v="160"/>
    <n v="20"/>
    <n v="12.5"/>
    <x v="8"/>
    <s v="Pet Litter Boxes"/>
    <s v="INR"/>
    <n v="380054"/>
    <s v="INDIA"/>
    <x v="3"/>
    <m/>
    <n v="13.96"/>
    <n v="2"/>
    <n v="0.1"/>
    <n v="6.7008000000000001"/>
    <n v="3.6296000000000004"/>
    <n v="2"/>
  </r>
  <r>
    <n v="1018"/>
    <s v="BE69"/>
    <d v="2023-10-15T00:00:00"/>
    <x v="9"/>
    <x v="2"/>
    <s v="Standard Class"/>
    <s v="KM-16225"/>
    <s v="FUR-FU-10000965"/>
    <n v="120"/>
    <n v="28"/>
    <n v="23.333333333333332"/>
    <x v="2"/>
    <s v="Women’s Leggings"/>
    <s v="INR"/>
    <n v="815351"/>
    <s v="INDIA"/>
    <x v="18"/>
    <m/>
    <n v="155.82"/>
    <n v="3"/>
    <n v="0.1"/>
    <n v="63.886200000000002"/>
    <n v="30.644599999999997"/>
    <n v="4"/>
  </r>
  <r>
    <n v="1019"/>
    <s v="WO88"/>
    <d v="2023-10-16T00:00:00"/>
    <x v="9"/>
    <x v="2"/>
    <s v="Standard Class"/>
    <s v="KM-16225"/>
    <s v="TEC-PH-10004188"/>
    <n v="180"/>
    <n v="28"/>
    <n v="15.555555555555555"/>
    <x v="4"/>
    <s v="Smart Microphones"/>
    <s v="INR"/>
    <n v="122001"/>
    <s v="INDIA"/>
    <x v="0"/>
    <m/>
    <n v="124.95"/>
    <n v="5"/>
    <n v="0.1"/>
    <n v="2.4990000000000001"/>
    <n v="24.490200000000002"/>
    <n v="5"/>
  </r>
  <r>
    <n v="1020"/>
    <s v="VD58"/>
    <d v="2023-10-17T00:00:00"/>
    <x v="9"/>
    <x v="2"/>
    <s v="Standard Class"/>
    <s v="KM-16225"/>
    <s v="OFF-ST-10001526"/>
    <n v="210"/>
    <n v="20"/>
    <n v="9.5238095238095237"/>
    <x v="0"/>
    <s v="Children’s Coloring Books"/>
    <s v="INR"/>
    <n v="744102"/>
    <s v="INDIA"/>
    <x v="0"/>
    <s v="Easy Ship"/>
    <n v="601.65"/>
    <n v="5"/>
    <n v="0.1"/>
    <n v="156.429"/>
    <n v="89.044200000000004"/>
    <n v="2"/>
  </r>
  <r>
    <n v="1021"/>
    <s v="FO26"/>
    <d v="2023-10-18T00:00:00"/>
    <x v="9"/>
    <x v="2"/>
    <s v="Standard Class"/>
    <s v="GT-14710"/>
    <s v="OFF-AR-10001166"/>
    <n v="170"/>
    <n v="20"/>
    <n v="11.76470588235294"/>
    <x v="1"/>
    <s v="Kayaking Gear"/>
    <s v="INR"/>
    <n v="801110"/>
    <s v="INDIA"/>
    <x v="14"/>
    <m/>
    <n v="22.74"/>
    <n v="3"/>
    <n v="0.1"/>
    <n v="8.8686000000000007"/>
    <n v="4.6237999999999992"/>
    <n v="3"/>
  </r>
  <r>
    <n v="1022"/>
    <s v="KS66"/>
    <d v="2023-10-19T00:00:00"/>
    <x v="9"/>
    <x v="2"/>
    <s v="Standard Class"/>
    <s v="GT-14710"/>
    <s v="FUR-CH-10000309"/>
    <n v="180"/>
    <n v="26"/>
    <n v="14.444444444444443"/>
    <x v="4"/>
    <s v="Smart Chargers"/>
    <s v="INR"/>
    <n v="122103"/>
    <s v="INDIA"/>
    <x v="7"/>
    <m/>
    <n v="1267.53"/>
    <n v="3"/>
    <n v="0.1"/>
    <n v="316.88249999999999"/>
    <n v="316.88249999999999"/>
    <n v="4"/>
  </r>
  <r>
    <n v="1023"/>
    <s v="LR49"/>
    <d v="2023-10-20T00:00:00"/>
    <x v="9"/>
    <x v="2"/>
    <s v="Standard Class"/>
    <s v="GT-14710"/>
    <s v="TEC-MA-10004212"/>
    <n v="240"/>
    <n v="26"/>
    <n v="10.833333333333334"/>
    <x v="2"/>
    <s v="Kids’ Sweaters"/>
    <s v="INR"/>
    <n v="632013"/>
    <s v="INDIA"/>
    <x v="0"/>
    <m/>
    <n v="1379.92"/>
    <n v="8"/>
    <n v="0.1"/>
    <n v="648.56240000000003"/>
    <n v="91.419700000000006"/>
    <n v="5"/>
  </r>
  <r>
    <n v="1024"/>
    <s v="VG82"/>
    <d v="2023-10-21T00:00:00"/>
    <x v="9"/>
    <x v="2"/>
    <s v="Standard Class"/>
    <s v="PB-19150"/>
    <s v="OFF-EN-10003072"/>
    <n v="200"/>
    <n v="18"/>
    <n v="9"/>
    <x v="5"/>
    <s v="Kitchen Chairs"/>
    <s v="INR"/>
    <n v="400101"/>
    <s v="INDIA"/>
    <x v="6"/>
    <s v="Easy Ship"/>
    <n v="6.2080000000000002"/>
    <n v="2"/>
    <n v="0.2"/>
    <n v="2.1728000000000001"/>
    <n v="2.0175999999999998"/>
    <n v="5"/>
  </r>
  <r>
    <n v="1025"/>
    <s v="UW19"/>
    <d v="2023-10-22T00:00:00"/>
    <x v="9"/>
    <x v="2"/>
    <s v="First Class"/>
    <s v="HR-14770"/>
    <s v="OFF-BI-10000320"/>
    <n v="150"/>
    <n v="22"/>
    <n v="14.666666666666666"/>
    <x v="3"/>
    <s v="Car Engines"/>
    <s v="INR"/>
    <n v="201005"/>
    <s v="INDIA"/>
    <x v="0"/>
    <s v="Easy Ship"/>
    <n v="11.808"/>
    <n v="2"/>
    <n v="0.2"/>
    <n v="4.2804000000000002"/>
    <n v="3.7637999999999998"/>
    <n v="1"/>
  </r>
  <r>
    <n v="1026"/>
    <s v="GE33"/>
    <d v="2023-10-23T00:00:00"/>
    <x v="9"/>
    <x v="2"/>
    <s v="Second Class"/>
    <s v="DE-13255"/>
    <s v="OFF-PA-10001166"/>
    <n v="140"/>
    <n v="18"/>
    <n v="12.857142857142856"/>
    <x v="6"/>
    <s v="Wooden Toys"/>
    <s v="INR"/>
    <n v="500004"/>
    <s v="INDIA"/>
    <x v="4"/>
    <m/>
    <n v="15.552"/>
    <n v="3"/>
    <n v="0.2"/>
    <n v="5.4432"/>
    <n v="3.3695999999999997"/>
    <n v="2"/>
  </r>
  <r>
    <n v="1027"/>
    <s v="MZ26"/>
    <d v="2023-10-24T00:00:00"/>
    <x v="9"/>
    <x v="2"/>
    <s v="Second Class"/>
    <s v="DE-13255"/>
    <s v="OFF-PA-10003656"/>
    <n v="220"/>
    <n v="6"/>
    <n v="2.7272727272727271"/>
    <x v="7"/>
    <s v="Organic Snacks"/>
    <s v="INR"/>
    <n v="334005"/>
    <s v="INDIA"/>
    <x v="13"/>
    <m/>
    <n v="63.311999999999998"/>
    <n v="3"/>
    <n v="0.2"/>
    <n v="20.5764"/>
    <n v="14.245199999999999"/>
    <n v="5"/>
  </r>
  <r>
    <n v="1028"/>
    <s v="ZC93"/>
    <d v="2023-10-25T00:00:00"/>
    <x v="9"/>
    <x v="2"/>
    <s v="Second Class"/>
    <s v="DE-13255"/>
    <s v="TEC-PH-10000148"/>
    <n v="120"/>
    <n v="6"/>
    <n v="5"/>
    <x v="8"/>
    <s v="Pet Scratching Posts"/>
    <s v="INR"/>
    <n v="140507"/>
    <s v="INDIA"/>
    <x v="6"/>
    <m/>
    <n v="15.587999999999999"/>
    <n v="2"/>
    <n v="0.4"/>
    <n v="-9.8724000000000007"/>
    <n v="12.7302"/>
    <n v="1"/>
  </r>
  <r>
    <n v="1029"/>
    <s v="YG48"/>
    <d v="2023-10-26T00:00:00"/>
    <x v="9"/>
    <x v="2"/>
    <s v="Standard Class"/>
    <s v="LA-16780"/>
    <s v="OFF-PA-10000474"/>
    <n v="200"/>
    <n v="12"/>
    <n v="6"/>
    <x v="2"/>
    <s v="Men’s Polo Shirts"/>
    <s v="INR"/>
    <n v="190003"/>
    <s v="INDIA"/>
    <x v="12"/>
    <m/>
    <n v="177.2"/>
    <n v="5"/>
    <n v="0.1"/>
    <n v="83.284000000000006"/>
    <n v="18.783199999999997"/>
    <n v="1"/>
  </r>
  <r>
    <n v="1030"/>
    <s v="OX15"/>
    <d v="2023-10-27T00:00:00"/>
    <x v="9"/>
    <x v="2"/>
    <s v="Standard Class"/>
    <s v="LA-16780"/>
    <s v="TEC-PH-10003885"/>
    <n v="250"/>
    <n v="24"/>
    <n v="9.6"/>
    <x v="4"/>
    <s v="Smart Projectors"/>
    <s v="INR"/>
    <n v="500004"/>
    <s v="INDIA"/>
    <x v="0"/>
    <m/>
    <n v="197.97"/>
    <n v="3"/>
    <n v="0.1"/>
    <n v="57.411299999999997"/>
    <n v="46.852899999999998"/>
    <n v="2"/>
  </r>
  <r>
    <n v="1031"/>
    <s v="TA73"/>
    <d v="2023-10-28T00:00:00"/>
    <x v="9"/>
    <x v="2"/>
    <s v="Standard Class"/>
    <s v="LA-16780"/>
    <s v="FUR-CH-10003379"/>
    <n v="120"/>
    <n v="12"/>
    <n v="10"/>
    <x v="1"/>
    <s v="Rock Climbing Gear"/>
    <s v="INR"/>
    <n v="171005"/>
    <s v="INDIA"/>
    <x v="3"/>
    <s v="Easy Ship"/>
    <n v="854.94"/>
    <n v="3"/>
    <n v="0.1"/>
    <n v="213.73500000000001"/>
    <n v="213.73500000000001"/>
    <n v="5"/>
  </r>
  <r>
    <n v="1032"/>
    <s v="SQ25"/>
    <d v="2023-10-29T00:00:00"/>
    <x v="9"/>
    <x v="2"/>
    <s v="Standard Class"/>
    <s v="LA-16780"/>
    <s v="FUR-FU-10000629"/>
    <n v="160"/>
    <n v="6"/>
    <n v="3.75"/>
    <x v="0"/>
    <s v="Children’s Adventure Books"/>
    <s v="INR"/>
    <n v="524005"/>
    <s v="INDIA"/>
    <x v="3"/>
    <s v="Easy Ship"/>
    <n v="124.11"/>
    <n v="9"/>
    <n v="0.1"/>
    <n v="52.126199999999997"/>
    <n v="7.9982000000000006"/>
    <n v="5"/>
  </r>
  <r>
    <n v="1033"/>
    <s v="XY81"/>
    <d v="2023-10-30T00:00:00"/>
    <x v="9"/>
    <x v="2"/>
    <s v="Standard Class"/>
    <s v="LA-16780"/>
    <s v="OFF-LA-10001175"/>
    <n v="100"/>
    <n v="20"/>
    <n v="20"/>
    <x v="5"/>
    <s v="Kitchen Drawers"/>
    <s v="INR"/>
    <n v="641402"/>
    <s v="INDIA"/>
    <x v="12"/>
    <m/>
    <n v="14.4"/>
    <n v="5"/>
    <n v="0.1"/>
    <n v="7.056"/>
    <n v="1.4688000000000001"/>
    <n v="1"/>
  </r>
  <r>
    <n v="1034"/>
    <s v="WW65"/>
    <d v="2023-10-31T00:00:00"/>
    <x v="9"/>
    <x v="2"/>
    <s v="First Class"/>
    <s v="AG-10390"/>
    <s v="OFF-PA-10000955"/>
    <n v="110"/>
    <n v="22"/>
    <n v="20"/>
    <x v="3"/>
    <s v="Car Suspension"/>
    <s v="INR"/>
    <n v="781006"/>
    <s v="INDIA"/>
    <x v="15"/>
    <s v="Easy Ship"/>
    <n v="15.696"/>
    <n v="3"/>
    <n v="0.2"/>
    <n v="5.1012000000000004"/>
    <n v="3.5315999999999996"/>
    <n v="5"/>
  </r>
  <r>
    <n v="1035"/>
    <s v="WG88"/>
    <d v="2023-11-01T00:00:00"/>
    <x v="10"/>
    <x v="2"/>
    <s v="First Class"/>
    <s v="AG-10390"/>
    <s v="OFF-BI-10003460"/>
    <n v="150"/>
    <n v="6"/>
    <n v="4"/>
    <x v="6"/>
    <s v="Creative Kits"/>
    <s v="INR"/>
    <n v="520002"/>
    <s v="INDIA"/>
    <x v="18"/>
    <m/>
    <n v="2.6280000000000001"/>
    <n v="2"/>
    <n v="0.7"/>
    <n v="-1.9272"/>
    <n v="2.2776000000000001"/>
    <n v="2"/>
  </r>
  <r>
    <n v="1036"/>
    <s v="QZ89"/>
    <d v="2023-11-02T00:00:00"/>
    <x v="10"/>
    <x v="2"/>
    <s v="First Class"/>
    <s v="AG-10390"/>
    <s v="OFF-BI-10000474"/>
    <n v="150"/>
    <n v="12"/>
    <n v="8"/>
    <x v="7"/>
    <s v="Packaged Juices"/>
    <s v="INR"/>
    <n v="221007"/>
    <s v="INDIA"/>
    <x v="10"/>
    <m/>
    <n v="14.427"/>
    <n v="3"/>
    <n v="0.7"/>
    <n v="-10.579800000000001"/>
    <n v="8.3355999999999995"/>
    <n v="5"/>
  </r>
  <r>
    <n v="1037"/>
    <s v="LG22"/>
    <d v="2023-11-03T00:00:00"/>
    <x v="10"/>
    <x v="2"/>
    <s v="Standard Class"/>
    <s v="EL-13735"/>
    <s v="FUR-FU-10003975"/>
    <n v="160"/>
    <n v="28"/>
    <n v="17.5"/>
    <x v="8"/>
    <s v="Pet Blankets"/>
    <s v="INR"/>
    <n v="800001"/>
    <s v="INDIA"/>
    <x v="3"/>
    <s v="Easy Ship"/>
    <n v="86.62"/>
    <n v="2"/>
    <n v="0.1"/>
    <n v="8.6620000000000008"/>
    <n v="38.978999999999999"/>
    <n v="2"/>
  </r>
  <r>
    <n v="1038"/>
    <s v="YZ46"/>
    <d v="2023-11-04T00:00:00"/>
    <x v="10"/>
    <x v="2"/>
    <s v="First Class"/>
    <s v="JJ-15445"/>
    <s v="OFF-BI-10003707"/>
    <n v="220"/>
    <n v="14"/>
    <n v="6.3636363636363633"/>
    <x v="2"/>
    <s v="Women’s Swimwear"/>
    <m/>
    <n v="400006"/>
    <s v="INDIA"/>
    <x v="19"/>
    <m/>
    <n v="36.624000000000002"/>
    <n v="3"/>
    <n v="0.2"/>
    <n v="13.734"/>
    <n v="7.63"/>
    <n v="4"/>
  </r>
  <r>
    <n v="1039"/>
    <s v="RY31"/>
    <d v="2023-11-05T00:00:00"/>
    <x v="10"/>
    <x v="2"/>
    <s v="First Class"/>
    <s v="JH-15430"/>
    <s v="OFF-AR-10000203"/>
    <n v="200"/>
    <n v="16"/>
    <n v="8"/>
    <x v="4"/>
    <s v="Smart Speakers"/>
    <s v="INR"/>
    <n v="250004"/>
    <s v="INDIA"/>
    <x v="0"/>
    <s v="Easy Ship"/>
    <n v="23.968"/>
    <n v="7"/>
    <n v="0.2"/>
    <n v="2.6964000000000001"/>
    <n v="3.0387999999999997"/>
    <n v="2"/>
  </r>
  <r>
    <n v="1040"/>
    <s v="VB26"/>
    <d v="2023-11-06T00:00:00"/>
    <x v="10"/>
    <x v="2"/>
    <s v="First Class"/>
    <s v="JH-15430"/>
    <s v="OFF-AR-10004790"/>
    <n v="180"/>
    <n v="16"/>
    <n v="8.8888888888888893"/>
    <x v="0"/>
    <s v="Children’s Encyclopedias"/>
    <s v="INR"/>
    <n v="600023"/>
    <s v="INDIA"/>
    <x v="15"/>
    <m/>
    <n v="28.728000000000002"/>
    <n v="3"/>
    <n v="0.2"/>
    <n v="1.7955000000000001"/>
    <n v="8.9775000000000009"/>
    <n v="2"/>
  </r>
  <r>
    <n v="1041"/>
    <s v="QW41"/>
    <d v="2023-11-07T00:00:00"/>
    <x v="10"/>
    <x v="2"/>
    <s v="Standard Class"/>
    <s v="RD-19660"/>
    <s v="FUR-TA-10001095"/>
    <n v="140"/>
    <n v="8"/>
    <n v="5.7142857142857144"/>
    <x v="1"/>
    <s v="Ice Skating Gear"/>
    <s v="INR"/>
    <n v="243201"/>
    <s v="INDIA"/>
    <x v="1"/>
    <m/>
    <n v="697.16"/>
    <n v="4"/>
    <n v="0.1"/>
    <n v="146.40360000000001"/>
    <n v="137.6891"/>
    <n v="2"/>
  </r>
  <r>
    <n v="1042"/>
    <s v="DN85"/>
    <d v="2023-11-08T00:00:00"/>
    <x v="10"/>
    <x v="2"/>
    <s v="Second Class"/>
    <s v="MO-17500"/>
    <s v="TEC-AC-10004761"/>
    <n v="100"/>
    <n v="26"/>
    <n v="26"/>
    <x v="4"/>
    <s v="Smart Sensors"/>
    <s v="INR"/>
    <n v="422013"/>
    <s v="INDIA"/>
    <x v="10"/>
    <m/>
    <n v="31.86"/>
    <n v="2"/>
    <n v="0.1"/>
    <n v="11.151"/>
    <n v="10.3545"/>
    <n v="4"/>
  </r>
  <r>
    <n v="1043"/>
    <s v="MR66"/>
    <d v="2023-11-09T00:00:00"/>
    <x v="10"/>
    <x v="2"/>
    <s v="Second Class"/>
    <s v="MO-17500"/>
    <s v="FUR-BO-10001811"/>
    <n v="180"/>
    <n v="18"/>
    <n v="10"/>
    <x v="2"/>
    <s v="Kids’ Shorts"/>
    <s v="INR"/>
    <n v="122011"/>
    <s v="INDIA"/>
    <x v="10"/>
    <m/>
    <n v="722.35199999999998"/>
    <n v="3"/>
    <n v="0.2"/>
    <n v="90.293999999999997"/>
    <n v="210.68600000000001"/>
    <n v="5"/>
  </r>
  <r>
    <n v="1044"/>
    <s v="WA86"/>
    <d v="2023-11-10T00:00:00"/>
    <x v="10"/>
    <x v="2"/>
    <s v="First Class"/>
    <s v="NS-18640"/>
    <s v="OFF-AR-10001130"/>
    <n v="190"/>
    <n v="26"/>
    <n v="13.684210526315791"/>
    <x v="5"/>
    <s v="Kitchen Cabinets"/>
    <s v="INR"/>
    <n v="201014"/>
    <s v="INDIA"/>
    <x v="11"/>
    <s v="Easy Ship"/>
    <n v="8.84"/>
    <n v="5"/>
    <n v="0.2"/>
    <n v="2.9834999999999998"/>
    <n v="1.1713"/>
    <n v="3"/>
  </r>
  <r>
    <n v="1045"/>
    <s v="JD44"/>
    <d v="2023-11-11T00:00:00"/>
    <x v="10"/>
    <x v="2"/>
    <s v="First Class"/>
    <s v="NS-18640"/>
    <s v="OFF-AP-10000055"/>
    <n v="140"/>
    <n v="8"/>
    <n v="5.7142857142857144"/>
    <x v="3"/>
    <s v="Car Brakes"/>
    <s v="INR"/>
    <n v="461775"/>
    <s v="INDIA"/>
    <x v="1"/>
    <m/>
    <n v="58.463999999999999"/>
    <n v="9"/>
    <n v="0.8"/>
    <n v="-146.16"/>
    <n v="22.736000000000001"/>
    <n v="3"/>
  </r>
  <r>
    <n v="1046"/>
    <s v="LC76"/>
    <d v="2023-11-12T00:00:00"/>
    <x v="10"/>
    <x v="2"/>
    <s v="Standard Class"/>
    <s v="SN-20710"/>
    <s v="FUR-CH-10002304"/>
    <n v="240"/>
    <n v="30"/>
    <n v="12.5"/>
    <x v="6"/>
    <s v="Educational Blocks"/>
    <s v="INR"/>
    <n v="590001"/>
    <s v="INDIA"/>
    <x v="5"/>
    <m/>
    <n v="254.60400000000001"/>
    <n v="14"/>
    <n v="0.3"/>
    <n v="-18.186"/>
    <n v="19.485000000000003"/>
    <n v="5"/>
  </r>
  <r>
    <n v="1047"/>
    <s v="NQ57"/>
    <d v="2023-11-13T00:00:00"/>
    <x v="10"/>
    <x v="2"/>
    <s v="Standard Class"/>
    <s v="ZC-21910"/>
    <s v="TEC-PH-10001530"/>
    <n v="100"/>
    <n v="30"/>
    <n v="30"/>
    <x v="7"/>
    <s v="Protein Shakes"/>
    <s v="INR"/>
    <n v="400006"/>
    <s v="INDIA"/>
    <x v="18"/>
    <m/>
    <n v="1363.96"/>
    <n v="5"/>
    <n v="0.2"/>
    <n v="85.247500000000002"/>
    <n v="255.74250000000001"/>
    <n v="4"/>
  </r>
  <r>
    <n v="1048"/>
    <s v="LR57"/>
    <d v="2023-11-14T00:00:00"/>
    <x v="10"/>
    <x v="2"/>
    <s v="Standard Class"/>
    <s v="ZC-21910"/>
    <s v="FUR-FU-10004006"/>
    <n v="110"/>
    <n v="6"/>
    <n v="5.4545454545454541"/>
    <x v="8"/>
    <s v="Pet Brushes"/>
    <s v="INR"/>
    <n v="143521"/>
    <s v="INDIA"/>
    <x v="4"/>
    <m/>
    <n v="102.36"/>
    <n v="3"/>
    <n v="0.2"/>
    <n v="-3.8384999999999998"/>
    <n v="35.399499999999996"/>
    <n v="1"/>
  </r>
  <r>
    <n v="1049"/>
    <s v="BF95"/>
    <d v="2023-11-15T00:00:00"/>
    <x v="10"/>
    <x v="2"/>
    <s v="Second Class"/>
    <s v="LC-16885"/>
    <s v="TEC-PH-10000486"/>
    <n v="240"/>
    <n v="8"/>
    <n v="3.3333333333333335"/>
    <x v="2"/>
    <s v="Men’s Track Pants"/>
    <s v="INR"/>
    <n v="422013"/>
    <s v="INDIA"/>
    <x v="18"/>
    <m/>
    <n v="1113.5039999999999"/>
    <n v="12"/>
    <n v="0.2"/>
    <n v="125.2692"/>
    <n v="82.352899999999991"/>
    <n v="1"/>
  </r>
  <r>
    <n v="1050"/>
    <s v="SH37"/>
    <d v="2023-11-16T00:00:00"/>
    <x v="10"/>
    <x v="2"/>
    <s v="Second Class"/>
    <s v="LC-16885"/>
    <s v="TEC-AC-10001606"/>
    <n v="200"/>
    <n v="12"/>
    <n v="6"/>
    <x v="4"/>
    <s v="Smart Watches"/>
    <s v="INR"/>
    <n v="247667"/>
    <s v="INDIA"/>
    <x v="13"/>
    <m/>
    <n v="99.99"/>
    <n v="1"/>
    <n v="0.1"/>
    <n v="37.996200000000002"/>
    <n v="61.993799999999993"/>
    <n v="3"/>
  </r>
  <r>
    <n v="1051"/>
    <s v="GM26"/>
    <d v="2023-11-17T00:00:00"/>
    <x v="10"/>
    <x v="2"/>
    <s v="First Class"/>
    <s v="DG-13300"/>
    <s v="FUR-FU-10000293"/>
    <n v="150"/>
    <n v="22"/>
    <n v="14.666666666666666"/>
    <x v="1"/>
    <s v="Rowing Gear"/>
    <s v="INR"/>
    <n v="534250"/>
    <s v="INDIA"/>
    <x v="0"/>
    <s v="Easy Ship"/>
    <n v="168.464"/>
    <n v="2"/>
    <n v="0.2"/>
    <n v="-29.481200000000001"/>
    <n v="98.9726"/>
    <n v="1"/>
  </r>
  <r>
    <n v="1052"/>
    <s v="GC20"/>
    <d v="2023-11-18T00:00:00"/>
    <x v="10"/>
    <x v="2"/>
    <s v="First Class"/>
    <s v="DG-13300"/>
    <s v="OFF-PA-10001307"/>
    <n v="230"/>
    <n v="20"/>
    <n v="8.695652173913043"/>
    <x v="0"/>
    <s v="Children’s Poetry"/>
    <s v="INR"/>
    <n v="629203"/>
    <s v="INDIA"/>
    <x v="17"/>
    <m/>
    <n v="6.72"/>
    <n v="2"/>
    <n v="0.2"/>
    <n v="2.4359999999999999"/>
    <n v="2.1419999999999999"/>
    <n v="4"/>
  </r>
  <r>
    <n v="1053"/>
    <s v="PS10"/>
    <d v="2023-11-19T00:00:00"/>
    <x v="10"/>
    <x v="2"/>
    <s v="First Class"/>
    <s v="DG-13300"/>
    <s v="FUR-FU-10004460"/>
    <n v="190"/>
    <n v="14"/>
    <n v="7.3684210526315779"/>
    <x v="5"/>
    <s v="Kitchen Racks"/>
    <s v="INR"/>
    <n v="411057"/>
    <s v="INDIA"/>
    <x v="9"/>
    <m/>
    <n v="282.88799999999998"/>
    <n v="9"/>
    <n v="0.2"/>
    <n v="56.577599999999997"/>
    <n v="25.145599999999998"/>
    <n v="2"/>
  </r>
  <r>
    <n v="1054"/>
    <s v="PK31"/>
    <d v="2023-11-20T00:00:00"/>
    <x v="10"/>
    <x v="2"/>
    <s v="Standard Class"/>
    <s v="NF-18595"/>
    <s v="OFF-AR-10000716"/>
    <n v="110"/>
    <n v="30"/>
    <n v="27.27272727272727"/>
    <x v="3"/>
    <s v="Car Covers"/>
    <s v="INR"/>
    <n v="500004"/>
    <s v="INDIA"/>
    <x v="3"/>
    <m/>
    <n v="11.16"/>
    <n v="2"/>
    <n v="0.1"/>
    <n v="4.3524000000000003"/>
    <n v="3.4037999999999999"/>
    <n v="5"/>
  </r>
  <r>
    <n v="1055"/>
    <s v="UW31"/>
    <d v="2023-11-21T00:00:00"/>
    <x v="10"/>
    <x v="2"/>
    <s v="Standard Class"/>
    <s v="NF-18595"/>
    <s v="FUR-FU-10004622"/>
    <n v="240"/>
    <n v="10"/>
    <n v="4.1666666666666661"/>
    <x v="6"/>
    <s v="Board Games"/>
    <m/>
    <n v="721137"/>
    <s v="INDIA"/>
    <x v="0"/>
    <m/>
    <n v="108.4"/>
    <n v="2"/>
    <n v="0.1"/>
    <n v="22.763999999999999"/>
    <n v="42.818000000000005"/>
    <n v="4"/>
  </r>
  <r>
    <n v="1056"/>
    <s v="JG47"/>
    <d v="2023-11-22T00:00:00"/>
    <x v="10"/>
    <x v="2"/>
    <s v="Standard Class"/>
    <s v="NF-18595"/>
    <s v="OFF-BI-10002735"/>
    <n v="120"/>
    <n v="22"/>
    <n v="18.333333333333332"/>
    <x v="7"/>
    <s v="Energy Bars"/>
    <s v="INR"/>
    <n v="831012"/>
    <s v="INDIA"/>
    <x v="10"/>
    <s v="Easy Ship"/>
    <n v="82.343999999999994"/>
    <n v="3"/>
    <n v="0.2"/>
    <n v="27.7911"/>
    <n v="18.184299999999997"/>
    <n v="4"/>
  </r>
  <r>
    <n v="1057"/>
    <s v="RF59"/>
    <d v="2023-11-23T00:00:00"/>
    <x v="10"/>
    <x v="2"/>
    <s v="Standard Class"/>
    <s v="NF-18595"/>
    <s v="OFF-BI-10003529"/>
    <n v="250"/>
    <n v="26"/>
    <n v="10.4"/>
    <x v="8"/>
    <s v="Pet Grooming Kits"/>
    <s v="INR"/>
    <n v="410206"/>
    <s v="INDIA"/>
    <x v="5"/>
    <s v="Easy Ship"/>
    <n v="9.0879999999999992"/>
    <n v="4"/>
    <n v="0.2"/>
    <n v="3.2944"/>
    <n v="1.4483999999999999"/>
    <n v="5"/>
  </r>
  <r>
    <n v="1058"/>
    <s v="XS24"/>
    <d v="2023-11-24T00:00:00"/>
    <x v="10"/>
    <x v="2"/>
    <s v="Standard Class"/>
    <s v="BP-11185"/>
    <s v="OFF-BI-10001097"/>
    <n v="250"/>
    <n v="18"/>
    <n v="7.1999999999999993"/>
    <x v="2"/>
    <s v="Women’s Sarees"/>
    <s v="INR"/>
    <n v="602001"/>
    <s v="INDIA"/>
    <x v="4"/>
    <m/>
    <n v="19.936"/>
    <n v="4"/>
    <n v="0.2"/>
    <n v="7.2267999999999999"/>
    <n v="3.1772999999999998"/>
    <n v="3"/>
  </r>
  <r>
    <n v="1059"/>
    <s v="OR20"/>
    <d v="2023-11-25T00:00:00"/>
    <x v="10"/>
    <x v="2"/>
    <s v="Standard Class"/>
    <s v="BP-11185"/>
    <s v="OFF-BI-10001597"/>
    <n v="110"/>
    <n v="16"/>
    <n v="14.545454545454545"/>
    <x v="4"/>
    <s v="Smart Tablets"/>
    <s v="INR"/>
    <n v="602001"/>
    <s v="INDIA"/>
    <x v="2"/>
    <m/>
    <n v="65.567999999999998"/>
    <n v="2"/>
    <n v="0.2"/>
    <n v="22.948799999999999"/>
    <n v="21.3096"/>
    <n v="4"/>
  </r>
  <r>
    <n v="1060"/>
    <s v="XB73"/>
    <d v="2023-11-26T00:00:00"/>
    <x v="10"/>
    <x v="2"/>
    <s v="Standard Class"/>
    <s v="MG-17650"/>
    <s v="OFF-FA-10001754"/>
    <n v="230"/>
    <n v="16"/>
    <n v="6.9565217391304346"/>
    <x v="0"/>
    <s v="Engineering Textbooks"/>
    <s v="INR"/>
    <n v="573201"/>
    <s v="INDIA"/>
    <x v="6"/>
    <s v="Easy Ship"/>
    <n v="4.4160000000000004"/>
    <n v="3"/>
    <n v="0.2"/>
    <n v="1.6008"/>
    <n v="0.93840000000000012"/>
    <n v="1"/>
  </r>
  <r>
    <n v="1061"/>
    <s v="ZN55"/>
    <d v="2023-11-27T00:00:00"/>
    <x v="10"/>
    <x v="2"/>
    <s v="Standard Class"/>
    <s v="JD-16060"/>
    <s v="FUR-CH-10003396"/>
    <n v="150"/>
    <n v="8"/>
    <n v="5.3333333333333339"/>
    <x v="1"/>
    <s v="Boxing Gloves"/>
    <s v="INR"/>
    <n v="400081"/>
    <s v="INDIA"/>
    <x v="16"/>
    <s v="Easy Ship"/>
    <n v="107.77200000000001"/>
    <n v="2"/>
    <n v="0.3"/>
    <n v="-29.252400000000002"/>
    <n v="68.512200000000007"/>
    <n v="5"/>
  </r>
  <r>
    <n v="1062"/>
    <s v="JY30"/>
    <d v="2023-11-28T00:00:00"/>
    <x v="10"/>
    <x v="2"/>
    <s v="Standard Class"/>
    <s v="TS-21160"/>
    <s v="OFF-AP-10002350"/>
    <n v="170"/>
    <n v="20"/>
    <n v="11.76470588235294"/>
    <x v="4"/>
    <s v="Smart Doorbells"/>
    <s v="INR"/>
    <n v="400081"/>
    <s v="INDIA"/>
    <x v="0"/>
    <m/>
    <n v="45.216000000000001"/>
    <n v="3"/>
    <n v="0.2"/>
    <n v="4.5216000000000003"/>
    <n v="13.5648"/>
    <n v="1"/>
  </r>
  <r>
    <n v="1063"/>
    <s v="AY98"/>
    <d v="2023-11-29T00:00:00"/>
    <x v="10"/>
    <x v="2"/>
    <s v="Standard Class"/>
    <s v="TS-21160"/>
    <s v="OFF-FA-10004838"/>
    <n v="130"/>
    <n v="28"/>
    <n v="21.53846153846154"/>
    <x v="2"/>
    <s v="Women’s Kurtis"/>
    <s v="INR"/>
    <n v="400081"/>
    <s v="INDIA"/>
    <x v="14"/>
    <m/>
    <n v="10.416"/>
    <n v="7"/>
    <n v="0.2"/>
    <n v="-2.2134"/>
    <n v="1.8042"/>
    <n v="4"/>
  </r>
  <r>
    <n v="1064"/>
    <s v="TZ54"/>
    <d v="2023-11-30T00:00:00"/>
    <x v="10"/>
    <x v="2"/>
    <s v="Standard Class"/>
    <s v="TS-21160"/>
    <s v="OFF-AR-10004757"/>
    <n v="240"/>
    <n v="22"/>
    <n v="9.1666666666666661"/>
    <x v="5"/>
    <s v="Kitchen Cabinets"/>
    <s v="INR"/>
    <n v="400081"/>
    <s v="INDIA"/>
    <x v="7"/>
    <m/>
    <n v="7.8719999999999999"/>
    <n v="3"/>
    <n v="0.2"/>
    <n v="1.2791999999999999"/>
    <n v="2.1976"/>
    <n v="5"/>
  </r>
  <r>
    <n v="1065"/>
    <s v="JP83"/>
    <d v="2023-12-01T00:00:00"/>
    <x v="11"/>
    <x v="2"/>
    <s v="Standard Class"/>
    <s v="TS-21160"/>
    <s v="TEC-PH-10002115"/>
    <n v="220"/>
    <n v="6"/>
    <n v="2.7272727272727271"/>
    <x v="3"/>
    <s v="Car Tyres"/>
    <s v="INR"/>
    <n v="500061"/>
    <s v="INDIA"/>
    <x v="6"/>
    <s v="Easy Ship"/>
    <n v="118.782"/>
    <n v="3"/>
    <n v="0.4"/>
    <n v="-27.715800000000002"/>
    <n v="48.832599999999992"/>
    <n v="5"/>
  </r>
  <r>
    <n v="1066"/>
    <s v="EQ44"/>
    <d v="2023-12-02T00:00:00"/>
    <x v="11"/>
    <x v="2"/>
    <s v="Standard Class"/>
    <s v="TS-21160"/>
    <s v="OFF-FA-10003059"/>
    <n v="110"/>
    <n v="12"/>
    <n v="10.909090909090908"/>
    <x v="6"/>
    <s v="Educational Kits"/>
    <s v="INR"/>
    <n v="160055"/>
    <s v="INDIA"/>
    <x v="1"/>
    <m/>
    <n v="1.448"/>
    <n v="1"/>
    <n v="0.2"/>
    <n v="0.23530000000000001"/>
    <n v="1.2126999999999999"/>
    <n v="5"/>
  </r>
  <r>
    <n v="1067"/>
    <s v="WP57"/>
    <d v="2023-12-03T00:00:00"/>
    <x v="11"/>
    <x v="2"/>
    <s v="Standard Class"/>
    <s v="TS-21160"/>
    <s v="OFF-BI-10004330"/>
    <n v="130"/>
    <n v="8"/>
    <n v="6.1538461538461542"/>
    <x v="7"/>
    <s v="Organic Juices"/>
    <s v="INR"/>
    <n v="600051"/>
    <s v="INDIA"/>
    <x v="0"/>
    <m/>
    <n v="55.47"/>
    <n v="5"/>
    <n v="0.7"/>
    <n v="-46.225000000000001"/>
    <n v="20.338999999999999"/>
    <n v="4"/>
  </r>
  <r>
    <n v="1068"/>
    <s v="GP66"/>
    <d v="2023-12-04T00:00:00"/>
    <x v="11"/>
    <x v="2"/>
    <s v="First Class"/>
    <s v="BD-11620"/>
    <s v="FUR-CH-10001146"/>
    <n v="210"/>
    <n v="16"/>
    <n v="7.6190476190476195"/>
    <x v="8"/>
    <s v="Pet Vitamins"/>
    <s v="INR"/>
    <n v="403601"/>
    <s v="INDIA"/>
    <x v="12"/>
    <m/>
    <n v="194.84800000000001"/>
    <n v="4"/>
    <n v="0.2"/>
    <n v="12.178000000000001"/>
    <n v="45.667500000000004"/>
    <n v="4"/>
  </r>
  <r>
    <n v="1069"/>
    <s v="QS82"/>
    <d v="2023-12-05T00:00:00"/>
    <x v="11"/>
    <x v="2"/>
    <s v="Second Class"/>
    <s v="CM-12160"/>
    <s v="OFF-SU-10001935"/>
    <n v="250"/>
    <n v="10"/>
    <n v="4"/>
    <x v="2"/>
    <s v="Men’s Formal Shoes"/>
    <s v="INR"/>
    <n v="400084"/>
    <s v="INDIA"/>
    <x v="14"/>
    <m/>
    <n v="1.744"/>
    <n v="1"/>
    <n v="0.2"/>
    <n v="-0.3488"/>
    <n v="2.0928"/>
    <n v="5"/>
  </r>
  <r>
    <n v="1070"/>
    <s v="PY89"/>
    <d v="2023-12-06T00:00:00"/>
    <x v="11"/>
    <x v="2"/>
    <s v="Standard Class"/>
    <s v="RB-19795"/>
    <s v="OFF-BI-10001524"/>
    <n v="230"/>
    <n v="8"/>
    <n v="3.4782608695652173"/>
    <x v="4"/>
    <s v="Smart Cameras"/>
    <s v="INR"/>
    <n v="248140"/>
    <s v="INDIA"/>
    <x v="12"/>
    <m/>
    <n v="25.175999999999998"/>
    <n v="4"/>
    <n v="0.7"/>
    <n v="-18.462399999999999"/>
    <n v="10.909599999999999"/>
    <n v="3"/>
  </r>
  <r>
    <n v="1071"/>
    <s v="ST24"/>
    <d v="2023-12-07T00:00:00"/>
    <x v="11"/>
    <x v="2"/>
    <s v="Standard Class"/>
    <s v="SN-20560"/>
    <s v="OFF-AR-10003732"/>
    <n v="100"/>
    <n v="18"/>
    <n v="18"/>
    <x v="1"/>
    <s v="Skating Gear"/>
    <s v="INR"/>
    <n v="144007"/>
    <s v="INDIA"/>
    <x v="11"/>
    <m/>
    <n v="19.46"/>
    <n v="7"/>
    <n v="0.1"/>
    <n v="5.0595999999999997"/>
    <n v="2.0572000000000004"/>
    <n v="4"/>
  </r>
  <r>
    <n v="1072"/>
    <s v="YG83"/>
    <d v="2023-12-08T00:00:00"/>
    <x v="11"/>
    <x v="2"/>
    <s v="Standard Class"/>
    <s v="EH-14005"/>
    <s v="OFF-PA-10001970"/>
    <n v="230"/>
    <n v="16"/>
    <n v="6.9565217391304346"/>
    <x v="0"/>
    <s v="Children’s Picture Books"/>
    <s v="INR"/>
    <n v="600006"/>
    <s v="INDIA"/>
    <x v="19"/>
    <m/>
    <n v="29.472000000000001"/>
    <n v="3"/>
    <n v="0.2"/>
    <n v="9.9467999999999996"/>
    <n v="6.5084000000000009"/>
    <n v="5"/>
  </r>
  <r>
    <n v="1073"/>
    <s v="OI21"/>
    <d v="2023-12-09T00:00:00"/>
    <x v="11"/>
    <x v="2"/>
    <s v="Standard Class"/>
    <s v="FO-14305"/>
    <s v="OFF-BI-10003669"/>
    <n v="160"/>
    <n v="16"/>
    <n v="10"/>
    <x v="5"/>
    <s v="Kitchen Drawers"/>
    <s v="INR"/>
    <n v="211008"/>
    <s v="INDIA"/>
    <x v="7"/>
    <m/>
    <n v="8.64"/>
    <n v="2"/>
    <n v="0.2"/>
    <n v="3.024"/>
    <n v="2.8080000000000003"/>
    <n v="1"/>
  </r>
  <r>
    <n v="1074"/>
    <s v="MZ44"/>
    <d v="2023-12-10T00:00:00"/>
    <x v="11"/>
    <x v="2"/>
    <s v="Standard Class"/>
    <s v="MS-17710"/>
    <s v="OFF-BI-10003727"/>
    <n v="160"/>
    <n v="22"/>
    <n v="13.750000000000002"/>
    <x v="3"/>
    <s v="Car Covers"/>
    <m/>
    <n v="605001"/>
    <s v="INDIA"/>
    <x v="5"/>
    <m/>
    <n v="6.27"/>
    <n v="5"/>
    <n v="0.7"/>
    <n v="-4.5979999999999999"/>
    <n v="2.1735999999999995"/>
    <n v="4"/>
  </r>
  <r>
    <n v="1075"/>
    <s v="NI20"/>
    <d v="2023-12-11T00:00:00"/>
    <x v="11"/>
    <x v="2"/>
    <s v="Standard Class"/>
    <s v="MS-17710"/>
    <s v="OFF-BI-10004967"/>
    <n v="130"/>
    <n v="18"/>
    <n v="13.846153846153847"/>
    <x v="6"/>
    <s v="Musical Instruments"/>
    <s v="INR"/>
    <n v="411033"/>
    <s v="INDIA"/>
    <x v="7"/>
    <m/>
    <n v="4.3680000000000003"/>
    <n v="7"/>
    <n v="0.7"/>
    <n v="-3.3488000000000002"/>
    <n v="1.1024"/>
    <n v="1"/>
  </r>
  <r>
    <n v="1076"/>
    <s v="JM67"/>
    <d v="2023-12-12T00:00:00"/>
    <x v="11"/>
    <x v="2"/>
    <s v="Standard Class"/>
    <s v="MS-17710"/>
    <s v="TEC-AC-10003447"/>
    <n v="200"/>
    <n v="12"/>
    <n v="6"/>
    <x v="7"/>
    <s v="Instant Noodles"/>
    <s v="INR"/>
    <n v="786152"/>
    <s v="INDIA"/>
    <x v="4"/>
    <s v="Easy Ship"/>
    <n v="31.984000000000002"/>
    <n v="2"/>
    <n v="0.2"/>
    <n v="1.9990000000000001"/>
    <n v="14.992500000000001"/>
    <n v="1"/>
  </r>
  <r>
    <n v="1077"/>
    <s v="RH57"/>
    <d v="2023-12-13T00:00:00"/>
    <x v="11"/>
    <x v="2"/>
    <s v="First Class"/>
    <s v="CC-12100"/>
    <s v="OFF-AR-10000255"/>
    <n v="130"/>
    <n v="30"/>
    <n v="23.076923076923077"/>
    <x v="8"/>
    <s v="Pet Collars"/>
    <s v="INR"/>
    <n v="786152"/>
    <s v="INDIA"/>
    <x v="3"/>
    <m/>
    <n v="40.880000000000003"/>
    <n v="7"/>
    <n v="0.1"/>
    <n v="10.6288"/>
    <n v="4.321600000000001"/>
    <n v="2"/>
  </r>
  <r>
    <n v="1078"/>
    <s v="NS46"/>
    <d v="2023-12-14T00:00:00"/>
    <x v="11"/>
    <x v="2"/>
    <s v="Second Class"/>
    <s v="DW-13540"/>
    <s v="OFF-AP-10002191"/>
    <n v="200"/>
    <n v="8"/>
    <n v="4"/>
    <x v="3"/>
    <s v="Women’s Sarees"/>
    <s v="INR"/>
    <n v="135001"/>
    <s v="INDIA"/>
    <x v="2"/>
    <s v="Easy Ship"/>
    <n v="119.96"/>
    <n v="2"/>
    <n v="0.1"/>
    <n v="33.588799999999999"/>
    <n v="43.185599999999994"/>
    <n v="1"/>
  </r>
  <r>
    <n v="1079"/>
    <s v="HU23"/>
    <d v="2023-12-15T00:00:00"/>
    <x v="11"/>
    <x v="2"/>
    <s v="Second Class"/>
    <s v="DW-13540"/>
    <s v="OFF-ST-10001325"/>
    <n v="250"/>
    <n v="18"/>
    <n v="7.1999999999999993"/>
    <x v="4"/>
    <s v="Smart Speakers"/>
    <s v="INR"/>
    <n v="490001"/>
    <s v="INDIA"/>
    <x v="17"/>
    <s v="Easy Ship"/>
    <n v="31.44"/>
    <n v="3"/>
    <n v="0.1"/>
    <n v="8.4887999999999995"/>
    <n v="7.6504000000000003"/>
    <n v="5"/>
  </r>
  <r>
    <n v="1080"/>
    <s v="GL57"/>
    <d v="2023-12-16T00:00:00"/>
    <x v="11"/>
    <x v="2"/>
    <s v="Second Class"/>
    <s v="DW-13540"/>
    <s v="OFF-BI-10000404"/>
    <n v="220"/>
    <n v="18"/>
    <n v="8.1818181818181817"/>
    <x v="0"/>
    <s v="Children’s Encyclopedias"/>
    <s v="INR"/>
    <n v="641004"/>
    <s v="INDIA"/>
    <x v="13"/>
    <s v="Easy Ship"/>
    <n v="6.88"/>
    <n v="1"/>
    <n v="0.2"/>
    <n v="2.3220000000000001"/>
    <n v="4.5579999999999998"/>
    <n v="2"/>
  </r>
  <r>
    <n v="1081"/>
    <s v="YF55"/>
    <d v="2023-12-17T00:00:00"/>
    <x v="11"/>
    <x v="2"/>
    <s v="Standard Class"/>
    <s v="BT-11395"/>
    <s v="OFF-PA-10000349"/>
    <n v="170"/>
    <n v="14"/>
    <n v="8.235294117647058"/>
    <x v="1"/>
    <s v="Football Shoes"/>
    <s v="INR"/>
    <n v="765022"/>
    <s v="INDIA"/>
    <x v="10"/>
    <m/>
    <n v="19.920000000000002"/>
    <n v="4"/>
    <n v="0.1"/>
    <n v="9.3623999999999992"/>
    <n v="2.6394000000000006"/>
    <n v="2"/>
  </r>
  <r>
    <n v="1082"/>
    <s v="AO49"/>
    <d v="2023-12-18T00:00:00"/>
    <x v="11"/>
    <x v="2"/>
    <s v="Standard Class"/>
    <s v="BT-11395"/>
    <s v="FUR-CH-10002880"/>
    <n v="190"/>
    <n v="22"/>
    <n v="11.578947368421053"/>
    <x v="4"/>
    <s v="Smart Sensors"/>
    <s v="INR"/>
    <n v="560043"/>
    <s v="INDIA"/>
    <x v="6"/>
    <m/>
    <n v="1106.9100000000001"/>
    <n v="9"/>
    <n v="0.1"/>
    <n v="121.76009999999999"/>
    <n v="109.46110000000002"/>
    <n v="2"/>
  </r>
  <r>
    <n v="1083"/>
    <s v="RI39"/>
    <d v="2023-12-19T00:00:00"/>
    <x v="11"/>
    <x v="2"/>
    <s v="Standard Class"/>
    <s v="KD-16270"/>
    <s v="FUR-TA-10001095"/>
    <n v="150"/>
    <n v="18"/>
    <n v="12"/>
    <x v="2"/>
    <s v="Kids’ Jackets"/>
    <s v="INR"/>
    <n v="637001"/>
    <s v="INDIA"/>
    <x v="12"/>
    <s v="Easy Ship"/>
    <n v="836.59199999999998"/>
    <n v="8"/>
    <n v="0.4"/>
    <n v="-264.92079999999999"/>
    <n v="137.6891"/>
    <n v="2"/>
  </r>
  <r>
    <n v="1084"/>
    <s v="TQ38"/>
    <d v="2023-12-20T00:00:00"/>
    <x v="11"/>
    <x v="2"/>
    <s v="Standard Class"/>
    <s v="KD-16270"/>
    <s v="OFF-PA-10003127"/>
    <n v="110"/>
    <n v="8"/>
    <n v="7.2727272727272725"/>
    <x v="5"/>
    <s v="Kitchen Shelves"/>
    <s v="INR"/>
    <n v="782447"/>
    <s v="INDIA"/>
    <x v="13"/>
    <m/>
    <n v="26.38"/>
    <n v="1"/>
    <n v="0.1"/>
    <n v="12.1348"/>
    <n v="14.245199999999999"/>
    <n v="1"/>
  </r>
  <r>
    <n v="1085"/>
    <s v="CR86"/>
    <d v="2023-12-21T00:00:00"/>
    <x v="11"/>
    <x v="2"/>
    <s v="Standard Class"/>
    <s v="KD-16270"/>
    <s v="OFF-ST-10003208"/>
    <n v="100"/>
    <n v="22"/>
    <n v="22"/>
    <x v="3"/>
    <s v="Car Oils"/>
    <s v="INR"/>
    <n v="400605"/>
    <s v="INDIA"/>
    <x v="7"/>
    <m/>
    <n v="362.92"/>
    <n v="2"/>
    <n v="0.1"/>
    <n v="105.24679999999999"/>
    <n v="128.8366"/>
    <n v="3"/>
  </r>
  <r>
    <n v="1086"/>
    <s v="LX93"/>
    <d v="2023-12-22T00:00:00"/>
    <x v="11"/>
    <x v="2"/>
    <s v="Standard Class"/>
    <s v="KD-16270"/>
    <s v="TEC-MA-10003979"/>
    <n v="160"/>
    <n v="16"/>
    <n v="10"/>
    <x v="6"/>
    <s v="Board Games"/>
    <s v="INR"/>
    <n v="600008"/>
    <s v="INDIA"/>
    <x v="11"/>
    <m/>
    <n v="4899.93"/>
    <n v="7"/>
    <n v="0.1"/>
    <n v="2400.9657000000002"/>
    <n v="356.99490000000003"/>
    <n v="2"/>
  </r>
  <r>
    <n v="1087"/>
    <s v="CY52"/>
    <d v="2023-12-23T00:00:00"/>
    <x v="11"/>
    <x v="2"/>
    <s v="Same Day"/>
    <s v="LC-16870"/>
    <s v="OFF-PA-10000029"/>
    <n v="160"/>
    <n v="14"/>
    <n v="8.75"/>
    <x v="7"/>
    <s v="Packaged Snacks"/>
    <s v="INR"/>
    <n v="799004"/>
    <s v="INDIA"/>
    <x v="12"/>
    <s v="Easy Ship"/>
    <n v="6.48"/>
    <n v="1"/>
    <n v="0.1"/>
    <n v="3.1103999999999998"/>
    <n v="3.3696000000000006"/>
    <n v="4"/>
  </r>
  <r>
    <n v="1088"/>
    <s v="PB48"/>
    <d v="2023-12-24T00:00:00"/>
    <x v="11"/>
    <x v="2"/>
    <s v="Second Class"/>
    <s v="CY-12745"/>
    <s v="TEC-PH-10004896"/>
    <n v="170"/>
    <n v="10"/>
    <n v="5.8823529411764701"/>
    <x v="8"/>
    <s v="Pet Brushes"/>
    <s v="INR"/>
    <n v="500072"/>
    <s v="INDIA"/>
    <x v="4"/>
    <m/>
    <n v="71.975999999999999"/>
    <n v="3"/>
    <n v="0.2"/>
    <n v="7.1976000000000004"/>
    <n v="21.5928"/>
    <n v="1"/>
  </r>
  <r>
    <n v="1089"/>
    <s v="TG75"/>
    <d v="2023-12-25T00:00:00"/>
    <x v="11"/>
    <x v="2"/>
    <s v="Second Class"/>
    <s v="CY-12745"/>
    <s v="OFF-LA-10000452"/>
    <n v="210"/>
    <n v="8"/>
    <n v="3.8095238095238098"/>
    <x v="2"/>
    <s v="Men’s Jeans"/>
    <s v="INR"/>
    <n v="411014"/>
    <s v="INDIA"/>
    <x v="1"/>
    <m/>
    <n v="3.15"/>
    <n v="1"/>
    <n v="0.1"/>
    <n v="1.512"/>
    <n v="1.6379999999999999"/>
    <n v="2"/>
  </r>
  <r>
    <n v="1090"/>
    <s v="HQ19"/>
    <d v="2023-12-26T00:00:00"/>
    <x v="11"/>
    <x v="2"/>
    <s v="Standard Class"/>
    <s v="LW-16990"/>
    <s v="FUR-FU-10001967"/>
    <n v="180"/>
    <n v="30"/>
    <n v="16.666666666666664"/>
    <x v="4"/>
    <s v="Smart TVs"/>
    <s v="INR"/>
    <n v="600056"/>
    <s v="INDIA"/>
    <x v="8"/>
    <m/>
    <n v="31.984000000000002"/>
    <n v="2"/>
    <n v="0.2"/>
    <n v="1.9990000000000001"/>
    <n v="14.992500000000001"/>
    <n v="5"/>
  </r>
  <r>
    <n v="1091"/>
    <s v="FH99"/>
    <d v="2023-12-27T00:00:00"/>
    <x v="11"/>
    <x v="2"/>
    <s v="Standard Class"/>
    <s v="LW-16990"/>
    <s v="TEC-PH-10001819"/>
    <n v="150"/>
    <n v="14"/>
    <n v="9.3333333333333339"/>
    <x v="1"/>
    <s v="Cricket Bats"/>
    <s v="INR"/>
    <n v="152002"/>
    <s v="INDIA"/>
    <x v="6"/>
    <m/>
    <n v="71.983999999999995"/>
    <n v="2"/>
    <n v="0.2"/>
    <n v="25.194400000000002"/>
    <n v="23.394799999999996"/>
    <n v="3"/>
  </r>
  <r>
    <n v="1092"/>
    <s v="OM45"/>
    <d v="2023-12-28T00:00:00"/>
    <x v="11"/>
    <x v="2"/>
    <s v="Standard Class"/>
    <s v="NP-18325"/>
    <s v="OFF-AR-10002952"/>
    <n v="150"/>
    <n v="10"/>
    <n v="6.666666666666667"/>
    <x v="0"/>
    <s v="Children’s Novels"/>
    <s v="INR"/>
    <n v="500068"/>
    <s v="INDIA"/>
    <x v="16"/>
    <m/>
    <n v="120.15"/>
    <n v="9"/>
    <n v="0.1"/>
    <n v="33.642000000000003"/>
    <n v="9.6120000000000019"/>
    <n v="4"/>
  </r>
  <r>
    <n v="1093"/>
    <s v="DP40"/>
    <d v="2023-12-29T00:00:00"/>
    <x v="11"/>
    <x v="2"/>
    <s v="Standard Class"/>
    <s v="NP-18325"/>
    <s v="TEC-PH-10000576"/>
    <n v="100"/>
    <n v="16"/>
    <n v="16"/>
    <x v="5"/>
    <s v="Kitchen Towels"/>
    <s v="INR"/>
    <n v="500068"/>
    <s v="INDIA"/>
    <x v="17"/>
    <m/>
    <n v="219.184"/>
    <n v="2"/>
    <n v="0.2"/>
    <n v="19.178599999999999"/>
    <n v="100.0027"/>
    <n v="3"/>
  </r>
  <r>
    <n v="1094"/>
    <s v="UW10"/>
    <d v="2023-12-30T00:00:00"/>
    <x v="11"/>
    <x v="2"/>
    <s v="Standard Class"/>
    <s v="BT-11485"/>
    <s v="OFF-PA-10000605"/>
    <n v="250"/>
    <n v="16"/>
    <n v="6.4"/>
    <x v="3"/>
    <s v="Car Batteries"/>
    <s v="INR"/>
    <n v="160062"/>
    <s v="INDIA"/>
    <x v="0"/>
    <m/>
    <n v="28.9"/>
    <n v="5"/>
    <n v="0.1"/>
    <n v="14.161"/>
    <n v="2.9478"/>
    <n v="2"/>
  </r>
  <r>
    <n v="1095"/>
    <s v="TT18"/>
    <d v="2023-12-31T00:00:00"/>
    <x v="11"/>
    <x v="2"/>
    <s v="Standard Class"/>
    <s v="BT-11485"/>
    <s v="OFF-AP-10002518"/>
    <n v="230"/>
    <n v="8"/>
    <n v="3.4782608695652173"/>
    <x v="6"/>
    <s v="Learning Toys"/>
    <s v="INR"/>
    <n v="122103"/>
    <s v="INDIA"/>
    <x v="0"/>
    <m/>
    <n v="355.96"/>
    <n v="2"/>
    <n v="0.1"/>
    <n v="103.22839999999999"/>
    <n v="126.36579999999999"/>
    <n v="5"/>
  </r>
  <r>
    <n v="1096"/>
    <s v="FP98"/>
    <d v="2024-01-01T00:00:00"/>
    <x v="0"/>
    <x v="3"/>
    <s v="Standard Class"/>
    <s v="PS-19045"/>
    <s v="OFF-ST-10004340"/>
    <n v="120"/>
    <n v="6"/>
    <n v="5"/>
    <x v="7"/>
    <s v="Energy Drinks"/>
    <s v="INR"/>
    <n v="713403"/>
    <s v="INDIA"/>
    <x v="14"/>
    <m/>
    <n v="348.20800000000003"/>
    <n v="7"/>
    <n v="0.2"/>
    <n v="30.4682"/>
    <n v="45.391399999999997"/>
    <n v="1"/>
  </r>
  <r>
    <n v="1097"/>
    <s v="ER34"/>
    <d v="2024-01-02T00:00:00"/>
    <x v="0"/>
    <x v="3"/>
    <s v="Standard Class"/>
    <s v="PS-19045"/>
    <s v="OFF-BI-10004001"/>
    <n v="150"/>
    <n v="18"/>
    <n v="12"/>
    <x v="8"/>
    <s v="Pet Grooming Kits"/>
    <s v="INR"/>
    <n v="560070"/>
    <s v="INDIA"/>
    <x v="7"/>
    <s v="Easy Ship"/>
    <n v="35.783999999999999"/>
    <n v="7"/>
    <n v="0.7"/>
    <n v="-28.627199999999998"/>
    <n v="9.2015999999999991"/>
    <n v="5"/>
  </r>
  <r>
    <n v="1098"/>
    <s v="DS96"/>
    <d v="2024-01-03T00:00:00"/>
    <x v="0"/>
    <x v="3"/>
    <s v="First Class"/>
    <s v="NS-18640"/>
    <s v="FUR-TA-10004147"/>
    <n v="240"/>
    <n v="26"/>
    <n v="10.833333333333334"/>
    <x v="2"/>
    <s v="Women’s Jewelry"/>
    <s v="INR"/>
    <n v="441614"/>
    <s v="INDIA"/>
    <x v="15"/>
    <m/>
    <n v="447.84"/>
    <n v="5"/>
    <n v="0.2"/>
    <n v="11.196"/>
    <n v="87.328799999999987"/>
    <n v="1"/>
  </r>
  <r>
    <n v="1099"/>
    <s v="ZO93"/>
    <d v="2024-01-04T00:00:00"/>
    <x v="0"/>
    <x v="3"/>
    <s v="First Class"/>
    <s v="PV-18985"/>
    <s v="OFF-AR-10001545"/>
    <n v="230"/>
    <n v="12"/>
    <n v="5.2173913043478262"/>
    <x v="4"/>
    <s v="Smart Tablets"/>
    <s v="INR"/>
    <n v="713104"/>
    <s v="INDIA"/>
    <x v="0"/>
    <m/>
    <n v="7.04"/>
    <n v="4"/>
    <n v="0.1"/>
    <n v="2.0415999999999999"/>
    <n v="1.2496"/>
    <n v="3"/>
  </r>
  <r>
    <n v="1100"/>
    <s v="JK18"/>
    <d v="2024-01-05T00:00:00"/>
    <x v="0"/>
    <x v="3"/>
    <s v="First Class"/>
    <s v="PV-18985"/>
    <s v="FUR-FU-10000206"/>
    <n v="190"/>
    <n v="20"/>
    <n v="10.526315789473683"/>
    <x v="0"/>
    <s v="Children’s Comics"/>
    <m/>
    <n v="131001"/>
    <s v="INDIA"/>
    <x v="2"/>
    <m/>
    <n v="8.73"/>
    <n v="3"/>
    <n v="0.1"/>
    <n v="4.1031000000000004"/>
    <n v="1.5423"/>
    <n v="3"/>
  </r>
  <r>
    <n v="1101"/>
    <s v="EE76"/>
    <d v="2024-01-06T00:00:00"/>
    <x v="0"/>
    <x v="3"/>
    <s v="First Class"/>
    <s v="PV-18985"/>
    <s v="TEC-AC-10001013"/>
    <n v="240"/>
    <n v="16"/>
    <n v="6.666666666666667"/>
    <x v="1"/>
    <s v="Table Tennis Rackets"/>
    <s v="INR"/>
    <n v="400086"/>
    <s v="INDIA"/>
    <x v="3"/>
    <m/>
    <n v="29.29"/>
    <n v="1"/>
    <n v="0.1"/>
    <n v="9.6656999999999993"/>
    <n v="19.624299999999998"/>
    <n v="5"/>
  </r>
  <r>
    <n v="1102"/>
    <s v="UT60"/>
    <d v="2024-01-07T00:00:00"/>
    <x v="0"/>
    <x v="3"/>
    <s v="First Class"/>
    <s v="PV-18985"/>
    <s v="OFF-AR-10002255"/>
    <n v="110"/>
    <n v="14"/>
    <n v="12.727272727272727"/>
    <x v="4"/>
    <s v="Smart Plugs"/>
    <s v="INR"/>
    <n v="560043"/>
    <s v="INDIA"/>
    <x v="15"/>
    <m/>
    <n v="8.64"/>
    <n v="3"/>
    <n v="0.1"/>
    <n v="2.5055999999999998"/>
    <n v="2.0448000000000004"/>
    <n v="1"/>
  </r>
  <r>
    <n v="1103"/>
    <s v="SE55"/>
    <d v="2024-01-08T00:00:00"/>
    <x v="0"/>
    <x v="3"/>
    <s v="Standard Class"/>
    <s v="RP-19390"/>
    <s v="OFF-BI-10004140"/>
    <n v="150"/>
    <n v="20"/>
    <n v="13.333333333333334"/>
    <x v="2"/>
    <s v="Women’s Flats"/>
    <s v="INR"/>
    <n v="690109"/>
    <s v="INDIA"/>
    <x v="11"/>
    <m/>
    <n v="2.694"/>
    <n v="3"/>
    <n v="0.8"/>
    <n v="-4.7145000000000001"/>
    <n v="2.4695"/>
    <n v="1"/>
  </r>
  <r>
    <n v="1104"/>
    <s v="DB22"/>
    <d v="2024-01-09T00:00:00"/>
    <x v="0"/>
    <x v="3"/>
    <s v="Standard Class"/>
    <s v="RP-19390"/>
    <s v="OFF-BI-10002049"/>
    <n v="240"/>
    <n v="24"/>
    <n v="10"/>
    <x v="5"/>
    <s v="Kitchen Mats"/>
    <s v="INR"/>
    <n v="713104"/>
    <s v="INDIA"/>
    <x v="0"/>
    <m/>
    <n v="2.9340000000000002"/>
    <n v="3"/>
    <n v="0.8"/>
    <n v="-4.9878"/>
    <n v="2.6406000000000001"/>
    <n v="4"/>
  </r>
  <r>
    <n v="1105"/>
    <s v="TX79"/>
    <d v="2024-01-10T00:00:00"/>
    <x v="0"/>
    <x v="3"/>
    <s v="Standard Class"/>
    <s v="NM-18520"/>
    <s v="OFF-PA-10001892"/>
    <n v="240"/>
    <n v="24"/>
    <n v="10"/>
    <x v="3"/>
    <s v="Car Lights"/>
    <s v="INR"/>
    <n v="713104"/>
    <s v="INDIA"/>
    <x v="10"/>
    <m/>
    <n v="22.92"/>
    <n v="3"/>
    <n v="0.1"/>
    <n v="11.2308"/>
    <n v="3.8964000000000003"/>
    <n v="1"/>
  </r>
  <r>
    <n v="1106"/>
    <s v="NN34"/>
    <d v="2024-01-11T00:00:00"/>
    <x v="0"/>
    <x v="3"/>
    <s v="Standard Class"/>
    <s v="EH-13945"/>
    <s v="OFF-ST-10000642"/>
    <n v="120"/>
    <n v="18"/>
    <n v="15"/>
    <x v="6"/>
    <s v="Playhouses"/>
    <m/>
    <n v="201301"/>
    <s v="INDIA"/>
    <x v="3"/>
    <s v="Easy Ship"/>
    <n v="100.70399999999999"/>
    <n v="6"/>
    <n v="0.2"/>
    <n v="-16.3644"/>
    <n v="19.511399999999998"/>
    <n v="5"/>
  </r>
  <r>
    <n v="1107"/>
    <s v="EW89"/>
    <d v="2024-01-12T00:00:00"/>
    <x v="0"/>
    <x v="3"/>
    <s v="Standard Class"/>
    <s v="EH-13945"/>
    <s v="FUR-FU-10000206"/>
    <n v="160"/>
    <n v="22"/>
    <n v="13.750000000000002"/>
    <x v="7"/>
    <s v="Protein Powders"/>
    <s v="INR"/>
    <n v="795001"/>
    <s v="INDIA"/>
    <x v="8"/>
    <s v="Easy Ship"/>
    <n v="2.3279999999999998"/>
    <n v="2"/>
    <n v="0.6"/>
    <n v="-0.75660000000000005"/>
    <n v="1.5423"/>
    <n v="2"/>
  </r>
  <r>
    <n v="1108"/>
    <s v="SU12"/>
    <d v="2024-01-13T00:00:00"/>
    <x v="0"/>
    <x v="3"/>
    <s v="Standard Class"/>
    <s v="EH-13945"/>
    <s v="OFF-BI-10003676"/>
    <n v="160"/>
    <n v="30"/>
    <n v="18.75"/>
    <x v="8"/>
    <s v="Pet Chew Toys"/>
    <m/>
    <n v="700156"/>
    <s v="INDIA"/>
    <x v="14"/>
    <m/>
    <n v="10.78"/>
    <n v="5"/>
    <n v="0.8"/>
    <n v="-17.248000000000001"/>
    <n v="5.6055999999999999"/>
    <n v="2"/>
  </r>
  <r>
    <n v="1109"/>
    <s v="LS26"/>
    <d v="2024-01-14T00:00:00"/>
    <x v="0"/>
    <x v="3"/>
    <s v="Standard Class"/>
    <s v="EH-13945"/>
    <s v="OFF-FA-10003495"/>
    <n v="230"/>
    <n v="26"/>
    <n v="11.304347826086957"/>
    <x v="2"/>
    <s v="Kids’ Accessories"/>
    <m/>
    <n v="700156"/>
    <s v="INDIA"/>
    <x v="7"/>
    <s v="Easy Ship"/>
    <n v="58.368000000000002"/>
    <n v="12"/>
    <n v="0.2"/>
    <n v="21.888000000000002"/>
    <n v="3.0400000000000005"/>
    <n v="5"/>
  </r>
  <r>
    <n v="1110"/>
    <s v="YT76"/>
    <d v="2024-01-15T00:00:00"/>
    <x v="0"/>
    <x v="3"/>
    <s v="Standard Class"/>
    <s v="EH-13945"/>
    <s v="OFF-EN-10003798"/>
    <n v="140"/>
    <n v="10"/>
    <n v="7.1428571428571423"/>
    <x v="4"/>
    <s v="Smart Watches"/>
    <s v="INR"/>
    <n v="689654"/>
    <s v="INDIA"/>
    <x v="3"/>
    <s v="Easy Ship"/>
    <n v="40.968000000000004"/>
    <n v="3"/>
    <n v="0.2"/>
    <n v="13.826700000000001"/>
    <n v="9.0471000000000004"/>
    <n v="5"/>
  </r>
  <r>
    <n v="1111"/>
    <s v="LT96"/>
    <d v="2024-01-16T00:00:00"/>
    <x v="0"/>
    <x v="3"/>
    <s v="Standard Class"/>
    <s v="EH-13945"/>
    <s v="TEC-PH-10003589"/>
    <n v="190"/>
    <n v="26"/>
    <n v="13.684210526315791"/>
    <x v="0"/>
    <s v="Children’s Poetry"/>
    <s v="INR"/>
    <n v="110085"/>
    <s v="INDIA"/>
    <x v="18"/>
    <m/>
    <n v="71.959999999999994"/>
    <n v="5"/>
    <n v="0.2"/>
    <n v="25.186"/>
    <n v="9.3547999999999991"/>
    <n v="1"/>
  </r>
  <r>
    <n v="1112"/>
    <s v="MV14"/>
    <d v="2024-01-17T00:00:00"/>
    <x v="0"/>
    <x v="3"/>
    <s v="Standard Class"/>
    <s v="EH-13945"/>
    <s v="OFF-PA-10004735"/>
    <n v="100"/>
    <n v="20"/>
    <n v="20"/>
    <x v="1"/>
    <s v="Swimming Gear"/>
    <s v="INR"/>
    <n v="500062"/>
    <s v="INDIA"/>
    <x v="19"/>
    <m/>
    <n v="10.368"/>
    <n v="2"/>
    <n v="0.2"/>
    <n v="3.6288"/>
    <n v="3.3696000000000002"/>
    <n v="2"/>
  </r>
  <r>
    <n v="1113"/>
    <s v="JA21"/>
    <d v="2024-01-18T00:00:00"/>
    <x v="0"/>
    <x v="3"/>
    <s v="Standard Class"/>
    <s v="EH-13945"/>
    <s v="OFF-BI-10002609"/>
    <n v="150"/>
    <n v="6"/>
    <n v="4"/>
    <x v="4"/>
    <s v="Smart Routers"/>
    <s v="INR"/>
    <n v="411038"/>
    <s v="INDIA"/>
    <x v="15"/>
    <m/>
    <n v="1.1919999999999999"/>
    <n v="2"/>
    <n v="0.8"/>
    <n v="-2.0264000000000002"/>
    <n v="1.6092"/>
    <n v="2"/>
  </r>
  <r>
    <n v="1114"/>
    <s v="GO88"/>
    <d v="2024-01-19T00:00:00"/>
    <x v="0"/>
    <x v="3"/>
    <s v="Second Class"/>
    <s v="RA-19915"/>
    <s v="OFF-BI-10003364"/>
    <n v="170"/>
    <n v="6"/>
    <n v="3.5294117647058822"/>
    <x v="2"/>
    <s v="Men’s Belts"/>
    <s v="INR"/>
    <n v="700048"/>
    <s v="INDIA"/>
    <x v="15"/>
    <m/>
    <n v="46.671999999999997"/>
    <n v="2"/>
    <n v="0.2"/>
    <n v="16.3352"/>
    <n v="15.168399999999998"/>
    <n v="4"/>
  </r>
  <r>
    <n v="1115"/>
    <s v="QQ75"/>
    <d v="2024-01-20T00:00:00"/>
    <x v="0"/>
    <x v="3"/>
    <s v="Second Class"/>
    <s v="RA-19915"/>
    <s v="FUR-BO-10002206"/>
    <n v="140"/>
    <n v="6"/>
    <n v="4.2857142857142856"/>
    <x v="5"/>
    <s v="Kitchen Trays"/>
    <s v="INR"/>
    <n v="700019"/>
    <s v="INDIA"/>
    <x v="15"/>
    <m/>
    <n v="119.833"/>
    <n v="1"/>
    <n v="0.15"/>
    <n v="-12.6882"/>
    <n v="132.52119999999999"/>
    <n v="5"/>
  </r>
  <r>
    <n v="1116"/>
    <s v="GR14"/>
    <d v="2024-01-21T00:00:00"/>
    <x v="0"/>
    <x v="3"/>
    <s v="Second Class"/>
    <s v="RA-19915"/>
    <s v="TEC-AC-10003610"/>
    <n v="180"/>
    <n v="20"/>
    <n v="11.111111111111111"/>
    <x v="3"/>
    <s v="Car Mirrors"/>
    <s v="INR"/>
    <n v="560068"/>
    <s v="INDIA"/>
    <x v="1"/>
    <s v="Easy Ship"/>
    <n v="119.98"/>
    <n v="2"/>
    <n v="0.1"/>
    <n v="57.590400000000002"/>
    <n v="31.194800000000001"/>
    <n v="4"/>
  </r>
  <r>
    <n v="1117"/>
    <s v="YM26"/>
    <d v="2024-01-22T00:00:00"/>
    <x v="0"/>
    <x v="3"/>
    <s v="Second Class"/>
    <s v="DL-13495"/>
    <s v="OFF-LA-10003766"/>
    <n v="200"/>
    <n v="6"/>
    <n v="3"/>
    <x v="6"/>
    <s v="Board Puzzles"/>
    <s v="INR"/>
    <n v="122004"/>
    <s v="INDIA"/>
    <x v="4"/>
    <s v="Easy Ship"/>
    <n v="6.3"/>
    <n v="2"/>
    <n v="0.1"/>
    <n v="3.024"/>
    <n v="1.6379999999999999"/>
    <n v="3"/>
  </r>
  <r>
    <n v="1118"/>
    <s v="XA10"/>
    <d v="2024-01-23T00:00:00"/>
    <x v="0"/>
    <x v="3"/>
    <s v="Standard Class"/>
    <s v="CS-12355"/>
    <s v="OFF-PA-10001970"/>
    <n v="130"/>
    <n v="10"/>
    <n v="7.6923076923076925"/>
    <x v="7"/>
    <s v="Herbal Teas"/>
    <s v="INR"/>
    <n v="400067"/>
    <s v="INDIA"/>
    <x v="2"/>
    <m/>
    <n v="279.89999999999998"/>
    <n v="5"/>
    <n v="0.1"/>
    <n v="137.15100000000001"/>
    <n v="28.549799999999994"/>
    <n v="4"/>
  </r>
  <r>
    <n v="1119"/>
    <s v="IC12"/>
    <d v="2024-01-24T00:00:00"/>
    <x v="0"/>
    <x v="3"/>
    <s v="Standard Class"/>
    <s v="CS-12355"/>
    <s v="TEC-AC-10002049"/>
    <n v="210"/>
    <n v="10"/>
    <n v="4.7619047619047619"/>
    <x v="8"/>
    <s v="Pet Beds"/>
    <s v="INR"/>
    <n v="110075"/>
    <s v="INDIA"/>
    <x v="8"/>
    <m/>
    <n v="619.95000000000005"/>
    <n v="5"/>
    <n v="0.1"/>
    <n v="111.59099999999999"/>
    <n v="101.6718"/>
    <n v="1"/>
  </r>
  <r>
    <n v="1120"/>
    <s v="VO27"/>
    <d v="2024-01-25T00:00:00"/>
    <x v="0"/>
    <x v="3"/>
    <s v="Standard Class"/>
    <s v="CS-12355"/>
    <s v="OFF-PA-10000141"/>
    <n v="160"/>
    <n v="24"/>
    <n v="15"/>
    <x v="2"/>
    <s v="Women’s Skirts"/>
    <s v="INR"/>
    <n v="570011"/>
    <s v="INDIA"/>
    <x v="13"/>
    <s v="Easy Ship"/>
    <n v="4.3600000000000003"/>
    <n v="2"/>
    <n v="0.1"/>
    <n v="2.0491999999999999"/>
    <n v="1.1554000000000002"/>
    <n v="2"/>
  </r>
  <r>
    <n v="1121"/>
    <s v="ZZ47"/>
    <d v="2024-01-26T00:00:00"/>
    <x v="0"/>
    <x v="3"/>
    <s v="Standard Class"/>
    <s v="CS-12355"/>
    <s v="OFF-EN-10004459"/>
    <n v="150"/>
    <n v="12"/>
    <n v="8"/>
    <x v="4"/>
    <s v="Smart Displays"/>
    <s v="INR"/>
    <n v="854303"/>
    <s v="INDIA"/>
    <x v="4"/>
    <m/>
    <n v="15.28"/>
    <n v="2"/>
    <n v="0.1"/>
    <n v="7.4871999999999996"/>
    <n v="3.8963999999999999"/>
    <n v="1"/>
  </r>
  <r>
    <n v="1122"/>
    <s v="FT30"/>
    <d v="2024-01-27T00:00:00"/>
    <x v="0"/>
    <x v="3"/>
    <s v="Standard Class"/>
    <s v="HL-15040"/>
    <s v="TEC-PH-10001061"/>
    <n v="170"/>
    <n v="20"/>
    <n v="11.76470588235294"/>
    <x v="0"/>
    <s v="Children’s Activity Books"/>
    <s v="INR"/>
    <n v="600099"/>
    <s v="INDIA"/>
    <x v="14"/>
    <m/>
    <n v="699.93"/>
    <n v="7"/>
    <n v="0.1"/>
    <n v="181.98179999999999"/>
    <n v="73.992599999999996"/>
    <n v="4"/>
  </r>
  <r>
    <n v="1123"/>
    <s v="VO67"/>
    <d v="2024-01-28T00:00:00"/>
    <x v="0"/>
    <x v="3"/>
    <s v="Standard Class"/>
    <s v="HL-15040"/>
    <s v="OFF-AR-10002375"/>
    <n v="150"/>
    <n v="26"/>
    <n v="17.333333333333336"/>
    <x v="1"/>
    <s v="Rowing Machines"/>
    <s v="INR"/>
    <n v="560064"/>
    <s v="INDIA"/>
    <x v="3"/>
    <m/>
    <n v="22.96"/>
    <n v="7"/>
    <n v="0.1"/>
    <n v="6.6584000000000003"/>
    <n v="2.3288000000000002"/>
    <n v="1"/>
  </r>
  <r>
    <n v="1124"/>
    <s v="BC16"/>
    <d v="2024-01-29T00:00:00"/>
    <x v="0"/>
    <x v="3"/>
    <s v="Standard Class"/>
    <s v="HL-15040"/>
    <s v="FUR-FU-10003194"/>
    <n v="150"/>
    <n v="22"/>
    <n v="14.666666666666666"/>
    <x v="4"/>
    <s v="Smart Remotes"/>
    <s v="INR"/>
    <n v="577501"/>
    <s v="INDIA"/>
    <x v="19"/>
    <s v="Easy Ship"/>
    <n v="38.6"/>
    <n v="4"/>
    <n v="0.1"/>
    <n v="11.58"/>
    <n v="6.7550000000000008"/>
    <n v="5"/>
  </r>
  <r>
    <n v="1125"/>
    <s v="IV60"/>
    <d v="2024-01-30T00:00:00"/>
    <x v="0"/>
    <x v="3"/>
    <s v="Standard Class"/>
    <s v="HL-15040"/>
    <s v="OFF-AR-10003811"/>
    <n v="160"/>
    <n v="26"/>
    <n v="16.25"/>
    <x v="2"/>
    <s v="Men’s Jackets"/>
    <s v="INR"/>
    <n v="221005"/>
    <s v="INDIA"/>
    <x v="18"/>
    <m/>
    <n v="6.63"/>
    <n v="3"/>
    <n v="0.1"/>
    <n v="1.7901"/>
    <n v="1.6133"/>
    <n v="4"/>
  </r>
  <r>
    <n v="1126"/>
    <s v="NH86"/>
    <d v="2024-01-31T00:00:00"/>
    <x v="0"/>
    <x v="3"/>
    <s v="Standard Class"/>
    <s v="HL-15040"/>
    <s v="OFF-EN-10001539"/>
    <n v="140"/>
    <n v="20"/>
    <n v="14.285714285714285"/>
    <x v="5"/>
    <s v="Kitchen Organizers"/>
    <m/>
    <n v="110085"/>
    <s v="INDIA"/>
    <x v="2"/>
    <m/>
    <n v="23.34"/>
    <n v="3"/>
    <n v="0.1"/>
    <n v="10.969799999999999"/>
    <n v="4.1234000000000002"/>
    <n v="3"/>
  </r>
  <r>
    <n v="1127"/>
    <s v="FV30"/>
    <d v="2024-02-01T00:00:00"/>
    <x v="1"/>
    <x v="3"/>
    <s v="Standard Class"/>
    <s v="HL-15040"/>
    <s v="FUR-CH-10002331"/>
    <n v="110"/>
    <n v="20"/>
    <n v="18.181818181818183"/>
    <x v="3"/>
    <s v="Car Wipers"/>
    <s v="INR"/>
    <n v="144002"/>
    <s v="INDIA"/>
    <x v="9"/>
    <m/>
    <n v="1067.94"/>
    <n v="3"/>
    <n v="0.1"/>
    <n v="224.26740000000001"/>
    <n v="281.22420000000005"/>
    <n v="2"/>
  </r>
  <r>
    <n v="1128"/>
    <s v="SB33"/>
    <d v="2024-02-02T00:00:00"/>
    <x v="1"/>
    <x v="3"/>
    <s v="Standard Class"/>
    <s v="PA-19060"/>
    <s v="OFF-AR-10003156"/>
    <n v="120"/>
    <n v="6"/>
    <n v="5"/>
    <x v="6"/>
    <s v="Play Kitchens"/>
    <s v="INR"/>
    <n v="625513"/>
    <s v="INDIA"/>
    <x v="10"/>
    <m/>
    <n v="10.16"/>
    <n v="1"/>
    <n v="0.1"/>
    <n v="2.6415999999999999"/>
    <n v="7.5183999999999997"/>
    <n v="3"/>
  </r>
  <r>
    <n v="1129"/>
    <s v="GJ97"/>
    <d v="2024-02-03T00:00:00"/>
    <x v="1"/>
    <x v="3"/>
    <s v="Standard Class"/>
    <s v="PA-19060"/>
    <s v="OFF-EN-10001532"/>
    <n v="110"/>
    <n v="16"/>
    <n v="14.545454545454545"/>
    <x v="7"/>
    <s v="Protein Bars"/>
    <s v="INR"/>
    <n v="500100"/>
    <s v="INDIA"/>
    <x v="18"/>
    <m/>
    <n v="101.88"/>
    <n v="6"/>
    <n v="0.1"/>
    <n v="50.94"/>
    <n v="8.49"/>
    <n v="2"/>
  </r>
  <r>
    <n v="1130"/>
    <s v="QG87"/>
    <d v="2024-02-04T00:00:00"/>
    <x v="1"/>
    <x v="3"/>
    <s v="Standard Class"/>
    <s v="BD-11605"/>
    <s v="FUR-TA-10004086"/>
    <n v="110"/>
    <n v="12"/>
    <n v="10.909090909090908"/>
    <x v="8"/>
    <s v="Pet Towels"/>
    <s v="INR"/>
    <n v="411014"/>
    <s v="INDIA"/>
    <x v="6"/>
    <m/>
    <n v="343.92"/>
    <n v="4"/>
    <n v="0.1"/>
    <n v="75.662400000000005"/>
    <n v="67.064400000000006"/>
    <n v="2"/>
  </r>
  <r>
    <n v="1131"/>
    <s v="DA45"/>
    <d v="2024-02-05T00:00:00"/>
    <x v="1"/>
    <x v="3"/>
    <s v="Standard Class"/>
    <s v="BD-11605"/>
    <s v="OFF-PA-10000100"/>
    <n v="180"/>
    <n v="8"/>
    <n v="4.4444444444444446"/>
    <x v="2"/>
    <s v="Women’s Sunglasses"/>
    <s v="INR"/>
    <n v="231219"/>
    <s v="INDIA"/>
    <x v="16"/>
    <m/>
    <n v="40.99"/>
    <n v="1"/>
    <n v="0.1"/>
    <n v="20.085100000000001"/>
    <n v="20.904900000000001"/>
    <n v="3"/>
  </r>
  <r>
    <n v="1132"/>
    <s v="KH54"/>
    <d v="2024-02-06T00:00:00"/>
    <x v="1"/>
    <x v="3"/>
    <s v="Standard Class"/>
    <s v="BD-11605"/>
    <s v="OFF-EN-10002500"/>
    <n v="210"/>
    <n v="8"/>
    <n v="3.8095238095238098"/>
    <x v="4"/>
    <s v="Smart Sensors"/>
    <s v="INR"/>
    <n v="474001"/>
    <s v="INDIA"/>
    <x v="18"/>
    <m/>
    <n v="63.9"/>
    <n v="5"/>
    <n v="0.1"/>
    <n v="28.754999999999999"/>
    <n v="7.028999999999999"/>
    <n v="2"/>
  </r>
  <r>
    <n v="1133"/>
    <s v="FL45"/>
    <d v="2024-02-07T00:00:00"/>
    <x v="1"/>
    <x v="3"/>
    <s v="First Class"/>
    <s v="GG-14650"/>
    <s v="OFF-PA-10004100"/>
    <n v="140"/>
    <n v="24"/>
    <n v="17.142857142857142"/>
    <x v="0"/>
    <s v="Children’s Storybooks"/>
    <s v="INR"/>
    <n v="411019"/>
    <s v="INDIA"/>
    <x v="16"/>
    <m/>
    <n v="19.440000000000001"/>
    <n v="3"/>
    <n v="0.1"/>
    <n v="9.3312000000000008"/>
    <n v="3.3696000000000002"/>
    <n v="2"/>
  </r>
  <r>
    <n v="1134"/>
    <s v="DY64"/>
    <d v="2024-02-08T00:00:00"/>
    <x v="1"/>
    <x v="3"/>
    <s v="Standard Class"/>
    <s v="JS-15940"/>
    <s v="OFF-ST-10003479"/>
    <n v="160"/>
    <n v="28"/>
    <n v="17.5"/>
    <x v="1"/>
    <s v="Elliptical Trainers"/>
    <s v="INR"/>
    <n v="441111"/>
    <s v="INDIA"/>
    <x v="5"/>
    <s v="Easy Ship"/>
    <n v="124.608"/>
    <n v="4"/>
    <n v="0.2"/>
    <n v="-23.364000000000001"/>
    <n v="36.993000000000002"/>
    <n v="4"/>
  </r>
  <r>
    <n v="1135"/>
    <s v="MZ64"/>
    <d v="2024-02-09T00:00:00"/>
    <x v="1"/>
    <x v="3"/>
    <s v="Standard Class"/>
    <s v="JS-15940"/>
    <s v="OFF-LA-10000973"/>
    <n v="100"/>
    <n v="12"/>
    <n v="12"/>
    <x v="4"/>
    <s v="Smart Thermostats"/>
    <m/>
    <n v="507303"/>
    <s v="INDIA"/>
    <x v="9"/>
    <s v="Easy Ship"/>
    <n v="7.56"/>
    <n v="3"/>
    <n v="0.2"/>
    <n v="2.6459999999999999"/>
    <n v="1.6379999999999999"/>
    <n v="2"/>
  </r>
  <r>
    <n v="1136"/>
    <s v="KT52"/>
    <d v="2024-02-10T00:00:00"/>
    <x v="1"/>
    <x v="3"/>
    <s v="Same Day"/>
    <s v="LR-16915"/>
    <s v="OFF-ST-10001476"/>
    <n v="170"/>
    <n v="16"/>
    <n v="9.4117647058823533"/>
    <x v="2"/>
    <s v="Kids’ Dresses"/>
    <s v="INR"/>
    <n v="411017"/>
    <s v="INDIA"/>
    <x v="12"/>
    <s v="Easy Ship"/>
    <n v="85.224000000000004"/>
    <n v="3"/>
    <n v="0.2"/>
    <n v="7.4570999999999996"/>
    <n v="25.922300000000003"/>
    <n v="2"/>
  </r>
  <r>
    <n v="1137"/>
    <s v="PJ46"/>
    <d v="2024-02-11T00:00:00"/>
    <x v="1"/>
    <x v="3"/>
    <s v="Second Class"/>
    <s v="FH-14275"/>
    <s v="OFF-EN-10002831"/>
    <n v="190"/>
    <n v="16"/>
    <n v="8.4210526315789469"/>
    <x v="5"/>
    <s v="Kitchen Containers"/>
    <m/>
    <n v="122002"/>
    <s v="INDIA"/>
    <x v="6"/>
    <m/>
    <n v="287.52"/>
    <n v="8"/>
    <n v="0.1"/>
    <n v="129.38399999999999"/>
    <n v="19.766999999999999"/>
    <n v="5"/>
  </r>
  <r>
    <n v="1138"/>
    <s v="QH12"/>
    <d v="2024-02-12T00:00:00"/>
    <x v="1"/>
    <x v="3"/>
    <s v="Second Class"/>
    <s v="FH-14275"/>
    <s v="OFF-AP-10002350"/>
    <n v="240"/>
    <n v="22"/>
    <n v="9.1666666666666661"/>
    <x v="3"/>
    <s v="Car Steering Covers"/>
    <s v="INR"/>
    <n v="110027"/>
    <s v="INDIA"/>
    <x v="14"/>
    <s v="Easy Ship"/>
    <n v="37.68"/>
    <n v="2"/>
    <n v="0.1"/>
    <n v="10.5504"/>
    <n v="13.5648"/>
    <n v="5"/>
  </r>
  <r>
    <n v="1139"/>
    <s v="OT38"/>
    <d v="2024-02-13T00:00:00"/>
    <x v="1"/>
    <x v="3"/>
    <s v="Second Class"/>
    <s v="FH-14275"/>
    <s v="OFF-PA-10001763"/>
    <n v="170"/>
    <n v="28"/>
    <n v="16.470588235294116"/>
    <x v="6"/>
    <s v="Construction Sets"/>
    <s v="INR"/>
    <n v="560040"/>
    <s v="INDIA"/>
    <x v="14"/>
    <m/>
    <n v="19.98"/>
    <n v="2"/>
    <n v="0.1"/>
    <n v="8.9909999999999997"/>
    <n v="5.4945000000000004"/>
    <n v="1"/>
  </r>
  <r>
    <n v="1140"/>
    <s v="DM19"/>
    <d v="2024-02-14T00:00:00"/>
    <x v="1"/>
    <x v="3"/>
    <s v="Second Class"/>
    <s v="FH-14275"/>
    <s v="OFF-AR-10003394"/>
    <n v="210"/>
    <n v="22"/>
    <n v="10.476190476190476"/>
    <x v="7"/>
    <s v="Juices"/>
    <s v="INR"/>
    <n v="605001"/>
    <s v="INDIA"/>
    <x v="8"/>
    <m/>
    <n v="20.58"/>
    <n v="7"/>
    <n v="0.1"/>
    <n v="5.5566000000000004"/>
    <n v="2.1461999999999999"/>
    <n v="5"/>
  </r>
  <r>
    <n v="1141"/>
    <s v="QI43"/>
    <d v="2024-02-15T00:00:00"/>
    <x v="1"/>
    <x v="3"/>
    <s v="Second Class"/>
    <s v="FH-14275"/>
    <s v="OFF-BI-10002072"/>
    <n v="150"/>
    <n v="14"/>
    <n v="9.3333333333333339"/>
    <x v="8"/>
    <s v="Pet Harnesses"/>
    <s v="INR"/>
    <n v="600119"/>
    <s v="INDIA"/>
    <x v="0"/>
    <m/>
    <n v="17.38"/>
    <n v="2"/>
    <n v="0.1"/>
    <n v="8.69"/>
    <n v="4.3449999999999998"/>
    <n v="3"/>
  </r>
  <r>
    <n v="1142"/>
    <s v="YU52"/>
    <d v="2024-02-16T00:00:00"/>
    <x v="1"/>
    <x v="3"/>
    <s v="Standard Class"/>
    <s v="AP-10915"/>
    <s v="FUR-FU-10004188"/>
    <n v="230"/>
    <n v="12"/>
    <n v="5.2173913043478262"/>
    <x v="2"/>
    <s v="Men’s Accessories"/>
    <s v="INR"/>
    <n v="560070"/>
    <s v="INDIA"/>
    <x v="5"/>
    <m/>
    <n v="204.6"/>
    <n v="2"/>
    <n v="0.1"/>
    <n v="53.195999999999998"/>
    <n v="75.701999999999998"/>
    <n v="5"/>
  </r>
  <r>
    <n v="1143"/>
    <s v="UX82"/>
    <d v="2024-02-17T00:00:00"/>
    <x v="1"/>
    <x v="3"/>
    <s v="Standard Class"/>
    <s v="AP-10915"/>
    <s v="OFF-FA-10001561"/>
    <n v="250"/>
    <n v="20"/>
    <n v="8"/>
    <x v="4"/>
    <s v="Smart Home Hubs"/>
    <s v="INR"/>
    <n v="560062"/>
    <s v="INDIA"/>
    <x v="17"/>
    <m/>
    <n v="8.7200000000000006"/>
    <n v="4"/>
    <n v="0.1"/>
    <n v="2.8776000000000002"/>
    <n v="1.4606000000000001"/>
    <n v="5"/>
  </r>
  <r>
    <n v="1144"/>
    <s v="LA76"/>
    <d v="2024-02-18T00:00:00"/>
    <x v="1"/>
    <x v="3"/>
    <s v="Standard Class"/>
    <s v="AP-10915"/>
    <s v="OFF-PA-10002105"/>
    <n v="150"/>
    <n v="10"/>
    <n v="6.666666666666667"/>
    <x v="0"/>
    <s v="Children’s Educational Books"/>
    <s v="INR"/>
    <n v="110092"/>
    <s v="INDIA"/>
    <x v="10"/>
    <m/>
    <n v="6.48"/>
    <n v="1"/>
    <n v="0.1"/>
    <n v="3.1103999999999998"/>
    <n v="3.3696000000000006"/>
    <n v="2"/>
  </r>
  <r>
    <n v="1145"/>
    <s v="QB99"/>
    <d v="2024-02-19T00:00:00"/>
    <x v="1"/>
    <x v="3"/>
    <s v="Standard Class"/>
    <s v="AP-10915"/>
    <s v="TEC-MA-10004241"/>
    <n v="170"/>
    <n v="26"/>
    <n v="15.294117647058824"/>
    <x v="1"/>
    <s v="Archery Gear"/>
    <s v="INR"/>
    <n v="673016"/>
    <s v="INDIA"/>
    <x v="6"/>
    <m/>
    <n v="686.32"/>
    <n v="2"/>
    <n v="0.2"/>
    <n v="223.054"/>
    <n v="231.63300000000004"/>
    <n v="4"/>
  </r>
  <r>
    <n v="1146"/>
    <s v="CX67"/>
    <d v="2024-02-20T00:00:00"/>
    <x v="1"/>
    <x v="3"/>
    <s v="Standard Class"/>
    <s v="AP-10915"/>
    <s v="OFF-ST-10004340"/>
    <n v="110"/>
    <n v="16"/>
    <n v="14.545454545454545"/>
    <x v="4"/>
    <s v="Smart Switches"/>
    <s v="INR"/>
    <n v="415001"/>
    <s v="INDIA"/>
    <x v="18"/>
    <m/>
    <n v="62.18"/>
    <n v="1"/>
    <n v="0.1"/>
    <n v="16.788599999999999"/>
    <n v="45.391400000000004"/>
    <n v="1"/>
  </r>
  <r>
    <n v="1147"/>
    <s v="LT96"/>
    <d v="2024-02-21T00:00:00"/>
    <x v="1"/>
    <x v="3"/>
    <s v="Same Day"/>
    <s v="NC-18340"/>
    <s v="OFF-AP-10003849"/>
    <n v="100"/>
    <n v="28"/>
    <n v="28.000000000000004"/>
    <x v="2"/>
    <s v="Women’s Scarves"/>
    <s v="INR"/>
    <n v="415001"/>
    <s v="INDIA"/>
    <x v="16"/>
    <s v="Easy Ship"/>
    <n v="644.07600000000002"/>
    <n v="2"/>
    <n v="0.11"/>
    <n v="107.346"/>
    <n v="268.36500000000001"/>
    <n v="1"/>
  </r>
  <r>
    <n v="1148"/>
    <s v="ZR31"/>
    <d v="2024-02-22T00:00:00"/>
    <x v="1"/>
    <x v="3"/>
    <s v="Same Day"/>
    <s v="NC-18340"/>
    <s v="OFF-FA-10000735"/>
    <n v="160"/>
    <n v="20"/>
    <n v="12.5"/>
    <x v="5"/>
    <s v="Kitchen Utensils"/>
    <s v="INR"/>
    <n v="415001"/>
    <s v="INDIA"/>
    <x v="2"/>
    <s v="Easy Ship"/>
    <n v="5.84"/>
    <n v="2"/>
    <n v="0.1"/>
    <n v="2.6280000000000001"/>
    <n v="1.6059999999999999"/>
    <n v="5"/>
  </r>
  <r>
    <n v="1149"/>
    <s v="EG85"/>
    <d v="2024-02-23T00:00:00"/>
    <x v="1"/>
    <x v="3"/>
    <s v="Same Day"/>
    <s v="NC-18340"/>
    <s v="OFF-BI-10003350"/>
    <n v="170"/>
    <n v="20"/>
    <n v="11.76470588235294"/>
    <x v="3"/>
    <s v="Car Dash Cameras"/>
    <s v="INR"/>
    <n v="415001"/>
    <s v="INDIA"/>
    <x v="17"/>
    <s v="Easy Ship"/>
    <n v="12.76"/>
    <n v="2"/>
    <n v="0.1"/>
    <n v="5.8696000000000002"/>
    <n v="3.4451999999999998"/>
    <n v="3"/>
  </r>
  <r>
    <n v="1150"/>
    <s v="OE11"/>
    <d v="2024-02-24T00:00:00"/>
    <x v="1"/>
    <x v="3"/>
    <s v="Same Day"/>
    <s v="NC-18340"/>
    <s v="TEC-PH-10000307"/>
    <n v="250"/>
    <n v="20"/>
    <n v="8"/>
    <x v="6"/>
    <s v="Role Play Sets"/>
    <s v="INR"/>
    <n v="600056"/>
    <s v="INDIA"/>
    <x v="5"/>
    <m/>
    <n v="10.95"/>
    <n v="1"/>
    <n v="0.1"/>
    <n v="0.438"/>
    <n v="10.511999999999999"/>
    <n v="2"/>
  </r>
  <r>
    <n v="1151"/>
    <s v="CH25"/>
    <d v="2024-02-25T00:00:00"/>
    <x v="1"/>
    <x v="3"/>
    <s v="Same Day"/>
    <s v="NC-18340"/>
    <s v="TEC-CO-10004202"/>
    <n v="130"/>
    <n v="8"/>
    <n v="6.1538461538461542"/>
    <x v="7"/>
    <s v="Pickles"/>
    <s v="INR"/>
    <n v="500089"/>
    <s v="INDIA"/>
    <x v="9"/>
    <s v="Easy Ship"/>
    <n v="599.98"/>
    <n v="2"/>
    <n v="0.1"/>
    <n v="209.99299999999999"/>
    <n v="194.99350000000001"/>
    <n v="1"/>
  </r>
  <r>
    <n v="1152"/>
    <s v="VA42"/>
    <d v="2024-02-26T00:00:00"/>
    <x v="1"/>
    <x v="3"/>
    <s v="Standard Class"/>
    <s v="CB-12535"/>
    <s v="FUR-FU-10001852"/>
    <n v="130"/>
    <n v="30"/>
    <n v="23.076923076923077"/>
    <x v="8"/>
    <s v="Pet Blankets"/>
    <s v="INR"/>
    <n v="400601"/>
    <s v="INDIA"/>
    <x v="10"/>
    <m/>
    <n v="8.3520000000000003"/>
    <n v="6"/>
    <n v="0.2"/>
    <n v="1.2527999999999999"/>
    <n v="1.1832"/>
    <n v="1"/>
  </r>
  <r>
    <n v="1153"/>
    <s v="PP43"/>
    <d v="2024-02-27T00:00:00"/>
    <x v="1"/>
    <x v="3"/>
    <s v="Standard Class"/>
    <s v="KL-16555"/>
    <s v="OFF-AR-10003759"/>
    <n v="100"/>
    <n v="10"/>
    <n v="10"/>
    <x v="2"/>
    <s v="Men’s Sports Shoes"/>
    <m/>
    <n v="110058"/>
    <s v="INDIA"/>
    <x v="0"/>
    <m/>
    <n v="3.64"/>
    <n v="2"/>
    <n v="0.1"/>
    <n v="1.6379999999999999"/>
    <n v="1.0010000000000001"/>
    <n v="1"/>
  </r>
  <r>
    <n v="1154"/>
    <s v="QC41"/>
    <d v="2024-02-28T00:00:00"/>
    <x v="1"/>
    <x v="3"/>
    <s v="Standard Class"/>
    <s v="KL-16555"/>
    <s v="OFF-BI-10003984"/>
    <n v="140"/>
    <n v="10"/>
    <n v="7.1428571428571423"/>
    <x v="4"/>
    <s v="Speakers"/>
    <s v="INR"/>
    <n v="411014"/>
    <s v="INDIA"/>
    <x v="4"/>
    <m/>
    <n v="159.768"/>
    <n v="7"/>
    <n v="0.2"/>
    <n v="53.921700000000001"/>
    <n v="15.120900000000001"/>
    <n v="2"/>
  </r>
  <r>
    <n v="1155"/>
    <s v="GQ57"/>
    <d v="2024-02-29T00:00:00"/>
    <x v="1"/>
    <x v="3"/>
    <s v="First Class"/>
    <s v="PS-19045"/>
    <s v="OFF-ST-10004337"/>
    <n v="180"/>
    <n v="16"/>
    <n v="8.8888888888888893"/>
    <x v="1"/>
    <s v="Badminton Gear"/>
    <s v="INR"/>
    <n v="411014"/>
    <s v="INDIA"/>
    <x v="16"/>
    <m/>
    <n v="122.48"/>
    <n v="2"/>
    <n v="0.1"/>
    <n v="0.1"/>
    <n v="61.190000000000005"/>
    <n v="1"/>
  </r>
  <r>
    <n v="1156"/>
    <s v="FF13"/>
    <d v="2024-03-01T00:00:00"/>
    <x v="2"/>
    <x v="3"/>
    <s v="First Class"/>
    <s v="PS-19045"/>
    <s v="FUR-TA-10001932"/>
    <n v="170"/>
    <n v="10"/>
    <n v="5.8823529411764701"/>
    <x v="0"/>
    <s v="Anthologies"/>
    <s v="INR"/>
    <n v="411014"/>
    <s v="INDIA"/>
    <x v="18"/>
    <s v="Easy Ship"/>
    <n v="2244.48"/>
    <n v="7"/>
    <n v="0.1"/>
    <n v="493.78559999999999"/>
    <n v="250.09920000000002"/>
    <n v="5"/>
  </r>
  <r>
    <n v="1157"/>
    <s v="SG59"/>
    <d v="2024-03-02T00:00:00"/>
    <x v="2"/>
    <x v="3"/>
    <s v="First Class"/>
    <s v="PS-19045"/>
    <s v="OFF-BI-10003982"/>
    <n v="110"/>
    <n v="16"/>
    <n v="14.545454545454545"/>
    <x v="5"/>
    <s v="Kitchen Racks"/>
    <s v="INR"/>
    <n v="411014"/>
    <s v="INDIA"/>
    <x v="18"/>
    <s v="Easy Ship"/>
    <n v="62.31"/>
    <n v="3"/>
    <n v="0.1"/>
    <n v="29.285699999999999"/>
    <n v="11.008100000000001"/>
    <n v="1"/>
  </r>
  <r>
    <n v="1158"/>
    <s v="OR97"/>
    <d v="2024-03-03T00:00:00"/>
    <x v="2"/>
    <x v="3"/>
    <s v="First Class"/>
    <s v="PS-19045"/>
    <s v="FUR-TA-10000617"/>
    <n v="200"/>
    <n v="24"/>
    <n v="12"/>
    <x v="3"/>
    <s v="Car Horns"/>
    <s v="INR"/>
    <n v="411014"/>
    <s v="INDIA"/>
    <x v="13"/>
    <s v="Easy Ship"/>
    <n v="455.1"/>
    <n v="2"/>
    <n v="0.1"/>
    <n v="100.122"/>
    <n v="177.489"/>
    <n v="1"/>
  </r>
  <r>
    <n v="1159"/>
    <s v="FA54"/>
    <d v="2024-03-04T00:00:00"/>
    <x v="2"/>
    <x v="3"/>
    <s v="Second Class"/>
    <s v="GB-14530"/>
    <s v="FUR-CH-10002126"/>
    <n v="110"/>
    <n v="28"/>
    <n v="25.454545454545453"/>
    <x v="6"/>
    <s v="Magic Kits"/>
    <s v="INR"/>
    <n v="571428"/>
    <s v="INDIA"/>
    <x v="12"/>
    <m/>
    <n v="195.184"/>
    <n v="1"/>
    <n v="0.2"/>
    <n v="19.5184"/>
    <n v="175.66559999999998"/>
    <n v="4"/>
  </r>
  <r>
    <n v="1160"/>
    <s v="JD51"/>
    <d v="2024-03-05T00:00:00"/>
    <x v="2"/>
    <x v="3"/>
    <s v="Standard Class"/>
    <s v="AA-10315"/>
    <s v="OFF-AP-10000576"/>
    <n v="190"/>
    <n v="24"/>
    <n v="12.631578947368421"/>
    <x v="7"/>
    <s v="Chocolates"/>
    <s v="INR"/>
    <n v="639004"/>
    <s v="INDIA"/>
    <x v="11"/>
    <m/>
    <n v="362.94"/>
    <n v="3"/>
    <n v="0.1"/>
    <n v="90.734999999999999"/>
    <n v="90.734999999999999"/>
    <n v="3"/>
  </r>
  <r>
    <n v="1161"/>
    <s v="IV80"/>
    <d v="2024-03-06T00:00:00"/>
    <x v="2"/>
    <x v="3"/>
    <s v="Standard Class"/>
    <s v="AA-10315"/>
    <s v="OFF-BI-10004654"/>
    <n v="150"/>
    <n v="8"/>
    <n v="5.3333333333333339"/>
    <x v="8"/>
    <s v="Pet Harnesses"/>
    <s v="INR"/>
    <n v="400101"/>
    <s v="INDIA"/>
    <x v="9"/>
    <m/>
    <n v="11.54"/>
    <n v="2"/>
    <n v="0.1"/>
    <n v="5.77"/>
    <n v="2.8849999999999998"/>
    <n v="1"/>
  </r>
  <r>
    <n v="1162"/>
    <s v="FD39"/>
    <d v="2024-03-07T00:00:00"/>
    <x v="2"/>
    <x v="3"/>
    <s v="Second Class"/>
    <s v="LT-16765"/>
    <s v="OFF-AR-10004042"/>
    <n v="230"/>
    <n v="22"/>
    <n v="9.5652173913043477"/>
    <x v="2"/>
    <s v="Women’s Coats"/>
    <s v="INR"/>
    <n v="522006"/>
    <s v="INDIA"/>
    <x v="3"/>
    <m/>
    <n v="53.94"/>
    <n v="3"/>
    <n v="0.1"/>
    <n v="15.6426"/>
    <n v="12.765799999999999"/>
    <n v="4"/>
  </r>
  <r>
    <n v="1163"/>
    <s v="SL15"/>
    <d v="2024-03-08T00:00:00"/>
    <x v="2"/>
    <x v="3"/>
    <s v="Standard Class"/>
    <s v="AP-10720"/>
    <s v="TEC-PH-10004700"/>
    <n v="120"/>
    <n v="14"/>
    <n v="11.666666666666666"/>
    <x v="4"/>
    <s v="Digital Cameras"/>
    <s v="INR"/>
    <n v="753003"/>
    <s v="INDIA"/>
    <x v="10"/>
    <m/>
    <n v="9.99"/>
    <n v="1"/>
    <n v="0.1"/>
    <n v="4.5953999999999997"/>
    <n v="5.3946000000000005"/>
    <n v="4"/>
  </r>
  <r>
    <n v="1164"/>
    <s v="JV72"/>
    <d v="2024-03-09T00:00:00"/>
    <x v="2"/>
    <x v="3"/>
    <s v="Standard Class"/>
    <s v="AP-10720"/>
    <s v="OFF-BI-10004593"/>
    <n v="210"/>
    <n v="30"/>
    <n v="14.285714285714285"/>
    <x v="0"/>
    <s v="Children’s Storybooks"/>
    <s v="INR"/>
    <n v="560047"/>
    <s v="INDIA"/>
    <x v="7"/>
    <m/>
    <n v="125.76"/>
    <n v="3"/>
    <n v="0.2"/>
    <n v="40.872"/>
    <n v="28.296000000000003"/>
    <n v="5"/>
  </r>
  <r>
    <n v="1165"/>
    <s v="RM67"/>
    <d v="2024-03-10T00:00:00"/>
    <x v="2"/>
    <x v="3"/>
    <s v="Standard Class"/>
    <s v="AP-10720"/>
    <s v="OFF-BI-10003429"/>
    <n v="180"/>
    <n v="6"/>
    <n v="3.3333333333333335"/>
    <x v="1"/>
    <s v="Elliptical Trainers"/>
    <s v="INR"/>
    <n v="560047"/>
    <s v="INDIA"/>
    <x v="3"/>
    <s v="Easy Ship"/>
    <n v="25.32"/>
    <n v="5"/>
    <n v="0.2"/>
    <n v="9.1784999999999997"/>
    <n v="3.2282999999999999"/>
    <n v="3"/>
  </r>
  <r>
    <n v="1166"/>
    <s v="LP20"/>
    <d v="2024-03-11T00:00:00"/>
    <x v="2"/>
    <x v="3"/>
    <s v="Standard Class"/>
    <s v="PM-18940"/>
    <s v="OFF-BI-10001294"/>
    <n v="100"/>
    <n v="30"/>
    <n v="30"/>
    <x v="4"/>
    <s v="Smart Thermostats"/>
    <s v="INR"/>
    <n v="585222"/>
    <s v="INDIA"/>
    <x v="3"/>
    <m/>
    <n v="46.8"/>
    <n v="4"/>
    <n v="0.1"/>
    <n v="21.06"/>
    <n v="6.4349999999999996"/>
    <n v="5"/>
  </r>
  <r>
    <n v="1167"/>
    <s v="QW72"/>
    <d v="2024-03-12T00:00:00"/>
    <x v="2"/>
    <x v="3"/>
    <s v="Same Day"/>
    <s v="KC-16540"/>
    <s v="TEC-AC-10001552"/>
    <n v="100"/>
    <n v="24"/>
    <n v="24"/>
    <x v="2"/>
    <s v="Kids’ Dresses"/>
    <s v="INR"/>
    <n v="282002"/>
    <s v="INDIA"/>
    <x v="4"/>
    <m/>
    <n v="447.93"/>
    <n v="9"/>
    <n v="0.1"/>
    <n v="49.272300000000001"/>
    <n v="44.295299999999997"/>
    <n v="3"/>
  </r>
  <r>
    <n v="1168"/>
    <s v="BQ57"/>
    <d v="2024-03-13T00:00:00"/>
    <x v="2"/>
    <x v="3"/>
    <s v="Second Class"/>
    <s v="DL-13315"/>
    <s v="FUR-FU-10004952"/>
    <n v="140"/>
    <n v="18"/>
    <n v="12.857142857142856"/>
    <x v="5"/>
    <s v="Kitchen Knives"/>
    <s v="INR"/>
    <n v="244713"/>
    <s v="INDIA"/>
    <x v="4"/>
    <m/>
    <n v="109.48"/>
    <n v="2"/>
    <n v="0.1"/>
    <n v="33.938800000000001"/>
    <n v="37.770600000000002"/>
    <n v="2"/>
  </r>
  <r>
    <n v="1169"/>
    <s v="TS65"/>
    <d v="2024-03-14T00:00:00"/>
    <x v="2"/>
    <x v="3"/>
    <s v="Second Class"/>
    <s v="DL-13315"/>
    <s v="OFF-ST-10004123"/>
    <n v="210"/>
    <n v="24"/>
    <n v="11.428571428571429"/>
    <x v="3"/>
    <s v="Car Steering Covers"/>
    <s v="INR"/>
    <n v="574203"/>
    <s v="INDIA"/>
    <x v="5"/>
    <m/>
    <n v="272.94"/>
    <n v="3"/>
    <n v="0.1"/>
    <n v="0.1"/>
    <n v="90.946666666666658"/>
    <n v="2"/>
  </r>
  <r>
    <n v="1170"/>
    <s v="FU81"/>
    <d v="2024-03-15T00:00:00"/>
    <x v="2"/>
    <x v="3"/>
    <s v="Second Class"/>
    <s v="DL-13315"/>
    <s v="OFF-PA-10003172"/>
    <n v="140"/>
    <n v="14"/>
    <n v="10"/>
    <x v="6"/>
    <s v="Construction Sets"/>
    <s v="INR"/>
    <n v="411020"/>
    <s v="INDIA"/>
    <x v="3"/>
    <m/>
    <n v="19.440000000000001"/>
    <n v="3"/>
    <n v="0.1"/>
    <n v="9.3312000000000008"/>
    <n v="3.3696000000000002"/>
    <n v="3"/>
  </r>
  <r>
    <n v="1171"/>
    <s v="NY72"/>
    <d v="2024-03-16T00:00:00"/>
    <x v="2"/>
    <x v="3"/>
    <s v="Second Class"/>
    <s v="DL-13315"/>
    <s v="OFF-ST-10002352"/>
    <n v="170"/>
    <n v="26"/>
    <n v="15.294117647058824"/>
    <x v="7"/>
    <s v="Juices"/>
    <s v="INR"/>
    <n v="390012"/>
    <s v="INDIA"/>
    <x v="7"/>
    <s v="Easy Ship"/>
    <n v="31.92"/>
    <n v="4"/>
    <n v="0.1"/>
    <n v="8.2992000000000008"/>
    <n v="5.9052000000000007"/>
    <n v="4"/>
  </r>
  <r>
    <n v="1172"/>
    <s v="VK83"/>
    <d v="2024-03-17T00:00:00"/>
    <x v="2"/>
    <x v="3"/>
    <s v="Standard Class"/>
    <s v="SW-20275"/>
    <s v="OFF-PA-10002259"/>
    <n v="180"/>
    <n v="26"/>
    <n v="14.444444444444443"/>
    <x v="8"/>
    <s v="Pet Towels"/>
    <m/>
    <n v="713303"/>
    <s v="INDIA"/>
    <x v="12"/>
    <m/>
    <n v="22.38"/>
    <n v="2"/>
    <n v="0.1"/>
    <n v="10.7424"/>
    <n v="5.8187999999999995"/>
    <n v="5"/>
  </r>
  <r>
    <n v="1173"/>
    <s v="FX71"/>
    <d v="2024-03-18T00:00:00"/>
    <x v="2"/>
    <x v="3"/>
    <s v="Standard Class"/>
    <s v="AA-10375"/>
    <s v="OFF-BI-10002976"/>
    <n v="230"/>
    <n v="22"/>
    <n v="9.5652173913043477"/>
    <x v="2"/>
    <s v="Men’s Accessories"/>
    <s v="INR"/>
    <n v="560098"/>
    <s v="INDIA"/>
    <x v="0"/>
    <m/>
    <n v="16.52"/>
    <n v="5"/>
    <n v="0.2"/>
    <n v="5.5754999999999999"/>
    <n v="2.1888999999999998"/>
    <n v="5"/>
  </r>
  <r>
    <n v="1174"/>
    <s v="VI64"/>
    <d v="2024-03-19T00:00:00"/>
    <x v="2"/>
    <x v="3"/>
    <s v="Standard Class"/>
    <s v="LT-17110"/>
    <s v="OFF-BI-10000301"/>
    <n v="250"/>
    <n v="14"/>
    <n v="5.6000000000000005"/>
    <x v="4"/>
    <s v="Smart Speakers"/>
    <s v="INR"/>
    <n v="180010"/>
    <s v="INDIA"/>
    <x v="16"/>
    <s v="Easy Ship"/>
    <n v="5.1760000000000002"/>
    <n v="4"/>
    <n v="0.8"/>
    <n v="-7.7640000000000002"/>
    <n v="3.2350000000000003"/>
    <n v="1"/>
  </r>
  <r>
    <n v="1175"/>
    <s v="FS52"/>
    <d v="2024-03-20T00:00:00"/>
    <x v="2"/>
    <x v="3"/>
    <s v="First Class"/>
    <s v="DP-13105"/>
    <s v="OFF-BI-10003694"/>
    <n v="190"/>
    <n v="12"/>
    <n v="6.3157894736842106"/>
    <x v="1"/>
    <s v="Martial Arts Gear"/>
    <s v="INR"/>
    <n v="570008"/>
    <s v="INDIA"/>
    <x v="15"/>
    <m/>
    <n v="50.112000000000002"/>
    <n v="6"/>
    <n v="0.2"/>
    <n v="16.2864"/>
    <n v="5.6375999999999999"/>
    <n v="1"/>
  </r>
  <r>
    <n v="1176"/>
    <s v="VJ57"/>
    <d v="2024-03-21T00:00:00"/>
    <x v="2"/>
    <x v="3"/>
    <s v="Standard Class"/>
    <s v="AB-10060"/>
    <s v="OFF-SU-10000381"/>
    <n v="220"/>
    <n v="14"/>
    <n v="6.3636363636363633"/>
    <x v="0"/>
    <s v="Encyclopedias"/>
    <s v="INR"/>
    <n v="400095"/>
    <s v="INDIA"/>
    <x v="2"/>
    <s v="Easy Ship"/>
    <n v="27.93"/>
    <n v="3"/>
    <n v="0.1"/>
    <n v="8.0997000000000003"/>
    <n v="6.6101000000000001"/>
    <n v="3"/>
  </r>
  <r>
    <n v="1177"/>
    <s v="TM48"/>
    <d v="2024-03-22T00:00:00"/>
    <x v="2"/>
    <x v="3"/>
    <s v="Second Class"/>
    <s v="AT-10435"/>
    <s v="OFF-LA-10004425"/>
    <n v="140"/>
    <n v="12"/>
    <n v="8.5714285714285712"/>
    <x v="5"/>
    <s v="Kitchen Shelves"/>
    <s v="INR"/>
    <n v="600069"/>
    <s v="INDIA"/>
    <x v="4"/>
    <m/>
    <n v="11.56"/>
    <n v="4"/>
    <n v="0.1"/>
    <n v="5.4332000000000003"/>
    <n v="1.5317000000000001"/>
    <n v="1"/>
  </r>
  <r>
    <n v="1178"/>
    <s v="JV96"/>
    <d v="2024-03-23T00:00:00"/>
    <x v="2"/>
    <x v="3"/>
    <s v="Standard Class"/>
    <s v="JE-15745"/>
    <s v="FUR-CH-10001270"/>
    <n v="180"/>
    <n v="20"/>
    <n v="11.111111111111111"/>
    <x v="3"/>
    <s v="Car Air Fresheners"/>
    <s v="INR"/>
    <n v="226002"/>
    <s v="INDIA"/>
    <x v="19"/>
    <s v="Easy Ship"/>
    <n v="172.5"/>
    <n v="2"/>
    <n v="0.1"/>
    <n v="51.75"/>
    <n v="60.375"/>
    <n v="1"/>
  </r>
  <r>
    <n v="1179"/>
    <s v="CV33"/>
    <d v="2024-03-24T00:00:00"/>
    <x v="2"/>
    <x v="3"/>
    <s v="Standard Class"/>
    <s v="JE-15745"/>
    <s v="TEC-PH-10003931"/>
    <n v="240"/>
    <n v="28"/>
    <n v="11.666666666666666"/>
    <x v="6"/>
    <s v="Mini Cars"/>
    <s v="INR"/>
    <n v="226002"/>
    <s v="INDIA"/>
    <x v="3"/>
    <m/>
    <n v="179.97"/>
    <n v="3"/>
    <n v="0.1"/>
    <n v="44.9925"/>
    <n v="44.9925"/>
    <n v="5"/>
  </r>
  <r>
    <n v="1180"/>
    <s v="MI64"/>
    <d v="2024-03-25T00:00:00"/>
    <x v="2"/>
    <x v="3"/>
    <s v="Second Class"/>
    <s v="CA-12055"/>
    <s v="TEC-AC-10003174"/>
    <n v="160"/>
    <n v="22"/>
    <n v="13.750000000000002"/>
    <x v="7"/>
    <s v="Ready Mixes"/>
    <s v="INR"/>
    <n v="445001"/>
    <s v="INDIA"/>
    <x v="16"/>
    <m/>
    <n v="258.69600000000003"/>
    <n v="3"/>
    <n v="0.2"/>
    <n v="64.674000000000007"/>
    <n v="64.674000000000007"/>
    <n v="3"/>
  </r>
  <r>
    <n v="1181"/>
    <s v="PC40"/>
    <d v="2024-03-26T00:00:00"/>
    <x v="2"/>
    <x v="3"/>
    <s v="Standard Class"/>
    <s v="DB-13060"/>
    <s v="TEC-PH-10004539"/>
    <n v="210"/>
    <n v="22"/>
    <n v="10.476190476190476"/>
    <x v="8"/>
    <s v="Pet Beds"/>
    <s v="INR"/>
    <n v="560100"/>
    <s v="INDIA"/>
    <x v="15"/>
    <m/>
    <n v="1322.93"/>
    <n v="7"/>
    <n v="0.1"/>
    <n v="357.19110000000001"/>
    <n v="137.96270000000001"/>
    <n v="5"/>
  </r>
  <r>
    <n v="1182"/>
    <s v="IT20"/>
    <d v="2024-03-27T00:00:00"/>
    <x v="2"/>
    <x v="3"/>
    <s v="Standard Class"/>
    <s v="DB-13060"/>
    <s v="OFF-AR-10001919"/>
    <n v="130"/>
    <n v="26"/>
    <n v="20"/>
    <x v="2"/>
    <s v="Women’s Sunglasses"/>
    <s v="INR"/>
    <n v="793002"/>
    <s v="INDIA"/>
    <x v="3"/>
    <m/>
    <n v="3.76"/>
    <n v="2"/>
    <n v="0.1"/>
    <n v="1.0904"/>
    <n v="1.3348"/>
    <n v="3"/>
  </r>
  <r>
    <n v="1183"/>
    <s v="RK68"/>
    <d v="2024-03-28T00:00:00"/>
    <x v="2"/>
    <x v="3"/>
    <s v="First Class"/>
    <s v="RB-19570"/>
    <s v="OFF-EN-10002504"/>
    <n v="170"/>
    <n v="14"/>
    <n v="8.235294117647058"/>
    <x v="4"/>
    <s v="Smart Cameras"/>
    <s v="INR"/>
    <n v="122003"/>
    <s v="INDIA"/>
    <x v="12"/>
    <s v="Easy Ship"/>
    <n v="21.744"/>
    <n v="1"/>
    <n v="0.2"/>
    <n v="7.3385999999999996"/>
    <n v="14.4054"/>
    <n v="3"/>
  </r>
  <r>
    <n v="1184"/>
    <s v="LT35"/>
    <d v="2024-03-29T00:00:00"/>
    <x v="2"/>
    <x v="3"/>
    <s v="First Class"/>
    <s v="RB-19570"/>
    <s v="TEC-PH-10003655"/>
    <n v="110"/>
    <n v="30"/>
    <n v="27.27272727272727"/>
    <x v="0"/>
    <s v="Children’s Activity Books"/>
    <s v="INR"/>
    <n v="613402"/>
    <s v="INDIA"/>
    <x v="10"/>
    <s v="Easy Ship"/>
    <n v="7.92"/>
    <n v="5"/>
    <n v="0.2"/>
    <n v="0.69299999999999995"/>
    <n v="1.4454"/>
    <n v="1"/>
  </r>
  <r>
    <n v="1185"/>
    <s v="KV40"/>
    <d v="2024-03-30T00:00:00"/>
    <x v="2"/>
    <x v="3"/>
    <s v="Standard Class"/>
    <s v="HR-14830"/>
    <s v="OFF-BI-10004656"/>
    <n v="120"/>
    <n v="30"/>
    <n v="25"/>
    <x v="1"/>
    <s v="Rowing Machines"/>
    <s v="INR"/>
    <n v="700060"/>
    <s v="INDIA"/>
    <x v="4"/>
    <m/>
    <n v="12.096"/>
    <n v="7"/>
    <n v="0.2"/>
    <n v="4.2336"/>
    <n v="1.1232"/>
    <n v="1"/>
  </r>
  <r>
    <n v="1186"/>
    <s v="NP37"/>
    <d v="2024-03-31T00:00:00"/>
    <x v="2"/>
    <x v="3"/>
    <s v="Standard Class"/>
    <s v="HR-14830"/>
    <s v="OFF-ST-10002344"/>
    <n v="170"/>
    <n v="10"/>
    <n v="5.8823529411764701"/>
    <x v="4"/>
    <s v="Smart Sensors"/>
    <s v="INR"/>
    <n v="226003"/>
    <s v="INDIA"/>
    <x v="10"/>
    <m/>
    <n v="485.88"/>
    <n v="6"/>
    <n v="0.1"/>
    <n v="9.7175999999999991"/>
    <n v="79.360399999999998"/>
    <n v="5"/>
  </r>
  <r>
    <n v="1187"/>
    <s v="BE58"/>
    <d v="2024-04-01T00:00:00"/>
    <x v="3"/>
    <x v="3"/>
    <s v="Standard Class"/>
    <s v="HR-14830"/>
    <s v="OFF-PA-10001800"/>
    <n v="180"/>
    <n v="10"/>
    <n v="5.5555555555555554"/>
    <x v="2"/>
    <s v="Men’s Jackets"/>
    <s v="INR"/>
    <n v="425001"/>
    <s v="INDIA"/>
    <x v="15"/>
    <m/>
    <n v="25.92"/>
    <n v="4"/>
    <n v="0.1"/>
    <n v="12.441599999999999"/>
    <n v="3.3696000000000006"/>
    <n v="3"/>
  </r>
  <r>
    <n v="1188"/>
    <s v="NW34"/>
    <d v="2024-04-02T00:00:00"/>
    <x v="3"/>
    <x v="3"/>
    <s v="Standard Class"/>
    <s v="HR-14830"/>
    <s v="OFF-ST-10000036"/>
    <n v="150"/>
    <n v="14"/>
    <n v="9.3333333333333339"/>
    <x v="5"/>
    <s v="Kitchen Organizers"/>
    <s v="INR"/>
    <n v="411001"/>
    <s v="INDIA"/>
    <x v="4"/>
    <m/>
    <n v="197.58"/>
    <n v="2"/>
    <n v="0.1"/>
    <n v="53.346600000000002"/>
    <n v="72.116700000000009"/>
    <n v="4"/>
  </r>
  <r>
    <n v="1189"/>
    <s v="SA61"/>
    <d v="2024-04-03T00:00:00"/>
    <x v="3"/>
    <x v="3"/>
    <s v="Second Class"/>
    <s v="BT-11530"/>
    <s v="OFF-AP-10004532"/>
    <n v="150"/>
    <n v="30"/>
    <n v="20"/>
    <x v="3"/>
    <s v="Car Wipers"/>
    <s v="INR"/>
    <n v="700085"/>
    <s v="INDIA"/>
    <x v="18"/>
    <s v="Easy Ship"/>
    <n v="81.92"/>
    <n v="4"/>
    <n v="0.1"/>
    <n v="22.118400000000001"/>
    <n v="14.9504"/>
    <n v="4"/>
  </r>
  <r>
    <n v="1190"/>
    <s v="OI44"/>
    <d v="2024-04-04T00:00:00"/>
    <x v="3"/>
    <x v="3"/>
    <s v="Second Class"/>
    <s v="BT-11530"/>
    <s v="TEC-PH-10004447"/>
    <n v="140"/>
    <n v="8"/>
    <n v="5.7142857142857144"/>
    <x v="6"/>
    <s v="Board Puzzles"/>
    <s v="INR"/>
    <n v="248009"/>
    <s v="INDIA"/>
    <x v="16"/>
    <m/>
    <n v="889.53599999999994"/>
    <n v="8"/>
    <n v="0.2"/>
    <n v="66.715199999999996"/>
    <n v="102.8526"/>
    <n v="3"/>
  </r>
  <r>
    <n v="1191"/>
    <s v="YB12"/>
    <d v="2024-04-05T00:00:00"/>
    <x v="3"/>
    <x v="3"/>
    <s v="Second Class"/>
    <s v="BT-11530"/>
    <s v="FUR-CH-10003973"/>
    <n v="130"/>
    <n v="22"/>
    <n v="16.923076923076923"/>
    <x v="7"/>
    <s v="Herbal Teas"/>
    <m/>
    <n v="815301"/>
    <s v="INDIA"/>
    <x v="0"/>
    <m/>
    <n v="892.22400000000005"/>
    <n v="3"/>
    <n v="0.2"/>
    <n v="89.222399999999993"/>
    <n v="267.66720000000004"/>
    <n v="1"/>
  </r>
  <r>
    <n v="1192"/>
    <s v="BH64"/>
    <d v="2024-04-06T00:00:00"/>
    <x v="3"/>
    <x v="3"/>
    <s v="Second Class"/>
    <s v="BT-11530"/>
    <s v="OFF-PA-10001970"/>
    <n v="240"/>
    <n v="14"/>
    <n v="5.833333333333333"/>
    <x v="8"/>
    <s v="Pet Brushes"/>
    <s v="INR"/>
    <n v="490006"/>
    <s v="INDIA"/>
    <x v="17"/>
    <m/>
    <n v="223.92"/>
    <n v="4"/>
    <n v="0.1"/>
    <n v="109.7208"/>
    <n v="28.549799999999998"/>
    <n v="2"/>
  </r>
  <r>
    <n v="1193"/>
    <s v="SW79"/>
    <d v="2024-04-07T00:00:00"/>
    <x v="3"/>
    <x v="3"/>
    <s v="Second Class"/>
    <s v="BT-11530"/>
    <s v="OFF-PA-10000682"/>
    <n v="180"/>
    <n v="14"/>
    <n v="7.7777777777777777"/>
    <x v="2"/>
    <s v="Women’s Skirts"/>
    <s v="INR"/>
    <n v="673310"/>
    <s v="INDIA"/>
    <x v="4"/>
    <m/>
    <n v="23.12"/>
    <n v="4"/>
    <n v="0.1"/>
    <n v="11.328799999999999"/>
    <n v="2.9478000000000004"/>
    <n v="4"/>
  </r>
  <r>
    <n v="1194"/>
    <s v="LW97"/>
    <d v="2024-04-08T00:00:00"/>
    <x v="3"/>
    <x v="3"/>
    <s v="Same Day"/>
    <s v="NG-18355"/>
    <s v="OFF-PA-10001937"/>
    <n v="210"/>
    <n v="20"/>
    <n v="9.5238095238095237"/>
    <x v="4"/>
    <s v="Smart Door Locks"/>
    <s v="INR"/>
    <n v="847304"/>
    <s v="INDIA"/>
    <x v="10"/>
    <s v="Easy Ship"/>
    <n v="15.552"/>
    <n v="3"/>
    <n v="0.2"/>
    <n v="5.4432"/>
    <n v="3.3695999999999997"/>
    <n v="3"/>
  </r>
  <r>
    <n v="1195"/>
    <s v="BC44"/>
    <d v="2024-04-09T00:00:00"/>
    <x v="3"/>
    <x v="3"/>
    <s v="Same Day"/>
    <s v="NG-18355"/>
    <s v="FUR-FU-10002268"/>
    <n v="170"/>
    <n v="24"/>
    <n v="14.117647058823529"/>
    <x v="0"/>
    <s v="Poetry Collections"/>
    <s v="INR"/>
    <n v="481661"/>
    <s v="INDIA"/>
    <x v="1"/>
    <m/>
    <n v="15.712"/>
    <n v="4"/>
    <n v="0.2"/>
    <n v="2.5531999999999999"/>
    <n v="3.2896999999999998"/>
    <n v="5"/>
  </r>
  <r>
    <n v="1196"/>
    <s v="PN76"/>
    <d v="2024-04-10T00:00:00"/>
    <x v="3"/>
    <x v="3"/>
    <s v="Same Day"/>
    <s v="NG-18355"/>
    <s v="OFF-ST-10001321"/>
    <n v="200"/>
    <n v="14"/>
    <n v="7.0000000000000009"/>
    <x v="1"/>
    <s v="Running Gear"/>
    <s v="INR"/>
    <n v="641038"/>
    <s v="INDIA"/>
    <x v="10"/>
    <m/>
    <n v="24.672000000000001"/>
    <n v="2"/>
    <n v="0.2"/>
    <n v="2.1587999999999998"/>
    <n v="11.256600000000001"/>
    <n v="1"/>
  </r>
  <r>
    <n v="1197"/>
    <s v="LS23"/>
    <d v="2024-04-11T00:00:00"/>
    <x v="3"/>
    <x v="3"/>
    <s v="Same Day"/>
    <s v="NG-18355"/>
    <s v="FUR-FU-10003394"/>
    <n v="220"/>
    <n v="18"/>
    <n v="8.1818181818181817"/>
    <x v="4"/>
    <s v="Smart Switches"/>
    <s v="INR"/>
    <n v="400069"/>
    <s v="INDIA"/>
    <x v="8"/>
    <m/>
    <n v="55.968000000000004"/>
    <n v="1"/>
    <n v="0.2"/>
    <n v="-2.0988000000000002"/>
    <n v="58.066800000000001"/>
    <n v="3"/>
  </r>
  <r>
    <n v="1198"/>
    <s v="QB24"/>
    <d v="2024-04-12T00:00:00"/>
    <x v="3"/>
    <x v="3"/>
    <s v="Standard Class"/>
    <s v="ZC-21910"/>
    <s v="TEC-AC-10001990"/>
    <n v="170"/>
    <n v="10"/>
    <n v="5.8823529411764701"/>
    <x v="2"/>
    <s v="Kids’ Footwear"/>
    <s v="INR"/>
    <n v="534202"/>
    <s v="INDIA"/>
    <x v="12"/>
    <m/>
    <n v="431.928"/>
    <n v="9"/>
    <n v="0.2"/>
    <n v="64.789199999999994"/>
    <n v="40.793199999999999"/>
    <n v="4"/>
  </r>
  <r>
    <n v="1199"/>
    <s v="WS50"/>
    <d v="2024-04-13T00:00:00"/>
    <x v="3"/>
    <x v="3"/>
    <s v="Standard Class"/>
    <s v="ZC-21910"/>
    <s v="FUR-CH-10004540"/>
    <n v="200"/>
    <n v="22"/>
    <n v="11"/>
    <x v="5"/>
    <s v="Kitchen Containers"/>
    <s v="INR"/>
    <n v="132001"/>
    <s v="INDIA"/>
    <x v="15"/>
    <m/>
    <n v="95.983999999999995"/>
    <n v="4"/>
    <n v="0.3"/>
    <n v="-4.1135999999999999"/>
    <n v="25.0244"/>
    <n v="2"/>
  </r>
  <r>
    <n v="1200"/>
    <s v="PZ98"/>
    <d v="2024-04-14T00:00:00"/>
    <x v="3"/>
    <x v="3"/>
    <s v="Standard Class"/>
    <s v="ZC-21910"/>
    <s v="OFF-BI-10004995"/>
    <n v="140"/>
    <n v="6"/>
    <n v="4.2857142857142856"/>
    <x v="3"/>
    <s v="Car Mirrors"/>
    <s v="INR"/>
    <n v="160022"/>
    <s v="INDIA"/>
    <x v="3"/>
    <s v="Easy Ship"/>
    <n v="1088.7919999999999"/>
    <n v="4"/>
    <n v="0.8"/>
    <n v="-1850.9464"/>
    <n v="734.93460000000005"/>
    <n v="3"/>
  </r>
  <r>
    <n v="1201"/>
    <s v="JL56"/>
    <d v="2024-04-15T00:00:00"/>
    <x v="3"/>
    <x v="3"/>
    <s v="Standard Class"/>
    <s v="LS-16945"/>
    <s v="FUR-CH-10002335"/>
    <n v="180"/>
    <n v="16"/>
    <n v="8.8888888888888893"/>
    <x v="6"/>
    <s v="Play Kitchens"/>
    <s v="INR"/>
    <n v="400028"/>
    <s v="INDIA"/>
    <x v="3"/>
    <m/>
    <n v="544.00800000000004"/>
    <n v="3"/>
    <n v="0.2"/>
    <n v="40.800600000000003"/>
    <n v="167.73580000000001"/>
    <n v="4"/>
  </r>
  <r>
    <n v="1202"/>
    <s v="BG20"/>
    <d v="2024-04-16T00:00:00"/>
    <x v="3"/>
    <x v="3"/>
    <s v="Standard Class"/>
    <s v="LS-16945"/>
    <s v="OFF-BI-10004967"/>
    <n v="130"/>
    <n v="30"/>
    <n v="23.076923076923077"/>
    <x v="7"/>
    <s v="Protein Powders"/>
    <s v="INR"/>
    <n v="332311"/>
    <s v="INDIA"/>
    <x v="4"/>
    <s v="Easy Ship"/>
    <n v="1.8720000000000001"/>
    <n v="3"/>
    <n v="0.7"/>
    <n v="-1.4352"/>
    <n v="1.1024"/>
    <n v="1"/>
  </r>
  <r>
    <n v="1203"/>
    <s v="TZ39"/>
    <d v="2024-04-17T00:00:00"/>
    <x v="3"/>
    <x v="3"/>
    <s v="Standard Class"/>
    <s v="LS-16945"/>
    <s v="FUR-CH-10002331"/>
    <n v="170"/>
    <n v="30"/>
    <n v="17.647058823529413"/>
    <x v="8"/>
    <s v="Pet Chew Toys"/>
    <s v="INR"/>
    <n v="380054"/>
    <s v="INDIA"/>
    <x v="9"/>
    <m/>
    <n v="854.35199999999998"/>
    <n v="3"/>
    <n v="0.2"/>
    <n v="10.679399999999999"/>
    <n v="281.2242"/>
    <n v="1"/>
  </r>
  <r>
    <n v="1204"/>
    <s v="VU64"/>
    <d v="2024-04-18T00:00:00"/>
    <x v="3"/>
    <x v="3"/>
    <s v="Standard Class"/>
    <s v="LS-16945"/>
    <s v="OFF-ST-10002292"/>
    <n v="230"/>
    <n v="16"/>
    <n v="6.9565217391304346"/>
    <x v="2"/>
    <s v="Men’s Watches"/>
    <s v="INR"/>
    <n v="641027"/>
    <s v="INDIA"/>
    <x v="7"/>
    <s v="Easy Ship"/>
    <n v="593.56799999999998"/>
    <n v="2"/>
    <n v="0.2"/>
    <n v="0.1"/>
    <n v="296.73399999999998"/>
    <n v="4"/>
  </r>
  <r>
    <n v="1205"/>
    <s v="SR30"/>
    <d v="2024-04-19T00:00:00"/>
    <x v="3"/>
    <x v="3"/>
    <s v="Standard Class"/>
    <s v="LS-16945"/>
    <s v="OFF-ST-10000689"/>
    <n v="230"/>
    <n v="14"/>
    <n v="6.0869565217391308"/>
    <x v="4"/>
    <s v="Smart Displays"/>
    <s v="INR"/>
    <n v="231219"/>
    <s v="INDIA"/>
    <x v="10"/>
    <s v="Easy Ship"/>
    <n v="338.04"/>
    <n v="3"/>
    <n v="0.2"/>
    <n v="-33.804000000000002"/>
    <n v="123.94800000000002"/>
    <n v="1"/>
  </r>
  <r>
    <n v="1206"/>
    <s v="DW92"/>
    <d v="2024-04-20T00:00:00"/>
    <x v="3"/>
    <x v="3"/>
    <s v="First Class"/>
    <s v="LH-16750"/>
    <s v="TEC-PH-10002660"/>
    <n v="180"/>
    <n v="12"/>
    <n v="6.666666666666667"/>
    <x v="0"/>
    <s v="Children’s Novels"/>
    <s v="INR"/>
    <n v="577201"/>
    <s v="INDIA"/>
    <x v="6"/>
    <m/>
    <n v="271.95999999999998"/>
    <n v="5"/>
    <n v="0.2"/>
    <n v="16.997499999999999"/>
    <n v="50.992499999999993"/>
    <n v="3"/>
  </r>
  <r>
    <n v="1207"/>
    <s v="OR28"/>
    <d v="2024-04-21T00:00:00"/>
    <x v="3"/>
    <x v="3"/>
    <s v="Second Class"/>
    <s v="SW-20755"/>
    <s v="OFF-ST-10004634"/>
    <n v="160"/>
    <n v="14"/>
    <n v="8.75"/>
    <x v="1"/>
    <s v="Weight Training"/>
    <s v="INR"/>
    <n v="500090"/>
    <s v="INDIA"/>
    <x v="18"/>
    <m/>
    <n v="11.21"/>
    <n v="1"/>
    <n v="0.1"/>
    <n v="3.363"/>
    <n v="7.8470000000000013"/>
    <n v="1"/>
  </r>
  <r>
    <n v="1208"/>
    <s v="XV73"/>
    <d v="2024-04-22T00:00:00"/>
    <x v="3"/>
    <x v="3"/>
    <s v="Second Class"/>
    <s v="SW-20755"/>
    <s v="OFF-BI-10002160"/>
    <n v="200"/>
    <n v="18"/>
    <n v="9"/>
    <x v="4"/>
    <s v="Smart Remotes"/>
    <s v="INR"/>
    <n v="401209"/>
    <s v="INDIA"/>
    <x v="10"/>
    <m/>
    <n v="9.1440000000000001"/>
    <n v="3"/>
    <n v="0.2"/>
    <n v="3.2004000000000001"/>
    <n v="1.9812000000000001"/>
    <n v="5"/>
  </r>
  <r>
    <n v="1209"/>
    <s v="CQ67"/>
    <d v="2024-04-23T00:00:00"/>
    <x v="3"/>
    <x v="3"/>
    <s v="Second Class"/>
    <s v="SW-20755"/>
    <s v="OFF-FA-10002988"/>
    <n v="180"/>
    <n v="16"/>
    <n v="8.8888888888888893"/>
    <x v="2"/>
    <s v="Women’s Jewelry"/>
    <s v="INR"/>
    <n v="493118"/>
    <s v="INDIA"/>
    <x v="0"/>
    <m/>
    <n v="14.07"/>
    <n v="7"/>
    <n v="0.1"/>
    <n v="6.8943000000000003"/>
    <n v="1.0250999999999999"/>
    <n v="2"/>
  </r>
  <r>
    <n v="1210"/>
    <s v="LF53"/>
    <d v="2024-04-24T00:00:00"/>
    <x v="3"/>
    <x v="3"/>
    <s v="Second Class"/>
    <s v="SW-20755"/>
    <s v="OFF-AR-10004999"/>
    <n v="250"/>
    <n v="24"/>
    <n v="9.6"/>
    <x v="5"/>
    <s v="Kitchen Trays"/>
    <s v="INR"/>
    <n v="500032"/>
    <s v="INDIA"/>
    <x v="6"/>
    <m/>
    <n v="41.86"/>
    <n v="7"/>
    <n v="0.1"/>
    <n v="10.465"/>
    <n v="4.4850000000000003"/>
    <n v="3"/>
  </r>
  <r>
    <n v="1211"/>
    <s v="CZ78"/>
    <d v="2024-04-25T00:00:00"/>
    <x v="3"/>
    <x v="3"/>
    <s v="Second Class"/>
    <s v="SW-20755"/>
    <s v="OFF-BI-10001031"/>
    <n v="210"/>
    <n v="26"/>
    <n v="12.380952380952381"/>
    <x v="3"/>
    <s v="Car Covers"/>
    <s v="INR"/>
    <n v="490001"/>
    <s v="INDIA"/>
    <x v="1"/>
    <m/>
    <n v="8.5440000000000005"/>
    <n v="2"/>
    <n v="0.2"/>
    <n v="2.8835999999999999"/>
    <n v="2.8302000000000005"/>
    <n v="1"/>
  </r>
  <r>
    <n v="1212"/>
    <s v="MU26"/>
    <d v="2024-04-26T00:00:00"/>
    <x v="3"/>
    <x v="3"/>
    <s v="Second Class"/>
    <s v="SW-20755"/>
    <s v="FUR-BO-10004695"/>
    <n v="200"/>
    <n v="16"/>
    <n v="8"/>
    <x v="6"/>
    <s v="Learning Games"/>
    <s v="INR"/>
    <n v="573201"/>
    <s v="INDIA"/>
    <x v="4"/>
    <m/>
    <n v="579.13599999999997"/>
    <n v="4"/>
    <n v="0.2"/>
    <n v="21.717600000000001"/>
    <n v="139.3546"/>
    <n v="1"/>
  </r>
  <r>
    <n v="1213"/>
    <s v="LL75"/>
    <d v="2024-04-27T00:00:00"/>
    <x v="3"/>
    <x v="3"/>
    <s v="Standard Class"/>
    <s v="SP-20620"/>
    <s v="FUR-CH-10004860"/>
    <n v="250"/>
    <n v="30"/>
    <n v="12"/>
    <x v="7"/>
    <s v="Snacks"/>
    <s v="INR"/>
    <n v="226010"/>
    <s v="INDIA"/>
    <x v="10"/>
    <s v="Easy Ship"/>
    <n v="141.37200000000001"/>
    <n v="2"/>
    <n v="0.3"/>
    <n v="-48.470399999999998"/>
    <n v="94.921199999999999"/>
    <n v="3"/>
  </r>
  <r>
    <n v="1214"/>
    <s v="TL54"/>
    <d v="2024-04-28T00:00:00"/>
    <x v="3"/>
    <x v="3"/>
    <s v="Standard Class"/>
    <s v="SP-20620"/>
    <s v="OFF-BI-10002432"/>
    <n v="140"/>
    <n v="6"/>
    <n v="4.2857142857142856"/>
    <x v="8"/>
    <s v="Pet Bowls"/>
    <m/>
    <n v="500001"/>
    <s v="INDIA"/>
    <x v="0"/>
    <s v="Easy Ship"/>
    <n v="3.036"/>
    <n v="2"/>
    <n v="0.7"/>
    <n v="-2.3275999999999999"/>
    <n v="2.6818"/>
    <n v="3"/>
  </r>
  <r>
    <n v="1215"/>
    <s v="NX48"/>
    <d v="2024-04-29T00:00:00"/>
    <x v="3"/>
    <x v="3"/>
    <s v="Standard Class"/>
    <s v="SP-20620"/>
    <s v="OFF-BI-10000069"/>
    <n v="230"/>
    <n v="28"/>
    <n v="12.173913043478262"/>
    <x v="2"/>
    <s v="Men’s Shirts"/>
    <m/>
    <n v="500001"/>
    <s v="INDIA"/>
    <x v="5"/>
    <m/>
    <n v="4.5030000000000001"/>
    <n v="1"/>
    <n v="0.7"/>
    <n v="-3.6023999999999998"/>
    <n v="8.1053999999999995"/>
    <n v="2"/>
  </r>
  <r>
    <n v="1216"/>
    <s v="BG72"/>
    <d v="2024-04-30T00:00:00"/>
    <x v="3"/>
    <x v="3"/>
    <s v="Standard Class"/>
    <s v="SP-20620"/>
    <s v="OFF-AR-10003602"/>
    <n v="100"/>
    <n v="10"/>
    <n v="10"/>
    <x v="4"/>
    <s v="Smart Routers"/>
    <s v="INR"/>
    <n v="801503"/>
    <s v="INDIA"/>
    <x v="3"/>
    <s v="Easy Ship"/>
    <n v="4.6719999999999997"/>
    <n v="1"/>
    <n v="0.2"/>
    <n v="1.5768"/>
    <n v="3.0951999999999997"/>
    <n v="4"/>
  </r>
  <r>
    <n v="1217"/>
    <s v="OW43"/>
    <d v="2024-05-01T00:00:00"/>
    <x v="4"/>
    <x v="3"/>
    <s v="Standard Class"/>
    <s v="SP-20620"/>
    <s v="TEC-AC-10004469"/>
    <n v="240"/>
    <n v="26"/>
    <n v="10.833333333333334"/>
    <x v="0"/>
    <s v="Children’s Comics"/>
    <s v="INR"/>
    <n v="273164"/>
    <s v="INDIA"/>
    <x v="4"/>
    <m/>
    <n v="95.88"/>
    <n v="3"/>
    <n v="0.2"/>
    <n v="28.763999999999999"/>
    <n v="22.372"/>
    <n v="4"/>
  </r>
  <r>
    <n v="1218"/>
    <s v="UC89"/>
    <d v="2024-05-02T00:00:00"/>
    <x v="4"/>
    <x v="3"/>
    <s v="Standard Class"/>
    <s v="SP-20620"/>
    <s v="FUR-FU-10001867"/>
    <n v="200"/>
    <n v="6"/>
    <n v="3"/>
    <x v="1"/>
    <s v="Table Tennis Gear"/>
    <s v="INR"/>
    <n v="243502"/>
    <s v="INDIA"/>
    <x v="1"/>
    <m/>
    <n v="17.024000000000001"/>
    <n v="2"/>
    <n v="0.2"/>
    <n v="1.7023999999999999"/>
    <n v="7.6608000000000001"/>
    <n v="1"/>
  </r>
  <r>
    <n v="1219"/>
    <s v="HT72"/>
    <d v="2024-05-03T00:00:00"/>
    <x v="4"/>
    <x v="3"/>
    <s v="Standard Class"/>
    <s v="SP-20620"/>
    <s v="TEC-AC-10003174"/>
    <n v="200"/>
    <n v="14"/>
    <n v="7.0000000000000009"/>
    <x v="4"/>
    <s v="Smart Plugs"/>
    <s v="INR"/>
    <n v="500072"/>
    <s v="INDIA"/>
    <x v="18"/>
    <s v="Easy Ship"/>
    <n v="258.69600000000003"/>
    <n v="3"/>
    <n v="0.2"/>
    <n v="64.674000000000007"/>
    <n v="64.674000000000007"/>
    <n v="4"/>
  </r>
  <r>
    <n v="1220"/>
    <s v="CC92"/>
    <d v="2024-05-04T00:00:00"/>
    <x v="4"/>
    <x v="3"/>
    <s v="Standard Class"/>
    <s v="SP-20620"/>
    <s v="TEC-PH-10002200"/>
    <n v="210"/>
    <n v="24"/>
    <n v="11.428571428571429"/>
    <x v="2"/>
    <s v="Women’s Flats"/>
    <s v="INR"/>
    <n v="500072"/>
    <s v="INDIA"/>
    <x v="18"/>
    <m/>
    <n v="1931.9580000000001"/>
    <n v="7"/>
    <n v="0.4"/>
    <n v="-386.39159999999998"/>
    <n v="331.19279999999998"/>
    <n v="1"/>
  </r>
  <r>
    <n v="1221"/>
    <s v="UP26"/>
    <d v="2024-05-05T00:00:00"/>
    <x v="4"/>
    <x v="3"/>
    <s v="Standard Class"/>
    <s v="BF-11170"/>
    <s v="OFF-ST-10000107"/>
    <n v="200"/>
    <n v="26"/>
    <n v="13"/>
    <x v="5"/>
    <s v="Kitchen Mats"/>
    <s v="INR"/>
    <n v="768106"/>
    <s v="INDIA"/>
    <x v="9"/>
    <s v="Easy Ship"/>
    <n v="249.75"/>
    <n v="9"/>
    <n v="0.1"/>
    <n v="44.954999999999998"/>
    <n v="22.755000000000003"/>
    <n v="4"/>
  </r>
  <r>
    <n v="1222"/>
    <s v="IJ55"/>
    <d v="2024-05-06T00:00:00"/>
    <x v="4"/>
    <x v="3"/>
    <s v="Standard Class"/>
    <s v="BF-11170"/>
    <s v="TEC-PH-10000439"/>
    <n v="180"/>
    <n v="28"/>
    <n v="15.555555555555555"/>
    <x v="3"/>
    <s v="Car Oils"/>
    <s v="INR"/>
    <n v="768106"/>
    <s v="INDIA"/>
    <x v="15"/>
    <s v="Easy Ship"/>
    <n v="255.93600000000001"/>
    <n v="8"/>
    <n v="0.2"/>
    <n v="28.7928"/>
    <n v="28.392900000000001"/>
    <n v="3"/>
  </r>
  <r>
    <n v="1223"/>
    <s v="EW37"/>
    <d v="2024-05-07T00:00:00"/>
    <x v="4"/>
    <x v="3"/>
    <s v="First Class"/>
    <s v="BM-11140"/>
    <s v="FUR-FU-10001602"/>
    <n v="210"/>
    <n v="24"/>
    <n v="11.428571428571429"/>
    <x v="6"/>
    <s v="Playhouses"/>
    <s v="INR"/>
    <n v="500008"/>
    <s v="INDIA"/>
    <x v="15"/>
    <m/>
    <n v="113.79"/>
    <n v="3"/>
    <n v="0.1"/>
    <n v="20.482199999999999"/>
    <n v="31.102600000000006"/>
    <n v="4"/>
  </r>
  <r>
    <n v="1224"/>
    <s v="BD49"/>
    <d v="2024-05-08T00:00:00"/>
    <x v="4"/>
    <x v="3"/>
    <s v="First Class"/>
    <s v="BM-11140"/>
    <s v="TEC-AC-10001432"/>
    <n v="120"/>
    <n v="28"/>
    <n v="23.333333333333332"/>
    <x v="7"/>
    <s v="Energy Bars"/>
    <s v="INR"/>
    <n v="560045"/>
    <s v="INDIA"/>
    <x v="13"/>
    <s v="Easy Ship"/>
    <n v="78.150000000000006"/>
    <n v="1"/>
    <n v="0.1"/>
    <n v="34.386000000000003"/>
    <n v="43.764000000000003"/>
    <n v="2"/>
  </r>
  <r>
    <n v="1225"/>
    <s v="PD47"/>
    <d v="2024-05-09T00:00:00"/>
    <x v="4"/>
    <x v="3"/>
    <s v="First Class"/>
    <s v="BM-11140"/>
    <s v="OFF-BI-10004656"/>
    <n v="150"/>
    <n v="8"/>
    <n v="5.3333333333333339"/>
    <x v="8"/>
    <s v="Pet Collars"/>
    <s v="INR"/>
    <n v="560045"/>
    <s v="INDIA"/>
    <x v="0"/>
    <m/>
    <n v="1.728"/>
    <n v="1"/>
    <n v="0.2"/>
    <n v="0.6048"/>
    <n v="1.1232"/>
    <n v="5"/>
  </r>
  <r>
    <n v="1226"/>
    <s v="JH35"/>
    <d v="2024-05-10T00:00:00"/>
    <x v="4"/>
    <x v="3"/>
    <s v="First Class"/>
    <s v="BM-11140"/>
    <s v="OFF-PA-10001685"/>
    <n v="230"/>
    <n v="14"/>
    <n v="6.0869565217391308"/>
    <x v="2"/>
    <s v="Kids’ Accessories"/>
    <s v="INR"/>
    <n v="502032"/>
    <s v="INDIA"/>
    <x v="9"/>
    <s v="Easy Ship"/>
    <n v="40.56"/>
    <n v="4"/>
    <n v="0.1"/>
    <n v="19.874400000000001"/>
    <n v="5.1714000000000002"/>
    <n v="1"/>
  </r>
  <r>
    <n v="1227"/>
    <s v="IS71"/>
    <d v="2024-05-11T00:00:00"/>
    <x v="4"/>
    <x v="3"/>
    <s v="First Class"/>
    <s v="BM-11140"/>
    <s v="OFF-ST-10001418"/>
    <n v="190"/>
    <n v="16"/>
    <n v="8.4210526315789469"/>
    <x v="4"/>
    <s v="Smart TVs"/>
    <s v="INR"/>
    <n v="390008"/>
    <s v="INDIA"/>
    <x v="19"/>
    <s v="Easy Ship"/>
    <n v="182.94"/>
    <n v="3"/>
    <n v="0.1"/>
    <n v="3.6587999999999998"/>
    <n v="59.760399999999997"/>
    <n v="4"/>
  </r>
  <r>
    <n v="1228"/>
    <s v="PX97"/>
    <d v="2024-05-12T00:00:00"/>
    <x v="4"/>
    <x v="3"/>
    <s v="First Class"/>
    <s v="BM-11140"/>
    <s v="OFF-ST-10000676"/>
    <n v="230"/>
    <n v="8"/>
    <n v="3.4782608695652173"/>
    <x v="0"/>
    <s v="Children’s Poetry"/>
    <s v="INR"/>
    <n v="390008"/>
    <s v="INDIA"/>
    <x v="3"/>
    <m/>
    <n v="193.86"/>
    <n v="2"/>
    <n v="0.1"/>
    <n v="11.631600000000001"/>
    <n v="91.114200000000011"/>
    <n v="5"/>
  </r>
  <r>
    <n v="1229"/>
    <s v="KW35"/>
    <d v="2024-05-13T00:00:00"/>
    <x v="4"/>
    <x v="3"/>
    <s v="Standard Class"/>
    <s v="ZC-21910"/>
    <s v="OFF-EN-10001219"/>
    <n v="110"/>
    <n v="6"/>
    <n v="5.4545454545454541"/>
    <x v="1"/>
    <s v="Swimming Gear"/>
    <s v="INR"/>
    <n v="390008"/>
    <s v="INDIA"/>
    <x v="4"/>
    <m/>
    <n v="15.28"/>
    <n v="2"/>
    <n v="0.1"/>
    <n v="7.4871999999999996"/>
    <n v="3.8963999999999999"/>
    <n v="5"/>
  </r>
  <r>
    <n v="1230"/>
    <s v="PD60"/>
    <d v="2024-05-14T00:00:00"/>
    <x v="4"/>
    <x v="3"/>
    <s v="Standard Class"/>
    <s v="ZC-21910"/>
    <s v="FUR-FU-10001424"/>
    <n v="230"/>
    <n v="28"/>
    <n v="12.173913043478262"/>
    <x v="4"/>
    <s v="Smart Watches"/>
    <s v="INR"/>
    <n v="390008"/>
    <s v="INDIA"/>
    <x v="1"/>
    <m/>
    <n v="8.73"/>
    <n v="1"/>
    <n v="0.1"/>
    <n v="2.9681999999999999"/>
    <n v="5.7618000000000009"/>
    <n v="2"/>
  </r>
  <r>
    <n v="1231"/>
    <s v="JT23"/>
    <d v="2024-05-15T00:00:00"/>
    <x v="4"/>
    <x v="3"/>
    <s v="Standard Class"/>
    <s v="ZC-21910"/>
    <s v="OFF-AR-10001022"/>
    <n v="120"/>
    <n v="10"/>
    <n v="8.3333333333333321"/>
    <x v="2"/>
    <s v="Men’s Belts"/>
    <s v="INR"/>
    <n v="600016"/>
    <s v="INDIA"/>
    <x v="17"/>
    <s v="Easy Ship"/>
    <n v="5.68"/>
    <n v="2"/>
    <n v="0.1"/>
    <n v="1.7607999999999999"/>
    <n v="1.9596"/>
    <n v="2"/>
  </r>
  <r>
    <n v="1232"/>
    <s v="DB68"/>
    <d v="2024-05-16T00:00:00"/>
    <x v="4"/>
    <x v="3"/>
    <s v="Second Class"/>
    <s v="KT-16480"/>
    <s v="OFF-AR-10000369"/>
    <n v="240"/>
    <n v="30"/>
    <n v="12.5"/>
    <x v="5"/>
    <s v="Kitchen Towels"/>
    <s v="INR"/>
    <n v="400104"/>
    <s v="INDIA"/>
    <x v="14"/>
    <m/>
    <n v="2.78"/>
    <n v="2"/>
    <n v="0.1"/>
    <n v="0.7228"/>
    <n v="1.0286"/>
    <n v="1"/>
  </r>
  <r>
    <n v="1233"/>
    <s v="ZH76"/>
    <d v="2024-05-17T00:00:00"/>
    <x v="4"/>
    <x v="3"/>
    <s v="Second Class"/>
    <s v="KT-16480"/>
    <s v="OFF-EN-10003055"/>
    <n v="140"/>
    <n v="26"/>
    <n v="18.571428571428573"/>
    <x v="3"/>
    <s v="Car Batteries"/>
    <m/>
    <n v="502032"/>
    <s v="INDIA"/>
    <x v="11"/>
    <s v="Easy Ship"/>
    <n v="79.959999999999994"/>
    <n v="2"/>
    <n v="0.1"/>
    <n v="35.981999999999999"/>
    <n v="21.988999999999997"/>
    <n v="3"/>
  </r>
  <r>
    <n v="1234"/>
    <s v="ZN34"/>
    <d v="2024-05-18T00:00:00"/>
    <x v="4"/>
    <x v="3"/>
    <s v="First Class"/>
    <s v="BG-11695"/>
    <s v="TEC-CO-10001046"/>
    <n v="110"/>
    <n v="12"/>
    <n v="10.909090909090908"/>
    <x v="6"/>
    <s v="Board Games"/>
    <s v="INR"/>
    <n v="625014"/>
    <s v="INDIA"/>
    <x v="7"/>
    <s v="Easy Ship"/>
    <n v="839.98800000000006"/>
    <n v="2"/>
    <n v="0.4"/>
    <n v="69.998999999999995"/>
    <n v="384.99450000000002"/>
    <n v="1"/>
  </r>
  <r>
    <n v="1235"/>
    <s v="CQ13"/>
    <d v="2024-05-19T00:00:00"/>
    <x v="4"/>
    <x v="3"/>
    <s v="Same Day"/>
    <s v="PG-18820"/>
    <s v="FUR-FU-10000076"/>
    <n v="150"/>
    <n v="28"/>
    <n v="18.666666666666668"/>
    <x v="7"/>
    <s v="Packaged Foods"/>
    <s v="INR"/>
    <n v="625014"/>
    <s v="INDIA"/>
    <x v="3"/>
    <m/>
    <n v="47.951999999999998"/>
    <n v="3"/>
    <n v="0.2"/>
    <n v="13.786199999999999"/>
    <n v="11.388599999999999"/>
    <n v="5"/>
  </r>
  <r>
    <n v="1236"/>
    <s v="YI33"/>
    <d v="2024-05-20T00:00:00"/>
    <x v="4"/>
    <x v="3"/>
    <s v="Same Day"/>
    <s v="PG-18820"/>
    <s v="OFF-BI-10003719"/>
    <n v="170"/>
    <n v="6"/>
    <n v="3.5294117647058822"/>
    <x v="8"/>
    <s v="Pet Grooming Kits"/>
    <s v="INR"/>
    <n v="440013"/>
    <s v="INDIA"/>
    <x v="16"/>
    <m/>
    <n v="37.424999999999997"/>
    <n v="5"/>
    <n v="0.7"/>
    <n v="-29.94"/>
    <n v="13.472999999999999"/>
    <n v="5"/>
  </r>
  <r>
    <n v="1237"/>
    <s v="DG93"/>
    <d v="2024-05-21T00:00:00"/>
    <x v="4"/>
    <x v="3"/>
    <s v="Same Day"/>
    <s v="PG-18820"/>
    <s v="FUR-FU-10003268"/>
    <n v="230"/>
    <n v="16"/>
    <n v="6.9565217391304346"/>
    <x v="2"/>
    <s v="Women’s Sarees"/>
    <s v="INR"/>
    <n v="491001"/>
    <s v="INDIA"/>
    <x v="9"/>
    <m/>
    <n v="63.968000000000004"/>
    <n v="2"/>
    <n v="0.2"/>
    <n v="0.1"/>
    <n v="31.934000000000001"/>
    <n v="1"/>
  </r>
  <r>
    <n v="1238"/>
    <s v="EX42"/>
    <d v="2024-05-22T00:00:00"/>
    <x v="4"/>
    <x v="3"/>
    <s v="Same Day"/>
    <s v="PG-18820"/>
    <s v="FUR-FU-10003553"/>
    <n v="180"/>
    <n v="12"/>
    <n v="6.666666666666667"/>
    <x v="4"/>
    <s v="Smart Tablets"/>
    <s v="INR"/>
    <n v="560008"/>
    <s v="INDIA"/>
    <x v="17"/>
    <m/>
    <n v="165.048"/>
    <n v="3"/>
    <n v="0.2"/>
    <n v="41.262"/>
    <n v="41.262"/>
    <n v="4"/>
  </r>
  <r>
    <n v="1239"/>
    <s v="PP10"/>
    <d v="2024-05-23T00:00:00"/>
    <x v="4"/>
    <x v="3"/>
    <s v="Standard Class"/>
    <s v="GM-14680"/>
    <s v="FUR-FU-10003691"/>
    <n v="240"/>
    <n v="6"/>
    <n v="2.5"/>
    <x v="0"/>
    <s v="Children’s Atlases"/>
    <s v="INR"/>
    <n v="682020"/>
    <s v="INDIA"/>
    <x v="1"/>
    <m/>
    <n v="12.35"/>
    <n v="1"/>
    <n v="0.1"/>
    <n v="5.4340000000000002"/>
    <n v="6.9159999999999995"/>
    <n v="4"/>
  </r>
  <r>
    <n v="1240"/>
    <s v="IY71"/>
    <d v="2024-05-24T00:00:00"/>
    <x v="4"/>
    <x v="3"/>
    <s v="Standard Class"/>
    <s v="GM-14680"/>
    <s v="OFF-AR-10003903"/>
    <n v="100"/>
    <n v="18"/>
    <n v="18"/>
    <x v="1"/>
    <s v="Handball Gear"/>
    <s v="INR"/>
    <n v="122011"/>
    <s v="INDIA"/>
    <x v="10"/>
    <m/>
    <n v="40.97"/>
    <n v="1"/>
    <n v="0.1"/>
    <n v="10.652200000000001"/>
    <n v="30.317799999999998"/>
    <n v="2"/>
  </r>
  <r>
    <n v="1241"/>
    <s v="RL12"/>
    <d v="2024-05-25T00:00:00"/>
    <x v="4"/>
    <x v="3"/>
    <s v="Standard Class"/>
    <s v="GM-14680"/>
    <s v="OFF-FA-10004854"/>
    <n v="200"/>
    <n v="10"/>
    <n v="5"/>
    <x v="4"/>
    <s v="Smart VR Headsets"/>
    <s v="INR"/>
    <n v="110081"/>
    <s v="INDIA"/>
    <x v="14"/>
    <m/>
    <n v="22.96"/>
    <n v="2"/>
    <n v="0.1"/>
    <n v="10.7912"/>
    <n v="6.0844000000000005"/>
    <n v="4"/>
  </r>
  <r>
    <n v="1242"/>
    <s v="BQ26"/>
    <d v="2024-05-26T00:00:00"/>
    <x v="4"/>
    <x v="3"/>
    <s v="Standard Class"/>
    <s v="MO-17800"/>
    <s v="TEC-PH-10003442"/>
    <n v="210"/>
    <n v="16"/>
    <n v="7.6190476190476195"/>
    <x v="2"/>
    <s v="Women’s Tunics"/>
    <s v="INR"/>
    <n v="560068"/>
    <s v="INDIA"/>
    <x v="13"/>
    <m/>
    <n v="22"/>
    <n v="4"/>
    <n v="0.1"/>
    <n v="5.5"/>
    <n v="4.125"/>
    <n v="2"/>
  </r>
  <r>
    <n v="1243"/>
    <s v="QE85"/>
    <d v="2024-05-27T00:00:00"/>
    <x v="4"/>
    <x v="3"/>
    <s v="Standard Class"/>
    <s v="PG-18820"/>
    <s v="OFF-BI-10004519"/>
    <n v="130"/>
    <n v="6"/>
    <n v="4.6153846153846159"/>
    <x v="5"/>
    <s v="Kitchen Blenders"/>
    <s v="INR"/>
    <n v="400012"/>
    <s v="INDIA"/>
    <x v="3"/>
    <s v="Easy Ship"/>
    <n v="398.35199999999998"/>
    <n v="3"/>
    <n v="0.2"/>
    <n v="124.485"/>
    <n v="91.288999999999987"/>
    <n v="1"/>
  </r>
  <r>
    <n v="1244"/>
    <s v="SL45"/>
    <d v="2024-05-28T00:00:00"/>
    <x v="4"/>
    <x v="3"/>
    <s v="Standard Class"/>
    <s v="PG-18820"/>
    <s v="OFF-FA-10000304"/>
    <n v="220"/>
    <n v="24"/>
    <n v="10.909090909090908"/>
    <x v="3"/>
    <s v="Car Radiators"/>
    <s v="INR"/>
    <n v="144001"/>
    <s v="INDIA"/>
    <x v="4"/>
    <m/>
    <n v="8.7200000000000006"/>
    <n v="4"/>
    <n v="0.1"/>
    <n v="3.5752000000000002"/>
    <n v="1.2862"/>
    <n v="4"/>
  </r>
  <r>
    <n v="1245"/>
    <s v="EL20"/>
    <d v="2024-05-29T00:00:00"/>
    <x v="4"/>
    <x v="3"/>
    <s v="Standard Class"/>
    <s v="EJ-14155"/>
    <s v="OFF-EN-10004955"/>
    <n v="170"/>
    <n v="26"/>
    <n v="15.294117647058824"/>
    <x v="6"/>
    <s v="Logic Games"/>
    <s v="INR"/>
    <n v="505212"/>
    <s v="INDIA"/>
    <x v="13"/>
    <m/>
    <n v="48.69"/>
    <n v="9"/>
    <n v="0.1"/>
    <n v="23.8581"/>
    <n v="2.7590999999999997"/>
    <n v="3"/>
  </r>
  <r>
    <n v="1246"/>
    <s v="KQ76"/>
    <d v="2024-05-30T00:00:00"/>
    <x v="4"/>
    <x v="3"/>
    <s v="Second Class"/>
    <s v="NP-18700"/>
    <s v="FUR-TA-10004619"/>
    <n v="240"/>
    <n v="18"/>
    <n v="7.5"/>
    <x v="7"/>
    <s v="Organic Cereals"/>
    <s v="INR"/>
    <n v="492001"/>
    <s v="INDIA"/>
    <x v="3"/>
    <m/>
    <n v="764.68799999999999"/>
    <n v="6"/>
    <n v="0.2"/>
    <n v="95.585999999999999"/>
    <n v="111.517"/>
    <n v="5"/>
  </r>
  <r>
    <n v="1247"/>
    <s v="FZ97"/>
    <d v="2024-05-31T00:00:00"/>
    <x v="4"/>
    <x v="3"/>
    <s v="Second Class"/>
    <s v="NP-18700"/>
    <s v="FUR-TA-10003473"/>
    <n v="240"/>
    <n v="8"/>
    <n v="3.3333333333333335"/>
    <x v="8"/>
    <s v="Pet First Aid Kits"/>
    <s v="INR"/>
    <n v="400086"/>
    <s v="INDIA"/>
    <x v="2"/>
    <m/>
    <n v="3610.848"/>
    <n v="12"/>
    <n v="0.2"/>
    <n v="135.4068"/>
    <n v="289.62009999999998"/>
    <n v="3"/>
  </r>
  <r>
    <n v="1248"/>
    <s v="UC47"/>
    <d v="2024-06-01T00:00:00"/>
    <x v="5"/>
    <x v="3"/>
    <s v="Second Class"/>
    <s v="NP-18700"/>
    <s v="FUR-BO-10004467"/>
    <n v="130"/>
    <n v="6"/>
    <n v="4.6153846153846159"/>
    <x v="2"/>
    <s v="Men’s Tracksuits"/>
    <s v="INR"/>
    <n v="524002"/>
    <s v="INDIA"/>
    <x v="9"/>
    <m/>
    <n v="254.97450000000001"/>
    <n v="3"/>
    <n v="0.15"/>
    <n v="11.998799999999999"/>
    <n v="80.991900000000001"/>
    <n v="2"/>
  </r>
  <r>
    <n v="1249"/>
    <s v="SX10"/>
    <d v="2024-06-02T00:00:00"/>
    <x v="5"/>
    <x v="3"/>
    <s v="Standard Class"/>
    <s v="DJ-13630"/>
    <s v="OFF-AR-10002280"/>
    <n v="180"/>
    <n v="16"/>
    <n v="8.8888888888888893"/>
    <x v="4"/>
    <s v="Smart Earbuds"/>
    <s v="INR"/>
    <n v="431005"/>
    <s v="INDIA"/>
    <x v="15"/>
    <m/>
    <n v="38.82"/>
    <n v="6"/>
    <n v="0.1"/>
    <n v="17.469000000000001"/>
    <n v="3.5585"/>
    <n v="2"/>
  </r>
  <r>
    <n v="1250"/>
    <s v="GY74"/>
    <d v="2024-06-03T00:00:00"/>
    <x v="5"/>
    <x v="3"/>
    <s v="Standard Class"/>
    <s v="DJ-13630"/>
    <s v="FUR-CH-10001708"/>
    <n v="200"/>
    <n v="12"/>
    <n v="6"/>
    <x v="1"/>
    <s v="Softball Gear"/>
    <s v="INR"/>
    <n v="700126"/>
    <s v="INDIA"/>
    <x v="15"/>
    <m/>
    <n v="1141.9380000000001"/>
    <n v="9"/>
    <n v="0.11"/>
    <n v="139.5702"/>
    <n v="111.37420000000002"/>
    <n v="5"/>
  </r>
  <r>
    <n v="1251"/>
    <s v="CS19"/>
    <d v="2024-06-04T00:00:00"/>
    <x v="5"/>
    <x v="3"/>
    <s v="Standard Class"/>
    <s v="DJ-13630"/>
    <s v="OFF-AP-10000891"/>
    <n v="110"/>
    <n v="14"/>
    <n v="12.727272727272727"/>
    <x v="0"/>
    <s v="Children’s Puzzle Books"/>
    <s v="INR"/>
    <n v="440002"/>
    <s v="INDIA"/>
    <x v="3"/>
    <s v="Easy Ship"/>
    <n v="1704.56"/>
    <n v="13"/>
    <n v="0.1"/>
    <n v="511.36799999999999"/>
    <n v="91.784000000000006"/>
    <n v="1"/>
  </r>
  <r>
    <n v="1252"/>
    <s v="BG47"/>
    <d v="2024-06-05T00:00:00"/>
    <x v="5"/>
    <x v="3"/>
    <s v="Standard Class"/>
    <s v="DJ-13630"/>
    <s v="OFF-AR-10000462"/>
    <n v="130"/>
    <n v="24"/>
    <n v="18.461538461538463"/>
    <x v="5"/>
    <s v="Kitchen Mixers"/>
    <m/>
    <n v="502032"/>
    <s v="INDIA"/>
    <x v="4"/>
    <s v="Easy Ship"/>
    <n v="3.2"/>
    <n v="2"/>
    <n v="0.1"/>
    <n v="1.3759999999999999"/>
    <n v="0.91200000000000014"/>
    <n v="1"/>
  </r>
  <r>
    <n v="1253"/>
    <s v="FS28"/>
    <d v="2024-06-06T00:00:00"/>
    <x v="5"/>
    <x v="3"/>
    <s v="Standard Class"/>
    <s v="IM-15070"/>
    <s v="TEC-PH-10004165"/>
    <n v="210"/>
    <n v="10"/>
    <n v="4.7619047619047619"/>
    <x v="3"/>
    <s v="Car Gearboxes"/>
    <s v="INR"/>
    <n v="400051"/>
    <s v="INDIA"/>
    <x v="8"/>
    <m/>
    <n v="1099.96"/>
    <n v="4"/>
    <n v="0.1"/>
    <n v="285.9896"/>
    <n v="203.49260000000001"/>
    <n v="5"/>
  </r>
  <r>
    <n v="1254"/>
    <s v="RS29"/>
    <d v="2024-06-07T00:00:00"/>
    <x v="5"/>
    <x v="3"/>
    <s v="Standard Class"/>
    <s v="MH-18115"/>
    <s v="OFF-AR-10003958"/>
    <n v="250"/>
    <n v="24"/>
    <n v="9.6"/>
    <x v="6"/>
    <s v="Clay Modeling Kits"/>
    <s v="INR"/>
    <n v="781022"/>
    <s v="INDIA"/>
    <x v="8"/>
    <m/>
    <n v="5.2480000000000002"/>
    <n v="2"/>
    <n v="0.2"/>
    <n v="0.59040000000000004"/>
    <n v="2.3288000000000002"/>
    <n v="1"/>
  </r>
  <r>
    <n v="1255"/>
    <s v="BH68"/>
    <d v="2024-06-08T00:00:00"/>
    <x v="5"/>
    <x v="3"/>
    <s v="Standard Class"/>
    <s v="MH-18115"/>
    <s v="TEC-PH-10000149"/>
    <n v="120"/>
    <n v="22"/>
    <n v="18.333333333333332"/>
    <x v="7"/>
    <s v="Packaged Rice"/>
    <s v="INR"/>
    <n v="491445"/>
    <s v="INDIA"/>
    <x v="0"/>
    <s v="Easy Ship"/>
    <n v="35.909999999999997"/>
    <n v="3"/>
    <n v="0.4"/>
    <n v="-8.3789999999999996"/>
    <n v="14.762999999999998"/>
    <n v="3"/>
  </r>
  <r>
    <n v="1256"/>
    <s v="TH40"/>
    <d v="2024-06-09T00:00:00"/>
    <x v="5"/>
    <x v="3"/>
    <s v="Standard Class"/>
    <s v="MH-18115"/>
    <s v="FUR-FU-10003724"/>
    <n v="100"/>
    <n v="10"/>
    <n v="10"/>
    <x v="8"/>
    <s v="Pet Carriers"/>
    <s v="INR"/>
    <n v="826001"/>
    <s v="INDIA"/>
    <x v="9"/>
    <s v="Easy Ship"/>
    <n v="6.6959999999999997"/>
    <n v="1"/>
    <n v="0.2"/>
    <n v="0.50219999999999998"/>
    <n v="6.1937999999999995"/>
    <n v="2"/>
  </r>
  <r>
    <n v="1257"/>
    <s v="KG80"/>
    <d v="2024-06-10T00:00:00"/>
    <x v="5"/>
    <x v="3"/>
    <s v="Standard Class"/>
    <s v="MH-18115"/>
    <s v="FUR-FU-10003535"/>
    <n v="180"/>
    <n v="8"/>
    <n v="4.4444444444444446"/>
    <x v="2"/>
    <s v="Women’s Jackets"/>
    <s v="INR"/>
    <n v="560056"/>
    <s v="INDIA"/>
    <x v="6"/>
    <m/>
    <n v="43.872"/>
    <n v="2"/>
    <n v="0.2"/>
    <n v="11.516400000000001"/>
    <n v="16.177799999999998"/>
    <n v="4"/>
  </r>
  <r>
    <n v="1258"/>
    <s v="NY12"/>
    <d v="2024-06-11T00:00:00"/>
    <x v="5"/>
    <x v="3"/>
    <s v="Second Class"/>
    <s v="RB-19795"/>
    <s v="OFF-BI-10001575"/>
    <n v="170"/>
    <n v="10"/>
    <n v="5.8823529411764701"/>
    <x v="4"/>
    <s v="Smart Cameras"/>
    <s v="INR"/>
    <n v="500090"/>
    <s v="INDIA"/>
    <x v="18"/>
    <s v="Easy Ship"/>
    <n v="27.882000000000001"/>
    <n v="3"/>
    <n v="0.7"/>
    <n v="-20.4468"/>
    <n v="16.1096"/>
    <n v="2"/>
  </r>
  <r>
    <n v="1259"/>
    <s v="FU99"/>
    <d v="2024-06-12T00:00:00"/>
    <x v="5"/>
    <x v="3"/>
    <s v="Second Class"/>
    <s v="RB-19795"/>
    <s v="OFF-ST-10003716"/>
    <n v="190"/>
    <n v="16"/>
    <n v="8.4210526315789469"/>
    <x v="0"/>
    <s v="Children’s Science Books"/>
    <s v="INR"/>
    <n v="400050"/>
    <s v="INDIA"/>
    <x v="8"/>
    <m/>
    <n v="540.048"/>
    <n v="3"/>
    <n v="0.2"/>
    <n v="-47.254199999999997"/>
    <n v="195.76739999999998"/>
    <n v="1"/>
  </r>
  <r>
    <n v="1260"/>
    <s v="AM15"/>
    <d v="2024-06-13T00:00:00"/>
    <x v="5"/>
    <x v="3"/>
    <s v="Second Class"/>
    <s v="RB-19795"/>
    <s v="TEC-AC-10004469"/>
    <n v="240"/>
    <n v="24"/>
    <n v="10"/>
    <x v="1"/>
    <s v="Rowing Oars"/>
    <s v="INR"/>
    <n v="342026"/>
    <s v="INDIA"/>
    <x v="9"/>
    <m/>
    <n v="255.68"/>
    <n v="8"/>
    <n v="0.2"/>
    <n v="76.703999999999994"/>
    <n v="22.372"/>
    <n v="5"/>
  </r>
  <r>
    <n v="1261"/>
    <s v="UE98"/>
    <d v="2024-06-14T00:00:00"/>
    <x v="5"/>
    <x v="3"/>
    <s v="Standard Class"/>
    <s v="JR-15700"/>
    <s v="TEC-PH-10004586"/>
    <n v="130"/>
    <n v="8"/>
    <n v="6.1538461538461542"/>
    <x v="4"/>
    <s v="Smart Sensors"/>
    <s v="INR"/>
    <n v="201306"/>
    <s v="INDIA"/>
    <x v="13"/>
    <m/>
    <n v="863.88"/>
    <n v="3"/>
    <n v="0.2"/>
    <n v="107.985"/>
    <n v="251.965"/>
    <n v="1"/>
  </r>
  <r>
    <n v="1262"/>
    <s v="PZ36"/>
    <d v="2024-06-15T00:00:00"/>
    <x v="5"/>
    <x v="3"/>
    <s v="Standard Class"/>
    <s v="SM-20950"/>
    <s v="OFF-BI-10004236"/>
    <n v="180"/>
    <n v="18"/>
    <n v="10"/>
    <x v="2"/>
    <s v="Kids’ Pajamas"/>
    <s v="INR"/>
    <n v="209601"/>
    <s v="INDIA"/>
    <x v="10"/>
    <m/>
    <n v="17.616"/>
    <n v="4"/>
    <n v="0.7"/>
    <n v="-14.0928"/>
    <n v="7.9272"/>
    <n v="5"/>
  </r>
  <r>
    <n v="1263"/>
    <s v="KA34"/>
    <d v="2024-06-16T00:00:00"/>
    <x v="5"/>
    <x v="3"/>
    <s v="Second Class"/>
    <s v="CS-12355"/>
    <s v="OFF-BI-10001634"/>
    <n v="180"/>
    <n v="18"/>
    <n v="10"/>
    <x v="5"/>
    <s v="Kitchen Cooktops"/>
    <s v="INR"/>
    <n v="212635"/>
    <s v="INDIA"/>
    <x v="1"/>
    <m/>
    <n v="17.472000000000001"/>
    <n v="3"/>
    <n v="0.2"/>
    <n v="6.3335999999999997"/>
    <n v="3.7128000000000001"/>
    <n v="2"/>
  </r>
  <r>
    <n v="1264"/>
    <s v="ME11"/>
    <d v="2024-06-17T00:00:00"/>
    <x v="5"/>
    <x v="3"/>
    <s v="First Class"/>
    <s v="CC-12220"/>
    <s v="TEC-PH-10000215"/>
    <n v="110"/>
    <n v="26"/>
    <n v="23.636363636363637"/>
    <x v="3"/>
    <s v="Car Clutches"/>
    <s v="INR"/>
    <n v="560076"/>
    <s v="INDIA"/>
    <x v="10"/>
    <m/>
    <n v="69.900000000000006"/>
    <n v="2"/>
    <n v="0.1"/>
    <n v="18.873000000000001"/>
    <n v="25.513500000000001"/>
    <n v="2"/>
  </r>
  <r>
    <n v="1265"/>
    <s v="OA81"/>
    <d v="2024-06-18T00:00:00"/>
    <x v="5"/>
    <x v="3"/>
    <s v="First Class"/>
    <s v="CC-12220"/>
    <s v="FUR-FU-10003724"/>
    <n v="180"/>
    <n v="26"/>
    <n v="14.444444444444443"/>
    <x v="6"/>
    <s v="Educational Robots"/>
    <s v="INR"/>
    <n v="391330"/>
    <s v="INDIA"/>
    <x v="18"/>
    <m/>
    <n v="41.85"/>
    <n v="5"/>
    <n v="0.1"/>
    <n v="10.881"/>
    <n v="6.1938000000000004"/>
    <n v="1"/>
  </r>
  <r>
    <n v="1266"/>
    <s v="KZ64"/>
    <d v="2024-06-19T00:00:00"/>
    <x v="5"/>
    <x v="3"/>
    <s v="Standard Class"/>
    <s v="PF-19225"/>
    <s v="OFF-AR-10000422"/>
    <n v="100"/>
    <n v="22"/>
    <n v="22"/>
    <x v="7"/>
    <s v="Protein Supplements"/>
    <s v="INR"/>
    <n v="534005"/>
    <s v="INDIA"/>
    <x v="18"/>
    <m/>
    <n v="6.57"/>
    <n v="3"/>
    <n v="0.1"/>
    <n v="1.7739"/>
    <n v="1.5987"/>
    <n v="1"/>
  </r>
  <r>
    <n v="1267"/>
    <s v="HO98"/>
    <d v="2024-06-20T00:00:00"/>
    <x v="5"/>
    <x v="3"/>
    <s v="Standard Class"/>
    <s v="JC-16105"/>
    <s v="OFF-ST-10003306"/>
    <n v="110"/>
    <n v="18"/>
    <n v="16.363636363636363"/>
    <x v="8"/>
    <s v="Pet Beds"/>
    <s v="INR"/>
    <n v="201002"/>
    <s v="INDIA"/>
    <x v="3"/>
    <m/>
    <n v="142.86000000000001"/>
    <n v="1"/>
    <n v="0.1"/>
    <n v="41.429400000000001"/>
    <n v="101.43060000000001"/>
    <n v="2"/>
  </r>
  <r>
    <n v="1268"/>
    <s v="UF18"/>
    <d v="2024-06-21T00:00:00"/>
    <x v="5"/>
    <x v="3"/>
    <s v="Standard Class"/>
    <s v="JC-16105"/>
    <s v="FUR-CH-10001146"/>
    <n v="250"/>
    <n v="6"/>
    <n v="2.4"/>
    <x v="2"/>
    <s v="Men’s Coats"/>
    <m/>
    <n v="342026"/>
    <s v="INDIA"/>
    <x v="7"/>
    <m/>
    <n v="292.27199999999999"/>
    <n v="6"/>
    <n v="0.2"/>
    <n v="18.266999999999999"/>
    <n v="45.667499999999997"/>
    <n v="3"/>
  </r>
  <r>
    <n v="1269"/>
    <s v="SE95"/>
    <d v="2024-06-22T00:00:00"/>
    <x v="5"/>
    <x v="3"/>
    <s v="Standard Class"/>
    <s v="BG-11695"/>
    <s v="FUR-FU-10000246"/>
    <n v="130"/>
    <n v="24"/>
    <n v="18.461538461538463"/>
    <x v="4"/>
    <s v="Smart Speakers"/>
    <s v="INR"/>
    <n v="700034"/>
    <s v="INDIA"/>
    <x v="10"/>
    <m/>
    <n v="29.327999999999999"/>
    <n v="3"/>
    <n v="0.2"/>
    <n v="3.6659999999999999"/>
    <n v="8.5540000000000003"/>
    <n v="5"/>
  </r>
  <r>
    <n v="1270"/>
    <s v="VH36"/>
    <d v="2024-06-23T00:00:00"/>
    <x v="5"/>
    <x v="3"/>
    <s v="Standard Class"/>
    <s v="DC-12850"/>
    <s v="OFF-PA-10002870"/>
    <n v="240"/>
    <n v="16"/>
    <n v="6.666666666666667"/>
    <x v="1"/>
    <s v="Ice Hockey Gear"/>
    <s v="INR"/>
    <n v="500009"/>
    <s v="INDIA"/>
    <x v="17"/>
    <m/>
    <n v="12.48"/>
    <n v="2"/>
    <n v="0.1"/>
    <n v="5.6159999999999997"/>
    <n v="3.4320000000000004"/>
    <n v="3"/>
  </r>
  <r>
    <n v="1271"/>
    <s v="PZ72"/>
    <d v="2024-06-24T00:00:00"/>
    <x v="5"/>
    <x v="3"/>
    <s v="Standard Class"/>
    <s v="SP-20545"/>
    <s v="OFF-ST-10000563"/>
    <n v="250"/>
    <n v="24"/>
    <n v="9.6"/>
    <x v="0"/>
    <s v="Children’s Adventure Novels"/>
    <s v="INR"/>
    <n v="144004"/>
    <s v="INDIA"/>
    <x v="11"/>
    <m/>
    <n v="102.336"/>
    <n v="4"/>
    <n v="0.2"/>
    <n v="-12.792"/>
    <n v="28.782"/>
    <n v="5"/>
  </r>
  <r>
    <n v="1272"/>
    <s v="WM53"/>
    <d v="2024-06-25T00:00:00"/>
    <x v="5"/>
    <x v="3"/>
    <s v="Standard Class"/>
    <s v="SP-20545"/>
    <s v="OFF-AP-10004487"/>
    <n v="140"/>
    <n v="18"/>
    <n v="12.857142857142856"/>
    <x v="5"/>
    <s v="Kitchen Ovens"/>
    <s v="INR"/>
    <n v="400071"/>
    <s v="INDIA"/>
    <x v="3"/>
    <s v="Easy Ship"/>
    <n v="48.792000000000002"/>
    <n v="3"/>
    <n v="0.8"/>
    <n v="-126.8592"/>
    <n v="58.550400000000003"/>
    <n v="3"/>
  </r>
  <r>
    <n v="1273"/>
    <s v="QR24"/>
    <d v="2024-06-26T00:00:00"/>
    <x v="5"/>
    <x v="3"/>
    <s v="Standard Class"/>
    <s v="SP-20545"/>
    <s v="OFF-BI-10002854"/>
    <n v="100"/>
    <n v="30"/>
    <n v="30"/>
    <x v="3"/>
    <s v="Car Fuel Pumps"/>
    <s v="INR"/>
    <n v="500070"/>
    <s v="INDIA"/>
    <x v="16"/>
    <s v="Easy Ship"/>
    <n v="44.847999999999999"/>
    <n v="8"/>
    <n v="0.8"/>
    <n v="-67.272000000000006"/>
    <n v="14.015000000000001"/>
    <n v="1"/>
  </r>
  <r>
    <n v="1274"/>
    <s v="XJ92"/>
    <d v="2024-06-27T00:00:00"/>
    <x v="5"/>
    <x v="3"/>
    <s v="Same Day"/>
    <s v="MS-17710"/>
    <s v="OFF-PA-10004621"/>
    <n v="110"/>
    <n v="10"/>
    <n v="9.0909090909090917"/>
    <x v="6"/>
    <s v="Board Games"/>
    <s v="INR"/>
    <n v="500070"/>
    <s v="INDIA"/>
    <x v="6"/>
    <s v="Easy Ship"/>
    <n v="10.368"/>
    <n v="2"/>
    <n v="0.2"/>
    <n v="3.6288"/>
    <n v="3.3696000000000002"/>
    <n v="5"/>
  </r>
  <r>
    <n v="1275"/>
    <s v="VJ59"/>
    <d v="2024-06-28T00:00:00"/>
    <x v="5"/>
    <x v="3"/>
    <s v="Same Day"/>
    <s v="MS-17710"/>
    <s v="FUR-CH-10001973"/>
    <n v="120"/>
    <n v="8"/>
    <n v="6.666666666666667"/>
    <x v="7"/>
    <s v="Energy Drinks"/>
    <s v="INR"/>
    <n v="400708"/>
    <s v="INDIA"/>
    <x v="3"/>
    <m/>
    <n v="388.43"/>
    <n v="5"/>
    <n v="0.3"/>
    <n v="-88.784000000000006"/>
    <n v="95.442800000000005"/>
    <n v="1"/>
  </r>
  <r>
    <n v="1276"/>
    <s v="IU53"/>
    <d v="2024-06-29T00:00:00"/>
    <x v="5"/>
    <x v="3"/>
    <s v="Same Day"/>
    <s v="MS-17710"/>
    <s v="OFF-PA-10004040"/>
    <n v="220"/>
    <n v="30"/>
    <n v="13.636363636363635"/>
    <x v="8"/>
    <s v="Pet Grooming Brushes"/>
    <s v="INR"/>
    <n v="560084"/>
    <s v="INDIA"/>
    <x v="12"/>
    <m/>
    <n v="14.352"/>
    <n v="3"/>
    <n v="0.2"/>
    <n v="5.2026000000000003"/>
    <n v="3.0497999999999998"/>
    <n v="3"/>
  </r>
  <r>
    <n v="1277"/>
    <s v="UV69"/>
    <d v="2024-06-30T00:00:00"/>
    <x v="5"/>
    <x v="3"/>
    <s v="Same Day"/>
    <s v="MS-17710"/>
    <s v="TEC-AC-10000580"/>
    <n v="190"/>
    <n v="24"/>
    <n v="12.631578947368421"/>
    <x v="2"/>
    <s v="Women’s Sarees"/>
    <s v="INR"/>
    <n v="562107"/>
    <s v="INDIA"/>
    <x v="9"/>
    <m/>
    <n v="63.991999999999997"/>
    <n v="1"/>
    <n v="0.2"/>
    <n v="-7.1990999999999996"/>
    <n v="71.191099999999992"/>
    <n v="2"/>
  </r>
  <r>
    <n v="1278"/>
    <s v="NJ43"/>
    <d v="2024-07-01T00:00:00"/>
    <x v="6"/>
    <x v="3"/>
    <s v="Standard Class"/>
    <s v="BD-11770"/>
    <s v="OFF-AR-10004022"/>
    <n v="120"/>
    <n v="24"/>
    <n v="20"/>
    <x v="4"/>
    <s v="Smart Tablets"/>
    <s v="INR"/>
    <n v="400701"/>
    <s v="INDIA"/>
    <x v="8"/>
    <m/>
    <n v="86.352000000000004"/>
    <n v="3"/>
    <n v="0.2"/>
    <n v="5.3970000000000002"/>
    <n v="26.984999999999999"/>
    <n v="5"/>
  </r>
  <r>
    <n v="1279"/>
    <s v="NG80"/>
    <d v="2024-07-02T00:00:00"/>
    <x v="6"/>
    <x v="3"/>
    <s v="First Class"/>
    <s v="KC-16255"/>
    <s v="TEC-AC-10004209"/>
    <n v="210"/>
    <n v="10"/>
    <n v="4.7619047619047619"/>
    <x v="0"/>
    <s v="Medical Journals"/>
    <s v="INR"/>
    <n v="500092"/>
    <s v="INDIA"/>
    <x v="3"/>
    <m/>
    <n v="32.97"/>
    <n v="3"/>
    <n v="0.1"/>
    <n v="12.8583"/>
    <n v="6.7039"/>
    <n v="2"/>
  </r>
  <r>
    <n v="1280"/>
    <s v="KV81"/>
    <d v="2024-07-03T00:00:00"/>
    <x v="6"/>
    <x v="3"/>
    <s v="First Class"/>
    <s v="KC-16255"/>
    <s v="TEC-AC-10000023"/>
    <n v="170"/>
    <n v="8"/>
    <n v="4.7058823529411766"/>
    <x v="1"/>
    <s v="Boxing Headgear"/>
    <s v="INR"/>
    <n v="534202"/>
    <s v="INDIA"/>
    <x v="1"/>
    <m/>
    <n v="83.88"/>
    <n v="4"/>
    <n v="0.1"/>
    <n v="30.1968"/>
    <n v="13.4208"/>
    <n v="1"/>
  </r>
  <r>
    <n v="1281"/>
    <s v="PP68"/>
    <d v="2024-07-04T00:00:00"/>
    <x v="6"/>
    <x v="3"/>
    <s v="First Class"/>
    <s v="TR-21325"/>
    <s v="TEC-PH-10003505"/>
    <n v="170"/>
    <n v="12"/>
    <n v="7.0588235294117645"/>
    <x v="4"/>
    <s v="Smart Doorbells"/>
    <s v="INR"/>
    <n v="391410"/>
    <s v="INDIA"/>
    <x v="14"/>
    <m/>
    <n v="278.39999999999998"/>
    <n v="3"/>
    <n v="0.1"/>
    <n v="80.736000000000004"/>
    <n v="65.887999999999991"/>
    <n v="2"/>
  </r>
  <r>
    <n v="1282"/>
    <s v="HS27"/>
    <d v="2024-07-05T00:00:00"/>
    <x v="6"/>
    <x v="3"/>
    <s v="First Class"/>
    <s v="SA-20830"/>
    <s v="OFF-LA-10000121"/>
    <n v="130"/>
    <n v="16"/>
    <n v="12.307692307692308"/>
    <x v="2"/>
    <s v="Women’s Kurtis"/>
    <s v="INR"/>
    <n v="391410"/>
    <s v="INDIA"/>
    <x v="13"/>
    <s v="Easy Ship"/>
    <n v="15.12"/>
    <n v="3"/>
    <n v="0.2"/>
    <n v="4.9139999999999997"/>
    <n v="3.4019999999999997"/>
    <n v="2"/>
  </r>
  <r>
    <n v="1283"/>
    <s v="CI54"/>
    <d v="2024-07-06T00:00:00"/>
    <x v="6"/>
    <x v="3"/>
    <s v="First Class"/>
    <s v="SA-20830"/>
    <s v="OFF-BI-10002026"/>
    <n v="190"/>
    <n v="22"/>
    <n v="11.578947368421053"/>
    <x v="5"/>
    <s v="Kitchen Cabinets"/>
    <s v="INR"/>
    <n v="700038"/>
    <s v="INDIA"/>
    <x v="0"/>
    <m/>
    <n v="17.43"/>
    <n v="1"/>
    <n v="0.7"/>
    <n v="-13.363"/>
    <n v="30.792999999999999"/>
    <n v="4"/>
  </r>
  <r>
    <n v="1284"/>
    <s v="AT71"/>
    <d v="2024-07-07T00:00:00"/>
    <x v="6"/>
    <x v="3"/>
    <s v="First Class"/>
    <s v="SA-20830"/>
    <s v="OFF-PA-10000994"/>
    <n v="210"/>
    <n v="28"/>
    <n v="13.333333333333334"/>
    <x v="3"/>
    <s v="Car Tyres"/>
    <s v="INR"/>
    <n v="752104"/>
    <s v="INDIA"/>
    <x v="6"/>
    <m/>
    <n v="251.64"/>
    <n v="3"/>
    <n v="0.2"/>
    <n v="88.073999999999998"/>
    <n v="54.521999999999991"/>
    <n v="2"/>
  </r>
  <r>
    <n v="1285"/>
    <s v="GO60"/>
    <d v="2024-07-08T00:00:00"/>
    <x v="6"/>
    <x v="3"/>
    <s v="Standard Class"/>
    <s v="KW-16435"/>
    <s v="OFF-BI-10002813"/>
    <n v="220"/>
    <n v="28"/>
    <n v="12.727272727272727"/>
    <x v="6"/>
    <s v="Educational Kits"/>
    <m/>
    <n v="160059"/>
    <s v="INDIA"/>
    <x v="12"/>
    <m/>
    <n v="2.7719999999999998"/>
    <n v="7"/>
    <n v="0.8"/>
    <n v="-4.851"/>
    <n v="1.089"/>
    <n v="3"/>
  </r>
  <r>
    <n v="1286"/>
    <s v="WI68"/>
    <d v="2024-07-09T00:00:00"/>
    <x v="6"/>
    <x v="3"/>
    <s v="Standard Class"/>
    <s v="GM-14500"/>
    <s v="OFF-ST-10000617"/>
    <n v="150"/>
    <n v="16"/>
    <n v="10.666666666666668"/>
    <x v="7"/>
    <s v="Organic Juices"/>
    <s v="INR"/>
    <n v="390021"/>
    <s v="INDIA"/>
    <x v="9"/>
    <m/>
    <n v="14.9"/>
    <n v="5"/>
    <n v="0.1"/>
    <n v="1.0429999999999999"/>
    <n v="2.7714000000000003"/>
    <n v="2"/>
  </r>
  <r>
    <n v="1287"/>
    <s v="PN96"/>
    <d v="2024-07-10T00:00:00"/>
    <x v="6"/>
    <x v="3"/>
    <s v="Standard Class"/>
    <s v="AD-10180"/>
    <s v="OFF-AR-10004817"/>
    <n v="220"/>
    <n v="16"/>
    <n v="7.2727272727272725"/>
    <x v="8"/>
    <s v="Pet Vitamins"/>
    <s v="INR"/>
    <n v="560086"/>
    <s v="INDIA"/>
    <x v="1"/>
    <m/>
    <n v="15.48"/>
    <n v="3"/>
    <n v="0.1"/>
    <n v="4.4892000000000003"/>
    <n v="3.6636000000000002"/>
    <n v="4"/>
  </r>
  <r>
    <n v="1288"/>
    <s v="GC20"/>
    <d v="2024-07-11T00:00:00"/>
    <x v="6"/>
    <x v="3"/>
    <s v="Standard Class"/>
    <s v="TB-21355"/>
    <s v="FUR-FU-10000397"/>
    <n v="120"/>
    <n v="12"/>
    <n v="10"/>
    <x v="2"/>
    <s v="Men’s Formal Shoes"/>
    <s v="INR"/>
    <n v="226001"/>
    <s v="INDIA"/>
    <x v="17"/>
    <m/>
    <n v="39.880000000000003"/>
    <n v="2"/>
    <n v="0.1"/>
    <n v="11.166399999999999"/>
    <n v="14.356800000000002"/>
    <n v="2"/>
  </r>
  <r>
    <n v="1289"/>
    <s v="DE57"/>
    <d v="2024-07-12T00:00:00"/>
    <x v="6"/>
    <x v="3"/>
    <s v="Standard Class"/>
    <s v="TB-21355"/>
    <s v="OFF-BI-10000605"/>
    <n v="220"/>
    <n v="28"/>
    <n v="12.727272727272727"/>
    <x v="4"/>
    <s v="Smart Cameras"/>
    <s v="INR"/>
    <n v="212201"/>
    <s v="INDIA"/>
    <x v="3"/>
    <m/>
    <n v="12.192"/>
    <n v="4"/>
    <n v="0.2"/>
    <n v="4.1147999999999998"/>
    <n v="2.0193000000000003"/>
    <n v="5"/>
  </r>
  <r>
    <n v="1290"/>
    <s v="ZW93"/>
    <d v="2024-07-13T00:00:00"/>
    <x v="6"/>
    <x v="3"/>
    <s v="Standard Class"/>
    <s v="TB-21355"/>
    <s v="OFF-AR-10001860"/>
    <n v="250"/>
    <n v="20"/>
    <n v="8"/>
    <x v="1"/>
    <s v="Skating Gear"/>
    <s v="INR"/>
    <n v="560093"/>
    <s v="INDIA"/>
    <x v="13"/>
    <m/>
    <n v="20.82"/>
    <n v="3"/>
    <n v="0.1"/>
    <n v="7.4951999999999996"/>
    <n v="4.4416000000000002"/>
    <n v="5"/>
  </r>
  <r>
    <n v="1291"/>
    <s v="OE72"/>
    <d v="2024-07-14T00:00:00"/>
    <x v="6"/>
    <x v="3"/>
    <s v="First Class"/>
    <s v="CC-12430"/>
    <s v="OFF-BI-10004970"/>
    <n v="160"/>
    <n v="26"/>
    <n v="16.25"/>
    <x v="0"/>
    <s v="Children’s Picture Books"/>
    <s v="INR"/>
    <n v="411019"/>
    <s v="INDIA"/>
    <x v="4"/>
    <m/>
    <n v="13.215999999999999"/>
    <n v="4"/>
    <n v="0.2"/>
    <n v="4.4603999999999999"/>
    <n v="2.1888999999999998"/>
    <n v="3"/>
  </r>
  <r>
    <n v="1292"/>
    <s v="WQ11"/>
    <d v="2024-07-15T00:00:00"/>
    <x v="6"/>
    <x v="3"/>
    <s v="First Class"/>
    <s v="CC-12430"/>
    <s v="OFF-PA-10003172"/>
    <n v="140"/>
    <n v="22"/>
    <n v="15.714285714285714"/>
    <x v="5"/>
    <s v="Kitchen Drawers"/>
    <s v="INR"/>
    <n v="411036"/>
    <s v="INDIA"/>
    <x v="0"/>
    <s v="Easy Ship"/>
    <n v="32.4"/>
    <n v="5"/>
    <n v="0.1"/>
    <n v="15.552"/>
    <n v="3.3695999999999997"/>
    <n v="5"/>
  </r>
  <r>
    <n v="1293"/>
    <s v="JW84"/>
    <d v="2024-07-16T00:00:00"/>
    <x v="6"/>
    <x v="3"/>
    <s v="Standard Class"/>
    <s v="PF-19165"/>
    <s v="OFF-SU-10001218"/>
    <n v="100"/>
    <n v="10"/>
    <n v="10"/>
    <x v="3"/>
    <s v="Car Covers"/>
    <s v="INR"/>
    <n v="411036"/>
    <s v="INDIA"/>
    <x v="3"/>
    <m/>
    <n v="32.94"/>
    <n v="3"/>
    <n v="0.1"/>
    <n v="9.2232000000000003"/>
    <n v="7.9055999999999997"/>
    <n v="4"/>
  </r>
  <r>
    <n v="1294"/>
    <s v="PT25"/>
    <d v="2024-07-17T00:00:00"/>
    <x v="6"/>
    <x v="3"/>
    <s v="Standard Class"/>
    <s v="PF-19165"/>
    <s v="OFF-PA-10002968"/>
    <n v="190"/>
    <n v="26"/>
    <n v="13.684210526315791"/>
    <x v="6"/>
    <s v="Musical Instruments"/>
    <s v="INR"/>
    <n v="411036"/>
    <s v="INDIA"/>
    <x v="9"/>
    <m/>
    <n v="114.2"/>
    <n v="5"/>
    <n v="0.1"/>
    <n v="52.531999999999996"/>
    <n v="12.333600000000001"/>
    <n v="1"/>
  </r>
  <r>
    <n v="1295"/>
    <s v="UJ43"/>
    <d v="2024-07-18T00:00:00"/>
    <x v="6"/>
    <x v="3"/>
    <s v="Standard Class"/>
    <s v="PF-19165"/>
    <s v="OFF-LA-10000134"/>
    <n v="150"/>
    <n v="24"/>
    <n v="16"/>
    <x v="7"/>
    <s v="Instant Noodles"/>
    <s v="INR"/>
    <n v="456006"/>
    <s v="INDIA"/>
    <x v="7"/>
    <m/>
    <n v="3.08"/>
    <n v="1"/>
    <n v="0.1"/>
    <n v="1.4783999999999999"/>
    <n v="1.6016000000000001"/>
    <n v="5"/>
  </r>
  <r>
    <n v="1296"/>
    <s v="HG88"/>
    <d v="2024-07-19T00:00:00"/>
    <x v="6"/>
    <x v="3"/>
    <s v="Standard Class"/>
    <s v="JH-16180"/>
    <s v="OFF-AP-10004487"/>
    <n v="100"/>
    <n v="6"/>
    <n v="6"/>
    <x v="8"/>
    <s v="Pet Collars"/>
    <s v="INR"/>
    <n v="181123"/>
    <s v="INDIA"/>
    <x v="1"/>
    <m/>
    <n v="845.72799999999995"/>
    <n v="13"/>
    <n v="0.2"/>
    <n v="84.572800000000001"/>
    <n v="58.550399999999996"/>
    <n v="3"/>
  </r>
  <r>
    <n v="1297"/>
    <s v="UY12"/>
    <d v="2024-07-20T00:00:00"/>
    <x v="6"/>
    <x v="3"/>
    <s v="Standard Class"/>
    <s v="EB-13975"/>
    <s v="OFF-BI-10002103"/>
    <n v="170"/>
    <n v="16"/>
    <n v="9.4117647058823533"/>
    <x v="2"/>
    <s v="Women’s Sarees"/>
    <s v="INR"/>
    <n v="585401"/>
    <s v="INDIA"/>
    <x v="13"/>
    <s v="Easy Ship"/>
    <n v="13.904"/>
    <n v="2"/>
    <n v="0.2"/>
    <n v="4.5187999999999997"/>
    <n v="4.6926000000000005"/>
    <n v="2"/>
  </r>
  <r>
    <n v="1298"/>
    <s v="QO78"/>
    <d v="2024-07-21T00:00:00"/>
    <x v="6"/>
    <x v="3"/>
    <s v="Standard Class"/>
    <s v="EB-13975"/>
    <s v="OFF-BI-10004632"/>
    <n v="130"/>
    <n v="30"/>
    <n v="23.076923076923077"/>
    <x v="4"/>
    <s v="Smart Speakers"/>
    <s v="INR"/>
    <n v="389151"/>
    <s v="INDIA"/>
    <x v="10"/>
    <m/>
    <n v="20.72"/>
    <n v="2"/>
    <n v="0.2"/>
    <n v="6.4749999999999996"/>
    <n v="7.1224999999999996"/>
    <n v="3"/>
  </r>
  <r>
    <n v="1299"/>
    <s v="QQ21"/>
    <d v="2024-07-22T00:00:00"/>
    <x v="6"/>
    <x v="3"/>
    <s v="Second Class"/>
    <s v="QJ-19255"/>
    <s v="TEC-PH-10003555"/>
    <n v="200"/>
    <n v="30"/>
    <n v="15"/>
    <x v="0"/>
    <s v="Children’s Encyclopedias"/>
    <s v="INR"/>
    <n v="452001"/>
    <s v="INDIA"/>
    <x v="18"/>
    <m/>
    <n v="114.95"/>
    <n v="5"/>
    <n v="0.1"/>
    <n v="2.2989999999999999"/>
    <n v="22.530200000000001"/>
    <n v="1"/>
  </r>
  <r>
    <n v="1300"/>
    <s v="ZN18"/>
    <d v="2024-07-23T00:00:00"/>
    <x v="6"/>
    <x v="3"/>
    <s v="First Class"/>
    <s v="AA-10315"/>
    <s v="OFF-ST-10001590"/>
    <n v="120"/>
    <n v="16"/>
    <n v="13.333333333333334"/>
    <x v="1"/>
    <s v="Football Shoes"/>
    <s v="INR"/>
    <n v="250001"/>
    <s v="INDIA"/>
    <x v="3"/>
    <m/>
    <n v="26.96"/>
    <n v="2"/>
    <n v="0.1"/>
    <n v="7.0095999999999998"/>
    <n v="9.975200000000001"/>
    <n v="4"/>
  </r>
  <r>
    <n v="1301"/>
    <s v="PU23"/>
    <d v="2024-07-24T00:00:00"/>
    <x v="6"/>
    <x v="3"/>
    <s v="Second Class"/>
    <s v="LC-17140"/>
    <s v="FUR-FU-10003664"/>
    <n v="170"/>
    <n v="16"/>
    <n v="9.4117647058823533"/>
    <x v="4"/>
    <s v="Smart Sensors"/>
    <s v="INR"/>
    <n v="403707"/>
    <s v="INDIA"/>
    <x v="16"/>
    <m/>
    <n v="572.76"/>
    <n v="6"/>
    <n v="0.1"/>
    <n v="166.10040000000001"/>
    <n v="67.776599999999988"/>
    <n v="5"/>
  </r>
  <r>
    <n v="1302"/>
    <s v="TC45"/>
    <d v="2024-07-25T00:00:00"/>
    <x v="6"/>
    <x v="3"/>
    <s v="Second Class"/>
    <s v="LC-17140"/>
    <s v="FUR-FU-10003664"/>
    <n v="220"/>
    <n v="6"/>
    <n v="2.7272727272727271"/>
    <x v="2"/>
    <s v="Kids’ Jackets"/>
    <s v="INR"/>
    <n v="530052"/>
    <s v="INDIA"/>
    <x v="6"/>
    <m/>
    <n v="286.38"/>
    <n v="3"/>
    <n v="0.1"/>
    <n v="83.050200000000004"/>
    <n v="67.776599999999988"/>
    <n v="1"/>
  </r>
  <r>
    <n v="1303"/>
    <s v="OK68"/>
    <d v="2024-07-26T00:00:00"/>
    <x v="6"/>
    <x v="3"/>
    <s v="Second Class"/>
    <s v="TC-21535"/>
    <s v="FUR-BO-10003433"/>
    <n v="230"/>
    <n v="6"/>
    <n v="2.6086956521739131"/>
    <x v="5"/>
    <s v="Kitchen Shelves"/>
    <s v="INR"/>
    <n v="110076"/>
    <s v="INDIA"/>
    <x v="3"/>
    <m/>
    <n v="61.96"/>
    <n v="2"/>
    <n v="0.1"/>
    <n v="4.3372000000000002"/>
    <n v="28.811399999999999"/>
    <n v="2"/>
  </r>
  <r>
    <n v="1304"/>
    <s v="IK50"/>
    <d v="2024-07-27T00:00:00"/>
    <x v="6"/>
    <x v="3"/>
    <s v="Standard Class"/>
    <s v="CS-12460"/>
    <s v="FUR-FU-10002554"/>
    <n v="110"/>
    <n v="22"/>
    <n v="20"/>
    <x v="3"/>
    <s v="Car Oils"/>
    <s v="INR"/>
    <n v="522006"/>
    <s v="INDIA"/>
    <x v="15"/>
    <m/>
    <n v="23.99"/>
    <n v="1"/>
    <n v="0.1"/>
    <n v="5.5176999999999996"/>
    <n v="18.472299999999997"/>
    <n v="3"/>
  </r>
  <r>
    <n v="1305"/>
    <s v="SY91"/>
    <d v="2024-07-28T00:00:00"/>
    <x v="6"/>
    <x v="3"/>
    <s v="Standard Class"/>
    <s v="CS-12460"/>
    <s v="TEC-PH-10001557"/>
    <n v="150"/>
    <n v="22"/>
    <n v="14.666666666666666"/>
    <x v="6"/>
    <s v="Board Games"/>
    <s v="INR"/>
    <n v="690533"/>
    <s v="INDIA"/>
    <x v="17"/>
    <s v="Easy Ship"/>
    <n v="287.97000000000003"/>
    <n v="3"/>
    <n v="0.1"/>
    <n v="77.751900000000006"/>
    <n v="70.072700000000012"/>
    <n v="3"/>
  </r>
  <r>
    <n v="1306"/>
    <s v="FR31"/>
    <d v="2024-07-29T00:00:00"/>
    <x v="6"/>
    <x v="3"/>
    <s v="Second Class"/>
    <s v="BM-11785"/>
    <s v="TEC-PH-10003437"/>
    <n v="170"/>
    <n v="20"/>
    <n v="11.76470588235294"/>
    <x v="7"/>
    <s v="Packaged Snacks"/>
    <s v="INR"/>
    <n v="212201"/>
    <s v="INDIA"/>
    <x v="7"/>
    <m/>
    <n v="419.94400000000002"/>
    <n v="7"/>
    <n v="0.2"/>
    <n v="52.493000000000002"/>
    <n v="52.493000000000002"/>
    <n v="5"/>
  </r>
  <r>
    <n v="1307"/>
    <s v="RR53"/>
    <d v="2024-07-30T00:00:00"/>
    <x v="6"/>
    <x v="3"/>
    <s v="First Class"/>
    <s v="RC-19825"/>
    <s v="OFF-PA-10002986"/>
    <n v="240"/>
    <n v="24"/>
    <n v="10"/>
    <x v="8"/>
    <s v="Pet Brushes"/>
    <s v="INR"/>
    <n v="410208"/>
    <s v="INDIA"/>
    <x v="0"/>
    <m/>
    <n v="46.76"/>
    <n v="7"/>
    <n v="0.1"/>
    <n v="22.444800000000001"/>
    <n v="3.4735999999999998"/>
    <n v="1"/>
  </r>
  <r>
    <n v="1308"/>
    <s v="XF70"/>
    <d v="2024-07-31T00:00:00"/>
    <x v="6"/>
    <x v="3"/>
    <s v="First Class"/>
    <s v="RC-19825"/>
    <s v="OFF-BI-10000320"/>
    <n v="120"/>
    <n v="8"/>
    <n v="6.666666666666667"/>
    <x v="2"/>
    <s v="Men’s Jeans"/>
    <m/>
    <n v="600011"/>
    <s v="INDIA"/>
    <x v="5"/>
    <m/>
    <n v="17.712"/>
    <n v="3"/>
    <n v="0.2"/>
    <n v="6.4206000000000003"/>
    <n v="3.7637999999999998"/>
    <n v="4"/>
  </r>
  <r>
    <n v="1309"/>
    <s v="XR33"/>
    <d v="2024-08-01T00:00:00"/>
    <x v="7"/>
    <x v="3"/>
    <s v="First Class"/>
    <s v="RC-19825"/>
    <s v="OFF-AP-10003971"/>
    <n v="130"/>
    <n v="28"/>
    <n v="21.53846153846154"/>
    <x v="4"/>
    <s v="Smart TVs"/>
    <s v="INR"/>
    <n v="531027"/>
    <s v="INDIA"/>
    <x v="7"/>
    <m/>
    <n v="21.78"/>
    <n v="2"/>
    <n v="0.1"/>
    <n v="5.6627999999999998"/>
    <n v="8.0586000000000002"/>
    <n v="3"/>
  </r>
  <r>
    <n v="1310"/>
    <s v="MB35"/>
    <d v="2024-08-02T00:00:00"/>
    <x v="7"/>
    <x v="3"/>
    <s v="First Class"/>
    <s v="RC-19825"/>
    <s v="OFF-ST-10001469"/>
    <n v="160"/>
    <n v="26"/>
    <n v="16.25"/>
    <x v="1"/>
    <s v="Cricket Bats"/>
    <s v="INR"/>
    <n v="500062"/>
    <s v="INDIA"/>
    <x v="4"/>
    <m/>
    <n v="161.94"/>
    <n v="3"/>
    <n v="0.1"/>
    <n v="9.7164000000000001"/>
    <n v="50.741199999999999"/>
    <n v="4"/>
  </r>
  <r>
    <n v="1311"/>
    <s v="CA30"/>
    <d v="2024-08-03T00:00:00"/>
    <x v="7"/>
    <x v="3"/>
    <s v="First Class"/>
    <s v="RC-19825"/>
    <s v="FUR-CH-10003846"/>
    <n v="190"/>
    <n v="14"/>
    <n v="7.3684210526315779"/>
    <x v="0"/>
    <s v="Children’s Novels"/>
    <s v="INR"/>
    <n v="751003"/>
    <s v="INDIA"/>
    <x v="4"/>
    <m/>
    <n v="161.56800000000001"/>
    <n v="2"/>
    <n v="0.2"/>
    <n v="-8.0784000000000002"/>
    <n v="84.8232"/>
    <n v="4"/>
  </r>
  <r>
    <n v="1312"/>
    <s v="HQ50"/>
    <d v="2024-08-04T00:00:00"/>
    <x v="7"/>
    <x v="3"/>
    <s v="Standard Class"/>
    <s v="FM-14380"/>
    <s v="OFF-LA-10001404"/>
    <n v="190"/>
    <n v="24"/>
    <n v="12.631578947368421"/>
    <x v="5"/>
    <s v="Kitchen Towels"/>
    <s v="INR"/>
    <n v="515425"/>
    <s v="INDIA"/>
    <x v="8"/>
    <m/>
    <n v="3.69"/>
    <n v="1"/>
    <n v="0.1"/>
    <n v="1.7343"/>
    <n v="1.9557"/>
    <n v="5"/>
  </r>
  <r>
    <n v="1313"/>
    <s v="BI67"/>
    <d v="2024-08-05T00:00:00"/>
    <x v="7"/>
    <x v="3"/>
    <s v="Standard Class"/>
    <s v="FM-14380"/>
    <s v="OFF-LA-10001474"/>
    <n v="160"/>
    <n v="26"/>
    <n v="16.25"/>
    <x v="3"/>
    <s v="Car Batteries"/>
    <s v="INR"/>
    <n v="400023"/>
    <s v="INDIA"/>
    <x v="5"/>
    <m/>
    <n v="122.12"/>
    <n v="4"/>
    <n v="0.1"/>
    <n v="56.175199999999997"/>
    <n v="16.486200000000004"/>
    <n v="1"/>
  </r>
  <r>
    <n v="1314"/>
    <s v="OE50"/>
    <d v="2024-08-06T00:00:00"/>
    <x v="7"/>
    <x v="3"/>
    <s v="Standard Class"/>
    <s v="PK-19075"/>
    <s v="FUR-CH-10003199"/>
    <n v="230"/>
    <n v="12"/>
    <n v="5.2173913043478262"/>
    <x v="6"/>
    <s v="Learning Toys"/>
    <s v="INR"/>
    <n v="570022"/>
    <s v="INDIA"/>
    <x v="6"/>
    <m/>
    <n v="155.37200000000001"/>
    <n v="2"/>
    <n v="0.3"/>
    <n v="-13.317600000000001"/>
    <n v="84.344800000000006"/>
    <n v="5"/>
  </r>
  <r>
    <n v="1315"/>
    <s v="XI63"/>
    <d v="2024-08-07T00:00:00"/>
    <x v="7"/>
    <x v="3"/>
    <s v="Standard Class"/>
    <s v="HG-14965"/>
    <s v="OFF-PA-10003072"/>
    <n v="200"/>
    <n v="20"/>
    <n v="10"/>
    <x v="7"/>
    <s v="Energy Drinks"/>
    <s v="INR"/>
    <n v="201304"/>
    <s v="INDIA"/>
    <x v="13"/>
    <m/>
    <n v="38.880000000000003"/>
    <n v="6"/>
    <n v="0.1"/>
    <n v="18.662400000000002"/>
    <n v="3.3696000000000002"/>
    <n v="1"/>
  </r>
  <r>
    <n v="1316"/>
    <s v="AO37"/>
    <d v="2024-08-08T00:00:00"/>
    <x v="7"/>
    <x v="3"/>
    <s v="Standard Class"/>
    <s v="HG-14965"/>
    <s v="FUR-FU-10004960"/>
    <n v="220"/>
    <n v="20"/>
    <n v="9.0909090909090917"/>
    <x v="8"/>
    <s v="Pet Grooming Kits"/>
    <s v="INR"/>
    <n v="334001"/>
    <s v="INDIA"/>
    <x v="14"/>
    <s v="Easy Ship"/>
    <n v="183.84"/>
    <n v="8"/>
    <n v="0.1"/>
    <n v="62.505600000000001"/>
    <n v="15.1668"/>
    <n v="2"/>
  </r>
  <r>
    <n v="1317"/>
    <s v="WX24"/>
    <d v="2024-08-09T00:00:00"/>
    <x v="7"/>
    <x v="3"/>
    <s v="Standard Class"/>
    <s v="HG-14965"/>
    <s v="OFF-SU-10003505"/>
    <n v="180"/>
    <n v="28"/>
    <n v="15.555555555555555"/>
    <x v="2"/>
    <s v="Women’s Jewelry"/>
    <s v="INR"/>
    <n v="403601"/>
    <s v="INDIA"/>
    <x v="18"/>
    <s v="Easy Ship"/>
    <n v="579.29999999999995"/>
    <n v="5"/>
    <n v="0.1"/>
    <n v="28.965"/>
    <n v="110.06699999999998"/>
    <n v="4"/>
  </r>
  <r>
    <n v="1318"/>
    <s v="PX67"/>
    <d v="2024-08-10T00:00:00"/>
    <x v="7"/>
    <x v="3"/>
    <s v="Standard Class"/>
    <s v="HA-14920"/>
    <s v="TEC-AC-10003116"/>
    <n v="250"/>
    <n v="14"/>
    <n v="5.6000000000000005"/>
    <x v="4"/>
    <s v="Smart Tablets"/>
    <s v="INR"/>
    <n v="334001"/>
    <s v="INDIA"/>
    <x v="4"/>
    <m/>
    <n v="14.2"/>
    <n v="1"/>
    <n v="0.2"/>
    <n v="3.3725000000000001"/>
    <n v="10.827499999999999"/>
    <n v="5"/>
  </r>
  <r>
    <n v="1319"/>
    <s v="OG46"/>
    <d v="2024-08-11T00:00:00"/>
    <x v="7"/>
    <x v="3"/>
    <s v="Standard Class"/>
    <s v="LW-16825"/>
    <s v="TEC-PH-10004586"/>
    <n v="230"/>
    <n v="22"/>
    <n v="9.5652173913043477"/>
    <x v="0"/>
    <s v="Children’s Comics"/>
    <s v="INR"/>
    <n v="847225"/>
    <s v="INDIA"/>
    <x v="9"/>
    <m/>
    <n v="575.91999999999996"/>
    <n v="2"/>
    <n v="0.2"/>
    <n v="71.989999999999995"/>
    <n v="251.96499999999997"/>
    <n v="2"/>
  </r>
  <r>
    <n v="1320"/>
    <s v="TC92"/>
    <d v="2024-08-12T00:00:00"/>
    <x v="7"/>
    <x v="3"/>
    <s v="Standard Class"/>
    <s v="LW-16825"/>
    <s v="OFF-BI-10000546"/>
    <n v="250"/>
    <n v="18"/>
    <n v="7.1999999999999993"/>
    <x v="1"/>
    <s v="Table Tennis Rackets"/>
    <s v="INR"/>
    <n v="682301"/>
    <s v="INDIA"/>
    <x v="11"/>
    <m/>
    <n v="5.1840000000000002"/>
    <n v="6"/>
    <n v="0.7"/>
    <n v="-3.6288"/>
    <n v="1.4687999999999999"/>
    <n v="3"/>
  </r>
  <r>
    <n v="1321"/>
    <s v="AX19"/>
    <d v="2024-08-13T00:00:00"/>
    <x v="7"/>
    <x v="3"/>
    <s v="Standard Class"/>
    <s v="MC-17575"/>
    <s v="OFF-BI-10002071"/>
    <n v="170"/>
    <n v="30"/>
    <n v="17.647058823529413"/>
    <x v="4"/>
    <s v="Smart Plugs"/>
    <s v="INR"/>
    <n v="560103"/>
    <s v="INDIA"/>
    <x v="4"/>
    <s v="Easy Ship"/>
    <n v="5.2290000000000001"/>
    <n v="3"/>
    <n v="0.7"/>
    <n v="-4.1832000000000003"/>
    <n v="3.1374"/>
    <n v="1"/>
  </r>
  <r>
    <n v="1322"/>
    <s v="BT93"/>
    <d v="2024-08-14T00:00:00"/>
    <x v="7"/>
    <x v="3"/>
    <s v="Standard Class"/>
    <s v="MC-17575"/>
    <s v="OFF-ST-10001490"/>
    <n v="160"/>
    <n v="30"/>
    <n v="18.75"/>
    <x v="2"/>
    <s v="Women’s Flats"/>
    <s v="INR"/>
    <n v="632403"/>
    <s v="INDIA"/>
    <x v="3"/>
    <m/>
    <n v="285.55200000000002"/>
    <n v="2"/>
    <n v="0.2"/>
    <n v="35.694000000000003"/>
    <n v="124.929"/>
    <n v="4"/>
  </r>
  <r>
    <n v="1323"/>
    <s v="GT11"/>
    <d v="2024-08-15T00:00:00"/>
    <x v="7"/>
    <x v="3"/>
    <s v="Standard Class"/>
    <s v="LP-17095"/>
    <s v="OFF-AP-10004859"/>
    <n v="250"/>
    <n v="24"/>
    <n v="9.6"/>
    <x v="5"/>
    <s v="Kitchen Mats"/>
    <s v="INR"/>
    <n v="414003"/>
    <s v="INDIA"/>
    <x v="18"/>
    <m/>
    <n v="72.8"/>
    <n v="5"/>
    <n v="0.1"/>
    <n v="19.655999999999999"/>
    <n v="10.6288"/>
    <n v="1"/>
  </r>
  <r>
    <n v="1324"/>
    <s v="VQ72"/>
    <d v="2024-08-16T00:00:00"/>
    <x v="7"/>
    <x v="3"/>
    <s v="First Class"/>
    <s v="EB-14170"/>
    <s v="OFF-PA-10002659"/>
    <n v="150"/>
    <n v="14"/>
    <n v="9.3333333333333339"/>
    <x v="3"/>
    <s v="Car Lights"/>
    <s v="INR"/>
    <n v="533003"/>
    <s v="INDIA"/>
    <x v="1"/>
    <m/>
    <n v="10.816000000000001"/>
    <n v="4"/>
    <n v="0.2"/>
    <n v="3.5152000000000001"/>
    <n v="1.8252000000000002"/>
    <n v="4"/>
  </r>
  <r>
    <n v="1325"/>
    <s v="BX43"/>
    <d v="2024-08-17T00:00:00"/>
    <x v="7"/>
    <x v="3"/>
    <s v="Standard Class"/>
    <s v="GZ-14545"/>
    <s v="OFF-ST-10001321"/>
    <n v="160"/>
    <n v="26"/>
    <n v="16.25"/>
    <x v="6"/>
    <s v="Playhouses"/>
    <s v="INR"/>
    <n v="560037"/>
    <s v="INDIA"/>
    <x v="14"/>
    <m/>
    <n v="46.26"/>
    <n v="3"/>
    <n v="0.1"/>
    <n v="12.4902"/>
    <n v="11.256599999999999"/>
    <n v="4"/>
  </r>
  <r>
    <n v="1326"/>
    <s v="MR74"/>
    <d v="2024-08-18T00:00:00"/>
    <x v="7"/>
    <x v="3"/>
    <s v="First Class"/>
    <s v="LE-16810"/>
    <s v="OFF-BI-10004139"/>
    <n v="250"/>
    <n v="16"/>
    <n v="6.4"/>
    <x v="7"/>
    <s v="Protein Powders"/>
    <s v="INR"/>
    <n v="560030"/>
    <s v="INDIA"/>
    <x v="14"/>
    <m/>
    <n v="17.46"/>
    <n v="6"/>
    <n v="0.8"/>
    <n v="-30.555"/>
    <n v="8.0024999999999995"/>
    <n v="1"/>
  </r>
  <r>
    <n v="1327"/>
    <s v="PK64"/>
    <d v="2024-08-19T00:00:00"/>
    <x v="7"/>
    <x v="3"/>
    <s v="Standard Class"/>
    <s v="AD-10180"/>
    <s v="FUR-FU-10001867"/>
    <n v="230"/>
    <n v="10"/>
    <n v="4.3478260869565215"/>
    <x v="8"/>
    <s v="Pet Chew Toys"/>
    <s v="INR"/>
    <n v="560030"/>
    <s v="INDIA"/>
    <x v="6"/>
    <s v="Easy Ship"/>
    <n v="51.072000000000003"/>
    <n v="6"/>
    <n v="0.2"/>
    <n v="5.1071999999999997"/>
    <n v="7.6608000000000009"/>
    <n v="3"/>
  </r>
  <r>
    <n v="1328"/>
    <s v="NK61"/>
    <d v="2024-08-20T00:00:00"/>
    <x v="7"/>
    <x v="3"/>
    <s v="First Class"/>
    <s v="CP-12085"/>
    <s v="OFF-PA-10004156"/>
    <n v="190"/>
    <n v="10"/>
    <n v="5.2631578947368416"/>
    <x v="2"/>
    <s v="Kids’ Accessories"/>
    <s v="INR"/>
    <n v="788151"/>
    <s v="INDIA"/>
    <x v="10"/>
    <m/>
    <n v="11.34"/>
    <n v="1"/>
    <n v="0.1"/>
    <n v="5.5566000000000004"/>
    <n v="5.7833999999999994"/>
    <n v="1"/>
  </r>
  <r>
    <n v="1329"/>
    <s v="BO51"/>
    <d v="2024-08-21T00:00:00"/>
    <x v="7"/>
    <x v="3"/>
    <s v="Second Class"/>
    <s v="FG-14260"/>
    <s v="OFF-AR-10002818"/>
    <n v="140"/>
    <n v="24"/>
    <n v="17.142857142857142"/>
    <x v="4"/>
    <s v="Smart Watches"/>
    <m/>
    <n v="322201"/>
    <s v="INDIA"/>
    <x v="17"/>
    <m/>
    <n v="87.92"/>
    <n v="4"/>
    <n v="0.1"/>
    <n v="26.376000000000001"/>
    <n v="15.385999999999999"/>
    <n v="4"/>
  </r>
  <r>
    <n v="1330"/>
    <s v="VL99"/>
    <d v="2024-08-22T00:00:00"/>
    <x v="7"/>
    <x v="3"/>
    <s v="Standard Class"/>
    <s v="LD-17005"/>
    <s v="FUR-FU-10003691"/>
    <n v="150"/>
    <n v="20"/>
    <n v="13.333333333333334"/>
    <x v="0"/>
    <s v="Children’s Poetry"/>
    <s v="INR"/>
    <n v="322201"/>
    <s v="INDIA"/>
    <x v="9"/>
    <m/>
    <n v="37.049999999999997"/>
    <n v="3"/>
    <n v="0.1"/>
    <n v="16.302"/>
    <n v="6.9159999999999995"/>
    <n v="3"/>
  </r>
  <r>
    <n v="1331"/>
    <s v="YT16"/>
    <d v="2024-08-23T00:00:00"/>
    <x v="7"/>
    <x v="3"/>
    <s v="Standard Class"/>
    <s v="AB-10255"/>
    <s v="TEC-PH-10000347"/>
    <n v="150"/>
    <n v="14"/>
    <n v="9.3333333333333339"/>
    <x v="1"/>
    <s v="Swimming Gear"/>
    <s v="INR"/>
    <n v="400607"/>
    <s v="INDIA"/>
    <x v="11"/>
    <m/>
    <n v="2.97"/>
    <n v="1"/>
    <n v="0.4"/>
    <n v="-0.64349999999999996"/>
    <n v="3.6135000000000002"/>
    <n v="4"/>
  </r>
  <r>
    <n v="1332"/>
    <s v="GI41"/>
    <d v="2024-08-24T00:00:00"/>
    <x v="7"/>
    <x v="3"/>
    <s v="Standard Class"/>
    <s v="AB-10255"/>
    <s v="OFF-ST-10004507"/>
    <n v="240"/>
    <n v="16"/>
    <n v="6.666666666666667"/>
    <x v="4"/>
    <s v="Smart Routers"/>
    <s v="INR"/>
    <n v="500027"/>
    <s v="INDIA"/>
    <x v="8"/>
    <s v="Easy Ship"/>
    <n v="27.44"/>
    <n v="2"/>
    <n v="0.2"/>
    <n v="2.4009999999999998"/>
    <n v="12.519500000000001"/>
    <n v="3"/>
  </r>
  <r>
    <n v="1333"/>
    <s v="FC34"/>
    <d v="2024-08-25T00:00:00"/>
    <x v="7"/>
    <x v="3"/>
    <s v="Standard Class"/>
    <s v="MN-17935"/>
    <s v="OFF-BI-10002012"/>
    <n v="140"/>
    <n v="26"/>
    <n v="18.571428571428573"/>
    <x v="2"/>
    <s v="Men’s Belts"/>
    <s v="INR"/>
    <n v="560100"/>
    <s v="INDIA"/>
    <x v="13"/>
    <m/>
    <n v="1.08"/>
    <n v="3"/>
    <n v="0.8"/>
    <n v="-1.728"/>
    <n v="0.93599999999999994"/>
    <n v="5"/>
  </r>
  <r>
    <n v="1334"/>
    <s v="SJ17"/>
    <d v="2024-08-26T00:00:00"/>
    <x v="7"/>
    <x v="3"/>
    <s v="Standard Class"/>
    <s v="MN-17935"/>
    <s v="OFF-AP-10001303"/>
    <n v="240"/>
    <n v="24"/>
    <n v="10"/>
    <x v="5"/>
    <s v="Kitchen Trays"/>
    <s v="INR"/>
    <n v="422009"/>
    <s v="INDIA"/>
    <x v="15"/>
    <m/>
    <n v="7.96"/>
    <n v="2"/>
    <n v="0.8"/>
    <n v="-13.93"/>
    <n v="10.945"/>
    <n v="4"/>
  </r>
  <r>
    <n v="1335"/>
    <s v="TW44"/>
    <d v="2024-08-27T00:00:00"/>
    <x v="7"/>
    <x v="3"/>
    <s v="Standard Class"/>
    <s v="HP-14815"/>
    <s v="OFF-BI-10003684"/>
    <n v="100"/>
    <n v="28"/>
    <n v="28.000000000000004"/>
    <x v="3"/>
    <s v="Car Mirrors"/>
    <s v="INR"/>
    <n v="800025"/>
    <s v="INDIA"/>
    <x v="3"/>
    <s v="Easy Ship"/>
    <n v="140.73599999999999"/>
    <n v="8"/>
    <n v="0.2"/>
    <n v="52.776000000000003"/>
    <n v="10.994999999999997"/>
    <n v="5"/>
  </r>
  <r>
    <n v="1336"/>
    <s v="NM14"/>
    <d v="2024-08-28T00:00:00"/>
    <x v="7"/>
    <x v="3"/>
    <s v="Standard Class"/>
    <s v="JR-15670"/>
    <s v="OFF-ST-10002574"/>
    <n v="190"/>
    <n v="30"/>
    <n v="15.789473684210526"/>
    <x v="6"/>
    <s v="Board Puzzles"/>
    <s v="INR"/>
    <n v="795001"/>
    <s v="INDIA"/>
    <x v="6"/>
    <m/>
    <n v="552.55999999999995"/>
    <n v="4"/>
    <n v="0.1"/>
    <n v="0.1"/>
    <n v="138.11499999999998"/>
    <n v="3"/>
  </r>
  <r>
    <n v="1337"/>
    <s v="EZ10"/>
    <d v="2024-08-29T00:00:00"/>
    <x v="7"/>
    <x v="3"/>
    <s v="Standard Class"/>
    <s v="JF-15190"/>
    <s v="FUR-FU-10003724"/>
    <n v="120"/>
    <n v="20"/>
    <n v="16.666666666666664"/>
    <x v="7"/>
    <s v="Herbal Teas"/>
    <s v="INR"/>
    <n v="500027"/>
    <s v="INDIA"/>
    <x v="0"/>
    <m/>
    <n v="25.11"/>
    <n v="3"/>
    <n v="0.1"/>
    <n v="6.5286"/>
    <n v="6.1937999999999995"/>
    <n v="4"/>
  </r>
  <r>
    <n v="1338"/>
    <s v="WY52"/>
    <d v="2024-08-30T00:00:00"/>
    <x v="7"/>
    <x v="3"/>
    <s v="Second Class"/>
    <s v="CM-12115"/>
    <s v="FUR-FU-10004018"/>
    <n v="210"/>
    <n v="10"/>
    <n v="4.7619047619047619"/>
    <x v="8"/>
    <s v="Pet Beds"/>
    <s v="INR"/>
    <n v="410206"/>
    <s v="INDIA"/>
    <x v="0"/>
    <m/>
    <n v="29.78"/>
    <n v="2"/>
    <n v="0.1"/>
    <n v="8.0405999999999995"/>
    <n v="10.869700000000002"/>
    <n v="1"/>
  </r>
  <r>
    <n v="1339"/>
    <s v="OT60"/>
    <d v="2024-08-31T00:00:00"/>
    <x v="7"/>
    <x v="3"/>
    <s v="Second Class"/>
    <s v="CM-12115"/>
    <s v="TEC-PH-10002549"/>
    <n v="100"/>
    <n v="24"/>
    <n v="24"/>
    <x v="2"/>
    <s v="Women’s Skirts"/>
    <s v="INR"/>
    <n v="411014"/>
    <s v="INDIA"/>
    <x v="3"/>
    <m/>
    <n v="677.58"/>
    <n v="3"/>
    <n v="0.1"/>
    <n v="176.17080000000001"/>
    <n v="167.13640000000001"/>
    <n v="1"/>
  </r>
  <r>
    <n v="1340"/>
    <s v="GS81"/>
    <d v="2024-09-01T00:00:00"/>
    <x v="8"/>
    <x v="3"/>
    <s v="Second Class"/>
    <s v="CM-12115"/>
    <s v="OFF-PA-10004911"/>
    <n v="200"/>
    <n v="14"/>
    <n v="7.0000000000000009"/>
    <x v="4"/>
    <s v="Smart Displays"/>
    <s v="INR"/>
    <n v="834001"/>
    <s v="INDIA"/>
    <x v="16"/>
    <m/>
    <n v="75.040000000000006"/>
    <n v="8"/>
    <n v="0.1"/>
    <n v="36.019199999999998"/>
    <n v="4.877600000000001"/>
    <n v="5"/>
  </r>
  <r>
    <n v="1341"/>
    <s v="IA42"/>
    <d v="2024-09-02T00:00:00"/>
    <x v="8"/>
    <x v="3"/>
    <s v="First Class"/>
    <s v="AS-10045"/>
    <s v="TEC-MA-10002178"/>
    <n v="130"/>
    <n v="14"/>
    <n v="10.76923076923077"/>
    <x v="0"/>
    <s v="Children’s Activity Books"/>
    <m/>
    <n v="788151"/>
    <s v="INDIA"/>
    <x v="3"/>
    <m/>
    <n v="695.7"/>
    <n v="2"/>
    <n v="0.5"/>
    <n v="-27.827999999999999"/>
    <n v="361.76400000000001"/>
    <n v="5"/>
  </r>
  <r>
    <n v="1342"/>
    <s v="FA35"/>
    <d v="2024-09-03T00:00:00"/>
    <x v="8"/>
    <x v="3"/>
    <s v="First Class"/>
    <s v="AS-10045"/>
    <s v="OFF-BI-10003694"/>
    <n v="220"/>
    <n v="12"/>
    <n v="5.4545454545454541"/>
    <x v="1"/>
    <s v="Rowing Machines"/>
    <s v="INR"/>
    <n v="400084"/>
    <s v="INDIA"/>
    <x v="6"/>
    <m/>
    <n v="15.66"/>
    <n v="5"/>
    <n v="0.7"/>
    <n v="-12.528"/>
    <n v="5.6376000000000008"/>
    <n v="2"/>
  </r>
  <r>
    <n v="1343"/>
    <s v="NQ18"/>
    <d v="2024-09-04T00:00:00"/>
    <x v="8"/>
    <x v="3"/>
    <s v="First Class"/>
    <s v="AS-10045"/>
    <s v="OFF-BI-10000474"/>
    <n v="180"/>
    <n v="6"/>
    <n v="3.3333333333333335"/>
    <x v="4"/>
    <s v="Smart Remotes"/>
    <s v="INR"/>
    <n v="132001"/>
    <s v="INDIA"/>
    <x v="9"/>
    <s v="Easy Ship"/>
    <n v="28.853999999999999"/>
    <n v="6"/>
    <n v="0.7"/>
    <n v="-21.159600000000001"/>
    <n v="8.3355999999999995"/>
    <n v="2"/>
  </r>
  <r>
    <n v="1344"/>
    <s v="IM24"/>
    <d v="2024-09-05T00:00:00"/>
    <x v="8"/>
    <x v="3"/>
    <s v="Standard Class"/>
    <s v="KB-16315"/>
    <s v="OFF-AR-10000411"/>
    <n v="110"/>
    <n v="30"/>
    <n v="27.27272727272727"/>
    <x v="2"/>
    <s v="Men’s Jackets"/>
    <s v="INR"/>
    <n v="700157"/>
    <s v="INDIA"/>
    <x v="16"/>
    <m/>
    <n v="47.82"/>
    <n v="3"/>
    <n v="0.1"/>
    <n v="14.346"/>
    <n v="11.158000000000001"/>
    <n v="4"/>
  </r>
  <r>
    <n v="1345"/>
    <s v="UF53"/>
    <d v="2024-09-06T00:00:00"/>
    <x v="8"/>
    <x v="3"/>
    <s v="Standard Class"/>
    <s v="KB-16315"/>
    <s v="OFF-LA-10000262"/>
    <n v="200"/>
    <n v="20"/>
    <n v="10"/>
    <x v="5"/>
    <s v="Kitchen Organizers"/>
    <s v="INR"/>
    <n v="444506"/>
    <s v="INDIA"/>
    <x v="17"/>
    <s v="Easy Ship"/>
    <n v="13.05"/>
    <n v="5"/>
    <n v="0.1"/>
    <n v="6.0030000000000001"/>
    <n v="1.4094000000000002"/>
    <n v="4"/>
  </r>
  <r>
    <n v="1346"/>
    <s v="LT49"/>
    <d v="2024-09-07T00:00:00"/>
    <x v="8"/>
    <x v="3"/>
    <s v="Standard Class"/>
    <s v="BN-11515"/>
    <s v="OFF-AP-10001154"/>
    <n v="160"/>
    <n v="18"/>
    <n v="11.25"/>
    <x v="3"/>
    <s v="Car Wipers"/>
    <s v="INR"/>
    <n v="390013"/>
    <s v="INDIA"/>
    <x v="7"/>
    <m/>
    <n v="93.78"/>
    <n v="2"/>
    <n v="0.1"/>
    <n v="36.574199999999998"/>
    <n v="28.602900000000002"/>
    <n v="5"/>
  </r>
  <r>
    <n v="1347"/>
    <s v="SN23"/>
    <d v="2024-09-08T00:00:00"/>
    <x v="8"/>
    <x v="3"/>
    <s v="Standard Class"/>
    <s v="BN-11515"/>
    <s v="OFF-PA-10000466"/>
    <n v="160"/>
    <n v="10"/>
    <n v="6.25"/>
    <x v="6"/>
    <s v="Play Kitchens"/>
    <s v="INR"/>
    <n v="390013"/>
    <s v="INDIA"/>
    <x v="3"/>
    <m/>
    <n v="47.18"/>
    <n v="7"/>
    <n v="0.1"/>
    <n v="23.59"/>
    <n v="3.37"/>
    <n v="3"/>
  </r>
  <r>
    <n v="1348"/>
    <s v="LD98"/>
    <d v="2024-09-09T00:00:00"/>
    <x v="8"/>
    <x v="3"/>
    <s v="Standard Class"/>
    <s v="BN-11515"/>
    <s v="OFF-AR-10003829"/>
    <n v="140"/>
    <n v="20"/>
    <n v="14.285714285714285"/>
    <x v="7"/>
    <s v="Protein Bars"/>
    <s v="INR"/>
    <n v="110041"/>
    <s v="INDIA"/>
    <x v="14"/>
    <m/>
    <n v="19.68"/>
    <n v="6"/>
    <n v="0.1"/>
    <n v="5.7072000000000003"/>
    <n v="2.3287999999999998"/>
    <n v="4"/>
  </r>
  <r>
    <n v="1349"/>
    <s v="HG88"/>
    <d v="2024-09-10T00:00:00"/>
    <x v="8"/>
    <x v="3"/>
    <s v="Standard Class"/>
    <s v="BN-11515"/>
    <s v="OFF-BI-10001758"/>
    <n v="140"/>
    <n v="6"/>
    <n v="4.2857142857142856"/>
    <x v="8"/>
    <s v="Pet Towels"/>
    <s v="INR"/>
    <n v="110041"/>
    <s v="INDIA"/>
    <x v="3"/>
    <m/>
    <n v="53.4"/>
    <n v="10"/>
    <n v="0.1"/>
    <n v="25.097999999999999"/>
    <n v="2.8302"/>
    <n v="2"/>
  </r>
  <r>
    <n v="1350"/>
    <s v="FG68"/>
    <d v="2024-09-11T00:00:00"/>
    <x v="8"/>
    <x v="3"/>
    <s v="Standard Class"/>
    <s v="BN-11515"/>
    <s v="OFF-BI-10000136"/>
    <n v="110"/>
    <n v="10"/>
    <n v="9.0909090909090917"/>
    <x v="2"/>
    <s v="Women’s Sunglasses"/>
    <s v="INR"/>
    <n v="110041"/>
    <s v="INDIA"/>
    <x v="13"/>
    <m/>
    <n v="35.880000000000003"/>
    <n v="6"/>
    <n v="0.1"/>
    <n v="17.2224"/>
    <n v="3.1096000000000004"/>
    <n v="3"/>
  </r>
  <r>
    <n v="1351"/>
    <s v="MX83"/>
    <d v="2024-09-12T00:00:00"/>
    <x v="8"/>
    <x v="3"/>
    <s v="Second Class"/>
    <s v="BP-11290"/>
    <s v="FUR-CH-10002880"/>
    <n v="250"/>
    <n v="30"/>
    <n v="12"/>
    <x v="4"/>
    <s v="Smart Sensors"/>
    <s v="INR"/>
    <n v="110011"/>
    <s v="INDIA"/>
    <x v="9"/>
    <m/>
    <n v="258.279"/>
    <n v="3"/>
    <n v="0.3"/>
    <n v="-70.104299999999995"/>
    <n v="109.46109999999999"/>
    <n v="3"/>
  </r>
  <r>
    <n v="1352"/>
    <s v="CC52"/>
    <d v="2024-09-13T00:00:00"/>
    <x v="8"/>
    <x v="3"/>
    <s v="First Class"/>
    <s v="AS-10045"/>
    <s v="OFF-ST-10000649"/>
    <n v="110"/>
    <n v="16"/>
    <n v="14.545454545454545"/>
    <x v="0"/>
    <s v="Children’s Storybooks"/>
    <s v="INR"/>
    <n v="110011"/>
    <s v="INDIA"/>
    <x v="6"/>
    <m/>
    <n v="31.4"/>
    <n v="2"/>
    <n v="0.1"/>
    <n v="7.85"/>
    <n v="11.774999999999999"/>
    <n v="3"/>
  </r>
  <r>
    <n v="1353"/>
    <s v="BH15"/>
    <d v="2024-09-14T00:00:00"/>
    <x v="8"/>
    <x v="3"/>
    <s v="Standard Class"/>
    <s v="LW-16990"/>
    <s v="TEC-PH-10003092"/>
    <n v="210"/>
    <n v="16"/>
    <n v="7.6190476190476195"/>
    <x v="1"/>
    <s v="Elliptical Trainers"/>
    <m/>
    <n v="560056"/>
    <s v="INDIA"/>
    <x v="2"/>
    <m/>
    <n v="183.96"/>
    <n v="5"/>
    <n v="0.2"/>
    <n v="20.695499999999999"/>
    <n v="32.652900000000002"/>
    <n v="1"/>
  </r>
  <r>
    <n v="1354"/>
    <s v="TS63"/>
    <d v="2024-09-15T00:00:00"/>
    <x v="8"/>
    <x v="3"/>
    <s v="Standard Class"/>
    <s v="LW-16990"/>
    <s v="OFF-PA-10002250"/>
    <n v="140"/>
    <n v="30"/>
    <n v="21.428571428571427"/>
    <x v="4"/>
    <s v="Smart Thermostats"/>
    <s v="INR"/>
    <n v="500097"/>
    <s v="INDIA"/>
    <x v="3"/>
    <s v="Easy Ship"/>
    <n v="17.61"/>
    <n v="3"/>
    <n v="0.1"/>
    <n v="8.4527999999999999"/>
    <n v="3.0524"/>
    <n v="1"/>
  </r>
  <r>
    <n v="1355"/>
    <s v="NX43"/>
    <d v="2024-09-16T00:00:00"/>
    <x v="8"/>
    <x v="3"/>
    <s v="Standard Class"/>
    <s v="LW-16990"/>
    <s v="FUR-TA-10003473"/>
    <n v="230"/>
    <n v="10"/>
    <n v="4.3478260869565215"/>
    <x v="2"/>
    <s v="Kids’ Dresses"/>
    <s v="INR"/>
    <n v="431605"/>
    <s v="INDIA"/>
    <x v="1"/>
    <m/>
    <n v="300.904"/>
    <n v="1"/>
    <n v="0.2"/>
    <n v="11.283899999999999"/>
    <n v="289.62009999999998"/>
    <n v="4"/>
  </r>
  <r>
    <n v="1356"/>
    <s v="WO16"/>
    <d v="2024-09-17T00:00:00"/>
    <x v="8"/>
    <x v="3"/>
    <s v="Same Day"/>
    <s v="DC-12850"/>
    <s v="OFF-ST-10001522"/>
    <n v="170"/>
    <n v="6"/>
    <n v="3.5294117647058822"/>
    <x v="5"/>
    <s v="Kitchen Containers"/>
    <s v="INR"/>
    <n v="800025"/>
    <s v="INDIA"/>
    <x v="5"/>
    <m/>
    <n v="220.77600000000001"/>
    <n v="3"/>
    <n v="0.2"/>
    <n v="-44.155200000000001"/>
    <n v="88.310400000000001"/>
    <n v="1"/>
  </r>
  <r>
    <n v="1357"/>
    <s v="QU84"/>
    <d v="2024-09-18T00:00:00"/>
    <x v="8"/>
    <x v="3"/>
    <s v="Same Day"/>
    <s v="DC-12850"/>
    <s v="OFF-ST-10000563"/>
    <n v="220"/>
    <n v="28"/>
    <n v="12.727272727272727"/>
    <x v="3"/>
    <s v="Car Steering Covers"/>
    <s v="INR"/>
    <n v="515134"/>
    <s v="INDIA"/>
    <x v="3"/>
    <m/>
    <n v="281.42399999999998"/>
    <n v="11"/>
    <n v="0.2"/>
    <n v="-35.177999999999997"/>
    <n v="28.781999999999996"/>
    <n v="3"/>
  </r>
  <r>
    <n v="1358"/>
    <s v="WT20"/>
    <d v="2024-09-19T00:00:00"/>
    <x v="8"/>
    <x v="3"/>
    <s v="First Class"/>
    <s v="ND-18370"/>
    <s v="OFF-PA-10003641"/>
    <n v="190"/>
    <n v="28"/>
    <n v="14.736842105263156"/>
    <x v="6"/>
    <s v="Construction Sets"/>
    <s v="INR"/>
    <n v="395001"/>
    <s v="INDIA"/>
    <x v="1"/>
    <m/>
    <n v="79.14"/>
    <n v="3"/>
    <n v="0.1"/>
    <n v="36.404400000000003"/>
    <n v="14.245199999999999"/>
    <n v="2"/>
  </r>
  <r>
    <n v="1359"/>
    <s v="OK85"/>
    <d v="2024-09-20T00:00:00"/>
    <x v="8"/>
    <x v="3"/>
    <s v="First Class"/>
    <s v="LB-16735"/>
    <s v="FUR-FU-10000010"/>
    <n v="150"/>
    <n v="12"/>
    <n v="8"/>
    <x v="7"/>
    <s v="Juices"/>
    <s v="INR"/>
    <n v="222001"/>
    <s v="INDIA"/>
    <x v="17"/>
    <m/>
    <n v="1.988"/>
    <n v="1"/>
    <n v="0.6"/>
    <n v="-1.4413"/>
    <n v="3.4293"/>
    <n v="5"/>
  </r>
  <r>
    <n v="1360"/>
    <s v="CQ11"/>
    <d v="2024-09-21T00:00:00"/>
    <x v="8"/>
    <x v="3"/>
    <s v="Second Class"/>
    <s v="KT-16465"/>
    <s v="FUR-CH-10002961"/>
    <n v="170"/>
    <n v="22"/>
    <n v="12.941176470588237"/>
    <x v="8"/>
    <s v="Pet Harnesses"/>
    <s v="INR"/>
    <n v="560095"/>
    <s v="INDIA"/>
    <x v="19"/>
    <s v="Easy Ship"/>
    <n v="145.56800000000001"/>
    <n v="2"/>
    <n v="0.2"/>
    <n v="0.1"/>
    <n v="72.734000000000009"/>
    <n v="5"/>
  </r>
  <r>
    <n v="1361"/>
    <s v="LJ49"/>
    <d v="2024-09-22T00:00:00"/>
    <x v="8"/>
    <x v="3"/>
    <s v="Standard Class"/>
    <s v="HM-14860"/>
    <s v="OFF-AR-10002956"/>
    <n v="190"/>
    <n v="26"/>
    <n v="13.684210526315791"/>
    <x v="2"/>
    <s v="Men’s Accessories"/>
    <s v="INR"/>
    <n v="560064"/>
    <s v="INDIA"/>
    <x v="14"/>
    <m/>
    <n v="123.256"/>
    <n v="7"/>
    <n v="0.2"/>
    <n v="9.2441999999999993"/>
    <n v="16.287399999999998"/>
    <n v="4"/>
  </r>
  <r>
    <n v="1362"/>
    <s v="UL92"/>
    <d v="2024-09-23T00:00:00"/>
    <x v="8"/>
    <x v="3"/>
    <s v="Standard Class"/>
    <s v="HM-14860"/>
    <s v="OFF-PA-10004041"/>
    <n v="120"/>
    <n v="24"/>
    <n v="20"/>
    <x v="4"/>
    <s v="Smart Home Hubs"/>
    <s v="INR"/>
    <n v="226029"/>
    <s v="INDIA"/>
    <x v="19"/>
    <m/>
    <n v="23.68"/>
    <n v="4"/>
    <n v="0.2"/>
    <n v="7.4"/>
    <n v="4.07"/>
    <n v="3"/>
  </r>
  <r>
    <n v="1363"/>
    <s v="UV60"/>
    <d v="2024-09-24T00:00:00"/>
    <x v="8"/>
    <x v="3"/>
    <s v="Standard Class"/>
    <s v="HM-14860"/>
    <s v="TEC-PH-10001336"/>
    <n v="250"/>
    <n v="18"/>
    <n v="7.1999999999999993"/>
    <x v="0"/>
    <s v="Children’s Educational Books"/>
    <m/>
    <n v="222001"/>
    <s v="INDIA"/>
    <x v="3"/>
    <s v="Easy Ship"/>
    <n v="309.57600000000002"/>
    <n v="4"/>
    <n v="0.4"/>
    <n v="-56.755600000000001"/>
    <n v="91.582900000000009"/>
    <n v="2"/>
  </r>
  <r>
    <n v="1364"/>
    <s v="EV79"/>
    <d v="2024-09-25T00:00:00"/>
    <x v="8"/>
    <x v="3"/>
    <s v="First Class"/>
    <s v="AB-10600"/>
    <s v="OFF-BI-10001036"/>
    <n v="140"/>
    <n v="8"/>
    <n v="5.7142857142857144"/>
    <x v="1"/>
    <s v="Archery Gear"/>
    <s v="INR"/>
    <n v="500032"/>
    <s v="INDIA"/>
    <x v="10"/>
    <m/>
    <n v="38.387999999999998"/>
    <n v="14"/>
    <n v="0.7"/>
    <n v="-25.591999999999999"/>
    <n v="4.5699999999999994"/>
    <n v="3"/>
  </r>
  <r>
    <n v="1365"/>
    <s v="PK36"/>
    <d v="2024-09-26T00:00:00"/>
    <x v="8"/>
    <x v="3"/>
    <s v="First Class"/>
    <s v="AB-10600"/>
    <s v="TEC-MA-10003183"/>
    <n v="110"/>
    <n v="18"/>
    <n v="16.363636363636363"/>
    <x v="4"/>
    <s v="Smart Switches"/>
    <s v="INR"/>
    <n v="201301"/>
    <s v="INDIA"/>
    <x v="3"/>
    <s v="Easy Ship"/>
    <n v="95.994"/>
    <n v="2"/>
    <n v="0.7"/>
    <n v="-63.996000000000002"/>
    <n v="79.995000000000005"/>
    <n v="5"/>
  </r>
  <r>
    <n v="1366"/>
    <s v="LP30"/>
    <d v="2024-09-27T00:00:00"/>
    <x v="8"/>
    <x v="3"/>
    <s v="First Class"/>
    <s v="AB-10600"/>
    <s v="TEC-AC-10001314"/>
    <n v="190"/>
    <n v="24"/>
    <n v="12.631578947368421"/>
    <x v="2"/>
    <s v="Women’s Scarves"/>
    <s v="INR"/>
    <n v="801503"/>
    <s v="INDIA"/>
    <x v="0"/>
    <s v="Easy Ship"/>
    <n v="239.952"/>
    <n v="6"/>
    <n v="0.2"/>
    <n v="-35.992800000000003"/>
    <n v="45.9908"/>
    <n v="3"/>
  </r>
  <r>
    <n v="1367"/>
    <s v="DT98"/>
    <d v="2024-09-28T00:00:00"/>
    <x v="8"/>
    <x v="3"/>
    <s v="First Class"/>
    <s v="AB-10600"/>
    <s v="TEC-PH-10002563"/>
    <n v="190"/>
    <n v="24"/>
    <n v="12.631578947368421"/>
    <x v="5"/>
    <s v="Kitchen Utensils"/>
    <s v="INR"/>
    <n v="700092"/>
    <s v="INDIA"/>
    <x v="2"/>
    <m/>
    <n v="201.584"/>
    <n v="2"/>
    <n v="0.2"/>
    <n v="15.1188"/>
    <n v="93.232600000000005"/>
    <n v="5"/>
  </r>
  <r>
    <n v="1368"/>
    <s v="VP20"/>
    <d v="2024-09-29T00:00:00"/>
    <x v="8"/>
    <x v="3"/>
    <s v="First Class"/>
    <s v="AB-10600"/>
    <s v="FUR-CH-10003312"/>
    <n v="180"/>
    <n v="12"/>
    <n v="6.666666666666667"/>
    <x v="3"/>
    <s v="Car Dash Cameras"/>
    <s v="INR"/>
    <n v="560076"/>
    <s v="INDIA"/>
    <x v="3"/>
    <m/>
    <n v="899.13599999999997"/>
    <n v="4"/>
    <n v="0.2"/>
    <n v="-146.1096"/>
    <n v="261.31139999999999"/>
    <n v="3"/>
  </r>
  <r>
    <n v="1369"/>
    <s v="ZA80"/>
    <d v="2024-09-30T00:00:00"/>
    <x v="8"/>
    <x v="3"/>
    <s v="First Class"/>
    <s v="SZ-20035"/>
    <s v="FUR-FU-10001588"/>
    <n v="170"/>
    <n v="18"/>
    <n v="10.588235294117647"/>
    <x v="6"/>
    <s v="Role Play Sets"/>
    <s v="INR"/>
    <n v="500015"/>
    <s v="INDIA"/>
    <x v="16"/>
    <m/>
    <n v="145.9"/>
    <n v="5"/>
    <n v="0.1"/>
    <n v="62.737000000000002"/>
    <n v="16.632600000000004"/>
    <n v="2"/>
  </r>
  <r>
    <n v="1370"/>
    <s v="CB32"/>
    <d v="2024-10-01T00:00:00"/>
    <x v="9"/>
    <x v="3"/>
    <s v="Standard Class"/>
    <s v="JR-15670"/>
    <s v="FUR-BO-10002613"/>
    <n v="140"/>
    <n v="10"/>
    <n v="7.1428571428571423"/>
    <x v="7"/>
    <s v="Pickles"/>
    <s v="INR"/>
    <n v="122004"/>
    <s v="INDIA"/>
    <x v="19"/>
    <m/>
    <n v="590.05799999999999"/>
    <n v="7"/>
    <n v="0.7"/>
    <n v="-786.74400000000003"/>
    <n v="196.68600000000001"/>
    <n v="5"/>
  </r>
  <r>
    <n v="1371"/>
    <s v="MB42"/>
    <d v="2024-10-02T00:00:00"/>
    <x v="9"/>
    <x v="3"/>
    <s v="Standard Class"/>
    <s v="JR-15670"/>
    <s v="OFF-AR-10003405"/>
    <n v="120"/>
    <n v="14"/>
    <n v="11.666666666666666"/>
    <x v="8"/>
    <s v="Pet Blankets"/>
    <s v="INR"/>
    <n v="560086"/>
    <s v="INDIA"/>
    <x v="17"/>
    <m/>
    <n v="14.04"/>
    <n v="3"/>
    <n v="0.2"/>
    <n v="1.5794999999999999"/>
    <n v="4.1535000000000002"/>
    <n v="5"/>
  </r>
  <r>
    <n v="1372"/>
    <s v="FQ77"/>
    <d v="2024-10-03T00:00:00"/>
    <x v="9"/>
    <x v="3"/>
    <s v="Standard Class"/>
    <s v="MG-17890"/>
    <s v="TEC-AC-10004510"/>
    <n v="210"/>
    <n v="6"/>
    <n v="2.8571428571428572"/>
    <x v="2"/>
    <s v="Men’s Sports Shoes"/>
    <s v="INR"/>
    <n v="400605"/>
    <s v="INDIA"/>
    <x v="4"/>
    <m/>
    <n v="49.08"/>
    <n v="3"/>
    <n v="0.1"/>
    <n v="4.9080000000000004"/>
    <n v="14.723999999999998"/>
    <n v="1"/>
  </r>
  <r>
    <n v="1373"/>
    <s v="UY17"/>
    <d v="2024-10-04T00:00:00"/>
    <x v="9"/>
    <x v="3"/>
    <s v="Second Class"/>
    <s v="KM-16720"/>
    <s v="OFF-LA-10002312"/>
    <n v="210"/>
    <n v="22"/>
    <n v="10.476190476190476"/>
    <x v="4"/>
    <s v="Speakers"/>
    <s v="INR"/>
    <n v="695010"/>
    <s v="INDIA"/>
    <x v="0"/>
    <m/>
    <n v="29.6"/>
    <n v="2"/>
    <n v="0.1"/>
    <n v="14.8"/>
    <n v="7.4"/>
    <n v="1"/>
  </r>
  <r>
    <n v="1374"/>
    <s v="NL17"/>
    <d v="2024-10-05T00:00:00"/>
    <x v="9"/>
    <x v="3"/>
    <s v="Second Class"/>
    <s v="KM-16720"/>
    <s v="OFF-BI-10000042"/>
    <n v="150"/>
    <n v="10"/>
    <n v="6.666666666666667"/>
    <x v="1"/>
    <s v="Badminton Gear"/>
    <s v="INR"/>
    <n v="560068"/>
    <s v="INDIA"/>
    <x v="14"/>
    <s v="Easy Ship"/>
    <n v="17.088000000000001"/>
    <n v="4"/>
    <n v="0.2"/>
    <n v="5.5536000000000003"/>
    <n v="2.8836000000000004"/>
    <n v="3"/>
  </r>
  <r>
    <n v="1375"/>
    <s v="ZF20"/>
    <d v="2024-10-06T00:00:00"/>
    <x v="9"/>
    <x v="3"/>
    <s v="Standard Class"/>
    <s v="CA-12265"/>
    <s v="FUR-TA-10003008"/>
    <n v="250"/>
    <n v="30"/>
    <n v="12"/>
    <x v="0"/>
    <s v="Anthologies"/>
    <s v="INR"/>
    <n v="802101"/>
    <s v="INDIA"/>
    <x v="18"/>
    <m/>
    <n v="912.75"/>
    <n v="5"/>
    <n v="0.1"/>
    <n v="118.6575"/>
    <n v="158.8185"/>
    <n v="3"/>
  </r>
  <r>
    <n v="1376"/>
    <s v="ZZ85"/>
    <d v="2024-10-07T00:00:00"/>
    <x v="9"/>
    <x v="3"/>
    <s v="Second Class"/>
    <s v="VD-21670"/>
    <s v="OFF-AP-10003590"/>
    <n v="220"/>
    <n v="22"/>
    <n v="10"/>
    <x v="5"/>
    <s v="Kitchen Racks"/>
    <s v="INR"/>
    <n v="500032"/>
    <s v="INDIA"/>
    <x v="2"/>
    <m/>
    <n v="1089.75"/>
    <n v="3"/>
    <n v="0.1"/>
    <n v="305.13"/>
    <n v="261.54000000000002"/>
    <n v="1"/>
  </r>
  <r>
    <n v="1377"/>
    <s v="ZV70"/>
    <d v="2024-10-08T00:00:00"/>
    <x v="9"/>
    <x v="3"/>
    <s v="Second Class"/>
    <s v="VD-21670"/>
    <s v="OFF-PA-10000806"/>
    <n v="150"/>
    <n v="6"/>
    <n v="4"/>
    <x v="3"/>
    <s v="Car Horns"/>
    <s v="INR"/>
    <n v="700151"/>
    <s v="INDIA"/>
    <x v="5"/>
    <m/>
    <n v="447.84"/>
    <n v="8"/>
    <n v="0.1"/>
    <n v="219.44159999999999"/>
    <n v="28.549799999999998"/>
    <n v="4"/>
  </r>
  <r>
    <n v="1378"/>
    <s v="HT43"/>
    <d v="2024-10-09T00:00:00"/>
    <x v="9"/>
    <x v="3"/>
    <s v="Second Class"/>
    <s v="VD-21670"/>
    <s v="OFF-AR-10000896"/>
    <n v="200"/>
    <n v="20"/>
    <n v="10"/>
    <x v="6"/>
    <s v="Magic Kits"/>
    <s v="INR"/>
    <n v="670643"/>
    <s v="INDIA"/>
    <x v="0"/>
    <m/>
    <n v="16.399999999999999"/>
    <n v="5"/>
    <n v="0.1"/>
    <n v="4.2640000000000002"/>
    <n v="2.4272"/>
    <n v="5"/>
  </r>
  <r>
    <n v="1379"/>
    <s v="XV49"/>
    <d v="2024-10-10T00:00:00"/>
    <x v="9"/>
    <x v="3"/>
    <s v="Second Class"/>
    <s v="VD-21670"/>
    <s v="TEC-PH-10002310"/>
    <n v="190"/>
    <n v="26"/>
    <n v="13.684210526315791"/>
    <x v="7"/>
    <s v="Chocolates"/>
    <s v="INR"/>
    <n v="560066"/>
    <s v="INDIA"/>
    <x v="0"/>
    <s v="Easy Ship"/>
    <n v="399.96"/>
    <n v="5"/>
    <n v="0.2"/>
    <n v="34.996499999999997"/>
    <n v="72.992699999999985"/>
    <n v="1"/>
  </r>
  <r>
    <n v="1380"/>
    <s v="VF32"/>
    <d v="2024-10-11T00:00:00"/>
    <x v="9"/>
    <x v="3"/>
    <s v="Second Class"/>
    <s v="VD-21670"/>
    <s v="OFF-ST-10002289"/>
    <n v="160"/>
    <n v="22"/>
    <n v="13.750000000000002"/>
    <x v="8"/>
    <s v="Pet Harnesses"/>
    <s v="INR"/>
    <n v="600041"/>
    <s v="INDIA"/>
    <x v="1"/>
    <m/>
    <n v="158.9"/>
    <n v="5"/>
    <n v="0.1"/>
    <n v="7.9450000000000003"/>
    <n v="30.191000000000003"/>
    <n v="3"/>
  </r>
  <r>
    <n v="1381"/>
    <s v="YN63"/>
    <d v="2024-10-12T00:00:00"/>
    <x v="9"/>
    <x v="3"/>
    <s v="Second Class"/>
    <s v="VD-21670"/>
    <s v="OFF-BI-10002852"/>
    <n v="200"/>
    <n v="20"/>
    <n v="10"/>
    <x v="2"/>
    <s v="Women’s Coats"/>
    <s v="INR"/>
    <n v="462030"/>
    <s v="INDIA"/>
    <x v="18"/>
    <s v="Easy Ship"/>
    <n v="13.183999999999999"/>
    <n v="1"/>
    <n v="0.2"/>
    <n v="4.7792000000000003"/>
    <n v="8.4047999999999981"/>
    <n v="2"/>
  </r>
  <r>
    <n v="1382"/>
    <s v="IN48"/>
    <d v="2024-10-13T00:00:00"/>
    <x v="9"/>
    <x v="3"/>
    <s v="Standard Class"/>
    <s v="JK-16120"/>
    <s v="FUR-FU-10003394"/>
    <n v="130"/>
    <n v="12"/>
    <n v="9.2307692307692317"/>
    <x v="4"/>
    <s v="Digital Cameras"/>
    <s v="INR"/>
    <n v="560035"/>
    <s v="INDIA"/>
    <x v="0"/>
    <m/>
    <n v="83.951999999999998"/>
    <n v="3"/>
    <n v="0.6"/>
    <n v="-90.248400000000004"/>
    <n v="58.066800000000001"/>
    <n v="5"/>
  </r>
  <r>
    <n v="1383"/>
    <s v="VY10"/>
    <d v="2024-10-14T00:00:00"/>
    <x v="9"/>
    <x v="3"/>
    <s v="Same Day"/>
    <s v="PP-18955"/>
    <s v="OFF-ST-10002344"/>
    <n v="210"/>
    <n v="24"/>
    <n v="11.428571428571429"/>
    <x v="0"/>
    <s v="Children’s Storybooks"/>
    <s v="INR"/>
    <n v="500060"/>
    <s v="INDIA"/>
    <x v="5"/>
    <m/>
    <n v="80.98"/>
    <n v="1"/>
    <n v="0.1"/>
    <n v="1.6195999999999999"/>
    <n v="79.360399999999998"/>
    <n v="3"/>
  </r>
  <r>
    <n v="1384"/>
    <s v="ZG93"/>
    <d v="2024-10-15T00:00:00"/>
    <x v="9"/>
    <x v="3"/>
    <s v="Same Day"/>
    <s v="PP-18955"/>
    <s v="OFF-PA-10001289"/>
    <n v="130"/>
    <n v="10"/>
    <n v="7.6923076923076925"/>
    <x v="1"/>
    <s v="Elliptical Trainers"/>
    <s v="INR"/>
    <n v="560037"/>
    <s v="INDIA"/>
    <x v="16"/>
    <m/>
    <n v="348.84"/>
    <n v="9"/>
    <n v="0.1"/>
    <n v="170.9316"/>
    <n v="19.767599999999998"/>
    <n v="1"/>
  </r>
  <r>
    <n v="1385"/>
    <s v="SS28"/>
    <d v="2024-10-16T00:00:00"/>
    <x v="9"/>
    <x v="3"/>
    <s v="Same Day"/>
    <s v="PP-18955"/>
    <s v="OFF-FA-10000053"/>
    <n v="180"/>
    <n v="6"/>
    <n v="3.3333333333333335"/>
    <x v="4"/>
    <s v="Smart Thermostats"/>
    <s v="INR"/>
    <n v="302017"/>
    <s v="INDIA"/>
    <x v="0"/>
    <m/>
    <n v="9.4499999999999993"/>
    <n v="5"/>
    <n v="0.1"/>
    <n v="0.189"/>
    <n v="1.8521999999999998"/>
    <n v="2"/>
  </r>
  <r>
    <n v="1386"/>
    <s v="BU52"/>
    <d v="2024-10-17T00:00:00"/>
    <x v="9"/>
    <x v="3"/>
    <s v="Same Day"/>
    <s v="PP-18955"/>
    <s v="FUR-FU-10004091"/>
    <n v="170"/>
    <n v="14"/>
    <n v="8.235294117647058"/>
    <x v="2"/>
    <s v="Kids’ Dresses"/>
    <s v="INR"/>
    <n v="110074"/>
    <s v="INDIA"/>
    <x v="10"/>
    <m/>
    <n v="18.84"/>
    <n v="3"/>
    <n v="0.1"/>
    <n v="7.1592000000000002"/>
    <n v="3.8935999999999997"/>
    <n v="4"/>
  </r>
  <r>
    <n v="1387"/>
    <s v="BC35"/>
    <d v="2024-10-18T00:00:00"/>
    <x v="9"/>
    <x v="3"/>
    <s v="Same Day"/>
    <s v="PP-18955"/>
    <s v="FUR-BO-10004015"/>
    <n v="130"/>
    <n v="16"/>
    <n v="12.307692307692308"/>
    <x v="5"/>
    <s v="Kitchen Knives"/>
    <m/>
    <n v="852131"/>
    <s v="INDIA"/>
    <x v="10"/>
    <m/>
    <n v="239.98"/>
    <n v="2"/>
    <n v="0.1"/>
    <n v="52.7956"/>
    <n v="93.592199999999991"/>
    <n v="1"/>
  </r>
  <r>
    <n v="1388"/>
    <s v="ES51"/>
    <d v="2024-10-19T00:00:00"/>
    <x v="9"/>
    <x v="3"/>
    <s v="Same Day"/>
    <s v="PP-18955"/>
    <s v="OFF-EN-10003001"/>
    <n v="240"/>
    <n v="22"/>
    <n v="9.1666666666666661"/>
    <x v="3"/>
    <s v="Car Steering Covers"/>
    <s v="INR"/>
    <n v="627003"/>
    <s v="INDIA"/>
    <x v="0"/>
    <s v="Easy Ship"/>
    <n v="167.96"/>
    <n v="2"/>
    <n v="0.1"/>
    <n v="78.941199999999995"/>
    <n v="44.509400000000007"/>
    <n v="2"/>
  </r>
  <r>
    <n v="1389"/>
    <s v="SV44"/>
    <d v="2024-10-20T00:00:00"/>
    <x v="9"/>
    <x v="3"/>
    <s v="Same Day"/>
    <s v="PP-18955"/>
    <s v="TEC-PH-10000215"/>
    <n v="130"/>
    <n v="6"/>
    <n v="4.6153846153846159"/>
    <x v="6"/>
    <s v="Construction Sets"/>
    <m/>
    <n v="500061"/>
    <s v="INDIA"/>
    <x v="3"/>
    <m/>
    <n v="104.85"/>
    <n v="3"/>
    <n v="0.1"/>
    <n v="28.3095"/>
    <n v="25.513499999999997"/>
    <n v="2"/>
  </r>
  <r>
    <n v="1390"/>
    <s v="EI68"/>
    <d v="2024-10-21T00:00:00"/>
    <x v="9"/>
    <x v="3"/>
    <s v="Same Day"/>
    <s v="PP-18955"/>
    <s v="TEC-PH-10003645"/>
    <n v="100"/>
    <n v="20"/>
    <n v="20"/>
    <x v="7"/>
    <s v="Juices"/>
    <s v="INR"/>
    <n v="638008"/>
    <s v="INDIA"/>
    <x v="14"/>
    <m/>
    <n v="484.83"/>
    <n v="3"/>
    <n v="0.1"/>
    <n v="126.0558"/>
    <n v="119.59139999999998"/>
    <n v="4"/>
  </r>
  <r>
    <n v="1391"/>
    <s v="KD54"/>
    <d v="2024-10-22T00:00:00"/>
    <x v="9"/>
    <x v="3"/>
    <s v="Same Day"/>
    <s v="PP-18955"/>
    <s v="OFF-PA-10000357"/>
    <n v="200"/>
    <n v="22"/>
    <n v="11"/>
    <x v="8"/>
    <s v="Pet Towels"/>
    <s v="INR"/>
    <n v="121002"/>
    <s v="INDIA"/>
    <x v="7"/>
    <m/>
    <n v="122.97"/>
    <n v="3"/>
    <n v="0.1"/>
    <n v="60.255299999999998"/>
    <n v="20.904900000000001"/>
    <n v="2"/>
  </r>
  <r>
    <n v="1392"/>
    <s v="IC72"/>
    <d v="2024-10-23T00:00:00"/>
    <x v="9"/>
    <x v="3"/>
    <s v="Same Day"/>
    <s v="PP-18955"/>
    <s v="OFF-ST-10004804"/>
    <n v="180"/>
    <n v="8"/>
    <n v="4.4444444444444446"/>
    <x v="2"/>
    <s v="Men’s Accessories"/>
    <s v="INR"/>
    <n v="110067"/>
    <s v="INDIA"/>
    <x v="6"/>
    <m/>
    <n v="154.44"/>
    <n v="3"/>
    <n v="0.1"/>
    <n v="1.5444"/>
    <n v="50.965200000000003"/>
    <n v="1"/>
  </r>
  <r>
    <n v="1393"/>
    <s v="YZ29"/>
    <d v="2024-10-24T00:00:00"/>
    <x v="9"/>
    <x v="3"/>
    <s v="Same Day"/>
    <s v="PP-18955"/>
    <s v="OFF-PA-10003892"/>
    <n v="170"/>
    <n v="10"/>
    <n v="5.8823529411764701"/>
    <x v="4"/>
    <s v="Smart Speakers"/>
    <s v="INR"/>
    <n v="600058"/>
    <s v="INDIA"/>
    <x v="16"/>
    <s v="Easy Ship"/>
    <n v="342.37"/>
    <n v="7"/>
    <n v="0.1"/>
    <n v="160.91390000000001"/>
    <n v="25.9223"/>
    <n v="5"/>
  </r>
  <r>
    <n v="1394"/>
    <s v="GP91"/>
    <d v="2024-10-25T00:00:00"/>
    <x v="9"/>
    <x v="3"/>
    <s v="First Class"/>
    <s v="YS-21880"/>
    <s v="OFF-AR-10003514"/>
    <n v="100"/>
    <n v="22"/>
    <n v="22"/>
    <x v="1"/>
    <s v="Martial Arts Gear"/>
    <s v="INR"/>
    <n v="380061"/>
    <s v="INDIA"/>
    <x v="11"/>
    <s v="Easy Ship"/>
    <n v="9.5519999999999996"/>
    <n v="3"/>
    <n v="0.2"/>
    <n v="1.5522"/>
    <n v="2.6665999999999999"/>
    <n v="1"/>
  </r>
  <r>
    <n v="1395"/>
    <s v="CN66"/>
    <d v="2024-10-26T00:00:00"/>
    <x v="9"/>
    <x v="3"/>
    <s v="Standard Class"/>
    <s v="CK-12760"/>
    <s v="FUR-TA-10002958"/>
    <n v="120"/>
    <n v="18"/>
    <n v="15"/>
    <x v="0"/>
    <s v="Encyclopedias"/>
    <m/>
    <n v="500043"/>
    <s v="INDIA"/>
    <x v="3"/>
    <m/>
    <n v="652.45000000000005"/>
    <n v="5"/>
    <n v="0.5"/>
    <n v="-430.61700000000002"/>
    <n v="216.61340000000001"/>
    <n v="1"/>
  </r>
  <r>
    <n v="1396"/>
    <s v="AU99"/>
    <d v="2024-10-27T00:00:00"/>
    <x v="9"/>
    <x v="3"/>
    <s v="Standard Class"/>
    <s v="CK-12760"/>
    <s v="FUR-TA-10001676"/>
    <n v="180"/>
    <n v="26"/>
    <n v="14.444444444444443"/>
    <x v="5"/>
    <s v="Kitchen Shelves"/>
    <s v="INR"/>
    <n v="515134"/>
    <s v="INDIA"/>
    <x v="5"/>
    <m/>
    <n v="66.644999999999996"/>
    <n v="3"/>
    <n v="0.5"/>
    <n v="-42.652799999999999"/>
    <n v="36.432600000000001"/>
    <n v="5"/>
  </r>
  <r>
    <n v="1397"/>
    <s v="ZQ34"/>
    <d v="2024-10-28T00:00:00"/>
    <x v="9"/>
    <x v="3"/>
    <s v="First Class"/>
    <s v="NC-18340"/>
    <s v="OFF-BI-10000822"/>
    <n v="180"/>
    <n v="28"/>
    <n v="15.555555555555555"/>
    <x v="3"/>
    <s v="Car Air Fresheners"/>
    <s v="INR"/>
    <n v="411028"/>
    <s v="INDIA"/>
    <x v="19"/>
    <s v="Easy Ship"/>
    <n v="17.216000000000001"/>
    <n v="4"/>
    <n v="0.2"/>
    <n v="6.0255999999999998"/>
    <n v="2.7976000000000001"/>
    <n v="3"/>
  </r>
  <r>
    <n v="1398"/>
    <s v="NW42"/>
    <d v="2024-10-29T00:00:00"/>
    <x v="9"/>
    <x v="3"/>
    <s v="First Class"/>
    <s v="NC-18340"/>
    <s v="OFF-PA-10004971"/>
    <n v="120"/>
    <n v="28"/>
    <n v="23.333333333333332"/>
    <x v="6"/>
    <s v="Mini Cars"/>
    <s v="INR"/>
    <n v="400050"/>
    <s v="INDIA"/>
    <x v="3"/>
    <m/>
    <n v="11.56"/>
    <n v="2"/>
    <n v="0.1"/>
    <n v="5.6643999999999997"/>
    <n v="2.9478000000000004"/>
    <n v="5"/>
  </r>
  <r>
    <n v="1399"/>
    <s v="QP14"/>
    <d v="2024-10-30T00:00:00"/>
    <x v="9"/>
    <x v="3"/>
    <s v="First Class"/>
    <s v="NC-18340"/>
    <s v="TEC-AC-10002323"/>
    <n v="140"/>
    <n v="16"/>
    <n v="11.428571428571429"/>
    <x v="7"/>
    <s v="Ready Mixes"/>
    <s v="INR"/>
    <n v="110075"/>
    <s v="INDIA"/>
    <x v="0"/>
    <m/>
    <n v="88.4"/>
    <n v="4"/>
    <n v="0.1"/>
    <n v="11.492000000000001"/>
    <n v="19.227"/>
    <n v="5"/>
  </r>
  <r>
    <n v="1400"/>
    <s v="VH57"/>
    <d v="2024-10-31T00:00:00"/>
    <x v="9"/>
    <x v="3"/>
    <s v="First Class"/>
    <s v="NC-18340"/>
    <s v="OFF-PA-10004888"/>
    <n v="120"/>
    <n v="16"/>
    <n v="13.333333333333334"/>
    <x v="8"/>
    <s v="Pet Beds"/>
    <s v="INR"/>
    <n v="500015"/>
    <s v="INDIA"/>
    <x v="6"/>
    <s v="Easy Ship"/>
    <n v="6.48"/>
    <n v="1"/>
    <n v="0.1"/>
    <n v="3.1103999999999998"/>
    <n v="3.3696000000000006"/>
    <n v="2"/>
  </r>
  <r>
    <n v="1401"/>
    <s v="GX14"/>
    <d v="2024-11-01T00:00:00"/>
    <x v="10"/>
    <x v="3"/>
    <s v="Standard Class"/>
    <s v="KM-16375"/>
    <s v="TEC-PH-10003988"/>
    <n v="210"/>
    <n v="26"/>
    <n v="12.380952380952381"/>
    <x v="2"/>
    <s v="Women’s Sunglasses"/>
    <s v="INR"/>
    <n v="400091"/>
    <s v="INDIA"/>
    <x v="1"/>
    <m/>
    <n v="21.8"/>
    <n v="2"/>
    <n v="0.1"/>
    <n v="6.1040000000000001"/>
    <n v="7.8480000000000008"/>
    <n v="5"/>
  </r>
  <r>
    <n v="1402"/>
    <s v="MX25"/>
    <d v="2024-11-02T00:00:00"/>
    <x v="10"/>
    <x v="3"/>
    <s v="Standard Class"/>
    <s v="KM-16375"/>
    <s v="OFF-EN-10002230"/>
    <n v="120"/>
    <n v="16"/>
    <n v="13.333333333333334"/>
    <x v="4"/>
    <s v="Smart Cameras"/>
    <m/>
    <n v="141001"/>
    <s v="INDIA"/>
    <x v="5"/>
    <m/>
    <n v="251.79"/>
    <n v="3"/>
    <n v="0.1"/>
    <n v="118.3413"/>
    <n v="44.482899999999994"/>
    <n v="5"/>
  </r>
  <r>
    <n v="1403"/>
    <s v="BR39"/>
    <d v="2024-11-03T00:00:00"/>
    <x v="10"/>
    <x v="3"/>
    <s v="Standard Class"/>
    <s v="GM-14455"/>
    <s v="FUR-TA-10002622"/>
    <n v="110"/>
    <n v="28"/>
    <n v="25.454545454545453"/>
    <x v="0"/>
    <s v="Children’s Activity Books"/>
    <s v="INR"/>
    <n v="394210"/>
    <s v="INDIA"/>
    <x v="9"/>
    <m/>
    <n v="205.17599999999999"/>
    <n v="2"/>
    <n v="0.4"/>
    <n v="-58.133200000000002"/>
    <n v="131.65459999999999"/>
    <n v="5"/>
  </r>
  <r>
    <n v="1404"/>
    <s v="SE93"/>
    <d v="2024-11-04T00:00:00"/>
    <x v="10"/>
    <x v="3"/>
    <s v="Standard Class"/>
    <s v="GM-14455"/>
    <s v="OFF-PA-10000418"/>
    <n v="230"/>
    <n v="26"/>
    <n v="11.304347826086957"/>
    <x v="1"/>
    <s v="Rowing Machines"/>
    <s v="INR"/>
    <n v="110091"/>
    <s v="INDIA"/>
    <x v="0"/>
    <m/>
    <n v="419.4"/>
    <n v="5"/>
    <n v="0.2"/>
    <n v="146.79"/>
    <n v="54.522000000000006"/>
    <n v="4"/>
  </r>
  <r>
    <n v="1405"/>
    <s v="ER69"/>
    <d v="2024-11-05T00:00:00"/>
    <x v="10"/>
    <x v="3"/>
    <s v="First Class"/>
    <s v="SD-20485"/>
    <s v="OFF-SU-10004498"/>
    <n v="160"/>
    <n v="20"/>
    <n v="12.5"/>
    <x v="4"/>
    <s v="Smart Sensors"/>
    <m/>
    <n v="482005"/>
    <s v="INDIA"/>
    <x v="13"/>
    <m/>
    <n v="10.304"/>
    <n v="1"/>
    <n v="0.2"/>
    <n v="-2.1896"/>
    <n v="12.493600000000001"/>
    <n v="1"/>
  </r>
  <r>
    <n v="1406"/>
    <s v="UJ22"/>
    <d v="2024-11-06T00:00:00"/>
    <x v="10"/>
    <x v="3"/>
    <s v="First Class"/>
    <s v="SD-20485"/>
    <s v="FUR-TA-10001039"/>
    <n v="170"/>
    <n v="22"/>
    <n v="12.941176470588237"/>
    <x v="2"/>
    <s v="Men’s Jackets"/>
    <s v="INR"/>
    <n v="400103"/>
    <s v="INDIA"/>
    <x v="18"/>
    <m/>
    <n v="154.76400000000001"/>
    <n v="3"/>
    <n v="0.4"/>
    <n v="-36.111600000000003"/>
    <n v="63.625200000000007"/>
    <n v="2"/>
  </r>
  <r>
    <n v="1407"/>
    <s v="XU75"/>
    <d v="2024-11-07T00:00:00"/>
    <x v="10"/>
    <x v="3"/>
    <s v="First Class"/>
    <s v="SD-20485"/>
    <s v="TEC-AC-10004659"/>
    <n v="230"/>
    <n v="14"/>
    <n v="6.0869565217391308"/>
    <x v="5"/>
    <s v="Kitchen Organizers"/>
    <s v="INR"/>
    <n v="110049"/>
    <s v="INDIA"/>
    <x v="14"/>
    <m/>
    <n v="116.78400000000001"/>
    <n v="2"/>
    <n v="0.2"/>
    <n v="21.896999999999998"/>
    <n v="47.4435"/>
    <n v="2"/>
  </r>
  <r>
    <n v="1408"/>
    <s v="SM27"/>
    <d v="2024-11-08T00:00:00"/>
    <x v="10"/>
    <x v="3"/>
    <s v="Standard Class"/>
    <s v="KD-16270"/>
    <s v="OFF-AR-10002240"/>
    <n v="150"/>
    <n v="22"/>
    <n v="14.666666666666666"/>
    <x v="3"/>
    <s v="Car Wipers"/>
    <m/>
    <n v="784001"/>
    <s v="INDIA"/>
    <x v="4"/>
    <s v="Easy Ship"/>
    <n v="75.48"/>
    <n v="2"/>
    <n v="0.1"/>
    <n v="19.6248"/>
    <n v="27.927600000000002"/>
    <n v="5"/>
  </r>
  <r>
    <n v="1409"/>
    <s v="FO52"/>
    <d v="2024-11-09T00:00:00"/>
    <x v="10"/>
    <x v="3"/>
    <s v="Standard Class"/>
    <s v="KD-16270"/>
    <s v="FUR-FU-10001967"/>
    <n v="110"/>
    <n v="16"/>
    <n v="14.545454545454545"/>
    <x v="6"/>
    <s v="Board Puzzles"/>
    <s v="INR"/>
    <n v="400013"/>
    <s v="INDIA"/>
    <x v="1"/>
    <m/>
    <n v="39.979999999999997"/>
    <n v="2"/>
    <n v="0.1"/>
    <n v="9.9949999999999992"/>
    <n v="14.9925"/>
    <n v="2"/>
  </r>
  <r>
    <n v="1410"/>
    <s v="ZI47"/>
    <d v="2024-11-10T00:00:00"/>
    <x v="10"/>
    <x v="3"/>
    <s v="Standard Class"/>
    <s v="AB-10105"/>
    <s v="FUR-TA-10002356"/>
    <n v="110"/>
    <n v="12"/>
    <n v="10.909090909090908"/>
    <x v="7"/>
    <s v="Herbal Teas"/>
    <s v="INR"/>
    <n v="560067"/>
    <s v="INDIA"/>
    <x v="10"/>
    <s v="Easy Ship"/>
    <n v="393.16500000000002"/>
    <n v="3"/>
    <n v="0.5"/>
    <n v="-204.44579999999999"/>
    <n v="199.20360000000002"/>
    <n v="3"/>
  </r>
  <r>
    <n v="1411"/>
    <s v="KC88"/>
    <d v="2024-11-11T00:00:00"/>
    <x v="10"/>
    <x v="3"/>
    <s v="Standard Class"/>
    <s v="SZ-20035"/>
    <s v="OFF-LA-10003923"/>
    <n v="150"/>
    <n v="12"/>
    <n v="8"/>
    <x v="8"/>
    <s v="Pet Brushes"/>
    <m/>
    <n v="390025"/>
    <s v="INDIA"/>
    <x v="18"/>
    <m/>
    <n v="23.68"/>
    <n v="2"/>
    <n v="0.2"/>
    <n v="8.8800000000000008"/>
    <n v="7.3999999999999995"/>
    <n v="4"/>
  </r>
  <r>
    <n v="1412"/>
    <s v="HH94"/>
    <d v="2024-11-12T00:00:00"/>
    <x v="10"/>
    <x v="3"/>
    <s v="Standard Class"/>
    <s v="JD-15895"/>
    <s v="FUR-CH-10002335"/>
    <n v="210"/>
    <n v="6"/>
    <n v="2.8571428571428572"/>
    <x v="2"/>
    <s v="Women’s Skirts"/>
    <s v="INR"/>
    <n v="491001"/>
    <s v="INDIA"/>
    <x v="6"/>
    <m/>
    <n v="408.00599999999997"/>
    <n v="2"/>
    <n v="0.11"/>
    <n v="72.534400000000005"/>
    <n v="167.73579999999998"/>
    <n v="5"/>
  </r>
  <r>
    <n v="1413"/>
    <s v="AC18"/>
    <d v="2024-11-13T00:00:00"/>
    <x v="10"/>
    <x v="3"/>
    <s v="Standard Class"/>
    <s v="JD-15895"/>
    <s v="FUR-FU-10000723"/>
    <n v="230"/>
    <n v="14"/>
    <n v="6.0869565217391308"/>
    <x v="4"/>
    <s v="Smart Door Locks"/>
    <s v="INR"/>
    <n v="110060"/>
    <s v="INDIA"/>
    <x v="10"/>
    <m/>
    <n v="165.28"/>
    <n v="4"/>
    <n v="0.1"/>
    <n v="14.8752"/>
    <n v="37.601199999999999"/>
    <n v="1"/>
  </r>
  <r>
    <n v="1414"/>
    <s v="SH21"/>
    <d v="2024-11-14T00:00:00"/>
    <x v="10"/>
    <x v="3"/>
    <s v="Standard Class"/>
    <s v="HA-14905"/>
    <s v="OFF-BI-10002867"/>
    <n v="160"/>
    <n v="6"/>
    <n v="3.75"/>
    <x v="0"/>
    <s v="Poetry Collections"/>
    <s v="INR"/>
    <n v="627003"/>
    <s v="INDIA"/>
    <x v="8"/>
    <s v="Easy Ship"/>
    <n v="334.76799999999997"/>
    <n v="7"/>
    <n v="0.2"/>
    <n v="108.7996"/>
    <n v="32.281199999999998"/>
    <n v="3"/>
  </r>
  <r>
    <n v="1415"/>
    <s v="UN94"/>
    <d v="2024-11-15T00:00:00"/>
    <x v="10"/>
    <x v="3"/>
    <s v="Second Class"/>
    <s v="BT-11305"/>
    <s v="TEC-AC-10000580"/>
    <n v="180"/>
    <n v="30"/>
    <n v="16.666666666666664"/>
    <x v="1"/>
    <s v="Running Gear"/>
    <s v="INR"/>
    <n v="600082"/>
    <s v="INDIA"/>
    <x v="3"/>
    <s v="Easy Ship"/>
    <n v="239.97"/>
    <n v="3"/>
    <n v="0.1"/>
    <n v="26.396699999999999"/>
    <n v="71.191099999999992"/>
    <n v="1"/>
  </r>
  <r>
    <n v="1416"/>
    <s v="VI36"/>
    <d v="2024-11-16T00:00:00"/>
    <x v="10"/>
    <x v="3"/>
    <s v="Second Class"/>
    <s v="BT-11305"/>
    <s v="FUR-FU-10003976"/>
    <n v="250"/>
    <n v="30"/>
    <n v="12"/>
    <x v="4"/>
    <s v="Smart Switches"/>
    <s v="INR"/>
    <n v="680027"/>
    <s v="INDIA"/>
    <x v="1"/>
    <m/>
    <n v="37.74"/>
    <n v="3"/>
    <n v="0.1"/>
    <n v="12.8316"/>
    <n v="8.3027999999999995"/>
    <n v="2"/>
  </r>
  <r>
    <n v="1417"/>
    <s v="PP66"/>
    <d v="2024-11-17T00:00:00"/>
    <x v="10"/>
    <x v="3"/>
    <s v="First Class"/>
    <s v="SV-20815"/>
    <s v="TEC-PH-10002922"/>
    <n v="200"/>
    <n v="28"/>
    <n v="14.000000000000002"/>
    <x v="2"/>
    <s v="Kids’ Footwear"/>
    <s v="INR"/>
    <n v="680027"/>
    <s v="INDIA"/>
    <x v="9"/>
    <m/>
    <n v="946.34400000000005"/>
    <n v="7"/>
    <n v="0.2"/>
    <n v="118.29300000000001"/>
    <n v="118.29300000000001"/>
    <n v="4"/>
  </r>
  <r>
    <n v="1418"/>
    <s v="BP70"/>
    <d v="2024-11-18T00:00:00"/>
    <x v="10"/>
    <x v="3"/>
    <s v="First Class"/>
    <s v="SV-20815"/>
    <s v="TEC-AC-10004353"/>
    <n v="210"/>
    <n v="26"/>
    <n v="12.380952380952381"/>
    <x v="5"/>
    <s v="Kitchen Containers"/>
    <s v="INR"/>
    <n v="834001"/>
    <s v="INDIA"/>
    <x v="4"/>
    <s v="Easy Ship"/>
    <n v="151.19999999999999"/>
    <n v="3"/>
    <n v="0.2"/>
    <n v="32.130000000000003"/>
    <n v="39.69"/>
    <n v="1"/>
  </r>
  <r>
    <n v="1419"/>
    <s v="MF23"/>
    <d v="2024-11-19T00:00:00"/>
    <x v="10"/>
    <x v="3"/>
    <s v="First Class"/>
    <s v="SV-20815"/>
    <s v="FUR-FU-10001706"/>
    <n v="170"/>
    <n v="30"/>
    <n v="17.647058823529413"/>
    <x v="3"/>
    <s v="Car Mirrors"/>
    <s v="INR"/>
    <n v="144001"/>
    <s v="INDIA"/>
    <x v="10"/>
    <m/>
    <n v="4.9279999999999999"/>
    <n v="4"/>
    <n v="0.6"/>
    <n v="-1.4783999999999999"/>
    <n v="1.6015999999999999"/>
    <n v="3"/>
  </r>
  <r>
    <n v="1420"/>
    <s v="VE85"/>
    <d v="2024-11-20T00:00:00"/>
    <x v="10"/>
    <x v="3"/>
    <s v="Standard Class"/>
    <s v="RW-19540"/>
    <s v="OFF-PA-10000501"/>
    <n v="150"/>
    <n v="22"/>
    <n v="14.666666666666666"/>
    <x v="6"/>
    <s v="Play Kitchens"/>
    <s v="INR"/>
    <n v="560102"/>
    <s v="INDIA"/>
    <x v="2"/>
    <m/>
    <n v="86.272000000000006"/>
    <n v="4"/>
    <n v="0.2"/>
    <n v="31.273599999999998"/>
    <n v="13.749600000000001"/>
    <n v="4"/>
  </r>
  <r>
    <n v="1421"/>
    <s v="KE74"/>
    <d v="2024-11-21T00:00:00"/>
    <x v="10"/>
    <x v="3"/>
    <s v="Standard Class"/>
    <s v="RW-19540"/>
    <s v="OFF-BI-10000778"/>
    <n v="250"/>
    <n v="10"/>
    <n v="4"/>
    <x v="7"/>
    <s v="Protein Powders"/>
    <s v="INR"/>
    <n v="226010"/>
    <s v="INDIA"/>
    <x v="0"/>
    <m/>
    <n v="72.587999999999994"/>
    <n v="2"/>
    <n v="0.7"/>
    <n v="-48.392000000000003"/>
    <n v="60.489999999999995"/>
    <n v="5"/>
  </r>
  <r>
    <n v="1422"/>
    <s v="UE41"/>
    <d v="2024-11-22T00:00:00"/>
    <x v="10"/>
    <x v="3"/>
    <s v="Standard Class"/>
    <s v="RW-19540"/>
    <s v="OFF-AP-10004980"/>
    <n v="160"/>
    <n v="6"/>
    <n v="3.75"/>
    <x v="8"/>
    <s v="Pet Chew Toys"/>
    <s v="INR"/>
    <n v="411046"/>
    <s v="INDIA"/>
    <x v="3"/>
    <m/>
    <n v="60.671999999999997"/>
    <n v="2"/>
    <n v="0.2"/>
    <n v="14.409599999999999"/>
    <n v="23.1312"/>
    <n v="1"/>
  </r>
  <r>
    <n v="1423"/>
    <s v="IO98"/>
    <d v="2024-11-23T00:00:00"/>
    <x v="10"/>
    <x v="3"/>
    <s v="Standard Class"/>
    <s v="RW-19540"/>
    <s v="OFF-BI-10003984"/>
    <n v="140"/>
    <n v="12"/>
    <n v="8.5714285714285712"/>
    <x v="2"/>
    <s v="Men’s Watches"/>
    <s v="INR"/>
    <n v="682020"/>
    <s v="INDIA"/>
    <x v="1"/>
    <m/>
    <n v="77.031000000000006"/>
    <n v="9"/>
    <n v="0.7"/>
    <n v="-59.057099999999998"/>
    <n v="15.120899999999999"/>
    <n v="1"/>
  </r>
  <r>
    <n v="1424"/>
    <s v="EM13"/>
    <d v="2024-11-24T00:00:00"/>
    <x v="10"/>
    <x v="3"/>
    <s v="Standard Class"/>
    <s v="RW-19540"/>
    <s v="OFF-ST-10000798"/>
    <n v="150"/>
    <n v="10"/>
    <n v="6.666666666666667"/>
    <x v="4"/>
    <s v="Smart Displays"/>
    <m/>
    <n v="110003"/>
    <s v="INDIA"/>
    <x v="11"/>
    <m/>
    <n v="119.904"/>
    <n v="6"/>
    <n v="0.2"/>
    <n v="-1.4987999999999999"/>
    <n v="20.233799999999999"/>
    <n v="1"/>
  </r>
  <r>
    <n v="1425"/>
    <s v="HK67"/>
    <d v="2024-11-25T00:00:00"/>
    <x v="10"/>
    <x v="3"/>
    <s v="Standard Class"/>
    <s v="RW-19540"/>
    <s v="TEC-PH-10001750"/>
    <n v="170"/>
    <n v="10"/>
    <n v="5.8823529411764701"/>
    <x v="0"/>
    <s v="Children’s Novels"/>
    <s v="INR"/>
    <n v="711101"/>
    <s v="INDIA"/>
    <x v="7"/>
    <m/>
    <n v="263.95999999999998"/>
    <n v="5"/>
    <n v="0.2"/>
    <n v="23.096499999999999"/>
    <n v="48.172699999999999"/>
    <n v="1"/>
  </r>
  <r>
    <n v="1426"/>
    <s v="BM41"/>
    <d v="2024-11-26T00:00:00"/>
    <x v="10"/>
    <x v="3"/>
    <s v="Standard Class"/>
    <s v="RW-19540"/>
    <s v="OFF-ST-10002743"/>
    <n v="160"/>
    <n v="24"/>
    <n v="15"/>
    <x v="1"/>
    <s v="Weight Training"/>
    <s v="INR"/>
    <n v="246149"/>
    <s v="INDIA"/>
    <x v="19"/>
    <m/>
    <n v="363.64800000000002"/>
    <n v="4"/>
    <n v="0.2"/>
    <n v="-86.366399999999999"/>
    <n v="112.50360000000001"/>
    <n v="3"/>
  </r>
  <r>
    <n v="1427"/>
    <s v="ZC44"/>
    <d v="2024-11-27T00:00:00"/>
    <x v="10"/>
    <x v="3"/>
    <s v="Second Class"/>
    <s v="DK-12835"/>
    <s v="OFF-BI-10002949"/>
    <n v="250"/>
    <n v="20"/>
    <n v="8"/>
    <x v="4"/>
    <s v="Smart Remotes"/>
    <s v="INR"/>
    <n v="502032"/>
    <s v="INDIA"/>
    <x v="1"/>
    <m/>
    <n v="9.7279999999999998"/>
    <n v="2"/>
    <n v="0.2"/>
    <n v="3.2831999999999999"/>
    <n v="3.2223999999999999"/>
    <n v="3"/>
  </r>
  <r>
    <n v="1428"/>
    <s v="QN55"/>
    <d v="2024-11-28T00:00:00"/>
    <x v="10"/>
    <x v="3"/>
    <s v="Second Class"/>
    <s v="DK-12835"/>
    <s v="OFF-EN-10002600"/>
    <n v="100"/>
    <n v="14"/>
    <n v="14.000000000000002"/>
    <x v="2"/>
    <s v="Women’s Jewelry"/>
    <s v="INR"/>
    <n v="335001"/>
    <s v="INDIA"/>
    <x v="3"/>
    <m/>
    <n v="14.75"/>
    <n v="5"/>
    <n v="0.1"/>
    <n v="7.08"/>
    <n v="1.534"/>
    <n v="4"/>
  </r>
  <r>
    <n v="1429"/>
    <s v="IK87"/>
    <d v="2024-11-29T00:00:00"/>
    <x v="10"/>
    <x v="3"/>
    <s v="Second Class"/>
    <s v="DK-12835"/>
    <s v="OFF-BI-10003708"/>
    <n v="180"/>
    <n v="22"/>
    <n v="12.222222222222221"/>
    <x v="5"/>
    <s v="Kitchen Trays"/>
    <s v="INR"/>
    <n v="474009"/>
    <s v="INDIA"/>
    <x v="5"/>
    <s v="Easy Ship"/>
    <n v="29.8"/>
    <n v="5"/>
    <n v="0.2"/>
    <n v="9.3125"/>
    <n v="4.0975000000000001"/>
    <n v="3"/>
  </r>
  <r>
    <n v="1430"/>
    <s v="CR81"/>
    <d v="2024-11-30T00:00:00"/>
    <x v="10"/>
    <x v="3"/>
    <s v="Second Class"/>
    <s v="DK-12835"/>
    <s v="OFF-LA-10003510"/>
    <n v="230"/>
    <n v="14"/>
    <n v="6.0869565217391308"/>
    <x v="3"/>
    <s v="Car Covers"/>
    <s v="INR"/>
    <n v="600026"/>
    <s v="INDIA"/>
    <x v="18"/>
    <m/>
    <n v="427.42"/>
    <n v="14"/>
    <n v="0.1"/>
    <n v="196.61320000000001"/>
    <n v="16.4862"/>
    <n v="1"/>
  </r>
  <r>
    <n v="1431"/>
    <s v="IN94"/>
    <d v="2024-12-01T00:00:00"/>
    <x v="11"/>
    <x v="3"/>
    <s v="Standard Class"/>
    <s v="LT-17110"/>
    <s v="TEC-PH-10003092"/>
    <n v="100"/>
    <n v="20"/>
    <n v="20"/>
    <x v="6"/>
    <s v="Learning Games"/>
    <s v="INR"/>
    <n v="302029"/>
    <s v="INDIA"/>
    <x v="13"/>
    <s v="Easy Ship"/>
    <n v="220.75200000000001"/>
    <n v="8"/>
    <n v="0.4"/>
    <n v="-40.471200000000003"/>
    <n v="32.652900000000002"/>
    <n v="5"/>
  </r>
  <r>
    <n v="1432"/>
    <s v="IF79"/>
    <d v="2024-12-02T00:00:00"/>
    <x v="11"/>
    <x v="3"/>
    <s v="Second Class"/>
    <s v="IM-15070"/>
    <s v="OFF-BI-10001191"/>
    <n v="140"/>
    <n v="6"/>
    <n v="4.2857142857142856"/>
    <x v="7"/>
    <s v="Snacks"/>
    <s v="INR"/>
    <n v="422002"/>
    <s v="INDIA"/>
    <x v="6"/>
    <s v="Easy Ship"/>
    <n v="152.76"/>
    <n v="6"/>
    <n v="0.1"/>
    <n v="74.852400000000003"/>
    <n v="12.984599999999999"/>
    <n v="5"/>
  </r>
  <r>
    <n v="1433"/>
    <s v="TZ16"/>
    <d v="2024-12-03T00:00:00"/>
    <x v="11"/>
    <x v="3"/>
    <s v="Second Class"/>
    <s v="IM-15070"/>
    <s v="OFF-SU-10004115"/>
    <n v="250"/>
    <n v="20"/>
    <n v="8"/>
    <x v="8"/>
    <s v="Pet Bowls"/>
    <s v="INR"/>
    <n v="422002"/>
    <s v="INDIA"/>
    <x v="19"/>
    <m/>
    <n v="7.27"/>
    <n v="1"/>
    <n v="0.1"/>
    <n v="1.9629000000000001"/>
    <n v="5.3070999999999993"/>
    <n v="1"/>
  </r>
  <r>
    <n v="1434"/>
    <s v="CL23"/>
    <d v="2024-12-04T00:00:00"/>
    <x v="11"/>
    <x v="3"/>
    <s v="Second Class"/>
    <s v="IM-15070"/>
    <s v="FUR-CH-10000513"/>
    <n v="190"/>
    <n v="10"/>
    <n v="5.2631578947368416"/>
    <x v="2"/>
    <s v="Men’s Shirts"/>
    <s v="INR"/>
    <n v="641604"/>
    <s v="INDIA"/>
    <x v="15"/>
    <s v="Easy Ship"/>
    <n v="1819.86"/>
    <n v="14"/>
    <n v="0.1"/>
    <n v="163.78739999999999"/>
    <n v="118.29089999999999"/>
    <n v="2"/>
  </r>
  <r>
    <n v="1435"/>
    <s v="UG19"/>
    <d v="2024-12-05T00:00:00"/>
    <x v="11"/>
    <x v="3"/>
    <s v="Standard Class"/>
    <s v="FP-14320"/>
    <s v="OFF-PA-10003673"/>
    <n v="230"/>
    <n v="6"/>
    <n v="2.6086956521739131"/>
    <x v="4"/>
    <s v="Smart Routers"/>
    <s v="INR"/>
    <n v="400706"/>
    <s v="INDIA"/>
    <x v="1"/>
    <s v="Easy Ship"/>
    <n v="33.9"/>
    <n v="5"/>
    <n v="0.1"/>
    <n v="15.593999999999999"/>
    <n v="3.6611999999999996"/>
    <n v="3"/>
  </r>
  <r>
    <n v="1436"/>
    <s v="LT78"/>
    <d v="2024-12-06T00:00:00"/>
    <x v="11"/>
    <x v="3"/>
    <s v="Standard Class"/>
    <s v="ST-20530"/>
    <s v="OFF-PA-10001639"/>
    <n v="250"/>
    <n v="10"/>
    <n v="4"/>
    <x v="0"/>
    <s v="Children’s Comics"/>
    <s v="INR"/>
    <n v="500098"/>
    <s v="INDIA"/>
    <x v="11"/>
    <m/>
    <n v="31.103999999999999"/>
    <n v="6"/>
    <n v="0.2"/>
    <n v="10.8864"/>
    <n v="3.3695999999999997"/>
    <n v="4"/>
  </r>
  <r>
    <n v="1437"/>
    <s v="FT65"/>
    <d v="2024-12-07T00:00:00"/>
    <x v="11"/>
    <x v="3"/>
    <s v="Standard Class"/>
    <s v="ST-20530"/>
    <s v="OFF-AR-10003829"/>
    <n v="190"/>
    <n v="20"/>
    <n v="10.526315789473683"/>
    <x v="1"/>
    <s v="Table Tennis Gear"/>
    <s v="INR"/>
    <n v="797001"/>
    <s v="INDIA"/>
    <x v="5"/>
    <m/>
    <n v="5.2480000000000002"/>
    <n v="2"/>
    <n v="0.2"/>
    <n v="0.59040000000000004"/>
    <n v="2.3288000000000002"/>
    <n v="3"/>
  </r>
  <r>
    <n v="1438"/>
    <s v="LT58"/>
    <d v="2024-12-08T00:00:00"/>
    <x v="11"/>
    <x v="3"/>
    <s v="Same Day"/>
    <s v="JE-15745"/>
    <s v="TEC-AC-10004975"/>
    <n v="110"/>
    <n v="18"/>
    <n v="16.363636363636363"/>
    <x v="4"/>
    <s v="Smart Plugs"/>
    <s v="INR"/>
    <n v="201010"/>
    <s v="INDIA"/>
    <x v="9"/>
    <m/>
    <n v="263.88"/>
    <n v="3"/>
    <n v="0.2"/>
    <n v="42.880499999999998"/>
    <n v="73.666499999999999"/>
    <n v="3"/>
  </r>
  <r>
    <n v="1439"/>
    <s v="DQ65"/>
    <d v="2024-12-09T00:00:00"/>
    <x v="11"/>
    <x v="3"/>
    <s v="Same Day"/>
    <s v="JE-15745"/>
    <s v="FUR-CH-10002024"/>
    <n v="140"/>
    <n v="28"/>
    <n v="20"/>
    <x v="2"/>
    <s v="Women’s Flats"/>
    <s v="INR"/>
    <n v="574104"/>
    <s v="INDIA"/>
    <x v="14"/>
    <m/>
    <n v="2453.4299999999998"/>
    <n v="5"/>
    <n v="0.3"/>
    <n v="-350.49"/>
    <n v="560.78399999999999"/>
    <n v="1"/>
  </r>
  <r>
    <n v="1440"/>
    <s v="TO57"/>
    <d v="2024-12-10T00:00:00"/>
    <x v="11"/>
    <x v="3"/>
    <s v="Second Class"/>
    <s v="BD-11320"/>
    <s v="OFF-BI-10004364"/>
    <n v="240"/>
    <n v="30"/>
    <n v="12.5"/>
    <x v="5"/>
    <s v="Kitchen Mats"/>
    <s v="INR"/>
    <n v="562122"/>
    <s v="INDIA"/>
    <x v="17"/>
    <m/>
    <n v="29.7"/>
    <n v="5"/>
    <n v="0.1"/>
    <n v="13.365"/>
    <n v="3.2670000000000003"/>
    <n v="3"/>
  </r>
  <r>
    <n v="1441"/>
    <s v="KP21"/>
    <d v="2024-12-11T00:00:00"/>
    <x v="11"/>
    <x v="3"/>
    <s v="Second Class"/>
    <s v="BD-11320"/>
    <s v="OFF-PA-10001712"/>
    <n v="120"/>
    <n v="24"/>
    <n v="20"/>
    <x v="3"/>
    <s v="Car Oils"/>
    <s v="INR"/>
    <n v="400093"/>
    <s v="INDIA"/>
    <x v="10"/>
    <m/>
    <n v="39.96"/>
    <n v="4"/>
    <n v="0.1"/>
    <n v="17.981999999999999"/>
    <n v="5.4945000000000004"/>
    <n v="5"/>
  </r>
  <r>
    <n v="1442"/>
    <s v="MX31"/>
    <d v="2024-12-12T00:00:00"/>
    <x v="11"/>
    <x v="3"/>
    <s v="Second Class"/>
    <s v="MM-17920"/>
    <s v="OFF-BI-10001510"/>
    <n v="130"/>
    <n v="18"/>
    <n v="13.846153846153847"/>
    <x v="6"/>
    <s v="Playhouses"/>
    <m/>
    <n v="474009"/>
    <s v="INDIA"/>
    <x v="16"/>
    <s v="Easy Ship"/>
    <n v="36.671999999999997"/>
    <n v="2"/>
    <n v="0.2"/>
    <n v="11.46"/>
    <n v="12.605999999999998"/>
    <n v="3"/>
  </r>
  <r>
    <n v="1443"/>
    <s v="OM38"/>
    <d v="2024-12-13T00:00:00"/>
    <x v="11"/>
    <x v="3"/>
    <s v="First Class"/>
    <s v="PW-19030"/>
    <s v="OFF-PA-10002713"/>
    <n v="190"/>
    <n v="30"/>
    <n v="15.789473684210526"/>
    <x v="7"/>
    <s v="Energy Bars"/>
    <s v="INR"/>
    <n v="411046"/>
    <s v="INDIA"/>
    <x v="0"/>
    <s v="Easy Ship"/>
    <n v="13.76"/>
    <n v="2"/>
    <n v="0.1"/>
    <n v="6.3296000000000001"/>
    <n v="3.7151999999999998"/>
    <n v="2"/>
  </r>
  <r>
    <n v="1444"/>
    <s v="XV80"/>
    <d v="2024-12-14T00:00:00"/>
    <x v="11"/>
    <x v="3"/>
    <s v="Standard Class"/>
    <s v="SC-20440"/>
    <s v="OFF-ST-10002974"/>
    <n v="140"/>
    <n v="6"/>
    <n v="4.2857142857142856"/>
    <x v="8"/>
    <s v="Pet Collars"/>
    <s v="INR"/>
    <n v="462001"/>
    <s v="INDIA"/>
    <x v="16"/>
    <m/>
    <n v="139.42400000000001"/>
    <n v="4"/>
    <n v="0.2"/>
    <n v="17.428000000000001"/>
    <n v="30.499000000000002"/>
    <n v="1"/>
  </r>
  <r>
    <n v="1445"/>
    <s v="MC55"/>
    <d v="2024-12-15T00:00:00"/>
    <x v="11"/>
    <x v="3"/>
    <s v="Standard Class"/>
    <s v="KL-16645"/>
    <s v="TEC-PH-10004165"/>
    <n v="150"/>
    <n v="30"/>
    <n v="20"/>
    <x v="2"/>
    <s v="Kids’ Accessories"/>
    <s v="INR"/>
    <n v="786602"/>
    <s v="INDIA"/>
    <x v="4"/>
    <s v="Easy Ship"/>
    <n v="1979.9280000000001"/>
    <n v="9"/>
    <n v="0.2"/>
    <n v="148.49459999999999"/>
    <n v="203.49260000000001"/>
    <n v="3"/>
  </r>
  <r>
    <n v="1446"/>
    <s v="VL57"/>
    <d v="2024-12-16T00:00:00"/>
    <x v="11"/>
    <x v="3"/>
    <s v="First Class"/>
    <s v="SD-20485"/>
    <s v="OFF-ST-10004804"/>
    <n v="130"/>
    <n v="26"/>
    <n v="20"/>
    <x v="4"/>
    <s v="Smart TVs"/>
    <s v="INR"/>
    <n v="600044"/>
    <s v="INDIA"/>
    <x v="0"/>
    <m/>
    <n v="164.73599999999999"/>
    <n v="4"/>
    <n v="0.2"/>
    <n v="-39.1248"/>
    <n v="50.965199999999996"/>
    <n v="1"/>
  </r>
  <r>
    <n v="1447"/>
    <s v="FS64"/>
    <d v="2024-12-17T00:00:00"/>
    <x v="11"/>
    <x v="3"/>
    <s v="First Class"/>
    <s v="SD-20485"/>
    <s v="FUR-CH-10004289"/>
    <n v="230"/>
    <n v="10"/>
    <n v="4.3478260869565215"/>
    <x v="0"/>
    <s v="Children’s Poetry"/>
    <m/>
    <n v="400093"/>
    <s v="INDIA"/>
    <x v="14"/>
    <s v="Easy Ship"/>
    <n v="470.30200000000002"/>
    <n v="7"/>
    <n v="0.3"/>
    <n v="-87.341800000000006"/>
    <n v="79.66340000000001"/>
    <n v="2"/>
  </r>
  <r>
    <n v="1448"/>
    <s v="NX30"/>
    <d v="2024-12-18T00:00:00"/>
    <x v="11"/>
    <x v="3"/>
    <s v="First Class"/>
    <s v="SD-20485"/>
    <s v="TEC-PH-10002564"/>
    <n v="140"/>
    <n v="16"/>
    <n v="11.428571428571429"/>
    <x v="1"/>
    <s v="Swimming Gear"/>
    <s v="INR"/>
    <n v="560077"/>
    <s v="INDIA"/>
    <x v="1"/>
    <m/>
    <n v="47.984000000000002"/>
    <n v="2"/>
    <n v="0.2"/>
    <n v="5.9980000000000002"/>
    <n v="20.993000000000002"/>
    <n v="5"/>
  </r>
  <r>
    <n v="1449"/>
    <s v="XU74"/>
    <d v="2024-12-19T00:00:00"/>
    <x v="11"/>
    <x v="3"/>
    <s v="First Class"/>
    <s v="TS-21160"/>
    <s v="OFF-BI-10004876"/>
    <n v="230"/>
    <n v="16"/>
    <n v="6.9565217391304346"/>
    <x v="4"/>
    <s v="Smart Watches"/>
    <s v="INR"/>
    <n v="400059"/>
    <s v="INDIA"/>
    <x v="15"/>
    <m/>
    <n v="2.5019999999999998"/>
    <n v="3"/>
    <n v="0.7"/>
    <n v="-1.7514000000000001"/>
    <n v="1.4177999999999999"/>
    <n v="3"/>
  </r>
  <r>
    <n v="1450"/>
    <s v="EO71"/>
    <d v="2024-12-20T00:00:00"/>
    <x v="11"/>
    <x v="3"/>
    <s v="Standard Class"/>
    <s v="JB-15400"/>
    <s v="TEC-PH-10004348"/>
    <n v="250"/>
    <n v="22"/>
    <n v="8.7999999999999989"/>
    <x v="2"/>
    <s v="Men’s Belts"/>
    <s v="INR"/>
    <n v="121004"/>
    <s v="INDIA"/>
    <x v="8"/>
    <m/>
    <n v="88.751999999999995"/>
    <n v="3"/>
    <n v="0.2"/>
    <n v="11.093999999999999"/>
    <n v="25.885999999999999"/>
    <n v="2"/>
  </r>
  <r>
    <n v="1451"/>
    <s v="TU76"/>
    <d v="2024-12-21T00:00:00"/>
    <x v="11"/>
    <x v="3"/>
    <s v="First Class"/>
    <s v="TS-21085"/>
    <s v="OFF-BI-10004352"/>
    <n v="150"/>
    <n v="6"/>
    <n v="4"/>
    <x v="5"/>
    <s v="Kitchen Towels"/>
    <s v="INR"/>
    <n v="614904"/>
    <s v="INDIA"/>
    <x v="3"/>
    <m/>
    <n v="2.0249999999999999"/>
    <n v="1"/>
    <n v="0.7"/>
    <n v="-1.35"/>
    <n v="3.375"/>
    <n v="1"/>
  </r>
  <r>
    <n v="1452"/>
    <s v="DQ86"/>
    <d v="2024-12-22T00:00:00"/>
    <x v="11"/>
    <x v="3"/>
    <s v="First Class"/>
    <s v="MC-17425"/>
    <s v="OFF-PA-10001685"/>
    <n v="100"/>
    <n v="8"/>
    <n v="8"/>
    <x v="3"/>
    <s v="Car Batteries"/>
    <s v="INR"/>
    <n v="360311"/>
    <s v="INDIA"/>
    <x v="13"/>
    <m/>
    <n v="70.98"/>
    <n v="7"/>
    <n v="0.1"/>
    <n v="34.780200000000001"/>
    <n v="5.1714000000000002"/>
    <n v="4"/>
  </r>
  <r>
    <n v="1453"/>
    <s v="OY76"/>
    <d v="2024-12-23T00:00:00"/>
    <x v="11"/>
    <x v="3"/>
    <s v="First Class"/>
    <s v="MC-17425"/>
    <s v="OFF-BI-10000666"/>
    <n v="130"/>
    <n v="18"/>
    <n v="13.846153846153847"/>
    <x v="6"/>
    <s v="Board Games"/>
    <s v="INR"/>
    <n v="273008"/>
    <s v="INDIA"/>
    <x v="5"/>
    <m/>
    <n v="91.68"/>
    <n v="3"/>
    <n v="0.1"/>
    <n v="45.84"/>
    <n v="15.280000000000001"/>
    <n v="1"/>
  </r>
  <r>
    <n v="1454"/>
    <s v="PB32"/>
    <d v="2024-12-24T00:00:00"/>
    <x v="11"/>
    <x v="3"/>
    <s v="First Class"/>
    <s v="MC-17425"/>
    <s v="OFF-BI-10004352"/>
    <n v="210"/>
    <n v="30"/>
    <n v="14.285714285714285"/>
    <x v="7"/>
    <s v="Packaged Foods"/>
    <s v="INR"/>
    <n v="500032"/>
    <s v="INDIA"/>
    <x v="4"/>
    <m/>
    <n v="33.75"/>
    <n v="5"/>
    <n v="0.1"/>
    <n v="16.875"/>
    <n v="3.375"/>
    <n v="5"/>
  </r>
  <r>
    <n v="1455"/>
    <s v="CP64"/>
    <d v="2024-12-25T00:00:00"/>
    <x v="11"/>
    <x v="3"/>
    <s v="First Class"/>
    <s v="MC-17425"/>
    <s v="TEC-MA-10000010"/>
    <n v="170"/>
    <n v="10"/>
    <n v="5.8823529411764701"/>
    <x v="8"/>
    <s v="Pet Grooming Kits"/>
    <s v="INR"/>
    <n v="411015"/>
    <s v="INDIA"/>
    <x v="2"/>
    <m/>
    <n v="3040"/>
    <n v="8"/>
    <n v="0.1"/>
    <n v="1459.2"/>
    <n v="197.6"/>
    <n v="2"/>
  </r>
  <r>
    <n v="1456"/>
    <s v="OM92"/>
    <d v="2024-12-26T00:00:00"/>
    <x v="11"/>
    <x v="3"/>
    <s v="Standard Class"/>
    <s v="ME-17320"/>
    <s v="OFF-BI-10000977"/>
    <n v="220"/>
    <n v="24"/>
    <n v="10.909090909090908"/>
    <x v="2"/>
    <s v="Women’s Sarees"/>
    <s v="INR"/>
    <n v="560004"/>
    <s v="INDIA"/>
    <x v="3"/>
    <m/>
    <n v="91.2"/>
    <n v="3"/>
    <n v="0.1"/>
    <n v="41.951999999999998"/>
    <n v="16.416"/>
    <n v="5"/>
  </r>
  <r>
    <n v="1457"/>
    <s v="HW63"/>
    <d v="2024-12-27T00:00:00"/>
    <x v="11"/>
    <x v="3"/>
    <s v="Standard Class"/>
    <s v="ME-17320"/>
    <s v="FUR-TA-10002530"/>
    <n v="180"/>
    <n v="18"/>
    <n v="10"/>
    <x v="4"/>
    <s v="Smart Tablets"/>
    <s v="INR"/>
    <n v="390020"/>
    <s v="INDIA"/>
    <x v="3"/>
    <s v="Easy Ship"/>
    <n v="452.94"/>
    <n v="3"/>
    <n v="0.1"/>
    <n v="67.941000000000003"/>
    <n v="128.333"/>
    <n v="4"/>
  </r>
  <r>
    <n v="1458"/>
    <s v="FW56"/>
    <d v="2024-12-28T00:00:00"/>
    <x v="11"/>
    <x v="3"/>
    <s v="Standard Class"/>
    <s v="SC-20440"/>
    <s v="OFF-BI-10002412"/>
    <n v="180"/>
    <n v="26"/>
    <n v="14.444444444444443"/>
    <x v="0"/>
    <s v="Children’s Atlases"/>
    <m/>
    <n v="500097"/>
    <s v="INDIA"/>
    <x v="7"/>
    <s v="Easy Ship"/>
    <n v="52.2"/>
    <n v="9"/>
    <n v="0.1"/>
    <n v="23.49"/>
    <n v="3.1900000000000004"/>
    <n v="3"/>
  </r>
  <r>
    <n v="1459"/>
    <s v="RG69"/>
    <d v="2024-12-29T00:00:00"/>
    <x v="11"/>
    <x v="3"/>
    <s v="Standard Class"/>
    <s v="NH-18610"/>
    <s v="OFF-LA-10001569"/>
    <n v="240"/>
    <n v="18"/>
    <n v="7.5"/>
    <x v="1"/>
    <s v="Handball Gear"/>
    <s v="INR"/>
    <n v="226022"/>
    <s v="INDIA"/>
    <x v="13"/>
    <s v="Easy Ship"/>
    <n v="15.936"/>
    <n v="4"/>
    <n v="0.2"/>
    <n v="5.1791999999999998"/>
    <n v="2.6892"/>
    <n v="2"/>
  </r>
  <r>
    <n v="1460"/>
    <s v="LC15"/>
    <d v="2024-12-30T00:00:00"/>
    <x v="11"/>
    <x v="3"/>
    <s v="Same Day"/>
    <s v="AA-10480"/>
    <s v="FUR-FU-10001473"/>
    <n v="250"/>
    <n v="22"/>
    <n v="8.7999999999999989"/>
    <x v="4"/>
    <s v="Smart VR Headsets"/>
    <s v="INR"/>
    <n v="226022"/>
    <s v="INDIA"/>
    <x v="6"/>
    <m/>
    <n v="27.46"/>
    <n v="2"/>
    <n v="0.1"/>
    <n v="9.8856000000000002"/>
    <n v="8.7872000000000003"/>
    <n v="1"/>
  </r>
  <r>
    <n v="1461"/>
    <s v="XE41"/>
    <d v="2024-12-31T00:00:00"/>
    <x v="11"/>
    <x v="3"/>
    <s v="Standard Class"/>
    <s v="LC-17140"/>
    <s v="OFF-BI-10001765"/>
    <n v="120"/>
    <n v="22"/>
    <n v="18.333333333333332"/>
    <x v="2"/>
    <s v="Women’s Tunics"/>
    <s v="INR"/>
    <n v="226022"/>
    <s v="INDIA"/>
    <x v="15"/>
    <m/>
    <n v="55.423999999999999"/>
    <n v="2"/>
    <n v="0.2"/>
    <n v="19.398399999999999"/>
    <n v="18.012799999999999"/>
    <n v="1"/>
  </r>
  <r>
    <n v="1462"/>
    <s v="CC44"/>
    <d v="2025-01-01T00:00:00"/>
    <x v="0"/>
    <x v="4"/>
    <s v="Standard Class"/>
    <s v="MB-18085"/>
    <s v="FUR-TA-10001095"/>
    <n v="220"/>
    <n v="6"/>
    <n v="2.7272727272727271"/>
    <x v="5"/>
    <s v="Kitchen Blenders"/>
    <s v="INR"/>
    <n v="226022"/>
    <s v="INDIA"/>
    <x v="18"/>
    <m/>
    <n v="244.006"/>
    <n v="2"/>
    <n v="0.3"/>
    <n v="-31.372199999999999"/>
    <n v="137.6891"/>
    <n v="5"/>
  </r>
  <r>
    <n v="1463"/>
    <s v="YK38"/>
    <d v="2025-01-02T00:00:00"/>
    <x v="0"/>
    <x v="4"/>
    <s v="First Class"/>
    <s v="LC-16930"/>
    <s v="TEC-AC-10004571"/>
    <n v="240"/>
    <n v="14"/>
    <n v="5.833333333333333"/>
    <x v="3"/>
    <s v="Car Radiators"/>
    <s v="INR"/>
    <n v="226022"/>
    <s v="INDIA"/>
    <x v="5"/>
    <m/>
    <n v="159.98400000000001"/>
    <n v="2"/>
    <n v="0.2"/>
    <n v="43.995600000000003"/>
    <n v="57.994200000000006"/>
    <n v="2"/>
  </r>
  <r>
    <n v="1464"/>
    <s v="IS34"/>
    <d v="2025-01-03T00:00:00"/>
    <x v="0"/>
    <x v="4"/>
    <s v="First Class"/>
    <s v="LC-16930"/>
    <s v="FUR-CH-10002126"/>
    <n v="160"/>
    <n v="22"/>
    <n v="13.750000000000002"/>
    <x v="6"/>
    <s v="Logic Games"/>
    <s v="INR"/>
    <n v="753001"/>
    <s v="INDIA"/>
    <x v="14"/>
    <m/>
    <n v="1024.7159999999999"/>
    <n v="6"/>
    <n v="0.3"/>
    <n v="-29.2776"/>
    <n v="175.66559999999996"/>
    <n v="5"/>
  </r>
  <r>
    <n v="1465"/>
    <s v="DG98"/>
    <d v="2025-01-04T00:00:00"/>
    <x v="0"/>
    <x v="4"/>
    <s v="First Class"/>
    <s v="KD-16495"/>
    <s v="OFF-FA-10001754"/>
    <n v="130"/>
    <n v="24"/>
    <n v="18.461538461538463"/>
    <x v="7"/>
    <s v="Organic Cereals"/>
    <s v="INR"/>
    <n v="695543"/>
    <s v="INDIA"/>
    <x v="18"/>
    <m/>
    <n v="3.68"/>
    <n v="2"/>
    <n v="0.1"/>
    <n v="1.8031999999999999"/>
    <n v="0.93840000000000012"/>
    <n v="3"/>
  </r>
  <r>
    <n v="1466"/>
    <s v="AB31"/>
    <d v="2025-01-05T00:00:00"/>
    <x v="0"/>
    <x v="4"/>
    <s v="Standard Class"/>
    <s v="MB-17305"/>
    <s v="FUR-FU-10001602"/>
    <n v="250"/>
    <n v="22"/>
    <n v="8.7999999999999989"/>
    <x v="8"/>
    <s v="Pet First Aid Kits"/>
    <s v="INR"/>
    <n v="515004"/>
    <s v="INDIA"/>
    <x v="19"/>
    <s v="Easy Ship"/>
    <n v="121.376"/>
    <n v="4"/>
    <n v="0.2"/>
    <n v="-3.0344000000000002"/>
    <n v="31.102600000000002"/>
    <n v="2"/>
  </r>
  <r>
    <n v="1467"/>
    <s v="DD54"/>
    <d v="2025-01-06T00:00:00"/>
    <x v="0"/>
    <x v="4"/>
    <s v="Standard Class"/>
    <s v="MB-17305"/>
    <s v="TEC-AC-10001767"/>
    <n v="150"/>
    <n v="8"/>
    <n v="5.3333333333333339"/>
    <x v="2"/>
    <s v="Men’s Tracksuits"/>
    <s v="INR"/>
    <n v="462016"/>
    <s v="INDIA"/>
    <x v="3"/>
    <m/>
    <n v="95.975999999999999"/>
    <n v="3"/>
    <n v="0.2"/>
    <n v="-10.7973"/>
    <n v="35.591100000000004"/>
    <n v="5"/>
  </r>
  <r>
    <n v="1468"/>
    <s v="TQ37"/>
    <d v="2025-01-07T00:00:00"/>
    <x v="0"/>
    <x v="4"/>
    <s v="Same Day"/>
    <s v="TH-21550"/>
    <s v="TEC-AC-10002402"/>
    <n v="170"/>
    <n v="12"/>
    <n v="7.0588235294117645"/>
    <x v="4"/>
    <s v="Smart Earbuds"/>
    <s v="INR"/>
    <n v="700133"/>
    <s v="INDIA"/>
    <x v="8"/>
    <m/>
    <n v="255.96799999999999"/>
    <n v="4"/>
    <n v="0.2"/>
    <n v="31.995999999999999"/>
    <n v="55.992999999999995"/>
    <n v="2"/>
  </r>
  <r>
    <n v="1469"/>
    <s v="PZ41"/>
    <d v="2025-01-08T00:00:00"/>
    <x v="0"/>
    <x v="4"/>
    <s v="Standard Class"/>
    <s v="DK-12835"/>
    <s v="FUR-CH-10000847"/>
    <n v="230"/>
    <n v="26"/>
    <n v="11.304347826086957"/>
    <x v="1"/>
    <s v="Softball Gear"/>
    <s v="INR"/>
    <n v="574231"/>
    <s v="INDIA"/>
    <x v="16"/>
    <s v="Easy Ship"/>
    <n v="872.94"/>
    <n v="3"/>
    <n v="0.1"/>
    <n v="226.96440000000001"/>
    <n v="215.3252"/>
    <n v="2"/>
  </r>
  <r>
    <n v="1470"/>
    <s v="EP76"/>
    <d v="2025-01-09T00:00:00"/>
    <x v="0"/>
    <x v="4"/>
    <s v="Standard Class"/>
    <s v="DK-12835"/>
    <s v="OFF-BI-10003982"/>
    <n v="250"/>
    <n v="22"/>
    <n v="8.7999999999999989"/>
    <x v="0"/>
    <s v="Children’s Puzzle Books"/>
    <s v="INR"/>
    <n v="415523"/>
    <s v="INDIA"/>
    <x v="11"/>
    <m/>
    <n v="41.54"/>
    <n v="2"/>
    <n v="0.1"/>
    <n v="19.523800000000001"/>
    <n v="11.008099999999999"/>
    <n v="3"/>
  </r>
  <r>
    <n v="1471"/>
    <s v="NR90"/>
    <d v="2025-01-10T00:00:00"/>
    <x v="0"/>
    <x v="4"/>
    <s v="Standard Class"/>
    <s v="DK-12835"/>
    <s v="OFF-PA-10001293"/>
    <n v="150"/>
    <n v="20"/>
    <n v="13.333333333333334"/>
    <x v="5"/>
    <s v="Kitchen Mixers"/>
    <s v="INR"/>
    <n v="500050"/>
    <s v="INDIA"/>
    <x v="14"/>
    <m/>
    <n v="12.96"/>
    <n v="2"/>
    <n v="0.1"/>
    <n v="6.2207999999999997"/>
    <n v="3.3696000000000006"/>
    <n v="3"/>
  </r>
  <r>
    <n v="1472"/>
    <s v="EE49"/>
    <d v="2025-01-11T00:00:00"/>
    <x v="0"/>
    <x v="4"/>
    <s v="Second Class"/>
    <s v="ON-18715"/>
    <s v="OFF-AR-10000634"/>
    <n v="160"/>
    <n v="24"/>
    <n v="15"/>
    <x v="3"/>
    <s v="Car Gearboxes"/>
    <s v="INR"/>
    <n v="534447"/>
    <s v="INDIA"/>
    <x v="8"/>
    <s v="Easy Ship"/>
    <n v="6.8479999999999999"/>
    <n v="2"/>
    <n v="0.2"/>
    <n v="0.59919999999999995"/>
    <n v="3.1244000000000001"/>
    <n v="1"/>
  </r>
  <r>
    <n v="1473"/>
    <s v="ID73"/>
    <d v="2025-01-12T00:00:00"/>
    <x v="0"/>
    <x v="4"/>
    <s v="Standard Class"/>
    <s v="KN-16390"/>
    <s v="OFF-LA-10004272"/>
    <n v="180"/>
    <n v="22"/>
    <n v="12.222222222222221"/>
    <x v="6"/>
    <s v="Clay Modeling Kits"/>
    <s v="INR"/>
    <n v="400067"/>
    <s v="INDIA"/>
    <x v="9"/>
    <m/>
    <n v="8.67"/>
    <n v="3"/>
    <n v="0.1"/>
    <n v="4.0749000000000004"/>
    <n v="1.5316999999999998"/>
    <n v="5"/>
  </r>
  <r>
    <n v="1474"/>
    <s v="IE70"/>
    <d v="2025-01-13T00:00:00"/>
    <x v="0"/>
    <x v="4"/>
    <s v="Same Day"/>
    <s v="NM-18520"/>
    <s v="FUR-FU-10004270"/>
    <n v="150"/>
    <n v="28"/>
    <n v="18.666666666666668"/>
    <x v="7"/>
    <s v="Packaged Rice"/>
    <s v="INR"/>
    <n v="400037"/>
    <s v="INDIA"/>
    <x v="13"/>
    <s v="Easy Ship"/>
    <n v="6.6879999999999997"/>
    <n v="4"/>
    <n v="0.6"/>
    <n v="-4.0128000000000004"/>
    <n v="2.6752000000000002"/>
    <n v="3"/>
  </r>
  <r>
    <n v="1475"/>
    <s v="TT97"/>
    <d v="2025-01-14T00:00:00"/>
    <x v="0"/>
    <x v="4"/>
    <s v="Standard Class"/>
    <s v="NP-18685"/>
    <s v="OFF-AR-10003770"/>
    <n v="150"/>
    <n v="24"/>
    <n v="16"/>
    <x v="8"/>
    <s v="Pet Carriers"/>
    <s v="INR"/>
    <n v="110058"/>
    <s v="INDIA"/>
    <x v="17"/>
    <s v="Easy Ship"/>
    <n v="17.28"/>
    <n v="6"/>
    <n v="0.1"/>
    <n v="5.0111999999999997"/>
    <n v="2.0448000000000004"/>
    <n v="5"/>
  </r>
  <r>
    <n v="1476"/>
    <s v="QS43"/>
    <d v="2025-01-15T00:00:00"/>
    <x v="0"/>
    <x v="4"/>
    <s v="Standard Class"/>
    <s v="NP-18685"/>
    <s v="OFF-BI-10000320"/>
    <n v="230"/>
    <n v="24"/>
    <n v="10.434782608695652"/>
    <x v="2"/>
    <s v="Women’s Jackets"/>
    <s v="INR"/>
    <n v="560076"/>
    <s v="INDIA"/>
    <x v="9"/>
    <s v="Easy Ship"/>
    <n v="17.712"/>
    <n v="3"/>
    <n v="0.2"/>
    <n v="6.4206000000000003"/>
    <n v="3.7637999999999998"/>
    <n v="3"/>
  </r>
  <r>
    <n v="1477"/>
    <s v="YZ50"/>
    <d v="2025-01-16T00:00:00"/>
    <x v="0"/>
    <x v="4"/>
    <s v="Standard Class"/>
    <s v="CG-12040"/>
    <s v="OFF-LA-10003121"/>
    <n v="190"/>
    <n v="22"/>
    <n v="11.578947368421053"/>
    <x v="4"/>
    <s v="Smart Cameras"/>
    <m/>
    <n v="121002"/>
    <s v="INDIA"/>
    <x v="4"/>
    <m/>
    <n v="28.91"/>
    <n v="7"/>
    <n v="0.1"/>
    <n v="13.2986"/>
    <n v="2.2302"/>
    <n v="1"/>
  </r>
  <r>
    <n v="1478"/>
    <s v="PD49"/>
    <d v="2025-01-17T00:00:00"/>
    <x v="0"/>
    <x v="4"/>
    <s v="Standard Class"/>
    <s v="CS-12505"/>
    <s v="OFF-SU-10000381"/>
    <n v="170"/>
    <n v="30"/>
    <n v="17.647058823529413"/>
    <x v="0"/>
    <s v="Children’s Science Books"/>
    <s v="INR"/>
    <n v="495454"/>
    <s v="INDIA"/>
    <x v="16"/>
    <s v="Easy Ship"/>
    <n v="52.136000000000003"/>
    <n v="7"/>
    <n v="0.2"/>
    <n v="5.8653000000000004"/>
    <n v="6.610100000000001"/>
    <n v="1"/>
  </r>
  <r>
    <n v="1479"/>
    <s v="MV83"/>
    <d v="2025-01-18T00:00:00"/>
    <x v="0"/>
    <x v="4"/>
    <s v="First Class"/>
    <s v="KD-16345"/>
    <s v="TEC-PH-10000376"/>
    <n v="230"/>
    <n v="20"/>
    <n v="8.695652173913043"/>
    <x v="1"/>
    <s v="Rowing Oars"/>
    <s v="INR"/>
    <n v="400080"/>
    <s v="INDIA"/>
    <x v="17"/>
    <s v="Easy Ship"/>
    <n v="31.968"/>
    <n v="4"/>
    <n v="0.2"/>
    <n v="2.3976000000000002"/>
    <n v="7.3925999999999998"/>
    <n v="5"/>
  </r>
  <r>
    <n v="1480"/>
    <s v="KT75"/>
    <d v="2025-01-19T00:00:00"/>
    <x v="0"/>
    <x v="4"/>
    <s v="Standard Class"/>
    <s v="MK-18160"/>
    <s v="OFF-PA-10002262"/>
    <n v="240"/>
    <n v="8"/>
    <n v="3.3333333333333335"/>
    <x v="4"/>
    <s v="Smart Sensors"/>
    <s v="INR"/>
    <n v="110001"/>
    <s v="INDIA"/>
    <x v="6"/>
    <m/>
    <n v="25.92"/>
    <n v="4"/>
    <n v="0.1"/>
    <n v="12.441599999999999"/>
    <n v="3.3696000000000006"/>
    <n v="3"/>
  </r>
  <r>
    <n v="1481"/>
    <s v="ZR96"/>
    <d v="2025-01-20T00:00:00"/>
    <x v="0"/>
    <x v="4"/>
    <s v="Standard Class"/>
    <s v="MK-18160"/>
    <s v="OFF-PA-10002464"/>
    <n v="230"/>
    <n v="18"/>
    <n v="7.8260869565217401"/>
    <x v="2"/>
    <s v="Kids’ Pajamas"/>
    <m/>
    <n v="110031"/>
    <s v="INDIA"/>
    <x v="17"/>
    <s v="Easy Ship"/>
    <n v="40.46"/>
    <n v="7"/>
    <n v="0.1"/>
    <n v="19.825399999999998"/>
    <n v="2.9478000000000004"/>
    <n v="5"/>
  </r>
  <r>
    <n v="1482"/>
    <s v="NC91"/>
    <d v="2025-01-21T00:00:00"/>
    <x v="0"/>
    <x v="4"/>
    <s v="Standard Class"/>
    <s v="MK-18160"/>
    <s v="OFF-ST-10002214"/>
    <n v="170"/>
    <n v="8"/>
    <n v="4.7058823529411766"/>
    <x v="5"/>
    <s v="Kitchen Cooktops"/>
    <s v="INR"/>
    <n v="440006"/>
    <s v="INDIA"/>
    <x v="19"/>
    <m/>
    <n v="33.869999999999997"/>
    <n v="3"/>
    <n v="0.1"/>
    <n v="8.8062000000000005"/>
    <n v="8.3545999999999996"/>
    <n v="2"/>
  </r>
  <r>
    <n v="1483"/>
    <s v="LN23"/>
    <d v="2025-01-22T00:00:00"/>
    <x v="0"/>
    <x v="4"/>
    <s v="Second Class"/>
    <s v="DW-13540"/>
    <s v="OFF-AR-10003560"/>
    <n v="200"/>
    <n v="30"/>
    <n v="15"/>
    <x v="3"/>
    <s v="Car Clutches"/>
    <s v="INR"/>
    <n v="628002"/>
    <s v="INDIA"/>
    <x v="13"/>
    <m/>
    <n v="9.7279999999999998"/>
    <n v="2"/>
    <n v="0.2"/>
    <n v="1.7023999999999999"/>
    <n v="4.0128000000000004"/>
    <n v="1"/>
  </r>
  <r>
    <n v="1484"/>
    <s v="FW79"/>
    <d v="2025-01-23T00:00:00"/>
    <x v="0"/>
    <x v="4"/>
    <s v="Second Class"/>
    <s v="DW-13540"/>
    <s v="OFF-PA-10000130"/>
    <n v="230"/>
    <n v="12"/>
    <n v="5.2173913043478262"/>
    <x v="6"/>
    <s v="Educational Robots"/>
    <s v="INR"/>
    <n v="440009"/>
    <s v="INDIA"/>
    <x v="0"/>
    <m/>
    <n v="3.4239999999999999"/>
    <n v="1"/>
    <n v="0.2"/>
    <n v="1.07"/>
    <n v="2.3540000000000001"/>
    <n v="1"/>
  </r>
  <r>
    <n v="1485"/>
    <s v="XI43"/>
    <d v="2025-01-24T00:00:00"/>
    <x v="0"/>
    <x v="4"/>
    <s v="Standard Class"/>
    <s v="CP-12340"/>
    <s v="TEC-AC-10000865"/>
    <n v="230"/>
    <n v="28"/>
    <n v="12.173913043478262"/>
    <x v="7"/>
    <s v="Protein Supplements"/>
    <s v="INR"/>
    <n v="110075"/>
    <s v="INDIA"/>
    <x v="0"/>
    <m/>
    <n v="177"/>
    <n v="3"/>
    <n v="0.1"/>
    <n v="30.09"/>
    <n v="48.97"/>
    <n v="2"/>
  </r>
  <r>
    <n v="1486"/>
    <s v="TE87"/>
    <d v="2025-01-25T00:00:00"/>
    <x v="0"/>
    <x v="4"/>
    <s v="Standard Class"/>
    <s v="MS-17770"/>
    <s v="OFF-FA-10003021"/>
    <n v="240"/>
    <n v="10"/>
    <n v="4.1666666666666661"/>
    <x v="8"/>
    <s v="Pet Beds"/>
    <s v="INR"/>
    <n v="560085"/>
    <s v="INDIA"/>
    <x v="4"/>
    <s v="Easy Ship"/>
    <n v="3.76"/>
    <n v="2"/>
    <n v="0.1"/>
    <n v="1.3160000000000001"/>
    <n v="1.222"/>
    <n v="4"/>
  </r>
  <r>
    <n v="1487"/>
    <s v="ZY10"/>
    <d v="2025-01-26T00:00:00"/>
    <x v="0"/>
    <x v="4"/>
    <s v="Standard Class"/>
    <s v="CM-12655"/>
    <s v="TEC-PH-10003580"/>
    <n v="210"/>
    <n v="16"/>
    <n v="7.6190476190476195"/>
    <x v="2"/>
    <s v="Men’s Coats"/>
    <s v="INR"/>
    <n v="560085"/>
    <s v="INDIA"/>
    <x v="15"/>
    <s v="Easy Ship"/>
    <n v="1212.848"/>
    <n v="7"/>
    <n v="0.2"/>
    <n v="106.1242"/>
    <n v="158.10339999999999"/>
    <n v="2"/>
  </r>
  <r>
    <n v="1488"/>
    <s v="OK11"/>
    <d v="2025-01-27T00:00:00"/>
    <x v="0"/>
    <x v="4"/>
    <s v="Standard Class"/>
    <s v="CM-12655"/>
    <s v="TEC-AC-10001109"/>
    <n v="180"/>
    <n v="14"/>
    <n v="7.7777777777777777"/>
    <x v="4"/>
    <s v="Smart Speakers"/>
    <s v="INR"/>
    <n v="800001"/>
    <s v="INDIA"/>
    <x v="1"/>
    <m/>
    <n v="89.97"/>
    <n v="3"/>
    <n v="0.1"/>
    <n v="37.787399999999998"/>
    <n v="17.394200000000001"/>
    <n v="5"/>
  </r>
  <r>
    <n v="1489"/>
    <s v="LB86"/>
    <d v="2025-01-28T00:00:00"/>
    <x v="0"/>
    <x v="4"/>
    <s v="Standard Class"/>
    <s v="CM-12655"/>
    <s v="FUR-FU-10003347"/>
    <n v="100"/>
    <n v="20"/>
    <n v="20"/>
    <x v="1"/>
    <s v="Ice Hockey Gear"/>
    <s v="INR"/>
    <n v="121008"/>
    <s v="INDIA"/>
    <x v="18"/>
    <m/>
    <n v="42.6"/>
    <n v="3"/>
    <n v="0.1"/>
    <n v="16.614000000000001"/>
    <n v="8.6620000000000008"/>
    <n v="4"/>
  </r>
  <r>
    <n v="1490"/>
    <s v="BL69"/>
    <d v="2025-01-29T00:00:00"/>
    <x v="0"/>
    <x v="4"/>
    <s v="Standard Class"/>
    <s v="Co-12640"/>
    <s v="OFF-LA-10000452"/>
    <n v="200"/>
    <n v="6"/>
    <n v="3"/>
    <x v="0"/>
    <s v="Children’s Adventure Novels"/>
    <s v="INR"/>
    <n v="400614"/>
    <s v="INDIA"/>
    <x v="19"/>
    <s v="Easy Ship"/>
    <n v="5.04"/>
    <n v="2"/>
    <n v="0.2"/>
    <n v="1.764"/>
    <n v="1.6379999999999999"/>
    <n v="5"/>
  </r>
  <r>
    <n v="1491"/>
    <s v="FP53"/>
    <d v="2025-01-30T00:00:00"/>
    <x v="0"/>
    <x v="4"/>
    <s v="Second Class"/>
    <s v="DL-13495"/>
    <s v="OFF-EN-10002986"/>
    <n v="250"/>
    <n v="24"/>
    <n v="9.6"/>
    <x v="5"/>
    <s v="Kitchen Ovens"/>
    <m/>
    <n v="500049"/>
    <s v="INDIA"/>
    <x v="9"/>
    <m/>
    <n v="62.96"/>
    <n v="4"/>
    <n v="0.1"/>
    <n v="28.332000000000001"/>
    <n v="8.657"/>
    <n v="3"/>
  </r>
  <r>
    <n v="1492"/>
    <s v="LR16"/>
    <d v="2025-01-31T00:00:00"/>
    <x v="0"/>
    <x v="4"/>
    <s v="Standard Class"/>
    <s v="TS-21370"/>
    <s v="OFF-PA-10001838"/>
    <n v="120"/>
    <n v="26"/>
    <n v="21.666666666666668"/>
    <x v="3"/>
    <s v="Car Fuel Pumps"/>
    <s v="INR"/>
    <n v="132117"/>
    <s v="INDIA"/>
    <x v="11"/>
    <m/>
    <n v="5.88"/>
    <n v="1"/>
    <n v="0.1"/>
    <n v="2.8812000000000002"/>
    <n v="2.9987999999999997"/>
    <n v="4"/>
  </r>
  <r>
    <n v="1493"/>
    <s v="RP85"/>
    <d v="2025-02-01T00:00:00"/>
    <x v="1"/>
    <x v="4"/>
    <s v="Standard Class"/>
    <s v="TS-21370"/>
    <s v="FUR-CH-10000785"/>
    <n v="230"/>
    <n v="8"/>
    <n v="3.4782608695652173"/>
    <x v="6"/>
    <s v="Board Games"/>
    <s v="INR"/>
    <n v="400066"/>
    <s v="INDIA"/>
    <x v="1"/>
    <s v="Easy Ship"/>
    <n v="977.29200000000003"/>
    <n v="6"/>
    <n v="0.11"/>
    <n v="173.74080000000001"/>
    <n v="133.92519999999999"/>
    <n v="4"/>
  </r>
  <r>
    <n v="1494"/>
    <s v="AW63"/>
    <d v="2025-02-02T00:00:00"/>
    <x v="1"/>
    <x v="4"/>
    <s v="Standard Class"/>
    <s v="JW-15220"/>
    <s v="FUR-FU-10002885"/>
    <n v="130"/>
    <n v="8"/>
    <n v="6.1538461538461542"/>
    <x v="7"/>
    <s v="Energy Drinks"/>
    <s v="INR"/>
    <n v="110059"/>
    <s v="INDIA"/>
    <x v="2"/>
    <m/>
    <n v="9.64"/>
    <n v="2"/>
    <n v="0.1"/>
    <n v="3.6631999999999998"/>
    <n v="2.9884000000000004"/>
    <n v="3"/>
  </r>
  <r>
    <n v="1495"/>
    <s v="QY37"/>
    <d v="2025-02-03T00:00:00"/>
    <x v="1"/>
    <x v="4"/>
    <s v="Second Class"/>
    <s v="RF-19840"/>
    <s v="OFF-AR-10002952"/>
    <n v="160"/>
    <n v="6"/>
    <n v="3.75"/>
    <x v="8"/>
    <s v="Pet Grooming Brushes"/>
    <s v="INR"/>
    <n v="560011"/>
    <s v="INDIA"/>
    <x v="11"/>
    <m/>
    <n v="40.049999999999997"/>
    <n v="3"/>
    <n v="0.1"/>
    <n v="11.214"/>
    <n v="9.6120000000000001"/>
    <n v="1"/>
  </r>
  <r>
    <n v="1496"/>
    <s v="TF85"/>
    <d v="2025-02-04T00:00:00"/>
    <x v="1"/>
    <x v="4"/>
    <s v="Standard Class"/>
    <s v="JD-15790"/>
    <s v="OFF-AR-10003759"/>
    <n v="230"/>
    <n v="22"/>
    <n v="9.5652173913043477"/>
    <x v="2"/>
    <s v="Women’s Sarees"/>
    <s v="INR"/>
    <n v="110063"/>
    <s v="INDIA"/>
    <x v="1"/>
    <m/>
    <n v="10.192"/>
    <n v="7"/>
    <n v="0.2"/>
    <n v="3.1850000000000001"/>
    <n v="1.0009999999999999"/>
    <n v="5"/>
  </r>
  <r>
    <n v="1497"/>
    <s v="TZ43"/>
    <d v="2025-02-05T00:00:00"/>
    <x v="1"/>
    <x v="4"/>
    <s v="Standard Class"/>
    <s v="JD-15790"/>
    <s v="OFF-ST-10004950"/>
    <n v="180"/>
    <n v="18"/>
    <n v="10"/>
    <x v="4"/>
    <s v="Smart Tablets"/>
    <s v="INR"/>
    <n v="679303"/>
    <s v="INDIA"/>
    <x v="9"/>
    <m/>
    <n v="16.783999999999999"/>
    <n v="1"/>
    <n v="0.2"/>
    <n v="-0.20979999999999999"/>
    <n v="16.9938"/>
    <n v="5"/>
  </r>
  <r>
    <n v="1498"/>
    <s v="TL49"/>
    <d v="2025-02-06T00:00:00"/>
    <x v="1"/>
    <x v="4"/>
    <s v="Standard Class"/>
    <s v="JD-15790"/>
    <s v="OFF-AR-10001940"/>
    <n v="130"/>
    <n v="10"/>
    <n v="7.6923076923076925"/>
    <x v="0"/>
    <s v="Medical Journals"/>
    <s v="INR"/>
    <n v="500090"/>
    <s v="INDIA"/>
    <x v="19"/>
    <m/>
    <n v="13.12"/>
    <n v="5"/>
    <n v="0.2"/>
    <n v="3.7719999999999998"/>
    <n v="1.8695999999999997"/>
    <n v="4"/>
  </r>
  <r>
    <n v="1499"/>
    <s v="BQ77"/>
    <d v="2025-02-07T00:00:00"/>
    <x v="1"/>
    <x v="4"/>
    <s v="First Class"/>
    <s v="NK-18490"/>
    <s v="OFF-BI-10003981"/>
    <n v="150"/>
    <n v="10"/>
    <n v="6.666666666666667"/>
    <x v="1"/>
    <s v="Boxing Headgear"/>
    <s v="INR"/>
    <n v="600085"/>
    <s v="INDIA"/>
    <x v="11"/>
    <m/>
    <n v="18.16"/>
    <n v="5"/>
    <n v="0.2"/>
    <n v="6.5830000000000002"/>
    <n v="2.3153999999999999"/>
    <n v="3"/>
  </r>
  <r>
    <n v="1500"/>
    <s v="OF32"/>
    <d v="2025-02-08T00:00:00"/>
    <x v="1"/>
    <x v="4"/>
    <s v="Standard Class"/>
    <s v="NG-18430"/>
    <s v="OFF-PA-10002749"/>
    <n v="120"/>
    <n v="14"/>
    <n v="11.666666666666666"/>
    <x v="4"/>
    <s v="Smart Doorbells"/>
    <s v="INR"/>
    <n v="110031"/>
    <s v="INDIA"/>
    <x v="10"/>
    <s v="Easy Ship"/>
    <n v="16.056000000000001"/>
    <n v="3"/>
    <n v="0.2"/>
    <n v="5.8202999999999996"/>
    <n v="3.4119000000000006"/>
    <n v="4"/>
  </r>
  <r>
    <n v="1501"/>
    <s v="MV85"/>
    <d v="2025-02-09T00:00:00"/>
    <x v="1"/>
    <x v="4"/>
    <s v="Standard Class"/>
    <s v="NG-18430"/>
    <s v="OFF-PA-10003823"/>
    <n v="130"/>
    <n v="16"/>
    <n v="12.307692307692308"/>
    <x v="2"/>
    <s v="Women’s Kurtis"/>
    <s v="INR"/>
    <n v="201009"/>
    <s v="INDIA"/>
    <x v="3"/>
    <m/>
    <n v="223.05600000000001"/>
    <n v="9"/>
    <n v="0.2"/>
    <n v="69.704999999999998"/>
    <n v="17.039000000000001"/>
    <n v="1"/>
  </r>
  <r>
    <n v="1502"/>
    <s v="PA43"/>
    <d v="2025-02-10T00:00:00"/>
    <x v="1"/>
    <x v="4"/>
    <s v="Standard Class"/>
    <s v="NG-18430"/>
    <s v="OFF-ST-10003716"/>
    <n v="150"/>
    <n v="12"/>
    <n v="8"/>
    <x v="5"/>
    <s v="Kitchen Cabinets"/>
    <s v="INR"/>
    <n v="400101"/>
    <s v="INDIA"/>
    <x v="8"/>
    <m/>
    <n v="540.048"/>
    <n v="3"/>
    <n v="0.2"/>
    <n v="-47.254199999999997"/>
    <n v="195.76739999999998"/>
    <n v="2"/>
  </r>
  <r>
    <n v="1503"/>
    <s v="AK66"/>
    <d v="2025-02-11T00:00:00"/>
    <x v="1"/>
    <x v="4"/>
    <s v="Standard Class"/>
    <s v="AT-10435"/>
    <s v="TEC-PH-10001300"/>
    <n v="160"/>
    <n v="10"/>
    <n v="6.25"/>
    <x v="3"/>
    <s v="Car Tyres"/>
    <s v="INR"/>
    <n v="834005"/>
    <s v="INDIA"/>
    <x v="10"/>
    <m/>
    <n v="33.520000000000003"/>
    <n v="2"/>
    <n v="0.2"/>
    <n v="3.3519999999999999"/>
    <n v="15.084000000000001"/>
    <n v="5"/>
  </r>
  <r>
    <n v="1504"/>
    <s v="DD37"/>
    <d v="2025-02-12T00:00:00"/>
    <x v="1"/>
    <x v="4"/>
    <s v="Standard Class"/>
    <s v="AT-10435"/>
    <s v="FUR-FU-10000010"/>
    <n v="250"/>
    <n v="28"/>
    <n v="11.200000000000001"/>
    <x v="6"/>
    <s v="Educational Kits"/>
    <s v="INR"/>
    <n v="691602"/>
    <s v="INDIA"/>
    <x v="8"/>
    <m/>
    <n v="9.94"/>
    <n v="2"/>
    <n v="0.1"/>
    <n v="3.0813999999999999"/>
    <n v="3.4292999999999996"/>
    <n v="3"/>
  </r>
  <r>
    <n v="1505"/>
    <s v="PR51"/>
    <d v="2025-02-13T00:00:00"/>
    <x v="1"/>
    <x v="4"/>
    <s v="Standard Class"/>
    <s v="PC-19000"/>
    <s v="OFF-AR-10001868"/>
    <n v="200"/>
    <n v="24"/>
    <n v="12"/>
    <x v="7"/>
    <s v="Organic Juices"/>
    <s v="INR"/>
    <n v="327001"/>
    <s v="INDIA"/>
    <x v="3"/>
    <s v="Easy Ship"/>
    <n v="6.72"/>
    <n v="4"/>
    <n v="0.1"/>
    <n v="3.36"/>
    <n v="0.84"/>
    <n v="3"/>
  </r>
  <r>
    <n v="1506"/>
    <s v="SC38"/>
    <d v="2025-02-14T00:00:00"/>
    <x v="1"/>
    <x v="4"/>
    <s v="Standard Class"/>
    <s v="PC-19000"/>
    <s v="FUR-TA-10003715"/>
    <n v="160"/>
    <n v="6"/>
    <n v="3.75"/>
    <x v="8"/>
    <s v="Pet Vitamins"/>
    <s v="INR"/>
    <n v="700016"/>
    <s v="INDIA"/>
    <x v="16"/>
    <s v="Easy Ship"/>
    <n v="1004.976"/>
    <n v="6"/>
    <n v="0.2"/>
    <n v="-175.8708"/>
    <n v="196.80780000000001"/>
    <n v="3"/>
  </r>
  <r>
    <n v="1507"/>
    <s v="PQ21"/>
    <d v="2025-02-15T00:00:00"/>
    <x v="1"/>
    <x v="4"/>
    <s v="Standard Class"/>
    <s v="AR-10540"/>
    <s v="OFF-BI-10003708"/>
    <n v="130"/>
    <n v="18"/>
    <n v="13.846153846153847"/>
    <x v="2"/>
    <s v="Men’s Formal Shoes"/>
    <s v="INR"/>
    <n v="700016"/>
    <s v="INDIA"/>
    <x v="4"/>
    <m/>
    <n v="17.88"/>
    <n v="3"/>
    <n v="0.2"/>
    <n v="5.5875000000000004"/>
    <n v="4.0974999999999993"/>
    <n v="5"/>
  </r>
  <r>
    <n v="1508"/>
    <s v="AR36"/>
    <d v="2025-02-16T00:00:00"/>
    <x v="1"/>
    <x v="4"/>
    <s v="Standard Class"/>
    <s v="CS-12505"/>
    <s v="TEC-MA-10004458"/>
    <n v="230"/>
    <n v="24"/>
    <n v="10.434782608695652"/>
    <x v="4"/>
    <s v="Smart Cameras"/>
    <s v="INR"/>
    <n v="394101"/>
    <s v="INDIA"/>
    <x v="10"/>
    <m/>
    <n v="396"/>
    <n v="4"/>
    <n v="0.1"/>
    <n v="190.08"/>
    <n v="51.48"/>
    <n v="2"/>
  </r>
  <r>
    <n v="1509"/>
    <s v="PC99"/>
    <d v="2025-02-17T00:00:00"/>
    <x v="1"/>
    <x v="4"/>
    <s v="Same Day"/>
    <s v="LS-16975"/>
    <s v="OFF-BI-10004965"/>
    <n v="240"/>
    <n v="14"/>
    <n v="5.833333333333333"/>
    <x v="1"/>
    <s v="Skating Gear"/>
    <s v="INR"/>
    <n v="394101"/>
    <s v="INDIA"/>
    <x v="4"/>
    <s v="Easy Ship"/>
    <n v="34.5"/>
    <n v="3"/>
    <n v="0.1"/>
    <n v="15.525"/>
    <n v="6.3250000000000002"/>
    <n v="4"/>
  </r>
  <r>
    <n v="1510"/>
    <s v="EW96"/>
    <d v="2025-02-18T00:00:00"/>
    <x v="1"/>
    <x v="4"/>
    <s v="First Class"/>
    <s v="JM-15535"/>
    <s v="FUR-FU-10004270"/>
    <n v="150"/>
    <n v="20"/>
    <n v="13.333333333333334"/>
    <x v="0"/>
    <s v="Children’s Picture Books"/>
    <s v="INR"/>
    <n v="500075"/>
    <s v="INDIA"/>
    <x v="10"/>
    <m/>
    <n v="8.36"/>
    <n v="2"/>
    <n v="0.1"/>
    <n v="3.0095999999999998"/>
    <n v="2.6751999999999998"/>
    <n v="2"/>
  </r>
  <r>
    <n v="1511"/>
    <s v="KB76"/>
    <d v="2025-02-19T00:00:00"/>
    <x v="1"/>
    <x v="4"/>
    <s v="Standard Class"/>
    <s v="NH-18610"/>
    <s v="OFF-AR-10002135"/>
    <n v="110"/>
    <n v="30"/>
    <n v="27.27272727272727"/>
    <x v="5"/>
    <s v="Kitchen Drawers"/>
    <m/>
    <n v="201012"/>
    <s v="INDIA"/>
    <x v="11"/>
    <m/>
    <n v="385.6"/>
    <n v="8"/>
    <n v="0.1"/>
    <n v="111.824"/>
    <n v="34.222000000000001"/>
    <n v="5"/>
  </r>
  <r>
    <n v="1512"/>
    <s v="LV96"/>
    <d v="2025-02-20T00:00:00"/>
    <x v="1"/>
    <x v="4"/>
    <s v="Standard Class"/>
    <s v="NH-18610"/>
    <s v="OFF-AR-10003514"/>
    <n v="160"/>
    <n v="8"/>
    <n v="5"/>
    <x v="3"/>
    <s v="Car Covers"/>
    <s v="INR"/>
    <n v="560098"/>
    <s v="INDIA"/>
    <x v="13"/>
    <m/>
    <n v="35.82"/>
    <n v="9"/>
    <n v="0.1"/>
    <n v="11.820600000000001"/>
    <n v="2.6666000000000003"/>
    <n v="4"/>
  </r>
  <r>
    <n v="1513"/>
    <s v="FD51"/>
    <d v="2025-02-21T00:00:00"/>
    <x v="1"/>
    <x v="4"/>
    <s v="Standard Class"/>
    <s v="RA-19915"/>
    <s v="OFF-ST-10002276"/>
    <n v="120"/>
    <n v="12"/>
    <n v="10"/>
    <x v="6"/>
    <s v="Musical Instruments"/>
    <s v="INR"/>
    <n v="360006"/>
    <s v="INDIA"/>
    <x v="6"/>
    <m/>
    <n v="200.06399999999999"/>
    <n v="3"/>
    <n v="0.2"/>
    <n v="12.504"/>
    <n v="62.52"/>
    <n v="1"/>
  </r>
  <r>
    <n v="1514"/>
    <s v="BR34"/>
    <d v="2025-02-22T00:00:00"/>
    <x v="1"/>
    <x v="4"/>
    <s v="Standard Class"/>
    <s v="RA-19915"/>
    <s v="OFF-BI-10001098"/>
    <n v="180"/>
    <n v="26"/>
    <n v="14.444444444444443"/>
    <x v="7"/>
    <s v="Instant Noodles"/>
    <s v="INR"/>
    <n v="600096"/>
    <s v="INDIA"/>
    <x v="18"/>
    <s v="Easy Ship"/>
    <n v="21.38"/>
    <n v="5"/>
    <n v="0.8"/>
    <n v="-33.139000000000003"/>
    <n v="10.9038"/>
    <n v="1"/>
  </r>
  <r>
    <n v="1515"/>
    <s v="HJ21"/>
    <d v="2025-02-23T00:00:00"/>
    <x v="1"/>
    <x v="4"/>
    <s v="Standard Class"/>
    <s v="RA-19915"/>
    <s v="OFF-BI-10001636"/>
    <n v="150"/>
    <n v="22"/>
    <n v="14.666666666666666"/>
    <x v="8"/>
    <s v="Pet Collars"/>
    <s v="INR"/>
    <n v="415712"/>
    <s v="INDIA"/>
    <x v="8"/>
    <m/>
    <n v="6.7439999999999998"/>
    <n v="4"/>
    <n v="0.8"/>
    <n v="-11.4648"/>
    <n v="4.5522"/>
    <n v="5"/>
  </r>
  <r>
    <n v="1516"/>
    <s v="JA31"/>
    <d v="2025-02-24T00:00:00"/>
    <x v="1"/>
    <x v="4"/>
    <s v="Standard Class"/>
    <s v="AI-10855"/>
    <s v="FUR-CH-10002961"/>
    <n v="210"/>
    <n v="28"/>
    <n v="13.333333333333334"/>
    <x v="2"/>
    <s v="Women’s Sarees"/>
    <s v="INR"/>
    <n v="202001"/>
    <s v="INDIA"/>
    <x v="6"/>
    <m/>
    <n v="63.686"/>
    <n v="1"/>
    <n v="0.3"/>
    <n v="-9.0980000000000008"/>
    <n v="72.784000000000006"/>
    <n v="4"/>
  </r>
  <r>
    <n v="1517"/>
    <s v="DO36"/>
    <d v="2025-02-25T00:00:00"/>
    <x v="1"/>
    <x v="4"/>
    <s v="Second Class"/>
    <s v="MC-17845"/>
    <s v="FUR-TA-10004256"/>
    <n v="190"/>
    <n v="18"/>
    <n v="9.4736842105263168"/>
    <x v="4"/>
    <s v="Smart Speakers"/>
    <s v="INR"/>
    <n v="400059"/>
    <s v="INDIA"/>
    <x v="18"/>
    <m/>
    <n v="1669.6"/>
    <n v="4"/>
    <n v="0.1"/>
    <n v="116.872"/>
    <n v="388.18199999999996"/>
    <n v="3"/>
  </r>
  <r>
    <n v="1518"/>
    <s v="NP88"/>
    <d v="2025-02-26T00:00:00"/>
    <x v="1"/>
    <x v="4"/>
    <s v="Second Class"/>
    <s v="TB-21400"/>
    <s v="OFF-BI-10004593"/>
    <n v="150"/>
    <n v="22"/>
    <n v="14.666666666666666"/>
    <x v="0"/>
    <s v="Children’s Encyclopedias"/>
    <s v="INR"/>
    <n v="201308"/>
    <s v="INDIA"/>
    <x v="15"/>
    <m/>
    <n v="83.84"/>
    <n v="2"/>
    <n v="0.2"/>
    <n v="27.248000000000001"/>
    <n v="28.295999999999999"/>
    <n v="4"/>
  </r>
  <r>
    <n v="1519"/>
    <s v="AV26"/>
    <d v="2025-02-27T00:00:00"/>
    <x v="1"/>
    <x v="4"/>
    <s v="Second Class"/>
    <s v="TB-21400"/>
    <s v="OFF-BI-10002827"/>
    <n v="120"/>
    <n v="16"/>
    <n v="13.333333333333334"/>
    <x v="1"/>
    <s v="Football Shoes"/>
    <s v="INR"/>
    <n v="201308"/>
    <s v="INDIA"/>
    <x v="16"/>
    <m/>
    <n v="13.272"/>
    <n v="3"/>
    <n v="0.2"/>
    <n v="4.3133999999999997"/>
    <n v="2.9862000000000002"/>
    <n v="5"/>
  </r>
  <r>
    <n v="1520"/>
    <s v="EV28"/>
    <d v="2025-02-28T00:00:00"/>
    <x v="1"/>
    <x v="4"/>
    <s v="Second Class"/>
    <s v="VW-21775"/>
    <s v="OFF-BI-10001759"/>
    <n v="190"/>
    <n v="12"/>
    <n v="6.3157894736842106"/>
    <x v="4"/>
    <s v="Smart Sensors"/>
    <s v="INR"/>
    <n v="201308"/>
    <s v="INDIA"/>
    <x v="10"/>
    <m/>
    <n v="21.335999999999999"/>
    <n v="7"/>
    <n v="0.2"/>
    <n v="7.7343000000000002"/>
    <n v="1.9430999999999996"/>
    <n v="4"/>
  </r>
  <r>
    <n v="1521"/>
    <s v="IZ23"/>
    <d v="2025-03-01T00:00:00"/>
    <x v="2"/>
    <x v="4"/>
    <s v="Standard Class"/>
    <s v="PL-18925"/>
    <s v="OFF-AR-10001419"/>
    <n v="120"/>
    <n v="24"/>
    <n v="20"/>
    <x v="2"/>
    <s v="Kids’ Jackets"/>
    <s v="INR"/>
    <n v="201308"/>
    <s v="INDIA"/>
    <x v="3"/>
    <m/>
    <n v="16.52"/>
    <n v="5"/>
    <n v="0.2"/>
    <n v="2.0649999999999999"/>
    <n v="2.891"/>
    <n v="5"/>
  </r>
  <r>
    <n v="1522"/>
    <s v="NO21"/>
    <d v="2025-03-02T00:00:00"/>
    <x v="2"/>
    <x v="4"/>
    <s v="Standard Class"/>
    <s v="GH-14425"/>
    <s v="FUR-FU-10002253"/>
    <n v="150"/>
    <n v="16"/>
    <n v="10.666666666666668"/>
    <x v="5"/>
    <s v="Kitchen Shelves"/>
    <s v="INR"/>
    <n v="201308"/>
    <s v="INDIA"/>
    <x v="5"/>
    <m/>
    <n v="206.11199999999999"/>
    <n v="6"/>
    <n v="0.2"/>
    <n v="48.951599999999999"/>
    <n v="26.193399999999997"/>
    <n v="5"/>
  </r>
  <r>
    <n v="1523"/>
    <s v="NN30"/>
    <d v="2025-03-03T00:00:00"/>
    <x v="2"/>
    <x v="4"/>
    <s v="Standard Class"/>
    <s v="GH-14425"/>
    <s v="OFF-PA-10002586"/>
    <n v="170"/>
    <n v="26"/>
    <n v="15.294117647058824"/>
    <x v="3"/>
    <s v="Car Oils"/>
    <s v="INR"/>
    <n v="201308"/>
    <s v="INDIA"/>
    <x v="2"/>
    <s v="Easy Ship"/>
    <n v="19.920000000000002"/>
    <n v="5"/>
    <n v="0.2"/>
    <n v="6.7229999999999999"/>
    <n v="2.6394000000000006"/>
    <n v="2"/>
  </r>
  <r>
    <n v="1524"/>
    <s v="YH14"/>
    <d v="2025-03-04T00:00:00"/>
    <x v="2"/>
    <x v="4"/>
    <s v="Standard Class"/>
    <s v="GH-14425"/>
    <s v="OFF-PA-10003039"/>
    <n v="250"/>
    <n v="26"/>
    <n v="10.4"/>
    <x v="6"/>
    <s v="Board Games"/>
    <s v="INR"/>
    <n v="201308"/>
    <s v="INDIA"/>
    <x v="5"/>
    <s v="Easy Ship"/>
    <n v="198.27199999999999"/>
    <n v="8"/>
    <n v="0.2"/>
    <n v="61.96"/>
    <n v="17.038999999999998"/>
    <n v="4"/>
  </r>
  <r>
    <n v="1525"/>
    <s v="QH25"/>
    <d v="2025-03-05T00:00:00"/>
    <x v="2"/>
    <x v="4"/>
    <s v="Standard Class"/>
    <s v="GH-14425"/>
    <s v="OFF-ST-10004804"/>
    <n v="130"/>
    <n v="8"/>
    <n v="6.1538461538461542"/>
    <x v="7"/>
    <s v="Packaged Snacks"/>
    <s v="INR"/>
    <n v="201308"/>
    <s v="INDIA"/>
    <x v="1"/>
    <s v="Easy Ship"/>
    <n v="247.10400000000001"/>
    <n v="6"/>
    <n v="0.2"/>
    <n v="-58.687199999999997"/>
    <n v="50.965200000000003"/>
    <n v="4"/>
  </r>
  <r>
    <n v="1526"/>
    <s v="ZF55"/>
    <d v="2025-03-06T00:00:00"/>
    <x v="2"/>
    <x v="4"/>
    <s v="Standard Class"/>
    <s v="GH-14425"/>
    <s v="OFF-AR-10004042"/>
    <n v="230"/>
    <n v="24"/>
    <n v="10.434782608695652"/>
    <x v="8"/>
    <s v="Pet Brushes"/>
    <s v="INR"/>
    <n v="201308"/>
    <s v="INDIA"/>
    <x v="1"/>
    <s v="Easy Ship"/>
    <n v="86.304000000000002"/>
    <n v="6"/>
    <n v="0.2"/>
    <n v="9.7091999999999992"/>
    <n v="12.7658"/>
    <n v="5"/>
  </r>
  <r>
    <n v="1527"/>
    <s v="RH48"/>
    <d v="2025-03-07T00:00:00"/>
    <x v="2"/>
    <x v="4"/>
    <s v="Standard Class"/>
    <s v="CJ-12010"/>
    <s v="OFF-AR-10002221"/>
    <n v="120"/>
    <n v="30"/>
    <n v="25"/>
    <x v="2"/>
    <s v="Men’s Jeans"/>
    <s v="INR"/>
    <n v="201308"/>
    <s v="INDIA"/>
    <x v="12"/>
    <s v="Easy Ship"/>
    <n v="4.16"/>
    <n v="2"/>
    <n v="0.2"/>
    <n v="0.36399999999999999"/>
    <n v="1.8980000000000001"/>
    <n v="5"/>
  </r>
  <r>
    <n v="1528"/>
    <s v="AD12"/>
    <d v="2025-03-08T00:00:00"/>
    <x v="2"/>
    <x v="4"/>
    <s v="Standard Class"/>
    <s v="CJ-12010"/>
    <s v="FUR-FU-10002456"/>
    <n v="100"/>
    <n v="12"/>
    <n v="12"/>
    <x v="4"/>
    <s v="Smart TVs"/>
    <s v="INR"/>
    <n v="208001"/>
    <s v="INDIA"/>
    <x v="1"/>
    <s v="Easy Ship"/>
    <n v="11.648"/>
    <n v="2"/>
    <n v="0.2"/>
    <n v="3.3488000000000002"/>
    <n v="4.1495999999999995"/>
    <n v="3"/>
  </r>
  <r>
    <n v="1529"/>
    <s v="AC45"/>
    <d v="2025-03-09T00:00:00"/>
    <x v="2"/>
    <x v="4"/>
    <s v="Second Class"/>
    <s v="MC-18130"/>
    <s v="OFF-FA-10004968"/>
    <n v="190"/>
    <n v="10"/>
    <n v="5.2631578947368416"/>
    <x v="1"/>
    <s v="Cricket Bats"/>
    <s v="INR"/>
    <n v="400604"/>
    <s v="INDIA"/>
    <x v="4"/>
    <s v="Easy Ship"/>
    <n v="26.18"/>
    <n v="7"/>
    <n v="0.1"/>
    <n v="0.52359999999999995"/>
    <n v="3.6652"/>
    <n v="5"/>
  </r>
  <r>
    <n v="1530"/>
    <s v="ZT45"/>
    <d v="2025-03-10T00:00:00"/>
    <x v="2"/>
    <x v="4"/>
    <s v="Second Class"/>
    <s v="MC-18130"/>
    <s v="OFF-PA-10001274"/>
    <n v="210"/>
    <n v="10"/>
    <n v="4.7619047619047619"/>
    <x v="0"/>
    <s v="Children’s Novels"/>
    <s v="INR"/>
    <n v="122001"/>
    <s v="INDIA"/>
    <x v="18"/>
    <s v="Easy Ship"/>
    <n v="7.3"/>
    <n v="2"/>
    <n v="0.1"/>
    <n v="3.431"/>
    <n v="1.9344999999999999"/>
    <n v="2"/>
  </r>
  <r>
    <n v="1531"/>
    <s v="LX57"/>
    <d v="2025-03-11T00:00:00"/>
    <x v="2"/>
    <x v="4"/>
    <s v="Standard Class"/>
    <s v="BV-11245"/>
    <s v="OFF-PA-10001125"/>
    <n v="130"/>
    <n v="22"/>
    <n v="16.923076923076923"/>
    <x v="5"/>
    <s v="Kitchen Towels"/>
    <s v="INR"/>
    <n v="110092"/>
    <s v="INDIA"/>
    <x v="3"/>
    <m/>
    <n v="74.352000000000004"/>
    <n v="3"/>
    <n v="0.2"/>
    <n v="23.234999999999999"/>
    <n v="17.039000000000001"/>
    <n v="1"/>
  </r>
  <r>
    <n v="1532"/>
    <s v="RS17"/>
    <d v="2025-03-12T00:00:00"/>
    <x v="2"/>
    <x v="4"/>
    <s v="Standard Class"/>
    <s v="JF-15490"/>
    <s v="OFF-ST-10000344"/>
    <n v="240"/>
    <n v="8"/>
    <n v="3.3333333333333335"/>
    <x v="3"/>
    <s v="Car Batteries"/>
    <s v="INR"/>
    <n v="110092"/>
    <s v="INDIA"/>
    <x v="16"/>
    <m/>
    <n v="10.744"/>
    <n v="1"/>
    <n v="0.2"/>
    <n v="0.80579999999999996"/>
    <n v="9.9382000000000001"/>
    <n v="3"/>
  </r>
  <r>
    <n v="1533"/>
    <s v="ZI19"/>
    <d v="2025-03-13T00:00:00"/>
    <x v="2"/>
    <x v="4"/>
    <s v="Standard Class"/>
    <s v="JF-15490"/>
    <s v="OFF-FA-10000585"/>
    <n v="150"/>
    <n v="22"/>
    <n v="14.666666666666666"/>
    <x v="6"/>
    <s v="Learning Toys"/>
    <s v="INR"/>
    <n v="583104"/>
    <s v="INDIA"/>
    <x v="19"/>
    <m/>
    <n v="8.3759999999999994"/>
    <n v="3"/>
    <n v="0.2"/>
    <n v="2.7222"/>
    <n v="1.8845999999999998"/>
    <n v="1"/>
  </r>
  <r>
    <n v="1534"/>
    <s v="TE57"/>
    <d v="2025-03-14T00:00:00"/>
    <x v="2"/>
    <x v="4"/>
    <s v="Standard Class"/>
    <s v="EB-13840"/>
    <s v="OFF-ST-10003324"/>
    <n v="120"/>
    <n v="24"/>
    <n v="20"/>
    <x v="7"/>
    <s v="Energy Drinks"/>
    <s v="INR"/>
    <n v="400013"/>
    <s v="INDIA"/>
    <x v="3"/>
    <m/>
    <n v="212.88"/>
    <n v="6"/>
    <n v="0.1"/>
    <n v="0.1"/>
    <n v="35.463333333333331"/>
    <n v="5"/>
  </r>
  <r>
    <n v="1535"/>
    <s v="YZ77"/>
    <d v="2025-03-15T00:00:00"/>
    <x v="2"/>
    <x v="4"/>
    <s v="Standard Class"/>
    <s v="MP-18175"/>
    <s v="FUR-BO-10004015"/>
    <n v="120"/>
    <n v="22"/>
    <n v="18.333333333333332"/>
    <x v="8"/>
    <s v="Pet Grooming Kits"/>
    <s v="INR"/>
    <n v="801105"/>
    <s v="INDIA"/>
    <x v="1"/>
    <m/>
    <n v="203.983"/>
    <n v="2"/>
    <n v="0.15"/>
    <n v="16.7986"/>
    <n v="93.592200000000005"/>
    <n v="4"/>
  </r>
  <r>
    <n v="1536"/>
    <s v="SZ41"/>
    <d v="2025-03-16T00:00:00"/>
    <x v="2"/>
    <x v="4"/>
    <s v="Standard Class"/>
    <s v="JM-15655"/>
    <s v="OFF-ST-10000419"/>
    <n v="170"/>
    <n v="30"/>
    <n v="17.647058823529413"/>
    <x v="2"/>
    <s v="Women’s Jewelry"/>
    <s v="INR"/>
    <n v="517501"/>
    <s v="INDIA"/>
    <x v="10"/>
    <m/>
    <n v="40.74"/>
    <n v="3"/>
    <n v="0.1"/>
    <n v="0.40739999999999998"/>
    <n v="13.4442"/>
    <n v="5"/>
  </r>
  <r>
    <n v="1537"/>
    <s v="WM54"/>
    <d v="2025-03-17T00:00:00"/>
    <x v="2"/>
    <x v="4"/>
    <s v="Standard Class"/>
    <s v="JM-15655"/>
    <s v="OFF-AP-10001626"/>
    <n v="110"/>
    <n v="10"/>
    <n v="9.0909090909090917"/>
    <x v="4"/>
    <s v="Smart Tablets"/>
    <s v="INR"/>
    <n v="517501"/>
    <s v="INDIA"/>
    <x v="6"/>
    <m/>
    <n v="11.67"/>
    <n v="3"/>
    <n v="0.1"/>
    <n v="3.0341999999999998"/>
    <n v="2.8786"/>
    <n v="3"/>
  </r>
  <r>
    <n v="1538"/>
    <s v="FZ83"/>
    <d v="2025-03-18T00:00:00"/>
    <x v="2"/>
    <x v="4"/>
    <s v="Second Class"/>
    <s v="CL-11890"/>
    <s v="TEC-PH-10000439"/>
    <n v="170"/>
    <n v="30"/>
    <n v="17.647058823529413"/>
    <x v="0"/>
    <s v="Children’s Comics"/>
    <s v="INR"/>
    <n v="517501"/>
    <s v="INDIA"/>
    <x v="3"/>
    <m/>
    <n v="39.99"/>
    <n v="1"/>
    <n v="0.1"/>
    <n v="11.597099999999999"/>
    <n v="28.392900000000004"/>
    <n v="5"/>
  </r>
  <r>
    <n v="1539"/>
    <s v="MD60"/>
    <d v="2025-03-19T00:00:00"/>
    <x v="2"/>
    <x v="4"/>
    <s v="Second Class"/>
    <s v="CL-11890"/>
    <s v="OFF-AR-10003478"/>
    <n v="250"/>
    <n v="26"/>
    <n v="10.4"/>
    <x v="1"/>
    <s v="Table Tennis Rackets"/>
    <s v="INR"/>
    <n v="631502"/>
    <s v="INDIA"/>
    <x v="0"/>
    <m/>
    <n v="16.28"/>
    <n v="2"/>
    <n v="0.1"/>
    <n v="6.5119999999999996"/>
    <n v="4.8840000000000003"/>
    <n v="1"/>
  </r>
  <r>
    <n v="1540"/>
    <s v="TR32"/>
    <d v="2025-03-20T00:00:00"/>
    <x v="2"/>
    <x v="4"/>
    <s v="Second Class"/>
    <s v="CL-11890"/>
    <s v="FUR-BO-10002545"/>
    <n v="240"/>
    <n v="10"/>
    <n v="4.1666666666666661"/>
    <x v="4"/>
    <s v="Smart Plugs"/>
    <s v="INR"/>
    <n v="400070"/>
    <s v="INDIA"/>
    <x v="11"/>
    <m/>
    <n v="782.94"/>
    <n v="3"/>
    <n v="0.1"/>
    <n v="203.56440000000001"/>
    <n v="193.12520000000004"/>
    <n v="4"/>
  </r>
  <r>
    <n v="1541"/>
    <s v="EZ46"/>
    <d v="2025-03-21T00:00:00"/>
    <x v="2"/>
    <x v="4"/>
    <s v="Second Class"/>
    <s v="CL-11890"/>
    <s v="OFF-BI-10001765"/>
    <n v="150"/>
    <n v="22"/>
    <n v="14.666666666666666"/>
    <x v="2"/>
    <s v="Women’s Flats"/>
    <s v="INR"/>
    <n v="411014"/>
    <s v="INDIA"/>
    <x v="17"/>
    <m/>
    <n v="242.48"/>
    <n v="7"/>
    <n v="0.1"/>
    <n v="116.3904"/>
    <n v="18.012799999999999"/>
    <n v="1"/>
  </r>
  <r>
    <n v="1542"/>
    <s v="EX16"/>
    <d v="2025-03-22T00:00:00"/>
    <x v="2"/>
    <x v="4"/>
    <s v="Second Class"/>
    <s v="CK-12205"/>
    <s v="FUR-FU-10003981"/>
    <n v="140"/>
    <n v="18"/>
    <n v="12.857142857142856"/>
    <x v="5"/>
    <s v="Kitchen Mats"/>
    <m/>
    <n v="412207"/>
    <s v="INDIA"/>
    <x v="10"/>
    <s v="Easy Ship"/>
    <n v="8.32"/>
    <n v="5"/>
    <n v="0.2"/>
    <n v="2.2879999999999998"/>
    <n v="1.2063999999999999"/>
    <n v="2"/>
  </r>
  <r>
    <n v="1543"/>
    <s v="JW19"/>
    <d v="2025-03-23T00:00:00"/>
    <x v="2"/>
    <x v="4"/>
    <s v="Second Class"/>
    <s v="CK-12205"/>
    <s v="OFF-FA-10001561"/>
    <n v="100"/>
    <n v="24"/>
    <n v="24"/>
    <x v="3"/>
    <s v="Car Lights"/>
    <s v="INR"/>
    <n v="600094"/>
    <s v="INDIA"/>
    <x v="7"/>
    <s v="Easy Ship"/>
    <n v="10.464"/>
    <n v="6"/>
    <n v="0.2"/>
    <n v="1.7003999999999999"/>
    <n v="1.4606000000000001"/>
    <n v="3"/>
  </r>
  <r>
    <n v="1544"/>
    <s v="YI65"/>
    <d v="2025-03-24T00:00:00"/>
    <x v="2"/>
    <x v="4"/>
    <s v="Standard Class"/>
    <s v="DB-13270"/>
    <s v="OFF-BI-10004230"/>
    <n v="240"/>
    <n v="12"/>
    <n v="5"/>
    <x v="6"/>
    <s v="Playhouses"/>
    <s v="INR"/>
    <n v="534001"/>
    <s v="INDIA"/>
    <x v="9"/>
    <s v="Easy Ship"/>
    <n v="82.896000000000001"/>
    <n v="3"/>
    <n v="0.2"/>
    <n v="29.0136"/>
    <n v="17.960800000000003"/>
    <n v="1"/>
  </r>
  <r>
    <n v="1545"/>
    <s v="LZ98"/>
    <d v="2025-03-25T00:00:00"/>
    <x v="2"/>
    <x v="4"/>
    <s v="Standard Class"/>
    <s v="DB-13270"/>
    <s v="OFF-PA-10000350"/>
    <n v="180"/>
    <n v="18"/>
    <n v="10"/>
    <x v="7"/>
    <s v="Protein Powders"/>
    <s v="INR"/>
    <n v="800001"/>
    <s v="INDIA"/>
    <x v="18"/>
    <m/>
    <n v="34.24"/>
    <n v="4"/>
    <n v="0.1"/>
    <n v="16.0928"/>
    <n v="4.5368000000000004"/>
    <n v="5"/>
  </r>
  <r>
    <n v="1546"/>
    <s v="RD79"/>
    <d v="2025-03-26T00:00:00"/>
    <x v="2"/>
    <x v="4"/>
    <s v="Second Class"/>
    <s v="PC-18745"/>
    <s v="FUR-BO-10002613"/>
    <n v="110"/>
    <n v="6"/>
    <n v="5.4545454545454541"/>
    <x v="8"/>
    <s v="Pet Chew Toys"/>
    <s v="INR"/>
    <n v="411014"/>
    <s v="INDIA"/>
    <x v="3"/>
    <m/>
    <n v="1573.4880000000001"/>
    <n v="7"/>
    <n v="0.2"/>
    <n v="196.68600000000001"/>
    <n v="196.68600000000001"/>
    <n v="5"/>
  </r>
  <r>
    <n v="1547"/>
    <s v="OY48"/>
    <d v="2025-03-27T00:00:00"/>
    <x v="2"/>
    <x v="4"/>
    <s v="Standard Class"/>
    <s v="VB-21745"/>
    <s v="OFF-PA-10000994"/>
    <n v="190"/>
    <n v="22"/>
    <n v="11.578947368421053"/>
    <x v="2"/>
    <s v="Kids’ Accessories"/>
    <s v="INR"/>
    <n v="201304"/>
    <s v="INDIA"/>
    <x v="10"/>
    <s v="Easy Ship"/>
    <n v="335.52"/>
    <n v="4"/>
    <n v="0.2"/>
    <n v="117.432"/>
    <n v="54.521999999999991"/>
    <n v="3"/>
  </r>
  <r>
    <n v="1548"/>
    <s v="EC70"/>
    <d v="2025-03-28T00:00:00"/>
    <x v="2"/>
    <x v="4"/>
    <s v="Standard Class"/>
    <s v="VB-21745"/>
    <s v="OFF-BI-10002867"/>
    <n v="130"/>
    <n v="18"/>
    <n v="13.846153846153847"/>
    <x v="4"/>
    <s v="Smart Watches"/>
    <s v="INR"/>
    <n v="600075"/>
    <s v="INDIA"/>
    <x v="3"/>
    <m/>
    <n v="23.911999999999999"/>
    <n v="2"/>
    <n v="0.8"/>
    <n v="-40.650399999999998"/>
    <n v="32.281199999999998"/>
    <n v="4"/>
  </r>
  <r>
    <n v="1549"/>
    <s v="DP39"/>
    <d v="2025-03-29T00:00:00"/>
    <x v="2"/>
    <x v="4"/>
    <s v="Standard Class"/>
    <s v="VB-21745"/>
    <s v="OFF-ST-10001291"/>
    <n v="120"/>
    <n v="26"/>
    <n v="21.666666666666668"/>
    <x v="0"/>
    <s v="Children’s Poetry"/>
    <s v="INR"/>
    <n v="284003"/>
    <s v="INDIA"/>
    <x v="2"/>
    <m/>
    <n v="27.056000000000001"/>
    <n v="2"/>
    <n v="0.2"/>
    <n v="2.3673999999999999"/>
    <n v="12.3443"/>
    <n v="2"/>
  </r>
  <r>
    <n v="1550"/>
    <s v="IM44"/>
    <d v="2025-03-30T00:00:00"/>
    <x v="2"/>
    <x v="4"/>
    <s v="First Class"/>
    <s v="EP-13915"/>
    <s v="TEC-CO-10001046"/>
    <n v="210"/>
    <n v="28"/>
    <n v="13.333333333333334"/>
    <x v="1"/>
    <s v="Swimming Gear"/>
    <s v="INR"/>
    <n v="799001"/>
    <s v="INDIA"/>
    <x v="18"/>
    <s v="Easy Ship"/>
    <n v="559.99199999999996"/>
    <n v="1"/>
    <n v="0.2"/>
    <n v="174.9975"/>
    <n v="384.99449999999996"/>
    <n v="1"/>
  </r>
  <r>
    <n v="1551"/>
    <s v="PN74"/>
    <d v="2025-03-31T00:00:00"/>
    <x v="2"/>
    <x v="4"/>
    <s v="Second Class"/>
    <s v="ME-17320"/>
    <s v="OFF-AP-10004868"/>
    <n v="170"/>
    <n v="24"/>
    <n v="14.117647058823529"/>
    <x v="4"/>
    <s v="Smart Routers"/>
    <s v="INR"/>
    <n v="855102"/>
    <s v="INDIA"/>
    <x v="6"/>
    <s v="Easy Ship"/>
    <n v="9.3239999999999998"/>
    <n v="6"/>
    <n v="0.8"/>
    <n v="-24.708600000000001"/>
    <n v="5.6721000000000004"/>
    <n v="5"/>
  </r>
  <r>
    <n v="1552"/>
    <s v="VV34"/>
    <d v="2025-04-01T00:00:00"/>
    <x v="3"/>
    <x v="4"/>
    <s v="Standard Class"/>
    <s v="IG-15085"/>
    <s v="OFF-PA-10000806"/>
    <n v="130"/>
    <n v="30"/>
    <n v="23.076923076923077"/>
    <x v="2"/>
    <s v="Men’s Belts"/>
    <s v="INR"/>
    <n v="600047"/>
    <s v="INDIA"/>
    <x v="13"/>
    <m/>
    <n v="111.96"/>
    <n v="2"/>
    <n v="0.1"/>
    <n v="54.860399999999998"/>
    <n v="28.549799999999998"/>
    <n v="5"/>
  </r>
  <r>
    <n v="1553"/>
    <s v="YQ35"/>
    <d v="2025-04-02T00:00:00"/>
    <x v="3"/>
    <x v="4"/>
    <s v="First Class"/>
    <s v="JS-15940"/>
    <s v="OFF-LA-10002195"/>
    <n v="220"/>
    <n v="28"/>
    <n v="12.727272727272727"/>
    <x v="5"/>
    <s v="Kitchen Trays"/>
    <s v="INR"/>
    <n v="800001"/>
    <s v="INDIA"/>
    <x v="3"/>
    <m/>
    <n v="21.56"/>
    <n v="7"/>
    <n v="0.1"/>
    <n v="10.348800000000001"/>
    <n v="1.6015999999999997"/>
    <n v="1"/>
  </r>
  <r>
    <n v="1554"/>
    <s v="UV17"/>
    <d v="2025-04-03T00:00:00"/>
    <x v="3"/>
    <x v="4"/>
    <s v="Standard Class"/>
    <s v="BO-11425"/>
    <s v="OFF-BI-10003719"/>
    <n v="240"/>
    <n v="24"/>
    <n v="10"/>
    <x v="3"/>
    <s v="Car Mirrors"/>
    <s v="INR"/>
    <n v="600113"/>
    <s v="INDIA"/>
    <x v="13"/>
    <m/>
    <n v="124.75"/>
    <n v="5"/>
    <n v="0.1"/>
    <n v="57.384999999999998"/>
    <n v="13.473000000000003"/>
    <n v="2"/>
  </r>
  <r>
    <n v="1555"/>
    <s v="LS71"/>
    <d v="2025-04-04T00:00:00"/>
    <x v="3"/>
    <x v="4"/>
    <s v="Standard Class"/>
    <s v="VW-21775"/>
    <s v="OFF-AR-10001315"/>
    <n v="250"/>
    <n v="10"/>
    <n v="4"/>
    <x v="6"/>
    <s v="Board Puzzles"/>
    <s v="INR"/>
    <n v="700056"/>
    <s v="INDIA"/>
    <x v="17"/>
    <m/>
    <n v="5.28"/>
    <n v="3"/>
    <n v="0.1"/>
    <n v="1.5311999999999999"/>
    <n v="1.2496"/>
    <n v="2"/>
  </r>
  <r>
    <n v="1556"/>
    <s v="IJ42"/>
    <d v="2025-04-05T00:00:00"/>
    <x v="3"/>
    <x v="4"/>
    <s v="Standard Class"/>
    <s v="AB-10150"/>
    <s v="TEC-AC-10000171"/>
    <n v="100"/>
    <n v="20"/>
    <n v="20"/>
    <x v="7"/>
    <s v="Herbal Teas"/>
    <s v="INR"/>
    <n v="501301"/>
    <s v="INDIA"/>
    <x v="15"/>
    <m/>
    <n v="91.96"/>
    <n v="4"/>
    <n v="0.1"/>
    <n v="39.5428"/>
    <n v="13.104299999999999"/>
    <n v="3"/>
  </r>
  <r>
    <n v="1557"/>
    <s v="PL73"/>
    <d v="2025-04-06T00:00:00"/>
    <x v="3"/>
    <x v="4"/>
    <s v="Standard Class"/>
    <s v="JW-16075"/>
    <s v="OFF-EN-10003134"/>
    <n v="210"/>
    <n v="14"/>
    <n v="6.666666666666667"/>
    <x v="8"/>
    <s v="Pet Beds"/>
    <s v="INR"/>
    <n v="110059"/>
    <s v="INDIA"/>
    <x v="18"/>
    <s v="Easy Ship"/>
    <n v="9.3439999999999994"/>
    <n v="1"/>
    <n v="0.2"/>
    <n v="3.504"/>
    <n v="5.84"/>
    <n v="5"/>
  </r>
  <r>
    <n v="1558"/>
    <s v="AK10"/>
    <d v="2025-04-07T00:00:00"/>
    <x v="3"/>
    <x v="4"/>
    <s v="Standard Class"/>
    <s v="JW-16075"/>
    <s v="OFF-AR-10001955"/>
    <n v="120"/>
    <n v="8"/>
    <n v="6.666666666666667"/>
    <x v="2"/>
    <s v="Women’s Skirts"/>
    <s v="INR"/>
    <n v="400071"/>
    <s v="INDIA"/>
    <x v="6"/>
    <m/>
    <n v="79.36"/>
    <n v="5"/>
    <n v="0.2"/>
    <n v="9.92"/>
    <n v="13.888"/>
    <n v="5"/>
  </r>
  <r>
    <n v="1559"/>
    <s v="KA10"/>
    <d v="2025-04-08T00:00:00"/>
    <x v="3"/>
    <x v="4"/>
    <s v="Second Class"/>
    <s v="JE-15475"/>
    <s v="FUR-TA-10001039"/>
    <n v="110"/>
    <n v="24"/>
    <n v="21.818181818181817"/>
    <x v="4"/>
    <s v="Smart Displays"/>
    <s v="INR"/>
    <n v="560049"/>
    <s v="INDIA"/>
    <x v="4"/>
    <m/>
    <n v="171.96"/>
    <n v="2"/>
    <n v="0.1"/>
    <n v="44.709600000000002"/>
    <n v="63.625200000000007"/>
    <n v="1"/>
  </r>
  <r>
    <n v="1560"/>
    <s v="EQ64"/>
    <d v="2025-04-09T00:00:00"/>
    <x v="3"/>
    <x v="4"/>
    <s v="Standard Class"/>
    <s v="EB-13750"/>
    <s v="OFF-BI-10003712"/>
    <n v="130"/>
    <n v="24"/>
    <n v="18.461538461538463"/>
    <x v="0"/>
    <s v="Children’s Activity Books"/>
    <s v="INR"/>
    <n v="600091"/>
    <s v="INDIA"/>
    <x v="4"/>
    <m/>
    <n v="35.351999999999997"/>
    <n v="9"/>
    <n v="0.2"/>
    <n v="12.815099999999999"/>
    <n v="2.5040999999999993"/>
    <n v="2"/>
  </r>
  <r>
    <n v="1561"/>
    <s v="FD46"/>
    <d v="2025-04-10T00:00:00"/>
    <x v="3"/>
    <x v="4"/>
    <s v="Standard Class"/>
    <s v="PK-18910"/>
    <s v="OFF-LA-10001641"/>
    <n v="120"/>
    <n v="16"/>
    <n v="13.333333333333334"/>
    <x v="1"/>
    <s v="Rowing Machines"/>
    <s v="INR"/>
    <n v="141001"/>
    <s v="INDIA"/>
    <x v="8"/>
    <s v="Easy Ship"/>
    <n v="18.899999999999999"/>
    <n v="6"/>
    <n v="0.1"/>
    <n v="9.0719999999999992"/>
    <n v="1.6379999999999999"/>
    <n v="1"/>
  </r>
  <r>
    <n v="1562"/>
    <s v="JB44"/>
    <d v="2025-04-11T00:00:00"/>
    <x v="3"/>
    <x v="4"/>
    <s v="First Class"/>
    <s v="CS-12400"/>
    <s v="OFF-AR-10003732"/>
    <n v="220"/>
    <n v="30"/>
    <n v="13.636363636363635"/>
    <x v="4"/>
    <s v="Smart Remotes"/>
    <s v="INR"/>
    <n v="560067"/>
    <s v="INDIA"/>
    <x v="5"/>
    <m/>
    <n v="2.78"/>
    <n v="1"/>
    <n v="0.1"/>
    <n v="0.7228"/>
    <n v="2.0571999999999999"/>
    <n v="3"/>
  </r>
  <r>
    <n v="1563"/>
    <s v="VG52"/>
    <d v="2025-04-12T00:00:00"/>
    <x v="3"/>
    <x v="4"/>
    <s v="Same Day"/>
    <s v="SG-20470"/>
    <s v="FUR-TA-10000577"/>
    <n v="180"/>
    <n v="6"/>
    <n v="3.3333333333333335"/>
    <x v="2"/>
    <s v="Men’s Jackets"/>
    <s v="INR"/>
    <n v="327001"/>
    <s v="INDIA"/>
    <x v="18"/>
    <s v="Easy Ship"/>
    <n v="1044.6300000000001"/>
    <n v="5"/>
    <n v="0.4"/>
    <n v="-295.9785"/>
    <n v="268.12170000000003"/>
    <n v="2"/>
  </r>
  <r>
    <n v="1564"/>
    <s v="BV63"/>
    <d v="2025-04-13T00:00:00"/>
    <x v="3"/>
    <x v="4"/>
    <s v="Same Day"/>
    <s v="CM-12190"/>
    <s v="OFF-PA-10004000"/>
    <n v="250"/>
    <n v="26"/>
    <n v="10.4"/>
    <x v="5"/>
    <s v="Kitchen Organizers"/>
    <s v="INR"/>
    <n v="322201"/>
    <s v="INDIA"/>
    <x v="15"/>
    <m/>
    <n v="11.352"/>
    <n v="3"/>
    <n v="0.2"/>
    <n v="4.1151"/>
    <n v="2.4123000000000001"/>
    <n v="4"/>
  </r>
  <r>
    <n v="1565"/>
    <s v="NU16"/>
    <d v="2025-04-14T00:00:00"/>
    <x v="3"/>
    <x v="4"/>
    <s v="Same Day"/>
    <s v="CL-12565"/>
    <s v="OFF-ST-10001370"/>
    <n v="230"/>
    <n v="30"/>
    <n v="13.043478260869565"/>
    <x v="3"/>
    <s v="Car Wipers"/>
    <s v="INR"/>
    <n v="226010"/>
    <s v="INDIA"/>
    <x v="7"/>
    <m/>
    <n v="354.9"/>
    <n v="5"/>
    <n v="0.1"/>
    <n v="17.745000000000001"/>
    <n v="67.430999999999997"/>
    <n v="5"/>
  </r>
  <r>
    <n v="1566"/>
    <s v="QH88"/>
    <d v="2025-04-15T00:00:00"/>
    <x v="3"/>
    <x v="4"/>
    <s v="Standard Class"/>
    <s v="JO-15550"/>
    <s v="TEC-PH-10004539"/>
    <n v="230"/>
    <n v="16"/>
    <n v="6.9565217391304346"/>
    <x v="6"/>
    <s v="Play Kitchens"/>
    <s v="INR"/>
    <n v="122001"/>
    <s v="INDIA"/>
    <x v="19"/>
    <s v="Easy Ship"/>
    <n v="453.57600000000002"/>
    <n v="3"/>
    <n v="0.2"/>
    <n v="39.687899999999999"/>
    <n v="137.96270000000001"/>
    <n v="3"/>
  </r>
  <r>
    <n v="1567"/>
    <s v="NK69"/>
    <d v="2025-04-16T00:00:00"/>
    <x v="3"/>
    <x v="4"/>
    <s v="First Class"/>
    <s v="AW-10840"/>
    <s v="TEC-AC-10003038"/>
    <n v="150"/>
    <n v="24"/>
    <n v="16"/>
    <x v="7"/>
    <s v="Protein Bars"/>
    <s v="INR"/>
    <n v="609602"/>
    <s v="INDIA"/>
    <x v="11"/>
    <s v="Easy Ship"/>
    <n v="21.48"/>
    <n v="3"/>
    <n v="0.2"/>
    <n v="-0.26850000000000002"/>
    <n v="7.2495000000000003"/>
    <n v="4"/>
  </r>
  <r>
    <n v="1568"/>
    <s v="GQ12"/>
    <d v="2025-04-17T00:00:00"/>
    <x v="3"/>
    <x v="4"/>
    <s v="First Class"/>
    <s v="AW-10840"/>
    <s v="OFF-BI-10000088"/>
    <n v="200"/>
    <n v="24"/>
    <n v="12"/>
    <x v="8"/>
    <s v="Pet Towels"/>
    <s v="INR"/>
    <n v="758001"/>
    <s v="INDIA"/>
    <x v="11"/>
    <m/>
    <n v="8.7840000000000007"/>
    <n v="4"/>
    <n v="0.8"/>
    <n v="-13.6152"/>
    <n v="5.5998000000000001"/>
    <n v="2"/>
  </r>
  <r>
    <n v="1569"/>
    <s v="UJ19"/>
    <d v="2025-04-18T00:00:00"/>
    <x v="3"/>
    <x v="4"/>
    <s v="Same Day"/>
    <s v="DV-13465"/>
    <s v="OFF-PA-10000357"/>
    <n v="220"/>
    <n v="16"/>
    <n v="7.2727272727272725"/>
    <x v="2"/>
    <s v="Women’s Sunglasses"/>
    <m/>
    <n v="391740"/>
    <s v="INDIA"/>
    <x v="11"/>
    <m/>
    <n v="122.97"/>
    <n v="3"/>
    <n v="0.1"/>
    <n v="60.255299999999998"/>
    <n v="20.904900000000001"/>
    <n v="2"/>
  </r>
  <r>
    <n v="1570"/>
    <s v="NT88"/>
    <d v="2025-04-19T00:00:00"/>
    <x v="3"/>
    <x v="4"/>
    <s v="Standard Class"/>
    <s v="AH-10075"/>
    <s v="OFF-AR-10003504"/>
    <n v="180"/>
    <n v="18"/>
    <n v="10"/>
    <x v="4"/>
    <s v="Smart Sensors"/>
    <s v="INR"/>
    <n v="560103"/>
    <s v="INDIA"/>
    <x v="16"/>
    <m/>
    <n v="12.84"/>
    <n v="3"/>
    <n v="0.1"/>
    <n v="3.7235999999999998"/>
    <n v="3.0388000000000002"/>
    <n v="2"/>
  </r>
  <r>
    <n v="1571"/>
    <s v="UR22"/>
    <d v="2025-04-20T00:00:00"/>
    <x v="3"/>
    <x v="4"/>
    <s v="First Class"/>
    <s v="SC-20095"/>
    <s v="FUR-CH-10000863"/>
    <n v="130"/>
    <n v="8"/>
    <n v="6.1538461538461542"/>
    <x v="0"/>
    <s v="Children’s Storybooks"/>
    <s v="INR"/>
    <n v="630211"/>
    <s v="INDIA"/>
    <x v="11"/>
    <s v="Easy Ship"/>
    <n v="603.91999999999996"/>
    <n v="5"/>
    <n v="0.2"/>
    <n v="-67.941000000000003"/>
    <n v="134.37219999999999"/>
    <n v="1"/>
  </r>
  <r>
    <n v="1572"/>
    <s v="EC79"/>
    <d v="2025-04-21T00:00:00"/>
    <x v="3"/>
    <x v="4"/>
    <s v="First Class"/>
    <s v="SC-20095"/>
    <s v="OFF-EN-10003160"/>
    <n v="220"/>
    <n v="24"/>
    <n v="10.909090909090908"/>
    <x v="1"/>
    <s v="Elliptical Trainers"/>
    <s v="INR"/>
    <n v="630211"/>
    <s v="INDIA"/>
    <x v="16"/>
    <s v="Easy Ship"/>
    <n v="21.84"/>
    <n v="3"/>
    <n v="0.1"/>
    <n v="10.4832"/>
    <n v="3.7856000000000001"/>
    <n v="5"/>
  </r>
  <r>
    <n v="1573"/>
    <s v="DE92"/>
    <d v="2025-04-22T00:00:00"/>
    <x v="3"/>
    <x v="4"/>
    <s v="First Class"/>
    <s v="SC-20095"/>
    <s v="TEC-AC-10003280"/>
    <n v="130"/>
    <n v="30"/>
    <n v="23.076923076923077"/>
    <x v="4"/>
    <s v="Smart Thermostats"/>
    <s v="INR"/>
    <n v="226002"/>
    <s v="INDIA"/>
    <x v="13"/>
    <m/>
    <n v="29.99"/>
    <n v="1"/>
    <n v="0.1"/>
    <n v="6.2979000000000003"/>
    <n v="23.692099999999996"/>
    <n v="5"/>
  </r>
  <r>
    <n v="1574"/>
    <s v="KK62"/>
    <d v="2025-04-23T00:00:00"/>
    <x v="3"/>
    <x v="4"/>
    <s v="First Class"/>
    <s v="SC-20095"/>
    <s v="FUR-CH-10000595"/>
    <n v="210"/>
    <n v="12"/>
    <n v="5.7142857142857144"/>
    <x v="2"/>
    <s v="Kids’ Dresses"/>
    <s v="INR"/>
    <n v="682021"/>
    <s v="INDIA"/>
    <x v="13"/>
    <m/>
    <n v="381.44"/>
    <n v="2"/>
    <n v="0.2"/>
    <n v="23.84"/>
    <n v="178.8"/>
    <n v="4"/>
  </r>
  <r>
    <n v="1575"/>
    <s v="XW29"/>
    <d v="2025-04-24T00:00:00"/>
    <x v="3"/>
    <x v="4"/>
    <s v="First Class"/>
    <s v="MC-18100"/>
    <s v="TEC-PH-10000169"/>
    <n v="120"/>
    <n v="16"/>
    <n v="13.333333333333334"/>
    <x v="5"/>
    <s v="Kitchen Containers"/>
    <s v="INR"/>
    <n v="800001"/>
    <s v="INDIA"/>
    <x v="6"/>
    <m/>
    <n v="40.68"/>
    <n v="3"/>
    <n v="0.2"/>
    <n v="-9.1530000000000005"/>
    <n v="16.611000000000001"/>
    <n v="4"/>
  </r>
  <r>
    <n v="1576"/>
    <s v="VS97"/>
    <d v="2025-04-25T00:00:00"/>
    <x v="3"/>
    <x v="4"/>
    <s v="First Class"/>
    <s v="MC-18100"/>
    <s v="FUR-CH-10004675"/>
    <n v="100"/>
    <n v="10"/>
    <n v="10"/>
    <x v="3"/>
    <s v="Car Steering Covers"/>
    <s v="INR"/>
    <n v="421601"/>
    <s v="INDIA"/>
    <x v="14"/>
    <m/>
    <n v="763.28"/>
    <n v="5"/>
    <n v="0.3"/>
    <n v="-21.808"/>
    <n v="157.01759999999999"/>
    <n v="3"/>
  </r>
  <r>
    <n v="1577"/>
    <s v="QW37"/>
    <d v="2025-04-26T00:00:00"/>
    <x v="3"/>
    <x v="4"/>
    <s v="Standard Class"/>
    <s v="TT-21460"/>
    <s v="OFF-ST-10002406"/>
    <n v="190"/>
    <n v="18"/>
    <n v="9.4736842105263168"/>
    <x v="6"/>
    <s v="Construction Sets"/>
    <s v="INR"/>
    <n v="122101"/>
    <s v="INDIA"/>
    <x v="3"/>
    <m/>
    <n v="23.952000000000002"/>
    <n v="2"/>
    <n v="0.2"/>
    <n v="2.3952"/>
    <n v="10.778400000000001"/>
    <n v="2"/>
  </r>
  <r>
    <n v="1578"/>
    <s v="GU79"/>
    <d v="2025-04-27T00:00:00"/>
    <x v="3"/>
    <x v="4"/>
    <s v="Standard Class"/>
    <s v="AP-10720"/>
    <s v="OFF-PA-10001526"/>
    <n v="160"/>
    <n v="6"/>
    <n v="3.75"/>
    <x v="7"/>
    <s v="Juices"/>
    <s v="INR"/>
    <n v="302017"/>
    <s v="INDIA"/>
    <x v="3"/>
    <m/>
    <n v="4.9800000000000004"/>
    <n v="1"/>
    <n v="0.1"/>
    <n v="2.4401999999999999"/>
    <n v="2.5398000000000005"/>
    <n v="2"/>
  </r>
  <r>
    <n v="1579"/>
    <s v="PR34"/>
    <d v="2025-04-28T00:00:00"/>
    <x v="3"/>
    <x v="4"/>
    <s v="First Class"/>
    <s v="DL-12865"/>
    <s v="OFF-AP-10004336"/>
    <n v="170"/>
    <n v="24"/>
    <n v="14.117647058823529"/>
    <x v="8"/>
    <s v="Pet Harnesses"/>
    <s v="INR"/>
    <n v="271801"/>
    <s v="INDIA"/>
    <x v="8"/>
    <m/>
    <n v="170.88"/>
    <n v="3"/>
    <n v="0.1"/>
    <n v="49.555199999999999"/>
    <n v="40.441600000000001"/>
    <n v="5"/>
  </r>
  <r>
    <n v="1580"/>
    <s v="AL88"/>
    <d v="2025-04-29T00:00:00"/>
    <x v="3"/>
    <x v="4"/>
    <s v="First Class"/>
    <s v="NP-18325"/>
    <s v="TEC-PH-10003012"/>
    <n v="210"/>
    <n v="26"/>
    <n v="12.380952380952381"/>
    <x v="2"/>
    <s v="Men’s Accessories"/>
    <s v="INR"/>
    <n v="201012"/>
    <s v="INDIA"/>
    <x v="1"/>
    <m/>
    <n v="307.98"/>
    <n v="2"/>
    <n v="0.1"/>
    <n v="89.3142"/>
    <n v="109.33290000000001"/>
    <n v="2"/>
  </r>
  <r>
    <n v="1581"/>
    <s v="EJ86"/>
    <d v="2025-04-30T00:00:00"/>
    <x v="3"/>
    <x v="4"/>
    <s v="First Class"/>
    <s v="NP-18325"/>
    <s v="FUR-TA-10002607"/>
    <n v="220"/>
    <n v="16"/>
    <n v="7.2727272727272725"/>
    <x v="4"/>
    <s v="Smart Home Hubs"/>
    <m/>
    <n v="560067"/>
    <s v="INDIA"/>
    <x v="3"/>
    <m/>
    <n v="382.80599999999998"/>
    <n v="9"/>
    <n v="0.4"/>
    <n v="-153.1224"/>
    <n v="59.547600000000003"/>
    <n v="4"/>
  </r>
  <r>
    <n v="1582"/>
    <s v="DX86"/>
    <d v="2025-05-01T00:00:00"/>
    <x v="4"/>
    <x v="4"/>
    <s v="First Class"/>
    <s v="NP-18325"/>
    <s v="OFF-ST-10000642"/>
    <n v="130"/>
    <n v="12"/>
    <n v="9.2307692307692317"/>
    <x v="0"/>
    <s v="Children’s Educational Books"/>
    <s v="INR"/>
    <n v="173211"/>
    <s v="INDIA"/>
    <x v="14"/>
    <m/>
    <n v="41.96"/>
    <n v="2"/>
    <n v="0.1"/>
    <n v="2.9371999999999998"/>
    <n v="19.511400000000002"/>
    <n v="2"/>
  </r>
  <r>
    <n v="1583"/>
    <s v="GH30"/>
    <d v="2025-05-02T00:00:00"/>
    <x v="4"/>
    <x v="4"/>
    <s v="First Class"/>
    <s v="NP-18325"/>
    <s v="OFF-BI-10000545"/>
    <n v="160"/>
    <n v="26"/>
    <n v="16.25"/>
    <x v="1"/>
    <s v="Archery Gear"/>
    <s v="INR"/>
    <n v="500020"/>
    <s v="INDIA"/>
    <x v="12"/>
    <m/>
    <n v="1217.568"/>
    <n v="2"/>
    <n v="0.2"/>
    <n v="456.58800000000002"/>
    <n v="380.49"/>
    <n v="5"/>
  </r>
  <r>
    <n v="1584"/>
    <s v="WC88"/>
    <d v="2025-05-03T00:00:00"/>
    <x v="4"/>
    <x v="4"/>
    <s v="First Class"/>
    <s v="NP-18325"/>
    <s v="FUR-FU-10002157"/>
    <n v="200"/>
    <n v="8"/>
    <n v="4"/>
    <x v="4"/>
    <s v="Smart Switches"/>
    <s v="INR"/>
    <n v="306401"/>
    <s v="INDIA"/>
    <x v="0"/>
    <m/>
    <n v="47.04"/>
    <n v="3"/>
    <n v="0.1"/>
    <n v="18.345600000000001"/>
    <n v="9.5648"/>
    <n v="1"/>
  </r>
  <r>
    <n v="1585"/>
    <s v="AJ89"/>
    <d v="2025-05-04T00:00:00"/>
    <x v="4"/>
    <x v="4"/>
    <s v="First Class"/>
    <s v="NP-18325"/>
    <s v="FUR-FU-10001706"/>
    <n v="110"/>
    <n v="30"/>
    <n v="27.27272727272727"/>
    <x v="2"/>
    <s v="Women’s Scarves"/>
    <s v="INR"/>
    <n v="800001"/>
    <s v="INDIA"/>
    <x v="3"/>
    <m/>
    <n v="6.16"/>
    <n v="2"/>
    <n v="0.1"/>
    <n v="2.9567999999999999"/>
    <n v="1.6016000000000001"/>
    <n v="2"/>
  </r>
  <r>
    <n v="1586"/>
    <s v="FD19"/>
    <d v="2025-05-05T00:00:00"/>
    <x v="4"/>
    <x v="4"/>
    <s v="First Class"/>
    <s v="NP-18325"/>
    <s v="TEC-PH-10000984"/>
    <n v="210"/>
    <n v="30"/>
    <n v="14.285714285714285"/>
    <x v="5"/>
    <s v="Kitchen Utensils"/>
    <s v="INR"/>
    <n v="534239"/>
    <s v="INDIA"/>
    <x v="19"/>
    <m/>
    <n v="979.95"/>
    <n v="5"/>
    <n v="0.1"/>
    <n v="274.38600000000002"/>
    <n v="141.11280000000002"/>
    <n v="3"/>
  </r>
  <r>
    <n v="1587"/>
    <s v="ZH76"/>
    <d v="2025-05-06T00:00:00"/>
    <x v="4"/>
    <x v="4"/>
    <s v="First Class"/>
    <s v="NP-18325"/>
    <s v="OFF-PA-10001357"/>
    <n v="160"/>
    <n v="6"/>
    <n v="3.75"/>
    <x v="3"/>
    <s v="Car Dash Cameras"/>
    <s v="INR"/>
    <n v="411026"/>
    <s v="INDIA"/>
    <x v="17"/>
    <m/>
    <n v="143.69999999999999"/>
    <n v="3"/>
    <n v="0.1"/>
    <n v="68.975999999999999"/>
    <n v="24.907999999999998"/>
    <n v="5"/>
  </r>
  <r>
    <n v="1588"/>
    <s v="HN54"/>
    <d v="2025-05-07T00:00:00"/>
    <x v="4"/>
    <x v="4"/>
    <s v="First Class"/>
    <s v="NP-18325"/>
    <s v="OFF-FA-10000992"/>
    <n v="110"/>
    <n v="24"/>
    <n v="21.818181818181817"/>
    <x v="6"/>
    <s v="Role Play Sets"/>
    <s v="INR"/>
    <n v="226020"/>
    <s v="INDIA"/>
    <x v="0"/>
    <m/>
    <n v="10.65"/>
    <n v="3"/>
    <n v="0.1"/>
    <n v="5.0054999999999996"/>
    <n v="1.8815000000000002"/>
    <n v="5"/>
  </r>
  <r>
    <n v="1589"/>
    <s v="WW70"/>
    <d v="2025-05-08T00:00:00"/>
    <x v="4"/>
    <x v="4"/>
    <s v="First Class"/>
    <s v="NP-18325"/>
    <s v="TEC-AC-10002600"/>
    <n v="250"/>
    <n v="30"/>
    <n v="12"/>
    <x v="7"/>
    <s v="Pickles"/>
    <s v="INR"/>
    <n v="400053"/>
    <s v="INDIA"/>
    <x v="10"/>
    <m/>
    <n v="247.8"/>
    <n v="4"/>
    <n v="0.1"/>
    <n v="34.692"/>
    <n v="53.277000000000001"/>
    <n v="1"/>
  </r>
  <r>
    <n v="1590"/>
    <s v="BU47"/>
    <d v="2025-05-09T00:00:00"/>
    <x v="4"/>
    <x v="4"/>
    <s v="Standard Class"/>
    <s v="VG-21805"/>
    <s v="OFF-AR-10001662"/>
    <n v="160"/>
    <n v="28"/>
    <n v="17.5"/>
    <x v="8"/>
    <s v="Pet Blankets"/>
    <s v="INR"/>
    <n v="180001"/>
    <s v="INDIA"/>
    <x v="5"/>
    <m/>
    <n v="10.96"/>
    <n v="4"/>
    <n v="0.1"/>
    <n v="2.9592000000000001"/>
    <n v="2.0002000000000004"/>
    <n v="1"/>
  </r>
  <r>
    <n v="1591"/>
    <s v="UN75"/>
    <d v="2025-05-10T00:00:00"/>
    <x v="4"/>
    <x v="4"/>
    <s v="Standard Class"/>
    <s v="MY-18295"/>
    <s v="OFF-AR-10001221"/>
    <n v="140"/>
    <n v="30"/>
    <n v="21.428571428571427"/>
    <x v="2"/>
    <s v="Men’s Sports Shoes"/>
    <s v="INR"/>
    <n v="560037"/>
    <s v="INDIA"/>
    <x v="18"/>
    <m/>
    <n v="33.488"/>
    <n v="7"/>
    <n v="0.2"/>
    <n v="5.8604000000000003"/>
    <n v="3.9468000000000001"/>
    <n v="4"/>
  </r>
  <r>
    <n v="1592"/>
    <s v="PI63"/>
    <d v="2025-05-11T00:00:00"/>
    <x v="4"/>
    <x v="4"/>
    <s v="Standard Class"/>
    <s v="MY-18295"/>
    <s v="OFF-FA-10002988"/>
    <n v="190"/>
    <n v="24"/>
    <n v="12.631578947368421"/>
    <x v="4"/>
    <s v="Speakers"/>
    <s v="INR"/>
    <n v="515001"/>
    <s v="INDIA"/>
    <x v="12"/>
    <m/>
    <n v="8.0399999999999991"/>
    <n v="5"/>
    <n v="0.2"/>
    <n v="2.9144999999999999"/>
    <n v="1.0250999999999997"/>
    <n v="1"/>
  </r>
  <r>
    <n v="1593"/>
    <s v="UJ84"/>
    <d v="2025-05-12T00:00:00"/>
    <x v="4"/>
    <x v="4"/>
    <s v="Second Class"/>
    <s v="RD-19480"/>
    <s v="TEC-PH-10004830"/>
    <n v="140"/>
    <n v="18"/>
    <n v="12.857142857142856"/>
    <x v="1"/>
    <s v="Badminton Gear"/>
    <s v="INR"/>
    <n v="440008"/>
    <s v="INDIA"/>
    <x v="12"/>
    <m/>
    <n v="201.56800000000001"/>
    <n v="4"/>
    <n v="0.2"/>
    <n v="22.676400000000001"/>
    <n v="44.722900000000003"/>
    <n v="2"/>
  </r>
  <r>
    <n v="1594"/>
    <s v="PN20"/>
    <d v="2025-05-13T00:00:00"/>
    <x v="4"/>
    <x v="4"/>
    <s v="Same Day"/>
    <s v="JF-15490"/>
    <s v="OFF-PA-10004519"/>
    <n v="130"/>
    <n v="28"/>
    <n v="21.53846153846154"/>
    <x v="0"/>
    <s v="Anthologies"/>
    <m/>
    <n v="180001"/>
    <s v="INDIA"/>
    <x v="1"/>
    <m/>
    <n v="13.44"/>
    <n v="3"/>
    <n v="0.1"/>
    <n v="6.5856000000000003"/>
    <n v="2.2847999999999997"/>
    <n v="4"/>
  </r>
  <r>
    <n v="1595"/>
    <s v="VY30"/>
    <d v="2025-05-14T00:00:00"/>
    <x v="4"/>
    <x v="4"/>
    <s v="First Class"/>
    <s v="DP-13390"/>
    <s v="FUR-BO-10000362"/>
    <n v="250"/>
    <n v="28"/>
    <n v="11.200000000000001"/>
    <x v="5"/>
    <s v="Kitchen Racks"/>
    <s v="INR"/>
    <n v="500074"/>
    <s v="INDIA"/>
    <x v="0"/>
    <m/>
    <n v="359.05799999999999"/>
    <n v="3"/>
    <n v="0.3"/>
    <n v="-35.905799999999999"/>
    <n v="131.65459999999999"/>
    <n v="1"/>
  </r>
  <r>
    <n v="1596"/>
    <s v="KI34"/>
    <d v="2025-05-15T00:00:00"/>
    <x v="4"/>
    <x v="4"/>
    <s v="Standard Class"/>
    <s v="MD-17350"/>
    <s v="FUR-CH-10004540"/>
    <n v="170"/>
    <n v="12"/>
    <n v="7.0588235294117645"/>
    <x v="3"/>
    <s v="Car Horns"/>
    <s v="INR"/>
    <n v="500074"/>
    <s v="INDIA"/>
    <x v="1"/>
    <m/>
    <n v="47.991999999999997"/>
    <n v="2"/>
    <n v="0.3"/>
    <n v="-2.0568"/>
    <n v="25.0244"/>
    <n v="1"/>
  </r>
  <r>
    <n v="1597"/>
    <s v="FD68"/>
    <d v="2025-05-16T00:00:00"/>
    <x v="4"/>
    <x v="4"/>
    <s v="First Class"/>
    <s v="MY-17380"/>
    <s v="FUR-FU-10001290"/>
    <n v="210"/>
    <n v="10"/>
    <n v="4.7619047619047619"/>
    <x v="6"/>
    <s v="Magic Kits"/>
    <s v="INR"/>
    <n v="560077"/>
    <s v="INDIA"/>
    <x v="9"/>
    <m/>
    <n v="547.29999999999995"/>
    <n v="13"/>
    <n v="0.1"/>
    <n v="175.136"/>
    <n v="28.628"/>
    <n v="2"/>
  </r>
  <r>
    <n v="1598"/>
    <s v="RU88"/>
    <d v="2025-05-17T00:00:00"/>
    <x v="4"/>
    <x v="4"/>
    <s v="Second Class"/>
    <s v="AB-10150"/>
    <s v="OFF-PA-10000308"/>
    <n v="250"/>
    <n v="16"/>
    <n v="6.4"/>
    <x v="7"/>
    <s v="Chocolates"/>
    <s v="INR"/>
    <n v="383001"/>
    <s v="INDIA"/>
    <x v="14"/>
    <s v="Easy Ship"/>
    <n v="16.896000000000001"/>
    <n v="4"/>
    <n v="0.2"/>
    <n v="5.28"/>
    <n v="2.9039999999999999"/>
    <n v="4"/>
  </r>
  <r>
    <n v="1599"/>
    <s v="WF14"/>
    <d v="2025-05-18T00:00:00"/>
    <x v="4"/>
    <x v="4"/>
    <s v="Second Class"/>
    <s v="AB-10150"/>
    <s v="OFF-SU-10001165"/>
    <n v="200"/>
    <n v="30"/>
    <n v="15"/>
    <x v="8"/>
    <s v="Pet Harnesses"/>
    <s v="INR"/>
    <n v="686579"/>
    <s v="INDIA"/>
    <x v="11"/>
    <m/>
    <n v="6.6719999999999997"/>
    <n v="1"/>
    <n v="0.2"/>
    <n v="0.50039999999999996"/>
    <n v="6.1715999999999998"/>
    <n v="3"/>
  </r>
  <r>
    <n v="1600"/>
    <s v="EQ52"/>
    <d v="2025-05-19T00:00:00"/>
    <x v="4"/>
    <x v="4"/>
    <s v="Second Class"/>
    <s v="AB-10150"/>
    <s v="OFF-AR-10003373"/>
    <n v="240"/>
    <n v="10"/>
    <n v="4.1666666666666661"/>
    <x v="2"/>
    <s v="Women’s Coats"/>
    <s v="INR"/>
    <n v="110058"/>
    <s v="INDIA"/>
    <x v="5"/>
    <m/>
    <n v="99.135999999999996"/>
    <n v="4"/>
    <n v="0.2"/>
    <n v="8.6744000000000003"/>
    <n v="22.615399999999998"/>
    <n v="1"/>
  </r>
  <r>
    <n v="1601"/>
    <s v="AU15"/>
    <d v="2025-05-20T00:00:00"/>
    <x v="4"/>
    <x v="4"/>
    <s v="Second Class"/>
    <s v="AB-10150"/>
    <s v="FUR-FU-10001967"/>
    <n v="190"/>
    <n v="20"/>
    <n v="10.526315789473683"/>
    <x v="4"/>
    <s v="Digital Cameras"/>
    <s v="INR"/>
    <n v="411028"/>
    <s v="INDIA"/>
    <x v="3"/>
    <m/>
    <n v="15.992000000000001"/>
    <n v="2"/>
    <n v="0.6"/>
    <n v="-13.993"/>
    <n v="14.9925"/>
    <n v="3"/>
  </r>
  <r>
    <n v="1602"/>
    <s v="GP62"/>
    <d v="2025-05-21T00:00:00"/>
    <x v="4"/>
    <x v="4"/>
    <s v="Second Class"/>
    <s v="GB-14530"/>
    <s v="FUR-FU-10001488"/>
    <n v="130"/>
    <n v="26"/>
    <n v="20"/>
    <x v="0"/>
    <s v="Children’s Storybooks"/>
    <s v="INR"/>
    <n v="500018"/>
    <s v="INDIA"/>
    <x v="17"/>
    <s v="Easy Ship"/>
    <n v="211.96"/>
    <n v="2"/>
    <n v="0.1"/>
    <n v="42.392000000000003"/>
    <n v="84.784000000000006"/>
    <n v="4"/>
  </r>
  <r>
    <n v="1603"/>
    <s v="AB14"/>
    <d v="2025-05-22T00:00:00"/>
    <x v="4"/>
    <x v="4"/>
    <s v="Standard Class"/>
    <s v="CA-12775"/>
    <s v="OFF-AR-10003251"/>
    <n v="220"/>
    <n v="10"/>
    <n v="4.5454545454545459"/>
    <x v="1"/>
    <s v="Elliptical Trainers"/>
    <s v="INR"/>
    <n v="534312"/>
    <s v="INDIA"/>
    <x v="15"/>
    <m/>
    <n v="6.6719999999999997"/>
    <n v="3"/>
    <n v="0.2"/>
    <n v="1.6679999999999999"/>
    <n v="1.6679999999999999"/>
    <n v="1"/>
  </r>
  <r>
    <n v="1604"/>
    <s v="YB92"/>
    <d v="2025-05-23T00:00:00"/>
    <x v="4"/>
    <x v="4"/>
    <s v="Standard Class"/>
    <s v="ME-17725"/>
    <s v="OFF-AR-10001044"/>
    <n v="240"/>
    <n v="16"/>
    <n v="6.666666666666667"/>
    <x v="4"/>
    <s v="Smart Thermostats"/>
    <s v="INR"/>
    <n v="600100"/>
    <s v="INDIA"/>
    <x v="0"/>
    <s v="Easy Ship"/>
    <n v="155.94"/>
    <n v="6"/>
    <n v="0.1"/>
    <n v="45.2226"/>
    <n v="18.4529"/>
    <n v="2"/>
  </r>
  <r>
    <n v="1605"/>
    <s v="CC62"/>
    <d v="2025-05-24T00:00:00"/>
    <x v="4"/>
    <x v="4"/>
    <s v="Second Class"/>
    <s v="JO-15280"/>
    <s v="TEC-PH-10004700"/>
    <n v="200"/>
    <n v="8"/>
    <n v="4"/>
    <x v="2"/>
    <s v="Kids’ Dresses"/>
    <s v="INR"/>
    <n v="600100"/>
    <s v="INDIA"/>
    <x v="14"/>
    <m/>
    <n v="39.96"/>
    <n v="5"/>
    <n v="0.2"/>
    <n v="12.987"/>
    <n v="5.3945999999999996"/>
    <n v="1"/>
  </r>
  <r>
    <n v="1606"/>
    <s v="YJ23"/>
    <d v="2025-05-25T00:00:00"/>
    <x v="4"/>
    <x v="4"/>
    <s v="Second Class"/>
    <s v="JO-15280"/>
    <s v="OFF-AR-10000823"/>
    <n v="230"/>
    <n v="12"/>
    <n v="5.2173913043478262"/>
    <x v="5"/>
    <s v="Kitchen Knives"/>
    <s v="INR"/>
    <n v="600100"/>
    <s v="INDIA"/>
    <x v="8"/>
    <m/>
    <n v="5.46"/>
    <n v="3"/>
    <n v="0.1"/>
    <n v="1.5287999999999999"/>
    <n v="1.3104"/>
    <n v="4"/>
  </r>
  <r>
    <n v="1607"/>
    <s v="RM19"/>
    <d v="2025-05-26T00:00:00"/>
    <x v="4"/>
    <x v="4"/>
    <s v="Second Class"/>
    <s v="JO-15280"/>
    <s v="OFF-AR-10004456"/>
    <n v="160"/>
    <n v="18"/>
    <n v="11.25"/>
    <x v="3"/>
    <s v="Car Steering Covers"/>
    <s v="INR"/>
    <n v="600016"/>
    <s v="INDIA"/>
    <x v="16"/>
    <m/>
    <n v="73.2"/>
    <n v="5"/>
    <n v="0.1"/>
    <n v="21.228000000000002"/>
    <n v="10.394400000000001"/>
    <n v="3"/>
  </r>
  <r>
    <n v="1608"/>
    <s v="CP78"/>
    <d v="2025-05-27T00:00:00"/>
    <x v="4"/>
    <x v="4"/>
    <s v="Second Class"/>
    <s v="JO-15280"/>
    <s v="OFF-BI-10000050"/>
    <n v="160"/>
    <n v="24"/>
    <n v="15"/>
    <x v="6"/>
    <s v="Construction Sets"/>
    <s v="INR"/>
    <n v="600016"/>
    <s v="INDIA"/>
    <x v="10"/>
    <m/>
    <n v="5.84"/>
    <n v="1"/>
    <n v="0.2"/>
    <n v="1.9710000000000001"/>
    <n v="3.8689999999999998"/>
    <n v="1"/>
  </r>
  <r>
    <n v="1609"/>
    <s v="LC56"/>
    <d v="2025-05-28T00:00:00"/>
    <x v="4"/>
    <x v="4"/>
    <s v="Second Class"/>
    <s v="JO-15280"/>
    <s v="OFF-PA-10002377"/>
    <n v="110"/>
    <n v="24"/>
    <n v="21.818181818181817"/>
    <x v="7"/>
    <s v="Juices"/>
    <s v="INR"/>
    <n v="421302"/>
    <s v="INDIA"/>
    <x v="18"/>
    <m/>
    <n v="22.72"/>
    <n v="4"/>
    <n v="0.1"/>
    <n v="10.224"/>
    <n v="3.1239999999999997"/>
    <n v="4"/>
  </r>
  <r>
    <n v="1610"/>
    <s v="WN15"/>
    <d v="2025-05-29T00:00:00"/>
    <x v="4"/>
    <x v="4"/>
    <s v="Second Class"/>
    <s v="JO-15280"/>
    <s v="OFF-BI-10000591"/>
    <n v="130"/>
    <n v="26"/>
    <n v="20"/>
    <x v="8"/>
    <s v="Pet Towels"/>
    <s v="INR"/>
    <n v="248001"/>
    <s v="INDIA"/>
    <x v="0"/>
    <m/>
    <n v="9.3360000000000003"/>
    <n v="3"/>
    <n v="0.2"/>
    <n v="3.2675999999999998"/>
    <n v="2.0228000000000002"/>
    <n v="5"/>
  </r>
  <r>
    <n v="1611"/>
    <s v="JM97"/>
    <d v="2025-05-30T00:00:00"/>
    <x v="4"/>
    <x v="4"/>
    <s v="Standard Class"/>
    <s v="ML-17395"/>
    <s v="FUR-BO-10000362"/>
    <n v="120"/>
    <n v="6"/>
    <n v="5"/>
    <x v="2"/>
    <s v="Men’s Accessories"/>
    <s v="INR"/>
    <n v="686002"/>
    <s v="INDIA"/>
    <x v="5"/>
    <m/>
    <n v="290.666"/>
    <n v="2"/>
    <n v="0.15"/>
    <n v="27.3568"/>
    <n v="131.65459999999999"/>
    <n v="3"/>
  </r>
  <r>
    <n v="1612"/>
    <s v="FH80"/>
    <d v="2025-05-31T00:00:00"/>
    <x v="4"/>
    <x v="4"/>
    <s v="Standard Class"/>
    <s v="ML-17395"/>
    <s v="TEC-PH-10000441"/>
    <n v="160"/>
    <n v="26"/>
    <n v="16.25"/>
    <x v="4"/>
    <s v="Smart Speakers"/>
    <s v="INR"/>
    <n v="301019"/>
    <s v="INDIA"/>
    <x v="17"/>
    <m/>
    <n v="201.584"/>
    <n v="2"/>
    <n v="0.2"/>
    <n v="20.1584"/>
    <n v="90.712800000000001"/>
    <n v="2"/>
  </r>
  <r>
    <n v="1613"/>
    <s v="CL57"/>
    <d v="2025-06-01T00:00:00"/>
    <x v="5"/>
    <x v="4"/>
    <s v="Standard Class"/>
    <s v="ML-17395"/>
    <s v="TEC-PH-10002726"/>
    <n v="220"/>
    <n v="26"/>
    <n v="11.818181818181818"/>
    <x v="1"/>
    <s v="Martial Arts Gear"/>
    <s v="INR"/>
    <n v="560024"/>
    <s v="INDIA"/>
    <x v="4"/>
    <s v="Easy Ship"/>
    <n v="83.983999999999995"/>
    <n v="2"/>
    <n v="0.2"/>
    <n v="31.494"/>
    <n v="26.244999999999997"/>
    <n v="2"/>
  </r>
  <r>
    <n v="1614"/>
    <s v="OI92"/>
    <d v="2025-06-02T00:00:00"/>
    <x v="5"/>
    <x v="4"/>
    <s v="Standard Class"/>
    <s v="YS-21880"/>
    <s v="OFF-ST-10003306"/>
    <n v="170"/>
    <n v="8"/>
    <n v="4.7058823529411766"/>
    <x v="0"/>
    <s v="Encyclopedias"/>
    <s v="INR"/>
    <n v="410206"/>
    <s v="INDIA"/>
    <x v="18"/>
    <m/>
    <n v="1000.02"/>
    <n v="7"/>
    <n v="0.1"/>
    <n v="290.00580000000002"/>
    <n v="101.4306"/>
    <n v="1"/>
  </r>
  <r>
    <n v="1615"/>
    <s v="CU13"/>
    <d v="2025-06-03T00:00:00"/>
    <x v="5"/>
    <x v="4"/>
    <s v="Standard Class"/>
    <s v="PL-18925"/>
    <s v="TEC-AC-10004855"/>
    <n v="190"/>
    <n v="18"/>
    <n v="9.4736842105263168"/>
    <x v="5"/>
    <s v="Kitchen Shelves"/>
    <s v="INR"/>
    <n v="560066"/>
    <s v="INDIA"/>
    <x v="3"/>
    <m/>
    <n v="83.975999999999999"/>
    <n v="3"/>
    <n v="0.2"/>
    <n v="-13.646100000000001"/>
    <n v="32.540700000000001"/>
    <n v="2"/>
  </r>
  <r>
    <n v="1616"/>
    <s v="IL53"/>
    <d v="2025-06-04T00:00:00"/>
    <x v="5"/>
    <x v="4"/>
    <s v="Standard Class"/>
    <s v="JK-16120"/>
    <s v="OFF-LA-10002787"/>
    <n v="150"/>
    <n v="24"/>
    <n v="16"/>
    <x v="3"/>
    <s v="Car Air Fresheners"/>
    <m/>
    <n v="412207"/>
    <s v="INDIA"/>
    <x v="0"/>
    <s v="Easy Ship"/>
    <n v="3.75"/>
    <n v="1"/>
    <n v="0.1"/>
    <n v="1.8"/>
    <n v="1.95"/>
    <n v="5"/>
  </r>
  <r>
    <n v="1617"/>
    <s v="NT33"/>
    <d v="2025-06-05T00:00:00"/>
    <x v="5"/>
    <x v="4"/>
    <s v="Standard Class"/>
    <s v="JK-16120"/>
    <s v="OFF-LA-10002043"/>
    <n v="130"/>
    <n v="18"/>
    <n v="13.846153846153847"/>
    <x v="6"/>
    <s v="Mini Cars"/>
    <s v="INR"/>
    <n v="571313"/>
    <s v="INDIA"/>
    <x v="0"/>
    <s v="Easy Ship"/>
    <n v="41.4"/>
    <n v="4"/>
    <n v="0.1"/>
    <n v="19.872"/>
    <n v="5.3819999999999997"/>
    <n v="5"/>
  </r>
  <r>
    <n v="1618"/>
    <s v="VW27"/>
    <d v="2025-06-06T00:00:00"/>
    <x v="5"/>
    <x v="4"/>
    <s v="Standard Class"/>
    <s v="JK-16120"/>
    <s v="OFF-AR-10001915"/>
    <n v="240"/>
    <n v="14"/>
    <n v="5.833333333333333"/>
    <x v="7"/>
    <s v="Ready Mixes"/>
    <s v="INR"/>
    <n v="400082"/>
    <s v="INDIA"/>
    <x v="1"/>
    <s v="Easy Ship"/>
    <n v="29.79"/>
    <n v="3"/>
    <n v="0.1"/>
    <n v="12.511799999999999"/>
    <n v="5.7593999999999994"/>
    <n v="2"/>
  </r>
  <r>
    <n v="1619"/>
    <s v="GA86"/>
    <d v="2025-06-07T00:00:00"/>
    <x v="5"/>
    <x v="4"/>
    <s v="Second Class"/>
    <s v="PN-18775"/>
    <s v="OFF-ST-10000352"/>
    <n v="210"/>
    <n v="14"/>
    <n v="6.666666666666667"/>
    <x v="8"/>
    <s v="Pet Beds"/>
    <s v="INR"/>
    <n v="700052"/>
    <s v="INDIA"/>
    <x v="6"/>
    <s v="Easy Ship"/>
    <n v="59.48"/>
    <n v="2"/>
    <n v="0.1"/>
    <n v="8.9220000000000006"/>
    <n v="25.278999999999996"/>
    <n v="5"/>
  </r>
  <r>
    <n v="1620"/>
    <s v="VY33"/>
    <d v="2025-06-08T00:00:00"/>
    <x v="5"/>
    <x v="4"/>
    <s v="Second Class"/>
    <s v="PN-18775"/>
    <s v="OFF-PA-10000575"/>
    <n v="100"/>
    <n v="28"/>
    <n v="28.000000000000004"/>
    <x v="2"/>
    <s v="Women’s Sunglasses"/>
    <s v="INR"/>
    <n v="571401"/>
    <s v="INDIA"/>
    <x v="12"/>
    <m/>
    <n v="6.69"/>
    <n v="1"/>
    <n v="0.1"/>
    <n v="3.0773999999999999"/>
    <n v="3.6126000000000005"/>
    <n v="3"/>
  </r>
  <r>
    <n v="1621"/>
    <s v="VJ52"/>
    <d v="2025-06-09T00:00:00"/>
    <x v="5"/>
    <x v="4"/>
    <s v="Standard Class"/>
    <s v="JC-15385"/>
    <s v="FUR-FU-10002937"/>
    <n v="240"/>
    <n v="14"/>
    <n v="5.833333333333333"/>
    <x v="4"/>
    <s v="Smart Cameras"/>
    <s v="INR"/>
    <n v="110093"/>
    <s v="INDIA"/>
    <x v="5"/>
    <m/>
    <n v="198.46"/>
    <n v="2"/>
    <n v="0.1"/>
    <n v="99.23"/>
    <n v="49.615000000000002"/>
    <n v="4"/>
  </r>
  <r>
    <n v="1622"/>
    <s v="NP32"/>
    <d v="2025-06-10T00:00:00"/>
    <x v="5"/>
    <x v="4"/>
    <s v="Standard Class"/>
    <s v="JC-15385"/>
    <s v="OFF-LA-10003930"/>
    <n v="110"/>
    <n v="28"/>
    <n v="25.454545454545453"/>
    <x v="0"/>
    <s v="Children’s Activity Books"/>
    <s v="INR"/>
    <n v="734301"/>
    <s v="INDIA"/>
    <x v="1"/>
    <m/>
    <n v="786.48"/>
    <n v="8"/>
    <n v="0.1"/>
    <n v="385.37520000000001"/>
    <n v="50.138100000000001"/>
    <n v="4"/>
  </r>
  <r>
    <n v="1623"/>
    <s v="FV74"/>
    <d v="2025-06-11T00:00:00"/>
    <x v="5"/>
    <x v="4"/>
    <s v="Standard Class"/>
    <s v="JC-15385"/>
    <s v="OFF-BI-10001107"/>
    <n v="110"/>
    <n v="24"/>
    <n v="21.818181818181817"/>
    <x v="1"/>
    <s v="Rowing Machines"/>
    <s v="INR"/>
    <n v="412412"/>
    <s v="INDIA"/>
    <x v="4"/>
    <m/>
    <n v="23.167999999999999"/>
    <n v="2"/>
    <n v="0.2"/>
    <n v="7.8192000000000004"/>
    <n v="7.6743999999999994"/>
    <n v="1"/>
  </r>
  <r>
    <n v="1624"/>
    <s v="JM54"/>
    <d v="2025-06-12T00:00:00"/>
    <x v="5"/>
    <x v="4"/>
    <s v="Standard Class"/>
    <s v="JC-15385"/>
    <s v="TEC-AC-10003063"/>
    <n v="230"/>
    <n v="28"/>
    <n v="12.173913043478262"/>
    <x v="4"/>
    <s v="Smart Sensors"/>
    <s v="INR"/>
    <n v="396321"/>
    <s v="INDIA"/>
    <x v="18"/>
    <m/>
    <n v="50"/>
    <n v="2"/>
    <n v="0.1"/>
    <n v="10.5"/>
    <n v="19.75"/>
    <n v="2"/>
  </r>
  <r>
    <n v="1625"/>
    <s v="QH11"/>
    <d v="2025-06-13T00:00:00"/>
    <x v="5"/>
    <x v="4"/>
    <s v="Standard Class"/>
    <s v="JG-15160"/>
    <s v="TEC-PH-10002922"/>
    <n v="240"/>
    <n v="24"/>
    <n v="10"/>
    <x v="2"/>
    <s v="Men’s Jackets"/>
    <s v="INR"/>
    <n v="110081"/>
    <s v="INDIA"/>
    <x v="19"/>
    <s v="Easy Ship"/>
    <n v="675.96"/>
    <n v="5"/>
    <n v="0.2"/>
    <n v="84.495000000000005"/>
    <n v="118.29300000000001"/>
    <n v="5"/>
  </r>
  <r>
    <n v="1626"/>
    <s v="HX59"/>
    <d v="2025-06-14T00:00:00"/>
    <x v="5"/>
    <x v="4"/>
    <s v="Standard Class"/>
    <s v="JG-15160"/>
    <s v="TEC-AC-10002049"/>
    <n v="220"/>
    <n v="18"/>
    <n v="8.1818181818181817"/>
    <x v="5"/>
    <s v="Kitchen Organizers"/>
    <s v="INR"/>
    <n v="571313"/>
    <s v="INDIA"/>
    <x v="1"/>
    <m/>
    <n v="1265.8499999999999"/>
    <n v="3"/>
    <n v="0.1"/>
    <n v="556.97400000000005"/>
    <n v="236.29199999999994"/>
    <n v="2"/>
  </r>
  <r>
    <n v="1627"/>
    <s v="DY42"/>
    <d v="2025-06-15T00:00:00"/>
    <x v="5"/>
    <x v="4"/>
    <s v="Standard Class"/>
    <s v="PO-19180"/>
    <s v="OFF-AP-10002457"/>
    <n v="220"/>
    <n v="12"/>
    <n v="5.4545454545454541"/>
    <x v="3"/>
    <s v="Car Wipers"/>
    <s v="INR"/>
    <n v="625512"/>
    <s v="INDIA"/>
    <x v="9"/>
    <s v="Easy Ship"/>
    <n v="523.25"/>
    <n v="5"/>
    <n v="0.1"/>
    <n v="141.2775"/>
    <n v="76.394499999999994"/>
    <n v="2"/>
  </r>
  <r>
    <n v="1628"/>
    <s v="OO93"/>
    <d v="2025-06-16T00:00:00"/>
    <x v="5"/>
    <x v="4"/>
    <s v="Standard Class"/>
    <s v="MC-17275"/>
    <s v="FUR-CH-10001270"/>
    <n v="110"/>
    <n v="8"/>
    <n v="7.2727272727272725"/>
    <x v="6"/>
    <s v="Board Puzzles"/>
    <s v="INR"/>
    <n v="395007"/>
    <s v="INDIA"/>
    <x v="8"/>
    <s v="Easy Ship"/>
    <n v="517.5"/>
    <n v="6"/>
    <n v="0.1"/>
    <n v="155.25"/>
    <n v="60.375"/>
    <n v="5"/>
  </r>
  <r>
    <n v="1629"/>
    <s v="VV70"/>
    <d v="2025-06-17T00:00:00"/>
    <x v="5"/>
    <x v="4"/>
    <s v="Second Class"/>
    <s v="AS-10240"/>
    <s v="FUR-FU-10004415"/>
    <n v="230"/>
    <n v="8"/>
    <n v="3.4782608695652173"/>
    <x v="7"/>
    <s v="Herbal Teas"/>
    <s v="INR"/>
    <n v="560043"/>
    <s v="INDIA"/>
    <x v="3"/>
    <m/>
    <n v="17.920000000000002"/>
    <n v="5"/>
    <n v="0.2"/>
    <n v="2.464"/>
    <n v="3.0912000000000002"/>
    <n v="3"/>
  </r>
  <r>
    <n v="1630"/>
    <s v="SR91"/>
    <d v="2025-06-18T00:00:00"/>
    <x v="5"/>
    <x v="4"/>
    <s v="Second Class"/>
    <s v="AS-10240"/>
    <s v="OFF-BI-10001510"/>
    <n v="180"/>
    <n v="8"/>
    <n v="4.4444444444444446"/>
    <x v="8"/>
    <s v="Pet Brushes"/>
    <s v="INR"/>
    <n v="560043"/>
    <s v="INDIA"/>
    <x v="18"/>
    <m/>
    <n v="41.256"/>
    <n v="6"/>
    <n v="0.7"/>
    <n v="-34.380000000000003"/>
    <n v="12.606"/>
    <n v="5"/>
  </r>
  <r>
    <n v="1631"/>
    <s v="DT94"/>
    <d v="2025-06-19T00:00:00"/>
    <x v="5"/>
    <x v="4"/>
    <s v="Same Day"/>
    <s v="CL-12565"/>
    <s v="OFF-ST-10002011"/>
    <n v="220"/>
    <n v="26"/>
    <n v="11.818181818181818"/>
    <x v="2"/>
    <s v="Women’s Skirts"/>
    <s v="INR"/>
    <n v="560043"/>
    <s v="INDIA"/>
    <x v="12"/>
    <m/>
    <n v="1006.056"/>
    <n v="3"/>
    <n v="0.2"/>
    <n v="88.029899999999998"/>
    <n v="306.00870000000003"/>
    <n v="1"/>
  </r>
  <r>
    <n v="1632"/>
    <s v="PZ89"/>
    <d v="2025-06-20T00:00:00"/>
    <x v="5"/>
    <x v="4"/>
    <s v="Same Day"/>
    <s v="CL-12565"/>
    <s v="OFF-PA-10002986"/>
    <n v="180"/>
    <n v="14"/>
    <n v="7.7777777777777777"/>
    <x v="4"/>
    <s v="Smart Door Locks"/>
    <s v="INR"/>
    <n v="110075"/>
    <s v="INDIA"/>
    <x v="1"/>
    <s v="Easy Ship"/>
    <n v="10.688000000000001"/>
    <n v="2"/>
    <n v="0.2"/>
    <n v="3.7408000000000001"/>
    <n v="3.4736000000000002"/>
    <n v="2"/>
  </r>
  <r>
    <n v="1633"/>
    <s v="WE80"/>
    <d v="2025-06-21T00:00:00"/>
    <x v="5"/>
    <x v="4"/>
    <s v="Same Day"/>
    <s v="CL-12565"/>
    <s v="OFF-PA-10004451"/>
    <n v="240"/>
    <n v="12"/>
    <n v="5"/>
    <x v="0"/>
    <s v="Poetry Collections"/>
    <s v="INR"/>
    <n v="580020"/>
    <s v="INDIA"/>
    <x v="3"/>
    <m/>
    <n v="10.368"/>
    <n v="2"/>
    <n v="0.2"/>
    <n v="3.6288"/>
    <n v="3.3696000000000002"/>
    <n v="3"/>
  </r>
  <r>
    <n v="1634"/>
    <s v="DI95"/>
    <d v="2025-06-22T00:00:00"/>
    <x v="5"/>
    <x v="4"/>
    <s v="Same Day"/>
    <s v="CL-12565"/>
    <s v="OFF-ST-10000649"/>
    <n v="170"/>
    <n v="14"/>
    <n v="8.235294117647058"/>
    <x v="1"/>
    <s v="Running Gear"/>
    <s v="INR"/>
    <n v="670581"/>
    <s v="INDIA"/>
    <x v="15"/>
    <m/>
    <n v="25.12"/>
    <n v="2"/>
    <n v="0.2"/>
    <n v="1.57"/>
    <n v="11.775"/>
    <n v="3"/>
  </r>
  <r>
    <n v="1635"/>
    <s v="ZX91"/>
    <d v="2025-06-23T00:00:00"/>
    <x v="5"/>
    <x v="4"/>
    <s v="Same Day"/>
    <s v="CL-12565"/>
    <s v="TEC-AC-10001465"/>
    <n v="120"/>
    <n v="24"/>
    <n v="20"/>
    <x v="4"/>
    <s v="Smart Switches"/>
    <s v="INR"/>
    <n v="500049"/>
    <s v="INDIA"/>
    <x v="7"/>
    <m/>
    <n v="58.112000000000002"/>
    <n v="2"/>
    <n v="0.2"/>
    <n v="7.2640000000000002"/>
    <n v="25.423999999999999"/>
    <n v="2"/>
  </r>
  <r>
    <n v="1636"/>
    <s v="MN46"/>
    <d v="2025-06-24T00:00:00"/>
    <x v="5"/>
    <x v="4"/>
    <s v="Standard Class"/>
    <s v="NW-18400"/>
    <s v="OFF-PA-10001166"/>
    <n v="220"/>
    <n v="18"/>
    <n v="8.1818181818181817"/>
    <x v="2"/>
    <s v="Kids’ Footwear"/>
    <s v="INR"/>
    <n v="360002"/>
    <s v="INDIA"/>
    <x v="4"/>
    <m/>
    <n v="15.552"/>
    <n v="3"/>
    <n v="0.2"/>
    <n v="5.4432"/>
    <n v="3.3695999999999997"/>
    <n v="2"/>
  </r>
  <r>
    <n v="1637"/>
    <s v="NK56"/>
    <d v="2025-06-25T00:00:00"/>
    <x v="5"/>
    <x v="4"/>
    <s v="Standard Class"/>
    <s v="NW-18400"/>
    <s v="OFF-ST-10001097"/>
    <n v="100"/>
    <n v="26"/>
    <n v="26"/>
    <x v="5"/>
    <s v="Kitchen Containers"/>
    <s v="INR"/>
    <n v="700040"/>
    <s v="INDIA"/>
    <x v="12"/>
    <s v="Easy Ship"/>
    <n v="669.08"/>
    <n v="5"/>
    <n v="0.2"/>
    <n v="-167.27"/>
    <n v="167.27"/>
    <n v="2"/>
  </r>
  <r>
    <n v="1638"/>
    <s v="RW20"/>
    <d v="2025-06-26T00:00:00"/>
    <x v="5"/>
    <x v="4"/>
    <s v="Standard Class"/>
    <s v="NW-18400"/>
    <s v="TEC-PH-10000038"/>
    <n v="160"/>
    <n v="16"/>
    <n v="10"/>
    <x v="3"/>
    <s v="Car Mirrors"/>
    <s v="INR"/>
    <n v="425409"/>
    <s v="INDIA"/>
    <x v="5"/>
    <m/>
    <n v="438.33600000000001"/>
    <n v="4"/>
    <n v="0.2"/>
    <n v="-87.667199999999994"/>
    <n v="131.5008"/>
    <n v="1"/>
  </r>
  <r>
    <n v="1639"/>
    <s v="VI15"/>
    <d v="2025-06-27T00:00:00"/>
    <x v="5"/>
    <x v="4"/>
    <s v="Standard Class"/>
    <s v="TB-21280"/>
    <s v="OFF-PA-10002689"/>
    <n v="200"/>
    <n v="6"/>
    <n v="3"/>
    <x v="6"/>
    <s v="Play Kitchens"/>
    <s v="INR"/>
    <n v="533213"/>
    <s v="INDIA"/>
    <x v="11"/>
    <s v="Easy Ship"/>
    <n v="19.440000000000001"/>
    <n v="3"/>
    <n v="0.1"/>
    <n v="9.3312000000000008"/>
    <n v="3.3696000000000002"/>
    <n v="5"/>
  </r>
  <r>
    <n v="1640"/>
    <s v="GT48"/>
    <d v="2025-06-28T00:00:00"/>
    <x v="5"/>
    <x v="4"/>
    <s v="Standard Class"/>
    <s v="TB-21280"/>
    <s v="OFF-BI-10004728"/>
    <n v="100"/>
    <n v="10"/>
    <n v="10"/>
    <x v="7"/>
    <s v="Protein Powders"/>
    <s v="INR"/>
    <n v="400020"/>
    <s v="INDIA"/>
    <x v="11"/>
    <s v="Easy Ship"/>
    <n v="9.64"/>
    <n v="2"/>
    <n v="0.1"/>
    <n v="4.4344000000000001"/>
    <n v="2.6028000000000002"/>
    <n v="3"/>
  </r>
  <r>
    <n v="1641"/>
    <s v="BV78"/>
    <d v="2025-06-29T00:00:00"/>
    <x v="5"/>
    <x v="4"/>
    <s v="Standard Class"/>
    <s v="TB-21280"/>
    <s v="OFF-PA-10004675"/>
    <n v="250"/>
    <n v="28"/>
    <n v="11.200000000000001"/>
    <x v="8"/>
    <s v="Pet Chew Toys"/>
    <s v="INR"/>
    <n v="396191"/>
    <s v="INDIA"/>
    <x v="16"/>
    <s v="Easy Ship"/>
    <n v="12.7"/>
    <n v="2"/>
    <n v="0.1"/>
    <n v="5.8419999999999996"/>
    <n v="3.4289999999999998"/>
    <n v="4"/>
  </r>
  <r>
    <n v="1642"/>
    <s v="KX18"/>
    <d v="2025-06-30T00:00:00"/>
    <x v="5"/>
    <x v="4"/>
    <s v="Standard Class"/>
    <s v="TB-21280"/>
    <s v="FUR-FU-10000629"/>
    <n v="120"/>
    <n v="10"/>
    <n v="8.3333333333333321"/>
    <x v="2"/>
    <s v="Men’s Watches"/>
    <s v="INR"/>
    <n v="560024"/>
    <s v="INDIA"/>
    <x v="5"/>
    <m/>
    <n v="41.37"/>
    <n v="3"/>
    <n v="0.1"/>
    <n v="17.375399999999999"/>
    <n v="7.9981999999999998"/>
    <n v="1"/>
  </r>
  <r>
    <n v="1643"/>
    <s v="RJ89"/>
    <d v="2025-07-01T00:00:00"/>
    <x v="6"/>
    <x v="4"/>
    <s v="Standard Class"/>
    <s v="BS-11380"/>
    <s v="OFF-FA-10003112"/>
    <n v="100"/>
    <n v="24"/>
    <n v="24"/>
    <x v="4"/>
    <s v="Smart Displays"/>
    <s v="INR"/>
    <n v="843119"/>
    <s v="INDIA"/>
    <x v="8"/>
    <m/>
    <n v="12.624000000000001"/>
    <n v="2"/>
    <n v="0.2"/>
    <n v="3.9449999999999998"/>
    <n v="4.3395000000000001"/>
    <n v="3"/>
  </r>
  <r>
    <n v="1644"/>
    <s v="QU61"/>
    <d v="2025-07-02T00:00:00"/>
    <x v="6"/>
    <x v="4"/>
    <s v="First Class"/>
    <s v="FH-14365"/>
    <s v="OFF-ST-10000142"/>
    <n v="120"/>
    <n v="6"/>
    <n v="5"/>
    <x v="0"/>
    <s v="Children’s Novels"/>
    <s v="INR"/>
    <n v="530047"/>
    <s v="INDIA"/>
    <x v="5"/>
    <m/>
    <n v="1247.6400000000001"/>
    <n v="3"/>
    <n v="0.1"/>
    <n v="349.33920000000001"/>
    <n v="299.43360000000001"/>
    <n v="1"/>
  </r>
  <r>
    <n v="1645"/>
    <s v="XG57"/>
    <d v="2025-07-03T00:00:00"/>
    <x v="6"/>
    <x v="4"/>
    <s v="First Class"/>
    <s v="FH-14365"/>
    <s v="TEC-CO-10001766"/>
    <n v="240"/>
    <n v="10"/>
    <n v="4.1666666666666661"/>
    <x v="1"/>
    <s v="Weight Training"/>
    <s v="INR"/>
    <n v="400706"/>
    <s v="INDIA"/>
    <x v="5"/>
    <s v="Easy Ship"/>
    <n v="3149.93"/>
    <n v="7"/>
    <n v="0.1"/>
    <n v="1480.4671000000001"/>
    <n v="238.49469999999997"/>
    <n v="2"/>
  </r>
  <r>
    <n v="1646"/>
    <s v="PU94"/>
    <d v="2025-07-04T00:00:00"/>
    <x v="6"/>
    <x v="4"/>
    <s v="First Class"/>
    <s v="FH-14365"/>
    <s v="OFF-PA-10004359"/>
    <n v="160"/>
    <n v="22"/>
    <n v="13.750000000000002"/>
    <x v="4"/>
    <s v="Smart Remotes"/>
    <s v="INR"/>
    <n v="506252"/>
    <s v="INDIA"/>
    <x v="10"/>
    <m/>
    <n v="209.7"/>
    <n v="2"/>
    <n v="0.1"/>
    <n v="100.65600000000001"/>
    <n v="54.521999999999991"/>
    <n v="5"/>
  </r>
  <r>
    <n v="1647"/>
    <s v="ZS99"/>
    <d v="2025-07-05T00:00:00"/>
    <x v="6"/>
    <x v="4"/>
    <s v="First Class"/>
    <s v="VM-21685"/>
    <s v="TEC-AC-10002323"/>
    <n v="170"/>
    <n v="26"/>
    <n v="15.294117647058824"/>
    <x v="2"/>
    <s v="Women’s Jewelry"/>
    <s v="INR"/>
    <n v="712201"/>
    <s v="INDIA"/>
    <x v="7"/>
    <m/>
    <n v="35.36"/>
    <n v="2"/>
    <n v="0.2"/>
    <n v="-3.0939999999999999"/>
    <n v="19.227"/>
    <n v="5"/>
  </r>
  <r>
    <n v="1648"/>
    <s v="NI18"/>
    <d v="2025-07-06T00:00:00"/>
    <x v="6"/>
    <x v="4"/>
    <s v="First Class"/>
    <s v="VM-21685"/>
    <s v="OFF-FA-10001135"/>
    <n v="180"/>
    <n v="6"/>
    <n v="3.3333333333333335"/>
    <x v="5"/>
    <s v="Kitchen Trays"/>
    <s v="INR"/>
    <n v="506002"/>
    <s v="INDIA"/>
    <x v="3"/>
    <m/>
    <n v="3.1680000000000001"/>
    <n v="2"/>
    <n v="0.2"/>
    <n v="-0.71279999999999999"/>
    <n v="1.9404000000000001"/>
    <n v="3"/>
  </r>
  <r>
    <n v="1649"/>
    <s v="SH62"/>
    <d v="2025-07-07T00:00:00"/>
    <x v="6"/>
    <x v="4"/>
    <s v="Second Class"/>
    <s v="SF-20200"/>
    <s v="OFF-BI-10004224"/>
    <n v="120"/>
    <n v="28"/>
    <n v="23.333333333333332"/>
    <x v="3"/>
    <s v="Car Covers"/>
    <s v="INR"/>
    <n v="110046"/>
    <s v="INDIA"/>
    <x v="5"/>
    <m/>
    <n v="121.104"/>
    <n v="6"/>
    <n v="0.7"/>
    <n v="-100.92"/>
    <n v="37.003999999999998"/>
    <n v="2"/>
  </r>
  <r>
    <n v="1650"/>
    <s v="GN70"/>
    <d v="2025-07-08T00:00:00"/>
    <x v="6"/>
    <x v="4"/>
    <s v="Second Class"/>
    <s v="SF-20200"/>
    <s v="TEC-PH-10003357"/>
    <n v="170"/>
    <n v="16"/>
    <n v="9.4117647058823533"/>
    <x v="6"/>
    <s v="Learning Games"/>
    <s v="INR"/>
    <n v="506002"/>
    <s v="INDIA"/>
    <x v="3"/>
    <m/>
    <n v="45.893999999999998"/>
    <n v="1"/>
    <n v="0.4"/>
    <n v="-9.1788000000000007"/>
    <n v="55.072800000000001"/>
    <n v="4"/>
  </r>
  <r>
    <n v="1651"/>
    <s v="QS66"/>
    <d v="2025-07-09T00:00:00"/>
    <x v="6"/>
    <x v="4"/>
    <s v="Same Day"/>
    <s v="HH-15010"/>
    <s v="OFF-PA-10004475"/>
    <n v="120"/>
    <n v="30"/>
    <n v="25"/>
    <x v="7"/>
    <s v="Snacks"/>
    <s v="INR"/>
    <n v="411027"/>
    <s v="INDIA"/>
    <x v="6"/>
    <s v="Easy Ship"/>
    <n v="109.92"/>
    <n v="2"/>
    <n v="0.1"/>
    <n v="53.860799999999998"/>
    <n v="28.029600000000002"/>
    <n v="2"/>
  </r>
  <r>
    <n v="1652"/>
    <s v="VM15"/>
    <d v="2025-07-10T00:00:00"/>
    <x v="6"/>
    <x v="4"/>
    <s v="Same Day"/>
    <s v="HH-15010"/>
    <s v="OFF-PA-10003001"/>
    <n v="180"/>
    <n v="16"/>
    <n v="8.8888888888888893"/>
    <x v="8"/>
    <s v="Pet Bowls"/>
    <s v="INR"/>
    <n v="411014"/>
    <s v="INDIA"/>
    <x v="0"/>
    <m/>
    <n v="13.36"/>
    <n v="2"/>
    <n v="0.1"/>
    <n v="6.4127999999999998"/>
    <n v="3.4735999999999998"/>
    <n v="3"/>
  </r>
  <r>
    <n v="1653"/>
    <s v="JM44"/>
    <d v="2025-07-11T00:00:00"/>
    <x v="6"/>
    <x v="4"/>
    <s v="First Class"/>
    <s v="CD-12280"/>
    <s v="OFF-ST-10003442"/>
    <n v="130"/>
    <n v="18"/>
    <n v="13.846153846153847"/>
    <x v="2"/>
    <s v="Men’s Shirts"/>
    <s v="INR"/>
    <n v="500074"/>
    <s v="INDIA"/>
    <x v="10"/>
    <m/>
    <n v="169.68"/>
    <n v="6"/>
    <n v="0.1"/>
    <n v="45.813600000000001"/>
    <n v="20.644400000000001"/>
    <n v="4"/>
  </r>
  <r>
    <n v="1654"/>
    <s v="DE86"/>
    <d v="2025-07-12T00:00:00"/>
    <x v="6"/>
    <x v="4"/>
    <s v="First Class"/>
    <s v="CD-12280"/>
    <s v="TEC-AC-10003832"/>
    <n v="200"/>
    <n v="20"/>
    <n v="10"/>
    <x v="4"/>
    <s v="Smart Routers"/>
    <s v="INR"/>
    <n v="678556"/>
    <s v="INDIA"/>
    <x v="2"/>
    <m/>
    <n v="132.52000000000001"/>
    <n v="4"/>
    <n v="0.1"/>
    <n v="54.333199999999998"/>
    <n v="19.546700000000001"/>
    <n v="5"/>
  </r>
  <r>
    <n v="1655"/>
    <s v="OF40"/>
    <d v="2025-07-13T00:00:00"/>
    <x v="6"/>
    <x v="4"/>
    <s v="First Class"/>
    <s v="CD-12280"/>
    <s v="OFF-FA-10000611"/>
    <n v="120"/>
    <n v="20"/>
    <n v="16.666666666666664"/>
    <x v="0"/>
    <s v="Children’s Comics"/>
    <m/>
    <n v="110046"/>
    <s v="INDIA"/>
    <x v="10"/>
    <m/>
    <n v="2.96"/>
    <n v="2"/>
    <n v="0.1"/>
    <n v="1.4208000000000001"/>
    <n v="0.76959999999999995"/>
    <n v="5"/>
  </r>
  <r>
    <n v="1656"/>
    <s v="IQ42"/>
    <d v="2025-07-14T00:00:00"/>
    <x v="6"/>
    <x v="4"/>
    <s v="First Class"/>
    <s v="CD-12280"/>
    <s v="OFF-BI-10001116"/>
    <n v="220"/>
    <n v="24"/>
    <n v="10.909090909090908"/>
    <x v="1"/>
    <s v="Table Tennis Gear"/>
    <s v="INR"/>
    <n v="413501"/>
    <s v="INDIA"/>
    <x v="3"/>
    <m/>
    <n v="8.4480000000000004"/>
    <n v="2"/>
    <n v="0.2"/>
    <n v="2.9567999999999999"/>
    <n v="2.7456000000000005"/>
    <n v="3"/>
  </r>
  <r>
    <n v="1657"/>
    <s v="AE76"/>
    <d v="2025-07-15T00:00:00"/>
    <x v="6"/>
    <x v="4"/>
    <s v="First Class"/>
    <s v="CD-12280"/>
    <s v="OFF-ST-10000563"/>
    <n v="180"/>
    <n v="16"/>
    <n v="8.8888888888888893"/>
    <x v="4"/>
    <s v="Smart Plugs"/>
    <s v="INR"/>
    <n v="530051"/>
    <s v="INDIA"/>
    <x v="18"/>
    <m/>
    <n v="95.94"/>
    <n v="3"/>
    <n v="0.1"/>
    <n v="9.5939999999999994"/>
    <n v="28.782"/>
    <n v="4"/>
  </r>
  <r>
    <n v="1658"/>
    <s v="WY39"/>
    <d v="2025-07-16T00:00:00"/>
    <x v="6"/>
    <x v="4"/>
    <s v="First Class"/>
    <s v="HL-15040"/>
    <s v="FUR-FU-10000010"/>
    <n v="100"/>
    <n v="26"/>
    <n v="26"/>
    <x v="2"/>
    <s v="Women’s Flats"/>
    <s v="INR"/>
    <n v="530051"/>
    <s v="INDIA"/>
    <x v="0"/>
    <s v="Easy Ship"/>
    <n v="34.79"/>
    <n v="7"/>
    <n v="0.1"/>
    <n v="10.7849"/>
    <n v="3.4293"/>
    <n v="1"/>
  </r>
  <r>
    <n v="1659"/>
    <s v="ON99"/>
    <d v="2025-07-17T00:00:00"/>
    <x v="6"/>
    <x v="4"/>
    <s v="Standard Class"/>
    <s v="TH-21100"/>
    <s v="TEC-PH-10004922"/>
    <n v="210"/>
    <n v="20"/>
    <n v="9.5238095238095237"/>
    <x v="5"/>
    <s v="Kitchen Mats"/>
    <s v="INR"/>
    <n v="600028"/>
    <s v="INDIA"/>
    <x v="3"/>
    <m/>
    <n v="160.77600000000001"/>
    <n v="3"/>
    <n v="0.2"/>
    <n v="10.048500000000001"/>
    <n v="50.242500000000007"/>
    <n v="5"/>
  </r>
  <r>
    <n v="1660"/>
    <s v="DC94"/>
    <d v="2025-07-18T00:00:00"/>
    <x v="6"/>
    <x v="4"/>
    <s v="Standard Class"/>
    <s v="MM-18055"/>
    <s v="OFF-BI-10004330"/>
    <n v="100"/>
    <n v="10"/>
    <n v="10"/>
    <x v="3"/>
    <s v="Car Oils"/>
    <s v="INR"/>
    <n v="600028"/>
    <s v="INDIA"/>
    <x v="6"/>
    <s v="Easy Ship"/>
    <n v="88.751999999999995"/>
    <n v="3"/>
    <n v="0.2"/>
    <n v="27.734999999999999"/>
    <n v="20.338999999999999"/>
    <n v="2"/>
  </r>
  <r>
    <n v="1661"/>
    <s v="YB45"/>
    <d v="2025-07-19T00:00:00"/>
    <x v="6"/>
    <x v="4"/>
    <s v="Standard Class"/>
    <s v="MM-18055"/>
    <s v="OFF-BI-10002072"/>
    <n v="250"/>
    <n v="28"/>
    <n v="11.200000000000001"/>
    <x v="6"/>
    <s v="Playhouses"/>
    <s v="INR"/>
    <n v="500090"/>
    <s v="INDIA"/>
    <x v="3"/>
    <m/>
    <n v="13.904"/>
    <n v="2"/>
    <n v="0.2"/>
    <n v="5.2140000000000004"/>
    <n v="4.3449999999999998"/>
    <n v="1"/>
  </r>
  <r>
    <n v="1662"/>
    <s v="YO38"/>
    <d v="2025-07-20T00:00:00"/>
    <x v="6"/>
    <x v="4"/>
    <s v="Standard Class"/>
    <s v="QJ-19255"/>
    <s v="TEC-PH-10002549"/>
    <n v="110"/>
    <n v="8"/>
    <n v="7.2727272727272725"/>
    <x v="7"/>
    <s v="Energy Bars"/>
    <s v="INR"/>
    <n v="410210"/>
    <s v="INDIA"/>
    <x v="13"/>
    <s v="Easy Ship"/>
    <n v="677.58"/>
    <n v="5"/>
    <n v="0.4"/>
    <n v="-158.102"/>
    <n v="167.13640000000001"/>
    <n v="1"/>
  </r>
  <r>
    <n v="1663"/>
    <s v="EZ50"/>
    <d v="2025-07-21T00:00:00"/>
    <x v="6"/>
    <x v="4"/>
    <s v="Standard Class"/>
    <s v="QJ-19255"/>
    <s v="OFF-BI-10002353"/>
    <n v="160"/>
    <n v="16"/>
    <n v="10"/>
    <x v="8"/>
    <s v="Pet Collars"/>
    <s v="INR"/>
    <n v="425305"/>
    <s v="INDIA"/>
    <x v="6"/>
    <m/>
    <n v="13.896000000000001"/>
    <n v="3"/>
    <n v="0.7"/>
    <n v="-9.2639999999999993"/>
    <n v="7.72"/>
    <n v="2"/>
  </r>
  <r>
    <n v="1664"/>
    <s v="GI36"/>
    <d v="2025-07-22T00:00:00"/>
    <x v="6"/>
    <x v="4"/>
    <s v="Second Class"/>
    <s v="NS-18505"/>
    <s v="OFF-ST-10001325"/>
    <n v="250"/>
    <n v="18"/>
    <n v="7.1999999999999993"/>
    <x v="2"/>
    <s v="Kids’ Accessories"/>
    <s v="INR"/>
    <n v="201301"/>
    <s v="INDIA"/>
    <x v="10"/>
    <m/>
    <n v="41.92"/>
    <n v="5"/>
    <n v="0.2"/>
    <n v="3.6680000000000001"/>
    <n v="7.6504000000000003"/>
    <n v="5"/>
  </r>
  <r>
    <n v="1665"/>
    <s v="KU86"/>
    <d v="2025-07-23T00:00:00"/>
    <x v="6"/>
    <x v="4"/>
    <s v="Second Class"/>
    <s v="NS-18505"/>
    <s v="TEC-AC-10002049"/>
    <n v="170"/>
    <n v="8"/>
    <n v="4.7058823529411766"/>
    <x v="4"/>
    <s v="Smart TVs"/>
    <s v="INR"/>
    <n v="431003"/>
    <s v="INDIA"/>
    <x v="0"/>
    <s v="Easy Ship"/>
    <n v="297.57600000000002"/>
    <n v="3"/>
    <n v="0.2"/>
    <n v="-7.4394"/>
    <n v="101.6718"/>
    <n v="3"/>
  </r>
  <r>
    <n v="1666"/>
    <s v="IU77"/>
    <d v="2025-07-24T00:00:00"/>
    <x v="6"/>
    <x v="4"/>
    <s v="Second Class"/>
    <s v="NS-18505"/>
    <s v="OFF-FA-10002676"/>
    <n v="120"/>
    <n v="10"/>
    <n v="8.3333333333333321"/>
    <x v="0"/>
    <s v="Children’s Poetry"/>
    <s v="INR"/>
    <n v="530007"/>
    <s v="INDIA"/>
    <x v="3"/>
    <m/>
    <n v="4.3440000000000003"/>
    <n v="3"/>
    <n v="0.2"/>
    <n v="0.86880000000000002"/>
    <n v="1.1584000000000001"/>
    <n v="3"/>
  </r>
  <r>
    <n v="1667"/>
    <s v="NL31"/>
    <d v="2025-07-25T00:00:00"/>
    <x v="6"/>
    <x v="4"/>
    <s v="Second Class"/>
    <s v="NS-18505"/>
    <s v="TEC-AC-10003023"/>
    <n v="180"/>
    <n v="28"/>
    <n v="15.555555555555555"/>
    <x v="1"/>
    <s v="Swimming Gear"/>
    <s v="INR"/>
    <n v="493118"/>
    <s v="INDIA"/>
    <x v="14"/>
    <m/>
    <n v="94.992000000000004"/>
    <n v="2"/>
    <n v="0.2"/>
    <n v="-2.3748"/>
    <n v="48.683399999999999"/>
    <n v="1"/>
  </r>
  <r>
    <n v="1668"/>
    <s v="JD20"/>
    <d v="2025-07-26T00:00:00"/>
    <x v="6"/>
    <x v="4"/>
    <s v="Second Class"/>
    <s v="NS-18505"/>
    <s v="OFF-PA-10000167"/>
    <n v="200"/>
    <n v="6"/>
    <n v="3"/>
    <x v="4"/>
    <s v="Smart Watches"/>
    <s v="INR"/>
    <n v="303007"/>
    <s v="INDIA"/>
    <x v="0"/>
    <s v="Easy Ship"/>
    <n v="74.352000000000004"/>
    <n v="3"/>
    <n v="0.2"/>
    <n v="23.234999999999999"/>
    <n v="17.039000000000001"/>
    <n v="5"/>
  </r>
  <r>
    <n v="1669"/>
    <s v="XH90"/>
    <d v="2025-07-27T00:00:00"/>
    <x v="6"/>
    <x v="4"/>
    <s v="Second Class"/>
    <s v="NS-18505"/>
    <s v="OFF-AR-10003405"/>
    <n v="200"/>
    <n v="18"/>
    <n v="9"/>
    <x v="0"/>
    <s v="Children’s Atlases"/>
    <s v="INR"/>
    <n v="500039"/>
    <s v="INDIA"/>
    <x v="10"/>
    <m/>
    <n v="14.04"/>
    <n v="3"/>
    <n v="0.2"/>
    <n v="1.5794999999999999"/>
    <n v="4.1535000000000002"/>
    <n v="5"/>
  </r>
  <r>
    <n v="1670"/>
    <s v="KW27"/>
    <d v="2025-07-28T00:00:00"/>
    <x v="6"/>
    <x v="4"/>
    <s v="Standard Class"/>
    <s v="MM-17920"/>
    <s v="FUR-TA-10001889"/>
    <n v="170"/>
    <n v="6"/>
    <n v="3.5294117647058822"/>
    <x v="1"/>
    <s v="Handball Gear"/>
    <s v="INR"/>
    <n v="500008"/>
    <s v="INDIA"/>
    <x v="18"/>
    <m/>
    <n v="1018.104"/>
    <n v="4"/>
    <n v="0.4"/>
    <n v="-373.3048"/>
    <n v="347.85220000000004"/>
    <n v="4"/>
  </r>
  <r>
    <n v="1671"/>
    <s v="MW25"/>
    <d v="2025-07-29T00:00:00"/>
    <x v="6"/>
    <x v="4"/>
    <s v="Standard Class"/>
    <s v="RD-19480"/>
    <s v="TEC-PH-10002185"/>
    <n v="150"/>
    <n v="30"/>
    <n v="20"/>
    <x v="4"/>
    <s v="Smart VR Headsets"/>
    <s v="INR"/>
    <n v="689581"/>
    <s v="INDIA"/>
    <x v="12"/>
    <s v="Easy Ship"/>
    <n v="16.68"/>
    <n v="3"/>
    <n v="0.2"/>
    <n v="5.2125000000000004"/>
    <n v="3.8224999999999998"/>
    <n v="3"/>
  </r>
  <r>
    <n v="1672"/>
    <s v="JJ98"/>
    <d v="2025-07-30T00:00:00"/>
    <x v="6"/>
    <x v="4"/>
    <s v="First Class"/>
    <s v="RB-19645"/>
    <s v="TEC-AC-10001013"/>
    <n v="240"/>
    <n v="18"/>
    <n v="7.5"/>
    <x v="2"/>
    <s v="Women’s Tunics"/>
    <s v="INR"/>
    <n v="425305"/>
    <s v="INDIA"/>
    <x v="13"/>
    <m/>
    <n v="58.58"/>
    <n v="2"/>
    <n v="0.1"/>
    <n v="19.331399999999999"/>
    <n v="19.624299999999998"/>
    <n v="5"/>
  </r>
  <r>
    <n v="1673"/>
    <s v="WA79"/>
    <d v="2025-07-31T00:00:00"/>
    <x v="6"/>
    <x v="4"/>
    <s v="Standard Class"/>
    <s v="RD-19585"/>
    <s v="TEC-PH-10002726"/>
    <n v="250"/>
    <n v="30"/>
    <n v="12"/>
    <x v="5"/>
    <s v="Kitchen Blenders"/>
    <s v="INR"/>
    <n v="424001"/>
    <s v="INDIA"/>
    <x v="15"/>
    <m/>
    <n v="167.96799999999999"/>
    <n v="4"/>
    <n v="0.2"/>
    <n v="62.988"/>
    <n v="26.244999999999997"/>
    <n v="2"/>
  </r>
  <r>
    <n v="1674"/>
    <s v="PT43"/>
    <d v="2025-08-01T00:00:00"/>
    <x v="7"/>
    <x v="4"/>
    <s v="First Class"/>
    <s v="SW-20455"/>
    <s v="OFF-LA-10003930"/>
    <n v="100"/>
    <n v="10"/>
    <n v="10"/>
    <x v="3"/>
    <s v="Car Radiators"/>
    <s v="INR"/>
    <n v="560068"/>
    <s v="INDIA"/>
    <x v="19"/>
    <m/>
    <n v="196.62"/>
    <n v="2"/>
    <n v="0.1"/>
    <n v="96.343800000000002"/>
    <n v="50.138100000000001"/>
    <n v="5"/>
  </r>
  <r>
    <n v="1675"/>
    <s v="PM93"/>
    <d v="2025-08-02T00:00:00"/>
    <x v="7"/>
    <x v="4"/>
    <s v="Standard Class"/>
    <s v="SF-20965"/>
    <s v="FUR-FU-10003535"/>
    <n v="160"/>
    <n v="16"/>
    <n v="10"/>
    <x v="6"/>
    <s v="Logic Games"/>
    <s v="INR"/>
    <n v="401105"/>
    <s v="INDIA"/>
    <x v="2"/>
    <m/>
    <n v="21.936"/>
    <n v="2"/>
    <n v="0.6"/>
    <n v="-10.419600000000001"/>
    <n v="16.177800000000001"/>
    <n v="4"/>
  </r>
  <r>
    <n v="1676"/>
    <s v="RF15"/>
    <d v="2025-08-03T00:00:00"/>
    <x v="7"/>
    <x v="4"/>
    <s v="Standard Class"/>
    <s v="SF-20965"/>
    <s v="OFF-BI-10000088"/>
    <n v="190"/>
    <n v="14"/>
    <n v="7.3684210526315779"/>
    <x v="7"/>
    <s v="Organic Cereals"/>
    <s v="INR"/>
    <n v="503224"/>
    <s v="INDIA"/>
    <x v="17"/>
    <m/>
    <n v="6.5880000000000001"/>
    <n v="3"/>
    <n v="0.8"/>
    <n v="-10.211399999999999"/>
    <n v="5.5997999999999992"/>
    <n v="2"/>
  </r>
  <r>
    <n v="1677"/>
    <s v="BK65"/>
    <d v="2025-08-04T00:00:00"/>
    <x v="7"/>
    <x v="4"/>
    <s v="Standard Class"/>
    <s v="EB-13930"/>
    <s v="OFF-ST-10000604"/>
    <n v="150"/>
    <n v="12"/>
    <n v="8"/>
    <x v="8"/>
    <s v="Pet First Aid Kits"/>
    <s v="INR"/>
    <n v="769015"/>
    <s v="INDIA"/>
    <x v="11"/>
    <m/>
    <n v="104.28"/>
    <n v="3"/>
    <n v="0.1"/>
    <n v="26.07"/>
    <n v="26.070000000000004"/>
    <n v="1"/>
  </r>
  <r>
    <n v="1678"/>
    <s v="PJ16"/>
    <d v="2025-08-05T00:00:00"/>
    <x v="7"/>
    <x v="4"/>
    <s v="Standard Class"/>
    <s v="EB-13930"/>
    <s v="OFF-PA-10004040"/>
    <n v="150"/>
    <n v="16"/>
    <n v="10.666666666666668"/>
    <x v="2"/>
    <s v="Men’s Tracksuits"/>
    <s v="INR"/>
    <n v="231225"/>
    <s v="INDIA"/>
    <x v="15"/>
    <m/>
    <n v="17.940000000000001"/>
    <n v="3"/>
    <n v="0.1"/>
    <n v="8.7905999999999995"/>
    <n v="3.0498000000000007"/>
    <n v="4"/>
  </r>
  <r>
    <n v="1679"/>
    <s v="MQ36"/>
    <d v="2025-08-06T00:00:00"/>
    <x v="7"/>
    <x v="4"/>
    <s v="Standard Class"/>
    <s v="SB-20290"/>
    <s v="OFF-ST-10002344"/>
    <n v="240"/>
    <n v="30"/>
    <n v="12.5"/>
    <x v="4"/>
    <s v="Smart Earbuds"/>
    <s v="INR"/>
    <n v="785001"/>
    <s v="INDIA"/>
    <x v="4"/>
    <m/>
    <n v="64.784000000000006"/>
    <n v="1"/>
    <n v="0.2"/>
    <n v="-14.5764"/>
    <n v="79.360399999999998"/>
    <n v="3"/>
  </r>
  <r>
    <n v="1680"/>
    <s v="IX98"/>
    <d v="2025-08-07T00:00:00"/>
    <x v="7"/>
    <x v="4"/>
    <s v="Standard Class"/>
    <s v="SB-20290"/>
    <s v="TEC-PH-10003589"/>
    <n v="220"/>
    <n v="30"/>
    <n v="13.636363636363635"/>
    <x v="1"/>
    <s v="Softball Gear"/>
    <s v="INR"/>
    <n v="695125"/>
    <s v="INDIA"/>
    <x v="7"/>
    <s v="Easy Ship"/>
    <n v="32.381999999999998"/>
    <n v="3"/>
    <n v="0.4"/>
    <n v="4.3175999999999997"/>
    <n v="9.3547999999999991"/>
    <n v="5"/>
  </r>
  <r>
    <n v="1681"/>
    <s v="KF52"/>
    <d v="2025-08-08T00:00:00"/>
    <x v="7"/>
    <x v="4"/>
    <s v="Standard Class"/>
    <s v="SB-20290"/>
    <s v="FUR-FU-10000758"/>
    <n v="250"/>
    <n v="26"/>
    <n v="10.4"/>
    <x v="0"/>
    <s v="Children’s Puzzle Books"/>
    <s v="INR"/>
    <n v="695125"/>
    <s v="INDIA"/>
    <x v="18"/>
    <s v="Easy Ship"/>
    <n v="42.368000000000002"/>
    <n v="2"/>
    <n v="0.2"/>
    <n v="8.4735999999999994"/>
    <n v="16.947200000000002"/>
    <n v="5"/>
  </r>
  <r>
    <n v="1682"/>
    <s v="MM53"/>
    <d v="2025-08-09T00:00:00"/>
    <x v="7"/>
    <x v="4"/>
    <s v="Standard Class"/>
    <s v="SB-20290"/>
    <s v="TEC-MA-10004679"/>
    <n v="150"/>
    <n v="6"/>
    <n v="4"/>
    <x v="5"/>
    <s v="Kitchen Mixers"/>
    <s v="INR"/>
    <n v="605012"/>
    <s v="INDIA"/>
    <x v="2"/>
    <m/>
    <n v="399.54"/>
    <n v="4"/>
    <n v="0.7"/>
    <n v="-559.35599999999999"/>
    <n v="239.72399999999999"/>
    <n v="3"/>
  </r>
  <r>
    <n v="1683"/>
    <s v="KX14"/>
    <d v="2025-08-10T00:00:00"/>
    <x v="7"/>
    <x v="4"/>
    <s v="Second Class"/>
    <s v="PS-18760"/>
    <s v="OFF-PA-10000176"/>
    <n v="110"/>
    <n v="14"/>
    <n v="12.727272727272727"/>
    <x v="3"/>
    <s v="Car Gearboxes"/>
    <s v="INR"/>
    <n v="800024"/>
    <s v="INDIA"/>
    <x v="17"/>
    <m/>
    <n v="18.97"/>
    <n v="1"/>
    <n v="0.1"/>
    <n v="9.1056000000000008"/>
    <n v="9.8643999999999981"/>
    <n v="4"/>
  </r>
  <r>
    <n v="1684"/>
    <s v="LY97"/>
    <d v="2025-08-11T00:00:00"/>
    <x v="7"/>
    <x v="4"/>
    <s v="Standard Class"/>
    <s v="CB-12535"/>
    <s v="FUR-FU-10002597"/>
    <n v="170"/>
    <n v="6"/>
    <n v="3.5294117647058822"/>
    <x v="6"/>
    <s v="Clay Modeling Kits"/>
    <s v="INR"/>
    <n v="226016"/>
    <s v="INDIA"/>
    <x v="4"/>
    <m/>
    <n v="14.82"/>
    <n v="3"/>
    <n v="0.1"/>
    <n v="6.2244000000000002"/>
    <n v="2.8652000000000002"/>
    <n v="5"/>
  </r>
  <r>
    <n v="1685"/>
    <s v="QG33"/>
    <d v="2025-08-12T00:00:00"/>
    <x v="7"/>
    <x v="4"/>
    <s v="First Class"/>
    <s v="DK-12835"/>
    <s v="OFF-AP-10002495"/>
    <n v="140"/>
    <n v="6"/>
    <n v="4.2857142857142856"/>
    <x v="7"/>
    <s v="Packaged Rice"/>
    <s v="INR"/>
    <n v="641005"/>
    <s v="INDIA"/>
    <x v="11"/>
    <m/>
    <n v="99.28"/>
    <n v="2"/>
    <n v="0.2"/>
    <n v="12.41"/>
    <n v="43.435000000000002"/>
    <n v="5"/>
  </r>
  <r>
    <n v="1686"/>
    <s v="TI84"/>
    <d v="2025-08-13T00:00:00"/>
    <x v="7"/>
    <x v="4"/>
    <s v="First Class"/>
    <s v="DK-12835"/>
    <s v="OFF-BI-10002813"/>
    <n v="150"/>
    <n v="20"/>
    <n v="13.333333333333334"/>
    <x v="8"/>
    <s v="Pet Carriers"/>
    <s v="INR"/>
    <n v="532001"/>
    <s v="INDIA"/>
    <x v="3"/>
    <m/>
    <n v="1.1879999999999999"/>
    <n v="2"/>
    <n v="0.7"/>
    <n v="-0.99"/>
    <n v="1.089"/>
    <n v="3"/>
  </r>
  <r>
    <n v="1687"/>
    <s v="GH36"/>
    <d v="2025-08-14T00:00:00"/>
    <x v="7"/>
    <x v="4"/>
    <s v="First Class"/>
    <s v="DK-12835"/>
    <s v="OFF-BI-10002414"/>
    <n v="120"/>
    <n v="24"/>
    <n v="20"/>
    <x v="2"/>
    <s v="Women’s Jackets"/>
    <s v="INR"/>
    <n v="600116"/>
    <s v="INDIA"/>
    <x v="12"/>
    <s v="Easy Ship"/>
    <n v="7.5179999999999998"/>
    <n v="2"/>
    <n v="0.7"/>
    <n v="-5.7637999999999998"/>
    <n v="6.6409000000000002"/>
    <n v="3"/>
  </r>
  <r>
    <n v="1688"/>
    <s v="ER18"/>
    <d v="2025-08-15T00:00:00"/>
    <x v="7"/>
    <x v="4"/>
    <s v="First Class"/>
    <s v="AW-10840"/>
    <s v="OFF-PA-10000788"/>
    <n v="240"/>
    <n v="12"/>
    <n v="5"/>
    <x v="4"/>
    <s v="Smart Cameras"/>
    <s v="INR"/>
    <n v="751024"/>
    <s v="INDIA"/>
    <x v="3"/>
    <m/>
    <n v="10.368"/>
    <n v="2"/>
    <n v="0.2"/>
    <n v="3.6288"/>
    <n v="3.3696000000000002"/>
    <n v="4"/>
  </r>
  <r>
    <n v="1689"/>
    <s v="ZV58"/>
    <d v="2025-08-16T00:00:00"/>
    <x v="7"/>
    <x v="4"/>
    <s v="First Class"/>
    <s v="AW-10840"/>
    <s v="FUR-FU-10004306"/>
    <n v="210"/>
    <n v="12"/>
    <n v="5.7142857142857144"/>
    <x v="0"/>
    <s v="Children’s Science Books"/>
    <s v="INR"/>
    <n v="683594"/>
    <s v="INDIA"/>
    <x v="16"/>
    <m/>
    <n v="310.88"/>
    <n v="2"/>
    <n v="0.2"/>
    <n v="23.315999999999999"/>
    <n v="143.78200000000001"/>
    <n v="5"/>
  </r>
  <r>
    <n v="1690"/>
    <s v="KC66"/>
    <d v="2025-08-17T00:00:00"/>
    <x v="7"/>
    <x v="4"/>
    <s v="Standard Class"/>
    <s v="TS-21610"/>
    <s v="FUR-TA-10001539"/>
    <n v="190"/>
    <n v="6"/>
    <n v="3.1578947368421053"/>
    <x v="1"/>
    <s v="Rowing Oars"/>
    <m/>
    <n v="422207"/>
    <s v="INDIA"/>
    <x v="12"/>
    <m/>
    <n v="853.09199999999998"/>
    <n v="6"/>
    <n v="0.4"/>
    <n v="-227.49119999999999"/>
    <n v="180.09720000000002"/>
    <n v="1"/>
  </r>
  <r>
    <n v="1691"/>
    <s v="JN16"/>
    <d v="2025-08-18T00:00:00"/>
    <x v="7"/>
    <x v="4"/>
    <s v="Standard Class"/>
    <s v="HF-14995"/>
    <s v="OFF-PA-10000575"/>
    <n v="220"/>
    <n v="26"/>
    <n v="11.818181818181818"/>
    <x v="4"/>
    <s v="Smart Sensors"/>
    <s v="INR"/>
    <n v="854318"/>
    <s v="INDIA"/>
    <x v="12"/>
    <m/>
    <n v="33.450000000000003"/>
    <n v="5"/>
    <n v="0.1"/>
    <n v="15.387"/>
    <n v="3.6126000000000005"/>
    <n v="4"/>
  </r>
  <r>
    <n v="1692"/>
    <s v="GT58"/>
    <d v="2025-08-19T00:00:00"/>
    <x v="7"/>
    <x v="4"/>
    <s v="Standard Class"/>
    <s v="HF-14995"/>
    <s v="OFF-BI-10004182"/>
    <n v="240"/>
    <n v="20"/>
    <n v="8.3333333333333321"/>
    <x v="2"/>
    <s v="Kids’ Pajamas"/>
    <s v="INR"/>
    <n v="560037"/>
    <s v="INDIA"/>
    <x v="7"/>
    <s v="Easy Ship"/>
    <n v="10.4"/>
    <n v="5"/>
    <n v="0.1"/>
    <n v="5.0960000000000001"/>
    <n v="1.0608"/>
    <n v="3"/>
  </r>
  <r>
    <n v="1693"/>
    <s v="WQ16"/>
    <d v="2025-08-20T00:00:00"/>
    <x v="7"/>
    <x v="4"/>
    <s v="Standard Class"/>
    <s v="HZ-14950"/>
    <s v="FUR-FU-10004020"/>
    <n v="250"/>
    <n v="16"/>
    <n v="6.4"/>
    <x v="5"/>
    <s v="Kitchen Cooktops"/>
    <m/>
    <n v="502285"/>
    <s v="INDIA"/>
    <x v="4"/>
    <m/>
    <n v="21.88"/>
    <n v="5"/>
    <n v="0.2"/>
    <n v="6.2904999999999998"/>
    <n v="3.1178999999999997"/>
    <n v="1"/>
  </r>
  <r>
    <n v="1694"/>
    <s v="CN25"/>
    <d v="2025-08-21T00:00:00"/>
    <x v="7"/>
    <x v="4"/>
    <s v="Second Class"/>
    <s v="AB-10255"/>
    <s v="TEC-AC-10003133"/>
    <n v="210"/>
    <n v="24"/>
    <n v="11.428571428571429"/>
    <x v="3"/>
    <s v="Car Clutches"/>
    <s v="INR"/>
    <n v="560035"/>
    <s v="INDIA"/>
    <x v="8"/>
    <m/>
    <n v="13.616"/>
    <n v="2"/>
    <n v="0.2"/>
    <n v="3.5741999999999998"/>
    <n v="5.0209000000000001"/>
    <n v="2"/>
  </r>
  <r>
    <n v="1695"/>
    <s v="WX75"/>
    <d v="2025-08-22T00:00:00"/>
    <x v="7"/>
    <x v="4"/>
    <s v="Second Class"/>
    <s v="PO-19195"/>
    <s v="TEC-AC-10002006"/>
    <n v="230"/>
    <n v="6"/>
    <n v="2.6086956521739131"/>
    <x v="6"/>
    <s v="Educational Robots"/>
    <s v="INR"/>
    <n v="560043"/>
    <s v="INDIA"/>
    <x v="0"/>
    <m/>
    <n v="63.96"/>
    <n v="4"/>
    <n v="0.1"/>
    <n v="19.8276"/>
    <n v="11.033100000000001"/>
    <n v="1"/>
  </r>
  <r>
    <n v="1696"/>
    <s v="YV11"/>
    <d v="2025-08-23T00:00:00"/>
    <x v="7"/>
    <x v="4"/>
    <s v="Second Class"/>
    <s v="PO-19195"/>
    <s v="OFF-BI-10003314"/>
    <n v="110"/>
    <n v="26"/>
    <n v="23.636363636363637"/>
    <x v="7"/>
    <s v="Protein Supplements"/>
    <s v="INR"/>
    <n v="393001"/>
    <s v="INDIA"/>
    <x v="8"/>
    <m/>
    <n v="14.46"/>
    <n v="3"/>
    <n v="0.1"/>
    <n v="7.0853999999999999"/>
    <n v="2.4582000000000002"/>
    <n v="4"/>
  </r>
  <r>
    <n v="1697"/>
    <s v="TU74"/>
    <d v="2025-08-24T00:00:00"/>
    <x v="7"/>
    <x v="4"/>
    <s v="Second Class"/>
    <s v="PO-19195"/>
    <s v="TEC-PH-10002726"/>
    <n v="250"/>
    <n v="12"/>
    <n v="4.8"/>
    <x v="8"/>
    <s v="Pet Beds"/>
    <s v="INR"/>
    <n v="713206"/>
    <s v="INDIA"/>
    <x v="1"/>
    <m/>
    <n v="104.98"/>
    <n v="2"/>
    <n v="0.1"/>
    <n v="52.49"/>
    <n v="26.245000000000001"/>
    <n v="2"/>
  </r>
  <r>
    <n v="1698"/>
    <s v="CW99"/>
    <d v="2025-08-25T00:00:00"/>
    <x v="7"/>
    <x v="4"/>
    <s v="Standard Class"/>
    <s v="AG-10900"/>
    <s v="OFF-AP-10000240"/>
    <n v="120"/>
    <n v="18"/>
    <n v="15"/>
    <x v="2"/>
    <s v="Men’s Coats"/>
    <s v="INR"/>
    <n v="713206"/>
    <s v="INDIA"/>
    <x v="10"/>
    <s v="Easy Ship"/>
    <n v="106.96"/>
    <n v="2"/>
    <n v="0.1"/>
    <n v="31.0184"/>
    <n v="37.970799999999997"/>
    <n v="5"/>
  </r>
  <r>
    <n v="1699"/>
    <s v="KQ13"/>
    <d v="2025-08-26T00:00:00"/>
    <x v="7"/>
    <x v="4"/>
    <s v="Standard Class"/>
    <s v="AG-10900"/>
    <s v="OFF-LA-10002381"/>
    <n v="210"/>
    <n v="8"/>
    <n v="3.8095238095238098"/>
    <x v="4"/>
    <s v="Smart Speakers"/>
    <s v="INR"/>
    <n v="500026"/>
    <s v="INDIA"/>
    <x v="2"/>
    <m/>
    <n v="21.56"/>
    <n v="7"/>
    <n v="0.1"/>
    <n v="10.348800000000001"/>
    <n v="1.6015999999999997"/>
    <n v="1"/>
  </r>
  <r>
    <n v="1700"/>
    <s v="MI49"/>
    <d v="2025-08-27T00:00:00"/>
    <x v="7"/>
    <x v="4"/>
    <s v="Second Class"/>
    <s v="SC-20725"/>
    <s v="FUR-TA-10004086"/>
    <n v="200"/>
    <n v="22"/>
    <n v="11"/>
    <x v="1"/>
    <s v="Ice Hockey Gear"/>
    <s v="INR"/>
    <n v="500026"/>
    <s v="INDIA"/>
    <x v="0"/>
    <m/>
    <n v="515.88"/>
    <n v="6"/>
    <n v="0.1"/>
    <n v="113.4936"/>
    <n v="67.064399999999992"/>
    <n v="1"/>
  </r>
  <r>
    <n v="1701"/>
    <s v="ZZ62"/>
    <d v="2025-08-28T00:00:00"/>
    <x v="7"/>
    <x v="4"/>
    <s v="Second Class"/>
    <s v="ND-18370"/>
    <s v="OFF-BI-10000320"/>
    <n v="150"/>
    <n v="22"/>
    <n v="14.666666666666666"/>
    <x v="0"/>
    <s v="Children’s Adventure Novels"/>
    <s v="INR"/>
    <n v="841438"/>
    <s v="INDIA"/>
    <x v="9"/>
    <m/>
    <n v="11.808"/>
    <n v="2"/>
    <n v="0.2"/>
    <n v="4.2804000000000002"/>
    <n v="3.7637999999999998"/>
    <n v="4"/>
  </r>
  <r>
    <n v="1702"/>
    <s v="HA63"/>
    <d v="2025-08-29T00:00:00"/>
    <x v="7"/>
    <x v="4"/>
    <s v="Second Class"/>
    <s v="ND-18370"/>
    <s v="FUR-CH-10000595"/>
    <n v="110"/>
    <n v="16"/>
    <n v="14.545454545454545"/>
    <x v="5"/>
    <s v="Kitchen Ovens"/>
    <s v="INR"/>
    <n v="689121"/>
    <s v="INDIA"/>
    <x v="8"/>
    <s v="Easy Ship"/>
    <n v="1931.04"/>
    <n v="9"/>
    <n v="0.11"/>
    <n v="321.83999999999997"/>
    <n v="178.8"/>
    <n v="5"/>
  </r>
  <r>
    <n v="1703"/>
    <s v="GR79"/>
    <d v="2025-08-30T00:00:00"/>
    <x v="7"/>
    <x v="4"/>
    <s v="Second Class"/>
    <s v="ND-18370"/>
    <s v="OFF-PA-10000349"/>
    <n v="130"/>
    <n v="26"/>
    <n v="20"/>
    <x v="3"/>
    <s v="Car Fuel Pumps"/>
    <s v="INR"/>
    <n v="670672"/>
    <s v="INDIA"/>
    <x v="19"/>
    <m/>
    <n v="9.9600000000000009"/>
    <n v="2"/>
    <n v="0.1"/>
    <n v="4.6811999999999996"/>
    <n v="2.6394000000000006"/>
    <n v="3"/>
  </r>
  <r>
    <n v="1704"/>
    <s v="TB90"/>
    <d v="2025-08-31T00:00:00"/>
    <x v="7"/>
    <x v="4"/>
    <s v="Standard Class"/>
    <s v="CD-12790"/>
    <s v="OFF-FA-10001843"/>
    <n v="150"/>
    <n v="20"/>
    <n v="13.333333333333334"/>
    <x v="6"/>
    <s v="Board Games"/>
    <s v="INR"/>
    <n v="670672"/>
    <s v="INDIA"/>
    <x v="15"/>
    <m/>
    <n v="12.35"/>
    <n v="5"/>
    <n v="0.1"/>
    <n v="5.8045"/>
    <n v="1.3090999999999999"/>
    <n v="4"/>
  </r>
  <r>
    <n v="1705"/>
    <s v="OQ36"/>
    <d v="2025-09-01T00:00:00"/>
    <x v="8"/>
    <x v="4"/>
    <s v="Same Day"/>
    <s v="PG-18820"/>
    <s v="OFF-BI-10003676"/>
    <n v="210"/>
    <n v="14"/>
    <n v="6.666666666666667"/>
    <x v="7"/>
    <s v="Energy Drinks"/>
    <s v="INR"/>
    <n v="421503"/>
    <s v="INDIA"/>
    <x v="0"/>
    <m/>
    <n v="9.702"/>
    <n v="3"/>
    <n v="0.7"/>
    <n v="-7.1147999999999998"/>
    <n v="5.6055999999999999"/>
    <n v="5"/>
  </r>
  <r>
    <n v="1706"/>
    <s v="VD89"/>
    <d v="2025-09-02T00:00:00"/>
    <x v="8"/>
    <x v="4"/>
    <s v="Standard Class"/>
    <s v="IM-15070"/>
    <s v="OFF-BI-10003638"/>
    <n v="240"/>
    <n v="8"/>
    <n v="3.3333333333333335"/>
    <x v="8"/>
    <s v="Pet Grooming Brushes"/>
    <s v="INR"/>
    <n v="560048"/>
    <s v="INDIA"/>
    <x v="17"/>
    <s v="Easy Ship"/>
    <n v="11.61"/>
    <n v="2"/>
    <n v="0.7"/>
    <n v="-9.2880000000000003"/>
    <n v="10.449"/>
    <n v="5"/>
  </r>
  <r>
    <n v="1707"/>
    <s v="YH85"/>
    <d v="2025-09-03T00:00:00"/>
    <x v="8"/>
    <x v="4"/>
    <s v="Standard Class"/>
    <s v="JK-15205"/>
    <s v="OFF-LA-10003077"/>
    <n v="170"/>
    <n v="10"/>
    <n v="5.8823529411764701"/>
    <x v="2"/>
    <s v="Women’s Sarees"/>
    <s v="INR"/>
    <n v="276128"/>
    <s v="INDIA"/>
    <x v="19"/>
    <m/>
    <n v="43.86"/>
    <n v="6"/>
    <n v="0.1"/>
    <n v="20.6142"/>
    <n v="3.8742999999999999"/>
    <n v="4"/>
  </r>
  <r>
    <n v="1708"/>
    <s v="TQ39"/>
    <d v="2025-09-04T00:00:00"/>
    <x v="8"/>
    <x v="4"/>
    <s v="Standard Class"/>
    <s v="JK-15205"/>
    <s v="TEC-PH-10003505"/>
    <n v="120"/>
    <n v="14"/>
    <n v="11.666666666666666"/>
    <x v="4"/>
    <s v="Smart Tablets"/>
    <s v="INR"/>
    <n v="560068"/>
    <s v="INDIA"/>
    <x v="18"/>
    <m/>
    <n v="148.47999999999999"/>
    <n v="2"/>
    <n v="0.2"/>
    <n v="16.704000000000001"/>
    <n v="65.887999999999991"/>
    <n v="3"/>
  </r>
  <r>
    <n v="1709"/>
    <s v="DX46"/>
    <d v="2025-09-05T00:00:00"/>
    <x v="8"/>
    <x v="4"/>
    <s v="Standard Class"/>
    <s v="JK-15205"/>
    <s v="OFF-PA-10003424"/>
    <n v="230"/>
    <n v="10"/>
    <n v="4.3478260869565215"/>
    <x v="0"/>
    <s v="Medical Journals"/>
    <s v="INR"/>
    <n v="476337"/>
    <s v="INDIA"/>
    <x v="4"/>
    <m/>
    <n v="7.42"/>
    <n v="2"/>
    <n v="0.1"/>
    <n v="3.71"/>
    <n v="1.855"/>
    <n v="2"/>
  </r>
  <r>
    <n v="1710"/>
    <s v="NL82"/>
    <d v="2025-09-06T00:00:00"/>
    <x v="8"/>
    <x v="4"/>
    <s v="Standard Class"/>
    <s v="JK-15205"/>
    <s v="FUR-CH-10003061"/>
    <n v="110"/>
    <n v="14"/>
    <n v="12.727272727272727"/>
    <x v="1"/>
    <s v="Boxing Headgear"/>
    <m/>
    <n v="226006"/>
    <s v="INDIA"/>
    <x v="17"/>
    <m/>
    <n v="71.992000000000004"/>
    <n v="1"/>
    <n v="0.2"/>
    <n v="-0.89990000000000003"/>
    <n v="72.891900000000007"/>
    <n v="1"/>
  </r>
  <r>
    <n v="1711"/>
    <s v="LR75"/>
    <d v="2025-09-07T00:00:00"/>
    <x v="8"/>
    <x v="4"/>
    <s v="Standard Class"/>
    <s v="JK-15205"/>
    <s v="OFF-AR-10003514"/>
    <n v="250"/>
    <n v="12"/>
    <n v="4.8"/>
    <x v="4"/>
    <s v="Smart Doorbells"/>
    <s v="INR"/>
    <n v="411041"/>
    <s v="INDIA"/>
    <x v="5"/>
    <s v="Easy Ship"/>
    <n v="19.899999999999999"/>
    <n v="5"/>
    <n v="0.1"/>
    <n v="6.5670000000000002"/>
    <n v="2.6665999999999999"/>
    <n v="2"/>
  </r>
  <r>
    <n v="1712"/>
    <s v="XF20"/>
    <d v="2025-09-08T00:00:00"/>
    <x v="8"/>
    <x v="4"/>
    <s v="Standard Class"/>
    <s v="JK-15205"/>
    <s v="OFF-AP-10002684"/>
    <n v="230"/>
    <n v="28"/>
    <n v="12.173913043478262"/>
    <x v="2"/>
    <s v="Women’s Kurtis"/>
    <s v="INR"/>
    <n v="682005"/>
    <s v="INDIA"/>
    <x v="4"/>
    <m/>
    <n v="1702.12"/>
    <n v="14"/>
    <n v="0.1"/>
    <n v="510.63600000000002"/>
    <n v="85.105999999999995"/>
    <n v="1"/>
  </r>
  <r>
    <n v="1713"/>
    <s v="RR77"/>
    <d v="2025-09-09T00:00:00"/>
    <x v="8"/>
    <x v="4"/>
    <s v="Standard Class"/>
    <s v="JP-15520"/>
    <s v="OFF-PA-10004405"/>
    <n v="190"/>
    <n v="24"/>
    <n v="12.631578947368421"/>
    <x v="5"/>
    <s v="Kitchen Cabinets"/>
    <s v="INR"/>
    <n v="421501"/>
    <s v="INDIA"/>
    <x v="7"/>
    <m/>
    <n v="14.304"/>
    <n v="6"/>
    <n v="0.2"/>
    <n v="5.0064000000000002"/>
    <n v="1.5495999999999999"/>
    <n v="5"/>
  </r>
  <r>
    <n v="1714"/>
    <s v="NC57"/>
    <d v="2025-09-10T00:00:00"/>
    <x v="8"/>
    <x v="4"/>
    <s v="Second Class"/>
    <s v="MM-18055"/>
    <s v="FUR-TA-10004289"/>
    <n v="230"/>
    <n v="22"/>
    <n v="9.5652173913043477"/>
    <x v="3"/>
    <s v="Car Tyres"/>
    <s v="INR"/>
    <n v="274701"/>
    <s v="INDIA"/>
    <x v="3"/>
    <m/>
    <n v="765.625"/>
    <n v="7"/>
    <n v="0.5"/>
    <n v="-566.5625"/>
    <n v="190.3125"/>
    <n v="4"/>
  </r>
  <r>
    <n v="1715"/>
    <s v="UA93"/>
    <d v="2025-09-11T00:00:00"/>
    <x v="8"/>
    <x v="4"/>
    <s v="Standard Class"/>
    <s v="DC-13285"/>
    <s v="FUR-BO-10003965"/>
    <n v="100"/>
    <n v="26"/>
    <n v="26"/>
    <x v="6"/>
    <s v="Educational Kits"/>
    <s v="INR"/>
    <n v="570023"/>
    <s v="INDIA"/>
    <x v="11"/>
    <s v="Easy Ship"/>
    <n v="307.666"/>
    <n v="2"/>
    <n v="0.15"/>
    <n v="-14.478400000000001"/>
    <n v="161.07220000000001"/>
    <n v="3"/>
  </r>
  <r>
    <n v="1716"/>
    <s v="OF99"/>
    <d v="2025-09-12T00:00:00"/>
    <x v="8"/>
    <x v="4"/>
    <s v="Standard Class"/>
    <s v="JL-15835"/>
    <s v="OFF-BI-10003314"/>
    <n v="230"/>
    <n v="28"/>
    <n v="12.173913043478262"/>
    <x v="7"/>
    <s v="Organic Juices"/>
    <s v="INR"/>
    <n v="686631"/>
    <s v="INDIA"/>
    <x v="3"/>
    <m/>
    <n v="7.7119999999999997"/>
    <n v="2"/>
    <n v="0.2"/>
    <n v="2.7955999999999999"/>
    <n v="2.4581999999999997"/>
    <n v="4"/>
  </r>
  <r>
    <n v="1717"/>
    <s v="RG69"/>
    <d v="2025-09-13T00:00:00"/>
    <x v="8"/>
    <x v="4"/>
    <s v="Standard Class"/>
    <s v="BN-11515"/>
    <s v="OFF-AP-10001563"/>
    <n v="120"/>
    <n v="20"/>
    <n v="16.666666666666664"/>
    <x v="8"/>
    <s v="Pet Vitamins"/>
    <s v="INR"/>
    <n v="600095"/>
    <s v="INDIA"/>
    <x v="0"/>
    <m/>
    <n v="242.9"/>
    <n v="5"/>
    <n v="0.1"/>
    <n v="70.441000000000003"/>
    <n v="34.491799999999998"/>
    <n v="1"/>
  </r>
  <r>
    <n v="1718"/>
    <s v="DO17"/>
    <d v="2025-09-14T00:00:00"/>
    <x v="8"/>
    <x v="4"/>
    <s v="Standard Class"/>
    <s v="BN-11515"/>
    <s v="OFF-ST-10004123"/>
    <n v="190"/>
    <n v="18"/>
    <n v="9.4736842105263168"/>
    <x v="2"/>
    <s v="Men’s Formal Shoes"/>
    <s v="INR"/>
    <n v="110059"/>
    <s v="INDIA"/>
    <x v="8"/>
    <m/>
    <n v="454.9"/>
    <n v="5"/>
    <n v="0.1"/>
    <n v="0.1"/>
    <n v="90.96"/>
    <n v="5"/>
  </r>
  <r>
    <n v="1719"/>
    <s v="GY36"/>
    <d v="2025-09-15T00:00:00"/>
    <x v="8"/>
    <x v="4"/>
    <s v="Standard Class"/>
    <s v="BN-11515"/>
    <s v="FUR-FU-10002088"/>
    <n v="130"/>
    <n v="14"/>
    <n v="10.76923076923077"/>
    <x v="4"/>
    <s v="Smart Cameras"/>
    <s v="INR"/>
    <n v="263139"/>
    <s v="INDIA"/>
    <x v="10"/>
    <m/>
    <n v="35.92"/>
    <n v="4"/>
    <n v="0.1"/>
    <n v="15.086399999999999"/>
    <n v="5.208400000000001"/>
    <n v="3"/>
  </r>
  <r>
    <n v="1720"/>
    <s v="QQ87"/>
    <d v="2025-09-16T00:00:00"/>
    <x v="8"/>
    <x v="4"/>
    <s v="Standard Class"/>
    <s v="BN-11515"/>
    <s v="FUR-FU-10000010"/>
    <n v="100"/>
    <n v="24"/>
    <n v="24"/>
    <x v="1"/>
    <s v="Skating Gear"/>
    <s v="INR"/>
    <n v="575029"/>
    <s v="INDIA"/>
    <x v="19"/>
    <s v="Easy Ship"/>
    <n v="39.76"/>
    <n v="8"/>
    <n v="0.1"/>
    <n v="12.3256"/>
    <n v="3.4292999999999996"/>
    <n v="2"/>
  </r>
  <r>
    <n v="1721"/>
    <s v="HH95"/>
    <d v="2025-09-17T00:00:00"/>
    <x v="8"/>
    <x v="4"/>
    <s v="Standard Class"/>
    <s v="BN-11515"/>
    <s v="OFF-BI-10002824"/>
    <n v="170"/>
    <n v="10"/>
    <n v="5.8823529411764701"/>
    <x v="0"/>
    <s v="Children’s Picture Books"/>
    <s v="INR"/>
    <n v="201304"/>
    <s v="INDIA"/>
    <x v="14"/>
    <s v="Easy Ship"/>
    <n v="47.744"/>
    <n v="4"/>
    <n v="0.2"/>
    <n v="14.92"/>
    <n v="8.2059999999999995"/>
    <n v="5"/>
  </r>
  <r>
    <n v="1722"/>
    <s v="OZ30"/>
    <d v="2025-09-18T00:00:00"/>
    <x v="8"/>
    <x v="4"/>
    <s v="Standard Class"/>
    <s v="KD-16345"/>
    <s v="TEC-PH-10001061"/>
    <n v="240"/>
    <n v="12"/>
    <n v="5"/>
    <x v="5"/>
    <s v="Kitchen Drawers"/>
    <s v="INR"/>
    <n v="700084"/>
    <s v="INDIA"/>
    <x v="7"/>
    <s v="Easy Ship"/>
    <n v="159.98400000000001"/>
    <n v="2"/>
    <n v="0.2"/>
    <n v="11.998799999999999"/>
    <n v="73.99260000000001"/>
    <n v="4"/>
  </r>
  <r>
    <n v="1723"/>
    <s v="NV14"/>
    <d v="2025-09-19T00:00:00"/>
    <x v="8"/>
    <x v="4"/>
    <s v="Standard Class"/>
    <s v="KD-16345"/>
    <s v="TEC-AC-10000736"/>
    <n v="210"/>
    <n v="6"/>
    <n v="2.8571428571428572"/>
    <x v="3"/>
    <s v="Car Covers"/>
    <s v="INR"/>
    <n v="600091"/>
    <s v="INDIA"/>
    <x v="9"/>
    <m/>
    <n v="255.96799999999999"/>
    <n v="4"/>
    <n v="0.2"/>
    <n v="51.193600000000004"/>
    <n v="51.193599999999996"/>
    <n v="3"/>
  </r>
  <r>
    <n v="1724"/>
    <s v="YW34"/>
    <d v="2025-09-20T00:00:00"/>
    <x v="8"/>
    <x v="4"/>
    <s v="Standard Class"/>
    <s v="KD-16345"/>
    <s v="FUR-BO-10003966"/>
    <n v="100"/>
    <n v="12"/>
    <n v="12"/>
    <x v="6"/>
    <s v="Musical Instruments"/>
    <m/>
    <n v="600091"/>
    <s v="INDIA"/>
    <x v="4"/>
    <m/>
    <n v="359.05799999999999"/>
    <n v="3"/>
    <n v="0.3"/>
    <n v="-71.811599999999999"/>
    <n v="143.6232"/>
    <n v="5"/>
  </r>
  <r>
    <n v="1725"/>
    <s v="CY10"/>
    <d v="2025-09-21T00:00:00"/>
    <x v="8"/>
    <x v="4"/>
    <s v="First Class"/>
    <s v="JK-15370"/>
    <s v="OFF-AP-10000828"/>
    <n v="200"/>
    <n v="24"/>
    <n v="12"/>
    <x v="7"/>
    <s v="Instant Noodles"/>
    <s v="INR"/>
    <n v="522007"/>
    <s v="INDIA"/>
    <x v="18"/>
    <m/>
    <n v="434.35199999999998"/>
    <n v="3"/>
    <n v="0.2"/>
    <n v="43.435200000000002"/>
    <n v="130.3056"/>
    <n v="1"/>
  </r>
  <r>
    <n v="1726"/>
    <s v="JH94"/>
    <d v="2025-09-22T00:00:00"/>
    <x v="8"/>
    <x v="4"/>
    <s v="First Class"/>
    <s v="JK-15370"/>
    <s v="OFF-AP-10002906"/>
    <n v="210"/>
    <n v="14"/>
    <n v="6.666666666666667"/>
    <x v="8"/>
    <s v="Pet Collars"/>
    <s v="INR"/>
    <n v="522007"/>
    <s v="INDIA"/>
    <x v="15"/>
    <m/>
    <n v="3.552"/>
    <n v="2"/>
    <n v="0.2"/>
    <n v="0.44400000000000001"/>
    <n v="1.554"/>
    <n v="1"/>
  </r>
  <r>
    <n v="1727"/>
    <s v="QL84"/>
    <d v="2025-09-23T00:00:00"/>
    <x v="8"/>
    <x v="4"/>
    <s v="First Class"/>
    <s v="JK-15370"/>
    <s v="OFF-AP-10003860"/>
    <n v="240"/>
    <n v="22"/>
    <n v="9.1666666666666661"/>
    <x v="2"/>
    <s v="Women’s Sarees"/>
    <s v="INR"/>
    <n v="515001"/>
    <s v="INDIA"/>
    <x v="18"/>
    <m/>
    <n v="88.831999999999994"/>
    <n v="4"/>
    <n v="0.2"/>
    <n v="7.7728000000000002"/>
    <n v="20.264799999999997"/>
    <n v="5"/>
  </r>
  <r>
    <n v="1728"/>
    <s v="HH28"/>
    <d v="2025-09-24T00:00:00"/>
    <x v="8"/>
    <x v="4"/>
    <s v="Second Class"/>
    <s v="FM-14215"/>
    <s v="FUR-TA-10001307"/>
    <n v="210"/>
    <n v="12"/>
    <n v="5.7142857142857144"/>
    <x v="4"/>
    <s v="Smart Speakers"/>
    <s v="INR"/>
    <n v="560016"/>
    <s v="INDIA"/>
    <x v="6"/>
    <m/>
    <n v="1048.3499999999999"/>
    <n v="5"/>
    <n v="0.4"/>
    <n v="-69.89"/>
    <n v="223.648"/>
    <n v="3"/>
  </r>
  <r>
    <n v="1729"/>
    <s v="LO61"/>
    <d v="2025-09-25T00:00:00"/>
    <x v="8"/>
    <x v="4"/>
    <s v="Same Day"/>
    <s v="CA-12265"/>
    <s v="TEC-AC-10003063"/>
    <n v="180"/>
    <n v="14"/>
    <n v="7.7777777777777777"/>
    <x v="0"/>
    <s v="Children’s Encyclopedias"/>
    <s v="INR"/>
    <n v="201306"/>
    <s v="INDIA"/>
    <x v="0"/>
    <s v="Easy Ship"/>
    <n v="100"/>
    <n v="4"/>
    <n v="0.1"/>
    <n v="21"/>
    <n v="19.75"/>
    <n v="4"/>
  </r>
  <r>
    <n v="1730"/>
    <s v="TG28"/>
    <d v="2025-09-26T00:00:00"/>
    <x v="8"/>
    <x v="4"/>
    <s v="Same Day"/>
    <s v="CA-12265"/>
    <s v="OFF-LA-10001045"/>
    <n v="170"/>
    <n v="18"/>
    <n v="10.588235294117647"/>
    <x v="1"/>
    <s v="Football Shoes"/>
    <s v="INR"/>
    <n v="122503"/>
    <s v="INDIA"/>
    <x v="13"/>
    <m/>
    <n v="7.83"/>
    <n v="3"/>
    <n v="0.1"/>
    <n v="3.6017999999999999"/>
    <n v="1.4094"/>
    <n v="1"/>
  </r>
  <r>
    <n v="1731"/>
    <s v="AQ57"/>
    <d v="2025-09-27T00:00:00"/>
    <x v="8"/>
    <x v="4"/>
    <s v="Standard Class"/>
    <s v="KD-16495"/>
    <s v="OFF-PA-10001457"/>
    <n v="110"/>
    <n v="12"/>
    <n v="10.909090909090908"/>
    <x v="4"/>
    <s v="Smart Sensors"/>
    <s v="INR"/>
    <n v="190012"/>
    <s v="INDIA"/>
    <x v="8"/>
    <m/>
    <n v="96.256"/>
    <n v="8"/>
    <n v="0.2"/>
    <n v="31.283200000000001"/>
    <n v="8.1216000000000008"/>
    <n v="1"/>
  </r>
  <r>
    <n v="1732"/>
    <s v="VX22"/>
    <d v="2025-09-28T00:00:00"/>
    <x v="8"/>
    <x v="4"/>
    <s v="Standard Class"/>
    <s v="KD-16495"/>
    <s v="OFF-PA-10001804"/>
    <n v="200"/>
    <n v="14"/>
    <n v="7.0000000000000009"/>
    <x v="2"/>
    <s v="Kids’ Jackets"/>
    <s v="INR"/>
    <n v="390007"/>
    <s v="INDIA"/>
    <x v="12"/>
    <m/>
    <n v="10.688000000000001"/>
    <n v="2"/>
    <n v="0.2"/>
    <n v="3.7408000000000001"/>
    <n v="3.4736000000000002"/>
    <n v="4"/>
  </r>
  <r>
    <n v="1733"/>
    <s v="UD98"/>
    <d v="2025-09-29T00:00:00"/>
    <x v="8"/>
    <x v="4"/>
    <s v="Standard Class"/>
    <s v="LH-17155"/>
    <s v="OFF-ST-10000689"/>
    <n v="110"/>
    <n v="22"/>
    <n v="20"/>
    <x v="5"/>
    <s v="Kitchen Shelves"/>
    <s v="INR"/>
    <n v="721657"/>
    <s v="INDIA"/>
    <x v="5"/>
    <s v="Easy Ship"/>
    <n v="338.04"/>
    <n v="3"/>
    <n v="0.2"/>
    <n v="-33.804000000000002"/>
    <n v="123.94800000000002"/>
    <n v="2"/>
  </r>
  <r>
    <n v="1734"/>
    <s v="YU84"/>
    <d v="2025-09-30T00:00:00"/>
    <x v="8"/>
    <x v="4"/>
    <s v="Standard Class"/>
    <s v="LH-17155"/>
    <s v="OFF-AR-10002135"/>
    <n v="110"/>
    <n v="20"/>
    <n v="18.181818181818183"/>
    <x v="3"/>
    <s v="Car Oils"/>
    <s v="INR"/>
    <n v="400063"/>
    <s v="INDIA"/>
    <x v="17"/>
    <m/>
    <n v="154.24"/>
    <n v="4"/>
    <n v="0.2"/>
    <n v="17.352"/>
    <n v="34.222000000000001"/>
    <n v="2"/>
  </r>
  <r>
    <n v="1735"/>
    <s v="YW47"/>
    <d v="2025-10-01T00:00:00"/>
    <x v="9"/>
    <x v="4"/>
    <s v="Second Class"/>
    <s v="AG-10675"/>
    <s v="OFF-AP-10002082"/>
    <n v="190"/>
    <n v="26"/>
    <n v="13.684210526315791"/>
    <x v="6"/>
    <s v="Board Games"/>
    <m/>
    <n v="670672"/>
    <s v="INDIA"/>
    <x v="0"/>
    <m/>
    <n v="34.847999999999999"/>
    <n v="2"/>
    <n v="0.2"/>
    <n v="6.5339999999999998"/>
    <n v="14.157"/>
    <n v="2"/>
  </r>
  <r>
    <n v="1736"/>
    <s v="XJ33"/>
    <d v="2025-10-02T00:00:00"/>
    <x v="9"/>
    <x v="4"/>
    <s v="Second Class"/>
    <s v="AG-10675"/>
    <s v="TEC-PH-10003442"/>
    <n v="230"/>
    <n v="14"/>
    <n v="6.0869565217391308"/>
    <x v="7"/>
    <s v="Packaged Snacks"/>
    <s v="INR"/>
    <n v="411015"/>
    <s v="INDIA"/>
    <x v="0"/>
    <s v="Easy Ship"/>
    <n v="22"/>
    <n v="5"/>
    <n v="0.2"/>
    <n v="1.375"/>
    <n v="4.125"/>
    <n v="5"/>
  </r>
  <r>
    <n v="1737"/>
    <s v="SE89"/>
    <d v="2025-10-03T00:00:00"/>
    <x v="9"/>
    <x v="4"/>
    <s v="Second Class"/>
    <s v="AG-10675"/>
    <s v="OFF-AR-10002833"/>
    <n v="250"/>
    <n v="8"/>
    <n v="3.2"/>
    <x v="8"/>
    <s v="Pet Brushes"/>
    <s v="INR"/>
    <n v="577205"/>
    <s v="INDIA"/>
    <x v="6"/>
    <s v="Easy Ship"/>
    <n v="4.3680000000000003"/>
    <n v="3"/>
    <n v="0.2"/>
    <n v="0.38219999999999998"/>
    <n v="1.3286"/>
    <n v="1"/>
  </r>
  <r>
    <n v="1738"/>
    <s v="IQ87"/>
    <d v="2025-10-04T00:00:00"/>
    <x v="9"/>
    <x v="4"/>
    <s v="Standard Class"/>
    <s v="DB-13120"/>
    <s v="OFF-ST-10001325"/>
    <n v="180"/>
    <n v="12"/>
    <n v="6.666666666666667"/>
    <x v="2"/>
    <s v="Men’s Jeans"/>
    <s v="INR"/>
    <n v="228001"/>
    <s v="INDIA"/>
    <x v="5"/>
    <m/>
    <n v="31.44"/>
    <n v="3"/>
    <n v="0.1"/>
    <n v="8.4887999999999995"/>
    <n v="7.6504000000000003"/>
    <n v="5"/>
  </r>
  <r>
    <n v="1739"/>
    <s v="PO84"/>
    <d v="2025-10-05T00:00:00"/>
    <x v="9"/>
    <x v="4"/>
    <s v="Standard Class"/>
    <s v="DB-13120"/>
    <s v="TEC-AC-10003038"/>
    <n v="200"/>
    <n v="24"/>
    <n v="12"/>
    <x v="4"/>
    <s v="Smart TVs"/>
    <s v="INR"/>
    <n v="700028"/>
    <s v="INDIA"/>
    <x v="5"/>
    <s v="Easy Ship"/>
    <n v="17.899999999999999"/>
    <n v="2"/>
    <n v="0.1"/>
    <n v="3.4009999999999998"/>
    <n v="7.2494999999999994"/>
    <n v="5"/>
  </r>
  <r>
    <n v="1740"/>
    <s v="DA39"/>
    <d v="2025-10-06T00:00:00"/>
    <x v="9"/>
    <x v="4"/>
    <s v="Standard Class"/>
    <s v="DB-13120"/>
    <s v="TEC-AC-10003590"/>
    <n v="140"/>
    <n v="20"/>
    <n v="14.285714285714285"/>
    <x v="1"/>
    <s v="Cricket Bats"/>
    <s v="INR"/>
    <n v="700028"/>
    <s v="INDIA"/>
    <x v="5"/>
    <m/>
    <n v="129.44999999999999"/>
    <n v="5"/>
    <n v="0.1"/>
    <n v="46.601999999999997"/>
    <n v="16.569599999999998"/>
    <n v="4"/>
  </r>
  <r>
    <n v="1741"/>
    <s v="GK85"/>
    <d v="2025-10-07T00:00:00"/>
    <x v="9"/>
    <x v="4"/>
    <s v="Standard Class"/>
    <s v="ED-13885"/>
    <s v="OFF-LA-10000262"/>
    <n v="130"/>
    <n v="18"/>
    <n v="13.846153846153847"/>
    <x v="0"/>
    <s v="Children’s Novels"/>
    <s v="INR"/>
    <n v="517123"/>
    <s v="INDIA"/>
    <x v="14"/>
    <m/>
    <n v="20.88"/>
    <n v="8"/>
    <n v="0.1"/>
    <n v="9.6047999999999991"/>
    <n v="1.4094"/>
    <n v="4"/>
  </r>
  <r>
    <n v="1742"/>
    <s v="GA59"/>
    <d v="2025-10-08T00:00:00"/>
    <x v="9"/>
    <x v="4"/>
    <s v="Standard Class"/>
    <s v="MC-18100"/>
    <s v="OFF-PA-10004355"/>
    <n v="220"/>
    <n v="14"/>
    <n v="6.3636363636363633"/>
    <x v="5"/>
    <s v="Kitchen Towels"/>
    <s v="INR"/>
    <n v="603103"/>
    <s v="INDIA"/>
    <x v="9"/>
    <m/>
    <n v="20.736000000000001"/>
    <n v="4"/>
    <n v="0.2"/>
    <n v="7.2576000000000001"/>
    <n v="3.3696000000000002"/>
    <n v="5"/>
  </r>
  <r>
    <n v="1743"/>
    <s v="JT49"/>
    <d v="2025-10-09T00:00:00"/>
    <x v="9"/>
    <x v="4"/>
    <s v="Standard Class"/>
    <s v="MC-18100"/>
    <s v="FUR-FU-10004415"/>
    <n v="190"/>
    <n v="22"/>
    <n v="11.578947368421053"/>
    <x v="3"/>
    <s v="Car Batteries"/>
    <s v="INR"/>
    <n v="682039"/>
    <s v="INDIA"/>
    <x v="6"/>
    <m/>
    <n v="7.1680000000000001"/>
    <n v="2"/>
    <n v="0.2"/>
    <n v="0.98560000000000003"/>
    <n v="3.0912000000000002"/>
    <n v="1"/>
  </r>
  <r>
    <n v="1744"/>
    <s v="CT66"/>
    <d v="2025-10-10T00:00:00"/>
    <x v="9"/>
    <x v="4"/>
    <s v="Standard Class"/>
    <s v="MC-18100"/>
    <s v="OFF-ST-10002486"/>
    <n v="160"/>
    <n v="16"/>
    <n v="10"/>
    <x v="6"/>
    <s v="Learning Toys"/>
    <s v="INR"/>
    <n v="560079"/>
    <s v="INDIA"/>
    <x v="12"/>
    <s v="Easy Ship"/>
    <n v="11.167999999999999"/>
    <n v="2"/>
    <n v="0.2"/>
    <n v="-2.5127999999999999"/>
    <n v="6.8403999999999998"/>
    <n v="4"/>
  </r>
  <r>
    <n v="1745"/>
    <s v="HX85"/>
    <d v="2025-10-11T00:00:00"/>
    <x v="9"/>
    <x v="4"/>
    <s v="Standard Class"/>
    <s v="MC-18100"/>
    <s v="TEC-AC-10001142"/>
    <n v="170"/>
    <n v="14"/>
    <n v="8.235294117647058"/>
    <x v="7"/>
    <s v="Energy Drinks"/>
    <s v="INR"/>
    <n v="560079"/>
    <s v="INDIA"/>
    <x v="15"/>
    <m/>
    <n v="442.4"/>
    <n v="7"/>
    <n v="0.2"/>
    <n v="-55.3"/>
    <n v="71.099999999999994"/>
    <n v="1"/>
  </r>
  <r>
    <n v="1746"/>
    <s v="MX30"/>
    <d v="2025-10-12T00:00:00"/>
    <x v="9"/>
    <x v="4"/>
    <s v="First Class"/>
    <s v="BM-11785"/>
    <s v="OFF-AR-10002656"/>
    <n v="120"/>
    <n v="12"/>
    <n v="10"/>
    <x v="8"/>
    <s v="Pet Grooming Kits"/>
    <s v="INR"/>
    <n v="202001"/>
    <s v="INDIA"/>
    <x v="16"/>
    <s v="Easy Ship"/>
    <n v="13.36"/>
    <n v="2"/>
    <n v="0.1"/>
    <n v="4.9432"/>
    <n v="4.2083999999999993"/>
    <n v="3"/>
  </r>
  <r>
    <n v="1747"/>
    <s v="JG72"/>
    <d v="2025-10-13T00:00:00"/>
    <x v="9"/>
    <x v="4"/>
    <s v="Second Class"/>
    <s v="EM-14065"/>
    <s v="OFF-BI-10000138"/>
    <n v="170"/>
    <n v="24"/>
    <n v="14.117647058823529"/>
    <x v="2"/>
    <s v="Women’s Jewelry"/>
    <s v="INR"/>
    <n v="202001"/>
    <s v="INDIA"/>
    <x v="4"/>
    <s v="Easy Ship"/>
    <n v="11.231999999999999"/>
    <n v="8"/>
    <n v="0.7"/>
    <n v="-8.2368000000000006"/>
    <n v="2.4336000000000002"/>
    <n v="2"/>
  </r>
  <r>
    <n v="1748"/>
    <s v="BW57"/>
    <d v="2025-10-14T00:00:00"/>
    <x v="9"/>
    <x v="4"/>
    <s v="Second Class"/>
    <s v="EM-14065"/>
    <s v="OFF-PA-10004947"/>
    <n v="240"/>
    <n v="12"/>
    <n v="5"/>
    <x v="4"/>
    <s v="Smart Tablets"/>
    <s v="INR"/>
    <n v="380015"/>
    <s v="INDIA"/>
    <x v="3"/>
    <s v="Easy Ship"/>
    <n v="10.272"/>
    <n v="3"/>
    <n v="0.2"/>
    <n v="3.21"/>
    <n v="2.3540000000000001"/>
    <n v="1"/>
  </r>
  <r>
    <n v="1749"/>
    <s v="OP73"/>
    <d v="2025-10-15T00:00:00"/>
    <x v="9"/>
    <x v="4"/>
    <s v="Standard Class"/>
    <s v="DA-13450"/>
    <s v="OFF-PA-10003543"/>
    <n v="190"/>
    <n v="6"/>
    <n v="3.1578947368421053"/>
    <x v="0"/>
    <s v="Children’s Comics"/>
    <s v="INR"/>
    <n v="380015"/>
    <s v="INDIA"/>
    <x v="10"/>
    <m/>
    <n v="10.368"/>
    <n v="2"/>
    <n v="0.2"/>
    <n v="3.6288"/>
    <n v="3.3696000000000002"/>
    <n v="2"/>
  </r>
  <r>
    <n v="1750"/>
    <s v="HV48"/>
    <d v="2025-10-16T00:00:00"/>
    <x v="9"/>
    <x v="4"/>
    <s v="Standard Class"/>
    <s v="DA-13450"/>
    <s v="OFF-AR-10002221"/>
    <n v="240"/>
    <n v="12"/>
    <n v="5"/>
    <x v="1"/>
    <s v="Table Tennis Rackets"/>
    <s v="INR"/>
    <n v="380015"/>
    <s v="INDIA"/>
    <x v="6"/>
    <m/>
    <n v="6.24"/>
    <n v="3"/>
    <n v="0.2"/>
    <n v="0.54600000000000004"/>
    <n v="1.8979999999999999"/>
    <n v="5"/>
  </r>
  <r>
    <n v="1751"/>
    <s v="BB51"/>
    <d v="2025-10-17T00:00:00"/>
    <x v="9"/>
    <x v="4"/>
    <s v="Standard Class"/>
    <s v="MO-17800"/>
    <s v="FUR-TA-10004607"/>
    <n v="120"/>
    <n v="30"/>
    <n v="25"/>
    <x v="4"/>
    <s v="Smart Plugs"/>
    <s v="INR"/>
    <n v="380015"/>
    <s v="INDIA"/>
    <x v="13"/>
    <m/>
    <n v="206.96199999999999"/>
    <n v="2"/>
    <n v="0.3"/>
    <n v="-32.522599999999997"/>
    <n v="119.7423"/>
    <n v="4"/>
  </r>
  <r>
    <n v="1752"/>
    <s v="XY65"/>
    <d v="2025-10-18T00:00:00"/>
    <x v="9"/>
    <x v="4"/>
    <s v="First Class"/>
    <s v="JW-15955"/>
    <s v="FUR-FU-10001918"/>
    <n v="220"/>
    <n v="30"/>
    <n v="13.636363636363635"/>
    <x v="2"/>
    <s v="Women’s Flats"/>
    <s v="INR"/>
    <n v="560043"/>
    <s v="INDIA"/>
    <x v="18"/>
    <m/>
    <n v="9.4600000000000009"/>
    <n v="2"/>
    <n v="0.1"/>
    <n v="3.6894"/>
    <n v="2.8853000000000004"/>
    <n v="2"/>
  </r>
  <r>
    <n v="1753"/>
    <s v="TF98"/>
    <d v="2025-10-19T00:00:00"/>
    <x v="9"/>
    <x v="4"/>
    <s v="First Class"/>
    <s v="VW-21775"/>
    <s v="OFF-ST-10004340"/>
    <n v="220"/>
    <n v="20"/>
    <n v="9.0909090909090917"/>
    <x v="5"/>
    <s v="Kitchen Mats"/>
    <s v="INR"/>
    <n v="844114"/>
    <s v="INDIA"/>
    <x v="14"/>
    <m/>
    <n v="559.62"/>
    <n v="9"/>
    <n v="0.1"/>
    <n v="151.09739999999999"/>
    <n v="45.391400000000004"/>
    <n v="3"/>
  </r>
  <r>
    <n v="1754"/>
    <s v="RU75"/>
    <d v="2025-10-20T00:00:00"/>
    <x v="9"/>
    <x v="4"/>
    <s v="First Class"/>
    <s v="VW-21775"/>
    <s v="OFF-PA-10004475"/>
    <n v="240"/>
    <n v="22"/>
    <n v="9.1666666666666661"/>
    <x v="3"/>
    <s v="Car Lights"/>
    <s v="INR"/>
    <n v="700028"/>
    <s v="INDIA"/>
    <x v="6"/>
    <m/>
    <n v="109.92"/>
    <n v="2"/>
    <n v="0.1"/>
    <n v="53.860799999999998"/>
    <n v="28.029600000000002"/>
    <n v="3"/>
  </r>
  <r>
    <n v="1755"/>
    <s v="TR37"/>
    <d v="2025-10-21T00:00:00"/>
    <x v="9"/>
    <x v="4"/>
    <s v="First Class"/>
    <s v="VW-21775"/>
    <s v="OFF-PA-10003893"/>
    <n v="220"/>
    <n v="28"/>
    <n v="12.727272727272727"/>
    <x v="6"/>
    <s v="Playhouses"/>
    <s v="INR"/>
    <n v="500072"/>
    <s v="INDIA"/>
    <x v="2"/>
    <m/>
    <n v="8.56"/>
    <n v="2"/>
    <n v="0.1"/>
    <n v="3.8519999999999999"/>
    <n v="2.3540000000000001"/>
    <n v="1"/>
  </r>
  <r>
    <n v="1756"/>
    <s v="AX81"/>
    <d v="2025-10-22T00:00:00"/>
    <x v="9"/>
    <x v="4"/>
    <s v="Second Class"/>
    <s v="TT-21460"/>
    <s v="OFF-PA-10000100"/>
    <n v="190"/>
    <n v="14"/>
    <n v="7.3684210526315779"/>
    <x v="7"/>
    <s v="Protein Powders"/>
    <s v="INR"/>
    <n v="500072"/>
    <s v="INDIA"/>
    <x v="0"/>
    <s v="Easy Ship"/>
    <n v="360.71199999999999"/>
    <n v="11"/>
    <n v="0.2"/>
    <n v="130.75810000000001"/>
    <n v="20.904899999999998"/>
    <n v="1"/>
  </r>
  <r>
    <n v="1757"/>
    <s v="FM70"/>
    <d v="2025-10-23T00:00:00"/>
    <x v="9"/>
    <x v="4"/>
    <s v="Second Class"/>
    <s v="TT-21460"/>
    <s v="TEC-PH-10001817"/>
    <n v="100"/>
    <n v="12"/>
    <n v="12"/>
    <x v="8"/>
    <s v="Pet Chew Toys"/>
    <s v="INR"/>
    <n v="560048"/>
    <s v="INDIA"/>
    <x v="11"/>
    <m/>
    <n v="1718.4"/>
    <n v="6"/>
    <n v="0.2"/>
    <n v="150.36000000000001"/>
    <n v="261.33999999999997"/>
    <n v="3"/>
  </r>
  <r>
    <n v="1758"/>
    <s v="FM11"/>
    <d v="2025-10-24T00:00:00"/>
    <x v="9"/>
    <x v="4"/>
    <s v="First Class"/>
    <s v="SL-20155"/>
    <s v="OFF-BI-10001765"/>
    <n v="110"/>
    <n v="20"/>
    <n v="18.181818181818183"/>
    <x v="2"/>
    <s v="Kids’ Accessories"/>
    <s v="INR"/>
    <n v="411014"/>
    <s v="INDIA"/>
    <x v="19"/>
    <m/>
    <n v="41.567999999999998"/>
    <n v="6"/>
    <n v="0.8"/>
    <n v="-66.508799999999994"/>
    <n v="18.012799999999999"/>
    <n v="4"/>
  </r>
  <r>
    <n v="1759"/>
    <s v="SH89"/>
    <d v="2025-10-25T00:00:00"/>
    <x v="9"/>
    <x v="4"/>
    <s v="Standard Class"/>
    <s v="RM-19375"/>
    <s v="TEC-AC-10001013"/>
    <n v="100"/>
    <n v="26"/>
    <n v="26"/>
    <x v="4"/>
    <s v="Smart Watches"/>
    <s v="INR"/>
    <n v="226012"/>
    <s v="INDIA"/>
    <x v="18"/>
    <m/>
    <n v="46.863999999999997"/>
    <n v="2"/>
    <n v="0.2"/>
    <n v="7.6154000000000002"/>
    <n v="19.624299999999998"/>
    <n v="5"/>
  </r>
  <r>
    <n v="1760"/>
    <s v="SU83"/>
    <d v="2025-10-26T00:00:00"/>
    <x v="9"/>
    <x v="4"/>
    <s v="Standard Class"/>
    <s v="MB-18085"/>
    <s v="OFF-AR-10003478"/>
    <n v="220"/>
    <n v="14"/>
    <n v="6.3636363636363633"/>
    <x v="0"/>
    <s v="Children’s Poetry"/>
    <s v="INR"/>
    <n v="700053"/>
    <s v="INDIA"/>
    <x v="6"/>
    <s v="Easy Ship"/>
    <n v="19.536000000000001"/>
    <n v="3"/>
    <n v="0.2"/>
    <n v="4.8840000000000003"/>
    <n v="4.8840000000000003"/>
    <n v="3"/>
  </r>
  <r>
    <n v="1761"/>
    <s v="OW70"/>
    <d v="2025-10-27T00:00:00"/>
    <x v="9"/>
    <x v="4"/>
    <s v="Standard Class"/>
    <s v="AG-10900"/>
    <s v="FUR-BO-10000330"/>
    <n v="190"/>
    <n v="20"/>
    <n v="10.526315789473683"/>
    <x v="1"/>
    <s v="Swimming Gear"/>
    <s v="INR"/>
    <n v="416008"/>
    <s v="INDIA"/>
    <x v="19"/>
    <m/>
    <n v="411.33199999999999"/>
    <n v="4"/>
    <n v="0.15"/>
    <n v="-4.8391999999999999"/>
    <n v="104.0428"/>
    <n v="1"/>
  </r>
  <r>
    <n v="1762"/>
    <s v="OQ15"/>
    <d v="2025-10-28T00:00:00"/>
    <x v="9"/>
    <x v="4"/>
    <s v="Standard Class"/>
    <s v="AG-10900"/>
    <s v="OFF-BI-10001900"/>
    <n v="210"/>
    <n v="8"/>
    <n v="3.8095238095238098"/>
    <x v="4"/>
    <s v="Smart Routers"/>
    <s v="INR"/>
    <n v="110065"/>
    <s v="INDIA"/>
    <x v="18"/>
    <s v="Easy Ship"/>
    <n v="28.751999999999999"/>
    <n v="6"/>
    <n v="0.2"/>
    <n v="9.7037999999999993"/>
    <n v="3.1747000000000001"/>
    <n v="3"/>
  </r>
  <r>
    <n v="1763"/>
    <s v="LX57"/>
    <d v="2025-10-29T00:00:00"/>
    <x v="9"/>
    <x v="4"/>
    <s v="Standard Class"/>
    <s v="AG-10900"/>
    <s v="FUR-BO-10003159"/>
    <n v="140"/>
    <n v="30"/>
    <n v="21.428571428571427"/>
    <x v="2"/>
    <s v="Men’s Belts"/>
    <s v="INR"/>
    <n v="700023"/>
    <s v="INDIA"/>
    <x v="7"/>
    <s v="Easy Ship"/>
    <n v="293.19900000000001"/>
    <n v="3"/>
    <n v="0.15"/>
    <n v="-20.696400000000001"/>
    <n v="104.6318"/>
    <n v="5"/>
  </r>
  <r>
    <n v="1764"/>
    <s v="HI74"/>
    <d v="2025-10-30T00:00:00"/>
    <x v="9"/>
    <x v="4"/>
    <s v="Standard Class"/>
    <s v="ML-17755"/>
    <s v="OFF-SU-10002573"/>
    <n v="150"/>
    <n v="14"/>
    <n v="9.3333333333333339"/>
    <x v="5"/>
    <s v="Kitchen Trays"/>
    <s v="INR"/>
    <n v="226002"/>
    <s v="INDIA"/>
    <x v="0"/>
    <m/>
    <n v="35.06"/>
    <n v="2"/>
    <n v="0.1"/>
    <n v="10.518000000000001"/>
    <n v="12.271000000000001"/>
    <n v="1"/>
  </r>
  <r>
    <n v="1765"/>
    <s v="FP54"/>
    <d v="2025-10-31T00:00:00"/>
    <x v="9"/>
    <x v="4"/>
    <s v="Standard Class"/>
    <s v="ML-17755"/>
    <s v="OFF-LA-10004484"/>
    <n v="170"/>
    <n v="12"/>
    <n v="7.0588235294117645"/>
    <x v="3"/>
    <s v="Car Mirrors"/>
    <s v="INR"/>
    <n v="412101"/>
    <s v="INDIA"/>
    <x v="0"/>
    <m/>
    <n v="4.13"/>
    <n v="1"/>
    <n v="0.1"/>
    <n v="1.8997999999999999"/>
    <n v="2.2302"/>
    <n v="5"/>
  </r>
  <r>
    <n v="1766"/>
    <s v="RA88"/>
    <d v="2025-11-01T00:00:00"/>
    <x v="10"/>
    <x v="4"/>
    <s v="Standard Class"/>
    <s v="ML-17755"/>
    <s v="FUR-FU-10001591"/>
    <n v="210"/>
    <n v="22"/>
    <n v="10.476190476190476"/>
    <x v="6"/>
    <s v="Board Puzzles"/>
    <s v="INR"/>
    <n v="411033"/>
    <s v="INDIA"/>
    <x v="15"/>
    <m/>
    <n v="109.8"/>
    <n v="9"/>
    <n v="0.1"/>
    <n v="46.116"/>
    <n v="7.0759999999999996"/>
    <n v="4"/>
  </r>
  <r>
    <n v="1767"/>
    <s v="FC78"/>
    <d v="2025-11-02T00:00:00"/>
    <x v="10"/>
    <x v="4"/>
    <s v="Standard Class"/>
    <s v="ML-17755"/>
    <s v="OFF-LA-10002034"/>
    <n v="170"/>
    <n v="8"/>
    <n v="4.7058823529411766"/>
    <x v="7"/>
    <s v="Herbal Teas"/>
    <s v="INR"/>
    <n v="474006"/>
    <s v="INDIA"/>
    <x v="3"/>
    <s v="Easy Ship"/>
    <n v="9.82"/>
    <n v="2"/>
    <n v="0.1"/>
    <n v="4.8117999999999999"/>
    <n v="2.5041000000000002"/>
    <n v="3"/>
  </r>
  <r>
    <n v="1768"/>
    <s v="TW83"/>
    <d v="2025-11-03T00:00:00"/>
    <x v="10"/>
    <x v="4"/>
    <s v="Standard Class"/>
    <s v="CC-12685"/>
    <s v="OFF-BI-10004410"/>
    <n v="180"/>
    <n v="8"/>
    <n v="4.4444444444444446"/>
    <x v="8"/>
    <s v="Pet Beds"/>
    <s v="INR"/>
    <n v="411033"/>
    <s v="INDIA"/>
    <x v="4"/>
    <m/>
    <n v="7.6440000000000001"/>
    <n v="4"/>
    <n v="0.7"/>
    <n v="-5.8604000000000003"/>
    <n v="3.3761000000000001"/>
    <n v="3"/>
  </r>
  <r>
    <n v="1769"/>
    <s v="KN44"/>
    <d v="2025-11-04T00:00:00"/>
    <x v="10"/>
    <x v="4"/>
    <s v="Standard Class"/>
    <s v="CC-12685"/>
    <s v="OFF-BI-10002735"/>
    <n v="140"/>
    <n v="6"/>
    <n v="4.2857142857142856"/>
    <x v="2"/>
    <s v="Women’s Skirts"/>
    <s v="INR"/>
    <n v="590016"/>
    <s v="INDIA"/>
    <x v="10"/>
    <m/>
    <n v="51.465000000000003"/>
    <n v="5"/>
    <n v="0.7"/>
    <n v="-39.456499999999998"/>
    <n v="18.1843"/>
    <n v="5"/>
  </r>
  <r>
    <n v="1770"/>
    <s v="QG26"/>
    <d v="2025-11-05T00:00:00"/>
    <x v="10"/>
    <x v="4"/>
    <s v="Standard Class"/>
    <s v="SC-20770"/>
    <s v="OFF-SU-10001935"/>
    <n v="170"/>
    <n v="20"/>
    <n v="11.76470588235294"/>
    <x v="4"/>
    <s v="Smart Displays"/>
    <s v="INR"/>
    <n v="700028"/>
    <s v="INDIA"/>
    <x v="0"/>
    <m/>
    <n v="6.976"/>
    <n v="4"/>
    <n v="0.2"/>
    <n v="-1.3952"/>
    <n v="2.0928"/>
    <n v="3"/>
  </r>
  <r>
    <n v="1771"/>
    <s v="GJ85"/>
    <d v="2025-11-06T00:00:00"/>
    <x v="10"/>
    <x v="4"/>
    <s v="Standard Class"/>
    <s v="SC-20770"/>
    <s v="OFF-BI-10003291"/>
    <n v="180"/>
    <n v="28"/>
    <n v="15.555555555555555"/>
    <x v="0"/>
    <s v="Children’s Activity Books"/>
    <s v="INR"/>
    <n v="700028"/>
    <s v="INDIA"/>
    <x v="18"/>
    <s v="Easy Ship"/>
    <n v="12.222"/>
    <n v="7"/>
    <n v="0.8"/>
    <n v="-20.1663"/>
    <n v="4.6269"/>
    <n v="1"/>
  </r>
  <r>
    <n v="1772"/>
    <s v="EY10"/>
    <d v="2025-11-07T00:00:00"/>
    <x v="10"/>
    <x v="4"/>
    <s v="Second Class"/>
    <s v="GG-14650"/>
    <s v="OFF-ST-10004337"/>
    <n v="120"/>
    <n v="10"/>
    <n v="8.3333333333333321"/>
    <x v="1"/>
    <s v="Rowing Machines"/>
    <s v="INR"/>
    <n v="401107"/>
    <s v="INDIA"/>
    <x v="7"/>
    <m/>
    <n v="97.983999999999995"/>
    <n v="2"/>
    <n v="0.2"/>
    <n v="-24.495999999999999"/>
    <n v="61.239999999999995"/>
    <n v="5"/>
  </r>
  <r>
    <n v="1773"/>
    <s v="KE49"/>
    <d v="2025-11-08T00:00:00"/>
    <x v="10"/>
    <x v="4"/>
    <s v="Second Class"/>
    <s v="GG-14650"/>
    <s v="TEC-AC-10001266"/>
    <n v="220"/>
    <n v="6"/>
    <n v="2.7272727272727271"/>
    <x v="4"/>
    <s v="Smart Remotes"/>
    <s v="INR"/>
    <n v="532001"/>
    <s v="INDIA"/>
    <x v="10"/>
    <m/>
    <n v="62.4"/>
    <n v="6"/>
    <n v="0.2"/>
    <n v="19.5"/>
    <n v="7.1499999999999995"/>
    <n v="3"/>
  </r>
  <r>
    <n v="1774"/>
    <s v="TI54"/>
    <d v="2025-11-09T00:00:00"/>
    <x v="10"/>
    <x v="4"/>
    <s v="Standard Class"/>
    <s v="MY-18295"/>
    <s v="OFF-BI-10001628"/>
    <n v="220"/>
    <n v="8"/>
    <n v="3.6363636363636362"/>
    <x v="2"/>
    <s v="Men’s Jackets"/>
    <s v="INR"/>
    <n v="400614"/>
    <s v="INDIA"/>
    <x v="7"/>
    <m/>
    <n v="20.86"/>
    <n v="2"/>
    <n v="0.1"/>
    <n v="9.3870000000000005"/>
    <n v="5.7364999999999995"/>
    <n v="4"/>
  </r>
  <r>
    <n v="1775"/>
    <s v="QT16"/>
    <d v="2025-11-10T00:00:00"/>
    <x v="10"/>
    <x v="4"/>
    <s v="Standard Class"/>
    <s v="MY-18295"/>
    <s v="OFF-ST-10000877"/>
    <n v="230"/>
    <n v="6"/>
    <n v="2.6086956521739131"/>
    <x v="5"/>
    <s v="Kitchen Organizers"/>
    <s v="INR"/>
    <n v="641025"/>
    <s v="INDIA"/>
    <x v="0"/>
    <m/>
    <n v="497.61"/>
    <n v="9"/>
    <n v="0.1"/>
    <n v="129.37860000000001"/>
    <n v="40.9146"/>
    <n v="2"/>
  </r>
  <r>
    <n v="1776"/>
    <s v="QE27"/>
    <d v="2025-11-11T00:00:00"/>
    <x v="10"/>
    <x v="4"/>
    <s v="Standard Class"/>
    <s v="MY-18295"/>
    <s v="OFF-AR-10004752"/>
    <n v="170"/>
    <n v="6"/>
    <n v="3.5294117647058822"/>
    <x v="3"/>
    <s v="Car Wipers"/>
    <s v="INR"/>
    <n v="570017"/>
    <s v="INDIA"/>
    <x v="0"/>
    <m/>
    <n v="5.34"/>
    <n v="2"/>
    <n v="0.1"/>
    <n v="1.4952000000000001"/>
    <n v="1.9223999999999999"/>
    <n v="1"/>
  </r>
  <r>
    <n v="1777"/>
    <s v="BN75"/>
    <d v="2025-11-12T00:00:00"/>
    <x v="10"/>
    <x v="4"/>
    <s v="Standard Class"/>
    <s v="MY-18295"/>
    <s v="OFF-LA-10000452"/>
    <n v="210"/>
    <n v="30"/>
    <n v="14.285714285714285"/>
    <x v="6"/>
    <s v="Play Kitchens"/>
    <s v="INR"/>
    <n v="570017"/>
    <s v="INDIA"/>
    <x v="18"/>
    <s v="Easy Ship"/>
    <n v="3.15"/>
    <n v="1"/>
    <n v="0.1"/>
    <n v="1.512"/>
    <n v="1.6379999999999999"/>
    <n v="4"/>
  </r>
  <r>
    <n v="1778"/>
    <s v="YC29"/>
    <d v="2025-11-13T00:00:00"/>
    <x v="10"/>
    <x v="4"/>
    <s v="Standard Class"/>
    <s v="DP-13000"/>
    <s v="OFF-PA-10000675"/>
    <n v="170"/>
    <n v="10"/>
    <n v="5.8823529411764701"/>
    <x v="7"/>
    <s v="Protein Bars"/>
    <s v="INR"/>
    <n v="411001"/>
    <s v="INDIA"/>
    <x v="3"/>
    <s v="Easy Ship"/>
    <n v="368.91"/>
    <n v="9"/>
    <n v="0.1"/>
    <n v="180.76589999999999"/>
    <n v="20.904900000000005"/>
    <n v="3"/>
  </r>
  <r>
    <n v="1779"/>
    <s v="CD21"/>
    <d v="2025-11-14T00:00:00"/>
    <x v="10"/>
    <x v="4"/>
    <s v="Standard Class"/>
    <s v="DP-13000"/>
    <s v="OFF-AR-10003045"/>
    <n v="240"/>
    <n v="14"/>
    <n v="5.833333333333333"/>
    <x v="8"/>
    <s v="Pet Towels"/>
    <s v="INR"/>
    <n v="411001"/>
    <s v="INDIA"/>
    <x v="12"/>
    <s v="Easy Ship"/>
    <n v="14.7"/>
    <n v="5"/>
    <n v="0.1"/>
    <n v="6.6150000000000002"/>
    <n v="1.6169999999999998"/>
    <n v="3"/>
  </r>
  <r>
    <n v="1780"/>
    <s v="CK14"/>
    <d v="2025-11-15T00:00:00"/>
    <x v="10"/>
    <x v="4"/>
    <s v="Standard Class"/>
    <s v="BD-11770"/>
    <s v="TEC-AC-10003447"/>
    <n v="150"/>
    <n v="20"/>
    <n v="13.333333333333334"/>
    <x v="2"/>
    <s v="Women’s Sunglasses"/>
    <s v="INR"/>
    <n v="560015"/>
    <s v="INDIA"/>
    <x v="17"/>
    <m/>
    <n v="59.97"/>
    <n v="3"/>
    <n v="0.1"/>
    <n v="14.9925"/>
    <n v="14.9925"/>
    <n v="2"/>
  </r>
  <r>
    <n v="1781"/>
    <s v="CM79"/>
    <d v="2025-11-16T00:00:00"/>
    <x v="10"/>
    <x v="4"/>
    <s v="Standard Class"/>
    <s v="BD-11770"/>
    <s v="OFF-ST-10002276"/>
    <n v="250"/>
    <n v="26"/>
    <n v="10.4"/>
    <x v="4"/>
    <s v="Smart Sensors"/>
    <s v="INR"/>
    <n v="632014"/>
    <s v="INDIA"/>
    <x v="7"/>
    <s v="Easy Ship"/>
    <n v="83.36"/>
    <n v="1"/>
    <n v="0.1"/>
    <n v="20.84"/>
    <n v="62.519999999999996"/>
    <n v="3"/>
  </r>
  <r>
    <n v="1782"/>
    <s v="EA98"/>
    <d v="2025-11-17T00:00:00"/>
    <x v="10"/>
    <x v="4"/>
    <s v="Standard Class"/>
    <s v="CB-12535"/>
    <s v="OFF-PA-10001609"/>
    <n v="150"/>
    <n v="18"/>
    <n v="12"/>
    <x v="0"/>
    <s v="Children’s Storybooks"/>
    <s v="INR"/>
    <n v="744101"/>
    <s v="INDIA"/>
    <x v="4"/>
    <m/>
    <n v="6.58"/>
    <n v="2"/>
    <n v="0.1"/>
    <n v="3.0268000000000002"/>
    <n v="1.7766"/>
    <n v="5"/>
  </r>
  <r>
    <n v="1783"/>
    <s v="YB90"/>
    <d v="2025-11-18T00:00:00"/>
    <x v="10"/>
    <x v="4"/>
    <s v="Standard Class"/>
    <s v="CB-12535"/>
    <s v="OFF-BI-10001597"/>
    <n v="160"/>
    <n v="10"/>
    <n v="6.25"/>
    <x v="1"/>
    <s v="Elliptical Trainers"/>
    <s v="INR"/>
    <n v="712104"/>
    <s v="INDIA"/>
    <x v="14"/>
    <s v="Easy Ship"/>
    <n v="122.94"/>
    <n v="3"/>
    <n v="0.1"/>
    <n v="59.011200000000002"/>
    <n v="21.3096"/>
    <n v="5"/>
  </r>
  <r>
    <n v="1784"/>
    <s v="GC94"/>
    <d v="2025-11-19T00:00:00"/>
    <x v="10"/>
    <x v="4"/>
    <s v="Standard Class"/>
    <s v="JE-15610"/>
    <s v="OFF-PA-10004475"/>
    <n v="210"/>
    <n v="8"/>
    <n v="3.8095238095238098"/>
    <x v="4"/>
    <s v="Smart Thermostats"/>
    <s v="INR"/>
    <n v="630709"/>
    <s v="INDIA"/>
    <x v="4"/>
    <m/>
    <n v="219.84"/>
    <n v="4"/>
    <n v="0.1"/>
    <n v="107.7216"/>
    <n v="28.029600000000002"/>
    <n v="3"/>
  </r>
  <r>
    <n v="1785"/>
    <s v="KW33"/>
    <d v="2025-11-20T00:00:00"/>
    <x v="10"/>
    <x v="4"/>
    <s v="Standard Class"/>
    <s v="JE-15610"/>
    <s v="TEC-AC-10004510"/>
    <n v="240"/>
    <n v="22"/>
    <n v="9.1666666666666661"/>
    <x v="2"/>
    <s v="Kids’ Dresses"/>
    <s v="INR"/>
    <n v="700114"/>
    <s v="INDIA"/>
    <x v="16"/>
    <m/>
    <n v="98.16"/>
    <n v="6"/>
    <n v="0.1"/>
    <n v="9.8160000000000007"/>
    <n v="14.723999999999998"/>
    <n v="2"/>
  </r>
  <r>
    <n v="1786"/>
    <s v="RO91"/>
    <d v="2025-11-21T00:00:00"/>
    <x v="10"/>
    <x v="4"/>
    <s v="Standard Class"/>
    <s v="JE-15610"/>
    <s v="OFF-BI-10002976"/>
    <n v="160"/>
    <n v="28"/>
    <n v="17.5"/>
    <x v="5"/>
    <s v="Kitchen Containers"/>
    <s v="INR"/>
    <n v="560092"/>
    <s v="INDIA"/>
    <x v="14"/>
    <s v="Easy Ship"/>
    <n v="33.04"/>
    <n v="8"/>
    <n v="0.1"/>
    <n v="15.5288"/>
    <n v="2.1888999999999998"/>
    <n v="2"/>
  </r>
  <r>
    <n v="1787"/>
    <s v="ET20"/>
    <d v="2025-11-22T00:00:00"/>
    <x v="10"/>
    <x v="4"/>
    <s v="Standard Class"/>
    <s v="JE-15610"/>
    <s v="TEC-PH-10001615"/>
    <n v="120"/>
    <n v="28"/>
    <n v="23.333333333333332"/>
    <x v="3"/>
    <s v="Car Steering Covers"/>
    <s v="INR"/>
    <n v="243601"/>
    <s v="INDIA"/>
    <x v="10"/>
    <m/>
    <n v="86.97"/>
    <n v="3"/>
    <n v="0.1"/>
    <n v="25.221299999999999"/>
    <n v="20.582899999999999"/>
    <n v="1"/>
  </r>
  <r>
    <n v="1788"/>
    <s v="TU70"/>
    <d v="2025-11-23T00:00:00"/>
    <x v="10"/>
    <x v="4"/>
    <s v="Standard Class"/>
    <s v="RP-19855"/>
    <s v="TEC-PH-10001819"/>
    <n v="170"/>
    <n v="24"/>
    <n v="14.117647058823529"/>
    <x v="6"/>
    <s v="Construction Sets"/>
    <s v="INR"/>
    <n v="680555"/>
    <s v="INDIA"/>
    <x v="8"/>
    <s v="Easy Ship"/>
    <n v="134.97"/>
    <n v="3"/>
    <n v="0.1"/>
    <n v="64.785600000000002"/>
    <n v="23.3948"/>
    <n v="5"/>
  </r>
  <r>
    <n v="1789"/>
    <s v="LB38"/>
    <d v="2025-11-24T00:00:00"/>
    <x v="10"/>
    <x v="4"/>
    <s v="Standard Class"/>
    <s v="RP-19855"/>
    <s v="TEC-PH-10000560"/>
    <n v="190"/>
    <n v="22"/>
    <n v="11.578947368421053"/>
    <x v="7"/>
    <s v="Juices"/>
    <s v="INR"/>
    <n v="695003"/>
    <s v="INDIA"/>
    <x v="1"/>
    <m/>
    <n v="699.98"/>
    <n v="2"/>
    <n v="0.1"/>
    <n v="195.99440000000001"/>
    <n v="251.99279999999999"/>
    <n v="4"/>
  </r>
  <r>
    <n v="1790"/>
    <s v="KW85"/>
    <d v="2025-11-25T00:00:00"/>
    <x v="10"/>
    <x v="4"/>
    <s v="Standard Class"/>
    <s v="RP-19855"/>
    <s v="TEC-AC-10004568"/>
    <n v="220"/>
    <n v="16"/>
    <n v="7.2727272727272725"/>
    <x v="8"/>
    <s v="Pet Harnesses"/>
    <s v="INR"/>
    <n v="500038"/>
    <s v="INDIA"/>
    <x v="2"/>
    <s v="Easy Ship"/>
    <n v="139.94999999999999"/>
    <n v="5"/>
    <n v="0.1"/>
    <n v="26.590499999999999"/>
    <n v="22.671900000000001"/>
    <n v="1"/>
  </r>
  <r>
    <n v="1791"/>
    <s v="EE47"/>
    <d v="2025-11-26T00:00:00"/>
    <x v="10"/>
    <x v="4"/>
    <s v="Standard Class"/>
    <s v="RA-19915"/>
    <s v="OFF-PA-10004092"/>
    <n v="140"/>
    <n v="18"/>
    <n v="12.857142857142856"/>
    <x v="2"/>
    <s v="Men’s Accessories"/>
    <s v="INR"/>
    <n v="384001"/>
    <s v="INDIA"/>
    <x v="16"/>
    <m/>
    <n v="48.94"/>
    <n v="1"/>
    <n v="0.1"/>
    <n v="24.47"/>
    <n v="24.47"/>
    <n v="2"/>
  </r>
  <r>
    <n v="1792"/>
    <s v="GV18"/>
    <d v="2025-11-27T00:00:00"/>
    <x v="10"/>
    <x v="4"/>
    <s v="First Class"/>
    <s v="RP-19390"/>
    <s v="FUR-CH-10001854"/>
    <n v="150"/>
    <n v="6"/>
    <n v="4"/>
    <x v="4"/>
    <s v="Smart Home Hubs"/>
    <s v="INR"/>
    <n v="533101"/>
    <s v="INDIA"/>
    <x v="1"/>
    <s v="Easy Ship"/>
    <n v="2807.84"/>
    <n v="8"/>
    <n v="0.1"/>
    <n v="673.88160000000005"/>
    <n v="266.7448"/>
    <n v="3"/>
  </r>
  <r>
    <n v="1793"/>
    <s v="ZH67"/>
    <d v="2025-11-28T00:00:00"/>
    <x v="10"/>
    <x v="4"/>
    <s v="First Class"/>
    <s v="RP-19390"/>
    <s v="OFF-AR-10000475"/>
    <n v="100"/>
    <n v="12"/>
    <n v="12"/>
    <x v="0"/>
    <s v="Children’s Educational Books"/>
    <s v="INR"/>
    <n v="440016"/>
    <s v="INDIA"/>
    <x v="6"/>
    <s v="Easy Ship"/>
    <n v="46.64"/>
    <n v="4"/>
    <n v="0.1"/>
    <n v="12.5928"/>
    <n v="8.5118000000000009"/>
    <n v="4"/>
  </r>
  <r>
    <n v="1794"/>
    <s v="HF59"/>
    <d v="2025-11-29T00:00:00"/>
    <x v="10"/>
    <x v="4"/>
    <s v="Standard Class"/>
    <s v="TB-21175"/>
    <s v="OFF-ST-10000777"/>
    <n v="210"/>
    <n v="16"/>
    <n v="7.6190476190476195"/>
    <x v="1"/>
    <s v="Archery Gear"/>
    <s v="INR"/>
    <n v="751024"/>
    <s v="INDIA"/>
    <x v="4"/>
    <s v="Easy Ship"/>
    <n v="60.415999999999997"/>
    <n v="2"/>
    <n v="0.2"/>
    <n v="6.0415999999999999"/>
    <n v="27.187199999999997"/>
    <n v="1"/>
  </r>
  <r>
    <n v="1795"/>
    <s v="JC44"/>
    <d v="2025-11-30T00:00:00"/>
    <x v="10"/>
    <x v="4"/>
    <s v="Standard Class"/>
    <s v="BE-11455"/>
    <s v="OFF-AR-10004022"/>
    <n v="200"/>
    <n v="12"/>
    <n v="6"/>
    <x v="4"/>
    <s v="Smart Switches"/>
    <s v="INR"/>
    <n v="560043"/>
    <s v="INDIA"/>
    <x v="17"/>
    <s v="Easy Ship"/>
    <n v="107.94"/>
    <n v="3"/>
    <n v="0.1"/>
    <n v="26.984999999999999"/>
    <n v="26.984999999999999"/>
    <n v="5"/>
  </r>
  <r>
    <n v="1796"/>
    <s v="KU69"/>
    <d v="2025-12-01T00:00:00"/>
    <x v="11"/>
    <x v="4"/>
    <s v="First Class"/>
    <s v="MR-17545"/>
    <s v="OFF-ST-10002352"/>
    <n v="140"/>
    <n v="28"/>
    <n v="20"/>
    <x v="2"/>
    <s v="Women’s Scarves"/>
    <s v="INR"/>
    <n v="382355"/>
    <s v="INDIA"/>
    <x v="0"/>
    <s v="Easy Ship"/>
    <n v="63.84"/>
    <n v="8"/>
    <n v="0.1"/>
    <n v="16.598400000000002"/>
    <n v="5.9052000000000007"/>
    <n v="1"/>
  </r>
  <r>
    <n v="1797"/>
    <s v="TO48"/>
    <d v="2025-12-02T00:00:00"/>
    <x v="11"/>
    <x v="4"/>
    <s v="First Class"/>
    <s v="MR-17545"/>
    <s v="TEC-PH-10000455"/>
    <n v="100"/>
    <n v="6"/>
    <n v="6"/>
    <x v="5"/>
    <s v="Kitchen Utensils"/>
    <s v="INR"/>
    <n v="110096"/>
    <s v="INDIA"/>
    <x v="10"/>
    <m/>
    <n v="347.97"/>
    <n v="3"/>
    <n v="0.1"/>
    <n v="100.9113"/>
    <n v="82.35290000000002"/>
    <n v="5"/>
  </r>
  <r>
    <n v="1798"/>
    <s v="QK74"/>
    <d v="2025-12-03T00:00:00"/>
    <x v="11"/>
    <x v="4"/>
    <s v="First Class"/>
    <s v="MR-17545"/>
    <s v="OFF-BI-10003910"/>
    <n v="100"/>
    <n v="18"/>
    <n v="18"/>
    <x v="3"/>
    <s v="Car Dash Cameras"/>
    <s v="INR"/>
    <n v="400098"/>
    <s v="INDIA"/>
    <x v="14"/>
    <s v="Easy Ship"/>
    <n v="37.008000000000003"/>
    <n v="6"/>
    <n v="0.2"/>
    <n v="11.565"/>
    <n v="4.2405000000000008"/>
    <n v="3"/>
  </r>
  <r>
    <n v="1799"/>
    <s v="JT82"/>
    <d v="2025-12-04T00:00:00"/>
    <x v="11"/>
    <x v="4"/>
    <s v="Standard Class"/>
    <s v="RM-19375"/>
    <s v="FUR-FU-10003039"/>
    <n v="250"/>
    <n v="8"/>
    <n v="3.2"/>
    <x v="6"/>
    <s v="Role Play Sets"/>
    <s v="INR"/>
    <n v="500039"/>
    <s v="INDIA"/>
    <x v="3"/>
    <s v="Easy Ship"/>
    <n v="215.65"/>
    <n v="5"/>
    <n v="0.1"/>
    <n v="73.320999999999998"/>
    <n v="28.465800000000002"/>
    <n v="3"/>
  </r>
  <r>
    <n v="1800"/>
    <s v="BZ61"/>
    <d v="2025-12-05T00:00:00"/>
    <x v="11"/>
    <x v="4"/>
    <s v="Second Class"/>
    <s v="JF-15565"/>
    <s v="OFF-FA-10000585"/>
    <n v="130"/>
    <n v="20"/>
    <n v="15.384615384615385"/>
    <x v="7"/>
    <s v="Pickles"/>
    <s v="INR"/>
    <n v="425001"/>
    <s v="INDIA"/>
    <x v="4"/>
    <m/>
    <n v="11.167999999999999"/>
    <n v="4"/>
    <n v="0.2"/>
    <n v="3.6295999999999999"/>
    <n v="1.8845999999999998"/>
    <n v="2"/>
  </r>
  <r>
    <n v="1801"/>
    <s v="BZ20"/>
    <d v="2025-12-06T00:00:00"/>
    <x v="11"/>
    <x v="4"/>
    <s v="Second Class"/>
    <s v="JF-15565"/>
    <s v="OFF-PA-10001994"/>
    <n v="120"/>
    <n v="6"/>
    <n v="5"/>
    <x v="8"/>
    <s v="Pet Blankets"/>
    <s v="INR"/>
    <n v="560073"/>
    <s v="INDIA"/>
    <x v="4"/>
    <m/>
    <n v="53.951999999999998"/>
    <n v="3"/>
    <n v="0.2"/>
    <n v="17.534400000000002"/>
    <n v="12.139199999999997"/>
    <n v="5"/>
  </r>
  <r>
    <n v="1802"/>
    <s v="GT96"/>
    <d v="2025-12-07T00:00:00"/>
    <x v="11"/>
    <x v="4"/>
    <s v="Standard Class"/>
    <s v="AS-10135"/>
    <s v="FUR-FU-10004270"/>
    <n v="170"/>
    <n v="12"/>
    <n v="7.0588235294117645"/>
    <x v="2"/>
    <s v="Men’s Sports Shoes"/>
    <s v="INR"/>
    <n v="560073"/>
    <s v="INDIA"/>
    <x v="4"/>
    <m/>
    <n v="4.18"/>
    <n v="1"/>
    <n v="0.1"/>
    <n v="1.5047999999999999"/>
    <n v="2.6751999999999998"/>
    <n v="5"/>
  </r>
  <r>
    <n v="1803"/>
    <s v="UG58"/>
    <d v="2025-12-08T00:00:00"/>
    <x v="11"/>
    <x v="4"/>
    <s v="Second Class"/>
    <s v="JA-15970"/>
    <s v="OFF-BI-10002498"/>
    <n v="100"/>
    <n v="20"/>
    <n v="20"/>
    <x v="4"/>
    <s v="Speakers"/>
    <s v="INR"/>
    <n v="441111"/>
    <s v="INDIA"/>
    <x v="16"/>
    <m/>
    <n v="5.6070000000000002"/>
    <n v="1"/>
    <n v="0.7"/>
    <n v="-4.2987000000000002"/>
    <n v="9.9056999999999995"/>
    <n v="4"/>
  </r>
  <r>
    <n v="1804"/>
    <s v="KJ85"/>
    <d v="2025-12-09T00:00:00"/>
    <x v="11"/>
    <x v="4"/>
    <s v="Second Class"/>
    <s v="JA-15970"/>
    <s v="OFF-SU-10002881"/>
    <n v="130"/>
    <n v="20"/>
    <n v="15.384615384615385"/>
    <x v="1"/>
    <s v="Badminton Gear"/>
    <s v="INR"/>
    <n v="631502"/>
    <s v="INDIA"/>
    <x v="17"/>
    <s v="Easy Ship"/>
    <n v="4663.7359999999999"/>
    <n v="7"/>
    <n v="0.2"/>
    <n v="-1049.3406"/>
    <n v="816.15380000000005"/>
    <n v="3"/>
  </r>
  <r>
    <n v="1805"/>
    <s v="HO82"/>
    <d v="2025-12-10T00:00:00"/>
    <x v="11"/>
    <x v="4"/>
    <s v="Second Class"/>
    <s v="JA-15970"/>
    <s v="TEC-AC-10002926"/>
    <n v="120"/>
    <n v="18"/>
    <n v="15"/>
    <x v="0"/>
    <s v="Anthologies"/>
    <s v="INR"/>
    <n v="110081"/>
    <s v="INDIA"/>
    <x v="18"/>
    <m/>
    <n v="79.983999999999995"/>
    <n v="2"/>
    <n v="0.2"/>
    <n v="22.9954"/>
    <n v="28.494299999999996"/>
    <n v="5"/>
  </r>
  <r>
    <n v="1806"/>
    <s v="NT78"/>
    <d v="2025-12-11T00:00:00"/>
    <x v="11"/>
    <x v="4"/>
    <s v="First Class"/>
    <s v="GK-14620"/>
    <s v="TEC-PH-10002200"/>
    <n v="120"/>
    <n v="18"/>
    <n v="15"/>
    <x v="5"/>
    <s v="Kitchen Racks"/>
    <s v="INR"/>
    <n v="400601"/>
    <s v="INDIA"/>
    <x v="18"/>
    <m/>
    <n v="2575.944"/>
    <n v="7"/>
    <n v="0.2"/>
    <n v="257.59440000000001"/>
    <n v="331.19279999999998"/>
    <n v="1"/>
  </r>
  <r>
    <n v="1807"/>
    <s v="MR83"/>
    <d v="2025-12-12T00:00:00"/>
    <x v="11"/>
    <x v="4"/>
    <s v="First Class"/>
    <s v="GK-14620"/>
    <s v="OFF-PA-10002005"/>
    <n v="240"/>
    <n v="22"/>
    <n v="9.1666666666666661"/>
    <x v="3"/>
    <s v="Car Horns"/>
    <s v="INR"/>
    <n v="201017"/>
    <s v="INDIA"/>
    <x v="18"/>
    <m/>
    <n v="45.36"/>
    <n v="7"/>
    <n v="0.1"/>
    <n v="21.7728"/>
    <n v="3.3695999999999997"/>
    <n v="4"/>
  </r>
  <r>
    <n v="1808"/>
    <s v="UT72"/>
    <d v="2025-12-13T00:00:00"/>
    <x v="11"/>
    <x v="4"/>
    <s v="First Class"/>
    <s v="GK-14620"/>
    <s v="TEC-AC-10001465"/>
    <n v="190"/>
    <n v="20"/>
    <n v="10.526315789473683"/>
    <x v="6"/>
    <s v="Magic Kits"/>
    <s v="INR"/>
    <n v="625601"/>
    <s v="INDIA"/>
    <x v="0"/>
    <m/>
    <n v="254.24"/>
    <n v="7"/>
    <n v="0.1"/>
    <n v="76.272000000000006"/>
    <n v="25.424000000000003"/>
    <n v="5"/>
  </r>
  <r>
    <n v="1809"/>
    <s v="VX89"/>
    <d v="2025-12-14T00:00:00"/>
    <x v="11"/>
    <x v="4"/>
    <s v="First Class"/>
    <s v="PB-19210"/>
    <s v="TEC-PH-10004897"/>
    <n v="230"/>
    <n v="18"/>
    <n v="7.8260869565217401"/>
    <x v="7"/>
    <s v="Chocolates"/>
    <s v="INR"/>
    <n v="532127"/>
    <s v="INDIA"/>
    <x v="18"/>
    <m/>
    <n v="69.930000000000007"/>
    <n v="7"/>
    <n v="0.1"/>
    <n v="0.69930000000000003"/>
    <n v="9.8901000000000021"/>
    <n v="4"/>
  </r>
  <r>
    <n v="1810"/>
    <s v="IF80"/>
    <d v="2025-12-15T00:00:00"/>
    <x v="11"/>
    <x v="4"/>
    <s v="Standard Class"/>
    <s v="HK-14890"/>
    <s v="FUR-FU-10001196"/>
    <n v="200"/>
    <n v="24"/>
    <n v="12"/>
    <x v="8"/>
    <s v="Pet Harnesses"/>
    <s v="INR"/>
    <n v="845305"/>
    <s v="INDIA"/>
    <x v="19"/>
    <m/>
    <n v="16.155999999999999"/>
    <n v="7"/>
    <n v="0.6"/>
    <n v="-12.117000000000001"/>
    <n v="4.0389999999999997"/>
    <n v="1"/>
  </r>
  <r>
    <n v="1811"/>
    <s v="QU38"/>
    <d v="2025-12-16T00:00:00"/>
    <x v="11"/>
    <x v="4"/>
    <s v="Standard Class"/>
    <s v="HK-14890"/>
    <s v="OFF-PA-10000595"/>
    <n v="160"/>
    <n v="24"/>
    <n v="15"/>
    <x v="2"/>
    <s v="Women’s Coats"/>
    <s v="INR"/>
    <n v="122011"/>
    <s v="INDIA"/>
    <x v="10"/>
    <m/>
    <n v="54.816000000000003"/>
    <n v="3"/>
    <n v="0.2"/>
    <n v="17.815200000000001"/>
    <n v="12.333599999999999"/>
    <n v="5"/>
  </r>
  <r>
    <n v="1812"/>
    <s v="UV28"/>
    <d v="2025-12-17T00:00:00"/>
    <x v="11"/>
    <x v="4"/>
    <s v="Second Class"/>
    <s v="FO-14305"/>
    <s v="FUR-TA-10004534"/>
    <n v="100"/>
    <n v="24"/>
    <n v="24"/>
    <x v="4"/>
    <s v="Digital Cameras"/>
    <s v="INR"/>
    <n v="600044"/>
    <s v="INDIA"/>
    <x v="17"/>
    <m/>
    <n v="1441.3"/>
    <n v="7"/>
    <n v="0.1"/>
    <n v="245.02099999999999"/>
    <n v="170.89699999999999"/>
    <n v="2"/>
  </r>
  <r>
    <n v="1813"/>
    <s v="LZ36"/>
    <d v="2025-12-18T00:00:00"/>
    <x v="11"/>
    <x v="4"/>
    <s v="Standard Class"/>
    <s v="BT-11680"/>
    <s v="FUR-FU-10001861"/>
    <n v="240"/>
    <n v="12"/>
    <n v="5"/>
    <x v="0"/>
    <s v="Children’s Storybooks"/>
    <s v="INR"/>
    <n v="800025"/>
    <s v="INDIA"/>
    <x v="1"/>
    <m/>
    <n v="77.599999999999994"/>
    <n v="5"/>
    <n v="0.2"/>
    <n v="28.13"/>
    <n v="9.8940000000000001"/>
    <n v="1"/>
  </r>
  <r>
    <n v="1814"/>
    <s v="QS46"/>
    <d v="2025-12-19T00:00:00"/>
    <x v="11"/>
    <x v="4"/>
    <s v="Standard Class"/>
    <s v="BT-11680"/>
    <s v="FUR-FU-10000206"/>
    <n v="190"/>
    <n v="24"/>
    <n v="12.631578947368421"/>
    <x v="1"/>
    <s v="Elliptical Trainers"/>
    <s v="INR"/>
    <n v="500055"/>
    <s v="INDIA"/>
    <x v="17"/>
    <s v="Easy Ship"/>
    <n v="4.6559999999999997"/>
    <n v="2"/>
    <n v="0.2"/>
    <n v="1.5713999999999999"/>
    <n v="1.5423"/>
    <n v="2"/>
  </r>
  <r>
    <n v="1815"/>
    <s v="GP12"/>
    <d v="2025-12-20T00:00:00"/>
    <x v="11"/>
    <x v="4"/>
    <s v="Standard Class"/>
    <s v="SP-20620"/>
    <s v="FUR-TA-10002607"/>
    <n v="180"/>
    <n v="18"/>
    <n v="10"/>
    <x v="4"/>
    <s v="Smart Thermostats"/>
    <s v="INR"/>
    <n v="784510"/>
    <s v="INDIA"/>
    <x v="1"/>
    <m/>
    <n v="170.136"/>
    <n v="3"/>
    <n v="0.2"/>
    <n v="-8.5068000000000001"/>
    <n v="59.547599999999996"/>
    <n v="4"/>
  </r>
  <r>
    <n v="1816"/>
    <s v="IC29"/>
    <d v="2025-12-21T00:00:00"/>
    <x v="11"/>
    <x v="4"/>
    <s v="Same Day"/>
    <s v="LL-16840"/>
    <s v="OFF-LA-10000443"/>
    <n v="190"/>
    <n v="30"/>
    <n v="15.789473684210526"/>
    <x v="2"/>
    <s v="Kids’ Dresses"/>
    <s v="INR"/>
    <n v="110021"/>
    <s v="INDIA"/>
    <x v="15"/>
    <m/>
    <n v="7.38"/>
    <n v="2"/>
    <n v="0.1"/>
    <n v="3.4685999999999999"/>
    <n v="1.9557"/>
    <n v="2"/>
  </r>
  <r>
    <n v="1817"/>
    <s v="GM48"/>
    <d v="2025-12-22T00:00:00"/>
    <x v="11"/>
    <x v="4"/>
    <s v="Same Day"/>
    <s v="LL-16840"/>
    <s v="OFF-AR-10004685"/>
    <n v="150"/>
    <n v="16"/>
    <n v="10.666666666666668"/>
    <x v="5"/>
    <s v="Kitchen Knives"/>
    <s v="INR"/>
    <n v="380054"/>
    <s v="INDIA"/>
    <x v="6"/>
    <m/>
    <n v="9.26"/>
    <n v="2"/>
    <n v="0.1"/>
    <n v="3.0558000000000001"/>
    <n v="3.1021000000000001"/>
    <n v="1"/>
  </r>
  <r>
    <n v="1818"/>
    <s v="WO13"/>
    <d v="2025-12-23T00:00:00"/>
    <x v="11"/>
    <x v="4"/>
    <s v="Second Class"/>
    <s v="MC-17575"/>
    <s v="OFF-LA-10001771"/>
    <n v="250"/>
    <n v="12"/>
    <n v="4.8"/>
    <x v="3"/>
    <s v="Car Steering Covers"/>
    <s v="INR"/>
    <n v="208002"/>
    <s v="INDIA"/>
    <x v="9"/>
    <s v="Easy Ship"/>
    <n v="9.9600000000000009"/>
    <n v="2"/>
    <n v="0.1"/>
    <n v="4.5815999999999999"/>
    <n v="2.6892000000000005"/>
    <n v="1"/>
  </r>
  <r>
    <n v="1819"/>
    <s v="RQ88"/>
    <d v="2025-12-24T00:00:00"/>
    <x v="11"/>
    <x v="4"/>
    <s v="Standard Class"/>
    <s v="JL-15235"/>
    <s v="OFF-AP-10001394"/>
    <n v="210"/>
    <n v="30"/>
    <n v="14.285714285714285"/>
    <x v="6"/>
    <s v="Construction Sets"/>
    <s v="INR"/>
    <n v="421004"/>
    <s v="INDIA"/>
    <x v="18"/>
    <s v="Easy Ship"/>
    <n v="75.599999999999994"/>
    <n v="2"/>
    <n v="0.8"/>
    <n v="-166.32"/>
    <n v="120.96"/>
    <n v="4"/>
  </r>
  <r>
    <n v="1820"/>
    <s v="NQ40"/>
    <d v="2025-12-25T00:00:00"/>
    <x v="11"/>
    <x v="4"/>
    <s v="Standard Class"/>
    <s v="JL-15235"/>
    <s v="FUR-FU-10002553"/>
    <n v="210"/>
    <n v="6"/>
    <n v="2.8571428571428572"/>
    <x v="7"/>
    <s v="Juices"/>
    <s v="INR"/>
    <n v="124105"/>
    <s v="INDIA"/>
    <x v="5"/>
    <m/>
    <n v="29.32"/>
    <n v="2"/>
    <n v="0.6"/>
    <n v="-24.189"/>
    <n v="26.7545"/>
    <n v="2"/>
  </r>
  <r>
    <n v="1821"/>
    <s v="WO81"/>
    <d v="2025-12-26T00:00:00"/>
    <x v="11"/>
    <x v="4"/>
    <s v="Standard Class"/>
    <s v="EA-14035"/>
    <s v="OFF-AP-10004233"/>
    <n v="190"/>
    <n v="26"/>
    <n v="13.684210526315791"/>
    <x v="8"/>
    <s v="Pet Towels"/>
    <s v="INR"/>
    <n v="500059"/>
    <s v="INDIA"/>
    <x v="18"/>
    <m/>
    <n v="92.063999999999993"/>
    <n v="6"/>
    <n v="0.8"/>
    <n v="-225.55680000000001"/>
    <n v="52.936800000000005"/>
    <n v="4"/>
  </r>
  <r>
    <n v="1822"/>
    <s v="GA55"/>
    <d v="2025-12-27T00:00:00"/>
    <x v="11"/>
    <x v="4"/>
    <s v="Standard Class"/>
    <s v="EA-14035"/>
    <s v="OFF-FA-10000304"/>
    <n v="170"/>
    <n v="24"/>
    <n v="14.117647058823529"/>
    <x v="2"/>
    <s v="Men’s Accessories"/>
    <s v="INR"/>
    <n v="560048"/>
    <s v="INDIA"/>
    <x v="0"/>
    <m/>
    <n v="6.976"/>
    <n v="4"/>
    <n v="0.2"/>
    <n v="1.8311999999999999"/>
    <n v="1.2862"/>
    <n v="5"/>
  </r>
  <r>
    <n v="1823"/>
    <s v="AV88"/>
    <d v="2025-12-28T00:00:00"/>
    <x v="11"/>
    <x v="4"/>
    <s v="Standard Class"/>
    <s v="EA-14035"/>
    <s v="FUR-CH-10004754"/>
    <n v="110"/>
    <n v="8"/>
    <n v="7.2727272727272725"/>
    <x v="4"/>
    <s v="Smart Speakers"/>
    <s v="INR"/>
    <n v="122001"/>
    <s v="INDIA"/>
    <x v="14"/>
    <m/>
    <n v="62.957999999999998"/>
    <n v="3"/>
    <n v="0.3"/>
    <n v="-2.6981999999999999"/>
    <n v="21.885400000000001"/>
    <n v="4"/>
  </r>
  <r>
    <n v="1824"/>
    <s v="HF57"/>
    <d v="2025-12-29T00:00:00"/>
    <x v="11"/>
    <x v="4"/>
    <s v="Standard Class"/>
    <s v="EA-14035"/>
    <s v="OFF-PA-10000809"/>
    <n v="140"/>
    <n v="28"/>
    <n v="20"/>
    <x v="1"/>
    <s v="Martial Arts Gear"/>
    <s v="INR"/>
    <n v="400081"/>
    <s v="INDIA"/>
    <x v="4"/>
    <m/>
    <n v="5.1840000000000002"/>
    <n v="1"/>
    <n v="0.2"/>
    <n v="1.8144"/>
    <n v="3.3696000000000002"/>
    <n v="3"/>
  </r>
  <r>
    <n v="1825"/>
    <s v="PP97"/>
    <d v="2025-12-30T00:00:00"/>
    <x v="11"/>
    <x v="4"/>
    <s v="Standard Class"/>
    <s v="SA-20830"/>
    <s v="OFF-BI-10003694"/>
    <n v="180"/>
    <n v="18"/>
    <n v="10"/>
    <x v="0"/>
    <s v="Encyclopedias"/>
    <s v="INR"/>
    <n v="380061"/>
    <s v="INDIA"/>
    <x v="17"/>
    <m/>
    <n v="31.32"/>
    <n v="10"/>
    <n v="0.7"/>
    <n v="-25.056000000000001"/>
    <n v="5.6376000000000008"/>
    <n v="1"/>
  </r>
  <r>
    <n v="1826"/>
    <s v="UH36"/>
    <d v="2025-12-31T00:00:00"/>
    <x v="11"/>
    <x v="4"/>
    <s v="Standard Class"/>
    <s v="SA-20830"/>
    <s v="FUR-FU-10001935"/>
    <n v="100"/>
    <n v="22"/>
    <n v="22"/>
    <x v="5"/>
    <s v="Kitchen Shelves"/>
    <s v="INR"/>
    <n v="380061"/>
    <s v="INDIA"/>
    <x v="18"/>
    <m/>
    <n v="11.84"/>
    <n v="4"/>
    <n v="0.2"/>
    <n v="3.1080000000000001"/>
    <n v="2.1829999999999998"/>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3FC4F2-1DAB-45BB-8391-A2FA0509A6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8:T29" firstHeaderRow="1" firstDataRow="1" firstDataCol="1"/>
  <pivotFields count="24">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24">
        <item x="11"/>
        <item x="1"/>
        <item x="19"/>
        <item m="1" x="20"/>
        <item x="14"/>
        <item x="3"/>
        <item x="13"/>
        <item x="0"/>
        <item m="1" x="22"/>
        <item x="18"/>
        <item x="15"/>
        <item x="9"/>
        <item x="16"/>
        <item x="10"/>
        <item x="7"/>
        <item x="12"/>
        <item x="17"/>
        <item m="1" x="21"/>
        <item x="4"/>
        <item x="2"/>
        <item x="6"/>
        <item x="5"/>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6"/>
  </rowFields>
  <rowItems count="21">
    <i>
      <x v="19"/>
    </i>
    <i>
      <x v="15"/>
    </i>
    <i>
      <x v="10"/>
    </i>
    <i>
      <x v="22"/>
    </i>
    <i>
      <x v="6"/>
    </i>
    <i>
      <x/>
    </i>
    <i>
      <x v="4"/>
    </i>
    <i>
      <x v="16"/>
    </i>
    <i>
      <x v="2"/>
    </i>
    <i>
      <x v="14"/>
    </i>
    <i>
      <x v="12"/>
    </i>
    <i>
      <x v="21"/>
    </i>
    <i>
      <x v="11"/>
    </i>
    <i>
      <x v="20"/>
    </i>
    <i>
      <x v="13"/>
    </i>
    <i>
      <x v="18"/>
    </i>
    <i>
      <x v="1"/>
    </i>
    <i>
      <x v="9"/>
    </i>
    <i>
      <x v="7"/>
    </i>
    <i>
      <x v="5"/>
    </i>
    <i t="grand">
      <x/>
    </i>
  </rowItems>
  <colItems count="1">
    <i/>
  </colItems>
  <dataFields count="1">
    <dataField name="Count of STAT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5D3F42-A048-40FA-81DF-7515B3E7175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16" firstHeaderRow="1" firstDataRow="1" firstDataCol="1"/>
  <pivotFields count="24">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items count="10">
        <item x="3"/>
        <item x="0"/>
        <item x="4"/>
        <item x="2"/>
        <item x="7"/>
        <item x="5"/>
        <item x="8"/>
        <item x="1"/>
        <item x="6"/>
        <item t="default"/>
      </items>
    </pivotField>
    <pivotField showAll="0"/>
    <pivotField showAll="0"/>
    <pivotField showAll="0"/>
    <pivotField showAll="0"/>
    <pivotField showAll="0">
      <items count="24">
        <item x="11"/>
        <item x="1"/>
        <item x="19"/>
        <item m="1" x="20"/>
        <item x="14"/>
        <item x="3"/>
        <item x="13"/>
        <item x="0"/>
        <item m="1" x="22"/>
        <item x="18"/>
        <item x="15"/>
        <item x="9"/>
        <item x="16"/>
        <item x="10"/>
        <item x="7"/>
        <item x="12"/>
        <item x="17"/>
        <item m="1" x="21"/>
        <item x="4"/>
        <item x="2"/>
        <item x="6"/>
        <item x="5"/>
        <item x="8"/>
        <item t="default"/>
      </items>
    </pivotField>
    <pivotField showAll="0"/>
    <pivotField showAll="0"/>
    <pivotField showAll="0"/>
    <pivotField showAll="0"/>
    <pivotField dataField="1"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Average of PROFIT" fld="21" subtotal="average" baseField="3" baseItem="1" numFmtId="164"/>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706E33-A291-4AAE-831B-9A1E15E169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K9" firstHeaderRow="0" firstDataRow="1" firstDataCol="1"/>
  <pivotFields count="24">
    <pivotField showAll="0"/>
    <pivotField showAll="0"/>
    <pivotField numFmtId="14" showAll="0"/>
    <pivotField showAll="0">
      <items count="13">
        <item x="0"/>
        <item x="1"/>
        <item x="2"/>
        <item x="3"/>
        <item x="4"/>
        <item x="5"/>
        <item x="6"/>
        <item x="7"/>
        <item x="8"/>
        <item x="9"/>
        <item x="10"/>
        <item x="11"/>
        <item t="default"/>
      </items>
    </pivotField>
    <pivotField axis="axisRow" showAll="0">
      <items count="6">
        <item x="0"/>
        <item x="1"/>
        <item x="2"/>
        <item x="3"/>
        <item x="4"/>
        <item t="default"/>
      </items>
    </pivotField>
    <pivotField showAll="0"/>
    <pivotField showAll="0"/>
    <pivotField showAll="0"/>
    <pivotField showAll="0"/>
    <pivotField showAll="0"/>
    <pivotField showAll="0"/>
    <pivotField showAll="0">
      <items count="10">
        <item x="3"/>
        <item x="0"/>
        <item x="4"/>
        <item x="2"/>
        <item x="7"/>
        <item x="5"/>
        <item x="8"/>
        <item x="1"/>
        <item x="6"/>
        <item t="default"/>
      </items>
    </pivotField>
    <pivotField showAll="0"/>
    <pivotField showAll="0"/>
    <pivotField showAll="0"/>
    <pivotField showAll="0"/>
    <pivotField showAll="0">
      <items count="24">
        <item x="11"/>
        <item x="1"/>
        <item x="19"/>
        <item m="1" x="20"/>
        <item x="14"/>
        <item x="3"/>
        <item x="13"/>
        <item x="0"/>
        <item m="1" x="22"/>
        <item x="18"/>
        <item x="15"/>
        <item x="9"/>
        <item x="16"/>
        <item x="10"/>
        <item x="7"/>
        <item x="12"/>
        <item x="17"/>
        <item m="1" x="21"/>
        <item x="4"/>
        <item x="2"/>
        <item x="6"/>
        <item x="5"/>
        <item x="8"/>
        <item t="default"/>
      </items>
    </pivotField>
    <pivotField showAll="0"/>
    <pivotField dataField="1" showAll="0"/>
    <pivotField showAll="0"/>
    <pivotField showAll="0"/>
    <pivotField dataField="1"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Total Sales" fld="18" baseField="4" baseItem="0" numFmtId="164"/>
    <dataField name="Total Profit" fld="21" baseField="0"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9D017-C578-43DC-891E-07BABB4E45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24">
    <pivotField dataField="1"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items count="10">
        <item x="3"/>
        <item x="0"/>
        <item x="4"/>
        <item x="2"/>
        <item x="7"/>
        <item x="5"/>
        <item x="8"/>
        <item x="1"/>
        <item x="6"/>
        <item t="default"/>
      </items>
    </pivotField>
    <pivotField showAll="0"/>
    <pivotField showAll="0"/>
    <pivotField showAll="0"/>
    <pivotField showAll="0"/>
    <pivotField showAll="0">
      <items count="24">
        <item x="11"/>
        <item x="1"/>
        <item x="19"/>
        <item m="1" x="20"/>
        <item x="14"/>
        <item x="3"/>
        <item x="13"/>
        <item x="0"/>
        <item m="1" x="22"/>
        <item x="18"/>
        <item x="15"/>
        <item x="9"/>
        <item x="16"/>
        <item x="10"/>
        <item x="7"/>
        <item x="12"/>
        <item x="17"/>
        <item m="1" x="21"/>
        <item x="4"/>
        <item x="2"/>
        <item x="6"/>
        <item x="5"/>
        <item x="8"/>
        <item t="default"/>
      </items>
    </pivotField>
    <pivotField showAll="0"/>
    <pivotField dataField="1" showAll="0"/>
    <pivotField dataField="1" showAll="0"/>
    <pivotField showAll="0"/>
    <pivotField dataField="1" showAll="0"/>
    <pivotField showAll="0"/>
    <pivotField dataField="1" showAll="0"/>
  </pivotFields>
  <rowItems count="1">
    <i/>
  </rowItems>
  <colFields count="1">
    <field x="-2"/>
  </colFields>
  <colItems count="5">
    <i>
      <x/>
    </i>
    <i i="1">
      <x v="1"/>
    </i>
    <i i="2">
      <x v="2"/>
    </i>
    <i i="3">
      <x v="3"/>
    </i>
    <i i="4">
      <x v="4"/>
    </i>
  </colItems>
  <dataFields count="5">
    <dataField name="Sum of SALES" fld="18" baseField="0" baseItem="0" numFmtId="2"/>
    <dataField name="Sum of QUANTITY" fld="19" baseField="0" baseItem="0"/>
    <dataField name="Sum of PROFIT" fld="21" baseField="0" baseItem="0"/>
    <dataField name="Count of INDEX" fld="0" subtotal="count" baseField="0" baseItem="2"/>
    <dataField name="Average of REVIEWS" fld="23" subtotal="average" baseField="0" baseItem="4" numFmtId="164"/>
  </dataFields>
  <formats count="1">
    <format dxfId="28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A755B5-2ECC-4A9A-81F0-A613981FE99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AA24" firstHeaderRow="1" firstDataRow="1" firstDataCol="1"/>
  <pivotFields count="24">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items count="10">
        <item x="3"/>
        <item x="0"/>
        <item x="4"/>
        <item x="2"/>
        <item x="7"/>
        <item x="5"/>
        <item x="8"/>
        <item x="1"/>
        <item x="6"/>
        <item t="default"/>
      </items>
    </pivotField>
    <pivotField showAll="0"/>
    <pivotField showAll="0"/>
    <pivotField showAll="0"/>
    <pivotField showAll="0"/>
    <pivotField axis="axisRow" showAll="0">
      <items count="24">
        <item x="11"/>
        <item x="1"/>
        <item x="19"/>
        <item m="1" x="20"/>
        <item x="14"/>
        <item x="3"/>
        <item x="13"/>
        <item x="0"/>
        <item m="1" x="22"/>
        <item x="18"/>
        <item x="15"/>
        <item x="9"/>
        <item x="16"/>
        <item x="10"/>
        <item x="7"/>
        <item x="12"/>
        <item x="17"/>
        <item m="1" x="21"/>
        <item x="4"/>
        <item x="2"/>
        <item x="6"/>
        <item x="5"/>
        <item x="8"/>
        <item t="default"/>
      </items>
    </pivotField>
    <pivotField showAll="0"/>
    <pivotField dataField="1" showAll="0"/>
    <pivotField showAll="0"/>
    <pivotField showAll="0"/>
    <pivotField showAll="0"/>
    <pivotField showAll="0"/>
    <pivotField showAll="0"/>
  </pivotFields>
  <rowFields count="1">
    <field x="16"/>
  </rowFields>
  <rowItems count="21">
    <i>
      <x/>
    </i>
    <i>
      <x v="1"/>
    </i>
    <i>
      <x v="2"/>
    </i>
    <i>
      <x v="4"/>
    </i>
    <i>
      <x v="5"/>
    </i>
    <i>
      <x v="6"/>
    </i>
    <i>
      <x v="7"/>
    </i>
    <i>
      <x v="9"/>
    </i>
    <i>
      <x v="10"/>
    </i>
    <i>
      <x v="11"/>
    </i>
    <i>
      <x v="12"/>
    </i>
    <i>
      <x v="13"/>
    </i>
    <i>
      <x v="14"/>
    </i>
    <i>
      <x v="15"/>
    </i>
    <i>
      <x v="16"/>
    </i>
    <i>
      <x v="18"/>
    </i>
    <i>
      <x v="19"/>
    </i>
    <i>
      <x v="20"/>
    </i>
    <i>
      <x v="21"/>
    </i>
    <i>
      <x v="22"/>
    </i>
    <i t="grand">
      <x/>
    </i>
  </rowItems>
  <colItems count="1">
    <i/>
  </colItems>
  <dataFields count="1">
    <dataField name="Sum of SALES" fld="1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CE56BD-A52C-4132-B989-37C9833DC89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3:W13" firstHeaderRow="1" firstDataRow="1" firstDataCol="1"/>
  <pivotFields count="24">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axis="axisRow" showAll="0" sortType="descending">
      <items count="10">
        <item x="3"/>
        <item x="0"/>
        <item x="4"/>
        <item x="2"/>
        <item x="7"/>
        <item x="5"/>
        <item x="8"/>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4">
        <item x="11"/>
        <item x="1"/>
        <item x="19"/>
        <item m="1" x="20"/>
        <item x="14"/>
        <item x="3"/>
        <item x="13"/>
        <item x="0"/>
        <item m="1" x="22"/>
        <item x="18"/>
        <item x="15"/>
        <item x="9"/>
        <item x="16"/>
        <item x="10"/>
        <item x="7"/>
        <item x="12"/>
        <item x="17"/>
        <item m="1" x="21"/>
        <item x="4"/>
        <item x="2"/>
        <item x="6"/>
        <item x="5"/>
        <item x="8"/>
        <item t="default"/>
      </items>
    </pivotField>
    <pivotField showAll="0"/>
    <pivotField showAll="0"/>
    <pivotField showAll="0"/>
    <pivotField dataField="1" showAll="0"/>
    <pivotField showAll="0"/>
    <pivotField showAll="0"/>
    <pivotField showAll="0"/>
  </pivotFields>
  <rowFields count="1">
    <field x="11"/>
  </rowFields>
  <rowItems count="10">
    <i>
      <x v="6"/>
    </i>
    <i>
      <x v="4"/>
    </i>
    <i>
      <x/>
    </i>
    <i>
      <x v="2"/>
    </i>
    <i>
      <x v="8"/>
    </i>
    <i>
      <x v="3"/>
    </i>
    <i>
      <x v="7"/>
    </i>
    <i>
      <x v="1"/>
    </i>
    <i>
      <x v="5"/>
    </i>
    <i t="grand">
      <x/>
    </i>
  </rowItems>
  <colItems count="1">
    <i/>
  </colItems>
  <dataFields count="1">
    <dataField name="Average of DISCOUNT" fld="20" subtotal="average" baseField="11" baseItem="0" numFmtId="165"/>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668E58-9DA0-4926-8680-82E5E5F2DA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3:S16" firstHeaderRow="1" firstDataRow="1" firstDataCol="1"/>
  <pivotFields count="24">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items count="10">
        <item x="3"/>
        <item x="0"/>
        <item x="4"/>
        <item x="2"/>
        <item x="7"/>
        <item x="5"/>
        <item x="8"/>
        <item x="1"/>
        <item x="6"/>
        <item t="default"/>
      </items>
    </pivotField>
    <pivotField showAll="0"/>
    <pivotField showAll="0"/>
    <pivotField showAll="0"/>
    <pivotField showAll="0"/>
    <pivotField showAll="0">
      <items count="24">
        <item x="11"/>
        <item x="1"/>
        <item x="19"/>
        <item m="1" x="20"/>
        <item x="14"/>
        <item x="3"/>
        <item x="13"/>
        <item x="0"/>
        <item m="1" x="22"/>
        <item x="18"/>
        <item x="15"/>
        <item x="9"/>
        <item x="16"/>
        <item x="10"/>
        <item x="7"/>
        <item x="12"/>
        <item x="17"/>
        <item m="1" x="21"/>
        <item x="4"/>
        <item x="2"/>
        <item x="6"/>
        <item x="5"/>
        <item x="8"/>
        <item t="default"/>
      </items>
    </pivotField>
    <pivotField showAll="0"/>
    <pivotField dataField="1"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Average of SALES" fld="18" subtotal="average" baseField="3" baseItem="0" numFmtId="164"/>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B42466-F96B-4AE5-BE1A-5455C6730B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D24:F34" firstHeaderRow="0" firstDataRow="1" firstDataCol="1"/>
  <pivotFields count="24">
    <pivotField showAll="0"/>
    <pivotField showAll="0"/>
    <pivotField numFmtId="14"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axis="axisRow" showAll="0">
      <items count="10">
        <item x="3"/>
        <item x="0"/>
        <item x="4"/>
        <item x="2"/>
        <item x="7"/>
        <item x="5"/>
        <item x="8"/>
        <item x="1"/>
        <item x="6"/>
        <item t="default"/>
      </items>
    </pivotField>
    <pivotField showAll="0"/>
    <pivotField showAll="0"/>
    <pivotField showAll="0"/>
    <pivotField showAll="0"/>
    <pivotField showAll="0">
      <items count="24">
        <item x="11"/>
        <item x="1"/>
        <item x="19"/>
        <item m="1" x="20"/>
        <item x="14"/>
        <item x="3"/>
        <item x="13"/>
        <item x="0"/>
        <item m="1" x="22"/>
        <item x="18"/>
        <item x="15"/>
        <item x="9"/>
        <item x="16"/>
        <item x="10"/>
        <item x="7"/>
        <item x="12"/>
        <item x="17"/>
        <item m="1" x="21"/>
        <item x="4"/>
        <item x="2"/>
        <item x="6"/>
        <item x="5"/>
        <item x="8"/>
        <item t="default"/>
      </items>
    </pivotField>
    <pivotField showAll="0"/>
    <pivotField dataField="1" showAll="0"/>
    <pivotField showAll="0"/>
    <pivotField showAll="0"/>
    <pivotField dataField="1" showAll="0"/>
    <pivotField showAll="0"/>
    <pivotField showAll="0"/>
  </pivotFields>
  <rowFields count="1">
    <field x="11"/>
  </rowFields>
  <rowItems count="10">
    <i>
      <x/>
    </i>
    <i>
      <x v="1"/>
    </i>
    <i>
      <x v="2"/>
    </i>
    <i>
      <x v="3"/>
    </i>
    <i>
      <x v="4"/>
    </i>
    <i>
      <x v="5"/>
    </i>
    <i>
      <x v="6"/>
    </i>
    <i>
      <x v="7"/>
    </i>
    <i>
      <x v="8"/>
    </i>
    <i t="grand">
      <x/>
    </i>
  </rowItems>
  <colFields count="1">
    <field x="-2"/>
  </colFields>
  <colItems count="2">
    <i>
      <x/>
    </i>
    <i i="1">
      <x v="1"/>
    </i>
  </colItems>
  <dataFields count="2">
    <dataField name="Total Profit" fld="21" baseField="11" baseItem="0" numFmtId="2"/>
    <dataField name="Total Sales" fld="18" baseField="11" baseItem="0" numFmtId="2"/>
  </dataFields>
  <formats count="35">
    <format dxfId="325">
      <pivotArea dataOnly="0" labelOnly="1" fieldPosition="0">
        <references count="1">
          <reference field="11" count="1">
            <x v="0"/>
          </reference>
        </references>
      </pivotArea>
    </format>
    <format dxfId="324">
      <pivotArea outline="0" fieldPosition="0">
        <references count="1">
          <reference field="4294967294" count="1">
            <x v="1"/>
          </reference>
        </references>
      </pivotArea>
    </format>
    <format dxfId="323">
      <pivotArea outline="0" collapsedLevelsAreSubtotals="1" fieldPosition="0">
        <references count="1">
          <reference field="4294967294" count="1" selected="0">
            <x v="1"/>
          </reference>
        </references>
      </pivotArea>
    </format>
    <format dxfId="322">
      <pivotArea outline="0" collapsedLevelsAreSubtotals="1" fieldPosition="0">
        <references count="1">
          <reference field="4294967294" count="1" selected="0">
            <x v="0"/>
          </reference>
        </references>
      </pivotArea>
    </format>
    <format dxfId="321">
      <pivotArea collapsedLevelsAreSubtotals="1" fieldPosition="0">
        <references count="2">
          <reference field="4294967294" count="1" selected="0">
            <x v="0"/>
          </reference>
          <reference field="11" count="1">
            <x v="0"/>
          </reference>
        </references>
      </pivotArea>
    </format>
    <format dxfId="320">
      <pivotArea collapsedLevelsAreSubtotals="1" fieldPosition="0">
        <references count="2">
          <reference field="4294967294" count="1" selected="0">
            <x v="0"/>
          </reference>
          <reference field="11" count="1">
            <x v="0"/>
          </reference>
        </references>
      </pivotArea>
    </format>
    <format dxfId="319">
      <pivotArea collapsedLevelsAreSubtotals="1" fieldPosition="0">
        <references count="2">
          <reference field="4294967294" count="1" selected="0">
            <x v="0"/>
          </reference>
          <reference field="11" count="8">
            <x v="1"/>
            <x v="2"/>
            <x v="3"/>
            <x v="4"/>
            <x v="5"/>
            <x v="6"/>
            <x v="7"/>
            <x v="8"/>
          </reference>
        </references>
      </pivotArea>
    </format>
    <format dxfId="318">
      <pivotArea field="11" grandRow="1" outline="0" collapsedLevelsAreSubtotals="1" axis="axisRow" fieldPosition="0">
        <references count="1">
          <reference field="4294967294" count="1" selected="0">
            <x v="0"/>
          </reference>
        </references>
      </pivotArea>
    </format>
    <format dxfId="317">
      <pivotArea field="11" grandRow="1" outline="0" collapsedLevelsAreSubtotals="1" axis="axisRow" fieldPosition="0">
        <references count="1">
          <reference field="4294967294" count="1" selected="0">
            <x v="1"/>
          </reference>
        </references>
      </pivotArea>
    </format>
    <format dxfId="316">
      <pivotArea field="11" grandRow="1" outline="0" collapsedLevelsAreSubtotals="1" axis="axisRow" fieldPosition="0">
        <references count="1">
          <reference field="4294967294" count="1" selected="0">
            <x v="1"/>
          </reference>
        </references>
      </pivotArea>
    </format>
    <format dxfId="315">
      <pivotArea field="11" grandRow="1" outline="0" collapsedLevelsAreSubtotals="1" axis="axisRow" fieldPosition="0">
        <references count="1">
          <reference field="4294967294" count="1" selected="0">
            <x v="0"/>
          </reference>
        </references>
      </pivotArea>
    </format>
    <format dxfId="314">
      <pivotArea dataOnly="0" labelOnly="1" grandRow="1" outline="0" fieldPosition="0"/>
    </format>
    <format dxfId="313">
      <pivotArea field="11" type="button" dataOnly="0" labelOnly="1" outline="0" axis="axisRow" fieldPosition="0"/>
    </format>
    <format dxfId="312">
      <pivotArea field="11" type="button" dataOnly="0" labelOnly="1" outline="0" axis="axisRow" fieldPosition="0"/>
    </format>
    <format dxfId="311">
      <pivotArea dataOnly="0" labelOnly="1" outline="0" fieldPosition="0">
        <references count="1">
          <reference field="4294967294" count="1">
            <x v="0"/>
          </reference>
        </references>
      </pivotArea>
    </format>
    <format dxfId="310">
      <pivotArea dataOnly="0" labelOnly="1" outline="0" fieldPosition="0">
        <references count="1">
          <reference field="4294967294" count="1">
            <x v="0"/>
          </reference>
        </references>
      </pivotArea>
    </format>
    <format dxfId="309">
      <pivotArea dataOnly="0" labelOnly="1" outline="0" fieldPosition="0">
        <references count="1">
          <reference field="4294967294" count="1">
            <x v="1"/>
          </reference>
        </references>
      </pivotArea>
    </format>
    <format dxfId="308">
      <pivotArea dataOnly="0" labelOnly="1" outline="0" fieldPosition="0">
        <references count="1">
          <reference field="4294967294" count="1">
            <x v="1"/>
          </reference>
        </references>
      </pivotArea>
    </format>
    <format dxfId="307">
      <pivotArea dataOnly="0" labelOnly="1" fieldPosition="0">
        <references count="1">
          <reference field="11" count="0"/>
        </references>
      </pivotArea>
    </format>
    <format dxfId="306">
      <pivotArea dataOnly="0" labelOnly="1" outline="0" fieldPosition="0">
        <references count="1">
          <reference field="4294967294" count="1">
            <x v="0"/>
          </reference>
        </references>
      </pivotArea>
    </format>
    <format dxfId="305">
      <pivotArea dataOnly="0" labelOnly="1" outline="0" fieldPosition="0">
        <references count="1">
          <reference field="4294967294" count="1">
            <x v="1"/>
          </reference>
        </references>
      </pivotArea>
    </format>
    <format dxfId="304">
      <pivotArea field="11" type="button" dataOnly="0" labelOnly="1" outline="0" axis="axisRow" fieldPosition="0"/>
    </format>
    <format dxfId="303">
      <pivotArea dataOnly="0" labelOnly="1" grandRow="1" outline="0" fieldPosition="0"/>
    </format>
    <format dxfId="302">
      <pivotArea field="11" grandRow="1" outline="0" collapsedLevelsAreSubtotals="1" axis="axisRow" fieldPosition="0">
        <references count="1">
          <reference field="4294967294" count="1" selected="0">
            <x v="0"/>
          </reference>
        </references>
      </pivotArea>
    </format>
    <format dxfId="301">
      <pivotArea field="11" grandRow="1" outline="0" collapsedLevelsAreSubtotals="1" axis="axisRow" fieldPosition="0">
        <references count="1">
          <reference field="4294967294" count="1" selected="0">
            <x v="1"/>
          </reference>
        </references>
      </pivotArea>
    </format>
    <format dxfId="300">
      <pivotArea collapsedLevelsAreSubtotals="1" fieldPosition="0">
        <references count="1">
          <reference field="11" count="0"/>
        </references>
      </pivotArea>
    </format>
    <format dxfId="299">
      <pivotArea dataOnly="0" labelOnly="1" fieldPosition="0">
        <references count="1">
          <reference field="11" count="0"/>
        </references>
      </pivotArea>
    </format>
    <format dxfId="298">
      <pivotArea type="all" dataOnly="0" outline="0" fieldPosition="0"/>
    </format>
    <format dxfId="297">
      <pivotArea outline="0" collapsedLevelsAreSubtotals="1" fieldPosition="0"/>
    </format>
    <format dxfId="296">
      <pivotArea field="11" type="button" dataOnly="0" labelOnly="1" outline="0" axis="axisRow" fieldPosition="0"/>
    </format>
    <format dxfId="295">
      <pivotArea dataOnly="0" labelOnly="1" fieldPosition="0">
        <references count="1">
          <reference field="11" count="0"/>
        </references>
      </pivotArea>
    </format>
    <format dxfId="294">
      <pivotArea dataOnly="0" labelOnly="1" grandRow="1" outline="0" fieldPosition="0"/>
    </format>
    <format dxfId="293">
      <pivotArea dataOnly="0" labelOnly="1" outline="0" fieldPosition="0">
        <references count="1">
          <reference field="4294967294" count="2">
            <x v="0"/>
            <x v="1"/>
          </reference>
        </references>
      </pivotArea>
    </format>
    <format dxfId="292">
      <pivotArea outline="0" collapsedLevelsAreSubtotals="1" fieldPosition="0">
        <references count="1">
          <reference field="4294967294" count="1" selected="0">
            <x v="1"/>
          </reference>
        </references>
      </pivotArea>
    </format>
    <format dxfId="291">
      <pivotArea dataOnly="0" labelOnly="1" outline="0" fieldPosition="0">
        <references count="1">
          <reference field="4294967294" count="1">
            <x v="1"/>
          </reference>
        </references>
      </pivotArea>
    </format>
  </formats>
  <pivotTableStyleInfo name="PivotTable Style 1"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036CC7CE-CC43-44FA-99EA-5E1EA6E52994}" sourceName="STATE">
  <pivotTables>
    <pivotTable tabId="8" name="PivotTable5"/>
    <pivotTable tabId="6" name="PivotTable7"/>
    <pivotTable tabId="8" name="PivotTable1"/>
    <pivotTable tabId="8" name="PivotTable2"/>
    <pivotTable tabId="8" name="PivotTable3"/>
    <pivotTable tabId="8" name="PivotTable4"/>
  </pivotTables>
  <data>
    <tabular pivotCacheId="1485692683">
      <items count="23">
        <i x="11" s="1"/>
        <i x="1" s="1"/>
        <i x="19" s="1"/>
        <i x="14" s="1"/>
        <i x="3" s="1"/>
        <i x="13" s="1"/>
        <i x="0" s="1"/>
        <i x="18" s="1"/>
        <i x="15" s="1"/>
        <i x="9" s="1"/>
        <i x="16" s="1"/>
        <i x="10" s="1"/>
        <i x="7" s="1"/>
        <i x="12" s="1"/>
        <i x="17" s="1"/>
        <i x="4" s="1"/>
        <i x="2" s="1"/>
        <i x="6" s="1"/>
        <i x="5" s="1"/>
        <i x="8" s="1"/>
        <i x="20" s="1" nd="1"/>
        <i x="22" s="1" nd="1"/>
        <i x="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ADC69DB-48A3-4EC2-B191-C94953F1D79F}" sourceName="Month">
  <pivotTables>
    <pivotTable tabId="8" name="PivotTable5"/>
    <pivotTable tabId="6" name="PivotTable7"/>
    <pivotTable tabId="8" name="PivotTable1"/>
    <pivotTable tabId="8" name="PivotTable2"/>
    <pivotTable tabId="8" name="PivotTable3"/>
    <pivotTable tabId="8" name="PivotTable4"/>
    <pivotTable tabId="8" name="PivotTable6"/>
  </pivotTables>
  <data>
    <tabular pivotCacheId="148569268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2806EAD-CB54-43AD-BC9D-D37084B53E85}" sourceName="CATEGORY">
  <pivotTables>
    <pivotTable tabId="8" name="PivotTable5"/>
    <pivotTable tabId="6" name="PivotTable7"/>
    <pivotTable tabId="8" name="PivotTable1"/>
    <pivotTable tabId="8" name="PivotTable2"/>
    <pivotTable tabId="8" name="PivotTable3"/>
    <pivotTable tabId="8" name="PivotTable4"/>
    <pivotTable tabId="8" name="PivotTable6"/>
  </pivotTables>
  <data>
    <tabular pivotCacheId="1485692683">
      <items count="9">
        <i x="3" s="1"/>
        <i x="0" s="1"/>
        <i x="4" s="1"/>
        <i x="2" s="1"/>
        <i x="7" s="1"/>
        <i x="5" s="1"/>
        <i x="8"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06BAD129-66A8-43FE-B463-E3F9BEC60098}" cache="Slicer_STATE1" caption="STATE" columnCount="4" style="Slicer Style 2 2" rowHeight="247650"/>
  <slicer name="Month" xr10:uid="{87EA77AD-6B9C-46AC-A54C-F0212A214DBE}" cache="Slicer_Month" caption="Month" columnCount="6" style="Slicer Style 2 2" rowHeight="288000"/>
  <slicer name="CATEGORY 1" xr10:uid="{296CC908-A968-416C-860C-169C02B8624F}" cache="Slicer_CATEGORY1" caption="CATEGORY" columnCount="4" style="Slicer Style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B3576-E7BB-47C4-BA25-7F61F01120FD}" name="Table2" displayName="Table2" ref="A1:X1827" totalsRowShown="0">
  <autoFilter ref="A1:X1827" xr:uid="{6DAB3576-E7BB-47C4-BA25-7F61F01120FD}"/>
  <tableColumns count="24">
    <tableColumn id="1" xr3:uid="{A5CB05F3-D58A-459C-B128-1784306A2D02}" name="INDEX"/>
    <tableColumn id="2" xr3:uid="{85BA088C-E10A-47F6-B332-28DA1DAF5538}" name="ORDER ID"/>
    <tableColumn id="3" xr3:uid="{F28314BD-6FDA-4367-8B11-1C5AB411A0E5}" name="DATE" dataDxfId="290"/>
    <tableColumn id="4" xr3:uid="{9AC47E75-F101-4CDE-9ADD-6E0ABE8D8B27}" name="Month">
      <calculatedColumnFormula>TEXT(C2,"Mmm")</calculatedColumnFormula>
    </tableColumn>
    <tableColumn id="5" xr3:uid="{20E5CB67-1631-4A55-9CF2-8277964CEEF1}" name="YEAR">
      <calculatedColumnFormula>TEXT(C2,"YYYY")</calculatedColumnFormula>
    </tableColumn>
    <tableColumn id="6" xr3:uid="{D9B05A82-E282-4DA4-B47B-B9FC35732937}" name="SHIP MODE"/>
    <tableColumn id="7" xr3:uid="{DB81FF86-0B28-411A-9177-8D4603EE7422}" name="CUSTOMER ID"/>
    <tableColumn id="8" xr3:uid="{B1DD13AD-E503-428B-9AED-6C867B511DBB}" name="PRODUCT ID"/>
    <tableColumn id="9" xr3:uid="{FB444CD7-CF4D-4FC7-ABA0-05899EA6A99B}" name="Impressions"/>
    <tableColumn id="10" xr3:uid="{70DDBF85-CEA1-4390-82AA-25A3831EA804}" name="Clicks"/>
    <tableColumn id="11" xr3:uid="{7FAA78F4-B8CF-4FFF-ADDA-F51D28FC0F37}" name="CTR">
      <calculatedColumnFormula>(J2/I2)*100</calculatedColumnFormula>
    </tableColumn>
    <tableColumn id="12" xr3:uid="{968A26A8-D398-4A9B-B4F3-17191F8547EE}" name="CATEGORY"/>
    <tableColumn id="13" xr3:uid="{513D8421-A25C-4C7B-97B9-355CF75B7DA0}" name="SUB-CATEGORY"/>
    <tableColumn id="14" xr3:uid="{1EEA32CB-6FB7-4AD9-9DD7-84DB8B82CA62}" name="CURRENCY"/>
    <tableColumn id="15" xr3:uid="{0BCD023B-C713-408E-8222-CE7FEA987276}" name="POSTAL CODE"/>
    <tableColumn id="16" xr3:uid="{14742780-A53B-49C6-9B3D-BDAA438E1197}" name="SHIP COUNTRY"/>
    <tableColumn id="17" xr3:uid="{07C2ADD3-82DE-4469-BE37-96DED4CF2910}" name="STATE"/>
    <tableColumn id="18" xr3:uid="{0B8CD53D-B824-44E8-96DD-8A6C6A4B5528}" name="fulfilled-by"/>
    <tableColumn id="19" xr3:uid="{F15609DE-D0A5-42BB-AF5D-74EE97C97FDA}" name="SALES"/>
    <tableColumn id="20" xr3:uid="{B12DF674-BD15-4DF9-87AC-35AD09681023}" name="QUANTITY"/>
    <tableColumn id="21" xr3:uid="{CC25C553-28BF-43FB-8333-79D7A838314B}" name="DISCOUNT"/>
    <tableColumn id="22" xr3:uid="{21B2E198-C371-4519-A8E1-C765B5B828BC}" name="PROFIT"/>
    <tableColumn id="23" xr3:uid="{9B0B8158-58DB-42F1-BAF4-D2ECD6659886}" name="COST">
      <calculatedColumnFormula>(S2-V2)/T2</calculatedColumnFormula>
    </tableColumn>
    <tableColumn id="24" xr3:uid="{74101E47-3F84-4D6C-9A81-F49BEFE2FC6C}" name="REVIEWS"/>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51AD64-5C52-490B-8796-63317D629F41}" name="Table24" displayName="Table24" ref="A1:X1827" totalsRowShown="0">
  <autoFilter ref="A1:X1827" xr:uid="{4551AD64-5C52-490B-8796-63317D629F41}"/>
  <tableColumns count="24">
    <tableColumn id="1" xr3:uid="{229A1AC2-1644-4482-ACA9-CE4157E48315}" name="INDEX"/>
    <tableColumn id="2" xr3:uid="{35AEC525-747C-4E46-B864-3D39F90D3CDA}" name="ORDER ID"/>
    <tableColumn id="3" xr3:uid="{E1426B94-139E-4102-AB69-B7B1A6811EA8}" name="DATE" dataDxfId="289"/>
    <tableColumn id="4" xr3:uid="{8C6D6CD9-B5E2-480A-B229-3710D42A70FD}" name="Month">
      <calculatedColumnFormula>TEXT(C2,"Mmm")</calculatedColumnFormula>
    </tableColumn>
    <tableColumn id="5" xr3:uid="{C69A4E7E-AFD5-46EC-99D5-F36CC192F561}" name="YEAR">
      <calculatedColumnFormula>TEXT(C2,"YYYY")</calculatedColumnFormula>
    </tableColumn>
    <tableColumn id="6" xr3:uid="{98365031-04D8-4C76-8E31-C011F08CFD39}" name="SHIP MODE"/>
    <tableColumn id="7" xr3:uid="{02DFE3DA-2943-47DB-A281-93E42278A308}" name="CUSTOMER ID"/>
    <tableColumn id="8" xr3:uid="{8A1E3B07-5A30-4DBC-8784-B6C905DFE8F0}" name="PRODUCT ID"/>
    <tableColumn id="9" xr3:uid="{603EE235-266F-4B6D-894A-73B313299E9F}" name="Impressions"/>
    <tableColumn id="10" xr3:uid="{14B1247C-2841-4964-813A-09218604A051}" name="Clicks"/>
    <tableColumn id="11" xr3:uid="{C4A845AA-D3DE-4E12-8C65-E367423A2707}" name="CTR">
      <calculatedColumnFormula>(J2/I2)*100</calculatedColumnFormula>
    </tableColumn>
    <tableColumn id="12" xr3:uid="{3A947E98-04F3-46C2-BE53-EED03665D9BD}" name="CATEGORY"/>
    <tableColumn id="13" xr3:uid="{FB5EDD97-B414-4191-AA1A-60D335E39B53}" name="SUB-CATEGORY"/>
    <tableColumn id="14" xr3:uid="{26092709-0E08-4632-85F5-EABE6A3E94DC}" name="CURRENCY"/>
    <tableColumn id="15" xr3:uid="{72F2A0CF-8C47-4CC4-B3B5-561165CFB231}" name="POSTAL CODE"/>
    <tableColumn id="16" xr3:uid="{C361CD2E-7D13-4AAA-B3BE-D7B59CD1E09A}" name="SHIP COUNTRY"/>
    <tableColumn id="17" xr3:uid="{C413DA37-4376-4AA1-81D2-B3E7B39A228A}" name="STATE"/>
    <tableColumn id="18" xr3:uid="{14DA1A2F-9C56-4734-9691-C295256514F5}" name="fulfilled-by"/>
    <tableColumn id="19" xr3:uid="{7B5C148E-1E14-4B8A-AACB-CFAD57C9BE1B}" name="SALES"/>
    <tableColumn id="20" xr3:uid="{C0F57A8F-E2CC-428B-9EC2-D1AB7842521B}" name="QUANTITY"/>
    <tableColumn id="21" xr3:uid="{CB74ABF7-E840-4ECC-A4B4-9C98EC6AD90C}" name="DISCOUNT"/>
    <tableColumn id="22" xr3:uid="{FD598DED-029A-40CF-8802-0D05C14A4437}" name="PROFIT"/>
    <tableColumn id="23" xr3:uid="{1DE48310-50F2-422E-A71A-4757805EDA7B}" name="COST">
      <calculatedColumnFormula>(S2-V2)/T2</calculatedColumnFormula>
    </tableColumn>
    <tableColumn id="24" xr3:uid="{35EDB1E4-3B73-40D6-A3F2-AE9F449C5DE7}" name="REVIEWS"/>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8.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25E48-5741-4805-939A-029DC7785852}">
  <dimension ref="A1:X1827"/>
  <sheetViews>
    <sheetView topLeftCell="C1" workbookViewId="0">
      <selection activeCell="L28" sqref="L28"/>
    </sheetView>
  </sheetViews>
  <sheetFormatPr defaultRowHeight="14.4" x14ac:dyDescent="0.3"/>
  <cols>
    <col min="2" max="2" width="19.5546875" bestFit="1" customWidth="1"/>
    <col min="3" max="3" width="10.33203125" bestFit="1" customWidth="1"/>
    <col min="6" max="6" width="13.109375" bestFit="1" customWidth="1"/>
    <col min="7" max="7" width="14.109375" customWidth="1"/>
    <col min="8" max="8" width="16.33203125" bestFit="1" customWidth="1"/>
    <col min="9" max="9" width="12.6640625" customWidth="1"/>
    <col min="12" max="12" width="13.88671875" bestFit="1" customWidth="1"/>
    <col min="13" max="13" width="24.44140625" bestFit="1" customWidth="1"/>
    <col min="14" max="14" width="12.109375" customWidth="1"/>
    <col min="15" max="15" width="14.33203125" customWidth="1"/>
    <col min="16" max="16" width="15.88671875" bestFit="1" customWidth="1"/>
    <col min="17" max="17" width="13.88671875" bestFit="1" customWidth="1"/>
    <col min="18" max="18" width="11.21875" customWidth="1"/>
    <col min="20" max="20" width="11.109375" customWidth="1"/>
    <col min="21" max="21" width="11.5546875" customWidth="1"/>
    <col min="24" max="24" width="10.21875" customWidth="1"/>
    <col min="25" max="33" width="10.109375" customWidth="1"/>
    <col min="34" max="123" width="11.109375" customWidth="1"/>
    <col min="124" max="1023" width="12.109375" customWidth="1"/>
    <col min="1024" max="10023" width="13.109375" customWidth="1"/>
    <col min="10024" max="16384" width="14.109375" customWidth="1"/>
  </cols>
  <sheetData>
    <row r="1" spans="1:24" ht="16.5" customHeight="1" x14ac:dyDescent="0.3">
      <c r="A1" t="s">
        <v>1693</v>
      </c>
      <c r="B1" t="s">
        <v>1694</v>
      </c>
      <c r="C1" t="s">
        <v>1695</v>
      </c>
      <c r="D1" t="s">
        <v>3578</v>
      </c>
      <c r="E1" t="s">
        <v>1708</v>
      </c>
      <c r="F1" t="s">
        <v>1696</v>
      </c>
      <c r="G1" t="s">
        <v>1697</v>
      </c>
      <c r="H1" t="s">
        <v>1698</v>
      </c>
      <c r="I1" t="s">
        <v>1749</v>
      </c>
      <c r="J1" t="s">
        <v>1750</v>
      </c>
      <c r="K1" t="s">
        <v>1751</v>
      </c>
      <c r="L1" t="s">
        <v>1699</v>
      </c>
      <c r="M1" t="s">
        <v>1700</v>
      </c>
      <c r="N1" t="s">
        <v>1701</v>
      </c>
      <c r="O1" t="s">
        <v>1707</v>
      </c>
      <c r="P1" t="s">
        <v>1702</v>
      </c>
      <c r="Q1" t="s">
        <v>1753</v>
      </c>
      <c r="R1" t="s">
        <v>0</v>
      </c>
      <c r="S1" t="s">
        <v>1703</v>
      </c>
      <c r="T1" t="s">
        <v>1704</v>
      </c>
      <c r="U1" t="s">
        <v>1705</v>
      </c>
      <c r="V1" t="s">
        <v>1706</v>
      </c>
      <c r="W1" t="s">
        <v>1734</v>
      </c>
      <c r="X1" t="s">
        <v>1735</v>
      </c>
    </row>
    <row r="2" spans="1:24" x14ac:dyDescent="0.3">
      <c r="A2">
        <v>1</v>
      </c>
      <c r="B2" t="s">
        <v>1777</v>
      </c>
      <c r="C2" s="6">
        <v>44197</v>
      </c>
      <c r="D2" t="str">
        <f>TEXT(C2,"Mmm")</f>
        <v>Jan</v>
      </c>
      <c r="E2" t="str">
        <f>TEXT(C2,"YYYY")</f>
        <v>2021</v>
      </c>
      <c r="F2" t="s">
        <v>3</v>
      </c>
      <c r="G2" t="s">
        <v>7</v>
      </c>
      <c r="H2" t="s">
        <v>547</v>
      </c>
      <c r="I2">
        <v>190</v>
      </c>
      <c r="J2">
        <v>22</v>
      </c>
      <c r="K2">
        <f>(J2/I2)*100</f>
        <v>11.578947368421053</v>
      </c>
      <c r="L2" t="s">
        <v>1737</v>
      </c>
      <c r="M2" t="s">
        <v>3579</v>
      </c>
      <c r="N2" t="s">
        <v>1</v>
      </c>
      <c r="O2">
        <v>600091</v>
      </c>
      <c r="P2" t="s">
        <v>546</v>
      </c>
      <c r="Q2" t="s">
        <v>1761</v>
      </c>
      <c r="S2">
        <v>261.95999999999998</v>
      </c>
      <c r="T2">
        <v>2</v>
      </c>
      <c r="U2">
        <v>0.1</v>
      </c>
      <c r="V2">
        <v>41.913600000000002</v>
      </c>
      <c r="W2">
        <f>(S2-V2)/T2</f>
        <v>110.02319999999999</v>
      </c>
      <c r="X2">
        <v>5</v>
      </c>
    </row>
    <row r="3" spans="1:24" x14ac:dyDescent="0.3">
      <c r="A3">
        <v>2</v>
      </c>
      <c r="B3" t="s">
        <v>1778</v>
      </c>
      <c r="C3" s="6">
        <v>44198</v>
      </c>
      <c r="D3" t="str">
        <f t="shared" ref="D3:D66" si="0">TEXT(C3,"Mmm")</f>
        <v>Jan</v>
      </c>
      <c r="E3" t="str">
        <f t="shared" ref="E3:E66" si="1">TEXT(C3,"YYYY")</f>
        <v>2021</v>
      </c>
      <c r="F3" t="s">
        <v>3</v>
      </c>
      <c r="G3" t="s">
        <v>7</v>
      </c>
      <c r="H3" t="s">
        <v>548</v>
      </c>
      <c r="I3">
        <v>100</v>
      </c>
      <c r="J3">
        <v>26</v>
      </c>
      <c r="K3">
        <f t="shared" ref="K3:K66" si="2">(J3/I3)*100</f>
        <v>26</v>
      </c>
      <c r="L3" t="s">
        <v>1743</v>
      </c>
      <c r="M3" t="s">
        <v>3580</v>
      </c>
      <c r="N3" t="s">
        <v>1</v>
      </c>
      <c r="O3">
        <v>831005</v>
      </c>
      <c r="P3" t="s">
        <v>546</v>
      </c>
      <c r="Q3" t="s">
        <v>1755</v>
      </c>
      <c r="S3">
        <v>731.94</v>
      </c>
      <c r="T3">
        <v>3</v>
      </c>
      <c r="U3">
        <v>0.1</v>
      </c>
      <c r="V3">
        <v>219.58199999999999</v>
      </c>
      <c r="W3">
        <f t="shared" ref="W3:W66" si="3">(S3-V3)/T3</f>
        <v>170.78600000000003</v>
      </c>
      <c r="X3">
        <v>4</v>
      </c>
    </row>
    <row r="4" spans="1:24" x14ac:dyDescent="0.3">
      <c r="A4">
        <v>3</v>
      </c>
      <c r="B4" t="s">
        <v>1779</v>
      </c>
      <c r="C4" s="6">
        <v>44199</v>
      </c>
      <c r="D4" t="str">
        <f t="shared" si="0"/>
        <v>Jan</v>
      </c>
      <c r="E4" t="str">
        <f t="shared" si="1"/>
        <v>2021</v>
      </c>
      <c r="F4" t="s">
        <v>3</v>
      </c>
      <c r="G4" t="s">
        <v>8</v>
      </c>
      <c r="H4" t="s">
        <v>549</v>
      </c>
      <c r="I4">
        <v>110</v>
      </c>
      <c r="J4">
        <v>28</v>
      </c>
      <c r="K4">
        <f t="shared" si="2"/>
        <v>25.454545454545453</v>
      </c>
      <c r="L4" t="s">
        <v>1739</v>
      </c>
      <c r="M4" t="s">
        <v>3581</v>
      </c>
      <c r="N4" t="s">
        <v>1</v>
      </c>
      <c r="O4">
        <v>440024</v>
      </c>
      <c r="P4" t="s">
        <v>546</v>
      </c>
      <c r="Q4" t="s">
        <v>1773</v>
      </c>
      <c r="R4" t="s">
        <v>2</v>
      </c>
      <c r="S4">
        <v>14.62</v>
      </c>
      <c r="T4">
        <v>2</v>
      </c>
      <c r="U4">
        <v>0.1</v>
      </c>
      <c r="V4">
        <v>6.8714000000000004</v>
      </c>
      <c r="W4">
        <f t="shared" si="3"/>
        <v>3.8742999999999994</v>
      </c>
      <c r="X4">
        <v>3</v>
      </c>
    </row>
    <row r="5" spans="1:24" x14ac:dyDescent="0.3">
      <c r="A5">
        <v>4</v>
      </c>
      <c r="B5" t="s">
        <v>1780</v>
      </c>
      <c r="C5" s="6">
        <v>44200</v>
      </c>
      <c r="D5" t="str">
        <f t="shared" si="0"/>
        <v>Jan</v>
      </c>
      <c r="E5" t="str">
        <f t="shared" si="1"/>
        <v>2021</v>
      </c>
      <c r="F5" t="s">
        <v>4</v>
      </c>
      <c r="G5" t="s">
        <v>9</v>
      </c>
      <c r="H5" t="s">
        <v>550</v>
      </c>
      <c r="I5">
        <v>220</v>
      </c>
      <c r="J5">
        <v>28</v>
      </c>
      <c r="K5">
        <f t="shared" si="2"/>
        <v>12.727272727272727</v>
      </c>
      <c r="L5" t="s">
        <v>1736</v>
      </c>
      <c r="M5" t="s">
        <v>3582</v>
      </c>
      <c r="N5" t="s">
        <v>1</v>
      </c>
      <c r="O5">
        <v>201309</v>
      </c>
      <c r="P5" t="s">
        <v>546</v>
      </c>
      <c r="Q5" t="s">
        <v>1759</v>
      </c>
      <c r="S5">
        <v>957.57749999999999</v>
      </c>
      <c r="T5">
        <v>5</v>
      </c>
      <c r="U5">
        <v>0.45</v>
      </c>
      <c r="V5">
        <v>-383.03100000000001</v>
      </c>
      <c r="W5">
        <f t="shared" si="3"/>
        <v>268.12170000000003</v>
      </c>
      <c r="X5">
        <v>3</v>
      </c>
    </row>
    <row r="6" spans="1:24" x14ac:dyDescent="0.3">
      <c r="A6">
        <v>5</v>
      </c>
      <c r="B6" t="s">
        <v>1781</v>
      </c>
      <c r="C6" s="6">
        <v>44201</v>
      </c>
      <c r="D6" t="str">
        <f t="shared" si="0"/>
        <v>Jan</v>
      </c>
      <c r="E6" t="str">
        <f t="shared" si="1"/>
        <v>2021</v>
      </c>
      <c r="F6" t="s">
        <v>4</v>
      </c>
      <c r="G6" t="s">
        <v>9</v>
      </c>
      <c r="H6" t="s">
        <v>551</v>
      </c>
      <c r="I6">
        <v>150</v>
      </c>
      <c r="J6">
        <v>6</v>
      </c>
      <c r="K6">
        <f t="shared" si="2"/>
        <v>4</v>
      </c>
      <c r="L6" t="s">
        <v>1738</v>
      </c>
      <c r="M6" t="s">
        <v>3583</v>
      </c>
      <c r="N6" t="s">
        <v>1</v>
      </c>
      <c r="O6">
        <v>302018</v>
      </c>
      <c r="P6" t="s">
        <v>546</v>
      </c>
      <c r="Q6" t="s">
        <v>1772</v>
      </c>
      <c r="S6">
        <v>22.367999999999999</v>
      </c>
      <c r="T6">
        <v>2</v>
      </c>
      <c r="U6">
        <v>0.2</v>
      </c>
      <c r="V6">
        <v>2.5164</v>
      </c>
      <c r="W6">
        <f t="shared" si="3"/>
        <v>9.9257999999999988</v>
      </c>
      <c r="X6">
        <v>4</v>
      </c>
    </row>
    <row r="7" spans="1:24" x14ac:dyDescent="0.3">
      <c r="A7">
        <v>6</v>
      </c>
      <c r="B7" t="s">
        <v>1782</v>
      </c>
      <c r="C7" s="6">
        <v>44202</v>
      </c>
      <c r="D7" t="str">
        <f t="shared" si="0"/>
        <v>Jan</v>
      </c>
      <c r="E7" t="str">
        <f t="shared" si="1"/>
        <v>2021</v>
      </c>
      <c r="F7" t="s">
        <v>4</v>
      </c>
      <c r="G7" t="s">
        <v>10</v>
      </c>
      <c r="H7" t="s">
        <v>552</v>
      </c>
      <c r="I7">
        <v>190</v>
      </c>
      <c r="J7">
        <v>14</v>
      </c>
      <c r="K7">
        <f t="shared" si="2"/>
        <v>7.3684210526315779</v>
      </c>
      <c r="L7" t="s">
        <v>1741</v>
      </c>
      <c r="M7" t="s">
        <v>3584</v>
      </c>
      <c r="N7" t="s">
        <v>1</v>
      </c>
      <c r="O7">
        <v>517002</v>
      </c>
      <c r="P7" t="s">
        <v>546</v>
      </c>
      <c r="Q7" t="s">
        <v>1775</v>
      </c>
      <c r="S7">
        <v>48.86</v>
      </c>
      <c r="T7">
        <v>7</v>
      </c>
      <c r="U7">
        <v>0.1</v>
      </c>
      <c r="V7">
        <v>14.1694</v>
      </c>
      <c r="W7">
        <f t="shared" si="3"/>
        <v>4.9558000000000009</v>
      </c>
      <c r="X7">
        <v>5</v>
      </c>
    </row>
    <row r="8" spans="1:24" x14ac:dyDescent="0.3">
      <c r="A8">
        <v>7</v>
      </c>
      <c r="B8" t="s">
        <v>1783</v>
      </c>
      <c r="C8" s="6">
        <v>44203</v>
      </c>
      <c r="D8" t="str">
        <f t="shared" si="0"/>
        <v>Jan</v>
      </c>
      <c r="E8" t="str">
        <f t="shared" si="1"/>
        <v>2021</v>
      </c>
      <c r="F8" t="s">
        <v>4</v>
      </c>
      <c r="G8" t="s">
        <v>10</v>
      </c>
      <c r="H8" t="s">
        <v>553</v>
      </c>
      <c r="I8">
        <v>120</v>
      </c>
      <c r="J8">
        <v>24</v>
      </c>
      <c r="K8">
        <f t="shared" si="2"/>
        <v>20</v>
      </c>
      <c r="L8" t="s">
        <v>1744</v>
      </c>
      <c r="M8" t="s">
        <v>3585</v>
      </c>
      <c r="N8" t="s">
        <v>1</v>
      </c>
      <c r="O8">
        <v>411014</v>
      </c>
      <c r="P8" t="s">
        <v>546</v>
      </c>
      <c r="Q8" t="s">
        <v>1773</v>
      </c>
      <c r="S8">
        <v>7.28</v>
      </c>
      <c r="T8">
        <v>4</v>
      </c>
      <c r="U8">
        <v>0.1</v>
      </c>
      <c r="V8">
        <v>1.9656</v>
      </c>
      <c r="W8">
        <f t="shared" si="3"/>
        <v>1.3286</v>
      </c>
      <c r="X8">
        <v>4</v>
      </c>
    </row>
    <row r="9" spans="1:24" x14ac:dyDescent="0.3">
      <c r="A9">
        <v>8</v>
      </c>
      <c r="B9" t="s">
        <v>1784</v>
      </c>
      <c r="C9" s="6">
        <v>44204</v>
      </c>
      <c r="D9" t="str">
        <f t="shared" si="0"/>
        <v>Jan</v>
      </c>
      <c r="E9" t="str">
        <f t="shared" si="1"/>
        <v>2021</v>
      </c>
      <c r="F9" t="s">
        <v>4</v>
      </c>
      <c r="G9" t="s">
        <v>10</v>
      </c>
      <c r="H9" t="s">
        <v>554</v>
      </c>
      <c r="I9">
        <v>100</v>
      </c>
      <c r="J9">
        <v>6</v>
      </c>
      <c r="K9">
        <f t="shared" si="2"/>
        <v>6</v>
      </c>
      <c r="L9" t="s">
        <v>1740</v>
      </c>
      <c r="M9" t="s">
        <v>3586</v>
      </c>
      <c r="N9" t="s">
        <v>1</v>
      </c>
      <c r="O9">
        <v>560094</v>
      </c>
      <c r="P9" t="s">
        <v>546</v>
      </c>
      <c r="Q9" t="s">
        <v>1774</v>
      </c>
      <c r="S9">
        <v>907.15200000000004</v>
      </c>
      <c r="T9">
        <v>6</v>
      </c>
      <c r="U9">
        <v>0.2</v>
      </c>
      <c r="V9">
        <v>90.715199999999996</v>
      </c>
      <c r="W9">
        <f t="shared" si="3"/>
        <v>136.0728</v>
      </c>
      <c r="X9">
        <v>4</v>
      </c>
    </row>
    <row r="10" spans="1:24" x14ac:dyDescent="0.3">
      <c r="A10">
        <v>9</v>
      </c>
      <c r="B10" t="s">
        <v>1785</v>
      </c>
      <c r="C10" s="6">
        <v>44205</v>
      </c>
      <c r="D10" t="str">
        <f t="shared" si="0"/>
        <v>Jan</v>
      </c>
      <c r="E10" t="str">
        <f t="shared" si="1"/>
        <v>2021</v>
      </c>
      <c r="F10" t="s">
        <v>4</v>
      </c>
      <c r="G10" t="s">
        <v>10</v>
      </c>
      <c r="H10" t="s">
        <v>555</v>
      </c>
      <c r="I10">
        <v>100</v>
      </c>
      <c r="J10">
        <v>12</v>
      </c>
      <c r="K10">
        <f t="shared" si="2"/>
        <v>12</v>
      </c>
      <c r="L10" t="s">
        <v>1742</v>
      </c>
      <c r="M10" t="s">
        <v>3587</v>
      </c>
      <c r="N10" t="s">
        <v>1</v>
      </c>
      <c r="O10">
        <v>800013</v>
      </c>
      <c r="P10" t="s">
        <v>546</v>
      </c>
      <c r="Q10" t="s">
        <v>1761</v>
      </c>
      <c r="R10" t="s">
        <v>2</v>
      </c>
      <c r="S10">
        <v>18.504000000000001</v>
      </c>
      <c r="T10">
        <v>3</v>
      </c>
      <c r="U10">
        <v>0.2</v>
      </c>
      <c r="V10">
        <v>5.7824999999999998</v>
      </c>
      <c r="W10">
        <f t="shared" si="3"/>
        <v>4.2405000000000008</v>
      </c>
      <c r="X10">
        <v>3</v>
      </c>
    </row>
    <row r="11" spans="1:24" x14ac:dyDescent="0.3">
      <c r="A11">
        <v>10</v>
      </c>
      <c r="B11" t="s">
        <v>1786</v>
      </c>
      <c r="C11" s="6">
        <v>44206</v>
      </c>
      <c r="D11" t="str">
        <f t="shared" si="0"/>
        <v>Jan</v>
      </c>
      <c r="E11" t="str">
        <f t="shared" si="1"/>
        <v>2021</v>
      </c>
      <c r="F11" t="s">
        <v>4</v>
      </c>
      <c r="G11" t="s">
        <v>10</v>
      </c>
      <c r="H11" t="s">
        <v>556</v>
      </c>
      <c r="I11">
        <v>210</v>
      </c>
      <c r="J11">
        <v>10</v>
      </c>
      <c r="K11">
        <f t="shared" si="2"/>
        <v>4.7619047619047619</v>
      </c>
      <c r="L11" t="s">
        <v>1739</v>
      </c>
      <c r="M11" t="s">
        <v>3588</v>
      </c>
      <c r="N11" t="s">
        <v>1</v>
      </c>
      <c r="O11">
        <v>700010</v>
      </c>
      <c r="P11" t="s">
        <v>546</v>
      </c>
      <c r="Q11" t="s">
        <v>1761</v>
      </c>
      <c r="R11" t="s">
        <v>2</v>
      </c>
      <c r="S11">
        <v>114.9</v>
      </c>
      <c r="T11">
        <v>5</v>
      </c>
      <c r="U11">
        <v>0.1</v>
      </c>
      <c r="V11">
        <v>34.47</v>
      </c>
      <c r="W11">
        <f t="shared" si="3"/>
        <v>16.086000000000002</v>
      </c>
      <c r="X11">
        <v>1</v>
      </c>
    </row>
    <row r="12" spans="1:24" x14ac:dyDescent="0.3">
      <c r="A12">
        <v>11</v>
      </c>
      <c r="B12" t="s">
        <v>1787</v>
      </c>
      <c r="C12" s="6">
        <v>44207</v>
      </c>
      <c r="D12" t="str">
        <f t="shared" si="0"/>
        <v>Jan</v>
      </c>
      <c r="E12" t="str">
        <f t="shared" si="1"/>
        <v>2021</v>
      </c>
      <c r="F12" t="s">
        <v>4</v>
      </c>
      <c r="G12" t="s">
        <v>10</v>
      </c>
      <c r="H12" t="s">
        <v>557</v>
      </c>
      <c r="I12">
        <v>190</v>
      </c>
      <c r="J12">
        <v>26</v>
      </c>
      <c r="K12">
        <f t="shared" si="2"/>
        <v>13.684210526315791</v>
      </c>
      <c r="L12" t="s">
        <v>1738</v>
      </c>
      <c r="M12" t="s">
        <v>3589</v>
      </c>
      <c r="O12">
        <v>400601</v>
      </c>
      <c r="P12" t="s">
        <v>546</v>
      </c>
      <c r="Q12" t="s">
        <v>1768</v>
      </c>
      <c r="R12" t="s">
        <v>2</v>
      </c>
      <c r="S12">
        <v>1706.184</v>
      </c>
      <c r="T12">
        <v>9</v>
      </c>
      <c r="U12">
        <v>0.2</v>
      </c>
      <c r="V12">
        <v>85.309200000000004</v>
      </c>
      <c r="W12">
        <f t="shared" si="3"/>
        <v>180.09720000000002</v>
      </c>
      <c r="X12">
        <v>1</v>
      </c>
    </row>
    <row r="13" spans="1:24" x14ac:dyDescent="0.3">
      <c r="A13">
        <v>12</v>
      </c>
      <c r="B13" t="s">
        <v>1788</v>
      </c>
      <c r="C13" s="6">
        <v>44208</v>
      </c>
      <c r="D13" t="str">
        <f t="shared" si="0"/>
        <v>Jan</v>
      </c>
      <c r="E13" t="str">
        <f t="shared" si="1"/>
        <v>2021</v>
      </c>
      <c r="F13" t="s">
        <v>4</v>
      </c>
      <c r="G13" t="s">
        <v>10</v>
      </c>
      <c r="H13" t="s">
        <v>558</v>
      </c>
      <c r="I13">
        <v>130</v>
      </c>
      <c r="J13">
        <v>12</v>
      </c>
      <c r="K13">
        <f t="shared" si="2"/>
        <v>9.2307692307692317</v>
      </c>
      <c r="L13" t="s">
        <v>1743</v>
      </c>
      <c r="M13" t="s">
        <v>3590</v>
      </c>
      <c r="N13" t="s">
        <v>1</v>
      </c>
      <c r="O13">
        <v>410405</v>
      </c>
      <c r="P13" t="s">
        <v>546</v>
      </c>
      <c r="Q13" t="s">
        <v>1759</v>
      </c>
      <c r="S13">
        <v>911.42399999999998</v>
      </c>
      <c r="T13">
        <v>4</v>
      </c>
      <c r="U13">
        <v>0.2</v>
      </c>
      <c r="V13">
        <v>68.356800000000007</v>
      </c>
      <c r="W13">
        <f t="shared" si="3"/>
        <v>210.76679999999999</v>
      </c>
      <c r="X13">
        <v>3</v>
      </c>
    </row>
    <row r="14" spans="1:24" x14ac:dyDescent="0.3">
      <c r="A14">
        <v>13</v>
      </c>
      <c r="B14" t="s">
        <v>1789</v>
      </c>
      <c r="C14" s="6">
        <v>44209</v>
      </c>
      <c r="D14" t="str">
        <f t="shared" si="0"/>
        <v>Jan</v>
      </c>
      <c r="E14" t="str">
        <f t="shared" si="1"/>
        <v>2021</v>
      </c>
      <c r="F14" t="s">
        <v>4</v>
      </c>
      <c r="G14" t="s">
        <v>11</v>
      </c>
      <c r="H14" t="s">
        <v>559</v>
      </c>
      <c r="I14">
        <v>160</v>
      </c>
      <c r="J14">
        <v>24</v>
      </c>
      <c r="K14">
        <f t="shared" si="2"/>
        <v>15</v>
      </c>
      <c r="L14" t="s">
        <v>1741</v>
      </c>
      <c r="M14" t="s">
        <v>3591</v>
      </c>
      <c r="N14" t="s">
        <v>1</v>
      </c>
      <c r="O14">
        <v>274001</v>
      </c>
      <c r="P14" t="s">
        <v>546</v>
      </c>
      <c r="Q14" t="s">
        <v>1776</v>
      </c>
      <c r="R14" t="s">
        <v>2</v>
      </c>
      <c r="S14">
        <v>15.552</v>
      </c>
      <c r="T14">
        <v>3</v>
      </c>
      <c r="U14">
        <v>0.2</v>
      </c>
      <c r="V14">
        <v>5.4432</v>
      </c>
      <c r="W14">
        <f t="shared" si="3"/>
        <v>3.3695999999999997</v>
      </c>
      <c r="X14">
        <v>3</v>
      </c>
    </row>
    <row r="15" spans="1:24" x14ac:dyDescent="0.3">
      <c r="A15">
        <v>14</v>
      </c>
      <c r="B15" t="s">
        <v>1790</v>
      </c>
      <c r="C15" s="6">
        <v>44210</v>
      </c>
      <c r="D15" t="str">
        <f>TEXT(C15,"Mmm")</f>
        <v>Jan</v>
      </c>
      <c r="E15" t="str">
        <f t="shared" si="1"/>
        <v>2021</v>
      </c>
      <c r="F15" t="s">
        <v>4</v>
      </c>
      <c r="G15" t="s">
        <v>12</v>
      </c>
      <c r="H15" t="s">
        <v>560</v>
      </c>
      <c r="I15">
        <v>230</v>
      </c>
      <c r="J15">
        <v>18</v>
      </c>
      <c r="K15">
        <f t="shared" si="2"/>
        <v>7.8260869565217401</v>
      </c>
      <c r="L15" t="s">
        <v>1737</v>
      </c>
      <c r="M15" t="s">
        <v>3592</v>
      </c>
      <c r="N15" t="s">
        <v>1</v>
      </c>
      <c r="O15">
        <v>600083</v>
      </c>
      <c r="P15" t="s">
        <v>546</v>
      </c>
      <c r="Q15" t="s">
        <v>1765</v>
      </c>
      <c r="S15">
        <v>407.976</v>
      </c>
      <c r="T15">
        <v>3</v>
      </c>
      <c r="U15">
        <v>0.2</v>
      </c>
      <c r="V15">
        <v>132.59219999999999</v>
      </c>
      <c r="W15">
        <f t="shared" si="3"/>
        <v>91.794600000000003</v>
      </c>
      <c r="X15">
        <v>4</v>
      </c>
    </row>
    <row r="16" spans="1:24" x14ac:dyDescent="0.3">
      <c r="A16">
        <v>15</v>
      </c>
      <c r="B16" t="s">
        <v>1791</v>
      </c>
      <c r="C16" s="6">
        <v>44211</v>
      </c>
      <c r="D16" t="str">
        <f t="shared" si="0"/>
        <v>Jan</v>
      </c>
      <c r="E16" t="str">
        <f t="shared" si="1"/>
        <v>2021</v>
      </c>
      <c r="F16" t="s">
        <v>4</v>
      </c>
      <c r="G16" t="s">
        <v>13</v>
      </c>
      <c r="H16" t="s">
        <v>561</v>
      </c>
      <c r="I16">
        <v>230</v>
      </c>
      <c r="J16">
        <v>18</v>
      </c>
      <c r="K16">
        <f t="shared" si="2"/>
        <v>7.8260869565217401</v>
      </c>
      <c r="L16" t="s">
        <v>1736</v>
      </c>
      <c r="M16" t="s">
        <v>3593</v>
      </c>
      <c r="N16" t="s">
        <v>1</v>
      </c>
      <c r="O16">
        <v>400017</v>
      </c>
      <c r="P16" t="s">
        <v>546</v>
      </c>
      <c r="Q16" t="s">
        <v>1761</v>
      </c>
      <c r="R16" t="s">
        <v>2</v>
      </c>
      <c r="S16">
        <v>68.81</v>
      </c>
      <c r="T16">
        <v>5</v>
      </c>
      <c r="U16">
        <v>0.8</v>
      </c>
      <c r="V16">
        <v>-123.858</v>
      </c>
      <c r="W16">
        <f>(S16-V16)/T16</f>
        <v>38.5336</v>
      </c>
      <c r="X16">
        <v>2</v>
      </c>
    </row>
    <row r="17" spans="1:24" x14ac:dyDescent="0.3">
      <c r="A17">
        <v>16</v>
      </c>
      <c r="B17" t="s">
        <v>1792</v>
      </c>
      <c r="C17" s="6">
        <v>44212</v>
      </c>
      <c r="D17" t="str">
        <f t="shared" si="0"/>
        <v>Jan</v>
      </c>
      <c r="E17" t="str">
        <f t="shared" si="1"/>
        <v>2021</v>
      </c>
      <c r="F17" t="s">
        <v>4</v>
      </c>
      <c r="G17" t="s">
        <v>13</v>
      </c>
      <c r="H17" t="s">
        <v>562</v>
      </c>
      <c r="I17">
        <v>180</v>
      </c>
      <c r="J17">
        <v>28</v>
      </c>
      <c r="K17">
        <f t="shared" si="2"/>
        <v>15.555555555555555</v>
      </c>
      <c r="L17" t="s">
        <v>1739</v>
      </c>
      <c r="M17" t="s">
        <v>3594</v>
      </c>
      <c r="N17" t="s">
        <v>1</v>
      </c>
      <c r="O17">
        <v>695004</v>
      </c>
      <c r="P17" t="s">
        <v>546</v>
      </c>
      <c r="Q17" t="s">
        <v>1759</v>
      </c>
      <c r="S17">
        <v>2.544</v>
      </c>
      <c r="T17">
        <v>3</v>
      </c>
      <c r="U17">
        <v>0.8</v>
      </c>
      <c r="V17">
        <v>-3.8159999999999998</v>
      </c>
      <c r="W17">
        <f t="shared" si="3"/>
        <v>2.1199999999999997</v>
      </c>
      <c r="X17">
        <v>1</v>
      </c>
    </row>
    <row r="18" spans="1:24" x14ac:dyDescent="0.3">
      <c r="A18">
        <v>17</v>
      </c>
      <c r="B18" t="s">
        <v>1793</v>
      </c>
      <c r="C18" s="6">
        <v>44213</v>
      </c>
      <c r="D18" t="str">
        <f t="shared" si="0"/>
        <v>Jan</v>
      </c>
      <c r="E18" t="str">
        <f t="shared" si="1"/>
        <v>2021</v>
      </c>
      <c r="F18" t="s">
        <v>4</v>
      </c>
      <c r="G18" t="s">
        <v>14</v>
      </c>
      <c r="H18" t="s">
        <v>563</v>
      </c>
      <c r="I18">
        <v>150</v>
      </c>
      <c r="J18">
        <v>22</v>
      </c>
      <c r="K18">
        <f t="shared" si="2"/>
        <v>14.666666666666666</v>
      </c>
      <c r="L18" t="s">
        <v>1738</v>
      </c>
      <c r="M18" t="s">
        <v>3595</v>
      </c>
      <c r="O18">
        <v>301019</v>
      </c>
      <c r="P18" t="s">
        <v>546</v>
      </c>
      <c r="Q18" t="s">
        <v>1775</v>
      </c>
      <c r="S18">
        <v>665.88</v>
      </c>
      <c r="T18">
        <v>6</v>
      </c>
      <c r="U18">
        <v>0.1</v>
      </c>
      <c r="V18">
        <v>13.317600000000001</v>
      </c>
      <c r="W18">
        <f t="shared" si="3"/>
        <v>108.7604</v>
      </c>
      <c r="X18">
        <v>2</v>
      </c>
    </row>
    <row r="19" spans="1:24" x14ac:dyDescent="0.3">
      <c r="A19">
        <v>18</v>
      </c>
      <c r="B19" t="s">
        <v>1794</v>
      </c>
      <c r="C19" s="6">
        <v>44214</v>
      </c>
      <c r="D19" t="str">
        <f t="shared" si="0"/>
        <v>Jan</v>
      </c>
      <c r="E19" t="str">
        <f t="shared" si="1"/>
        <v>2021</v>
      </c>
      <c r="F19" t="s">
        <v>3</v>
      </c>
      <c r="G19" t="s">
        <v>15</v>
      </c>
      <c r="H19" t="s">
        <v>564</v>
      </c>
      <c r="I19">
        <v>110</v>
      </c>
      <c r="J19">
        <v>16</v>
      </c>
      <c r="K19">
        <f t="shared" si="2"/>
        <v>14.545454545454545</v>
      </c>
      <c r="L19" t="s">
        <v>1744</v>
      </c>
      <c r="M19" t="s">
        <v>3596</v>
      </c>
      <c r="N19" t="s">
        <v>1</v>
      </c>
      <c r="O19">
        <v>421202</v>
      </c>
      <c r="P19" t="s">
        <v>546</v>
      </c>
      <c r="Q19" t="s">
        <v>1767</v>
      </c>
      <c r="S19">
        <v>55.5</v>
      </c>
      <c r="T19">
        <v>2</v>
      </c>
      <c r="U19">
        <v>0.1</v>
      </c>
      <c r="V19">
        <v>9.99</v>
      </c>
      <c r="W19">
        <f t="shared" si="3"/>
        <v>22.754999999999999</v>
      </c>
      <c r="X19">
        <v>5</v>
      </c>
    </row>
    <row r="20" spans="1:24" x14ac:dyDescent="0.3">
      <c r="A20">
        <v>19</v>
      </c>
      <c r="B20" t="s">
        <v>1795</v>
      </c>
      <c r="C20" s="6">
        <v>44215</v>
      </c>
      <c r="D20" t="str">
        <f t="shared" si="0"/>
        <v>Jan</v>
      </c>
      <c r="E20" t="str">
        <f t="shared" si="1"/>
        <v>2021</v>
      </c>
      <c r="F20" t="s">
        <v>3</v>
      </c>
      <c r="G20" t="s">
        <v>16</v>
      </c>
      <c r="H20" t="s">
        <v>565</v>
      </c>
      <c r="I20">
        <v>220</v>
      </c>
      <c r="J20">
        <v>10</v>
      </c>
      <c r="K20">
        <f t="shared" si="2"/>
        <v>4.5454545454545459</v>
      </c>
      <c r="L20" t="s">
        <v>1740</v>
      </c>
      <c r="M20" t="s">
        <v>3597</v>
      </c>
      <c r="N20" t="s">
        <v>1</v>
      </c>
      <c r="O20">
        <v>516309</v>
      </c>
      <c r="P20" t="s">
        <v>546</v>
      </c>
      <c r="Q20" t="s">
        <v>1759</v>
      </c>
      <c r="S20">
        <v>8.56</v>
      </c>
      <c r="T20">
        <v>2</v>
      </c>
      <c r="U20">
        <v>0.1</v>
      </c>
      <c r="V20">
        <v>2.4824000000000002</v>
      </c>
      <c r="W20">
        <f t="shared" si="3"/>
        <v>3.0388000000000002</v>
      </c>
      <c r="X20">
        <v>2</v>
      </c>
    </row>
    <row r="21" spans="1:24" x14ac:dyDescent="0.3">
      <c r="A21">
        <v>20</v>
      </c>
      <c r="B21" t="s">
        <v>1796</v>
      </c>
      <c r="C21" s="6">
        <v>44216</v>
      </c>
      <c r="D21" t="str">
        <f t="shared" si="0"/>
        <v>Jan</v>
      </c>
      <c r="E21" t="str">
        <f t="shared" si="1"/>
        <v>2021</v>
      </c>
      <c r="F21" t="s">
        <v>3</v>
      </c>
      <c r="G21" t="s">
        <v>16</v>
      </c>
      <c r="H21" t="s">
        <v>566</v>
      </c>
      <c r="I21">
        <v>210</v>
      </c>
      <c r="J21">
        <v>18</v>
      </c>
      <c r="K21">
        <f t="shared" si="2"/>
        <v>8.5714285714285712</v>
      </c>
      <c r="L21" t="s">
        <v>1742</v>
      </c>
      <c r="M21" t="s">
        <v>3598</v>
      </c>
      <c r="N21" t="s">
        <v>1</v>
      </c>
      <c r="O21">
        <v>121010</v>
      </c>
      <c r="P21" t="s">
        <v>546</v>
      </c>
      <c r="Q21" t="s">
        <v>1767</v>
      </c>
      <c r="S21">
        <v>213.48</v>
      </c>
      <c r="T21">
        <v>3</v>
      </c>
      <c r="U21">
        <v>0.2</v>
      </c>
      <c r="V21">
        <v>16.010999999999999</v>
      </c>
      <c r="W21">
        <f t="shared" si="3"/>
        <v>65.822999999999993</v>
      </c>
      <c r="X21">
        <v>5</v>
      </c>
    </row>
    <row r="22" spans="1:24" x14ac:dyDescent="0.3">
      <c r="A22">
        <v>21</v>
      </c>
      <c r="B22" t="s">
        <v>1797</v>
      </c>
      <c r="C22" s="6">
        <v>44217</v>
      </c>
      <c r="D22" t="str">
        <f t="shared" si="0"/>
        <v>Jan</v>
      </c>
      <c r="E22" t="str">
        <f t="shared" si="1"/>
        <v>2021</v>
      </c>
      <c r="F22" t="s">
        <v>3</v>
      </c>
      <c r="G22" t="s">
        <v>16</v>
      </c>
      <c r="H22" t="s">
        <v>567</v>
      </c>
      <c r="I22">
        <v>110</v>
      </c>
      <c r="J22">
        <v>14</v>
      </c>
      <c r="K22">
        <f t="shared" si="2"/>
        <v>12.727272727272727</v>
      </c>
      <c r="L22" t="s">
        <v>1738</v>
      </c>
      <c r="M22" t="s">
        <v>3599</v>
      </c>
      <c r="N22" t="s">
        <v>1</v>
      </c>
      <c r="O22">
        <v>110054</v>
      </c>
      <c r="P22" t="s">
        <v>546</v>
      </c>
      <c r="Q22" t="s">
        <v>1754</v>
      </c>
      <c r="S22">
        <v>22.72</v>
      </c>
      <c r="T22">
        <v>4</v>
      </c>
      <c r="U22">
        <v>0.2</v>
      </c>
      <c r="V22">
        <v>7.3840000000000003</v>
      </c>
      <c r="W22">
        <f t="shared" si="3"/>
        <v>3.8339999999999996</v>
      </c>
      <c r="X22">
        <v>4</v>
      </c>
    </row>
    <row r="23" spans="1:24" x14ac:dyDescent="0.3">
      <c r="A23">
        <v>22</v>
      </c>
      <c r="B23" t="s">
        <v>1798</v>
      </c>
      <c r="C23" s="6">
        <v>44218</v>
      </c>
      <c r="D23" t="str">
        <f t="shared" si="0"/>
        <v>Jan</v>
      </c>
      <c r="E23" t="str">
        <f t="shared" si="1"/>
        <v>2021</v>
      </c>
      <c r="F23" t="s">
        <v>4</v>
      </c>
      <c r="G23" t="s">
        <v>17</v>
      </c>
      <c r="H23" t="s">
        <v>568</v>
      </c>
      <c r="I23">
        <v>150</v>
      </c>
      <c r="J23">
        <v>30</v>
      </c>
      <c r="K23">
        <f t="shared" si="2"/>
        <v>20</v>
      </c>
      <c r="L23" t="s">
        <v>1739</v>
      </c>
      <c r="M23" t="s">
        <v>3600</v>
      </c>
      <c r="O23">
        <v>400017</v>
      </c>
      <c r="P23" t="s">
        <v>546</v>
      </c>
      <c r="Q23" t="s">
        <v>1772</v>
      </c>
      <c r="S23">
        <v>19.46</v>
      </c>
      <c r="T23">
        <v>7</v>
      </c>
      <c r="U23">
        <v>0.1</v>
      </c>
      <c r="V23">
        <v>5.0595999999999997</v>
      </c>
      <c r="W23">
        <f t="shared" si="3"/>
        <v>2.0572000000000004</v>
      </c>
      <c r="X23">
        <v>3</v>
      </c>
    </row>
    <row r="24" spans="1:24" x14ac:dyDescent="0.3">
      <c r="A24">
        <v>23</v>
      </c>
      <c r="B24" t="s">
        <v>1799</v>
      </c>
      <c r="C24" s="6">
        <v>44219</v>
      </c>
      <c r="D24" t="str">
        <f t="shared" si="0"/>
        <v>Jan</v>
      </c>
      <c r="E24" t="str">
        <f t="shared" si="1"/>
        <v>2021</v>
      </c>
      <c r="F24" t="s">
        <v>4</v>
      </c>
      <c r="G24" t="s">
        <v>17</v>
      </c>
      <c r="H24" t="s">
        <v>569</v>
      </c>
      <c r="I24">
        <v>110</v>
      </c>
      <c r="J24">
        <v>10</v>
      </c>
      <c r="K24">
        <f t="shared" si="2"/>
        <v>9.0909090909090917</v>
      </c>
      <c r="L24" t="s">
        <v>1743</v>
      </c>
      <c r="M24" t="s">
        <v>3601</v>
      </c>
      <c r="N24" t="s">
        <v>1</v>
      </c>
      <c r="O24">
        <v>400068</v>
      </c>
      <c r="P24" t="s">
        <v>546</v>
      </c>
      <c r="Q24" t="s">
        <v>1769</v>
      </c>
      <c r="S24">
        <v>60.34</v>
      </c>
      <c r="T24">
        <v>7</v>
      </c>
      <c r="U24">
        <v>0.1</v>
      </c>
      <c r="V24">
        <v>15.6884</v>
      </c>
      <c r="W24">
        <f t="shared" si="3"/>
        <v>6.3788</v>
      </c>
      <c r="X24">
        <v>3</v>
      </c>
    </row>
    <row r="25" spans="1:24" x14ac:dyDescent="0.3">
      <c r="A25">
        <v>24</v>
      </c>
      <c r="B25" t="s">
        <v>1800</v>
      </c>
      <c r="C25" s="6">
        <v>44220</v>
      </c>
      <c r="D25" t="str">
        <f t="shared" si="0"/>
        <v>Jan</v>
      </c>
      <c r="E25" t="str">
        <f t="shared" si="1"/>
        <v>2021</v>
      </c>
      <c r="F25" t="s">
        <v>3</v>
      </c>
      <c r="G25" t="s">
        <v>18</v>
      </c>
      <c r="H25" t="s">
        <v>570</v>
      </c>
      <c r="I25">
        <v>190</v>
      </c>
      <c r="J25">
        <v>14</v>
      </c>
      <c r="K25">
        <f t="shared" si="2"/>
        <v>7.3684210526315779</v>
      </c>
      <c r="L25" t="s">
        <v>1737</v>
      </c>
      <c r="M25" t="s">
        <v>3602</v>
      </c>
      <c r="N25" t="s">
        <v>1</v>
      </c>
      <c r="O25">
        <v>175008</v>
      </c>
      <c r="P25" t="s">
        <v>546</v>
      </c>
      <c r="Q25" t="s">
        <v>1759</v>
      </c>
      <c r="S25">
        <v>71.372</v>
      </c>
      <c r="T25">
        <v>2</v>
      </c>
      <c r="U25">
        <v>0.3</v>
      </c>
      <c r="V25">
        <v>-1.0196000000000001</v>
      </c>
      <c r="W25">
        <f t="shared" si="3"/>
        <v>36.195799999999998</v>
      </c>
      <c r="X25">
        <v>4</v>
      </c>
    </row>
    <row r="26" spans="1:24" x14ac:dyDescent="0.3">
      <c r="A26">
        <v>25</v>
      </c>
      <c r="B26" t="s">
        <v>1801</v>
      </c>
      <c r="C26" s="6">
        <v>44221</v>
      </c>
      <c r="D26" t="str">
        <f t="shared" si="0"/>
        <v>Jan</v>
      </c>
      <c r="E26" t="str">
        <f t="shared" si="1"/>
        <v>2021</v>
      </c>
      <c r="F26" t="s">
        <v>4</v>
      </c>
      <c r="G26" t="s">
        <v>19</v>
      </c>
      <c r="H26" t="s">
        <v>550</v>
      </c>
      <c r="I26">
        <v>160</v>
      </c>
      <c r="J26">
        <v>22</v>
      </c>
      <c r="K26">
        <f t="shared" si="2"/>
        <v>13.750000000000002</v>
      </c>
      <c r="L26" t="s">
        <v>1741</v>
      </c>
      <c r="M26" t="s">
        <v>3603</v>
      </c>
      <c r="O26">
        <v>380022</v>
      </c>
      <c r="P26" t="s">
        <v>546</v>
      </c>
      <c r="Q26" t="s">
        <v>1768</v>
      </c>
      <c r="S26">
        <v>1044.6300000000001</v>
      </c>
      <c r="T26">
        <v>3</v>
      </c>
      <c r="U26">
        <v>0.1</v>
      </c>
      <c r="V26">
        <v>240.26490000000001</v>
      </c>
      <c r="W26">
        <f t="shared" si="3"/>
        <v>268.12170000000003</v>
      </c>
      <c r="X26">
        <v>1</v>
      </c>
    </row>
    <row r="27" spans="1:24" x14ac:dyDescent="0.3">
      <c r="A27">
        <v>26</v>
      </c>
      <c r="B27" t="s">
        <v>1802</v>
      </c>
      <c r="C27" s="6">
        <v>44222</v>
      </c>
      <c r="D27" t="str">
        <f t="shared" si="0"/>
        <v>Jan</v>
      </c>
      <c r="E27" t="str">
        <f t="shared" si="1"/>
        <v>2021</v>
      </c>
      <c r="F27" t="s">
        <v>3</v>
      </c>
      <c r="G27" t="s">
        <v>20</v>
      </c>
      <c r="H27" t="s">
        <v>571</v>
      </c>
      <c r="I27">
        <v>130</v>
      </c>
      <c r="J27">
        <v>18</v>
      </c>
      <c r="K27">
        <f t="shared" si="2"/>
        <v>13.846153846153847</v>
      </c>
      <c r="L27" t="s">
        <v>1736</v>
      </c>
      <c r="M27" t="s">
        <v>3604</v>
      </c>
      <c r="N27" t="s">
        <v>1</v>
      </c>
      <c r="O27">
        <v>342001</v>
      </c>
      <c r="P27" t="s">
        <v>546</v>
      </c>
      <c r="Q27" t="s">
        <v>1755</v>
      </c>
      <c r="S27">
        <v>11.648</v>
      </c>
      <c r="T27">
        <v>2</v>
      </c>
      <c r="U27">
        <v>0.2</v>
      </c>
      <c r="V27">
        <v>4.2224000000000004</v>
      </c>
      <c r="W27">
        <f t="shared" si="3"/>
        <v>3.7127999999999997</v>
      </c>
      <c r="X27">
        <v>1</v>
      </c>
    </row>
    <row r="28" spans="1:24" x14ac:dyDescent="0.3">
      <c r="A28">
        <v>27</v>
      </c>
      <c r="B28" t="s">
        <v>1803</v>
      </c>
      <c r="C28" s="6">
        <v>44223</v>
      </c>
      <c r="D28" t="str">
        <f t="shared" si="0"/>
        <v>Jan</v>
      </c>
      <c r="E28" t="str">
        <f t="shared" si="1"/>
        <v>2021</v>
      </c>
      <c r="F28" t="s">
        <v>3</v>
      </c>
      <c r="G28" t="s">
        <v>20</v>
      </c>
      <c r="H28" t="s">
        <v>572</v>
      </c>
      <c r="I28">
        <v>170</v>
      </c>
      <c r="J28">
        <v>26</v>
      </c>
      <c r="K28">
        <f t="shared" si="2"/>
        <v>15.294117647058824</v>
      </c>
      <c r="L28" t="s">
        <v>1744</v>
      </c>
      <c r="M28" t="s">
        <v>3605</v>
      </c>
      <c r="N28" t="s">
        <v>1</v>
      </c>
      <c r="O28">
        <v>602105</v>
      </c>
      <c r="P28" t="s">
        <v>546</v>
      </c>
      <c r="Q28" t="s">
        <v>1760</v>
      </c>
      <c r="S28">
        <v>90.57</v>
      </c>
      <c r="T28">
        <v>3</v>
      </c>
      <c r="U28">
        <v>0.1</v>
      </c>
      <c r="V28">
        <v>11.774100000000001</v>
      </c>
      <c r="W28">
        <f t="shared" si="3"/>
        <v>26.265299999999996</v>
      </c>
      <c r="X28">
        <v>3</v>
      </c>
    </row>
    <row r="29" spans="1:24" x14ac:dyDescent="0.3">
      <c r="A29">
        <v>28</v>
      </c>
      <c r="B29" t="s">
        <v>1804</v>
      </c>
      <c r="C29" s="6">
        <v>44224</v>
      </c>
      <c r="D29" t="str">
        <f t="shared" si="0"/>
        <v>Jan</v>
      </c>
      <c r="E29" t="str">
        <f t="shared" si="1"/>
        <v>2021</v>
      </c>
      <c r="F29" t="s">
        <v>4</v>
      </c>
      <c r="G29" t="s">
        <v>21</v>
      </c>
      <c r="H29" t="s">
        <v>573</v>
      </c>
      <c r="I29">
        <v>120</v>
      </c>
      <c r="J29">
        <v>10</v>
      </c>
      <c r="K29">
        <f t="shared" si="2"/>
        <v>8.3333333333333321</v>
      </c>
      <c r="L29" t="s">
        <v>1740</v>
      </c>
      <c r="M29" t="s">
        <v>3606</v>
      </c>
      <c r="N29" t="s">
        <v>1</v>
      </c>
      <c r="O29">
        <v>560068</v>
      </c>
      <c r="P29" t="s">
        <v>546</v>
      </c>
      <c r="Q29" t="s">
        <v>1754</v>
      </c>
      <c r="S29">
        <v>3083.43</v>
      </c>
      <c r="T29">
        <v>7</v>
      </c>
      <c r="U29">
        <v>0.5</v>
      </c>
      <c r="V29">
        <v>-1665.0522000000001</v>
      </c>
      <c r="W29">
        <f t="shared" si="3"/>
        <v>678.3546</v>
      </c>
      <c r="X29">
        <v>3</v>
      </c>
    </row>
    <row r="30" spans="1:24" x14ac:dyDescent="0.3">
      <c r="A30">
        <v>29</v>
      </c>
      <c r="B30" t="s">
        <v>1805</v>
      </c>
      <c r="C30" s="6">
        <v>44225</v>
      </c>
      <c r="D30" t="str">
        <f t="shared" si="0"/>
        <v>Jan</v>
      </c>
      <c r="E30" t="str">
        <f t="shared" si="1"/>
        <v>2021</v>
      </c>
      <c r="F30" t="s">
        <v>4</v>
      </c>
      <c r="G30" t="s">
        <v>21</v>
      </c>
      <c r="H30" t="s">
        <v>574</v>
      </c>
      <c r="I30">
        <v>180</v>
      </c>
      <c r="J30">
        <v>20</v>
      </c>
      <c r="K30">
        <f t="shared" si="2"/>
        <v>11.111111111111111</v>
      </c>
      <c r="L30" t="s">
        <v>1742</v>
      </c>
      <c r="M30" t="s">
        <v>3607</v>
      </c>
      <c r="N30" t="s">
        <v>1</v>
      </c>
      <c r="O30">
        <v>226016</v>
      </c>
      <c r="P30" t="s">
        <v>546</v>
      </c>
      <c r="Q30" t="s">
        <v>1755</v>
      </c>
      <c r="S30">
        <v>9.6180000000000003</v>
      </c>
      <c r="T30">
        <v>2</v>
      </c>
      <c r="U30">
        <v>0.7</v>
      </c>
      <c r="V30">
        <v>-7.0532000000000004</v>
      </c>
      <c r="W30">
        <f t="shared" si="3"/>
        <v>8.3355999999999995</v>
      </c>
      <c r="X30">
        <v>3</v>
      </c>
    </row>
    <row r="31" spans="1:24" x14ac:dyDescent="0.3">
      <c r="A31">
        <v>30</v>
      </c>
      <c r="B31" t="s">
        <v>1806</v>
      </c>
      <c r="C31" s="6">
        <v>44226</v>
      </c>
      <c r="D31" t="str">
        <f t="shared" si="0"/>
        <v>Jan</v>
      </c>
      <c r="E31" t="str">
        <f t="shared" si="1"/>
        <v>2021</v>
      </c>
      <c r="F31" t="s">
        <v>4</v>
      </c>
      <c r="G31" t="s">
        <v>21</v>
      </c>
      <c r="H31" t="s">
        <v>575</v>
      </c>
      <c r="I31">
        <v>200</v>
      </c>
      <c r="J31">
        <v>10</v>
      </c>
      <c r="K31">
        <f t="shared" si="2"/>
        <v>5</v>
      </c>
      <c r="L31" t="s">
        <v>1739</v>
      </c>
      <c r="M31" t="s">
        <v>3608</v>
      </c>
      <c r="N31" t="s">
        <v>1</v>
      </c>
      <c r="O31">
        <v>411028</v>
      </c>
      <c r="P31" t="s">
        <v>546</v>
      </c>
      <c r="Q31" t="s">
        <v>1758</v>
      </c>
      <c r="S31">
        <v>124.2</v>
      </c>
      <c r="T31">
        <v>3</v>
      </c>
      <c r="U31">
        <v>0.2</v>
      </c>
      <c r="V31">
        <v>15.525</v>
      </c>
      <c r="W31">
        <f t="shared" si="3"/>
        <v>36.225000000000001</v>
      </c>
      <c r="X31">
        <v>1</v>
      </c>
    </row>
    <row r="32" spans="1:24" x14ac:dyDescent="0.3">
      <c r="A32">
        <v>31</v>
      </c>
      <c r="B32" t="s">
        <v>1807</v>
      </c>
      <c r="C32" s="6">
        <v>44227</v>
      </c>
      <c r="D32" t="str">
        <f t="shared" si="0"/>
        <v>Jan</v>
      </c>
      <c r="E32" t="str">
        <f t="shared" si="1"/>
        <v>2021</v>
      </c>
      <c r="F32" t="s">
        <v>4</v>
      </c>
      <c r="G32" t="s">
        <v>21</v>
      </c>
      <c r="H32" t="s">
        <v>576</v>
      </c>
      <c r="I32">
        <v>110</v>
      </c>
      <c r="J32">
        <v>24</v>
      </c>
      <c r="K32">
        <f t="shared" si="2"/>
        <v>21.818181818181817</v>
      </c>
      <c r="L32" t="s">
        <v>1738</v>
      </c>
      <c r="M32" t="s">
        <v>3609</v>
      </c>
      <c r="N32" t="s">
        <v>1</v>
      </c>
      <c r="O32">
        <v>411028</v>
      </c>
      <c r="P32" t="s">
        <v>546</v>
      </c>
      <c r="Q32" t="s">
        <v>1759</v>
      </c>
      <c r="S32">
        <v>3.2639999999999998</v>
      </c>
      <c r="T32">
        <v>2</v>
      </c>
      <c r="U32">
        <v>0.2</v>
      </c>
      <c r="V32">
        <v>1.1015999999999999</v>
      </c>
      <c r="W32">
        <f t="shared" si="3"/>
        <v>1.0811999999999999</v>
      </c>
      <c r="X32">
        <v>3</v>
      </c>
    </row>
    <row r="33" spans="1:24" x14ac:dyDescent="0.3">
      <c r="A33">
        <v>32</v>
      </c>
      <c r="B33" t="s">
        <v>1808</v>
      </c>
      <c r="C33" s="6">
        <v>44228</v>
      </c>
      <c r="D33" t="str">
        <f t="shared" si="0"/>
        <v>Feb</v>
      </c>
      <c r="E33" t="str">
        <f t="shared" si="1"/>
        <v>2021</v>
      </c>
      <c r="F33" t="s">
        <v>4</v>
      </c>
      <c r="G33" t="s">
        <v>21</v>
      </c>
      <c r="H33" t="s">
        <v>577</v>
      </c>
      <c r="I33">
        <v>150</v>
      </c>
      <c r="J33">
        <v>6</v>
      </c>
      <c r="K33">
        <f t="shared" si="2"/>
        <v>4</v>
      </c>
      <c r="L33" t="s">
        <v>1743</v>
      </c>
      <c r="M33" t="s">
        <v>3610</v>
      </c>
      <c r="N33" t="s">
        <v>1</v>
      </c>
      <c r="O33">
        <v>500034</v>
      </c>
      <c r="P33" t="s">
        <v>546</v>
      </c>
      <c r="Q33" t="s">
        <v>1764</v>
      </c>
      <c r="S33">
        <v>86.304000000000002</v>
      </c>
      <c r="T33">
        <v>6</v>
      </c>
      <c r="U33">
        <v>0.2</v>
      </c>
      <c r="V33">
        <v>9.7091999999999992</v>
      </c>
      <c r="W33">
        <f t="shared" si="3"/>
        <v>12.7658</v>
      </c>
      <c r="X33">
        <v>4</v>
      </c>
    </row>
    <row r="34" spans="1:24" x14ac:dyDescent="0.3">
      <c r="A34">
        <v>33</v>
      </c>
      <c r="B34" t="s">
        <v>1809</v>
      </c>
      <c r="C34" s="6">
        <v>44229</v>
      </c>
      <c r="D34" t="str">
        <f t="shared" si="0"/>
        <v>Feb</v>
      </c>
      <c r="E34" t="str">
        <f t="shared" si="1"/>
        <v>2021</v>
      </c>
      <c r="F34" t="s">
        <v>4</v>
      </c>
      <c r="G34" t="s">
        <v>21</v>
      </c>
      <c r="H34" t="s">
        <v>578</v>
      </c>
      <c r="I34">
        <v>150</v>
      </c>
      <c r="J34">
        <v>10</v>
      </c>
      <c r="K34">
        <f t="shared" si="2"/>
        <v>6.666666666666667</v>
      </c>
      <c r="L34" t="s">
        <v>1737</v>
      </c>
      <c r="M34" t="s">
        <v>3611</v>
      </c>
      <c r="N34" t="s">
        <v>1</v>
      </c>
      <c r="O34">
        <v>560100</v>
      </c>
      <c r="P34" t="s">
        <v>546</v>
      </c>
      <c r="Q34" t="s">
        <v>1766</v>
      </c>
      <c r="S34">
        <v>6.8579999999999997</v>
      </c>
      <c r="T34">
        <v>6</v>
      </c>
      <c r="U34">
        <v>0.7</v>
      </c>
      <c r="V34">
        <v>-5.7149999999999999</v>
      </c>
      <c r="W34">
        <f t="shared" si="3"/>
        <v>2.0954999999999999</v>
      </c>
      <c r="X34">
        <v>3</v>
      </c>
    </row>
    <row r="35" spans="1:24" x14ac:dyDescent="0.3">
      <c r="A35">
        <v>34</v>
      </c>
      <c r="B35" t="s">
        <v>1810</v>
      </c>
      <c r="C35" s="6">
        <v>44230</v>
      </c>
      <c r="D35" t="str">
        <f t="shared" si="0"/>
        <v>Feb</v>
      </c>
      <c r="E35" t="str">
        <f t="shared" si="1"/>
        <v>2021</v>
      </c>
      <c r="F35" t="s">
        <v>4</v>
      </c>
      <c r="G35" t="s">
        <v>21</v>
      </c>
      <c r="H35" t="s">
        <v>579</v>
      </c>
      <c r="I35">
        <v>190</v>
      </c>
      <c r="J35">
        <v>16</v>
      </c>
      <c r="K35">
        <f t="shared" si="2"/>
        <v>8.4210526315789469</v>
      </c>
      <c r="L35" t="s">
        <v>1741</v>
      </c>
      <c r="M35" t="s">
        <v>3612</v>
      </c>
      <c r="N35" t="s">
        <v>1</v>
      </c>
      <c r="O35">
        <v>422009</v>
      </c>
      <c r="P35" t="s">
        <v>546</v>
      </c>
      <c r="Q35" t="s">
        <v>1770</v>
      </c>
      <c r="S35">
        <v>15.76</v>
      </c>
      <c r="T35">
        <v>2</v>
      </c>
      <c r="U35">
        <v>0.2</v>
      </c>
      <c r="V35">
        <v>3.5459999999999998</v>
      </c>
      <c r="W35">
        <f t="shared" si="3"/>
        <v>6.1070000000000002</v>
      </c>
      <c r="X35">
        <v>2</v>
      </c>
    </row>
    <row r="36" spans="1:24" x14ac:dyDescent="0.3">
      <c r="A36">
        <v>35</v>
      </c>
      <c r="B36" t="s">
        <v>1811</v>
      </c>
      <c r="C36" s="6">
        <v>44231</v>
      </c>
      <c r="D36" t="str">
        <f t="shared" si="0"/>
        <v>Feb</v>
      </c>
      <c r="E36" t="str">
        <f t="shared" si="1"/>
        <v>2021</v>
      </c>
      <c r="F36" t="s">
        <v>3</v>
      </c>
      <c r="G36" t="s">
        <v>22</v>
      </c>
      <c r="H36" t="s">
        <v>580</v>
      </c>
      <c r="I36">
        <v>220</v>
      </c>
      <c r="J36">
        <v>26</v>
      </c>
      <c r="K36">
        <f t="shared" si="2"/>
        <v>11.818181818181818</v>
      </c>
      <c r="L36" t="s">
        <v>1736</v>
      </c>
      <c r="M36" t="s">
        <v>3613</v>
      </c>
      <c r="N36" t="s">
        <v>1</v>
      </c>
      <c r="O36">
        <v>560028</v>
      </c>
      <c r="P36" t="s">
        <v>546</v>
      </c>
      <c r="Q36" t="s">
        <v>1764</v>
      </c>
      <c r="S36">
        <v>29.472000000000001</v>
      </c>
      <c r="T36">
        <v>3</v>
      </c>
      <c r="U36">
        <v>0.2</v>
      </c>
      <c r="V36">
        <v>9.9467999999999996</v>
      </c>
      <c r="W36">
        <f t="shared" si="3"/>
        <v>6.5084000000000009</v>
      </c>
      <c r="X36">
        <v>2</v>
      </c>
    </row>
    <row r="37" spans="1:24" x14ac:dyDescent="0.3">
      <c r="A37">
        <v>36</v>
      </c>
      <c r="B37" t="s">
        <v>1812</v>
      </c>
      <c r="C37" s="6">
        <v>44232</v>
      </c>
      <c r="D37" t="str">
        <f t="shared" si="0"/>
        <v>Feb</v>
      </c>
      <c r="E37" t="str">
        <f t="shared" si="1"/>
        <v>2021</v>
      </c>
      <c r="F37" t="s">
        <v>5</v>
      </c>
      <c r="G37" t="s">
        <v>23</v>
      </c>
      <c r="H37" t="s">
        <v>581</v>
      </c>
      <c r="I37">
        <v>250</v>
      </c>
      <c r="J37">
        <v>10</v>
      </c>
      <c r="K37">
        <f t="shared" si="2"/>
        <v>4</v>
      </c>
      <c r="L37" t="s">
        <v>1744</v>
      </c>
      <c r="M37" t="s">
        <v>3614</v>
      </c>
      <c r="N37" t="s">
        <v>1</v>
      </c>
      <c r="O37">
        <v>400089</v>
      </c>
      <c r="P37" t="s">
        <v>546</v>
      </c>
      <c r="Q37" t="s">
        <v>1764</v>
      </c>
      <c r="S37">
        <v>1097.5440000000001</v>
      </c>
      <c r="T37">
        <v>7</v>
      </c>
      <c r="U37">
        <v>0.2</v>
      </c>
      <c r="V37">
        <v>123.47369999999999</v>
      </c>
      <c r="W37">
        <f t="shared" si="3"/>
        <v>139.15290000000002</v>
      </c>
      <c r="X37">
        <v>1</v>
      </c>
    </row>
    <row r="38" spans="1:24" x14ac:dyDescent="0.3">
      <c r="A38">
        <v>37</v>
      </c>
      <c r="B38" t="s">
        <v>1813</v>
      </c>
      <c r="C38" s="6">
        <v>44233</v>
      </c>
      <c r="D38" t="str">
        <f t="shared" si="0"/>
        <v>Feb</v>
      </c>
      <c r="E38" t="str">
        <f t="shared" si="1"/>
        <v>2021</v>
      </c>
      <c r="F38" t="s">
        <v>5</v>
      </c>
      <c r="G38" t="s">
        <v>23</v>
      </c>
      <c r="H38" t="s">
        <v>582</v>
      </c>
      <c r="I38">
        <v>200</v>
      </c>
      <c r="J38">
        <v>30</v>
      </c>
      <c r="K38">
        <f t="shared" si="2"/>
        <v>15</v>
      </c>
      <c r="L38" t="s">
        <v>1740</v>
      </c>
      <c r="M38" t="s">
        <v>3615</v>
      </c>
      <c r="N38" t="s">
        <v>1</v>
      </c>
      <c r="O38">
        <v>580023</v>
      </c>
      <c r="P38" t="s">
        <v>546</v>
      </c>
      <c r="Q38" t="s">
        <v>1763</v>
      </c>
      <c r="S38">
        <v>190.92</v>
      </c>
      <c r="T38">
        <v>5</v>
      </c>
      <c r="U38">
        <v>0.6</v>
      </c>
      <c r="V38">
        <v>-147.96299999999999</v>
      </c>
      <c r="W38">
        <f t="shared" si="3"/>
        <v>67.776600000000002</v>
      </c>
      <c r="X38">
        <v>3</v>
      </c>
    </row>
    <row r="39" spans="1:24" x14ac:dyDescent="0.3">
      <c r="A39">
        <v>38</v>
      </c>
      <c r="B39" t="s">
        <v>1814</v>
      </c>
      <c r="C39" s="6">
        <v>44234</v>
      </c>
      <c r="D39" t="str">
        <f t="shared" si="0"/>
        <v>Feb</v>
      </c>
      <c r="E39" t="str">
        <f t="shared" si="1"/>
        <v>2021</v>
      </c>
      <c r="F39" t="s">
        <v>4</v>
      </c>
      <c r="G39" t="s">
        <v>24</v>
      </c>
      <c r="H39" t="s">
        <v>583</v>
      </c>
      <c r="I39">
        <v>140</v>
      </c>
      <c r="J39">
        <v>18</v>
      </c>
      <c r="K39">
        <f t="shared" si="2"/>
        <v>12.857142857142856</v>
      </c>
      <c r="L39" t="s">
        <v>1742</v>
      </c>
      <c r="M39" t="s">
        <v>3616</v>
      </c>
      <c r="N39" t="s">
        <v>1</v>
      </c>
      <c r="O39">
        <v>110058</v>
      </c>
      <c r="P39" t="s">
        <v>546</v>
      </c>
      <c r="Q39" t="s">
        <v>1764</v>
      </c>
      <c r="S39">
        <v>113.328</v>
      </c>
      <c r="T39">
        <v>9</v>
      </c>
      <c r="U39">
        <v>0.2</v>
      </c>
      <c r="V39">
        <v>35.414999999999999</v>
      </c>
      <c r="W39">
        <f t="shared" si="3"/>
        <v>8.6570000000000018</v>
      </c>
      <c r="X39">
        <v>4</v>
      </c>
    </row>
    <row r="40" spans="1:24" x14ac:dyDescent="0.3">
      <c r="A40">
        <v>39</v>
      </c>
      <c r="B40" t="s">
        <v>1815</v>
      </c>
      <c r="C40" s="6">
        <v>44235</v>
      </c>
      <c r="D40" t="str">
        <f t="shared" si="0"/>
        <v>Feb</v>
      </c>
      <c r="E40" t="str">
        <f t="shared" si="1"/>
        <v>2021</v>
      </c>
      <c r="F40" t="s">
        <v>4</v>
      </c>
      <c r="G40" t="s">
        <v>24</v>
      </c>
      <c r="H40" t="s">
        <v>584</v>
      </c>
      <c r="I40">
        <v>200</v>
      </c>
      <c r="J40">
        <v>30</v>
      </c>
      <c r="K40">
        <f t="shared" si="2"/>
        <v>15</v>
      </c>
      <c r="L40" t="s">
        <v>1739</v>
      </c>
      <c r="M40" t="s">
        <v>3617</v>
      </c>
      <c r="N40" t="s">
        <v>1</v>
      </c>
      <c r="O40">
        <v>560059</v>
      </c>
      <c r="P40" t="s">
        <v>546</v>
      </c>
      <c r="Q40" t="s">
        <v>1775</v>
      </c>
      <c r="R40" t="s">
        <v>2</v>
      </c>
      <c r="S40">
        <v>532.39919999999995</v>
      </c>
      <c r="T40">
        <v>3</v>
      </c>
      <c r="U40">
        <v>0.32</v>
      </c>
      <c r="V40">
        <v>-46.976399999999998</v>
      </c>
      <c r="W40">
        <f t="shared" si="3"/>
        <v>193.12519999999998</v>
      </c>
      <c r="X40">
        <v>5</v>
      </c>
    </row>
    <row r="41" spans="1:24" x14ac:dyDescent="0.3">
      <c r="A41">
        <v>40</v>
      </c>
      <c r="B41" t="s">
        <v>1816</v>
      </c>
      <c r="C41" s="6">
        <v>44236</v>
      </c>
      <c r="D41" t="str">
        <f t="shared" si="0"/>
        <v>Feb</v>
      </c>
      <c r="E41" t="str">
        <f t="shared" si="1"/>
        <v>2021</v>
      </c>
      <c r="F41" t="s">
        <v>4</v>
      </c>
      <c r="G41" t="s">
        <v>24</v>
      </c>
      <c r="H41" t="s">
        <v>585</v>
      </c>
      <c r="I41">
        <v>130</v>
      </c>
      <c r="J41">
        <v>30</v>
      </c>
      <c r="K41">
        <f t="shared" si="2"/>
        <v>23.076923076923077</v>
      </c>
      <c r="L41" t="s">
        <v>1738</v>
      </c>
      <c r="M41" t="s">
        <v>3618</v>
      </c>
      <c r="N41" t="s">
        <v>1</v>
      </c>
      <c r="O41">
        <v>799250</v>
      </c>
      <c r="P41" t="s">
        <v>546</v>
      </c>
      <c r="Q41" t="s">
        <v>1755</v>
      </c>
      <c r="S41">
        <v>212.05799999999999</v>
      </c>
      <c r="T41">
        <v>3</v>
      </c>
      <c r="U41">
        <v>0.3</v>
      </c>
      <c r="V41">
        <v>-15.147</v>
      </c>
      <c r="W41">
        <f t="shared" si="3"/>
        <v>75.734999999999999</v>
      </c>
      <c r="X41">
        <v>5</v>
      </c>
    </row>
    <row r="42" spans="1:24" x14ac:dyDescent="0.3">
      <c r="A42">
        <v>41</v>
      </c>
      <c r="B42" t="s">
        <v>1817</v>
      </c>
      <c r="C42" s="6">
        <v>44237</v>
      </c>
      <c r="D42" t="str">
        <f t="shared" si="0"/>
        <v>Feb</v>
      </c>
      <c r="E42" t="str">
        <f t="shared" si="1"/>
        <v>2021</v>
      </c>
      <c r="F42" t="s">
        <v>4</v>
      </c>
      <c r="G42" t="s">
        <v>24</v>
      </c>
      <c r="H42" t="s">
        <v>586</v>
      </c>
      <c r="I42">
        <v>180</v>
      </c>
      <c r="J42">
        <v>6</v>
      </c>
      <c r="K42">
        <f t="shared" si="2"/>
        <v>3.3333333333333335</v>
      </c>
      <c r="L42" t="s">
        <v>1741</v>
      </c>
      <c r="M42" t="s">
        <v>3619</v>
      </c>
      <c r="N42" t="s">
        <v>1</v>
      </c>
      <c r="O42">
        <v>695009</v>
      </c>
      <c r="P42" t="s">
        <v>546</v>
      </c>
      <c r="Q42" t="s">
        <v>1756</v>
      </c>
      <c r="S42">
        <v>371.16800000000001</v>
      </c>
      <c r="T42">
        <v>4</v>
      </c>
      <c r="U42">
        <v>0.2</v>
      </c>
      <c r="V42">
        <v>41.756399999999999</v>
      </c>
      <c r="W42">
        <f t="shared" si="3"/>
        <v>82.352900000000005</v>
      </c>
      <c r="X42">
        <v>2</v>
      </c>
    </row>
    <row r="43" spans="1:24" x14ac:dyDescent="0.3">
      <c r="A43">
        <v>42</v>
      </c>
      <c r="B43" t="s">
        <v>1818</v>
      </c>
      <c r="C43" s="6">
        <v>44238</v>
      </c>
      <c r="D43" t="str">
        <f t="shared" si="0"/>
        <v>Feb</v>
      </c>
      <c r="E43" t="str">
        <f t="shared" si="1"/>
        <v>2021</v>
      </c>
      <c r="F43" t="s">
        <v>4</v>
      </c>
      <c r="G43" t="s">
        <v>25</v>
      </c>
      <c r="H43" t="s">
        <v>587</v>
      </c>
      <c r="I43">
        <v>140</v>
      </c>
      <c r="J43">
        <v>10</v>
      </c>
      <c r="K43">
        <f t="shared" si="2"/>
        <v>7.1428571428571423</v>
      </c>
      <c r="L43" t="s">
        <v>1737</v>
      </c>
      <c r="M43" t="s">
        <v>3620</v>
      </c>
      <c r="N43" t="s">
        <v>1</v>
      </c>
      <c r="O43">
        <v>201005</v>
      </c>
      <c r="P43" t="s">
        <v>546</v>
      </c>
      <c r="Q43" t="s">
        <v>1766</v>
      </c>
      <c r="S43">
        <v>147.16800000000001</v>
      </c>
      <c r="T43">
        <v>4</v>
      </c>
      <c r="U43">
        <v>0.2</v>
      </c>
      <c r="V43">
        <v>16.5564</v>
      </c>
      <c r="W43">
        <f t="shared" si="3"/>
        <v>32.652900000000002</v>
      </c>
      <c r="X43">
        <v>1</v>
      </c>
    </row>
    <row r="44" spans="1:24" x14ac:dyDescent="0.3">
      <c r="A44">
        <v>43</v>
      </c>
      <c r="B44" t="s">
        <v>1819</v>
      </c>
      <c r="C44" s="6">
        <v>44239</v>
      </c>
      <c r="D44" t="str">
        <f t="shared" si="0"/>
        <v>Feb</v>
      </c>
      <c r="E44" t="str">
        <f t="shared" si="1"/>
        <v>2021</v>
      </c>
      <c r="F44" t="s">
        <v>4</v>
      </c>
      <c r="G44" t="s">
        <v>26</v>
      </c>
      <c r="H44" t="s">
        <v>588</v>
      </c>
      <c r="I44">
        <v>170</v>
      </c>
      <c r="J44">
        <v>26</v>
      </c>
      <c r="K44">
        <f t="shared" si="2"/>
        <v>15.294117647058824</v>
      </c>
      <c r="L44" t="s">
        <v>1743</v>
      </c>
      <c r="M44" t="s">
        <v>3621</v>
      </c>
      <c r="N44" t="s">
        <v>1</v>
      </c>
      <c r="O44">
        <v>395007</v>
      </c>
      <c r="P44" t="s">
        <v>546</v>
      </c>
      <c r="Q44" t="s">
        <v>1766</v>
      </c>
      <c r="R44" t="s">
        <v>2</v>
      </c>
      <c r="S44">
        <v>77.88</v>
      </c>
      <c r="T44">
        <v>2</v>
      </c>
      <c r="U44">
        <v>0.1</v>
      </c>
      <c r="V44">
        <v>3.8940000000000001</v>
      </c>
      <c r="W44">
        <f t="shared" si="3"/>
        <v>36.992999999999995</v>
      </c>
      <c r="X44">
        <v>1</v>
      </c>
    </row>
    <row r="45" spans="1:24" x14ac:dyDescent="0.3">
      <c r="A45">
        <v>44</v>
      </c>
      <c r="B45" t="s">
        <v>1820</v>
      </c>
      <c r="C45" s="6">
        <v>44240</v>
      </c>
      <c r="D45" t="str">
        <f t="shared" si="0"/>
        <v>Feb</v>
      </c>
      <c r="E45" t="str">
        <f t="shared" si="1"/>
        <v>2021</v>
      </c>
      <c r="F45" t="s">
        <v>4</v>
      </c>
      <c r="G45" t="s">
        <v>27</v>
      </c>
      <c r="H45" t="s">
        <v>589</v>
      </c>
      <c r="I45">
        <v>180</v>
      </c>
      <c r="J45">
        <v>8</v>
      </c>
      <c r="K45">
        <f t="shared" si="2"/>
        <v>4.4444444444444446</v>
      </c>
      <c r="L45" t="s">
        <v>1738</v>
      </c>
      <c r="M45" t="s">
        <v>3622</v>
      </c>
      <c r="N45" t="s">
        <v>1</v>
      </c>
      <c r="O45">
        <v>560008</v>
      </c>
      <c r="P45" t="s">
        <v>546</v>
      </c>
      <c r="Q45" t="s">
        <v>1761</v>
      </c>
      <c r="S45">
        <v>95.616</v>
      </c>
      <c r="T45">
        <v>2</v>
      </c>
      <c r="U45">
        <v>0.2</v>
      </c>
      <c r="V45">
        <v>9.5616000000000003</v>
      </c>
      <c r="W45">
        <f t="shared" si="3"/>
        <v>43.027200000000001</v>
      </c>
      <c r="X45">
        <v>3</v>
      </c>
    </row>
    <row r="46" spans="1:24" x14ac:dyDescent="0.3">
      <c r="A46">
        <v>45</v>
      </c>
      <c r="B46" t="s">
        <v>1821</v>
      </c>
      <c r="C46" s="6">
        <v>44241</v>
      </c>
      <c r="D46" t="str">
        <f t="shared" si="0"/>
        <v>Feb</v>
      </c>
      <c r="E46" t="str">
        <f t="shared" si="1"/>
        <v>2021</v>
      </c>
      <c r="F46" t="s">
        <v>5</v>
      </c>
      <c r="G46" t="s">
        <v>28</v>
      </c>
      <c r="H46" t="s">
        <v>590</v>
      </c>
      <c r="I46">
        <v>170</v>
      </c>
      <c r="J46">
        <v>16</v>
      </c>
      <c r="K46">
        <f t="shared" si="2"/>
        <v>9.4117647058823533</v>
      </c>
      <c r="L46" t="s">
        <v>1739</v>
      </c>
      <c r="M46" t="s">
        <v>3623</v>
      </c>
      <c r="N46" t="s">
        <v>1</v>
      </c>
      <c r="O46">
        <v>560024</v>
      </c>
      <c r="P46" t="s">
        <v>546</v>
      </c>
      <c r="Q46" t="s">
        <v>1763</v>
      </c>
      <c r="S46">
        <v>45.98</v>
      </c>
      <c r="T46">
        <v>2</v>
      </c>
      <c r="U46">
        <v>0.1</v>
      </c>
      <c r="V46">
        <v>19.7714</v>
      </c>
      <c r="W46">
        <f t="shared" si="3"/>
        <v>13.104299999999999</v>
      </c>
      <c r="X46">
        <v>4</v>
      </c>
    </row>
    <row r="47" spans="1:24" x14ac:dyDescent="0.3">
      <c r="A47">
        <v>46</v>
      </c>
      <c r="B47" t="s">
        <v>1822</v>
      </c>
      <c r="C47" s="6">
        <v>44242</v>
      </c>
      <c r="D47" t="str">
        <f t="shared" si="0"/>
        <v>Feb</v>
      </c>
      <c r="E47" t="str">
        <f t="shared" si="1"/>
        <v>2021</v>
      </c>
      <c r="F47" t="s">
        <v>5</v>
      </c>
      <c r="G47" t="s">
        <v>28</v>
      </c>
      <c r="H47" t="s">
        <v>591</v>
      </c>
      <c r="I47">
        <v>230</v>
      </c>
      <c r="J47">
        <v>28</v>
      </c>
      <c r="K47">
        <f t="shared" si="2"/>
        <v>12.173913043478262</v>
      </c>
      <c r="L47" t="s">
        <v>1736</v>
      </c>
      <c r="M47" t="s">
        <v>3624</v>
      </c>
      <c r="N47" t="s">
        <v>1</v>
      </c>
      <c r="O47">
        <v>500084</v>
      </c>
      <c r="P47" t="s">
        <v>546</v>
      </c>
      <c r="Q47" t="s">
        <v>1761</v>
      </c>
      <c r="R47" t="s">
        <v>2</v>
      </c>
      <c r="S47">
        <v>17.46</v>
      </c>
      <c r="T47">
        <v>2</v>
      </c>
      <c r="U47">
        <v>0.1</v>
      </c>
      <c r="V47">
        <v>8.2062000000000008</v>
      </c>
      <c r="W47">
        <f t="shared" si="3"/>
        <v>4.6269</v>
      </c>
      <c r="X47">
        <v>1</v>
      </c>
    </row>
    <row r="48" spans="1:24" x14ac:dyDescent="0.3">
      <c r="A48">
        <v>47</v>
      </c>
      <c r="B48" t="s">
        <v>1823</v>
      </c>
      <c r="C48" s="6">
        <v>44243</v>
      </c>
      <c r="D48" t="str">
        <f t="shared" si="0"/>
        <v>Feb</v>
      </c>
      <c r="E48" t="str">
        <f t="shared" si="1"/>
        <v>2021</v>
      </c>
      <c r="F48" t="s">
        <v>3</v>
      </c>
      <c r="G48" t="s">
        <v>29</v>
      </c>
      <c r="H48" t="s">
        <v>592</v>
      </c>
      <c r="I48">
        <v>220</v>
      </c>
      <c r="J48">
        <v>8</v>
      </c>
      <c r="K48">
        <f t="shared" si="2"/>
        <v>3.6363636363636362</v>
      </c>
      <c r="L48" t="s">
        <v>1744</v>
      </c>
      <c r="M48" t="s">
        <v>3625</v>
      </c>
      <c r="N48" t="s">
        <v>1</v>
      </c>
      <c r="O48">
        <v>485001</v>
      </c>
      <c r="P48" t="s">
        <v>546</v>
      </c>
      <c r="Q48" t="s">
        <v>1759</v>
      </c>
      <c r="S48">
        <v>211.96</v>
      </c>
      <c r="T48">
        <v>4</v>
      </c>
      <c r="U48">
        <v>0.1</v>
      </c>
      <c r="V48">
        <v>8.4784000000000006</v>
      </c>
      <c r="W48">
        <f t="shared" si="3"/>
        <v>50.870400000000004</v>
      </c>
      <c r="X48">
        <v>4</v>
      </c>
    </row>
    <row r="49" spans="1:24" x14ac:dyDescent="0.3">
      <c r="A49">
        <v>48</v>
      </c>
      <c r="B49" t="s">
        <v>1824</v>
      </c>
      <c r="C49" s="6">
        <v>44244</v>
      </c>
      <c r="D49" t="str">
        <f t="shared" si="0"/>
        <v>Feb</v>
      </c>
      <c r="E49" t="str">
        <f t="shared" si="1"/>
        <v>2021</v>
      </c>
      <c r="F49" t="s">
        <v>4</v>
      </c>
      <c r="G49" t="s">
        <v>30</v>
      </c>
      <c r="H49" t="s">
        <v>593</v>
      </c>
      <c r="I49">
        <v>130</v>
      </c>
      <c r="J49">
        <v>20</v>
      </c>
      <c r="K49">
        <f t="shared" si="2"/>
        <v>15.384615384615385</v>
      </c>
      <c r="L49" t="s">
        <v>1740</v>
      </c>
      <c r="M49" t="s">
        <v>3626</v>
      </c>
      <c r="N49" t="s">
        <v>1</v>
      </c>
      <c r="O49">
        <v>575001</v>
      </c>
      <c r="P49" t="s">
        <v>546</v>
      </c>
      <c r="Q49" t="s">
        <v>1772</v>
      </c>
      <c r="S49">
        <v>45</v>
      </c>
      <c r="T49">
        <v>3</v>
      </c>
      <c r="U49">
        <v>0.1</v>
      </c>
      <c r="V49">
        <v>4.95</v>
      </c>
      <c r="W49">
        <f t="shared" si="3"/>
        <v>13.35</v>
      </c>
      <c r="X49">
        <v>3</v>
      </c>
    </row>
    <row r="50" spans="1:24" x14ac:dyDescent="0.3">
      <c r="A50">
        <v>49</v>
      </c>
      <c r="B50" t="s">
        <v>1825</v>
      </c>
      <c r="C50" s="6">
        <v>44245</v>
      </c>
      <c r="D50" t="str">
        <f t="shared" si="0"/>
        <v>Feb</v>
      </c>
      <c r="E50" t="str">
        <f t="shared" si="1"/>
        <v>2021</v>
      </c>
      <c r="F50" t="s">
        <v>4</v>
      </c>
      <c r="G50" t="s">
        <v>30</v>
      </c>
      <c r="H50" t="s">
        <v>594</v>
      </c>
      <c r="I50">
        <v>100</v>
      </c>
      <c r="J50">
        <v>18</v>
      </c>
      <c r="K50">
        <f t="shared" si="2"/>
        <v>18</v>
      </c>
      <c r="L50" t="s">
        <v>1742</v>
      </c>
      <c r="M50" t="s">
        <v>3627</v>
      </c>
      <c r="N50" t="s">
        <v>1</v>
      </c>
      <c r="O50">
        <v>486661</v>
      </c>
      <c r="P50" t="s">
        <v>546</v>
      </c>
      <c r="Q50" t="s">
        <v>1761</v>
      </c>
      <c r="S50">
        <v>21.8</v>
      </c>
      <c r="T50">
        <v>2</v>
      </c>
      <c r="U50">
        <v>0.1</v>
      </c>
      <c r="V50">
        <v>6.1040000000000001</v>
      </c>
      <c r="W50">
        <f t="shared" si="3"/>
        <v>7.8480000000000008</v>
      </c>
      <c r="X50">
        <v>5</v>
      </c>
    </row>
    <row r="51" spans="1:24" x14ac:dyDescent="0.3">
      <c r="A51">
        <v>50</v>
      </c>
      <c r="B51" t="s">
        <v>1826</v>
      </c>
      <c r="C51" s="6">
        <v>44246</v>
      </c>
      <c r="D51" t="str">
        <f t="shared" si="0"/>
        <v>Feb</v>
      </c>
      <c r="E51" t="str">
        <f t="shared" si="1"/>
        <v>2021</v>
      </c>
      <c r="F51" t="s">
        <v>4</v>
      </c>
      <c r="G51" t="s">
        <v>31</v>
      </c>
      <c r="H51" t="s">
        <v>595</v>
      </c>
      <c r="I51">
        <v>170</v>
      </c>
      <c r="J51">
        <v>18</v>
      </c>
      <c r="K51">
        <f t="shared" si="2"/>
        <v>10.588235294117647</v>
      </c>
      <c r="L51" t="s">
        <v>1739</v>
      </c>
      <c r="M51" t="s">
        <v>3628</v>
      </c>
      <c r="N51" t="s">
        <v>1</v>
      </c>
      <c r="O51">
        <v>560084</v>
      </c>
      <c r="P51" t="s">
        <v>546</v>
      </c>
      <c r="Q51" t="s">
        <v>1767</v>
      </c>
      <c r="S51">
        <v>38.22</v>
      </c>
      <c r="T51">
        <v>6</v>
      </c>
      <c r="U51">
        <v>0.1</v>
      </c>
      <c r="V51">
        <v>17.9634</v>
      </c>
      <c r="W51">
        <f t="shared" si="3"/>
        <v>3.3760999999999997</v>
      </c>
      <c r="X51">
        <v>1</v>
      </c>
    </row>
    <row r="52" spans="1:24" x14ac:dyDescent="0.3">
      <c r="A52">
        <v>51</v>
      </c>
      <c r="B52" t="s">
        <v>1827</v>
      </c>
      <c r="C52" s="6">
        <v>44247</v>
      </c>
      <c r="D52" t="str">
        <f t="shared" si="0"/>
        <v>Feb</v>
      </c>
      <c r="E52" t="str">
        <f t="shared" si="1"/>
        <v>2021</v>
      </c>
      <c r="F52" t="s">
        <v>4</v>
      </c>
      <c r="G52" t="s">
        <v>31</v>
      </c>
      <c r="H52" t="s">
        <v>596</v>
      </c>
      <c r="I52">
        <v>240</v>
      </c>
      <c r="J52">
        <v>8</v>
      </c>
      <c r="K52">
        <f t="shared" si="2"/>
        <v>3.3333333333333335</v>
      </c>
      <c r="L52" t="s">
        <v>1738</v>
      </c>
      <c r="M52" t="s">
        <v>3629</v>
      </c>
      <c r="N52" t="s">
        <v>1</v>
      </c>
      <c r="O52">
        <v>411036</v>
      </c>
      <c r="P52" t="s">
        <v>546</v>
      </c>
      <c r="Q52" t="s">
        <v>1775</v>
      </c>
      <c r="S52">
        <v>75.180000000000007</v>
      </c>
      <c r="T52">
        <v>6</v>
      </c>
      <c r="U52">
        <v>0.1</v>
      </c>
      <c r="V52">
        <v>35.334600000000002</v>
      </c>
      <c r="W52">
        <f t="shared" si="3"/>
        <v>6.6409000000000011</v>
      </c>
      <c r="X52">
        <v>3</v>
      </c>
    </row>
    <row r="53" spans="1:24" x14ac:dyDescent="0.3">
      <c r="A53">
        <v>52</v>
      </c>
      <c r="B53" t="s">
        <v>1828</v>
      </c>
      <c r="C53" s="6">
        <v>44248</v>
      </c>
      <c r="D53" t="str">
        <f t="shared" si="0"/>
        <v>Feb</v>
      </c>
      <c r="E53" t="str">
        <f t="shared" si="1"/>
        <v>2021</v>
      </c>
      <c r="F53" t="s">
        <v>4</v>
      </c>
      <c r="G53" t="s">
        <v>31</v>
      </c>
      <c r="H53" t="s">
        <v>597</v>
      </c>
      <c r="I53">
        <v>190</v>
      </c>
      <c r="J53">
        <v>26</v>
      </c>
      <c r="K53">
        <f t="shared" si="2"/>
        <v>13.684210526315791</v>
      </c>
      <c r="L53" t="s">
        <v>1743</v>
      </c>
      <c r="M53" t="s">
        <v>3630</v>
      </c>
      <c r="N53" t="s">
        <v>1</v>
      </c>
      <c r="O53">
        <v>400102</v>
      </c>
      <c r="P53" t="s">
        <v>546</v>
      </c>
      <c r="Q53" t="s">
        <v>1760</v>
      </c>
      <c r="S53">
        <v>6.16</v>
      </c>
      <c r="T53">
        <v>2</v>
      </c>
      <c r="U53">
        <v>0.1</v>
      </c>
      <c r="V53">
        <v>2.9567999999999999</v>
      </c>
      <c r="W53">
        <f t="shared" si="3"/>
        <v>1.6016000000000001</v>
      </c>
      <c r="X53">
        <v>1</v>
      </c>
    </row>
    <row r="54" spans="1:24" x14ac:dyDescent="0.3">
      <c r="A54">
        <v>53</v>
      </c>
      <c r="B54" t="s">
        <v>1829</v>
      </c>
      <c r="C54" s="6">
        <v>44249</v>
      </c>
      <c r="D54" t="str">
        <f t="shared" si="0"/>
        <v>Feb</v>
      </c>
      <c r="E54" t="str">
        <f t="shared" si="1"/>
        <v>2021</v>
      </c>
      <c r="F54" t="s">
        <v>4</v>
      </c>
      <c r="G54" t="s">
        <v>31</v>
      </c>
      <c r="H54" t="s">
        <v>598</v>
      </c>
      <c r="I54">
        <v>230</v>
      </c>
      <c r="J54">
        <v>20</v>
      </c>
      <c r="K54">
        <f t="shared" si="2"/>
        <v>8.695652173913043</v>
      </c>
      <c r="L54" t="s">
        <v>1737</v>
      </c>
      <c r="M54" t="s">
        <v>3631</v>
      </c>
      <c r="N54" t="s">
        <v>1</v>
      </c>
      <c r="O54">
        <v>600003</v>
      </c>
      <c r="P54" t="s">
        <v>546</v>
      </c>
      <c r="Q54" t="s">
        <v>1764</v>
      </c>
      <c r="S54">
        <v>89.99</v>
      </c>
      <c r="T54">
        <v>1</v>
      </c>
      <c r="U54">
        <v>0.1</v>
      </c>
      <c r="V54">
        <v>17.098099999999999</v>
      </c>
      <c r="W54">
        <f t="shared" si="3"/>
        <v>72.891899999999993</v>
      </c>
      <c r="X54">
        <v>3</v>
      </c>
    </row>
    <row r="55" spans="1:24" x14ac:dyDescent="0.3">
      <c r="A55">
        <v>54</v>
      </c>
      <c r="B55" t="s">
        <v>1830</v>
      </c>
      <c r="C55" s="6">
        <v>44250</v>
      </c>
      <c r="D55" t="str">
        <f t="shared" si="0"/>
        <v>Feb</v>
      </c>
      <c r="E55" t="str">
        <f t="shared" si="1"/>
        <v>2021</v>
      </c>
      <c r="F55" t="s">
        <v>4</v>
      </c>
      <c r="G55" t="s">
        <v>32</v>
      </c>
      <c r="H55" t="s">
        <v>599</v>
      </c>
      <c r="I55">
        <v>200</v>
      </c>
      <c r="J55">
        <v>28</v>
      </c>
      <c r="K55">
        <f t="shared" si="2"/>
        <v>14.000000000000002</v>
      </c>
      <c r="L55" t="s">
        <v>1741</v>
      </c>
      <c r="M55" t="s">
        <v>3632</v>
      </c>
      <c r="N55" t="s">
        <v>1</v>
      </c>
      <c r="O55">
        <v>799003</v>
      </c>
      <c r="P55" t="s">
        <v>546</v>
      </c>
      <c r="Q55" t="s">
        <v>1772</v>
      </c>
      <c r="S55">
        <v>15.26</v>
      </c>
      <c r="T55">
        <v>7</v>
      </c>
      <c r="U55">
        <v>0.1</v>
      </c>
      <c r="V55">
        <v>6.2565999999999997</v>
      </c>
      <c r="W55">
        <f t="shared" si="3"/>
        <v>1.2861999999999998</v>
      </c>
      <c r="X55">
        <v>4</v>
      </c>
    </row>
    <row r="56" spans="1:24" x14ac:dyDescent="0.3">
      <c r="A56">
        <v>55</v>
      </c>
      <c r="B56" t="s">
        <v>1831</v>
      </c>
      <c r="C56" s="6">
        <v>44251</v>
      </c>
      <c r="D56" t="str">
        <f t="shared" si="0"/>
        <v>Feb</v>
      </c>
      <c r="E56" t="str">
        <f t="shared" si="1"/>
        <v>2021</v>
      </c>
      <c r="F56" t="s">
        <v>4</v>
      </c>
      <c r="G56" t="s">
        <v>32</v>
      </c>
      <c r="H56" t="s">
        <v>600</v>
      </c>
      <c r="I56">
        <v>220</v>
      </c>
      <c r="J56">
        <v>28</v>
      </c>
      <c r="K56">
        <f t="shared" si="2"/>
        <v>12.727272727272727</v>
      </c>
      <c r="L56" t="s">
        <v>1736</v>
      </c>
      <c r="M56" t="s">
        <v>3633</v>
      </c>
      <c r="N56" t="s">
        <v>1</v>
      </c>
      <c r="O56">
        <v>175008</v>
      </c>
      <c r="P56" t="s">
        <v>546</v>
      </c>
      <c r="Q56" t="s">
        <v>1766</v>
      </c>
      <c r="S56">
        <v>1029.95</v>
      </c>
      <c r="T56">
        <v>5</v>
      </c>
      <c r="U56">
        <v>0.1</v>
      </c>
      <c r="V56">
        <v>298.68549999999999</v>
      </c>
      <c r="W56">
        <f t="shared" si="3"/>
        <v>146.25290000000001</v>
      </c>
      <c r="X56">
        <v>5</v>
      </c>
    </row>
    <row r="57" spans="1:24" x14ac:dyDescent="0.3">
      <c r="A57">
        <v>56</v>
      </c>
      <c r="B57" t="s">
        <v>1832</v>
      </c>
      <c r="C57" s="6">
        <v>44252</v>
      </c>
      <c r="D57" t="str">
        <f t="shared" si="0"/>
        <v>Feb</v>
      </c>
      <c r="E57" t="str">
        <f t="shared" si="1"/>
        <v>2021</v>
      </c>
      <c r="F57" t="s">
        <v>5</v>
      </c>
      <c r="G57" t="s">
        <v>33</v>
      </c>
      <c r="H57" t="s">
        <v>601</v>
      </c>
      <c r="I57">
        <v>180</v>
      </c>
      <c r="J57">
        <v>16</v>
      </c>
      <c r="K57">
        <f t="shared" si="2"/>
        <v>8.8888888888888893</v>
      </c>
      <c r="L57" t="s">
        <v>1744</v>
      </c>
      <c r="M57" t="s">
        <v>3634</v>
      </c>
      <c r="N57" t="s">
        <v>1</v>
      </c>
      <c r="O57">
        <v>122001</v>
      </c>
      <c r="P57" t="s">
        <v>546</v>
      </c>
      <c r="Q57" t="s">
        <v>1768</v>
      </c>
      <c r="S57">
        <v>208.56</v>
      </c>
      <c r="T57">
        <v>6</v>
      </c>
      <c r="U57">
        <v>0.1</v>
      </c>
      <c r="V57">
        <v>52.14</v>
      </c>
      <c r="W57">
        <f t="shared" si="3"/>
        <v>26.070000000000004</v>
      </c>
      <c r="X57">
        <v>1</v>
      </c>
    </row>
    <row r="58" spans="1:24" x14ac:dyDescent="0.3">
      <c r="A58">
        <v>57</v>
      </c>
      <c r="B58" t="s">
        <v>1833</v>
      </c>
      <c r="C58" s="6">
        <v>44253</v>
      </c>
      <c r="D58" t="str">
        <f t="shared" si="0"/>
        <v>Feb</v>
      </c>
      <c r="E58" t="str">
        <f t="shared" si="1"/>
        <v>2021</v>
      </c>
      <c r="F58" t="s">
        <v>5</v>
      </c>
      <c r="G58" t="s">
        <v>33</v>
      </c>
      <c r="H58" t="s">
        <v>602</v>
      </c>
      <c r="I58">
        <v>170</v>
      </c>
      <c r="J58">
        <v>6</v>
      </c>
      <c r="K58">
        <f t="shared" si="2"/>
        <v>3.5294117647058822</v>
      </c>
      <c r="L58" t="s">
        <v>1740</v>
      </c>
      <c r="M58" t="s">
        <v>3635</v>
      </c>
      <c r="N58" t="s">
        <v>1</v>
      </c>
      <c r="O58">
        <v>390019</v>
      </c>
      <c r="P58" t="s">
        <v>546</v>
      </c>
      <c r="Q58" t="s">
        <v>1759</v>
      </c>
      <c r="S58">
        <v>32.4</v>
      </c>
      <c r="T58">
        <v>5</v>
      </c>
      <c r="U58">
        <v>0.1</v>
      </c>
      <c r="V58">
        <v>15.552</v>
      </c>
      <c r="W58">
        <f t="shared" si="3"/>
        <v>3.3695999999999997</v>
      </c>
      <c r="X58">
        <v>3</v>
      </c>
    </row>
    <row r="59" spans="1:24" x14ac:dyDescent="0.3">
      <c r="A59">
        <v>58</v>
      </c>
      <c r="B59" t="s">
        <v>1834</v>
      </c>
      <c r="C59" s="6">
        <v>44254</v>
      </c>
      <c r="D59" t="str">
        <f t="shared" si="0"/>
        <v>Feb</v>
      </c>
      <c r="E59" t="str">
        <f t="shared" si="1"/>
        <v>2021</v>
      </c>
      <c r="F59" t="s">
        <v>5</v>
      </c>
      <c r="G59" t="s">
        <v>33</v>
      </c>
      <c r="H59" t="s">
        <v>603</v>
      </c>
      <c r="I59">
        <v>140</v>
      </c>
      <c r="J59">
        <v>14</v>
      </c>
      <c r="K59">
        <f t="shared" si="2"/>
        <v>10</v>
      </c>
      <c r="L59" t="s">
        <v>1742</v>
      </c>
      <c r="M59" t="s">
        <v>3636</v>
      </c>
      <c r="N59" t="s">
        <v>1</v>
      </c>
      <c r="O59">
        <v>700048</v>
      </c>
      <c r="P59" t="s">
        <v>546</v>
      </c>
      <c r="Q59" t="s">
        <v>1758</v>
      </c>
      <c r="S59">
        <v>319.41000000000003</v>
      </c>
      <c r="T59">
        <v>5</v>
      </c>
      <c r="U59">
        <v>0.11</v>
      </c>
      <c r="V59">
        <v>7.0979999999999999</v>
      </c>
      <c r="W59">
        <f t="shared" si="3"/>
        <v>62.462400000000002</v>
      </c>
      <c r="X59">
        <v>4</v>
      </c>
    </row>
    <row r="60" spans="1:24" x14ac:dyDescent="0.3">
      <c r="A60">
        <v>59</v>
      </c>
      <c r="B60" t="s">
        <v>1835</v>
      </c>
      <c r="C60" s="6">
        <v>44255</v>
      </c>
      <c r="D60" t="str">
        <f t="shared" si="0"/>
        <v>Feb</v>
      </c>
      <c r="E60" t="str">
        <f t="shared" si="1"/>
        <v>2021</v>
      </c>
      <c r="F60" t="s">
        <v>5</v>
      </c>
      <c r="G60" t="s">
        <v>33</v>
      </c>
      <c r="H60" t="s">
        <v>604</v>
      </c>
      <c r="I60">
        <v>210</v>
      </c>
      <c r="J60">
        <v>14</v>
      </c>
      <c r="K60">
        <f t="shared" si="2"/>
        <v>6.666666666666667</v>
      </c>
      <c r="L60" t="s">
        <v>1739</v>
      </c>
      <c r="M60" t="s">
        <v>3637</v>
      </c>
      <c r="N60" t="s">
        <v>1</v>
      </c>
      <c r="O60">
        <v>700049</v>
      </c>
      <c r="P60" t="s">
        <v>546</v>
      </c>
      <c r="Q60" t="s">
        <v>1761</v>
      </c>
      <c r="R60" t="s">
        <v>2</v>
      </c>
      <c r="S60">
        <v>14.56</v>
      </c>
      <c r="T60">
        <v>2</v>
      </c>
      <c r="U60">
        <v>0.1</v>
      </c>
      <c r="V60">
        <v>6.9888000000000003</v>
      </c>
      <c r="W60">
        <f t="shared" si="3"/>
        <v>3.7856000000000001</v>
      </c>
      <c r="X60">
        <v>5</v>
      </c>
    </row>
    <row r="61" spans="1:24" x14ac:dyDescent="0.3">
      <c r="A61">
        <v>60</v>
      </c>
      <c r="B61" t="s">
        <v>1836</v>
      </c>
      <c r="C61" s="6">
        <v>44256</v>
      </c>
      <c r="D61" t="str">
        <f t="shared" si="0"/>
        <v>Mar</v>
      </c>
      <c r="E61" t="str">
        <f t="shared" si="1"/>
        <v>2021</v>
      </c>
      <c r="F61" t="s">
        <v>5</v>
      </c>
      <c r="G61" t="s">
        <v>33</v>
      </c>
      <c r="H61" t="s">
        <v>593</v>
      </c>
      <c r="I61">
        <v>220</v>
      </c>
      <c r="J61">
        <v>10</v>
      </c>
      <c r="K61">
        <f t="shared" si="2"/>
        <v>4.5454545454545459</v>
      </c>
      <c r="L61" t="s">
        <v>1738</v>
      </c>
      <c r="M61" t="s">
        <v>3638</v>
      </c>
      <c r="N61" t="s">
        <v>1</v>
      </c>
      <c r="O61">
        <v>491001</v>
      </c>
      <c r="P61" t="s">
        <v>546</v>
      </c>
      <c r="Q61" t="s">
        <v>1755</v>
      </c>
      <c r="S61">
        <v>30</v>
      </c>
      <c r="T61">
        <v>2</v>
      </c>
      <c r="U61">
        <v>0.1</v>
      </c>
      <c r="V61">
        <v>3.3</v>
      </c>
      <c r="W61">
        <f t="shared" si="3"/>
        <v>13.35</v>
      </c>
      <c r="X61">
        <v>2</v>
      </c>
    </row>
    <row r="62" spans="1:24" x14ac:dyDescent="0.3">
      <c r="A62">
        <v>61</v>
      </c>
      <c r="B62" t="s">
        <v>1837</v>
      </c>
      <c r="C62" s="6">
        <v>44257</v>
      </c>
      <c r="D62" t="str">
        <f t="shared" si="0"/>
        <v>Mar</v>
      </c>
      <c r="E62" t="str">
        <f t="shared" si="1"/>
        <v>2021</v>
      </c>
      <c r="F62" t="s">
        <v>5</v>
      </c>
      <c r="G62" t="s">
        <v>33</v>
      </c>
      <c r="H62" t="s">
        <v>605</v>
      </c>
      <c r="I62">
        <v>210</v>
      </c>
      <c r="J62">
        <v>10</v>
      </c>
      <c r="K62">
        <f t="shared" si="2"/>
        <v>4.7619047619047619</v>
      </c>
      <c r="L62" t="s">
        <v>1737</v>
      </c>
      <c r="M62" t="s">
        <v>3639</v>
      </c>
      <c r="N62" t="s">
        <v>1</v>
      </c>
      <c r="O62">
        <v>491001</v>
      </c>
      <c r="P62" t="s">
        <v>546</v>
      </c>
      <c r="Q62" t="s">
        <v>1763</v>
      </c>
      <c r="S62">
        <v>48.48</v>
      </c>
      <c r="T62">
        <v>4</v>
      </c>
      <c r="U62">
        <v>0.2</v>
      </c>
      <c r="V62">
        <v>16.361999999999998</v>
      </c>
      <c r="W62">
        <f t="shared" si="3"/>
        <v>8.0294999999999987</v>
      </c>
      <c r="X62">
        <v>4</v>
      </c>
    </row>
    <row r="63" spans="1:24" x14ac:dyDescent="0.3">
      <c r="A63">
        <v>62</v>
      </c>
      <c r="B63" t="s">
        <v>1838</v>
      </c>
      <c r="C63" s="6">
        <v>44258</v>
      </c>
      <c r="D63" t="str">
        <f t="shared" si="0"/>
        <v>Mar</v>
      </c>
      <c r="E63" t="str">
        <f t="shared" si="1"/>
        <v>2021</v>
      </c>
      <c r="F63" t="s">
        <v>5</v>
      </c>
      <c r="G63" t="s">
        <v>33</v>
      </c>
      <c r="H63" t="s">
        <v>606</v>
      </c>
      <c r="I63">
        <v>100</v>
      </c>
      <c r="J63">
        <v>6</v>
      </c>
      <c r="K63">
        <f t="shared" si="2"/>
        <v>6</v>
      </c>
      <c r="L63" t="s">
        <v>1743</v>
      </c>
      <c r="M63" t="s">
        <v>3640</v>
      </c>
      <c r="N63" t="s">
        <v>1</v>
      </c>
      <c r="O63">
        <v>273001</v>
      </c>
      <c r="P63" t="s">
        <v>546</v>
      </c>
      <c r="Q63" t="s">
        <v>1761</v>
      </c>
      <c r="S63">
        <v>1.68</v>
      </c>
      <c r="T63">
        <v>1</v>
      </c>
      <c r="U63">
        <v>0.1</v>
      </c>
      <c r="V63">
        <v>0.84</v>
      </c>
      <c r="W63">
        <f t="shared" si="3"/>
        <v>0.84</v>
      </c>
      <c r="X63">
        <v>3</v>
      </c>
    </row>
    <row r="64" spans="1:24" x14ac:dyDescent="0.3">
      <c r="A64">
        <v>63</v>
      </c>
      <c r="B64" t="s">
        <v>1839</v>
      </c>
      <c r="C64" s="6">
        <v>44259</v>
      </c>
      <c r="D64" t="str">
        <f t="shared" si="0"/>
        <v>Mar</v>
      </c>
      <c r="E64" t="str">
        <f t="shared" si="1"/>
        <v>2021</v>
      </c>
      <c r="F64" t="s">
        <v>4</v>
      </c>
      <c r="G64" t="s">
        <v>34</v>
      </c>
      <c r="H64" t="s">
        <v>607</v>
      </c>
      <c r="I64">
        <v>130</v>
      </c>
      <c r="J64">
        <v>20</v>
      </c>
      <c r="K64">
        <f t="shared" si="2"/>
        <v>15.384615384615385</v>
      </c>
      <c r="L64" t="s">
        <v>1738</v>
      </c>
      <c r="M64" t="s">
        <v>3641</v>
      </c>
      <c r="O64">
        <v>741152</v>
      </c>
      <c r="P64" t="s">
        <v>546</v>
      </c>
      <c r="Q64" t="s">
        <v>1767</v>
      </c>
      <c r="S64">
        <v>13.98</v>
      </c>
      <c r="T64">
        <v>2</v>
      </c>
      <c r="U64">
        <v>0.1</v>
      </c>
      <c r="V64">
        <v>6.1512000000000002</v>
      </c>
      <c r="W64">
        <f t="shared" si="3"/>
        <v>3.9144000000000001</v>
      </c>
      <c r="X64">
        <v>2</v>
      </c>
    </row>
    <row r="65" spans="1:24" x14ac:dyDescent="0.3">
      <c r="A65">
        <v>64</v>
      </c>
      <c r="B65" t="s">
        <v>1840</v>
      </c>
      <c r="C65" s="6">
        <v>44260</v>
      </c>
      <c r="D65" t="str">
        <f t="shared" si="0"/>
        <v>Mar</v>
      </c>
      <c r="E65" t="str">
        <f t="shared" si="1"/>
        <v>2021</v>
      </c>
      <c r="F65" t="s">
        <v>4</v>
      </c>
      <c r="G65" t="s">
        <v>34</v>
      </c>
      <c r="H65" t="s">
        <v>608</v>
      </c>
      <c r="I65">
        <v>250</v>
      </c>
      <c r="J65">
        <v>30</v>
      </c>
      <c r="K65">
        <f t="shared" si="2"/>
        <v>12</v>
      </c>
      <c r="L65" t="s">
        <v>1739</v>
      </c>
      <c r="M65" t="s">
        <v>3642</v>
      </c>
      <c r="N65" t="s">
        <v>1</v>
      </c>
      <c r="O65">
        <v>133103</v>
      </c>
      <c r="P65" t="s">
        <v>546</v>
      </c>
      <c r="Q65" t="s">
        <v>1761</v>
      </c>
      <c r="S65">
        <v>25.824000000000002</v>
      </c>
      <c r="T65">
        <v>6</v>
      </c>
      <c r="U65">
        <v>0.2</v>
      </c>
      <c r="V65">
        <v>9.3612000000000002</v>
      </c>
      <c r="W65">
        <f t="shared" si="3"/>
        <v>2.7438000000000002</v>
      </c>
      <c r="X65">
        <v>4</v>
      </c>
    </row>
    <row r="66" spans="1:24" x14ac:dyDescent="0.3">
      <c r="A66">
        <v>65</v>
      </c>
      <c r="B66" t="s">
        <v>1841</v>
      </c>
      <c r="C66" s="6">
        <v>44261</v>
      </c>
      <c r="D66" t="str">
        <f t="shared" si="0"/>
        <v>Mar</v>
      </c>
      <c r="E66" t="str">
        <f t="shared" si="1"/>
        <v>2021</v>
      </c>
      <c r="F66" t="s">
        <v>4</v>
      </c>
      <c r="G66" t="s">
        <v>34</v>
      </c>
      <c r="H66" t="s">
        <v>609</v>
      </c>
      <c r="I66">
        <v>230</v>
      </c>
      <c r="J66">
        <v>24</v>
      </c>
      <c r="K66">
        <f t="shared" si="2"/>
        <v>10.434782608695652</v>
      </c>
      <c r="L66" t="s">
        <v>1741</v>
      </c>
      <c r="M66" t="s">
        <v>3643</v>
      </c>
      <c r="N66" t="s">
        <v>1</v>
      </c>
      <c r="O66">
        <v>799006</v>
      </c>
      <c r="P66" t="s">
        <v>546</v>
      </c>
      <c r="Q66" t="s">
        <v>1774</v>
      </c>
      <c r="R66" t="s">
        <v>2</v>
      </c>
      <c r="S66">
        <v>146.72999999999999</v>
      </c>
      <c r="T66">
        <v>3</v>
      </c>
      <c r="U66">
        <v>0.1</v>
      </c>
      <c r="V66">
        <v>68.963099999999997</v>
      </c>
      <c r="W66">
        <f t="shared" si="3"/>
        <v>25.922299999999996</v>
      </c>
      <c r="X66">
        <v>5</v>
      </c>
    </row>
    <row r="67" spans="1:24" x14ac:dyDescent="0.3">
      <c r="A67">
        <v>66</v>
      </c>
      <c r="B67" t="s">
        <v>1842</v>
      </c>
      <c r="C67" s="6">
        <v>44262</v>
      </c>
      <c r="D67" t="str">
        <f t="shared" ref="D67:D130" si="4">TEXT(C67,"Mmm")</f>
        <v>Mar</v>
      </c>
      <c r="E67" t="str">
        <f t="shared" ref="E67:E130" si="5">TEXT(C67,"YYYY")</f>
        <v>2021</v>
      </c>
      <c r="F67" t="s">
        <v>4</v>
      </c>
      <c r="G67" t="s">
        <v>34</v>
      </c>
      <c r="H67" t="s">
        <v>610</v>
      </c>
      <c r="I67">
        <v>150</v>
      </c>
      <c r="J67">
        <v>30</v>
      </c>
      <c r="K67">
        <f t="shared" ref="K67:K130" si="6">(J67/I67)*100</f>
        <v>20</v>
      </c>
      <c r="L67" t="s">
        <v>1736</v>
      </c>
      <c r="M67" t="s">
        <v>3644</v>
      </c>
      <c r="O67">
        <v>670612</v>
      </c>
      <c r="P67" t="s">
        <v>546</v>
      </c>
      <c r="Q67" t="s">
        <v>1766</v>
      </c>
      <c r="S67">
        <v>79.760000000000005</v>
      </c>
      <c r="T67">
        <v>4</v>
      </c>
      <c r="U67">
        <v>0.1</v>
      </c>
      <c r="V67">
        <v>22.332799999999999</v>
      </c>
      <c r="W67">
        <f t="shared" ref="W67:W130" si="7">(S67-V67)/T67</f>
        <v>14.356800000000002</v>
      </c>
      <c r="X67">
        <v>1</v>
      </c>
    </row>
    <row r="68" spans="1:24" x14ac:dyDescent="0.3">
      <c r="A68">
        <v>67</v>
      </c>
      <c r="B68" t="s">
        <v>1843</v>
      </c>
      <c r="C68" s="6">
        <v>44263</v>
      </c>
      <c r="D68" t="str">
        <f t="shared" si="4"/>
        <v>Mar</v>
      </c>
      <c r="E68" t="str">
        <f t="shared" si="5"/>
        <v>2021</v>
      </c>
      <c r="F68" t="s">
        <v>4</v>
      </c>
      <c r="G68" t="s">
        <v>35</v>
      </c>
      <c r="H68" t="s">
        <v>611</v>
      </c>
      <c r="I68">
        <v>250</v>
      </c>
      <c r="J68">
        <v>14</v>
      </c>
      <c r="K68">
        <f t="shared" si="6"/>
        <v>5.6000000000000005</v>
      </c>
      <c r="L68" t="s">
        <v>1744</v>
      </c>
      <c r="M68" t="s">
        <v>3645</v>
      </c>
      <c r="N68" t="s">
        <v>1</v>
      </c>
      <c r="O68">
        <v>682017</v>
      </c>
      <c r="P68" t="s">
        <v>546</v>
      </c>
      <c r="Q68" t="s">
        <v>1763</v>
      </c>
      <c r="R68" t="s">
        <v>2</v>
      </c>
      <c r="S68">
        <v>213.11500000000001</v>
      </c>
      <c r="T68">
        <v>5</v>
      </c>
      <c r="U68">
        <v>0.3</v>
      </c>
      <c r="V68">
        <v>-15.2225</v>
      </c>
      <c r="W68">
        <f t="shared" si="7"/>
        <v>45.667500000000004</v>
      </c>
      <c r="X68">
        <v>4</v>
      </c>
    </row>
    <row r="69" spans="1:24" x14ac:dyDescent="0.3">
      <c r="A69">
        <v>68</v>
      </c>
      <c r="B69" t="s">
        <v>1844</v>
      </c>
      <c r="C69" s="6">
        <v>44264</v>
      </c>
      <c r="D69" t="str">
        <f t="shared" si="4"/>
        <v>Mar</v>
      </c>
      <c r="E69" t="str">
        <f t="shared" si="5"/>
        <v>2021</v>
      </c>
      <c r="F69" t="s">
        <v>4</v>
      </c>
      <c r="G69" t="s">
        <v>36</v>
      </c>
      <c r="H69" t="s">
        <v>612</v>
      </c>
      <c r="I69">
        <v>100</v>
      </c>
      <c r="J69">
        <v>18</v>
      </c>
      <c r="K69">
        <f t="shared" si="6"/>
        <v>18</v>
      </c>
      <c r="L69" t="s">
        <v>1740</v>
      </c>
      <c r="M69" t="s">
        <v>3646</v>
      </c>
      <c r="N69" t="s">
        <v>1</v>
      </c>
      <c r="O69">
        <v>673601</v>
      </c>
      <c r="P69" t="s">
        <v>546</v>
      </c>
      <c r="Q69" t="s">
        <v>1765</v>
      </c>
      <c r="S69">
        <v>1113.0239999999999</v>
      </c>
      <c r="T69">
        <v>8</v>
      </c>
      <c r="U69">
        <v>0.2</v>
      </c>
      <c r="V69">
        <v>111.30240000000001</v>
      </c>
      <c r="W69">
        <f t="shared" si="7"/>
        <v>125.21519999999998</v>
      </c>
      <c r="X69">
        <v>4</v>
      </c>
    </row>
    <row r="70" spans="1:24" x14ac:dyDescent="0.3">
      <c r="A70">
        <v>69</v>
      </c>
      <c r="B70" t="s">
        <v>1845</v>
      </c>
      <c r="C70" s="6">
        <v>44265</v>
      </c>
      <c r="D70" t="str">
        <f t="shared" si="4"/>
        <v>Mar</v>
      </c>
      <c r="E70" t="str">
        <f t="shared" si="5"/>
        <v>2021</v>
      </c>
      <c r="F70" t="s">
        <v>4</v>
      </c>
      <c r="G70" t="s">
        <v>36</v>
      </c>
      <c r="H70" t="s">
        <v>613</v>
      </c>
      <c r="I70">
        <v>120</v>
      </c>
      <c r="J70">
        <v>22</v>
      </c>
      <c r="K70">
        <f t="shared" si="6"/>
        <v>18.333333333333332</v>
      </c>
      <c r="L70" t="s">
        <v>1742</v>
      </c>
      <c r="M70" t="s">
        <v>3647</v>
      </c>
      <c r="N70" t="s">
        <v>1</v>
      </c>
      <c r="O70">
        <v>122001</v>
      </c>
      <c r="P70" t="s">
        <v>546</v>
      </c>
      <c r="Q70" t="s">
        <v>1767</v>
      </c>
      <c r="R70" t="s">
        <v>2</v>
      </c>
      <c r="S70">
        <v>167.96799999999999</v>
      </c>
      <c r="T70">
        <v>4</v>
      </c>
      <c r="U70">
        <v>0.2</v>
      </c>
      <c r="V70">
        <v>62.988</v>
      </c>
      <c r="W70">
        <f t="shared" si="7"/>
        <v>26.244999999999997</v>
      </c>
      <c r="X70">
        <v>1</v>
      </c>
    </row>
    <row r="71" spans="1:24" x14ac:dyDescent="0.3">
      <c r="A71">
        <v>70</v>
      </c>
      <c r="B71" t="s">
        <v>1846</v>
      </c>
      <c r="C71" s="6">
        <v>44266</v>
      </c>
      <c r="D71" t="str">
        <f t="shared" si="4"/>
        <v>Mar</v>
      </c>
      <c r="E71" t="str">
        <f t="shared" si="5"/>
        <v>2021</v>
      </c>
      <c r="F71" t="s">
        <v>5</v>
      </c>
      <c r="G71" t="s">
        <v>37</v>
      </c>
      <c r="H71" t="s">
        <v>614</v>
      </c>
      <c r="I71">
        <v>240</v>
      </c>
      <c r="J71">
        <v>14</v>
      </c>
      <c r="K71">
        <f t="shared" si="6"/>
        <v>5.833333333333333</v>
      </c>
      <c r="L71" t="s">
        <v>1739</v>
      </c>
      <c r="M71" t="s">
        <v>3648</v>
      </c>
      <c r="N71" t="s">
        <v>1</v>
      </c>
      <c r="O71">
        <v>332001</v>
      </c>
      <c r="P71" t="s">
        <v>546</v>
      </c>
      <c r="Q71" t="s">
        <v>1763</v>
      </c>
      <c r="R71" t="s">
        <v>2</v>
      </c>
      <c r="S71">
        <v>75.88</v>
      </c>
      <c r="T71">
        <v>2</v>
      </c>
      <c r="U71">
        <v>0.1</v>
      </c>
      <c r="V71">
        <v>35.663600000000002</v>
      </c>
      <c r="W71">
        <f t="shared" si="7"/>
        <v>20.108199999999997</v>
      </c>
      <c r="X71">
        <v>4</v>
      </c>
    </row>
    <row r="72" spans="1:24" x14ac:dyDescent="0.3">
      <c r="A72">
        <v>71</v>
      </c>
      <c r="B72" t="s">
        <v>1847</v>
      </c>
      <c r="C72" s="6">
        <v>44267</v>
      </c>
      <c r="D72" t="str">
        <f t="shared" si="4"/>
        <v>Mar</v>
      </c>
      <c r="E72" t="str">
        <f t="shared" si="5"/>
        <v>2021</v>
      </c>
      <c r="F72" t="s">
        <v>4</v>
      </c>
      <c r="G72" t="s">
        <v>38</v>
      </c>
      <c r="H72" t="s">
        <v>615</v>
      </c>
      <c r="I72">
        <v>170</v>
      </c>
      <c r="J72">
        <v>30</v>
      </c>
      <c r="K72">
        <f t="shared" si="6"/>
        <v>17.647058823529413</v>
      </c>
      <c r="L72" t="s">
        <v>1738</v>
      </c>
      <c r="M72" t="s">
        <v>3649</v>
      </c>
      <c r="N72" t="s">
        <v>1</v>
      </c>
      <c r="O72">
        <v>560100</v>
      </c>
      <c r="P72" t="s">
        <v>546</v>
      </c>
      <c r="Q72" t="s">
        <v>1761</v>
      </c>
      <c r="S72">
        <v>4.6159999999999997</v>
      </c>
      <c r="T72">
        <v>1</v>
      </c>
      <c r="U72">
        <v>0.2</v>
      </c>
      <c r="V72">
        <v>1.7310000000000001</v>
      </c>
      <c r="W72">
        <f t="shared" si="7"/>
        <v>2.8849999999999998</v>
      </c>
      <c r="X72">
        <v>3</v>
      </c>
    </row>
    <row r="73" spans="1:24" x14ac:dyDescent="0.3">
      <c r="A73">
        <v>72</v>
      </c>
      <c r="B73" t="s">
        <v>1848</v>
      </c>
      <c r="C73" s="6">
        <v>44268</v>
      </c>
      <c r="D73" t="str">
        <f t="shared" si="4"/>
        <v>Mar</v>
      </c>
      <c r="E73" t="str">
        <f t="shared" si="5"/>
        <v>2021</v>
      </c>
      <c r="F73" t="s">
        <v>3</v>
      </c>
      <c r="G73" t="s">
        <v>21</v>
      </c>
      <c r="H73" t="s">
        <v>616</v>
      </c>
      <c r="I73">
        <v>130</v>
      </c>
      <c r="J73">
        <v>16</v>
      </c>
      <c r="K73">
        <f t="shared" si="6"/>
        <v>12.307692307692308</v>
      </c>
      <c r="L73" t="s">
        <v>1743</v>
      </c>
      <c r="M73" t="s">
        <v>3650</v>
      </c>
      <c r="N73" t="s">
        <v>1</v>
      </c>
      <c r="O73">
        <v>422101</v>
      </c>
      <c r="P73" t="s">
        <v>546</v>
      </c>
      <c r="Q73" t="s">
        <v>1773</v>
      </c>
      <c r="S73">
        <v>19.05</v>
      </c>
      <c r="T73">
        <v>3</v>
      </c>
      <c r="U73">
        <v>0.1</v>
      </c>
      <c r="V73">
        <v>8.7629999999999999</v>
      </c>
      <c r="W73">
        <f t="shared" si="7"/>
        <v>3.4290000000000003</v>
      </c>
      <c r="X73">
        <v>2</v>
      </c>
    </row>
    <row r="74" spans="1:24" x14ac:dyDescent="0.3">
      <c r="A74">
        <v>73</v>
      </c>
      <c r="B74" t="s">
        <v>1849</v>
      </c>
      <c r="C74" s="6">
        <v>44269</v>
      </c>
      <c r="D74" t="str">
        <f t="shared" si="4"/>
        <v>Mar</v>
      </c>
      <c r="E74" t="str">
        <f t="shared" si="5"/>
        <v>2021</v>
      </c>
      <c r="F74" t="s">
        <v>4</v>
      </c>
      <c r="G74" t="s">
        <v>39</v>
      </c>
      <c r="H74" t="s">
        <v>617</v>
      </c>
      <c r="I74">
        <v>150</v>
      </c>
      <c r="J74">
        <v>14</v>
      </c>
      <c r="K74">
        <f t="shared" si="6"/>
        <v>9.3333333333333339</v>
      </c>
      <c r="L74" t="s">
        <v>1737</v>
      </c>
      <c r="M74" t="s">
        <v>3651</v>
      </c>
      <c r="N74" t="s">
        <v>1</v>
      </c>
      <c r="O74">
        <v>122017</v>
      </c>
      <c r="P74" t="s">
        <v>546</v>
      </c>
      <c r="Q74" t="s">
        <v>1760</v>
      </c>
      <c r="R74" t="s">
        <v>2</v>
      </c>
      <c r="S74">
        <v>831.93600000000004</v>
      </c>
      <c r="T74">
        <v>8</v>
      </c>
      <c r="U74">
        <v>0.2</v>
      </c>
      <c r="V74">
        <v>-114.3912</v>
      </c>
      <c r="W74">
        <f t="shared" si="7"/>
        <v>118.29090000000001</v>
      </c>
      <c r="X74">
        <v>1</v>
      </c>
    </row>
    <row r="75" spans="1:24" x14ac:dyDescent="0.3">
      <c r="A75">
        <v>74</v>
      </c>
      <c r="B75" t="s">
        <v>1850</v>
      </c>
      <c r="C75" s="6">
        <v>44270</v>
      </c>
      <c r="D75" t="str">
        <f t="shared" si="4"/>
        <v>Mar</v>
      </c>
      <c r="E75" t="str">
        <f t="shared" si="5"/>
        <v>2021</v>
      </c>
      <c r="F75" t="s">
        <v>4</v>
      </c>
      <c r="G75" t="s">
        <v>39</v>
      </c>
      <c r="H75" t="s">
        <v>618</v>
      </c>
      <c r="I75">
        <v>240</v>
      </c>
      <c r="J75">
        <v>16</v>
      </c>
      <c r="K75">
        <f t="shared" si="6"/>
        <v>6.666666666666667</v>
      </c>
      <c r="L75" t="s">
        <v>1741</v>
      </c>
      <c r="M75" t="s">
        <v>3652</v>
      </c>
      <c r="N75" t="s">
        <v>1</v>
      </c>
      <c r="O75">
        <v>201308</v>
      </c>
      <c r="P75" t="s">
        <v>546</v>
      </c>
      <c r="Q75" t="s">
        <v>1766</v>
      </c>
      <c r="R75" t="s">
        <v>2</v>
      </c>
      <c r="S75">
        <v>97.04</v>
      </c>
      <c r="T75">
        <v>2</v>
      </c>
      <c r="U75">
        <v>0.2</v>
      </c>
      <c r="V75">
        <v>1.2130000000000001</v>
      </c>
      <c r="W75">
        <f t="shared" si="7"/>
        <v>47.913500000000006</v>
      </c>
      <c r="X75">
        <v>1</v>
      </c>
    </row>
    <row r="76" spans="1:24" x14ac:dyDescent="0.3">
      <c r="A76">
        <v>75</v>
      </c>
      <c r="B76" t="s">
        <v>1851</v>
      </c>
      <c r="C76" s="6">
        <v>44271</v>
      </c>
      <c r="D76" t="str">
        <f t="shared" si="4"/>
        <v>Mar</v>
      </c>
      <c r="E76" t="str">
        <f t="shared" si="5"/>
        <v>2021</v>
      </c>
      <c r="F76" t="s">
        <v>4</v>
      </c>
      <c r="G76" t="s">
        <v>39</v>
      </c>
      <c r="H76" t="s">
        <v>619</v>
      </c>
      <c r="I76">
        <v>150</v>
      </c>
      <c r="J76">
        <v>18</v>
      </c>
      <c r="K76">
        <f t="shared" si="6"/>
        <v>12</v>
      </c>
      <c r="L76" t="s">
        <v>1736</v>
      </c>
      <c r="M76" t="s">
        <v>3653</v>
      </c>
      <c r="N76" t="s">
        <v>1</v>
      </c>
      <c r="O76">
        <v>474001</v>
      </c>
      <c r="P76" t="s">
        <v>546</v>
      </c>
      <c r="Q76" t="s">
        <v>1776</v>
      </c>
      <c r="S76">
        <v>72.784000000000006</v>
      </c>
      <c r="T76">
        <v>1</v>
      </c>
      <c r="U76">
        <v>0.2</v>
      </c>
      <c r="V76">
        <v>-18.196000000000002</v>
      </c>
      <c r="W76">
        <f t="shared" si="7"/>
        <v>90.98</v>
      </c>
      <c r="X76">
        <v>3</v>
      </c>
    </row>
    <row r="77" spans="1:24" x14ac:dyDescent="0.3">
      <c r="A77">
        <v>76</v>
      </c>
      <c r="B77" t="s">
        <v>1852</v>
      </c>
      <c r="C77" s="6">
        <v>44272</v>
      </c>
      <c r="D77" t="str">
        <f t="shared" si="4"/>
        <v>Mar</v>
      </c>
      <c r="E77" t="str">
        <f t="shared" si="5"/>
        <v>2021</v>
      </c>
      <c r="F77" t="s">
        <v>5</v>
      </c>
      <c r="G77" t="s">
        <v>40</v>
      </c>
      <c r="H77" t="s">
        <v>620</v>
      </c>
      <c r="I77">
        <v>170</v>
      </c>
      <c r="J77">
        <v>18</v>
      </c>
      <c r="K77">
        <f t="shared" si="6"/>
        <v>10.588235294117647</v>
      </c>
      <c r="L77" t="s">
        <v>1744</v>
      </c>
      <c r="M77" t="s">
        <v>3654</v>
      </c>
      <c r="N77" t="s">
        <v>1</v>
      </c>
      <c r="O77">
        <v>110023</v>
      </c>
      <c r="P77" t="s">
        <v>546</v>
      </c>
      <c r="Q77" t="s">
        <v>1774</v>
      </c>
      <c r="S77">
        <v>1.248</v>
      </c>
      <c r="T77">
        <v>3</v>
      </c>
      <c r="U77">
        <v>0.8</v>
      </c>
      <c r="V77">
        <v>-1.9343999999999999</v>
      </c>
      <c r="W77">
        <f t="shared" si="7"/>
        <v>1.0608</v>
      </c>
      <c r="X77">
        <v>4</v>
      </c>
    </row>
    <row r="78" spans="1:24" x14ac:dyDescent="0.3">
      <c r="A78">
        <v>77</v>
      </c>
      <c r="B78" t="s">
        <v>1853</v>
      </c>
      <c r="C78" s="6">
        <v>44273</v>
      </c>
      <c r="D78" t="str">
        <f t="shared" si="4"/>
        <v>Mar</v>
      </c>
      <c r="E78" t="str">
        <f t="shared" si="5"/>
        <v>2021</v>
      </c>
      <c r="F78" t="s">
        <v>5</v>
      </c>
      <c r="G78" t="s">
        <v>40</v>
      </c>
      <c r="H78" t="s">
        <v>621</v>
      </c>
      <c r="I78">
        <v>220</v>
      </c>
      <c r="J78">
        <v>18</v>
      </c>
      <c r="K78">
        <f t="shared" si="6"/>
        <v>8.1818181818181817</v>
      </c>
      <c r="L78" t="s">
        <v>1740</v>
      </c>
      <c r="M78" t="s">
        <v>3655</v>
      </c>
      <c r="N78" t="s">
        <v>1</v>
      </c>
      <c r="O78">
        <v>110023</v>
      </c>
      <c r="P78" t="s">
        <v>546</v>
      </c>
      <c r="Q78" t="s">
        <v>1774</v>
      </c>
      <c r="S78">
        <v>9.7080000000000002</v>
      </c>
      <c r="T78">
        <v>3</v>
      </c>
      <c r="U78">
        <v>0.6</v>
      </c>
      <c r="V78">
        <v>-5.8247999999999998</v>
      </c>
      <c r="W78">
        <f t="shared" si="7"/>
        <v>5.1776</v>
      </c>
      <c r="X78">
        <v>5</v>
      </c>
    </row>
    <row r="79" spans="1:24" x14ac:dyDescent="0.3">
      <c r="A79">
        <v>78</v>
      </c>
      <c r="B79" t="s">
        <v>1854</v>
      </c>
      <c r="C79" s="6">
        <v>44274</v>
      </c>
      <c r="D79" t="str">
        <f t="shared" si="4"/>
        <v>Mar</v>
      </c>
      <c r="E79" t="str">
        <f t="shared" si="5"/>
        <v>2021</v>
      </c>
      <c r="F79" t="s">
        <v>5</v>
      </c>
      <c r="G79" t="s">
        <v>40</v>
      </c>
      <c r="H79" t="s">
        <v>622</v>
      </c>
      <c r="I79">
        <v>130</v>
      </c>
      <c r="J79">
        <v>6</v>
      </c>
      <c r="K79">
        <f t="shared" si="6"/>
        <v>4.6153846153846159</v>
      </c>
      <c r="L79" t="s">
        <v>1742</v>
      </c>
      <c r="M79" t="s">
        <v>3656</v>
      </c>
      <c r="N79" t="s">
        <v>1</v>
      </c>
      <c r="O79">
        <v>800003</v>
      </c>
      <c r="P79" t="s">
        <v>546</v>
      </c>
      <c r="Q79" t="s">
        <v>1766</v>
      </c>
      <c r="S79">
        <v>27.24</v>
      </c>
      <c r="T79">
        <v>3</v>
      </c>
      <c r="U79">
        <v>0.2</v>
      </c>
      <c r="V79">
        <v>2.7240000000000002</v>
      </c>
      <c r="W79">
        <f t="shared" si="7"/>
        <v>8.1719999999999988</v>
      </c>
      <c r="X79">
        <v>5</v>
      </c>
    </row>
    <row r="80" spans="1:24" x14ac:dyDescent="0.3">
      <c r="A80">
        <v>79</v>
      </c>
      <c r="B80" t="s">
        <v>1855</v>
      </c>
      <c r="C80" s="6">
        <v>44275</v>
      </c>
      <c r="D80" t="str">
        <f t="shared" si="4"/>
        <v>Mar</v>
      </c>
      <c r="E80" t="str">
        <f t="shared" si="5"/>
        <v>2021</v>
      </c>
      <c r="F80" t="s">
        <v>3</v>
      </c>
      <c r="G80" t="s">
        <v>39</v>
      </c>
      <c r="H80" t="s">
        <v>623</v>
      </c>
      <c r="I80">
        <v>120</v>
      </c>
      <c r="J80">
        <v>26</v>
      </c>
      <c r="K80">
        <f t="shared" si="6"/>
        <v>21.666666666666668</v>
      </c>
      <c r="L80" t="s">
        <v>1739</v>
      </c>
      <c r="M80" t="s">
        <v>3657</v>
      </c>
      <c r="N80" t="s">
        <v>1</v>
      </c>
      <c r="O80">
        <v>834002</v>
      </c>
      <c r="P80" t="s">
        <v>546</v>
      </c>
      <c r="Q80" t="s">
        <v>1774</v>
      </c>
      <c r="S80">
        <v>19.3</v>
      </c>
      <c r="T80">
        <v>5</v>
      </c>
      <c r="U80">
        <v>0.6</v>
      </c>
      <c r="V80">
        <v>-14.475</v>
      </c>
      <c r="W80">
        <f t="shared" si="7"/>
        <v>6.7549999999999999</v>
      </c>
      <c r="X80">
        <v>5</v>
      </c>
    </row>
    <row r="81" spans="1:24" x14ac:dyDescent="0.3">
      <c r="A81">
        <v>80</v>
      </c>
      <c r="B81" t="s">
        <v>1856</v>
      </c>
      <c r="C81" s="6">
        <v>44276</v>
      </c>
      <c r="D81" t="str">
        <f t="shared" si="4"/>
        <v>Mar</v>
      </c>
      <c r="E81" t="str">
        <f t="shared" si="5"/>
        <v>2021</v>
      </c>
      <c r="F81" t="s">
        <v>5</v>
      </c>
      <c r="G81" t="s">
        <v>41</v>
      </c>
      <c r="H81" t="s">
        <v>624</v>
      </c>
      <c r="I81">
        <v>140</v>
      </c>
      <c r="J81">
        <v>8</v>
      </c>
      <c r="K81">
        <f t="shared" si="6"/>
        <v>5.7142857142857144</v>
      </c>
      <c r="L81" t="s">
        <v>1738</v>
      </c>
      <c r="M81" t="s">
        <v>3658</v>
      </c>
      <c r="O81">
        <v>400601</v>
      </c>
      <c r="P81" t="s">
        <v>546</v>
      </c>
      <c r="Q81" t="s">
        <v>1772</v>
      </c>
      <c r="R81" t="s">
        <v>2</v>
      </c>
      <c r="S81">
        <v>208.16</v>
      </c>
      <c r="T81">
        <v>1</v>
      </c>
      <c r="U81">
        <v>0.1</v>
      </c>
      <c r="V81">
        <v>56.203200000000002</v>
      </c>
      <c r="W81">
        <f t="shared" si="7"/>
        <v>151.95679999999999</v>
      </c>
      <c r="X81">
        <v>3</v>
      </c>
    </row>
    <row r="82" spans="1:24" x14ac:dyDescent="0.3">
      <c r="A82">
        <v>81</v>
      </c>
      <c r="B82" t="s">
        <v>1857</v>
      </c>
      <c r="C82" s="6">
        <v>44277</v>
      </c>
      <c r="D82" t="str">
        <f t="shared" si="4"/>
        <v>Mar</v>
      </c>
      <c r="E82" t="str">
        <f t="shared" si="5"/>
        <v>2021</v>
      </c>
      <c r="F82" t="s">
        <v>5</v>
      </c>
      <c r="G82" t="s">
        <v>41</v>
      </c>
      <c r="H82" t="s">
        <v>625</v>
      </c>
      <c r="I82">
        <v>250</v>
      </c>
      <c r="J82">
        <v>12</v>
      </c>
      <c r="K82">
        <f t="shared" si="6"/>
        <v>4.8</v>
      </c>
      <c r="L82" t="s">
        <v>1741</v>
      </c>
      <c r="M82" t="s">
        <v>3659</v>
      </c>
      <c r="N82" t="s">
        <v>1</v>
      </c>
      <c r="O82">
        <v>560046</v>
      </c>
      <c r="P82" t="s">
        <v>546</v>
      </c>
      <c r="Q82" t="s">
        <v>1765</v>
      </c>
      <c r="S82">
        <v>16.739999999999998</v>
      </c>
      <c r="T82">
        <v>3</v>
      </c>
      <c r="U82">
        <v>0.1</v>
      </c>
      <c r="V82">
        <v>8.0351999999999997</v>
      </c>
      <c r="W82">
        <f t="shared" si="7"/>
        <v>2.9015999999999997</v>
      </c>
      <c r="X82">
        <v>4</v>
      </c>
    </row>
    <row r="83" spans="1:24" x14ac:dyDescent="0.3">
      <c r="A83">
        <v>82</v>
      </c>
      <c r="B83" t="s">
        <v>1858</v>
      </c>
      <c r="C83" s="6">
        <v>44278</v>
      </c>
      <c r="D83" t="str">
        <f t="shared" si="4"/>
        <v>Mar</v>
      </c>
      <c r="E83" t="str">
        <f t="shared" si="5"/>
        <v>2021</v>
      </c>
      <c r="F83" t="s">
        <v>4</v>
      </c>
      <c r="G83" t="s">
        <v>42</v>
      </c>
      <c r="H83" t="s">
        <v>626</v>
      </c>
      <c r="I83">
        <v>240</v>
      </c>
      <c r="J83">
        <v>24</v>
      </c>
      <c r="K83">
        <f t="shared" si="6"/>
        <v>10</v>
      </c>
      <c r="L83" t="s">
        <v>1737</v>
      </c>
      <c r="M83" t="s">
        <v>3660</v>
      </c>
      <c r="N83" t="s">
        <v>1</v>
      </c>
      <c r="O83">
        <v>474011</v>
      </c>
      <c r="P83" t="s">
        <v>546</v>
      </c>
      <c r="Q83" t="s">
        <v>1765</v>
      </c>
      <c r="S83">
        <v>14.9</v>
      </c>
      <c r="T83">
        <v>5</v>
      </c>
      <c r="U83">
        <v>0.1</v>
      </c>
      <c r="V83">
        <v>4.1719999999999997</v>
      </c>
      <c r="W83">
        <f t="shared" si="7"/>
        <v>2.1456000000000004</v>
      </c>
      <c r="X83">
        <v>2</v>
      </c>
    </row>
    <row r="84" spans="1:24" x14ac:dyDescent="0.3">
      <c r="A84">
        <v>83</v>
      </c>
      <c r="B84" t="s">
        <v>1859</v>
      </c>
      <c r="C84" s="6">
        <v>44279</v>
      </c>
      <c r="D84" t="str">
        <f t="shared" si="4"/>
        <v>Mar</v>
      </c>
      <c r="E84" t="str">
        <f t="shared" si="5"/>
        <v>2021</v>
      </c>
      <c r="F84" t="s">
        <v>4</v>
      </c>
      <c r="G84" t="s">
        <v>42</v>
      </c>
      <c r="H84" t="s">
        <v>627</v>
      </c>
      <c r="I84">
        <v>100</v>
      </c>
      <c r="J84">
        <v>18</v>
      </c>
      <c r="K84">
        <f t="shared" si="6"/>
        <v>18</v>
      </c>
      <c r="L84" t="s">
        <v>1743</v>
      </c>
      <c r="M84" t="s">
        <v>3661</v>
      </c>
      <c r="N84" t="s">
        <v>1</v>
      </c>
      <c r="O84">
        <v>400101</v>
      </c>
      <c r="P84" t="s">
        <v>546</v>
      </c>
      <c r="Q84" t="s">
        <v>1761</v>
      </c>
      <c r="S84">
        <v>21.39</v>
      </c>
      <c r="T84">
        <v>1</v>
      </c>
      <c r="U84">
        <v>0.1</v>
      </c>
      <c r="V84">
        <v>6.2031000000000001</v>
      </c>
      <c r="W84">
        <f t="shared" si="7"/>
        <v>15.186900000000001</v>
      </c>
      <c r="X84">
        <v>2</v>
      </c>
    </row>
    <row r="85" spans="1:24" x14ac:dyDescent="0.3">
      <c r="A85">
        <v>84</v>
      </c>
      <c r="B85" t="s">
        <v>1860</v>
      </c>
      <c r="C85" s="6">
        <v>44280</v>
      </c>
      <c r="D85" t="str">
        <f t="shared" si="4"/>
        <v>Mar</v>
      </c>
      <c r="E85" t="str">
        <f t="shared" si="5"/>
        <v>2021</v>
      </c>
      <c r="F85" t="s">
        <v>4</v>
      </c>
      <c r="G85" t="s">
        <v>43</v>
      </c>
      <c r="H85" t="s">
        <v>628</v>
      </c>
      <c r="I85">
        <v>130</v>
      </c>
      <c r="J85">
        <v>28</v>
      </c>
      <c r="K85">
        <f t="shared" si="6"/>
        <v>21.53846153846154</v>
      </c>
      <c r="L85" t="s">
        <v>1738</v>
      </c>
      <c r="M85" t="s">
        <v>3662</v>
      </c>
      <c r="N85" t="s">
        <v>1</v>
      </c>
      <c r="O85">
        <v>201306</v>
      </c>
      <c r="P85" t="s">
        <v>546</v>
      </c>
      <c r="Q85" t="s">
        <v>1759</v>
      </c>
      <c r="S85">
        <v>200.98400000000001</v>
      </c>
      <c r="T85">
        <v>7</v>
      </c>
      <c r="U85">
        <v>0.2</v>
      </c>
      <c r="V85">
        <v>62.807499999999997</v>
      </c>
      <c r="W85">
        <f t="shared" si="7"/>
        <v>19.7395</v>
      </c>
      <c r="X85">
        <v>2</v>
      </c>
    </row>
    <row r="86" spans="1:24" x14ac:dyDescent="0.3">
      <c r="A86">
        <v>85</v>
      </c>
      <c r="B86" t="s">
        <v>1861</v>
      </c>
      <c r="C86" s="6">
        <v>44281</v>
      </c>
      <c r="D86" t="str">
        <f t="shared" si="4"/>
        <v>Mar</v>
      </c>
      <c r="E86" t="str">
        <f t="shared" si="5"/>
        <v>2021</v>
      </c>
      <c r="F86" t="s">
        <v>5</v>
      </c>
      <c r="G86" t="s">
        <v>44</v>
      </c>
      <c r="H86" t="s">
        <v>629</v>
      </c>
      <c r="I86">
        <v>200</v>
      </c>
      <c r="J86">
        <v>8</v>
      </c>
      <c r="K86">
        <f t="shared" si="6"/>
        <v>4</v>
      </c>
      <c r="L86" t="s">
        <v>1739</v>
      </c>
      <c r="M86" t="s">
        <v>3663</v>
      </c>
      <c r="N86" t="s">
        <v>1</v>
      </c>
      <c r="O86">
        <v>323022</v>
      </c>
      <c r="P86" t="s">
        <v>546</v>
      </c>
      <c r="Q86" t="s">
        <v>1761</v>
      </c>
      <c r="S86">
        <v>230.376</v>
      </c>
      <c r="T86">
        <v>3</v>
      </c>
      <c r="U86">
        <v>0.2</v>
      </c>
      <c r="V86">
        <v>-48.954900000000002</v>
      </c>
      <c r="W86">
        <f t="shared" si="7"/>
        <v>93.110299999999995</v>
      </c>
      <c r="X86">
        <v>5</v>
      </c>
    </row>
    <row r="87" spans="1:24" x14ac:dyDescent="0.3">
      <c r="A87">
        <v>86</v>
      </c>
      <c r="B87" t="s">
        <v>1862</v>
      </c>
      <c r="C87" s="6">
        <v>44282</v>
      </c>
      <c r="D87" t="str">
        <f t="shared" si="4"/>
        <v>Mar</v>
      </c>
      <c r="E87" t="str">
        <f t="shared" si="5"/>
        <v>2021</v>
      </c>
      <c r="F87" t="s">
        <v>3</v>
      </c>
      <c r="G87" t="s">
        <v>29</v>
      </c>
      <c r="H87" t="s">
        <v>630</v>
      </c>
      <c r="I87">
        <v>170</v>
      </c>
      <c r="J87">
        <v>24</v>
      </c>
      <c r="K87">
        <f t="shared" si="6"/>
        <v>14.117647058823529</v>
      </c>
      <c r="L87" t="s">
        <v>1736</v>
      </c>
      <c r="M87" t="s">
        <v>3664</v>
      </c>
      <c r="O87">
        <v>474001</v>
      </c>
      <c r="P87" t="s">
        <v>546</v>
      </c>
      <c r="Q87" t="s">
        <v>1756</v>
      </c>
      <c r="S87">
        <v>301.95999999999998</v>
      </c>
      <c r="T87">
        <v>2</v>
      </c>
      <c r="U87">
        <v>0.1</v>
      </c>
      <c r="V87">
        <v>33.215600000000002</v>
      </c>
      <c r="W87">
        <f t="shared" si="7"/>
        <v>134.37219999999999</v>
      </c>
      <c r="X87">
        <v>4</v>
      </c>
    </row>
    <row r="88" spans="1:24" x14ac:dyDescent="0.3">
      <c r="A88">
        <v>87</v>
      </c>
      <c r="B88" t="s">
        <v>1863</v>
      </c>
      <c r="C88" s="6">
        <v>44283</v>
      </c>
      <c r="D88" t="str">
        <f t="shared" si="4"/>
        <v>Mar</v>
      </c>
      <c r="E88" t="str">
        <f t="shared" si="5"/>
        <v>2021</v>
      </c>
      <c r="F88" t="s">
        <v>4</v>
      </c>
      <c r="G88" t="s">
        <v>45</v>
      </c>
      <c r="H88" t="s">
        <v>631</v>
      </c>
      <c r="I88">
        <v>200</v>
      </c>
      <c r="J88">
        <v>18</v>
      </c>
      <c r="K88">
        <f t="shared" si="6"/>
        <v>9</v>
      </c>
      <c r="L88" t="s">
        <v>1744</v>
      </c>
      <c r="M88" t="s">
        <v>3665</v>
      </c>
      <c r="N88" t="s">
        <v>1</v>
      </c>
      <c r="O88">
        <v>201310</v>
      </c>
      <c r="P88" t="s">
        <v>546</v>
      </c>
      <c r="Q88" t="s">
        <v>1758</v>
      </c>
      <c r="S88">
        <v>19.989999999999998</v>
      </c>
      <c r="T88">
        <v>1</v>
      </c>
      <c r="U88">
        <v>0.1</v>
      </c>
      <c r="V88">
        <v>6.7965999999999998</v>
      </c>
      <c r="W88">
        <f t="shared" si="7"/>
        <v>13.193399999999999</v>
      </c>
      <c r="X88">
        <v>4</v>
      </c>
    </row>
    <row r="89" spans="1:24" x14ac:dyDescent="0.3">
      <c r="A89">
        <v>88</v>
      </c>
      <c r="B89" t="s">
        <v>1864</v>
      </c>
      <c r="C89" s="6">
        <v>44284</v>
      </c>
      <c r="D89" t="str">
        <f t="shared" si="4"/>
        <v>Mar</v>
      </c>
      <c r="E89" t="str">
        <f t="shared" si="5"/>
        <v>2021</v>
      </c>
      <c r="F89" t="s">
        <v>4</v>
      </c>
      <c r="G89" t="s">
        <v>45</v>
      </c>
      <c r="H89" t="s">
        <v>632</v>
      </c>
      <c r="I89">
        <v>150</v>
      </c>
      <c r="J89">
        <v>22</v>
      </c>
      <c r="K89">
        <f t="shared" si="6"/>
        <v>14.666666666666666</v>
      </c>
      <c r="L89" t="s">
        <v>1740</v>
      </c>
      <c r="M89" t="s">
        <v>3666</v>
      </c>
      <c r="N89" t="s">
        <v>1</v>
      </c>
      <c r="O89">
        <v>201304</v>
      </c>
      <c r="P89" t="s">
        <v>546</v>
      </c>
      <c r="Q89" t="s">
        <v>1756</v>
      </c>
      <c r="S89">
        <v>6.16</v>
      </c>
      <c r="T89">
        <v>2</v>
      </c>
      <c r="U89">
        <v>0.1</v>
      </c>
      <c r="V89">
        <v>2.9567999999999999</v>
      </c>
      <c r="W89">
        <f t="shared" si="7"/>
        <v>1.6016000000000001</v>
      </c>
      <c r="X89">
        <v>1</v>
      </c>
    </row>
    <row r="90" spans="1:24" x14ac:dyDescent="0.3">
      <c r="A90">
        <v>89</v>
      </c>
      <c r="B90" t="s">
        <v>1865</v>
      </c>
      <c r="C90" s="6">
        <v>44285</v>
      </c>
      <c r="D90" t="str">
        <f t="shared" si="4"/>
        <v>Mar</v>
      </c>
      <c r="E90" t="str">
        <f t="shared" si="5"/>
        <v>2021</v>
      </c>
      <c r="F90" t="s">
        <v>3</v>
      </c>
      <c r="G90" t="s">
        <v>46</v>
      </c>
      <c r="H90" t="s">
        <v>633</v>
      </c>
      <c r="I90">
        <v>140</v>
      </c>
      <c r="J90">
        <v>20</v>
      </c>
      <c r="K90">
        <f t="shared" si="6"/>
        <v>14.285714285714285</v>
      </c>
      <c r="L90" t="s">
        <v>1742</v>
      </c>
      <c r="M90" t="s">
        <v>3667</v>
      </c>
      <c r="N90" t="s">
        <v>1</v>
      </c>
      <c r="O90">
        <v>560059</v>
      </c>
      <c r="P90" t="s">
        <v>546</v>
      </c>
      <c r="Q90" t="s">
        <v>1770</v>
      </c>
      <c r="R90" t="s">
        <v>2</v>
      </c>
      <c r="S90">
        <v>158.36799999999999</v>
      </c>
      <c r="T90">
        <v>7</v>
      </c>
      <c r="U90">
        <v>0.2</v>
      </c>
      <c r="V90">
        <v>13.857200000000001</v>
      </c>
      <c r="W90">
        <f t="shared" si="7"/>
        <v>20.644399999999997</v>
      </c>
      <c r="X90">
        <v>5</v>
      </c>
    </row>
    <row r="91" spans="1:24" x14ac:dyDescent="0.3">
      <c r="A91">
        <v>90</v>
      </c>
      <c r="B91" t="s">
        <v>1866</v>
      </c>
      <c r="C91" s="6">
        <v>44286</v>
      </c>
      <c r="D91" t="str">
        <f t="shared" si="4"/>
        <v>Mar</v>
      </c>
      <c r="E91" t="str">
        <f t="shared" si="5"/>
        <v>2021</v>
      </c>
      <c r="F91" t="s">
        <v>4</v>
      </c>
      <c r="G91" t="s">
        <v>47</v>
      </c>
      <c r="H91" t="s">
        <v>634</v>
      </c>
      <c r="I91">
        <v>230</v>
      </c>
      <c r="J91">
        <v>28</v>
      </c>
      <c r="K91">
        <f t="shared" si="6"/>
        <v>12.173913043478262</v>
      </c>
      <c r="L91" t="s">
        <v>1739</v>
      </c>
      <c r="M91" t="s">
        <v>3668</v>
      </c>
      <c r="N91" t="s">
        <v>1</v>
      </c>
      <c r="O91">
        <v>560059</v>
      </c>
      <c r="P91" t="s">
        <v>546</v>
      </c>
      <c r="Q91" t="s">
        <v>1767</v>
      </c>
      <c r="R91" t="s">
        <v>2</v>
      </c>
      <c r="S91">
        <v>20.100000000000001</v>
      </c>
      <c r="T91">
        <v>3</v>
      </c>
      <c r="U91">
        <v>0.1</v>
      </c>
      <c r="V91">
        <v>6.633</v>
      </c>
      <c r="W91">
        <f t="shared" si="7"/>
        <v>4.4890000000000008</v>
      </c>
      <c r="X91">
        <v>2</v>
      </c>
    </row>
    <row r="92" spans="1:24" x14ac:dyDescent="0.3">
      <c r="A92">
        <v>91</v>
      </c>
      <c r="B92" t="s">
        <v>1867</v>
      </c>
      <c r="C92" s="6">
        <v>44287</v>
      </c>
      <c r="D92" t="str">
        <f t="shared" si="4"/>
        <v>Apr</v>
      </c>
      <c r="E92" t="str">
        <f t="shared" si="5"/>
        <v>2021</v>
      </c>
      <c r="F92" t="s">
        <v>4</v>
      </c>
      <c r="G92" t="s">
        <v>47</v>
      </c>
      <c r="H92" t="s">
        <v>587</v>
      </c>
      <c r="I92">
        <v>150</v>
      </c>
      <c r="J92">
        <v>14</v>
      </c>
      <c r="K92">
        <f t="shared" si="6"/>
        <v>9.3333333333333339</v>
      </c>
      <c r="L92" t="s">
        <v>1738</v>
      </c>
      <c r="M92" t="s">
        <v>3669</v>
      </c>
      <c r="N92" t="s">
        <v>1</v>
      </c>
      <c r="O92">
        <v>804421</v>
      </c>
      <c r="P92" t="s">
        <v>546</v>
      </c>
      <c r="Q92" t="s">
        <v>1759</v>
      </c>
      <c r="S92">
        <v>73.584000000000003</v>
      </c>
      <c r="T92">
        <v>2</v>
      </c>
      <c r="U92">
        <v>0.2</v>
      </c>
      <c r="V92">
        <v>8.2782</v>
      </c>
      <c r="W92">
        <f t="shared" si="7"/>
        <v>32.652900000000002</v>
      </c>
      <c r="X92">
        <v>2</v>
      </c>
    </row>
    <row r="93" spans="1:24" x14ac:dyDescent="0.3">
      <c r="A93">
        <v>92</v>
      </c>
      <c r="B93" t="s">
        <v>1868</v>
      </c>
      <c r="C93" s="6">
        <v>44288</v>
      </c>
      <c r="D93" t="str">
        <f t="shared" si="4"/>
        <v>Apr</v>
      </c>
      <c r="E93" t="str">
        <f t="shared" si="5"/>
        <v>2021</v>
      </c>
      <c r="F93" t="s">
        <v>4</v>
      </c>
      <c r="G93" t="s">
        <v>47</v>
      </c>
      <c r="H93" t="s">
        <v>635</v>
      </c>
      <c r="I93">
        <v>120</v>
      </c>
      <c r="J93">
        <v>16</v>
      </c>
      <c r="K93">
        <f t="shared" si="6"/>
        <v>13.333333333333334</v>
      </c>
      <c r="L93" t="s">
        <v>1743</v>
      </c>
      <c r="M93" t="s">
        <v>3670</v>
      </c>
      <c r="N93" t="s">
        <v>1</v>
      </c>
      <c r="O93">
        <v>401107</v>
      </c>
      <c r="P93" t="s">
        <v>546</v>
      </c>
      <c r="Q93" t="s">
        <v>1770</v>
      </c>
      <c r="S93">
        <v>6.48</v>
      </c>
      <c r="T93">
        <v>1</v>
      </c>
      <c r="U93">
        <v>0.1</v>
      </c>
      <c r="V93">
        <v>3.1103999999999998</v>
      </c>
      <c r="W93">
        <f t="shared" si="7"/>
        <v>3.3696000000000006</v>
      </c>
      <c r="X93">
        <v>5</v>
      </c>
    </row>
    <row r="94" spans="1:24" x14ac:dyDescent="0.3">
      <c r="A94">
        <v>93</v>
      </c>
      <c r="B94" t="s">
        <v>1869</v>
      </c>
      <c r="C94" s="6">
        <v>44289</v>
      </c>
      <c r="D94" t="str">
        <f t="shared" si="4"/>
        <v>Apr</v>
      </c>
      <c r="E94" t="str">
        <f t="shared" si="5"/>
        <v>2021</v>
      </c>
      <c r="F94" t="s">
        <v>3</v>
      </c>
      <c r="G94" t="s">
        <v>48</v>
      </c>
      <c r="H94" t="s">
        <v>636</v>
      </c>
      <c r="I94">
        <v>220</v>
      </c>
      <c r="J94">
        <v>22</v>
      </c>
      <c r="K94">
        <f t="shared" si="6"/>
        <v>10</v>
      </c>
      <c r="L94" t="s">
        <v>1737</v>
      </c>
      <c r="M94" t="s">
        <v>3671</v>
      </c>
      <c r="N94" t="s">
        <v>1</v>
      </c>
      <c r="O94">
        <v>695009</v>
      </c>
      <c r="P94" t="s">
        <v>546</v>
      </c>
      <c r="Q94" t="s">
        <v>1759</v>
      </c>
      <c r="S94">
        <v>12.96</v>
      </c>
      <c r="T94">
        <v>2</v>
      </c>
      <c r="U94">
        <v>0.1</v>
      </c>
      <c r="V94">
        <v>6.2207999999999997</v>
      </c>
      <c r="W94">
        <f t="shared" si="7"/>
        <v>3.3696000000000006</v>
      </c>
      <c r="X94">
        <v>2</v>
      </c>
    </row>
    <row r="95" spans="1:24" x14ac:dyDescent="0.3">
      <c r="A95">
        <v>94</v>
      </c>
      <c r="B95" t="s">
        <v>1870</v>
      </c>
      <c r="C95" s="6">
        <v>44290</v>
      </c>
      <c r="D95" t="str">
        <f t="shared" si="4"/>
        <v>Apr</v>
      </c>
      <c r="E95" t="str">
        <f t="shared" si="5"/>
        <v>2021</v>
      </c>
      <c r="F95" t="s">
        <v>3</v>
      </c>
      <c r="G95" t="s">
        <v>48</v>
      </c>
      <c r="H95" t="s">
        <v>637</v>
      </c>
      <c r="I95">
        <v>160</v>
      </c>
      <c r="J95">
        <v>14</v>
      </c>
      <c r="K95">
        <f t="shared" si="6"/>
        <v>8.75</v>
      </c>
      <c r="L95" t="s">
        <v>1741</v>
      </c>
      <c r="M95" t="s">
        <v>3672</v>
      </c>
      <c r="O95">
        <v>816107</v>
      </c>
      <c r="P95" t="s">
        <v>546</v>
      </c>
      <c r="Q95" t="s">
        <v>1759</v>
      </c>
      <c r="S95">
        <v>53.34</v>
      </c>
      <c r="T95">
        <v>3</v>
      </c>
      <c r="U95">
        <v>0.1</v>
      </c>
      <c r="V95">
        <v>16.535399999999999</v>
      </c>
      <c r="W95">
        <f t="shared" si="7"/>
        <v>12.268200000000002</v>
      </c>
      <c r="X95">
        <v>2</v>
      </c>
    </row>
    <row r="96" spans="1:24" x14ac:dyDescent="0.3">
      <c r="A96">
        <v>95</v>
      </c>
      <c r="B96" t="s">
        <v>1871</v>
      </c>
      <c r="C96" s="6">
        <v>44291</v>
      </c>
      <c r="D96" t="str">
        <f t="shared" si="4"/>
        <v>Apr</v>
      </c>
      <c r="E96" t="str">
        <f t="shared" si="5"/>
        <v>2021</v>
      </c>
      <c r="F96" t="s">
        <v>3</v>
      </c>
      <c r="G96" t="s">
        <v>48</v>
      </c>
      <c r="H96" t="s">
        <v>638</v>
      </c>
      <c r="I96">
        <v>110</v>
      </c>
      <c r="J96">
        <v>20</v>
      </c>
      <c r="K96">
        <f t="shared" si="6"/>
        <v>18.181818181818183</v>
      </c>
      <c r="L96" t="s">
        <v>1736</v>
      </c>
      <c r="M96" t="s">
        <v>3673</v>
      </c>
      <c r="N96" t="s">
        <v>1</v>
      </c>
      <c r="O96">
        <v>686664</v>
      </c>
      <c r="P96" t="s">
        <v>546</v>
      </c>
      <c r="Q96" t="s">
        <v>1765</v>
      </c>
      <c r="R96" t="s">
        <v>2</v>
      </c>
      <c r="S96">
        <v>32.96</v>
      </c>
      <c r="T96">
        <v>2</v>
      </c>
      <c r="U96">
        <v>0.1</v>
      </c>
      <c r="V96">
        <v>16.150400000000001</v>
      </c>
      <c r="W96">
        <f t="shared" si="7"/>
        <v>8.4047999999999998</v>
      </c>
      <c r="X96">
        <v>1</v>
      </c>
    </row>
    <row r="97" spans="1:24" x14ac:dyDescent="0.3">
      <c r="A97">
        <v>96</v>
      </c>
      <c r="B97" t="s">
        <v>1872</v>
      </c>
      <c r="C97" s="6">
        <v>44292</v>
      </c>
      <c r="D97" t="str">
        <f t="shared" si="4"/>
        <v>Apr</v>
      </c>
      <c r="E97" t="str">
        <f t="shared" si="5"/>
        <v>2021</v>
      </c>
      <c r="F97" t="s">
        <v>4</v>
      </c>
      <c r="G97" t="s">
        <v>49</v>
      </c>
      <c r="H97" t="s">
        <v>639</v>
      </c>
      <c r="I97">
        <v>250</v>
      </c>
      <c r="J97">
        <v>18</v>
      </c>
      <c r="K97">
        <f t="shared" si="6"/>
        <v>7.1999999999999993</v>
      </c>
      <c r="L97" t="s">
        <v>1744</v>
      </c>
      <c r="M97" t="s">
        <v>3674</v>
      </c>
      <c r="N97" t="s">
        <v>1</v>
      </c>
      <c r="O97">
        <v>641041</v>
      </c>
      <c r="P97" t="s">
        <v>546</v>
      </c>
      <c r="Q97" t="s">
        <v>1759</v>
      </c>
      <c r="S97">
        <v>5.6820000000000004</v>
      </c>
      <c r="T97">
        <v>1</v>
      </c>
      <c r="U97">
        <v>0.7</v>
      </c>
      <c r="V97">
        <v>-3.7879999999999998</v>
      </c>
      <c r="W97">
        <f t="shared" si="7"/>
        <v>9.4700000000000006</v>
      </c>
      <c r="X97">
        <v>4</v>
      </c>
    </row>
    <row r="98" spans="1:24" x14ac:dyDescent="0.3">
      <c r="A98">
        <v>97</v>
      </c>
      <c r="B98" t="s">
        <v>1873</v>
      </c>
      <c r="C98" s="6">
        <v>44293</v>
      </c>
      <c r="D98" t="str">
        <f t="shared" si="4"/>
        <v>Apr</v>
      </c>
      <c r="E98" t="str">
        <f t="shared" si="5"/>
        <v>2021</v>
      </c>
      <c r="F98" t="s">
        <v>3</v>
      </c>
      <c r="G98" t="s">
        <v>50</v>
      </c>
      <c r="H98" t="s">
        <v>640</v>
      </c>
      <c r="I98">
        <v>100</v>
      </c>
      <c r="J98">
        <v>16</v>
      </c>
      <c r="K98">
        <f t="shared" si="6"/>
        <v>16</v>
      </c>
      <c r="L98" t="s">
        <v>1740</v>
      </c>
      <c r="M98" t="s">
        <v>3675</v>
      </c>
      <c r="N98" t="s">
        <v>1</v>
      </c>
      <c r="O98">
        <v>500080</v>
      </c>
      <c r="P98" t="s">
        <v>546</v>
      </c>
      <c r="Q98" t="s">
        <v>1760</v>
      </c>
      <c r="R98" t="s">
        <v>2</v>
      </c>
      <c r="S98">
        <v>96.53</v>
      </c>
      <c r="T98">
        <v>7</v>
      </c>
      <c r="U98">
        <v>0.1</v>
      </c>
      <c r="V98">
        <v>40.5426</v>
      </c>
      <c r="W98">
        <f t="shared" si="7"/>
        <v>7.9981999999999998</v>
      </c>
      <c r="X98">
        <v>2</v>
      </c>
    </row>
    <row r="99" spans="1:24" x14ac:dyDescent="0.3">
      <c r="A99">
        <v>98</v>
      </c>
      <c r="B99" t="s">
        <v>1874</v>
      </c>
      <c r="C99" s="6">
        <v>44294</v>
      </c>
      <c r="D99" t="str">
        <f t="shared" si="4"/>
        <v>Apr</v>
      </c>
      <c r="E99" t="str">
        <f t="shared" si="5"/>
        <v>2021</v>
      </c>
      <c r="F99" t="s">
        <v>5</v>
      </c>
      <c r="G99" t="s">
        <v>51</v>
      </c>
      <c r="H99" t="s">
        <v>641</v>
      </c>
      <c r="I99">
        <v>180</v>
      </c>
      <c r="J99">
        <v>24</v>
      </c>
      <c r="K99">
        <f t="shared" si="6"/>
        <v>13.333333333333334</v>
      </c>
      <c r="L99" t="s">
        <v>1742</v>
      </c>
      <c r="M99" t="s">
        <v>3676</v>
      </c>
      <c r="N99" t="s">
        <v>1</v>
      </c>
      <c r="O99">
        <v>500080</v>
      </c>
      <c r="P99" t="s">
        <v>546</v>
      </c>
      <c r="Q99" t="s">
        <v>1770</v>
      </c>
      <c r="R99" t="s">
        <v>2</v>
      </c>
      <c r="S99">
        <v>51.311999999999998</v>
      </c>
      <c r="T99">
        <v>3</v>
      </c>
      <c r="U99">
        <v>0.2</v>
      </c>
      <c r="V99">
        <v>17.959199999999999</v>
      </c>
      <c r="W99">
        <f t="shared" si="7"/>
        <v>11.117600000000001</v>
      </c>
      <c r="X99">
        <v>4</v>
      </c>
    </row>
    <row r="100" spans="1:24" x14ac:dyDescent="0.3">
      <c r="A100">
        <v>99</v>
      </c>
      <c r="B100" t="s">
        <v>1875</v>
      </c>
      <c r="C100" s="6">
        <v>44295</v>
      </c>
      <c r="D100" t="str">
        <f t="shared" si="4"/>
        <v>Apr</v>
      </c>
      <c r="E100" t="str">
        <f t="shared" si="5"/>
        <v>2021</v>
      </c>
      <c r="F100" t="s">
        <v>4</v>
      </c>
      <c r="G100" t="s">
        <v>52</v>
      </c>
      <c r="H100" t="s">
        <v>642</v>
      </c>
      <c r="I100">
        <v>250</v>
      </c>
      <c r="J100">
        <v>16</v>
      </c>
      <c r="K100">
        <f t="shared" si="6"/>
        <v>6.4</v>
      </c>
      <c r="L100" t="s">
        <v>1739</v>
      </c>
      <c r="M100" t="s">
        <v>3677</v>
      </c>
      <c r="N100" t="s">
        <v>1</v>
      </c>
      <c r="O100">
        <v>500080</v>
      </c>
      <c r="P100" t="s">
        <v>546</v>
      </c>
      <c r="Q100" t="s">
        <v>1759</v>
      </c>
      <c r="S100">
        <v>77.88</v>
      </c>
      <c r="T100">
        <v>6</v>
      </c>
      <c r="U100">
        <v>0.1</v>
      </c>
      <c r="V100">
        <v>22.5852</v>
      </c>
      <c r="W100">
        <f t="shared" si="7"/>
        <v>9.2157999999999998</v>
      </c>
      <c r="X100">
        <v>1</v>
      </c>
    </row>
    <row r="101" spans="1:24" x14ac:dyDescent="0.3">
      <c r="A101">
        <v>100</v>
      </c>
      <c r="B101" t="s">
        <v>1876</v>
      </c>
      <c r="C101" s="6">
        <v>44296</v>
      </c>
      <c r="D101" t="str">
        <f t="shared" si="4"/>
        <v>Apr</v>
      </c>
      <c r="E101" t="str">
        <f t="shared" si="5"/>
        <v>2021</v>
      </c>
      <c r="F101" t="s">
        <v>4</v>
      </c>
      <c r="G101" t="s">
        <v>53</v>
      </c>
      <c r="H101" t="s">
        <v>643</v>
      </c>
      <c r="I101">
        <v>190</v>
      </c>
      <c r="J101">
        <v>24</v>
      </c>
      <c r="K101">
        <f t="shared" si="6"/>
        <v>12.631578947368421</v>
      </c>
      <c r="L101" t="s">
        <v>1738</v>
      </c>
      <c r="M101" t="s">
        <v>3678</v>
      </c>
      <c r="N101" t="s">
        <v>1</v>
      </c>
      <c r="O101">
        <v>522529</v>
      </c>
      <c r="P101" t="s">
        <v>546</v>
      </c>
      <c r="Q101" t="s">
        <v>1755</v>
      </c>
      <c r="R101" t="s">
        <v>2</v>
      </c>
      <c r="S101">
        <v>64.623999999999995</v>
      </c>
      <c r="T101">
        <v>7</v>
      </c>
      <c r="U101">
        <v>0.2</v>
      </c>
      <c r="V101">
        <v>22.618400000000001</v>
      </c>
      <c r="W101">
        <f t="shared" si="7"/>
        <v>6.000799999999999</v>
      </c>
      <c r="X101">
        <v>3</v>
      </c>
    </row>
    <row r="102" spans="1:24" x14ac:dyDescent="0.3">
      <c r="A102">
        <v>101</v>
      </c>
      <c r="B102" t="s">
        <v>1877</v>
      </c>
      <c r="C102" s="6">
        <v>44297</v>
      </c>
      <c r="D102" t="str">
        <f t="shared" si="4"/>
        <v>Apr</v>
      </c>
      <c r="E102" t="str">
        <f t="shared" si="5"/>
        <v>2021</v>
      </c>
      <c r="F102" t="s">
        <v>4</v>
      </c>
      <c r="G102" t="s">
        <v>53</v>
      </c>
      <c r="H102" t="s">
        <v>644</v>
      </c>
      <c r="I102">
        <v>220</v>
      </c>
      <c r="J102">
        <v>16</v>
      </c>
      <c r="K102">
        <f t="shared" si="6"/>
        <v>7.2727272727272725</v>
      </c>
      <c r="L102" t="s">
        <v>1737</v>
      </c>
      <c r="M102" t="s">
        <v>3679</v>
      </c>
      <c r="N102" t="s">
        <v>1</v>
      </c>
      <c r="O102">
        <v>411037</v>
      </c>
      <c r="P102" t="s">
        <v>546</v>
      </c>
      <c r="Q102" t="s">
        <v>1761</v>
      </c>
      <c r="R102" t="s">
        <v>2</v>
      </c>
      <c r="S102">
        <v>95.975999999999999</v>
      </c>
      <c r="T102">
        <v>3</v>
      </c>
      <c r="U102">
        <v>0.2</v>
      </c>
      <c r="V102">
        <v>-10.7973</v>
      </c>
      <c r="W102">
        <f t="shared" si="7"/>
        <v>35.591100000000004</v>
      </c>
      <c r="X102">
        <v>1</v>
      </c>
    </row>
    <row r="103" spans="1:24" x14ac:dyDescent="0.3">
      <c r="A103">
        <v>102</v>
      </c>
      <c r="B103" t="s">
        <v>1878</v>
      </c>
      <c r="C103" s="6">
        <v>44298</v>
      </c>
      <c r="D103" t="str">
        <f t="shared" si="4"/>
        <v>Apr</v>
      </c>
      <c r="E103" t="str">
        <f t="shared" si="5"/>
        <v>2021</v>
      </c>
      <c r="F103" t="s">
        <v>4</v>
      </c>
      <c r="G103" t="s">
        <v>53</v>
      </c>
      <c r="H103" t="s">
        <v>645</v>
      </c>
      <c r="I103">
        <v>170</v>
      </c>
      <c r="J103">
        <v>10</v>
      </c>
      <c r="K103">
        <f t="shared" si="6"/>
        <v>5.8823529411764701</v>
      </c>
      <c r="L103" t="s">
        <v>1743</v>
      </c>
      <c r="M103" t="s">
        <v>3680</v>
      </c>
      <c r="N103" t="s">
        <v>1</v>
      </c>
      <c r="O103">
        <v>826001</v>
      </c>
      <c r="P103" t="s">
        <v>546</v>
      </c>
      <c r="Q103" t="s">
        <v>1763</v>
      </c>
      <c r="R103" t="s">
        <v>2</v>
      </c>
      <c r="S103">
        <v>1.788</v>
      </c>
      <c r="T103">
        <v>3</v>
      </c>
      <c r="U103">
        <v>0.8</v>
      </c>
      <c r="V103">
        <v>-3.0396000000000001</v>
      </c>
      <c r="W103">
        <f t="shared" si="7"/>
        <v>1.6092000000000002</v>
      </c>
      <c r="X103">
        <v>4</v>
      </c>
    </row>
    <row r="104" spans="1:24" x14ac:dyDescent="0.3">
      <c r="A104">
        <v>103</v>
      </c>
      <c r="B104" t="s">
        <v>1879</v>
      </c>
      <c r="C104" s="6">
        <v>44299</v>
      </c>
      <c r="D104" t="str">
        <f t="shared" si="4"/>
        <v>Apr</v>
      </c>
      <c r="E104" t="str">
        <f t="shared" si="5"/>
        <v>2021</v>
      </c>
      <c r="F104" t="s">
        <v>3</v>
      </c>
      <c r="G104" t="s">
        <v>54</v>
      </c>
      <c r="H104" t="s">
        <v>646</v>
      </c>
      <c r="I104">
        <v>220</v>
      </c>
      <c r="J104">
        <v>22</v>
      </c>
      <c r="K104">
        <f t="shared" si="6"/>
        <v>10</v>
      </c>
      <c r="L104" t="s">
        <v>1738</v>
      </c>
      <c r="M104" t="s">
        <v>3681</v>
      </c>
      <c r="N104" t="s">
        <v>1</v>
      </c>
      <c r="O104">
        <v>700059</v>
      </c>
      <c r="P104" t="s">
        <v>546</v>
      </c>
      <c r="Q104" t="s">
        <v>1775</v>
      </c>
      <c r="S104">
        <v>23.92</v>
      </c>
      <c r="T104">
        <v>4</v>
      </c>
      <c r="U104">
        <v>0.1</v>
      </c>
      <c r="V104">
        <v>11.720800000000001</v>
      </c>
      <c r="W104">
        <f t="shared" si="7"/>
        <v>3.0498000000000003</v>
      </c>
      <c r="X104">
        <v>3</v>
      </c>
    </row>
    <row r="105" spans="1:24" x14ac:dyDescent="0.3">
      <c r="A105">
        <v>104</v>
      </c>
      <c r="B105" t="s">
        <v>1880</v>
      </c>
      <c r="C105" s="6">
        <v>44300</v>
      </c>
      <c r="D105" t="str">
        <f t="shared" si="4"/>
        <v>Apr</v>
      </c>
      <c r="E105" t="str">
        <f t="shared" si="5"/>
        <v>2021</v>
      </c>
      <c r="F105" t="s">
        <v>4</v>
      </c>
      <c r="G105" t="s">
        <v>55</v>
      </c>
      <c r="H105" t="s">
        <v>647</v>
      </c>
      <c r="I105">
        <v>200</v>
      </c>
      <c r="J105">
        <v>28</v>
      </c>
      <c r="K105">
        <f t="shared" si="6"/>
        <v>14.000000000000002</v>
      </c>
      <c r="L105" t="s">
        <v>1739</v>
      </c>
      <c r="M105" t="s">
        <v>3682</v>
      </c>
      <c r="N105" t="s">
        <v>1</v>
      </c>
      <c r="O105">
        <v>560100</v>
      </c>
      <c r="P105" t="s">
        <v>546</v>
      </c>
      <c r="Q105" t="s">
        <v>1770</v>
      </c>
      <c r="S105">
        <v>238.89599999999999</v>
      </c>
      <c r="T105">
        <v>6</v>
      </c>
      <c r="U105">
        <v>0.2</v>
      </c>
      <c r="V105">
        <v>-26.875800000000002</v>
      </c>
      <c r="W105">
        <f t="shared" si="7"/>
        <v>44.295299999999997</v>
      </c>
      <c r="X105">
        <v>2</v>
      </c>
    </row>
    <row r="106" spans="1:24" x14ac:dyDescent="0.3">
      <c r="A106">
        <v>105</v>
      </c>
      <c r="B106" t="s">
        <v>1881</v>
      </c>
      <c r="C106" s="6">
        <v>44301</v>
      </c>
      <c r="D106" t="str">
        <f t="shared" si="4"/>
        <v>Apr</v>
      </c>
      <c r="E106" t="str">
        <f t="shared" si="5"/>
        <v>2021</v>
      </c>
      <c r="F106" t="s">
        <v>4</v>
      </c>
      <c r="G106" t="s">
        <v>55</v>
      </c>
      <c r="H106" t="s">
        <v>648</v>
      </c>
      <c r="I106">
        <v>150</v>
      </c>
      <c r="J106">
        <v>10</v>
      </c>
      <c r="K106">
        <f t="shared" si="6"/>
        <v>6.666666666666667</v>
      </c>
      <c r="L106" t="s">
        <v>1741</v>
      </c>
      <c r="M106" t="s">
        <v>3683</v>
      </c>
      <c r="N106" t="s">
        <v>1</v>
      </c>
      <c r="O106">
        <v>302004</v>
      </c>
      <c r="P106" t="s">
        <v>546</v>
      </c>
      <c r="Q106" t="s">
        <v>1759</v>
      </c>
      <c r="S106">
        <v>102.36</v>
      </c>
      <c r="T106">
        <v>3</v>
      </c>
      <c r="U106">
        <v>0.2</v>
      </c>
      <c r="V106">
        <v>-3.8384999999999998</v>
      </c>
      <c r="W106">
        <f t="shared" si="7"/>
        <v>35.399499999999996</v>
      </c>
      <c r="X106">
        <v>4</v>
      </c>
    </row>
    <row r="107" spans="1:24" x14ac:dyDescent="0.3">
      <c r="A107">
        <v>106</v>
      </c>
      <c r="B107" t="s">
        <v>1882</v>
      </c>
      <c r="C107" s="6">
        <v>44302</v>
      </c>
      <c r="D107" t="str">
        <f t="shared" si="4"/>
        <v>Apr</v>
      </c>
      <c r="E107" t="str">
        <f t="shared" si="5"/>
        <v>2021</v>
      </c>
      <c r="F107" t="s">
        <v>4</v>
      </c>
      <c r="G107" t="s">
        <v>55</v>
      </c>
      <c r="H107" t="s">
        <v>649</v>
      </c>
      <c r="I107">
        <v>150</v>
      </c>
      <c r="J107">
        <v>30</v>
      </c>
      <c r="K107">
        <f t="shared" si="6"/>
        <v>20</v>
      </c>
      <c r="L107" t="s">
        <v>1736</v>
      </c>
      <c r="M107" t="s">
        <v>3684</v>
      </c>
      <c r="N107" t="s">
        <v>1</v>
      </c>
      <c r="O107">
        <v>400063</v>
      </c>
      <c r="P107" t="s">
        <v>546</v>
      </c>
      <c r="Q107" t="s">
        <v>1769</v>
      </c>
      <c r="S107">
        <v>36.881999999999998</v>
      </c>
      <c r="T107">
        <v>3</v>
      </c>
      <c r="U107">
        <v>0.7</v>
      </c>
      <c r="V107">
        <v>-25.817399999999999</v>
      </c>
      <c r="W107">
        <f t="shared" si="7"/>
        <v>20.899799999999999</v>
      </c>
      <c r="X107">
        <v>4</v>
      </c>
    </row>
    <row r="108" spans="1:24" x14ac:dyDescent="0.3">
      <c r="A108">
        <v>107</v>
      </c>
      <c r="B108" t="s">
        <v>1883</v>
      </c>
      <c r="C108" s="6">
        <v>44303</v>
      </c>
      <c r="D108" t="str">
        <f t="shared" si="4"/>
        <v>Apr</v>
      </c>
      <c r="E108" t="str">
        <f t="shared" si="5"/>
        <v>2021</v>
      </c>
      <c r="F108" t="s">
        <v>4</v>
      </c>
      <c r="G108" t="s">
        <v>56</v>
      </c>
      <c r="H108" t="s">
        <v>650</v>
      </c>
      <c r="I108">
        <v>240</v>
      </c>
      <c r="J108">
        <v>22</v>
      </c>
      <c r="K108">
        <f t="shared" si="6"/>
        <v>9.1666666666666661</v>
      </c>
      <c r="L108" t="s">
        <v>1744</v>
      </c>
      <c r="M108" t="s">
        <v>3685</v>
      </c>
      <c r="N108" t="s">
        <v>1</v>
      </c>
      <c r="O108">
        <v>500072</v>
      </c>
      <c r="P108" t="s">
        <v>546</v>
      </c>
      <c r="Q108" t="s">
        <v>1769</v>
      </c>
      <c r="S108">
        <v>74.111999999999995</v>
      </c>
      <c r="T108">
        <v>8</v>
      </c>
      <c r="U108">
        <v>0.2</v>
      </c>
      <c r="V108">
        <v>17.601600000000001</v>
      </c>
      <c r="W108">
        <f t="shared" si="7"/>
        <v>7.0637999999999987</v>
      </c>
      <c r="X108">
        <v>5</v>
      </c>
    </row>
    <row r="109" spans="1:24" x14ac:dyDescent="0.3">
      <c r="A109">
        <v>108</v>
      </c>
      <c r="B109" t="s">
        <v>1884</v>
      </c>
      <c r="C109" s="6">
        <v>44304</v>
      </c>
      <c r="D109" t="str">
        <f t="shared" si="4"/>
        <v>Apr</v>
      </c>
      <c r="E109" t="str">
        <f t="shared" si="5"/>
        <v>2021</v>
      </c>
      <c r="F109" t="s">
        <v>4</v>
      </c>
      <c r="G109" t="s">
        <v>56</v>
      </c>
      <c r="H109" t="s">
        <v>651</v>
      </c>
      <c r="I109">
        <v>190</v>
      </c>
      <c r="J109">
        <v>14</v>
      </c>
      <c r="K109">
        <f t="shared" si="6"/>
        <v>7.3684210526315779</v>
      </c>
      <c r="L109" t="s">
        <v>1740</v>
      </c>
      <c r="M109" t="s">
        <v>3686</v>
      </c>
      <c r="N109" t="s">
        <v>1</v>
      </c>
      <c r="O109">
        <v>600004</v>
      </c>
      <c r="P109" t="s">
        <v>546</v>
      </c>
      <c r="Q109" t="s">
        <v>1761</v>
      </c>
      <c r="S109">
        <v>27.992000000000001</v>
      </c>
      <c r="T109">
        <v>1</v>
      </c>
      <c r="U109">
        <v>0.2</v>
      </c>
      <c r="V109">
        <v>2.0994000000000002</v>
      </c>
      <c r="W109">
        <f t="shared" si="7"/>
        <v>25.892600000000002</v>
      </c>
      <c r="X109">
        <v>3</v>
      </c>
    </row>
    <row r="110" spans="1:24" x14ac:dyDescent="0.3">
      <c r="A110">
        <v>109</v>
      </c>
      <c r="B110" t="s">
        <v>1885</v>
      </c>
      <c r="C110" s="6">
        <v>44305</v>
      </c>
      <c r="D110" t="str">
        <f t="shared" si="4"/>
        <v>Apr</v>
      </c>
      <c r="E110" t="str">
        <f t="shared" si="5"/>
        <v>2021</v>
      </c>
      <c r="F110" t="s">
        <v>4</v>
      </c>
      <c r="G110" t="s">
        <v>56</v>
      </c>
      <c r="H110" t="s">
        <v>652</v>
      </c>
      <c r="I110">
        <v>220</v>
      </c>
      <c r="J110">
        <v>10</v>
      </c>
      <c r="K110">
        <f t="shared" si="6"/>
        <v>4.5454545454545459</v>
      </c>
      <c r="L110" t="s">
        <v>1742</v>
      </c>
      <c r="M110" t="s">
        <v>3687</v>
      </c>
      <c r="N110" t="s">
        <v>1</v>
      </c>
      <c r="O110">
        <v>638459</v>
      </c>
      <c r="P110" t="s">
        <v>546</v>
      </c>
      <c r="Q110" t="s">
        <v>1754</v>
      </c>
      <c r="S110">
        <v>3.3039999999999998</v>
      </c>
      <c r="T110">
        <v>1</v>
      </c>
      <c r="U110">
        <v>0.2</v>
      </c>
      <c r="V110">
        <v>1.0738000000000001</v>
      </c>
      <c r="W110">
        <f t="shared" si="7"/>
        <v>2.2302</v>
      </c>
      <c r="X110">
        <v>4</v>
      </c>
    </row>
    <row r="111" spans="1:24" x14ac:dyDescent="0.3">
      <c r="A111">
        <v>110</v>
      </c>
      <c r="B111" t="s">
        <v>1886</v>
      </c>
      <c r="C111" s="6">
        <v>44306</v>
      </c>
      <c r="D111" t="str">
        <f t="shared" si="4"/>
        <v>Apr</v>
      </c>
      <c r="E111" t="str">
        <f t="shared" si="5"/>
        <v>2021</v>
      </c>
      <c r="F111" t="s">
        <v>4</v>
      </c>
      <c r="G111" t="s">
        <v>57</v>
      </c>
      <c r="H111" t="s">
        <v>653</v>
      </c>
      <c r="I111">
        <v>200</v>
      </c>
      <c r="J111">
        <v>6</v>
      </c>
      <c r="K111">
        <f t="shared" si="6"/>
        <v>3</v>
      </c>
      <c r="L111" t="s">
        <v>1739</v>
      </c>
      <c r="M111" t="s">
        <v>3688</v>
      </c>
      <c r="N111" t="s">
        <v>1</v>
      </c>
      <c r="O111">
        <v>560093</v>
      </c>
      <c r="P111" t="s">
        <v>546</v>
      </c>
      <c r="Q111" t="s">
        <v>1767</v>
      </c>
      <c r="R111" t="s">
        <v>2</v>
      </c>
      <c r="S111">
        <v>339.96</v>
      </c>
      <c r="T111">
        <v>5</v>
      </c>
      <c r="U111">
        <v>0.2</v>
      </c>
      <c r="V111">
        <v>67.992000000000004</v>
      </c>
      <c r="W111">
        <f t="shared" si="7"/>
        <v>54.393599999999992</v>
      </c>
      <c r="X111">
        <v>1</v>
      </c>
    </row>
    <row r="112" spans="1:24" x14ac:dyDescent="0.3">
      <c r="A112">
        <v>111</v>
      </c>
      <c r="B112" t="s">
        <v>1887</v>
      </c>
      <c r="C112" s="6">
        <v>44307</v>
      </c>
      <c r="D112" t="str">
        <f t="shared" si="4"/>
        <v>Apr</v>
      </c>
      <c r="E112" t="str">
        <f t="shared" si="5"/>
        <v>2021</v>
      </c>
      <c r="F112" t="s">
        <v>4</v>
      </c>
      <c r="G112" t="s">
        <v>58</v>
      </c>
      <c r="H112" t="s">
        <v>654</v>
      </c>
      <c r="I112">
        <v>250</v>
      </c>
      <c r="J112">
        <v>18</v>
      </c>
      <c r="K112">
        <f t="shared" si="6"/>
        <v>7.1999999999999993</v>
      </c>
      <c r="L112" t="s">
        <v>1738</v>
      </c>
      <c r="M112" t="s">
        <v>3689</v>
      </c>
      <c r="N112" t="s">
        <v>1</v>
      </c>
      <c r="O112">
        <v>560086</v>
      </c>
      <c r="P112" t="s">
        <v>546</v>
      </c>
      <c r="Q112" t="s">
        <v>1754</v>
      </c>
      <c r="S112">
        <v>41.96</v>
      </c>
      <c r="T112">
        <v>2</v>
      </c>
      <c r="U112">
        <v>0.1</v>
      </c>
      <c r="V112">
        <v>10.909599999999999</v>
      </c>
      <c r="W112">
        <f t="shared" si="7"/>
        <v>15.525200000000002</v>
      </c>
      <c r="X112">
        <v>2</v>
      </c>
    </row>
    <row r="113" spans="1:24" x14ac:dyDescent="0.3">
      <c r="A113">
        <v>112</v>
      </c>
      <c r="B113" t="s">
        <v>1888</v>
      </c>
      <c r="C113" s="6">
        <v>44308</v>
      </c>
      <c r="D113" t="str">
        <f t="shared" si="4"/>
        <v>Apr</v>
      </c>
      <c r="E113" t="str">
        <f t="shared" si="5"/>
        <v>2021</v>
      </c>
      <c r="F113" t="s">
        <v>4</v>
      </c>
      <c r="G113" t="s">
        <v>59</v>
      </c>
      <c r="H113" t="s">
        <v>655</v>
      </c>
      <c r="I113">
        <v>210</v>
      </c>
      <c r="J113">
        <v>22</v>
      </c>
      <c r="K113">
        <f t="shared" si="6"/>
        <v>10.476190476190476</v>
      </c>
      <c r="L113" t="s">
        <v>1743</v>
      </c>
      <c r="M113" t="s">
        <v>3690</v>
      </c>
      <c r="O113">
        <v>636121</v>
      </c>
      <c r="P113" t="s">
        <v>546</v>
      </c>
      <c r="Q113" t="s">
        <v>1772</v>
      </c>
      <c r="S113">
        <v>75.959999999999994</v>
      </c>
      <c r="T113">
        <v>2</v>
      </c>
      <c r="U113">
        <v>0.1</v>
      </c>
      <c r="V113">
        <v>22.788</v>
      </c>
      <c r="W113">
        <f t="shared" si="7"/>
        <v>26.585999999999999</v>
      </c>
      <c r="X113">
        <v>2</v>
      </c>
    </row>
    <row r="114" spans="1:24" x14ac:dyDescent="0.3">
      <c r="A114">
        <v>113</v>
      </c>
      <c r="B114" t="s">
        <v>1889</v>
      </c>
      <c r="C114" s="6">
        <v>44309</v>
      </c>
      <c r="D114" t="str">
        <f t="shared" si="4"/>
        <v>Apr</v>
      </c>
      <c r="E114" t="str">
        <f t="shared" si="5"/>
        <v>2021</v>
      </c>
      <c r="F114" t="s">
        <v>4</v>
      </c>
      <c r="G114" t="s">
        <v>59</v>
      </c>
      <c r="H114" t="s">
        <v>656</v>
      </c>
      <c r="I114">
        <v>110</v>
      </c>
      <c r="J114">
        <v>14</v>
      </c>
      <c r="K114">
        <f t="shared" si="6"/>
        <v>12.727272727272727</v>
      </c>
      <c r="L114" t="s">
        <v>1737</v>
      </c>
      <c r="M114" t="s">
        <v>3691</v>
      </c>
      <c r="N114" t="s">
        <v>1</v>
      </c>
      <c r="O114">
        <v>600077</v>
      </c>
      <c r="P114" t="s">
        <v>546</v>
      </c>
      <c r="Q114" t="s">
        <v>1763</v>
      </c>
      <c r="S114">
        <v>27.24</v>
      </c>
      <c r="T114">
        <v>6</v>
      </c>
      <c r="U114">
        <v>0.1</v>
      </c>
      <c r="V114">
        <v>13.3476</v>
      </c>
      <c r="W114">
        <f t="shared" si="7"/>
        <v>2.3153999999999999</v>
      </c>
      <c r="X114">
        <v>3</v>
      </c>
    </row>
    <row r="115" spans="1:24" x14ac:dyDescent="0.3">
      <c r="A115">
        <v>114</v>
      </c>
      <c r="B115" t="s">
        <v>1890</v>
      </c>
      <c r="C115" s="6">
        <v>44310</v>
      </c>
      <c r="D115" t="str">
        <f t="shared" si="4"/>
        <v>Apr</v>
      </c>
      <c r="E115" t="str">
        <f t="shared" si="5"/>
        <v>2021</v>
      </c>
      <c r="F115" t="s">
        <v>3</v>
      </c>
      <c r="G115" t="s">
        <v>60</v>
      </c>
      <c r="H115" t="s">
        <v>657</v>
      </c>
      <c r="I115">
        <v>230</v>
      </c>
      <c r="J115">
        <v>20</v>
      </c>
      <c r="K115">
        <f t="shared" si="6"/>
        <v>8.695652173913043</v>
      </c>
      <c r="L115" t="s">
        <v>1741</v>
      </c>
      <c r="M115" t="s">
        <v>3692</v>
      </c>
      <c r="N115" t="s">
        <v>1</v>
      </c>
      <c r="O115">
        <v>713101</v>
      </c>
      <c r="P115" t="s">
        <v>546</v>
      </c>
      <c r="Q115" t="s">
        <v>1767</v>
      </c>
      <c r="S115">
        <v>40.095999999999997</v>
      </c>
      <c r="T115">
        <v>14</v>
      </c>
      <c r="U115">
        <v>0.2</v>
      </c>
      <c r="V115">
        <v>14.534800000000001</v>
      </c>
      <c r="W115">
        <f t="shared" si="7"/>
        <v>1.8257999999999996</v>
      </c>
      <c r="X115">
        <v>1</v>
      </c>
    </row>
    <row r="116" spans="1:24" x14ac:dyDescent="0.3">
      <c r="A116">
        <v>115</v>
      </c>
      <c r="B116" t="s">
        <v>1891</v>
      </c>
      <c r="C116" s="6">
        <v>44311</v>
      </c>
      <c r="D116" t="str">
        <f t="shared" si="4"/>
        <v>Apr</v>
      </c>
      <c r="E116" t="str">
        <f t="shared" si="5"/>
        <v>2021</v>
      </c>
      <c r="F116" t="s">
        <v>3</v>
      </c>
      <c r="G116" t="s">
        <v>60</v>
      </c>
      <c r="H116" t="s">
        <v>658</v>
      </c>
      <c r="I116">
        <v>170</v>
      </c>
      <c r="J116">
        <v>30</v>
      </c>
      <c r="K116">
        <f t="shared" si="6"/>
        <v>17.647058823529413</v>
      </c>
      <c r="L116" t="s">
        <v>1736</v>
      </c>
      <c r="M116" t="s">
        <v>3693</v>
      </c>
      <c r="N116" t="s">
        <v>1</v>
      </c>
      <c r="O116">
        <v>560093</v>
      </c>
      <c r="P116" t="s">
        <v>546</v>
      </c>
      <c r="Q116" t="s">
        <v>1759</v>
      </c>
      <c r="S116">
        <v>4.72</v>
      </c>
      <c r="T116">
        <v>2</v>
      </c>
      <c r="U116">
        <v>0.2</v>
      </c>
      <c r="V116">
        <v>1.6519999999999999</v>
      </c>
      <c r="W116">
        <f t="shared" si="7"/>
        <v>1.5339999999999998</v>
      </c>
      <c r="X116">
        <v>2</v>
      </c>
    </row>
    <row r="117" spans="1:24" x14ac:dyDescent="0.3">
      <c r="A117">
        <v>116</v>
      </c>
      <c r="B117" t="s">
        <v>1892</v>
      </c>
      <c r="C117" s="6">
        <v>44312</v>
      </c>
      <c r="D117" t="str">
        <f t="shared" si="4"/>
        <v>Apr</v>
      </c>
      <c r="E117" t="str">
        <f t="shared" si="5"/>
        <v>2021</v>
      </c>
      <c r="F117" t="s">
        <v>3</v>
      </c>
      <c r="G117" t="s">
        <v>60</v>
      </c>
      <c r="H117" t="s">
        <v>659</v>
      </c>
      <c r="I117">
        <v>160</v>
      </c>
      <c r="J117">
        <v>22</v>
      </c>
      <c r="K117">
        <f t="shared" si="6"/>
        <v>13.750000000000002</v>
      </c>
      <c r="L117" t="s">
        <v>1744</v>
      </c>
      <c r="M117" t="s">
        <v>3694</v>
      </c>
      <c r="N117" t="s">
        <v>1</v>
      </c>
      <c r="O117">
        <v>400072</v>
      </c>
      <c r="P117" t="s">
        <v>546</v>
      </c>
      <c r="Q117" t="s">
        <v>1775</v>
      </c>
      <c r="S117">
        <v>23.975999999999999</v>
      </c>
      <c r="T117">
        <v>3</v>
      </c>
      <c r="U117">
        <v>0.2</v>
      </c>
      <c r="V117">
        <v>7.4924999999999997</v>
      </c>
      <c r="W117">
        <f t="shared" si="7"/>
        <v>5.4944999999999995</v>
      </c>
      <c r="X117">
        <v>3</v>
      </c>
    </row>
    <row r="118" spans="1:24" x14ac:dyDescent="0.3">
      <c r="A118">
        <v>117</v>
      </c>
      <c r="B118" t="s">
        <v>1893</v>
      </c>
      <c r="C118" s="6">
        <v>44313</v>
      </c>
      <c r="D118" t="str">
        <f t="shared" si="4"/>
        <v>Apr</v>
      </c>
      <c r="E118" t="str">
        <f t="shared" si="5"/>
        <v>2021</v>
      </c>
      <c r="F118" t="s">
        <v>3</v>
      </c>
      <c r="G118" t="s">
        <v>60</v>
      </c>
      <c r="H118" t="s">
        <v>660</v>
      </c>
      <c r="I118">
        <v>190</v>
      </c>
      <c r="J118">
        <v>8</v>
      </c>
      <c r="K118">
        <f t="shared" si="6"/>
        <v>4.2105263157894735</v>
      </c>
      <c r="L118" t="s">
        <v>1740</v>
      </c>
      <c r="M118" t="s">
        <v>3695</v>
      </c>
      <c r="N118" t="s">
        <v>1</v>
      </c>
      <c r="O118">
        <v>700024</v>
      </c>
      <c r="P118" t="s">
        <v>546</v>
      </c>
      <c r="Q118" t="s">
        <v>1765</v>
      </c>
      <c r="R118" t="s">
        <v>2</v>
      </c>
      <c r="S118">
        <v>130.464</v>
      </c>
      <c r="T118">
        <v>6</v>
      </c>
      <c r="U118">
        <v>0.2</v>
      </c>
      <c r="V118">
        <v>44.031599999999997</v>
      </c>
      <c r="W118">
        <f t="shared" si="7"/>
        <v>14.4054</v>
      </c>
      <c r="X118">
        <v>5</v>
      </c>
    </row>
    <row r="119" spans="1:24" x14ac:dyDescent="0.3">
      <c r="A119">
        <v>118</v>
      </c>
      <c r="B119" t="s">
        <v>1894</v>
      </c>
      <c r="C119" s="6">
        <v>44314</v>
      </c>
      <c r="D119" t="str">
        <f t="shared" si="4"/>
        <v>Apr</v>
      </c>
      <c r="E119" t="str">
        <f t="shared" si="5"/>
        <v>2021</v>
      </c>
      <c r="F119" t="s">
        <v>4</v>
      </c>
      <c r="G119" t="s">
        <v>61</v>
      </c>
      <c r="H119" t="s">
        <v>661</v>
      </c>
      <c r="I119">
        <v>180</v>
      </c>
      <c r="J119">
        <v>28</v>
      </c>
      <c r="K119">
        <f t="shared" si="6"/>
        <v>15.555555555555555</v>
      </c>
      <c r="L119" t="s">
        <v>1742</v>
      </c>
      <c r="M119" t="s">
        <v>3696</v>
      </c>
      <c r="N119" t="s">
        <v>1</v>
      </c>
      <c r="O119">
        <v>516001</v>
      </c>
      <c r="P119" t="s">
        <v>546</v>
      </c>
      <c r="Q119" t="s">
        <v>1756</v>
      </c>
      <c r="R119" t="s">
        <v>2</v>
      </c>
      <c r="S119">
        <v>787.53</v>
      </c>
      <c r="T119">
        <v>3</v>
      </c>
      <c r="U119">
        <v>0.1</v>
      </c>
      <c r="V119">
        <v>165.38130000000001</v>
      </c>
      <c r="W119">
        <f t="shared" si="7"/>
        <v>207.38289999999998</v>
      </c>
      <c r="X119">
        <v>3</v>
      </c>
    </row>
    <row r="120" spans="1:24" x14ac:dyDescent="0.3">
      <c r="A120">
        <v>119</v>
      </c>
      <c r="B120" t="s">
        <v>1895</v>
      </c>
      <c r="C120" s="6">
        <v>44315</v>
      </c>
      <c r="D120" t="str">
        <f t="shared" si="4"/>
        <v>Apr</v>
      </c>
      <c r="E120" t="str">
        <f t="shared" si="5"/>
        <v>2021</v>
      </c>
      <c r="F120" t="s">
        <v>4</v>
      </c>
      <c r="G120" t="s">
        <v>62</v>
      </c>
      <c r="H120" t="s">
        <v>662</v>
      </c>
      <c r="I120">
        <v>190</v>
      </c>
      <c r="J120">
        <v>8</v>
      </c>
      <c r="K120">
        <f t="shared" si="6"/>
        <v>4.2105263157894735</v>
      </c>
      <c r="L120" t="s">
        <v>1739</v>
      </c>
      <c r="M120" t="s">
        <v>3697</v>
      </c>
      <c r="N120" t="s">
        <v>1</v>
      </c>
      <c r="O120">
        <v>500050</v>
      </c>
      <c r="P120" t="s">
        <v>546</v>
      </c>
      <c r="Q120" t="s">
        <v>1761</v>
      </c>
      <c r="S120">
        <v>157.79400000000001</v>
      </c>
      <c r="T120">
        <v>1</v>
      </c>
      <c r="U120">
        <v>0.7</v>
      </c>
      <c r="V120">
        <v>-115.71559999999999</v>
      </c>
      <c r="W120">
        <f t="shared" si="7"/>
        <v>273.50959999999998</v>
      </c>
      <c r="X120">
        <v>3</v>
      </c>
    </row>
    <row r="121" spans="1:24" x14ac:dyDescent="0.3">
      <c r="A121">
        <v>120</v>
      </c>
      <c r="B121" t="s">
        <v>1896</v>
      </c>
      <c r="C121" s="6">
        <v>44316</v>
      </c>
      <c r="D121" t="str">
        <f t="shared" si="4"/>
        <v>Apr</v>
      </c>
      <c r="E121" t="str">
        <f t="shared" si="5"/>
        <v>2021</v>
      </c>
      <c r="F121" t="s">
        <v>5</v>
      </c>
      <c r="G121" t="s">
        <v>63</v>
      </c>
      <c r="H121" t="s">
        <v>663</v>
      </c>
      <c r="I121">
        <v>180</v>
      </c>
      <c r="J121">
        <v>14</v>
      </c>
      <c r="K121">
        <f t="shared" si="6"/>
        <v>7.7777777777777777</v>
      </c>
      <c r="L121" t="s">
        <v>1738</v>
      </c>
      <c r="M121" t="s">
        <v>3698</v>
      </c>
      <c r="N121" t="s">
        <v>1</v>
      </c>
      <c r="O121">
        <v>400093</v>
      </c>
      <c r="P121" t="s">
        <v>546</v>
      </c>
      <c r="Q121" t="s">
        <v>1754</v>
      </c>
      <c r="S121">
        <v>47.04</v>
      </c>
      <c r="T121">
        <v>3</v>
      </c>
      <c r="U121">
        <v>0.1</v>
      </c>
      <c r="V121">
        <v>18.345600000000001</v>
      </c>
      <c r="W121">
        <f t="shared" si="7"/>
        <v>9.5648</v>
      </c>
      <c r="X121">
        <v>2</v>
      </c>
    </row>
    <row r="122" spans="1:24" x14ac:dyDescent="0.3">
      <c r="A122">
        <v>121</v>
      </c>
      <c r="B122" t="s">
        <v>1897</v>
      </c>
      <c r="C122" s="6">
        <v>44317</v>
      </c>
      <c r="D122" t="str">
        <f t="shared" si="4"/>
        <v>May</v>
      </c>
      <c r="E122" t="str">
        <f t="shared" si="5"/>
        <v>2021</v>
      </c>
      <c r="F122" t="s">
        <v>5</v>
      </c>
      <c r="G122" t="s">
        <v>63</v>
      </c>
      <c r="H122" t="s">
        <v>555</v>
      </c>
      <c r="I122">
        <v>170</v>
      </c>
      <c r="J122">
        <v>10</v>
      </c>
      <c r="K122">
        <f t="shared" si="6"/>
        <v>5.8823529411764701</v>
      </c>
      <c r="L122" t="s">
        <v>1737</v>
      </c>
      <c r="M122" t="s">
        <v>3699</v>
      </c>
      <c r="O122">
        <v>500050</v>
      </c>
      <c r="P122" t="s">
        <v>546</v>
      </c>
      <c r="Q122" t="s">
        <v>1763</v>
      </c>
      <c r="S122">
        <v>30.84</v>
      </c>
      <c r="T122">
        <v>4</v>
      </c>
      <c r="U122">
        <v>0.1</v>
      </c>
      <c r="V122">
        <v>13.878</v>
      </c>
      <c r="W122">
        <f t="shared" si="7"/>
        <v>4.2404999999999999</v>
      </c>
      <c r="X122">
        <v>4</v>
      </c>
    </row>
    <row r="123" spans="1:24" x14ac:dyDescent="0.3">
      <c r="A123">
        <v>122</v>
      </c>
      <c r="B123" t="s">
        <v>1898</v>
      </c>
      <c r="C123" s="6">
        <v>44318</v>
      </c>
      <c r="D123" t="str">
        <f t="shared" si="4"/>
        <v>May</v>
      </c>
      <c r="E123" t="str">
        <f t="shared" si="5"/>
        <v>2021</v>
      </c>
      <c r="F123" t="s">
        <v>5</v>
      </c>
      <c r="G123" t="s">
        <v>63</v>
      </c>
      <c r="H123" t="s">
        <v>664</v>
      </c>
      <c r="I123">
        <v>210</v>
      </c>
      <c r="J123">
        <v>10</v>
      </c>
      <c r="K123">
        <f t="shared" si="6"/>
        <v>4.7619047619047619</v>
      </c>
      <c r="L123" t="s">
        <v>1743</v>
      </c>
      <c r="M123" t="s">
        <v>3700</v>
      </c>
      <c r="N123" t="s">
        <v>1</v>
      </c>
      <c r="O123">
        <v>222125</v>
      </c>
      <c r="P123" t="s">
        <v>546</v>
      </c>
      <c r="Q123" t="s">
        <v>1774</v>
      </c>
      <c r="R123" t="s">
        <v>2</v>
      </c>
      <c r="S123">
        <v>226.56</v>
      </c>
      <c r="T123">
        <v>6</v>
      </c>
      <c r="U123">
        <v>0.1</v>
      </c>
      <c r="V123">
        <v>63.436799999999998</v>
      </c>
      <c r="W123">
        <f t="shared" si="7"/>
        <v>27.187200000000001</v>
      </c>
      <c r="X123">
        <v>1</v>
      </c>
    </row>
    <row r="124" spans="1:24" x14ac:dyDescent="0.3">
      <c r="A124">
        <v>123</v>
      </c>
      <c r="B124" t="s">
        <v>1899</v>
      </c>
      <c r="C124" s="6">
        <v>44319</v>
      </c>
      <c r="D124" t="str">
        <f t="shared" si="4"/>
        <v>May</v>
      </c>
      <c r="E124" t="str">
        <f t="shared" si="5"/>
        <v>2021</v>
      </c>
      <c r="F124" t="s">
        <v>5</v>
      </c>
      <c r="G124" t="s">
        <v>63</v>
      </c>
      <c r="H124" t="s">
        <v>665</v>
      </c>
      <c r="I124">
        <v>210</v>
      </c>
      <c r="J124">
        <v>26</v>
      </c>
      <c r="K124">
        <f t="shared" si="6"/>
        <v>12.380952380952381</v>
      </c>
      <c r="L124" t="s">
        <v>1738</v>
      </c>
      <c r="M124" t="s">
        <v>3701</v>
      </c>
      <c r="N124" t="s">
        <v>1</v>
      </c>
      <c r="O124">
        <v>500083</v>
      </c>
      <c r="P124" t="s">
        <v>546</v>
      </c>
      <c r="Q124" t="s">
        <v>1766</v>
      </c>
      <c r="S124">
        <v>115.02</v>
      </c>
      <c r="T124">
        <v>9</v>
      </c>
      <c r="U124">
        <v>0.1</v>
      </c>
      <c r="V124">
        <v>51.759</v>
      </c>
      <c r="W124">
        <f t="shared" si="7"/>
        <v>7.0289999999999999</v>
      </c>
      <c r="X124">
        <v>4</v>
      </c>
    </row>
    <row r="125" spans="1:24" x14ac:dyDescent="0.3">
      <c r="A125">
        <v>124</v>
      </c>
      <c r="B125" t="s">
        <v>1900</v>
      </c>
      <c r="C125" s="6">
        <v>44320</v>
      </c>
      <c r="D125" t="str">
        <f t="shared" si="4"/>
        <v>May</v>
      </c>
      <c r="E125" t="str">
        <f t="shared" si="5"/>
        <v>2021</v>
      </c>
      <c r="F125" t="s">
        <v>5</v>
      </c>
      <c r="G125" t="s">
        <v>63</v>
      </c>
      <c r="H125" t="s">
        <v>666</v>
      </c>
      <c r="I125">
        <v>230</v>
      </c>
      <c r="J125">
        <v>24</v>
      </c>
      <c r="K125">
        <f t="shared" si="6"/>
        <v>10.434782608695652</v>
      </c>
      <c r="L125" t="s">
        <v>1739</v>
      </c>
      <c r="M125" t="s">
        <v>3617</v>
      </c>
      <c r="N125" t="s">
        <v>1</v>
      </c>
      <c r="O125">
        <v>302006</v>
      </c>
      <c r="P125" t="s">
        <v>546</v>
      </c>
      <c r="Q125" t="s">
        <v>1754</v>
      </c>
      <c r="R125" t="s">
        <v>2</v>
      </c>
      <c r="S125">
        <v>68.040000000000006</v>
      </c>
      <c r="T125">
        <v>7</v>
      </c>
      <c r="U125">
        <v>0.1</v>
      </c>
      <c r="V125">
        <v>19.7316</v>
      </c>
      <c r="W125">
        <f t="shared" si="7"/>
        <v>6.9012000000000011</v>
      </c>
      <c r="X125">
        <v>3</v>
      </c>
    </row>
    <row r="126" spans="1:24" x14ac:dyDescent="0.3">
      <c r="A126">
        <v>125</v>
      </c>
      <c r="B126" t="s">
        <v>1901</v>
      </c>
      <c r="C126" s="6">
        <v>44321</v>
      </c>
      <c r="D126" t="str">
        <f t="shared" si="4"/>
        <v>May</v>
      </c>
      <c r="E126" t="str">
        <f t="shared" si="5"/>
        <v>2021</v>
      </c>
      <c r="F126" t="s">
        <v>3</v>
      </c>
      <c r="G126" t="s">
        <v>64</v>
      </c>
      <c r="H126" t="s">
        <v>667</v>
      </c>
      <c r="I126">
        <v>150</v>
      </c>
      <c r="J126">
        <v>14</v>
      </c>
      <c r="K126">
        <f t="shared" si="6"/>
        <v>9.3333333333333339</v>
      </c>
      <c r="L126" t="s">
        <v>1741</v>
      </c>
      <c r="M126" t="s">
        <v>3702</v>
      </c>
      <c r="N126" t="s">
        <v>1</v>
      </c>
      <c r="O126">
        <v>313002</v>
      </c>
      <c r="P126" t="s">
        <v>546</v>
      </c>
      <c r="Q126" t="s">
        <v>1767</v>
      </c>
      <c r="S126">
        <v>600.55799999999999</v>
      </c>
      <c r="T126">
        <v>3</v>
      </c>
      <c r="U126">
        <v>0.3</v>
      </c>
      <c r="V126">
        <v>-8.5793999999999997</v>
      </c>
      <c r="W126">
        <f t="shared" si="7"/>
        <v>203.04579999999999</v>
      </c>
      <c r="X126">
        <v>4</v>
      </c>
    </row>
    <row r="127" spans="1:24" x14ac:dyDescent="0.3">
      <c r="A127">
        <v>126</v>
      </c>
      <c r="B127" t="s">
        <v>1902</v>
      </c>
      <c r="C127" s="6">
        <v>44322</v>
      </c>
      <c r="D127" t="str">
        <f t="shared" si="4"/>
        <v>May</v>
      </c>
      <c r="E127" t="str">
        <f t="shared" si="5"/>
        <v>2021</v>
      </c>
      <c r="F127" t="s">
        <v>4</v>
      </c>
      <c r="G127" t="s">
        <v>65</v>
      </c>
      <c r="H127" t="s">
        <v>668</v>
      </c>
      <c r="I127">
        <v>240</v>
      </c>
      <c r="J127">
        <v>14</v>
      </c>
      <c r="K127">
        <f t="shared" si="6"/>
        <v>5.833333333333333</v>
      </c>
      <c r="L127" t="s">
        <v>1736</v>
      </c>
      <c r="M127" t="s">
        <v>3703</v>
      </c>
      <c r="N127" t="s">
        <v>1</v>
      </c>
      <c r="O127">
        <v>560004</v>
      </c>
      <c r="P127" t="s">
        <v>546</v>
      </c>
      <c r="Q127" t="s">
        <v>1763</v>
      </c>
      <c r="S127">
        <v>617.70000000000005</v>
      </c>
      <c r="T127">
        <v>6</v>
      </c>
      <c r="U127">
        <v>0.5</v>
      </c>
      <c r="V127">
        <v>-407.68200000000002</v>
      </c>
      <c r="W127">
        <f t="shared" si="7"/>
        <v>170.89700000000002</v>
      </c>
      <c r="X127">
        <v>3</v>
      </c>
    </row>
    <row r="128" spans="1:24" x14ac:dyDescent="0.3">
      <c r="A128">
        <v>127</v>
      </c>
      <c r="B128" t="s">
        <v>1903</v>
      </c>
      <c r="C128" s="6">
        <v>44323</v>
      </c>
      <c r="D128" t="str">
        <f t="shared" si="4"/>
        <v>May</v>
      </c>
      <c r="E128" t="str">
        <f t="shared" si="5"/>
        <v>2021</v>
      </c>
      <c r="F128" t="s">
        <v>4</v>
      </c>
      <c r="G128" t="s">
        <v>66</v>
      </c>
      <c r="H128" t="s">
        <v>669</v>
      </c>
      <c r="I128">
        <v>110</v>
      </c>
      <c r="J128">
        <v>16</v>
      </c>
      <c r="K128">
        <f t="shared" si="6"/>
        <v>14.545454545454545</v>
      </c>
      <c r="L128" t="s">
        <v>1744</v>
      </c>
      <c r="M128" t="s">
        <v>3704</v>
      </c>
      <c r="N128" t="s">
        <v>1</v>
      </c>
      <c r="O128">
        <v>144102</v>
      </c>
      <c r="P128" t="s">
        <v>546</v>
      </c>
      <c r="Q128" t="s">
        <v>1769</v>
      </c>
      <c r="S128">
        <v>2.3879999999999999</v>
      </c>
      <c r="T128">
        <v>2</v>
      </c>
      <c r="U128">
        <v>0.7</v>
      </c>
      <c r="V128">
        <v>-1.8308</v>
      </c>
      <c r="W128">
        <f t="shared" si="7"/>
        <v>2.1093999999999999</v>
      </c>
      <c r="X128">
        <v>2</v>
      </c>
    </row>
    <row r="129" spans="1:24" x14ac:dyDescent="0.3">
      <c r="A129">
        <v>128</v>
      </c>
      <c r="B129" t="s">
        <v>1904</v>
      </c>
      <c r="C129" s="6">
        <v>44324</v>
      </c>
      <c r="D129" t="str">
        <f t="shared" si="4"/>
        <v>May</v>
      </c>
      <c r="E129" t="str">
        <f t="shared" si="5"/>
        <v>2021</v>
      </c>
      <c r="F129" t="s">
        <v>4</v>
      </c>
      <c r="G129" t="s">
        <v>66</v>
      </c>
      <c r="H129" t="s">
        <v>670</v>
      </c>
      <c r="I129">
        <v>230</v>
      </c>
      <c r="J129">
        <v>14</v>
      </c>
      <c r="K129">
        <f t="shared" si="6"/>
        <v>6.0869565217391308</v>
      </c>
      <c r="L129" t="s">
        <v>1740</v>
      </c>
      <c r="M129" t="s">
        <v>3705</v>
      </c>
      <c r="O129">
        <v>507303</v>
      </c>
      <c r="P129" t="s">
        <v>546</v>
      </c>
      <c r="Q129" t="s">
        <v>1756</v>
      </c>
      <c r="S129">
        <v>243.99199999999999</v>
      </c>
      <c r="T129">
        <v>7</v>
      </c>
      <c r="U129">
        <v>0.2</v>
      </c>
      <c r="V129">
        <v>30.498999999999999</v>
      </c>
      <c r="W129">
        <f t="shared" si="7"/>
        <v>30.498999999999999</v>
      </c>
      <c r="X129">
        <v>3</v>
      </c>
    </row>
    <row r="130" spans="1:24" x14ac:dyDescent="0.3">
      <c r="A130">
        <v>129</v>
      </c>
      <c r="B130" t="s">
        <v>1905</v>
      </c>
      <c r="C130" s="6">
        <v>44325</v>
      </c>
      <c r="D130" t="str">
        <f t="shared" si="4"/>
        <v>May</v>
      </c>
      <c r="E130" t="str">
        <f t="shared" si="5"/>
        <v>2021</v>
      </c>
      <c r="F130" t="s">
        <v>3</v>
      </c>
      <c r="G130" t="s">
        <v>67</v>
      </c>
      <c r="H130" t="s">
        <v>611</v>
      </c>
      <c r="I130">
        <v>210</v>
      </c>
      <c r="J130">
        <v>18</v>
      </c>
      <c r="K130">
        <f t="shared" si="6"/>
        <v>8.5714285714285712</v>
      </c>
      <c r="L130" t="s">
        <v>1742</v>
      </c>
      <c r="M130" t="s">
        <v>3706</v>
      </c>
      <c r="N130" t="s">
        <v>1</v>
      </c>
      <c r="O130">
        <v>751021</v>
      </c>
      <c r="P130" t="s">
        <v>546</v>
      </c>
      <c r="Q130" t="s">
        <v>1765</v>
      </c>
      <c r="S130">
        <v>81.424000000000007</v>
      </c>
      <c r="T130">
        <v>2</v>
      </c>
      <c r="U130">
        <v>0.2</v>
      </c>
      <c r="V130">
        <v>-9.1601999999999997</v>
      </c>
      <c r="W130">
        <f t="shared" si="7"/>
        <v>45.292100000000005</v>
      </c>
      <c r="X130">
        <v>4</v>
      </c>
    </row>
    <row r="131" spans="1:24" x14ac:dyDescent="0.3">
      <c r="A131">
        <v>130</v>
      </c>
      <c r="B131" t="s">
        <v>1906</v>
      </c>
      <c r="C131" s="6">
        <v>44326</v>
      </c>
      <c r="D131" t="str">
        <f t="shared" ref="D131:D194" si="8">TEXT(C131,"Mmm")</f>
        <v>May</v>
      </c>
      <c r="E131" t="str">
        <f t="shared" ref="E131:E194" si="9">TEXT(C131,"YYYY")</f>
        <v>2021</v>
      </c>
      <c r="F131" t="s">
        <v>3</v>
      </c>
      <c r="G131" t="s">
        <v>67</v>
      </c>
      <c r="H131" t="s">
        <v>671</v>
      </c>
      <c r="I131">
        <v>110</v>
      </c>
      <c r="J131">
        <v>26</v>
      </c>
      <c r="K131">
        <f t="shared" ref="K131:K194" si="10">(J131/I131)*100</f>
        <v>23.636363636363637</v>
      </c>
      <c r="L131" t="s">
        <v>1739</v>
      </c>
      <c r="M131" t="s">
        <v>3707</v>
      </c>
      <c r="N131" t="s">
        <v>1</v>
      </c>
      <c r="O131">
        <v>571127</v>
      </c>
      <c r="P131" t="s">
        <v>546</v>
      </c>
      <c r="Q131" t="s">
        <v>1774</v>
      </c>
      <c r="S131">
        <v>238.56</v>
      </c>
      <c r="T131">
        <v>3</v>
      </c>
      <c r="U131">
        <v>0.1</v>
      </c>
      <c r="V131">
        <v>26.241599999999998</v>
      </c>
      <c r="W131">
        <f t="shared" ref="W131:W194" si="11">(S131-V131)/T131</f>
        <v>70.772800000000004</v>
      </c>
      <c r="X131">
        <v>2</v>
      </c>
    </row>
    <row r="132" spans="1:24" x14ac:dyDescent="0.3">
      <c r="A132">
        <v>131</v>
      </c>
      <c r="B132" t="s">
        <v>1907</v>
      </c>
      <c r="C132" s="6">
        <v>44327</v>
      </c>
      <c r="D132" t="str">
        <f t="shared" si="8"/>
        <v>May</v>
      </c>
      <c r="E132" t="str">
        <f t="shared" si="9"/>
        <v>2021</v>
      </c>
      <c r="F132" t="s">
        <v>5</v>
      </c>
      <c r="G132" t="s">
        <v>68</v>
      </c>
      <c r="H132" t="s">
        <v>672</v>
      </c>
      <c r="I132">
        <v>220</v>
      </c>
      <c r="J132">
        <v>24</v>
      </c>
      <c r="K132">
        <f t="shared" si="10"/>
        <v>10.909090909090908</v>
      </c>
      <c r="L132" t="s">
        <v>1738</v>
      </c>
      <c r="M132" t="s">
        <v>3708</v>
      </c>
      <c r="N132" t="s">
        <v>1</v>
      </c>
      <c r="O132">
        <v>635103</v>
      </c>
      <c r="P132" t="s">
        <v>546</v>
      </c>
      <c r="Q132" t="s">
        <v>1760</v>
      </c>
      <c r="R132" t="s">
        <v>2</v>
      </c>
      <c r="S132">
        <v>59.97</v>
      </c>
      <c r="T132">
        <v>5</v>
      </c>
      <c r="U132">
        <v>0.4</v>
      </c>
      <c r="V132">
        <v>-11.994</v>
      </c>
      <c r="W132">
        <f t="shared" si="11"/>
        <v>14.392799999999999</v>
      </c>
      <c r="X132">
        <v>4</v>
      </c>
    </row>
    <row r="133" spans="1:24" x14ac:dyDescent="0.3">
      <c r="A133">
        <v>132</v>
      </c>
      <c r="B133" t="s">
        <v>1908</v>
      </c>
      <c r="C133" s="6">
        <v>44328</v>
      </c>
      <c r="D133" t="str">
        <f t="shared" si="8"/>
        <v>May</v>
      </c>
      <c r="E133" t="str">
        <f t="shared" si="9"/>
        <v>2021</v>
      </c>
      <c r="F133" t="s">
        <v>5</v>
      </c>
      <c r="G133" t="s">
        <v>68</v>
      </c>
      <c r="H133" t="s">
        <v>673</v>
      </c>
      <c r="I133">
        <v>220</v>
      </c>
      <c r="J133">
        <v>28</v>
      </c>
      <c r="K133">
        <f t="shared" si="10"/>
        <v>12.727272727272727</v>
      </c>
      <c r="L133" t="s">
        <v>1743</v>
      </c>
      <c r="M133" t="s">
        <v>3709</v>
      </c>
      <c r="N133" t="s">
        <v>1</v>
      </c>
      <c r="O133">
        <v>572102</v>
      </c>
      <c r="P133" t="s">
        <v>546</v>
      </c>
      <c r="Q133" t="s">
        <v>1759</v>
      </c>
      <c r="S133">
        <v>78.304000000000002</v>
      </c>
      <c r="T133">
        <v>2</v>
      </c>
      <c r="U133">
        <v>0.2</v>
      </c>
      <c r="V133">
        <v>29.364000000000001</v>
      </c>
      <c r="W133">
        <f t="shared" si="11"/>
        <v>24.47</v>
      </c>
      <c r="X133">
        <v>5</v>
      </c>
    </row>
    <row r="134" spans="1:24" x14ac:dyDescent="0.3">
      <c r="A134">
        <v>133</v>
      </c>
      <c r="B134" t="s">
        <v>1909</v>
      </c>
      <c r="C134" s="6">
        <v>44329</v>
      </c>
      <c r="D134" t="str">
        <f t="shared" si="8"/>
        <v>May</v>
      </c>
      <c r="E134" t="str">
        <f t="shared" si="9"/>
        <v>2021</v>
      </c>
      <c r="F134" t="s">
        <v>5</v>
      </c>
      <c r="G134" t="s">
        <v>68</v>
      </c>
      <c r="H134" t="s">
        <v>674</v>
      </c>
      <c r="I134">
        <v>220</v>
      </c>
      <c r="J134">
        <v>26</v>
      </c>
      <c r="K134">
        <f t="shared" si="10"/>
        <v>11.818181818181818</v>
      </c>
      <c r="L134" t="s">
        <v>1737</v>
      </c>
      <c r="M134" t="s">
        <v>3710</v>
      </c>
      <c r="N134" t="s">
        <v>1</v>
      </c>
      <c r="O134">
        <v>700017</v>
      </c>
      <c r="P134" t="s">
        <v>546</v>
      </c>
      <c r="Q134" t="s">
        <v>1765</v>
      </c>
      <c r="S134">
        <v>21.456</v>
      </c>
      <c r="T134">
        <v>9</v>
      </c>
      <c r="U134">
        <v>0.2</v>
      </c>
      <c r="V134">
        <v>6.9732000000000003</v>
      </c>
      <c r="W134">
        <f t="shared" si="11"/>
        <v>1.6092</v>
      </c>
      <c r="X134">
        <v>1</v>
      </c>
    </row>
    <row r="135" spans="1:24" x14ac:dyDescent="0.3">
      <c r="A135">
        <v>134</v>
      </c>
      <c r="B135" t="s">
        <v>1910</v>
      </c>
      <c r="C135" s="6">
        <v>44330</v>
      </c>
      <c r="D135" t="str">
        <f t="shared" si="8"/>
        <v>May</v>
      </c>
      <c r="E135" t="str">
        <f t="shared" si="9"/>
        <v>2021</v>
      </c>
      <c r="F135" t="s">
        <v>4</v>
      </c>
      <c r="G135" t="s">
        <v>69</v>
      </c>
      <c r="H135" t="s">
        <v>675</v>
      </c>
      <c r="I135">
        <v>230</v>
      </c>
      <c r="J135">
        <v>24</v>
      </c>
      <c r="K135">
        <f t="shared" si="10"/>
        <v>10.434782608695652</v>
      </c>
      <c r="L135" t="s">
        <v>1741</v>
      </c>
      <c r="M135" t="s">
        <v>3711</v>
      </c>
      <c r="N135" t="s">
        <v>1</v>
      </c>
      <c r="O135">
        <v>380015</v>
      </c>
      <c r="P135" t="s">
        <v>546</v>
      </c>
      <c r="Q135" t="s">
        <v>1756</v>
      </c>
      <c r="S135">
        <v>20.04</v>
      </c>
      <c r="T135">
        <v>3</v>
      </c>
      <c r="U135">
        <v>0.1</v>
      </c>
      <c r="V135">
        <v>9.6191999999999993</v>
      </c>
      <c r="W135">
        <f t="shared" si="11"/>
        <v>3.4735999999999998</v>
      </c>
      <c r="X135">
        <v>1</v>
      </c>
    </row>
    <row r="136" spans="1:24" x14ac:dyDescent="0.3">
      <c r="A136">
        <v>135</v>
      </c>
      <c r="B136" t="s">
        <v>1911</v>
      </c>
      <c r="C136" s="6">
        <v>44331</v>
      </c>
      <c r="D136" t="str">
        <f t="shared" si="8"/>
        <v>May</v>
      </c>
      <c r="E136" t="str">
        <f t="shared" si="9"/>
        <v>2021</v>
      </c>
      <c r="F136" t="s">
        <v>4</v>
      </c>
      <c r="G136" t="s">
        <v>69</v>
      </c>
      <c r="H136" t="s">
        <v>676</v>
      </c>
      <c r="I136">
        <v>130</v>
      </c>
      <c r="J136">
        <v>24</v>
      </c>
      <c r="K136">
        <f t="shared" si="10"/>
        <v>18.461538461538463</v>
      </c>
      <c r="L136" t="s">
        <v>1736</v>
      </c>
      <c r="M136" t="s">
        <v>3712</v>
      </c>
      <c r="N136" t="s">
        <v>1</v>
      </c>
      <c r="O136">
        <v>122002</v>
      </c>
      <c r="P136" t="s">
        <v>546</v>
      </c>
      <c r="Q136" t="s">
        <v>1761</v>
      </c>
      <c r="S136">
        <v>35.44</v>
      </c>
      <c r="T136">
        <v>1</v>
      </c>
      <c r="U136">
        <v>0.1</v>
      </c>
      <c r="V136">
        <v>16.6568</v>
      </c>
      <c r="W136">
        <f t="shared" si="11"/>
        <v>18.783199999999997</v>
      </c>
      <c r="X136">
        <v>4</v>
      </c>
    </row>
    <row r="137" spans="1:24" x14ac:dyDescent="0.3">
      <c r="A137">
        <v>136</v>
      </c>
      <c r="B137" t="s">
        <v>1912</v>
      </c>
      <c r="C137" s="6">
        <v>44332</v>
      </c>
      <c r="D137" t="str">
        <f t="shared" si="8"/>
        <v>May</v>
      </c>
      <c r="E137" t="str">
        <f t="shared" si="9"/>
        <v>2021</v>
      </c>
      <c r="F137" t="s">
        <v>4</v>
      </c>
      <c r="G137" t="s">
        <v>69</v>
      </c>
      <c r="H137" t="s">
        <v>677</v>
      </c>
      <c r="I137">
        <v>170</v>
      </c>
      <c r="J137">
        <v>24</v>
      </c>
      <c r="K137">
        <f t="shared" si="10"/>
        <v>14.117647058823529</v>
      </c>
      <c r="L137" t="s">
        <v>1744</v>
      </c>
      <c r="M137" t="s">
        <v>3713</v>
      </c>
      <c r="N137" t="s">
        <v>1</v>
      </c>
      <c r="O137">
        <v>751012</v>
      </c>
      <c r="P137" t="s">
        <v>546</v>
      </c>
      <c r="Q137" t="s">
        <v>1761</v>
      </c>
      <c r="S137">
        <v>11.52</v>
      </c>
      <c r="T137">
        <v>4</v>
      </c>
      <c r="U137">
        <v>0.1</v>
      </c>
      <c r="V137">
        <v>3.456</v>
      </c>
      <c r="W137">
        <f t="shared" si="11"/>
        <v>2.016</v>
      </c>
      <c r="X137">
        <v>5</v>
      </c>
    </row>
    <row r="138" spans="1:24" x14ac:dyDescent="0.3">
      <c r="A138">
        <v>137</v>
      </c>
      <c r="B138" t="s">
        <v>1913</v>
      </c>
      <c r="C138" s="6">
        <v>44333</v>
      </c>
      <c r="D138" t="str">
        <f t="shared" si="8"/>
        <v>May</v>
      </c>
      <c r="E138" t="str">
        <f t="shared" si="9"/>
        <v>2021</v>
      </c>
      <c r="F138" t="s">
        <v>4</v>
      </c>
      <c r="G138" t="s">
        <v>69</v>
      </c>
      <c r="H138" t="s">
        <v>678</v>
      </c>
      <c r="I138">
        <v>220</v>
      </c>
      <c r="J138">
        <v>28</v>
      </c>
      <c r="K138">
        <f t="shared" si="10"/>
        <v>12.727272727272727</v>
      </c>
      <c r="L138" t="s">
        <v>1740</v>
      </c>
      <c r="M138" t="s">
        <v>3714</v>
      </c>
      <c r="N138" t="s">
        <v>1</v>
      </c>
      <c r="O138">
        <v>110075</v>
      </c>
      <c r="P138" t="s">
        <v>546</v>
      </c>
      <c r="Q138" t="s">
        <v>1761</v>
      </c>
      <c r="S138">
        <v>4.0199999999999996</v>
      </c>
      <c r="T138">
        <v>2</v>
      </c>
      <c r="U138">
        <v>0.1</v>
      </c>
      <c r="V138">
        <v>1.9698</v>
      </c>
      <c r="W138">
        <f t="shared" si="11"/>
        <v>1.0250999999999997</v>
      </c>
      <c r="X138">
        <v>2</v>
      </c>
    </row>
    <row r="139" spans="1:24" x14ac:dyDescent="0.3">
      <c r="A139">
        <v>138</v>
      </c>
      <c r="B139" t="s">
        <v>1914</v>
      </c>
      <c r="C139" s="6">
        <v>44334</v>
      </c>
      <c r="D139" t="str">
        <f t="shared" si="8"/>
        <v>May</v>
      </c>
      <c r="E139" t="str">
        <f t="shared" si="9"/>
        <v>2021</v>
      </c>
      <c r="F139" t="s">
        <v>4</v>
      </c>
      <c r="G139" t="s">
        <v>69</v>
      </c>
      <c r="H139" t="s">
        <v>679</v>
      </c>
      <c r="I139">
        <v>170</v>
      </c>
      <c r="J139">
        <v>30</v>
      </c>
      <c r="K139">
        <f t="shared" si="10"/>
        <v>17.647058823529413</v>
      </c>
      <c r="L139" t="s">
        <v>1742</v>
      </c>
      <c r="M139" t="s">
        <v>3715</v>
      </c>
      <c r="N139" t="s">
        <v>1</v>
      </c>
      <c r="O139">
        <v>201301</v>
      </c>
      <c r="P139" t="s">
        <v>546</v>
      </c>
      <c r="Q139" t="s">
        <v>1766</v>
      </c>
      <c r="S139">
        <v>76.176000000000002</v>
      </c>
      <c r="T139">
        <v>3</v>
      </c>
      <c r="U139">
        <v>0.2</v>
      </c>
      <c r="V139">
        <v>26.6616</v>
      </c>
      <c r="W139">
        <f t="shared" si="11"/>
        <v>16.504799999999999</v>
      </c>
      <c r="X139">
        <v>5</v>
      </c>
    </row>
    <row r="140" spans="1:24" x14ac:dyDescent="0.3">
      <c r="A140">
        <v>139</v>
      </c>
      <c r="B140" t="s">
        <v>1915</v>
      </c>
      <c r="C140" s="6">
        <v>44335</v>
      </c>
      <c r="D140" t="str">
        <f t="shared" si="8"/>
        <v>May</v>
      </c>
      <c r="E140" t="str">
        <f t="shared" si="9"/>
        <v>2021</v>
      </c>
      <c r="F140" t="s">
        <v>4</v>
      </c>
      <c r="G140" t="s">
        <v>69</v>
      </c>
      <c r="H140" t="s">
        <v>680</v>
      </c>
      <c r="I140">
        <v>230</v>
      </c>
      <c r="J140">
        <v>22</v>
      </c>
      <c r="K140">
        <f t="shared" si="10"/>
        <v>9.5652173913043477</v>
      </c>
      <c r="L140" t="s">
        <v>1739</v>
      </c>
      <c r="M140" t="s">
        <v>3600</v>
      </c>
      <c r="O140">
        <v>500083</v>
      </c>
      <c r="P140" t="s">
        <v>546</v>
      </c>
      <c r="Q140" t="s">
        <v>1760</v>
      </c>
      <c r="S140">
        <v>65.88</v>
      </c>
      <c r="T140">
        <v>6</v>
      </c>
      <c r="U140">
        <v>0.1</v>
      </c>
      <c r="V140">
        <v>18.446400000000001</v>
      </c>
      <c r="W140">
        <f t="shared" si="11"/>
        <v>7.9055999999999997</v>
      </c>
      <c r="X140">
        <v>5</v>
      </c>
    </row>
    <row r="141" spans="1:24" x14ac:dyDescent="0.3">
      <c r="A141">
        <v>140</v>
      </c>
      <c r="B141" t="s">
        <v>1916</v>
      </c>
      <c r="C141" s="6">
        <v>44336</v>
      </c>
      <c r="D141" t="str">
        <f t="shared" si="8"/>
        <v>May</v>
      </c>
      <c r="E141" t="str">
        <f t="shared" si="9"/>
        <v>2021</v>
      </c>
      <c r="F141" t="s">
        <v>4</v>
      </c>
      <c r="G141" t="s">
        <v>69</v>
      </c>
      <c r="H141" t="s">
        <v>597</v>
      </c>
      <c r="I141">
        <v>200</v>
      </c>
      <c r="J141">
        <v>20</v>
      </c>
      <c r="K141">
        <f t="shared" si="10"/>
        <v>10</v>
      </c>
      <c r="L141" t="s">
        <v>1738</v>
      </c>
      <c r="M141" t="s">
        <v>3716</v>
      </c>
      <c r="N141" t="s">
        <v>1</v>
      </c>
      <c r="O141">
        <v>122101</v>
      </c>
      <c r="P141" t="s">
        <v>546</v>
      </c>
      <c r="Q141" t="s">
        <v>1760</v>
      </c>
      <c r="S141">
        <v>43.12</v>
      </c>
      <c r="T141">
        <v>14</v>
      </c>
      <c r="U141">
        <v>0.1</v>
      </c>
      <c r="V141">
        <v>20.697600000000001</v>
      </c>
      <c r="W141">
        <f t="shared" si="11"/>
        <v>1.6015999999999997</v>
      </c>
      <c r="X141">
        <v>5</v>
      </c>
    </row>
    <row r="142" spans="1:24" x14ac:dyDescent="0.3">
      <c r="A142">
        <v>141</v>
      </c>
      <c r="B142" t="s">
        <v>1917</v>
      </c>
      <c r="C142" s="6">
        <v>44337</v>
      </c>
      <c r="D142" t="str">
        <f t="shared" si="8"/>
        <v>May</v>
      </c>
      <c r="E142" t="str">
        <f t="shared" si="9"/>
        <v>2021</v>
      </c>
      <c r="F142" t="s">
        <v>3</v>
      </c>
      <c r="G142" t="s">
        <v>70</v>
      </c>
      <c r="H142" t="s">
        <v>575</v>
      </c>
      <c r="I142">
        <v>220</v>
      </c>
      <c r="J142">
        <v>6</v>
      </c>
      <c r="K142">
        <f t="shared" si="10"/>
        <v>2.7272727272727271</v>
      </c>
      <c r="L142" t="s">
        <v>1741</v>
      </c>
      <c r="M142" t="s">
        <v>3717</v>
      </c>
      <c r="N142" t="s">
        <v>1</v>
      </c>
      <c r="O142">
        <v>411042</v>
      </c>
      <c r="P142" t="s">
        <v>546</v>
      </c>
      <c r="Q142" t="s">
        <v>1768</v>
      </c>
      <c r="S142">
        <v>82.8</v>
      </c>
      <c r="T142">
        <v>2</v>
      </c>
      <c r="U142">
        <v>0.2</v>
      </c>
      <c r="V142">
        <v>10.35</v>
      </c>
      <c r="W142">
        <f t="shared" si="11"/>
        <v>36.225000000000001</v>
      </c>
      <c r="X142">
        <v>1</v>
      </c>
    </row>
    <row r="143" spans="1:24" x14ac:dyDescent="0.3">
      <c r="A143">
        <v>142</v>
      </c>
      <c r="B143" t="s">
        <v>1918</v>
      </c>
      <c r="C143" s="6">
        <v>44338</v>
      </c>
      <c r="D143" t="str">
        <f t="shared" si="8"/>
        <v>May</v>
      </c>
      <c r="E143" t="str">
        <f t="shared" si="9"/>
        <v>2021</v>
      </c>
      <c r="F143" t="s">
        <v>4</v>
      </c>
      <c r="G143" t="s">
        <v>71</v>
      </c>
      <c r="H143" t="s">
        <v>681</v>
      </c>
      <c r="I143">
        <v>250</v>
      </c>
      <c r="J143">
        <v>24</v>
      </c>
      <c r="K143">
        <f t="shared" si="10"/>
        <v>9.6</v>
      </c>
      <c r="L143" t="s">
        <v>1737</v>
      </c>
      <c r="M143" t="s">
        <v>3718</v>
      </c>
      <c r="N143" t="s">
        <v>1</v>
      </c>
      <c r="O143">
        <v>683102</v>
      </c>
      <c r="P143" t="s">
        <v>546</v>
      </c>
      <c r="Q143" t="s">
        <v>1767</v>
      </c>
      <c r="S143">
        <v>8.82</v>
      </c>
      <c r="T143">
        <v>3</v>
      </c>
      <c r="U143">
        <v>0.1</v>
      </c>
      <c r="V143">
        <v>2.3814000000000002</v>
      </c>
      <c r="W143">
        <f t="shared" si="11"/>
        <v>2.1461999999999999</v>
      </c>
      <c r="X143">
        <v>1</v>
      </c>
    </row>
    <row r="144" spans="1:24" x14ac:dyDescent="0.3">
      <c r="A144">
        <v>143</v>
      </c>
      <c r="B144" t="s">
        <v>1919</v>
      </c>
      <c r="C144" s="6">
        <v>44339</v>
      </c>
      <c r="D144" t="str">
        <f t="shared" si="8"/>
        <v>May</v>
      </c>
      <c r="E144" t="str">
        <f t="shared" si="9"/>
        <v>2021</v>
      </c>
      <c r="F144" t="s">
        <v>4</v>
      </c>
      <c r="G144" t="s">
        <v>71</v>
      </c>
      <c r="H144" t="s">
        <v>682</v>
      </c>
      <c r="I144">
        <v>170</v>
      </c>
      <c r="J144">
        <v>10</v>
      </c>
      <c r="K144">
        <f t="shared" si="10"/>
        <v>5.8823529411764701</v>
      </c>
      <c r="L144" t="s">
        <v>1743</v>
      </c>
      <c r="M144" t="s">
        <v>3719</v>
      </c>
      <c r="N144" t="s">
        <v>1</v>
      </c>
      <c r="O144">
        <v>141003</v>
      </c>
      <c r="P144" t="s">
        <v>546</v>
      </c>
      <c r="Q144" t="s">
        <v>1760</v>
      </c>
      <c r="S144">
        <v>10.86</v>
      </c>
      <c r="T144">
        <v>3</v>
      </c>
      <c r="U144">
        <v>0.1</v>
      </c>
      <c r="V144">
        <v>5.1041999999999996</v>
      </c>
      <c r="W144">
        <f t="shared" si="11"/>
        <v>1.9185999999999999</v>
      </c>
      <c r="X144">
        <v>1</v>
      </c>
    </row>
    <row r="145" spans="1:24" x14ac:dyDescent="0.3">
      <c r="A145">
        <v>144</v>
      </c>
      <c r="B145" t="s">
        <v>1920</v>
      </c>
      <c r="C145" s="6">
        <v>44340</v>
      </c>
      <c r="D145" t="str">
        <f t="shared" si="8"/>
        <v>May</v>
      </c>
      <c r="E145" t="str">
        <f t="shared" si="9"/>
        <v>2021</v>
      </c>
      <c r="F145" t="s">
        <v>4</v>
      </c>
      <c r="G145" t="s">
        <v>71</v>
      </c>
      <c r="H145" t="s">
        <v>683</v>
      </c>
      <c r="I145">
        <v>180</v>
      </c>
      <c r="J145">
        <v>10</v>
      </c>
      <c r="K145">
        <f t="shared" si="10"/>
        <v>5.5555555555555554</v>
      </c>
      <c r="L145" t="s">
        <v>1738</v>
      </c>
      <c r="M145" t="s">
        <v>3720</v>
      </c>
      <c r="O145">
        <v>670612</v>
      </c>
      <c r="P145" t="s">
        <v>546</v>
      </c>
      <c r="Q145" t="s">
        <v>1772</v>
      </c>
      <c r="S145">
        <v>143.69999999999999</v>
      </c>
      <c r="T145">
        <v>3</v>
      </c>
      <c r="U145">
        <v>0.1</v>
      </c>
      <c r="V145">
        <v>68.975999999999999</v>
      </c>
      <c r="W145">
        <f t="shared" si="11"/>
        <v>24.907999999999998</v>
      </c>
      <c r="X145">
        <v>3</v>
      </c>
    </row>
    <row r="146" spans="1:24" x14ac:dyDescent="0.3">
      <c r="A146">
        <v>145</v>
      </c>
      <c r="B146" t="s">
        <v>1921</v>
      </c>
      <c r="C146" s="6">
        <v>44341</v>
      </c>
      <c r="D146" t="str">
        <f t="shared" si="8"/>
        <v>May</v>
      </c>
      <c r="E146" t="str">
        <f t="shared" si="9"/>
        <v>2021</v>
      </c>
      <c r="F146" t="s">
        <v>4</v>
      </c>
      <c r="G146" t="s">
        <v>72</v>
      </c>
      <c r="H146" t="s">
        <v>684</v>
      </c>
      <c r="I146">
        <v>170</v>
      </c>
      <c r="J146">
        <v>24</v>
      </c>
      <c r="K146">
        <f t="shared" si="10"/>
        <v>14.117647058823529</v>
      </c>
      <c r="L146" t="s">
        <v>1739</v>
      </c>
      <c r="M146" t="s">
        <v>3721</v>
      </c>
      <c r="N146" t="s">
        <v>1</v>
      </c>
      <c r="O146">
        <v>411060</v>
      </c>
      <c r="P146" t="s">
        <v>546</v>
      </c>
      <c r="Q146" t="s">
        <v>1767</v>
      </c>
      <c r="R146" t="s">
        <v>2</v>
      </c>
      <c r="S146">
        <v>839.43</v>
      </c>
      <c r="T146">
        <v>3</v>
      </c>
      <c r="U146">
        <v>0.1</v>
      </c>
      <c r="V146">
        <v>218.2518</v>
      </c>
      <c r="W146">
        <f t="shared" si="11"/>
        <v>207.05939999999998</v>
      </c>
      <c r="X146">
        <v>5</v>
      </c>
    </row>
    <row r="147" spans="1:24" x14ac:dyDescent="0.3">
      <c r="A147">
        <v>146</v>
      </c>
      <c r="B147" t="s">
        <v>1922</v>
      </c>
      <c r="C147" s="6">
        <v>44342</v>
      </c>
      <c r="D147" t="str">
        <f t="shared" si="8"/>
        <v>May</v>
      </c>
      <c r="E147" t="str">
        <f t="shared" si="9"/>
        <v>2021</v>
      </c>
      <c r="F147" t="s">
        <v>4</v>
      </c>
      <c r="G147" t="s">
        <v>73</v>
      </c>
      <c r="H147" t="s">
        <v>629</v>
      </c>
      <c r="I147">
        <v>240</v>
      </c>
      <c r="J147">
        <v>6</v>
      </c>
      <c r="K147">
        <f t="shared" si="10"/>
        <v>2.5</v>
      </c>
      <c r="L147" t="s">
        <v>1736</v>
      </c>
      <c r="M147" t="s">
        <v>3722</v>
      </c>
      <c r="N147" t="s">
        <v>1</v>
      </c>
      <c r="O147">
        <v>209863</v>
      </c>
      <c r="P147" t="s">
        <v>546</v>
      </c>
      <c r="Q147" t="s">
        <v>1756</v>
      </c>
      <c r="S147">
        <v>671.93</v>
      </c>
      <c r="T147">
        <v>7</v>
      </c>
      <c r="U147">
        <v>0.1</v>
      </c>
      <c r="V147">
        <v>20.157900000000001</v>
      </c>
      <c r="W147">
        <f t="shared" si="11"/>
        <v>93.110299999999981</v>
      </c>
      <c r="X147">
        <v>1</v>
      </c>
    </row>
    <row r="148" spans="1:24" x14ac:dyDescent="0.3">
      <c r="A148">
        <v>147</v>
      </c>
      <c r="B148" t="s">
        <v>1923</v>
      </c>
      <c r="C148" s="6">
        <v>44343</v>
      </c>
      <c r="D148" t="str">
        <f t="shared" si="8"/>
        <v>May</v>
      </c>
      <c r="E148" t="str">
        <f t="shared" si="9"/>
        <v>2021</v>
      </c>
      <c r="F148" t="s">
        <v>4</v>
      </c>
      <c r="G148" t="s">
        <v>74</v>
      </c>
      <c r="H148" t="s">
        <v>685</v>
      </c>
      <c r="I148">
        <v>170</v>
      </c>
      <c r="J148">
        <v>14</v>
      </c>
      <c r="K148">
        <f t="shared" si="10"/>
        <v>8.235294117647058</v>
      </c>
      <c r="L148" t="s">
        <v>1744</v>
      </c>
      <c r="M148" t="s">
        <v>3723</v>
      </c>
      <c r="N148" t="s">
        <v>1</v>
      </c>
      <c r="O148">
        <v>600113</v>
      </c>
      <c r="P148" t="s">
        <v>546</v>
      </c>
      <c r="Q148" t="s">
        <v>1768</v>
      </c>
      <c r="S148">
        <v>93.888000000000005</v>
      </c>
      <c r="T148">
        <v>4</v>
      </c>
      <c r="U148">
        <v>0.2</v>
      </c>
      <c r="V148">
        <v>12.909599999999999</v>
      </c>
      <c r="W148">
        <f t="shared" si="11"/>
        <v>20.244600000000002</v>
      </c>
      <c r="X148">
        <v>3</v>
      </c>
    </row>
    <row r="149" spans="1:24" x14ac:dyDescent="0.3">
      <c r="A149">
        <v>148</v>
      </c>
      <c r="B149" t="s">
        <v>1924</v>
      </c>
      <c r="C149" s="6">
        <v>44344</v>
      </c>
      <c r="D149" t="str">
        <f t="shared" si="8"/>
        <v>May</v>
      </c>
      <c r="E149" t="str">
        <f t="shared" si="9"/>
        <v>2021</v>
      </c>
      <c r="F149" t="s">
        <v>4</v>
      </c>
      <c r="G149" t="s">
        <v>75</v>
      </c>
      <c r="H149" t="s">
        <v>686</v>
      </c>
      <c r="I149">
        <v>240</v>
      </c>
      <c r="J149">
        <v>18</v>
      </c>
      <c r="K149">
        <f t="shared" si="10"/>
        <v>7.5</v>
      </c>
      <c r="L149" t="s">
        <v>1740</v>
      </c>
      <c r="M149" t="s">
        <v>3724</v>
      </c>
      <c r="N149" t="s">
        <v>1</v>
      </c>
      <c r="O149">
        <v>600113</v>
      </c>
      <c r="P149" t="s">
        <v>546</v>
      </c>
      <c r="Q149" t="s">
        <v>1755</v>
      </c>
      <c r="S149">
        <v>384.45</v>
      </c>
      <c r="T149">
        <v>11</v>
      </c>
      <c r="U149">
        <v>0.1</v>
      </c>
      <c r="V149">
        <v>103.8015</v>
      </c>
      <c r="W149">
        <f t="shared" si="11"/>
        <v>25.513500000000001</v>
      </c>
      <c r="X149">
        <v>2</v>
      </c>
    </row>
    <row r="150" spans="1:24" x14ac:dyDescent="0.3">
      <c r="A150">
        <v>149</v>
      </c>
      <c r="B150" t="s">
        <v>1925</v>
      </c>
      <c r="C150" s="6">
        <v>44345</v>
      </c>
      <c r="D150" t="str">
        <f t="shared" si="8"/>
        <v>May</v>
      </c>
      <c r="E150" t="str">
        <f t="shared" si="9"/>
        <v>2021</v>
      </c>
      <c r="F150" t="s">
        <v>4</v>
      </c>
      <c r="G150" t="s">
        <v>75</v>
      </c>
      <c r="H150" t="s">
        <v>687</v>
      </c>
      <c r="I150">
        <v>130</v>
      </c>
      <c r="J150">
        <v>10</v>
      </c>
      <c r="K150">
        <f t="shared" si="10"/>
        <v>7.6923076923076925</v>
      </c>
      <c r="L150" t="s">
        <v>1742</v>
      </c>
      <c r="M150" t="s">
        <v>3725</v>
      </c>
      <c r="N150" t="s">
        <v>1</v>
      </c>
      <c r="O150">
        <v>500068</v>
      </c>
      <c r="P150" t="s">
        <v>546</v>
      </c>
      <c r="Q150" t="s">
        <v>1755</v>
      </c>
      <c r="R150" t="s">
        <v>2</v>
      </c>
      <c r="S150">
        <v>149.97</v>
      </c>
      <c r="T150">
        <v>3</v>
      </c>
      <c r="U150">
        <v>0.1</v>
      </c>
      <c r="V150">
        <v>5.9988000000000001</v>
      </c>
      <c r="W150">
        <f t="shared" si="11"/>
        <v>47.990400000000001</v>
      </c>
      <c r="X150">
        <v>3</v>
      </c>
    </row>
    <row r="151" spans="1:24" x14ac:dyDescent="0.3">
      <c r="A151">
        <v>150</v>
      </c>
      <c r="B151" t="s">
        <v>1926</v>
      </c>
      <c r="C151" s="6">
        <v>44346</v>
      </c>
      <c r="D151" t="str">
        <f t="shared" si="8"/>
        <v>May</v>
      </c>
      <c r="E151" t="str">
        <f t="shared" si="9"/>
        <v>2021</v>
      </c>
      <c r="F151" t="s">
        <v>4</v>
      </c>
      <c r="G151" t="s">
        <v>75</v>
      </c>
      <c r="H151" t="s">
        <v>548</v>
      </c>
      <c r="I151">
        <v>200</v>
      </c>
      <c r="J151">
        <v>10</v>
      </c>
      <c r="K151">
        <f t="shared" si="10"/>
        <v>5</v>
      </c>
      <c r="L151" t="s">
        <v>1739</v>
      </c>
      <c r="M151" t="s">
        <v>3726</v>
      </c>
      <c r="N151" t="s">
        <v>1</v>
      </c>
      <c r="O151">
        <v>500089</v>
      </c>
      <c r="P151" t="s">
        <v>546</v>
      </c>
      <c r="Q151" t="s">
        <v>1761</v>
      </c>
      <c r="S151">
        <v>1951.84</v>
      </c>
      <c r="T151">
        <v>8</v>
      </c>
      <c r="U151">
        <v>0.1</v>
      </c>
      <c r="V151">
        <v>585.55200000000002</v>
      </c>
      <c r="W151">
        <f t="shared" si="11"/>
        <v>170.786</v>
      </c>
      <c r="X151">
        <v>4</v>
      </c>
    </row>
    <row r="152" spans="1:24" x14ac:dyDescent="0.3">
      <c r="A152">
        <v>151</v>
      </c>
      <c r="B152" t="s">
        <v>1927</v>
      </c>
      <c r="C152" s="6">
        <v>44347</v>
      </c>
      <c r="D152" t="str">
        <f t="shared" si="8"/>
        <v>May</v>
      </c>
      <c r="E152" t="str">
        <f t="shared" si="9"/>
        <v>2021</v>
      </c>
      <c r="F152" t="s">
        <v>4</v>
      </c>
      <c r="G152" t="s">
        <v>75</v>
      </c>
      <c r="H152" t="s">
        <v>688</v>
      </c>
      <c r="I152">
        <v>100</v>
      </c>
      <c r="J152">
        <v>18</v>
      </c>
      <c r="K152">
        <f t="shared" si="10"/>
        <v>18</v>
      </c>
      <c r="L152" t="s">
        <v>1738</v>
      </c>
      <c r="M152" t="s">
        <v>3727</v>
      </c>
      <c r="N152" t="s">
        <v>1</v>
      </c>
      <c r="O152">
        <v>560075</v>
      </c>
      <c r="P152" t="s">
        <v>546</v>
      </c>
      <c r="Q152" t="s">
        <v>1775</v>
      </c>
      <c r="S152">
        <v>171.55</v>
      </c>
      <c r="T152">
        <v>5</v>
      </c>
      <c r="U152">
        <v>0.1</v>
      </c>
      <c r="V152">
        <v>80.628500000000003</v>
      </c>
      <c r="W152">
        <f t="shared" si="11"/>
        <v>18.1843</v>
      </c>
      <c r="X152">
        <v>1</v>
      </c>
    </row>
    <row r="153" spans="1:24" x14ac:dyDescent="0.3">
      <c r="A153">
        <v>152</v>
      </c>
      <c r="B153" t="s">
        <v>1928</v>
      </c>
      <c r="C153" s="6">
        <v>44348</v>
      </c>
      <c r="D153" t="str">
        <f t="shared" si="8"/>
        <v>Jun</v>
      </c>
      <c r="E153" t="str">
        <f t="shared" si="9"/>
        <v>2021</v>
      </c>
      <c r="F153" t="s">
        <v>5</v>
      </c>
      <c r="G153" t="s">
        <v>76</v>
      </c>
      <c r="H153" t="s">
        <v>689</v>
      </c>
      <c r="I153">
        <v>160</v>
      </c>
      <c r="J153">
        <v>24</v>
      </c>
      <c r="K153">
        <f t="shared" si="10"/>
        <v>15</v>
      </c>
      <c r="L153" t="s">
        <v>1743</v>
      </c>
      <c r="M153" t="s">
        <v>3728</v>
      </c>
      <c r="O153">
        <v>600054</v>
      </c>
      <c r="P153" t="s">
        <v>546</v>
      </c>
      <c r="Q153" t="s">
        <v>1766</v>
      </c>
      <c r="S153">
        <v>157.91999999999999</v>
      </c>
      <c r="T153">
        <v>5</v>
      </c>
      <c r="U153">
        <v>0.2</v>
      </c>
      <c r="V153">
        <v>17.765999999999998</v>
      </c>
      <c r="W153">
        <f t="shared" si="11"/>
        <v>28.030799999999999</v>
      </c>
      <c r="X153">
        <v>3</v>
      </c>
    </row>
    <row r="154" spans="1:24" x14ac:dyDescent="0.3">
      <c r="A154">
        <v>153</v>
      </c>
      <c r="B154" t="s">
        <v>1929</v>
      </c>
      <c r="C154" s="6">
        <v>44349</v>
      </c>
      <c r="D154" t="str">
        <f t="shared" si="8"/>
        <v>Jun</v>
      </c>
      <c r="E154" t="str">
        <f t="shared" si="9"/>
        <v>2021</v>
      </c>
      <c r="F154" t="s">
        <v>5</v>
      </c>
      <c r="G154" t="s">
        <v>76</v>
      </c>
      <c r="H154" t="s">
        <v>690</v>
      </c>
      <c r="I154">
        <v>160</v>
      </c>
      <c r="J154">
        <v>16</v>
      </c>
      <c r="K154">
        <f t="shared" si="10"/>
        <v>10</v>
      </c>
      <c r="L154" t="s">
        <v>1737</v>
      </c>
      <c r="M154" t="s">
        <v>3729</v>
      </c>
      <c r="N154" t="s">
        <v>1</v>
      </c>
      <c r="O154">
        <v>695011</v>
      </c>
      <c r="P154" t="s">
        <v>546</v>
      </c>
      <c r="Q154" t="s">
        <v>1758</v>
      </c>
      <c r="S154">
        <v>203.184</v>
      </c>
      <c r="T154">
        <v>2</v>
      </c>
      <c r="U154">
        <v>0.2</v>
      </c>
      <c r="V154">
        <v>15.238799999999999</v>
      </c>
      <c r="W154">
        <f t="shared" si="11"/>
        <v>93.9726</v>
      </c>
      <c r="X154">
        <v>5</v>
      </c>
    </row>
    <row r="155" spans="1:24" x14ac:dyDescent="0.3">
      <c r="A155">
        <v>154</v>
      </c>
      <c r="B155" t="s">
        <v>1930</v>
      </c>
      <c r="C155" s="6">
        <v>44350</v>
      </c>
      <c r="D155" t="str">
        <f t="shared" si="8"/>
        <v>Jun</v>
      </c>
      <c r="E155" t="str">
        <f t="shared" si="9"/>
        <v>2021</v>
      </c>
      <c r="F155" t="s">
        <v>5</v>
      </c>
      <c r="G155" t="s">
        <v>77</v>
      </c>
      <c r="H155" t="s">
        <v>691</v>
      </c>
      <c r="I155">
        <v>130</v>
      </c>
      <c r="J155">
        <v>14</v>
      </c>
      <c r="K155">
        <f t="shared" si="10"/>
        <v>10.76923076923077</v>
      </c>
      <c r="L155" t="s">
        <v>1741</v>
      </c>
      <c r="M155" t="s">
        <v>3730</v>
      </c>
      <c r="N155" t="s">
        <v>1</v>
      </c>
      <c r="O155">
        <v>491995</v>
      </c>
      <c r="P155" t="s">
        <v>546</v>
      </c>
      <c r="Q155" t="s">
        <v>1772</v>
      </c>
      <c r="R155" t="s">
        <v>2</v>
      </c>
      <c r="S155">
        <v>58.38</v>
      </c>
      <c r="T155">
        <v>7</v>
      </c>
      <c r="U155">
        <v>0.1</v>
      </c>
      <c r="V155">
        <v>26.271000000000001</v>
      </c>
      <c r="W155">
        <f t="shared" si="11"/>
        <v>4.5870000000000006</v>
      </c>
      <c r="X155">
        <v>1</v>
      </c>
    </row>
    <row r="156" spans="1:24" x14ac:dyDescent="0.3">
      <c r="A156">
        <v>155</v>
      </c>
      <c r="B156" t="s">
        <v>1931</v>
      </c>
      <c r="C156" s="6">
        <v>44351</v>
      </c>
      <c r="D156" t="str">
        <f t="shared" si="8"/>
        <v>Jun</v>
      </c>
      <c r="E156" t="str">
        <f t="shared" si="9"/>
        <v>2021</v>
      </c>
      <c r="F156" t="s">
        <v>5</v>
      </c>
      <c r="G156" t="s">
        <v>77</v>
      </c>
      <c r="H156" t="s">
        <v>692</v>
      </c>
      <c r="I156">
        <v>240</v>
      </c>
      <c r="J156">
        <v>16</v>
      </c>
      <c r="K156">
        <f t="shared" si="10"/>
        <v>6.666666666666667</v>
      </c>
      <c r="L156" t="s">
        <v>1736</v>
      </c>
      <c r="M156" t="s">
        <v>3731</v>
      </c>
      <c r="O156">
        <v>700017</v>
      </c>
      <c r="P156" t="s">
        <v>546</v>
      </c>
      <c r="Q156" t="s">
        <v>1759</v>
      </c>
      <c r="S156">
        <v>105.52</v>
      </c>
      <c r="T156">
        <v>4</v>
      </c>
      <c r="U156">
        <v>0.1</v>
      </c>
      <c r="V156">
        <v>48.539200000000001</v>
      </c>
      <c r="W156">
        <f t="shared" si="11"/>
        <v>14.245199999999999</v>
      </c>
      <c r="X156">
        <v>1</v>
      </c>
    </row>
    <row r="157" spans="1:24" x14ac:dyDescent="0.3">
      <c r="A157">
        <v>156</v>
      </c>
      <c r="B157" t="s">
        <v>1932</v>
      </c>
      <c r="C157" s="6">
        <v>44352</v>
      </c>
      <c r="D157" t="str">
        <f t="shared" si="8"/>
        <v>Jun</v>
      </c>
      <c r="E157" t="str">
        <f t="shared" si="9"/>
        <v>2021</v>
      </c>
      <c r="F157" t="s">
        <v>5</v>
      </c>
      <c r="G157" t="s">
        <v>77</v>
      </c>
      <c r="H157" t="s">
        <v>693</v>
      </c>
      <c r="I157">
        <v>180</v>
      </c>
      <c r="J157">
        <v>20</v>
      </c>
      <c r="K157">
        <f t="shared" si="10"/>
        <v>11.111111111111111</v>
      </c>
      <c r="L157" t="s">
        <v>1744</v>
      </c>
      <c r="M157" t="s">
        <v>3732</v>
      </c>
      <c r="N157" t="s">
        <v>1</v>
      </c>
      <c r="O157">
        <v>226022</v>
      </c>
      <c r="P157" t="s">
        <v>546</v>
      </c>
      <c r="Q157" t="s">
        <v>1759</v>
      </c>
      <c r="R157" t="s">
        <v>2</v>
      </c>
      <c r="S157">
        <v>80.88</v>
      </c>
      <c r="T157">
        <v>6</v>
      </c>
      <c r="U157">
        <v>0.1</v>
      </c>
      <c r="V157">
        <v>21.0288</v>
      </c>
      <c r="W157">
        <f t="shared" si="11"/>
        <v>9.9751999999999992</v>
      </c>
      <c r="X157">
        <v>1</v>
      </c>
    </row>
    <row r="158" spans="1:24" x14ac:dyDescent="0.3">
      <c r="A158">
        <v>157</v>
      </c>
      <c r="B158" t="s">
        <v>1933</v>
      </c>
      <c r="C158" s="6">
        <v>44353</v>
      </c>
      <c r="D158" t="str">
        <f t="shared" si="8"/>
        <v>Jun</v>
      </c>
      <c r="E158" t="str">
        <f t="shared" si="9"/>
        <v>2021</v>
      </c>
      <c r="F158" t="s">
        <v>4</v>
      </c>
      <c r="G158" t="s">
        <v>78</v>
      </c>
      <c r="H158" t="s">
        <v>694</v>
      </c>
      <c r="I158">
        <v>250</v>
      </c>
      <c r="J158">
        <v>16</v>
      </c>
      <c r="K158">
        <f t="shared" si="10"/>
        <v>6.4</v>
      </c>
      <c r="L158" t="s">
        <v>1740</v>
      </c>
      <c r="M158" t="s">
        <v>3733</v>
      </c>
      <c r="N158" t="s">
        <v>1</v>
      </c>
      <c r="O158">
        <v>390009</v>
      </c>
      <c r="P158" t="s">
        <v>546</v>
      </c>
      <c r="Q158" t="s">
        <v>1755</v>
      </c>
      <c r="S158">
        <v>6.63</v>
      </c>
      <c r="T158">
        <v>3</v>
      </c>
      <c r="U158">
        <v>0.1</v>
      </c>
      <c r="V158">
        <v>1.7901</v>
      </c>
      <c r="W158">
        <f t="shared" si="11"/>
        <v>1.6133</v>
      </c>
      <c r="X158">
        <v>2</v>
      </c>
    </row>
    <row r="159" spans="1:24" x14ac:dyDescent="0.3">
      <c r="A159">
        <v>158</v>
      </c>
      <c r="B159" t="s">
        <v>1934</v>
      </c>
      <c r="C159" s="6">
        <v>44354</v>
      </c>
      <c r="D159" t="str">
        <f t="shared" si="8"/>
        <v>Jun</v>
      </c>
      <c r="E159" t="str">
        <f t="shared" si="9"/>
        <v>2021</v>
      </c>
      <c r="F159" t="s">
        <v>3</v>
      </c>
      <c r="G159" t="s">
        <v>79</v>
      </c>
      <c r="H159" t="s">
        <v>667</v>
      </c>
      <c r="I159">
        <v>180</v>
      </c>
      <c r="J159">
        <v>26</v>
      </c>
      <c r="K159">
        <f t="shared" si="10"/>
        <v>14.444444444444443</v>
      </c>
      <c r="L159" t="s">
        <v>1742</v>
      </c>
      <c r="M159" t="s">
        <v>3734</v>
      </c>
      <c r="N159" t="s">
        <v>1</v>
      </c>
      <c r="O159">
        <v>441904</v>
      </c>
      <c r="P159" t="s">
        <v>546</v>
      </c>
      <c r="Q159" t="s">
        <v>1763</v>
      </c>
      <c r="S159">
        <v>457.56799999999998</v>
      </c>
      <c r="T159">
        <v>2</v>
      </c>
      <c r="U159">
        <v>0.2</v>
      </c>
      <c r="V159">
        <v>51.476399999999998</v>
      </c>
      <c r="W159">
        <f t="shared" si="11"/>
        <v>203.04579999999999</v>
      </c>
      <c r="X159">
        <v>4</v>
      </c>
    </row>
    <row r="160" spans="1:24" x14ac:dyDescent="0.3">
      <c r="A160">
        <v>159</v>
      </c>
      <c r="B160" t="s">
        <v>1935</v>
      </c>
      <c r="C160" s="6">
        <v>44355</v>
      </c>
      <c r="D160" t="str">
        <f t="shared" si="8"/>
        <v>Jun</v>
      </c>
      <c r="E160" t="str">
        <f t="shared" si="9"/>
        <v>2021</v>
      </c>
      <c r="F160" t="s">
        <v>4</v>
      </c>
      <c r="G160" t="s">
        <v>80</v>
      </c>
      <c r="H160" t="s">
        <v>695</v>
      </c>
      <c r="I160">
        <v>240</v>
      </c>
      <c r="J160">
        <v>22</v>
      </c>
      <c r="K160">
        <f t="shared" si="10"/>
        <v>9.1666666666666661</v>
      </c>
      <c r="L160" t="s">
        <v>1739</v>
      </c>
      <c r="M160" t="s">
        <v>3628</v>
      </c>
      <c r="N160" t="s">
        <v>1</v>
      </c>
      <c r="O160">
        <v>560068</v>
      </c>
      <c r="P160" t="s">
        <v>546</v>
      </c>
      <c r="Q160" t="s">
        <v>1767</v>
      </c>
      <c r="R160" t="s">
        <v>2</v>
      </c>
      <c r="S160">
        <v>14.62</v>
      </c>
      <c r="T160">
        <v>2</v>
      </c>
      <c r="U160">
        <v>0.1</v>
      </c>
      <c r="V160">
        <v>6.8714000000000004</v>
      </c>
      <c r="W160">
        <f t="shared" si="11"/>
        <v>3.8742999999999994</v>
      </c>
      <c r="X160">
        <v>1</v>
      </c>
    </row>
    <row r="161" spans="1:24" x14ac:dyDescent="0.3">
      <c r="A161">
        <v>160</v>
      </c>
      <c r="B161" t="s">
        <v>1936</v>
      </c>
      <c r="C161" s="6">
        <v>44356</v>
      </c>
      <c r="D161" t="str">
        <f t="shared" si="8"/>
        <v>Jun</v>
      </c>
      <c r="E161" t="str">
        <f t="shared" si="9"/>
        <v>2021</v>
      </c>
      <c r="F161" t="s">
        <v>4</v>
      </c>
      <c r="G161" t="s">
        <v>80</v>
      </c>
      <c r="H161" t="s">
        <v>696</v>
      </c>
      <c r="I161">
        <v>110</v>
      </c>
      <c r="J161">
        <v>20</v>
      </c>
      <c r="K161">
        <f t="shared" si="10"/>
        <v>18.181818181818183</v>
      </c>
      <c r="L161" t="s">
        <v>1738</v>
      </c>
      <c r="M161" t="s">
        <v>3629</v>
      </c>
      <c r="N161" t="s">
        <v>1</v>
      </c>
      <c r="O161">
        <v>380015</v>
      </c>
      <c r="P161" t="s">
        <v>546</v>
      </c>
      <c r="Q161" t="s">
        <v>1775</v>
      </c>
      <c r="R161" t="s">
        <v>2</v>
      </c>
      <c r="S161">
        <v>944.93</v>
      </c>
      <c r="T161">
        <v>7</v>
      </c>
      <c r="U161">
        <v>0.1</v>
      </c>
      <c r="V161">
        <v>236.23249999999999</v>
      </c>
      <c r="W161">
        <f t="shared" si="11"/>
        <v>101.24249999999999</v>
      </c>
      <c r="X161">
        <v>2</v>
      </c>
    </row>
    <row r="162" spans="1:24" x14ac:dyDescent="0.3">
      <c r="A162">
        <v>161</v>
      </c>
      <c r="B162" t="s">
        <v>1937</v>
      </c>
      <c r="C162" s="6">
        <v>44357</v>
      </c>
      <c r="D162" t="str">
        <f t="shared" si="8"/>
        <v>Jun</v>
      </c>
      <c r="E162" t="str">
        <f t="shared" si="9"/>
        <v>2021</v>
      </c>
      <c r="F162" t="s">
        <v>5</v>
      </c>
      <c r="G162" t="s">
        <v>81</v>
      </c>
      <c r="H162" t="s">
        <v>697</v>
      </c>
      <c r="I162">
        <v>200</v>
      </c>
      <c r="J162">
        <v>14</v>
      </c>
      <c r="K162">
        <f t="shared" si="10"/>
        <v>7.0000000000000009</v>
      </c>
      <c r="L162" t="s">
        <v>1737</v>
      </c>
      <c r="M162" t="s">
        <v>3735</v>
      </c>
      <c r="N162" t="s">
        <v>1</v>
      </c>
      <c r="O162">
        <v>380015</v>
      </c>
      <c r="P162" t="s">
        <v>546</v>
      </c>
      <c r="Q162" t="s">
        <v>1774</v>
      </c>
      <c r="R162" t="s">
        <v>2</v>
      </c>
      <c r="S162">
        <v>5.98</v>
      </c>
      <c r="T162">
        <v>1</v>
      </c>
      <c r="U162">
        <v>0.1</v>
      </c>
      <c r="V162">
        <v>2.6909999999999998</v>
      </c>
      <c r="W162">
        <f t="shared" si="11"/>
        <v>3.2890000000000006</v>
      </c>
      <c r="X162">
        <v>2</v>
      </c>
    </row>
    <row r="163" spans="1:24" x14ac:dyDescent="0.3">
      <c r="A163">
        <v>162</v>
      </c>
      <c r="B163" t="s">
        <v>1938</v>
      </c>
      <c r="C163" s="6">
        <v>44358</v>
      </c>
      <c r="D163" t="str">
        <f t="shared" si="8"/>
        <v>Jun</v>
      </c>
      <c r="E163" t="str">
        <f t="shared" si="9"/>
        <v>2021</v>
      </c>
      <c r="F163" t="s">
        <v>3</v>
      </c>
      <c r="G163" t="s">
        <v>82</v>
      </c>
      <c r="H163" t="s">
        <v>698</v>
      </c>
      <c r="I163">
        <v>130</v>
      </c>
      <c r="J163">
        <v>24</v>
      </c>
      <c r="K163">
        <f t="shared" si="10"/>
        <v>18.461538461538463</v>
      </c>
      <c r="L163" t="s">
        <v>1743</v>
      </c>
      <c r="M163" t="s">
        <v>3736</v>
      </c>
      <c r="N163" t="s">
        <v>1</v>
      </c>
      <c r="O163">
        <v>380015</v>
      </c>
      <c r="P163" t="s">
        <v>546</v>
      </c>
      <c r="Q163" t="s">
        <v>1760</v>
      </c>
      <c r="R163" t="s">
        <v>2</v>
      </c>
      <c r="S163">
        <v>54.384</v>
      </c>
      <c r="T163">
        <v>2</v>
      </c>
      <c r="U163">
        <v>0.2</v>
      </c>
      <c r="V163">
        <v>1.3595999999999999</v>
      </c>
      <c r="W163">
        <f t="shared" si="11"/>
        <v>26.5122</v>
      </c>
      <c r="X163">
        <v>3</v>
      </c>
    </row>
    <row r="164" spans="1:24" x14ac:dyDescent="0.3">
      <c r="A164">
        <v>163</v>
      </c>
      <c r="B164" t="s">
        <v>1939</v>
      </c>
      <c r="C164" s="6">
        <v>44359</v>
      </c>
      <c r="D164" t="str">
        <f t="shared" si="8"/>
        <v>Jun</v>
      </c>
      <c r="E164" t="str">
        <f t="shared" si="9"/>
        <v>2021</v>
      </c>
      <c r="F164" t="s">
        <v>4</v>
      </c>
      <c r="G164" t="s">
        <v>83</v>
      </c>
      <c r="H164" t="s">
        <v>699</v>
      </c>
      <c r="I164">
        <v>240</v>
      </c>
      <c r="J164">
        <v>28</v>
      </c>
      <c r="K164">
        <f t="shared" si="10"/>
        <v>11.666666666666666</v>
      </c>
      <c r="L164" t="s">
        <v>1738</v>
      </c>
      <c r="M164" t="s">
        <v>3737</v>
      </c>
      <c r="N164" t="s">
        <v>1</v>
      </c>
      <c r="O164">
        <v>122017</v>
      </c>
      <c r="P164" t="s">
        <v>546</v>
      </c>
      <c r="Q164" t="s">
        <v>1776</v>
      </c>
      <c r="S164">
        <v>28.4</v>
      </c>
      <c r="T164">
        <v>5</v>
      </c>
      <c r="U164">
        <v>0.1</v>
      </c>
      <c r="V164">
        <v>13.348000000000001</v>
      </c>
      <c r="W164">
        <f t="shared" si="11"/>
        <v>3.0103999999999997</v>
      </c>
      <c r="X164">
        <v>5</v>
      </c>
    </row>
    <row r="165" spans="1:24" x14ac:dyDescent="0.3">
      <c r="A165">
        <v>164</v>
      </c>
      <c r="B165" t="s">
        <v>1940</v>
      </c>
      <c r="C165" s="6">
        <v>44360</v>
      </c>
      <c r="D165" t="str">
        <f t="shared" si="8"/>
        <v>Jun</v>
      </c>
      <c r="E165" t="str">
        <f t="shared" si="9"/>
        <v>2021</v>
      </c>
      <c r="F165" t="s">
        <v>4</v>
      </c>
      <c r="G165" t="s">
        <v>84</v>
      </c>
      <c r="H165" t="s">
        <v>700</v>
      </c>
      <c r="I165">
        <v>200</v>
      </c>
      <c r="J165">
        <v>6</v>
      </c>
      <c r="K165">
        <f t="shared" si="10"/>
        <v>3</v>
      </c>
      <c r="L165" t="s">
        <v>1739</v>
      </c>
      <c r="M165" t="s">
        <v>3682</v>
      </c>
      <c r="N165" t="s">
        <v>1</v>
      </c>
      <c r="O165">
        <v>560068</v>
      </c>
      <c r="P165" t="s">
        <v>546</v>
      </c>
      <c r="Q165" t="s">
        <v>1759</v>
      </c>
      <c r="R165" t="s">
        <v>2</v>
      </c>
      <c r="S165">
        <v>27.68</v>
      </c>
      <c r="T165">
        <v>2</v>
      </c>
      <c r="U165">
        <v>0.2</v>
      </c>
      <c r="V165">
        <v>9.6880000000000006</v>
      </c>
      <c r="W165">
        <f t="shared" si="11"/>
        <v>8.9959999999999987</v>
      </c>
      <c r="X165">
        <v>4</v>
      </c>
    </row>
    <row r="166" spans="1:24" x14ac:dyDescent="0.3">
      <c r="A166">
        <v>165</v>
      </c>
      <c r="B166" t="s">
        <v>1941</v>
      </c>
      <c r="C166" s="6">
        <v>44361</v>
      </c>
      <c r="D166" t="str">
        <f t="shared" si="8"/>
        <v>Jun</v>
      </c>
      <c r="E166" t="str">
        <f t="shared" si="9"/>
        <v>2021</v>
      </c>
      <c r="F166" t="s">
        <v>4</v>
      </c>
      <c r="G166" t="s">
        <v>85</v>
      </c>
      <c r="H166" t="s">
        <v>701</v>
      </c>
      <c r="I166">
        <v>190</v>
      </c>
      <c r="J166">
        <v>12</v>
      </c>
      <c r="K166">
        <f t="shared" si="10"/>
        <v>6.3157894736842106</v>
      </c>
      <c r="L166" t="s">
        <v>1741</v>
      </c>
      <c r="M166" t="s">
        <v>3738</v>
      </c>
      <c r="N166" t="s">
        <v>1</v>
      </c>
      <c r="O166">
        <v>500100</v>
      </c>
      <c r="P166" t="s">
        <v>546</v>
      </c>
      <c r="Q166" t="s">
        <v>1764</v>
      </c>
      <c r="S166">
        <v>9.9359999999999999</v>
      </c>
      <c r="T166">
        <v>3</v>
      </c>
      <c r="U166">
        <v>0.2</v>
      </c>
      <c r="V166">
        <v>2.7324000000000002</v>
      </c>
      <c r="W166">
        <f t="shared" si="11"/>
        <v>2.4011999999999998</v>
      </c>
      <c r="X166">
        <v>5</v>
      </c>
    </row>
    <row r="167" spans="1:24" x14ac:dyDescent="0.3">
      <c r="A167">
        <v>166</v>
      </c>
      <c r="B167" t="s">
        <v>1942</v>
      </c>
      <c r="C167" s="6">
        <v>44362</v>
      </c>
      <c r="D167" t="str">
        <f t="shared" si="8"/>
        <v>Jun</v>
      </c>
      <c r="E167" t="str">
        <f t="shared" si="9"/>
        <v>2021</v>
      </c>
      <c r="F167" t="s">
        <v>4</v>
      </c>
      <c r="G167" t="s">
        <v>85</v>
      </c>
      <c r="H167" t="s">
        <v>702</v>
      </c>
      <c r="I167">
        <v>100</v>
      </c>
      <c r="J167">
        <v>8</v>
      </c>
      <c r="K167">
        <f t="shared" si="10"/>
        <v>8</v>
      </c>
      <c r="L167" t="s">
        <v>1736</v>
      </c>
      <c r="M167" t="s">
        <v>3739</v>
      </c>
      <c r="N167" t="s">
        <v>1</v>
      </c>
      <c r="O167">
        <v>781006</v>
      </c>
      <c r="P167" t="s">
        <v>546</v>
      </c>
      <c r="Q167" t="s">
        <v>1767</v>
      </c>
      <c r="R167" t="s">
        <v>2</v>
      </c>
      <c r="S167">
        <v>8159.9520000000002</v>
      </c>
      <c r="T167">
        <v>8</v>
      </c>
      <c r="U167">
        <v>0.4</v>
      </c>
      <c r="V167">
        <v>-1359.992</v>
      </c>
      <c r="W167">
        <f t="shared" si="11"/>
        <v>1189.9929999999999</v>
      </c>
      <c r="X167">
        <v>5</v>
      </c>
    </row>
    <row r="168" spans="1:24" x14ac:dyDescent="0.3">
      <c r="A168">
        <v>167</v>
      </c>
      <c r="B168" t="s">
        <v>1943</v>
      </c>
      <c r="C168" s="6">
        <v>44363</v>
      </c>
      <c r="D168" t="str">
        <f t="shared" si="8"/>
        <v>Jun</v>
      </c>
      <c r="E168" t="str">
        <f t="shared" si="9"/>
        <v>2021</v>
      </c>
      <c r="F168" t="s">
        <v>4</v>
      </c>
      <c r="G168" t="s">
        <v>85</v>
      </c>
      <c r="H168" t="s">
        <v>703</v>
      </c>
      <c r="I168">
        <v>250</v>
      </c>
      <c r="J168">
        <v>16</v>
      </c>
      <c r="K168">
        <f t="shared" si="10"/>
        <v>6.4</v>
      </c>
      <c r="L168" t="s">
        <v>1744</v>
      </c>
      <c r="M168" t="s">
        <v>3585</v>
      </c>
      <c r="N168" t="s">
        <v>1</v>
      </c>
      <c r="O168">
        <v>431113</v>
      </c>
      <c r="P168" t="s">
        <v>546</v>
      </c>
      <c r="Q168" t="s">
        <v>1759</v>
      </c>
      <c r="S168">
        <v>275.928</v>
      </c>
      <c r="T168">
        <v>3</v>
      </c>
      <c r="U168">
        <v>0.2</v>
      </c>
      <c r="V168">
        <v>-58.634700000000002</v>
      </c>
      <c r="W168">
        <f t="shared" si="11"/>
        <v>111.5209</v>
      </c>
      <c r="X168">
        <v>1</v>
      </c>
    </row>
    <row r="169" spans="1:24" x14ac:dyDescent="0.3">
      <c r="A169">
        <v>168</v>
      </c>
      <c r="B169" t="s">
        <v>1944</v>
      </c>
      <c r="C169" s="6">
        <v>44364</v>
      </c>
      <c r="D169" t="str">
        <f t="shared" si="8"/>
        <v>Jun</v>
      </c>
      <c r="E169" t="str">
        <f t="shared" si="9"/>
        <v>2021</v>
      </c>
      <c r="F169" t="s">
        <v>4</v>
      </c>
      <c r="G169" t="s">
        <v>85</v>
      </c>
      <c r="H169" t="s">
        <v>704</v>
      </c>
      <c r="I169">
        <v>180</v>
      </c>
      <c r="J169">
        <v>20</v>
      </c>
      <c r="K169">
        <f t="shared" si="10"/>
        <v>11.111111111111111</v>
      </c>
      <c r="L169" t="s">
        <v>1740</v>
      </c>
      <c r="M169" t="s">
        <v>3740</v>
      </c>
      <c r="O169">
        <v>110092</v>
      </c>
      <c r="P169" t="s">
        <v>546</v>
      </c>
      <c r="Q169" t="s">
        <v>1769</v>
      </c>
      <c r="S169">
        <v>1740.06</v>
      </c>
      <c r="T169">
        <v>9</v>
      </c>
      <c r="U169">
        <v>0.3</v>
      </c>
      <c r="V169">
        <v>-24.858000000000001</v>
      </c>
      <c r="W169">
        <f t="shared" si="11"/>
        <v>196.10199999999998</v>
      </c>
      <c r="X169">
        <v>3</v>
      </c>
    </row>
    <row r="170" spans="1:24" x14ac:dyDescent="0.3">
      <c r="A170">
        <v>169</v>
      </c>
      <c r="B170" t="s">
        <v>1945</v>
      </c>
      <c r="C170" s="6">
        <v>44365</v>
      </c>
      <c r="D170" t="str">
        <f t="shared" si="8"/>
        <v>Jun</v>
      </c>
      <c r="E170" t="str">
        <f t="shared" si="9"/>
        <v>2021</v>
      </c>
      <c r="F170" t="s">
        <v>4</v>
      </c>
      <c r="G170" t="s">
        <v>85</v>
      </c>
      <c r="H170" t="s">
        <v>705</v>
      </c>
      <c r="I170">
        <v>190</v>
      </c>
      <c r="J170">
        <v>6</v>
      </c>
      <c r="K170">
        <f t="shared" si="10"/>
        <v>3.1578947368421053</v>
      </c>
      <c r="L170" t="s">
        <v>1742</v>
      </c>
      <c r="M170" t="s">
        <v>3741</v>
      </c>
      <c r="N170" t="s">
        <v>1</v>
      </c>
      <c r="O170">
        <v>500096</v>
      </c>
      <c r="P170" t="s">
        <v>546</v>
      </c>
      <c r="Q170" t="s">
        <v>1763</v>
      </c>
      <c r="S170">
        <v>32.064</v>
      </c>
      <c r="T170">
        <v>6</v>
      </c>
      <c r="U170">
        <v>0.2</v>
      </c>
      <c r="V170">
        <v>6.8136000000000001</v>
      </c>
      <c r="W170">
        <f t="shared" si="11"/>
        <v>4.2084000000000001</v>
      </c>
      <c r="X170">
        <v>4</v>
      </c>
    </row>
    <row r="171" spans="1:24" x14ac:dyDescent="0.3">
      <c r="A171">
        <v>170</v>
      </c>
      <c r="B171" t="s">
        <v>1946</v>
      </c>
      <c r="C171" s="6">
        <v>44366</v>
      </c>
      <c r="D171" t="str">
        <f t="shared" si="8"/>
        <v>Jun</v>
      </c>
      <c r="E171" t="str">
        <f t="shared" si="9"/>
        <v>2021</v>
      </c>
      <c r="F171" t="s">
        <v>4</v>
      </c>
      <c r="G171" t="s">
        <v>85</v>
      </c>
      <c r="H171" t="s">
        <v>706</v>
      </c>
      <c r="I171">
        <v>250</v>
      </c>
      <c r="J171">
        <v>12</v>
      </c>
      <c r="K171">
        <f t="shared" si="10"/>
        <v>4.8</v>
      </c>
      <c r="L171" t="s">
        <v>1739</v>
      </c>
      <c r="M171" t="s">
        <v>3588</v>
      </c>
      <c r="N171" t="s">
        <v>1</v>
      </c>
      <c r="O171">
        <v>403401</v>
      </c>
      <c r="P171" t="s">
        <v>546</v>
      </c>
      <c r="Q171" t="s">
        <v>1767</v>
      </c>
      <c r="S171">
        <v>177.98</v>
      </c>
      <c r="T171">
        <v>5</v>
      </c>
      <c r="U171">
        <v>0.8</v>
      </c>
      <c r="V171">
        <v>-453.84899999999999</v>
      </c>
      <c r="W171">
        <f t="shared" si="11"/>
        <v>126.36579999999999</v>
      </c>
      <c r="X171">
        <v>4</v>
      </c>
    </row>
    <row r="172" spans="1:24" x14ac:dyDescent="0.3">
      <c r="A172">
        <v>171</v>
      </c>
      <c r="B172" t="s">
        <v>1947</v>
      </c>
      <c r="C172" s="6">
        <v>44367</v>
      </c>
      <c r="D172" t="str">
        <f t="shared" si="8"/>
        <v>Jun</v>
      </c>
      <c r="E172" t="str">
        <f t="shared" si="9"/>
        <v>2021</v>
      </c>
      <c r="F172" t="s">
        <v>4</v>
      </c>
      <c r="G172" t="s">
        <v>85</v>
      </c>
      <c r="H172" t="s">
        <v>707</v>
      </c>
      <c r="I172">
        <v>220</v>
      </c>
      <c r="J172">
        <v>18</v>
      </c>
      <c r="K172">
        <f t="shared" si="10"/>
        <v>8.1818181818181817</v>
      </c>
      <c r="L172" t="s">
        <v>1738</v>
      </c>
      <c r="M172" t="s">
        <v>3638</v>
      </c>
      <c r="N172" t="s">
        <v>1</v>
      </c>
      <c r="O172">
        <v>311001</v>
      </c>
      <c r="P172" t="s">
        <v>546</v>
      </c>
      <c r="Q172" t="s">
        <v>1755</v>
      </c>
      <c r="S172">
        <v>143.976</v>
      </c>
      <c r="T172">
        <v>3</v>
      </c>
      <c r="U172">
        <v>0.2</v>
      </c>
      <c r="V172">
        <v>8.9984999999999999</v>
      </c>
      <c r="W172">
        <f t="shared" si="11"/>
        <v>44.9925</v>
      </c>
      <c r="X172">
        <v>3</v>
      </c>
    </row>
    <row r="173" spans="1:24" x14ac:dyDescent="0.3">
      <c r="A173">
        <v>172</v>
      </c>
      <c r="B173" t="s">
        <v>1948</v>
      </c>
      <c r="C173" s="6">
        <v>44368</v>
      </c>
      <c r="D173" t="str">
        <f t="shared" si="8"/>
        <v>Jun</v>
      </c>
      <c r="E173" t="str">
        <f t="shared" si="9"/>
        <v>2021</v>
      </c>
      <c r="F173" t="s">
        <v>4</v>
      </c>
      <c r="G173" t="s">
        <v>86</v>
      </c>
      <c r="H173" t="s">
        <v>708</v>
      </c>
      <c r="I173">
        <v>110</v>
      </c>
      <c r="J173">
        <v>22</v>
      </c>
      <c r="K173">
        <f t="shared" si="10"/>
        <v>20</v>
      </c>
      <c r="L173" t="s">
        <v>1743</v>
      </c>
      <c r="M173" t="s">
        <v>3742</v>
      </c>
      <c r="N173" t="s">
        <v>1</v>
      </c>
      <c r="O173">
        <v>781006</v>
      </c>
      <c r="P173" t="s">
        <v>546</v>
      </c>
      <c r="Q173" t="s">
        <v>1755</v>
      </c>
      <c r="S173">
        <v>20.94</v>
      </c>
      <c r="T173">
        <v>3</v>
      </c>
      <c r="U173">
        <v>0.1</v>
      </c>
      <c r="V173">
        <v>9.8417999999999992</v>
      </c>
      <c r="W173">
        <f t="shared" si="11"/>
        <v>3.6994000000000007</v>
      </c>
      <c r="X173">
        <v>2</v>
      </c>
    </row>
    <row r="174" spans="1:24" x14ac:dyDescent="0.3">
      <c r="A174">
        <v>173</v>
      </c>
      <c r="B174" t="s">
        <v>1949</v>
      </c>
      <c r="C174" s="6">
        <v>44369</v>
      </c>
      <c r="D174" t="str">
        <f t="shared" si="8"/>
        <v>Jun</v>
      </c>
      <c r="E174" t="str">
        <f t="shared" si="9"/>
        <v>2021</v>
      </c>
      <c r="F174" t="s">
        <v>4</v>
      </c>
      <c r="G174" t="s">
        <v>86</v>
      </c>
      <c r="H174" t="s">
        <v>709</v>
      </c>
      <c r="I174">
        <v>220</v>
      </c>
      <c r="J174">
        <v>22</v>
      </c>
      <c r="K174">
        <f t="shared" si="10"/>
        <v>10</v>
      </c>
      <c r="L174" t="s">
        <v>1737</v>
      </c>
      <c r="M174" t="s">
        <v>3743</v>
      </c>
      <c r="N174" t="s">
        <v>1</v>
      </c>
      <c r="O174">
        <v>380015</v>
      </c>
      <c r="P174" t="s">
        <v>546</v>
      </c>
      <c r="Q174" t="s">
        <v>1770</v>
      </c>
      <c r="S174">
        <v>110.96</v>
      </c>
      <c r="T174">
        <v>2</v>
      </c>
      <c r="U174">
        <v>0.1</v>
      </c>
      <c r="V174">
        <v>53.260800000000003</v>
      </c>
      <c r="W174">
        <f t="shared" si="11"/>
        <v>28.849599999999995</v>
      </c>
      <c r="X174">
        <v>1</v>
      </c>
    </row>
    <row r="175" spans="1:24" x14ac:dyDescent="0.3">
      <c r="A175">
        <v>174</v>
      </c>
      <c r="B175" t="s">
        <v>1950</v>
      </c>
      <c r="C175" s="6">
        <v>44370</v>
      </c>
      <c r="D175" t="str">
        <f t="shared" si="8"/>
        <v>Jun</v>
      </c>
      <c r="E175" t="str">
        <f t="shared" si="9"/>
        <v>2021</v>
      </c>
      <c r="F175" t="s">
        <v>4</v>
      </c>
      <c r="G175" t="s">
        <v>86</v>
      </c>
      <c r="H175" t="s">
        <v>710</v>
      </c>
      <c r="I175">
        <v>230</v>
      </c>
      <c r="J175">
        <v>22</v>
      </c>
      <c r="K175">
        <f t="shared" si="10"/>
        <v>9.5652173913043477</v>
      </c>
      <c r="L175" t="s">
        <v>1741</v>
      </c>
      <c r="M175" t="s">
        <v>3744</v>
      </c>
      <c r="N175" t="s">
        <v>1</v>
      </c>
      <c r="O175">
        <v>400610</v>
      </c>
      <c r="P175" t="s">
        <v>546</v>
      </c>
      <c r="Q175" t="s">
        <v>1755</v>
      </c>
      <c r="R175" t="s">
        <v>2</v>
      </c>
      <c r="S175">
        <v>340.14400000000001</v>
      </c>
      <c r="T175">
        <v>7</v>
      </c>
      <c r="U175">
        <v>0.2</v>
      </c>
      <c r="V175">
        <v>21.259</v>
      </c>
      <c r="W175">
        <f t="shared" si="11"/>
        <v>45.555</v>
      </c>
      <c r="X175">
        <v>2</v>
      </c>
    </row>
    <row r="176" spans="1:24" x14ac:dyDescent="0.3">
      <c r="A176">
        <v>175</v>
      </c>
      <c r="B176" t="s">
        <v>1951</v>
      </c>
      <c r="C176" s="6">
        <v>44371</v>
      </c>
      <c r="D176" t="str">
        <f t="shared" si="8"/>
        <v>Jun</v>
      </c>
      <c r="E176" t="str">
        <f t="shared" si="9"/>
        <v>2021</v>
      </c>
      <c r="F176" t="s">
        <v>4</v>
      </c>
      <c r="G176" t="s">
        <v>87</v>
      </c>
      <c r="H176" t="s">
        <v>711</v>
      </c>
      <c r="I176">
        <v>240</v>
      </c>
      <c r="J176">
        <v>14</v>
      </c>
      <c r="K176">
        <f t="shared" si="10"/>
        <v>5.833333333333333</v>
      </c>
      <c r="L176" t="s">
        <v>1736</v>
      </c>
      <c r="M176" t="s">
        <v>3745</v>
      </c>
      <c r="N176" t="s">
        <v>1</v>
      </c>
      <c r="O176">
        <v>440022</v>
      </c>
      <c r="P176" t="s">
        <v>546</v>
      </c>
      <c r="Q176" t="s">
        <v>1755</v>
      </c>
      <c r="R176" t="s">
        <v>2</v>
      </c>
      <c r="S176">
        <v>52.448</v>
      </c>
      <c r="T176">
        <v>2</v>
      </c>
      <c r="U176">
        <v>0.8</v>
      </c>
      <c r="V176">
        <v>-131.12</v>
      </c>
      <c r="W176">
        <f t="shared" si="11"/>
        <v>91.784000000000006</v>
      </c>
      <c r="X176">
        <v>5</v>
      </c>
    </row>
    <row r="177" spans="1:24" x14ac:dyDescent="0.3">
      <c r="A177">
        <v>176</v>
      </c>
      <c r="B177" t="s">
        <v>1952</v>
      </c>
      <c r="C177" s="6">
        <v>44372</v>
      </c>
      <c r="D177" t="str">
        <f t="shared" si="8"/>
        <v>Jun</v>
      </c>
      <c r="E177" t="str">
        <f t="shared" si="9"/>
        <v>2021</v>
      </c>
      <c r="F177" t="s">
        <v>4</v>
      </c>
      <c r="G177" t="s">
        <v>87</v>
      </c>
      <c r="H177" t="s">
        <v>712</v>
      </c>
      <c r="I177">
        <v>130</v>
      </c>
      <c r="J177">
        <v>20</v>
      </c>
      <c r="K177">
        <f t="shared" si="10"/>
        <v>15.384615384615385</v>
      </c>
      <c r="L177" t="s">
        <v>1744</v>
      </c>
      <c r="M177" t="s">
        <v>3746</v>
      </c>
      <c r="N177" t="s">
        <v>1</v>
      </c>
      <c r="O177">
        <v>380054</v>
      </c>
      <c r="P177" t="s">
        <v>546</v>
      </c>
      <c r="Q177" t="s">
        <v>1773</v>
      </c>
      <c r="S177">
        <v>20.16</v>
      </c>
      <c r="T177">
        <v>4</v>
      </c>
      <c r="U177">
        <v>0.2</v>
      </c>
      <c r="V177">
        <v>6.5519999999999996</v>
      </c>
      <c r="W177">
        <f t="shared" si="11"/>
        <v>3.4020000000000001</v>
      </c>
      <c r="X177">
        <v>3</v>
      </c>
    </row>
    <row r="178" spans="1:24" x14ac:dyDescent="0.3">
      <c r="A178">
        <v>177</v>
      </c>
      <c r="B178" t="s">
        <v>1953</v>
      </c>
      <c r="C178" s="6">
        <v>44373</v>
      </c>
      <c r="D178" t="str">
        <f t="shared" si="8"/>
        <v>Jun</v>
      </c>
      <c r="E178" t="str">
        <f t="shared" si="9"/>
        <v>2021</v>
      </c>
      <c r="F178" t="s">
        <v>3</v>
      </c>
      <c r="G178" t="s">
        <v>88</v>
      </c>
      <c r="H178" t="s">
        <v>713</v>
      </c>
      <c r="I178">
        <v>190</v>
      </c>
      <c r="J178">
        <v>28</v>
      </c>
      <c r="K178">
        <f t="shared" si="10"/>
        <v>14.736842105263156</v>
      </c>
      <c r="L178" t="s">
        <v>1740</v>
      </c>
      <c r="M178" t="s">
        <v>3586</v>
      </c>
      <c r="N178" t="s">
        <v>1</v>
      </c>
      <c r="O178">
        <v>201309</v>
      </c>
      <c r="P178" t="s">
        <v>546</v>
      </c>
      <c r="Q178" t="s">
        <v>1759</v>
      </c>
      <c r="S178">
        <v>97.263999999999996</v>
      </c>
      <c r="T178">
        <v>4</v>
      </c>
      <c r="U178">
        <v>0.8</v>
      </c>
      <c r="V178">
        <v>-243.16</v>
      </c>
      <c r="W178">
        <f t="shared" si="11"/>
        <v>85.105999999999995</v>
      </c>
      <c r="X178">
        <v>5</v>
      </c>
    </row>
    <row r="179" spans="1:24" x14ac:dyDescent="0.3">
      <c r="A179">
        <v>178</v>
      </c>
      <c r="B179" t="s">
        <v>1954</v>
      </c>
      <c r="C179" s="6">
        <v>44374</v>
      </c>
      <c r="D179" t="str">
        <f t="shared" si="8"/>
        <v>Jun</v>
      </c>
      <c r="E179" t="str">
        <f t="shared" si="9"/>
        <v>2021</v>
      </c>
      <c r="F179" t="s">
        <v>3</v>
      </c>
      <c r="G179" t="s">
        <v>39</v>
      </c>
      <c r="H179" t="s">
        <v>714</v>
      </c>
      <c r="I179">
        <v>240</v>
      </c>
      <c r="J179">
        <v>24</v>
      </c>
      <c r="K179">
        <f t="shared" si="10"/>
        <v>10</v>
      </c>
      <c r="L179" t="s">
        <v>1742</v>
      </c>
      <c r="M179" t="s">
        <v>3676</v>
      </c>
      <c r="N179" t="s">
        <v>1</v>
      </c>
      <c r="O179">
        <v>411048</v>
      </c>
      <c r="P179" t="s">
        <v>546</v>
      </c>
      <c r="Q179" t="s">
        <v>1768</v>
      </c>
      <c r="R179" t="s">
        <v>2</v>
      </c>
      <c r="S179">
        <v>396.80200000000002</v>
      </c>
      <c r="T179">
        <v>7</v>
      </c>
      <c r="U179">
        <v>0.3</v>
      </c>
      <c r="V179">
        <v>-11.337199999999999</v>
      </c>
      <c r="W179">
        <f t="shared" si="11"/>
        <v>58.305600000000005</v>
      </c>
      <c r="X179">
        <v>3</v>
      </c>
    </row>
    <row r="180" spans="1:24" x14ac:dyDescent="0.3">
      <c r="A180">
        <v>179</v>
      </c>
      <c r="B180" t="s">
        <v>1955</v>
      </c>
      <c r="C180" s="6">
        <v>44375</v>
      </c>
      <c r="D180" t="str">
        <f t="shared" si="8"/>
        <v>Jun</v>
      </c>
      <c r="E180" t="str">
        <f t="shared" si="9"/>
        <v>2021</v>
      </c>
      <c r="F180" t="s">
        <v>3</v>
      </c>
      <c r="G180" t="s">
        <v>39</v>
      </c>
      <c r="H180" t="s">
        <v>715</v>
      </c>
      <c r="I180">
        <v>150</v>
      </c>
      <c r="J180">
        <v>26</v>
      </c>
      <c r="K180">
        <f t="shared" si="10"/>
        <v>17.333333333333336</v>
      </c>
      <c r="L180" t="s">
        <v>1739</v>
      </c>
      <c r="M180" t="s">
        <v>3657</v>
      </c>
      <c r="O180">
        <v>122102</v>
      </c>
      <c r="P180" t="s">
        <v>546</v>
      </c>
      <c r="Q180" t="s">
        <v>1761</v>
      </c>
      <c r="S180">
        <v>15.88</v>
      </c>
      <c r="T180">
        <v>5</v>
      </c>
      <c r="U180">
        <v>0.2</v>
      </c>
      <c r="V180">
        <v>-3.7715000000000001</v>
      </c>
      <c r="W180">
        <f t="shared" si="11"/>
        <v>3.9303000000000003</v>
      </c>
      <c r="X180">
        <v>1</v>
      </c>
    </row>
    <row r="181" spans="1:24" x14ac:dyDescent="0.3">
      <c r="A181">
        <v>180</v>
      </c>
      <c r="B181" t="s">
        <v>1956</v>
      </c>
      <c r="C181" s="6">
        <v>44376</v>
      </c>
      <c r="D181" t="str">
        <f t="shared" si="8"/>
        <v>Jun</v>
      </c>
      <c r="E181" t="str">
        <f t="shared" si="9"/>
        <v>2021</v>
      </c>
      <c r="F181" t="s">
        <v>4</v>
      </c>
      <c r="G181" t="s">
        <v>89</v>
      </c>
      <c r="H181" t="s">
        <v>716</v>
      </c>
      <c r="I181">
        <v>200</v>
      </c>
      <c r="J181">
        <v>30</v>
      </c>
      <c r="K181">
        <f t="shared" si="10"/>
        <v>15</v>
      </c>
      <c r="L181" t="s">
        <v>1738</v>
      </c>
      <c r="M181" t="s">
        <v>3618</v>
      </c>
      <c r="N181" t="s">
        <v>1</v>
      </c>
      <c r="O181">
        <v>560077</v>
      </c>
      <c r="P181" t="s">
        <v>546</v>
      </c>
      <c r="Q181" t="s">
        <v>1761</v>
      </c>
      <c r="S181">
        <v>3.28</v>
      </c>
      <c r="T181">
        <v>1</v>
      </c>
      <c r="U181">
        <v>0.1</v>
      </c>
      <c r="V181">
        <v>1.4104000000000001</v>
      </c>
      <c r="W181">
        <f t="shared" si="11"/>
        <v>1.8695999999999997</v>
      </c>
      <c r="X181">
        <v>3</v>
      </c>
    </row>
    <row r="182" spans="1:24" x14ac:dyDescent="0.3">
      <c r="A182">
        <v>181</v>
      </c>
      <c r="B182" t="s">
        <v>1957</v>
      </c>
      <c r="C182" s="6">
        <v>44377</v>
      </c>
      <c r="D182" t="str">
        <f t="shared" si="8"/>
        <v>Jun</v>
      </c>
      <c r="E182" t="str">
        <f t="shared" si="9"/>
        <v>2021</v>
      </c>
      <c r="F182" t="s">
        <v>3</v>
      </c>
      <c r="G182" t="s">
        <v>90</v>
      </c>
      <c r="H182" t="s">
        <v>717</v>
      </c>
      <c r="I182">
        <v>160</v>
      </c>
      <c r="J182">
        <v>24</v>
      </c>
      <c r="K182">
        <f t="shared" si="10"/>
        <v>15</v>
      </c>
      <c r="L182" t="s">
        <v>1737</v>
      </c>
      <c r="M182" t="s">
        <v>3579</v>
      </c>
      <c r="N182" t="s">
        <v>1</v>
      </c>
      <c r="O182">
        <v>560075</v>
      </c>
      <c r="P182" t="s">
        <v>546</v>
      </c>
      <c r="Q182" t="s">
        <v>1755</v>
      </c>
      <c r="S182">
        <v>24.815999999999999</v>
      </c>
      <c r="T182">
        <v>2</v>
      </c>
      <c r="U182">
        <v>0.2</v>
      </c>
      <c r="V182">
        <v>1.8612</v>
      </c>
      <c r="W182">
        <f t="shared" si="11"/>
        <v>11.477399999999999</v>
      </c>
      <c r="X182">
        <v>1</v>
      </c>
    </row>
    <row r="183" spans="1:24" x14ac:dyDescent="0.3">
      <c r="A183">
        <v>182</v>
      </c>
      <c r="B183" t="s">
        <v>1958</v>
      </c>
      <c r="C183" s="6">
        <v>44378</v>
      </c>
      <c r="D183" t="str">
        <f t="shared" si="8"/>
        <v>Jul</v>
      </c>
      <c r="E183" t="str">
        <f t="shared" si="9"/>
        <v>2021</v>
      </c>
      <c r="F183" t="s">
        <v>3</v>
      </c>
      <c r="G183" t="s">
        <v>90</v>
      </c>
      <c r="H183" t="s">
        <v>718</v>
      </c>
      <c r="I183">
        <v>170</v>
      </c>
      <c r="J183">
        <v>8</v>
      </c>
      <c r="K183">
        <f t="shared" si="10"/>
        <v>4.7058823529411766</v>
      </c>
      <c r="L183" t="s">
        <v>1743</v>
      </c>
      <c r="M183" t="s">
        <v>3580</v>
      </c>
      <c r="N183" t="s">
        <v>1</v>
      </c>
      <c r="O183">
        <v>690109</v>
      </c>
      <c r="P183" t="s">
        <v>546</v>
      </c>
      <c r="Q183" t="s">
        <v>1772</v>
      </c>
      <c r="S183">
        <v>408.74400000000003</v>
      </c>
      <c r="T183">
        <v>7</v>
      </c>
      <c r="U183">
        <v>0.2</v>
      </c>
      <c r="V183">
        <v>76.639499999999998</v>
      </c>
      <c r="W183">
        <f t="shared" si="11"/>
        <v>47.443500000000007</v>
      </c>
      <c r="X183">
        <v>2</v>
      </c>
    </row>
    <row r="184" spans="1:24" x14ac:dyDescent="0.3">
      <c r="A184">
        <v>183</v>
      </c>
      <c r="B184" t="s">
        <v>1959</v>
      </c>
      <c r="C184" s="6">
        <v>44379</v>
      </c>
      <c r="D184" t="str">
        <f t="shared" si="8"/>
        <v>Jul</v>
      </c>
      <c r="E184" t="str">
        <f t="shared" si="9"/>
        <v>2021</v>
      </c>
      <c r="F184" t="s">
        <v>3</v>
      </c>
      <c r="G184" t="s">
        <v>91</v>
      </c>
      <c r="H184" t="s">
        <v>719</v>
      </c>
      <c r="I184">
        <v>230</v>
      </c>
      <c r="J184">
        <v>6</v>
      </c>
      <c r="K184">
        <f t="shared" si="10"/>
        <v>2.6086956521739131</v>
      </c>
      <c r="L184" t="s">
        <v>1739</v>
      </c>
      <c r="M184" t="s">
        <v>3581</v>
      </c>
      <c r="N184" t="s">
        <v>1</v>
      </c>
      <c r="O184">
        <v>224001</v>
      </c>
      <c r="P184" t="s">
        <v>546</v>
      </c>
      <c r="Q184" t="s">
        <v>1769</v>
      </c>
      <c r="S184">
        <v>503.96</v>
      </c>
      <c r="T184">
        <v>4</v>
      </c>
      <c r="U184">
        <v>0.1</v>
      </c>
      <c r="V184">
        <v>131.02959999999999</v>
      </c>
      <c r="W184">
        <f t="shared" si="11"/>
        <v>93.232599999999991</v>
      </c>
      <c r="X184">
        <v>3</v>
      </c>
    </row>
    <row r="185" spans="1:24" x14ac:dyDescent="0.3">
      <c r="A185">
        <v>184</v>
      </c>
      <c r="B185" t="s">
        <v>1960</v>
      </c>
      <c r="C185" s="6">
        <v>44380</v>
      </c>
      <c r="D185" t="str">
        <f t="shared" si="8"/>
        <v>Jul</v>
      </c>
      <c r="E185" t="str">
        <f t="shared" si="9"/>
        <v>2021</v>
      </c>
      <c r="F185" t="s">
        <v>3</v>
      </c>
      <c r="G185" t="s">
        <v>91</v>
      </c>
      <c r="H185" t="s">
        <v>720</v>
      </c>
      <c r="I185">
        <v>170</v>
      </c>
      <c r="J185">
        <v>20</v>
      </c>
      <c r="K185">
        <f t="shared" si="10"/>
        <v>11.76470588235294</v>
      </c>
      <c r="L185" t="s">
        <v>1736</v>
      </c>
      <c r="M185" t="s">
        <v>3582</v>
      </c>
      <c r="N185" t="s">
        <v>1</v>
      </c>
      <c r="O185">
        <v>600115</v>
      </c>
      <c r="P185" t="s">
        <v>546</v>
      </c>
      <c r="Q185" t="s">
        <v>1767</v>
      </c>
      <c r="R185" t="s">
        <v>2</v>
      </c>
      <c r="S185">
        <v>149.94999999999999</v>
      </c>
      <c r="T185">
        <v>5</v>
      </c>
      <c r="U185">
        <v>0.1</v>
      </c>
      <c r="V185">
        <v>41.985999999999997</v>
      </c>
      <c r="W185">
        <f t="shared" si="11"/>
        <v>21.5928</v>
      </c>
      <c r="X185">
        <v>3</v>
      </c>
    </row>
    <row r="186" spans="1:24" x14ac:dyDescent="0.3">
      <c r="A186">
        <v>185</v>
      </c>
      <c r="B186" t="s">
        <v>1961</v>
      </c>
      <c r="C186" s="6">
        <v>44381</v>
      </c>
      <c r="D186" t="str">
        <f t="shared" si="8"/>
        <v>Jul</v>
      </c>
      <c r="E186" t="str">
        <f t="shared" si="9"/>
        <v>2021</v>
      </c>
      <c r="F186" t="s">
        <v>3</v>
      </c>
      <c r="G186" t="s">
        <v>91</v>
      </c>
      <c r="H186" t="s">
        <v>721</v>
      </c>
      <c r="I186">
        <v>240</v>
      </c>
      <c r="J186">
        <v>18</v>
      </c>
      <c r="K186">
        <f t="shared" si="10"/>
        <v>7.5</v>
      </c>
      <c r="L186" t="s">
        <v>1738</v>
      </c>
      <c r="M186" t="s">
        <v>3583</v>
      </c>
      <c r="N186" t="s">
        <v>1</v>
      </c>
      <c r="O186">
        <v>686006</v>
      </c>
      <c r="P186" t="s">
        <v>546</v>
      </c>
      <c r="Q186" t="s">
        <v>1759</v>
      </c>
      <c r="S186">
        <v>29</v>
      </c>
      <c r="T186">
        <v>2</v>
      </c>
      <c r="U186">
        <v>0.1</v>
      </c>
      <c r="V186">
        <v>7.25</v>
      </c>
      <c r="W186">
        <f t="shared" si="11"/>
        <v>10.875</v>
      </c>
      <c r="X186">
        <v>5</v>
      </c>
    </row>
    <row r="187" spans="1:24" x14ac:dyDescent="0.3">
      <c r="A187">
        <v>186</v>
      </c>
      <c r="B187" t="s">
        <v>1962</v>
      </c>
      <c r="C187" s="6">
        <v>44382</v>
      </c>
      <c r="D187" t="str">
        <f t="shared" si="8"/>
        <v>Jul</v>
      </c>
      <c r="E187" t="str">
        <f t="shared" si="9"/>
        <v>2021</v>
      </c>
      <c r="F187" t="s">
        <v>4</v>
      </c>
      <c r="G187" t="s">
        <v>92</v>
      </c>
      <c r="H187" t="s">
        <v>722</v>
      </c>
      <c r="I187">
        <v>210</v>
      </c>
      <c r="J187">
        <v>20</v>
      </c>
      <c r="K187">
        <f t="shared" si="10"/>
        <v>9.5238095238095237</v>
      </c>
      <c r="L187" t="s">
        <v>1741</v>
      </c>
      <c r="M187" t="s">
        <v>3584</v>
      </c>
      <c r="N187" t="s">
        <v>1</v>
      </c>
      <c r="O187">
        <v>400018</v>
      </c>
      <c r="P187" t="s">
        <v>546</v>
      </c>
      <c r="Q187" t="s">
        <v>1759</v>
      </c>
      <c r="S187">
        <v>7.16</v>
      </c>
      <c r="T187">
        <v>2</v>
      </c>
      <c r="U187">
        <v>0.1</v>
      </c>
      <c r="V187">
        <v>3.4367999999999999</v>
      </c>
      <c r="W187">
        <f t="shared" si="11"/>
        <v>1.8616000000000001</v>
      </c>
      <c r="X187">
        <v>2</v>
      </c>
    </row>
    <row r="188" spans="1:24" x14ac:dyDescent="0.3">
      <c r="A188">
        <v>187</v>
      </c>
      <c r="B188" t="s">
        <v>1963</v>
      </c>
      <c r="C188" s="6">
        <v>44383</v>
      </c>
      <c r="D188" t="str">
        <f t="shared" si="8"/>
        <v>Jul</v>
      </c>
      <c r="E188" t="str">
        <f t="shared" si="9"/>
        <v>2021</v>
      </c>
      <c r="F188" t="s">
        <v>4</v>
      </c>
      <c r="G188" t="s">
        <v>93</v>
      </c>
      <c r="H188" t="s">
        <v>723</v>
      </c>
      <c r="I188">
        <v>200</v>
      </c>
      <c r="J188">
        <v>22</v>
      </c>
      <c r="K188">
        <f t="shared" si="10"/>
        <v>11</v>
      </c>
      <c r="L188" t="s">
        <v>1744</v>
      </c>
      <c r="M188" t="s">
        <v>3585</v>
      </c>
      <c r="O188">
        <v>500010</v>
      </c>
      <c r="P188" t="s">
        <v>546</v>
      </c>
      <c r="Q188" t="s">
        <v>1763</v>
      </c>
      <c r="S188">
        <v>176.8</v>
      </c>
      <c r="T188">
        <v>8</v>
      </c>
      <c r="U188">
        <v>0.1</v>
      </c>
      <c r="V188">
        <v>22.984000000000002</v>
      </c>
      <c r="W188">
        <f t="shared" si="11"/>
        <v>19.227</v>
      </c>
      <c r="X188">
        <v>1</v>
      </c>
    </row>
    <row r="189" spans="1:24" x14ac:dyDescent="0.3">
      <c r="A189">
        <v>188</v>
      </c>
      <c r="B189" t="s">
        <v>1964</v>
      </c>
      <c r="C189" s="6">
        <v>44384</v>
      </c>
      <c r="D189" t="str">
        <f t="shared" si="8"/>
        <v>Jul</v>
      </c>
      <c r="E189" t="str">
        <f t="shared" si="9"/>
        <v>2021</v>
      </c>
      <c r="F189" t="s">
        <v>4</v>
      </c>
      <c r="G189" t="s">
        <v>94</v>
      </c>
      <c r="H189" t="s">
        <v>724</v>
      </c>
      <c r="I189">
        <v>160</v>
      </c>
      <c r="J189">
        <v>28</v>
      </c>
      <c r="K189">
        <f t="shared" si="10"/>
        <v>17.5</v>
      </c>
      <c r="L189" t="s">
        <v>1740</v>
      </c>
      <c r="M189" t="s">
        <v>3586</v>
      </c>
      <c r="O189">
        <v>445202</v>
      </c>
      <c r="P189" t="s">
        <v>546</v>
      </c>
      <c r="Q189" t="s">
        <v>1773</v>
      </c>
      <c r="S189">
        <v>37.223999999999997</v>
      </c>
      <c r="T189">
        <v>3</v>
      </c>
      <c r="U189">
        <v>0.2</v>
      </c>
      <c r="V189">
        <v>3.7223999999999999</v>
      </c>
      <c r="W189">
        <f t="shared" si="11"/>
        <v>11.167199999999999</v>
      </c>
      <c r="X189">
        <v>3</v>
      </c>
    </row>
    <row r="190" spans="1:24" x14ac:dyDescent="0.3">
      <c r="A190">
        <v>189</v>
      </c>
      <c r="B190" t="s">
        <v>1965</v>
      </c>
      <c r="C190" s="6">
        <v>44385</v>
      </c>
      <c r="D190" t="str">
        <f t="shared" si="8"/>
        <v>Jul</v>
      </c>
      <c r="E190" t="str">
        <f t="shared" si="9"/>
        <v>2021</v>
      </c>
      <c r="F190" t="s">
        <v>4</v>
      </c>
      <c r="G190" t="s">
        <v>94</v>
      </c>
      <c r="H190" t="s">
        <v>691</v>
      </c>
      <c r="I190">
        <v>230</v>
      </c>
      <c r="J190">
        <v>16</v>
      </c>
      <c r="K190">
        <f t="shared" si="10"/>
        <v>6.9565217391304346</v>
      </c>
      <c r="L190" t="s">
        <v>1742</v>
      </c>
      <c r="M190" t="s">
        <v>3587</v>
      </c>
      <c r="N190" t="s">
        <v>1</v>
      </c>
      <c r="O190">
        <v>445202</v>
      </c>
      <c r="P190" t="s">
        <v>546</v>
      </c>
      <c r="Q190" t="s">
        <v>1770</v>
      </c>
      <c r="R190" t="s">
        <v>2</v>
      </c>
      <c r="S190">
        <v>20.015999999999998</v>
      </c>
      <c r="T190">
        <v>3</v>
      </c>
      <c r="U190">
        <v>0.2</v>
      </c>
      <c r="V190">
        <v>6.2549999999999999</v>
      </c>
      <c r="W190">
        <f t="shared" si="11"/>
        <v>4.5869999999999997</v>
      </c>
      <c r="X190">
        <v>5</v>
      </c>
    </row>
    <row r="191" spans="1:24" x14ac:dyDescent="0.3">
      <c r="A191">
        <v>190</v>
      </c>
      <c r="B191" t="s">
        <v>1966</v>
      </c>
      <c r="C191" s="6">
        <v>44386</v>
      </c>
      <c r="D191" t="str">
        <f t="shared" si="8"/>
        <v>Jul</v>
      </c>
      <c r="E191" t="str">
        <f t="shared" si="9"/>
        <v>2021</v>
      </c>
      <c r="F191" t="s">
        <v>5</v>
      </c>
      <c r="G191" t="s">
        <v>95</v>
      </c>
      <c r="H191" t="s">
        <v>725</v>
      </c>
      <c r="I191">
        <v>130</v>
      </c>
      <c r="J191">
        <v>8</v>
      </c>
      <c r="K191">
        <f t="shared" si="10"/>
        <v>6.1538461538461542</v>
      </c>
      <c r="L191" t="s">
        <v>1739</v>
      </c>
      <c r="M191" t="s">
        <v>3588</v>
      </c>
      <c r="N191" t="s">
        <v>1</v>
      </c>
      <c r="O191">
        <v>500035</v>
      </c>
      <c r="P191" t="s">
        <v>546</v>
      </c>
      <c r="Q191" t="s">
        <v>1755</v>
      </c>
      <c r="S191">
        <v>899.13599999999997</v>
      </c>
      <c r="T191">
        <v>4</v>
      </c>
      <c r="U191">
        <v>0.2</v>
      </c>
      <c r="V191">
        <v>112.392</v>
      </c>
      <c r="W191">
        <f t="shared" si="11"/>
        <v>196.68599999999998</v>
      </c>
      <c r="X191">
        <v>2</v>
      </c>
    </row>
    <row r="192" spans="1:24" x14ac:dyDescent="0.3">
      <c r="A192">
        <v>191</v>
      </c>
      <c r="B192" t="s">
        <v>1967</v>
      </c>
      <c r="C192" s="6">
        <v>44387</v>
      </c>
      <c r="D192" t="str">
        <f t="shared" si="8"/>
        <v>Jul</v>
      </c>
      <c r="E192" t="str">
        <f t="shared" si="9"/>
        <v>2021</v>
      </c>
      <c r="F192" t="s">
        <v>5</v>
      </c>
      <c r="G192" t="s">
        <v>95</v>
      </c>
      <c r="H192" t="s">
        <v>726</v>
      </c>
      <c r="I192">
        <v>190</v>
      </c>
      <c r="J192">
        <v>26</v>
      </c>
      <c r="K192">
        <f t="shared" si="10"/>
        <v>13.684210526315791</v>
      </c>
      <c r="L192" t="s">
        <v>1738</v>
      </c>
      <c r="M192" t="s">
        <v>3589</v>
      </c>
      <c r="N192" t="s">
        <v>1</v>
      </c>
      <c r="O192">
        <v>422009</v>
      </c>
      <c r="P192" t="s">
        <v>546</v>
      </c>
      <c r="Q192" t="s">
        <v>1761</v>
      </c>
      <c r="S192">
        <v>71.760000000000005</v>
      </c>
      <c r="T192">
        <v>6</v>
      </c>
      <c r="U192">
        <v>0.1</v>
      </c>
      <c r="V192">
        <v>20.0928</v>
      </c>
      <c r="W192">
        <f t="shared" si="11"/>
        <v>8.611200000000002</v>
      </c>
      <c r="X192">
        <v>3</v>
      </c>
    </row>
    <row r="193" spans="1:24" x14ac:dyDescent="0.3">
      <c r="A193">
        <v>192</v>
      </c>
      <c r="B193" t="s">
        <v>1968</v>
      </c>
      <c r="C193" s="6">
        <v>44388</v>
      </c>
      <c r="D193" t="str">
        <f t="shared" si="8"/>
        <v>Jul</v>
      </c>
      <c r="E193" t="str">
        <f t="shared" si="9"/>
        <v>2021</v>
      </c>
      <c r="F193" t="s">
        <v>5</v>
      </c>
      <c r="G193" t="s">
        <v>95</v>
      </c>
      <c r="H193" t="s">
        <v>727</v>
      </c>
      <c r="I193">
        <v>200</v>
      </c>
      <c r="J193">
        <v>6</v>
      </c>
      <c r="K193">
        <f t="shared" si="10"/>
        <v>3</v>
      </c>
      <c r="L193" t="s">
        <v>1743</v>
      </c>
      <c r="M193" t="s">
        <v>3590</v>
      </c>
      <c r="O193">
        <v>560037</v>
      </c>
      <c r="P193" t="s">
        <v>546</v>
      </c>
      <c r="Q193" t="s">
        <v>1761</v>
      </c>
      <c r="S193">
        <v>51.84</v>
      </c>
      <c r="T193">
        <v>8</v>
      </c>
      <c r="U193">
        <v>0.1</v>
      </c>
      <c r="V193">
        <v>24.883199999999999</v>
      </c>
      <c r="W193">
        <f t="shared" si="11"/>
        <v>3.3696000000000006</v>
      </c>
      <c r="X193">
        <v>3</v>
      </c>
    </row>
    <row r="194" spans="1:24" x14ac:dyDescent="0.3">
      <c r="A194">
        <v>193</v>
      </c>
      <c r="B194" t="s">
        <v>1969</v>
      </c>
      <c r="C194" s="6">
        <v>44389</v>
      </c>
      <c r="D194" t="str">
        <f t="shared" si="8"/>
        <v>Jul</v>
      </c>
      <c r="E194" t="str">
        <f t="shared" si="9"/>
        <v>2021</v>
      </c>
      <c r="F194" t="s">
        <v>5</v>
      </c>
      <c r="G194" t="s">
        <v>95</v>
      </c>
      <c r="H194" t="s">
        <v>584</v>
      </c>
      <c r="I194">
        <v>160</v>
      </c>
      <c r="J194">
        <v>24</v>
      </c>
      <c r="K194">
        <f t="shared" si="10"/>
        <v>15</v>
      </c>
      <c r="L194" t="s">
        <v>1741</v>
      </c>
      <c r="M194" t="s">
        <v>3591</v>
      </c>
      <c r="N194" t="s">
        <v>1</v>
      </c>
      <c r="O194">
        <v>600010</v>
      </c>
      <c r="P194" t="s">
        <v>546</v>
      </c>
      <c r="Q194" t="s">
        <v>1760</v>
      </c>
      <c r="S194">
        <v>626.35199999999998</v>
      </c>
      <c r="T194">
        <v>3</v>
      </c>
      <c r="U194">
        <v>0.2</v>
      </c>
      <c r="V194">
        <v>46.976399999999998</v>
      </c>
      <c r="W194">
        <f t="shared" si="11"/>
        <v>193.12519999999998</v>
      </c>
      <c r="X194">
        <v>2</v>
      </c>
    </row>
    <row r="195" spans="1:24" x14ac:dyDescent="0.3">
      <c r="A195">
        <v>194</v>
      </c>
      <c r="B195" t="s">
        <v>1970</v>
      </c>
      <c r="C195" s="6">
        <v>44390</v>
      </c>
      <c r="D195" t="str">
        <f t="shared" ref="D195:D258" si="12">TEXT(C195,"Mmm")</f>
        <v>Jul</v>
      </c>
      <c r="E195" t="str">
        <f t="shared" ref="E195:E258" si="13">TEXT(C195,"YYYY")</f>
        <v>2021</v>
      </c>
      <c r="F195" t="s">
        <v>5</v>
      </c>
      <c r="G195" t="s">
        <v>95</v>
      </c>
      <c r="H195" t="s">
        <v>728</v>
      </c>
      <c r="I195">
        <v>220</v>
      </c>
      <c r="J195">
        <v>18</v>
      </c>
      <c r="K195">
        <f t="shared" ref="K195:K258" si="14">(J195/I195)*100</f>
        <v>8.1818181818181817</v>
      </c>
      <c r="L195" t="s">
        <v>1737</v>
      </c>
      <c r="M195" t="s">
        <v>3592</v>
      </c>
      <c r="N195" t="s">
        <v>1</v>
      </c>
      <c r="O195">
        <v>382007</v>
      </c>
      <c r="P195" t="s">
        <v>546</v>
      </c>
      <c r="Q195" t="s">
        <v>1758</v>
      </c>
      <c r="S195">
        <v>19.899999999999999</v>
      </c>
      <c r="T195">
        <v>5</v>
      </c>
      <c r="U195">
        <v>0.1</v>
      </c>
      <c r="V195">
        <v>6.5670000000000002</v>
      </c>
      <c r="W195">
        <f t="shared" ref="W195:W258" si="15">(S195-V195)/T195</f>
        <v>2.6665999999999999</v>
      </c>
      <c r="X195">
        <v>5</v>
      </c>
    </row>
    <row r="196" spans="1:24" x14ac:dyDescent="0.3">
      <c r="A196">
        <v>195</v>
      </c>
      <c r="B196" t="s">
        <v>1971</v>
      </c>
      <c r="C196" s="6">
        <v>44391</v>
      </c>
      <c r="D196" t="str">
        <f t="shared" si="12"/>
        <v>Jul</v>
      </c>
      <c r="E196" t="str">
        <f t="shared" si="13"/>
        <v>2021</v>
      </c>
      <c r="F196" t="s">
        <v>4</v>
      </c>
      <c r="G196" t="s">
        <v>96</v>
      </c>
      <c r="H196" t="s">
        <v>576</v>
      </c>
      <c r="I196">
        <v>190</v>
      </c>
      <c r="J196">
        <v>10</v>
      </c>
      <c r="K196">
        <f t="shared" si="14"/>
        <v>5.2631578947368416</v>
      </c>
      <c r="L196" t="s">
        <v>1736</v>
      </c>
      <c r="M196" t="s">
        <v>3593</v>
      </c>
      <c r="N196" t="s">
        <v>1</v>
      </c>
      <c r="O196">
        <v>411005</v>
      </c>
      <c r="P196" t="s">
        <v>546</v>
      </c>
      <c r="Q196" t="s">
        <v>1774</v>
      </c>
      <c r="S196">
        <v>14.28</v>
      </c>
      <c r="T196">
        <v>7</v>
      </c>
      <c r="U196">
        <v>0.1</v>
      </c>
      <c r="V196">
        <v>6.7115999999999998</v>
      </c>
      <c r="W196">
        <f t="shared" si="15"/>
        <v>1.0811999999999999</v>
      </c>
      <c r="X196">
        <v>2</v>
      </c>
    </row>
    <row r="197" spans="1:24" x14ac:dyDescent="0.3">
      <c r="A197">
        <v>196</v>
      </c>
      <c r="B197" t="s">
        <v>1972</v>
      </c>
      <c r="C197" s="6">
        <v>44392</v>
      </c>
      <c r="D197" t="str">
        <f t="shared" si="12"/>
        <v>Jul</v>
      </c>
      <c r="E197" t="str">
        <f t="shared" si="13"/>
        <v>2021</v>
      </c>
      <c r="F197" t="s">
        <v>4</v>
      </c>
      <c r="G197" t="s">
        <v>97</v>
      </c>
      <c r="H197" t="s">
        <v>729</v>
      </c>
      <c r="I197">
        <v>250</v>
      </c>
      <c r="J197">
        <v>10</v>
      </c>
      <c r="K197">
        <f t="shared" si="14"/>
        <v>4</v>
      </c>
      <c r="L197" t="s">
        <v>1739</v>
      </c>
      <c r="M197" t="s">
        <v>3594</v>
      </c>
      <c r="N197" t="s">
        <v>1</v>
      </c>
      <c r="O197">
        <v>121008</v>
      </c>
      <c r="P197" t="s">
        <v>546</v>
      </c>
      <c r="Q197" t="s">
        <v>1767</v>
      </c>
      <c r="S197">
        <v>7.4080000000000004</v>
      </c>
      <c r="T197">
        <v>2</v>
      </c>
      <c r="U197">
        <v>0.2</v>
      </c>
      <c r="V197">
        <v>1.2038</v>
      </c>
      <c r="W197">
        <f t="shared" si="15"/>
        <v>3.1021000000000001</v>
      </c>
      <c r="X197">
        <v>1</v>
      </c>
    </row>
    <row r="198" spans="1:24" x14ac:dyDescent="0.3">
      <c r="A198">
        <v>197</v>
      </c>
      <c r="B198" t="s">
        <v>1973</v>
      </c>
      <c r="C198" s="6">
        <v>44393</v>
      </c>
      <c r="D198" t="str">
        <f t="shared" si="12"/>
        <v>Jul</v>
      </c>
      <c r="E198" t="str">
        <f t="shared" si="13"/>
        <v>2021</v>
      </c>
      <c r="F198" t="s">
        <v>4</v>
      </c>
      <c r="G198" t="s">
        <v>97</v>
      </c>
      <c r="H198" t="s">
        <v>730</v>
      </c>
      <c r="I198">
        <v>130</v>
      </c>
      <c r="J198">
        <v>22</v>
      </c>
      <c r="K198">
        <f t="shared" si="14"/>
        <v>16.923076923076923</v>
      </c>
      <c r="L198" t="s">
        <v>1738</v>
      </c>
      <c r="M198" t="s">
        <v>3595</v>
      </c>
      <c r="N198" t="s">
        <v>1</v>
      </c>
      <c r="O198">
        <v>734101</v>
      </c>
      <c r="P198" t="s">
        <v>546</v>
      </c>
      <c r="Q198" t="s">
        <v>1764</v>
      </c>
      <c r="S198">
        <v>6.048</v>
      </c>
      <c r="T198">
        <v>3</v>
      </c>
      <c r="U198">
        <v>0.2</v>
      </c>
      <c r="V198">
        <v>1.5875999999999999</v>
      </c>
      <c r="W198">
        <f t="shared" si="15"/>
        <v>1.4867999999999999</v>
      </c>
      <c r="X198">
        <v>4</v>
      </c>
    </row>
    <row r="199" spans="1:24" x14ac:dyDescent="0.3">
      <c r="A199">
        <v>198</v>
      </c>
      <c r="B199" t="s">
        <v>1974</v>
      </c>
      <c r="C199" s="6">
        <v>44394</v>
      </c>
      <c r="D199" t="str">
        <f t="shared" si="12"/>
        <v>Jul</v>
      </c>
      <c r="E199" t="str">
        <f t="shared" si="13"/>
        <v>2021</v>
      </c>
      <c r="F199" t="s">
        <v>4</v>
      </c>
      <c r="G199" t="s">
        <v>98</v>
      </c>
      <c r="H199" t="s">
        <v>731</v>
      </c>
      <c r="I199">
        <v>250</v>
      </c>
      <c r="J199">
        <v>20</v>
      </c>
      <c r="K199">
        <f t="shared" si="14"/>
        <v>8</v>
      </c>
      <c r="L199" t="s">
        <v>1744</v>
      </c>
      <c r="M199" t="s">
        <v>3596</v>
      </c>
      <c r="N199" t="s">
        <v>1</v>
      </c>
      <c r="O199">
        <v>560037</v>
      </c>
      <c r="P199" t="s">
        <v>546</v>
      </c>
      <c r="Q199" t="s">
        <v>1767</v>
      </c>
      <c r="S199">
        <v>46.26</v>
      </c>
      <c r="T199">
        <v>3</v>
      </c>
      <c r="U199">
        <v>0.1</v>
      </c>
      <c r="V199">
        <v>12.0276</v>
      </c>
      <c r="W199">
        <f t="shared" si="15"/>
        <v>11.4108</v>
      </c>
      <c r="X199">
        <v>1</v>
      </c>
    </row>
    <row r="200" spans="1:24" x14ac:dyDescent="0.3">
      <c r="A200">
        <v>199</v>
      </c>
      <c r="B200" t="s">
        <v>1975</v>
      </c>
      <c r="C200" s="6">
        <v>44395</v>
      </c>
      <c r="D200" t="str">
        <f t="shared" si="12"/>
        <v>Jul</v>
      </c>
      <c r="E200" t="str">
        <f t="shared" si="13"/>
        <v>2021</v>
      </c>
      <c r="F200" t="s">
        <v>4</v>
      </c>
      <c r="G200" t="s">
        <v>99</v>
      </c>
      <c r="H200" t="s">
        <v>732</v>
      </c>
      <c r="I200">
        <v>200</v>
      </c>
      <c r="J200">
        <v>6</v>
      </c>
      <c r="K200">
        <f t="shared" si="14"/>
        <v>3</v>
      </c>
      <c r="L200" t="s">
        <v>1740</v>
      </c>
      <c r="M200" t="s">
        <v>3597</v>
      </c>
      <c r="N200" t="s">
        <v>1</v>
      </c>
      <c r="O200">
        <v>380052</v>
      </c>
      <c r="P200" t="s">
        <v>546</v>
      </c>
      <c r="Q200" t="s">
        <v>1763</v>
      </c>
      <c r="S200">
        <v>2.9460000000000002</v>
      </c>
      <c r="T200">
        <v>2</v>
      </c>
      <c r="U200">
        <v>0.7</v>
      </c>
      <c r="V200">
        <v>-2.2585999999999999</v>
      </c>
      <c r="W200">
        <f t="shared" si="15"/>
        <v>2.6023000000000001</v>
      </c>
      <c r="X200">
        <v>2</v>
      </c>
    </row>
    <row r="201" spans="1:24" x14ac:dyDescent="0.3">
      <c r="A201">
        <v>200</v>
      </c>
      <c r="B201" t="s">
        <v>1976</v>
      </c>
      <c r="C201" s="6">
        <v>44396</v>
      </c>
      <c r="D201" t="str">
        <f t="shared" si="12"/>
        <v>Jul</v>
      </c>
      <c r="E201" t="str">
        <f t="shared" si="13"/>
        <v>2021</v>
      </c>
      <c r="F201" t="s">
        <v>4</v>
      </c>
      <c r="G201" t="s">
        <v>99</v>
      </c>
      <c r="H201" t="s">
        <v>733</v>
      </c>
      <c r="I201">
        <v>250</v>
      </c>
      <c r="J201">
        <v>6</v>
      </c>
      <c r="K201">
        <f t="shared" si="14"/>
        <v>2.4</v>
      </c>
      <c r="L201" t="s">
        <v>1742</v>
      </c>
      <c r="M201" t="s">
        <v>3598</v>
      </c>
      <c r="O201">
        <v>382007</v>
      </c>
      <c r="P201" t="s">
        <v>546</v>
      </c>
      <c r="Q201" t="s">
        <v>1765</v>
      </c>
      <c r="S201">
        <v>16.056000000000001</v>
      </c>
      <c r="T201">
        <v>3</v>
      </c>
      <c r="U201">
        <v>0.2</v>
      </c>
      <c r="V201">
        <v>5.8202999999999996</v>
      </c>
      <c r="W201">
        <f t="shared" si="15"/>
        <v>3.4119000000000006</v>
      </c>
      <c r="X201">
        <v>3</v>
      </c>
    </row>
    <row r="202" spans="1:24" x14ac:dyDescent="0.3">
      <c r="A202">
        <v>201</v>
      </c>
      <c r="B202" t="s">
        <v>1977</v>
      </c>
      <c r="C202" s="6">
        <v>44397</v>
      </c>
      <c r="D202" t="str">
        <f t="shared" si="12"/>
        <v>Jul</v>
      </c>
      <c r="E202" t="str">
        <f t="shared" si="13"/>
        <v>2021</v>
      </c>
      <c r="F202" t="s">
        <v>4</v>
      </c>
      <c r="G202" t="s">
        <v>100</v>
      </c>
      <c r="H202" t="s">
        <v>734</v>
      </c>
      <c r="I202">
        <v>200</v>
      </c>
      <c r="J202">
        <v>28</v>
      </c>
      <c r="K202">
        <f t="shared" si="14"/>
        <v>14.000000000000002</v>
      </c>
      <c r="L202" t="s">
        <v>1739</v>
      </c>
      <c r="M202" t="s">
        <v>3747</v>
      </c>
      <c r="N202" t="s">
        <v>1</v>
      </c>
      <c r="O202">
        <v>122006</v>
      </c>
      <c r="P202" t="s">
        <v>546</v>
      </c>
      <c r="Q202" t="s">
        <v>1776</v>
      </c>
      <c r="S202">
        <v>21.744</v>
      </c>
      <c r="T202">
        <v>3</v>
      </c>
      <c r="U202">
        <v>0.2</v>
      </c>
      <c r="V202">
        <v>6.7949999999999999</v>
      </c>
      <c r="W202">
        <f t="shared" si="15"/>
        <v>4.9829999999999997</v>
      </c>
      <c r="X202">
        <v>5</v>
      </c>
    </row>
    <row r="203" spans="1:24" x14ac:dyDescent="0.3">
      <c r="A203">
        <v>202</v>
      </c>
      <c r="B203" t="s">
        <v>1978</v>
      </c>
      <c r="C203" s="6">
        <v>44398</v>
      </c>
      <c r="D203" t="str">
        <f t="shared" si="12"/>
        <v>Jul</v>
      </c>
      <c r="E203" t="str">
        <f t="shared" si="13"/>
        <v>2021</v>
      </c>
      <c r="F203" t="s">
        <v>5</v>
      </c>
      <c r="G203" t="s">
        <v>101</v>
      </c>
      <c r="H203" t="s">
        <v>735</v>
      </c>
      <c r="I203">
        <v>140</v>
      </c>
      <c r="J203">
        <v>10</v>
      </c>
      <c r="K203">
        <f t="shared" si="14"/>
        <v>7.1428571428571423</v>
      </c>
      <c r="L203" t="s">
        <v>1738</v>
      </c>
      <c r="M203" t="s">
        <v>3599</v>
      </c>
      <c r="N203" t="s">
        <v>1</v>
      </c>
      <c r="O203">
        <v>676107</v>
      </c>
      <c r="P203" t="s">
        <v>546</v>
      </c>
      <c r="Q203" t="s">
        <v>1755</v>
      </c>
      <c r="S203">
        <v>218.75</v>
      </c>
      <c r="T203">
        <v>2</v>
      </c>
      <c r="U203">
        <v>0.5</v>
      </c>
      <c r="V203">
        <v>-161.875</v>
      </c>
      <c r="W203">
        <f t="shared" si="15"/>
        <v>190.3125</v>
      </c>
      <c r="X203">
        <v>5</v>
      </c>
    </row>
    <row r="204" spans="1:24" x14ac:dyDescent="0.3">
      <c r="A204">
        <v>203</v>
      </c>
      <c r="B204" t="s">
        <v>1979</v>
      </c>
      <c r="C204" s="6">
        <v>44399</v>
      </c>
      <c r="D204" t="str">
        <f t="shared" si="12"/>
        <v>Jul</v>
      </c>
      <c r="E204" t="str">
        <f t="shared" si="13"/>
        <v>2021</v>
      </c>
      <c r="F204" t="s">
        <v>5</v>
      </c>
      <c r="G204" t="s">
        <v>101</v>
      </c>
      <c r="H204" t="s">
        <v>736</v>
      </c>
      <c r="I204">
        <v>180</v>
      </c>
      <c r="J204">
        <v>14</v>
      </c>
      <c r="K204">
        <f t="shared" si="14"/>
        <v>7.7777777777777777</v>
      </c>
      <c r="L204" t="s">
        <v>1743</v>
      </c>
      <c r="M204" t="s">
        <v>3601</v>
      </c>
      <c r="N204" t="s">
        <v>1</v>
      </c>
      <c r="O204">
        <v>600110</v>
      </c>
      <c r="P204" t="s">
        <v>546</v>
      </c>
      <c r="Q204" t="s">
        <v>1759</v>
      </c>
      <c r="R204" t="s">
        <v>2</v>
      </c>
      <c r="S204">
        <v>2.6</v>
      </c>
      <c r="T204">
        <v>1</v>
      </c>
      <c r="U204">
        <v>0.2</v>
      </c>
      <c r="V204">
        <v>0.29249999999999998</v>
      </c>
      <c r="W204">
        <f t="shared" si="15"/>
        <v>2.3075000000000001</v>
      </c>
      <c r="X204">
        <v>3</v>
      </c>
    </row>
    <row r="205" spans="1:24" x14ac:dyDescent="0.3">
      <c r="A205">
        <v>204</v>
      </c>
      <c r="B205" t="s">
        <v>1980</v>
      </c>
      <c r="C205" s="6">
        <v>44400</v>
      </c>
      <c r="D205" t="str">
        <f t="shared" si="12"/>
        <v>Jul</v>
      </c>
      <c r="E205" t="str">
        <f t="shared" si="13"/>
        <v>2021</v>
      </c>
      <c r="F205" t="s">
        <v>3</v>
      </c>
      <c r="G205" t="s">
        <v>102</v>
      </c>
      <c r="H205" t="s">
        <v>737</v>
      </c>
      <c r="I205">
        <v>200</v>
      </c>
      <c r="J205">
        <v>30</v>
      </c>
      <c r="K205">
        <f t="shared" si="14"/>
        <v>15</v>
      </c>
      <c r="L205" t="s">
        <v>1737</v>
      </c>
      <c r="M205" t="s">
        <v>3602</v>
      </c>
      <c r="N205" t="s">
        <v>1</v>
      </c>
      <c r="O205">
        <v>560001</v>
      </c>
      <c r="P205" t="s">
        <v>546</v>
      </c>
      <c r="Q205" t="s">
        <v>1766</v>
      </c>
      <c r="S205">
        <v>66.284000000000006</v>
      </c>
      <c r="T205">
        <v>2</v>
      </c>
      <c r="U205">
        <v>0.8</v>
      </c>
      <c r="V205">
        <v>-178.96680000000001</v>
      </c>
      <c r="W205">
        <f t="shared" si="15"/>
        <v>122.62540000000001</v>
      </c>
      <c r="X205">
        <v>1</v>
      </c>
    </row>
    <row r="206" spans="1:24" x14ac:dyDescent="0.3">
      <c r="A206">
        <v>205</v>
      </c>
      <c r="B206" t="s">
        <v>1981</v>
      </c>
      <c r="C206" s="6">
        <v>44401</v>
      </c>
      <c r="D206" t="str">
        <f t="shared" si="12"/>
        <v>Jul</v>
      </c>
      <c r="E206" t="str">
        <f t="shared" si="13"/>
        <v>2021</v>
      </c>
      <c r="F206" t="s">
        <v>4</v>
      </c>
      <c r="G206" t="s">
        <v>103</v>
      </c>
      <c r="H206" t="s">
        <v>738</v>
      </c>
      <c r="I206">
        <v>230</v>
      </c>
      <c r="J206">
        <v>24</v>
      </c>
      <c r="K206">
        <f t="shared" si="14"/>
        <v>10.434782608695652</v>
      </c>
      <c r="L206" t="s">
        <v>1741</v>
      </c>
      <c r="M206" t="s">
        <v>3603</v>
      </c>
      <c r="N206" t="s">
        <v>1</v>
      </c>
      <c r="O206">
        <v>560085</v>
      </c>
      <c r="P206" t="s">
        <v>546</v>
      </c>
      <c r="Q206" t="s">
        <v>1772</v>
      </c>
      <c r="S206">
        <v>35.167999999999999</v>
      </c>
      <c r="T206">
        <v>7</v>
      </c>
      <c r="U206">
        <v>0.2</v>
      </c>
      <c r="V206">
        <v>9.6712000000000007</v>
      </c>
      <c r="W206">
        <f t="shared" si="15"/>
        <v>3.6423999999999999</v>
      </c>
      <c r="X206">
        <v>4</v>
      </c>
    </row>
    <row r="207" spans="1:24" x14ac:dyDescent="0.3">
      <c r="A207">
        <v>206</v>
      </c>
      <c r="B207" t="s">
        <v>1982</v>
      </c>
      <c r="C207" s="6">
        <v>44402</v>
      </c>
      <c r="D207" t="str">
        <f t="shared" si="12"/>
        <v>Jul</v>
      </c>
      <c r="E207" t="str">
        <f t="shared" si="13"/>
        <v>2021</v>
      </c>
      <c r="F207" t="s">
        <v>4</v>
      </c>
      <c r="G207" t="s">
        <v>104</v>
      </c>
      <c r="H207" t="s">
        <v>739</v>
      </c>
      <c r="I207">
        <v>220</v>
      </c>
      <c r="J207">
        <v>20</v>
      </c>
      <c r="K207">
        <f t="shared" si="14"/>
        <v>9.0909090909090917</v>
      </c>
      <c r="L207" t="s">
        <v>1736</v>
      </c>
      <c r="M207" t="s">
        <v>3604</v>
      </c>
      <c r="N207" t="s">
        <v>1</v>
      </c>
      <c r="O207">
        <v>560085</v>
      </c>
      <c r="P207" t="s">
        <v>546</v>
      </c>
      <c r="Q207" t="s">
        <v>1772</v>
      </c>
      <c r="S207">
        <v>444.76799999999997</v>
      </c>
      <c r="T207">
        <v>4</v>
      </c>
      <c r="U207">
        <v>0.2</v>
      </c>
      <c r="V207">
        <v>44.476799999999997</v>
      </c>
      <c r="W207">
        <f t="shared" si="15"/>
        <v>100.0728</v>
      </c>
      <c r="X207">
        <v>1</v>
      </c>
    </row>
    <row r="208" spans="1:24" x14ac:dyDescent="0.3">
      <c r="A208">
        <v>207</v>
      </c>
      <c r="B208" t="s">
        <v>1983</v>
      </c>
      <c r="C208" s="6">
        <v>44403</v>
      </c>
      <c r="D208" t="str">
        <f t="shared" si="12"/>
        <v>Jul</v>
      </c>
      <c r="E208" t="str">
        <f t="shared" si="13"/>
        <v>2021</v>
      </c>
      <c r="F208" t="s">
        <v>4</v>
      </c>
      <c r="G208" t="s">
        <v>105</v>
      </c>
      <c r="H208" t="s">
        <v>740</v>
      </c>
      <c r="I208">
        <v>100</v>
      </c>
      <c r="J208">
        <v>20</v>
      </c>
      <c r="K208">
        <f t="shared" si="14"/>
        <v>20</v>
      </c>
      <c r="L208" t="s">
        <v>1744</v>
      </c>
      <c r="M208" t="s">
        <v>3605</v>
      </c>
      <c r="N208" t="s">
        <v>1</v>
      </c>
      <c r="O208">
        <v>160022</v>
      </c>
      <c r="P208" t="s">
        <v>546</v>
      </c>
      <c r="Q208" t="s">
        <v>1759</v>
      </c>
      <c r="R208" t="s">
        <v>2</v>
      </c>
      <c r="S208">
        <v>83.92</v>
      </c>
      <c r="T208">
        <v>4</v>
      </c>
      <c r="U208">
        <v>0.1</v>
      </c>
      <c r="V208">
        <v>5.8743999999999996</v>
      </c>
      <c r="W208">
        <f t="shared" si="15"/>
        <v>19.511400000000002</v>
      </c>
      <c r="X208">
        <v>4</v>
      </c>
    </row>
    <row r="209" spans="1:24" x14ac:dyDescent="0.3">
      <c r="A209">
        <v>208</v>
      </c>
      <c r="B209" t="s">
        <v>1984</v>
      </c>
      <c r="C209" s="6">
        <v>44404</v>
      </c>
      <c r="D209" t="str">
        <f t="shared" si="12"/>
        <v>Jul</v>
      </c>
      <c r="E209" t="str">
        <f t="shared" si="13"/>
        <v>2021</v>
      </c>
      <c r="F209" t="s">
        <v>4</v>
      </c>
      <c r="G209" t="s">
        <v>105</v>
      </c>
      <c r="H209" t="s">
        <v>741</v>
      </c>
      <c r="I209">
        <v>190</v>
      </c>
      <c r="J209">
        <v>20</v>
      </c>
      <c r="K209">
        <f t="shared" si="14"/>
        <v>10.526315789473683</v>
      </c>
      <c r="L209" t="s">
        <v>1740</v>
      </c>
      <c r="M209" t="s">
        <v>3606</v>
      </c>
      <c r="N209" t="s">
        <v>1</v>
      </c>
      <c r="O209">
        <v>834008</v>
      </c>
      <c r="P209" t="s">
        <v>546</v>
      </c>
      <c r="Q209" t="s">
        <v>1766</v>
      </c>
      <c r="S209">
        <v>131.97999999999999</v>
      </c>
      <c r="T209">
        <v>2</v>
      </c>
      <c r="U209">
        <v>0.1</v>
      </c>
      <c r="V209">
        <v>35.634599999999999</v>
      </c>
      <c r="W209">
        <f t="shared" si="15"/>
        <v>48.172699999999992</v>
      </c>
      <c r="X209">
        <v>5</v>
      </c>
    </row>
    <row r="210" spans="1:24" x14ac:dyDescent="0.3">
      <c r="A210">
        <v>209</v>
      </c>
      <c r="B210" t="s">
        <v>1985</v>
      </c>
      <c r="C210" s="6">
        <v>44405</v>
      </c>
      <c r="D210" t="str">
        <f t="shared" si="12"/>
        <v>Jul</v>
      </c>
      <c r="E210" t="str">
        <f t="shared" si="13"/>
        <v>2021</v>
      </c>
      <c r="F210" t="s">
        <v>4</v>
      </c>
      <c r="G210" t="s">
        <v>105</v>
      </c>
      <c r="H210" t="s">
        <v>669</v>
      </c>
      <c r="I210">
        <v>170</v>
      </c>
      <c r="J210">
        <v>12</v>
      </c>
      <c r="K210">
        <f t="shared" si="14"/>
        <v>7.0588235294117645</v>
      </c>
      <c r="L210" t="s">
        <v>1742</v>
      </c>
      <c r="M210" t="s">
        <v>3607</v>
      </c>
      <c r="N210" t="s">
        <v>1</v>
      </c>
      <c r="O210">
        <v>636701</v>
      </c>
      <c r="P210" t="s">
        <v>546</v>
      </c>
      <c r="Q210" t="s">
        <v>1765</v>
      </c>
      <c r="S210">
        <v>15.92</v>
      </c>
      <c r="T210">
        <v>4</v>
      </c>
      <c r="U210">
        <v>0.1</v>
      </c>
      <c r="V210">
        <v>7.4824000000000002</v>
      </c>
      <c r="W210">
        <f t="shared" si="15"/>
        <v>2.1093999999999999</v>
      </c>
      <c r="X210">
        <v>5</v>
      </c>
    </row>
    <row r="211" spans="1:24" x14ac:dyDescent="0.3">
      <c r="A211">
        <v>210</v>
      </c>
      <c r="B211" t="s">
        <v>1986</v>
      </c>
      <c r="C211" s="6">
        <v>44406</v>
      </c>
      <c r="D211" t="str">
        <f t="shared" si="12"/>
        <v>Jul</v>
      </c>
      <c r="E211" t="str">
        <f t="shared" si="13"/>
        <v>2021</v>
      </c>
      <c r="F211" t="s">
        <v>4</v>
      </c>
      <c r="G211" t="s">
        <v>105</v>
      </c>
      <c r="H211" t="s">
        <v>742</v>
      </c>
      <c r="I211">
        <v>120</v>
      </c>
      <c r="J211">
        <v>6</v>
      </c>
      <c r="K211">
        <f t="shared" si="14"/>
        <v>5</v>
      </c>
      <c r="L211" t="s">
        <v>1739</v>
      </c>
      <c r="M211" t="s">
        <v>3600</v>
      </c>
      <c r="N211" t="s">
        <v>1</v>
      </c>
      <c r="O211">
        <v>122001</v>
      </c>
      <c r="P211" t="s">
        <v>546</v>
      </c>
      <c r="Q211" t="s">
        <v>1756</v>
      </c>
      <c r="R211" t="s">
        <v>2</v>
      </c>
      <c r="S211">
        <v>52.29</v>
      </c>
      <c r="T211">
        <v>9</v>
      </c>
      <c r="U211">
        <v>0.1</v>
      </c>
      <c r="V211">
        <v>16.209900000000001</v>
      </c>
      <c r="W211">
        <f t="shared" si="15"/>
        <v>4.0089000000000006</v>
      </c>
      <c r="X211">
        <v>3</v>
      </c>
    </row>
    <row r="212" spans="1:24" x14ac:dyDescent="0.3">
      <c r="A212">
        <v>211</v>
      </c>
      <c r="B212" t="s">
        <v>1987</v>
      </c>
      <c r="C212" s="6">
        <v>44407</v>
      </c>
      <c r="D212" t="str">
        <f t="shared" si="12"/>
        <v>Jul</v>
      </c>
      <c r="E212" t="str">
        <f t="shared" si="13"/>
        <v>2021</v>
      </c>
      <c r="F212" t="s">
        <v>4</v>
      </c>
      <c r="G212" t="s">
        <v>105</v>
      </c>
      <c r="H212" t="s">
        <v>743</v>
      </c>
      <c r="I212">
        <v>110</v>
      </c>
      <c r="J212">
        <v>30</v>
      </c>
      <c r="K212">
        <f t="shared" si="14"/>
        <v>27.27272727272727</v>
      </c>
      <c r="L212" t="s">
        <v>1738</v>
      </c>
      <c r="M212" t="s">
        <v>3609</v>
      </c>
      <c r="N212" t="s">
        <v>1</v>
      </c>
      <c r="O212">
        <v>742101</v>
      </c>
      <c r="P212" t="s">
        <v>546</v>
      </c>
      <c r="Q212" t="s">
        <v>1758</v>
      </c>
      <c r="S212">
        <v>91.99</v>
      </c>
      <c r="T212">
        <v>1</v>
      </c>
      <c r="U212">
        <v>0.1</v>
      </c>
      <c r="V212">
        <v>3.6796000000000002</v>
      </c>
      <c r="W212">
        <f t="shared" si="15"/>
        <v>88.310400000000001</v>
      </c>
      <c r="X212">
        <v>1</v>
      </c>
    </row>
    <row r="213" spans="1:24" x14ac:dyDescent="0.3">
      <c r="A213">
        <v>212</v>
      </c>
      <c r="B213" t="s">
        <v>1988</v>
      </c>
      <c r="C213" s="6">
        <v>44408</v>
      </c>
      <c r="D213" t="str">
        <f t="shared" si="12"/>
        <v>Jul</v>
      </c>
      <c r="E213" t="str">
        <f t="shared" si="13"/>
        <v>2021</v>
      </c>
      <c r="F213" t="s">
        <v>3</v>
      </c>
      <c r="G213" t="s">
        <v>106</v>
      </c>
      <c r="H213" t="s">
        <v>744</v>
      </c>
      <c r="I213">
        <v>170</v>
      </c>
      <c r="J213">
        <v>20</v>
      </c>
      <c r="K213">
        <f t="shared" si="14"/>
        <v>11.76470588235294</v>
      </c>
      <c r="L213" t="s">
        <v>1743</v>
      </c>
      <c r="M213" t="s">
        <v>3610</v>
      </c>
      <c r="N213" t="s">
        <v>1</v>
      </c>
      <c r="O213">
        <v>440009</v>
      </c>
      <c r="P213" t="s">
        <v>546</v>
      </c>
      <c r="Q213" t="s">
        <v>1759</v>
      </c>
      <c r="R213" t="s">
        <v>2</v>
      </c>
      <c r="S213">
        <v>20.8</v>
      </c>
      <c r="T213">
        <v>2</v>
      </c>
      <c r="U213">
        <v>0.2</v>
      </c>
      <c r="V213">
        <v>6.5</v>
      </c>
      <c r="W213">
        <f t="shared" si="15"/>
        <v>7.15</v>
      </c>
      <c r="X213">
        <v>5</v>
      </c>
    </row>
    <row r="214" spans="1:24" x14ac:dyDescent="0.3">
      <c r="A214">
        <v>213</v>
      </c>
      <c r="B214" t="s">
        <v>1989</v>
      </c>
      <c r="C214" s="6">
        <v>44409</v>
      </c>
      <c r="D214" t="str">
        <f t="shared" si="12"/>
        <v>Aug</v>
      </c>
      <c r="E214" t="str">
        <f t="shared" si="13"/>
        <v>2021</v>
      </c>
      <c r="F214" t="s">
        <v>4</v>
      </c>
      <c r="G214" t="s">
        <v>107</v>
      </c>
      <c r="H214" t="s">
        <v>745</v>
      </c>
      <c r="I214">
        <v>220</v>
      </c>
      <c r="J214">
        <v>8</v>
      </c>
      <c r="K214">
        <f t="shared" si="14"/>
        <v>3.6363636363636362</v>
      </c>
      <c r="L214" t="s">
        <v>1737</v>
      </c>
      <c r="M214" t="s">
        <v>3611</v>
      </c>
      <c r="N214" t="s">
        <v>1</v>
      </c>
      <c r="O214">
        <v>683110</v>
      </c>
      <c r="P214" t="s">
        <v>546</v>
      </c>
      <c r="Q214" t="s">
        <v>1774</v>
      </c>
      <c r="S214">
        <v>23.68</v>
      </c>
      <c r="T214">
        <v>2</v>
      </c>
      <c r="U214">
        <v>0.2</v>
      </c>
      <c r="V214">
        <v>8.8800000000000008</v>
      </c>
      <c r="W214">
        <f t="shared" si="15"/>
        <v>7.3999999999999995</v>
      </c>
      <c r="X214">
        <v>3</v>
      </c>
    </row>
    <row r="215" spans="1:24" x14ac:dyDescent="0.3">
      <c r="A215">
        <v>214</v>
      </c>
      <c r="B215" t="s">
        <v>1990</v>
      </c>
      <c r="C215" s="6">
        <v>44410</v>
      </c>
      <c r="D215" t="str">
        <f t="shared" si="12"/>
        <v>Aug</v>
      </c>
      <c r="E215" t="str">
        <f t="shared" si="13"/>
        <v>2021</v>
      </c>
      <c r="F215" t="s">
        <v>4</v>
      </c>
      <c r="G215" t="s">
        <v>107</v>
      </c>
      <c r="H215" t="s">
        <v>746</v>
      </c>
      <c r="I215">
        <v>200</v>
      </c>
      <c r="J215">
        <v>12</v>
      </c>
      <c r="K215">
        <f t="shared" si="14"/>
        <v>6</v>
      </c>
      <c r="L215" t="s">
        <v>1741</v>
      </c>
      <c r="M215" t="s">
        <v>3612</v>
      </c>
      <c r="N215" t="s">
        <v>1</v>
      </c>
      <c r="O215">
        <v>400078</v>
      </c>
      <c r="P215" t="s">
        <v>546</v>
      </c>
      <c r="Q215" t="s">
        <v>1775</v>
      </c>
      <c r="S215">
        <v>452.45</v>
      </c>
      <c r="T215">
        <v>5</v>
      </c>
      <c r="U215">
        <v>0.5</v>
      </c>
      <c r="V215">
        <v>-244.32300000000001</v>
      </c>
      <c r="W215">
        <f t="shared" si="15"/>
        <v>139.3546</v>
      </c>
      <c r="X215">
        <v>3</v>
      </c>
    </row>
    <row r="216" spans="1:24" x14ac:dyDescent="0.3">
      <c r="A216">
        <v>215</v>
      </c>
      <c r="B216" t="s">
        <v>1991</v>
      </c>
      <c r="C216" s="6">
        <v>44411</v>
      </c>
      <c r="D216" t="str">
        <f t="shared" si="12"/>
        <v>Aug</v>
      </c>
      <c r="E216" t="str">
        <f t="shared" si="13"/>
        <v>2021</v>
      </c>
      <c r="F216" t="s">
        <v>4</v>
      </c>
      <c r="G216" t="s">
        <v>107</v>
      </c>
      <c r="H216" t="s">
        <v>651</v>
      </c>
      <c r="I216">
        <v>200</v>
      </c>
      <c r="J216">
        <v>8</v>
      </c>
      <c r="K216">
        <f t="shared" si="14"/>
        <v>4</v>
      </c>
      <c r="L216" t="s">
        <v>1736</v>
      </c>
      <c r="M216" t="s">
        <v>3613</v>
      </c>
      <c r="N216" t="s">
        <v>1</v>
      </c>
      <c r="O216">
        <v>400050</v>
      </c>
      <c r="P216" t="s">
        <v>546</v>
      </c>
      <c r="Q216" t="s">
        <v>1756</v>
      </c>
      <c r="R216" t="s">
        <v>2</v>
      </c>
      <c r="S216">
        <v>62.981999999999999</v>
      </c>
      <c r="T216">
        <v>3</v>
      </c>
      <c r="U216">
        <v>0.4</v>
      </c>
      <c r="V216">
        <v>-14.6958</v>
      </c>
      <c r="W216">
        <f t="shared" si="15"/>
        <v>25.892600000000002</v>
      </c>
      <c r="X216">
        <v>2</v>
      </c>
    </row>
    <row r="217" spans="1:24" x14ac:dyDescent="0.3">
      <c r="A217">
        <v>216</v>
      </c>
      <c r="B217" t="s">
        <v>1992</v>
      </c>
      <c r="C217" s="6">
        <v>44412</v>
      </c>
      <c r="D217" t="str">
        <f t="shared" si="12"/>
        <v>Aug</v>
      </c>
      <c r="E217" t="str">
        <f t="shared" si="13"/>
        <v>2021</v>
      </c>
      <c r="F217" t="s">
        <v>4</v>
      </c>
      <c r="G217" t="s">
        <v>107</v>
      </c>
      <c r="H217" t="s">
        <v>747</v>
      </c>
      <c r="I217">
        <v>180</v>
      </c>
      <c r="J217">
        <v>10</v>
      </c>
      <c r="K217">
        <f t="shared" si="14"/>
        <v>5.5555555555555554</v>
      </c>
      <c r="L217" t="s">
        <v>1744</v>
      </c>
      <c r="M217" t="s">
        <v>3614</v>
      </c>
      <c r="N217" t="s">
        <v>1</v>
      </c>
      <c r="O217">
        <v>524003</v>
      </c>
      <c r="P217" t="s">
        <v>546</v>
      </c>
      <c r="Q217" t="s">
        <v>1761</v>
      </c>
      <c r="S217">
        <v>1188</v>
      </c>
      <c r="T217">
        <v>9</v>
      </c>
      <c r="U217">
        <v>0.7</v>
      </c>
      <c r="V217">
        <v>-950.4</v>
      </c>
      <c r="W217">
        <f t="shared" si="15"/>
        <v>237.60000000000002</v>
      </c>
      <c r="X217">
        <v>5</v>
      </c>
    </row>
    <row r="218" spans="1:24" x14ac:dyDescent="0.3">
      <c r="A218">
        <v>217</v>
      </c>
      <c r="B218" t="s">
        <v>1993</v>
      </c>
      <c r="C218" s="6">
        <v>44413</v>
      </c>
      <c r="D218" t="str">
        <f t="shared" si="12"/>
        <v>Aug</v>
      </c>
      <c r="E218" t="str">
        <f t="shared" si="13"/>
        <v>2021</v>
      </c>
      <c r="F218" t="s">
        <v>4</v>
      </c>
      <c r="G218" t="s">
        <v>107</v>
      </c>
      <c r="H218" t="s">
        <v>748</v>
      </c>
      <c r="I218">
        <v>150</v>
      </c>
      <c r="J218">
        <v>18</v>
      </c>
      <c r="K218">
        <f t="shared" si="14"/>
        <v>12</v>
      </c>
      <c r="L218" t="s">
        <v>1740</v>
      </c>
      <c r="M218" t="s">
        <v>3615</v>
      </c>
      <c r="N218" t="s">
        <v>1</v>
      </c>
      <c r="O218">
        <v>801503</v>
      </c>
      <c r="P218" t="s">
        <v>546</v>
      </c>
      <c r="Q218" t="s">
        <v>1765</v>
      </c>
      <c r="S218">
        <v>89.584000000000003</v>
      </c>
      <c r="T218">
        <v>2</v>
      </c>
      <c r="U218">
        <v>0.2</v>
      </c>
      <c r="V218">
        <v>4.4791999999999996</v>
      </c>
      <c r="W218">
        <f t="shared" si="15"/>
        <v>42.552399999999999</v>
      </c>
      <c r="X218">
        <v>2</v>
      </c>
    </row>
    <row r="219" spans="1:24" x14ac:dyDescent="0.3">
      <c r="A219">
        <v>218</v>
      </c>
      <c r="B219" t="s">
        <v>1994</v>
      </c>
      <c r="C219" s="6">
        <v>44414</v>
      </c>
      <c r="D219" t="str">
        <f t="shared" si="12"/>
        <v>Aug</v>
      </c>
      <c r="E219" t="str">
        <f t="shared" si="13"/>
        <v>2021</v>
      </c>
      <c r="F219" t="s">
        <v>4</v>
      </c>
      <c r="G219" t="s">
        <v>108</v>
      </c>
      <c r="H219" t="s">
        <v>724</v>
      </c>
      <c r="I219">
        <v>160</v>
      </c>
      <c r="J219">
        <v>24</v>
      </c>
      <c r="K219">
        <f t="shared" si="14"/>
        <v>15</v>
      </c>
      <c r="L219" t="s">
        <v>1742</v>
      </c>
      <c r="M219" t="s">
        <v>3616</v>
      </c>
      <c r="N219" t="s">
        <v>1</v>
      </c>
      <c r="O219">
        <v>631502</v>
      </c>
      <c r="P219" t="s">
        <v>546</v>
      </c>
      <c r="Q219" t="s">
        <v>1763</v>
      </c>
      <c r="S219">
        <v>93.06</v>
      </c>
      <c r="T219">
        <v>6</v>
      </c>
      <c r="U219">
        <v>0.1</v>
      </c>
      <c r="V219">
        <v>26.056799999999999</v>
      </c>
      <c r="W219">
        <f t="shared" si="15"/>
        <v>11.167200000000001</v>
      </c>
      <c r="X219">
        <v>2</v>
      </c>
    </row>
    <row r="220" spans="1:24" x14ac:dyDescent="0.3">
      <c r="A220">
        <v>219</v>
      </c>
      <c r="B220" t="s">
        <v>1995</v>
      </c>
      <c r="C220" s="6">
        <v>44415</v>
      </c>
      <c r="D220" t="str">
        <f t="shared" si="12"/>
        <v>Aug</v>
      </c>
      <c r="E220" t="str">
        <f t="shared" si="13"/>
        <v>2021</v>
      </c>
      <c r="F220" t="s">
        <v>4</v>
      </c>
      <c r="G220" t="s">
        <v>108</v>
      </c>
      <c r="H220" t="s">
        <v>749</v>
      </c>
      <c r="I220">
        <v>120</v>
      </c>
      <c r="J220">
        <v>16</v>
      </c>
      <c r="K220">
        <f t="shared" si="14"/>
        <v>13.333333333333334</v>
      </c>
      <c r="L220" t="s">
        <v>1739</v>
      </c>
      <c r="M220" t="s">
        <v>3617</v>
      </c>
      <c r="N220" t="s">
        <v>1</v>
      </c>
      <c r="O220">
        <v>800001</v>
      </c>
      <c r="P220" t="s">
        <v>546</v>
      </c>
      <c r="Q220" t="s">
        <v>1755</v>
      </c>
      <c r="R220" t="s">
        <v>2</v>
      </c>
      <c r="S220">
        <v>302.37599999999998</v>
      </c>
      <c r="T220">
        <v>3</v>
      </c>
      <c r="U220">
        <v>0.2</v>
      </c>
      <c r="V220">
        <v>22.6782</v>
      </c>
      <c r="W220">
        <f t="shared" si="15"/>
        <v>93.232599999999991</v>
      </c>
      <c r="X220">
        <v>1</v>
      </c>
    </row>
    <row r="221" spans="1:24" x14ac:dyDescent="0.3">
      <c r="A221">
        <v>220</v>
      </c>
      <c r="B221" t="s">
        <v>1996</v>
      </c>
      <c r="C221" s="6">
        <v>44416</v>
      </c>
      <c r="D221" t="str">
        <f t="shared" si="12"/>
        <v>Aug</v>
      </c>
      <c r="E221" t="str">
        <f t="shared" si="13"/>
        <v>2021</v>
      </c>
      <c r="F221" t="s">
        <v>5</v>
      </c>
      <c r="G221" t="s">
        <v>109</v>
      </c>
      <c r="H221" t="s">
        <v>750</v>
      </c>
      <c r="I221">
        <v>210</v>
      </c>
      <c r="J221">
        <v>16</v>
      </c>
      <c r="K221">
        <f t="shared" si="14"/>
        <v>7.6190476190476195</v>
      </c>
      <c r="L221" t="s">
        <v>1738</v>
      </c>
      <c r="M221" t="s">
        <v>3618</v>
      </c>
      <c r="N221" t="s">
        <v>1</v>
      </c>
      <c r="O221">
        <v>600096</v>
      </c>
      <c r="P221" t="s">
        <v>546</v>
      </c>
      <c r="Q221" t="s">
        <v>1773</v>
      </c>
      <c r="S221">
        <v>5.5839999999999996</v>
      </c>
      <c r="T221">
        <v>2</v>
      </c>
      <c r="U221">
        <v>0.2</v>
      </c>
      <c r="V221">
        <v>1.8148</v>
      </c>
      <c r="W221">
        <f t="shared" si="15"/>
        <v>1.8845999999999998</v>
      </c>
      <c r="X221">
        <v>2</v>
      </c>
    </row>
    <row r="222" spans="1:24" x14ac:dyDescent="0.3">
      <c r="A222">
        <v>221</v>
      </c>
      <c r="B222" t="s">
        <v>1997</v>
      </c>
      <c r="C222" s="6">
        <v>44417</v>
      </c>
      <c r="D222" t="str">
        <f t="shared" si="12"/>
        <v>Aug</v>
      </c>
      <c r="E222" t="str">
        <f t="shared" si="13"/>
        <v>2021</v>
      </c>
      <c r="F222" t="s">
        <v>5</v>
      </c>
      <c r="G222" t="s">
        <v>109</v>
      </c>
      <c r="H222" t="s">
        <v>751</v>
      </c>
      <c r="I222">
        <v>110</v>
      </c>
      <c r="J222">
        <v>24</v>
      </c>
      <c r="K222">
        <f t="shared" si="14"/>
        <v>21.818181818181817</v>
      </c>
      <c r="L222" t="s">
        <v>1741</v>
      </c>
      <c r="M222" t="s">
        <v>3619</v>
      </c>
      <c r="N222" t="s">
        <v>1</v>
      </c>
      <c r="O222">
        <v>600096</v>
      </c>
      <c r="P222" t="s">
        <v>546</v>
      </c>
      <c r="Q222" t="s">
        <v>1759</v>
      </c>
      <c r="R222" t="s">
        <v>2</v>
      </c>
      <c r="S222">
        <v>22.704000000000001</v>
      </c>
      <c r="T222">
        <v>6</v>
      </c>
      <c r="U222">
        <v>0.2</v>
      </c>
      <c r="V222">
        <v>8.2302</v>
      </c>
      <c r="W222">
        <f t="shared" si="15"/>
        <v>2.4123000000000001</v>
      </c>
      <c r="X222">
        <v>5</v>
      </c>
    </row>
    <row r="223" spans="1:24" x14ac:dyDescent="0.3">
      <c r="A223">
        <v>222</v>
      </c>
      <c r="B223" t="s">
        <v>1998</v>
      </c>
      <c r="C223" s="6">
        <v>44418</v>
      </c>
      <c r="D223" t="str">
        <f t="shared" si="12"/>
        <v>Aug</v>
      </c>
      <c r="E223" t="str">
        <f t="shared" si="13"/>
        <v>2021</v>
      </c>
      <c r="F223" t="s">
        <v>5</v>
      </c>
      <c r="G223" t="s">
        <v>109</v>
      </c>
      <c r="H223" t="s">
        <v>638</v>
      </c>
      <c r="I223">
        <v>160</v>
      </c>
      <c r="J223">
        <v>8</v>
      </c>
      <c r="K223">
        <f t="shared" si="14"/>
        <v>5</v>
      </c>
      <c r="L223" t="s">
        <v>1737</v>
      </c>
      <c r="M223" t="s">
        <v>3620</v>
      </c>
      <c r="N223" t="s">
        <v>1</v>
      </c>
      <c r="O223">
        <v>695009</v>
      </c>
      <c r="P223" t="s">
        <v>546</v>
      </c>
      <c r="Q223" t="s">
        <v>1759</v>
      </c>
      <c r="R223" t="s">
        <v>2</v>
      </c>
      <c r="S223">
        <v>19.776</v>
      </c>
      <c r="T223">
        <v>4</v>
      </c>
      <c r="U223">
        <v>0.7</v>
      </c>
      <c r="V223">
        <v>-13.8432</v>
      </c>
      <c r="W223">
        <f t="shared" si="15"/>
        <v>8.4047999999999998</v>
      </c>
      <c r="X223">
        <v>1</v>
      </c>
    </row>
    <row r="224" spans="1:24" x14ac:dyDescent="0.3">
      <c r="A224">
        <v>223</v>
      </c>
      <c r="B224" t="s">
        <v>1999</v>
      </c>
      <c r="C224" s="6">
        <v>44419</v>
      </c>
      <c r="D224" t="str">
        <f t="shared" si="12"/>
        <v>Aug</v>
      </c>
      <c r="E224" t="str">
        <f t="shared" si="13"/>
        <v>2021</v>
      </c>
      <c r="F224" t="s">
        <v>5</v>
      </c>
      <c r="G224" t="s">
        <v>109</v>
      </c>
      <c r="H224" t="s">
        <v>752</v>
      </c>
      <c r="I224">
        <v>130</v>
      </c>
      <c r="J224">
        <v>6</v>
      </c>
      <c r="K224">
        <f t="shared" si="14"/>
        <v>4.6153846153846159</v>
      </c>
      <c r="L224" t="s">
        <v>1743</v>
      </c>
      <c r="M224" t="s">
        <v>3621</v>
      </c>
      <c r="O224">
        <v>201309</v>
      </c>
      <c r="P224" t="s">
        <v>546</v>
      </c>
      <c r="Q224" t="s">
        <v>1766</v>
      </c>
      <c r="S224">
        <v>72.703999999999994</v>
      </c>
      <c r="T224">
        <v>4</v>
      </c>
      <c r="U224">
        <v>0.2</v>
      </c>
      <c r="V224">
        <v>19.084800000000001</v>
      </c>
      <c r="W224">
        <f t="shared" si="15"/>
        <v>13.404799999999998</v>
      </c>
      <c r="X224">
        <v>2</v>
      </c>
    </row>
    <row r="225" spans="1:24" x14ac:dyDescent="0.3">
      <c r="A225">
        <v>224</v>
      </c>
      <c r="B225" t="s">
        <v>2000</v>
      </c>
      <c r="C225" s="6">
        <v>44420</v>
      </c>
      <c r="D225" t="str">
        <f t="shared" si="12"/>
        <v>Aug</v>
      </c>
      <c r="E225" t="str">
        <f t="shared" si="13"/>
        <v>2021</v>
      </c>
      <c r="F225" t="s">
        <v>5</v>
      </c>
      <c r="G225" t="s">
        <v>109</v>
      </c>
      <c r="H225" t="s">
        <v>753</v>
      </c>
      <c r="I225">
        <v>130</v>
      </c>
      <c r="J225">
        <v>8</v>
      </c>
      <c r="K225">
        <f t="shared" si="14"/>
        <v>6.1538461538461542</v>
      </c>
      <c r="L225" t="s">
        <v>1738</v>
      </c>
      <c r="M225" t="s">
        <v>3622</v>
      </c>
      <c r="N225" t="s">
        <v>1</v>
      </c>
      <c r="O225">
        <v>500097</v>
      </c>
      <c r="P225" t="s">
        <v>546</v>
      </c>
      <c r="Q225" t="s">
        <v>1766</v>
      </c>
      <c r="S225">
        <v>479.988</v>
      </c>
      <c r="T225">
        <v>4</v>
      </c>
      <c r="U225">
        <v>0.7</v>
      </c>
      <c r="V225">
        <v>-383.99040000000002</v>
      </c>
      <c r="W225">
        <f t="shared" si="15"/>
        <v>215.99459999999999</v>
      </c>
      <c r="X225">
        <v>2</v>
      </c>
    </row>
    <row r="226" spans="1:24" x14ac:dyDescent="0.3">
      <c r="A226">
        <v>225</v>
      </c>
      <c r="B226" t="s">
        <v>2001</v>
      </c>
      <c r="C226" s="6">
        <v>44421</v>
      </c>
      <c r="D226" t="str">
        <f t="shared" si="12"/>
        <v>Aug</v>
      </c>
      <c r="E226" t="str">
        <f t="shared" si="13"/>
        <v>2021</v>
      </c>
      <c r="F226" t="s">
        <v>5</v>
      </c>
      <c r="G226" t="s">
        <v>109</v>
      </c>
      <c r="H226" t="s">
        <v>754</v>
      </c>
      <c r="I226">
        <v>150</v>
      </c>
      <c r="J226">
        <v>26</v>
      </c>
      <c r="K226">
        <f t="shared" si="14"/>
        <v>17.333333333333336</v>
      </c>
      <c r="L226" t="s">
        <v>1739</v>
      </c>
      <c r="M226" t="s">
        <v>3623</v>
      </c>
      <c r="N226" t="s">
        <v>1</v>
      </c>
      <c r="O226">
        <v>450001</v>
      </c>
      <c r="P226" t="s">
        <v>546</v>
      </c>
      <c r="Q226" t="s">
        <v>1758</v>
      </c>
      <c r="S226">
        <v>27.167999999999999</v>
      </c>
      <c r="T226">
        <v>2</v>
      </c>
      <c r="U226">
        <v>0.2</v>
      </c>
      <c r="V226">
        <v>2.7168000000000001</v>
      </c>
      <c r="W226">
        <f t="shared" si="15"/>
        <v>12.2256</v>
      </c>
      <c r="X226">
        <v>3</v>
      </c>
    </row>
    <row r="227" spans="1:24" x14ac:dyDescent="0.3">
      <c r="A227">
        <v>226</v>
      </c>
      <c r="B227" t="s">
        <v>2002</v>
      </c>
      <c r="C227" s="6">
        <v>44422</v>
      </c>
      <c r="D227" t="str">
        <f t="shared" si="12"/>
        <v>Aug</v>
      </c>
      <c r="E227" t="str">
        <f t="shared" si="13"/>
        <v>2021</v>
      </c>
      <c r="F227" t="s">
        <v>4</v>
      </c>
      <c r="G227" t="s">
        <v>110</v>
      </c>
      <c r="H227" t="s">
        <v>755</v>
      </c>
      <c r="I227">
        <v>220</v>
      </c>
      <c r="J227">
        <v>8</v>
      </c>
      <c r="K227">
        <f t="shared" si="14"/>
        <v>3.6363636363636362</v>
      </c>
      <c r="L227" t="s">
        <v>1736</v>
      </c>
      <c r="M227" t="s">
        <v>3624</v>
      </c>
      <c r="N227" t="s">
        <v>1</v>
      </c>
      <c r="O227">
        <v>575006</v>
      </c>
      <c r="P227" t="s">
        <v>546</v>
      </c>
      <c r="Q227" t="s">
        <v>1776</v>
      </c>
      <c r="R227" t="s">
        <v>2</v>
      </c>
      <c r="S227">
        <v>2.2000000000000002</v>
      </c>
      <c r="T227">
        <v>1</v>
      </c>
      <c r="U227">
        <v>0.1</v>
      </c>
      <c r="V227">
        <v>0.96799999999999997</v>
      </c>
      <c r="W227">
        <f t="shared" si="15"/>
        <v>1.2320000000000002</v>
      </c>
      <c r="X227">
        <v>2</v>
      </c>
    </row>
    <row r="228" spans="1:24" x14ac:dyDescent="0.3">
      <c r="A228">
        <v>227</v>
      </c>
      <c r="B228" t="s">
        <v>2003</v>
      </c>
      <c r="C228" s="6">
        <v>44423</v>
      </c>
      <c r="D228" t="str">
        <f t="shared" si="12"/>
        <v>Aug</v>
      </c>
      <c r="E228" t="str">
        <f t="shared" si="13"/>
        <v>2021</v>
      </c>
      <c r="F228" t="s">
        <v>4</v>
      </c>
      <c r="G228" t="s">
        <v>110</v>
      </c>
      <c r="H228" t="s">
        <v>756</v>
      </c>
      <c r="I228">
        <v>140</v>
      </c>
      <c r="J228">
        <v>14</v>
      </c>
      <c r="K228">
        <f t="shared" si="14"/>
        <v>10</v>
      </c>
      <c r="L228" t="s">
        <v>1744</v>
      </c>
      <c r="M228" t="s">
        <v>3625</v>
      </c>
      <c r="N228" t="s">
        <v>1</v>
      </c>
      <c r="O228">
        <v>391101</v>
      </c>
      <c r="P228" t="s">
        <v>546</v>
      </c>
      <c r="Q228" t="s">
        <v>1761</v>
      </c>
      <c r="S228">
        <v>622.45000000000005</v>
      </c>
      <c r="T228">
        <v>5</v>
      </c>
      <c r="U228">
        <v>0.1</v>
      </c>
      <c r="V228">
        <v>136.93899999999999</v>
      </c>
      <c r="W228">
        <f t="shared" si="15"/>
        <v>97.102200000000011</v>
      </c>
      <c r="X228">
        <v>4</v>
      </c>
    </row>
    <row r="229" spans="1:24" x14ac:dyDescent="0.3">
      <c r="A229">
        <v>228</v>
      </c>
      <c r="B229" t="s">
        <v>2004</v>
      </c>
      <c r="C229" s="6">
        <v>44424</v>
      </c>
      <c r="D229" t="str">
        <f t="shared" si="12"/>
        <v>Aug</v>
      </c>
      <c r="E229" t="str">
        <f t="shared" si="13"/>
        <v>2021</v>
      </c>
      <c r="F229" t="s">
        <v>4</v>
      </c>
      <c r="G229" t="s">
        <v>110</v>
      </c>
      <c r="H229" t="s">
        <v>757</v>
      </c>
      <c r="I229">
        <v>130</v>
      </c>
      <c r="J229">
        <v>12</v>
      </c>
      <c r="K229">
        <f t="shared" si="14"/>
        <v>9.2307692307692317</v>
      </c>
      <c r="L229" t="s">
        <v>1740</v>
      </c>
      <c r="M229" t="s">
        <v>3626</v>
      </c>
      <c r="N229" t="s">
        <v>1</v>
      </c>
      <c r="O229">
        <v>483504</v>
      </c>
      <c r="P229" t="s">
        <v>546</v>
      </c>
      <c r="Q229" t="s">
        <v>1773</v>
      </c>
      <c r="S229">
        <v>21.98</v>
      </c>
      <c r="T229">
        <v>1</v>
      </c>
      <c r="U229">
        <v>0.1</v>
      </c>
      <c r="V229">
        <v>0.2198</v>
      </c>
      <c r="W229">
        <f t="shared" si="15"/>
        <v>21.760200000000001</v>
      </c>
      <c r="X229">
        <v>4</v>
      </c>
    </row>
    <row r="230" spans="1:24" x14ac:dyDescent="0.3">
      <c r="A230">
        <v>229</v>
      </c>
      <c r="B230" t="s">
        <v>2005</v>
      </c>
      <c r="C230" s="6">
        <v>44425</v>
      </c>
      <c r="D230" t="str">
        <f t="shared" si="12"/>
        <v>Aug</v>
      </c>
      <c r="E230" t="str">
        <f t="shared" si="13"/>
        <v>2021</v>
      </c>
      <c r="F230" t="s">
        <v>4</v>
      </c>
      <c r="G230" t="s">
        <v>111</v>
      </c>
      <c r="H230" t="s">
        <v>758</v>
      </c>
      <c r="I230">
        <v>180</v>
      </c>
      <c r="J230">
        <v>28</v>
      </c>
      <c r="K230">
        <f t="shared" si="14"/>
        <v>15.555555555555555</v>
      </c>
      <c r="L230" t="s">
        <v>1742</v>
      </c>
      <c r="M230" t="s">
        <v>3627</v>
      </c>
      <c r="N230" t="s">
        <v>1</v>
      </c>
      <c r="O230">
        <v>768002</v>
      </c>
      <c r="P230" t="s">
        <v>546</v>
      </c>
      <c r="Q230" t="s">
        <v>1754</v>
      </c>
      <c r="S230">
        <v>161.56800000000001</v>
      </c>
      <c r="T230">
        <v>2</v>
      </c>
      <c r="U230">
        <v>0.2</v>
      </c>
      <c r="V230">
        <v>-28.2744</v>
      </c>
      <c r="W230">
        <f t="shared" si="15"/>
        <v>94.921199999999999</v>
      </c>
      <c r="X230">
        <v>2</v>
      </c>
    </row>
    <row r="231" spans="1:24" x14ac:dyDescent="0.3">
      <c r="A231">
        <v>230</v>
      </c>
      <c r="B231" t="s">
        <v>2006</v>
      </c>
      <c r="C231" s="6">
        <v>44426</v>
      </c>
      <c r="D231" t="str">
        <f t="shared" si="12"/>
        <v>Aug</v>
      </c>
      <c r="E231" t="str">
        <f t="shared" si="13"/>
        <v>2021</v>
      </c>
      <c r="F231" t="s">
        <v>4</v>
      </c>
      <c r="G231" t="s">
        <v>111</v>
      </c>
      <c r="H231" t="s">
        <v>759</v>
      </c>
      <c r="I231">
        <v>190</v>
      </c>
      <c r="J231">
        <v>16</v>
      </c>
      <c r="K231">
        <f t="shared" si="14"/>
        <v>8.4210526315789469</v>
      </c>
      <c r="L231" t="s">
        <v>1739</v>
      </c>
      <c r="M231" t="s">
        <v>3628</v>
      </c>
      <c r="N231" t="s">
        <v>1</v>
      </c>
      <c r="O231">
        <v>500089</v>
      </c>
      <c r="P231" t="s">
        <v>546</v>
      </c>
      <c r="Q231" t="s">
        <v>1772</v>
      </c>
      <c r="S231">
        <v>389.69600000000003</v>
      </c>
      <c r="T231">
        <v>8</v>
      </c>
      <c r="U231">
        <v>0.2</v>
      </c>
      <c r="V231">
        <v>43.840800000000002</v>
      </c>
      <c r="W231">
        <f t="shared" si="15"/>
        <v>43.231900000000003</v>
      </c>
      <c r="X231">
        <v>5</v>
      </c>
    </row>
    <row r="232" spans="1:24" x14ac:dyDescent="0.3">
      <c r="A232">
        <v>231</v>
      </c>
      <c r="B232" t="s">
        <v>1873</v>
      </c>
      <c r="C232" s="6">
        <v>44427</v>
      </c>
      <c r="D232" t="str">
        <f t="shared" si="12"/>
        <v>Aug</v>
      </c>
      <c r="E232" t="str">
        <f t="shared" si="13"/>
        <v>2021</v>
      </c>
      <c r="F232" t="s">
        <v>4</v>
      </c>
      <c r="G232" t="s">
        <v>112</v>
      </c>
      <c r="H232" t="s">
        <v>760</v>
      </c>
      <c r="I232">
        <v>150</v>
      </c>
      <c r="J232">
        <v>26</v>
      </c>
      <c r="K232">
        <f t="shared" si="14"/>
        <v>17.333333333333336</v>
      </c>
      <c r="L232" t="s">
        <v>1738</v>
      </c>
      <c r="M232" t="s">
        <v>3629</v>
      </c>
      <c r="N232" t="s">
        <v>1</v>
      </c>
      <c r="O232">
        <v>845454</v>
      </c>
      <c r="P232" t="s">
        <v>546</v>
      </c>
      <c r="Q232" t="s">
        <v>1772</v>
      </c>
      <c r="S232">
        <v>18.648</v>
      </c>
      <c r="T232">
        <v>7</v>
      </c>
      <c r="U232">
        <v>0.7</v>
      </c>
      <c r="V232">
        <v>-12.432</v>
      </c>
      <c r="W232">
        <f t="shared" si="15"/>
        <v>4.4399999999999995</v>
      </c>
      <c r="X232">
        <v>2</v>
      </c>
    </row>
    <row r="233" spans="1:24" x14ac:dyDescent="0.3">
      <c r="A233">
        <v>232</v>
      </c>
      <c r="B233" t="s">
        <v>2007</v>
      </c>
      <c r="C233" s="6">
        <v>44428</v>
      </c>
      <c r="D233" t="str">
        <f t="shared" si="12"/>
        <v>Aug</v>
      </c>
      <c r="E233" t="str">
        <f t="shared" si="13"/>
        <v>2021</v>
      </c>
      <c r="F233" t="s">
        <v>4</v>
      </c>
      <c r="G233" t="s">
        <v>44</v>
      </c>
      <c r="H233" t="s">
        <v>761</v>
      </c>
      <c r="I233">
        <v>220</v>
      </c>
      <c r="J233">
        <v>22</v>
      </c>
      <c r="K233">
        <f t="shared" si="14"/>
        <v>10</v>
      </c>
      <c r="L233" t="s">
        <v>1743</v>
      </c>
      <c r="M233" t="s">
        <v>3630</v>
      </c>
      <c r="N233" t="s">
        <v>1</v>
      </c>
      <c r="O233">
        <v>474001</v>
      </c>
      <c r="P233" t="s">
        <v>546</v>
      </c>
      <c r="Q233" t="s">
        <v>1774</v>
      </c>
      <c r="S233">
        <v>233.86</v>
      </c>
      <c r="T233">
        <v>2</v>
      </c>
      <c r="U233">
        <v>0.45</v>
      </c>
      <c r="V233">
        <v>-102.048</v>
      </c>
      <c r="W233">
        <f t="shared" si="15"/>
        <v>167.95400000000001</v>
      </c>
      <c r="X233">
        <v>4</v>
      </c>
    </row>
    <row r="234" spans="1:24" x14ac:dyDescent="0.3">
      <c r="A234">
        <v>233</v>
      </c>
      <c r="B234" t="s">
        <v>2008</v>
      </c>
      <c r="C234" s="6">
        <v>44429</v>
      </c>
      <c r="D234" t="str">
        <f t="shared" si="12"/>
        <v>Aug</v>
      </c>
      <c r="E234" t="str">
        <f t="shared" si="13"/>
        <v>2021</v>
      </c>
      <c r="F234" t="s">
        <v>4</v>
      </c>
      <c r="G234" t="s">
        <v>44</v>
      </c>
      <c r="H234" t="s">
        <v>762</v>
      </c>
      <c r="I234">
        <v>220</v>
      </c>
      <c r="J234">
        <v>30</v>
      </c>
      <c r="K234">
        <f t="shared" si="14"/>
        <v>13.636363636363635</v>
      </c>
      <c r="L234" t="s">
        <v>1737</v>
      </c>
      <c r="M234" t="s">
        <v>3631</v>
      </c>
      <c r="N234" t="s">
        <v>1</v>
      </c>
      <c r="O234">
        <v>396210</v>
      </c>
      <c r="P234" t="s">
        <v>546</v>
      </c>
      <c r="Q234" t="s">
        <v>1776</v>
      </c>
      <c r="S234">
        <v>620.61450000000002</v>
      </c>
      <c r="T234">
        <v>3</v>
      </c>
      <c r="U234">
        <v>0.45</v>
      </c>
      <c r="V234">
        <v>-248.2458</v>
      </c>
      <c r="W234">
        <f t="shared" si="15"/>
        <v>289.62010000000004</v>
      </c>
      <c r="X234">
        <v>2</v>
      </c>
    </row>
    <row r="235" spans="1:24" x14ac:dyDescent="0.3">
      <c r="A235">
        <v>234</v>
      </c>
      <c r="B235" t="s">
        <v>2009</v>
      </c>
      <c r="C235" s="6">
        <v>44430</v>
      </c>
      <c r="D235" t="str">
        <f t="shared" si="12"/>
        <v>Aug</v>
      </c>
      <c r="E235" t="str">
        <f t="shared" si="13"/>
        <v>2021</v>
      </c>
      <c r="F235" t="s">
        <v>4</v>
      </c>
      <c r="G235" t="s">
        <v>44</v>
      </c>
      <c r="H235" t="s">
        <v>760</v>
      </c>
      <c r="I235">
        <v>130</v>
      </c>
      <c r="J235">
        <v>16</v>
      </c>
      <c r="K235">
        <f t="shared" si="14"/>
        <v>12.307692307692308</v>
      </c>
      <c r="L235" t="s">
        <v>1741</v>
      </c>
      <c r="M235" t="s">
        <v>3632</v>
      </c>
      <c r="N235" t="s">
        <v>1</v>
      </c>
      <c r="O235">
        <v>641105</v>
      </c>
      <c r="P235" t="s">
        <v>546</v>
      </c>
      <c r="Q235" t="s">
        <v>1755</v>
      </c>
      <c r="S235">
        <v>5.3280000000000003</v>
      </c>
      <c r="T235">
        <v>2</v>
      </c>
      <c r="U235">
        <v>0.7</v>
      </c>
      <c r="V235">
        <v>-3.552</v>
      </c>
      <c r="W235">
        <f t="shared" si="15"/>
        <v>4.4400000000000004</v>
      </c>
      <c r="X235">
        <v>4</v>
      </c>
    </row>
    <row r="236" spans="1:24" x14ac:dyDescent="0.3">
      <c r="A236">
        <v>235</v>
      </c>
      <c r="B236" t="s">
        <v>2010</v>
      </c>
      <c r="C236" s="6">
        <v>44431</v>
      </c>
      <c r="D236" t="str">
        <f t="shared" si="12"/>
        <v>Aug</v>
      </c>
      <c r="E236" t="str">
        <f t="shared" si="13"/>
        <v>2021</v>
      </c>
      <c r="F236" t="s">
        <v>4</v>
      </c>
      <c r="G236" t="s">
        <v>44</v>
      </c>
      <c r="H236" t="s">
        <v>763</v>
      </c>
      <c r="I236">
        <v>190</v>
      </c>
      <c r="J236">
        <v>18</v>
      </c>
      <c r="K236">
        <f t="shared" si="14"/>
        <v>9.4736842105263168</v>
      </c>
      <c r="L236" t="s">
        <v>1736</v>
      </c>
      <c r="M236" t="s">
        <v>3633</v>
      </c>
      <c r="N236" t="s">
        <v>1</v>
      </c>
      <c r="O236">
        <v>690573</v>
      </c>
      <c r="P236" t="s">
        <v>546</v>
      </c>
      <c r="Q236" t="s">
        <v>1768</v>
      </c>
      <c r="S236">
        <v>258.072</v>
      </c>
      <c r="T236">
        <v>3</v>
      </c>
      <c r="U236">
        <v>0.2</v>
      </c>
      <c r="V236">
        <v>0.1</v>
      </c>
      <c r="W236">
        <f t="shared" si="15"/>
        <v>85.990666666666655</v>
      </c>
      <c r="X236">
        <v>1</v>
      </c>
    </row>
    <row r="237" spans="1:24" x14ac:dyDescent="0.3">
      <c r="A237">
        <v>236</v>
      </c>
      <c r="B237" t="s">
        <v>2011</v>
      </c>
      <c r="C237" s="6">
        <v>44432</v>
      </c>
      <c r="D237" t="str">
        <f t="shared" si="12"/>
        <v>Aug</v>
      </c>
      <c r="E237" t="str">
        <f t="shared" si="13"/>
        <v>2021</v>
      </c>
      <c r="F237" t="s">
        <v>4</v>
      </c>
      <c r="G237" t="s">
        <v>44</v>
      </c>
      <c r="H237" t="s">
        <v>764</v>
      </c>
      <c r="I237">
        <v>190</v>
      </c>
      <c r="J237">
        <v>24</v>
      </c>
      <c r="K237">
        <f t="shared" si="14"/>
        <v>12.631578947368421</v>
      </c>
      <c r="L237" t="s">
        <v>1744</v>
      </c>
      <c r="M237" t="s">
        <v>3634</v>
      </c>
      <c r="N237" t="s">
        <v>1</v>
      </c>
      <c r="O237">
        <v>690573</v>
      </c>
      <c r="P237" t="s">
        <v>546</v>
      </c>
      <c r="Q237" t="s">
        <v>1766</v>
      </c>
      <c r="S237">
        <v>617.976</v>
      </c>
      <c r="T237">
        <v>3</v>
      </c>
      <c r="U237">
        <v>0.2</v>
      </c>
      <c r="V237">
        <v>-7.7247000000000003</v>
      </c>
      <c r="W237">
        <f t="shared" si="15"/>
        <v>208.5669</v>
      </c>
      <c r="X237">
        <v>2</v>
      </c>
    </row>
    <row r="238" spans="1:24" x14ac:dyDescent="0.3">
      <c r="A238">
        <v>237</v>
      </c>
      <c r="B238" t="s">
        <v>2012</v>
      </c>
      <c r="C238" s="6">
        <v>44433</v>
      </c>
      <c r="D238" t="str">
        <f t="shared" si="12"/>
        <v>Aug</v>
      </c>
      <c r="E238" t="str">
        <f t="shared" si="13"/>
        <v>2021</v>
      </c>
      <c r="F238" t="s">
        <v>4</v>
      </c>
      <c r="G238" t="s">
        <v>113</v>
      </c>
      <c r="H238" t="s">
        <v>765</v>
      </c>
      <c r="I238">
        <v>180</v>
      </c>
      <c r="J238">
        <v>26</v>
      </c>
      <c r="K238">
        <f t="shared" si="14"/>
        <v>14.444444444444443</v>
      </c>
      <c r="L238" t="s">
        <v>1740</v>
      </c>
      <c r="M238" t="s">
        <v>3635</v>
      </c>
      <c r="N238" t="s">
        <v>1</v>
      </c>
      <c r="O238">
        <v>400705</v>
      </c>
      <c r="P238" t="s">
        <v>546</v>
      </c>
      <c r="Q238" t="s">
        <v>1761</v>
      </c>
      <c r="S238">
        <v>10.56</v>
      </c>
      <c r="T238">
        <v>2</v>
      </c>
      <c r="U238">
        <v>0.1</v>
      </c>
      <c r="V238">
        <v>4.7519999999999998</v>
      </c>
      <c r="W238">
        <f t="shared" si="15"/>
        <v>2.9040000000000004</v>
      </c>
      <c r="X238">
        <v>1</v>
      </c>
    </row>
    <row r="239" spans="1:24" x14ac:dyDescent="0.3">
      <c r="A239">
        <v>238</v>
      </c>
      <c r="B239" t="s">
        <v>2013</v>
      </c>
      <c r="C239" s="6">
        <v>44434</v>
      </c>
      <c r="D239" t="str">
        <f t="shared" si="12"/>
        <v>Aug</v>
      </c>
      <c r="E239" t="str">
        <f t="shared" si="13"/>
        <v>2021</v>
      </c>
      <c r="F239" t="s">
        <v>3</v>
      </c>
      <c r="G239" t="s">
        <v>114</v>
      </c>
      <c r="H239" t="s">
        <v>766</v>
      </c>
      <c r="I239">
        <v>240</v>
      </c>
      <c r="J239">
        <v>24</v>
      </c>
      <c r="K239">
        <f t="shared" si="14"/>
        <v>10</v>
      </c>
      <c r="L239" t="s">
        <v>1742</v>
      </c>
      <c r="M239" t="s">
        <v>3636</v>
      </c>
      <c r="N239" t="s">
        <v>1</v>
      </c>
      <c r="O239">
        <v>600033</v>
      </c>
      <c r="P239" t="s">
        <v>546</v>
      </c>
      <c r="Q239" t="s">
        <v>1768</v>
      </c>
      <c r="S239">
        <v>25.92</v>
      </c>
      <c r="T239">
        <v>5</v>
      </c>
      <c r="U239">
        <v>0.2</v>
      </c>
      <c r="V239">
        <v>9.3960000000000008</v>
      </c>
      <c r="W239">
        <f t="shared" si="15"/>
        <v>3.3048000000000002</v>
      </c>
      <c r="X239">
        <v>1</v>
      </c>
    </row>
    <row r="240" spans="1:24" x14ac:dyDescent="0.3">
      <c r="A240">
        <v>239</v>
      </c>
      <c r="B240" t="s">
        <v>2014</v>
      </c>
      <c r="C240" s="6">
        <v>44435</v>
      </c>
      <c r="D240" t="str">
        <f t="shared" si="12"/>
        <v>Aug</v>
      </c>
      <c r="E240" t="str">
        <f t="shared" si="13"/>
        <v>2021</v>
      </c>
      <c r="F240" t="s">
        <v>3</v>
      </c>
      <c r="G240" t="s">
        <v>114</v>
      </c>
      <c r="H240" t="s">
        <v>767</v>
      </c>
      <c r="I240">
        <v>160</v>
      </c>
      <c r="J240">
        <v>28</v>
      </c>
      <c r="K240">
        <f t="shared" si="14"/>
        <v>17.5</v>
      </c>
      <c r="L240" t="s">
        <v>1739</v>
      </c>
      <c r="M240" t="s">
        <v>3637</v>
      </c>
      <c r="N240" t="s">
        <v>1</v>
      </c>
      <c r="O240">
        <v>600033</v>
      </c>
      <c r="P240" t="s">
        <v>546</v>
      </c>
      <c r="Q240" t="s">
        <v>1764</v>
      </c>
      <c r="S240">
        <v>419.68</v>
      </c>
      <c r="T240">
        <v>5</v>
      </c>
      <c r="U240">
        <v>0.6</v>
      </c>
      <c r="V240">
        <v>-356.72800000000001</v>
      </c>
      <c r="W240">
        <f t="shared" si="15"/>
        <v>155.2816</v>
      </c>
      <c r="X240">
        <v>5</v>
      </c>
    </row>
    <row r="241" spans="1:24" x14ac:dyDescent="0.3">
      <c r="A241">
        <v>240</v>
      </c>
      <c r="B241" t="s">
        <v>2015</v>
      </c>
      <c r="C241" s="6">
        <v>44436</v>
      </c>
      <c r="D241" t="str">
        <f t="shared" si="12"/>
        <v>Aug</v>
      </c>
      <c r="E241" t="str">
        <f t="shared" si="13"/>
        <v>2021</v>
      </c>
      <c r="F241" t="s">
        <v>3</v>
      </c>
      <c r="G241" t="s">
        <v>114</v>
      </c>
      <c r="H241" t="s">
        <v>768</v>
      </c>
      <c r="I241">
        <v>110</v>
      </c>
      <c r="J241">
        <v>8</v>
      </c>
      <c r="K241">
        <f t="shared" si="14"/>
        <v>7.2727272727272725</v>
      </c>
      <c r="L241" t="s">
        <v>1738</v>
      </c>
      <c r="M241" t="s">
        <v>3638</v>
      </c>
      <c r="N241" t="s">
        <v>1</v>
      </c>
      <c r="O241">
        <v>500029</v>
      </c>
      <c r="P241" t="s">
        <v>546</v>
      </c>
      <c r="Q241" t="s">
        <v>1767</v>
      </c>
      <c r="S241">
        <v>11.688000000000001</v>
      </c>
      <c r="T241">
        <v>3</v>
      </c>
      <c r="U241">
        <v>0.6</v>
      </c>
      <c r="V241">
        <v>-4.6752000000000002</v>
      </c>
      <c r="W241">
        <f t="shared" si="15"/>
        <v>5.4543999999999997</v>
      </c>
      <c r="X241">
        <v>3</v>
      </c>
    </row>
    <row r="242" spans="1:24" x14ac:dyDescent="0.3">
      <c r="A242">
        <v>241</v>
      </c>
      <c r="B242" t="s">
        <v>2016</v>
      </c>
      <c r="C242" s="6">
        <v>44437</v>
      </c>
      <c r="D242" t="str">
        <f t="shared" si="12"/>
        <v>Aug</v>
      </c>
      <c r="E242" t="str">
        <f t="shared" si="13"/>
        <v>2021</v>
      </c>
      <c r="F242" t="s">
        <v>3</v>
      </c>
      <c r="G242" t="s">
        <v>114</v>
      </c>
      <c r="H242" t="s">
        <v>769</v>
      </c>
      <c r="I242">
        <v>230</v>
      </c>
      <c r="J242">
        <v>20</v>
      </c>
      <c r="K242">
        <f t="shared" si="14"/>
        <v>8.695652173913043</v>
      </c>
      <c r="L242" t="s">
        <v>1737</v>
      </c>
      <c r="M242" t="s">
        <v>3639</v>
      </c>
      <c r="N242" t="s">
        <v>1</v>
      </c>
      <c r="O242">
        <v>226018</v>
      </c>
      <c r="P242" t="s">
        <v>546</v>
      </c>
      <c r="Q242" t="s">
        <v>1759</v>
      </c>
      <c r="S242">
        <v>31.984000000000002</v>
      </c>
      <c r="T242">
        <v>2</v>
      </c>
      <c r="U242">
        <v>0.2</v>
      </c>
      <c r="V242">
        <v>11.1944</v>
      </c>
      <c r="W242">
        <f t="shared" si="15"/>
        <v>10.3948</v>
      </c>
      <c r="X242">
        <v>4</v>
      </c>
    </row>
    <row r="243" spans="1:24" x14ac:dyDescent="0.3">
      <c r="A243">
        <v>242</v>
      </c>
      <c r="B243" t="s">
        <v>2017</v>
      </c>
      <c r="C243" s="6">
        <v>44438</v>
      </c>
      <c r="D243" t="str">
        <f t="shared" si="12"/>
        <v>Aug</v>
      </c>
      <c r="E243" t="str">
        <f t="shared" si="13"/>
        <v>2021</v>
      </c>
      <c r="F243" t="s">
        <v>3</v>
      </c>
      <c r="G243" t="s">
        <v>114</v>
      </c>
      <c r="H243" t="s">
        <v>770</v>
      </c>
      <c r="I243">
        <v>230</v>
      </c>
      <c r="J243">
        <v>8</v>
      </c>
      <c r="K243">
        <f t="shared" si="14"/>
        <v>3.4782608695652173</v>
      </c>
      <c r="L243" t="s">
        <v>1743</v>
      </c>
      <c r="M243" t="s">
        <v>3640</v>
      </c>
      <c r="N243" t="s">
        <v>1</v>
      </c>
      <c r="O243">
        <v>421301</v>
      </c>
      <c r="P243" t="s">
        <v>546</v>
      </c>
      <c r="Q243" t="s">
        <v>1756</v>
      </c>
      <c r="S243">
        <v>177.22499999999999</v>
      </c>
      <c r="T243">
        <v>5</v>
      </c>
      <c r="U243">
        <v>0.5</v>
      </c>
      <c r="V243">
        <v>-120.51300000000001</v>
      </c>
      <c r="W243">
        <f t="shared" si="15"/>
        <v>59.547600000000003</v>
      </c>
      <c r="X243">
        <v>5</v>
      </c>
    </row>
    <row r="244" spans="1:24" x14ac:dyDescent="0.3">
      <c r="A244">
        <v>243</v>
      </c>
      <c r="B244" t="s">
        <v>2018</v>
      </c>
      <c r="C244" s="6">
        <v>44439</v>
      </c>
      <c r="D244" t="str">
        <f t="shared" si="12"/>
        <v>Aug</v>
      </c>
      <c r="E244" t="str">
        <f t="shared" si="13"/>
        <v>2021</v>
      </c>
      <c r="F244" t="s">
        <v>3</v>
      </c>
      <c r="G244" t="s">
        <v>114</v>
      </c>
      <c r="H244" t="s">
        <v>771</v>
      </c>
      <c r="I244">
        <v>240</v>
      </c>
      <c r="J244">
        <v>18</v>
      </c>
      <c r="K244">
        <f t="shared" si="14"/>
        <v>7.5</v>
      </c>
      <c r="L244" t="s">
        <v>1738</v>
      </c>
      <c r="M244" t="s">
        <v>3641</v>
      </c>
      <c r="N244" t="s">
        <v>1</v>
      </c>
      <c r="O244">
        <v>560076</v>
      </c>
      <c r="P244" t="s">
        <v>546</v>
      </c>
      <c r="Q244" t="s">
        <v>1772</v>
      </c>
      <c r="S244">
        <v>4.0439999999999996</v>
      </c>
      <c r="T244">
        <v>3</v>
      </c>
      <c r="U244">
        <v>0.6</v>
      </c>
      <c r="V244">
        <v>-2.8308</v>
      </c>
      <c r="W244">
        <f t="shared" si="15"/>
        <v>2.2915999999999999</v>
      </c>
      <c r="X244">
        <v>4</v>
      </c>
    </row>
    <row r="245" spans="1:24" x14ac:dyDescent="0.3">
      <c r="A245">
        <v>244</v>
      </c>
      <c r="B245" t="s">
        <v>2019</v>
      </c>
      <c r="C245" s="6">
        <v>44440</v>
      </c>
      <c r="D245" t="str">
        <f t="shared" si="12"/>
        <v>Sep</v>
      </c>
      <c r="E245" t="str">
        <f t="shared" si="13"/>
        <v>2021</v>
      </c>
      <c r="F245" t="s">
        <v>3</v>
      </c>
      <c r="G245" t="s">
        <v>114</v>
      </c>
      <c r="H245" t="s">
        <v>729</v>
      </c>
      <c r="I245">
        <v>180</v>
      </c>
      <c r="J245">
        <v>18</v>
      </c>
      <c r="K245">
        <f t="shared" si="14"/>
        <v>10</v>
      </c>
      <c r="L245" t="s">
        <v>1739</v>
      </c>
      <c r="M245" t="s">
        <v>3642</v>
      </c>
      <c r="N245" t="s">
        <v>1</v>
      </c>
      <c r="O245">
        <v>700032</v>
      </c>
      <c r="P245" t="s">
        <v>546</v>
      </c>
      <c r="Q245" t="s">
        <v>1768</v>
      </c>
      <c r="S245">
        <v>7.4080000000000004</v>
      </c>
      <c r="T245">
        <v>2</v>
      </c>
      <c r="U245">
        <v>0.2</v>
      </c>
      <c r="V245">
        <v>1.2038</v>
      </c>
      <c r="W245">
        <f t="shared" si="15"/>
        <v>3.1021000000000001</v>
      </c>
      <c r="X245">
        <v>1</v>
      </c>
    </row>
    <row r="246" spans="1:24" x14ac:dyDescent="0.3">
      <c r="A246">
        <v>245</v>
      </c>
      <c r="B246" t="s">
        <v>2020</v>
      </c>
      <c r="C246" s="6">
        <v>44441</v>
      </c>
      <c r="D246" t="str">
        <f t="shared" si="12"/>
        <v>Sep</v>
      </c>
      <c r="E246" t="str">
        <f t="shared" si="13"/>
        <v>2021</v>
      </c>
      <c r="F246" t="s">
        <v>3</v>
      </c>
      <c r="G246" t="s">
        <v>115</v>
      </c>
      <c r="H246" t="s">
        <v>667</v>
      </c>
      <c r="I246">
        <v>170</v>
      </c>
      <c r="J246">
        <v>22</v>
      </c>
      <c r="K246">
        <f t="shared" si="14"/>
        <v>12.941176470588237</v>
      </c>
      <c r="L246" t="s">
        <v>1741</v>
      </c>
      <c r="M246" t="s">
        <v>3643</v>
      </c>
      <c r="N246" t="s">
        <v>1</v>
      </c>
      <c r="O246">
        <v>110033</v>
      </c>
      <c r="P246" t="s">
        <v>546</v>
      </c>
      <c r="Q246" t="s">
        <v>1763</v>
      </c>
      <c r="S246">
        <v>2001.86</v>
      </c>
      <c r="T246">
        <v>7</v>
      </c>
      <c r="U246">
        <v>0.1</v>
      </c>
      <c r="V246">
        <v>580.5394</v>
      </c>
      <c r="W246">
        <f t="shared" si="15"/>
        <v>203.04580000000001</v>
      </c>
      <c r="X246">
        <v>2</v>
      </c>
    </row>
    <row r="247" spans="1:24" x14ac:dyDescent="0.3">
      <c r="A247">
        <v>246</v>
      </c>
      <c r="B247" t="s">
        <v>2021</v>
      </c>
      <c r="C247" s="6">
        <v>44442</v>
      </c>
      <c r="D247" t="str">
        <f t="shared" si="12"/>
        <v>Sep</v>
      </c>
      <c r="E247" t="str">
        <f t="shared" si="13"/>
        <v>2021</v>
      </c>
      <c r="F247" t="s">
        <v>3</v>
      </c>
      <c r="G247" t="s">
        <v>115</v>
      </c>
      <c r="H247" t="s">
        <v>772</v>
      </c>
      <c r="I247">
        <v>130</v>
      </c>
      <c r="J247">
        <v>10</v>
      </c>
      <c r="K247">
        <f t="shared" si="14"/>
        <v>7.6923076923076925</v>
      </c>
      <c r="L247" t="s">
        <v>1736</v>
      </c>
      <c r="M247" t="s">
        <v>3644</v>
      </c>
      <c r="N247" t="s">
        <v>1</v>
      </c>
      <c r="O247">
        <v>415301</v>
      </c>
      <c r="P247" t="s">
        <v>546</v>
      </c>
      <c r="Q247" t="s">
        <v>1761</v>
      </c>
      <c r="S247">
        <v>166.72</v>
      </c>
      <c r="T247">
        <v>2</v>
      </c>
      <c r="U247">
        <v>0.1</v>
      </c>
      <c r="V247">
        <v>41.68</v>
      </c>
      <c r="W247">
        <f t="shared" si="15"/>
        <v>62.519999999999996</v>
      </c>
      <c r="X247">
        <v>4</v>
      </c>
    </row>
    <row r="248" spans="1:24" x14ac:dyDescent="0.3">
      <c r="A248">
        <v>247</v>
      </c>
      <c r="B248" t="s">
        <v>2022</v>
      </c>
      <c r="C248" s="6">
        <v>44443</v>
      </c>
      <c r="D248" t="str">
        <f t="shared" si="12"/>
        <v>Sep</v>
      </c>
      <c r="E248" t="str">
        <f t="shared" si="13"/>
        <v>2021</v>
      </c>
      <c r="F248" t="s">
        <v>3</v>
      </c>
      <c r="G248" t="s">
        <v>115</v>
      </c>
      <c r="H248" t="s">
        <v>773</v>
      </c>
      <c r="I248">
        <v>140</v>
      </c>
      <c r="J248">
        <v>10</v>
      </c>
      <c r="K248">
        <f t="shared" si="14"/>
        <v>7.1428571428571423</v>
      </c>
      <c r="L248" t="s">
        <v>1744</v>
      </c>
      <c r="M248" t="s">
        <v>3645</v>
      </c>
      <c r="N248" t="s">
        <v>1</v>
      </c>
      <c r="O248">
        <v>712249</v>
      </c>
      <c r="P248" t="s">
        <v>546</v>
      </c>
      <c r="Q248" t="s">
        <v>1773</v>
      </c>
      <c r="R248" t="s">
        <v>2</v>
      </c>
      <c r="S248">
        <v>47.88</v>
      </c>
      <c r="T248">
        <v>6</v>
      </c>
      <c r="U248">
        <v>0.1</v>
      </c>
      <c r="V248">
        <v>23.94</v>
      </c>
      <c r="W248">
        <f t="shared" si="15"/>
        <v>3.99</v>
      </c>
      <c r="X248">
        <v>4</v>
      </c>
    </row>
    <row r="249" spans="1:24" x14ac:dyDescent="0.3">
      <c r="A249">
        <v>248</v>
      </c>
      <c r="B249" t="s">
        <v>2023</v>
      </c>
      <c r="C249" s="6">
        <v>44444</v>
      </c>
      <c r="D249" t="str">
        <f t="shared" si="12"/>
        <v>Sep</v>
      </c>
      <c r="E249" t="str">
        <f t="shared" si="13"/>
        <v>2021</v>
      </c>
      <c r="F249" t="s">
        <v>3</v>
      </c>
      <c r="G249" t="s">
        <v>115</v>
      </c>
      <c r="H249" t="s">
        <v>774</v>
      </c>
      <c r="I249">
        <v>200</v>
      </c>
      <c r="J249">
        <v>24</v>
      </c>
      <c r="K249">
        <f t="shared" si="14"/>
        <v>12</v>
      </c>
      <c r="L249" t="s">
        <v>1740</v>
      </c>
      <c r="M249" t="s">
        <v>3646</v>
      </c>
      <c r="N249" t="s">
        <v>1</v>
      </c>
      <c r="O249">
        <v>560040</v>
      </c>
      <c r="P249" t="s">
        <v>546</v>
      </c>
      <c r="Q249" t="s">
        <v>1776</v>
      </c>
      <c r="S249">
        <v>1503.25</v>
      </c>
      <c r="T249">
        <v>5</v>
      </c>
      <c r="U249">
        <v>0.1</v>
      </c>
      <c r="V249">
        <v>496.07249999999999</v>
      </c>
      <c r="W249">
        <f t="shared" si="15"/>
        <v>201.43549999999999</v>
      </c>
      <c r="X249">
        <v>5</v>
      </c>
    </row>
    <row r="250" spans="1:24" x14ac:dyDescent="0.3">
      <c r="A250">
        <v>249</v>
      </c>
      <c r="B250" t="s">
        <v>2024</v>
      </c>
      <c r="C250" s="6">
        <v>44445</v>
      </c>
      <c r="D250" t="str">
        <f t="shared" si="12"/>
        <v>Sep</v>
      </c>
      <c r="E250" t="str">
        <f t="shared" si="13"/>
        <v>2021</v>
      </c>
      <c r="F250" t="s">
        <v>3</v>
      </c>
      <c r="G250" t="s">
        <v>115</v>
      </c>
      <c r="H250" t="s">
        <v>727</v>
      </c>
      <c r="I250">
        <v>180</v>
      </c>
      <c r="J250">
        <v>30</v>
      </c>
      <c r="K250">
        <f t="shared" si="14"/>
        <v>16.666666666666664</v>
      </c>
      <c r="L250" t="s">
        <v>1742</v>
      </c>
      <c r="M250" t="s">
        <v>3647</v>
      </c>
      <c r="N250" t="s">
        <v>1</v>
      </c>
      <c r="O250">
        <v>431003</v>
      </c>
      <c r="P250" t="s">
        <v>546</v>
      </c>
      <c r="Q250" t="s">
        <v>1761</v>
      </c>
      <c r="R250" t="s">
        <v>2</v>
      </c>
      <c r="S250">
        <v>25.92</v>
      </c>
      <c r="T250">
        <v>4</v>
      </c>
      <c r="U250">
        <v>0.1</v>
      </c>
      <c r="V250">
        <v>12.441599999999999</v>
      </c>
      <c r="W250">
        <f t="shared" si="15"/>
        <v>3.3696000000000006</v>
      </c>
      <c r="X250">
        <v>3</v>
      </c>
    </row>
    <row r="251" spans="1:24" x14ac:dyDescent="0.3">
      <c r="A251">
        <v>250</v>
      </c>
      <c r="B251" t="s">
        <v>2025</v>
      </c>
      <c r="C251" s="6">
        <v>44446</v>
      </c>
      <c r="D251" t="str">
        <f t="shared" si="12"/>
        <v>Sep</v>
      </c>
      <c r="E251" t="str">
        <f t="shared" si="13"/>
        <v>2021</v>
      </c>
      <c r="F251" t="s">
        <v>3</v>
      </c>
      <c r="G251" t="s">
        <v>116</v>
      </c>
      <c r="H251" t="s">
        <v>775</v>
      </c>
      <c r="I251">
        <v>240</v>
      </c>
      <c r="J251">
        <v>16</v>
      </c>
      <c r="K251">
        <f t="shared" si="14"/>
        <v>6.666666666666667</v>
      </c>
      <c r="L251" t="s">
        <v>1739</v>
      </c>
      <c r="M251" t="s">
        <v>3648</v>
      </c>
      <c r="N251" t="s">
        <v>1</v>
      </c>
      <c r="O251">
        <v>560099</v>
      </c>
      <c r="P251" t="s">
        <v>546</v>
      </c>
      <c r="Q251" t="s">
        <v>1770</v>
      </c>
      <c r="S251">
        <v>321.56799999999998</v>
      </c>
      <c r="T251">
        <v>2</v>
      </c>
      <c r="U251">
        <v>0.2</v>
      </c>
      <c r="V251">
        <v>28.1372</v>
      </c>
      <c r="W251">
        <f t="shared" si="15"/>
        <v>146.71539999999999</v>
      </c>
      <c r="X251">
        <v>1</v>
      </c>
    </row>
    <row r="252" spans="1:24" x14ac:dyDescent="0.3">
      <c r="A252">
        <v>251</v>
      </c>
      <c r="B252" t="s">
        <v>2026</v>
      </c>
      <c r="C252" s="6">
        <v>44447</v>
      </c>
      <c r="D252" t="str">
        <f t="shared" si="12"/>
        <v>Sep</v>
      </c>
      <c r="E252" t="str">
        <f t="shared" si="13"/>
        <v>2021</v>
      </c>
      <c r="F252" t="s">
        <v>4</v>
      </c>
      <c r="G252" t="s">
        <v>117</v>
      </c>
      <c r="H252" t="s">
        <v>776</v>
      </c>
      <c r="I252">
        <v>220</v>
      </c>
      <c r="J252">
        <v>20</v>
      </c>
      <c r="K252">
        <f t="shared" si="14"/>
        <v>9.0909090909090917</v>
      </c>
      <c r="L252" t="s">
        <v>1738</v>
      </c>
      <c r="M252" t="s">
        <v>3649</v>
      </c>
      <c r="N252" t="s">
        <v>1</v>
      </c>
      <c r="O252">
        <v>560077</v>
      </c>
      <c r="P252" t="s">
        <v>546</v>
      </c>
      <c r="Q252" t="s">
        <v>1761</v>
      </c>
      <c r="S252">
        <v>7.61</v>
      </c>
      <c r="T252">
        <v>1</v>
      </c>
      <c r="U252">
        <v>0.1</v>
      </c>
      <c r="V252">
        <v>3.5767000000000002</v>
      </c>
      <c r="W252">
        <f t="shared" si="15"/>
        <v>4.0333000000000006</v>
      </c>
      <c r="X252">
        <v>3</v>
      </c>
    </row>
    <row r="253" spans="1:24" x14ac:dyDescent="0.3">
      <c r="A253">
        <v>252</v>
      </c>
      <c r="B253" t="s">
        <v>2027</v>
      </c>
      <c r="C253" s="6">
        <v>44448</v>
      </c>
      <c r="D253" t="str">
        <f t="shared" si="12"/>
        <v>Sep</v>
      </c>
      <c r="E253" t="str">
        <f t="shared" si="13"/>
        <v>2021</v>
      </c>
      <c r="F253" t="s">
        <v>4</v>
      </c>
      <c r="G253" t="s">
        <v>117</v>
      </c>
      <c r="H253" t="s">
        <v>764</v>
      </c>
      <c r="I253">
        <v>110</v>
      </c>
      <c r="J253">
        <v>26</v>
      </c>
      <c r="K253">
        <f t="shared" si="14"/>
        <v>23.636363636363637</v>
      </c>
      <c r="L253" t="s">
        <v>1743</v>
      </c>
      <c r="M253" t="s">
        <v>3650</v>
      </c>
      <c r="N253" t="s">
        <v>1</v>
      </c>
      <c r="O253">
        <v>560077</v>
      </c>
      <c r="P253" t="s">
        <v>546</v>
      </c>
      <c r="Q253" t="s">
        <v>1759</v>
      </c>
      <c r="S253">
        <v>3347.37</v>
      </c>
      <c r="T253">
        <v>13</v>
      </c>
      <c r="U253">
        <v>0.1</v>
      </c>
      <c r="V253">
        <v>636.00030000000004</v>
      </c>
      <c r="W253">
        <f t="shared" si="15"/>
        <v>208.56689999999998</v>
      </c>
      <c r="X253">
        <v>4</v>
      </c>
    </row>
    <row r="254" spans="1:24" x14ac:dyDescent="0.3">
      <c r="A254">
        <v>253</v>
      </c>
      <c r="B254" t="s">
        <v>2028</v>
      </c>
      <c r="C254" s="6">
        <v>44449</v>
      </c>
      <c r="D254" t="str">
        <f t="shared" si="12"/>
        <v>Sep</v>
      </c>
      <c r="E254" t="str">
        <f t="shared" si="13"/>
        <v>2021</v>
      </c>
      <c r="F254" t="s">
        <v>5</v>
      </c>
      <c r="G254" t="s">
        <v>118</v>
      </c>
      <c r="H254" t="s">
        <v>777</v>
      </c>
      <c r="I254">
        <v>150</v>
      </c>
      <c r="J254">
        <v>26</v>
      </c>
      <c r="K254">
        <f t="shared" si="14"/>
        <v>17.333333333333336</v>
      </c>
      <c r="L254" t="s">
        <v>1737</v>
      </c>
      <c r="M254" t="s">
        <v>3651</v>
      </c>
      <c r="N254" t="s">
        <v>1</v>
      </c>
      <c r="O254">
        <v>400097</v>
      </c>
      <c r="P254" t="s">
        <v>546</v>
      </c>
      <c r="Q254" t="s">
        <v>1759</v>
      </c>
      <c r="S254">
        <v>80.58</v>
      </c>
      <c r="T254">
        <v>6</v>
      </c>
      <c r="U254">
        <v>0.1</v>
      </c>
      <c r="V254">
        <v>22.5624</v>
      </c>
      <c r="W254">
        <f t="shared" si="15"/>
        <v>9.6696000000000009</v>
      </c>
      <c r="X254">
        <v>2</v>
      </c>
    </row>
    <row r="255" spans="1:24" x14ac:dyDescent="0.3">
      <c r="A255">
        <v>254</v>
      </c>
      <c r="B255" t="s">
        <v>2029</v>
      </c>
      <c r="C255" s="6">
        <v>44450</v>
      </c>
      <c r="D255" t="str">
        <f t="shared" si="12"/>
        <v>Sep</v>
      </c>
      <c r="E255" t="str">
        <f t="shared" si="13"/>
        <v>2021</v>
      </c>
      <c r="F255" t="s">
        <v>5</v>
      </c>
      <c r="G255" t="s">
        <v>118</v>
      </c>
      <c r="H255" t="s">
        <v>778</v>
      </c>
      <c r="I255">
        <v>200</v>
      </c>
      <c r="J255">
        <v>16</v>
      </c>
      <c r="K255">
        <f t="shared" si="14"/>
        <v>8</v>
      </c>
      <c r="L255" t="s">
        <v>1741</v>
      </c>
      <c r="M255" t="s">
        <v>3652</v>
      </c>
      <c r="N255" t="s">
        <v>1</v>
      </c>
      <c r="O255">
        <v>600058</v>
      </c>
      <c r="P255" t="s">
        <v>546</v>
      </c>
      <c r="Q255" t="s">
        <v>1775</v>
      </c>
      <c r="R255" t="s">
        <v>2</v>
      </c>
      <c r="S255">
        <v>361.92</v>
      </c>
      <c r="T255">
        <v>4</v>
      </c>
      <c r="U255">
        <v>0.1</v>
      </c>
      <c r="V255">
        <v>162.864</v>
      </c>
      <c r="W255">
        <f t="shared" si="15"/>
        <v>49.764000000000003</v>
      </c>
      <c r="X255">
        <v>2</v>
      </c>
    </row>
    <row r="256" spans="1:24" x14ac:dyDescent="0.3">
      <c r="A256">
        <v>255</v>
      </c>
      <c r="B256" t="s">
        <v>2030</v>
      </c>
      <c r="C256" s="6">
        <v>44451</v>
      </c>
      <c r="D256" t="str">
        <f t="shared" si="12"/>
        <v>Sep</v>
      </c>
      <c r="E256" t="str">
        <f t="shared" si="13"/>
        <v>2021</v>
      </c>
      <c r="F256" t="s">
        <v>4</v>
      </c>
      <c r="G256" t="s">
        <v>119</v>
      </c>
      <c r="H256" t="s">
        <v>771</v>
      </c>
      <c r="I256">
        <v>230</v>
      </c>
      <c r="J256">
        <v>28</v>
      </c>
      <c r="K256">
        <f t="shared" si="14"/>
        <v>12.173913043478262</v>
      </c>
      <c r="L256" t="s">
        <v>1736</v>
      </c>
      <c r="M256" t="s">
        <v>3653</v>
      </c>
      <c r="N256" t="s">
        <v>1</v>
      </c>
      <c r="O256">
        <v>500084</v>
      </c>
      <c r="P256" t="s">
        <v>546</v>
      </c>
      <c r="Q256" t="s">
        <v>1759</v>
      </c>
      <c r="R256" t="s">
        <v>2</v>
      </c>
      <c r="S256">
        <v>12.132</v>
      </c>
      <c r="T256">
        <v>9</v>
      </c>
      <c r="U256">
        <v>0.6</v>
      </c>
      <c r="V256">
        <v>-8.4923999999999999</v>
      </c>
      <c r="W256">
        <f t="shared" si="15"/>
        <v>2.2916000000000003</v>
      </c>
      <c r="X256">
        <v>2</v>
      </c>
    </row>
    <row r="257" spans="1:24" x14ac:dyDescent="0.3">
      <c r="A257">
        <v>256</v>
      </c>
      <c r="B257" t="s">
        <v>2031</v>
      </c>
      <c r="C257" s="6">
        <v>44452</v>
      </c>
      <c r="D257" t="str">
        <f t="shared" si="12"/>
        <v>Sep</v>
      </c>
      <c r="E257" t="str">
        <f t="shared" si="13"/>
        <v>2021</v>
      </c>
      <c r="F257" t="s">
        <v>4</v>
      </c>
      <c r="G257" t="s">
        <v>119</v>
      </c>
      <c r="H257" t="s">
        <v>779</v>
      </c>
      <c r="I257">
        <v>230</v>
      </c>
      <c r="J257">
        <v>30</v>
      </c>
      <c r="K257">
        <f t="shared" si="14"/>
        <v>13.043478260869565</v>
      </c>
      <c r="L257" t="s">
        <v>1744</v>
      </c>
      <c r="M257" t="s">
        <v>3654</v>
      </c>
      <c r="N257" t="s">
        <v>1</v>
      </c>
      <c r="O257">
        <v>500084</v>
      </c>
      <c r="P257" t="s">
        <v>546</v>
      </c>
      <c r="Q257" t="s">
        <v>1774</v>
      </c>
      <c r="R257" t="s">
        <v>2</v>
      </c>
      <c r="S257">
        <v>82.367999999999995</v>
      </c>
      <c r="T257">
        <v>2</v>
      </c>
      <c r="U257">
        <v>0.2</v>
      </c>
      <c r="V257">
        <v>-19.5624</v>
      </c>
      <c r="W257">
        <f t="shared" si="15"/>
        <v>50.965199999999996</v>
      </c>
      <c r="X257">
        <v>3</v>
      </c>
    </row>
    <row r="258" spans="1:24" x14ac:dyDescent="0.3">
      <c r="A258">
        <v>257</v>
      </c>
      <c r="B258" t="s">
        <v>2032</v>
      </c>
      <c r="C258" s="6">
        <v>44453</v>
      </c>
      <c r="D258" t="str">
        <f t="shared" si="12"/>
        <v>Sep</v>
      </c>
      <c r="E258" t="str">
        <f t="shared" si="13"/>
        <v>2021</v>
      </c>
      <c r="F258" t="s">
        <v>4</v>
      </c>
      <c r="G258" t="s">
        <v>119</v>
      </c>
      <c r="H258" t="s">
        <v>693</v>
      </c>
      <c r="I258">
        <v>190</v>
      </c>
      <c r="J258">
        <v>12</v>
      </c>
      <c r="K258">
        <f t="shared" si="14"/>
        <v>6.3157894736842106</v>
      </c>
      <c r="L258" t="s">
        <v>1740</v>
      </c>
      <c r="M258" t="s">
        <v>3655</v>
      </c>
      <c r="N258" t="s">
        <v>1</v>
      </c>
      <c r="O258">
        <v>760001</v>
      </c>
      <c r="P258" t="s">
        <v>546</v>
      </c>
      <c r="Q258" t="s">
        <v>1775</v>
      </c>
      <c r="S258">
        <v>53.92</v>
      </c>
      <c r="T258">
        <v>5</v>
      </c>
      <c r="U258">
        <v>0.2</v>
      </c>
      <c r="V258">
        <v>4.0439999999999996</v>
      </c>
      <c r="W258">
        <f t="shared" si="15"/>
        <v>9.975200000000001</v>
      </c>
      <c r="X258">
        <v>2</v>
      </c>
    </row>
    <row r="259" spans="1:24" x14ac:dyDescent="0.3">
      <c r="A259">
        <v>258</v>
      </c>
      <c r="B259" t="s">
        <v>2033</v>
      </c>
      <c r="C259" s="6">
        <v>44454</v>
      </c>
      <c r="D259" t="str">
        <f t="shared" ref="D259:D322" si="16">TEXT(C259,"Mmm")</f>
        <v>Sep</v>
      </c>
      <c r="E259" t="str">
        <f t="shared" ref="E259:E322" si="17">TEXT(C259,"YYYY")</f>
        <v>2021</v>
      </c>
      <c r="F259" t="s">
        <v>4</v>
      </c>
      <c r="G259" t="s">
        <v>119</v>
      </c>
      <c r="H259" t="s">
        <v>780</v>
      </c>
      <c r="I259">
        <v>190</v>
      </c>
      <c r="J259">
        <v>16</v>
      </c>
      <c r="K259">
        <f t="shared" ref="K259:K322" si="18">(J259/I259)*100</f>
        <v>8.4210526315789469</v>
      </c>
      <c r="L259" t="s">
        <v>1742</v>
      </c>
      <c r="M259" t="s">
        <v>3656</v>
      </c>
      <c r="N259" t="s">
        <v>1</v>
      </c>
      <c r="O259">
        <v>760001</v>
      </c>
      <c r="P259" t="s">
        <v>546</v>
      </c>
      <c r="Q259" t="s">
        <v>1755</v>
      </c>
      <c r="S259">
        <v>647.904</v>
      </c>
      <c r="T259">
        <v>6</v>
      </c>
      <c r="U259">
        <v>0.2</v>
      </c>
      <c r="V259">
        <v>56.691600000000001</v>
      </c>
      <c r="W259">
        <f t="shared" ref="W259:W322" si="19">(S259-V259)/T259</f>
        <v>98.535399999999996</v>
      </c>
      <c r="X259">
        <v>2</v>
      </c>
    </row>
    <row r="260" spans="1:24" x14ac:dyDescent="0.3">
      <c r="A260">
        <v>259</v>
      </c>
      <c r="B260" t="s">
        <v>2034</v>
      </c>
      <c r="C260" s="6">
        <v>44455</v>
      </c>
      <c r="D260" t="str">
        <f t="shared" si="16"/>
        <v>Sep</v>
      </c>
      <c r="E260" t="str">
        <f t="shared" si="17"/>
        <v>2021</v>
      </c>
      <c r="F260" t="s">
        <v>3</v>
      </c>
      <c r="G260" t="s">
        <v>120</v>
      </c>
      <c r="H260" t="s">
        <v>781</v>
      </c>
      <c r="I260">
        <v>140</v>
      </c>
      <c r="J260">
        <v>22</v>
      </c>
      <c r="K260">
        <f t="shared" si="18"/>
        <v>15.714285714285714</v>
      </c>
      <c r="L260" t="s">
        <v>1739</v>
      </c>
      <c r="M260" t="s">
        <v>3657</v>
      </c>
      <c r="N260" t="s">
        <v>1</v>
      </c>
      <c r="O260">
        <v>760001</v>
      </c>
      <c r="P260" t="s">
        <v>546</v>
      </c>
      <c r="Q260" t="s">
        <v>1756</v>
      </c>
      <c r="R260" t="s">
        <v>2</v>
      </c>
      <c r="S260">
        <v>20.37</v>
      </c>
      <c r="T260">
        <v>3</v>
      </c>
      <c r="U260">
        <v>0.1</v>
      </c>
      <c r="V260">
        <v>6.9257999999999997</v>
      </c>
      <c r="W260">
        <f t="shared" si="19"/>
        <v>4.4814000000000007</v>
      </c>
      <c r="X260">
        <v>1</v>
      </c>
    </row>
    <row r="261" spans="1:24" x14ac:dyDescent="0.3">
      <c r="A261">
        <v>260</v>
      </c>
      <c r="B261" t="s">
        <v>2035</v>
      </c>
      <c r="C261" s="6">
        <v>44456</v>
      </c>
      <c r="D261" t="str">
        <f t="shared" si="16"/>
        <v>Sep</v>
      </c>
      <c r="E261" t="str">
        <f t="shared" si="17"/>
        <v>2021</v>
      </c>
      <c r="F261" t="s">
        <v>3</v>
      </c>
      <c r="G261" t="s">
        <v>120</v>
      </c>
      <c r="H261" t="s">
        <v>782</v>
      </c>
      <c r="I261">
        <v>180</v>
      </c>
      <c r="J261">
        <v>20</v>
      </c>
      <c r="K261">
        <f t="shared" si="18"/>
        <v>11.111111111111111</v>
      </c>
      <c r="L261" t="s">
        <v>1738</v>
      </c>
      <c r="M261" t="s">
        <v>3658</v>
      </c>
      <c r="N261" t="s">
        <v>1</v>
      </c>
      <c r="O261">
        <v>411008</v>
      </c>
      <c r="P261" t="s">
        <v>546</v>
      </c>
      <c r="Q261" t="s">
        <v>1761</v>
      </c>
      <c r="S261">
        <v>221.55</v>
      </c>
      <c r="T261">
        <v>3</v>
      </c>
      <c r="U261">
        <v>0.1</v>
      </c>
      <c r="V261">
        <v>6.6464999999999996</v>
      </c>
      <c r="W261">
        <f t="shared" si="19"/>
        <v>71.634500000000003</v>
      </c>
      <c r="X261">
        <v>4</v>
      </c>
    </row>
    <row r="262" spans="1:24" x14ac:dyDescent="0.3">
      <c r="A262">
        <v>261</v>
      </c>
      <c r="B262" t="s">
        <v>2036</v>
      </c>
      <c r="C262" s="6">
        <v>44457</v>
      </c>
      <c r="D262" t="str">
        <f t="shared" si="16"/>
        <v>Sep</v>
      </c>
      <c r="E262" t="str">
        <f t="shared" si="17"/>
        <v>2021</v>
      </c>
      <c r="F262" t="s">
        <v>3</v>
      </c>
      <c r="G262" t="s">
        <v>120</v>
      </c>
      <c r="H262" t="s">
        <v>783</v>
      </c>
      <c r="I262">
        <v>210</v>
      </c>
      <c r="J262">
        <v>10</v>
      </c>
      <c r="K262">
        <f t="shared" si="18"/>
        <v>4.7619047619047619</v>
      </c>
      <c r="L262" t="s">
        <v>1741</v>
      </c>
      <c r="M262" t="s">
        <v>3659</v>
      </c>
      <c r="N262" t="s">
        <v>1</v>
      </c>
      <c r="O262">
        <v>411007</v>
      </c>
      <c r="P262" t="s">
        <v>546</v>
      </c>
      <c r="Q262" t="s">
        <v>1766</v>
      </c>
      <c r="R262" t="s">
        <v>2</v>
      </c>
      <c r="S262">
        <v>17.52</v>
      </c>
      <c r="T262">
        <v>5</v>
      </c>
      <c r="U262">
        <v>0.2</v>
      </c>
      <c r="V262">
        <v>6.1319999999999997</v>
      </c>
      <c r="W262">
        <f t="shared" si="19"/>
        <v>2.2776000000000001</v>
      </c>
      <c r="X262">
        <v>2</v>
      </c>
    </row>
    <row r="263" spans="1:24" x14ac:dyDescent="0.3">
      <c r="A263">
        <v>262</v>
      </c>
      <c r="B263" t="s">
        <v>2037</v>
      </c>
      <c r="C263" s="6">
        <v>44458</v>
      </c>
      <c r="D263" t="str">
        <f t="shared" si="16"/>
        <v>Sep</v>
      </c>
      <c r="E263" t="str">
        <f t="shared" si="17"/>
        <v>2021</v>
      </c>
      <c r="F263" t="s">
        <v>4</v>
      </c>
      <c r="G263" t="s">
        <v>121</v>
      </c>
      <c r="H263" t="s">
        <v>784</v>
      </c>
      <c r="I263">
        <v>180</v>
      </c>
      <c r="J263">
        <v>10</v>
      </c>
      <c r="K263">
        <f t="shared" si="18"/>
        <v>5.5555555555555554</v>
      </c>
      <c r="L263" t="s">
        <v>1737</v>
      </c>
      <c r="M263" t="s">
        <v>3660</v>
      </c>
      <c r="N263" t="s">
        <v>1</v>
      </c>
      <c r="O263">
        <v>411007</v>
      </c>
      <c r="P263" t="s">
        <v>546</v>
      </c>
      <c r="Q263" t="s">
        <v>1755</v>
      </c>
      <c r="R263" t="s">
        <v>2</v>
      </c>
      <c r="S263">
        <v>1.6240000000000001</v>
      </c>
      <c r="T263">
        <v>2</v>
      </c>
      <c r="U263">
        <v>0.8</v>
      </c>
      <c r="V263">
        <v>-4.4660000000000002</v>
      </c>
      <c r="W263">
        <f t="shared" si="19"/>
        <v>3.0449999999999999</v>
      </c>
      <c r="X263">
        <v>5</v>
      </c>
    </row>
    <row r="264" spans="1:24" x14ac:dyDescent="0.3">
      <c r="A264">
        <v>263</v>
      </c>
      <c r="B264" t="s">
        <v>2038</v>
      </c>
      <c r="C264" s="6">
        <v>44459</v>
      </c>
      <c r="D264" t="str">
        <f t="shared" si="16"/>
        <v>Sep</v>
      </c>
      <c r="E264" t="str">
        <f t="shared" si="17"/>
        <v>2021</v>
      </c>
      <c r="F264" t="s">
        <v>3</v>
      </c>
      <c r="G264" t="s">
        <v>122</v>
      </c>
      <c r="H264" t="s">
        <v>702</v>
      </c>
      <c r="I264">
        <v>110</v>
      </c>
      <c r="J264">
        <v>22</v>
      </c>
      <c r="K264">
        <f t="shared" si="18"/>
        <v>20</v>
      </c>
      <c r="L264" t="s">
        <v>1743</v>
      </c>
      <c r="M264" t="s">
        <v>3661</v>
      </c>
      <c r="O264">
        <v>502319</v>
      </c>
      <c r="P264" t="s">
        <v>546</v>
      </c>
      <c r="Q264" t="s">
        <v>1772</v>
      </c>
      <c r="S264">
        <v>3059.982</v>
      </c>
      <c r="T264">
        <v>3</v>
      </c>
      <c r="U264">
        <v>0.4</v>
      </c>
      <c r="V264">
        <v>-509.99700000000001</v>
      </c>
      <c r="W264">
        <f t="shared" si="19"/>
        <v>1189.9929999999999</v>
      </c>
      <c r="X264">
        <v>5</v>
      </c>
    </row>
    <row r="265" spans="1:24" x14ac:dyDescent="0.3">
      <c r="A265">
        <v>264</v>
      </c>
      <c r="B265" t="s">
        <v>2039</v>
      </c>
      <c r="C265" s="6">
        <v>44460</v>
      </c>
      <c r="D265" t="str">
        <f t="shared" si="16"/>
        <v>Sep</v>
      </c>
      <c r="E265" t="str">
        <f t="shared" si="17"/>
        <v>2021</v>
      </c>
      <c r="F265" t="s">
        <v>3</v>
      </c>
      <c r="G265" t="s">
        <v>122</v>
      </c>
      <c r="H265" t="s">
        <v>785</v>
      </c>
      <c r="I265">
        <v>160</v>
      </c>
      <c r="J265">
        <v>18</v>
      </c>
      <c r="K265">
        <f t="shared" si="18"/>
        <v>11.25</v>
      </c>
      <c r="L265" t="s">
        <v>1738</v>
      </c>
      <c r="M265" t="s">
        <v>3662</v>
      </c>
      <c r="N265" t="s">
        <v>1</v>
      </c>
      <c r="O265">
        <v>122505</v>
      </c>
      <c r="P265" t="s">
        <v>546</v>
      </c>
      <c r="Q265" t="s">
        <v>1768</v>
      </c>
      <c r="S265">
        <v>2519.9580000000001</v>
      </c>
      <c r="T265">
        <v>7</v>
      </c>
      <c r="U265">
        <v>0.4</v>
      </c>
      <c r="V265">
        <v>-251.9958</v>
      </c>
      <c r="W265">
        <f t="shared" si="19"/>
        <v>395.99340000000001</v>
      </c>
      <c r="X265">
        <v>3</v>
      </c>
    </row>
    <row r="266" spans="1:24" x14ac:dyDescent="0.3">
      <c r="A266">
        <v>265</v>
      </c>
      <c r="B266" t="s">
        <v>2040</v>
      </c>
      <c r="C266" s="6">
        <v>44461</v>
      </c>
      <c r="D266" t="str">
        <f t="shared" si="16"/>
        <v>Sep</v>
      </c>
      <c r="E266" t="str">
        <f t="shared" si="17"/>
        <v>2021</v>
      </c>
      <c r="F266" t="s">
        <v>4</v>
      </c>
      <c r="G266" t="s">
        <v>123</v>
      </c>
      <c r="H266" t="s">
        <v>786</v>
      </c>
      <c r="I266">
        <v>130</v>
      </c>
      <c r="J266">
        <v>20</v>
      </c>
      <c r="K266">
        <f t="shared" si="18"/>
        <v>15.384615384615385</v>
      </c>
      <c r="L266" t="s">
        <v>1739</v>
      </c>
      <c r="M266" t="s">
        <v>3663</v>
      </c>
      <c r="N266" t="s">
        <v>1</v>
      </c>
      <c r="O266">
        <v>440027</v>
      </c>
      <c r="P266" t="s">
        <v>546</v>
      </c>
      <c r="Q266" t="s">
        <v>1755</v>
      </c>
      <c r="S266">
        <v>328.22399999999999</v>
      </c>
      <c r="T266">
        <v>4</v>
      </c>
      <c r="U266">
        <v>0.2</v>
      </c>
      <c r="V266">
        <v>28.7196</v>
      </c>
      <c r="W266">
        <f t="shared" si="19"/>
        <v>74.876099999999994</v>
      </c>
      <c r="X266">
        <v>1</v>
      </c>
    </row>
    <row r="267" spans="1:24" x14ac:dyDescent="0.3">
      <c r="A267">
        <v>266</v>
      </c>
      <c r="B267" t="s">
        <v>2041</v>
      </c>
      <c r="C267" s="6">
        <v>44462</v>
      </c>
      <c r="D267" t="str">
        <f t="shared" si="16"/>
        <v>Sep</v>
      </c>
      <c r="E267" t="str">
        <f t="shared" si="17"/>
        <v>2021</v>
      </c>
      <c r="F267" t="s">
        <v>4</v>
      </c>
      <c r="G267" t="s">
        <v>124</v>
      </c>
      <c r="H267" t="s">
        <v>787</v>
      </c>
      <c r="I267">
        <v>100</v>
      </c>
      <c r="J267">
        <v>18</v>
      </c>
      <c r="K267">
        <f t="shared" si="18"/>
        <v>18</v>
      </c>
      <c r="L267" t="s">
        <v>1736</v>
      </c>
      <c r="M267" t="s">
        <v>3664</v>
      </c>
      <c r="N267" t="s">
        <v>1</v>
      </c>
      <c r="O267">
        <v>781036</v>
      </c>
      <c r="P267" t="s">
        <v>546</v>
      </c>
      <c r="Q267" t="s">
        <v>1763</v>
      </c>
      <c r="S267">
        <v>79.900000000000006</v>
      </c>
      <c r="T267">
        <v>2</v>
      </c>
      <c r="U267">
        <v>0.1</v>
      </c>
      <c r="V267">
        <v>35.155999999999999</v>
      </c>
      <c r="W267">
        <f t="shared" si="19"/>
        <v>22.372000000000003</v>
      </c>
      <c r="X267">
        <v>4</v>
      </c>
    </row>
    <row r="268" spans="1:24" x14ac:dyDescent="0.3">
      <c r="A268">
        <v>267</v>
      </c>
      <c r="B268" t="s">
        <v>2042</v>
      </c>
      <c r="C268" s="6">
        <v>44463</v>
      </c>
      <c r="D268" t="str">
        <f t="shared" si="16"/>
        <v>Sep</v>
      </c>
      <c r="E268" t="str">
        <f t="shared" si="17"/>
        <v>2021</v>
      </c>
      <c r="F268" t="s">
        <v>4</v>
      </c>
      <c r="G268" t="s">
        <v>125</v>
      </c>
      <c r="H268" t="s">
        <v>788</v>
      </c>
      <c r="I268">
        <v>130</v>
      </c>
      <c r="J268">
        <v>30</v>
      </c>
      <c r="K268">
        <f t="shared" si="18"/>
        <v>23.076923076923077</v>
      </c>
      <c r="L268" t="s">
        <v>1744</v>
      </c>
      <c r="M268" t="s">
        <v>3665</v>
      </c>
      <c r="N268" t="s">
        <v>1</v>
      </c>
      <c r="O268">
        <v>110078</v>
      </c>
      <c r="P268" t="s">
        <v>546</v>
      </c>
      <c r="Q268" t="s">
        <v>1763</v>
      </c>
      <c r="S268">
        <v>14.016</v>
      </c>
      <c r="T268">
        <v>3</v>
      </c>
      <c r="U268">
        <v>0.2</v>
      </c>
      <c r="V268">
        <v>4.7304000000000004</v>
      </c>
      <c r="W268">
        <f t="shared" si="19"/>
        <v>3.0951999999999997</v>
      </c>
      <c r="X268">
        <v>1</v>
      </c>
    </row>
    <row r="269" spans="1:24" x14ac:dyDescent="0.3">
      <c r="A269">
        <v>268</v>
      </c>
      <c r="B269" t="s">
        <v>2043</v>
      </c>
      <c r="C269" s="6">
        <v>44464</v>
      </c>
      <c r="D269" t="str">
        <f t="shared" si="16"/>
        <v>Sep</v>
      </c>
      <c r="E269" t="str">
        <f t="shared" si="17"/>
        <v>2021</v>
      </c>
      <c r="F269" t="s">
        <v>4</v>
      </c>
      <c r="G269" t="s">
        <v>45</v>
      </c>
      <c r="H269" t="s">
        <v>789</v>
      </c>
      <c r="I269">
        <v>110</v>
      </c>
      <c r="J269">
        <v>24</v>
      </c>
      <c r="K269">
        <f t="shared" si="18"/>
        <v>21.818181818181817</v>
      </c>
      <c r="L269" t="s">
        <v>1740</v>
      </c>
      <c r="M269" t="s">
        <v>3666</v>
      </c>
      <c r="N269" t="s">
        <v>1</v>
      </c>
      <c r="O269">
        <v>560043</v>
      </c>
      <c r="P269" t="s">
        <v>546</v>
      </c>
      <c r="Q269" t="s">
        <v>1774</v>
      </c>
      <c r="S269">
        <v>7.56</v>
      </c>
      <c r="T269">
        <v>6</v>
      </c>
      <c r="U269">
        <v>0.1</v>
      </c>
      <c r="V269">
        <v>0.3024</v>
      </c>
      <c r="W269">
        <f t="shared" si="19"/>
        <v>1.2096</v>
      </c>
      <c r="X269">
        <v>3</v>
      </c>
    </row>
    <row r="270" spans="1:24" x14ac:dyDescent="0.3">
      <c r="A270">
        <v>269</v>
      </c>
      <c r="B270" t="s">
        <v>2044</v>
      </c>
      <c r="C270" s="6">
        <v>44465</v>
      </c>
      <c r="D270" t="str">
        <f t="shared" si="16"/>
        <v>Sep</v>
      </c>
      <c r="E270" t="str">
        <f t="shared" si="17"/>
        <v>2021</v>
      </c>
      <c r="F270" t="s">
        <v>4</v>
      </c>
      <c r="G270" t="s">
        <v>126</v>
      </c>
      <c r="H270" t="s">
        <v>790</v>
      </c>
      <c r="I270">
        <v>120</v>
      </c>
      <c r="J270">
        <v>16</v>
      </c>
      <c r="K270">
        <f t="shared" si="18"/>
        <v>13.333333333333334</v>
      </c>
      <c r="L270" t="s">
        <v>1742</v>
      </c>
      <c r="M270" t="s">
        <v>3667</v>
      </c>
      <c r="N270" t="s">
        <v>1</v>
      </c>
      <c r="O270">
        <v>500006</v>
      </c>
      <c r="P270" t="s">
        <v>546</v>
      </c>
      <c r="Q270" t="s">
        <v>1772</v>
      </c>
      <c r="S270">
        <v>37.207999999999998</v>
      </c>
      <c r="T270">
        <v>1</v>
      </c>
      <c r="U270">
        <v>0.2</v>
      </c>
      <c r="V270">
        <v>-7.4416000000000002</v>
      </c>
      <c r="W270">
        <f t="shared" si="19"/>
        <v>44.6496</v>
      </c>
      <c r="X270">
        <v>4</v>
      </c>
    </row>
    <row r="271" spans="1:24" x14ac:dyDescent="0.3">
      <c r="A271">
        <v>270</v>
      </c>
      <c r="B271" t="s">
        <v>2045</v>
      </c>
      <c r="C271" s="6">
        <v>44466</v>
      </c>
      <c r="D271" t="str">
        <f t="shared" si="16"/>
        <v>Sep</v>
      </c>
      <c r="E271" t="str">
        <f t="shared" si="17"/>
        <v>2021</v>
      </c>
      <c r="F271" t="s">
        <v>4</v>
      </c>
      <c r="G271" t="s">
        <v>126</v>
      </c>
      <c r="H271" t="s">
        <v>791</v>
      </c>
      <c r="I271">
        <v>130</v>
      </c>
      <c r="J271">
        <v>28</v>
      </c>
      <c r="K271">
        <f t="shared" si="18"/>
        <v>21.53846153846154</v>
      </c>
      <c r="L271" t="s">
        <v>1739</v>
      </c>
      <c r="M271" t="s">
        <v>3668</v>
      </c>
      <c r="N271" t="s">
        <v>1</v>
      </c>
      <c r="O271">
        <v>560055</v>
      </c>
      <c r="P271" t="s">
        <v>546</v>
      </c>
      <c r="Q271" t="s">
        <v>1761</v>
      </c>
      <c r="S271">
        <v>57.576000000000001</v>
      </c>
      <c r="T271">
        <v>3</v>
      </c>
      <c r="U271">
        <v>0.2</v>
      </c>
      <c r="V271">
        <v>21.591000000000001</v>
      </c>
      <c r="W271">
        <f t="shared" si="19"/>
        <v>11.994999999999999</v>
      </c>
      <c r="X271">
        <v>2</v>
      </c>
    </row>
    <row r="272" spans="1:24" x14ac:dyDescent="0.3">
      <c r="A272">
        <v>271</v>
      </c>
      <c r="B272" t="s">
        <v>2046</v>
      </c>
      <c r="C272" s="6">
        <v>44467</v>
      </c>
      <c r="D272" t="str">
        <f t="shared" si="16"/>
        <v>Sep</v>
      </c>
      <c r="E272" t="str">
        <f t="shared" si="17"/>
        <v>2021</v>
      </c>
      <c r="F272" t="s">
        <v>3</v>
      </c>
      <c r="G272" t="s">
        <v>127</v>
      </c>
      <c r="H272" t="s">
        <v>792</v>
      </c>
      <c r="I272">
        <v>250</v>
      </c>
      <c r="J272">
        <v>6</v>
      </c>
      <c r="K272">
        <f t="shared" si="18"/>
        <v>2.4</v>
      </c>
      <c r="L272" t="s">
        <v>1738</v>
      </c>
      <c r="M272" t="s">
        <v>3669</v>
      </c>
      <c r="N272" t="s">
        <v>1</v>
      </c>
      <c r="O272">
        <v>751024</v>
      </c>
      <c r="P272" t="s">
        <v>546</v>
      </c>
      <c r="Q272" t="s">
        <v>1761</v>
      </c>
      <c r="S272">
        <v>725.84</v>
      </c>
      <c r="T272">
        <v>4</v>
      </c>
      <c r="U272">
        <v>0.1</v>
      </c>
      <c r="V272">
        <v>210.49359999999999</v>
      </c>
      <c r="W272">
        <f t="shared" si="19"/>
        <v>128.8366</v>
      </c>
      <c r="X272">
        <v>3</v>
      </c>
    </row>
    <row r="273" spans="1:24" x14ac:dyDescent="0.3">
      <c r="A273">
        <v>272</v>
      </c>
      <c r="B273" t="s">
        <v>2047</v>
      </c>
      <c r="C273" s="6">
        <v>44468</v>
      </c>
      <c r="D273" t="str">
        <f t="shared" si="16"/>
        <v>Sep</v>
      </c>
      <c r="E273" t="str">
        <f t="shared" si="17"/>
        <v>2021</v>
      </c>
      <c r="F273" t="s">
        <v>5</v>
      </c>
      <c r="G273" t="s">
        <v>73</v>
      </c>
      <c r="H273" t="s">
        <v>793</v>
      </c>
      <c r="I273">
        <v>200</v>
      </c>
      <c r="J273">
        <v>26</v>
      </c>
      <c r="K273">
        <f t="shared" si="18"/>
        <v>13</v>
      </c>
      <c r="L273" t="s">
        <v>1743</v>
      </c>
      <c r="M273" t="s">
        <v>3670</v>
      </c>
      <c r="N273" t="s">
        <v>1</v>
      </c>
      <c r="O273">
        <v>110024</v>
      </c>
      <c r="P273" t="s">
        <v>546</v>
      </c>
      <c r="Q273" t="s">
        <v>1755</v>
      </c>
      <c r="R273" t="s">
        <v>2</v>
      </c>
      <c r="S273">
        <v>209.93</v>
      </c>
      <c r="T273">
        <v>7</v>
      </c>
      <c r="U273">
        <v>0.1</v>
      </c>
      <c r="V273">
        <v>92.369200000000006</v>
      </c>
      <c r="W273">
        <f t="shared" si="19"/>
        <v>16.7944</v>
      </c>
      <c r="X273">
        <v>1</v>
      </c>
    </row>
    <row r="274" spans="1:24" x14ac:dyDescent="0.3">
      <c r="A274">
        <v>273</v>
      </c>
      <c r="B274" t="s">
        <v>2048</v>
      </c>
      <c r="C274" s="6">
        <v>44469</v>
      </c>
      <c r="D274" t="str">
        <f t="shared" si="16"/>
        <v>Sep</v>
      </c>
      <c r="E274" t="str">
        <f t="shared" si="17"/>
        <v>2021</v>
      </c>
      <c r="F274" t="s">
        <v>5</v>
      </c>
      <c r="G274" t="s">
        <v>73</v>
      </c>
      <c r="H274" t="s">
        <v>794</v>
      </c>
      <c r="I274">
        <v>200</v>
      </c>
      <c r="J274">
        <v>20</v>
      </c>
      <c r="K274">
        <f t="shared" si="18"/>
        <v>10</v>
      </c>
      <c r="L274" t="s">
        <v>1737</v>
      </c>
      <c r="M274" t="s">
        <v>3671</v>
      </c>
      <c r="N274" t="s">
        <v>1</v>
      </c>
      <c r="O274">
        <v>574224</v>
      </c>
      <c r="P274" t="s">
        <v>546</v>
      </c>
      <c r="Q274" t="s">
        <v>1772</v>
      </c>
      <c r="S274">
        <v>5.28</v>
      </c>
      <c r="T274">
        <v>3</v>
      </c>
      <c r="U274">
        <v>0.1</v>
      </c>
      <c r="V274">
        <v>2.3231999999999999</v>
      </c>
      <c r="W274">
        <f t="shared" si="19"/>
        <v>0.98560000000000014</v>
      </c>
      <c r="X274">
        <v>3</v>
      </c>
    </row>
    <row r="275" spans="1:24" x14ac:dyDescent="0.3">
      <c r="A275">
        <v>274</v>
      </c>
      <c r="B275" t="s">
        <v>2049</v>
      </c>
      <c r="C275" s="6">
        <v>44470</v>
      </c>
      <c r="D275" t="str">
        <f t="shared" si="16"/>
        <v>Oct</v>
      </c>
      <c r="E275" t="str">
        <f t="shared" si="17"/>
        <v>2021</v>
      </c>
      <c r="F275" t="s">
        <v>5</v>
      </c>
      <c r="G275" t="s">
        <v>73</v>
      </c>
      <c r="H275" t="s">
        <v>795</v>
      </c>
      <c r="I275">
        <v>150</v>
      </c>
      <c r="J275">
        <v>16</v>
      </c>
      <c r="K275">
        <f t="shared" si="18"/>
        <v>10.666666666666668</v>
      </c>
      <c r="L275" t="s">
        <v>1741</v>
      </c>
      <c r="M275" t="s">
        <v>3672</v>
      </c>
      <c r="N275" t="s">
        <v>1</v>
      </c>
      <c r="O275">
        <v>560103</v>
      </c>
      <c r="P275" t="s">
        <v>546</v>
      </c>
      <c r="Q275" t="s">
        <v>1761</v>
      </c>
      <c r="S275">
        <v>10.92</v>
      </c>
      <c r="T275">
        <v>3</v>
      </c>
      <c r="U275">
        <v>0.2</v>
      </c>
      <c r="V275">
        <v>4.0949999999999998</v>
      </c>
      <c r="W275">
        <f t="shared" si="19"/>
        <v>2.2749999999999999</v>
      </c>
      <c r="X275">
        <v>1</v>
      </c>
    </row>
    <row r="276" spans="1:24" x14ac:dyDescent="0.3">
      <c r="A276">
        <v>275</v>
      </c>
      <c r="B276" t="s">
        <v>2050</v>
      </c>
      <c r="C276" s="6">
        <v>44471</v>
      </c>
      <c r="D276" t="str">
        <f t="shared" si="16"/>
        <v>Oct</v>
      </c>
      <c r="E276" t="str">
        <f t="shared" si="17"/>
        <v>2021</v>
      </c>
      <c r="F276" t="s">
        <v>5</v>
      </c>
      <c r="G276" t="s">
        <v>128</v>
      </c>
      <c r="H276" t="s">
        <v>796</v>
      </c>
      <c r="I276">
        <v>150</v>
      </c>
      <c r="J276">
        <v>20</v>
      </c>
      <c r="K276">
        <f t="shared" si="18"/>
        <v>13.333333333333334</v>
      </c>
      <c r="L276" t="s">
        <v>1736</v>
      </c>
      <c r="M276" t="s">
        <v>3673</v>
      </c>
      <c r="N276" t="s">
        <v>1</v>
      </c>
      <c r="O276">
        <v>534204</v>
      </c>
      <c r="P276" t="s">
        <v>546</v>
      </c>
      <c r="Q276" t="s">
        <v>1774</v>
      </c>
      <c r="S276">
        <v>8.82</v>
      </c>
      <c r="T276">
        <v>2</v>
      </c>
      <c r="U276">
        <v>0.1</v>
      </c>
      <c r="V276">
        <v>4.0571999999999999</v>
      </c>
      <c r="W276">
        <f t="shared" si="19"/>
        <v>2.3814000000000002</v>
      </c>
      <c r="X276">
        <v>4</v>
      </c>
    </row>
    <row r="277" spans="1:24" x14ac:dyDescent="0.3">
      <c r="A277">
        <v>276</v>
      </c>
      <c r="B277" t="s">
        <v>2051</v>
      </c>
      <c r="C277" s="6">
        <v>44472</v>
      </c>
      <c r="D277" t="str">
        <f t="shared" si="16"/>
        <v>Oct</v>
      </c>
      <c r="E277" t="str">
        <f t="shared" si="17"/>
        <v>2021</v>
      </c>
      <c r="F277" t="s">
        <v>5</v>
      </c>
      <c r="G277" t="s">
        <v>128</v>
      </c>
      <c r="H277" t="s">
        <v>797</v>
      </c>
      <c r="I277">
        <v>160</v>
      </c>
      <c r="J277">
        <v>26</v>
      </c>
      <c r="K277">
        <f t="shared" si="18"/>
        <v>16.25</v>
      </c>
      <c r="L277" t="s">
        <v>1744</v>
      </c>
      <c r="M277" t="s">
        <v>3674</v>
      </c>
      <c r="N277" t="s">
        <v>1</v>
      </c>
      <c r="O277">
        <v>522006</v>
      </c>
      <c r="P277" t="s">
        <v>546</v>
      </c>
      <c r="Q277" t="s">
        <v>1770</v>
      </c>
      <c r="S277">
        <v>5.98</v>
      </c>
      <c r="T277">
        <v>1</v>
      </c>
      <c r="U277">
        <v>0.1</v>
      </c>
      <c r="V277">
        <v>1.5548</v>
      </c>
      <c r="W277">
        <f t="shared" si="19"/>
        <v>4.4252000000000002</v>
      </c>
      <c r="X277">
        <v>2</v>
      </c>
    </row>
    <row r="278" spans="1:24" x14ac:dyDescent="0.3">
      <c r="A278">
        <v>277</v>
      </c>
      <c r="B278" t="s">
        <v>2052</v>
      </c>
      <c r="C278" s="6">
        <v>44473</v>
      </c>
      <c r="D278" t="str">
        <f t="shared" si="16"/>
        <v>Oct</v>
      </c>
      <c r="E278" t="str">
        <f t="shared" si="17"/>
        <v>2021</v>
      </c>
      <c r="F278" t="s">
        <v>4</v>
      </c>
      <c r="G278" t="s">
        <v>129</v>
      </c>
      <c r="H278" t="s">
        <v>798</v>
      </c>
      <c r="I278">
        <v>120</v>
      </c>
      <c r="J278">
        <v>26</v>
      </c>
      <c r="K278">
        <f t="shared" si="18"/>
        <v>21.666666666666668</v>
      </c>
      <c r="L278" t="s">
        <v>1740</v>
      </c>
      <c r="M278" t="s">
        <v>3675</v>
      </c>
      <c r="N278" t="s">
        <v>1</v>
      </c>
      <c r="O278">
        <v>201002</v>
      </c>
      <c r="P278" t="s">
        <v>546</v>
      </c>
      <c r="Q278" t="s">
        <v>1758</v>
      </c>
      <c r="S278">
        <v>11.648</v>
      </c>
      <c r="T278">
        <v>2</v>
      </c>
      <c r="U278">
        <v>0.2</v>
      </c>
      <c r="V278">
        <v>4.0768000000000004</v>
      </c>
      <c r="W278">
        <f t="shared" si="19"/>
        <v>3.7855999999999996</v>
      </c>
      <c r="X278">
        <v>2</v>
      </c>
    </row>
    <row r="279" spans="1:24" x14ac:dyDescent="0.3">
      <c r="A279">
        <v>278</v>
      </c>
      <c r="B279" t="s">
        <v>2053</v>
      </c>
      <c r="C279" s="6">
        <v>44474</v>
      </c>
      <c r="D279" t="str">
        <f t="shared" si="16"/>
        <v>Oct</v>
      </c>
      <c r="E279" t="str">
        <f t="shared" si="17"/>
        <v>2021</v>
      </c>
      <c r="F279" t="s">
        <v>4</v>
      </c>
      <c r="G279" t="s">
        <v>129</v>
      </c>
      <c r="H279" t="s">
        <v>799</v>
      </c>
      <c r="I279">
        <v>180</v>
      </c>
      <c r="J279">
        <v>12</v>
      </c>
      <c r="K279">
        <f t="shared" si="18"/>
        <v>6.666666666666667</v>
      </c>
      <c r="L279" t="s">
        <v>1742</v>
      </c>
      <c r="M279" t="s">
        <v>3676</v>
      </c>
      <c r="N279" t="s">
        <v>1</v>
      </c>
      <c r="O279">
        <v>516356</v>
      </c>
      <c r="P279" t="s">
        <v>546</v>
      </c>
      <c r="Q279" t="s">
        <v>1773</v>
      </c>
      <c r="S279">
        <v>18.175999999999998</v>
      </c>
      <c r="T279">
        <v>4</v>
      </c>
      <c r="U279">
        <v>0.2</v>
      </c>
      <c r="V279">
        <v>5.9071999999999996</v>
      </c>
      <c r="W279">
        <f t="shared" si="19"/>
        <v>3.0671999999999997</v>
      </c>
      <c r="X279">
        <v>4</v>
      </c>
    </row>
    <row r="280" spans="1:24" x14ac:dyDescent="0.3">
      <c r="A280">
        <v>279</v>
      </c>
      <c r="B280" t="s">
        <v>2054</v>
      </c>
      <c r="C280" s="6">
        <v>44475</v>
      </c>
      <c r="D280" t="str">
        <f t="shared" si="16"/>
        <v>Oct</v>
      </c>
      <c r="E280" t="str">
        <f t="shared" si="17"/>
        <v>2021</v>
      </c>
      <c r="F280" t="s">
        <v>4</v>
      </c>
      <c r="G280" t="s">
        <v>129</v>
      </c>
      <c r="H280" t="s">
        <v>800</v>
      </c>
      <c r="I280">
        <v>230</v>
      </c>
      <c r="J280">
        <v>26</v>
      </c>
      <c r="K280">
        <f t="shared" si="18"/>
        <v>11.304347826086957</v>
      </c>
      <c r="L280" t="s">
        <v>1739</v>
      </c>
      <c r="M280" t="s">
        <v>3677</v>
      </c>
      <c r="N280" t="s">
        <v>1</v>
      </c>
      <c r="O280">
        <v>516356</v>
      </c>
      <c r="P280" t="s">
        <v>546</v>
      </c>
      <c r="Q280" t="s">
        <v>1761</v>
      </c>
      <c r="R280" t="s">
        <v>2</v>
      </c>
      <c r="S280">
        <v>59.712000000000003</v>
      </c>
      <c r="T280">
        <v>6</v>
      </c>
      <c r="U280">
        <v>0.2</v>
      </c>
      <c r="V280">
        <v>5.9711999999999996</v>
      </c>
      <c r="W280">
        <f t="shared" si="19"/>
        <v>8.9568000000000012</v>
      </c>
      <c r="X280">
        <v>5</v>
      </c>
    </row>
    <row r="281" spans="1:24" x14ac:dyDescent="0.3">
      <c r="A281">
        <v>280</v>
      </c>
      <c r="B281" t="s">
        <v>2055</v>
      </c>
      <c r="C281" s="6">
        <v>44476</v>
      </c>
      <c r="D281" t="str">
        <f t="shared" si="16"/>
        <v>Oct</v>
      </c>
      <c r="E281" t="str">
        <f t="shared" si="17"/>
        <v>2021</v>
      </c>
      <c r="F281" t="s">
        <v>4</v>
      </c>
      <c r="G281" t="s">
        <v>129</v>
      </c>
      <c r="H281" t="s">
        <v>801</v>
      </c>
      <c r="I281">
        <v>180</v>
      </c>
      <c r="J281">
        <v>12</v>
      </c>
      <c r="K281">
        <f t="shared" si="18"/>
        <v>6.666666666666667</v>
      </c>
      <c r="L281" t="s">
        <v>1738</v>
      </c>
      <c r="M281" t="s">
        <v>3678</v>
      </c>
      <c r="N281" t="s">
        <v>1</v>
      </c>
      <c r="O281">
        <v>686006</v>
      </c>
      <c r="P281" t="s">
        <v>546</v>
      </c>
      <c r="Q281" t="s">
        <v>1772</v>
      </c>
      <c r="R281" t="s">
        <v>2</v>
      </c>
      <c r="S281">
        <v>24.84</v>
      </c>
      <c r="T281">
        <v>3</v>
      </c>
      <c r="U281">
        <v>0.2</v>
      </c>
      <c r="V281">
        <v>8.6940000000000008</v>
      </c>
      <c r="W281">
        <f t="shared" si="19"/>
        <v>5.3820000000000006</v>
      </c>
      <c r="X281">
        <v>5</v>
      </c>
    </row>
    <row r="282" spans="1:24" x14ac:dyDescent="0.3">
      <c r="A282">
        <v>281</v>
      </c>
      <c r="B282" t="s">
        <v>2056</v>
      </c>
      <c r="C282" s="6">
        <v>44477</v>
      </c>
      <c r="D282" t="str">
        <f t="shared" si="16"/>
        <v>Oct</v>
      </c>
      <c r="E282" t="str">
        <f t="shared" si="17"/>
        <v>2021</v>
      </c>
      <c r="F282" t="s">
        <v>3</v>
      </c>
      <c r="G282" t="s">
        <v>63</v>
      </c>
      <c r="H282" t="s">
        <v>802</v>
      </c>
      <c r="I282">
        <v>170</v>
      </c>
      <c r="J282">
        <v>18</v>
      </c>
      <c r="K282">
        <f t="shared" si="18"/>
        <v>10.588235294117647</v>
      </c>
      <c r="L282" t="s">
        <v>1737</v>
      </c>
      <c r="M282" t="s">
        <v>3748</v>
      </c>
      <c r="N282" t="s">
        <v>1</v>
      </c>
      <c r="O282">
        <v>431009</v>
      </c>
      <c r="P282" t="s">
        <v>546</v>
      </c>
      <c r="Q282" t="s">
        <v>1756</v>
      </c>
      <c r="S282">
        <v>2.08</v>
      </c>
      <c r="T282">
        <v>5</v>
      </c>
      <c r="U282">
        <v>0.8</v>
      </c>
      <c r="V282">
        <v>-3.4319999999999999</v>
      </c>
      <c r="W282">
        <f t="shared" si="19"/>
        <v>1.1024</v>
      </c>
      <c r="X282">
        <v>4</v>
      </c>
    </row>
    <row r="283" spans="1:24" x14ac:dyDescent="0.3">
      <c r="A283">
        <v>282</v>
      </c>
      <c r="B283" t="s">
        <v>2057</v>
      </c>
      <c r="C283" s="6">
        <v>44478</v>
      </c>
      <c r="D283" t="str">
        <f t="shared" si="16"/>
        <v>Oct</v>
      </c>
      <c r="E283" t="str">
        <f t="shared" si="17"/>
        <v>2021</v>
      </c>
      <c r="F283" t="s">
        <v>3</v>
      </c>
      <c r="G283" t="s">
        <v>63</v>
      </c>
      <c r="H283" t="s">
        <v>803</v>
      </c>
      <c r="I283">
        <v>240</v>
      </c>
      <c r="J283">
        <v>18</v>
      </c>
      <c r="K283">
        <f t="shared" si="18"/>
        <v>7.5</v>
      </c>
      <c r="L283" t="s">
        <v>1743</v>
      </c>
      <c r="M283" t="s">
        <v>3749</v>
      </c>
      <c r="N283" t="s">
        <v>1</v>
      </c>
      <c r="O283">
        <v>562114</v>
      </c>
      <c r="P283" t="s">
        <v>546</v>
      </c>
      <c r="Q283" t="s">
        <v>1754</v>
      </c>
      <c r="S283">
        <v>1114.4000000000001</v>
      </c>
      <c r="T283">
        <v>7</v>
      </c>
      <c r="U283">
        <v>0.2</v>
      </c>
      <c r="V283">
        <v>376.11</v>
      </c>
      <c r="W283">
        <f t="shared" si="19"/>
        <v>105.47000000000001</v>
      </c>
      <c r="X283">
        <v>2</v>
      </c>
    </row>
    <row r="284" spans="1:24" x14ac:dyDescent="0.3">
      <c r="A284">
        <v>283</v>
      </c>
      <c r="B284" t="s">
        <v>2058</v>
      </c>
      <c r="C284" s="6">
        <v>44479</v>
      </c>
      <c r="D284" t="str">
        <f t="shared" si="16"/>
        <v>Oct</v>
      </c>
      <c r="E284" t="str">
        <f t="shared" si="17"/>
        <v>2021</v>
      </c>
      <c r="F284" t="s">
        <v>4</v>
      </c>
      <c r="G284" t="s">
        <v>130</v>
      </c>
      <c r="H284" t="s">
        <v>804</v>
      </c>
      <c r="I284">
        <v>150</v>
      </c>
      <c r="J284">
        <v>30</v>
      </c>
      <c r="K284">
        <f t="shared" si="18"/>
        <v>20</v>
      </c>
      <c r="L284" t="s">
        <v>1738</v>
      </c>
      <c r="M284" t="s">
        <v>3750</v>
      </c>
      <c r="N284" t="s">
        <v>1</v>
      </c>
      <c r="O284">
        <v>560102</v>
      </c>
      <c r="P284" t="s">
        <v>546</v>
      </c>
      <c r="Q284" t="s">
        <v>1763</v>
      </c>
      <c r="S284">
        <v>1038.8399999999999</v>
      </c>
      <c r="T284">
        <v>5</v>
      </c>
      <c r="U284">
        <v>0.2</v>
      </c>
      <c r="V284">
        <v>51.942</v>
      </c>
      <c r="W284">
        <f t="shared" si="19"/>
        <v>197.37959999999998</v>
      </c>
      <c r="X284">
        <v>5</v>
      </c>
    </row>
    <row r="285" spans="1:24" x14ac:dyDescent="0.3">
      <c r="A285">
        <v>284</v>
      </c>
      <c r="B285" t="s">
        <v>2059</v>
      </c>
      <c r="C285" s="6">
        <v>44480</v>
      </c>
      <c r="D285" t="str">
        <f t="shared" si="16"/>
        <v>Oct</v>
      </c>
      <c r="E285" t="str">
        <f t="shared" si="17"/>
        <v>2021</v>
      </c>
      <c r="F285" t="s">
        <v>4</v>
      </c>
      <c r="G285" t="s">
        <v>21</v>
      </c>
      <c r="H285" t="s">
        <v>805</v>
      </c>
      <c r="I285">
        <v>180</v>
      </c>
      <c r="J285">
        <v>16</v>
      </c>
      <c r="K285">
        <f t="shared" si="18"/>
        <v>8.8888888888888893</v>
      </c>
      <c r="L285" t="s">
        <v>1739</v>
      </c>
      <c r="M285" t="s">
        <v>3751</v>
      </c>
      <c r="N285" t="s">
        <v>1</v>
      </c>
      <c r="O285">
        <v>560049</v>
      </c>
      <c r="P285" t="s">
        <v>546</v>
      </c>
      <c r="Q285" t="s">
        <v>1759</v>
      </c>
      <c r="S285">
        <v>141.76</v>
      </c>
      <c r="T285">
        <v>5</v>
      </c>
      <c r="U285">
        <v>0.2</v>
      </c>
      <c r="V285">
        <v>47.844000000000001</v>
      </c>
      <c r="W285">
        <f t="shared" si="19"/>
        <v>18.783200000000001</v>
      </c>
      <c r="X285">
        <v>1</v>
      </c>
    </row>
    <row r="286" spans="1:24" x14ac:dyDescent="0.3">
      <c r="A286">
        <v>285</v>
      </c>
      <c r="B286" t="s">
        <v>2060</v>
      </c>
      <c r="C286" s="6">
        <v>44481</v>
      </c>
      <c r="D286" t="str">
        <f t="shared" si="16"/>
        <v>Oct</v>
      </c>
      <c r="E286" t="str">
        <f t="shared" si="17"/>
        <v>2021</v>
      </c>
      <c r="F286" t="s">
        <v>4</v>
      </c>
      <c r="G286" t="s">
        <v>21</v>
      </c>
      <c r="H286" t="s">
        <v>806</v>
      </c>
      <c r="I286">
        <v>250</v>
      </c>
      <c r="J286">
        <v>26</v>
      </c>
      <c r="K286">
        <f t="shared" si="18"/>
        <v>10.4</v>
      </c>
      <c r="L286" t="s">
        <v>1741</v>
      </c>
      <c r="M286" t="s">
        <v>3752</v>
      </c>
      <c r="N286" t="s">
        <v>1</v>
      </c>
      <c r="O286">
        <v>560068</v>
      </c>
      <c r="P286" t="s">
        <v>546</v>
      </c>
      <c r="Q286" t="s">
        <v>1756</v>
      </c>
      <c r="S286">
        <v>239.8</v>
      </c>
      <c r="T286">
        <v>5</v>
      </c>
      <c r="U286">
        <v>0.2</v>
      </c>
      <c r="V286">
        <v>47.96</v>
      </c>
      <c r="W286">
        <f t="shared" si="19"/>
        <v>38.368000000000002</v>
      </c>
      <c r="X286">
        <v>5</v>
      </c>
    </row>
    <row r="287" spans="1:24" x14ac:dyDescent="0.3">
      <c r="A287">
        <v>286</v>
      </c>
      <c r="B287" t="s">
        <v>2061</v>
      </c>
      <c r="C287" s="6">
        <v>44482</v>
      </c>
      <c r="D287" t="str">
        <f t="shared" si="16"/>
        <v>Oct</v>
      </c>
      <c r="E287" t="str">
        <f t="shared" si="17"/>
        <v>2021</v>
      </c>
      <c r="F287" t="s">
        <v>4</v>
      </c>
      <c r="G287" t="s">
        <v>21</v>
      </c>
      <c r="H287" t="s">
        <v>807</v>
      </c>
      <c r="I287">
        <v>210</v>
      </c>
      <c r="J287">
        <v>26</v>
      </c>
      <c r="K287">
        <f t="shared" si="18"/>
        <v>12.380952380952381</v>
      </c>
      <c r="L287" t="s">
        <v>1736</v>
      </c>
      <c r="M287" t="s">
        <v>3753</v>
      </c>
      <c r="N287" t="s">
        <v>1</v>
      </c>
      <c r="O287">
        <v>560036</v>
      </c>
      <c r="P287" t="s">
        <v>546</v>
      </c>
      <c r="Q287" t="s">
        <v>1759</v>
      </c>
      <c r="S287">
        <v>31.103999999999999</v>
      </c>
      <c r="T287">
        <v>6</v>
      </c>
      <c r="U287">
        <v>0.2</v>
      </c>
      <c r="V287">
        <v>10.8864</v>
      </c>
      <c r="W287">
        <f t="shared" si="19"/>
        <v>3.3695999999999997</v>
      </c>
      <c r="X287">
        <v>5</v>
      </c>
    </row>
    <row r="288" spans="1:24" x14ac:dyDescent="0.3">
      <c r="A288">
        <v>287</v>
      </c>
      <c r="B288" t="s">
        <v>2062</v>
      </c>
      <c r="C288" s="6">
        <v>44483</v>
      </c>
      <c r="D288" t="str">
        <f t="shared" si="16"/>
        <v>Oct</v>
      </c>
      <c r="E288" t="str">
        <f t="shared" si="17"/>
        <v>2021</v>
      </c>
      <c r="F288" t="s">
        <v>3</v>
      </c>
      <c r="G288" t="s">
        <v>131</v>
      </c>
      <c r="H288" t="s">
        <v>808</v>
      </c>
      <c r="I288">
        <v>180</v>
      </c>
      <c r="J288">
        <v>12</v>
      </c>
      <c r="K288">
        <f t="shared" si="18"/>
        <v>6.666666666666667</v>
      </c>
      <c r="L288" t="s">
        <v>1744</v>
      </c>
      <c r="M288" t="s">
        <v>3754</v>
      </c>
      <c r="N288" t="s">
        <v>1</v>
      </c>
      <c r="O288">
        <v>231223</v>
      </c>
      <c r="P288" t="s">
        <v>546</v>
      </c>
      <c r="Q288" t="s">
        <v>1756</v>
      </c>
      <c r="S288">
        <v>254.05799999999999</v>
      </c>
      <c r="T288">
        <v>7</v>
      </c>
      <c r="U288">
        <v>0.7</v>
      </c>
      <c r="V288">
        <v>-169.37200000000001</v>
      </c>
      <c r="W288">
        <f t="shared" si="19"/>
        <v>60.49</v>
      </c>
      <c r="X288">
        <v>3</v>
      </c>
    </row>
    <row r="289" spans="1:24" x14ac:dyDescent="0.3">
      <c r="A289">
        <v>288</v>
      </c>
      <c r="B289" t="s">
        <v>2063</v>
      </c>
      <c r="C289" s="6">
        <v>44484</v>
      </c>
      <c r="D289" t="str">
        <f t="shared" si="16"/>
        <v>Oct</v>
      </c>
      <c r="E289" t="str">
        <f t="shared" si="17"/>
        <v>2021</v>
      </c>
      <c r="F289" t="s">
        <v>3</v>
      </c>
      <c r="G289" t="s">
        <v>131</v>
      </c>
      <c r="H289" t="s">
        <v>713</v>
      </c>
      <c r="I289">
        <v>180</v>
      </c>
      <c r="J289">
        <v>26</v>
      </c>
      <c r="K289">
        <f t="shared" si="18"/>
        <v>14.444444444444443</v>
      </c>
      <c r="L289" t="s">
        <v>1740</v>
      </c>
      <c r="M289" t="s">
        <v>3755</v>
      </c>
      <c r="N289" t="s">
        <v>1</v>
      </c>
      <c r="O289">
        <v>800007</v>
      </c>
      <c r="P289" t="s">
        <v>546</v>
      </c>
      <c r="Q289" t="s">
        <v>1761</v>
      </c>
      <c r="R289" t="s">
        <v>2</v>
      </c>
      <c r="S289">
        <v>194.52799999999999</v>
      </c>
      <c r="T289">
        <v>2</v>
      </c>
      <c r="U289">
        <v>0.2</v>
      </c>
      <c r="V289">
        <v>24.315999999999999</v>
      </c>
      <c r="W289">
        <f t="shared" si="19"/>
        <v>85.105999999999995</v>
      </c>
      <c r="X289">
        <v>4</v>
      </c>
    </row>
    <row r="290" spans="1:24" x14ac:dyDescent="0.3">
      <c r="A290">
        <v>289</v>
      </c>
      <c r="B290" t="s">
        <v>2064</v>
      </c>
      <c r="C290" s="6">
        <v>44485</v>
      </c>
      <c r="D290" t="str">
        <f t="shared" si="16"/>
        <v>Oct</v>
      </c>
      <c r="E290" t="str">
        <f t="shared" si="17"/>
        <v>2021</v>
      </c>
      <c r="F290" t="s">
        <v>3</v>
      </c>
      <c r="G290" t="s">
        <v>131</v>
      </c>
      <c r="H290" t="s">
        <v>809</v>
      </c>
      <c r="I290">
        <v>130</v>
      </c>
      <c r="J290">
        <v>28</v>
      </c>
      <c r="K290">
        <f t="shared" si="18"/>
        <v>21.53846153846154</v>
      </c>
      <c r="L290" t="s">
        <v>1742</v>
      </c>
      <c r="M290" t="s">
        <v>3756</v>
      </c>
      <c r="N290" t="s">
        <v>1</v>
      </c>
      <c r="O290">
        <v>442001</v>
      </c>
      <c r="P290" t="s">
        <v>546</v>
      </c>
      <c r="Q290" t="s">
        <v>1755</v>
      </c>
      <c r="S290">
        <v>961.48</v>
      </c>
      <c r="T290">
        <v>5</v>
      </c>
      <c r="U290">
        <v>0.2</v>
      </c>
      <c r="V290">
        <v>-204.31450000000001</v>
      </c>
      <c r="W290">
        <f t="shared" si="19"/>
        <v>233.15889999999999</v>
      </c>
      <c r="X290">
        <v>4</v>
      </c>
    </row>
    <row r="291" spans="1:24" x14ac:dyDescent="0.3">
      <c r="A291">
        <v>290</v>
      </c>
      <c r="B291" t="s">
        <v>2065</v>
      </c>
      <c r="C291" s="6">
        <v>44486</v>
      </c>
      <c r="D291" t="str">
        <f t="shared" si="16"/>
        <v>Oct</v>
      </c>
      <c r="E291" t="str">
        <f t="shared" si="17"/>
        <v>2021</v>
      </c>
      <c r="F291" t="s">
        <v>3</v>
      </c>
      <c r="G291" t="s">
        <v>132</v>
      </c>
      <c r="H291" t="s">
        <v>810</v>
      </c>
      <c r="I291">
        <v>180</v>
      </c>
      <c r="J291">
        <v>8</v>
      </c>
      <c r="K291">
        <f t="shared" si="18"/>
        <v>4.4444444444444446</v>
      </c>
      <c r="L291" t="s">
        <v>1739</v>
      </c>
      <c r="M291" t="s">
        <v>3757</v>
      </c>
      <c r="N291" t="s">
        <v>1</v>
      </c>
      <c r="O291">
        <v>122009</v>
      </c>
      <c r="P291" t="s">
        <v>546</v>
      </c>
      <c r="Q291" t="s">
        <v>1765</v>
      </c>
      <c r="S291">
        <v>19.096</v>
      </c>
      <c r="T291">
        <v>7</v>
      </c>
      <c r="U291">
        <v>0.2</v>
      </c>
      <c r="V291">
        <v>6.6836000000000002</v>
      </c>
      <c r="W291">
        <f t="shared" si="19"/>
        <v>1.7731999999999999</v>
      </c>
      <c r="X291">
        <v>2</v>
      </c>
    </row>
    <row r="292" spans="1:24" x14ac:dyDescent="0.3">
      <c r="A292">
        <v>291</v>
      </c>
      <c r="B292" t="s">
        <v>2066</v>
      </c>
      <c r="C292" s="6">
        <v>44487</v>
      </c>
      <c r="D292" t="str">
        <f t="shared" si="16"/>
        <v>Oct</v>
      </c>
      <c r="E292" t="str">
        <f t="shared" si="17"/>
        <v>2021</v>
      </c>
      <c r="F292" t="s">
        <v>3</v>
      </c>
      <c r="G292" t="s">
        <v>132</v>
      </c>
      <c r="H292" t="s">
        <v>811</v>
      </c>
      <c r="I292">
        <v>130</v>
      </c>
      <c r="J292">
        <v>14</v>
      </c>
      <c r="K292">
        <f t="shared" si="18"/>
        <v>10.76923076923077</v>
      </c>
      <c r="L292" t="s">
        <v>1738</v>
      </c>
      <c r="M292" t="s">
        <v>3758</v>
      </c>
      <c r="N292" t="s">
        <v>1</v>
      </c>
      <c r="O292">
        <v>125050</v>
      </c>
      <c r="P292" t="s">
        <v>546</v>
      </c>
      <c r="Q292" t="s">
        <v>1765</v>
      </c>
      <c r="S292">
        <v>18.495999999999999</v>
      </c>
      <c r="T292">
        <v>8</v>
      </c>
      <c r="U292">
        <v>0.2</v>
      </c>
      <c r="V292">
        <v>6.2423999999999999</v>
      </c>
      <c r="W292">
        <f t="shared" si="19"/>
        <v>1.5316999999999998</v>
      </c>
      <c r="X292">
        <v>1</v>
      </c>
    </row>
    <row r="293" spans="1:24" x14ac:dyDescent="0.3">
      <c r="A293">
        <v>292</v>
      </c>
      <c r="B293" t="s">
        <v>2067</v>
      </c>
      <c r="C293" s="6">
        <v>44488</v>
      </c>
      <c r="D293" t="str">
        <f t="shared" si="16"/>
        <v>Oct</v>
      </c>
      <c r="E293" t="str">
        <f t="shared" si="17"/>
        <v>2021</v>
      </c>
      <c r="F293" t="s">
        <v>3</v>
      </c>
      <c r="G293" t="s">
        <v>132</v>
      </c>
      <c r="H293" t="s">
        <v>812</v>
      </c>
      <c r="I293">
        <v>240</v>
      </c>
      <c r="J293">
        <v>8</v>
      </c>
      <c r="K293">
        <f t="shared" si="18"/>
        <v>3.3333333333333335</v>
      </c>
      <c r="L293" t="s">
        <v>1743</v>
      </c>
      <c r="M293" t="s">
        <v>3759</v>
      </c>
      <c r="N293" t="s">
        <v>1</v>
      </c>
      <c r="O293">
        <v>125050</v>
      </c>
      <c r="P293" t="s">
        <v>546</v>
      </c>
      <c r="Q293" t="s">
        <v>1761</v>
      </c>
      <c r="S293">
        <v>255.98400000000001</v>
      </c>
      <c r="T293">
        <v>2</v>
      </c>
      <c r="U293">
        <v>0.2</v>
      </c>
      <c r="V293">
        <v>54.396599999999999</v>
      </c>
      <c r="W293">
        <f t="shared" si="19"/>
        <v>100.7937</v>
      </c>
      <c r="X293">
        <v>5</v>
      </c>
    </row>
    <row r="294" spans="1:24" x14ac:dyDescent="0.3">
      <c r="A294">
        <v>293</v>
      </c>
      <c r="B294" t="s">
        <v>2068</v>
      </c>
      <c r="C294" s="6">
        <v>44489</v>
      </c>
      <c r="D294" t="str">
        <f t="shared" si="16"/>
        <v>Oct</v>
      </c>
      <c r="E294" t="str">
        <f t="shared" si="17"/>
        <v>2021</v>
      </c>
      <c r="F294" t="s">
        <v>3</v>
      </c>
      <c r="G294" t="s">
        <v>132</v>
      </c>
      <c r="H294" t="s">
        <v>813</v>
      </c>
      <c r="I294">
        <v>150</v>
      </c>
      <c r="J294">
        <v>16</v>
      </c>
      <c r="K294">
        <f t="shared" si="18"/>
        <v>10.666666666666668</v>
      </c>
      <c r="L294" t="s">
        <v>1737</v>
      </c>
      <c r="M294" t="s">
        <v>3760</v>
      </c>
      <c r="N294" t="s">
        <v>1</v>
      </c>
      <c r="O294">
        <v>125050</v>
      </c>
      <c r="P294" t="s">
        <v>546</v>
      </c>
      <c r="Q294" t="s">
        <v>1766</v>
      </c>
      <c r="S294">
        <v>86.97</v>
      </c>
      <c r="T294">
        <v>3</v>
      </c>
      <c r="U294">
        <v>0.5</v>
      </c>
      <c r="V294">
        <v>-48.703200000000002</v>
      </c>
      <c r="W294">
        <f t="shared" si="19"/>
        <v>45.224400000000003</v>
      </c>
      <c r="X294">
        <v>2</v>
      </c>
    </row>
    <row r="295" spans="1:24" x14ac:dyDescent="0.3">
      <c r="A295">
        <v>294</v>
      </c>
      <c r="B295" t="s">
        <v>2069</v>
      </c>
      <c r="C295" s="6">
        <v>44490</v>
      </c>
      <c r="D295" t="str">
        <f t="shared" si="16"/>
        <v>Oct</v>
      </c>
      <c r="E295" t="str">
        <f t="shared" si="17"/>
        <v>2021</v>
      </c>
      <c r="F295" t="s">
        <v>5</v>
      </c>
      <c r="G295" t="s">
        <v>133</v>
      </c>
      <c r="H295" t="s">
        <v>814</v>
      </c>
      <c r="I295">
        <v>240</v>
      </c>
      <c r="J295">
        <v>20</v>
      </c>
      <c r="K295">
        <f t="shared" si="18"/>
        <v>8.3333333333333321</v>
      </c>
      <c r="L295" t="s">
        <v>1741</v>
      </c>
      <c r="M295" t="s">
        <v>3761</v>
      </c>
      <c r="N295" t="s">
        <v>1</v>
      </c>
      <c r="O295">
        <v>125050</v>
      </c>
      <c r="P295" t="s">
        <v>546</v>
      </c>
      <c r="Q295" t="s">
        <v>1763</v>
      </c>
      <c r="S295">
        <v>300.416</v>
      </c>
      <c r="T295">
        <v>8</v>
      </c>
      <c r="U295">
        <v>0.2</v>
      </c>
      <c r="V295">
        <v>78.859200000000001</v>
      </c>
      <c r="W295">
        <f t="shared" si="19"/>
        <v>27.694600000000001</v>
      </c>
      <c r="X295">
        <v>5</v>
      </c>
    </row>
    <row r="296" spans="1:24" x14ac:dyDescent="0.3">
      <c r="A296">
        <v>295</v>
      </c>
      <c r="B296" t="s">
        <v>2070</v>
      </c>
      <c r="C296" s="6">
        <v>44491</v>
      </c>
      <c r="D296" t="str">
        <f t="shared" si="16"/>
        <v>Oct</v>
      </c>
      <c r="E296" t="str">
        <f t="shared" si="17"/>
        <v>2021</v>
      </c>
      <c r="F296" t="s">
        <v>5</v>
      </c>
      <c r="G296" t="s">
        <v>133</v>
      </c>
      <c r="H296" t="s">
        <v>815</v>
      </c>
      <c r="I296">
        <v>190</v>
      </c>
      <c r="J296">
        <v>12</v>
      </c>
      <c r="K296">
        <f t="shared" si="18"/>
        <v>6.3157894736842106</v>
      </c>
      <c r="L296" t="s">
        <v>1736</v>
      </c>
      <c r="M296" t="s">
        <v>3762</v>
      </c>
      <c r="N296" t="s">
        <v>1</v>
      </c>
      <c r="O296">
        <v>125050</v>
      </c>
      <c r="P296" t="s">
        <v>546</v>
      </c>
      <c r="Q296" t="s">
        <v>1769</v>
      </c>
      <c r="R296" t="s">
        <v>2</v>
      </c>
      <c r="S296">
        <v>230.352</v>
      </c>
      <c r="T296">
        <v>3</v>
      </c>
      <c r="U296">
        <v>0.2</v>
      </c>
      <c r="V296">
        <v>20.155799999999999</v>
      </c>
      <c r="W296">
        <f t="shared" si="19"/>
        <v>70.065399999999997</v>
      </c>
      <c r="X296">
        <v>4</v>
      </c>
    </row>
    <row r="297" spans="1:24" x14ac:dyDescent="0.3">
      <c r="A297">
        <v>296</v>
      </c>
      <c r="B297" t="s">
        <v>2071</v>
      </c>
      <c r="C297" s="6">
        <v>44492</v>
      </c>
      <c r="D297" t="str">
        <f t="shared" si="16"/>
        <v>Oct</v>
      </c>
      <c r="E297" t="str">
        <f t="shared" si="17"/>
        <v>2021</v>
      </c>
      <c r="F297" t="s">
        <v>5</v>
      </c>
      <c r="G297" t="s">
        <v>133</v>
      </c>
      <c r="H297" t="s">
        <v>816</v>
      </c>
      <c r="I297">
        <v>170</v>
      </c>
      <c r="J297">
        <v>30</v>
      </c>
      <c r="K297">
        <f t="shared" si="18"/>
        <v>17.647058823529413</v>
      </c>
      <c r="L297" t="s">
        <v>1744</v>
      </c>
      <c r="M297" t="s">
        <v>3763</v>
      </c>
      <c r="N297" t="s">
        <v>1</v>
      </c>
      <c r="O297">
        <v>827013</v>
      </c>
      <c r="P297" t="s">
        <v>546</v>
      </c>
      <c r="Q297" t="s">
        <v>1761</v>
      </c>
      <c r="S297">
        <v>218.352</v>
      </c>
      <c r="T297">
        <v>3</v>
      </c>
      <c r="U297">
        <v>0.2</v>
      </c>
      <c r="V297">
        <v>-24.564599999999999</v>
      </c>
      <c r="W297">
        <f t="shared" si="19"/>
        <v>80.972200000000001</v>
      </c>
      <c r="X297">
        <v>1</v>
      </c>
    </row>
    <row r="298" spans="1:24" x14ac:dyDescent="0.3">
      <c r="A298">
        <v>297</v>
      </c>
      <c r="B298" t="s">
        <v>2072</v>
      </c>
      <c r="C298" s="6">
        <v>44493</v>
      </c>
      <c r="D298" t="str">
        <f t="shared" si="16"/>
        <v>Oct</v>
      </c>
      <c r="E298" t="str">
        <f t="shared" si="17"/>
        <v>2021</v>
      </c>
      <c r="F298" t="s">
        <v>5</v>
      </c>
      <c r="G298" t="s">
        <v>133</v>
      </c>
      <c r="H298" t="s">
        <v>817</v>
      </c>
      <c r="I298">
        <v>180</v>
      </c>
      <c r="J298">
        <v>20</v>
      </c>
      <c r="K298">
        <f t="shared" si="18"/>
        <v>11.111111111111111</v>
      </c>
      <c r="L298" t="s">
        <v>1740</v>
      </c>
      <c r="M298" t="s">
        <v>3764</v>
      </c>
      <c r="N298" t="s">
        <v>1</v>
      </c>
      <c r="O298">
        <v>411006</v>
      </c>
      <c r="P298" t="s">
        <v>546</v>
      </c>
      <c r="Q298" t="s">
        <v>1767</v>
      </c>
      <c r="S298">
        <v>78.599999999999994</v>
      </c>
      <c r="T298">
        <v>5</v>
      </c>
      <c r="U298">
        <v>0.7</v>
      </c>
      <c r="V298">
        <v>-62.88</v>
      </c>
      <c r="W298">
        <f t="shared" si="19"/>
        <v>28.295999999999999</v>
      </c>
      <c r="X298">
        <v>2</v>
      </c>
    </row>
    <row r="299" spans="1:24" x14ac:dyDescent="0.3">
      <c r="A299">
        <v>298</v>
      </c>
      <c r="B299" t="s">
        <v>2073</v>
      </c>
      <c r="C299" s="6">
        <v>44494</v>
      </c>
      <c r="D299" t="str">
        <f t="shared" si="16"/>
        <v>Oct</v>
      </c>
      <c r="E299" t="str">
        <f t="shared" si="17"/>
        <v>2021</v>
      </c>
      <c r="F299" t="s">
        <v>5</v>
      </c>
      <c r="G299" t="s">
        <v>133</v>
      </c>
      <c r="H299" t="s">
        <v>818</v>
      </c>
      <c r="I299">
        <v>130</v>
      </c>
      <c r="J299">
        <v>30</v>
      </c>
      <c r="K299">
        <f t="shared" si="18"/>
        <v>23.076923076923077</v>
      </c>
      <c r="L299" t="s">
        <v>1742</v>
      </c>
      <c r="M299" t="s">
        <v>3765</v>
      </c>
      <c r="N299" t="s">
        <v>1</v>
      </c>
      <c r="O299">
        <v>411006</v>
      </c>
      <c r="P299" t="s">
        <v>546</v>
      </c>
      <c r="Q299" t="s">
        <v>1768</v>
      </c>
      <c r="S299">
        <v>27.552</v>
      </c>
      <c r="T299">
        <v>3</v>
      </c>
      <c r="U299">
        <v>0.2</v>
      </c>
      <c r="V299">
        <v>9.2988</v>
      </c>
      <c r="W299">
        <f t="shared" si="19"/>
        <v>6.0843999999999996</v>
      </c>
      <c r="X299">
        <v>3</v>
      </c>
    </row>
    <row r="300" spans="1:24" x14ac:dyDescent="0.3">
      <c r="A300">
        <v>299</v>
      </c>
      <c r="B300" t="s">
        <v>2074</v>
      </c>
      <c r="C300" s="6">
        <v>44495</v>
      </c>
      <c r="D300" t="str">
        <f t="shared" si="16"/>
        <v>Oct</v>
      </c>
      <c r="E300" t="str">
        <f t="shared" si="17"/>
        <v>2021</v>
      </c>
      <c r="F300" t="s">
        <v>4</v>
      </c>
      <c r="G300" t="s">
        <v>70</v>
      </c>
      <c r="H300" t="s">
        <v>819</v>
      </c>
      <c r="I300">
        <v>110</v>
      </c>
      <c r="J300">
        <v>14</v>
      </c>
      <c r="K300">
        <f t="shared" si="18"/>
        <v>12.727272727272727</v>
      </c>
      <c r="L300" t="s">
        <v>1739</v>
      </c>
      <c r="M300" t="s">
        <v>3766</v>
      </c>
      <c r="N300" t="s">
        <v>1</v>
      </c>
      <c r="O300">
        <v>411006</v>
      </c>
      <c r="P300" t="s">
        <v>546</v>
      </c>
      <c r="Q300" t="s">
        <v>1759</v>
      </c>
      <c r="R300" t="s">
        <v>2</v>
      </c>
      <c r="S300">
        <v>32.4</v>
      </c>
      <c r="T300">
        <v>5</v>
      </c>
      <c r="U300">
        <v>0.1</v>
      </c>
      <c r="V300">
        <v>15.552</v>
      </c>
      <c r="W300">
        <f t="shared" si="19"/>
        <v>3.3695999999999997</v>
      </c>
      <c r="X300">
        <v>4</v>
      </c>
    </row>
    <row r="301" spans="1:24" x14ac:dyDescent="0.3">
      <c r="A301">
        <v>300</v>
      </c>
      <c r="B301" t="s">
        <v>2075</v>
      </c>
      <c r="C301" s="6">
        <v>44496</v>
      </c>
      <c r="D301" t="str">
        <f t="shared" si="16"/>
        <v>Oct</v>
      </c>
      <c r="E301" t="str">
        <f t="shared" si="17"/>
        <v>2021</v>
      </c>
      <c r="F301" t="s">
        <v>4</v>
      </c>
      <c r="G301" t="s">
        <v>70</v>
      </c>
      <c r="H301" t="s">
        <v>820</v>
      </c>
      <c r="I301">
        <v>110</v>
      </c>
      <c r="J301">
        <v>10</v>
      </c>
      <c r="K301">
        <f t="shared" si="18"/>
        <v>9.0909090909090917</v>
      </c>
      <c r="L301" t="s">
        <v>1738</v>
      </c>
      <c r="M301" t="s">
        <v>3767</v>
      </c>
      <c r="N301" t="s">
        <v>1</v>
      </c>
      <c r="O301">
        <v>600074</v>
      </c>
      <c r="P301" t="s">
        <v>546</v>
      </c>
      <c r="Q301" t="s">
        <v>1767</v>
      </c>
      <c r="S301">
        <v>1082.48</v>
      </c>
      <c r="T301">
        <v>8</v>
      </c>
      <c r="U301">
        <v>0.1</v>
      </c>
      <c r="V301">
        <v>10.8248</v>
      </c>
      <c r="W301">
        <f t="shared" si="19"/>
        <v>133.95689999999999</v>
      </c>
      <c r="X301">
        <v>1</v>
      </c>
    </row>
    <row r="302" spans="1:24" x14ac:dyDescent="0.3">
      <c r="A302">
        <v>301</v>
      </c>
      <c r="B302" t="s">
        <v>2076</v>
      </c>
      <c r="C302" s="6">
        <v>44497</v>
      </c>
      <c r="D302" t="str">
        <f t="shared" si="16"/>
        <v>Oct</v>
      </c>
      <c r="E302" t="str">
        <f t="shared" si="17"/>
        <v>2021</v>
      </c>
      <c r="F302" t="s">
        <v>4</v>
      </c>
      <c r="G302" t="s">
        <v>70</v>
      </c>
      <c r="H302" t="s">
        <v>821</v>
      </c>
      <c r="I302">
        <v>170</v>
      </c>
      <c r="J302">
        <v>26</v>
      </c>
      <c r="K302">
        <f t="shared" si="18"/>
        <v>15.294117647058824</v>
      </c>
      <c r="L302" t="s">
        <v>1737</v>
      </c>
      <c r="M302" t="s">
        <v>3768</v>
      </c>
      <c r="N302" t="s">
        <v>1</v>
      </c>
      <c r="O302">
        <v>500010</v>
      </c>
      <c r="P302" t="s">
        <v>546</v>
      </c>
      <c r="Q302" t="s">
        <v>1768</v>
      </c>
      <c r="S302">
        <v>56.91</v>
      </c>
      <c r="T302">
        <v>3</v>
      </c>
      <c r="U302">
        <v>0.1</v>
      </c>
      <c r="V302">
        <v>27.316800000000001</v>
      </c>
      <c r="W302">
        <f t="shared" si="19"/>
        <v>9.8643999999999981</v>
      </c>
      <c r="X302">
        <v>2</v>
      </c>
    </row>
    <row r="303" spans="1:24" x14ac:dyDescent="0.3">
      <c r="A303">
        <v>302</v>
      </c>
      <c r="B303" t="s">
        <v>2077</v>
      </c>
      <c r="C303" s="6">
        <v>44498</v>
      </c>
      <c r="D303" t="str">
        <f t="shared" si="16"/>
        <v>Oct</v>
      </c>
      <c r="E303" t="str">
        <f t="shared" si="17"/>
        <v>2021</v>
      </c>
      <c r="F303" t="s">
        <v>4</v>
      </c>
      <c r="G303" t="s">
        <v>70</v>
      </c>
      <c r="H303" t="s">
        <v>822</v>
      </c>
      <c r="I303">
        <v>230</v>
      </c>
      <c r="J303">
        <v>18</v>
      </c>
      <c r="K303">
        <f t="shared" si="18"/>
        <v>7.8260869565217401</v>
      </c>
      <c r="L303" t="s">
        <v>1743</v>
      </c>
      <c r="M303" t="s">
        <v>3769</v>
      </c>
      <c r="N303" t="s">
        <v>1</v>
      </c>
      <c r="O303">
        <v>400066</v>
      </c>
      <c r="P303" t="s">
        <v>546</v>
      </c>
      <c r="Q303" t="s">
        <v>1759</v>
      </c>
      <c r="S303">
        <v>77.599999999999994</v>
      </c>
      <c r="T303">
        <v>4</v>
      </c>
      <c r="U303">
        <v>0.1</v>
      </c>
      <c r="V303">
        <v>38.024000000000001</v>
      </c>
      <c r="W303">
        <f t="shared" si="19"/>
        <v>9.8939999999999984</v>
      </c>
      <c r="X303">
        <v>1</v>
      </c>
    </row>
    <row r="304" spans="1:24" x14ac:dyDescent="0.3">
      <c r="A304">
        <v>303</v>
      </c>
      <c r="B304" t="s">
        <v>2078</v>
      </c>
      <c r="C304" s="6">
        <v>44499</v>
      </c>
      <c r="D304" t="str">
        <f t="shared" si="16"/>
        <v>Oct</v>
      </c>
      <c r="E304" t="str">
        <f t="shared" si="17"/>
        <v>2021</v>
      </c>
      <c r="F304" t="s">
        <v>4</v>
      </c>
      <c r="G304" t="s">
        <v>70</v>
      </c>
      <c r="H304" t="s">
        <v>823</v>
      </c>
      <c r="I304">
        <v>240</v>
      </c>
      <c r="J304">
        <v>18</v>
      </c>
      <c r="K304">
        <f t="shared" si="18"/>
        <v>7.5</v>
      </c>
      <c r="L304" t="s">
        <v>1738</v>
      </c>
      <c r="M304" t="s">
        <v>3770</v>
      </c>
      <c r="N304" t="s">
        <v>1</v>
      </c>
      <c r="O304">
        <v>415304</v>
      </c>
      <c r="P304" t="s">
        <v>546</v>
      </c>
      <c r="Q304" t="s">
        <v>1775</v>
      </c>
      <c r="S304">
        <v>14.28</v>
      </c>
      <c r="T304">
        <v>1</v>
      </c>
      <c r="U304">
        <v>0.1</v>
      </c>
      <c r="V304">
        <v>6.5688000000000004</v>
      </c>
      <c r="W304">
        <f t="shared" si="19"/>
        <v>7.7111999999999989</v>
      </c>
      <c r="X304">
        <v>3</v>
      </c>
    </row>
    <row r="305" spans="1:24" x14ac:dyDescent="0.3">
      <c r="A305">
        <v>304</v>
      </c>
      <c r="B305" t="s">
        <v>2079</v>
      </c>
      <c r="C305" s="6">
        <v>44500</v>
      </c>
      <c r="D305" t="str">
        <f t="shared" si="16"/>
        <v>Oct</v>
      </c>
      <c r="E305" t="str">
        <f t="shared" si="17"/>
        <v>2021</v>
      </c>
      <c r="F305" t="s">
        <v>4</v>
      </c>
      <c r="G305" t="s">
        <v>108</v>
      </c>
      <c r="H305" t="s">
        <v>824</v>
      </c>
      <c r="I305">
        <v>130</v>
      </c>
      <c r="J305">
        <v>26</v>
      </c>
      <c r="K305">
        <f t="shared" si="18"/>
        <v>20</v>
      </c>
      <c r="L305" t="s">
        <v>1739</v>
      </c>
      <c r="M305" t="s">
        <v>3771</v>
      </c>
      <c r="N305" t="s">
        <v>1</v>
      </c>
      <c r="O305">
        <v>171005</v>
      </c>
      <c r="P305" t="s">
        <v>546</v>
      </c>
      <c r="Q305" t="s">
        <v>1773</v>
      </c>
      <c r="S305">
        <v>219.07499999999999</v>
      </c>
      <c r="T305">
        <v>3</v>
      </c>
      <c r="U305">
        <v>0.5</v>
      </c>
      <c r="V305">
        <v>-131.44499999999999</v>
      </c>
      <c r="W305">
        <f t="shared" si="19"/>
        <v>116.83999999999999</v>
      </c>
      <c r="X305">
        <v>2</v>
      </c>
    </row>
    <row r="306" spans="1:24" x14ac:dyDescent="0.3">
      <c r="A306">
        <v>305</v>
      </c>
      <c r="B306" t="s">
        <v>2080</v>
      </c>
      <c r="C306" s="6">
        <v>44501</v>
      </c>
      <c r="D306" t="str">
        <f t="shared" si="16"/>
        <v>Nov</v>
      </c>
      <c r="E306" t="str">
        <f t="shared" si="17"/>
        <v>2021</v>
      </c>
      <c r="F306" t="s">
        <v>3</v>
      </c>
      <c r="G306" t="s">
        <v>134</v>
      </c>
      <c r="H306" t="s">
        <v>825</v>
      </c>
      <c r="I306">
        <v>150</v>
      </c>
      <c r="J306">
        <v>16</v>
      </c>
      <c r="K306">
        <f t="shared" si="18"/>
        <v>10.666666666666668</v>
      </c>
      <c r="L306" t="s">
        <v>1741</v>
      </c>
      <c r="M306" t="s">
        <v>3772</v>
      </c>
      <c r="N306" t="s">
        <v>1</v>
      </c>
      <c r="O306">
        <v>440015</v>
      </c>
      <c r="P306" t="s">
        <v>546</v>
      </c>
      <c r="Q306" t="s">
        <v>1776</v>
      </c>
      <c r="S306">
        <v>26.8</v>
      </c>
      <c r="T306">
        <v>2</v>
      </c>
      <c r="U306">
        <v>0.1</v>
      </c>
      <c r="V306">
        <v>12.864000000000001</v>
      </c>
      <c r="W306">
        <f t="shared" si="19"/>
        <v>6.968</v>
      </c>
      <c r="X306">
        <v>4</v>
      </c>
    </row>
    <row r="307" spans="1:24" x14ac:dyDescent="0.3">
      <c r="A307">
        <v>306</v>
      </c>
      <c r="B307" t="s">
        <v>2081</v>
      </c>
      <c r="C307" s="6">
        <v>44502</v>
      </c>
      <c r="D307" t="str">
        <f t="shared" si="16"/>
        <v>Nov</v>
      </c>
      <c r="E307" t="str">
        <f t="shared" si="17"/>
        <v>2021</v>
      </c>
      <c r="F307" t="s">
        <v>4</v>
      </c>
      <c r="G307" t="s">
        <v>40</v>
      </c>
      <c r="H307" t="s">
        <v>826</v>
      </c>
      <c r="I307">
        <v>150</v>
      </c>
      <c r="J307">
        <v>30</v>
      </c>
      <c r="K307">
        <f t="shared" si="18"/>
        <v>20</v>
      </c>
      <c r="L307" t="s">
        <v>1736</v>
      </c>
      <c r="M307" t="s">
        <v>3773</v>
      </c>
      <c r="N307" t="s">
        <v>1</v>
      </c>
      <c r="O307">
        <v>500064</v>
      </c>
      <c r="P307" t="s">
        <v>546</v>
      </c>
      <c r="Q307" t="s">
        <v>1759</v>
      </c>
      <c r="S307">
        <v>9.84</v>
      </c>
      <c r="T307">
        <v>3</v>
      </c>
      <c r="U307">
        <v>0.1</v>
      </c>
      <c r="V307">
        <v>2.8536000000000001</v>
      </c>
      <c r="W307">
        <f t="shared" si="19"/>
        <v>2.3287999999999998</v>
      </c>
      <c r="X307">
        <v>4</v>
      </c>
    </row>
    <row r="308" spans="1:24" x14ac:dyDescent="0.3">
      <c r="A308">
        <v>307</v>
      </c>
      <c r="B308" t="s">
        <v>2082</v>
      </c>
      <c r="C308" s="6">
        <v>44503</v>
      </c>
      <c r="D308" t="str">
        <f t="shared" si="16"/>
        <v>Nov</v>
      </c>
      <c r="E308" t="str">
        <f t="shared" si="17"/>
        <v>2021</v>
      </c>
      <c r="F308" t="s">
        <v>4</v>
      </c>
      <c r="G308" t="s">
        <v>135</v>
      </c>
      <c r="H308" t="s">
        <v>827</v>
      </c>
      <c r="I308">
        <v>180</v>
      </c>
      <c r="J308">
        <v>8</v>
      </c>
      <c r="K308">
        <f t="shared" si="18"/>
        <v>4.4444444444444446</v>
      </c>
      <c r="L308" t="s">
        <v>1744</v>
      </c>
      <c r="M308" t="s">
        <v>3774</v>
      </c>
      <c r="N308" t="s">
        <v>1</v>
      </c>
      <c r="O308">
        <v>411028</v>
      </c>
      <c r="P308" t="s">
        <v>546</v>
      </c>
      <c r="Q308" t="s">
        <v>1763</v>
      </c>
      <c r="R308" t="s">
        <v>2</v>
      </c>
      <c r="S308">
        <v>45.48</v>
      </c>
      <c r="T308">
        <v>3</v>
      </c>
      <c r="U308">
        <v>0.1</v>
      </c>
      <c r="V308">
        <v>20.9208</v>
      </c>
      <c r="W308">
        <f t="shared" si="19"/>
        <v>8.186399999999999</v>
      </c>
      <c r="X308">
        <v>4</v>
      </c>
    </row>
    <row r="309" spans="1:24" x14ac:dyDescent="0.3">
      <c r="A309">
        <v>308</v>
      </c>
      <c r="B309" t="s">
        <v>2083</v>
      </c>
      <c r="C309" s="6">
        <v>44504</v>
      </c>
      <c r="D309" t="str">
        <f t="shared" si="16"/>
        <v>Nov</v>
      </c>
      <c r="E309" t="str">
        <f t="shared" si="17"/>
        <v>2021</v>
      </c>
      <c r="F309" t="s">
        <v>4</v>
      </c>
      <c r="G309" t="s">
        <v>135</v>
      </c>
      <c r="H309" t="s">
        <v>828</v>
      </c>
      <c r="I309">
        <v>160</v>
      </c>
      <c r="J309">
        <v>24</v>
      </c>
      <c r="K309">
        <f t="shared" si="18"/>
        <v>15</v>
      </c>
      <c r="L309" t="s">
        <v>1740</v>
      </c>
      <c r="M309" t="s">
        <v>3775</v>
      </c>
      <c r="N309" t="s">
        <v>1</v>
      </c>
      <c r="O309">
        <v>781028</v>
      </c>
      <c r="P309" t="s">
        <v>546</v>
      </c>
      <c r="Q309" t="s">
        <v>1775</v>
      </c>
      <c r="S309">
        <v>289.2</v>
      </c>
      <c r="T309">
        <v>6</v>
      </c>
      <c r="U309">
        <v>0.1</v>
      </c>
      <c r="V309">
        <v>83.867999999999995</v>
      </c>
      <c r="W309">
        <f t="shared" si="19"/>
        <v>34.222000000000001</v>
      </c>
      <c r="X309">
        <v>2</v>
      </c>
    </row>
    <row r="310" spans="1:24" x14ac:dyDescent="0.3">
      <c r="A310">
        <v>309</v>
      </c>
      <c r="B310" t="s">
        <v>2084</v>
      </c>
      <c r="C310" s="6">
        <v>44505</v>
      </c>
      <c r="D310" t="str">
        <f t="shared" si="16"/>
        <v>Nov</v>
      </c>
      <c r="E310" t="str">
        <f t="shared" si="17"/>
        <v>2021</v>
      </c>
      <c r="F310" t="s">
        <v>5</v>
      </c>
      <c r="G310" t="s">
        <v>136</v>
      </c>
      <c r="H310" t="s">
        <v>829</v>
      </c>
      <c r="I310">
        <v>210</v>
      </c>
      <c r="J310">
        <v>10</v>
      </c>
      <c r="K310">
        <f t="shared" si="18"/>
        <v>4.7619047619047619</v>
      </c>
      <c r="L310" t="s">
        <v>1742</v>
      </c>
      <c r="M310" t="s">
        <v>3776</v>
      </c>
      <c r="N310" t="s">
        <v>1</v>
      </c>
      <c r="O310">
        <v>781028</v>
      </c>
      <c r="P310" t="s">
        <v>546</v>
      </c>
      <c r="Q310" t="s">
        <v>1769</v>
      </c>
      <c r="S310">
        <v>4.8899999999999997</v>
      </c>
      <c r="T310">
        <v>1</v>
      </c>
      <c r="U310">
        <v>0.1</v>
      </c>
      <c r="V310">
        <v>2.0049000000000001</v>
      </c>
      <c r="W310">
        <f t="shared" si="19"/>
        <v>2.8850999999999996</v>
      </c>
      <c r="X310">
        <v>3</v>
      </c>
    </row>
    <row r="311" spans="1:24" x14ac:dyDescent="0.3">
      <c r="A311">
        <v>310</v>
      </c>
      <c r="B311" t="s">
        <v>2085</v>
      </c>
      <c r="C311" s="6">
        <v>44506</v>
      </c>
      <c r="D311" t="str">
        <f t="shared" si="16"/>
        <v>Nov</v>
      </c>
      <c r="E311" t="str">
        <f t="shared" si="17"/>
        <v>2021</v>
      </c>
      <c r="F311" t="s">
        <v>3</v>
      </c>
      <c r="G311" t="s">
        <v>137</v>
      </c>
      <c r="H311" t="s">
        <v>830</v>
      </c>
      <c r="I311">
        <v>230</v>
      </c>
      <c r="J311">
        <v>14</v>
      </c>
      <c r="K311">
        <f t="shared" si="18"/>
        <v>6.0869565217391308</v>
      </c>
      <c r="L311" t="s">
        <v>1739</v>
      </c>
      <c r="M311" t="s">
        <v>3777</v>
      </c>
      <c r="N311" t="s">
        <v>1</v>
      </c>
      <c r="O311">
        <v>712235</v>
      </c>
      <c r="P311" t="s">
        <v>546</v>
      </c>
      <c r="Q311" t="s">
        <v>1760</v>
      </c>
      <c r="S311">
        <v>15.135999999999999</v>
      </c>
      <c r="T311">
        <v>4</v>
      </c>
      <c r="U311">
        <v>0.2</v>
      </c>
      <c r="V311">
        <v>3.5948000000000002</v>
      </c>
      <c r="W311">
        <f t="shared" si="19"/>
        <v>2.8853</v>
      </c>
      <c r="X311">
        <v>5</v>
      </c>
    </row>
    <row r="312" spans="1:24" x14ac:dyDescent="0.3">
      <c r="A312">
        <v>311</v>
      </c>
      <c r="B312" t="s">
        <v>2086</v>
      </c>
      <c r="C312" s="6">
        <v>44507</v>
      </c>
      <c r="D312" t="str">
        <f t="shared" si="16"/>
        <v>Nov</v>
      </c>
      <c r="E312" t="str">
        <f t="shared" si="17"/>
        <v>2021</v>
      </c>
      <c r="F312" t="s">
        <v>3</v>
      </c>
      <c r="G312" t="s">
        <v>137</v>
      </c>
      <c r="H312" t="s">
        <v>831</v>
      </c>
      <c r="I312">
        <v>130</v>
      </c>
      <c r="J312">
        <v>14</v>
      </c>
      <c r="K312">
        <f t="shared" si="18"/>
        <v>10.76923076923077</v>
      </c>
      <c r="L312" t="s">
        <v>1738</v>
      </c>
      <c r="M312" t="s">
        <v>3778</v>
      </c>
      <c r="N312" t="s">
        <v>1</v>
      </c>
      <c r="O312">
        <v>400706</v>
      </c>
      <c r="P312" t="s">
        <v>546</v>
      </c>
      <c r="Q312" t="s">
        <v>1772</v>
      </c>
      <c r="S312">
        <v>466.76799999999997</v>
      </c>
      <c r="T312">
        <v>2</v>
      </c>
      <c r="U312">
        <v>0.2</v>
      </c>
      <c r="V312">
        <v>52.511400000000002</v>
      </c>
      <c r="W312">
        <f t="shared" si="19"/>
        <v>207.1283</v>
      </c>
      <c r="X312">
        <v>1</v>
      </c>
    </row>
    <row r="313" spans="1:24" x14ac:dyDescent="0.3">
      <c r="A313">
        <v>312</v>
      </c>
      <c r="B313" t="s">
        <v>2087</v>
      </c>
      <c r="C313" s="6">
        <v>44508</v>
      </c>
      <c r="D313" t="str">
        <f t="shared" si="16"/>
        <v>Nov</v>
      </c>
      <c r="E313" t="str">
        <f t="shared" si="17"/>
        <v>2021</v>
      </c>
      <c r="F313" t="s">
        <v>3</v>
      </c>
      <c r="G313" t="s">
        <v>137</v>
      </c>
      <c r="H313" t="s">
        <v>832</v>
      </c>
      <c r="I313">
        <v>190</v>
      </c>
      <c r="J313">
        <v>12</v>
      </c>
      <c r="K313">
        <f t="shared" si="18"/>
        <v>6.3157894736842106</v>
      </c>
      <c r="L313" t="s">
        <v>1743</v>
      </c>
      <c r="M313" t="s">
        <v>3779</v>
      </c>
      <c r="O313">
        <v>682314</v>
      </c>
      <c r="P313" t="s">
        <v>546</v>
      </c>
      <c r="Q313" t="s">
        <v>1772</v>
      </c>
      <c r="S313">
        <v>15.231999999999999</v>
      </c>
      <c r="T313">
        <v>1</v>
      </c>
      <c r="U313">
        <v>0.2</v>
      </c>
      <c r="V313">
        <v>1.7136</v>
      </c>
      <c r="W313">
        <f t="shared" si="19"/>
        <v>13.5184</v>
      </c>
      <c r="X313">
        <v>2</v>
      </c>
    </row>
    <row r="314" spans="1:24" x14ac:dyDescent="0.3">
      <c r="A314">
        <v>313</v>
      </c>
      <c r="B314" t="s">
        <v>2088</v>
      </c>
      <c r="C314" s="6">
        <v>44509</v>
      </c>
      <c r="D314" t="str">
        <f t="shared" si="16"/>
        <v>Nov</v>
      </c>
      <c r="E314" t="str">
        <f t="shared" si="17"/>
        <v>2021</v>
      </c>
      <c r="F314" t="s">
        <v>3</v>
      </c>
      <c r="G314" t="s">
        <v>137</v>
      </c>
      <c r="H314" t="s">
        <v>833</v>
      </c>
      <c r="I314">
        <v>150</v>
      </c>
      <c r="J314">
        <v>10</v>
      </c>
      <c r="K314">
        <f t="shared" si="18"/>
        <v>6.666666666666667</v>
      </c>
      <c r="L314" t="s">
        <v>1737</v>
      </c>
      <c r="M314" t="s">
        <v>3780</v>
      </c>
      <c r="N314" t="s">
        <v>1</v>
      </c>
      <c r="O314">
        <v>110034</v>
      </c>
      <c r="P314" t="s">
        <v>546</v>
      </c>
      <c r="Q314" t="s">
        <v>1767</v>
      </c>
      <c r="S314">
        <v>6.2640000000000002</v>
      </c>
      <c r="T314">
        <v>3</v>
      </c>
      <c r="U314">
        <v>0.2</v>
      </c>
      <c r="V314">
        <v>2.0358000000000001</v>
      </c>
      <c r="W314">
        <f t="shared" si="19"/>
        <v>1.4094</v>
      </c>
      <c r="X314">
        <v>1</v>
      </c>
    </row>
    <row r="315" spans="1:24" x14ac:dyDescent="0.3">
      <c r="A315">
        <v>314</v>
      </c>
      <c r="B315" t="s">
        <v>2089</v>
      </c>
      <c r="C315" s="6">
        <v>44510</v>
      </c>
      <c r="D315" t="str">
        <f t="shared" si="16"/>
        <v>Nov</v>
      </c>
      <c r="E315" t="str">
        <f t="shared" si="17"/>
        <v>2021</v>
      </c>
      <c r="F315" t="s">
        <v>4</v>
      </c>
      <c r="G315" t="s">
        <v>138</v>
      </c>
      <c r="H315" t="s">
        <v>834</v>
      </c>
      <c r="I315">
        <v>140</v>
      </c>
      <c r="J315">
        <v>12</v>
      </c>
      <c r="K315">
        <f t="shared" si="18"/>
        <v>8.5714285714285712</v>
      </c>
      <c r="L315" t="s">
        <v>1741</v>
      </c>
      <c r="M315" t="s">
        <v>3781</v>
      </c>
      <c r="N315" t="s">
        <v>1</v>
      </c>
      <c r="O315">
        <v>500061</v>
      </c>
      <c r="P315" t="s">
        <v>546</v>
      </c>
      <c r="Q315" t="s">
        <v>1754</v>
      </c>
      <c r="S315">
        <v>87.54</v>
      </c>
      <c r="T315">
        <v>3</v>
      </c>
      <c r="U315">
        <v>0.1</v>
      </c>
      <c r="V315">
        <v>37.642200000000003</v>
      </c>
      <c r="W315">
        <f t="shared" si="19"/>
        <v>16.6326</v>
      </c>
      <c r="X315">
        <v>2</v>
      </c>
    </row>
    <row r="316" spans="1:24" x14ac:dyDescent="0.3">
      <c r="A316">
        <v>315</v>
      </c>
      <c r="B316" t="s">
        <v>2090</v>
      </c>
      <c r="C316" s="6">
        <v>44511</v>
      </c>
      <c r="D316" t="str">
        <f t="shared" si="16"/>
        <v>Nov</v>
      </c>
      <c r="E316" t="str">
        <f t="shared" si="17"/>
        <v>2021</v>
      </c>
      <c r="F316" t="s">
        <v>4</v>
      </c>
      <c r="G316" t="s">
        <v>139</v>
      </c>
      <c r="H316" t="s">
        <v>835</v>
      </c>
      <c r="I316">
        <v>120</v>
      </c>
      <c r="J316">
        <v>20</v>
      </c>
      <c r="K316">
        <f t="shared" si="18"/>
        <v>16.666666666666664</v>
      </c>
      <c r="L316" t="s">
        <v>1736</v>
      </c>
      <c r="M316" t="s">
        <v>3782</v>
      </c>
      <c r="N316" t="s">
        <v>1</v>
      </c>
      <c r="O316">
        <v>560024</v>
      </c>
      <c r="P316" t="s">
        <v>546</v>
      </c>
      <c r="Q316" t="s">
        <v>1763</v>
      </c>
      <c r="S316">
        <v>178.38399999999999</v>
      </c>
      <c r="T316">
        <v>2</v>
      </c>
      <c r="U316">
        <v>0.2</v>
      </c>
      <c r="V316">
        <v>22.297999999999998</v>
      </c>
      <c r="W316">
        <f t="shared" si="19"/>
        <v>78.042999999999992</v>
      </c>
      <c r="X316">
        <v>3</v>
      </c>
    </row>
    <row r="317" spans="1:24" x14ac:dyDescent="0.3">
      <c r="A317">
        <v>316</v>
      </c>
      <c r="B317" t="s">
        <v>2091</v>
      </c>
      <c r="C317" s="6">
        <v>44512</v>
      </c>
      <c r="D317" t="str">
        <f t="shared" si="16"/>
        <v>Nov</v>
      </c>
      <c r="E317" t="str">
        <f t="shared" si="17"/>
        <v>2021</v>
      </c>
      <c r="F317" t="s">
        <v>4</v>
      </c>
      <c r="G317" t="s">
        <v>139</v>
      </c>
      <c r="H317" t="s">
        <v>836</v>
      </c>
      <c r="I317">
        <v>160</v>
      </c>
      <c r="J317">
        <v>18</v>
      </c>
      <c r="K317">
        <f t="shared" si="18"/>
        <v>11.25</v>
      </c>
      <c r="L317" t="s">
        <v>1744</v>
      </c>
      <c r="M317" t="s">
        <v>3783</v>
      </c>
      <c r="O317">
        <v>171011</v>
      </c>
      <c r="P317" t="s">
        <v>546</v>
      </c>
      <c r="Q317" t="s">
        <v>1758</v>
      </c>
      <c r="S317">
        <v>15.552</v>
      </c>
      <c r="T317">
        <v>3</v>
      </c>
      <c r="U317">
        <v>0.2</v>
      </c>
      <c r="V317">
        <v>5.4432</v>
      </c>
      <c r="W317">
        <f t="shared" si="19"/>
        <v>3.3695999999999997</v>
      </c>
      <c r="X317">
        <v>5</v>
      </c>
    </row>
    <row r="318" spans="1:24" x14ac:dyDescent="0.3">
      <c r="A318">
        <v>317</v>
      </c>
      <c r="B318" t="s">
        <v>2092</v>
      </c>
      <c r="C318" s="6">
        <v>44513</v>
      </c>
      <c r="D318" t="str">
        <f t="shared" si="16"/>
        <v>Nov</v>
      </c>
      <c r="E318" t="str">
        <f t="shared" si="17"/>
        <v>2021</v>
      </c>
      <c r="F318" t="s">
        <v>5</v>
      </c>
      <c r="G318" t="s">
        <v>140</v>
      </c>
      <c r="H318" t="s">
        <v>837</v>
      </c>
      <c r="I318">
        <v>190</v>
      </c>
      <c r="J318">
        <v>6</v>
      </c>
      <c r="K318">
        <f t="shared" si="18"/>
        <v>3.1578947368421053</v>
      </c>
      <c r="L318" t="s">
        <v>1740</v>
      </c>
      <c r="M318" t="s">
        <v>3784</v>
      </c>
      <c r="N318" t="s">
        <v>1</v>
      </c>
      <c r="O318">
        <v>671319</v>
      </c>
      <c r="P318" t="s">
        <v>546</v>
      </c>
      <c r="Q318" t="s">
        <v>1763</v>
      </c>
      <c r="R318" t="s">
        <v>2</v>
      </c>
      <c r="S318">
        <v>99.135999999999996</v>
      </c>
      <c r="T318">
        <v>4</v>
      </c>
      <c r="U318">
        <v>0.2</v>
      </c>
      <c r="V318">
        <v>8.6744000000000003</v>
      </c>
      <c r="W318">
        <f t="shared" si="19"/>
        <v>22.615399999999998</v>
      </c>
      <c r="X318">
        <v>3</v>
      </c>
    </row>
    <row r="319" spans="1:24" x14ac:dyDescent="0.3">
      <c r="A319">
        <v>318</v>
      </c>
      <c r="B319" t="s">
        <v>2093</v>
      </c>
      <c r="C319" s="6">
        <v>44514</v>
      </c>
      <c r="D319" t="str">
        <f t="shared" si="16"/>
        <v>Nov</v>
      </c>
      <c r="E319" t="str">
        <f t="shared" si="17"/>
        <v>2021</v>
      </c>
      <c r="F319" t="s">
        <v>4</v>
      </c>
      <c r="G319" t="s">
        <v>141</v>
      </c>
      <c r="H319" t="s">
        <v>838</v>
      </c>
      <c r="I319">
        <v>240</v>
      </c>
      <c r="J319">
        <v>24</v>
      </c>
      <c r="K319">
        <f t="shared" si="18"/>
        <v>10</v>
      </c>
      <c r="L319" t="s">
        <v>1742</v>
      </c>
      <c r="M319" t="s">
        <v>3647</v>
      </c>
      <c r="N319" t="s">
        <v>1</v>
      </c>
      <c r="O319">
        <v>524004</v>
      </c>
      <c r="P319" t="s">
        <v>546</v>
      </c>
      <c r="Q319" t="s">
        <v>1772</v>
      </c>
      <c r="S319">
        <v>135.88200000000001</v>
      </c>
      <c r="T319">
        <v>1</v>
      </c>
      <c r="U319">
        <v>0.11</v>
      </c>
      <c r="V319">
        <v>24.1568</v>
      </c>
      <c r="W319">
        <f t="shared" si="19"/>
        <v>111.7252</v>
      </c>
      <c r="X319">
        <v>2</v>
      </c>
    </row>
    <row r="320" spans="1:24" x14ac:dyDescent="0.3">
      <c r="A320">
        <v>319</v>
      </c>
      <c r="B320" t="s">
        <v>2094</v>
      </c>
      <c r="C320" s="6">
        <v>44515</v>
      </c>
      <c r="D320" t="str">
        <f t="shared" si="16"/>
        <v>Nov</v>
      </c>
      <c r="E320" t="str">
        <f t="shared" si="17"/>
        <v>2021</v>
      </c>
      <c r="F320" t="s">
        <v>4</v>
      </c>
      <c r="G320" t="s">
        <v>141</v>
      </c>
      <c r="H320" t="s">
        <v>839</v>
      </c>
      <c r="I320">
        <v>220</v>
      </c>
      <c r="J320">
        <v>18</v>
      </c>
      <c r="K320">
        <f t="shared" si="18"/>
        <v>8.1818181818181817</v>
      </c>
      <c r="L320" t="s">
        <v>1739</v>
      </c>
      <c r="M320" t="s">
        <v>3785</v>
      </c>
      <c r="N320" t="s">
        <v>1</v>
      </c>
      <c r="O320">
        <v>627764</v>
      </c>
      <c r="P320" t="s">
        <v>546</v>
      </c>
      <c r="Q320" t="s">
        <v>1772</v>
      </c>
      <c r="S320">
        <v>3991.98</v>
      </c>
      <c r="T320">
        <v>2</v>
      </c>
      <c r="U320">
        <v>0.1</v>
      </c>
      <c r="V320">
        <v>1995.99</v>
      </c>
      <c r="W320">
        <f t="shared" si="19"/>
        <v>997.995</v>
      </c>
      <c r="X320">
        <v>1</v>
      </c>
    </row>
    <row r="321" spans="1:24" x14ac:dyDescent="0.3">
      <c r="A321">
        <v>320</v>
      </c>
      <c r="B321" t="s">
        <v>2095</v>
      </c>
      <c r="C321" s="6">
        <v>44516</v>
      </c>
      <c r="D321" t="str">
        <f t="shared" si="16"/>
        <v>Nov</v>
      </c>
      <c r="E321" t="str">
        <f t="shared" si="17"/>
        <v>2021</v>
      </c>
      <c r="F321" t="s">
        <v>4</v>
      </c>
      <c r="G321" t="s">
        <v>141</v>
      </c>
      <c r="H321" t="s">
        <v>587</v>
      </c>
      <c r="I321">
        <v>160</v>
      </c>
      <c r="J321">
        <v>16</v>
      </c>
      <c r="K321">
        <f t="shared" si="18"/>
        <v>10</v>
      </c>
      <c r="L321" t="s">
        <v>1738</v>
      </c>
      <c r="M321" t="s">
        <v>3786</v>
      </c>
      <c r="N321" t="s">
        <v>1</v>
      </c>
      <c r="O321">
        <v>171102</v>
      </c>
      <c r="P321" t="s">
        <v>546</v>
      </c>
      <c r="Q321" t="s">
        <v>1754</v>
      </c>
      <c r="S321">
        <v>275.94</v>
      </c>
      <c r="T321">
        <v>6</v>
      </c>
      <c r="U321">
        <v>0.1</v>
      </c>
      <c r="V321">
        <v>80.022599999999997</v>
      </c>
      <c r="W321">
        <f t="shared" si="19"/>
        <v>32.652899999999995</v>
      </c>
      <c r="X321">
        <v>2</v>
      </c>
    </row>
    <row r="322" spans="1:24" x14ac:dyDescent="0.3">
      <c r="A322">
        <v>321</v>
      </c>
      <c r="B322" t="s">
        <v>2096</v>
      </c>
      <c r="C322" s="6">
        <v>44517</v>
      </c>
      <c r="D322" t="str">
        <f t="shared" si="16"/>
        <v>Nov</v>
      </c>
      <c r="E322" t="str">
        <f t="shared" si="17"/>
        <v>2021</v>
      </c>
      <c r="F322" t="s">
        <v>4</v>
      </c>
      <c r="G322" t="s">
        <v>141</v>
      </c>
      <c r="H322" t="s">
        <v>840</v>
      </c>
      <c r="I322">
        <v>200</v>
      </c>
      <c r="J322">
        <v>14</v>
      </c>
      <c r="K322">
        <f t="shared" si="18"/>
        <v>7.0000000000000009</v>
      </c>
      <c r="L322" t="s">
        <v>1737</v>
      </c>
      <c r="M322" t="s">
        <v>3787</v>
      </c>
      <c r="N322" t="s">
        <v>1</v>
      </c>
      <c r="O322">
        <v>110021</v>
      </c>
      <c r="P322" t="s">
        <v>546</v>
      </c>
      <c r="Q322" t="s">
        <v>1772</v>
      </c>
      <c r="S322">
        <v>360</v>
      </c>
      <c r="T322">
        <v>4</v>
      </c>
      <c r="U322">
        <v>0.1</v>
      </c>
      <c r="V322">
        <v>129.6</v>
      </c>
      <c r="W322">
        <f t="shared" si="19"/>
        <v>57.6</v>
      </c>
      <c r="X322">
        <v>2</v>
      </c>
    </row>
    <row r="323" spans="1:24" x14ac:dyDescent="0.3">
      <c r="A323">
        <v>322</v>
      </c>
      <c r="B323" t="s">
        <v>2097</v>
      </c>
      <c r="C323" s="6">
        <v>44518</v>
      </c>
      <c r="D323" t="str">
        <f t="shared" ref="D323:D386" si="20">TEXT(C323,"Mmm")</f>
        <v>Nov</v>
      </c>
      <c r="E323" t="str">
        <f t="shared" ref="E323:E386" si="21">TEXT(C323,"YYYY")</f>
        <v>2021</v>
      </c>
      <c r="F323" t="s">
        <v>4</v>
      </c>
      <c r="G323" t="s">
        <v>141</v>
      </c>
      <c r="H323" t="s">
        <v>670</v>
      </c>
      <c r="I323">
        <v>130</v>
      </c>
      <c r="J323">
        <v>20</v>
      </c>
      <c r="K323">
        <f t="shared" ref="K323:K386" si="22">(J323/I323)*100</f>
        <v>15.384615384615385</v>
      </c>
      <c r="L323" t="s">
        <v>1743</v>
      </c>
      <c r="M323" t="s">
        <v>3736</v>
      </c>
      <c r="N323" t="s">
        <v>1</v>
      </c>
      <c r="O323">
        <v>502032</v>
      </c>
      <c r="P323" t="s">
        <v>546</v>
      </c>
      <c r="Q323" t="s">
        <v>1764</v>
      </c>
      <c r="S323">
        <v>43.57</v>
      </c>
      <c r="T323">
        <v>1</v>
      </c>
      <c r="U323">
        <v>0.1</v>
      </c>
      <c r="V323">
        <v>13.071</v>
      </c>
      <c r="W323">
        <f t="shared" ref="W323:W386" si="23">(S323-V323)/T323</f>
        <v>30.499000000000002</v>
      </c>
      <c r="X323">
        <v>2</v>
      </c>
    </row>
    <row r="324" spans="1:24" x14ac:dyDescent="0.3">
      <c r="A324">
        <v>323</v>
      </c>
      <c r="B324" t="s">
        <v>2098</v>
      </c>
      <c r="C324" s="6">
        <v>44519</v>
      </c>
      <c r="D324" t="str">
        <f t="shared" si="20"/>
        <v>Nov</v>
      </c>
      <c r="E324" t="str">
        <f t="shared" si="21"/>
        <v>2021</v>
      </c>
      <c r="F324" t="s">
        <v>4</v>
      </c>
      <c r="G324" t="s">
        <v>142</v>
      </c>
      <c r="H324" t="s">
        <v>841</v>
      </c>
      <c r="I324">
        <v>220</v>
      </c>
      <c r="J324">
        <v>8</v>
      </c>
      <c r="K324">
        <f t="shared" si="22"/>
        <v>3.6363636363636362</v>
      </c>
      <c r="L324" t="s">
        <v>1738</v>
      </c>
      <c r="M324" t="s">
        <v>3788</v>
      </c>
      <c r="N324" t="s">
        <v>1</v>
      </c>
      <c r="O324">
        <v>700053</v>
      </c>
      <c r="P324" t="s">
        <v>546</v>
      </c>
      <c r="Q324" t="s">
        <v>1763</v>
      </c>
      <c r="R324" t="s">
        <v>2</v>
      </c>
      <c r="S324">
        <v>7.16</v>
      </c>
      <c r="T324">
        <v>2</v>
      </c>
      <c r="U324">
        <v>0.1</v>
      </c>
      <c r="V324">
        <v>3.58</v>
      </c>
      <c r="W324">
        <f t="shared" si="23"/>
        <v>1.79</v>
      </c>
      <c r="X324">
        <v>4</v>
      </c>
    </row>
    <row r="325" spans="1:24" x14ac:dyDescent="0.3">
      <c r="A325">
        <v>324</v>
      </c>
      <c r="B325" t="s">
        <v>2099</v>
      </c>
      <c r="C325" s="6">
        <v>44520</v>
      </c>
      <c r="D325" t="str">
        <f t="shared" si="20"/>
        <v>Nov</v>
      </c>
      <c r="E325" t="str">
        <f t="shared" si="21"/>
        <v>2021</v>
      </c>
      <c r="F325" t="s">
        <v>4</v>
      </c>
      <c r="G325" t="s">
        <v>143</v>
      </c>
      <c r="H325" t="s">
        <v>817</v>
      </c>
      <c r="I325">
        <v>140</v>
      </c>
      <c r="J325">
        <v>10</v>
      </c>
      <c r="K325">
        <f t="shared" si="22"/>
        <v>7.1428571428571423</v>
      </c>
      <c r="L325" t="s">
        <v>1739</v>
      </c>
      <c r="M325" t="s">
        <v>3588</v>
      </c>
      <c r="N325" t="s">
        <v>1</v>
      </c>
      <c r="O325">
        <v>396445</v>
      </c>
      <c r="P325" t="s">
        <v>546</v>
      </c>
      <c r="Q325" t="s">
        <v>1765</v>
      </c>
      <c r="R325" t="s">
        <v>2</v>
      </c>
      <c r="S325">
        <v>251.52</v>
      </c>
      <c r="T325">
        <v>6</v>
      </c>
      <c r="U325">
        <v>0.2</v>
      </c>
      <c r="V325">
        <v>81.744</v>
      </c>
      <c r="W325">
        <f t="shared" si="23"/>
        <v>28.296000000000003</v>
      </c>
      <c r="X325">
        <v>1</v>
      </c>
    </row>
    <row r="326" spans="1:24" x14ac:dyDescent="0.3">
      <c r="A326">
        <v>325</v>
      </c>
      <c r="B326" t="s">
        <v>2100</v>
      </c>
      <c r="C326" s="6">
        <v>44521</v>
      </c>
      <c r="D326" t="str">
        <f t="shared" si="20"/>
        <v>Nov</v>
      </c>
      <c r="E326" t="str">
        <f t="shared" si="21"/>
        <v>2021</v>
      </c>
      <c r="F326" t="s">
        <v>4</v>
      </c>
      <c r="G326" t="s">
        <v>143</v>
      </c>
      <c r="H326" t="s">
        <v>842</v>
      </c>
      <c r="I326">
        <v>170</v>
      </c>
      <c r="J326">
        <v>16</v>
      </c>
      <c r="K326">
        <f t="shared" si="22"/>
        <v>9.4117647058823533</v>
      </c>
      <c r="L326" t="s">
        <v>1741</v>
      </c>
      <c r="M326" t="s">
        <v>3789</v>
      </c>
      <c r="N326" t="s">
        <v>1</v>
      </c>
      <c r="O326">
        <v>560016</v>
      </c>
      <c r="P326" t="s">
        <v>546</v>
      </c>
      <c r="Q326" t="s">
        <v>1761</v>
      </c>
      <c r="S326">
        <v>99.99</v>
      </c>
      <c r="T326">
        <v>1</v>
      </c>
      <c r="U326">
        <v>0.1</v>
      </c>
      <c r="V326">
        <v>34.996499999999997</v>
      </c>
      <c r="W326">
        <f t="shared" si="23"/>
        <v>64.993499999999997</v>
      </c>
      <c r="X326">
        <v>1</v>
      </c>
    </row>
    <row r="327" spans="1:24" x14ac:dyDescent="0.3">
      <c r="A327">
        <v>326</v>
      </c>
      <c r="B327" t="s">
        <v>2101</v>
      </c>
      <c r="C327" s="6">
        <v>44522</v>
      </c>
      <c r="D327" t="str">
        <f t="shared" si="20"/>
        <v>Nov</v>
      </c>
      <c r="E327" t="str">
        <f t="shared" si="21"/>
        <v>2021</v>
      </c>
      <c r="F327" t="s">
        <v>3</v>
      </c>
      <c r="G327" t="s">
        <v>144</v>
      </c>
      <c r="H327" t="s">
        <v>843</v>
      </c>
      <c r="I327">
        <v>130</v>
      </c>
      <c r="J327">
        <v>28</v>
      </c>
      <c r="K327">
        <f t="shared" si="22"/>
        <v>21.53846153846154</v>
      </c>
      <c r="L327" t="s">
        <v>1736</v>
      </c>
      <c r="M327" t="s">
        <v>3790</v>
      </c>
      <c r="N327" t="s">
        <v>1</v>
      </c>
      <c r="O327">
        <v>148109</v>
      </c>
      <c r="P327" t="s">
        <v>546</v>
      </c>
      <c r="Q327" t="s">
        <v>1767</v>
      </c>
      <c r="S327">
        <v>15.992000000000001</v>
      </c>
      <c r="T327">
        <v>1</v>
      </c>
      <c r="U327">
        <v>0.2</v>
      </c>
      <c r="V327">
        <v>0.99950000000000006</v>
      </c>
      <c r="W327">
        <f t="shared" si="23"/>
        <v>14.992500000000001</v>
      </c>
      <c r="X327">
        <v>2</v>
      </c>
    </row>
    <row r="328" spans="1:24" x14ac:dyDescent="0.3">
      <c r="A328">
        <v>327</v>
      </c>
      <c r="B328" t="s">
        <v>2102</v>
      </c>
      <c r="C328" s="6">
        <v>44523</v>
      </c>
      <c r="D328" t="str">
        <f t="shared" si="20"/>
        <v>Nov</v>
      </c>
      <c r="E328" t="str">
        <f t="shared" si="21"/>
        <v>2021</v>
      </c>
      <c r="F328" t="s">
        <v>5</v>
      </c>
      <c r="G328" t="s">
        <v>145</v>
      </c>
      <c r="H328" t="s">
        <v>844</v>
      </c>
      <c r="I328">
        <v>190</v>
      </c>
      <c r="J328">
        <v>18</v>
      </c>
      <c r="K328">
        <f t="shared" si="22"/>
        <v>9.4736842105263168</v>
      </c>
      <c r="L328" t="s">
        <v>1744</v>
      </c>
      <c r="M328" t="s">
        <v>3685</v>
      </c>
      <c r="N328" t="s">
        <v>1</v>
      </c>
      <c r="O328">
        <v>222001</v>
      </c>
      <c r="P328" t="s">
        <v>546</v>
      </c>
      <c r="Q328" t="s">
        <v>1760</v>
      </c>
      <c r="S328">
        <v>290.89800000000002</v>
      </c>
      <c r="T328">
        <v>3</v>
      </c>
      <c r="U328">
        <v>0.4</v>
      </c>
      <c r="V328">
        <v>-67.876199999999997</v>
      </c>
      <c r="W328">
        <f t="shared" si="23"/>
        <v>119.59140000000001</v>
      </c>
      <c r="X328">
        <v>4</v>
      </c>
    </row>
    <row r="329" spans="1:24" x14ac:dyDescent="0.3">
      <c r="A329">
        <v>328</v>
      </c>
      <c r="B329" t="s">
        <v>2103</v>
      </c>
      <c r="C329" s="6">
        <v>44524</v>
      </c>
      <c r="D329" t="str">
        <f t="shared" si="20"/>
        <v>Nov</v>
      </c>
      <c r="E329" t="str">
        <f t="shared" si="21"/>
        <v>2021</v>
      </c>
      <c r="F329" t="s">
        <v>5</v>
      </c>
      <c r="G329" t="s">
        <v>145</v>
      </c>
      <c r="H329" t="s">
        <v>845</v>
      </c>
      <c r="I329">
        <v>150</v>
      </c>
      <c r="J329">
        <v>20</v>
      </c>
      <c r="K329">
        <f t="shared" si="22"/>
        <v>13.333333333333334</v>
      </c>
      <c r="L329" t="s">
        <v>1740</v>
      </c>
      <c r="M329" t="s">
        <v>3791</v>
      </c>
      <c r="N329" t="s">
        <v>1</v>
      </c>
      <c r="O329">
        <v>380054</v>
      </c>
      <c r="P329" t="s">
        <v>546</v>
      </c>
      <c r="Q329" t="s">
        <v>1761</v>
      </c>
      <c r="S329">
        <v>54.223999999999997</v>
      </c>
      <c r="T329">
        <v>2</v>
      </c>
      <c r="U329">
        <v>0.2</v>
      </c>
      <c r="V329">
        <v>3.3889999999999998</v>
      </c>
      <c r="W329">
        <f t="shared" si="23"/>
        <v>25.417499999999997</v>
      </c>
      <c r="X329">
        <v>4</v>
      </c>
    </row>
    <row r="330" spans="1:24" x14ac:dyDescent="0.3">
      <c r="A330">
        <v>329</v>
      </c>
      <c r="B330" t="s">
        <v>2104</v>
      </c>
      <c r="C330" s="6">
        <v>44525</v>
      </c>
      <c r="D330" t="str">
        <f t="shared" si="20"/>
        <v>Nov</v>
      </c>
      <c r="E330" t="str">
        <f t="shared" si="21"/>
        <v>2021</v>
      </c>
      <c r="F330" t="s">
        <v>5</v>
      </c>
      <c r="G330" t="s">
        <v>145</v>
      </c>
      <c r="H330" t="s">
        <v>846</v>
      </c>
      <c r="I330">
        <v>220</v>
      </c>
      <c r="J330">
        <v>28</v>
      </c>
      <c r="K330">
        <f t="shared" si="22"/>
        <v>12.727272727272727</v>
      </c>
      <c r="L330" t="s">
        <v>1742</v>
      </c>
      <c r="M330" t="s">
        <v>3696</v>
      </c>
      <c r="N330" t="s">
        <v>1</v>
      </c>
      <c r="O330">
        <v>571401</v>
      </c>
      <c r="P330" t="s">
        <v>546</v>
      </c>
      <c r="Q330" t="s">
        <v>1763</v>
      </c>
      <c r="S330">
        <v>786.74400000000003</v>
      </c>
      <c r="T330">
        <v>4</v>
      </c>
      <c r="U330">
        <v>0.3</v>
      </c>
      <c r="V330">
        <v>-258.5016</v>
      </c>
      <c r="W330">
        <f t="shared" si="23"/>
        <v>261.31139999999999</v>
      </c>
      <c r="X330">
        <v>5</v>
      </c>
    </row>
    <row r="331" spans="1:24" x14ac:dyDescent="0.3">
      <c r="A331">
        <v>330</v>
      </c>
      <c r="B331" t="s">
        <v>2105</v>
      </c>
      <c r="C331" s="6">
        <v>44526</v>
      </c>
      <c r="D331" t="str">
        <f t="shared" si="20"/>
        <v>Nov</v>
      </c>
      <c r="E331" t="str">
        <f t="shared" si="21"/>
        <v>2021</v>
      </c>
      <c r="F331" t="s">
        <v>5</v>
      </c>
      <c r="G331" t="s">
        <v>145</v>
      </c>
      <c r="H331" t="s">
        <v>847</v>
      </c>
      <c r="I331">
        <v>120</v>
      </c>
      <c r="J331">
        <v>22</v>
      </c>
      <c r="K331">
        <f t="shared" si="22"/>
        <v>18.333333333333332</v>
      </c>
      <c r="L331" t="s">
        <v>1739</v>
      </c>
      <c r="M331" t="s">
        <v>3697</v>
      </c>
      <c r="N331" t="s">
        <v>1</v>
      </c>
      <c r="O331">
        <v>444101</v>
      </c>
      <c r="P331" t="s">
        <v>546</v>
      </c>
      <c r="Q331" t="s">
        <v>1755</v>
      </c>
      <c r="S331">
        <v>100.24</v>
      </c>
      <c r="T331">
        <v>10</v>
      </c>
      <c r="U331">
        <v>0.2</v>
      </c>
      <c r="V331">
        <v>33.831000000000003</v>
      </c>
      <c r="W331">
        <f t="shared" si="23"/>
        <v>6.6408999999999994</v>
      </c>
      <c r="X331">
        <v>4</v>
      </c>
    </row>
    <row r="332" spans="1:24" x14ac:dyDescent="0.3">
      <c r="A332">
        <v>331</v>
      </c>
      <c r="B332" t="s">
        <v>2106</v>
      </c>
      <c r="C332" s="6">
        <v>44527</v>
      </c>
      <c r="D332" t="str">
        <f t="shared" si="20"/>
        <v>Nov</v>
      </c>
      <c r="E332" t="str">
        <f t="shared" si="21"/>
        <v>2021</v>
      </c>
      <c r="F332" t="s">
        <v>5</v>
      </c>
      <c r="G332" t="s">
        <v>145</v>
      </c>
      <c r="H332" t="s">
        <v>848</v>
      </c>
      <c r="I332">
        <v>100</v>
      </c>
      <c r="J332">
        <v>24</v>
      </c>
      <c r="K332">
        <f t="shared" si="22"/>
        <v>24</v>
      </c>
      <c r="L332" t="s">
        <v>1738</v>
      </c>
      <c r="M332" t="s">
        <v>3792</v>
      </c>
      <c r="N332" t="s">
        <v>1</v>
      </c>
      <c r="O332">
        <v>500083</v>
      </c>
      <c r="P332" t="s">
        <v>546</v>
      </c>
      <c r="Q332" t="s">
        <v>1774</v>
      </c>
      <c r="S332">
        <v>37.764000000000003</v>
      </c>
      <c r="T332">
        <v>6</v>
      </c>
      <c r="U332">
        <v>0.7</v>
      </c>
      <c r="V332">
        <v>-27.6936</v>
      </c>
      <c r="W332">
        <f t="shared" si="23"/>
        <v>10.909599999999999</v>
      </c>
      <c r="X332">
        <v>5</v>
      </c>
    </row>
    <row r="333" spans="1:24" x14ac:dyDescent="0.3">
      <c r="A333">
        <v>332</v>
      </c>
      <c r="B333" t="s">
        <v>2107</v>
      </c>
      <c r="C333" s="6">
        <v>44528</v>
      </c>
      <c r="D333" t="str">
        <f t="shared" si="20"/>
        <v>Nov</v>
      </c>
      <c r="E333" t="str">
        <f t="shared" si="21"/>
        <v>2021</v>
      </c>
      <c r="F333" t="s">
        <v>3</v>
      </c>
      <c r="G333" t="s">
        <v>146</v>
      </c>
      <c r="H333" t="s">
        <v>849</v>
      </c>
      <c r="I333">
        <v>240</v>
      </c>
      <c r="J333">
        <v>22</v>
      </c>
      <c r="K333">
        <f t="shared" si="22"/>
        <v>9.1666666666666661</v>
      </c>
      <c r="L333" t="s">
        <v>1737</v>
      </c>
      <c r="M333" t="s">
        <v>3793</v>
      </c>
      <c r="N333" t="s">
        <v>1</v>
      </c>
      <c r="O333">
        <v>500079</v>
      </c>
      <c r="P333" t="s">
        <v>546</v>
      </c>
      <c r="Q333" t="s">
        <v>1759</v>
      </c>
      <c r="S333">
        <v>82.8</v>
      </c>
      <c r="T333">
        <v>2</v>
      </c>
      <c r="U333">
        <v>0.4</v>
      </c>
      <c r="V333">
        <v>-20.7</v>
      </c>
      <c r="W333">
        <f t="shared" si="23"/>
        <v>51.75</v>
      </c>
      <c r="X333">
        <v>4</v>
      </c>
    </row>
    <row r="334" spans="1:24" x14ac:dyDescent="0.3">
      <c r="A334">
        <v>333</v>
      </c>
      <c r="B334" t="s">
        <v>2108</v>
      </c>
      <c r="C334" s="6">
        <v>44529</v>
      </c>
      <c r="D334" t="str">
        <f t="shared" si="20"/>
        <v>Nov</v>
      </c>
      <c r="E334" t="str">
        <f t="shared" si="21"/>
        <v>2021</v>
      </c>
      <c r="F334" t="s">
        <v>3</v>
      </c>
      <c r="G334" t="s">
        <v>146</v>
      </c>
      <c r="H334" t="s">
        <v>850</v>
      </c>
      <c r="I334">
        <v>170</v>
      </c>
      <c r="J334">
        <v>20</v>
      </c>
      <c r="K334">
        <f t="shared" si="22"/>
        <v>11.76470588235294</v>
      </c>
      <c r="L334" t="s">
        <v>1743</v>
      </c>
      <c r="M334" t="s">
        <v>3794</v>
      </c>
      <c r="N334" t="s">
        <v>1</v>
      </c>
      <c r="O334">
        <v>700092</v>
      </c>
      <c r="P334" t="s">
        <v>546</v>
      </c>
      <c r="Q334" t="s">
        <v>1763</v>
      </c>
      <c r="S334">
        <v>20.724</v>
      </c>
      <c r="T334">
        <v>2</v>
      </c>
      <c r="U334">
        <v>0.7</v>
      </c>
      <c r="V334">
        <v>-13.816000000000001</v>
      </c>
      <c r="W334">
        <f t="shared" si="23"/>
        <v>17.27</v>
      </c>
      <c r="X334">
        <v>4</v>
      </c>
    </row>
    <row r="335" spans="1:24" x14ac:dyDescent="0.3">
      <c r="A335">
        <v>334</v>
      </c>
      <c r="B335" t="s">
        <v>2109</v>
      </c>
      <c r="C335" s="6">
        <v>44530</v>
      </c>
      <c r="D335" t="str">
        <f t="shared" si="20"/>
        <v>Nov</v>
      </c>
      <c r="E335" t="str">
        <f t="shared" si="21"/>
        <v>2021</v>
      </c>
      <c r="F335" t="s">
        <v>3</v>
      </c>
      <c r="G335" t="s">
        <v>146</v>
      </c>
      <c r="H335" t="s">
        <v>851</v>
      </c>
      <c r="I335">
        <v>220</v>
      </c>
      <c r="J335">
        <v>20</v>
      </c>
      <c r="K335">
        <f t="shared" si="22"/>
        <v>9.0909090909090917</v>
      </c>
      <c r="L335" t="s">
        <v>1738</v>
      </c>
      <c r="M335" t="s">
        <v>3795</v>
      </c>
      <c r="N335" t="s">
        <v>1</v>
      </c>
      <c r="O335">
        <v>421203</v>
      </c>
      <c r="P335" t="s">
        <v>546</v>
      </c>
      <c r="Q335" t="s">
        <v>1774</v>
      </c>
      <c r="S335">
        <v>4.8959999999999999</v>
      </c>
      <c r="T335">
        <v>3</v>
      </c>
      <c r="U335">
        <v>0.7</v>
      </c>
      <c r="V335">
        <v>-3.4272</v>
      </c>
      <c r="W335">
        <f t="shared" si="23"/>
        <v>2.7744</v>
      </c>
      <c r="X335">
        <v>4</v>
      </c>
    </row>
    <row r="336" spans="1:24" x14ac:dyDescent="0.3">
      <c r="A336">
        <v>335</v>
      </c>
      <c r="B336" t="s">
        <v>2110</v>
      </c>
      <c r="C336" s="6">
        <v>44531</v>
      </c>
      <c r="D336" t="str">
        <f t="shared" si="20"/>
        <v>Dec</v>
      </c>
      <c r="E336" t="str">
        <f t="shared" si="21"/>
        <v>2021</v>
      </c>
      <c r="F336" t="s">
        <v>3</v>
      </c>
      <c r="G336" t="s">
        <v>147</v>
      </c>
      <c r="H336" t="s">
        <v>852</v>
      </c>
      <c r="I336">
        <v>230</v>
      </c>
      <c r="J336">
        <v>16</v>
      </c>
      <c r="K336">
        <f t="shared" si="22"/>
        <v>6.9565217391304346</v>
      </c>
      <c r="L336" t="s">
        <v>1739</v>
      </c>
      <c r="M336" t="s">
        <v>3594</v>
      </c>
      <c r="N336" t="s">
        <v>1</v>
      </c>
      <c r="O336">
        <v>474020</v>
      </c>
      <c r="P336" t="s">
        <v>546</v>
      </c>
      <c r="Q336" t="s">
        <v>1773</v>
      </c>
      <c r="S336">
        <v>4.7519999999999998</v>
      </c>
      <c r="T336">
        <v>1</v>
      </c>
      <c r="U336">
        <v>0.2</v>
      </c>
      <c r="V336">
        <v>1.6037999999999999</v>
      </c>
      <c r="W336">
        <f t="shared" si="23"/>
        <v>3.1482000000000001</v>
      </c>
      <c r="X336">
        <v>3</v>
      </c>
    </row>
    <row r="337" spans="1:24" x14ac:dyDescent="0.3">
      <c r="A337">
        <v>336</v>
      </c>
      <c r="B337" t="s">
        <v>2111</v>
      </c>
      <c r="C337" s="6">
        <v>44532</v>
      </c>
      <c r="D337" t="str">
        <f t="shared" si="20"/>
        <v>Dec</v>
      </c>
      <c r="E337" t="str">
        <f t="shared" si="21"/>
        <v>2021</v>
      </c>
      <c r="F337" t="s">
        <v>3</v>
      </c>
      <c r="G337" t="s">
        <v>147</v>
      </c>
      <c r="H337" t="s">
        <v>853</v>
      </c>
      <c r="I337">
        <v>150</v>
      </c>
      <c r="J337">
        <v>24</v>
      </c>
      <c r="K337">
        <f t="shared" si="22"/>
        <v>16</v>
      </c>
      <c r="L337" t="s">
        <v>1741</v>
      </c>
      <c r="M337" t="s">
        <v>3796</v>
      </c>
      <c r="N337" t="s">
        <v>1</v>
      </c>
      <c r="O337">
        <v>474020</v>
      </c>
      <c r="P337" t="s">
        <v>546</v>
      </c>
      <c r="Q337" t="s">
        <v>1769</v>
      </c>
      <c r="R337" t="s">
        <v>2</v>
      </c>
      <c r="S337">
        <v>959.98400000000004</v>
      </c>
      <c r="T337">
        <v>2</v>
      </c>
      <c r="U337">
        <v>0.2</v>
      </c>
      <c r="V337">
        <v>335.99439999999998</v>
      </c>
      <c r="W337">
        <f t="shared" si="23"/>
        <v>311.99480000000005</v>
      </c>
      <c r="X337">
        <v>1</v>
      </c>
    </row>
    <row r="338" spans="1:24" x14ac:dyDescent="0.3">
      <c r="A338">
        <v>337</v>
      </c>
      <c r="B338" t="s">
        <v>2112</v>
      </c>
      <c r="C338" s="6">
        <v>44533</v>
      </c>
      <c r="D338" t="str">
        <f t="shared" si="20"/>
        <v>Dec</v>
      </c>
      <c r="E338" t="str">
        <f t="shared" si="21"/>
        <v>2021</v>
      </c>
      <c r="F338" t="s">
        <v>3</v>
      </c>
      <c r="G338" t="s">
        <v>147</v>
      </c>
      <c r="H338" t="s">
        <v>854</v>
      </c>
      <c r="I338">
        <v>210</v>
      </c>
      <c r="J338">
        <v>20</v>
      </c>
      <c r="K338">
        <f t="shared" si="22"/>
        <v>9.5238095238095237</v>
      </c>
      <c r="L338" t="s">
        <v>1736</v>
      </c>
      <c r="M338" t="s">
        <v>3797</v>
      </c>
      <c r="N338" t="s">
        <v>1</v>
      </c>
      <c r="O338">
        <v>411041</v>
      </c>
      <c r="P338" t="s">
        <v>546</v>
      </c>
      <c r="Q338" t="s">
        <v>1759</v>
      </c>
      <c r="R338" t="s">
        <v>2</v>
      </c>
      <c r="S338">
        <v>14.368</v>
      </c>
      <c r="T338">
        <v>4</v>
      </c>
      <c r="U338">
        <v>0.2</v>
      </c>
      <c r="V338">
        <v>4.49</v>
      </c>
      <c r="W338">
        <f t="shared" si="23"/>
        <v>2.4695</v>
      </c>
      <c r="X338">
        <v>5</v>
      </c>
    </row>
    <row r="339" spans="1:24" x14ac:dyDescent="0.3">
      <c r="A339">
        <v>338</v>
      </c>
      <c r="B339" t="s">
        <v>2113</v>
      </c>
      <c r="C339" s="6">
        <v>44534</v>
      </c>
      <c r="D339" t="str">
        <f t="shared" si="20"/>
        <v>Dec</v>
      </c>
      <c r="E339" t="str">
        <f t="shared" si="21"/>
        <v>2021</v>
      </c>
      <c r="F339" t="s">
        <v>4</v>
      </c>
      <c r="G339" t="s">
        <v>148</v>
      </c>
      <c r="H339" t="s">
        <v>855</v>
      </c>
      <c r="I339">
        <v>100</v>
      </c>
      <c r="J339">
        <v>6</v>
      </c>
      <c r="K339">
        <f t="shared" si="22"/>
        <v>6</v>
      </c>
      <c r="L339" t="s">
        <v>1744</v>
      </c>
      <c r="M339" t="s">
        <v>3798</v>
      </c>
      <c r="N339" t="s">
        <v>1</v>
      </c>
      <c r="O339">
        <v>410210</v>
      </c>
      <c r="P339" t="s">
        <v>546</v>
      </c>
      <c r="Q339" t="s">
        <v>1770</v>
      </c>
      <c r="S339">
        <v>7.7119999999999997</v>
      </c>
      <c r="T339">
        <v>2</v>
      </c>
      <c r="U339">
        <v>0.2</v>
      </c>
      <c r="V339">
        <v>2.7955999999999999</v>
      </c>
      <c r="W339">
        <f t="shared" si="23"/>
        <v>2.4581999999999997</v>
      </c>
      <c r="X339">
        <v>5</v>
      </c>
    </row>
    <row r="340" spans="1:24" x14ac:dyDescent="0.3">
      <c r="A340">
        <v>339</v>
      </c>
      <c r="B340" t="s">
        <v>2114</v>
      </c>
      <c r="C340" s="6">
        <v>44535</v>
      </c>
      <c r="D340" t="str">
        <f t="shared" si="20"/>
        <v>Dec</v>
      </c>
      <c r="E340" t="str">
        <f t="shared" si="21"/>
        <v>2021</v>
      </c>
      <c r="F340" t="s">
        <v>4</v>
      </c>
      <c r="G340" t="s">
        <v>148</v>
      </c>
      <c r="H340" t="s">
        <v>856</v>
      </c>
      <c r="I340">
        <v>160</v>
      </c>
      <c r="J340">
        <v>8</v>
      </c>
      <c r="K340">
        <f t="shared" si="22"/>
        <v>5</v>
      </c>
      <c r="L340" t="s">
        <v>1740</v>
      </c>
      <c r="M340" t="s">
        <v>3799</v>
      </c>
      <c r="N340" t="s">
        <v>1</v>
      </c>
      <c r="O340">
        <v>600059</v>
      </c>
      <c r="P340" t="s">
        <v>546</v>
      </c>
      <c r="Q340" t="s">
        <v>1776</v>
      </c>
      <c r="R340" t="s">
        <v>2</v>
      </c>
      <c r="S340">
        <v>698.35199999999998</v>
      </c>
      <c r="T340">
        <v>3</v>
      </c>
      <c r="U340">
        <v>0.2</v>
      </c>
      <c r="V340">
        <v>-17.4588</v>
      </c>
      <c r="W340">
        <f t="shared" si="23"/>
        <v>238.6036</v>
      </c>
      <c r="X340">
        <v>3</v>
      </c>
    </row>
    <row r="341" spans="1:24" x14ac:dyDescent="0.3">
      <c r="A341">
        <v>340</v>
      </c>
      <c r="B341" t="s">
        <v>2115</v>
      </c>
      <c r="C341" s="6">
        <v>44536</v>
      </c>
      <c r="D341" t="str">
        <f t="shared" si="20"/>
        <v>Dec</v>
      </c>
      <c r="E341" t="str">
        <f t="shared" si="21"/>
        <v>2021</v>
      </c>
      <c r="F341" t="s">
        <v>3</v>
      </c>
      <c r="G341" t="s">
        <v>114</v>
      </c>
      <c r="H341" t="s">
        <v>857</v>
      </c>
      <c r="I341">
        <v>130</v>
      </c>
      <c r="J341">
        <v>12</v>
      </c>
      <c r="K341">
        <f t="shared" si="22"/>
        <v>9.2307692307692317</v>
      </c>
      <c r="L341" t="s">
        <v>1742</v>
      </c>
      <c r="M341" t="s">
        <v>3800</v>
      </c>
      <c r="N341" t="s">
        <v>1</v>
      </c>
      <c r="O341">
        <v>670571</v>
      </c>
      <c r="P341" t="s">
        <v>546</v>
      </c>
      <c r="Q341" t="s">
        <v>1763</v>
      </c>
      <c r="R341" t="s">
        <v>2</v>
      </c>
      <c r="S341">
        <v>4.96</v>
      </c>
      <c r="T341">
        <v>4</v>
      </c>
      <c r="U341">
        <v>0.1</v>
      </c>
      <c r="V341">
        <v>2.3311999999999999</v>
      </c>
      <c r="W341">
        <f t="shared" si="23"/>
        <v>0.65720000000000001</v>
      </c>
      <c r="X341">
        <v>1</v>
      </c>
    </row>
    <row r="342" spans="1:24" x14ac:dyDescent="0.3">
      <c r="A342">
        <v>341</v>
      </c>
      <c r="B342" t="s">
        <v>2116</v>
      </c>
      <c r="C342" s="6">
        <v>44537</v>
      </c>
      <c r="D342" t="str">
        <f t="shared" si="20"/>
        <v>Dec</v>
      </c>
      <c r="E342" t="str">
        <f t="shared" si="21"/>
        <v>2021</v>
      </c>
      <c r="F342" t="s">
        <v>3</v>
      </c>
      <c r="G342" t="s">
        <v>70</v>
      </c>
      <c r="H342" t="s">
        <v>858</v>
      </c>
      <c r="I342">
        <v>230</v>
      </c>
      <c r="J342">
        <v>14</v>
      </c>
      <c r="K342">
        <f t="shared" si="22"/>
        <v>6.0869565217391308</v>
      </c>
      <c r="L342" t="s">
        <v>1739</v>
      </c>
      <c r="M342" t="s">
        <v>3623</v>
      </c>
      <c r="N342" t="s">
        <v>1</v>
      </c>
      <c r="O342">
        <v>502319</v>
      </c>
      <c r="P342" t="s">
        <v>546</v>
      </c>
      <c r="Q342" t="s">
        <v>1761</v>
      </c>
      <c r="S342">
        <v>17.856000000000002</v>
      </c>
      <c r="T342">
        <v>4</v>
      </c>
      <c r="U342">
        <v>0.2</v>
      </c>
      <c r="V342">
        <v>1.1160000000000001</v>
      </c>
      <c r="W342">
        <f t="shared" si="23"/>
        <v>4.1850000000000005</v>
      </c>
      <c r="X342">
        <v>2</v>
      </c>
    </row>
    <row r="343" spans="1:24" x14ac:dyDescent="0.3">
      <c r="A343">
        <v>342</v>
      </c>
      <c r="B343" t="s">
        <v>2117</v>
      </c>
      <c r="C343" s="6">
        <v>44538</v>
      </c>
      <c r="D343" t="str">
        <f t="shared" si="20"/>
        <v>Dec</v>
      </c>
      <c r="E343" t="str">
        <f t="shared" si="21"/>
        <v>2021</v>
      </c>
      <c r="F343" t="s">
        <v>3</v>
      </c>
      <c r="G343" t="s">
        <v>70</v>
      </c>
      <c r="H343" t="s">
        <v>560</v>
      </c>
      <c r="I343">
        <v>150</v>
      </c>
      <c r="J343">
        <v>24</v>
      </c>
      <c r="K343">
        <f t="shared" si="22"/>
        <v>16</v>
      </c>
      <c r="L343" t="s">
        <v>1738</v>
      </c>
      <c r="M343" t="s">
        <v>3801</v>
      </c>
      <c r="N343" t="s">
        <v>1</v>
      </c>
      <c r="O343">
        <v>700102</v>
      </c>
      <c r="P343" t="s">
        <v>546</v>
      </c>
      <c r="Q343" t="s">
        <v>1763</v>
      </c>
      <c r="S343">
        <v>509.97</v>
      </c>
      <c r="T343">
        <v>10</v>
      </c>
      <c r="U343">
        <v>0.7</v>
      </c>
      <c r="V343">
        <v>-407.976</v>
      </c>
      <c r="W343">
        <f t="shared" si="23"/>
        <v>91.794600000000003</v>
      </c>
      <c r="X343">
        <v>2</v>
      </c>
    </row>
    <row r="344" spans="1:24" x14ac:dyDescent="0.3">
      <c r="A344">
        <v>343</v>
      </c>
      <c r="B344" t="s">
        <v>2118</v>
      </c>
      <c r="C344" s="6">
        <v>44539</v>
      </c>
      <c r="D344" t="str">
        <f t="shared" si="20"/>
        <v>Dec</v>
      </c>
      <c r="E344" t="str">
        <f t="shared" si="21"/>
        <v>2021</v>
      </c>
      <c r="F344" t="s">
        <v>3</v>
      </c>
      <c r="G344" t="s">
        <v>70</v>
      </c>
      <c r="H344" t="s">
        <v>674</v>
      </c>
      <c r="I344">
        <v>150</v>
      </c>
      <c r="J344">
        <v>10</v>
      </c>
      <c r="K344">
        <f t="shared" si="22"/>
        <v>6.666666666666667</v>
      </c>
      <c r="L344" t="s">
        <v>1737</v>
      </c>
      <c r="M344" t="s">
        <v>3802</v>
      </c>
      <c r="N344" t="s">
        <v>1</v>
      </c>
      <c r="O344">
        <v>560084</v>
      </c>
      <c r="P344" t="s">
        <v>546</v>
      </c>
      <c r="Q344" t="s">
        <v>1756</v>
      </c>
      <c r="S344">
        <v>30.992000000000001</v>
      </c>
      <c r="T344">
        <v>13</v>
      </c>
      <c r="U344">
        <v>0.2</v>
      </c>
      <c r="V344">
        <v>10.0724</v>
      </c>
      <c r="W344">
        <f t="shared" si="23"/>
        <v>1.6092000000000002</v>
      </c>
      <c r="X344">
        <v>5</v>
      </c>
    </row>
    <row r="345" spans="1:24" x14ac:dyDescent="0.3">
      <c r="A345">
        <v>344</v>
      </c>
      <c r="B345" t="s">
        <v>2119</v>
      </c>
      <c r="C345" s="6">
        <v>44540</v>
      </c>
      <c r="D345" t="str">
        <f t="shared" si="20"/>
        <v>Dec</v>
      </c>
      <c r="E345" t="str">
        <f t="shared" si="21"/>
        <v>2021</v>
      </c>
      <c r="F345" t="s">
        <v>3</v>
      </c>
      <c r="G345" t="s">
        <v>70</v>
      </c>
      <c r="H345" t="s">
        <v>859</v>
      </c>
      <c r="I345">
        <v>170</v>
      </c>
      <c r="J345">
        <v>8</v>
      </c>
      <c r="K345">
        <f t="shared" si="22"/>
        <v>4.7058823529411766</v>
      </c>
      <c r="L345" t="s">
        <v>1743</v>
      </c>
      <c r="M345" t="s">
        <v>3803</v>
      </c>
      <c r="N345" t="s">
        <v>1</v>
      </c>
      <c r="O345">
        <v>400095</v>
      </c>
      <c r="P345" t="s">
        <v>546</v>
      </c>
      <c r="Q345" t="s">
        <v>1759</v>
      </c>
      <c r="S345">
        <v>71.927999999999997</v>
      </c>
      <c r="T345">
        <v>12</v>
      </c>
      <c r="U345">
        <v>0.4</v>
      </c>
      <c r="V345">
        <v>8.3916000000000004</v>
      </c>
      <c r="W345">
        <f t="shared" si="23"/>
        <v>5.2946999999999997</v>
      </c>
      <c r="X345">
        <v>1</v>
      </c>
    </row>
    <row r="346" spans="1:24" x14ac:dyDescent="0.3">
      <c r="A346">
        <v>345</v>
      </c>
      <c r="B346" t="s">
        <v>2120</v>
      </c>
      <c r="C346" s="6">
        <v>44541</v>
      </c>
      <c r="D346" t="str">
        <f t="shared" si="20"/>
        <v>Dec</v>
      </c>
      <c r="E346" t="str">
        <f t="shared" si="21"/>
        <v>2021</v>
      </c>
      <c r="F346" t="s">
        <v>4</v>
      </c>
      <c r="G346" t="s">
        <v>86</v>
      </c>
      <c r="H346" t="s">
        <v>564</v>
      </c>
      <c r="I346">
        <v>100</v>
      </c>
      <c r="J346">
        <v>24</v>
      </c>
      <c r="K346">
        <f t="shared" si="22"/>
        <v>24</v>
      </c>
      <c r="L346" t="s">
        <v>1738</v>
      </c>
      <c r="M346" t="s">
        <v>3804</v>
      </c>
      <c r="N346" t="s">
        <v>1</v>
      </c>
      <c r="O346">
        <v>827012</v>
      </c>
      <c r="P346" t="s">
        <v>546</v>
      </c>
      <c r="Q346" t="s">
        <v>1775</v>
      </c>
      <c r="S346">
        <v>88.8</v>
      </c>
      <c r="T346">
        <v>4</v>
      </c>
      <c r="U346">
        <v>0.2</v>
      </c>
      <c r="V346">
        <v>-2.2200000000000002</v>
      </c>
      <c r="W346">
        <f t="shared" si="23"/>
        <v>22.754999999999999</v>
      </c>
      <c r="X346">
        <v>4</v>
      </c>
    </row>
    <row r="347" spans="1:24" x14ac:dyDescent="0.3">
      <c r="A347">
        <v>346</v>
      </c>
      <c r="B347" t="s">
        <v>2121</v>
      </c>
      <c r="C347" s="6">
        <v>44542</v>
      </c>
      <c r="D347" t="str">
        <f t="shared" si="20"/>
        <v>Dec</v>
      </c>
      <c r="E347" t="str">
        <f t="shared" si="21"/>
        <v>2021</v>
      </c>
      <c r="F347" t="s">
        <v>4</v>
      </c>
      <c r="G347" t="s">
        <v>149</v>
      </c>
      <c r="H347" t="s">
        <v>672</v>
      </c>
      <c r="I347">
        <v>170</v>
      </c>
      <c r="J347">
        <v>22</v>
      </c>
      <c r="K347">
        <f t="shared" si="22"/>
        <v>12.941176470588237</v>
      </c>
      <c r="L347" t="s">
        <v>1739</v>
      </c>
      <c r="M347" t="s">
        <v>3600</v>
      </c>
      <c r="N347" t="s">
        <v>1</v>
      </c>
      <c r="O347">
        <v>392020</v>
      </c>
      <c r="P347" t="s">
        <v>546</v>
      </c>
      <c r="Q347" t="s">
        <v>1768</v>
      </c>
      <c r="R347" t="s">
        <v>2</v>
      </c>
      <c r="S347">
        <v>47.975999999999999</v>
      </c>
      <c r="T347">
        <v>3</v>
      </c>
      <c r="U347">
        <v>0.2</v>
      </c>
      <c r="V347">
        <v>4.7976000000000001</v>
      </c>
      <c r="W347">
        <f t="shared" si="23"/>
        <v>14.392799999999999</v>
      </c>
      <c r="X347">
        <v>2</v>
      </c>
    </row>
    <row r="348" spans="1:24" x14ac:dyDescent="0.3">
      <c r="A348">
        <v>347</v>
      </c>
      <c r="B348" t="s">
        <v>2122</v>
      </c>
      <c r="C348" s="6">
        <v>44543</v>
      </c>
      <c r="D348" t="str">
        <f t="shared" si="20"/>
        <v>Dec</v>
      </c>
      <c r="E348" t="str">
        <f t="shared" si="21"/>
        <v>2021</v>
      </c>
      <c r="F348" t="s">
        <v>4</v>
      </c>
      <c r="G348" t="s">
        <v>150</v>
      </c>
      <c r="H348" t="s">
        <v>730</v>
      </c>
      <c r="I348">
        <v>180</v>
      </c>
      <c r="J348">
        <v>22</v>
      </c>
      <c r="K348">
        <f t="shared" si="22"/>
        <v>12.222222222222221</v>
      </c>
      <c r="L348" t="s">
        <v>1741</v>
      </c>
      <c r="M348" t="s">
        <v>3805</v>
      </c>
      <c r="N348" t="s">
        <v>1</v>
      </c>
      <c r="O348">
        <v>392020</v>
      </c>
      <c r="P348" t="s">
        <v>546</v>
      </c>
      <c r="Q348" t="s">
        <v>1775</v>
      </c>
      <c r="S348">
        <v>7.56</v>
      </c>
      <c r="T348">
        <v>3</v>
      </c>
      <c r="U348">
        <v>0.1</v>
      </c>
      <c r="V348">
        <v>3.0996000000000001</v>
      </c>
      <c r="W348">
        <f t="shared" si="23"/>
        <v>1.4867999999999999</v>
      </c>
      <c r="X348">
        <v>3</v>
      </c>
    </row>
    <row r="349" spans="1:24" x14ac:dyDescent="0.3">
      <c r="A349">
        <v>348</v>
      </c>
      <c r="B349" t="s">
        <v>2123</v>
      </c>
      <c r="C349" s="6">
        <v>44544</v>
      </c>
      <c r="D349" t="str">
        <f t="shared" si="20"/>
        <v>Dec</v>
      </c>
      <c r="E349" t="str">
        <f t="shared" si="21"/>
        <v>2021</v>
      </c>
      <c r="F349" t="s">
        <v>4</v>
      </c>
      <c r="G349" t="s">
        <v>150</v>
      </c>
      <c r="H349" t="s">
        <v>580</v>
      </c>
      <c r="I349">
        <v>160</v>
      </c>
      <c r="J349">
        <v>8</v>
      </c>
      <c r="K349">
        <f t="shared" si="22"/>
        <v>5</v>
      </c>
      <c r="L349" t="s">
        <v>1736</v>
      </c>
      <c r="M349" t="s">
        <v>3644</v>
      </c>
      <c r="N349" t="s">
        <v>1</v>
      </c>
      <c r="O349">
        <v>392020</v>
      </c>
      <c r="P349" t="s">
        <v>546</v>
      </c>
      <c r="Q349" t="s">
        <v>1754</v>
      </c>
      <c r="S349">
        <v>24.56</v>
      </c>
      <c r="T349">
        <v>2</v>
      </c>
      <c r="U349">
        <v>0.1</v>
      </c>
      <c r="V349">
        <v>11.543200000000001</v>
      </c>
      <c r="W349">
        <f t="shared" si="23"/>
        <v>6.5083999999999991</v>
      </c>
      <c r="X349">
        <v>1</v>
      </c>
    </row>
    <row r="350" spans="1:24" x14ac:dyDescent="0.3">
      <c r="A350">
        <v>349</v>
      </c>
      <c r="B350" t="s">
        <v>2124</v>
      </c>
      <c r="C350" s="6">
        <v>44545</v>
      </c>
      <c r="D350" t="str">
        <f t="shared" si="20"/>
        <v>Dec</v>
      </c>
      <c r="E350" t="str">
        <f t="shared" si="21"/>
        <v>2021</v>
      </c>
      <c r="F350" t="s">
        <v>4</v>
      </c>
      <c r="G350" t="s">
        <v>150</v>
      </c>
      <c r="H350" t="s">
        <v>860</v>
      </c>
      <c r="I350">
        <v>240</v>
      </c>
      <c r="J350">
        <v>14</v>
      </c>
      <c r="K350">
        <f t="shared" si="22"/>
        <v>5.833333333333333</v>
      </c>
      <c r="L350" t="s">
        <v>1744</v>
      </c>
      <c r="M350" t="s">
        <v>3806</v>
      </c>
      <c r="N350" t="s">
        <v>1</v>
      </c>
      <c r="O350">
        <v>507002</v>
      </c>
      <c r="P350" t="s">
        <v>546</v>
      </c>
      <c r="Q350" t="s">
        <v>1767</v>
      </c>
      <c r="S350">
        <v>12.96</v>
      </c>
      <c r="T350">
        <v>2</v>
      </c>
      <c r="U350">
        <v>0.1</v>
      </c>
      <c r="V350">
        <v>4.1471999999999998</v>
      </c>
      <c r="W350">
        <f t="shared" si="23"/>
        <v>4.4064000000000005</v>
      </c>
      <c r="X350">
        <v>4</v>
      </c>
    </row>
    <row r="351" spans="1:24" x14ac:dyDescent="0.3">
      <c r="A351">
        <v>350</v>
      </c>
      <c r="B351" t="s">
        <v>2125</v>
      </c>
      <c r="C351" s="6">
        <v>44546</v>
      </c>
      <c r="D351" t="str">
        <f t="shared" si="20"/>
        <v>Dec</v>
      </c>
      <c r="E351" t="str">
        <f t="shared" si="21"/>
        <v>2021</v>
      </c>
      <c r="F351" t="s">
        <v>5</v>
      </c>
      <c r="G351" t="s">
        <v>151</v>
      </c>
      <c r="H351" t="s">
        <v>781</v>
      </c>
      <c r="I351">
        <v>200</v>
      </c>
      <c r="J351">
        <v>16</v>
      </c>
      <c r="K351">
        <f t="shared" si="22"/>
        <v>8</v>
      </c>
      <c r="L351" t="s">
        <v>1740</v>
      </c>
      <c r="M351" t="s">
        <v>3586</v>
      </c>
      <c r="N351" t="s">
        <v>1</v>
      </c>
      <c r="O351">
        <v>575003</v>
      </c>
      <c r="P351" t="s">
        <v>546</v>
      </c>
      <c r="Q351" t="s">
        <v>1761</v>
      </c>
      <c r="S351">
        <v>6.79</v>
      </c>
      <c r="T351">
        <v>1</v>
      </c>
      <c r="U351">
        <v>0.1</v>
      </c>
      <c r="V351">
        <v>2.3086000000000002</v>
      </c>
      <c r="W351">
        <f t="shared" si="23"/>
        <v>4.4813999999999998</v>
      </c>
      <c r="X351">
        <v>2</v>
      </c>
    </row>
    <row r="352" spans="1:24" x14ac:dyDescent="0.3">
      <c r="A352">
        <v>351</v>
      </c>
      <c r="B352" t="s">
        <v>2126</v>
      </c>
      <c r="C352" s="6">
        <v>44547</v>
      </c>
      <c r="D352" t="str">
        <f t="shared" si="20"/>
        <v>Dec</v>
      </c>
      <c r="E352" t="str">
        <f t="shared" si="21"/>
        <v>2021</v>
      </c>
      <c r="F352" t="s">
        <v>5</v>
      </c>
      <c r="G352" t="s">
        <v>151</v>
      </c>
      <c r="H352" t="s">
        <v>861</v>
      </c>
      <c r="I352">
        <v>150</v>
      </c>
      <c r="J352">
        <v>8</v>
      </c>
      <c r="K352">
        <f t="shared" si="22"/>
        <v>5.3333333333333339</v>
      </c>
      <c r="L352" t="s">
        <v>1742</v>
      </c>
      <c r="M352" t="s">
        <v>3676</v>
      </c>
      <c r="N352" t="s">
        <v>1</v>
      </c>
      <c r="O352">
        <v>500083</v>
      </c>
      <c r="P352" t="s">
        <v>546</v>
      </c>
      <c r="Q352" t="s">
        <v>1776</v>
      </c>
      <c r="S352">
        <v>24.56</v>
      </c>
      <c r="T352">
        <v>2</v>
      </c>
      <c r="U352">
        <v>0.1</v>
      </c>
      <c r="V352">
        <v>11.543200000000001</v>
      </c>
      <c r="W352">
        <f t="shared" si="23"/>
        <v>6.5083999999999991</v>
      </c>
      <c r="X352">
        <v>2</v>
      </c>
    </row>
    <row r="353" spans="1:24" x14ac:dyDescent="0.3">
      <c r="A353">
        <v>352</v>
      </c>
      <c r="B353" t="s">
        <v>2127</v>
      </c>
      <c r="C353" s="6">
        <v>44548</v>
      </c>
      <c r="D353" t="str">
        <f t="shared" si="20"/>
        <v>Dec</v>
      </c>
      <c r="E353" t="str">
        <f t="shared" si="21"/>
        <v>2021</v>
      </c>
      <c r="F353" t="s">
        <v>5</v>
      </c>
      <c r="G353" t="s">
        <v>151</v>
      </c>
      <c r="H353" t="s">
        <v>862</v>
      </c>
      <c r="I353">
        <v>140</v>
      </c>
      <c r="J353">
        <v>24</v>
      </c>
      <c r="K353">
        <f t="shared" si="22"/>
        <v>17.142857142857142</v>
      </c>
      <c r="L353" t="s">
        <v>1742</v>
      </c>
      <c r="M353" t="s">
        <v>3747</v>
      </c>
      <c r="N353" t="s">
        <v>1</v>
      </c>
      <c r="O353">
        <v>560036</v>
      </c>
      <c r="P353" t="s">
        <v>546</v>
      </c>
      <c r="Q353" t="s">
        <v>1768</v>
      </c>
      <c r="S353">
        <v>3.048</v>
      </c>
      <c r="T353">
        <v>1</v>
      </c>
      <c r="U353">
        <v>0.2</v>
      </c>
      <c r="V353">
        <v>1.0668</v>
      </c>
      <c r="W353">
        <f t="shared" si="23"/>
        <v>1.9812000000000001</v>
      </c>
      <c r="X353">
        <v>3</v>
      </c>
    </row>
    <row r="354" spans="1:24" x14ac:dyDescent="0.3">
      <c r="A354">
        <v>353</v>
      </c>
      <c r="B354" t="s">
        <v>2128</v>
      </c>
      <c r="C354" s="6">
        <v>44549</v>
      </c>
      <c r="D354" t="str">
        <f t="shared" si="20"/>
        <v>Dec</v>
      </c>
      <c r="E354" t="str">
        <f t="shared" si="21"/>
        <v>2021</v>
      </c>
      <c r="F354" t="s">
        <v>5</v>
      </c>
      <c r="G354" t="s">
        <v>151</v>
      </c>
      <c r="H354" t="s">
        <v>861</v>
      </c>
      <c r="I354">
        <v>170</v>
      </c>
      <c r="J354">
        <v>30</v>
      </c>
      <c r="K354">
        <f t="shared" si="22"/>
        <v>17.647058823529413</v>
      </c>
      <c r="L354" t="s">
        <v>1738</v>
      </c>
      <c r="M354" t="s">
        <v>3807</v>
      </c>
      <c r="N354" t="s">
        <v>1</v>
      </c>
      <c r="O354">
        <v>122001</v>
      </c>
      <c r="P354" t="s">
        <v>546</v>
      </c>
      <c r="Q354" t="s">
        <v>1766</v>
      </c>
      <c r="S354">
        <v>49.12</v>
      </c>
      <c r="T354">
        <v>4</v>
      </c>
      <c r="U354">
        <v>0.1</v>
      </c>
      <c r="V354">
        <v>23.086400000000001</v>
      </c>
      <c r="W354">
        <f t="shared" si="23"/>
        <v>6.5083999999999991</v>
      </c>
      <c r="X354">
        <v>4</v>
      </c>
    </row>
    <row r="355" spans="1:24" x14ac:dyDescent="0.3">
      <c r="A355">
        <v>354</v>
      </c>
      <c r="B355" t="s">
        <v>2129</v>
      </c>
      <c r="C355" s="6">
        <v>44550</v>
      </c>
      <c r="D355" t="str">
        <f t="shared" si="20"/>
        <v>Dec</v>
      </c>
      <c r="E355" t="str">
        <f t="shared" si="21"/>
        <v>2021</v>
      </c>
      <c r="F355" t="s">
        <v>5</v>
      </c>
      <c r="G355" t="s">
        <v>151</v>
      </c>
      <c r="H355" t="s">
        <v>863</v>
      </c>
      <c r="I355">
        <v>150</v>
      </c>
      <c r="J355">
        <v>16</v>
      </c>
      <c r="K355">
        <f t="shared" si="22"/>
        <v>10.666666666666668</v>
      </c>
      <c r="L355" t="s">
        <v>1737</v>
      </c>
      <c r="M355" t="s">
        <v>3808</v>
      </c>
      <c r="N355" t="s">
        <v>1</v>
      </c>
      <c r="O355">
        <v>638052</v>
      </c>
      <c r="P355" t="s">
        <v>546</v>
      </c>
      <c r="Q355" t="s">
        <v>1755</v>
      </c>
      <c r="S355">
        <v>4355.1679999999997</v>
      </c>
      <c r="T355">
        <v>4</v>
      </c>
      <c r="U355">
        <v>0.2</v>
      </c>
      <c r="V355">
        <v>1415.4295999999999</v>
      </c>
      <c r="W355">
        <f t="shared" si="23"/>
        <v>734.93459999999993</v>
      </c>
      <c r="X355">
        <v>2</v>
      </c>
    </row>
    <row r="356" spans="1:24" x14ac:dyDescent="0.3">
      <c r="A356">
        <v>355</v>
      </c>
      <c r="B356" t="s">
        <v>2130</v>
      </c>
      <c r="C356" s="6">
        <v>44551</v>
      </c>
      <c r="D356" t="str">
        <f t="shared" si="20"/>
        <v>Dec</v>
      </c>
      <c r="E356" t="str">
        <f t="shared" si="21"/>
        <v>2021</v>
      </c>
      <c r="F356" t="s">
        <v>4</v>
      </c>
      <c r="G356" t="s">
        <v>152</v>
      </c>
      <c r="H356" t="s">
        <v>864</v>
      </c>
      <c r="I356">
        <v>160</v>
      </c>
      <c r="J356">
        <v>28</v>
      </c>
      <c r="K356">
        <f t="shared" si="22"/>
        <v>17.5</v>
      </c>
      <c r="L356" t="s">
        <v>1743</v>
      </c>
      <c r="M356" t="s">
        <v>3809</v>
      </c>
      <c r="N356" t="s">
        <v>1</v>
      </c>
      <c r="O356">
        <v>700084</v>
      </c>
      <c r="P356" t="s">
        <v>546</v>
      </c>
      <c r="Q356" t="s">
        <v>1768</v>
      </c>
      <c r="S356">
        <v>388.70400000000001</v>
      </c>
      <c r="T356">
        <v>6</v>
      </c>
      <c r="U356">
        <v>0.2</v>
      </c>
      <c r="V356">
        <v>-4.8587999999999996</v>
      </c>
      <c r="W356">
        <f t="shared" si="23"/>
        <v>65.593800000000002</v>
      </c>
      <c r="X356">
        <v>2</v>
      </c>
    </row>
    <row r="357" spans="1:24" x14ac:dyDescent="0.3">
      <c r="A357">
        <v>356</v>
      </c>
      <c r="B357" t="s">
        <v>2131</v>
      </c>
      <c r="C357" s="6">
        <v>44552</v>
      </c>
      <c r="D357" t="str">
        <f t="shared" si="20"/>
        <v>Dec</v>
      </c>
      <c r="E357" t="str">
        <f t="shared" si="21"/>
        <v>2021</v>
      </c>
      <c r="F357" t="s">
        <v>4</v>
      </c>
      <c r="G357" t="s">
        <v>152</v>
      </c>
      <c r="H357" t="s">
        <v>865</v>
      </c>
      <c r="I357">
        <v>140</v>
      </c>
      <c r="J357">
        <v>30</v>
      </c>
      <c r="K357">
        <f t="shared" si="22"/>
        <v>21.428571428571427</v>
      </c>
      <c r="L357" t="s">
        <v>1738</v>
      </c>
      <c r="M357" t="s">
        <v>3681</v>
      </c>
      <c r="N357" t="s">
        <v>1</v>
      </c>
      <c r="O357">
        <v>411038</v>
      </c>
      <c r="P357" t="s">
        <v>546</v>
      </c>
      <c r="Q357" t="s">
        <v>1754</v>
      </c>
      <c r="S357">
        <v>8.26</v>
      </c>
      <c r="T357">
        <v>2</v>
      </c>
      <c r="U357">
        <v>0.1</v>
      </c>
      <c r="V357">
        <v>3.7995999999999999</v>
      </c>
      <c r="W357">
        <f t="shared" si="23"/>
        <v>2.2302</v>
      </c>
      <c r="X357">
        <v>2</v>
      </c>
    </row>
    <row r="358" spans="1:24" x14ac:dyDescent="0.3">
      <c r="A358">
        <v>357</v>
      </c>
      <c r="B358" t="s">
        <v>2132</v>
      </c>
      <c r="C358" s="6">
        <v>44553</v>
      </c>
      <c r="D358" t="str">
        <f t="shared" si="20"/>
        <v>Dec</v>
      </c>
      <c r="E358" t="str">
        <f t="shared" si="21"/>
        <v>2021</v>
      </c>
      <c r="F358" t="s">
        <v>4</v>
      </c>
      <c r="G358" t="s">
        <v>152</v>
      </c>
      <c r="H358" t="s">
        <v>866</v>
      </c>
      <c r="I358">
        <v>240</v>
      </c>
      <c r="J358">
        <v>26</v>
      </c>
      <c r="K358">
        <f t="shared" si="22"/>
        <v>10.833333333333334</v>
      </c>
      <c r="L358" t="s">
        <v>1739</v>
      </c>
      <c r="M358" t="s">
        <v>3682</v>
      </c>
      <c r="N358" t="s">
        <v>1</v>
      </c>
      <c r="O358">
        <v>603209</v>
      </c>
      <c r="P358" t="s">
        <v>546</v>
      </c>
      <c r="Q358" t="s">
        <v>1765</v>
      </c>
      <c r="R358" t="s">
        <v>2</v>
      </c>
      <c r="S358">
        <v>17.04</v>
      </c>
      <c r="T358">
        <v>4</v>
      </c>
      <c r="U358">
        <v>0.1</v>
      </c>
      <c r="V358">
        <v>6.9863999999999997</v>
      </c>
      <c r="W358">
        <f t="shared" si="23"/>
        <v>2.5133999999999999</v>
      </c>
      <c r="X358">
        <v>4</v>
      </c>
    </row>
    <row r="359" spans="1:24" x14ac:dyDescent="0.3">
      <c r="A359">
        <v>358</v>
      </c>
      <c r="B359" t="s">
        <v>2133</v>
      </c>
      <c r="C359" s="6">
        <v>44554</v>
      </c>
      <c r="D359" t="str">
        <f t="shared" si="20"/>
        <v>Dec</v>
      </c>
      <c r="E359" t="str">
        <f t="shared" si="21"/>
        <v>2021</v>
      </c>
      <c r="F359" t="s">
        <v>4</v>
      </c>
      <c r="G359" t="s">
        <v>152</v>
      </c>
      <c r="H359" t="s">
        <v>867</v>
      </c>
      <c r="I359">
        <v>230</v>
      </c>
      <c r="J359">
        <v>10</v>
      </c>
      <c r="K359">
        <f t="shared" si="22"/>
        <v>4.3478260869565215</v>
      </c>
      <c r="L359" t="s">
        <v>1741</v>
      </c>
      <c r="M359" t="s">
        <v>3810</v>
      </c>
      <c r="N359" t="s">
        <v>1</v>
      </c>
      <c r="O359">
        <v>400081</v>
      </c>
      <c r="P359" t="s">
        <v>546</v>
      </c>
      <c r="Q359" t="s">
        <v>1761</v>
      </c>
      <c r="S359">
        <v>34.4</v>
      </c>
      <c r="T359">
        <v>5</v>
      </c>
      <c r="U359">
        <v>0.1</v>
      </c>
      <c r="V359">
        <v>15.824</v>
      </c>
      <c r="W359">
        <f t="shared" si="23"/>
        <v>3.7152000000000003</v>
      </c>
      <c r="X359">
        <v>2</v>
      </c>
    </row>
    <row r="360" spans="1:24" x14ac:dyDescent="0.3">
      <c r="A360">
        <v>359</v>
      </c>
      <c r="B360" t="s">
        <v>2134</v>
      </c>
      <c r="C360" s="6">
        <v>44555</v>
      </c>
      <c r="D360" t="str">
        <f t="shared" si="20"/>
        <v>Dec</v>
      </c>
      <c r="E360" t="str">
        <f t="shared" si="21"/>
        <v>2021</v>
      </c>
      <c r="F360" t="s">
        <v>4</v>
      </c>
      <c r="G360" t="s">
        <v>103</v>
      </c>
      <c r="H360" t="s">
        <v>734</v>
      </c>
      <c r="I360">
        <v>190</v>
      </c>
      <c r="J360">
        <v>20</v>
      </c>
      <c r="K360">
        <f t="shared" si="22"/>
        <v>10.526315789473683</v>
      </c>
      <c r="L360" t="s">
        <v>1736</v>
      </c>
      <c r="M360" t="s">
        <v>3673</v>
      </c>
      <c r="N360" t="s">
        <v>1</v>
      </c>
      <c r="O360">
        <v>682021</v>
      </c>
      <c r="P360" t="s">
        <v>546</v>
      </c>
      <c r="Q360" t="s">
        <v>1770</v>
      </c>
      <c r="R360" t="s">
        <v>2</v>
      </c>
      <c r="S360">
        <v>36.24</v>
      </c>
      <c r="T360">
        <v>5</v>
      </c>
      <c r="U360">
        <v>0.2</v>
      </c>
      <c r="V360">
        <v>11.324999999999999</v>
      </c>
      <c r="W360">
        <f t="shared" si="23"/>
        <v>4.9830000000000005</v>
      </c>
      <c r="X360">
        <v>2</v>
      </c>
    </row>
    <row r="361" spans="1:24" x14ac:dyDescent="0.3">
      <c r="A361">
        <v>360</v>
      </c>
      <c r="B361" t="s">
        <v>2135</v>
      </c>
      <c r="C361" s="6">
        <v>44556</v>
      </c>
      <c r="D361" t="str">
        <f t="shared" si="20"/>
        <v>Dec</v>
      </c>
      <c r="E361" t="str">
        <f t="shared" si="21"/>
        <v>2021</v>
      </c>
      <c r="F361" t="s">
        <v>5</v>
      </c>
      <c r="G361" t="s">
        <v>153</v>
      </c>
      <c r="H361" t="s">
        <v>868</v>
      </c>
      <c r="I361">
        <v>170</v>
      </c>
      <c r="J361">
        <v>12</v>
      </c>
      <c r="K361">
        <f t="shared" si="22"/>
        <v>7.0588235294117645</v>
      </c>
      <c r="L361" t="s">
        <v>1744</v>
      </c>
      <c r="M361" t="s">
        <v>3746</v>
      </c>
      <c r="N361" t="s">
        <v>1</v>
      </c>
      <c r="O361">
        <v>570017</v>
      </c>
      <c r="P361" t="s">
        <v>546</v>
      </c>
      <c r="Q361" t="s">
        <v>1756</v>
      </c>
      <c r="S361">
        <v>647.84</v>
      </c>
      <c r="T361">
        <v>8</v>
      </c>
      <c r="U361">
        <v>0.1</v>
      </c>
      <c r="V361">
        <v>168.4384</v>
      </c>
      <c r="W361">
        <f t="shared" si="23"/>
        <v>59.925200000000004</v>
      </c>
      <c r="X361">
        <v>2</v>
      </c>
    </row>
    <row r="362" spans="1:24" x14ac:dyDescent="0.3">
      <c r="A362">
        <v>361</v>
      </c>
      <c r="B362" t="s">
        <v>2136</v>
      </c>
      <c r="C362" s="6">
        <v>44557</v>
      </c>
      <c r="D362" t="str">
        <f t="shared" si="20"/>
        <v>Dec</v>
      </c>
      <c r="E362" t="str">
        <f t="shared" si="21"/>
        <v>2021</v>
      </c>
      <c r="F362" t="s">
        <v>5</v>
      </c>
      <c r="G362" t="s">
        <v>153</v>
      </c>
      <c r="H362" t="s">
        <v>869</v>
      </c>
      <c r="I362">
        <v>240</v>
      </c>
      <c r="J362">
        <v>30</v>
      </c>
      <c r="K362">
        <f t="shared" si="22"/>
        <v>12.5</v>
      </c>
      <c r="L362" t="s">
        <v>1740</v>
      </c>
      <c r="M362" t="s">
        <v>3811</v>
      </c>
      <c r="N362" t="s">
        <v>1</v>
      </c>
      <c r="O362">
        <v>560068</v>
      </c>
      <c r="P362" t="s">
        <v>546</v>
      </c>
      <c r="Q362" t="s">
        <v>1768</v>
      </c>
      <c r="S362">
        <v>20.7</v>
      </c>
      <c r="T362">
        <v>2</v>
      </c>
      <c r="U362">
        <v>0.1</v>
      </c>
      <c r="V362">
        <v>9.9359999999999999</v>
      </c>
      <c r="W362">
        <f t="shared" si="23"/>
        <v>5.3819999999999997</v>
      </c>
      <c r="X362">
        <v>2</v>
      </c>
    </row>
    <row r="363" spans="1:24" x14ac:dyDescent="0.3">
      <c r="A363">
        <v>362</v>
      </c>
      <c r="B363" t="s">
        <v>2137</v>
      </c>
      <c r="C363" s="6">
        <v>44558</v>
      </c>
      <c r="D363" t="str">
        <f t="shared" si="20"/>
        <v>Dec</v>
      </c>
      <c r="E363" t="str">
        <f t="shared" si="21"/>
        <v>2021</v>
      </c>
      <c r="F363" t="s">
        <v>4</v>
      </c>
      <c r="G363" t="s">
        <v>154</v>
      </c>
      <c r="H363" t="s">
        <v>869</v>
      </c>
      <c r="I363">
        <v>200</v>
      </c>
      <c r="J363">
        <v>18</v>
      </c>
      <c r="K363">
        <f t="shared" si="22"/>
        <v>9</v>
      </c>
      <c r="L363" t="s">
        <v>1742</v>
      </c>
      <c r="M363" t="s">
        <v>3656</v>
      </c>
      <c r="N363" t="s">
        <v>1</v>
      </c>
      <c r="O363">
        <v>855115</v>
      </c>
      <c r="P363" t="s">
        <v>546</v>
      </c>
      <c r="Q363" t="s">
        <v>1764</v>
      </c>
      <c r="S363">
        <v>20.7</v>
      </c>
      <c r="T363">
        <v>2</v>
      </c>
      <c r="U363">
        <v>0.1</v>
      </c>
      <c r="V363">
        <v>9.9359999999999999</v>
      </c>
      <c r="W363">
        <f t="shared" si="23"/>
        <v>5.3819999999999997</v>
      </c>
      <c r="X363">
        <v>5</v>
      </c>
    </row>
    <row r="364" spans="1:24" x14ac:dyDescent="0.3">
      <c r="A364">
        <v>363</v>
      </c>
      <c r="B364" t="s">
        <v>2138</v>
      </c>
      <c r="C364" s="6">
        <v>44559</v>
      </c>
      <c r="D364" t="str">
        <f t="shared" si="20"/>
        <v>Dec</v>
      </c>
      <c r="E364" t="str">
        <f t="shared" si="21"/>
        <v>2021</v>
      </c>
      <c r="F364" t="s">
        <v>4</v>
      </c>
      <c r="G364" t="s">
        <v>154</v>
      </c>
      <c r="H364" t="s">
        <v>870</v>
      </c>
      <c r="I364">
        <v>100</v>
      </c>
      <c r="J364">
        <v>10</v>
      </c>
      <c r="K364">
        <f t="shared" si="22"/>
        <v>10</v>
      </c>
      <c r="L364" t="s">
        <v>1739</v>
      </c>
      <c r="M364" t="s">
        <v>3637</v>
      </c>
      <c r="N364" t="s">
        <v>1</v>
      </c>
      <c r="O364">
        <v>500089</v>
      </c>
      <c r="P364" t="s">
        <v>546</v>
      </c>
      <c r="Q364" t="s">
        <v>1770</v>
      </c>
      <c r="S364">
        <v>488.64600000000002</v>
      </c>
      <c r="T364">
        <v>3</v>
      </c>
      <c r="U364">
        <v>0.11</v>
      </c>
      <c r="V364">
        <v>86.870400000000004</v>
      </c>
      <c r="W364">
        <f t="shared" si="23"/>
        <v>133.92519999999999</v>
      </c>
      <c r="X364">
        <v>4</v>
      </c>
    </row>
    <row r="365" spans="1:24" x14ac:dyDescent="0.3">
      <c r="A365">
        <v>364</v>
      </c>
      <c r="B365" t="s">
        <v>2139</v>
      </c>
      <c r="C365" s="6">
        <v>44560</v>
      </c>
      <c r="D365" t="str">
        <f t="shared" si="20"/>
        <v>Dec</v>
      </c>
      <c r="E365" t="str">
        <f t="shared" si="21"/>
        <v>2021</v>
      </c>
      <c r="F365" t="s">
        <v>4</v>
      </c>
      <c r="G365" t="s">
        <v>154</v>
      </c>
      <c r="H365" t="s">
        <v>871</v>
      </c>
      <c r="I365">
        <v>250</v>
      </c>
      <c r="J365">
        <v>10</v>
      </c>
      <c r="K365">
        <f t="shared" si="22"/>
        <v>4</v>
      </c>
      <c r="L365" t="s">
        <v>1738</v>
      </c>
      <c r="M365" t="s">
        <v>3812</v>
      </c>
      <c r="N365" t="s">
        <v>1</v>
      </c>
      <c r="O365">
        <v>695581</v>
      </c>
      <c r="P365" t="s">
        <v>546</v>
      </c>
      <c r="Q365" t="s">
        <v>1772</v>
      </c>
      <c r="S365">
        <v>5.56</v>
      </c>
      <c r="T365">
        <v>2</v>
      </c>
      <c r="U365">
        <v>0.1</v>
      </c>
      <c r="V365">
        <v>1.4456</v>
      </c>
      <c r="W365">
        <f t="shared" si="23"/>
        <v>2.0571999999999999</v>
      </c>
      <c r="X365">
        <v>5</v>
      </c>
    </row>
    <row r="366" spans="1:24" x14ac:dyDescent="0.3">
      <c r="A366">
        <v>365</v>
      </c>
      <c r="B366" t="s">
        <v>2140</v>
      </c>
      <c r="C366" s="6">
        <v>44561</v>
      </c>
      <c r="D366" t="str">
        <f t="shared" si="20"/>
        <v>Dec</v>
      </c>
      <c r="E366" t="str">
        <f t="shared" si="21"/>
        <v>2021</v>
      </c>
      <c r="F366" t="s">
        <v>4</v>
      </c>
      <c r="G366" t="s">
        <v>154</v>
      </c>
      <c r="H366" t="s">
        <v>872</v>
      </c>
      <c r="I366">
        <v>170</v>
      </c>
      <c r="J366">
        <v>16</v>
      </c>
      <c r="K366">
        <f t="shared" si="22"/>
        <v>9.4117647058823533</v>
      </c>
      <c r="L366" t="s">
        <v>1737</v>
      </c>
      <c r="M366" t="s">
        <v>3813</v>
      </c>
      <c r="N366" t="s">
        <v>1</v>
      </c>
      <c r="O366">
        <v>845438</v>
      </c>
      <c r="P366" t="s">
        <v>546</v>
      </c>
      <c r="Q366" t="s">
        <v>1769</v>
      </c>
      <c r="S366">
        <v>47.12</v>
      </c>
      <c r="T366">
        <v>8</v>
      </c>
      <c r="U366">
        <v>0.1</v>
      </c>
      <c r="V366">
        <v>20.732800000000001</v>
      </c>
      <c r="W366">
        <f t="shared" si="23"/>
        <v>3.2983999999999996</v>
      </c>
      <c r="X366">
        <v>3</v>
      </c>
    </row>
    <row r="367" spans="1:24" x14ac:dyDescent="0.3">
      <c r="A367">
        <v>366</v>
      </c>
      <c r="B367" t="s">
        <v>2141</v>
      </c>
      <c r="C367" s="6">
        <v>44562</v>
      </c>
      <c r="D367" t="str">
        <f t="shared" si="20"/>
        <v>Jan</v>
      </c>
      <c r="E367" t="str">
        <f t="shared" si="21"/>
        <v>2022</v>
      </c>
      <c r="F367" t="s">
        <v>4</v>
      </c>
      <c r="G367" t="s">
        <v>155</v>
      </c>
      <c r="H367" t="s">
        <v>592</v>
      </c>
      <c r="I367">
        <v>130</v>
      </c>
      <c r="J367">
        <v>12</v>
      </c>
      <c r="K367">
        <f t="shared" si="22"/>
        <v>9.2307692307692317</v>
      </c>
      <c r="L367" t="s">
        <v>1743</v>
      </c>
      <c r="M367" t="s">
        <v>3610</v>
      </c>
      <c r="N367" t="s">
        <v>1</v>
      </c>
      <c r="O367">
        <v>380015</v>
      </c>
      <c r="P367" t="s">
        <v>546</v>
      </c>
      <c r="Q367" t="s">
        <v>1754</v>
      </c>
      <c r="R367" t="s">
        <v>2</v>
      </c>
      <c r="S367">
        <v>211.96</v>
      </c>
      <c r="T367">
        <v>4</v>
      </c>
      <c r="U367">
        <v>0.1</v>
      </c>
      <c r="V367">
        <v>8.4784000000000006</v>
      </c>
      <c r="W367">
        <f t="shared" si="23"/>
        <v>50.870400000000004</v>
      </c>
      <c r="X367">
        <v>4</v>
      </c>
    </row>
    <row r="368" spans="1:24" x14ac:dyDescent="0.3">
      <c r="A368">
        <v>367</v>
      </c>
      <c r="B368" t="s">
        <v>2142</v>
      </c>
      <c r="C368" s="6">
        <v>44563</v>
      </c>
      <c r="D368" t="str">
        <f t="shared" si="20"/>
        <v>Jan</v>
      </c>
      <c r="E368" t="str">
        <f t="shared" si="21"/>
        <v>2022</v>
      </c>
      <c r="F368" t="s">
        <v>6</v>
      </c>
      <c r="G368" t="s">
        <v>156</v>
      </c>
      <c r="H368" t="s">
        <v>873</v>
      </c>
      <c r="I368">
        <v>240</v>
      </c>
      <c r="J368">
        <v>28</v>
      </c>
      <c r="K368">
        <f t="shared" si="22"/>
        <v>11.666666666666666</v>
      </c>
      <c r="L368" t="s">
        <v>1738</v>
      </c>
      <c r="M368" t="s">
        <v>3814</v>
      </c>
      <c r="N368" t="s">
        <v>1</v>
      </c>
      <c r="O368">
        <v>380015</v>
      </c>
      <c r="P368" t="s">
        <v>546</v>
      </c>
      <c r="Q368" t="s">
        <v>1758</v>
      </c>
      <c r="S368">
        <v>23.2</v>
      </c>
      <c r="T368">
        <v>4</v>
      </c>
      <c r="U368">
        <v>0.1</v>
      </c>
      <c r="V368">
        <v>10.44</v>
      </c>
      <c r="W368">
        <f t="shared" si="23"/>
        <v>3.19</v>
      </c>
      <c r="X368">
        <v>1</v>
      </c>
    </row>
    <row r="369" spans="1:24" x14ac:dyDescent="0.3">
      <c r="A369">
        <v>368</v>
      </c>
      <c r="B369" t="s">
        <v>2143</v>
      </c>
      <c r="C369" s="6">
        <v>44564</v>
      </c>
      <c r="D369" t="str">
        <f t="shared" si="20"/>
        <v>Jan</v>
      </c>
      <c r="E369" t="str">
        <f t="shared" si="21"/>
        <v>2022</v>
      </c>
      <c r="F369" t="s">
        <v>6</v>
      </c>
      <c r="G369" t="s">
        <v>156</v>
      </c>
      <c r="H369" t="s">
        <v>874</v>
      </c>
      <c r="I369">
        <v>130</v>
      </c>
      <c r="J369">
        <v>14</v>
      </c>
      <c r="K369">
        <f t="shared" si="22"/>
        <v>10.76923076923077</v>
      </c>
      <c r="L369" t="s">
        <v>1739</v>
      </c>
      <c r="M369" t="s">
        <v>3707</v>
      </c>
      <c r="N369" t="s">
        <v>1</v>
      </c>
      <c r="O369">
        <v>122017</v>
      </c>
      <c r="P369" t="s">
        <v>546</v>
      </c>
      <c r="Q369" t="s">
        <v>1758</v>
      </c>
      <c r="S369">
        <v>7.36</v>
      </c>
      <c r="T369">
        <v>2</v>
      </c>
      <c r="U369">
        <v>0.1</v>
      </c>
      <c r="V369">
        <v>0.1472</v>
      </c>
      <c r="W369">
        <f t="shared" si="23"/>
        <v>3.6064000000000003</v>
      </c>
      <c r="X369">
        <v>3</v>
      </c>
    </row>
    <row r="370" spans="1:24" x14ac:dyDescent="0.3">
      <c r="A370">
        <v>369</v>
      </c>
      <c r="B370" t="s">
        <v>2144</v>
      </c>
      <c r="C370" s="6">
        <v>44565</v>
      </c>
      <c r="D370" t="str">
        <f t="shared" si="20"/>
        <v>Jan</v>
      </c>
      <c r="E370" t="str">
        <f t="shared" si="21"/>
        <v>2022</v>
      </c>
      <c r="F370" t="s">
        <v>6</v>
      </c>
      <c r="G370" t="s">
        <v>156</v>
      </c>
      <c r="H370" t="s">
        <v>875</v>
      </c>
      <c r="I370">
        <v>170</v>
      </c>
      <c r="J370">
        <v>26</v>
      </c>
      <c r="K370">
        <f t="shared" si="22"/>
        <v>15.294117647058824</v>
      </c>
      <c r="L370" t="s">
        <v>1741</v>
      </c>
      <c r="M370" t="s">
        <v>3815</v>
      </c>
      <c r="N370" t="s">
        <v>1</v>
      </c>
      <c r="O370">
        <v>560083</v>
      </c>
      <c r="P370" t="s">
        <v>546</v>
      </c>
      <c r="Q370" t="s">
        <v>1759</v>
      </c>
      <c r="S370">
        <v>104.79</v>
      </c>
      <c r="T370">
        <v>7</v>
      </c>
      <c r="U370">
        <v>0.1</v>
      </c>
      <c r="V370">
        <v>29.341200000000001</v>
      </c>
      <c r="W370">
        <f t="shared" si="23"/>
        <v>10.778400000000001</v>
      </c>
      <c r="X370">
        <v>5</v>
      </c>
    </row>
    <row r="371" spans="1:24" x14ac:dyDescent="0.3">
      <c r="A371">
        <v>370</v>
      </c>
      <c r="B371" t="s">
        <v>2145</v>
      </c>
      <c r="C371" s="6">
        <v>44566</v>
      </c>
      <c r="D371" t="str">
        <f t="shared" si="20"/>
        <v>Jan</v>
      </c>
      <c r="E371" t="str">
        <f t="shared" si="21"/>
        <v>2022</v>
      </c>
      <c r="F371" t="s">
        <v>6</v>
      </c>
      <c r="G371" t="s">
        <v>156</v>
      </c>
      <c r="H371" t="s">
        <v>584</v>
      </c>
      <c r="I371">
        <v>130</v>
      </c>
      <c r="J371">
        <v>6</v>
      </c>
      <c r="K371">
        <f t="shared" si="22"/>
        <v>4.6153846153846159</v>
      </c>
      <c r="L371" t="s">
        <v>1736</v>
      </c>
      <c r="M371" t="s">
        <v>3653</v>
      </c>
      <c r="N371" t="s">
        <v>1</v>
      </c>
      <c r="O371">
        <v>735214</v>
      </c>
      <c r="P371" t="s">
        <v>546</v>
      </c>
      <c r="Q371" t="s">
        <v>1756</v>
      </c>
      <c r="S371">
        <v>1043.92</v>
      </c>
      <c r="T371">
        <v>4</v>
      </c>
      <c r="U371">
        <v>0.1</v>
      </c>
      <c r="V371">
        <v>271.41919999999999</v>
      </c>
      <c r="W371">
        <f t="shared" si="23"/>
        <v>193.12520000000001</v>
      </c>
      <c r="X371">
        <v>2</v>
      </c>
    </row>
    <row r="372" spans="1:24" x14ac:dyDescent="0.3">
      <c r="A372">
        <v>371</v>
      </c>
      <c r="B372" t="s">
        <v>2146</v>
      </c>
      <c r="C372" s="6">
        <v>44567</v>
      </c>
      <c r="D372" t="str">
        <f t="shared" si="20"/>
        <v>Jan</v>
      </c>
      <c r="E372" t="str">
        <f t="shared" si="21"/>
        <v>2022</v>
      </c>
      <c r="F372" t="s">
        <v>4</v>
      </c>
      <c r="G372" t="s">
        <v>157</v>
      </c>
      <c r="H372" t="s">
        <v>876</v>
      </c>
      <c r="I372">
        <v>110</v>
      </c>
      <c r="J372">
        <v>18</v>
      </c>
      <c r="K372">
        <f t="shared" si="22"/>
        <v>16.363636363636363</v>
      </c>
      <c r="L372" t="s">
        <v>1744</v>
      </c>
      <c r="M372" t="s">
        <v>3585</v>
      </c>
      <c r="N372" t="s">
        <v>1</v>
      </c>
      <c r="O372">
        <v>494441</v>
      </c>
      <c r="P372" t="s">
        <v>546</v>
      </c>
      <c r="Q372" t="s">
        <v>1756</v>
      </c>
      <c r="S372">
        <v>25.92</v>
      </c>
      <c r="T372">
        <v>5</v>
      </c>
      <c r="U372">
        <v>0.2</v>
      </c>
      <c r="V372">
        <v>9.3960000000000008</v>
      </c>
      <c r="W372">
        <f t="shared" si="23"/>
        <v>3.3048000000000002</v>
      </c>
      <c r="X372">
        <v>1</v>
      </c>
    </row>
    <row r="373" spans="1:24" x14ac:dyDescent="0.3">
      <c r="A373">
        <v>372</v>
      </c>
      <c r="B373" t="s">
        <v>2147</v>
      </c>
      <c r="C373" s="6">
        <v>44568</v>
      </c>
      <c r="D373" t="str">
        <f t="shared" si="20"/>
        <v>Jan</v>
      </c>
      <c r="E373" t="str">
        <f t="shared" si="21"/>
        <v>2022</v>
      </c>
      <c r="F373" t="s">
        <v>4</v>
      </c>
      <c r="G373" t="s">
        <v>157</v>
      </c>
      <c r="H373" t="s">
        <v>877</v>
      </c>
      <c r="I373">
        <v>100</v>
      </c>
      <c r="J373">
        <v>6</v>
      </c>
      <c r="K373">
        <f t="shared" si="22"/>
        <v>6</v>
      </c>
      <c r="L373" t="s">
        <v>1740</v>
      </c>
      <c r="M373" t="s">
        <v>3714</v>
      </c>
      <c r="N373" t="s">
        <v>1</v>
      </c>
      <c r="O373">
        <v>602117</v>
      </c>
      <c r="P373" t="s">
        <v>546</v>
      </c>
      <c r="Q373" t="s">
        <v>1760</v>
      </c>
      <c r="R373" t="s">
        <v>2</v>
      </c>
      <c r="S373">
        <v>53.423999999999999</v>
      </c>
      <c r="T373">
        <v>3</v>
      </c>
      <c r="U373">
        <v>0.2</v>
      </c>
      <c r="V373">
        <v>4.6745999999999999</v>
      </c>
      <c r="W373">
        <f t="shared" si="23"/>
        <v>16.2498</v>
      </c>
      <c r="X373">
        <v>5</v>
      </c>
    </row>
    <row r="374" spans="1:24" x14ac:dyDescent="0.3">
      <c r="A374">
        <v>373</v>
      </c>
      <c r="B374" t="s">
        <v>2148</v>
      </c>
      <c r="C374" s="6">
        <v>44569</v>
      </c>
      <c r="D374" t="str">
        <f t="shared" si="20"/>
        <v>Jan</v>
      </c>
      <c r="E374" t="str">
        <f t="shared" si="21"/>
        <v>2022</v>
      </c>
      <c r="F374" t="s">
        <v>4</v>
      </c>
      <c r="G374" t="s">
        <v>158</v>
      </c>
      <c r="H374" t="s">
        <v>851</v>
      </c>
      <c r="I374">
        <v>210</v>
      </c>
      <c r="J374">
        <v>18</v>
      </c>
      <c r="K374">
        <f t="shared" si="22"/>
        <v>8.5714285714285712</v>
      </c>
      <c r="L374" t="s">
        <v>1742</v>
      </c>
      <c r="M374" t="s">
        <v>3816</v>
      </c>
      <c r="N374" t="s">
        <v>1</v>
      </c>
      <c r="O374">
        <v>691583</v>
      </c>
      <c r="P374" t="s">
        <v>546</v>
      </c>
      <c r="Q374" t="s">
        <v>1754</v>
      </c>
      <c r="R374" t="s">
        <v>2</v>
      </c>
      <c r="S374">
        <v>8.16</v>
      </c>
      <c r="T374">
        <v>5</v>
      </c>
      <c r="U374">
        <v>0.7</v>
      </c>
      <c r="V374">
        <v>-5.7119999999999997</v>
      </c>
      <c r="W374">
        <f t="shared" si="23"/>
        <v>2.7744</v>
      </c>
      <c r="X374">
        <v>1</v>
      </c>
    </row>
    <row r="375" spans="1:24" x14ac:dyDescent="0.3">
      <c r="A375">
        <v>374</v>
      </c>
      <c r="B375" t="s">
        <v>2149</v>
      </c>
      <c r="C375" s="6">
        <v>44570</v>
      </c>
      <c r="D375" t="str">
        <f t="shared" si="20"/>
        <v>Jan</v>
      </c>
      <c r="E375" t="str">
        <f t="shared" si="21"/>
        <v>2022</v>
      </c>
      <c r="F375" t="s">
        <v>4</v>
      </c>
      <c r="G375" t="s">
        <v>158</v>
      </c>
      <c r="H375" t="s">
        <v>878</v>
      </c>
      <c r="I375">
        <v>210</v>
      </c>
      <c r="J375">
        <v>6</v>
      </c>
      <c r="K375">
        <f t="shared" si="22"/>
        <v>2.8571428571428572</v>
      </c>
      <c r="L375" t="s">
        <v>1739</v>
      </c>
      <c r="M375" t="s">
        <v>3657</v>
      </c>
      <c r="N375" t="s">
        <v>1</v>
      </c>
      <c r="O375">
        <v>691583</v>
      </c>
      <c r="P375" t="s">
        <v>546</v>
      </c>
      <c r="Q375" t="s">
        <v>1776</v>
      </c>
      <c r="S375">
        <v>1023.936</v>
      </c>
      <c r="T375">
        <v>8</v>
      </c>
      <c r="U375">
        <v>0.2</v>
      </c>
      <c r="V375">
        <v>179.18879999999999</v>
      </c>
      <c r="W375">
        <f t="shared" si="23"/>
        <v>105.5934</v>
      </c>
      <c r="X375">
        <v>5</v>
      </c>
    </row>
    <row r="376" spans="1:24" x14ac:dyDescent="0.3">
      <c r="A376">
        <v>375</v>
      </c>
      <c r="B376" t="s">
        <v>2150</v>
      </c>
      <c r="C376" s="6">
        <v>44571</v>
      </c>
      <c r="D376" t="str">
        <f t="shared" si="20"/>
        <v>Jan</v>
      </c>
      <c r="E376" t="str">
        <f t="shared" si="21"/>
        <v>2022</v>
      </c>
      <c r="F376" t="s">
        <v>4</v>
      </c>
      <c r="G376" t="s">
        <v>158</v>
      </c>
      <c r="H376" t="s">
        <v>879</v>
      </c>
      <c r="I376">
        <v>210</v>
      </c>
      <c r="J376">
        <v>14</v>
      </c>
      <c r="K376">
        <f t="shared" si="22"/>
        <v>6.666666666666667</v>
      </c>
      <c r="L376" t="s">
        <v>1738</v>
      </c>
      <c r="M376" t="s">
        <v>3817</v>
      </c>
      <c r="N376" t="s">
        <v>1</v>
      </c>
      <c r="O376">
        <v>492112</v>
      </c>
      <c r="P376" t="s">
        <v>546</v>
      </c>
      <c r="Q376" t="s">
        <v>1765</v>
      </c>
      <c r="R376" t="s">
        <v>2</v>
      </c>
      <c r="S376">
        <v>9.24</v>
      </c>
      <c r="T376">
        <v>1</v>
      </c>
      <c r="U376">
        <v>0.2</v>
      </c>
      <c r="V376">
        <v>0.92400000000000004</v>
      </c>
      <c r="W376">
        <f t="shared" si="23"/>
        <v>8.3160000000000007</v>
      </c>
      <c r="X376">
        <v>3</v>
      </c>
    </row>
    <row r="377" spans="1:24" x14ac:dyDescent="0.3">
      <c r="A377">
        <v>376</v>
      </c>
      <c r="B377" t="s">
        <v>2151</v>
      </c>
      <c r="C377" s="6">
        <v>44572</v>
      </c>
      <c r="D377" t="str">
        <f t="shared" si="20"/>
        <v>Jan</v>
      </c>
      <c r="E377" t="str">
        <f t="shared" si="21"/>
        <v>2022</v>
      </c>
      <c r="F377" t="s">
        <v>4</v>
      </c>
      <c r="G377" t="s">
        <v>158</v>
      </c>
      <c r="H377" t="s">
        <v>880</v>
      </c>
      <c r="I377">
        <v>150</v>
      </c>
      <c r="J377">
        <v>24</v>
      </c>
      <c r="K377">
        <f t="shared" si="22"/>
        <v>16</v>
      </c>
      <c r="L377" t="s">
        <v>1737</v>
      </c>
      <c r="M377" t="s">
        <v>3818</v>
      </c>
      <c r="N377" t="s">
        <v>1</v>
      </c>
      <c r="O377">
        <v>600117</v>
      </c>
      <c r="P377" t="s">
        <v>546</v>
      </c>
      <c r="Q377" t="s">
        <v>1772</v>
      </c>
      <c r="R377" t="s">
        <v>2</v>
      </c>
      <c r="S377">
        <v>479.04</v>
      </c>
      <c r="T377">
        <v>10</v>
      </c>
      <c r="U377">
        <v>0.2</v>
      </c>
      <c r="V377">
        <v>-29.94</v>
      </c>
      <c r="W377">
        <f t="shared" si="23"/>
        <v>50.898000000000003</v>
      </c>
      <c r="X377">
        <v>2</v>
      </c>
    </row>
    <row r="378" spans="1:24" x14ac:dyDescent="0.3">
      <c r="A378">
        <v>377</v>
      </c>
      <c r="B378" t="s">
        <v>2152</v>
      </c>
      <c r="C378" s="6">
        <v>44573</v>
      </c>
      <c r="D378" t="str">
        <f t="shared" si="20"/>
        <v>Jan</v>
      </c>
      <c r="E378" t="str">
        <f t="shared" si="21"/>
        <v>2022</v>
      </c>
      <c r="F378" t="s">
        <v>5</v>
      </c>
      <c r="G378" t="s">
        <v>159</v>
      </c>
      <c r="H378" t="s">
        <v>881</v>
      </c>
      <c r="I378">
        <v>170</v>
      </c>
      <c r="J378">
        <v>16</v>
      </c>
      <c r="K378">
        <f t="shared" si="22"/>
        <v>9.4117647058823533</v>
      </c>
      <c r="L378" t="s">
        <v>1743</v>
      </c>
      <c r="M378" t="s">
        <v>3819</v>
      </c>
      <c r="N378" t="s">
        <v>1</v>
      </c>
      <c r="O378">
        <v>500005</v>
      </c>
      <c r="P378" t="s">
        <v>546</v>
      </c>
      <c r="Q378" t="s">
        <v>1776</v>
      </c>
      <c r="S378">
        <v>99.135999999999996</v>
      </c>
      <c r="T378">
        <v>4</v>
      </c>
      <c r="U378">
        <v>0.2</v>
      </c>
      <c r="V378">
        <v>30.98</v>
      </c>
      <c r="W378">
        <f t="shared" si="23"/>
        <v>17.038999999999998</v>
      </c>
      <c r="X378">
        <v>2</v>
      </c>
    </row>
    <row r="379" spans="1:24" x14ac:dyDescent="0.3">
      <c r="A379">
        <v>378</v>
      </c>
      <c r="B379" t="s">
        <v>2153</v>
      </c>
      <c r="C379" s="6">
        <v>44574</v>
      </c>
      <c r="D379" t="str">
        <f t="shared" si="20"/>
        <v>Jan</v>
      </c>
      <c r="E379" t="str">
        <f t="shared" si="21"/>
        <v>2022</v>
      </c>
      <c r="F379" t="s">
        <v>4</v>
      </c>
      <c r="G379" t="s">
        <v>160</v>
      </c>
      <c r="H379" t="s">
        <v>882</v>
      </c>
      <c r="I379">
        <v>140</v>
      </c>
      <c r="J379">
        <v>22</v>
      </c>
      <c r="K379">
        <f t="shared" si="22"/>
        <v>15.714285714285714</v>
      </c>
      <c r="L379" t="s">
        <v>1738</v>
      </c>
      <c r="M379" t="s">
        <v>3662</v>
      </c>
      <c r="N379" t="s">
        <v>1</v>
      </c>
      <c r="O379">
        <v>560076</v>
      </c>
      <c r="P379" t="s">
        <v>546</v>
      </c>
      <c r="Q379" t="s">
        <v>1776</v>
      </c>
      <c r="R379" t="s">
        <v>2</v>
      </c>
      <c r="S379">
        <v>1488.424</v>
      </c>
      <c r="T379">
        <v>7</v>
      </c>
      <c r="U379">
        <v>0.3</v>
      </c>
      <c r="V379">
        <v>-297.6848</v>
      </c>
      <c r="W379">
        <f t="shared" si="23"/>
        <v>255.1584</v>
      </c>
      <c r="X379">
        <v>5</v>
      </c>
    </row>
    <row r="380" spans="1:24" x14ac:dyDescent="0.3">
      <c r="A380">
        <v>379</v>
      </c>
      <c r="B380" t="s">
        <v>2154</v>
      </c>
      <c r="C380" s="6">
        <v>44575</v>
      </c>
      <c r="D380" t="str">
        <f t="shared" si="20"/>
        <v>Jan</v>
      </c>
      <c r="E380" t="str">
        <f t="shared" si="21"/>
        <v>2022</v>
      </c>
      <c r="F380" t="s">
        <v>4</v>
      </c>
      <c r="G380" t="s">
        <v>161</v>
      </c>
      <c r="H380" t="s">
        <v>883</v>
      </c>
      <c r="I380">
        <v>150</v>
      </c>
      <c r="J380">
        <v>18</v>
      </c>
      <c r="K380">
        <f t="shared" si="22"/>
        <v>12</v>
      </c>
      <c r="L380" t="s">
        <v>1739</v>
      </c>
      <c r="M380" t="s">
        <v>3617</v>
      </c>
      <c r="N380" t="s">
        <v>1</v>
      </c>
      <c r="O380">
        <v>737126</v>
      </c>
      <c r="P380" t="s">
        <v>546</v>
      </c>
      <c r="Q380" t="s">
        <v>1759</v>
      </c>
      <c r="S380">
        <v>8.6519999999999992</v>
      </c>
      <c r="T380">
        <v>3</v>
      </c>
      <c r="U380">
        <v>0.8</v>
      </c>
      <c r="V380">
        <v>-20.3322</v>
      </c>
      <c r="W380">
        <f t="shared" si="23"/>
        <v>9.6614000000000004</v>
      </c>
      <c r="X380">
        <v>3</v>
      </c>
    </row>
    <row r="381" spans="1:24" x14ac:dyDescent="0.3">
      <c r="A381">
        <v>380</v>
      </c>
      <c r="B381" t="s">
        <v>2155</v>
      </c>
      <c r="C381" s="6">
        <v>44576</v>
      </c>
      <c r="D381" t="str">
        <f t="shared" si="20"/>
        <v>Jan</v>
      </c>
      <c r="E381" t="str">
        <f t="shared" si="21"/>
        <v>2022</v>
      </c>
      <c r="F381" t="s">
        <v>4</v>
      </c>
      <c r="G381" t="s">
        <v>161</v>
      </c>
      <c r="H381" t="s">
        <v>884</v>
      </c>
      <c r="I381">
        <v>150</v>
      </c>
      <c r="J381">
        <v>6</v>
      </c>
      <c r="K381">
        <f t="shared" si="22"/>
        <v>4</v>
      </c>
      <c r="L381" t="s">
        <v>1741</v>
      </c>
      <c r="M381" t="s">
        <v>3820</v>
      </c>
      <c r="O381">
        <v>737126</v>
      </c>
      <c r="P381" t="s">
        <v>546</v>
      </c>
      <c r="Q381" t="s">
        <v>1754</v>
      </c>
      <c r="S381">
        <v>23.832000000000001</v>
      </c>
      <c r="T381">
        <v>3</v>
      </c>
      <c r="U381">
        <v>0.2</v>
      </c>
      <c r="V381">
        <v>2.6810999999999998</v>
      </c>
      <c r="W381">
        <f t="shared" si="23"/>
        <v>7.0503</v>
      </c>
      <c r="X381">
        <v>2</v>
      </c>
    </row>
    <row r="382" spans="1:24" x14ac:dyDescent="0.3">
      <c r="A382">
        <v>381</v>
      </c>
      <c r="B382" t="s">
        <v>2156</v>
      </c>
      <c r="C382" s="6">
        <v>44577</v>
      </c>
      <c r="D382" t="str">
        <f t="shared" si="20"/>
        <v>Jan</v>
      </c>
      <c r="E382" t="str">
        <f t="shared" si="21"/>
        <v>2022</v>
      </c>
      <c r="F382" t="s">
        <v>4</v>
      </c>
      <c r="G382" t="s">
        <v>161</v>
      </c>
      <c r="H382" t="s">
        <v>885</v>
      </c>
      <c r="I382">
        <v>250</v>
      </c>
      <c r="J382">
        <v>14</v>
      </c>
      <c r="K382">
        <f t="shared" si="22"/>
        <v>5.6000000000000005</v>
      </c>
      <c r="L382" t="s">
        <v>1736</v>
      </c>
      <c r="M382" t="s">
        <v>3821</v>
      </c>
      <c r="N382" t="s">
        <v>1</v>
      </c>
      <c r="O382">
        <v>380058</v>
      </c>
      <c r="P382" t="s">
        <v>546</v>
      </c>
      <c r="Q382" t="s">
        <v>1763</v>
      </c>
      <c r="R382" t="s">
        <v>2</v>
      </c>
      <c r="S382">
        <v>12.176</v>
      </c>
      <c r="T382">
        <v>4</v>
      </c>
      <c r="U382">
        <v>0.8</v>
      </c>
      <c r="V382">
        <v>-18.872800000000002</v>
      </c>
      <c r="W382">
        <f t="shared" si="23"/>
        <v>7.7622</v>
      </c>
      <c r="X382">
        <v>3</v>
      </c>
    </row>
    <row r="383" spans="1:24" x14ac:dyDescent="0.3">
      <c r="A383">
        <v>382</v>
      </c>
      <c r="B383" t="s">
        <v>2157</v>
      </c>
      <c r="C383" s="6">
        <v>44578</v>
      </c>
      <c r="D383" t="str">
        <f t="shared" si="20"/>
        <v>Jan</v>
      </c>
      <c r="E383" t="str">
        <f t="shared" si="21"/>
        <v>2022</v>
      </c>
      <c r="F383" t="s">
        <v>5</v>
      </c>
      <c r="G383" t="s">
        <v>162</v>
      </c>
      <c r="H383" t="s">
        <v>886</v>
      </c>
      <c r="I383">
        <v>120</v>
      </c>
      <c r="J383">
        <v>30</v>
      </c>
      <c r="K383">
        <f t="shared" si="22"/>
        <v>25</v>
      </c>
      <c r="L383" t="s">
        <v>1744</v>
      </c>
      <c r="M383" t="s">
        <v>3822</v>
      </c>
      <c r="N383" t="s">
        <v>1</v>
      </c>
      <c r="O383">
        <v>249403</v>
      </c>
      <c r="P383" t="s">
        <v>546</v>
      </c>
      <c r="Q383" t="s">
        <v>1767</v>
      </c>
      <c r="S383">
        <v>50.96</v>
      </c>
      <c r="T383">
        <v>7</v>
      </c>
      <c r="U383">
        <v>0.1</v>
      </c>
      <c r="V383">
        <v>25.48</v>
      </c>
      <c r="W383">
        <f t="shared" si="23"/>
        <v>3.64</v>
      </c>
      <c r="X383">
        <v>5</v>
      </c>
    </row>
    <row r="384" spans="1:24" x14ac:dyDescent="0.3">
      <c r="A384">
        <v>383</v>
      </c>
      <c r="B384" t="s">
        <v>2158</v>
      </c>
      <c r="C384" s="6">
        <v>44579</v>
      </c>
      <c r="D384" t="str">
        <f t="shared" si="20"/>
        <v>Jan</v>
      </c>
      <c r="E384" t="str">
        <f t="shared" si="21"/>
        <v>2022</v>
      </c>
      <c r="F384" t="s">
        <v>5</v>
      </c>
      <c r="G384" t="s">
        <v>162</v>
      </c>
      <c r="H384" t="s">
        <v>887</v>
      </c>
      <c r="I384">
        <v>160</v>
      </c>
      <c r="J384">
        <v>16</v>
      </c>
      <c r="K384">
        <f t="shared" si="22"/>
        <v>10</v>
      </c>
      <c r="L384" t="s">
        <v>1740</v>
      </c>
      <c r="M384" t="s">
        <v>3823</v>
      </c>
      <c r="N384" t="s">
        <v>1</v>
      </c>
      <c r="O384">
        <v>400074</v>
      </c>
      <c r="P384" t="s">
        <v>546</v>
      </c>
      <c r="Q384" t="s">
        <v>1761</v>
      </c>
      <c r="R384" t="s">
        <v>2</v>
      </c>
      <c r="S384">
        <v>49.536000000000001</v>
      </c>
      <c r="T384">
        <v>3</v>
      </c>
      <c r="U384">
        <v>0.2</v>
      </c>
      <c r="V384">
        <v>17.337599999999998</v>
      </c>
      <c r="W384">
        <f t="shared" si="23"/>
        <v>10.732800000000003</v>
      </c>
      <c r="X384">
        <v>2</v>
      </c>
    </row>
    <row r="385" spans="1:24" x14ac:dyDescent="0.3">
      <c r="A385">
        <v>384</v>
      </c>
      <c r="B385" t="s">
        <v>2159</v>
      </c>
      <c r="C385" s="6">
        <v>44580</v>
      </c>
      <c r="D385" t="str">
        <f t="shared" si="20"/>
        <v>Jan</v>
      </c>
      <c r="E385" t="str">
        <f t="shared" si="21"/>
        <v>2022</v>
      </c>
      <c r="F385" t="s">
        <v>3</v>
      </c>
      <c r="G385" t="s">
        <v>163</v>
      </c>
      <c r="H385" t="s">
        <v>888</v>
      </c>
      <c r="I385">
        <v>100</v>
      </c>
      <c r="J385">
        <v>26</v>
      </c>
      <c r="K385">
        <f t="shared" si="22"/>
        <v>26</v>
      </c>
      <c r="L385" t="s">
        <v>1742</v>
      </c>
      <c r="M385" t="s">
        <v>3687</v>
      </c>
      <c r="N385" t="s">
        <v>1</v>
      </c>
      <c r="O385">
        <v>400074</v>
      </c>
      <c r="P385" t="s">
        <v>546</v>
      </c>
      <c r="Q385" t="s">
        <v>1759</v>
      </c>
      <c r="R385" t="s">
        <v>2</v>
      </c>
      <c r="S385">
        <v>41.9</v>
      </c>
      <c r="T385">
        <v>2</v>
      </c>
      <c r="U385">
        <v>0.1</v>
      </c>
      <c r="V385">
        <v>8.7989999999999995</v>
      </c>
      <c r="W385">
        <f t="shared" si="23"/>
        <v>16.5505</v>
      </c>
      <c r="X385">
        <v>5</v>
      </c>
    </row>
    <row r="386" spans="1:24" x14ac:dyDescent="0.3">
      <c r="A386">
        <v>385</v>
      </c>
      <c r="B386" t="s">
        <v>2160</v>
      </c>
      <c r="C386" s="6">
        <v>44581</v>
      </c>
      <c r="D386" t="str">
        <f t="shared" si="20"/>
        <v>Jan</v>
      </c>
      <c r="E386" t="str">
        <f t="shared" si="21"/>
        <v>2022</v>
      </c>
      <c r="F386" t="s">
        <v>4</v>
      </c>
      <c r="G386" t="s">
        <v>164</v>
      </c>
      <c r="H386" t="s">
        <v>889</v>
      </c>
      <c r="I386">
        <v>230</v>
      </c>
      <c r="J386">
        <v>18</v>
      </c>
      <c r="K386">
        <f t="shared" si="22"/>
        <v>7.8260869565217401</v>
      </c>
      <c r="L386" t="s">
        <v>1739</v>
      </c>
      <c r="M386" t="s">
        <v>3608</v>
      </c>
      <c r="N386" t="s">
        <v>1</v>
      </c>
      <c r="O386">
        <v>400074</v>
      </c>
      <c r="P386" t="s">
        <v>546</v>
      </c>
      <c r="Q386" t="s">
        <v>1768</v>
      </c>
      <c r="R386" t="s">
        <v>2</v>
      </c>
      <c r="S386">
        <v>375.45749999999998</v>
      </c>
      <c r="T386">
        <v>3</v>
      </c>
      <c r="U386">
        <v>0.45</v>
      </c>
      <c r="V386">
        <v>-157.0095</v>
      </c>
      <c r="W386">
        <f t="shared" si="23"/>
        <v>177.489</v>
      </c>
      <c r="X386">
        <v>5</v>
      </c>
    </row>
    <row r="387" spans="1:24" x14ac:dyDescent="0.3">
      <c r="A387">
        <v>386</v>
      </c>
      <c r="B387" t="s">
        <v>2161</v>
      </c>
      <c r="C387" s="6">
        <v>44582</v>
      </c>
      <c r="D387" t="str">
        <f t="shared" ref="D387:D450" si="24">TEXT(C387,"Mmm")</f>
        <v>Jan</v>
      </c>
      <c r="E387" t="str">
        <f t="shared" ref="E387:E450" si="25">TEXT(C387,"YYYY")</f>
        <v>2022</v>
      </c>
      <c r="F387" t="s">
        <v>4</v>
      </c>
      <c r="G387" t="s">
        <v>164</v>
      </c>
      <c r="H387" t="s">
        <v>890</v>
      </c>
      <c r="I387">
        <v>110</v>
      </c>
      <c r="J387">
        <v>18</v>
      </c>
      <c r="K387">
        <f t="shared" ref="K387:K450" si="26">(J387/I387)*100</f>
        <v>16.363636363636363</v>
      </c>
      <c r="L387" t="s">
        <v>1738</v>
      </c>
      <c r="M387" t="s">
        <v>3786</v>
      </c>
      <c r="N387" t="s">
        <v>1</v>
      </c>
      <c r="O387">
        <v>600083</v>
      </c>
      <c r="P387" t="s">
        <v>546</v>
      </c>
      <c r="Q387" t="s">
        <v>1763</v>
      </c>
      <c r="S387">
        <v>83.975999999999999</v>
      </c>
      <c r="T387">
        <v>3</v>
      </c>
      <c r="U387">
        <v>0.2</v>
      </c>
      <c r="V387">
        <v>-1.0497000000000001</v>
      </c>
      <c r="W387">
        <f t="shared" ref="W387:W450" si="27">(S387-V387)/T387</f>
        <v>28.341899999999999</v>
      </c>
      <c r="X387">
        <v>2</v>
      </c>
    </row>
    <row r="388" spans="1:24" x14ac:dyDescent="0.3">
      <c r="A388">
        <v>387</v>
      </c>
      <c r="B388" t="s">
        <v>2162</v>
      </c>
      <c r="C388" s="6">
        <v>44583</v>
      </c>
      <c r="D388" t="str">
        <f t="shared" si="24"/>
        <v>Jan</v>
      </c>
      <c r="E388" t="str">
        <f t="shared" si="25"/>
        <v>2022</v>
      </c>
      <c r="F388" t="s">
        <v>4</v>
      </c>
      <c r="G388" t="s">
        <v>165</v>
      </c>
      <c r="H388" t="s">
        <v>891</v>
      </c>
      <c r="I388">
        <v>150</v>
      </c>
      <c r="J388">
        <v>22</v>
      </c>
      <c r="K388">
        <f t="shared" si="26"/>
        <v>14.666666666666666</v>
      </c>
      <c r="L388" t="s">
        <v>1743</v>
      </c>
      <c r="M388" t="s">
        <v>3690</v>
      </c>
      <c r="N388" t="s">
        <v>1</v>
      </c>
      <c r="O388">
        <v>401501</v>
      </c>
      <c r="P388" t="s">
        <v>546</v>
      </c>
      <c r="Q388" t="s">
        <v>1761</v>
      </c>
      <c r="R388" t="s">
        <v>2</v>
      </c>
      <c r="S388">
        <v>482.34</v>
      </c>
      <c r="T388">
        <v>4</v>
      </c>
      <c r="U388">
        <v>0.7</v>
      </c>
      <c r="V388">
        <v>-337.63799999999998</v>
      </c>
      <c r="W388">
        <f t="shared" si="27"/>
        <v>204.99449999999999</v>
      </c>
      <c r="X388">
        <v>1</v>
      </c>
    </row>
    <row r="389" spans="1:24" x14ac:dyDescent="0.3">
      <c r="A389">
        <v>388</v>
      </c>
      <c r="B389" t="s">
        <v>2163</v>
      </c>
      <c r="C389" s="6">
        <v>44584</v>
      </c>
      <c r="D389" t="str">
        <f t="shared" si="24"/>
        <v>Jan</v>
      </c>
      <c r="E389" t="str">
        <f t="shared" si="25"/>
        <v>2022</v>
      </c>
      <c r="F389" t="s">
        <v>4</v>
      </c>
      <c r="G389" t="s">
        <v>165</v>
      </c>
      <c r="H389" t="s">
        <v>892</v>
      </c>
      <c r="I389">
        <v>130</v>
      </c>
      <c r="J389">
        <v>18</v>
      </c>
      <c r="K389">
        <f t="shared" si="26"/>
        <v>13.846153846153847</v>
      </c>
      <c r="L389" t="s">
        <v>1737</v>
      </c>
      <c r="M389" t="s">
        <v>3824</v>
      </c>
      <c r="N389" t="s">
        <v>1</v>
      </c>
      <c r="O389">
        <v>570004</v>
      </c>
      <c r="P389" t="s">
        <v>546</v>
      </c>
      <c r="Q389" t="s">
        <v>1767</v>
      </c>
      <c r="S389">
        <v>2.96</v>
      </c>
      <c r="T389">
        <v>1</v>
      </c>
      <c r="U389">
        <v>0.2</v>
      </c>
      <c r="V389">
        <v>0.77700000000000002</v>
      </c>
      <c r="W389">
        <f t="shared" si="27"/>
        <v>2.1829999999999998</v>
      </c>
      <c r="X389">
        <v>3</v>
      </c>
    </row>
    <row r="390" spans="1:24" x14ac:dyDescent="0.3">
      <c r="A390">
        <v>389</v>
      </c>
      <c r="B390" t="s">
        <v>2164</v>
      </c>
      <c r="C390" s="6">
        <v>44585</v>
      </c>
      <c r="D390" t="str">
        <f t="shared" si="24"/>
        <v>Jan</v>
      </c>
      <c r="E390" t="str">
        <f t="shared" si="25"/>
        <v>2022</v>
      </c>
      <c r="F390" t="s">
        <v>5</v>
      </c>
      <c r="G390" t="s">
        <v>166</v>
      </c>
      <c r="H390" t="s">
        <v>893</v>
      </c>
      <c r="I390">
        <v>110</v>
      </c>
      <c r="J390">
        <v>14</v>
      </c>
      <c r="K390">
        <f t="shared" si="26"/>
        <v>12.727272727272727</v>
      </c>
      <c r="L390" t="s">
        <v>1741</v>
      </c>
      <c r="M390" t="s">
        <v>3825</v>
      </c>
      <c r="N390" t="s">
        <v>1</v>
      </c>
      <c r="O390">
        <v>685595</v>
      </c>
      <c r="P390" t="s">
        <v>546</v>
      </c>
      <c r="Q390" t="s">
        <v>1755</v>
      </c>
      <c r="R390" t="s">
        <v>2</v>
      </c>
      <c r="S390">
        <v>2.6240000000000001</v>
      </c>
      <c r="T390">
        <v>1</v>
      </c>
      <c r="U390">
        <v>0.2</v>
      </c>
      <c r="V390">
        <v>0.4264</v>
      </c>
      <c r="W390">
        <f t="shared" si="27"/>
        <v>2.1976</v>
      </c>
      <c r="X390">
        <v>5</v>
      </c>
    </row>
    <row r="391" spans="1:24" x14ac:dyDescent="0.3">
      <c r="A391">
        <v>390</v>
      </c>
      <c r="B391" t="s">
        <v>2165</v>
      </c>
      <c r="C391" s="6">
        <v>44586</v>
      </c>
      <c r="D391" t="str">
        <f t="shared" si="24"/>
        <v>Jan</v>
      </c>
      <c r="E391" t="str">
        <f t="shared" si="25"/>
        <v>2022</v>
      </c>
      <c r="F391" t="s">
        <v>4</v>
      </c>
      <c r="G391" t="s">
        <v>167</v>
      </c>
      <c r="H391" t="s">
        <v>894</v>
      </c>
      <c r="I391">
        <v>210</v>
      </c>
      <c r="J391">
        <v>26</v>
      </c>
      <c r="K391">
        <f t="shared" si="26"/>
        <v>12.380952380952381</v>
      </c>
      <c r="L391" t="s">
        <v>1736</v>
      </c>
      <c r="M391" t="s">
        <v>3644</v>
      </c>
      <c r="N391" t="s">
        <v>1</v>
      </c>
      <c r="O391">
        <v>122001</v>
      </c>
      <c r="P391" t="s">
        <v>546</v>
      </c>
      <c r="Q391" t="s">
        <v>1769</v>
      </c>
      <c r="S391">
        <v>23.36</v>
      </c>
      <c r="T391">
        <v>4</v>
      </c>
      <c r="U391">
        <v>0.2</v>
      </c>
      <c r="V391">
        <v>7.8840000000000003</v>
      </c>
      <c r="W391">
        <f t="shared" si="27"/>
        <v>3.8689999999999998</v>
      </c>
      <c r="X391">
        <v>5</v>
      </c>
    </row>
    <row r="392" spans="1:24" x14ac:dyDescent="0.3">
      <c r="A392">
        <v>391</v>
      </c>
      <c r="B392" t="s">
        <v>2166</v>
      </c>
      <c r="C392" s="6">
        <v>44587</v>
      </c>
      <c r="D392" t="str">
        <f t="shared" si="24"/>
        <v>Jan</v>
      </c>
      <c r="E392" t="str">
        <f t="shared" si="25"/>
        <v>2022</v>
      </c>
      <c r="F392" t="s">
        <v>4</v>
      </c>
      <c r="G392" t="s">
        <v>167</v>
      </c>
      <c r="H392" t="s">
        <v>631</v>
      </c>
      <c r="I392">
        <v>210</v>
      </c>
      <c r="J392">
        <v>10</v>
      </c>
      <c r="K392">
        <f t="shared" si="26"/>
        <v>4.7619047619047619</v>
      </c>
      <c r="L392" t="s">
        <v>1744</v>
      </c>
      <c r="M392" t="s">
        <v>3826</v>
      </c>
      <c r="N392" t="s">
        <v>1</v>
      </c>
      <c r="O392">
        <v>612104</v>
      </c>
      <c r="P392" t="s">
        <v>546</v>
      </c>
      <c r="Q392" t="s">
        <v>1755</v>
      </c>
      <c r="R392" t="s">
        <v>2</v>
      </c>
      <c r="S392">
        <v>39.979999999999997</v>
      </c>
      <c r="T392">
        <v>2</v>
      </c>
      <c r="U392">
        <v>0.1</v>
      </c>
      <c r="V392">
        <v>13.5932</v>
      </c>
      <c r="W392">
        <f t="shared" si="27"/>
        <v>13.193399999999999</v>
      </c>
      <c r="X392">
        <v>2</v>
      </c>
    </row>
    <row r="393" spans="1:24" x14ac:dyDescent="0.3">
      <c r="A393">
        <v>392</v>
      </c>
      <c r="B393" t="s">
        <v>2167</v>
      </c>
      <c r="C393" s="6">
        <v>44588</v>
      </c>
      <c r="D393" t="str">
        <f t="shared" si="24"/>
        <v>Jan</v>
      </c>
      <c r="E393" t="str">
        <f t="shared" si="25"/>
        <v>2022</v>
      </c>
      <c r="F393" t="s">
        <v>3</v>
      </c>
      <c r="G393" t="s">
        <v>168</v>
      </c>
      <c r="H393" t="s">
        <v>895</v>
      </c>
      <c r="I393">
        <v>160</v>
      </c>
      <c r="J393">
        <v>14</v>
      </c>
      <c r="K393">
        <f t="shared" si="26"/>
        <v>8.75</v>
      </c>
      <c r="L393" t="s">
        <v>1740</v>
      </c>
      <c r="M393" t="s">
        <v>3827</v>
      </c>
      <c r="N393" t="s">
        <v>1</v>
      </c>
      <c r="O393">
        <v>400605</v>
      </c>
      <c r="P393" t="s">
        <v>546</v>
      </c>
      <c r="Q393" t="s">
        <v>1768</v>
      </c>
      <c r="S393">
        <v>246.38399999999999</v>
      </c>
      <c r="T393">
        <v>2</v>
      </c>
      <c r="U393">
        <v>0.2</v>
      </c>
      <c r="V393">
        <v>27.7182</v>
      </c>
      <c r="W393">
        <f t="shared" si="27"/>
        <v>109.3329</v>
      </c>
      <c r="X393">
        <v>2</v>
      </c>
    </row>
    <row r="394" spans="1:24" x14ac:dyDescent="0.3">
      <c r="A394">
        <v>393</v>
      </c>
      <c r="B394" t="s">
        <v>2168</v>
      </c>
      <c r="C394" s="6">
        <v>44589</v>
      </c>
      <c r="D394" t="str">
        <f t="shared" si="24"/>
        <v>Jan</v>
      </c>
      <c r="E394" t="str">
        <f t="shared" si="25"/>
        <v>2022</v>
      </c>
      <c r="F394" t="s">
        <v>3</v>
      </c>
      <c r="G394" t="s">
        <v>168</v>
      </c>
      <c r="H394" t="s">
        <v>896</v>
      </c>
      <c r="I394">
        <v>180</v>
      </c>
      <c r="J394">
        <v>8</v>
      </c>
      <c r="K394">
        <f t="shared" si="26"/>
        <v>4.4444444444444446</v>
      </c>
      <c r="L394" t="s">
        <v>1742</v>
      </c>
      <c r="M394" t="s">
        <v>3656</v>
      </c>
      <c r="N394" t="s">
        <v>1</v>
      </c>
      <c r="O394">
        <v>560100</v>
      </c>
      <c r="P394" t="s">
        <v>546</v>
      </c>
      <c r="Q394" t="s">
        <v>1774</v>
      </c>
      <c r="S394">
        <v>1799.97</v>
      </c>
      <c r="T394">
        <v>3</v>
      </c>
      <c r="U394">
        <v>0.1</v>
      </c>
      <c r="V394">
        <v>701.98829999999998</v>
      </c>
      <c r="W394">
        <f t="shared" si="27"/>
        <v>365.9939</v>
      </c>
      <c r="X394">
        <v>2</v>
      </c>
    </row>
    <row r="395" spans="1:24" x14ac:dyDescent="0.3">
      <c r="A395">
        <v>394</v>
      </c>
      <c r="B395" t="s">
        <v>2169</v>
      </c>
      <c r="C395" s="6">
        <v>44590</v>
      </c>
      <c r="D395" t="str">
        <f t="shared" si="24"/>
        <v>Jan</v>
      </c>
      <c r="E395" t="str">
        <f t="shared" si="25"/>
        <v>2022</v>
      </c>
      <c r="F395" t="s">
        <v>3</v>
      </c>
      <c r="G395" t="s">
        <v>169</v>
      </c>
      <c r="H395" t="s">
        <v>897</v>
      </c>
      <c r="I395">
        <v>250</v>
      </c>
      <c r="J395">
        <v>12</v>
      </c>
      <c r="K395">
        <f t="shared" si="26"/>
        <v>4.8</v>
      </c>
      <c r="L395" t="s">
        <v>1739</v>
      </c>
      <c r="M395" t="s">
        <v>3657</v>
      </c>
      <c r="N395" t="s">
        <v>1</v>
      </c>
      <c r="O395">
        <v>400605</v>
      </c>
      <c r="P395" t="s">
        <v>546</v>
      </c>
      <c r="Q395" t="s">
        <v>1756</v>
      </c>
      <c r="S395">
        <v>12.462</v>
      </c>
      <c r="T395">
        <v>3</v>
      </c>
      <c r="U395">
        <v>0.8</v>
      </c>
      <c r="V395">
        <v>-20.5623</v>
      </c>
      <c r="W395">
        <f t="shared" si="27"/>
        <v>11.008099999999999</v>
      </c>
      <c r="X395">
        <v>5</v>
      </c>
    </row>
    <row r="396" spans="1:24" x14ac:dyDescent="0.3">
      <c r="A396">
        <v>395</v>
      </c>
      <c r="B396" t="s">
        <v>2170</v>
      </c>
      <c r="C396" s="6">
        <v>44591</v>
      </c>
      <c r="D396" t="str">
        <f t="shared" si="24"/>
        <v>Jan</v>
      </c>
      <c r="E396" t="str">
        <f t="shared" si="25"/>
        <v>2022</v>
      </c>
      <c r="F396" t="s">
        <v>4</v>
      </c>
      <c r="G396" t="s">
        <v>170</v>
      </c>
      <c r="H396" t="s">
        <v>898</v>
      </c>
      <c r="I396">
        <v>220</v>
      </c>
      <c r="J396">
        <v>30</v>
      </c>
      <c r="K396">
        <f t="shared" si="26"/>
        <v>13.636363636363635</v>
      </c>
      <c r="L396" t="s">
        <v>1738</v>
      </c>
      <c r="M396" t="s">
        <v>3778</v>
      </c>
      <c r="N396" t="s">
        <v>1</v>
      </c>
      <c r="O396">
        <v>180007</v>
      </c>
      <c r="P396" t="s">
        <v>546</v>
      </c>
      <c r="Q396" t="s">
        <v>1760</v>
      </c>
      <c r="S396">
        <v>75.792000000000002</v>
      </c>
      <c r="T396">
        <v>3</v>
      </c>
      <c r="U396">
        <v>0.2</v>
      </c>
      <c r="V396">
        <v>25.579799999999999</v>
      </c>
      <c r="W396">
        <f t="shared" si="27"/>
        <v>16.737400000000001</v>
      </c>
      <c r="X396">
        <v>1</v>
      </c>
    </row>
    <row r="397" spans="1:24" x14ac:dyDescent="0.3">
      <c r="A397">
        <v>396</v>
      </c>
      <c r="B397" t="s">
        <v>2171</v>
      </c>
      <c r="C397" s="6">
        <v>44592</v>
      </c>
      <c r="D397" t="str">
        <f t="shared" si="24"/>
        <v>Jan</v>
      </c>
      <c r="E397" t="str">
        <f t="shared" si="25"/>
        <v>2022</v>
      </c>
      <c r="F397" t="s">
        <v>3</v>
      </c>
      <c r="G397" t="s">
        <v>171</v>
      </c>
      <c r="H397" t="s">
        <v>899</v>
      </c>
      <c r="I397">
        <v>170</v>
      </c>
      <c r="J397">
        <v>22</v>
      </c>
      <c r="K397">
        <f t="shared" si="26"/>
        <v>12.941176470588237</v>
      </c>
      <c r="L397" t="s">
        <v>1737</v>
      </c>
      <c r="M397" t="s">
        <v>3828</v>
      </c>
      <c r="N397" t="s">
        <v>1</v>
      </c>
      <c r="O397">
        <v>401107</v>
      </c>
      <c r="P397" t="s">
        <v>546</v>
      </c>
      <c r="Q397" t="s">
        <v>1760</v>
      </c>
      <c r="S397">
        <v>49.96</v>
      </c>
      <c r="T397">
        <v>2</v>
      </c>
      <c r="U397">
        <v>0.1</v>
      </c>
      <c r="V397">
        <v>9.4923999999999999</v>
      </c>
      <c r="W397">
        <f t="shared" si="27"/>
        <v>20.233800000000002</v>
      </c>
      <c r="X397">
        <v>2</v>
      </c>
    </row>
    <row r="398" spans="1:24" x14ac:dyDescent="0.3">
      <c r="A398">
        <v>397</v>
      </c>
      <c r="B398" t="s">
        <v>2172</v>
      </c>
      <c r="C398" s="6">
        <v>44593</v>
      </c>
      <c r="D398" t="str">
        <f t="shared" si="24"/>
        <v>Feb</v>
      </c>
      <c r="E398" t="str">
        <f t="shared" si="25"/>
        <v>2022</v>
      </c>
      <c r="F398" t="s">
        <v>3</v>
      </c>
      <c r="G398" t="s">
        <v>171</v>
      </c>
      <c r="H398" t="s">
        <v>900</v>
      </c>
      <c r="I398">
        <v>250</v>
      </c>
      <c r="J398">
        <v>14</v>
      </c>
      <c r="K398">
        <f t="shared" si="26"/>
        <v>5.6000000000000005</v>
      </c>
      <c r="L398" t="s">
        <v>1743</v>
      </c>
      <c r="M398" t="s">
        <v>3829</v>
      </c>
      <c r="N398" t="s">
        <v>1</v>
      </c>
      <c r="O398">
        <v>825409</v>
      </c>
      <c r="P398" t="s">
        <v>546</v>
      </c>
      <c r="Q398" t="s">
        <v>1759</v>
      </c>
      <c r="S398">
        <v>12.96</v>
      </c>
      <c r="T398">
        <v>2</v>
      </c>
      <c r="U398">
        <v>0.1</v>
      </c>
      <c r="V398">
        <v>6.2207999999999997</v>
      </c>
      <c r="W398">
        <f t="shared" si="27"/>
        <v>3.3696000000000006</v>
      </c>
      <c r="X398">
        <v>3</v>
      </c>
    </row>
    <row r="399" spans="1:24" x14ac:dyDescent="0.3">
      <c r="A399">
        <v>398</v>
      </c>
      <c r="B399" t="s">
        <v>2173</v>
      </c>
      <c r="C399" s="6">
        <v>44594</v>
      </c>
      <c r="D399" t="str">
        <f t="shared" si="24"/>
        <v>Feb</v>
      </c>
      <c r="E399" t="str">
        <f t="shared" si="25"/>
        <v>2022</v>
      </c>
      <c r="F399" t="s">
        <v>4</v>
      </c>
      <c r="G399" t="s">
        <v>13</v>
      </c>
      <c r="H399" t="s">
        <v>901</v>
      </c>
      <c r="I399">
        <v>100</v>
      </c>
      <c r="J399">
        <v>28</v>
      </c>
      <c r="K399">
        <f t="shared" si="26"/>
        <v>28.000000000000004</v>
      </c>
      <c r="L399" t="s">
        <v>1738</v>
      </c>
      <c r="M399" t="s">
        <v>3788</v>
      </c>
      <c r="N399" t="s">
        <v>1</v>
      </c>
      <c r="O399">
        <v>401107</v>
      </c>
      <c r="P399" t="s">
        <v>546</v>
      </c>
      <c r="Q399" t="s">
        <v>1761</v>
      </c>
      <c r="S399">
        <v>70.12</v>
      </c>
      <c r="T399">
        <v>4</v>
      </c>
      <c r="U399">
        <v>0.1</v>
      </c>
      <c r="V399">
        <v>21.036000000000001</v>
      </c>
      <c r="W399">
        <f t="shared" si="27"/>
        <v>12.271000000000001</v>
      </c>
      <c r="X399">
        <v>2</v>
      </c>
    </row>
    <row r="400" spans="1:24" x14ac:dyDescent="0.3">
      <c r="A400">
        <v>399</v>
      </c>
      <c r="B400" t="s">
        <v>2174</v>
      </c>
      <c r="C400" s="6">
        <v>44595</v>
      </c>
      <c r="D400" t="str">
        <f t="shared" si="24"/>
        <v>Feb</v>
      </c>
      <c r="E400" t="str">
        <f t="shared" si="25"/>
        <v>2022</v>
      </c>
      <c r="F400" t="s">
        <v>3</v>
      </c>
      <c r="G400" t="s">
        <v>172</v>
      </c>
      <c r="H400" t="s">
        <v>902</v>
      </c>
      <c r="I400">
        <v>120</v>
      </c>
      <c r="J400">
        <v>8</v>
      </c>
      <c r="K400">
        <f t="shared" si="26"/>
        <v>6.666666666666667</v>
      </c>
      <c r="L400" t="s">
        <v>1739</v>
      </c>
      <c r="M400" t="s">
        <v>3721</v>
      </c>
      <c r="N400" t="s">
        <v>1</v>
      </c>
      <c r="O400">
        <v>194101</v>
      </c>
      <c r="P400" t="s">
        <v>546</v>
      </c>
      <c r="Q400" t="s">
        <v>1769</v>
      </c>
      <c r="R400" t="s">
        <v>2</v>
      </c>
      <c r="S400">
        <v>35.951999999999998</v>
      </c>
      <c r="T400">
        <v>3</v>
      </c>
      <c r="U400">
        <v>0.2</v>
      </c>
      <c r="V400">
        <v>3.5952000000000002</v>
      </c>
      <c r="W400">
        <f t="shared" si="27"/>
        <v>10.785600000000001</v>
      </c>
      <c r="X400">
        <v>4</v>
      </c>
    </row>
    <row r="401" spans="1:24" x14ac:dyDescent="0.3">
      <c r="A401">
        <v>400</v>
      </c>
      <c r="B401" t="s">
        <v>2175</v>
      </c>
      <c r="C401" s="6">
        <v>44596</v>
      </c>
      <c r="D401" t="str">
        <f t="shared" si="24"/>
        <v>Feb</v>
      </c>
      <c r="E401" t="str">
        <f t="shared" si="25"/>
        <v>2022</v>
      </c>
      <c r="F401" t="s">
        <v>3</v>
      </c>
      <c r="G401" t="s">
        <v>172</v>
      </c>
      <c r="H401" t="s">
        <v>573</v>
      </c>
      <c r="I401">
        <v>150</v>
      </c>
      <c r="J401">
        <v>16</v>
      </c>
      <c r="K401">
        <f t="shared" si="26"/>
        <v>10.666666666666668</v>
      </c>
      <c r="L401" t="s">
        <v>1741</v>
      </c>
      <c r="M401" t="s">
        <v>3781</v>
      </c>
      <c r="N401" t="s">
        <v>1</v>
      </c>
      <c r="O401">
        <v>713206</v>
      </c>
      <c r="P401" t="s">
        <v>546</v>
      </c>
      <c r="Q401" t="s">
        <v>1773</v>
      </c>
      <c r="S401">
        <v>2396.2656000000002</v>
      </c>
      <c r="T401">
        <v>4</v>
      </c>
      <c r="U401">
        <v>0.32</v>
      </c>
      <c r="V401">
        <v>-317.15280000000001</v>
      </c>
      <c r="W401">
        <f t="shared" si="27"/>
        <v>678.3546</v>
      </c>
      <c r="X401">
        <v>5</v>
      </c>
    </row>
    <row r="402" spans="1:24" x14ac:dyDescent="0.3">
      <c r="A402">
        <v>401</v>
      </c>
      <c r="B402" t="s">
        <v>2176</v>
      </c>
      <c r="C402" s="6">
        <v>44597</v>
      </c>
      <c r="D402" t="str">
        <f t="shared" si="24"/>
        <v>Feb</v>
      </c>
      <c r="E402" t="str">
        <f t="shared" si="25"/>
        <v>2022</v>
      </c>
      <c r="F402" t="s">
        <v>3</v>
      </c>
      <c r="G402" t="s">
        <v>172</v>
      </c>
      <c r="H402" t="s">
        <v>903</v>
      </c>
      <c r="I402">
        <v>210</v>
      </c>
      <c r="J402">
        <v>24</v>
      </c>
      <c r="K402">
        <f t="shared" si="26"/>
        <v>11.428571428571429</v>
      </c>
      <c r="L402" t="s">
        <v>1736</v>
      </c>
      <c r="M402" t="s">
        <v>3673</v>
      </c>
      <c r="N402" t="s">
        <v>1</v>
      </c>
      <c r="O402">
        <v>831017</v>
      </c>
      <c r="P402" t="s">
        <v>546</v>
      </c>
      <c r="Q402" t="s">
        <v>1775</v>
      </c>
      <c r="S402">
        <v>131.136</v>
      </c>
      <c r="T402">
        <v>4</v>
      </c>
      <c r="U402">
        <v>0.2</v>
      </c>
      <c r="V402">
        <v>-32.783999999999999</v>
      </c>
      <c r="W402">
        <f t="shared" si="27"/>
        <v>40.98</v>
      </c>
      <c r="X402">
        <v>5</v>
      </c>
    </row>
    <row r="403" spans="1:24" x14ac:dyDescent="0.3">
      <c r="A403">
        <v>402</v>
      </c>
      <c r="B403" t="s">
        <v>2177</v>
      </c>
      <c r="C403" s="6">
        <v>44598</v>
      </c>
      <c r="D403" t="str">
        <f t="shared" si="24"/>
        <v>Feb</v>
      </c>
      <c r="E403" t="str">
        <f t="shared" si="25"/>
        <v>2022</v>
      </c>
      <c r="F403" t="s">
        <v>3</v>
      </c>
      <c r="G403" t="s">
        <v>172</v>
      </c>
      <c r="H403" t="s">
        <v>904</v>
      </c>
      <c r="I403">
        <v>170</v>
      </c>
      <c r="J403">
        <v>30</v>
      </c>
      <c r="K403">
        <f t="shared" si="26"/>
        <v>17.647058823529413</v>
      </c>
      <c r="L403" t="s">
        <v>1744</v>
      </c>
      <c r="M403" t="s">
        <v>3585</v>
      </c>
      <c r="N403" t="s">
        <v>1</v>
      </c>
      <c r="O403">
        <v>583123</v>
      </c>
      <c r="P403" t="s">
        <v>546</v>
      </c>
      <c r="Q403" t="s">
        <v>1759</v>
      </c>
      <c r="S403">
        <v>57.584000000000003</v>
      </c>
      <c r="T403">
        <v>2</v>
      </c>
      <c r="U403">
        <v>0.2</v>
      </c>
      <c r="V403">
        <v>0.7198</v>
      </c>
      <c r="W403">
        <f t="shared" si="27"/>
        <v>28.432100000000002</v>
      </c>
      <c r="X403">
        <v>4</v>
      </c>
    </row>
    <row r="404" spans="1:24" x14ac:dyDescent="0.3">
      <c r="A404">
        <v>403</v>
      </c>
      <c r="B404" t="s">
        <v>2178</v>
      </c>
      <c r="C404" s="6">
        <v>44599</v>
      </c>
      <c r="D404" t="str">
        <f t="shared" si="24"/>
        <v>Feb</v>
      </c>
      <c r="E404" t="str">
        <f t="shared" si="25"/>
        <v>2022</v>
      </c>
      <c r="F404" t="s">
        <v>5</v>
      </c>
      <c r="G404" t="s">
        <v>173</v>
      </c>
      <c r="H404" t="s">
        <v>905</v>
      </c>
      <c r="I404">
        <v>100</v>
      </c>
      <c r="J404">
        <v>12</v>
      </c>
      <c r="K404">
        <f t="shared" si="26"/>
        <v>12</v>
      </c>
      <c r="L404" t="s">
        <v>1740</v>
      </c>
      <c r="M404" t="s">
        <v>3830</v>
      </c>
      <c r="N404" t="s">
        <v>1</v>
      </c>
      <c r="O404">
        <v>560046</v>
      </c>
      <c r="P404" t="s">
        <v>546</v>
      </c>
      <c r="Q404" t="s">
        <v>1766</v>
      </c>
      <c r="R404" t="s">
        <v>2</v>
      </c>
      <c r="S404">
        <v>9.5679999999999996</v>
      </c>
      <c r="T404">
        <v>2</v>
      </c>
      <c r="U404">
        <v>0.2</v>
      </c>
      <c r="V404">
        <v>3.4683999999999999</v>
      </c>
      <c r="W404">
        <f t="shared" si="27"/>
        <v>3.0497999999999998</v>
      </c>
      <c r="X404">
        <v>4</v>
      </c>
    </row>
    <row r="405" spans="1:24" x14ac:dyDescent="0.3">
      <c r="A405">
        <v>404</v>
      </c>
      <c r="B405" t="s">
        <v>2179</v>
      </c>
      <c r="C405" s="6">
        <v>44600</v>
      </c>
      <c r="D405" t="str">
        <f t="shared" si="24"/>
        <v>Feb</v>
      </c>
      <c r="E405" t="str">
        <f t="shared" si="25"/>
        <v>2022</v>
      </c>
      <c r="F405" t="s">
        <v>4</v>
      </c>
      <c r="G405" t="s">
        <v>77</v>
      </c>
      <c r="H405" t="s">
        <v>906</v>
      </c>
      <c r="I405">
        <v>140</v>
      </c>
      <c r="J405">
        <v>16</v>
      </c>
      <c r="K405">
        <f t="shared" si="26"/>
        <v>11.428571428571429</v>
      </c>
      <c r="L405" t="s">
        <v>1742</v>
      </c>
      <c r="M405" t="s">
        <v>3696</v>
      </c>
      <c r="N405" t="s">
        <v>1</v>
      </c>
      <c r="O405">
        <v>560046</v>
      </c>
      <c r="P405" t="s">
        <v>546</v>
      </c>
      <c r="Q405" t="s">
        <v>1756</v>
      </c>
      <c r="S405">
        <v>39.072000000000003</v>
      </c>
      <c r="T405">
        <v>6</v>
      </c>
      <c r="U405">
        <v>0.2</v>
      </c>
      <c r="V405">
        <v>9.7680000000000007</v>
      </c>
      <c r="W405">
        <f t="shared" si="27"/>
        <v>4.8840000000000003</v>
      </c>
      <c r="X405">
        <v>3</v>
      </c>
    </row>
    <row r="406" spans="1:24" x14ac:dyDescent="0.3">
      <c r="A406">
        <v>405</v>
      </c>
      <c r="B406" t="s">
        <v>2180</v>
      </c>
      <c r="C406" s="6">
        <v>44601</v>
      </c>
      <c r="D406" t="str">
        <f t="shared" si="24"/>
        <v>Feb</v>
      </c>
      <c r="E406" t="str">
        <f t="shared" si="25"/>
        <v>2022</v>
      </c>
      <c r="F406" t="s">
        <v>4</v>
      </c>
      <c r="G406" t="s">
        <v>174</v>
      </c>
      <c r="H406" t="s">
        <v>907</v>
      </c>
      <c r="I406">
        <v>230</v>
      </c>
      <c r="J406">
        <v>30</v>
      </c>
      <c r="K406">
        <f t="shared" si="26"/>
        <v>13.043478260869565</v>
      </c>
      <c r="L406" t="s">
        <v>1739</v>
      </c>
      <c r="M406" t="s">
        <v>3668</v>
      </c>
      <c r="N406" t="s">
        <v>1</v>
      </c>
      <c r="O406">
        <v>226017</v>
      </c>
      <c r="P406" t="s">
        <v>546</v>
      </c>
      <c r="Q406" t="s">
        <v>1760</v>
      </c>
      <c r="S406">
        <v>35.909999999999997</v>
      </c>
      <c r="T406">
        <v>3</v>
      </c>
      <c r="U406">
        <v>0.1</v>
      </c>
      <c r="V406">
        <v>9.6957000000000004</v>
      </c>
      <c r="W406">
        <f t="shared" si="27"/>
        <v>8.7380999999999975</v>
      </c>
      <c r="X406">
        <v>1</v>
      </c>
    </row>
    <row r="407" spans="1:24" x14ac:dyDescent="0.3">
      <c r="A407">
        <v>406</v>
      </c>
      <c r="B407" t="s">
        <v>2181</v>
      </c>
      <c r="C407" s="6">
        <v>44602</v>
      </c>
      <c r="D407" t="str">
        <f t="shared" si="24"/>
        <v>Feb</v>
      </c>
      <c r="E407" t="str">
        <f t="shared" si="25"/>
        <v>2022</v>
      </c>
      <c r="F407" t="s">
        <v>4</v>
      </c>
      <c r="G407" t="s">
        <v>175</v>
      </c>
      <c r="H407" t="s">
        <v>904</v>
      </c>
      <c r="I407">
        <v>120</v>
      </c>
      <c r="J407">
        <v>8</v>
      </c>
      <c r="K407">
        <f t="shared" si="26"/>
        <v>6.666666666666667</v>
      </c>
      <c r="L407" t="s">
        <v>1738</v>
      </c>
      <c r="M407" t="s">
        <v>3812</v>
      </c>
      <c r="N407" t="s">
        <v>1</v>
      </c>
      <c r="O407">
        <v>122003</v>
      </c>
      <c r="P407" t="s">
        <v>546</v>
      </c>
      <c r="Q407" t="s">
        <v>1761</v>
      </c>
      <c r="S407">
        <v>179.95</v>
      </c>
      <c r="T407">
        <v>5</v>
      </c>
      <c r="U407">
        <v>0.1</v>
      </c>
      <c r="V407">
        <v>37.789499999999997</v>
      </c>
      <c r="W407">
        <f t="shared" si="27"/>
        <v>28.432099999999998</v>
      </c>
      <c r="X407">
        <v>1</v>
      </c>
    </row>
    <row r="408" spans="1:24" x14ac:dyDescent="0.3">
      <c r="A408">
        <v>407</v>
      </c>
      <c r="B408" t="s">
        <v>2182</v>
      </c>
      <c r="C408" s="6">
        <v>44603</v>
      </c>
      <c r="D408" t="str">
        <f t="shared" si="24"/>
        <v>Feb</v>
      </c>
      <c r="E408" t="str">
        <f t="shared" si="25"/>
        <v>2022</v>
      </c>
      <c r="F408" t="s">
        <v>4</v>
      </c>
      <c r="G408" t="s">
        <v>175</v>
      </c>
      <c r="H408" t="s">
        <v>908</v>
      </c>
      <c r="I408">
        <v>120</v>
      </c>
      <c r="J408">
        <v>28</v>
      </c>
      <c r="K408">
        <f t="shared" si="26"/>
        <v>23.333333333333332</v>
      </c>
      <c r="L408" t="s">
        <v>1743</v>
      </c>
      <c r="M408" t="s">
        <v>3831</v>
      </c>
      <c r="N408" t="s">
        <v>1</v>
      </c>
      <c r="O408">
        <v>603103</v>
      </c>
      <c r="P408" t="s">
        <v>546</v>
      </c>
      <c r="Q408" t="s">
        <v>1772</v>
      </c>
      <c r="R408" t="s">
        <v>2</v>
      </c>
      <c r="S408">
        <v>1199.9760000000001</v>
      </c>
      <c r="T408">
        <v>3</v>
      </c>
      <c r="U408">
        <v>0.2</v>
      </c>
      <c r="V408">
        <v>434.99130000000002</v>
      </c>
      <c r="W408">
        <f t="shared" si="27"/>
        <v>254.99490000000003</v>
      </c>
      <c r="X408">
        <v>4</v>
      </c>
    </row>
    <row r="409" spans="1:24" x14ac:dyDescent="0.3">
      <c r="A409">
        <v>408</v>
      </c>
      <c r="B409" t="s">
        <v>2183</v>
      </c>
      <c r="C409" s="6">
        <v>44604</v>
      </c>
      <c r="D409" t="str">
        <f t="shared" si="24"/>
        <v>Feb</v>
      </c>
      <c r="E409" t="str">
        <f t="shared" si="25"/>
        <v>2022</v>
      </c>
      <c r="F409" t="s">
        <v>4</v>
      </c>
      <c r="G409" t="s">
        <v>175</v>
      </c>
      <c r="H409" t="s">
        <v>909</v>
      </c>
      <c r="I409">
        <v>120</v>
      </c>
      <c r="J409">
        <v>28</v>
      </c>
      <c r="K409">
        <f t="shared" si="26"/>
        <v>23.333333333333332</v>
      </c>
      <c r="L409" t="s">
        <v>1737</v>
      </c>
      <c r="M409" t="s">
        <v>3802</v>
      </c>
      <c r="N409" t="s">
        <v>1</v>
      </c>
      <c r="O409">
        <v>232101</v>
      </c>
      <c r="P409" t="s">
        <v>546</v>
      </c>
      <c r="Q409" t="s">
        <v>1767</v>
      </c>
      <c r="S409">
        <v>27.15</v>
      </c>
      <c r="T409">
        <v>5</v>
      </c>
      <c r="U409">
        <v>0.1</v>
      </c>
      <c r="V409">
        <v>13.3035</v>
      </c>
      <c r="W409">
        <f t="shared" si="27"/>
        <v>2.7692999999999999</v>
      </c>
      <c r="X409">
        <v>4</v>
      </c>
    </row>
    <row r="410" spans="1:24" x14ac:dyDescent="0.3">
      <c r="A410">
        <v>409</v>
      </c>
      <c r="B410" t="s">
        <v>2184</v>
      </c>
      <c r="C410" s="6">
        <v>44605</v>
      </c>
      <c r="D410" t="str">
        <f t="shared" si="24"/>
        <v>Feb</v>
      </c>
      <c r="E410" t="str">
        <f t="shared" si="25"/>
        <v>2022</v>
      </c>
      <c r="F410" t="s">
        <v>4</v>
      </c>
      <c r="G410" t="s">
        <v>175</v>
      </c>
      <c r="H410" t="s">
        <v>910</v>
      </c>
      <c r="I410">
        <v>160</v>
      </c>
      <c r="J410">
        <v>30</v>
      </c>
      <c r="K410">
        <f t="shared" si="26"/>
        <v>18.75</v>
      </c>
      <c r="L410" t="s">
        <v>1741</v>
      </c>
      <c r="M410" t="s">
        <v>3815</v>
      </c>
      <c r="O410">
        <v>500025</v>
      </c>
      <c r="P410" t="s">
        <v>546</v>
      </c>
      <c r="Q410" t="s">
        <v>1759</v>
      </c>
      <c r="S410">
        <v>1004.024</v>
      </c>
      <c r="T410">
        <v>7</v>
      </c>
      <c r="U410">
        <v>0.2</v>
      </c>
      <c r="V410">
        <v>-112.95269999999999</v>
      </c>
      <c r="W410">
        <f t="shared" si="27"/>
        <v>159.56809999999999</v>
      </c>
      <c r="X410">
        <v>1</v>
      </c>
    </row>
    <row r="411" spans="1:24" x14ac:dyDescent="0.3">
      <c r="A411">
        <v>410</v>
      </c>
      <c r="B411" t="s">
        <v>2185</v>
      </c>
      <c r="C411" s="6">
        <v>44606</v>
      </c>
      <c r="D411" t="str">
        <f t="shared" si="24"/>
        <v>Feb</v>
      </c>
      <c r="E411" t="str">
        <f t="shared" si="25"/>
        <v>2022</v>
      </c>
      <c r="F411" t="s">
        <v>4</v>
      </c>
      <c r="G411" t="s">
        <v>175</v>
      </c>
      <c r="H411" t="s">
        <v>911</v>
      </c>
      <c r="I411">
        <v>190</v>
      </c>
      <c r="J411">
        <v>28</v>
      </c>
      <c r="K411">
        <f t="shared" si="26"/>
        <v>14.736842105263156</v>
      </c>
      <c r="L411" t="s">
        <v>1736</v>
      </c>
      <c r="M411" t="s">
        <v>3653</v>
      </c>
      <c r="N411" t="s">
        <v>1</v>
      </c>
      <c r="O411">
        <v>201305</v>
      </c>
      <c r="P411" t="s">
        <v>546</v>
      </c>
      <c r="Q411" t="s">
        <v>1760</v>
      </c>
      <c r="S411">
        <v>9.68</v>
      </c>
      <c r="T411">
        <v>1</v>
      </c>
      <c r="U411">
        <v>0.1</v>
      </c>
      <c r="V411">
        <v>4.6463999999999999</v>
      </c>
      <c r="W411">
        <f t="shared" si="27"/>
        <v>5.0335999999999999</v>
      </c>
      <c r="X411">
        <v>1</v>
      </c>
    </row>
    <row r="412" spans="1:24" x14ac:dyDescent="0.3">
      <c r="A412">
        <v>411</v>
      </c>
      <c r="B412" t="s">
        <v>2186</v>
      </c>
      <c r="C412" s="6">
        <v>44607</v>
      </c>
      <c r="D412" t="str">
        <f t="shared" si="24"/>
        <v>Feb</v>
      </c>
      <c r="E412" t="str">
        <f t="shared" si="25"/>
        <v>2022</v>
      </c>
      <c r="F412" t="s">
        <v>4</v>
      </c>
      <c r="G412" t="s">
        <v>175</v>
      </c>
      <c r="H412" t="s">
        <v>912</v>
      </c>
      <c r="I412">
        <v>150</v>
      </c>
      <c r="J412">
        <v>16</v>
      </c>
      <c r="K412">
        <f t="shared" si="26"/>
        <v>10.666666666666668</v>
      </c>
      <c r="L412" t="s">
        <v>1744</v>
      </c>
      <c r="M412" t="s">
        <v>3832</v>
      </c>
      <c r="N412" t="s">
        <v>1</v>
      </c>
      <c r="O412">
        <v>560076</v>
      </c>
      <c r="P412" t="s">
        <v>546</v>
      </c>
      <c r="Q412" t="s">
        <v>1756</v>
      </c>
      <c r="S412">
        <v>28.35</v>
      </c>
      <c r="T412">
        <v>9</v>
      </c>
      <c r="U412">
        <v>0.1</v>
      </c>
      <c r="V412">
        <v>13.608000000000001</v>
      </c>
      <c r="W412">
        <f t="shared" si="27"/>
        <v>1.6380000000000001</v>
      </c>
      <c r="X412">
        <v>5</v>
      </c>
    </row>
    <row r="413" spans="1:24" x14ac:dyDescent="0.3">
      <c r="A413">
        <v>412</v>
      </c>
      <c r="B413" t="s">
        <v>2187</v>
      </c>
      <c r="C413" s="6">
        <v>44608</v>
      </c>
      <c r="D413" t="str">
        <f t="shared" si="24"/>
        <v>Feb</v>
      </c>
      <c r="E413" t="str">
        <f t="shared" si="25"/>
        <v>2022</v>
      </c>
      <c r="F413" t="s">
        <v>4</v>
      </c>
      <c r="G413" t="s">
        <v>175</v>
      </c>
      <c r="H413" t="s">
        <v>861</v>
      </c>
      <c r="I413">
        <v>160</v>
      </c>
      <c r="J413">
        <v>14</v>
      </c>
      <c r="K413">
        <f t="shared" si="26"/>
        <v>8.75</v>
      </c>
      <c r="L413" t="s">
        <v>1740</v>
      </c>
      <c r="M413" t="s">
        <v>3733</v>
      </c>
      <c r="N413" t="s">
        <v>1</v>
      </c>
      <c r="O413">
        <v>695003</v>
      </c>
      <c r="P413" t="s">
        <v>546</v>
      </c>
      <c r="Q413" t="s">
        <v>1769</v>
      </c>
      <c r="S413">
        <v>55.98</v>
      </c>
      <c r="T413">
        <v>1</v>
      </c>
      <c r="U413">
        <v>0.1</v>
      </c>
      <c r="V413">
        <v>27.430199999999999</v>
      </c>
      <c r="W413">
        <f t="shared" si="27"/>
        <v>28.549799999999998</v>
      </c>
      <c r="X413">
        <v>3</v>
      </c>
    </row>
    <row r="414" spans="1:24" x14ac:dyDescent="0.3">
      <c r="A414">
        <v>413</v>
      </c>
      <c r="B414" t="s">
        <v>2188</v>
      </c>
      <c r="C414" s="6">
        <v>44609</v>
      </c>
      <c r="D414" t="str">
        <f t="shared" si="24"/>
        <v>Feb</v>
      </c>
      <c r="E414" t="str">
        <f t="shared" si="25"/>
        <v>2022</v>
      </c>
      <c r="F414" t="s">
        <v>4</v>
      </c>
      <c r="G414" t="s">
        <v>175</v>
      </c>
      <c r="H414" t="s">
        <v>913</v>
      </c>
      <c r="I414">
        <v>200</v>
      </c>
      <c r="J414">
        <v>16</v>
      </c>
      <c r="K414">
        <f t="shared" si="26"/>
        <v>8</v>
      </c>
      <c r="L414" t="s">
        <v>1742</v>
      </c>
      <c r="M414" t="s">
        <v>3816</v>
      </c>
      <c r="N414" t="s">
        <v>1</v>
      </c>
      <c r="O414">
        <v>842002</v>
      </c>
      <c r="P414" t="s">
        <v>546</v>
      </c>
      <c r="Q414" t="s">
        <v>1761</v>
      </c>
      <c r="R414" t="s">
        <v>2</v>
      </c>
      <c r="S414">
        <v>1336.829</v>
      </c>
      <c r="T414">
        <v>13</v>
      </c>
      <c r="U414">
        <v>0.15</v>
      </c>
      <c r="V414">
        <v>31.454799999999999</v>
      </c>
      <c r="W414">
        <f t="shared" si="27"/>
        <v>100.4134</v>
      </c>
      <c r="X414">
        <v>3</v>
      </c>
    </row>
    <row r="415" spans="1:24" x14ac:dyDescent="0.3">
      <c r="A415">
        <v>414</v>
      </c>
      <c r="B415" t="s">
        <v>2189</v>
      </c>
      <c r="C415" s="6">
        <v>44610</v>
      </c>
      <c r="D415" t="str">
        <f t="shared" si="24"/>
        <v>Feb</v>
      </c>
      <c r="E415" t="str">
        <f t="shared" si="25"/>
        <v>2022</v>
      </c>
      <c r="F415" t="s">
        <v>4</v>
      </c>
      <c r="G415" t="s">
        <v>175</v>
      </c>
      <c r="H415" t="s">
        <v>914</v>
      </c>
      <c r="I415">
        <v>110</v>
      </c>
      <c r="J415">
        <v>14</v>
      </c>
      <c r="K415">
        <f t="shared" si="26"/>
        <v>12.727272727272727</v>
      </c>
      <c r="L415" t="s">
        <v>1739</v>
      </c>
      <c r="M415" t="s">
        <v>3600</v>
      </c>
      <c r="N415" t="s">
        <v>1</v>
      </c>
      <c r="O415">
        <v>560061</v>
      </c>
      <c r="P415" t="s">
        <v>546</v>
      </c>
      <c r="Q415" t="s">
        <v>1773</v>
      </c>
      <c r="S415">
        <v>113.568</v>
      </c>
      <c r="T415">
        <v>2</v>
      </c>
      <c r="U415">
        <v>0.2</v>
      </c>
      <c r="V415">
        <v>-18.454799999999999</v>
      </c>
      <c r="W415">
        <f t="shared" si="27"/>
        <v>66.011399999999995</v>
      </c>
      <c r="X415">
        <v>4</v>
      </c>
    </row>
    <row r="416" spans="1:24" x14ac:dyDescent="0.3">
      <c r="A416">
        <v>415</v>
      </c>
      <c r="B416" t="s">
        <v>2190</v>
      </c>
      <c r="C416" s="6">
        <v>44611</v>
      </c>
      <c r="D416" t="str">
        <f t="shared" si="24"/>
        <v>Feb</v>
      </c>
      <c r="E416" t="str">
        <f t="shared" si="25"/>
        <v>2022</v>
      </c>
      <c r="F416" t="s">
        <v>4</v>
      </c>
      <c r="G416" t="s">
        <v>176</v>
      </c>
      <c r="H416" t="s">
        <v>915</v>
      </c>
      <c r="I416">
        <v>240</v>
      </c>
      <c r="J416">
        <v>18</v>
      </c>
      <c r="K416">
        <f t="shared" si="26"/>
        <v>7.5</v>
      </c>
      <c r="L416" t="s">
        <v>1738</v>
      </c>
      <c r="M416" t="s">
        <v>3817</v>
      </c>
      <c r="N416" t="s">
        <v>1</v>
      </c>
      <c r="O416">
        <v>629251</v>
      </c>
      <c r="P416" t="s">
        <v>546</v>
      </c>
      <c r="Q416" t="s">
        <v>1759</v>
      </c>
      <c r="R416" t="s">
        <v>2</v>
      </c>
      <c r="S416">
        <v>139.86000000000001</v>
      </c>
      <c r="T416">
        <v>7</v>
      </c>
      <c r="U416">
        <v>0.1</v>
      </c>
      <c r="V416">
        <v>65.734200000000001</v>
      </c>
      <c r="W416">
        <f t="shared" si="27"/>
        <v>10.589400000000001</v>
      </c>
      <c r="X416">
        <v>1</v>
      </c>
    </row>
    <row r="417" spans="1:24" x14ac:dyDescent="0.3">
      <c r="A417">
        <v>416</v>
      </c>
      <c r="B417" t="s">
        <v>2191</v>
      </c>
      <c r="C417" s="6">
        <v>44612</v>
      </c>
      <c r="D417" t="str">
        <f t="shared" si="24"/>
        <v>Feb</v>
      </c>
      <c r="E417" t="str">
        <f t="shared" si="25"/>
        <v>2022</v>
      </c>
      <c r="F417" t="s">
        <v>4</v>
      </c>
      <c r="G417" t="s">
        <v>176</v>
      </c>
      <c r="H417" t="s">
        <v>815</v>
      </c>
      <c r="I417">
        <v>200</v>
      </c>
      <c r="J417">
        <v>14</v>
      </c>
      <c r="K417">
        <f t="shared" si="26"/>
        <v>7.0000000000000009</v>
      </c>
      <c r="L417" t="s">
        <v>1737</v>
      </c>
      <c r="M417" t="s">
        <v>3808</v>
      </c>
      <c r="N417" t="s">
        <v>1</v>
      </c>
      <c r="O417">
        <v>629251</v>
      </c>
      <c r="P417" t="s">
        <v>546</v>
      </c>
      <c r="Q417" t="s">
        <v>1761</v>
      </c>
      <c r="S417">
        <v>307.13600000000002</v>
      </c>
      <c r="T417">
        <v>4</v>
      </c>
      <c r="U417">
        <v>0.2</v>
      </c>
      <c r="V417">
        <v>26.874400000000001</v>
      </c>
      <c r="W417">
        <f t="shared" si="27"/>
        <v>70.065400000000011</v>
      </c>
      <c r="X417">
        <v>2</v>
      </c>
    </row>
    <row r="418" spans="1:24" x14ac:dyDescent="0.3">
      <c r="A418">
        <v>417</v>
      </c>
      <c r="B418" t="s">
        <v>2192</v>
      </c>
      <c r="C418" s="6">
        <v>44613</v>
      </c>
      <c r="D418" t="str">
        <f t="shared" si="24"/>
        <v>Feb</v>
      </c>
      <c r="E418" t="str">
        <f t="shared" si="25"/>
        <v>2022</v>
      </c>
      <c r="F418" t="s">
        <v>4</v>
      </c>
      <c r="G418" t="s">
        <v>177</v>
      </c>
      <c r="H418" t="s">
        <v>916</v>
      </c>
      <c r="I418">
        <v>230</v>
      </c>
      <c r="J418">
        <v>16</v>
      </c>
      <c r="K418">
        <f t="shared" si="26"/>
        <v>6.9565217391304346</v>
      </c>
      <c r="L418" t="s">
        <v>1743</v>
      </c>
      <c r="M418" t="s">
        <v>3833</v>
      </c>
      <c r="N418" t="s">
        <v>1</v>
      </c>
      <c r="O418">
        <v>629251</v>
      </c>
      <c r="P418" t="s">
        <v>546</v>
      </c>
      <c r="Q418" t="s">
        <v>1765</v>
      </c>
      <c r="S418">
        <v>95.92</v>
      </c>
      <c r="T418">
        <v>8</v>
      </c>
      <c r="U418">
        <v>0.1</v>
      </c>
      <c r="V418">
        <v>25.898399999999999</v>
      </c>
      <c r="W418">
        <f t="shared" si="27"/>
        <v>8.7527000000000008</v>
      </c>
      <c r="X418">
        <v>2</v>
      </c>
    </row>
    <row r="419" spans="1:24" x14ac:dyDescent="0.3">
      <c r="A419">
        <v>418</v>
      </c>
      <c r="B419" t="s">
        <v>2193</v>
      </c>
      <c r="C419" s="6">
        <v>44614</v>
      </c>
      <c r="D419" t="str">
        <f t="shared" si="24"/>
        <v>Feb</v>
      </c>
      <c r="E419" t="str">
        <f t="shared" si="25"/>
        <v>2022</v>
      </c>
      <c r="F419" t="s">
        <v>4</v>
      </c>
      <c r="G419" t="s">
        <v>178</v>
      </c>
      <c r="H419" t="s">
        <v>917</v>
      </c>
      <c r="I419">
        <v>180</v>
      </c>
      <c r="J419">
        <v>8</v>
      </c>
      <c r="K419">
        <f t="shared" si="26"/>
        <v>4.4444444444444446</v>
      </c>
      <c r="L419" t="s">
        <v>1738</v>
      </c>
      <c r="M419" t="s">
        <v>3681</v>
      </c>
      <c r="N419" t="s">
        <v>1</v>
      </c>
      <c r="O419">
        <v>560084</v>
      </c>
      <c r="P419" t="s">
        <v>546</v>
      </c>
      <c r="Q419" t="s">
        <v>1759</v>
      </c>
      <c r="S419">
        <v>383.8</v>
      </c>
      <c r="T419">
        <v>5</v>
      </c>
      <c r="U419">
        <v>0.2</v>
      </c>
      <c r="V419">
        <v>38.380000000000003</v>
      </c>
      <c r="W419">
        <f t="shared" si="27"/>
        <v>69.084000000000003</v>
      </c>
      <c r="X419">
        <v>3</v>
      </c>
    </row>
    <row r="420" spans="1:24" x14ac:dyDescent="0.3">
      <c r="A420">
        <v>419</v>
      </c>
      <c r="B420" t="s">
        <v>2194</v>
      </c>
      <c r="C420" s="6">
        <v>44615</v>
      </c>
      <c r="D420" t="str">
        <f t="shared" si="24"/>
        <v>Feb</v>
      </c>
      <c r="E420" t="str">
        <f t="shared" si="25"/>
        <v>2022</v>
      </c>
      <c r="F420" t="s">
        <v>4</v>
      </c>
      <c r="G420" t="s">
        <v>153</v>
      </c>
      <c r="H420" t="s">
        <v>918</v>
      </c>
      <c r="I420">
        <v>210</v>
      </c>
      <c r="J420">
        <v>22</v>
      </c>
      <c r="K420">
        <f t="shared" si="26"/>
        <v>10.476190476190476</v>
      </c>
      <c r="L420" t="s">
        <v>1739</v>
      </c>
      <c r="M420" t="s">
        <v>3682</v>
      </c>
      <c r="N420" t="s">
        <v>1</v>
      </c>
      <c r="O420">
        <v>400013</v>
      </c>
      <c r="P420" t="s">
        <v>546</v>
      </c>
      <c r="Q420" t="s">
        <v>1769</v>
      </c>
      <c r="S420">
        <v>5.78</v>
      </c>
      <c r="T420">
        <v>1</v>
      </c>
      <c r="U420">
        <v>0.1</v>
      </c>
      <c r="V420">
        <v>2.8321999999999998</v>
      </c>
      <c r="W420">
        <f t="shared" si="27"/>
        <v>2.9478000000000004</v>
      </c>
      <c r="X420">
        <v>2</v>
      </c>
    </row>
    <row r="421" spans="1:24" x14ac:dyDescent="0.3">
      <c r="A421">
        <v>420</v>
      </c>
      <c r="B421" t="s">
        <v>2195</v>
      </c>
      <c r="C421" s="6">
        <v>44616</v>
      </c>
      <c r="D421" t="str">
        <f t="shared" si="24"/>
        <v>Feb</v>
      </c>
      <c r="E421" t="str">
        <f t="shared" si="25"/>
        <v>2022</v>
      </c>
      <c r="F421" t="s">
        <v>4</v>
      </c>
      <c r="G421" t="s">
        <v>140</v>
      </c>
      <c r="H421" t="s">
        <v>919</v>
      </c>
      <c r="I421">
        <v>160</v>
      </c>
      <c r="J421">
        <v>16</v>
      </c>
      <c r="K421">
        <f t="shared" si="26"/>
        <v>10</v>
      </c>
      <c r="L421" t="s">
        <v>1741</v>
      </c>
      <c r="M421" t="s">
        <v>3810</v>
      </c>
      <c r="O421">
        <v>121004</v>
      </c>
      <c r="P421" t="s">
        <v>546</v>
      </c>
      <c r="Q421" t="s">
        <v>1759</v>
      </c>
      <c r="S421">
        <v>9.32</v>
      </c>
      <c r="T421">
        <v>4</v>
      </c>
      <c r="U421">
        <v>0.1</v>
      </c>
      <c r="V421">
        <v>2.7027999999999999</v>
      </c>
      <c r="W421">
        <f t="shared" si="27"/>
        <v>1.6543000000000001</v>
      </c>
      <c r="X421">
        <v>3</v>
      </c>
    </row>
    <row r="422" spans="1:24" x14ac:dyDescent="0.3">
      <c r="A422">
        <v>421</v>
      </c>
      <c r="B422" t="s">
        <v>2196</v>
      </c>
      <c r="C422" s="6">
        <v>44617</v>
      </c>
      <c r="D422" t="str">
        <f t="shared" si="24"/>
        <v>Feb</v>
      </c>
      <c r="E422" t="str">
        <f t="shared" si="25"/>
        <v>2022</v>
      </c>
      <c r="F422" t="s">
        <v>4</v>
      </c>
      <c r="G422" t="s">
        <v>140</v>
      </c>
      <c r="H422" t="s">
        <v>920</v>
      </c>
      <c r="I422">
        <v>240</v>
      </c>
      <c r="J422">
        <v>16</v>
      </c>
      <c r="K422">
        <f t="shared" si="26"/>
        <v>6.666666666666667</v>
      </c>
      <c r="L422" t="s">
        <v>1736</v>
      </c>
      <c r="M422" t="s">
        <v>3693</v>
      </c>
      <c r="N422" t="s">
        <v>1</v>
      </c>
      <c r="O422">
        <v>500028</v>
      </c>
      <c r="P422" t="s">
        <v>546</v>
      </c>
      <c r="Q422" t="s">
        <v>1759</v>
      </c>
      <c r="S422">
        <v>15.25</v>
      </c>
      <c r="T422">
        <v>1</v>
      </c>
      <c r="U422">
        <v>0.1</v>
      </c>
      <c r="V422">
        <v>7.0149999999999997</v>
      </c>
      <c r="W422">
        <f t="shared" si="27"/>
        <v>8.2349999999999994</v>
      </c>
      <c r="X422">
        <v>3</v>
      </c>
    </row>
    <row r="423" spans="1:24" x14ac:dyDescent="0.3">
      <c r="A423">
        <v>422</v>
      </c>
      <c r="B423" t="s">
        <v>2197</v>
      </c>
      <c r="C423" s="6">
        <v>44618</v>
      </c>
      <c r="D423" t="str">
        <f t="shared" si="24"/>
        <v>Feb</v>
      </c>
      <c r="E423" t="str">
        <f t="shared" si="25"/>
        <v>2022</v>
      </c>
      <c r="F423" t="s">
        <v>5</v>
      </c>
      <c r="G423" t="s">
        <v>39</v>
      </c>
      <c r="H423" t="s">
        <v>921</v>
      </c>
      <c r="I423">
        <v>100</v>
      </c>
      <c r="J423">
        <v>6</v>
      </c>
      <c r="K423">
        <f t="shared" si="26"/>
        <v>6</v>
      </c>
      <c r="L423" t="s">
        <v>1744</v>
      </c>
      <c r="M423" t="s">
        <v>3746</v>
      </c>
      <c r="N423" t="s">
        <v>1</v>
      </c>
      <c r="O423">
        <v>403509</v>
      </c>
      <c r="P423" t="s">
        <v>546</v>
      </c>
      <c r="Q423" t="s">
        <v>1770</v>
      </c>
      <c r="R423" t="s">
        <v>2</v>
      </c>
      <c r="S423">
        <v>196.75200000000001</v>
      </c>
      <c r="T423">
        <v>6</v>
      </c>
      <c r="U423">
        <v>0.2</v>
      </c>
      <c r="V423">
        <v>56.566200000000002</v>
      </c>
      <c r="W423">
        <f t="shared" si="27"/>
        <v>23.3643</v>
      </c>
      <c r="X423">
        <v>5</v>
      </c>
    </row>
    <row r="424" spans="1:24" x14ac:dyDescent="0.3">
      <c r="A424">
        <v>423</v>
      </c>
      <c r="B424" t="s">
        <v>2198</v>
      </c>
      <c r="C424" s="6">
        <v>44619</v>
      </c>
      <c r="D424" t="str">
        <f t="shared" si="24"/>
        <v>Feb</v>
      </c>
      <c r="E424" t="str">
        <f t="shared" si="25"/>
        <v>2022</v>
      </c>
      <c r="F424" t="s">
        <v>4</v>
      </c>
      <c r="G424" t="s">
        <v>179</v>
      </c>
      <c r="H424" t="s">
        <v>922</v>
      </c>
      <c r="I424">
        <v>100</v>
      </c>
      <c r="J424">
        <v>14</v>
      </c>
      <c r="K424">
        <f t="shared" si="26"/>
        <v>14.000000000000002</v>
      </c>
      <c r="L424" t="s">
        <v>1740</v>
      </c>
      <c r="M424" t="s">
        <v>3799</v>
      </c>
      <c r="O424">
        <v>403509</v>
      </c>
      <c r="P424" t="s">
        <v>546</v>
      </c>
      <c r="Q424" t="s">
        <v>1759</v>
      </c>
      <c r="S424">
        <v>56.56</v>
      </c>
      <c r="T424">
        <v>4</v>
      </c>
      <c r="U424">
        <v>0.1</v>
      </c>
      <c r="V424">
        <v>14.7056</v>
      </c>
      <c r="W424">
        <f t="shared" si="27"/>
        <v>10.4636</v>
      </c>
      <c r="X424">
        <v>1</v>
      </c>
    </row>
    <row r="425" spans="1:24" x14ac:dyDescent="0.3">
      <c r="A425">
        <v>424</v>
      </c>
      <c r="B425" t="s">
        <v>2199</v>
      </c>
      <c r="C425" s="6">
        <v>44620</v>
      </c>
      <c r="D425" t="str">
        <f t="shared" si="24"/>
        <v>Feb</v>
      </c>
      <c r="E425" t="str">
        <f t="shared" si="25"/>
        <v>2022</v>
      </c>
      <c r="F425" t="s">
        <v>4</v>
      </c>
      <c r="G425" t="s">
        <v>179</v>
      </c>
      <c r="H425" t="s">
        <v>923</v>
      </c>
      <c r="I425">
        <v>220</v>
      </c>
      <c r="J425">
        <v>12</v>
      </c>
      <c r="K425">
        <f t="shared" si="26"/>
        <v>5.4545454545454541</v>
      </c>
      <c r="L425" t="s">
        <v>1742</v>
      </c>
      <c r="M425" t="s">
        <v>3800</v>
      </c>
      <c r="N425" t="s">
        <v>1</v>
      </c>
      <c r="O425">
        <v>700159</v>
      </c>
      <c r="P425" t="s">
        <v>546</v>
      </c>
      <c r="Q425" t="s">
        <v>1755</v>
      </c>
      <c r="S425">
        <v>32.700000000000003</v>
      </c>
      <c r="T425">
        <v>3</v>
      </c>
      <c r="U425">
        <v>0.1</v>
      </c>
      <c r="V425">
        <v>8.5020000000000007</v>
      </c>
      <c r="W425">
        <f t="shared" si="27"/>
        <v>8.0660000000000007</v>
      </c>
      <c r="X425">
        <v>5</v>
      </c>
    </row>
    <row r="426" spans="1:24" x14ac:dyDescent="0.3">
      <c r="A426">
        <v>425</v>
      </c>
      <c r="B426" t="s">
        <v>2200</v>
      </c>
      <c r="C426" s="6">
        <v>44621</v>
      </c>
      <c r="D426" t="str">
        <f t="shared" si="24"/>
        <v>Mar</v>
      </c>
      <c r="E426" t="str">
        <f t="shared" si="25"/>
        <v>2022</v>
      </c>
      <c r="F426" t="s">
        <v>3</v>
      </c>
      <c r="G426" t="s">
        <v>180</v>
      </c>
      <c r="H426" t="s">
        <v>924</v>
      </c>
      <c r="I426">
        <v>110</v>
      </c>
      <c r="J426">
        <v>26</v>
      </c>
      <c r="K426">
        <f t="shared" si="26"/>
        <v>23.636363636363637</v>
      </c>
      <c r="L426" t="s">
        <v>1739</v>
      </c>
      <c r="M426" t="s">
        <v>3637</v>
      </c>
      <c r="N426" t="s">
        <v>1</v>
      </c>
      <c r="O426">
        <v>122001</v>
      </c>
      <c r="P426" t="s">
        <v>546</v>
      </c>
      <c r="Q426" t="s">
        <v>1761</v>
      </c>
      <c r="R426" t="s">
        <v>2</v>
      </c>
      <c r="S426">
        <v>866.4</v>
      </c>
      <c r="T426">
        <v>4</v>
      </c>
      <c r="U426">
        <v>0.1</v>
      </c>
      <c r="V426">
        <v>225.26400000000001</v>
      </c>
      <c r="W426">
        <f t="shared" si="27"/>
        <v>160.28399999999999</v>
      </c>
      <c r="X426">
        <v>2</v>
      </c>
    </row>
    <row r="427" spans="1:24" x14ac:dyDescent="0.3">
      <c r="A427">
        <v>426</v>
      </c>
      <c r="B427" t="s">
        <v>2201</v>
      </c>
      <c r="C427" s="6">
        <v>44622</v>
      </c>
      <c r="D427" t="str">
        <f t="shared" si="24"/>
        <v>Mar</v>
      </c>
      <c r="E427" t="str">
        <f t="shared" si="25"/>
        <v>2022</v>
      </c>
      <c r="F427" t="s">
        <v>3</v>
      </c>
      <c r="G427" t="s">
        <v>32</v>
      </c>
      <c r="H427" t="s">
        <v>925</v>
      </c>
      <c r="I427">
        <v>120</v>
      </c>
      <c r="J427">
        <v>14</v>
      </c>
      <c r="K427">
        <f t="shared" si="26"/>
        <v>11.666666666666666</v>
      </c>
      <c r="L427" t="s">
        <v>1738</v>
      </c>
      <c r="M427" t="s">
        <v>3814</v>
      </c>
      <c r="N427" t="s">
        <v>1</v>
      </c>
      <c r="O427">
        <v>122001</v>
      </c>
      <c r="P427" t="s">
        <v>546</v>
      </c>
      <c r="Q427" t="s">
        <v>1768</v>
      </c>
      <c r="S427">
        <v>28.4</v>
      </c>
      <c r="T427">
        <v>2</v>
      </c>
      <c r="U427">
        <v>0.1</v>
      </c>
      <c r="V427">
        <v>11.076000000000001</v>
      </c>
      <c r="W427">
        <f t="shared" si="27"/>
        <v>8.661999999999999</v>
      </c>
      <c r="X427">
        <v>1</v>
      </c>
    </row>
    <row r="428" spans="1:24" x14ac:dyDescent="0.3">
      <c r="A428">
        <v>427</v>
      </c>
      <c r="B428" t="s">
        <v>2202</v>
      </c>
      <c r="C428" s="6">
        <v>44623</v>
      </c>
      <c r="D428" t="str">
        <f t="shared" si="24"/>
        <v>Mar</v>
      </c>
      <c r="E428" t="str">
        <f t="shared" si="25"/>
        <v>2022</v>
      </c>
      <c r="F428" t="s">
        <v>3</v>
      </c>
      <c r="G428" t="s">
        <v>32</v>
      </c>
      <c r="H428" t="s">
        <v>926</v>
      </c>
      <c r="I428">
        <v>170</v>
      </c>
      <c r="J428">
        <v>24</v>
      </c>
      <c r="K428">
        <f t="shared" si="26"/>
        <v>14.117647058823529</v>
      </c>
      <c r="L428" t="s">
        <v>1737</v>
      </c>
      <c r="M428" t="s">
        <v>3813</v>
      </c>
      <c r="N428" t="s">
        <v>1</v>
      </c>
      <c r="O428">
        <v>560043</v>
      </c>
      <c r="P428" t="s">
        <v>546</v>
      </c>
      <c r="Q428" t="s">
        <v>1756</v>
      </c>
      <c r="S428">
        <v>287.92</v>
      </c>
      <c r="T428">
        <v>8</v>
      </c>
      <c r="U428">
        <v>0.1</v>
      </c>
      <c r="V428">
        <v>138.20160000000001</v>
      </c>
      <c r="W428">
        <f t="shared" si="27"/>
        <v>18.7148</v>
      </c>
      <c r="X428">
        <v>4</v>
      </c>
    </row>
    <row r="429" spans="1:24" x14ac:dyDescent="0.3">
      <c r="A429">
        <v>428</v>
      </c>
      <c r="B429" t="s">
        <v>2203</v>
      </c>
      <c r="C429" s="6">
        <v>44624</v>
      </c>
      <c r="D429" t="str">
        <f t="shared" si="24"/>
        <v>Mar</v>
      </c>
      <c r="E429" t="str">
        <f t="shared" si="25"/>
        <v>2022</v>
      </c>
      <c r="F429" t="s">
        <v>5</v>
      </c>
      <c r="G429" t="s">
        <v>181</v>
      </c>
      <c r="H429" t="s">
        <v>927</v>
      </c>
      <c r="I429">
        <v>180</v>
      </c>
      <c r="J429">
        <v>14</v>
      </c>
      <c r="K429">
        <f t="shared" si="26"/>
        <v>7.7777777777777777</v>
      </c>
      <c r="L429" t="s">
        <v>1743</v>
      </c>
      <c r="M429" t="s">
        <v>3610</v>
      </c>
      <c r="N429" t="s">
        <v>1</v>
      </c>
      <c r="O429">
        <v>422001</v>
      </c>
      <c r="P429" t="s">
        <v>546</v>
      </c>
      <c r="Q429" t="s">
        <v>1758</v>
      </c>
      <c r="S429">
        <v>69.989999999999995</v>
      </c>
      <c r="T429">
        <v>1</v>
      </c>
      <c r="U429">
        <v>0.1</v>
      </c>
      <c r="V429">
        <v>30.095700000000001</v>
      </c>
      <c r="W429">
        <f t="shared" si="27"/>
        <v>39.894299999999994</v>
      </c>
      <c r="X429">
        <v>1</v>
      </c>
    </row>
    <row r="430" spans="1:24" x14ac:dyDescent="0.3">
      <c r="A430">
        <v>429</v>
      </c>
      <c r="B430" t="s">
        <v>2204</v>
      </c>
      <c r="C430" s="6">
        <v>44625</v>
      </c>
      <c r="D430" t="str">
        <f t="shared" si="24"/>
        <v>Mar</v>
      </c>
      <c r="E430" t="str">
        <f t="shared" si="25"/>
        <v>2022</v>
      </c>
      <c r="F430" t="s">
        <v>4</v>
      </c>
      <c r="G430" t="s">
        <v>182</v>
      </c>
      <c r="H430" t="s">
        <v>928</v>
      </c>
      <c r="I430">
        <v>160</v>
      </c>
      <c r="J430">
        <v>24</v>
      </c>
      <c r="K430">
        <f t="shared" si="26"/>
        <v>15</v>
      </c>
      <c r="L430" t="s">
        <v>1738</v>
      </c>
      <c r="M430" t="s">
        <v>3807</v>
      </c>
      <c r="N430" t="s">
        <v>1</v>
      </c>
      <c r="O430">
        <v>221106</v>
      </c>
      <c r="P430" t="s">
        <v>546</v>
      </c>
      <c r="Q430" t="s">
        <v>1768</v>
      </c>
      <c r="S430">
        <v>6.6719999999999997</v>
      </c>
      <c r="T430">
        <v>6</v>
      </c>
      <c r="U430">
        <v>0.2</v>
      </c>
      <c r="V430">
        <v>0.50039999999999996</v>
      </c>
      <c r="W430">
        <f t="shared" si="27"/>
        <v>1.0286</v>
      </c>
      <c r="X430">
        <v>3</v>
      </c>
    </row>
    <row r="431" spans="1:24" x14ac:dyDescent="0.3">
      <c r="A431">
        <v>430</v>
      </c>
      <c r="B431" t="s">
        <v>2205</v>
      </c>
      <c r="C431" s="6">
        <v>44626</v>
      </c>
      <c r="D431" t="str">
        <f t="shared" si="24"/>
        <v>Mar</v>
      </c>
      <c r="E431" t="str">
        <f t="shared" si="25"/>
        <v>2022</v>
      </c>
      <c r="F431" t="s">
        <v>4</v>
      </c>
      <c r="G431" t="s">
        <v>183</v>
      </c>
      <c r="H431" t="s">
        <v>929</v>
      </c>
      <c r="I431">
        <v>170</v>
      </c>
      <c r="J431">
        <v>30</v>
      </c>
      <c r="K431">
        <f t="shared" si="26"/>
        <v>17.647058823529413</v>
      </c>
      <c r="L431" t="s">
        <v>1739</v>
      </c>
      <c r="M431" t="s">
        <v>3707</v>
      </c>
      <c r="O431">
        <v>121004</v>
      </c>
      <c r="P431" t="s">
        <v>546</v>
      </c>
      <c r="Q431" t="s">
        <v>1775</v>
      </c>
      <c r="S431">
        <v>189.58799999999999</v>
      </c>
      <c r="T431">
        <v>2</v>
      </c>
      <c r="U431">
        <v>0.7</v>
      </c>
      <c r="V431">
        <v>-145.35079999999999</v>
      </c>
      <c r="W431">
        <f t="shared" si="27"/>
        <v>167.46940000000001</v>
      </c>
      <c r="X431">
        <v>3</v>
      </c>
    </row>
    <row r="432" spans="1:24" x14ac:dyDescent="0.3">
      <c r="A432">
        <v>431</v>
      </c>
      <c r="B432" t="s">
        <v>2206</v>
      </c>
      <c r="C432" s="6">
        <v>44627</v>
      </c>
      <c r="D432" t="str">
        <f t="shared" si="24"/>
        <v>Mar</v>
      </c>
      <c r="E432" t="str">
        <f t="shared" si="25"/>
        <v>2022</v>
      </c>
      <c r="F432" t="s">
        <v>4</v>
      </c>
      <c r="G432" t="s">
        <v>183</v>
      </c>
      <c r="H432" t="s">
        <v>718</v>
      </c>
      <c r="I432">
        <v>220</v>
      </c>
      <c r="J432">
        <v>10</v>
      </c>
      <c r="K432">
        <f t="shared" si="26"/>
        <v>4.5454545454545459</v>
      </c>
      <c r="L432" t="s">
        <v>1741</v>
      </c>
      <c r="M432" t="s">
        <v>3805</v>
      </c>
      <c r="N432" t="s">
        <v>1</v>
      </c>
      <c r="O432">
        <v>713216</v>
      </c>
      <c r="P432" t="s">
        <v>546</v>
      </c>
      <c r="Q432" t="s">
        <v>1775</v>
      </c>
      <c r="S432">
        <v>408.74400000000003</v>
      </c>
      <c r="T432">
        <v>7</v>
      </c>
      <c r="U432">
        <v>0.2</v>
      </c>
      <c r="V432">
        <v>76.639499999999998</v>
      </c>
      <c r="W432">
        <f t="shared" si="27"/>
        <v>47.443500000000007</v>
      </c>
      <c r="X432">
        <v>1</v>
      </c>
    </row>
    <row r="433" spans="1:24" x14ac:dyDescent="0.3">
      <c r="A433">
        <v>432</v>
      </c>
      <c r="B433" t="s">
        <v>2207</v>
      </c>
      <c r="C433" s="6">
        <v>44628</v>
      </c>
      <c r="D433" t="str">
        <f t="shared" si="24"/>
        <v>Mar</v>
      </c>
      <c r="E433" t="str">
        <f t="shared" si="25"/>
        <v>2022</v>
      </c>
      <c r="F433" t="s">
        <v>4</v>
      </c>
      <c r="G433" t="s">
        <v>183</v>
      </c>
      <c r="H433" t="s">
        <v>718</v>
      </c>
      <c r="I433">
        <v>180</v>
      </c>
      <c r="J433">
        <v>10</v>
      </c>
      <c r="K433">
        <f t="shared" si="26"/>
        <v>5.5555555555555554</v>
      </c>
      <c r="L433" t="s">
        <v>1736</v>
      </c>
      <c r="M433" t="s">
        <v>3797</v>
      </c>
      <c r="N433" t="s">
        <v>1</v>
      </c>
      <c r="O433">
        <v>500008</v>
      </c>
      <c r="P433" t="s">
        <v>546</v>
      </c>
      <c r="Q433" t="s">
        <v>1763</v>
      </c>
      <c r="S433">
        <v>291.95999999999998</v>
      </c>
      <c r="T433">
        <v>5</v>
      </c>
      <c r="U433">
        <v>0.2</v>
      </c>
      <c r="V433">
        <v>54.7425</v>
      </c>
      <c r="W433">
        <f t="shared" si="27"/>
        <v>47.443499999999993</v>
      </c>
      <c r="X433">
        <v>3</v>
      </c>
    </row>
    <row r="434" spans="1:24" x14ac:dyDescent="0.3">
      <c r="A434">
        <v>433</v>
      </c>
      <c r="B434" t="s">
        <v>2208</v>
      </c>
      <c r="C434" s="6">
        <v>44629</v>
      </c>
      <c r="D434" t="str">
        <f t="shared" si="24"/>
        <v>Mar</v>
      </c>
      <c r="E434" t="str">
        <f t="shared" si="25"/>
        <v>2022</v>
      </c>
      <c r="F434" t="s">
        <v>4</v>
      </c>
      <c r="G434" t="s">
        <v>183</v>
      </c>
      <c r="H434" t="s">
        <v>930</v>
      </c>
      <c r="I434">
        <v>130</v>
      </c>
      <c r="J434">
        <v>14</v>
      </c>
      <c r="K434">
        <f t="shared" si="26"/>
        <v>10.76923076923077</v>
      </c>
      <c r="L434" t="s">
        <v>1744</v>
      </c>
      <c r="M434" t="s">
        <v>3685</v>
      </c>
      <c r="O434">
        <v>201303</v>
      </c>
      <c r="P434" t="s">
        <v>546</v>
      </c>
      <c r="Q434" t="s">
        <v>1755</v>
      </c>
      <c r="S434">
        <v>4.7679999999999998</v>
      </c>
      <c r="T434">
        <v>2</v>
      </c>
      <c r="U434">
        <v>0.2</v>
      </c>
      <c r="V434">
        <v>-0.77480000000000004</v>
      </c>
      <c r="W434">
        <f t="shared" si="27"/>
        <v>2.7713999999999999</v>
      </c>
      <c r="X434">
        <v>2</v>
      </c>
    </row>
    <row r="435" spans="1:24" x14ac:dyDescent="0.3">
      <c r="A435">
        <v>434</v>
      </c>
      <c r="B435" t="s">
        <v>2209</v>
      </c>
      <c r="C435" s="6">
        <v>44630</v>
      </c>
      <c r="D435" t="str">
        <f t="shared" si="24"/>
        <v>Mar</v>
      </c>
      <c r="E435" t="str">
        <f t="shared" si="25"/>
        <v>2022</v>
      </c>
      <c r="F435" t="s">
        <v>5</v>
      </c>
      <c r="G435" t="s">
        <v>79</v>
      </c>
      <c r="H435" t="s">
        <v>931</v>
      </c>
      <c r="I435">
        <v>110</v>
      </c>
      <c r="J435">
        <v>6</v>
      </c>
      <c r="K435">
        <f t="shared" si="26"/>
        <v>5.4545454545454541</v>
      </c>
      <c r="L435" t="s">
        <v>1740</v>
      </c>
      <c r="M435" t="s">
        <v>3791</v>
      </c>
      <c r="N435" t="s">
        <v>1</v>
      </c>
      <c r="O435">
        <v>600091</v>
      </c>
      <c r="P435" t="s">
        <v>546</v>
      </c>
      <c r="Q435" t="s">
        <v>1756</v>
      </c>
      <c r="S435">
        <v>714.3</v>
      </c>
      <c r="T435">
        <v>5</v>
      </c>
      <c r="U435">
        <v>0.1</v>
      </c>
      <c r="V435">
        <v>207.14699999999999</v>
      </c>
      <c r="W435">
        <f t="shared" si="27"/>
        <v>101.4306</v>
      </c>
      <c r="X435">
        <v>3</v>
      </c>
    </row>
    <row r="436" spans="1:24" x14ac:dyDescent="0.3">
      <c r="A436">
        <v>435</v>
      </c>
      <c r="B436" t="s">
        <v>2210</v>
      </c>
      <c r="C436" s="6">
        <v>44631</v>
      </c>
      <c r="D436" t="str">
        <f t="shared" si="24"/>
        <v>Mar</v>
      </c>
      <c r="E436" t="str">
        <f t="shared" si="25"/>
        <v>2022</v>
      </c>
      <c r="F436" t="s">
        <v>4</v>
      </c>
      <c r="G436" t="s">
        <v>184</v>
      </c>
      <c r="H436" t="s">
        <v>932</v>
      </c>
      <c r="I436">
        <v>120</v>
      </c>
      <c r="J436">
        <v>16</v>
      </c>
      <c r="K436">
        <f t="shared" si="26"/>
        <v>13.333333333333334</v>
      </c>
      <c r="L436" t="s">
        <v>1742</v>
      </c>
      <c r="M436" t="s">
        <v>3647</v>
      </c>
      <c r="N436" t="s">
        <v>1</v>
      </c>
      <c r="O436">
        <v>122004</v>
      </c>
      <c r="P436" t="s">
        <v>546</v>
      </c>
      <c r="Q436" t="s">
        <v>1759</v>
      </c>
      <c r="S436">
        <v>4.8120000000000003</v>
      </c>
      <c r="T436">
        <v>2</v>
      </c>
      <c r="U436">
        <v>0.7</v>
      </c>
      <c r="V436">
        <v>-3.6892</v>
      </c>
      <c r="W436">
        <f t="shared" si="27"/>
        <v>4.2506000000000004</v>
      </c>
      <c r="X436">
        <v>5</v>
      </c>
    </row>
    <row r="437" spans="1:24" x14ac:dyDescent="0.3">
      <c r="A437">
        <v>436</v>
      </c>
      <c r="B437" t="s">
        <v>2211</v>
      </c>
      <c r="C437" s="6">
        <v>44632</v>
      </c>
      <c r="D437" t="str">
        <f t="shared" si="24"/>
        <v>Mar</v>
      </c>
      <c r="E437" t="str">
        <f t="shared" si="25"/>
        <v>2022</v>
      </c>
      <c r="F437" t="s">
        <v>4</v>
      </c>
      <c r="G437" t="s">
        <v>184</v>
      </c>
      <c r="H437" t="s">
        <v>933</v>
      </c>
      <c r="I437">
        <v>220</v>
      </c>
      <c r="J437">
        <v>20</v>
      </c>
      <c r="K437">
        <f t="shared" si="26"/>
        <v>9.0909090909090917</v>
      </c>
      <c r="L437" t="s">
        <v>1739</v>
      </c>
      <c r="M437" t="s">
        <v>3697</v>
      </c>
      <c r="N437" t="s">
        <v>1</v>
      </c>
      <c r="O437">
        <v>560095</v>
      </c>
      <c r="P437" t="s">
        <v>546</v>
      </c>
      <c r="Q437" t="s">
        <v>1769</v>
      </c>
      <c r="S437">
        <v>247.8</v>
      </c>
      <c r="T437">
        <v>5</v>
      </c>
      <c r="U437">
        <v>0.2</v>
      </c>
      <c r="V437">
        <v>-18.585000000000001</v>
      </c>
      <c r="W437">
        <f t="shared" si="27"/>
        <v>53.277000000000001</v>
      </c>
      <c r="X437">
        <v>3</v>
      </c>
    </row>
    <row r="438" spans="1:24" x14ac:dyDescent="0.3">
      <c r="A438">
        <v>437</v>
      </c>
      <c r="B438" t="s">
        <v>2212</v>
      </c>
      <c r="C438" s="6">
        <v>44633</v>
      </c>
      <c r="D438" t="str">
        <f t="shared" si="24"/>
        <v>Mar</v>
      </c>
      <c r="E438" t="str">
        <f t="shared" si="25"/>
        <v>2022</v>
      </c>
      <c r="F438" t="s">
        <v>3</v>
      </c>
      <c r="G438" t="s">
        <v>185</v>
      </c>
      <c r="H438" t="s">
        <v>934</v>
      </c>
      <c r="I438">
        <v>170</v>
      </c>
      <c r="J438">
        <v>8</v>
      </c>
      <c r="K438">
        <f t="shared" si="26"/>
        <v>4.7058823529411766</v>
      </c>
      <c r="L438" t="s">
        <v>1738</v>
      </c>
      <c r="M438" t="s">
        <v>3801</v>
      </c>
      <c r="N438" t="s">
        <v>1</v>
      </c>
      <c r="O438">
        <v>560095</v>
      </c>
      <c r="P438" t="s">
        <v>546</v>
      </c>
      <c r="Q438" t="s">
        <v>1756</v>
      </c>
      <c r="S438">
        <v>1007.979</v>
      </c>
      <c r="T438">
        <v>3</v>
      </c>
      <c r="U438">
        <v>0.3</v>
      </c>
      <c r="V438">
        <v>43.199100000000001</v>
      </c>
      <c r="W438">
        <f t="shared" si="27"/>
        <v>321.5933</v>
      </c>
      <c r="X438">
        <v>3</v>
      </c>
    </row>
    <row r="439" spans="1:24" x14ac:dyDescent="0.3">
      <c r="A439">
        <v>438</v>
      </c>
      <c r="B439" t="s">
        <v>2213</v>
      </c>
      <c r="C439" s="6">
        <v>44634</v>
      </c>
      <c r="D439" t="str">
        <f t="shared" si="24"/>
        <v>Mar</v>
      </c>
      <c r="E439" t="str">
        <f t="shared" si="25"/>
        <v>2022</v>
      </c>
      <c r="F439" t="s">
        <v>3</v>
      </c>
      <c r="G439" t="s">
        <v>185</v>
      </c>
      <c r="H439" t="s">
        <v>861</v>
      </c>
      <c r="I439">
        <v>200</v>
      </c>
      <c r="J439">
        <v>12</v>
      </c>
      <c r="K439">
        <f t="shared" si="26"/>
        <v>6</v>
      </c>
      <c r="L439" t="s">
        <v>1737</v>
      </c>
      <c r="M439" t="s">
        <v>3787</v>
      </c>
      <c r="N439" t="s">
        <v>1</v>
      </c>
      <c r="O439">
        <v>390025</v>
      </c>
      <c r="P439" t="s">
        <v>546</v>
      </c>
      <c r="Q439" t="s">
        <v>1772</v>
      </c>
      <c r="S439">
        <v>313.488</v>
      </c>
      <c r="T439">
        <v>7</v>
      </c>
      <c r="U439">
        <v>0.2</v>
      </c>
      <c r="V439">
        <v>113.63939999999999</v>
      </c>
      <c r="W439">
        <f t="shared" si="27"/>
        <v>28.549800000000001</v>
      </c>
      <c r="X439">
        <v>4</v>
      </c>
    </row>
    <row r="440" spans="1:24" x14ac:dyDescent="0.3">
      <c r="A440">
        <v>439</v>
      </c>
      <c r="B440" t="s">
        <v>2214</v>
      </c>
      <c r="C440" s="6">
        <v>44635</v>
      </c>
      <c r="D440" t="str">
        <f t="shared" si="24"/>
        <v>Mar</v>
      </c>
      <c r="E440" t="str">
        <f t="shared" si="25"/>
        <v>2022</v>
      </c>
      <c r="F440" t="s">
        <v>4</v>
      </c>
      <c r="G440" t="s">
        <v>186</v>
      </c>
      <c r="H440" t="s">
        <v>935</v>
      </c>
      <c r="I440">
        <v>150</v>
      </c>
      <c r="J440">
        <v>20</v>
      </c>
      <c r="K440">
        <f t="shared" si="26"/>
        <v>13.333333333333334</v>
      </c>
      <c r="L440" t="s">
        <v>1743</v>
      </c>
      <c r="M440" t="s">
        <v>3736</v>
      </c>
      <c r="N440" t="s">
        <v>1</v>
      </c>
      <c r="O440">
        <v>560095</v>
      </c>
      <c r="P440" t="s">
        <v>546</v>
      </c>
      <c r="Q440" t="s">
        <v>1759</v>
      </c>
      <c r="S440">
        <v>31.872</v>
      </c>
      <c r="T440">
        <v>8</v>
      </c>
      <c r="U440">
        <v>0.2</v>
      </c>
      <c r="V440">
        <v>11.553599999999999</v>
      </c>
      <c r="W440">
        <f t="shared" si="27"/>
        <v>2.5398000000000001</v>
      </c>
      <c r="X440">
        <v>2</v>
      </c>
    </row>
    <row r="441" spans="1:24" x14ac:dyDescent="0.3">
      <c r="A441">
        <v>440</v>
      </c>
      <c r="B441" t="s">
        <v>2215</v>
      </c>
      <c r="C441" s="6">
        <v>44636</v>
      </c>
      <c r="D441" t="str">
        <f t="shared" si="24"/>
        <v>Mar</v>
      </c>
      <c r="E441" t="str">
        <f t="shared" si="25"/>
        <v>2022</v>
      </c>
      <c r="F441" t="s">
        <v>3</v>
      </c>
      <c r="G441" t="s">
        <v>58</v>
      </c>
      <c r="H441" t="s">
        <v>936</v>
      </c>
      <c r="I441">
        <v>220</v>
      </c>
      <c r="J441">
        <v>14</v>
      </c>
      <c r="K441">
        <f t="shared" si="26"/>
        <v>6.3636363636363633</v>
      </c>
      <c r="L441" t="s">
        <v>1738</v>
      </c>
      <c r="M441" t="s">
        <v>3804</v>
      </c>
      <c r="N441" t="s">
        <v>1</v>
      </c>
      <c r="O441">
        <v>600092</v>
      </c>
      <c r="P441" t="s">
        <v>546</v>
      </c>
      <c r="Q441" t="s">
        <v>1776</v>
      </c>
      <c r="R441" t="s">
        <v>2</v>
      </c>
      <c r="S441">
        <v>207.846</v>
      </c>
      <c r="T441">
        <v>3</v>
      </c>
      <c r="U441">
        <v>0.11</v>
      </c>
      <c r="V441">
        <v>2.3094000000000001</v>
      </c>
      <c r="W441">
        <f t="shared" si="27"/>
        <v>68.512199999999993</v>
      </c>
      <c r="X441">
        <v>1</v>
      </c>
    </row>
    <row r="442" spans="1:24" x14ac:dyDescent="0.3">
      <c r="A442">
        <v>441</v>
      </c>
      <c r="B442" t="s">
        <v>2216</v>
      </c>
      <c r="C442" s="6">
        <v>44637</v>
      </c>
      <c r="D442" t="str">
        <f t="shared" si="24"/>
        <v>Mar</v>
      </c>
      <c r="E442" t="str">
        <f t="shared" si="25"/>
        <v>2022</v>
      </c>
      <c r="F442" t="s">
        <v>3</v>
      </c>
      <c r="G442" t="s">
        <v>14</v>
      </c>
      <c r="H442" t="s">
        <v>937</v>
      </c>
      <c r="I442">
        <v>250</v>
      </c>
      <c r="J442">
        <v>30</v>
      </c>
      <c r="K442">
        <f t="shared" si="26"/>
        <v>12</v>
      </c>
      <c r="L442" t="s">
        <v>1739</v>
      </c>
      <c r="M442" t="s">
        <v>3588</v>
      </c>
      <c r="N442" t="s">
        <v>1</v>
      </c>
      <c r="O442">
        <v>682024</v>
      </c>
      <c r="P442" t="s">
        <v>546</v>
      </c>
      <c r="Q442" t="s">
        <v>1763</v>
      </c>
      <c r="S442">
        <v>12.22</v>
      </c>
      <c r="T442">
        <v>1</v>
      </c>
      <c r="U442">
        <v>0.1</v>
      </c>
      <c r="V442">
        <v>3.6659999999999999</v>
      </c>
      <c r="W442">
        <f t="shared" si="27"/>
        <v>8.5540000000000003</v>
      </c>
      <c r="X442">
        <v>3</v>
      </c>
    </row>
    <row r="443" spans="1:24" x14ac:dyDescent="0.3">
      <c r="A443">
        <v>442</v>
      </c>
      <c r="B443" t="s">
        <v>2217</v>
      </c>
      <c r="C443" s="6">
        <v>44638</v>
      </c>
      <c r="D443" t="str">
        <f t="shared" si="24"/>
        <v>Mar</v>
      </c>
      <c r="E443" t="str">
        <f t="shared" si="25"/>
        <v>2022</v>
      </c>
      <c r="F443" t="s">
        <v>3</v>
      </c>
      <c r="G443" t="s">
        <v>14</v>
      </c>
      <c r="H443" t="s">
        <v>938</v>
      </c>
      <c r="I443">
        <v>240</v>
      </c>
      <c r="J443">
        <v>24</v>
      </c>
      <c r="K443">
        <f t="shared" si="26"/>
        <v>10</v>
      </c>
      <c r="L443" t="s">
        <v>1741</v>
      </c>
      <c r="M443" t="s">
        <v>3789</v>
      </c>
      <c r="N443" t="s">
        <v>1</v>
      </c>
      <c r="O443">
        <v>176310</v>
      </c>
      <c r="P443" t="s">
        <v>546</v>
      </c>
      <c r="Q443" t="s">
        <v>1768</v>
      </c>
      <c r="S443">
        <v>194.94</v>
      </c>
      <c r="T443">
        <v>3</v>
      </c>
      <c r="U443">
        <v>0.1</v>
      </c>
      <c r="V443">
        <v>23.392800000000001</v>
      </c>
      <c r="W443">
        <f t="shared" si="27"/>
        <v>57.182400000000001</v>
      </c>
      <c r="X443">
        <v>2</v>
      </c>
    </row>
    <row r="444" spans="1:24" x14ac:dyDescent="0.3">
      <c r="A444">
        <v>443</v>
      </c>
      <c r="B444" t="s">
        <v>2218</v>
      </c>
      <c r="C444" s="6">
        <v>44639</v>
      </c>
      <c r="D444" t="str">
        <f t="shared" si="24"/>
        <v>Mar</v>
      </c>
      <c r="E444" t="str">
        <f t="shared" si="25"/>
        <v>2022</v>
      </c>
      <c r="F444" t="s">
        <v>3</v>
      </c>
      <c r="G444" t="s">
        <v>14</v>
      </c>
      <c r="H444" t="s">
        <v>939</v>
      </c>
      <c r="I444">
        <v>210</v>
      </c>
      <c r="J444">
        <v>12</v>
      </c>
      <c r="K444">
        <f t="shared" si="26"/>
        <v>5.7142857142857144</v>
      </c>
      <c r="L444" t="s">
        <v>1736</v>
      </c>
      <c r="M444" t="s">
        <v>3790</v>
      </c>
      <c r="N444" t="s">
        <v>1</v>
      </c>
      <c r="O444">
        <v>226010</v>
      </c>
      <c r="P444" t="s">
        <v>546</v>
      </c>
      <c r="Q444" t="s">
        <v>1773</v>
      </c>
      <c r="S444">
        <v>70.95</v>
      </c>
      <c r="T444">
        <v>3</v>
      </c>
      <c r="U444">
        <v>0.1</v>
      </c>
      <c r="V444">
        <v>20.575500000000002</v>
      </c>
      <c r="W444">
        <f t="shared" si="27"/>
        <v>16.791499999999999</v>
      </c>
      <c r="X444">
        <v>3</v>
      </c>
    </row>
    <row r="445" spans="1:24" x14ac:dyDescent="0.3">
      <c r="A445">
        <v>444</v>
      </c>
      <c r="B445" t="s">
        <v>2219</v>
      </c>
      <c r="C445" s="6">
        <v>44640</v>
      </c>
      <c r="D445" t="str">
        <f t="shared" si="24"/>
        <v>Mar</v>
      </c>
      <c r="E445" t="str">
        <f t="shared" si="25"/>
        <v>2022</v>
      </c>
      <c r="F445" t="s">
        <v>3</v>
      </c>
      <c r="G445" t="s">
        <v>14</v>
      </c>
      <c r="H445" t="s">
        <v>940</v>
      </c>
      <c r="I445">
        <v>190</v>
      </c>
      <c r="J445">
        <v>30</v>
      </c>
      <c r="K445">
        <f t="shared" si="26"/>
        <v>15.789473684210526</v>
      </c>
      <c r="L445" t="s">
        <v>1744</v>
      </c>
      <c r="M445" t="s">
        <v>3798</v>
      </c>
      <c r="N445" t="s">
        <v>1</v>
      </c>
      <c r="O445">
        <v>410218</v>
      </c>
      <c r="P445" t="s">
        <v>546</v>
      </c>
      <c r="Q445" t="s">
        <v>1759</v>
      </c>
      <c r="S445">
        <v>91.36</v>
      </c>
      <c r="T445">
        <v>4</v>
      </c>
      <c r="U445">
        <v>0.1</v>
      </c>
      <c r="V445">
        <v>42.025599999999997</v>
      </c>
      <c r="W445">
        <f t="shared" si="27"/>
        <v>12.333600000000001</v>
      </c>
      <c r="X445">
        <v>1</v>
      </c>
    </row>
    <row r="446" spans="1:24" x14ac:dyDescent="0.3">
      <c r="A446">
        <v>445</v>
      </c>
      <c r="B446" t="s">
        <v>2220</v>
      </c>
      <c r="C446" s="6">
        <v>44641</v>
      </c>
      <c r="D446" t="str">
        <f t="shared" si="24"/>
        <v>Mar</v>
      </c>
      <c r="E446" t="str">
        <f t="shared" si="25"/>
        <v>2022</v>
      </c>
      <c r="F446" t="s">
        <v>3</v>
      </c>
      <c r="G446" t="s">
        <v>14</v>
      </c>
      <c r="H446" t="s">
        <v>941</v>
      </c>
      <c r="I446">
        <v>140</v>
      </c>
      <c r="J446">
        <v>6</v>
      </c>
      <c r="K446">
        <f t="shared" si="26"/>
        <v>4.2857142857142856</v>
      </c>
      <c r="L446" t="s">
        <v>1740</v>
      </c>
      <c r="M446" t="s">
        <v>3834</v>
      </c>
      <c r="N446" t="s">
        <v>1</v>
      </c>
      <c r="O446">
        <v>411041</v>
      </c>
      <c r="P446" t="s">
        <v>546</v>
      </c>
      <c r="Q446" t="s">
        <v>1755</v>
      </c>
      <c r="S446">
        <v>242.94</v>
      </c>
      <c r="T446">
        <v>3</v>
      </c>
      <c r="U446">
        <v>0.1</v>
      </c>
      <c r="V446">
        <v>29.152799999999999</v>
      </c>
      <c r="W446">
        <f t="shared" si="27"/>
        <v>71.2624</v>
      </c>
      <c r="X446">
        <v>3</v>
      </c>
    </row>
    <row r="447" spans="1:24" x14ac:dyDescent="0.3">
      <c r="A447">
        <v>446</v>
      </c>
      <c r="B447" t="s">
        <v>2221</v>
      </c>
      <c r="C447" s="6">
        <v>44642</v>
      </c>
      <c r="D447" t="str">
        <f t="shared" si="24"/>
        <v>Mar</v>
      </c>
      <c r="E447" t="str">
        <f t="shared" si="25"/>
        <v>2022</v>
      </c>
      <c r="F447" t="s">
        <v>3</v>
      </c>
      <c r="G447" t="s">
        <v>14</v>
      </c>
      <c r="H447" t="s">
        <v>942</v>
      </c>
      <c r="I447">
        <v>220</v>
      </c>
      <c r="J447">
        <v>30</v>
      </c>
      <c r="K447">
        <f t="shared" si="26"/>
        <v>13.636363636363635</v>
      </c>
      <c r="L447" t="s">
        <v>1742</v>
      </c>
      <c r="M447" t="s">
        <v>3776</v>
      </c>
      <c r="N447" t="s">
        <v>1</v>
      </c>
      <c r="O447">
        <v>600001</v>
      </c>
      <c r="P447" t="s">
        <v>546</v>
      </c>
      <c r="Q447" t="s">
        <v>1759</v>
      </c>
      <c r="S447">
        <v>22.05</v>
      </c>
      <c r="T447">
        <v>7</v>
      </c>
      <c r="U447">
        <v>0.1</v>
      </c>
      <c r="V447">
        <v>10.584</v>
      </c>
      <c r="W447">
        <f t="shared" si="27"/>
        <v>1.6380000000000001</v>
      </c>
      <c r="X447">
        <v>3</v>
      </c>
    </row>
    <row r="448" spans="1:24" x14ac:dyDescent="0.3">
      <c r="A448">
        <v>447</v>
      </c>
      <c r="B448" t="s">
        <v>2222</v>
      </c>
      <c r="C448" s="6">
        <v>44643</v>
      </c>
      <c r="D448" t="str">
        <f t="shared" si="24"/>
        <v>Mar</v>
      </c>
      <c r="E448" t="str">
        <f t="shared" si="25"/>
        <v>2022</v>
      </c>
      <c r="F448" t="s">
        <v>3</v>
      </c>
      <c r="G448" t="s">
        <v>187</v>
      </c>
      <c r="H448" t="s">
        <v>943</v>
      </c>
      <c r="I448">
        <v>160</v>
      </c>
      <c r="J448">
        <v>22</v>
      </c>
      <c r="K448">
        <f t="shared" si="26"/>
        <v>13.750000000000002</v>
      </c>
      <c r="L448" t="s">
        <v>1739</v>
      </c>
      <c r="M448" t="s">
        <v>3785</v>
      </c>
      <c r="N448" t="s">
        <v>1</v>
      </c>
      <c r="O448">
        <v>682023</v>
      </c>
      <c r="P448" t="s">
        <v>546</v>
      </c>
      <c r="Q448" t="s">
        <v>1759</v>
      </c>
      <c r="S448">
        <v>2.91</v>
      </c>
      <c r="T448">
        <v>1</v>
      </c>
      <c r="U448">
        <v>0.1</v>
      </c>
      <c r="V448">
        <v>1.3676999999999999</v>
      </c>
      <c r="W448">
        <f t="shared" si="27"/>
        <v>1.5423000000000002</v>
      </c>
      <c r="X448">
        <v>3</v>
      </c>
    </row>
    <row r="449" spans="1:24" x14ac:dyDescent="0.3">
      <c r="A449">
        <v>448</v>
      </c>
      <c r="B449" t="s">
        <v>2223</v>
      </c>
      <c r="C449" s="6">
        <v>44644</v>
      </c>
      <c r="D449" t="str">
        <f t="shared" si="24"/>
        <v>Mar</v>
      </c>
      <c r="E449" t="str">
        <f t="shared" si="25"/>
        <v>2022</v>
      </c>
      <c r="F449" t="s">
        <v>3</v>
      </c>
      <c r="G449" t="s">
        <v>188</v>
      </c>
      <c r="H449" t="s">
        <v>944</v>
      </c>
      <c r="I449">
        <v>200</v>
      </c>
      <c r="J449">
        <v>12</v>
      </c>
      <c r="K449">
        <f t="shared" si="26"/>
        <v>6</v>
      </c>
      <c r="L449" t="s">
        <v>1738</v>
      </c>
      <c r="M449" t="s">
        <v>3788</v>
      </c>
      <c r="N449" t="s">
        <v>1</v>
      </c>
      <c r="O449">
        <v>682023</v>
      </c>
      <c r="P449" t="s">
        <v>546</v>
      </c>
      <c r="Q449" t="s">
        <v>1767</v>
      </c>
      <c r="S449">
        <v>59.52</v>
      </c>
      <c r="T449">
        <v>3</v>
      </c>
      <c r="U449">
        <v>0.1</v>
      </c>
      <c r="V449">
        <v>15.475199999999999</v>
      </c>
      <c r="W449">
        <f t="shared" si="27"/>
        <v>14.681600000000001</v>
      </c>
      <c r="X449">
        <v>3</v>
      </c>
    </row>
    <row r="450" spans="1:24" x14ac:dyDescent="0.3">
      <c r="A450">
        <v>449</v>
      </c>
      <c r="B450" t="s">
        <v>2224</v>
      </c>
      <c r="C450" s="6">
        <v>44645</v>
      </c>
      <c r="D450" t="str">
        <f t="shared" si="24"/>
        <v>Mar</v>
      </c>
      <c r="E450" t="str">
        <f t="shared" si="25"/>
        <v>2022</v>
      </c>
      <c r="F450" t="s">
        <v>3</v>
      </c>
      <c r="G450" t="s">
        <v>188</v>
      </c>
      <c r="H450" t="s">
        <v>945</v>
      </c>
      <c r="I450">
        <v>100</v>
      </c>
      <c r="J450">
        <v>8</v>
      </c>
      <c r="K450">
        <f t="shared" si="26"/>
        <v>8</v>
      </c>
      <c r="L450" t="s">
        <v>1737</v>
      </c>
      <c r="M450" t="s">
        <v>3768</v>
      </c>
      <c r="N450" t="s">
        <v>1</v>
      </c>
      <c r="O450">
        <v>460004</v>
      </c>
      <c r="P450" t="s">
        <v>546</v>
      </c>
      <c r="Q450" t="s">
        <v>1755</v>
      </c>
      <c r="S450">
        <v>161.94</v>
      </c>
      <c r="T450">
        <v>3</v>
      </c>
      <c r="U450">
        <v>0.1</v>
      </c>
      <c r="V450">
        <v>9.7164000000000001</v>
      </c>
      <c r="W450">
        <f t="shared" si="27"/>
        <v>50.741199999999999</v>
      </c>
      <c r="X450">
        <v>2</v>
      </c>
    </row>
    <row r="451" spans="1:24" x14ac:dyDescent="0.3">
      <c r="A451">
        <v>450</v>
      </c>
      <c r="B451" t="s">
        <v>2225</v>
      </c>
      <c r="C451" s="6">
        <v>44646</v>
      </c>
      <c r="D451" t="str">
        <f t="shared" ref="D451:D514" si="28">TEXT(C451,"Mmm")</f>
        <v>Mar</v>
      </c>
      <c r="E451" t="str">
        <f t="shared" ref="E451:E514" si="29">TEXT(C451,"YYYY")</f>
        <v>2022</v>
      </c>
      <c r="F451" t="s">
        <v>3</v>
      </c>
      <c r="G451" t="s">
        <v>188</v>
      </c>
      <c r="H451" t="s">
        <v>946</v>
      </c>
      <c r="I451">
        <v>130</v>
      </c>
      <c r="J451">
        <v>14</v>
      </c>
      <c r="K451">
        <f t="shared" ref="K451:K514" si="30">(J451/I451)*100</f>
        <v>10.76923076923077</v>
      </c>
      <c r="L451" t="s">
        <v>1743</v>
      </c>
      <c r="M451" t="s">
        <v>3769</v>
      </c>
      <c r="N451" t="s">
        <v>1</v>
      </c>
      <c r="O451">
        <v>834002</v>
      </c>
      <c r="P451" t="s">
        <v>546</v>
      </c>
      <c r="Q451" t="s">
        <v>1775</v>
      </c>
      <c r="S451">
        <v>263.88</v>
      </c>
      <c r="T451">
        <v>6</v>
      </c>
      <c r="U451">
        <v>0.1</v>
      </c>
      <c r="V451">
        <v>71.247600000000006</v>
      </c>
      <c r="W451">
        <f t="shared" ref="W451:W514" si="31">(S451-V451)/T451</f>
        <v>32.105399999999996</v>
      </c>
      <c r="X451">
        <v>1</v>
      </c>
    </row>
    <row r="452" spans="1:24" x14ac:dyDescent="0.3">
      <c r="A452">
        <v>451</v>
      </c>
      <c r="B452" t="s">
        <v>2226</v>
      </c>
      <c r="C452" s="6">
        <v>44647</v>
      </c>
      <c r="D452" t="str">
        <f t="shared" si="28"/>
        <v>Mar</v>
      </c>
      <c r="E452" t="str">
        <f t="shared" si="29"/>
        <v>2022</v>
      </c>
      <c r="F452" t="s">
        <v>3</v>
      </c>
      <c r="G452" t="s">
        <v>188</v>
      </c>
      <c r="H452" t="s">
        <v>947</v>
      </c>
      <c r="I452">
        <v>120</v>
      </c>
      <c r="J452">
        <v>12</v>
      </c>
      <c r="K452">
        <f t="shared" si="30"/>
        <v>10</v>
      </c>
      <c r="L452" t="s">
        <v>1738</v>
      </c>
      <c r="M452" t="s">
        <v>3770</v>
      </c>
      <c r="N452" t="s">
        <v>1</v>
      </c>
      <c r="O452">
        <v>637505</v>
      </c>
      <c r="P452" t="s">
        <v>546</v>
      </c>
      <c r="Q452" t="s">
        <v>1763</v>
      </c>
      <c r="S452">
        <v>30.48</v>
      </c>
      <c r="T452">
        <v>3</v>
      </c>
      <c r="U452">
        <v>0.1</v>
      </c>
      <c r="V452">
        <v>7.9248000000000003</v>
      </c>
      <c r="W452">
        <f t="shared" si="31"/>
        <v>7.5183999999999997</v>
      </c>
      <c r="X452">
        <v>3</v>
      </c>
    </row>
    <row r="453" spans="1:24" x14ac:dyDescent="0.3">
      <c r="A453">
        <v>452</v>
      </c>
      <c r="B453" t="s">
        <v>2227</v>
      </c>
      <c r="C453" s="6">
        <v>44648</v>
      </c>
      <c r="D453" t="str">
        <f t="shared" si="28"/>
        <v>Mar</v>
      </c>
      <c r="E453" t="str">
        <f t="shared" si="29"/>
        <v>2022</v>
      </c>
      <c r="F453" t="s">
        <v>3</v>
      </c>
      <c r="G453" t="s">
        <v>188</v>
      </c>
      <c r="H453" t="s">
        <v>948</v>
      </c>
      <c r="I453">
        <v>230</v>
      </c>
      <c r="J453">
        <v>8</v>
      </c>
      <c r="K453">
        <f t="shared" si="30"/>
        <v>3.4782608695652173</v>
      </c>
      <c r="L453" t="s">
        <v>1739</v>
      </c>
      <c r="M453" t="s">
        <v>3771</v>
      </c>
      <c r="N453" t="s">
        <v>1</v>
      </c>
      <c r="O453">
        <v>380055</v>
      </c>
      <c r="P453" t="s">
        <v>546</v>
      </c>
      <c r="Q453" t="s">
        <v>1774</v>
      </c>
      <c r="S453">
        <v>9.84</v>
      </c>
      <c r="T453">
        <v>3</v>
      </c>
      <c r="U453">
        <v>0.1</v>
      </c>
      <c r="V453">
        <v>2.8536000000000001</v>
      </c>
      <c r="W453">
        <f t="shared" si="31"/>
        <v>2.3287999999999998</v>
      </c>
      <c r="X453">
        <v>1</v>
      </c>
    </row>
    <row r="454" spans="1:24" x14ac:dyDescent="0.3">
      <c r="A454">
        <v>453</v>
      </c>
      <c r="B454" t="s">
        <v>2228</v>
      </c>
      <c r="C454" s="6">
        <v>44649</v>
      </c>
      <c r="D454" t="str">
        <f t="shared" si="28"/>
        <v>Mar</v>
      </c>
      <c r="E454" t="str">
        <f t="shared" si="29"/>
        <v>2022</v>
      </c>
      <c r="F454" t="s">
        <v>3</v>
      </c>
      <c r="G454" t="s">
        <v>188</v>
      </c>
      <c r="H454" t="s">
        <v>949</v>
      </c>
      <c r="I454">
        <v>180</v>
      </c>
      <c r="J454">
        <v>20</v>
      </c>
      <c r="K454">
        <f t="shared" si="30"/>
        <v>11.111111111111111</v>
      </c>
      <c r="L454" t="s">
        <v>1741</v>
      </c>
      <c r="M454" t="s">
        <v>3796</v>
      </c>
      <c r="N454" t="s">
        <v>1</v>
      </c>
      <c r="O454">
        <v>577002</v>
      </c>
      <c r="P454" t="s">
        <v>546</v>
      </c>
      <c r="Q454" t="s">
        <v>1755</v>
      </c>
      <c r="S454">
        <v>35.119999999999997</v>
      </c>
      <c r="T454">
        <v>4</v>
      </c>
      <c r="U454">
        <v>0.1</v>
      </c>
      <c r="V454">
        <v>9.1311999999999998</v>
      </c>
      <c r="W454">
        <f t="shared" si="31"/>
        <v>6.4971999999999994</v>
      </c>
      <c r="X454">
        <v>5</v>
      </c>
    </row>
    <row r="455" spans="1:24" x14ac:dyDescent="0.3">
      <c r="A455">
        <v>454</v>
      </c>
      <c r="B455" t="s">
        <v>2229</v>
      </c>
      <c r="C455" s="6">
        <v>44650</v>
      </c>
      <c r="D455" t="str">
        <f t="shared" si="28"/>
        <v>Mar</v>
      </c>
      <c r="E455" t="str">
        <f t="shared" si="29"/>
        <v>2022</v>
      </c>
      <c r="F455" t="s">
        <v>4</v>
      </c>
      <c r="G455" t="s">
        <v>189</v>
      </c>
      <c r="H455" t="s">
        <v>557</v>
      </c>
      <c r="I455">
        <v>120</v>
      </c>
      <c r="J455">
        <v>28</v>
      </c>
      <c r="K455">
        <f t="shared" si="30"/>
        <v>23.333333333333332</v>
      </c>
      <c r="L455" t="s">
        <v>1736</v>
      </c>
      <c r="M455" t="s">
        <v>3773</v>
      </c>
      <c r="N455" t="s">
        <v>1</v>
      </c>
      <c r="O455">
        <v>751024</v>
      </c>
      <c r="P455" t="s">
        <v>546</v>
      </c>
      <c r="Q455" t="s">
        <v>1755</v>
      </c>
      <c r="S455">
        <v>284.36399999999998</v>
      </c>
      <c r="T455">
        <v>2</v>
      </c>
      <c r="U455">
        <v>0.4</v>
      </c>
      <c r="V455">
        <v>-75.830399999999997</v>
      </c>
      <c r="W455">
        <f t="shared" si="31"/>
        <v>180.09719999999999</v>
      </c>
      <c r="X455">
        <v>1</v>
      </c>
    </row>
    <row r="456" spans="1:24" x14ac:dyDescent="0.3">
      <c r="A456">
        <v>455</v>
      </c>
      <c r="B456" t="s">
        <v>2230</v>
      </c>
      <c r="C456" s="6">
        <v>44651</v>
      </c>
      <c r="D456" t="str">
        <f t="shared" si="28"/>
        <v>Mar</v>
      </c>
      <c r="E456" t="str">
        <f t="shared" si="29"/>
        <v>2022</v>
      </c>
      <c r="F456" t="s">
        <v>4</v>
      </c>
      <c r="G456" t="s">
        <v>189</v>
      </c>
      <c r="H456" t="s">
        <v>950</v>
      </c>
      <c r="I456">
        <v>100</v>
      </c>
      <c r="J456">
        <v>18</v>
      </c>
      <c r="K456">
        <f t="shared" si="30"/>
        <v>18</v>
      </c>
      <c r="L456" t="s">
        <v>1744</v>
      </c>
      <c r="M456" t="s">
        <v>3774</v>
      </c>
      <c r="N456" t="s">
        <v>1</v>
      </c>
      <c r="O456">
        <v>535591</v>
      </c>
      <c r="P456" t="s">
        <v>546</v>
      </c>
      <c r="Q456" t="s">
        <v>1761</v>
      </c>
      <c r="S456">
        <v>665.40800000000002</v>
      </c>
      <c r="T456">
        <v>2</v>
      </c>
      <c r="U456">
        <v>0.2</v>
      </c>
      <c r="V456">
        <v>66.540800000000004</v>
      </c>
      <c r="W456">
        <f t="shared" si="31"/>
        <v>299.43360000000001</v>
      </c>
      <c r="X456">
        <v>4</v>
      </c>
    </row>
    <row r="457" spans="1:24" x14ac:dyDescent="0.3">
      <c r="A457">
        <v>456</v>
      </c>
      <c r="B457" t="s">
        <v>2231</v>
      </c>
      <c r="C457" s="6">
        <v>44652</v>
      </c>
      <c r="D457" t="str">
        <f t="shared" si="28"/>
        <v>Apr</v>
      </c>
      <c r="E457" t="str">
        <f t="shared" si="29"/>
        <v>2022</v>
      </c>
      <c r="F457" t="s">
        <v>4</v>
      </c>
      <c r="G457" t="s">
        <v>182</v>
      </c>
      <c r="H457" t="s">
        <v>951</v>
      </c>
      <c r="I457">
        <v>220</v>
      </c>
      <c r="J457">
        <v>22</v>
      </c>
      <c r="K457">
        <f t="shared" si="30"/>
        <v>10</v>
      </c>
      <c r="L457" t="s">
        <v>1740</v>
      </c>
      <c r="M457" t="s">
        <v>3775</v>
      </c>
      <c r="O457">
        <v>781011</v>
      </c>
      <c r="P457" t="s">
        <v>546</v>
      </c>
      <c r="Q457" t="s">
        <v>1770</v>
      </c>
      <c r="S457">
        <v>63.88</v>
      </c>
      <c r="T457">
        <v>4</v>
      </c>
      <c r="U457">
        <v>0.1</v>
      </c>
      <c r="V457">
        <v>24.9132</v>
      </c>
      <c r="W457">
        <f t="shared" si="31"/>
        <v>9.7417000000000016</v>
      </c>
      <c r="X457">
        <v>3</v>
      </c>
    </row>
    <row r="458" spans="1:24" x14ac:dyDescent="0.3">
      <c r="A458">
        <v>457</v>
      </c>
      <c r="B458" t="s">
        <v>2232</v>
      </c>
      <c r="C458" s="6">
        <v>44653</v>
      </c>
      <c r="D458" t="str">
        <f t="shared" si="28"/>
        <v>Apr</v>
      </c>
      <c r="E458" t="str">
        <f t="shared" si="29"/>
        <v>2022</v>
      </c>
      <c r="F458" t="s">
        <v>4</v>
      </c>
      <c r="G458" t="s">
        <v>190</v>
      </c>
      <c r="H458" t="s">
        <v>952</v>
      </c>
      <c r="I458">
        <v>150</v>
      </c>
      <c r="J458">
        <v>30</v>
      </c>
      <c r="K458">
        <f t="shared" si="30"/>
        <v>20</v>
      </c>
      <c r="L458" t="s">
        <v>1742</v>
      </c>
      <c r="M458" t="s">
        <v>3765</v>
      </c>
      <c r="N458" t="s">
        <v>1</v>
      </c>
      <c r="O458">
        <v>500032</v>
      </c>
      <c r="P458" t="s">
        <v>546</v>
      </c>
      <c r="Q458" t="s">
        <v>1759</v>
      </c>
      <c r="S458">
        <v>129.56800000000001</v>
      </c>
      <c r="T458">
        <v>2</v>
      </c>
      <c r="U458">
        <v>0.2</v>
      </c>
      <c r="V458">
        <v>-24.294</v>
      </c>
      <c r="W458">
        <f t="shared" si="31"/>
        <v>76.931000000000012</v>
      </c>
      <c r="X458">
        <v>5</v>
      </c>
    </row>
    <row r="459" spans="1:24" x14ac:dyDescent="0.3">
      <c r="A459">
        <v>458</v>
      </c>
      <c r="B459" t="s">
        <v>2233</v>
      </c>
      <c r="C459" s="6">
        <v>44654</v>
      </c>
      <c r="D459" t="str">
        <f t="shared" si="28"/>
        <v>Apr</v>
      </c>
      <c r="E459" t="str">
        <f t="shared" si="29"/>
        <v>2022</v>
      </c>
      <c r="F459" t="s">
        <v>4</v>
      </c>
      <c r="G459" t="s">
        <v>180</v>
      </c>
      <c r="H459" t="s">
        <v>953</v>
      </c>
      <c r="I459">
        <v>110</v>
      </c>
      <c r="J459">
        <v>10</v>
      </c>
      <c r="K459">
        <f t="shared" si="30"/>
        <v>9.0909090909090917</v>
      </c>
      <c r="L459" t="s">
        <v>1739</v>
      </c>
      <c r="M459" t="s">
        <v>3777</v>
      </c>
      <c r="N459" t="s">
        <v>1</v>
      </c>
      <c r="O459">
        <v>415002</v>
      </c>
      <c r="P459" t="s">
        <v>546</v>
      </c>
      <c r="Q459" t="s">
        <v>1765</v>
      </c>
      <c r="S459">
        <v>747.55799999999999</v>
      </c>
      <c r="T459">
        <v>3</v>
      </c>
      <c r="U459">
        <v>0.3</v>
      </c>
      <c r="V459">
        <v>-96.114599999999996</v>
      </c>
      <c r="W459">
        <f t="shared" si="31"/>
        <v>281.2242</v>
      </c>
      <c r="X459">
        <v>2</v>
      </c>
    </row>
    <row r="460" spans="1:24" x14ac:dyDescent="0.3">
      <c r="A460">
        <v>459</v>
      </c>
      <c r="B460" t="s">
        <v>2234</v>
      </c>
      <c r="C460" s="6">
        <v>44655</v>
      </c>
      <c r="D460" t="str">
        <f t="shared" si="28"/>
        <v>Apr</v>
      </c>
      <c r="E460" t="str">
        <f t="shared" si="29"/>
        <v>2022</v>
      </c>
      <c r="F460" t="s">
        <v>4</v>
      </c>
      <c r="G460" t="s">
        <v>180</v>
      </c>
      <c r="H460" t="s">
        <v>954</v>
      </c>
      <c r="I460">
        <v>130</v>
      </c>
      <c r="J460">
        <v>20</v>
      </c>
      <c r="K460">
        <f t="shared" si="30"/>
        <v>15.384615384615385</v>
      </c>
      <c r="L460" t="s">
        <v>1738</v>
      </c>
      <c r="M460" t="s">
        <v>3750</v>
      </c>
      <c r="N460" t="s">
        <v>1</v>
      </c>
      <c r="O460">
        <v>700144</v>
      </c>
      <c r="P460" t="s">
        <v>546</v>
      </c>
      <c r="Q460" t="s">
        <v>1763</v>
      </c>
      <c r="R460" t="s">
        <v>2</v>
      </c>
      <c r="S460">
        <v>8.9280000000000008</v>
      </c>
      <c r="T460">
        <v>2</v>
      </c>
      <c r="U460">
        <v>0.2</v>
      </c>
      <c r="V460">
        <v>3.3479999999999999</v>
      </c>
      <c r="W460">
        <f t="shared" si="31"/>
        <v>2.7900000000000005</v>
      </c>
      <c r="X460">
        <v>5</v>
      </c>
    </row>
    <row r="461" spans="1:24" x14ac:dyDescent="0.3">
      <c r="A461">
        <v>460</v>
      </c>
      <c r="B461" t="s">
        <v>2235</v>
      </c>
      <c r="C461" s="6">
        <v>44656</v>
      </c>
      <c r="D461" t="str">
        <f t="shared" si="28"/>
        <v>Apr</v>
      </c>
      <c r="E461" t="str">
        <f t="shared" si="29"/>
        <v>2022</v>
      </c>
      <c r="F461" t="s">
        <v>4</v>
      </c>
      <c r="G461" t="s">
        <v>105</v>
      </c>
      <c r="H461" t="s">
        <v>955</v>
      </c>
      <c r="I461">
        <v>220</v>
      </c>
      <c r="J461">
        <v>30</v>
      </c>
      <c r="K461">
        <f t="shared" si="30"/>
        <v>13.636363636363635</v>
      </c>
      <c r="L461" t="s">
        <v>1737</v>
      </c>
      <c r="M461" t="s">
        <v>3835</v>
      </c>
      <c r="N461" t="s">
        <v>1</v>
      </c>
      <c r="O461">
        <v>700144</v>
      </c>
      <c r="P461" t="s">
        <v>546</v>
      </c>
      <c r="Q461" t="s">
        <v>1772</v>
      </c>
      <c r="S461">
        <v>103.92</v>
      </c>
      <c r="T461">
        <v>4</v>
      </c>
      <c r="U461">
        <v>0.1</v>
      </c>
      <c r="V461">
        <v>36.372</v>
      </c>
      <c r="W461">
        <f t="shared" si="31"/>
        <v>16.887</v>
      </c>
      <c r="X461">
        <v>5</v>
      </c>
    </row>
    <row r="462" spans="1:24" x14ac:dyDescent="0.3">
      <c r="A462">
        <v>461</v>
      </c>
      <c r="B462" t="s">
        <v>2236</v>
      </c>
      <c r="C462" s="6">
        <v>44657</v>
      </c>
      <c r="D462" t="str">
        <f t="shared" si="28"/>
        <v>Apr</v>
      </c>
      <c r="E462" t="str">
        <f t="shared" si="29"/>
        <v>2022</v>
      </c>
      <c r="F462" t="s">
        <v>4</v>
      </c>
      <c r="G462" t="s">
        <v>105</v>
      </c>
      <c r="H462" t="s">
        <v>956</v>
      </c>
      <c r="I462">
        <v>230</v>
      </c>
      <c r="J462">
        <v>28</v>
      </c>
      <c r="K462">
        <f t="shared" si="30"/>
        <v>12.173913043478262</v>
      </c>
      <c r="L462" t="s">
        <v>1743</v>
      </c>
      <c r="M462" t="s">
        <v>3836</v>
      </c>
      <c r="N462" t="s">
        <v>1</v>
      </c>
      <c r="O462">
        <v>721140</v>
      </c>
      <c r="P462" t="s">
        <v>546</v>
      </c>
      <c r="Q462" t="s">
        <v>1764</v>
      </c>
      <c r="S462">
        <v>899.91</v>
      </c>
      <c r="T462">
        <v>9</v>
      </c>
      <c r="U462">
        <v>0.1</v>
      </c>
      <c r="V462">
        <v>377.9622</v>
      </c>
      <c r="W462">
        <f t="shared" si="31"/>
        <v>57.994199999999992</v>
      </c>
      <c r="X462">
        <v>2</v>
      </c>
    </row>
    <row r="463" spans="1:24" x14ac:dyDescent="0.3">
      <c r="A463">
        <v>462</v>
      </c>
      <c r="B463" t="s">
        <v>2237</v>
      </c>
      <c r="C463" s="6">
        <v>44658</v>
      </c>
      <c r="D463" t="str">
        <f t="shared" si="28"/>
        <v>Apr</v>
      </c>
      <c r="E463" t="str">
        <f t="shared" si="29"/>
        <v>2022</v>
      </c>
      <c r="F463" t="s">
        <v>4</v>
      </c>
      <c r="G463" t="s">
        <v>105</v>
      </c>
      <c r="H463" t="s">
        <v>957</v>
      </c>
      <c r="I463">
        <v>210</v>
      </c>
      <c r="J463">
        <v>12</v>
      </c>
      <c r="K463">
        <f t="shared" si="30"/>
        <v>5.7142857142857144</v>
      </c>
      <c r="L463" t="s">
        <v>1738</v>
      </c>
      <c r="M463" t="s">
        <v>3795</v>
      </c>
      <c r="N463" t="s">
        <v>1</v>
      </c>
      <c r="O463">
        <v>382330</v>
      </c>
      <c r="P463" t="s">
        <v>546</v>
      </c>
      <c r="Q463" t="s">
        <v>1763</v>
      </c>
      <c r="S463">
        <v>51.311999999999998</v>
      </c>
      <c r="T463">
        <v>3</v>
      </c>
      <c r="U463">
        <v>0.2</v>
      </c>
      <c r="V463">
        <v>18.6006</v>
      </c>
      <c r="W463">
        <f t="shared" si="31"/>
        <v>10.903799999999999</v>
      </c>
      <c r="X463">
        <v>5</v>
      </c>
    </row>
    <row r="464" spans="1:24" x14ac:dyDescent="0.3">
      <c r="A464">
        <v>463</v>
      </c>
      <c r="B464" t="s">
        <v>2238</v>
      </c>
      <c r="C464" s="6">
        <v>44659</v>
      </c>
      <c r="D464" t="str">
        <f t="shared" si="28"/>
        <v>Apr</v>
      </c>
      <c r="E464" t="str">
        <f t="shared" si="29"/>
        <v>2022</v>
      </c>
      <c r="F464" t="s">
        <v>4</v>
      </c>
      <c r="G464" t="s">
        <v>191</v>
      </c>
      <c r="H464" t="s">
        <v>872</v>
      </c>
      <c r="I464">
        <v>120</v>
      </c>
      <c r="J464">
        <v>12</v>
      </c>
      <c r="K464">
        <f t="shared" si="30"/>
        <v>10</v>
      </c>
      <c r="L464" t="s">
        <v>1739</v>
      </c>
      <c r="M464" t="s">
        <v>3751</v>
      </c>
      <c r="N464" t="s">
        <v>1</v>
      </c>
      <c r="O464">
        <v>799010</v>
      </c>
      <c r="P464" t="s">
        <v>546</v>
      </c>
      <c r="Q464" t="s">
        <v>1770</v>
      </c>
      <c r="R464" t="s">
        <v>2</v>
      </c>
      <c r="S464">
        <v>23.56</v>
      </c>
      <c r="T464">
        <v>5</v>
      </c>
      <c r="U464">
        <v>0.2</v>
      </c>
      <c r="V464">
        <v>7.0679999999999996</v>
      </c>
      <c r="W464">
        <f t="shared" si="31"/>
        <v>3.2983999999999996</v>
      </c>
      <c r="X464">
        <v>5</v>
      </c>
    </row>
    <row r="465" spans="1:24" x14ac:dyDescent="0.3">
      <c r="A465">
        <v>464</v>
      </c>
      <c r="B465" t="s">
        <v>2239</v>
      </c>
      <c r="C465" s="6">
        <v>44660</v>
      </c>
      <c r="D465" t="str">
        <f t="shared" si="28"/>
        <v>Apr</v>
      </c>
      <c r="E465" t="str">
        <f t="shared" si="29"/>
        <v>2022</v>
      </c>
      <c r="F465" t="s">
        <v>4</v>
      </c>
      <c r="G465" t="s">
        <v>191</v>
      </c>
      <c r="H465" t="s">
        <v>958</v>
      </c>
      <c r="I465">
        <v>170</v>
      </c>
      <c r="J465">
        <v>18</v>
      </c>
      <c r="K465">
        <f t="shared" si="30"/>
        <v>10.588235294117647</v>
      </c>
      <c r="L465" t="s">
        <v>1741</v>
      </c>
      <c r="M465" t="s">
        <v>3752</v>
      </c>
      <c r="N465" t="s">
        <v>1</v>
      </c>
      <c r="O465">
        <v>500062</v>
      </c>
      <c r="P465" t="s">
        <v>546</v>
      </c>
      <c r="Q465" t="s">
        <v>1754</v>
      </c>
      <c r="R465" t="s">
        <v>2</v>
      </c>
      <c r="S465">
        <v>1272.6300000000001</v>
      </c>
      <c r="T465">
        <v>6</v>
      </c>
      <c r="U465">
        <v>0.5</v>
      </c>
      <c r="V465">
        <v>-814.48320000000001</v>
      </c>
      <c r="W465">
        <f t="shared" si="31"/>
        <v>347.85220000000004</v>
      </c>
      <c r="X465">
        <v>2</v>
      </c>
    </row>
    <row r="466" spans="1:24" x14ac:dyDescent="0.3">
      <c r="A466">
        <v>465</v>
      </c>
      <c r="B466" t="s">
        <v>2240</v>
      </c>
      <c r="C466" s="6">
        <v>44661</v>
      </c>
      <c r="D466" t="str">
        <f t="shared" si="28"/>
        <v>Apr</v>
      </c>
      <c r="E466" t="str">
        <f t="shared" si="29"/>
        <v>2022</v>
      </c>
      <c r="F466" t="s">
        <v>4</v>
      </c>
      <c r="G466" t="s">
        <v>191</v>
      </c>
      <c r="H466" t="s">
        <v>959</v>
      </c>
      <c r="I466">
        <v>240</v>
      </c>
      <c r="J466">
        <v>16</v>
      </c>
      <c r="K466">
        <f t="shared" si="30"/>
        <v>6.666666666666667</v>
      </c>
      <c r="L466" t="s">
        <v>1736</v>
      </c>
      <c r="M466" t="s">
        <v>3753</v>
      </c>
      <c r="N466" t="s">
        <v>1</v>
      </c>
      <c r="O466">
        <v>560066</v>
      </c>
      <c r="P466" t="s">
        <v>546</v>
      </c>
      <c r="Q466" t="s">
        <v>1763</v>
      </c>
      <c r="S466">
        <v>28.484999999999999</v>
      </c>
      <c r="T466">
        <v>5</v>
      </c>
      <c r="U466">
        <v>0.7</v>
      </c>
      <c r="V466">
        <v>-20.888999999999999</v>
      </c>
      <c r="W466">
        <f t="shared" si="31"/>
        <v>9.8747999999999987</v>
      </c>
      <c r="X466">
        <v>4</v>
      </c>
    </row>
    <row r="467" spans="1:24" x14ac:dyDescent="0.3">
      <c r="A467">
        <v>466</v>
      </c>
      <c r="B467" t="s">
        <v>2241</v>
      </c>
      <c r="C467" s="6">
        <v>44662</v>
      </c>
      <c r="D467" t="str">
        <f t="shared" si="28"/>
        <v>Apr</v>
      </c>
      <c r="E467" t="str">
        <f t="shared" si="29"/>
        <v>2022</v>
      </c>
      <c r="F467" t="s">
        <v>4</v>
      </c>
      <c r="G467" t="s">
        <v>191</v>
      </c>
      <c r="H467" t="s">
        <v>960</v>
      </c>
      <c r="I467">
        <v>110</v>
      </c>
      <c r="J467">
        <v>18</v>
      </c>
      <c r="K467">
        <f t="shared" si="30"/>
        <v>16.363636363636363</v>
      </c>
      <c r="L467" t="s">
        <v>1744</v>
      </c>
      <c r="M467" t="s">
        <v>3754</v>
      </c>
      <c r="N467" t="s">
        <v>1</v>
      </c>
      <c r="O467">
        <v>721429</v>
      </c>
      <c r="P467" t="s">
        <v>546</v>
      </c>
      <c r="Q467" t="s">
        <v>1765</v>
      </c>
      <c r="R467" t="s">
        <v>2</v>
      </c>
      <c r="S467">
        <v>185.376</v>
      </c>
      <c r="T467">
        <v>2</v>
      </c>
      <c r="U467">
        <v>0.2</v>
      </c>
      <c r="V467">
        <v>-34.758000000000003</v>
      </c>
      <c r="W467">
        <f t="shared" si="31"/>
        <v>110.06700000000001</v>
      </c>
      <c r="X467">
        <v>4</v>
      </c>
    </row>
    <row r="468" spans="1:24" x14ac:dyDescent="0.3">
      <c r="A468">
        <v>467</v>
      </c>
      <c r="B468" t="s">
        <v>2242</v>
      </c>
      <c r="C468" s="6">
        <v>44663</v>
      </c>
      <c r="D468" t="str">
        <f t="shared" si="28"/>
        <v>Apr</v>
      </c>
      <c r="E468" t="str">
        <f t="shared" si="29"/>
        <v>2022</v>
      </c>
      <c r="F468" t="s">
        <v>4</v>
      </c>
      <c r="G468" t="s">
        <v>191</v>
      </c>
      <c r="H468" t="s">
        <v>961</v>
      </c>
      <c r="I468">
        <v>160</v>
      </c>
      <c r="J468">
        <v>30</v>
      </c>
      <c r="K468">
        <f t="shared" si="30"/>
        <v>18.75</v>
      </c>
      <c r="L468" t="s">
        <v>1740</v>
      </c>
      <c r="M468" t="s">
        <v>3755</v>
      </c>
      <c r="N468" t="s">
        <v>1</v>
      </c>
      <c r="O468">
        <v>400706</v>
      </c>
      <c r="P468" t="s">
        <v>546</v>
      </c>
      <c r="Q468" t="s">
        <v>1759</v>
      </c>
      <c r="S468">
        <v>78.272000000000006</v>
      </c>
      <c r="T468">
        <v>2</v>
      </c>
      <c r="U468">
        <v>0.2</v>
      </c>
      <c r="V468">
        <v>5.8704000000000001</v>
      </c>
      <c r="W468">
        <f t="shared" si="31"/>
        <v>36.200800000000001</v>
      </c>
      <c r="X468">
        <v>4</v>
      </c>
    </row>
    <row r="469" spans="1:24" x14ac:dyDescent="0.3">
      <c r="A469">
        <v>468</v>
      </c>
      <c r="B469" t="s">
        <v>2243</v>
      </c>
      <c r="C469" s="6">
        <v>44664</v>
      </c>
      <c r="D469" t="str">
        <f t="shared" si="28"/>
        <v>Apr</v>
      </c>
      <c r="E469" t="str">
        <f t="shared" si="29"/>
        <v>2022</v>
      </c>
      <c r="F469" t="s">
        <v>4</v>
      </c>
      <c r="G469" t="s">
        <v>192</v>
      </c>
      <c r="H469" t="s">
        <v>816</v>
      </c>
      <c r="I469">
        <v>200</v>
      </c>
      <c r="J469">
        <v>10</v>
      </c>
      <c r="K469">
        <f t="shared" si="30"/>
        <v>5</v>
      </c>
      <c r="L469" t="s">
        <v>1742</v>
      </c>
      <c r="M469" t="s">
        <v>3756</v>
      </c>
      <c r="N469" t="s">
        <v>1</v>
      </c>
      <c r="O469">
        <v>500090</v>
      </c>
      <c r="P469" t="s">
        <v>546</v>
      </c>
      <c r="Q469" t="s">
        <v>1759</v>
      </c>
      <c r="S469">
        <v>254.744</v>
      </c>
      <c r="T469">
        <v>7</v>
      </c>
      <c r="U469">
        <v>0.6</v>
      </c>
      <c r="V469">
        <v>-312.06139999999999</v>
      </c>
      <c r="W469">
        <f t="shared" si="31"/>
        <v>80.972200000000001</v>
      </c>
      <c r="X469">
        <v>2</v>
      </c>
    </row>
    <row r="470" spans="1:24" x14ac:dyDescent="0.3">
      <c r="A470">
        <v>469</v>
      </c>
      <c r="B470" t="s">
        <v>2244</v>
      </c>
      <c r="C470" s="6">
        <v>44665</v>
      </c>
      <c r="D470" t="str">
        <f t="shared" si="28"/>
        <v>Apr</v>
      </c>
      <c r="E470" t="str">
        <f t="shared" si="29"/>
        <v>2022</v>
      </c>
      <c r="F470" t="s">
        <v>4</v>
      </c>
      <c r="G470" t="s">
        <v>110</v>
      </c>
      <c r="H470" t="s">
        <v>962</v>
      </c>
      <c r="I470">
        <v>110</v>
      </c>
      <c r="J470">
        <v>18</v>
      </c>
      <c r="K470">
        <f t="shared" si="30"/>
        <v>16.363636363636363</v>
      </c>
      <c r="L470" t="s">
        <v>1739</v>
      </c>
      <c r="M470" t="s">
        <v>3757</v>
      </c>
      <c r="N470" t="s">
        <v>1</v>
      </c>
      <c r="O470">
        <v>411006</v>
      </c>
      <c r="P470" t="s">
        <v>546</v>
      </c>
      <c r="Q470" t="s">
        <v>1759</v>
      </c>
      <c r="S470">
        <v>205.33279999999999</v>
      </c>
      <c r="T470">
        <v>2</v>
      </c>
      <c r="U470">
        <v>0.32</v>
      </c>
      <c r="V470">
        <v>-36.235199999999999</v>
      </c>
      <c r="W470">
        <f t="shared" si="31"/>
        <v>120.78399999999999</v>
      </c>
      <c r="X470">
        <v>5</v>
      </c>
    </row>
    <row r="471" spans="1:24" x14ac:dyDescent="0.3">
      <c r="A471">
        <v>470</v>
      </c>
      <c r="B471" t="s">
        <v>2245</v>
      </c>
      <c r="C471" s="6">
        <v>44666</v>
      </c>
      <c r="D471" t="str">
        <f t="shared" si="28"/>
        <v>Apr</v>
      </c>
      <c r="E471" t="str">
        <f t="shared" si="29"/>
        <v>2022</v>
      </c>
      <c r="F471" t="s">
        <v>3</v>
      </c>
      <c r="G471" t="s">
        <v>120</v>
      </c>
      <c r="H471" t="s">
        <v>963</v>
      </c>
      <c r="I471">
        <v>110</v>
      </c>
      <c r="J471">
        <v>28</v>
      </c>
      <c r="K471">
        <f t="shared" si="30"/>
        <v>25.454545454545453</v>
      </c>
      <c r="L471" t="s">
        <v>1738</v>
      </c>
      <c r="M471" t="s">
        <v>3758</v>
      </c>
      <c r="N471" t="s">
        <v>1</v>
      </c>
      <c r="O471">
        <v>224001</v>
      </c>
      <c r="P471" t="s">
        <v>546</v>
      </c>
      <c r="Q471" t="s">
        <v>1759</v>
      </c>
      <c r="S471">
        <v>4.7880000000000003</v>
      </c>
      <c r="T471">
        <v>3</v>
      </c>
      <c r="U471">
        <v>0.8</v>
      </c>
      <c r="V471">
        <v>-7.9001999999999999</v>
      </c>
      <c r="W471">
        <f t="shared" si="31"/>
        <v>4.2294</v>
      </c>
      <c r="X471">
        <v>5</v>
      </c>
    </row>
    <row r="472" spans="1:24" x14ac:dyDescent="0.3">
      <c r="A472">
        <v>471</v>
      </c>
      <c r="B472" t="s">
        <v>2246</v>
      </c>
      <c r="C472" s="6">
        <v>44667</v>
      </c>
      <c r="D472" t="str">
        <f t="shared" si="28"/>
        <v>Apr</v>
      </c>
      <c r="E472" t="str">
        <f t="shared" si="29"/>
        <v>2022</v>
      </c>
      <c r="F472" t="s">
        <v>4</v>
      </c>
      <c r="G472" t="s">
        <v>193</v>
      </c>
      <c r="H472" t="s">
        <v>964</v>
      </c>
      <c r="I472">
        <v>180</v>
      </c>
      <c r="J472">
        <v>12</v>
      </c>
      <c r="K472">
        <f t="shared" si="30"/>
        <v>6.666666666666667</v>
      </c>
      <c r="L472" t="s">
        <v>1737</v>
      </c>
      <c r="M472" t="s">
        <v>3579</v>
      </c>
      <c r="N472" t="s">
        <v>1</v>
      </c>
      <c r="O472">
        <v>500084</v>
      </c>
      <c r="P472" t="s">
        <v>546</v>
      </c>
      <c r="Q472" t="s">
        <v>1765</v>
      </c>
      <c r="R472" t="s">
        <v>2</v>
      </c>
      <c r="S472">
        <v>55.48</v>
      </c>
      <c r="T472">
        <v>1</v>
      </c>
      <c r="U472">
        <v>0.1</v>
      </c>
      <c r="V472">
        <v>26.630400000000002</v>
      </c>
      <c r="W472">
        <f t="shared" si="31"/>
        <v>28.849599999999995</v>
      </c>
      <c r="X472">
        <v>2</v>
      </c>
    </row>
    <row r="473" spans="1:24" x14ac:dyDescent="0.3">
      <c r="A473">
        <v>472</v>
      </c>
      <c r="B473" t="s">
        <v>2247</v>
      </c>
      <c r="C473" s="6">
        <v>44668</v>
      </c>
      <c r="D473" t="str">
        <f t="shared" si="28"/>
        <v>Apr</v>
      </c>
      <c r="E473" t="str">
        <f t="shared" si="29"/>
        <v>2022</v>
      </c>
      <c r="F473" t="s">
        <v>3</v>
      </c>
      <c r="G473" t="s">
        <v>194</v>
      </c>
      <c r="H473" t="s">
        <v>965</v>
      </c>
      <c r="I473">
        <v>230</v>
      </c>
      <c r="J473">
        <v>12</v>
      </c>
      <c r="K473">
        <f t="shared" si="30"/>
        <v>5.2173913043478262</v>
      </c>
      <c r="L473" t="s">
        <v>1743</v>
      </c>
      <c r="M473" t="s">
        <v>3580</v>
      </c>
      <c r="N473" t="s">
        <v>1</v>
      </c>
      <c r="O473">
        <v>500084</v>
      </c>
      <c r="P473" t="s">
        <v>546</v>
      </c>
      <c r="Q473" t="s">
        <v>1767</v>
      </c>
      <c r="R473" t="s">
        <v>2</v>
      </c>
      <c r="S473">
        <v>340.92</v>
      </c>
      <c r="T473">
        <v>3</v>
      </c>
      <c r="U473">
        <v>0.1</v>
      </c>
      <c r="V473">
        <v>3.4091999999999998</v>
      </c>
      <c r="W473">
        <f t="shared" si="31"/>
        <v>112.50360000000001</v>
      </c>
      <c r="X473">
        <v>5</v>
      </c>
    </row>
    <row r="474" spans="1:24" x14ac:dyDescent="0.3">
      <c r="A474">
        <v>473</v>
      </c>
      <c r="B474" t="s">
        <v>2248</v>
      </c>
      <c r="C474" s="6">
        <v>44669</v>
      </c>
      <c r="D474" t="str">
        <f t="shared" si="28"/>
        <v>Apr</v>
      </c>
      <c r="E474" t="str">
        <f t="shared" si="29"/>
        <v>2022</v>
      </c>
      <c r="F474" t="s">
        <v>3</v>
      </c>
      <c r="G474" t="s">
        <v>194</v>
      </c>
      <c r="H474" t="s">
        <v>966</v>
      </c>
      <c r="I474">
        <v>240</v>
      </c>
      <c r="J474">
        <v>28</v>
      </c>
      <c r="K474">
        <f t="shared" si="30"/>
        <v>11.666666666666666</v>
      </c>
      <c r="L474" t="s">
        <v>1739</v>
      </c>
      <c r="M474" t="s">
        <v>3581</v>
      </c>
      <c r="N474" t="s">
        <v>1</v>
      </c>
      <c r="O474">
        <v>401107</v>
      </c>
      <c r="P474" t="s">
        <v>546</v>
      </c>
      <c r="Q474" t="s">
        <v>1768</v>
      </c>
      <c r="S474">
        <v>222.666</v>
      </c>
      <c r="T474">
        <v>2</v>
      </c>
      <c r="U474">
        <v>0.15</v>
      </c>
      <c r="V474">
        <v>10.478400000000001</v>
      </c>
      <c r="W474">
        <f t="shared" si="31"/>
        <v>106.0938</v>
      </c>
      <c r="X474">
        <v>2</v>
      </c>
    </row>
    <row r="475" spans="1:24" x14ac:dyDescent="0.3">
      <c r="A475">
        <v>474</v>
      </c>
      <c r="B475" t="s">
        <v>2249</v>
      </c>
      <c r="C475" s="6">
        <v>44670</v>
      </c>
      <c r="D475" t="str">
        <f t="shared" si="28"/>
        <v>Apr</v>
      </c>
      <c r="E475" t="str">
        <f t="shared" si="29"/>
        <v>2022</v>
      </c>
      <c r="F475" t="s">
        <v>3</v>
      </c>
      <c r="G475" t="s">
        <v>194</v>
      </c>
      <c r="H475" t="s">
        <v>967</v>
      </c>
      <c r="I475">
        <v>170</v>
      </c>
      <c r="J475">
        <v>12</v>
      </c>
      <c r="K475">
        <f t="shared" si="30"/>
        <v>7.0588235294117645</v>
      </c>
      <c r="L475" t="s">
        <v>1736</v>
      </c>
      <c r="M475" t="s">
        <v>3582</v>
      </c>
      <c r="N475" t="s">
        <v>1</v>
      </c>
      <c r="O475">
        <v>421504</v>
      </c>
      <c r="P475" t="s">
        <v>546</v>
      </c>
      <c r="Q475" t="s">
        <v>1759</v>
      </c>
      <c r="S475">
        <v>703.96799999999996</v>
      </c>
      <c r="T475">
        <v>4</v>
      </c>
      <c r="U475">
        <v>0.2</v>
      </c>
      <c r="V475">
        <v>87.995999999999995</v>
      </c>
      <c r="W475">
        <f t="shared" si="31"/>
        <v>153.99299999999999</v>
      </c>
      <c r="X475">
        <v>3</v>
      </c>
    </row>
    <row r="476" spans="1:24" x14ac:dyDescent="0.3">
      <c r="A476">
        <v>475</v>
      </c>
      <c r="B476" t="s">
        <v>2250</v>
      </c>
      <c r="C476" s="6">
        <v>44671</v>
      </c>
      <c r="D476" t="str">
        <f t="shared" si="28"/>
        <v>Apr</v>
      </c>
      <c r="E476" t="str">
        <f t="shared" si="29"/>
        <v>2022</v>
      </c>
      <c r="F476" t="s">
        <v>3</v>
      </c>
      <c r="G476" t="s">
        <v>194</v>
      </c>
      <c r="H476" t="s">
        <v>968</v>
      </c>
      <c r="I476">
        <v>180</v>
      </c>
      <c r="J476">
        <v>18</v>
      </c>
      <c r="K476">
        <f t="shared" si="30"/>
        <v>10</v>
      </c>
      <c r="L476" t="s">
        <v>1738</v>
      </c>
      <c r="M476" t="s">
        <v>3583</v>
      </c>
      <c r="N476" t="s">
        <v>1</v>
      </c>
      <c r="O476">
        <v>560024</v>
      </c>
      <c r="P476" t="s">
        <v>546</v>
      </c>
      <c r="Q476" t="s">
        <v>1756</v>
      </c>
      <c r="R476" t="s">
        <v>2</v>
      </c>
      <c r="S476">
        <v>92.52</v>
      </c>
      <c r="T476">
        <v>6</v>
      </c>
      <c r="U476">
        <v>0.1</v>
      </c>
      <c r="V476">
        <v>24.980399999999999</v>
      </c>
      <c r="W476">
        <f t="shared" si="31"/>
        <v>11.256599999999999</v>
      </c>
      <c r="X476">
        <v>1</v>
      </c>
    </row>
    <row r="477" spans="1:24" x14ac:dyDescent="0.3">
      <c r="A477">
        <v>476</v>
      </c>
      <c r="B477" t="s">
        <v>2251</v>
      </c>
      <c r="C477" s="6">
        <v>44672</v>
      </c>
      <c r="D477" t="str">
        <f t="shared" si="28"/>
        <v>Apr</v>
      </c>
      <c r="E477" t="str">
        <f t="shared" si="29"/>
        <v>2022</v>
      </c>
      <c r="F477" t="s">
        <v>3</v>
      </c>
      <c r="G477" t="s">
        <v>194</v>
      </c>
      <c r="H477" t="s">
        <v>969</v>
      </c>
      <c r="I477">
        <v>110</v>
      </c>
      <c r="J477">
        <v>24</v>
      </c>
      <c r="K477">
        <f t="shared" si="30"/>
        <v>21.818181818181817</v>
      </c>
      <c r="L477" t="s">
        <v>1741</v>
      </c>
      <c r="M477" t="s">
        <v>3584</v>
      </c>
      <c r="N477" t="s">
        <v>1</v>
      </c>
      <c r="O477">
        <v>401107</v>
      </c>
      <c r="P477" t="s">
        <v>546</v>
      </c>
      <c r="Q477" t="s">
        <v>1755</v>
      </c>
      <c r="S477">
        <v>62.65</v>
      </c>
      <c r="T477">
        <v>7</v>
      </c>
      <c r="U477">
        <v>0.1</v>
      </c>
      <c r="V477">
        <v>28.818999999999999</v>
      </c>
      <c r="W477">
        <f t="shared" si="31"/>
        <v>4.8330000000000002</v>
      </c>
      <c r="X477">
        <v>5</v>
      </c>
    </row>
    <row r="478" spans="1:24" x14ac:dyDescent="0.3">
      <c r="A478">
        <v>477</v>
      </c>
      <c r="B478" t="s">
        <v>2252</v>
      </c>
      <c r="C478" s="6">
        <v>44673</v>
      </c>
      <c r="D478" t="str">
        <f t="shared" si="28"/>
        <v>Apr</v>
      </c>
      <c r="E478" t="str">
        <f t="shared" si="29"/>
        <v>2022</v>
      </c>
      <c r="F478" t="s">
        <v>3</v>
      </c>
      <c r="G478" t="s">
        <v>194</v>
      </c>
      <c r="H478" t="s">
        <v>970</v>
      </c>
      <c r="I478">
        <v>230</v>
      </c>
      <c r="J478">
        <v>30</v>
      </c>
      <c r="K478">
        <f t="shared" si="30"/>
        <v>13.043478260869565</v>
      </c>
      <c r="L478" t="s">
        <v>1744</v>
      </c>
      <c r="M478" t="s">
        <v>3585</v>
      </c>
      <c r="N478" t="s">
        <v>1</v>
      </c>
      <c r="O478">
        <v>400092</v>
      </c>
      <c r="P478" t="s">
        <v>546</v>
      </c>
      <c r="Q478" t="s">
        <v>1761</v>
      </c>
      <c r="R478" t="s">
        <v>2</v>
      </c>
      <c r="S478">
        <v>94.85</v>
      </c>
      <c r="T478">
        <v>5</v>
      </c>
      <c r="U478">
        <v>0.1</v>
      </c>
      <c r="V478">
        <v>45.527999999999999</v>
      </c>
      <c r="W478">
        <f t="shared" si="31"/>
        <v>9.8643999999999998</v>
      </c>
      <c r="X478">
        <v>4</v>
      </c>
    </row>
    <row r="479" spans="1:24" x14ac:dyDescent="0.3">
      <c r="A479">
        <v>478</v>
      </c>
      <c r="B479" t="s">
        <v>2253</v>
      </c>
      <c r="C479" s="6">
        <v>44674</v>
      </c>
      <c r="D479" t="str">
        <f t="shared" si="28"/>
        <v>Apr</v>
      </c>
      <c r="E479" t="str">
        <f t="shared" si="29"/>
        <v>2022</v>
      </c>
      <c r="F479" t="s">
        <v>4</v>
      </c>
      <c r="G479" t="s">
        <v>127</v>
      </c>
      <c r="H479" t="s">
        <v>971</v>
      </c>
      <c r="I479">
        <v>170</v>
      </c>
      <c r="J479">
        <v>26</v>
      </c>
      <c r="K479">
        <f t="shared" si="30"/>
        <v>15.294117647058824</v>
      </c>
      <c r="L479" t="s">
        <v>1740</v>
      </c>
      <c r="M479" t="s">
        <v>3586</v>
      </c>
      <c r="N479" t="s">
        <v>1</v>
      </c>
      <c r="O479">
        <v>641046</v>
      </c>
      <c r="P479" t="s">
        <v>546</v>
      </c>
      <c r="Q479" t="s">
        <v>1759</v>
      </c>
      <c r="S479">
        <v>95.76</v>
      </c>
      <c r="T479">
        <v>6</v>
      </c>
      <c r="U479">
        <v>0.2</v>
      </c>
      <c r="V479">
        <v>7.1820000000000004</v>
      </c>
      <c r="W479">
        <f t="shared" si="31"/>
        <v>14.763</v>
      </c>
      <c r="X479">
        <v>2</v>
      </c>
    </row>
    <row r="480" spans="1:24" x14ac:dyDescent="0.3">
      <c r="A480">
        <v>479</v>
      </c>
      <c r="B480" t="s">
        <v>2254</v>
      </c>
      <c r="C480" s="6">
        <v>44675</v>
      </c>
      <c r="D480" t="str">
        <f t="shared" si="28"/>
        <v>Apr</v>
      </c>
      <c r="E480" t="str">
        <f t="shared" si="29"/>
        <v>2022</v>
      </c>
      <c r="F480" t="s">
        <v>4</v>
      </c>
      <c r="G480" t="s">
        <v>195</v>
      </c>
      <c r="H480" t="s">
        <v>825</v>
      </c>
      <c r="I480">
        <v>170</v>
      </c>
      <c r="J480">
        <v>12</v>
      </c>
      <c r="K480">
        <f t="shared" si="30"/>
        <v>7.0588235294117645</v>
      </c>
      <c r="L480" t="s">
        <v>1742</v>
      </c>
      <c r="M480" t="s">
        <v>3587</v>
      </c>
      <c r="N480" t="s">
        <v>1</v>
      </c>
      <c r="O480">
        <v>251309</v>
      </c>
      <c r="P480" t="s">
        <v>546</v>
      </c>
      <c r="Q480" t="s">
        <v>1763</v>
      </c>
      <c r="S480">
        <v>40.200000000000003</v>
      </c>
      <c r="T480">
        <v>3</v>
      </c>
      <c r="U480">
        <v>0.1</v>
      </c>
      <c r="V480">
        <v>19.295999999999999</v>
      </c>
      <c r="W480">
        <f t="shared" si="31"/>
        <v>6.9680000000000009</v>
      </c>
      <c r="X480">
        <v>2</v>
      </c>
    </row>
    <row r="481" spans="1:24" x14ac:dyDescent="0.3">
      <c r="A481">
        <v>480</v>
      </c>
      <c r="B481" t="s">
        <v>2255</v>
      </c>
      <c r="C481" s="6">
        <v>44676</v>
      </c>
      <c r="D481" t="str">
        <f t="shared" si="28"/>
        <v>Apr</v>
      </c>
      <c r="E481" t="str">
        <f t="shared" si="29"/>
        <v>2022</v>
      </c>
      <c r="F481" t="s">
        <v>4</v>
      </c>
      <c r="G481" t="s">
        <v>196</v>
      </c>
      <c r="H481" t="s">
        <v>972</v>
      </c>
      <c r="I481">
        <v>150</v>
      </c>
      <c r="J481">
        <v>10</v>
      </c>
      <c r="K481">
        <f t="shared" si="30"/>
        <v>6.666666666666667</v>
      </c>
      <c r="L481" t="s">
        <v>1739</v>
      </c>
      <c r="M481" t="s">
        <v>3588</v>
      </c>
      <c r="N481" t="s">
        <v>1</v>
      </c>
      <c r="O481">
        <v>700028</v>
      </c>
      <c r="P481" t="s">
        <v>546</v>
      </c>
      <c r="Q481" t="s">
        <v>1756</v>
      </c>
      <c r="R481" t="s">
        <v>2</v>
      </c>
      <c r="S481">
        <v>14.7</v>
      </c>
      <c r="T481">
        <v>5</v>
      </c>
      <c r="U481">
        <v>0.1</v>
      </c>
      <c r="V481">
        <v>6.6150000000000002</v>
      </c>
      <c r="W481">
        <f t="shared" si="31"/>
        <v>1.6169999999999998</v>
      </c>
      <c r="X481">
        <v>2</v>
      </c>
    </row>
    <row r="482" spans="1:24" x14ac:dyDescent="0.3">
      <c r="A482">
        <v>481</v>
      </c>
      <c r="B482" t="s">
        <v>2256</v>
      </c>
      <c r="C482" s="6">
        <v>44677</v>
      </c>
      <c r="D482" t="str">
        <f t="shared" si="28"/>
        <v>Apr</v>
      </c>
      <c r="E482" t="str">
        <f t="shared" si="29"/>
        <v>2022</v>
      </c>
      <c r="F482" t="s">
        <v>4</v>
      </c>
      <c r="G482" t="s">
        <v>196</v>
      </c>
      <c r="H482" t="s">
        <v>973</v>
      </c>
      <c r="I482">
        <v>240</v>
      </c>
      <c r="J482">
        <v>16</v>
      </c>
      <c r="K482">
        <f t="shared" si="30"/>
        <v>6.666666666666667</v>
      </c>
      <c r="L482" t="s">
        <v>1738</v>
      </c>
      <c r="M482" t="s">
        <v>3589</v>
      </c>
      <c r="N482" t="s">
        <v>1</v>
      </c>
      <c r="O482">
        <v>700028</v>
      </c>
      <c r="P482" t="s">
        <v>546</v>
      </c>
      <c r="Q482" t="s">
        <v>1754</v>
      </c>
      <c r="S482">
        <v>704.25</v>
      </c>
      <c r="T482">
        <v>5</v>
      </c>
      <c r="U482">
        <v>0.1</v>
      </c>
      <c r="V482">
        <v>84.51</v>
      </c>
      <c r="W482">
        <f t="shared" si="31"/>
        <v>123.94800000000001</v>
      </c>
      <c r="X482">
        <v>3</v>
      </c>
    </row>
    <row r="483" spans="1:24" x14ac:dyDescent="0.3">
      <c r="A483">
        <v>482</v>
      </c>
      <c r="B483" t="s">
        <v>2257</v>
      </c>
      <c r="C483" s="6">
        <v>44678</v>
      </c>
      <c r="D483" t="str">
        <f t="shared" si="28"/>
        <v>Apr</v>
      </c>
      <c r="E483" t="str">
        <f t="shared" si="29"/>
        <v>2022</v>
      </c>
      <c r="F483" t="s">
        <v>4</v>
      </c>
      <c r="G483" t="s">
        <v>197</v>
      </c>
      <c r="H483" t="s">
        <v>974</v>
      </c>
      <c r="I483">
        <v>110</v>
      </c>
      <c r="J483">
        <v>14</v>
      </c>
      <c r="K483">
        <f t="shared" si="30"/>
        <v>12.727272727272727</v>
      </c>
      <c r="L483" t="s">
        <v>1743</v>
      </c>
      <c r="M483" t="s">
        <v>3590</v>
      </c>
      <c r="N483" t="s">
        <v>1</v>
      </c>
      <c r="O483">
        <v>570023</v>
      </c>
      <c r="P483" t="s">
        <v>546</v>
      </c>
      <c r="Q483" t="s">
        <v>1764</v>
      </c>
      <c r="S483">
        <v>9.09</v>
      </c>
      <c r="T483">
        <v>3</v>
      </c>
      <c r="U483">
        <v>0.1</v>
      </c>
      <c r="V483">
        <v>1.9089</v>
      </c>
      <c r="W483">
        <f t="shared" si="31"/>
        <v>2.3936999999999999</v>
      </c>
      <c r="X483">
        <v>3</v>
      </c>
    </row>
    <row r="484" spans="1:24" x14ac:dyDescent="0.3">
      <c r="A484">
        <v>483</v>
      </c>
      <c r="B484" t="s">
        <v>2258</v>
      </c>
      <c r="C484" s="6">
        <v>44679</v>
      </c>
      <c r="D484" t="str">
        <f t="shared" si="28"/>
        <v>Apr</v>
      </c>
      <c r="E484" t="str">
        <f t="shared" si="29"/>
        <v>2022</v>
      </c>
      <c r="F484" t="s">
        <v>4</v>
      </c>
      <c r="G484" t="s">
        <v>198</v>
      </c>
      <c r="H484" t="s">
        <v>626</v>
      </c>
      <c r="I484">
        <v>210</v>
      </c>
      <c r="J484">
        <v>22</v>
      </c>
      <c r="K484">
        <f t="shared" si="30"/>
        <v>10.476190476190476</v>
      </c>
      <c r="L484" t="s">
        <v>1741</v>
      </c>
      <c r="M484" t="s">
        <v>3591</v>
      </c>
      <c r="N484" t="s">
        <v>1</v>
      </c>
      <c r="O484">
        <v>700095</v>
      </c>
      <c r="P484" t="s">
        <v>546</v>
      </c>
      <c r="Q484" t="s">
        <v>1767</v>
      </c>
      <c r="S484">
        <v>5.96</v>
      </c>
      <c r="T484">
        <v>2</v>
      </c>
      <c r="U484">
        <v>0.1</v>
      </c>
      <c r="V484">
        <v>1.6688000000000001</v>
      </c>
      <c r="W484">
        <f t="shared" si="31"/>
        <v>2.1456</v>
      </c>
      <c r="X484">
        <v>2</v>
      </c>
    </row>
    <row r="485" spans="1:24" x14ac:dyDescent="0.3">
      <c r="A485">
        <v>484</v>
      </c>
      <c r="B485" t="s">
        <v>1973</v>
      </c>
      <c r="C485" s="6">
        <v>44680</v>
      </c>
      <c r="D485" t="str">
        <f t="shared" si="28"/>
        <v>Apr</v>
      </c>
      <c r="E485" t="str">
        <f t="shared" si="29"/>
        <v>2022</v>
      </c>
      <c r="F485" t="s">
        <v>4</v>
      </c>
      <c r="G485" t="s">
        <v>198</v>
      </c>
      <c r="H485" t="s">
        <v>975</v>
      </c>
      <c r="I485">
        <v>230</v>
      </c>
      <c r="J485">
        <v>16</v>
      </c>
      <c r="K485">
        <f t="shared" si="30"/>
        <v>6.9565217391304346</v>
      </c>
      <c r="L485" t="s">
        <v>1737</v>
      </c>
      <c r="M485" t="s">
        <v>3592</v>
      </c>
      <c r="N485" t="s">
        <v>1</v>
      </c>
      <c r="O485">
        <v>482003</v>
      </c>
      <c r="P485" t="s">
        <v>546</v>
      </c>
      <c r="Q485" t="s">
        <v>1754</v>
      </c>
      <c r="R485" t="s">
        <v>2</v>
      </c>
      <c r="S485">
        <v>159.97999999999999</v>
      </c>
      <c r="T485">
        <v>2</v>
      </c>
      <c r="U485">
        <v>0.1</v>
      </c>
      <c r="V485">
        <v>57.592799999999997</v>
      </c>
      <c r="W485">
        <f t="shared" si="31"/>
        <v>51.193599999999996</v>
      </c>
      <c r="X485">
        <v>3</v>
      </c>
    </row>
    <row r="486" spans="1:24" x14ac:dyDescent="0.3">
      <c r="A486">
        <v>485</v>
      </c>
      <c r="B486" t="s">
        <v>2259</v>
      </c>
      <c r="C486" s="6">
        <v>44681</v>
      </c>
      <c r="D486" t="str">
        <f t="shared" si="28"/>
        <v>Apr</v>
      </c>
      <c r="E486" t="str">
        <f t="shared" si="29"/>
        <v>2022</v>
      </c>
      <c r="F486" t="s">
        <v>5</v>
      </c>
      <c r="G486" t="s">
        <v>199</v>
      </c>
      <c r="H486" t="s">
        <v>976</v>
      </c>
      <c r="I486">
        <v>180</v>
      </c>
      <c r="J486">
        <v>30</v>
      </c>
      <c r="K486">
        <f t="shared" si="30"/>
        <v>16.666666666666664</v>
      </c>
      <c r="L486" t="s">
        <v>1736</v>
      </c>
      <c r="M486" t="s">
        <v>3593</v>
      </c>
      <c r="O486">
        <v>192123</v>
      </c>
      <c r="P486" t="s">
        <v>546</v>
      </c>
      <c r="Q486" t="s">
        <v>1772</v>
      </c>
      <c r="S486">
        <v>29.6</v>
      </c>
      <c r="T486">
        <v>2</v>
      </c>
      <c r="U486">
        <v>0.1</v>
      </c>
      <c r="V486">
        <v>14.8</v>
      </c>
      <c r="W486">
        <f t="shared" si="31"/>
        <v>7.4</v>
      </c>
      <c r="X486">
        <v>1</v>
      </c>
    </row>
    <row r="487" spans="1:24" x14ac:dyDescent="0.3">
      <c r="A487">
        <v>486</v>
      </c>
      <c r="B487" t="s">
        <v>2260</v>
      </c>
      <c r="C487" s="6">
        <v>44682</v>
      </c>
      <c r="D487" t="str">
        <f t="shared" si="28"/>
        <v>May</v>
      </c>
      <c r="E487" t="str">
        <f t="shared" si="29"/>
        <v>2022</v>
      </c>
      <c r="F487" t="s">
        <v>5</v>
      </c>
      <c r="G487" t="s">
        <v>199</v>
      </c>
      <c r="H487" t="s">
        <v>977</v>
      </c>
      <c r="I487">
        <v>110</v>
      </c>
      <c r="J487">
        <v>8</v>
      </c>
      <c r="K487">
        <f t="shared" si="30"/>
        <v>7.2727272727272725</v>
      </c>
      <c r="L487" t="s">
        <v>1739</v>
      </c>
      <c r="M487" t="s">
        <v>3594</v>
      </c>
      <c r="N487" t="s">
        <v>1</v>
      </c>
      <c r="O487">
        <v>134114</v>
      </c>
      <c r="P487" t="s">
        <v>546</v>
      </c>
      <c r="Q487" t="s">
        <v>1775</v>
      </c>
      <c r="R487" t="s">
        <v>2</v>
      </c>
      <c r="S487">
        <v>514.16499999999996</v>
      </c>
      <c r="T487">
        <v>5</v>
      </c>
      <c r="U487">
        <v>0.15</v>
      </c>
      <c r="V487">
        <v>-30.245000000000001</v>
      </c>
      <c r="W487">
        <f t="shared" si="31"/>
        <v>108.88199999999999</v>
      </c>
      <c r="X487">
        <v>4</v>
      </c>
    </row>
    <row r="488" spans="1:24" x14ac:dyDescent="0.3">
      <c r="A488">
        <v>487</v>
      </c>
      <c r="B488" t="s">
        <v>2261</v>
      </c>
      <c r="C488" s="6">
        <v>44683</v>
      </c>
      <c r="D488" t="str">
        <f t="shared" si="28"/>
        <v>May</v>
      </c>
      <c r="E488" t="str">
        <f t="shared" si="29"/>
        <v>2022</v>
      </c>
      <c r="F488" t="s">
        <v>5</v>
      </c>
      <c r="G488" t="s">
        <v>199</v>
      </c>
      <c r="H488" t="s">
        <v>978</v>
      </c>
      <c r="I488">
        <v>240</v>
      </c>
      <c r="J488">
        <v>16</v>
      </c>
      <c r="K488">
        <f t="shared" si="30"/>
        <v>6.666666666666667</v>
      </c>
      <c r="L488" t="s">
        <v>1738</v>
      </c>
      <c r="M488" t="s">
        <v>3595</v>
      </c>
      <c r="N488" t="s">
        <v>1</v>
      </c>
      <c r="O488">
        <v>226008</v>
      </c>
      <c r="P488" t="s">
        <v>546</v>
      </c>
      <c r="Q488" t="s">
        <v>1755</v>
      </c>
      <c r="S488">
        <v>279.95999999999998</v>
      </c>
      <c r="T488">
        <v>5</v>
      </c>
      <c r="U488">
        <v>0.2</v>
      </c>
      <c r="V488">
        <v>17.497499999999999</v>
      </c>
      <c r="W488">
        <f t="shared" si="31"/>
        <v>52.492499999999993</v>
      </c>
      <c r="X488">
        <v>4</v>
      </c>
    </row>
    <row r="489" spans="1:24" x14ac:dyDescent="0.3">
      <c r="A489">
        <v>488</v>
      </c>
      <c r="B489" t="s">
        <v>2262</v>
      </c>
      <c r="C489" s="6">
        <v>44684</v>
      </c>
      <c r="D489" t="str">
        <f t="shared" si="28"/>
        <v>May</v>
      </c>
      <c r="E489" t="str">
        <f t="shared" si="29"/>
        <v>2022</v>
      </c>
      <c r="F489" t="s">
        <v>5</v>
      </c>
      <c r="G489" t="s">
        <v>200</v>
      </c>
      <c r="H489" t="s">
        <v>979</v>
      </c>
      <c r="I489">
        <v>150</v>
      </c>
      <c r="J489">
        <v>18</v>
      </c>
      <c r="K489">
        <f t="shared" si="30"/>
        <v>12</v>
      </c>
      <c r="L489" t="s">
        <v>1744</v>
      </c>
      <c r="M489" t="s">
        <v>3596</v>
      </c>
      <c r="N489" t="s">
        <v>1</v>
      </c>
      <c r="O489">
        <v>500004</v>
      </c>
      <c r="P489" t="s">
        <v>546</v>
      </c>
      <c r="Q489" t="s">
        <v>1770</v>
      </c>
      <c r="S489">
        <v>2735.9520000000002</v>
      </c>
      <c r="T489">
        <v>6</v>
      </c>
      <c r="U489">
        <v>0.2</v>
      </c>
      <c r="V489">
        <v>341.99400000000003</v>
      </c>
      <c r="W489">
        <f t="shared" si="31"/>
        <v>398.99299999999999</v>
      </c>
      <c r="X489">
        <v>1</v>
      </c>
    </row>
    <row r="490" spans="1:24" x14ac:dyDescent="0.3">
      <c r="A490">
        <v>489</v>
      </c>
      <c r="B490" t="s">
        <v>2263</v>
      </c>
      <c r="C490" s="6">
        <v>44685</v>
      </c>
      <c r="D490" t="str">
        <f t="shared" si="28"/>
        <v>May</v>
      </c>
      <c r="E490" t="str">
        <f t="shared" si="29"/>
        <v>2022</v>
      </c>
      <c r="F490" t="s">
        <v>3</v>
      </c>
      <c r="G490" t="s">
        <v>201</v>
      </c>
      <c r="H490" t="s">
        <v>980</v>
      </c>
      <c r="I490">
        <v>140</v>
      </c>
      <c r="J490">
        <v>14</v>
      </c>
      <c r="K490">
        <f t="shared" si="30"/>
        <v>10</v>
      </c>
      <c r="L490" t="s">
        <v>1740</v>
      </c>
      <c r="M490" t="s">
        <v>3597</v>
      </c>
      <c r="N490" t="s">
        <v>1</v>
      </c>
      <c r="O490">
        <v>122002</v>
      </c>
      <c r="P490" t="s">
        <v>546</v>
      </c>
      <c r="Q490" t="s">
        <v>1759</v>
      </c>
      <c r="R490" t="s">
        <v>2</v>
      </c>
      <c r="S490">
        <v>7.992</v>
      </c>
      <c r="T490">
        <v>1</v>
      </c>
      <c r="U490">
        <v>0.2</v>
      </c>
      <c r="V490">
        <v>0.59940000000000004</v>
      </c>
      <c r="W490">
        <f t="shared" si="31"/>
        <v>7.3925999999999998</v>
      </c>
      <c r="X490">
        <v>1</v>
      </c>
    </row>
    <row r="491" spans="1:24" x14ac:dyDescent="0.3">
      <c r="A491">
        <v>490</v>
      </c>
      <c r="B491" t="s">
        <v>2264</v>
      </c>
      <c r="C491" s="6">
        <v>44686</v>
      </c>
      <c r="D491" t="str">
        <f t="shared" si="28"/>
        <v>May</v>
      </c>
      <c r="E491" t="str">
        <f t="shared" si="29"/>
        <v>2022</v>
      </c>
      <c r="F491" t="s">
        <v>3</v>
      </c>
      <c r="G491" t="s">
        <v>201</v>
      </c>
      <c r="H491" t="s">
        <v>981</v>
      </c>
      <c r="I491">
        <v>130</v>
      </c>
      <c r="J491">
        <v>8</v>
      </c>
      <c r="K491">
        <f t="shared" si="30"/>
        <v>6.1538461538461542</v>
      </c>
      <c r="L491" t="s">
        <v>1742</v>
      </c>
      <c r="M491" t="s">
        <v>3598</v>
      </c>
      <c r="N491" t="s">
        <v>1</v>
      </c>
      <c r="O491">
        <v>400008</v>
      </c>
      <c r="P491" t="s">
        <v>546</v>
      </c>
      <c r="Q491" t="s">
        <v>1764</v>
      </c>
      <c r="S491">
        <v>63.984000000000002</v>
      </c>
      <c r="T491">
        <v>2</v>
      </c>
      <c r="U491">
        <v>0.2</v>
      </c>
      <c r="V491">
        <v>10.397399999999999</v>
      </c>
      <c r="W491">
        <f t="shared" si="31"/>
        <v>26.793300000000002</v>
      </c>
      <c r="X491">
        <v>4</v>
      </c>
    </row>
    <row r="492" spans="1:24" x14ac:dyDescent="0.3">
      <c r="A492">
        <v>491</v>
      </c>
      <c r="B492" t="s">
        <v>2265</v>
      </c>
      <c r="C492" s="6">
        <v>44687</v>
      </c>
      <c r="D492" t="str">
        <f t="shared" si="28"/>
        <v>May</v>
      </c>
      <c r="E492" t="str">
        <f t="shared" si="29"/>
        <v>2022</v>
      </c>
      <c r="F492" t="s">
        <v>3</v>
      </c>
      <c r="G492" t="s">
        <v>201</v>
      </c>
      <c r="H492" t="s">
        <v>946</v>
      </c>
      <c r="I492">
        <v>230</v>
      </c>
      <c r="J492">
        <v>6</v>
      </c>
      <c r="K492">
        <f t="shared" si="30"/>
        <v>2.6086956521739131</v>
      </c>
      <c r="L492" t="s">
        <v>1739</v>
      </c>
      <c r="M492" t="s">
        <v>3747</v>
      </c>
      <c r="N492" t="s">
        <v>1</v>
      </c>
      <c r="O492">
        <v>500010</v>
      </c>
      <c r="P492" t="s">
        <v>546</v>
      </c>
      <c r="Q492" t="s">
        <v>1755</v>
      </c>
      <c r="S492">
        <v>70.367999999999995</v>
      </c>
      <c r="T492">
        <v>2</v>
      </c>
      <c r="U492">
        <v>0.2</v>
      </c>
      <c r="V492">
        <v>6.1571999999999996</v>
      </c>
      <c r="W492">
        <f t="shared" si="31"/>
        <v>32.105399999999996</v>
      </c>
      <c r="X492">
        <v>3</v>
      </c>
    </row>
    <row r="493" spans="1:24" x14ac:dyDescent="0.3">
      <c r="A493">
        <v>492</v>
      </c>
      <c r="B493" t="s">
        <v>2266</v>
      </c>
      <c r="C493" s="6">
        <v>44688</v>
      </c>
      <c r="D493" t="str">
        <f t="shared" si="28"/>
        <v>May</v>
      </c>
      <c r="E493" t="str">
        <f t="shared" si="29"/>
        <v>2022</v>
      </c>
      <c r="F493" t="s">
        <v>4</v>
      </c>
      <c r="G493" t="s">
        <v>202</v>
      </c>
      <c r="H493" t="s">
        <v>982</v>
      </c>
      <c r="I493">
        <v>230</v>
      </c>
      <c r="J493">
        <v>24</v>
      </c>
      <c r="K493">
        <f t="shared" si="30"/>
        <v>10.434782608695652</v>
      </c>
      <c r="L493" t="s">
        <v>1738</v>
      </c>
      <c r="M493" t="s">
        <v>3599</v>
      </c>
      <c r="N493" t="s">
        <v>1</v>
      </c>
      <c r="O493">
        <v>110025</v>
      </c>
      <c r="P493" t="s">
        <v>546</v>
      </c>
      <c r="Q493" t="s">
        <v>1759</v>
      </c>
      <c r="S493">
        <v>449.15</v>
      </c>
      <c r="T493">
        <v>5</v>
      </c>
      <c r="U493">
        <v>0.1</v>
      </c>
      <c r="V493">
        <v>8.9830000000000005</v>
      </c>
      <c r="W493">
        <f t="shared" si="31"/>
        <v>88.0334</v>
      </c>
      <c r="X493">
        <v>3</v>
      </c>
    </row>
    <row r="494" spans="1:24" x14ac:dyDescent="0.3">
      <c r="A494">
        <v>493</v>
      </c>
      <c r="B494" t="s">
        <v>2267</v>
      </c>
      <c r="C494" s="6">
        <v>44689</v>
      </c>
      <c r="D494" t="str">
        <f t="shared" si="28"/>
        <v>May</v>
      </c>
      <c r="E494" t="str">
        <f t="shared" si="29"/>
        <v>2022</v>
      </c>
      <c r="F494" t="s">
        <v>4</v>
      </c>
      <c r="G494" t="s">
        <v>202</v>
      </c>
      <c r="H494" t="s">
        <v>983</v>
      </c>
      <c r="I494">
        <v>240</v>
      </c>
      <c r="J494">
        <v>8</v>
      </c>
      <c r="K494">
        <f t="shared" si="30"/>
        <v>3.3333333333333335</v>
      </c>
      <c r="L494" t="s">
        <v>1743</v>
      </c>
      <c r="M494" t="s">
        <v>3601</v>
      </c>
      <c r="N494" t="s">
        <v>1</v>
      </c>
      <c r="O494">
        <v>500010</v>
      </c>
      <c r="P494" t="s">
        <v>546</v>
      </c>
      <c r="Q494" t="s">
        <v>1776</v>
      </c>
      <c r="S494">
        <v>11.07</v>
      </c>
      <c r="T494">
        <v>3</v>
      </c>
      <c r="U494">
        <v>0.1</v>
      </c>
      <c r="V494">
        <v>5.0922000000000001</v>
      </c>
      <c r="W494">
        <f t="shared" si="31"/>
        <v>1.9926000000000001</v>
      </c>
      <c r="X494">
        <v>5</v>
      </c>
    </row>
    <row r="495" spans="1:24" x14ac:dyDescent="0.3">
      <c r="A495">
        <v>494</v>
      </c>
      <c r="B495" t="s">
        <v>2268</v>
      </c>
      <c r="C495" s="6">
        <v>44690</v>
      </c>
      <c r="D495" t="str">
        <f t="shared" si="28"/>
        <v>May</v>
      </c>
      <c r="E495" t="str">
        <f t="shared" si="29"/>
        <v>2022</v>
      </c>
      <c r="F495" t="s">
        <v>4</v>
      </c>
      <c r="G495" t="s">
        <v>203</v>
      </c>
      <c r="H495" t="s">
        <v>984</v>
      </c>
      <c r="I495">
        <v>120</v>
      </c>
      <c r="J495">
        <v>26</v>
      </c>
      <c r="K495">
        <f t="shared" si="30"/>
        <v>21.666666666666668</v>
      </c>
      <c r="L495" t="s">
        <v>1737</v>
      </c>
      <c r="M495" t="s">
        <v>3602</v>
      </c>
      <c r="N495" t="s">
        <v>1</v>
      </c>
      <c r="O495">
        <v>201301</v>
      </c>
      <c r="P495" t="s">
        <v>546</v>
      </c>
      <c r="Q495" t="s">
        <v>1773</v>
      </c>
      <c r="S495">
        <v>93.98</v>
      </c>
      <c r="T495">
        <v>2</v>
      </c>
      <c r="U495">
        <v>0.1</v>
      </c>
      <c r="V495">
        <v>13.1572</v>
      </c>
      <c r="W495">
        <f t="shared" si="31"/>
        <v>40.4114</v>
      </c>
      <c r="X495">
        <v>4</v>
      </c>
    </row>
    <row r="496" spans="1:24" x14ac:dyDescent="0.3">
      <c r="A496">
        <v>495</v>
      </c>
      <c r="B496" t="s">
        <v>2269</v>
      </c>
      <c r="C496" s="6">
        <v>44691</v>
      </c>
      <c r="D496" t="str">
        <f t="shared" si="28"/>
        <v>May</v>
      </c>
      <c r="E496" t="str">
        <f t="shared" si="29"/>
        <v>2022</v>
      </c>
      <c r="F496" t="s">
        <v>3</v>
      </c>
      <c r="G496" t="s">
        <v>204</v>
      </c>
      <c r="H496" t="s">
        <v>985</v>
      </c>
      <c r="I496">
        <v>250</v>
      </c>
      <c r="J496">
        <v>20</v>
      </c>
      <c r="K496">
        <f t="shared" si="30"/>
        <v>8</v>
      </c>
      <c r="L496" t="s">
        <v>1741</v>
      </c>
      <c r="M496" t="s">
        <v>3603</v>
      </c>
      <c r="N496" t="s">
        <v>1</v>
      </c>
      <c r="O496">
        <v>201301</v>
      </c>
      <c r="P496" t="s">
        <v>546</v>
      </c>
      <c r="Q496" t="s">
        <v>1776</v>
      </c>
      <c r="S496">
        <v>189.88200000000001</v>
      </c>
      <c r="T496">
        <v>3</v>
      </c>
      <c r="U496">
        <v>0.4</v>
      </c>
      <c r="V496">
        <v>-94.941000000000003</v>
      </c>
      <c r="W496">
        <f t="shared" si="31"/>
        <v>94.940999999999988</v>
      </c>
      <c r="X496">
        <v>4</v>
      </c>
    </row>
    <row r="497" spans="1:24" x14ac:dyDescent="0.3">
      <c r="A497">
        <v>496</v>
      </c>
      <c r="B497" t="s">
        <v>2270</v>
      </c>
      <c r="C497" s="6">
        <v>44692</v>
      </c>
      <c r="D497" t="str">
        <f t="shared" si="28"/>
        <v>May</v>
      </c>
      <c r="E497" t="str">
        <f t="shared" si="29"/>
        <v>2022</v>
      </c>
      <c r="F497" t="s">
        <v>4</v>
      </c>
      <c r="G497" t="s">
        <v>205</v>
      </c>
      <c r="H497" t="s">
        <v>986</v>
      </c>
      <c r="I497">
        <v>150</v>
      </c>
      <c r="J497">
        <v>8</v>
      </c>
      <c r="K497">
        <f t="shared" si="30"/>
        <v>5.3333333333333339</v>
      </c>
      <c r="L497" t="s">
        <v>1736</v>
      </c>
      <c r="M497" t="s">
        <v>3604</v>
      </c>
      <c r="N497" t="s">
        <v>1</v>
      </c>
      <c r="O497">
        <v>246763</v>
      </c>
      <c r="P497" t="s">
        <v>546</v>
      </c>
      <c r="Q497" t="s">
        <v>1754</v>
      </c>
      <c r="S497">
        <v>105.42</v>
      </c>
      <c r="T497">
        <v>2</v>
      </c>
      <c r="U497">
        <v>0.1</v>
      </c>
      <c r="V497">
        <v>51.655799999999999</v>
      </c>
      <c r="W497">
        <f t="shared" si="31"/>
        <v>26.882100000000001</v>
      </c>
      <c r="X497">
        <v>4</v>
      </c>
    </row>
    <row r="498" spans="1:24" x14ac:dyDescent="0.3">
      <c r="A498">
        <v>497</v>
      </c>
      <c r="B498" t="s">
        <v>2271</v>
      </c>
      <c r="C498" s="6">
        <v>44693</v>
      </c>
      <c r="D498" t="str">
        <f t="shared" si="28"/>
        <v>May</v>
      </c>
      <c r="E498" t="str">
        <f t="shared" si="29"/>
        <v>2022</v>
      </c>
      <c r="F498" t="s">
        <v>4</v>
      </c>
      <c r="G498" t="s">
        <v>190</v>
      </c>
      <c r="H498" t="s">
        <v>987</v>
      </c>
      <c r="I498">
        <v>240</v>
      </c>
      <c r="J498">
        <v>24</v>
      </c>
      <c r="K498">
        <f t="shared" si="30"/>
        <v>10</v>
      </c>
      <c r="L498" t="s">
        <v>1744</v>
      </c>
      <c r="M498" t="s">
        <v>3605</v>
      </c>
      <c r="N498" t="s">
        <v>1</v>
      </c>
      <c r="O498">
        <v>201301</v>
      </c>
      <c r="P498" t="s">
        <v>546</v>
      </c>
      <c r="Q498" t="s">
        <v>1775</v>
      </c>
      <c r="S498">
        <v>119.616</v>
      </c>
      <c r="T498">
        <v>8</v>
      </c>
      <c r="U498">
        <v>0.2</v>
      </c>
      <c r="V498">
        <v>40.370399999999997</v>
      </c>
      <c r="W498">
        <f t="shared" si="31"/>
        <v>9.9056999999999995</v>
      </c>
      <c r="X498">
        <v>2</v>
      </c>
    </row>
    <row r="499" spans="1:24" x14ac:dyDescent="0.3">
      <c r="A499">
        <v>498</v>
      </c>
      <c r="B499" t="s">
        <v>2272</v>
      </c>
      <c r="C499" s="6">
        <v>44694</v>
      </c>
      <c r="D499" t="str">
        <f t="shared" si="28"/>
        <v>May</v>
      </c>
      <c r="E499" t="str">
        <f t="shared" si="29"/>
        <v>2022</v>
      </c>
      <c r="F499" t="s">
        <v>4</v>
      </c>
      <c r="G499" t="s">
        <v>190</v>
      </c>
      <c r="H499" t="s">
        <v>988</v>
      </c>
      <c r="I499">
        <v>110</v>
      </c>
      <c r="J499">
        <v>26</v>
      </c>
      <c r="K499">
        <f t="shared" si="30"/>
        <v>23.636363636363637</v>
      </c>
      <c r="L499" t="s">
        <v>1740</v>
      </c>
      <c r="M499" t="s">
        <v>3606</v>
      </c>
      <c r="N499" t="s">
        <v>1</v>
      </c>
      <c r="O499">
        <v>500076</v>
      </c>
      <c r="P499" t="s">
        <v>546</v>
      </c>
      <c r="Q499" t="s">
        <v>1764</v>
      </c>
      <c r="S499">
        <v>255.76</v>
      </c>
      <c r="T499">
        <v>4</v>
      </c>
      <c r="U499">
        <v>0.1</v>
      </c>
      <c r="V499">
        <v>81.843199999999996</v>
      </c>
      <c r="W499">
        <f t="shared" si="31"/>
        <v>43.479199999999999</v>
      </c>
      <c r="X499">
        <v>2</v>
      </c>
    </row>
    <row r="500" spans="1:24" x14ac:dyDescent="0.3">
      <c r="A500">
        <v>499</v>
      </c>
      <c r="B500" t="s">
        <v>2273</v>
      </c>
      <c r="C500" s="6">
        <v>44695</v>
      </c>
      <c r="D500" t="str">
        <f t="shared" si="28"/>
        <v>May</v>
      </c>
      <c r="E500" t="str">
        <f t="shared" si="29"/>
        <v>2022</v>
      </c>
      <c r="F500" t="s">
        <v>4</v>
      </c>
      <c r="G500" t="s">
        <v>190</v>
      </c>
      <c r="H500" t="s">
        <v>838</v>
      </c>
      <c r="I500">
        <v>250</v>
      </c>
      <c r="J500">
        <v>30</v>
      </c>
      <c r="K500">
        <f t="shared" si="30"/>
        <v>12</v>
      </c>
      <c r="L500" t="s">
        <v>1742</v>
      </c>
      <c r="M500" t="s">
        <v>3607</v>
      </c>
      <c r="N500" t="s">
        <v>1</v>
      </c>
      <c r="O500">
        <v>421301</v>
      </c>
      <c r="P500" t="s">
        <v>546</v>
      </c>
      <c r="Q500" t="s">
        <v>1764</v>
      </c>
      <c r="S500">
        <v>241.56800000000001</v>
      </c>
      <c r="T500">
        <v>2</v>
      </c>
      <c r="U500">
        <v>0.2</v>
      </c>
      <c r="V500">
        <v>18.117599999999999</v>
      </c>
      <c r="W500">
        <f t="shared" si="31"/>
        <v>111.7252</v>
      </c>
      <c r="X500">
        <v>5</v>
      </c>
    </row>
    <row r="501" spans="1:24" x14ac:dyDescent="0.3">
      <c r="A501">
        <v>500</v>
      </c>
      <c r="B501" t="s">
        <v>2274</v>
      </c>
      <c r="C501" s="6">
        <v>44696</v>
      </c>
      <c r="D501" t="str">
        <f t="shared" si="28"/>
        <v>May</v>
      </c>
      <c r="E501" t="str">
        <f t="shared" si="29"/>
        <v>2022</v>
      </c>
      <c r="F501" t="s">
        <v>4</v>
      </c>
      <c r="G501" t="s">
        <v>190</v>
      </c>
      <c r="H501" t="s">
        <v>989</v>
      </c>
      <c r="I501">
        <v>180</v>
      </c>
      <c r="J501">
        <v>28</v>
      </c>
      <c r="K501">
        <f t="shared" si="30"/>
        <v>15.555555555555555</v>
      </c>
      <c r="L501" t="s">
        <v>1739</v>
      </c>
      <c r="M501" t="s">
        <v>3600</v>
      </c>
      <c r="N501" t="s">
        <v>1</v>
      </c>
      <c r="O501">
        <v>401208</v>
      </c>
      <c r="P501" t="s">
        <v>546</v>
      </c>
      <c r="Q501" t="s">
        <v>1754</v>
      </c>
      <c r="S501">
        <v>69.3</v>
      </c>
      <c r="T501">
        <v>9</v>
      </c>
      <c r="U501">
        <v>0.1</v>
      </c>
      <c r="V501">
        <v>22.869</v>
      </c>
      <c r="W501">
        <f t="shared" si="31"/>
        <v>5.1589999999999998</v>
      </c>
      <c r="X501">
        <v>1</v>
      </c>
    </row>
    <row r="502" spans="1:24" x14ac:dyDescent="0.3">
      <c r="A502">
        <v>501</v>
      </c>
      <c r="B502" t="s">
        <v>2275</v>
      </c>
      <c r="C502" s="6">
        <v>44697</v>
      </c>
      <c r="D502" t="str">
        <f t="shared" si="28"/>
        <v>May</v>
      </c>
      <c r="E502" t="str">
        <f t="shared" si="29"/>
        <v>2022</v>
      </c>
      <c r="F502" t="s">
        <v>4</v>
      </c>
      <c r="G502" t="s">
        <v>206</v>
      </c>
      <c r="H502" t="s">
        <v>990</v>
      </c>
      <c r="I502">
        <v>180</v>
      </c>
      <c r="J502">
        <v>22</v>
      </c>
      <c r="K502">
        <f t="shared" si="30"/>
        <v>12.222222222222221</v>
      </c>
      <c r="L502" t="s">
        <v>1738</v>
      </c>
      <c r="M502" t="s">
        <v>3609</v>
      </c>
      <c r="N502" t="s">
        <v>1</v>
      </c>
      <c r="O502">
        <v>226012</v>
      </c>
      <c r="P502" t="s">
        <v>546</v>
      </c>
      <c r="Q502" t="s">
        <v>1758</v>
      </c>
      <c r="S502">
        <v>22.62</v>
      </c>
      <c r="T502">
        <v>2</v>
      </c>
      <c r="U502">
        <v>0.7</v>
      </c>
      <c r="V502">
        <v>-15.08</v>
      </c>
      <c r="W502">
        <f t="shared" si="31"/>
        <v>18.850000000000001</v>
      </c>
      <c r="X502">
        <v>4</v>
      </c>
    </row>
    <row r="503" spans="1:24" x14ac:dyDescent="0.3">
      <c r="A503">
        <v>502</v>
      </c>
      <c r="B503" t="s">
        <v>2276</v>
      </c>
      <c r="C503" s="6">
        <v>44698</v>
      </c>
      <c r="D503" t="str">
        <f t="shared" si="28"/>
        <v>May</v>
      </c>
      <c r="E503" t="str">
        <f t="shared" si="29"/>
        <v>2022</v>
      </c>
      <c r="F503" t="s">
        <v>4</v>
      </c>
      <c r="G503" t="s">
        <v>206</v>
      </c>
      <c r="H503" t="s">
        <v>991</v>
      </c>
      <c r="I503">
        <v>200</v>
      </c>
      <c r="J503">
        <v>16</v>
      </c>
      <c r="K503">
        <f t="shared" si="30"/>
        <v>8</v>
      </c>
      <c r="L503" t="s">
        <v>1743</v>
      </c>
      <c r="M503" t="s">
        <v>3610</v>
      </c>
      <c r="N503" t="s">
        <v>1</v>
      </c>
      <c r="O503">
        <v>211004</v>
      </c>
      <c r="P503" t="s">
        <v>546</v>
      </c>
      <c r="Q503" t="s">
        <v>1770</v>
      </c>
      <c r="S503">
        <v>14.952</v>
      </c>
      <c r="T503">
        <v>2</v>
      </c>
      <c r="U503">
        <v>0.7</v>
      </c>
      <c r="V503">
        <v>-11.961600000000001</v>
      </c>
      <c r="W503">
        <f t="shared" si="31"/>
        <v>13.456800000000001</v>
      </c>
      <c r="X503">
        <v>1</v>
      </c>
    </row>
    <row r="504" spans="1:24" x14ac:dyDescent="0.3">
      <c r="A504">
        <v>503</v>
      </c>
      <c r="B504" t="s">
        <v>2277</v>
      </c>
      <c r="C504" s="6">
        <v>44699</v>
      </c>
      <c r="D504" t="str">
        <f t="shared" si="28"/>
        <v>May</v>
      </c>
      <c r="E504" t="str">
        <f t="shared" si="29"/>
        <v>2022</v>
      </c>
      <c r="F504" t="s">
        <v>4</v>
      </c>
      <c r="G504" t="s">
        <v>206</v>
      </c>
      <c r="H504" t="s">
        <v>992</v>
      </c>
      <c r="I504">
        <v>190</v>
      </c>
      <c r="J504">
        <v>20</v>
      </c>
      <c r="K504">
        <f t="shared" si="30"/>
        <v>10.526315789473683</v>
      </c>
      <c r="L504" t="s">
        <v>1737</v>
      </c>
      <c r="M504" t="s">
        <v>3611</v>
      </c>
      <c r="N504" t="s">
        <v>1</v>
      </c>
      <c r="O504">
        <v>535145</v>
      </c>
      <c r="P504" t="s">
        <v>546</v>
      </c>
      <c r="Q504" t="s">
        <v>1759</v>
      </c>
      <c r="R504" t="s">
        <v>2</v>
      </c>
      <c r="S504">
        <v>801.56799999999998</v>
      </c>
      <c r="T504">
        <v>2</v>
      </c>
      <c r="U504">
        <v>0.2</v>
      </c>
      <c r="V504">
        <v>50.097999999999999</v>
      </c>
      <c r="W504">
        <f t="shared" si="31"/>
        <v>375.73500000000001</v>
      </c>
      <c r="X504">
        <v>4</v>
      </c>
    </row>
    <row r="505" spans="1:24" x14ac:dyDescent="0.3">
      <c r="A505">
        <v>504</v>
      </c>
      <c r="B505" t="s">
        <v>2278</v>
      </c>
      <c r="C505" s="6">
        <v>44700</v>
      </c>
      <c r="D505" t="str">
        <f t="shared" si="28"/>
        <v>May</v>
      </c>
      <c r="E505" t="str">
        <f t="shared" si="29"/>
        <v>2022</v>
      </c>
      <c r="F505" t="s">
        <v>4</v>
      </c>
      <c r="G505" t="s">
        <v>206</v>
      </c>
      <c r="H505" t="s">
        <v>993</v>
      </c>
      <c r="I505">
        <v>230</v>
      </c>
      <c r="J505">
        <v>14</v>
      </c>
      <c r="K505">
        <f t="shared" si="30"/>
        <v>6.0869565217391308</v>
      </c>
      <c r="L505" t="s">
        <v>1741</v>
      </c>
      <c r="M505" t="s">
        <v>3612</v>
      </c>
      <c r="N505" t="s">
        <v>1</v>
      </c>
      <c r="O505">
        <v>600126</v>
      </c>
      <c r="P505" t="s">
        <v>546</v>
      </c>
      <c r="Q505" t="s">
        <v>1759</v>
      </c>
      <c r="S505">
        <v>2.3759999999999999</v>
      </c>
      <c r="T505">
        <v>3</v>
      </c>
      <c r="U505">
        <v>0.7</v>
      </c>
      <c r="V505">
        <v>-1.9008</v>
      </c>
      <c r="W505">
        <f t="shared" si="31"/>
        <v>1.4256</v>
      </c>
      <c r="X505">
        <v>4</v>
      </c>
    </row>
    <row r="506" spans="1:24" x14ac:dyDescent="0.3">
      <c r="A506">
        <v>505</v>
      </c>
      <c r="B506" t="s">
        <v>2279</v>
      </c>
      <c r="C506" s="6">
        <v>44701</v>
      </c>
      <c r="D506" t="str">
        <f t="shared" si="28"/>
        <v>May</v>
      </c>
      <c r="E506" t="str">
        <f t="shared" si="29"/>
        <v>2022</v>
      </c>
      <c r="F506" t="s">
        <v>4</v>
      </c>
      <c r="G506" t="s">
        <v>206</v>
      </c>
      <c r="H506" t="s">
        <v>994</v>
      </c>
      <c r="I506">
        <v>210</v>
      </c>
      <c r="J506">
        <v>14</v>
      </c>
      <c r="K506">
        <f t="shared" si="30"/>
        <v>6.666666666666667</v>
      </c>
      <c r="L506" t="s">
        <v>1736</v>
      </c>
      <c r="M506" t="s">
        <v>3613</v>
      </c>
      <c r="N506" t="s">
        <v>1</v>
      </c>
      <c r="O506">
        <v>495330</v>
      </c>
      <c r="P506" t="s">
        <v>546</v>
      </c>
      <c r="Q506" t="s">
        <v>1775</v>
      </c>
      <c r="S506">
        <v>32.792000000000002</v>
      </c>
      <c r="T506">
        <v>1</v>
      </c>
      <c r="U506">
        <v>0.2</v>
      </c>
      <c r="V506">
        <v>11.8871</v>
      </c>
      <c r="W506">
        <f t="shared" si="31"/>
        <v>20.904900000000001</v>
      </c>
      <c r="X506">
        <v>5</v>
      </c>
    </row>
    <row r="507" spans="1:24" x14ac:dyDescent="0.3">
      <c r="A507">
        <v>506</v>
      </c>
      <c r="B507" t="s">
        <v>2280</v>
      </c>
      <c r="C507" s="6">
        <v>44702</v>
      </c>
      <c r="D507" t="str">
        <f t="shared" si="28"/>
        <v>May</v>
      </c>
      <c r="E507" t="str">
        <f t="shared" si="29"/>
        <v>2022</v>
      </c>
      <c r="F507" t="s">
        <v>3</v>
      </c>
      <c r="G507" t="s">
        <v>189</v>
      </c>
      <c r="H507" t="s">
        <v>669</v>
      </c>
      <c r="I507">
        <v>130</v>
      </c>
      <c r="J507">
        <v>26</v>
      </c>
      <c r="K507">
        <f t="shared" si="30"/>
        <v>20</v>
      </c>
      <c r="L507" t="s">
        <v>1744</v>
      </c>
      <c r="M507" t="s">
        <v>3614</v>
      </c>
      <c r="N507" t="s">
        <v>1</v>
      </c>
      <c r="O507">
        <v>134116</v>
      </c>
      <c r="P507" t="s">
        <v>546</v>
      </c>
      <c r="Q507" t="s">
        <v>1754</v>
      </c>
      <c r="S507">
        <v>15.92</v>
      </c>
      <c r="T507">
        <v>5</v>
      </c>
      <c r="U507">
        <v>0.2</v>
      </c>
      <c r="V507">
        <v>5.3730000000000002</v>
      </c>
      <c r="W507">
        <f t="shared" si="31"/>
        <v>2.1093999999999999</v>
      </c>
      <c r="X507">
        <v>3</v>
      </c>
    </row>
    <row r="508" spans="1:24" x14ac:dyDescent="0.3">
      <c r="A508">
        <v>507</v>
      </c>
      <c r="B508" t="s">
        <v>2281</v>
      </c>
      <c r="C508" s="6">
        <v>44703</v>
      </c>
      <c r="D508" t="str">
        <f t="shared" si="28"/>
        <v>May</v>
      </c>
      <c r="E508" t="str">
        <f t="shared" si="29"/>
        <v>2022</v>
      </c>
      <c r="F508" t="s">
        <v>4</v>
      </c>
      <c r="G508" t="s">
        <v>207</v>
      </c>
      <c r="H508" t="s">
        <v>995</v>
      </c>
      <c r="I508">
        <v>210</v>
      </c>
      <c r="J508">
        <v>12</v>
      </c>
      <c r="K508">
        <f t="shared" si="30"/>
        <v>5.7142857142857144</v>
      </c>
      <c r="L508" t="s">
        <v>1740</v>
      </c>
      <c r="M508" t="s">
        <v>3615</v>
      </c>
      <c r="N508" t="s">
        <v>1</v>
      </c>
      <c r="O508">
        <v>134116</v>
      </c>
      <c r="P508" t="s">
        <v>546</v>
      </c>
      <c r="Q508" t="s">
        <v>1767</v>
      </c>
      <c r="S508">
        <v>2.74</v>
      </c>
      <c r="T508">
        <v>1</v>
      </c>
      <c r="U508">
        <v>0.1</v>
      </c>
      <c r="V508">
        <v>0.73980000000000001</v>
      </c>
      <c r="W508">
        <f t="shared" si="31"/>
        <v>2.0002000000000004</v>
      </c>
      <c r="X508">
        <v>5</v>
      </c>
    </row>
    <row r="509" spans="1:24" x14ac:dyDescent="0.3">
      <c r="A509">
        <v>508</v>
      </c>
      <c r="B509" t="s">
        <v>2282</v>
      </c>
      <c r="C509" s="6">
        <v>44704</v>
      </c>
      <c r="D509" t="str">
        <f t="shared" si="28"/>
        <v>May</v>
      </c>
      <c r="E509" t="str">
        <f t="shared" si="29"/>
        <v>2022</v>
      </c>
      <c r="F509" t="s">
        <v>4</v>
      </c>
      <c r="G509" t="s">
        <v>207</v>
      </c>
      <c r="H509" t="s">
        <v>996</v>
      </c>
      <c r="I509">
        <v>250</v>
      </c>
      <c r="J509">
        <v>26</v>
      </c>
      <c r="K509">
        <f t="shared" si="30"/>
        <v>10.4</v>
      </c>
      <c r="L509" t="s">
        <v>1742</v>
      </c>
      <c r="M509" t="s">
        <v>3616</v>
      </c>
      <c r="N509" t="s">
        <v>1</v>
      </c>
      <c r="O509">
        <v>575003</v>
      </c>
      <c r="P509" t="s">
        <v>546</v>
      </c>
      <c r="Q509" t="s">
        <v>1759</v>
      </c>
      <c r="R509" t="s">
        <v>2</v>
      </c>
      <c r="S509">
        <v>8.34</v>
      </c>
      <c r="T509">
        <v>3</v>
      </c>
      <c r="U509">
        <v>0.1</v>
      </c>
      <c r="V509">
        <v>2.1684000000000001</v>
      </c>
      <c r="W509">
        <f t="shared" si="31"/>
        <v>2.0571999999999999</v>
      </c>
      <c r="X509">
        <v>3</v>
      </c>
    </row>
    <row r="510" spans="1:24" x14ac:dyDescent="0.3">
      <c r="A510">
        <v>509</v>
      </c>
      <c r="B510" t="s">
        <v>2283</v>
      </c>
      <c r="C510" s="6">
        <v>44705</v>
      </c>
      <c r="D510" t="str">
        <f t="shared" si="28"/>
        <v>May</v>
      </c>
      <c r="E510" t="str">
        <f t="shared" si="29"/>
        <v>2022</v>
      </c>
      <c r="F510" t="s">
        <v>4</v>
      </c>
      <c r="G510" t="s">
        <v>207</v>
      </c>
      <c r="H510" t="s">
        <v>777</v>
      </c>
      <c r="I510">
        <v>140</v>
      </c>
      <c r="J510">
        <v>26</v>
      </c>
      <c r="K510">
        <f t="shared" si="30"/>
        <v>18.571428571428573</v>
      </c>
      <c r="L510" t="s">
        <v>1739</v>
      </c>
      <c r="M510" t="s">
        <v>3617</v>
      </c>
      <c r="N510" t="s">
        <v>1</v>
      </c>
      <c r="O510">
        <v>700064</v>
      </c>
      <c r="P510" t="s">
        <v>546</v>
      </c>
      <c r="Q510" t="s">
        <v>1761</v>
      </c>
      <c r="R510" t="s">
        <v>2</v>
      </c>
      <c r="S510">
        <v>46.74</v>
      </c>
      <c r="T510">
        <v>3</v>
      </c>
      <c r="U510">
        <v>0.1</v>
      </c>
      <c r="V510">
        <v>11.685</v>
      </c>
      <c r="W510">
        <f t="shared" si="31"/>
        <v>11.685</v>
      </c>
      <c r="X510">
        <v>1</v>
      </c>
    </row>
    <row r="511" spans="1:24" x14ac:dyDescent="0.3">
      <c r="A511">
        <v>510</v>
      </c>
      <c r="B511" t="s">
        <v>2284</v>
      </c>
      <c r="C511" s="6">
        <v>44706</v>
      </c>
      <c r="D511" t="str">
        <f t="shared" si="28"/>
        <v>May</v>
      </c>
      <c r="E511" t="str">
        <f t="shared" si="29"/>
        <v>2022</v>
      </c>
      <c r="F511" t="s">
        <v>4</v>
      </c>
      <c r="G511" t="s">
        <v>207</v>
      </c>
      <c r="H511" t="s">
        <v>997</v>
      </c>
      <c r="I511">
        <v>130</v>
      </c>
      <c r="J511">
        <v>16</v>
      </c>
      <c r="K511">
        <f t="shared" si="30"/>
        <v>12.307692307692308</v>
      </c>
      <c r="L511" t="s">
        <v>1738</v>
      </c>
      <c r="M511" t="s">
        <v>3618</v>
      </c>
      <c r="N511" t="s">
        <v>1</v>
      </c>
      <c r="O511">
        <v>671310</v>
      </c>
      <c r="P511" t="s">
        <v>546</v>
      </c>
      <c r="Q511" t="s">
        <v>1772</v>
      </c>
      <c r="S511">
        <v>6354.95</v>
      </c>
      <c r="T511">
        <v>5</v>
      </c>
      <c r="U511">
        <v>0.1</v>
      </c>
      <c r="V511">
        <v>3177.4749999999999</v>
      </c>
      <c r="W511">
        <f t="shared" si="31"/>
        <v>635.495</v>
      </c>
      <c r="X511">
        <v>4</v>
      </c>
    </row>
    <row r="512" spans="1:24" x14ac:dyDescent="0.3">
      <c r="A512">
        <v>511</v>
      </c>
      <c r="B512" t="s">
        <v>2285</v>
      </c>
      <c r="C512" s="6">
        <v>44707</v>
      </c>
      <c r="D512" t="str">
        <f t="shared" si="28"/>
        <v>May</v>
      </c>
      <c r="E512" t="str">
        <f t="shared" si="29"/>
        <v>2022</v>
      </c>
      <c r="F512" t="s">
        <v>5</v>
      </c>
      <c r="G512" t="s">
        <v>208</v>
      </c>
      <c r="H512" t="s">
        <v>998</v>
      </c>
      <c r="I512">
        <v>180</v>
      </c>
      <c r="J512">
        <v>6</v>
      </c>
      <c r="K512">
        <f t="shared" si="30"/>
        <v>3.3333333333333335</v>
      </c>
      <c r="L512" t="s">
        <v>1741</v>
      </c>
      <c r="M512" t="s">
        <v>3619</v>
      </c>
      <c r="N512" t="s">
        <v>1</v>
      </c>
      <c r="O512">
        <v>180005</v>
      </c>
      <c r="P512" t="s">
        <v>546</v>
      </c>
      <c r="Q512" t="s">
        <v>1767</v>
      </c>
      <c r="S512">
        <v>126.3</v>
      </c>
      <c r="T512">
        <v>3</v>
      </c>
      <c r="U512">
        <v>0.1</v>
      </c>
      <c r="V512">
        <v>40.415999999999997</v>
      </c>
      <c r="W512">
        <f t="shared" si="31"/>
        <v>28.628</v>
      </c>
      <c r="X512">
        <v>3</v>
      </c>
    </row>
    <row r="513" spans="1:24" x14ac:dyDescent="0.3">
      <c r="A513">
        <v>512</v>
      </c>
      <c r="B513" t="s">
        <v>2286</v>
      </c>
      <c r="C513" s="6">
        <v>44708</v>
      </c>
      <c r="D513" t="str">
        <f t="shared" si="28"/>
        <v>May</v>
      </c>
      <c r="E513" t="str">
        <f t="shared" si="29"/>
        <v>2022</v>
      </c>
      <c r="F513" t="s">
        <v>5</v>
      </c>
      <c r="G513" t="s">
        <v>208</v>
      </c>
      <c r="H513" t="s">
        <v>999</v>
      </c>
      <c r="I513">
        <v>160</v>
      </c>
      <c r="J513">
        <v>10</v>
      </c>
      <c r="K513">
        <f t="shared" si="30"/>
        <v>6.25</v>
      </c>
      <c r="L513" t="s">
        <v>1737</v>
      </c>
      <c r="M513" t="s">
        <v>3620</v>
      </c>
      <c r="N513" t="s">
        <v>1</v>
      </c>
      <c r="O513">
        <v>110016</v>
      </c>
      <c r="P513" t="s">
        <v>546</v>
      </c>
      <c r="Q513" t="s">
        <v>1767</v>
      </c>
      <c r="S513">
        <v>38.04</v>
      </c>
      <c r="T513">
        <v>2</v>
      </c>
      <c r="U513">
        <v>0.1</v>
      </c>
      <c r="V513">
        <v>12.172800000000001</v>
      </c>
      <c r="W513">
        <f t="shared" si="31"/>
        <v>12.933599999999998</v>
      </c>
      <c r="X513">
        <v>3</v>
      </c>
    </row>
    <row r="514" spans="1:24" x14ac:dyDescent="0.3">
      <c r="A514">
        <v>513</v>
      </c>
      <c r="B514" t="s">
        <v>2287</v>
      </c>
      <c r="C514" s="6">
        <v>44709</v>
      </c>
      <c r="D514" t="str">
        <f t="shared" si="28"/>
        <v>May</v>
      </c>
      <c r="E514" t="str">
        <f t="shared" si="29"/>
        <v>2022</v>
      </c>
      <c r="F514" t="s">
        <v>5</v>
      </c>
      <c r="G514" t="s">
        <v>173</v>
      </c>
      <c r="H514" t="s">
        <v>626</v>
      </c>
      <c r="I514">
        <v>170</v>
      </c>
      <c r="J514">
        <v>10</v>
      </c>
      <c r="K514">
        <f t="shared" si="30"/>
        <v>5.8823529411764701</v>
      </c>
      <c r="L514" t="s">
        <v>1743</v>
      </c>
      <c r="M514" t="s">
        <v>3621</v>
      </c>
      <c r="N514" t="s">
        <v>1</v>
      </c>
      <c r="O514">
        <v>380060</v>
      </c>
      <c r="P514" t="s">
        <v>546</v>
      </c>
      <c r="Q514" t="s">
        <v>1775</v>
      </c>
      <c r="R514" t="s">
        <v>2</v>
      </c>
      <c r="S514">
        <v>7.1520000000000001</v>
      </c>
      <c r="T514">
        <v>3</v>
      </c>
      <c r="U514">
        <v>0.2</v>
      </c>
      <c r="V514">
        <v>0.71519999999999995</v>
      </c>
      <c r="W514">
        <f t="shared" si="31"/>
        <v>2.1456</v>
      </c>
      <c r="X514">
        <v>5</v>
      </c>
    </row>
    <row r="515" spans="1:24" x14ac:dyDescent="0.3">
      <c r="A515">
        <v>514</v>
      </c>
      <c r="B515" t="s">
        <v>2288</v>
      </c>
      <c r="C515" s="6">
        <v>44710</v>
      </c>
      <c r="D515" t="str">
        <f t="shared" ref="D515:D578" si="32">TEXT(C515,"Mmm")</f>
        <v>May</v>
      </c>
      <c r="E515" t="str">
        <f t="shared" ref="E515:E578" si="33">TEXT(C515,"YYYY")</f>
        <v>2022</v>
      </c>
      <c r="F515" t="s">
        <v>4</v>
      </c>
      <c r="G515" t="s">
        <v>209</v>
      </c>
      <c r="H515" t="s">
        <v>1000</v>
      </c>
      <c r="I515">
        <v>100</v>
      </c>
      <c r="J515">
        <v>20</v>
      </c>
      <c r="K515">
        <f t="shared" ref="K515:K578" si="34">(J515/I515)*100</f>
        <v>20</v>
      </c>
      <c r="L515" t="s">
        <v>1738</v>
      </c>
      <c r="M515" t="s">
        <v>3622</v>
      </c>
      <c r="N515" t="s">
        <v>1</v>
      </c>
      <c r="O515">
        <v>390009</v>
      </c>
      <c r="P515" t="s">
        <v>546</v>
      </c>
      <c r="Q515" t="s">
        <v>1768</v>
      </c>
      <c r="S515">
        <v>6.63</v>
      </c>
      <c r="T515">
        <v>3</v>
      </c>
      <c r="U515">
        <v>0.1</v>
      </c>
      <c r="V515">
        <v>1.7901</v>
      </c>
      <c r="W515">
        <f t="shared" ref="W515:W578" si="35">(S515-V515)/T515</f>
        <v>1.6133</v>
      </c>
      <c r="X515">
        <v>3</v>
      </c>
    </row>
    <row r="516" spans="1:24" x14ac:dyDescent="0.3">
      <c r="A516">
        <v>515</v>
      </c>
      <c r="B516" t="s">
        <v>2289</v>
      </c>
      <c r="C516" s="6">
        <v>44711</v>
      </c>
      <c r="D516" t="str">
        <f t="shared" si="32"/>
        <v>May</v>
      </c>
      <c r="E516" t="str">
        <f t="shared" si="33"/>
        <v>2022</v>
      </c>
      <c r="F516" t="s">
        <v>4</v>
      </c>
      <c r="G516" t="s">
        <v>209</v>
      </c>
      <c r="H516" t="s">
        <v>1001</v>
      </c>
      <c r="I516">
        <v>170</v>
      </c>
      <c r="J516">
        <v>18</v>
      </c>
      <c r="K516">
        <f t="shared" si="34"/>
        <v>10.588235294117647</v>
      </c>
      <c r="L516" t="s">
        <v>1739</v>
      </c>
      <c r="M516" t="s">
        <v>3623</v>
      </c>
      <c r="N516" t="s">
        <v>1</v>
      </c>
      <c r="O516">
        <v>400706</v>
      </c>
      <c r="P516" t="s">
        <v>546</v>
      </c>
      <c r="Q516" t="s">
        <v>1761</v>
      </c>
      <c r="S516">
        <v>5.88</v>
      </c>
      <c r="T516">
        <v>2</v>
      </c>
      <c r="U516">
        <v>0.1</v>
      </c>
      <c r="V516">
        <v>1.7052</v>
      </c>
      <c r="W516">
        <f t="shared" si="35"/>
        <v>2.0873999999999997</v>
      </c>
      <c r="X516">
        <v>1</v>
      </c>
    </row>
    <row r="517" spans="1:24" x14ac:dyDescent="0.3">
      <c r="A517">
        <v>516</v>
      </c>
      <c r="B517" t="s">
        <v>2290</v>
      </c>
      <c r="C517" s="6">
        <v>44712</v>
      </c>
      <c r="D517" t="str">
        <f t="shared" si="32"/>
        <v>May</v>
      </c>
      <c r="E517" t="str">
        <f t="shared" si="33"/>
        <v>2022</v>
      </c>
      <c r="F517" t="s">
        <v>4</v>
      </c>
      <c r="G517" t="s">
        <v>64</v>
      </c>
      <c r="H517" t="s">
        <v>1002</v>
      </c>
      <c r="I517">
        <v>170</v>
      </c>
      <c r="J517">
        <v>6</v>
      </c>
      <c r="K517">
        <f t="shared" si="34"/>
        <v>3.5294117647058822</v>
      </c>
      <c r="L517" t="s">
        <v>1736</v>
      </c>
      <c r="M517" t="s">
        <v>3624</v>
      </c>
      <c r="N517" t="s">
        <v>1</v>
      </c>
      <c r="O517">
        <v>144022</v>
      </c>
      <c r="P517" t="s">
        <v>546</v>
      </c>
      <c r="Q517" t="s">
        <v>1773</v>
      </c>
      <c r="S517">
        <v>2999.95</v>
      </c>
      <c r="T517">
        <v>5</v>
      </c>
      <c r="U517">
        <v>0.1</v>
      </c>
      <c r="V517">
        <v>1379.9770000000001</v>
      </c>
      <c r="W517">
        <f t="shared" si="35"/>
        <v>323.99459999999993</v>
      </c>
      <c r="X517">
        <v>1</v>
      </c>
    </row>
    <row r="518" spans="1:24" x14ac:dyDescent="0.3">
      <c r="A518">
        <v>517</v>
      </c>
      <c r="B518" t="s">
        <v>2291</v>
      </c>
      <c r="C518" s="6">
        <v>44713</v>
      </c>
      <c r="D518" t="str">
        <f t="shared" si="32"/>
        <v>Jun</v>
      </c>
      <c r="E518" t="str">
        <f t="shared" si="33"/>
        <v>2022</v>
      </c>
      <c r="F518" t="s">
        <v>4</v>
      </c>
      <c r="G518" t="s">
        <v>64</v>
      </c>
      <c r="H518" t="s">
        <v>1003</v>
      </c>
      <c r="I518">
        <v>110</v>
      </c>
      <c r="J518">
        <v>18</v>
      </c>
      <c r="K518">
        <f t="shared" si="34"/>
        <v>16.363636363636363</v>
      </c>
      <c r="L518" t="s">
        <v>1744</v>
      </c>
      <c r="M518" t="s">
        <v>3625</v>
      </c>
      <c r="O518">
        <v>721101</v>
      </c>
      <c r="P518" t="s">
        <v>546</v>
      </c>
      <c r="Q518" t="s">
        <v>1761</v>
      </c>
      <c r="S518">
        <v>51.45</v>
      </c>
      <c r="T518">
        <v>3</v>
      </c>
      <c r="U518">
        <v>0.1</v>
      </c>
      <c r="V518">
        <v>13.891500000000001</v>
      </c>
      <c r="W518">
        <f t="shared" si="35"/>
        <v>12.519500000000001</v>
      </c>
      <c r="X518">
        <v>2</v>
      </c>
    </row>
    <row r="519" spans="1:24" x14ac:dyDescent="0.3">
      <c r="A519">
        <v>518</v>
      </c>
      <c r="B519" t="s">
        <v>2292</v>
      </c>
      <c r="C519" s="6">
        <v>44714</v>
      </c>
      <c r="D519" t="str">
        <f t="shared" si="32"/>
        <v>Jun</v>
      </c>
      <c r="E519" t="str">
        <f t="shared" si="33"/>
        <v>2022</v>
      </c>
      <c r="F519" t="s">
        <v>4</v>
      </c>
      <c r="G519" t="s">
        <v>64</v>
      </c>
      <c r="H519" t="s">
        <v>1004</v>
      </c>
      <c r="I519">
        <v>190</v>
      </c>
      <c r="J519">
        <v>26</v>
      </c>
      <c r="K519">
        <f t="shared" si="34"/>
        <v>13.684210526315791</v>
      </c>
      <c r="L519" t="s">
        <v>1740</v>
      </c>
      <c r="M519" t="s">
        <v>3626</v>
      </c>
      <c r="O519">
        <v>812001</v>
      </c>
      <c r="P519" t="s">
        <v>546</v>
      </c>
      <c r="Q519" t="s">
        <v>1761</v>
      </c>
      <c r="S519">
        <v>11.96</v>
      </c>
      <c r="T519">
        <v>2</v>
      </c>
      <c r="U519">
        <v>0.1</v>
      </c>
      <c r="V519">
        <v>5.3819999999999997</v>
      </c>
      <c r="W519">
        <f t="shared" si="35"/>
        <v>3.2890000000000006</v>
      </c>
      <c r="X519">
        <v>3</v>
      </c>
    </row>
    <row r="520" spans="1:24" x14ac:dyDescent="0.3">
      <c r="A520">
        <v>519</v>
      </c>
      <c r="B520" t="s">
        <v>2293</v>
      </c>
      <c r="C520" s="6">
        <v>44715</v>
      </c>
      <c r="D520" t="str">
        <f t="shared" si="32"/>
        <v>Jun</v>
      </c>
      <c r="E520" t="str">
        <f t="shared" si="33"/>
        <v>2022</v>
      </c>
      <c r="F520" t="s">
        <v>4</v>
      </c>
      <c r="G520" t="s">
        <v>64</v>
      </c>
      <c r="H520" t="s">
        <v>1005</v>
      </c>
      <c r="I520">
        <v>250</v>
      </c>
      <c r="J520">
        <v>22</v>
      </c>
      <c r="K520">
        <f t="shared" si="34"/>
        <v>8.7999999999999989</v>
      </c>
      <c r="L520" t="s">
        <v>1742</v>
      </c>
      <c r="M520" t="s">
        <v>3627</v>
      </c>
      <c r="N520" t="s">
        <v>1</v>
      </c>
      <c r="O520">
        <v>224001</v>
      </c>
      <c r="P520" t="s">
        <v>546</v>
      </c>
      <c r="Q520" t="s">
        <v>1754</v>
      </c>
      <c r="S520">
        <v>1126.02</v>
      </c>
      <c r="T520">
        <v>3</v>
      </c>
      <c r="U520">
        <v>0.1</v>
      </c>
      <c r="V520">
        <v>56.301000000000002</v>
      </c>
      <c r="W520">
        <f t="shared" si="35"/>
        <v>356.57300000000004</v>
      </c>
      <c r="X520">
        <v>1</v>
      </c>
    </row>
    <row r="521" spans="1:24" x14ac:dyDescent="0.3">
      <c r="A521">
        <v>520</v>
      </c>
      <c r="B521" t="s">
        <v>2294</v>
      </c>
      <c r="C521" s="6">
        <v>44716</v>
      </c>
      <c r="D521" t="str">
        <f t="shared" si="32"/>
        <v>Jun</v>
      </c>
      <c r="E521" t="str">
        <f t="shared" si="33"/>
        <v>2022</v>
      </c>
      <c r="F521" t="s">
        <v>4</v>
      </c>
      <c r="G521" t="s">
        <v>210</v>
      </c>
      <c r="H521" t="s">
        <v>590</v>
      </c>
      <c r="I521">
        <v>200</v>
      </c>
      <c r="J521">
        <v>22</v>
      </c>
      <c r="K521">
        <f t="shared" si="34"/>
        <v>11</v>
      </c>
      <c r="L521" t="s">
        <v>1739</v>
      </c>
      <c r="M521" t="s">
        <v>3628</v>
      </c>
      <c r="O521">
        <v>249201</v>
      </c>
      <c r="P521" t="s">
        <v>546</v>
      </c>
      <c r="Q521" t="s">
        <v>1758</v>
      </c>
      <c r="S521">
        <v>18.391999999999999</v>
      </c>
      <c r="T521">
        <v>1</v>
      </c>
      <c r="U521">
        <v>0.2</v>
      </c>
      <c r="V521">
        <v>5.2877000000000001</v>
      </c>
      <c r="W521">
        <f t="shared" si="35"/>
        <v>13.104299999999999</v>
      </c>
      <c r="X521">
        <v>1</v>
      </c>
    </row>
    <row r="522" spans="1:24" x14ac:dyDescent="0.3">
      <c r="A522">
        <v>521</v>
      </c>
      <c r="B522" t="s">
        <v>2295</v>
      </c>
      <c r="C522" s="6">
        <v>44717</v>
      </c>
      <c r="D522" t="str">
        <f t="shared" si="32"/>
        <v>Jun</v>
      </c>
      <c r="E522" t="str">
        <f t="shared" si="33"/>
        <v>2022</v>
      </c>
      <c r="F522" t="s">
        <v>4</v>
      </c>
      <c r="G522" t="s">
        <v>210</v>
      </c>
      <c r="H522" t="s">
        <v>1006</v>
      </c>
      <c r="I522">
        <v>180</v>
      </c>
      <c r="J522">
        <v>10</v>
      </c>
      <c r="K522">
        <f t="shared" si="34"/>
        <v>5.5555555555555554</v>
      </c>
      <c r="L522" t="s">
        <v>1738</v>
      </c>
      <c r="M522" t="s">
        <v>3629</v>
      </c>
      <c r="N522" t="s">
        <v>1</v>
      </c>
      <c r="O522">
        <v>249201</v>
      </c>
      <c r="P522" t="s">
        <v>546</v>
      </c>
      <c r="Q522" t="s">
        <v>1759</v>
      </c>
      <c r="S522">
        <v>129.56800000000001</v>
      </c>
      <c r="T522">
        <v>2</v>
      </c>
      <c r="U522">
        <v>0.2</v>
      </c>
      <c r="V522">
        <v>-25.913599999999999</v>
      </c>
      <c r="W522">
        <f t="shared" si="35"/>
        <v>77.740800000000007</v>
      </c>
      <c r="X522">
        <v>2</v>
      </c>
    </row>
    <row r="523" spans="1:24" x14ac:dyDescent="0.3">
      <c r="A523">
        <v>522</v>
      </c>
      <c r="B523" t="s">
        <v>2296</v>
      </c>
      <c r="C523" s="6">
        <v>44718</v>
      </c>
      <c r="D523" t="str">
        <f t="shared" si="32"/>
        <v>Jun</v>
      </c>
      <c r="E523" t="str">
        <f t="shared" si="33"/>
        <v>2022</v>
      </c>
      <c r="F523" t="s">
        <v>4</v>
      </c>
      <c r="G523" t="s">
        <v>210</v>
      </c>
      <c r="H523" t="s">
        <v>1007</v>
      </c>
      <c r="I523">
        <v>190</v>
      </c>
      <c r="J523">
        <v>30</v>
      </c>
      <c r="K523">
        <f t="shared" si="34"/>
        <v>15.789473684210526</v>
      </c>
      <c r="L523" t="s">
        <v>1743</v>
      </c>
      <c r="M523" t="s">
        <v>3630</v>
      </c>
      <c r="O523">
        <v>490006</v>
      </c>
      <c r="P523" t="s">
        <v>546</v>
      </c>
      <c r="Q523" t="s">
        <v>1767</v>
      </c>
      <c r="S523">
        <v>14.112</v>
      </c>
      <c r="T523">
        <v>9</v>
      </c>
      <c r="U523">
        <v>0.8</v>
      </c>
      <c r="V523">
        <v>-21.167999999999999</v>
      </c>
      <c r="W523">
        <f t="shared" si="35"/>
        <v>3.92</v>
      </c>
      <c r="X523">
        <v>5</v>
      </c>
    </row>
    <row r="524" spans="1:24" x14ac:dyDescent="0.3">
      <c r="A524">
        <v>523</v>
      </c>
      <c r="B524" t="s">
        <v>2297</v>
      </c>
      <c r="C524" s="6">
        <v>44719</v>
      </c>
      <c r="D524" t="str">
        <f t="shared" si="32"/>
        <v>Jun</v>
      </c>
      <c r="E524" t="str">
        <f t="shared" si="33"/>
        <v>2022</v>
      </c>
      <c r="F524" t="s">
        <v>5</v>
      </c>
      <c r="G524" t="s">
        <v>211</v>
      </c>
      <c r="H524" t="s">
        <v>985</v>
      </c>
      <c r="I524">
        <v>210</v>
      </c>
      <c r="J524">
        <v>22</v>
      </c>
      <c r="K524">
        <f t="shared" si="34"/>
        <v>10.476190476190476</v>
      </c>
      <c r="L524" t="s">
        <v>1737</v>
      </c>
      <c r="M524" t="s">
        <v>3631</v>
      </c>
      <c r="N524" t="s">
        <v>1</v>
      </c>
      <c r="O524">
        <v>500010</v>
      </c>
      <c r="P524" t="s">
        <v>546</v>
      </c>
      <c r="Q524" t="s">
        <v>1758</v>
      </c>
      <c r="S524">
        <v>210.98</v>
      </c>
      <c r="T524">
        <v>2</v>
      </c>
      <c r="U524">
        <v>0.1</v>
      </c>
      <c r="V524">
        <v>21.097999999999999</v>
      </c>
      <c r="W524">
        <f t="shared" si="35"/>
        <v>94.941000000000003</v>
      </c>
      <c r="X524">
        <v>4</v>
      </c>
    </row>
    <row r="525" spans="1:24" x14ac:dyDescent="0.3">
      <c r="A525">
        <v>524</v>
      </c>
      <c r="B525" t="s">
        <v>2298</v>
      </c>
      <c r="C525" s="6">
        <v>44720</v>
      </c>
      <c r="D525" t="str">
        <f t="shared" si="32"/>
        <v>Jun</v>
      </c>
      <c r="E525" t="str">
        <f t="shared" si="33"/>
        <v>2022</v>
      </c>
      <c r="F525" t="s">
        <v>5</v>
      </c>
      <c r="G525" t="s">
        <v>116</v>
      </c>
      <c r="H525" t="s">
        <v>1008</v>
      </c>
      <c r="I525">
        <v>140</v>
      </c>
      <c r="J525">
        <v>8</v>
      </c>
      <c r="K525">
        <f t="shared" si="34"/>
        <v>5.7142857142857144</v>
      </c>
      <c r="L525" t="s">
        <v>1741</v>
      </c>
      <c r="M525" t="s">
        <v>3632</v>
      </c>
      <c r="N525" t="s">
        <v>1</v>
      </c>
      <c r="O525">
        <v>560087</v>
      </c>
      <c r="P525" t="s">
        <v>546</v>
      </c>
      <c r="Q525" t="s">
        <v>1759</v>
      </c>
      <c r="S525">
        <v>55.176000000000002</v>
      </c>
      <c r="T525">
        <v>3</v>
      </c>
      <c r="U525">
        <v>0.2</v>
      </c>
      <c r="V525">
        <v>-12.4146</v>
      </c>
      <c r="W525">
        <f t="shared" si="35"/>
        <v>22.530199999999997</v>
      </c>
      <c r="X525">
        <v>3</v>
      </c>
    </row>
    <row r="526" spans="1:24" x14ac:dyDescent="0.3">
      <c r="A526">
        <v>525</v>
      </c>
      <c r="B526" t="s">
        <v>2299</v>
      </c>
      <c r="C526" s="6">
        <v>44721</v>
      </c>
      <c r="D526" t="str">
        <f t="shared" si="32"/>
        <v>Jun</v>
      </c>
      <c r="E526" t="str">
        <f t="shared" si="33"/>
        <v>2022</v>
      </c>
      <c r="F526" t="s">
        <v>5</v>
      </c>
      <c r="G526" t="s">
        <v>116</v>
      </c>
      <c r="H526" t="s">
        <v>764</v>
      </c>
      <c r="I526">
        <v>210</v>
      </c>
      <c r="J526">
        <v>16</v>
      </c>
      <c r="K526">
        <f t="shared" si="34"/>
        <v>7.6190476190476195</v>
      </c>
      <c r="L526" t="s">
        <v>1736</v>
      </c>
      <c r="M526" t="s">
        <v>3633</v>
      </c>
      <c r="N526" t="s">
        <v>1</v>
      </c>
      <c r="O526">
        <v>700016</v>
      </c>
      <c r="P526" t="s">
        <v>546</v>
      </c>
      <c r="Q526" t="s">
        <v>1761</v>
      </c>
      <c r="S526">
        <v>66.260000000000005</v>
      </c>
      <c r="T526">
        <v>2</v>
      </c>
      <c r="U526">
        <v>0.1</v>
      </c>
      <c r="V526">
        <v>27.166599999999999</v>
      </c>
      <c r="W526">
        <f t="shared" si="35"/>
        <v>19.546700000000001</v>
      </c>
      <c r="X526">
        <v>5</v>
      </c>
    </row>
    <row r="527" spans="1:24" x14ac:dyDescent="0.3">
      <c r="A527">
        <v>526</v>
      </c>
      <c r="B527" t="s">
        <v>2300</v>
      </c>
      <c r="C527" s="6">
        <v>44722</v>
      </c>
      <c r="D527" t="str">
        <f t="shared" si="32"/>
        <v>Jun</v>
      </c>
      <c r="E527" t="str">
        <f t="shared" si="33"/>
        <v>2022</v>
      </c>
      <c r="F527" t="s">
        <v>4</v>
      </c>
      <c r="G527" t="s">
        <v>212</v>
      </c>
      <c r="H527" t="s">
        <v>1009</v>
      </c>
      <c r="I527">
        <v>140</v>
      </c>
      <c r="J527">
        <v>20</v>
      </c>
      <c r="K527">
        <f t="shared" si="34"/>
        <v>14.285714285714285</v>
      </c>
      <c r="L527" t="s">
        <v>1744</v>
      </c>
      <c r="M527" t="s">
        <v>3634</v>
      </c>
      <c r="N527" t="s">
        <v>1</v>
      </c>
      <c r="O527">
        <v>721101</v>
      </c>
      <c r="P527" t="s">
        <v>546</v>
      </c>
      <c r="Q527" t="s">
        <v>1775</v>
      </c>
      <c r="S527">
        <v>22.2</v>
      </c>
      <c r="T527">
        <v>5</v>
      </c>
      <c r="U527">
        <v>0.1</v>
      </c>
      <c r="V527">
        <v>10.433999999999999</v>
      </c>
      <c r="W527">
        <f t="shared" si="35"/>
        <v>2.3532000000000002</v>
      </c>
      <c r="X527">
        <v>5</v>
      </c>
    </row>
    <row r="528" spans="1:24" x14ac:dyDescent="0.3">
      <c r="A528">
        <v>527</v>
      </c>
      <c r="B528" t="s">
        <v>2301</v>
      </c>
      <c r="C528" s="6">
        <v>44723</v>
      </c>
      <c r="D528" t="str">
        <f t="shared" si="32"/>
        <v>Jun</v>
      </c>
      <c r="E528" t="str">
        <f t="shared" si="33"/>
        <v>2022</v>
      </c>
      <c r="F528" t="s">
        <v>4</v>
      </c>
      <c r="G528" t="s">
        <v>213</v>
      </c>
      <c r="H528" t="s">
        <v>1010</v>
      </c>
      <c r="I528">
        <v>170</v>
      </c>
      <c r="J528">
        <v>22</v>
      </c>
      <c r="K528">
        <f t="shared" si="34"/>
        <v>12.941176470588237</v>
      </c>
      <c r="L528" t="s">
        <v>1740</v>
      </c>
      <c r="M528" t="s">
        <v>3635</v>
      </c>
      <c r="N528" t="s">
        <v>1</v>
      </c>
      <c r="O528">
        <v>421201</v>
      </c>
      <c r="P528" t="s">
        <v>546</v>
      </c>
      <c r="Q528" t="s">
        <v>1772</v>
      </c>
      <c r="S528">
        <v>683.952</v>
      </c>
      <c r="T528">
        <v>3</v>
      </c>
      <c r="U528">
        <v>0.2</v>
      </c>
      <c r="V528">
        <v>42.747</v>
      </c>
      <c r="W528">
        <f t="shared" si="35"/>
        <v>213.73500000000001</v>
      </c>
      <c r="X528">
        <v>2</v>
      </c>
    </row>
    <row r="529" spans="1:24" x14ac:dyDescent="0.3">
      <c r="A529">
        <v>528</v>
      </c>
      <c r="B529" t="s">
        <v>2302</v>
      </c>
      <c r="C529" s="6">
        <v>44724</v>
      </c>
      <c r="D529" t="str">
        <f t="shared" si="32"/>
        <v>Jun</v>
      </c>
      <c r="E529" t="str">
        <f t="shared" si="33"/>
        <v>2022</v>
      </c>
      <c r="F529" t="s">
        <v>4</v>
      </c>
      <c r="G529" t="s">
        <v>213</v>
      </c>
      <c r="H529" t="s">
        <v>832</v>
      </c>
      <c r="I529">
        <v>100</v>
      </c>
      <c r="J529">
        <v>6</v>
      </c>
      <c r="K529">
        <f t="shared" si="34"/>
        <v>6</v>
      </c>
      <c r="L529" t="s">
        <v>1742</v>
      </c>
      <c r="M529" t="s">
        <v>3636</v>
      </c>
      <c r="N529" t="s">
        <v>1</v>
      </c>
      <c r="O529">
        <v>441204</v>
      </c>
      <c r="P529" t="s">
        <v>546</v>
      </c>
      <c r="Q529" t="s">
        <v>1763</v>
      </c>
      <c r="S529">
        <v>45.695999999999998</v>
      </c>
      <c r="T529">
        <v>3</v>
      </c>
      <c r="U529">
        <v>0.2</v>
      </c>
      <c r="V529">
        <v>5.1407999999999996</v>
      </c>
      <c r="W529">
        <f t="shared" si="35"/>
        <v>13.5184</v>
      </c>
      <c r="X529">
        <v>2</v>
      </c>
    </row>
    <row r="530" spans="1:24" x14ac:dyDescent="0.3">
      <c r="A530">
        <v>529</v>
      </c>
      <c r="B530" t="s">
        <v>2303</v>
      </c>
      <c r="C530" s="6">
        <v>44725</v>
      </c>
      <c r="D530" t="str">
        <f t="shared" si="32"/>
        <v>Jun</v>
      </c>
      <c r="E530" t="str">
        <f t="shared" si="33"/>
        <v>2022</v>
      </c>
      <c r="F530" t="s">
        <v>4</v>
      </c>
      <c r="G530" t="s">
        <v>214</v>
      </c>
      <c r="H530" t="s">
        <v>1011</v>
      </c>
      <c r="I530">
        <v>140</v>
      </c>
      <c r="J530">
        <v>6</v>
      </c>
      <c r="K530">
        <f t="shared" si="34"/>
        <v>4.2857142857142856</v>
      </c>
      <c r="L530" t="s">
        <v>1739</v>
      </c>
      <c r="M530" t="s">
        <v>3637</v>
      </c>
      <c r="N530" t="s">
        <v>1</v>
      </c>
      <c r="O530">
        <v>560086</v>
      </c>
      <c r="P530" t="s">
        <v>546</v>
      </c>
      <c r="Q530" t="s">
        <v>1761</v>
      </c>
      <c r="S530">
        <v>36.335999999999999</v>
      </c>
      <c r="T530">
        <v>3</v>
      </c>
      <c r="U530">
        <v>0.2</v>
      </c>
      <c r="V530">
        <v>-7.2671999999999999</v>
      </c>
      <c r="W530">
        <f t="shared" si="35"/>
        <v>14.5344</v>
      </c>
      <c r="X530">
        <v>2</v>
      </c>
    </row>
    <row r="531" spans="1:24" x14ac:dyDescent="0.3">
      <c r="A531">
        <v>530</v>
      </c>
      <c r="B531" t="s">
        <v>2304</v>
      </c>
      <c r="C531" s="6">
        <v>44726</v>
      </c>
      <c r="D531" t="str">
        <f t="shared" si="32"/>
        <v>Jun</v>
      </c>
      <c r="E531" t="str">
        <f t="shared" si="33"/>
        <v>2022</v>
      </c>
      <c r="F531" t="s">
        <v>4</v>
      </c>
      <c r="G531" t="s">
        <v>214</v>
      </c>
      <c r="H531" t="s">
        <v>1012</v>
      </c>
      <c r="I531">
        <v>100</v>
      </c>
      <c r="J531">
        <v>26</v>
      </c>
      <c r="K531">
        <f t="shared" si="34"/>
        <v>26</v>
      </c>
      <c r="L531" t="s">
        <v>1738</v>
      </c>
      <c r="M531" t="s">
        <v>3638</v>
      </c>
      <c r="N531" t="s">
        <v>1</v>
      </c>
      <c r="O531">
        <v>770002</v>
      </c>
      <c r="P531" t="s">
        <v>546</v>
      </c>
      <c r="Q531" t="s">
        <v>1763</v>
      </c>
      <c r="S531">
        <v>666.24800000000005</v>
      </c>
      <c r="T531">
        <v>1</v>
      </c>
      <c r="U531">
        <v>0.2</v>
      </c>
      <c r="V531">
        <v>-149.9058</v>
      </c>
      <c r="W531">
        <f t="shared" si="35"/>
        <v>816.15380000000005</v>
      </c>
      <c r="X531">
        <v>5</v>
      </c>
    </row>
    <row r="532" spans="1:24" x14ac:dyDescent="0.3">
      <c r="A532">
        <v>531</v>
      </c>
      <c r="B532" t="s">
        <v>2305</v>
      </c>
      <c r="C532" s="6">
        <v>44727</v>
      </c>
      <c r="D532" t="str">
        <f t="shared" si="32"/>
        <v>Jun</v>
      </c>
      <c r="E532" t="str">
        <f t="shared" si="33"/>
        <v>2022</v>
      </c>
      <c r="F532" t="s">
        <v>4</v>
      </c>
      <c r="G532" t="s">
        <v>214</v>
      </c>
      <c r="H532" t="s">
        <v>1013</v>
      </c>
      <c r="I532">
        <v>200</v>
      </c>
      <c r="J532">
        <v>12</v>
      </c>
      <c r="K532">
        <f t="shared" si="34"/>
        <v>6</v>
      </c>
      <c r="L532" t="s">
        <v>1737</v>
      </c>
      <c r="M532" t="s">
        <v>3639</v>
      </c>
      <c r="N532" t="s">
        <v>1</v>
      </c>
      <c r="O532">
        <v>201304</v>
      </c>
      <c r="P532" t="s">
        <v>546</v>
      </c>
      <c r="Q532" t="s">
        <v>1767</v>
      </c>
      <c r="S532">
        <v>52.512</v>
      </c>
      <c r="T532">
        <v>6</v>
      </c>
      <c r="U532">
        <v>0.2</v>
      </c>
      <c r="V532">
        <v>19.692</v>
      </c>
      <c r="W532">
        <f t="shared" si="35"/>
        <v>5.47</v>
      </c>
      <c r="X532">
        <v>1</v>
      </c>
    </row>
    <row r="533" spans="1:24" x14ac:dyDescent="0.3">
      <c r="A533">
        <v>532</v>
      </c>
      <c r="B533" t="s">
        <v>2306</v>
      </c>
      <c r="C533" s="6">
        <v>44728</v>
      </c>
      <c r="D533" t="str">
        <f t="shared" si="32"/>
        <v>Jun</v>
      </c>
      <c r="E533" t="str">
        <f t="shared" si="33"/>
        <v>2022</v>
      </c>
      <c r="F533" t="s">
        <v>3</v>
      </c>
      <c r="G533" t="s">
        <v>215</v>
      </c>
      <c r="H533" t="s">
        <v>1014</v>
      </c>
      <c r="I533">
        <v>100</v>
      </c>
      <c r="J533">
        <v>22</v>
      </c>
      <c r="K533">
        <f t="shared" si="34"/>
        <v>22</v>
      </c>
      <c r="L533" t="s">
        <v>1743</v>
      </c>
      <c r="M533" t="s">
        <v>3640</v>
      </c>
      <c r="N533" t="s">
        <v>1</v>
      </c>
      <c r="O533">
        <v>500090</v>
      </c>
      <c r="P533" t="s">
        <v>546</v>
      </c>
      <c r="Q533" t="s">
        <v>1755</v>
      </c>
      <c r="S533">
        <v>190.72</v>
      </c>
      <c r="T533">
        <v>1</v>
      </c>
      <c r="U533">
        <v>0.2</v>
      </c>
      <c r="V533">
        <v>11.92</v>
      </c>
      <c r="W533">
        <f t="shared" si="35"/>
        <v>178.8</v>
      </c>
      <c r="X533">
        <v>2</v>
      </c>
    </row>
    <row r="534" spans="1:24" x14ac:dyDescent="0.3">
      <c r="A534">
        <v>533</v>
      </c>
      <c r="B534" t="s">
        <v>2307</v>
      </c>
      <c r="C534" s="6">
        <v>44729</v>
      </c>
      <c r="D534" t="str">
        <f t="shared" si="32"/>
        <v>Jun</v>
      </c>
      <c r="E534" t="str">
        <f t="shared" si="33"/>
        <v>2022</v>
      </c>
      <c r="F534" t="s">
        <v>4</v>
      </c>
      <c r="G534" t="s">
        <v>216</v>
      </c>
      <c r="H534" t="s">
        <v>1015</v>
      </c>
      <c r="I534">
        <v>240</v>
      </c>
      <c r="J534">
        <v>28</v>
      </c>
      <c r="K534">
        <f t="shared" si="34"/>
        <v>11.666666666666666</v>
      </c>
      <c r="L534" t="s">
        <v>1738</v>
      </c>
      <c r="M534" t="s">
        <v>3641</v>
      </c>
      <c r="N534" t="s">
        <v>1</v>
      </c>
      <c r="O534">
        <v>560061</v>
      </c>
      <c r="P534" t="s">
        <v>546</v>
      </c>
      <c r="Q534" t="s">
        <v>1766</v>
      </c>
      <c r="S534">
        <v>47.94</v>
      </c>
      <c r="T534">
        <v>3</v>
      </c>
      <c r="U534">
        <v>0.1</v>
      </c>
      <c r="V534">
        <v>2.3969999999999998</v>
      </c>
      <c r="W534">
        <f t="shared" si="35"/>
        <v>15.180999999999999</v>
      </c>
      <c r="X534">
        <v>4</v>
      </c>
    </row>
    <row r="535" spans="1:24" x14ac:dyDescent="0.3">
      <c r="A535">
        <v>534</v>
      </c>
      <c r="B535" t="s">
        <v>2308</v>
      </c>
      <c r="C535" s="6">
        <v>44730</v>
      </c>
      <c r="D535" t="str">
        <f t="shared" si="32"/>
        <v>Jun</v>
      </c>
      <c r="E535" t="str">
        <f t="shared" si="33"/>
        <v>2022</v>
      </c>
      <c r="F535" t="s">
        <v>3</v>
      </c>
      <c r="G535" t="s">
        <v>217</v>
      </c>
      <c r="H535" t="s">
        <v>1016</v>
      </c>
      <c r="I535">
        <v>220</v>
      </c>
      <c r="J535">
        <v>18</v>
      </c>
      <c r="K535">
        <f t="shared" si="34"/>
        <v>8.1818181818181817</v>
      </c>
      <c r="L535" t="s">
        <v>1739</v>
      </c>
      <c r="M535" t="s">
        <v>3642</v>
      </c>
      <c r="N535" t="s">
        <v>1</v>
      </c>
      <c r="O535">
        <v>502291</v>
      </c>
      <c r="P535" t="s">
        <v>546</v>
      </c>
      <c r="Q535" t="s">
        <v>1765</v>
      </c>
      <c r="R535" t="s">
        <v>2</v>
      </c>
      <c r="S535">
        <v>979.95</v>
      </c>
      <c r="T535">
        <v>5</v>
      </c>
      <c r="U535">
        <v>0.1</v>
      </c>
      <c r="V535">
        <v>274.38600000000002</v>
      </c>
      <c r="W535">
        <f t="shared" si="35"/>
        <v>141.11280000000002</v>
      </c>
      <c r="X535">
        <v>5</v>
      </c>
    </row>
    <row r="536" spans="1:24" x14ac:dyDescent="0.3">
      <c r="A536">
        <v>535</v>
      </c>
      <c r="B536" t="s">
        <v>2309</v>
      </c>
      <c r="C536" s="6">
        <v>44731</v>
      </c>
      <c r="D536" t="str">
        <f t="shared" si="32"/>
        <v>Jun</v>
      </c>
      <c r="E536" t="str">
        <f t="shared" si="33"/>
        <v>2022</v>
      </c>
      <c r="F536" t="s">
        <v>3</v>
      </c>
      <c r="G536" t="s">
        <v>217</v>
      </c>
      <c r="H536" t="s">
        <v>795</v>
      </c>
      <c r="I536">
        <v>190</v>
      </c>
      <c r="J536">
        <v>26</v>
      </c>
      <c r="K536">
        <f t="shared" si="34"/>
        <v>13.684210526315791</v>
      </c>
      <c r="L536" t="s">
        <v>1741</v>
      </c>
      <c r="M536" t="s">
        <v>3643</v>
      </c>
      <c r="N536" t="s">
        <v>1</v>
      </c>
      <c r="O536">
        <v>695564</v>
      </c>
      <c r="P536" t="s">
        <v>546</v>
      </c>
      <c r="Q536" t="s">
        <v>1755</v>
      </c>
      <c r="S536">
        <v>22.75</v>
      </c>
      <c r="T536">
        <v>5</v>
      </c>
      <c r="U536">
        <v>0.1</v>
      </c>
      <c r="V536">
        <v>11.375</v>
      </c>
      <c r="W536">
        <f t="shared" si="35"/>
        <v>2.2749999999999999</v>
      </c>
      <c r="X536">
        <v>5</v>
      </c>
    </row>
    <row r="537" spans="1:24" x14ac:dyDescent="0.3">
      <c r="A537">
        <v>536</v>
      </c>
      <c r="B537" t="s">
        <v>2310</v>
      </c>
      <c r="C537" s="6">
        <v>44732</v>
      </c>
      <c r="D537" t="str">
        <f t="shared" si="32"/>
        <v>Jun</v>
      </c>
      <c r="E537" t="str">
        <f t="shared" si="33"/>
        <v>2022</v>
      </c>
      <c r="F537" t="s">
        <v>4</v>
      </c>
      <c r="G537" t="s">
        <v>218</v>
      </c>
      <c r="H537" t="s">
        <v>1017</v>
      </c>
      <c r="I537">
        <v>140</v>
      </c>
      <c r="J537">
        <v>8</v>
      </c>
      <c r="K537">
        <f t="shared" si="34"/>
        <v>5.7142857142857144</v>
      </c>
      <c r="L537" t="s">
        <v>1736</v>
      </c>
      <c r="M537" t="s">
        <v>3644</v>
      </c>
      <c r="N537" t="s">
        <v>1</v>
      </c>
      <c r="O537">
        <v>410206</v>
      </c>
      <c r="P537" t="s">
        <v>546</v>
      </c>
      <c r="Q537" t="s">
        <v>1761</v>
      </c>
      <c r="S537">
        <v>16.768000000000001</v>
      </c>
      <c r="T537">
        <v>2</v>
      </c>
      <c r="U537">
        <v>0.2</v>
      </c>
      <c r="V537">
        <v>1.4672000000000001</v>
      </c>
      <c r="W537">
        <f t="shared" si="35"/>
        <v>7.6504000000000003</v>
      </c>
      <c r="X537">
        <v>2</v>
      </c>
    </row>
    <row r="538" spans="1:24" x14ac:dyDescent="0.3">
      <c r="A538">
        <v>537</v>
      </c>
      <c r="B538" t="s">
        <v>2311</v>
      </c>
      <c r="C538" s="6">
        <v>44733</v>
      </c>
      <c r="D538" t="str">
        <f t="shared" si="32"/>
        <v>Jun</v>
      </c>
      <c r="E538" t="str">
        <f t="shared" si="33"/>
        <v>2022</v>
      </c>
      <c r="F538" t="s">
        <v>3</v>
      </c>
      <c r="G538" t="s">
        <v>219</v>
      </c>
      <c r="H538" t="s">
        <v>1018</v>
      </c>
      <c r="I538">
        <v>250</v>
      </c>
      <c r="J538">
        <v>24</v>
      </c>
      <c r="K538">
        <f t="shared" si="34"/>
        <v>9.6</v>
      </c>
      <c r="L538" t="s">
        <v>1744</v>
      </c>
      <c r="M538" t="s">
        <v>3645</v>
      </c>
      <c r="N538" t="s">
        <v>1</v>
      </c>
      <c r="O538">
        <v>390008</v>
      </c>
      <c r="P538" t="s">
        <v>546</v>
      </c>
      <c r="Q538" t="s">
        <v>1759</v>
      </c>
      <c r="S538">
        <v>42.616</v>
      </c>
      <c r="T538">
        <v>7</v>
      </c>
      <c r="U538">
        <v>0.8</v>
      </c>
      <c r="V538">
        <v>-68.185599999999994</v>
      </c>
      <c r="W538">
        <f t="shared" si="35"/>
        <v>15.828799999999999</v>
      </c>
      <c r="X538">
        <v>2</v>
      </c>
    </row>
    <row r="539" spans="1:24" x14ac:dyDescent="0.3">
      <c r="A539">
        <v>538</v>
      </c>
      <c r="B539" t="s">
        <v>2312</v>
      </c>
      <c r="C539" s="6">
        <v>44734</v>
      </c>
      <c r="D539" t="str">
        <f t="shared" si="32"/>
        <v>Jun</v>
      </c>
      <c r="E539" t="str">
        <f t="shared" si="33"/>
        <v>2022</v>
      </c>
      <c r="F539" t="s">
        <v>4</v>
      </c>
      <c r="G539" t="s">
        <v>95</v>
      </c>
      <c r="H539" t="s">
        <v>1019</v>
      </c>
      <c r="I539">
        <v>240</v>
      </c>
      <c r="J539">
        <v>6</v>
      </c>
      <c r="K539">
        <f t="shared" si="34"/>
        <v>2.5</v>
      </c>
      <c r="L539" t="s">
        <v>1740</v>
      </c>
      <c r="M539" t="s">
        <v>3646</v>
      </c>
      <c r="N539" t="s">
        <v>1</v>
      </c>
      <c r="O539">
        <v>831013</v>
      </c>
      <c r="P539" t="s">
        <v>546</v>
      </c>
      <c r="Q539" t="s">
        <v>1767</v>
      </c>
      <c r="R539" t="s">
        <v>2</v>
      </c>
      <c r="S539">
        <v>10.752000000000001</v>
      </c>
      <c r="T539">
        <v>4</v>
      </c>
      <c r="U539">
        <v>0.2</v>
      </c>
      <c r="V539">
        <v>3.36</v>
      </c>
      <c r="W539">
        <f t="shared" si="35"/>
        <v>1.8480000000000003</v>
      </c>
      <c r="X539">
        <v>3</v>
      </c>
    </row>
    <row r="540" spans="1:24" x14ac:dyDescent="0.3">
      <c r="A540">
        <v>539</v>
      </c>
      <c r="B540" t="s">
        <v>2313</v>
      </c>
      <c r="C540" s="6">
        <v>44735</v>
      </c>
      <c r="D540" t="str">
        <f t="shared" si="32"/>
        <v>Jun</v>
      </c>
      <c r="E540" t="str">
        <f t="shared" si="33"/>
        <v>2022</v>
      </c>
      <c r="F540" t="s">
        <v>4</v>
      </c>
      <c r="G540" t="s">
        <v>220</v>
      </c>
      <c r="H540" t="s">
        <v>1020</v>
      </c>
      <c r="I540">
        <v>100</v>
      </c>
      <c r="J540">
        <v>8</v>
      </c>
      <c r="K540">
        <f t="shared" si="34"/>
        <v>8</v>
      </c>
      <c r="L540" t="s">
        <v>1742</v>
      </c>
      <c r="M540" t="s">
        <v>3647</v>
      </c>
      <c r="N540" t="s">
        <v>1</v>
      </c>
      <c r="O540">
        <v>110092</v>
      </c>
      <c r="P540" t="s">
        <v>546</v>
      </c>
      <c r="Q540" t="s">
        <v>1763</v>
      </c>
      <c r="S540">
        <v>152.94</v>
      </c>
      <c r="T540">
        <v>3</v>
      </c>
      <c r="U540">
        <v>0.1</v>
      </c>
      <c r="V540">
        <v>41.293799999999997</v>
      </c>
      <c r="W540">
        <f t="shared" si="35"/>
        <v>37.215399999999995</v>
      </c>
      <c r="X540">
        <v>1</v>
      </c>
    </row>
    <row r="541" spans="1:24" x14ac:dyDescent="0.3">
      <c r="A541">
        <v>540</v>
      </c>
      <c r="B541" t="s">
        <v>2314</v>
      </c>
      <c r="C541" s="6">
        <v>44736</v>
      </c>
      <c r="D541" t="str">
        <f t="shared" si="32"/>
        <v>Jun</v>
      </c>
      <c r="E541" t="str">
        <f t="shared" si="33"/>
        <v>2022</v>
      </c>
      <c r="F541" t="s">
        <v>4</v>
      </c>
      <c r="G541" t="s">
        <v>220</v>
      </c>
      <c r="H541" t="s">
        <v>1021</v>
      </c>
      <c r="I541">
        <v>180</v>
      </c>
      <c r="J541">
        <v>30</v>
      </c>
      <c r="K541">
        <f t="shared" si="34"/>
        <v>16.666666666666664</v>
      </c>
      <c r="L541" t="s">
        <v>1739</v>
      </c>
      <c r="M541" t="s">
        <v>3648</v>
      </c>
      <c r="N541" t="s">
        <v>1</v>
      </c>
      <c r="O541">
        <v>400002</v>
      </c>
      <c r="P541" t="s">
        <v>546</v>
      </c>
      <c r="Q541" t="s">
        <v>1756</v>
      </c>
      <c r="S541">
        <v>283.92</v>
      </c>
      <c r="T541">
        <v>4</v>
      </c>
      <c r="U541">
        <v>0.1</v>
      </c>
      <c r="V541">
        <v>70.98</v>
      </c>
      <c r="W541">
        <f t="shared" si="35"/>
        <v>53.234999999999999</v>
      </c>
      <c r="X541">
        <v>3</v>
      </c>
    </row>
    <row r="542" spans="1:24" x14ac:dyDescent="0.3">
      <c r="A542">
        <v>541</v>
      </c>
      <c r="B542" t="s">
        <v>1820</v>
      </c>
      <c r="C542" s="6">
        <v>44737</v>
      </c>
      <c r="D542" t="str">
        <f t="shared" si="32"/>
        <v>Jun</v>
      </c>
      <c r="E542" t="str">
        <f t="shared" si="33"/>
        <v>2022</v>
      </c>
      <c r="F542" t="s">
        <v>5</v>
      </c>
      <c r="G542" t="s">
        <v>221</v>
      </c>
      <c r="H542" t="s">
        <v>1022</v>
      </c>
      <c r="I542">
        <v>250</v>
      </c>
      <c r="J542">
        <v>18</v>
      </c>
      <c r="K542">
        <f t="shared" si="34"/>
        <v>7.1999999999999993</v>
      </c>
      <c r="L542" t="s">
        <v>1738</v>
      </c>
      <c r="M542" t="s">
        <v>3649</v>
      </c>
      <c r="N542" t="s">
        <v>1</v>
      </c>
      <c r="O542">
        <v>411019</v>
      </c>
      <c r="P542" t="s">
        <v>546</v>
      </c>
      <c r="Q542" t="s">
        <v>1761</v>
      </c>
      <c r="S542">
        <v>468.9</v>
      </c>
      <c r="T542">
        <v>6</v>
      </c>
      <c r="U542">
        <v>0.1</v>
      </c>
      <c r="V542">
        <v>206.316</v>
      </c>
      <c r="W542">
        <f t="shared" si="35"/>
        <v>43.763999999999989</v>
      </c>
      <c r="X542">
        <v>5</v>
      </c>
    </row>
    <row r="543" spans="1:24" x14ac:dyDescent="0.3">
      <c r="A543">
        <v>542</v>
      </c>
      <c r="B543" t="s">
        <v>2315</v>
      </c>
      <c r="C543" s="6">
        <v>44738</v>
      </c>
      <c r="D543" t="str">
        <f t="shared" si="32"/>
        <v>Jun</v>
      </c>
      <c r="E543" t="str">
        <f t="shared" si="33"/>
        <v>2022</v>
      </c>
      <c r="F543" t="s">
        <v>5</v>
      </c>
      <c r="G543" t="s">
        <v>27</v>
      </c>
      <c r="H543" t="s">
        <v>1023</v>
      </c>
      <c r="I543">
        <v>180</v>
      </c>
      <c r="J543">
        <v>20</v>
      </c>
      <c r="K543">
        <f t="shared" si="34"/>
        <v>11.111111111111111</v>
      </c>
      <c r="L543" t="s">
        <v>1743</v>
      </c>
      <c r="M543" t="s">
        <v>3650</v>
      </c>
      <c r="N543" t="s">
        <v>1</v>
      </c>
      <c r="O543">
        <v>700156</v>
      </c>
      <c r="P543" t="s">
        <v>546</v>
      </c>
      <c r="Q543" t="s">
        <v>1759</v>
      </c>
      <c r="S543">
        <v>380.86399999999998</v>
      </c>
      <c r="T543">
        <v>8</v>
      </c>
      <c r="U543">
        <v>0.2</v>
      </c>
      <c r="V543">
        <v>38.086399999999998</v>
      </c>
      <c r="W543">
        <f t="shared" si="35"/>
        <v>42.847200000000001</v>
      </c>
      <c r="X543">
        <v>2</v>
      </c>
    </row>
    <row r="544" spans="1:24" x14ac:dyDescent="0.3">
      <c r="A544">
        <v>543</v>
      </c>
      <c r="B544" t="s">
        <v>2316</v>
      </c>
      <c r="C544" s="6">
        <v>44739</v>
      </c>
      <c r="D544" t="str">
        <f t="shared" si="32"/>
        <v>Jun</v>
      </c>
      <c r="E544" t="str">
        <f t="shared" si="33"/>
        <v>2022</v>
      </c>
      <c r="F544" t="s">
        <v>4</v>
      </c>
      <c r="G544" t="s">
        <v>222</v>
      </c>
      <c r="H544" t="s">
        <v>982</v>
      </c>
      <c r="I544">
        <v>110</v>
      </c>
      <c r="J544">
        <v>16</v>
      </c>
      <c r="K544">
        <f t="shared" si="34"/>
        <v>14.545454545454545</v>
      </c>
      <c r="L544" t="s">
        <v>1737</v>
      </c>
      <c r="M544" t="s">
        <v>3651</v>
      </c>
      <c r="N544" t="s">
        <v>1</v>
      </c>
      <c r="O544">
        <v>500055</v>
      </c>
      <c r="P544" t="s">
        <v>546</v>
      </c>
      <c r="Q544" t="s">
        <v>1773</v>
      </c>
      <c r="S544">
        <v>646.77599999999995</v>
      </c>
      <c r="T544">
        <v>9</v>
      </c>
      <c r="U544">
        <v>0.2</v>
      </c>
      <c r="V544">
        <v>-145.52459999999999</v>
      </c>
      <c r="W544">
        <f t="shared" si="35"/>
        <v>88.033399999999986</v>
      </c>
      <c r="X544">
        <v>4</v>
      </c>
    </row>
    <row r="545" spans="1:24" x14ac:dyDescent="0.3">
      <c r="A545">
        <v>544</v>
      </c>
      <c r="B545" t="s">
        <v>2317</v>
      </c>
      <c r="C545" s="6">
        <v>44740</v>
      </c>
      <c r="D545" t="str">
        <f t="shared" si="32"/>
        <v>Jun</v>
      </c>
      <c r="E545" t="str">
        <f t="shared" si="33"/>
        <v>2022</v>
      </c>
      <c r="F545" t="s">
        <v>4</v>
      </c>
      <c r="G545" t="s">
        <v>45</v>
      </c>
      <c r="H545" t="s">
        <v>1024</v>
      </c>
      <c r="I545">
        <v>150</v>
      </c>
      <c r="J545">
        <v>6</v>
      </c>
      <c r="K545">
        <f t="shared" si="34"/>
        <v>4</v>
      </c>
      <c r="L545" t="s">
        <v>1741</v>
      </c>
      <c r="M545" t="s">
        <v>3652</v>
      </c>
      <c r="N545" t="s">
        <v>1</v>
      </c>
      <c r="O545">
        <v>411038</v>
      </c>
      <c r="P545" t="s">
        <v>546</v>
      </c>
      <c r="Q545" t="s">
        <v>1755</v>
      </c>
      <c r="S545">
        <v>58.112000000000002</v>
      </c>
      <c r="T545">
        <v>2</v>
      </c>
      <c r="U545">
        <v>0.2</v>
      </c>
      <c r="V545">
        <v>7.2640000000000002</v>
      </c>
      <c r="W545">
        <f t="shared" si="35"/>
        <v>25.423999999999999</v>
      </c>
      <c r="X545">
        <v>3</v>
      </c>
    </row>
    <row r="546" spans="1:24" x14ac:dyDescent="0.3">
      <c r="A546">
        <v>545</v>
      </c>
      <c r="B546" t="s">
        <v>2318</v>
      </c>
      <c r="C546" s="6">
        <v>44741</v>
      </c>
      <c r="D546" t="str">
        <f t="shared" si="32"/>
        <v>Jun</v>
      </c>
      <c r="E546" t="str">
        <f t="shared" si="33"/>
        <v>2022</v>
      </c>
      <c r="F546" t="s">
        <v>4</v>
      </c>
      <c r="G546" t="s">
        <v>45</v>
      </c>
      <c r="H546" t="s">
        <v>1025</v>
      </c>
      <c r="I546">
        <v>180</v>
      </c>
      <c r="J546">
        <v>30</v>
      </c>
      <c r="K546">
        <f t="shared" si="34"/>
        <v>16.666666666666664</v>
      </c>
      <c r="L546" t="s">
        <v>1736</v>
      </c>
      <c r="M546" t="s">
        <v>3653</v>
      </c>
      <c r="N546" t="s">
        <v>1</v>
      </c>
      <c r="O546">
        <v>415002</v>
      </c>
      <c r="P546" t="s">
        <v>546</v>
      </c>
      <c r="Q546" t="s">
        <v>1763</v>
      </c>
      <c r="S546">
        <v>100.792</v>
      </c>
      <c r="T546">
        <v>1</v>
      </c>
      <c r="U546">
        <v>0.2</v>
      </c>
      <c r="V546">
        <v>6.2995000000000001</v>
      </c>
      <c r="W546">
        <f t="shared" si="35"/>
        <v>94.492500000000007</v>
      </c>
      <c r="X546">
        <v>1</v>
      </c>
    </row>
    <row r="547" spans="1:24" x14ac:dyDescent="0.3">
      <c r="A547">
        <v>546</v>
      </c>
      <c r="B547" t="s">
        <v>2319</v>
      </c>
      <c r="C547" s="6">
        <v>44742</v>
      </c>
      <c r="D547" t="str">
        <f t="shared" si="32"/>
        <v>Jun</v>
      </c>
      <c r="E547" t="str">
        <f t="shared" si="33"/>
        <v>2022</v>
      </c>
      <c r="F547" t="s">
        <v>4</v>
      </c>
      <c r="G547" t="s">
        <v>45</v>
      </c>
      <c r="H547" t="s">
        <v>1026</v>
      </c>
      <c r="I547">
        <v>140</v>
      </c>
      <c r="J547">
        <v>26</v>
      </c>
      <c r="K547">
        <f t="shared" si="34"/>
        <v>18.571428571428573</v>
      </c>
      <c r="L547" t="s">
        <v>1744</v>
      </c>
      <c r="M547" t="s">
        <v>3654</v>
      </c>
      <c r="N547" t="s">
        <v>1</v>
      </c>
      <c r="O547">
        <v>380054</v>
      </c>
      <c r="P547" t="s">
        <v>546</v>
      </c>
      <c r="Q547" t="s">
        <v>1769</v>
      </c>
      <c r="R547" t="s">
        <v>2</v>
      </c>
      <c r="S547">
        <v>66.111999999999995</v>
      </c>
      <c r="T547">
        <v>4</v>
      </c>
      <c r="U547">
        <v>0.6</v>
      </c>
      <c r="V547">
        <v>-84.2928</v>
      </c>
      <c r="W547">
        <f t="shared" si="35"/>
        <v>37.601199999999999</v>
      </c>
      <c r="X547">
        <v>2</v>
      </c>
    </row>
    <row r="548" spans="1:24" x14ac:dyDescent="0.3">
      <c r="A548">
        <v>547</v>
      </c>
      <c r="B548" t="s">
        <v>2320</v>
      </c>
      <c r="C548" s="6">
        <v>44743</v>
      </c>
      <c r="D548" t="str">
        <f t="shared" si="32"/>
        <v>Jul</v>
      </c>
      <c r="E548" t="str">
        <f t="shared" si="33"/>
        <v>2022</v>
      </c>
      <c r="F548" t="s">
        <v>5</v>
      </c>
      <c r="G548" t="s">
        <v>223</v>
      </c>
      <c r="H548" t="s">
        <v>1027</v>
      </c>
      <c r="I548">
        <v>120</v>
      </c>
      <c r="J548">
        <v>18</v>
      </c>
      <c r="K548">
        <f t="shared" si="34"/>
        <v>15</v>
      </c>
      <c r="L548" t="s">
        <v>1740</v>
      </c>
      <c r="M548" t="s">
        <v>3655</v>
      </c>
      <c r="O548">
        <v>249201</v>
      </c>
      <c r="P548" t="s">
        <v>546</v>
      </c>
      <c r="Q548" t="s">
        <v>1761</v>
      </c>
      <c r="S548">
        <v>41.28</v>
      </c>
      <c r="T548">
        <v>6</v>
      </c>
      <c r="U548">
        <v>0.2</v>
      </c>
      <c r="V548">
        <v>13.932</v>
      </c>
      <c r="W548">
        <f t="shared" si="35"/>
        <v>4.5579999999999998</v>
      </c>
      <c r="X548">
        <v>2</v>
      </c>
    </row>
    <row r="549" spans="1:24" x14ac:dyDescent="0.3">
      <c r="A549">
        <v>548</v>
      </c>
      <c r="B549" t="s">
        <v>2321</v>
      </c>
      <c r="C549" s="6">
        <v>44744</v>
      </c>
      <c r="D549" t="str">
        <f t="shared" si="32"/>
        <v>Jul</v>
      </c>
      <c r="E549" t="str">
        <f t="shared" si="33"/>
        <v>2022</v>
      </c>
      <c r="F549" t="s">
        <v>5</v>
      </c>
      <c r="G549" t="s">
        <v>223</v>
      </c>
      <c r="H549" t="s">
        <v>1028</v>
      </c>
      <c r="I549">
        <v>180</v>
      </c>
      <c r="J549">
        <v>14</v>
      </c>
      <c r="K549">
        <f t="shared" si="34"/>
        <v>7.7777777777777777</v>
      </c>
      <c r="L549" t="s">
        <v>1742</v>
      </c>
      <c r="M549" t="s">
        <v>3656</v>
      </c>
      <c r="O549">
        <v>249201</v>
      </c>
      <c r="P549" t="s">
        <v>546</v>
      </c>
      <c r="Q549" t="s">
        <v>1765</v>
      </c>
      <c r="R549" t="s">
        <v>2</v>
      </c>
      <c r="S549">
        <v>13.36</v>
      </c>
      <c r="T549">
        <v>2</v>
      </c>
      <c r="U549">
        <v>0.1</v>
      </c>
      <c r="V549">
        <v>6.4127999999999998</v>
      </c>
      <c r="W549">
        <f t="shared" si="35"/>
        <v>3.4735999999999998</v>
      </c>
      <c r="X549">
        <v>3</v>
      </c>
    </row>
    <row r="550" spans="1:24" x14ac:dyDescent="0.3">
      <c r="A550">
        <v>549</v>
      </c>
      <c r="B550" t="s">
        <v>2322</v>
      </c>
      <c r="C550" s="6">
        <v>44745</v>
      </c>
      <c r="D550" t="str">
        <f t="shared" si="32"/>
        <v>Jul</v>
      </c>
      <c r="E550" t="str">
        <f t="shared" si="33"/>
        <v>2022</v>
      </c>
      <c r="F550" t="s">
        <v>3</v>
      </c>
      <c r="G550" t="s">
        <v>165</v>
      </c>
      <c r="H550" t="s">
        <v>601</v>
      </c>
      <c r="I550">
        <v>210</v>
      </c>
      <c r="J550">
        <v>24</v>
      </c>
      <c r="K550">
        <f t="shared" si="34"/>
        <v>11.428571428571429</v>
      </c>
      <c r="L550" t="s">
        <v>1739</v>
      </c>
      <c r="M550" t="s">
        <v>3657</v>
      </c>
      <c r="N550" t="s">
        <v>1</v>
      </c>
      <c r="O550">
        <v>282001</v>
      </c>
      <c r="P550" t="s">
        <v>546</v>
      </c>
      <c r="Q550" t="s">
        <v>1761</v>
      </c>
      <c r="S550">
        <v>250.27199999999999</v>
      </c>
      <c r="T550">
        <v>9</v>
      </c>
      <c r="U550">
        <v>0.2</v>
      </c>
      <c r="V550">
        <v>15.641999999999999</v>
      </c>
      <c r="W550">
        <f t="shared" si="35"/>
        <v>26.07</v>
      </c>
      <c r="X550">
        <v>5</v>
      </c>
    </row>
    <row r="551" spans="1:24" x14ac:dyDescent="0.3">
      <c r="A551">
        <v>550</v>
      </c>
      <c r="B551" t="s">
        <v>2323</v>
      </c>
      <c r="C551" s="6">
        <v>44746</v>
      </c>
      <c r="D551" t="str">
        <f t="shared" si="32"/>
        <v>Jul</v>
      </c>
      <c r="E551" t="str">
        <f t="shared" si="33"/>
        <v>2022</v>
      </c>
      <c r="F551" t="s">
        <v>3</v>
      </c>
      <c r="G551" t="s">
        <v>165</v>
      </c>
      <c r="H551" t="s">
        <v>639</v>
      </c>
      <c r="I551">
        <v>240</v>
      </c>
      <c r="J551">
        <v>6</v>
      </c>
      <c r="K551">
        <f t="shared" si="34"/>
        <v>2.5</v>
      </c>
      <c r="L551" t="s">
        <v>1738</v>
      </c>
      <c r="M551" t="s">
        <v>3658</v>
      </c>
      <c r="N551" t="s">
        <v>1</v>
      </c>
      <c r="O551">
        <v>226003</v>
      </c>
      <c r="P551" t="s">
        <v>546</v>
      </c>
      <c r="Q551" t="s">
        <v>1773</v>
      </c>
      <c r="S551">
        <v>11.364000000000001</v>
      </c>
      <c r="T551">
        <v>3</v>
      </c>
      <c r="U551">
        <v>0.8</v>
      </c>
      <c r="V551">
        <v>-17.045999999999999</v>
      </c>
      <c r="W551">
        <f t="shared" si="35"/>
        <v>9.4700000000000006</v>
      </c>
      <c r="X551">
        <v>5</v>
      </c>
    </row>
    <row r="552" spans="1:24" x14ac:dyDescent="0.3">
      <c r="A552">
        <v>551</v>
      </c>
      <c r="B552" t="s">
        <v>2324</v>
      </c>
      <c r="C552" s="6">
        <v>44747</v>
      </c>
      <c r="D552" t="str">
        <f t="shared" si="32"/>
        <v>Jul</v>
      </c>
      <c r="E552" t="str">
        <f t="shared" si="33"/>
        <v>2022</v>
      </c>
      <c r="F552" t="s">
        <v>3</v>
      </c>
      <c r="G552" t="s">
        <v>165</v>
      </c>
      <c r="H552" t="s">
        <v>1029</v>
      </c>
      <c r="I552">
        <v>110</v>
      </c>
      <c r="J552">
        <v>26</v>
      </c>
      <c r="K552">
        <f t="shared" si="34"/>
        <v>23.636363636363637</v>
      </c>
      <c r="L552" t="s">
        <v>1741</v>
      </c>
      <c r="M552" t="s">
        <v>3659</v>
      </c>
      <c r="N552" t="s">
        <v>1</v>
      </c>
      <c r="O552">
        <v>361335</v>
      </c>
      <c r="P552" t="s">
        <v>546</v>
      </c>
      <c r="Q552" t="s">
        <v>1761</v>
      </c>
      <c r="S552">
        <v>8.7200000000000006</v>
      </c>
      <c r="T552">
        <v>5</v>
      </c>
      <c r="U552">
        <v>0.2</v>
      </c>
      <c r="V552">
        <v>-1.744</v>
      </c>
      <c r="W552">
        <f t="shared" si="35"/>
        <v>2.0928</v>
      </c>
      <c r="X552">
        <v>5</v>
      </c>
    </row>
    <row r="553" spans="1:24" x14ac:dyDescent="0.3">
      <c r="A553">
        <v>552</v>
      </c>
      <c r="B553" t="s">
        <v>2325</v>
      </c>
      <c r="C553" s="6">
        <v>44748</v>
      </c>
      <c r="D553" t="str">
        <f t="shared" si="32"/>
        <v>Jul</v>
      </c>
      <c r="E553" t="str">
        <f t="shared" si="33"/>
        <v>2022</v>
      </c>
      <c r="F553" t="s">
        <v>3</v>
      </c>
      <c r="G553" t="s">
        <v>224</v>
      </c>
      <c r="H553" t="s">
        <v>1030</v>
      </c>
      <c r="I553">
        <v>110</v>
      </c>
      <c r="J553">
        <v>18</v>
      </c>
      <c r="K553">
        <f t="shared" si="34"/>
        <v>16.363636363636363</v>
      </c>
      <c r="L553" t="s">
        <v>1737</v>
      </c>
      <c r="M553" t="s">
        <v>3660</v>
      </c>
      <c r="N553" t="s">
        <v>1</v>
      </c>
      <c r="O553">
        <v>686536</v>
      </c>
      <c r="P553" t="s">
        <v>546</v>
      </c>
      <c r="Q553" t="s">
        <v>1772</v>
      </c>
      <c r="R553" t="s">
        <v>2</v>
      </c>
      <c r="S553">
        <v>1121.568</v>
      </c>
      <c r="T553">
        <v>2</v>
      </c>
      <c r="U553">
        <v>0.2</v>
      </c>
      <c r="V553">
        <v>0.1</v>
      </c>
      <c r="W553">
        <f t="shared" si="35"/>
        <v>560.73400000000004</v>
      </c>
      <c r="X553">
        <v>1</v>
      </c>
    </row>
    <row r="554" spans="1:24" x14ac:dyDescent="0.3">
      <c r="A554">
        <v>553</v>
      </c>
      <c r="B554" t="s">
        <v>2326</v>
      </c>
      <c r="C554" s="6">
        <v>44749</v>
      </c>
      <c r="D554" t="str">
        <f t="shared" si="32"/>
        <v>Jul</v>
      </c>
      <c r="E554" t="str">
        <f t="shared" si="33"/>
        <v>2022</v>
      </c>
      <c r="F554" t="s">
        <v>5</v>
      </c>
      <c r="G554" t="s">
        <v>60</v>
      </c>
      <c r="H554" t="s">
        <v>1031</v>
      </c>
      <c r="I554">
        <v>220</v>
      </c>
      <c r="J554">
        <v>14</v>
      </c>
      <c r="K554">
        <f t="shared" si="34"/>
        <v>6.3636363636363633</v>
      </c>
      <c r="L554" t="s">
        <v>1743</v>
      </c>
      <c r="M554" t="s">
        <v>3661</v>
      </c>
      <c r="N554" t="s">
        <v>1</v>
      </c>
      <c r="O554">
        <v>122001</v>
      </c>
      <c r="P554" t="s">
        <v>546</v>
      </c>
      <c r="Q554" t="s">
        <v>1763</v>
      </c>
      <c r="S554">
        <v>34.503999999999998</v>
      </c>
      <c r="T554">
        <v>1</v>
      </c>
      <c r="U554">
        <v>0.2</v>
      </c>
      <c r="V554">
        <v>6.0381999999999998</v>
      </c>
      <c r="W554">
        <f t="shared" si="35"/>
        <v>28.465799999999998</v>
      </c>
      <c r="X554">
        <v>2</v>
      </c>
    </row>
    <row r="555" spans="1:24" x14ac:dyDescent="0.3">
      <c r="A555">
        <v>554</v>
      </c>
      <c r="B555" t="s">
        <v>2327</v>
      </c>
      <c r="C555" s="6">
        <v>44750</v>
      </c>
      <c r="D555" t="str">
        <f t="shared" si="32"/>
        <v>Jul</v>
      </c>
      <c r="E555" t="str">
        <f t="shared" si="33"/>
        <v>2022</v>
      </c>
      <c r="F555" t="s">
        <v>4</v>
      </c>
      <c r="G555" t="s">
        <v>225</v>
      </c>
      <c r="H555" t="s">
        <v>1032</v>
      </c>
      <c r="I555">
        <v>100</v>
      </c>
      <c r="J555">
        <v>28</v>
      </c>
      <c r="K555">
        <f t="shared" si="34"/>
        <v>28.000000000000004</v>
      </c>
      <c r="L555" t="s">
        <v>1738</v>
      </c>
      <c r="M555" t="s">
        <v>3662</v>
      </c>
      <c r="N555" t="s">
        <v>1</v>
      </c>
      <c r="O555">
        <v>452001</v>
      </c>
      <c r="P555" t="s">
        <v>546</v>
      </c>
      <c r="Q555" t="s">
        <v>1774</v>
      </c>
      <c r="R555" t="s">
        <v>2</v>
      </c>
      <c r="S555">
        <v>10.824</v>
      </c>
      <c r="T555">
        <v>3</v>
      </c>
      <c r="U555">
        <v>0.2</v>
      </c>
      <c r="V555">
        <v>2.5707</v>
      </c>
      <c r="W555">
        <f t="shared" si="35"/>
        <v>2.7510999999999997</v>
      </c>
      <c r="X555">
        <v>5</v>
      </c>
    </row>
    <row r="556" spans="1:24" x14ac:dyDescent="0.3">
      <c r="A556">
        <v>555</v>
      </c>
      <c r="B556" t="s">
        <v>2328</v>
      </c>
      <c r="C556" s="6">
        <v>44751</v>
      </c>
      <c r="D556" t="str">
        <f t="shared" si="32"/>
        <v>Jul</v>
      </c>
      <c r="E556" t="str">
        <f t="shared" si="33"/>
        <v>2022</v>
      </c>
      <c r="F556" t="s">
        <v>3</v>
      </c>
      <c r="G556" t="s">
        <v>165</v>
      </c>
      <c r="H556" t="s">
        <v>1033</v>
      </c>
      <c r="I556">
        <v>150</v>
      </c>
      <c r="J556">
        <v>10</v>
      </c>
      <c r="K556">
        <f t="shared" si="34"/>
        <v>6.666666666666667</v>
      </c>
      <c r="L556" t="s">
        <v>1739</v>
      </c>
      <c r="M556" t="s">
        <v>3663</v>
      </c>
      <c r="N556" t="s">
        <v>1</v>
      </c>
      <c r="O556">
        <v>440034</v>
      </c>
      <c r="P556" t="s">
        <v>546</v>
      </c>
      <c r="Q556" t="s">
        <v>1763</v>
      </c>
      <c r="S556">
        <v>1295.78</v>
      </c>
      <c r="T556">
        <v>2</v>
      </c>
      <c r="U556">
        <v>0.1</v>
      </c>
      <c r="V556">
        <v>310.98719999999997</v>
      </c>
      <c r="W556">
        <f t="shared" si="35"/>
        <v>492.39639999999997</v>
      </c>
      <c r="X556">
        <v>3</v>
      </c>
    </row>
    <row r="557" spans="1:24" x14ac:dyDescent="0.3">
      <c r="A557">
        <v>556</v>
      </c>
      <c r="B557" t="s">
        <v>2329</v>
      </c>
      <c r="C557" s="6">
        <v>44752</v>
      </c>
      <c r="D557" t="str">
        <f t="shared" si="32"/>
        <v>Jul</v>
      </c>
      <c r="E557" t="str">
        <f t="shared" si="33"/>
        <v>2022</v>
      </c>
      <c r="F557" t="s">
        <v>3</v>
      </c>
      <c r="G557" t="s">
        <v>226</v>
      </c>
      <c r="H557" t="s">
        <v>1034</v>
      </c>
      <c r="I557">
        <v>200</v>
      </c>
      <c r="J557">
        <v>24</v>
      </c>
      <c r="K557">
        <f t="shared" si="34"/>
        <v>12</v>
      </c>
      <c r="L557" t="s">
        <v>1736</v>
      </c>
      <c r="M557" t="s">
        <v>3664</v>
      </c>
      <c r="N557" t="s">
        <v>1</v>
      </c>
      <c r="O557">
        <v>822101</v>
      </c>
      <c r="P557" t="s">
        <v>546</v>
      </c>
      <c r="Q557" t="s">
        <v>1765</v>
      </c>
      <c r="R557" t="s">
        <v>2</v>
      </c>
      <c r="S557">
        <v>19.456</v>
      </c>
      <c r="T557">
        <v>4</v>
      </c>
      <c r="U557">
        <v>0.2</v>
      </c>
      <c r="V557">
        <v>3.4047999999999998</v>
      </c>
      <c r="W557">
        <f t="shared" si="35"/>
        <v>4.0128000000000004</v>
      </c>
      <c r="X557">
        <v>3</v>
      </c>
    </row>
    <row r="558" spans="1:24" x14ac:dyDescent="0.3">
      <c r="A558">
        <v>557</v>
      </c>
      <c r="B558" t="s">
        <v>2330</v>
      </c>
      <c r="C558" s="6">
        <v>44753</v>
      </c>
      <c r="D558" t="str">
        <f t="shared" si="32"/>
        <v>Jul</v>
      </c>
      <c r="E558" t="str">
        <f t="shared" si="33"/>
        <v>2022</v>
      </c>
      <c r="F558" t="s">
        <v>4</v>
      </c>
      <c r="G558" t="s">
        <v>227</v>
      </c>
      <c r="H558" t="s">
        <v>1035</v>
      </c>
      <c r="I558">
        <v>230</v>
      </c>
      <c r="J558">
        <v>20</v>
      </c>
      <c r="K558">
        <f t="shared" si="34"/>
        <v>8.695652173913043</v>
      </c>
      <c r="L558" t="s">
        <v>1744</v>
      </c>
      <c r="M558" t="s">
        <v>3665</v>
      </c>
      <c r="N558" t="s">
        <v>1</v>
      </c>
      <c r="O558">
        <v>751013</v>
      </c>
      <c r="P558" t="s">
        <v>546</v>
      </c>
      <c r="Q558" t="s">
        <v>1763</v>
      </c>
      <c r="S558">
        <v>20.7</v>
      </c>
      <c r="T558">
        <v>2</v>
      </c>
      <c r="U558">
        <v>0.1</v>
      </c>
      <c r="V558">
        <v>9.9359999999999999</v>
      </c>
      <c r="W558">
        <f t="shared" si="35"/>
        <v>5.3819999999999997</v>
      </c>
      <c r="X558">
        <v>2</v>
      </c>
    </row>
    <row r="559" spans="1:24" x14ac:dyDescent="0.3">
      <c r="A559">
        <v>558</v>
      </c>
      <c r="B559" t="s">
        <v>2331</v>
      </c>
      <c r="C559" s="6">
        <v>44754</v>
      </c>
      <c r="D559" t="str">
        <f t="shared" si="32"/>
        <v>Jul</v>
      </c>
      <c r="E559" t="str">
        <f t="shared" si="33"/>
        <v>2022</v>
      </c>
      <c r="F559" t="s">
        <v>4</v>
      </c>
      <c r="G559" t="s">
        <v>227</v>
      </c>
      <c r="H559" t="s">
        <v>1036</v>
      </c>
      <c r="I559">
        <v>230</v>
      </c>
      <c r="J559">
        <v>18</v>
      </c>
      <c r="K559">
        <f t="shared" si="34"/>
        <v>7.8260869565217401</v>
      </c>
      <c r="L559" t="s">
        <v>1740</v>
      </c>
      <c r="M559" t="s">
        <v>3666</v>
      </c>
      <c r="N559" t="s">
        <v>1</v>
      </c>
      <c r="O559">
        <v>628004</v>
      </c>
      <c r="P559" t="s">
        <v>546</v>
      </c>
      <c r="Q559" t="s">
        <v>1761</v>
      </c>
      <c r="S559">
        <v>1335.68</v>
      </c>
      <c r="T559">
        <v>4</v>
      </c>
      <c r="U559">
        <v>0.2</v>
      </c>
      <c r="V559">
        <v>-217.048</v>
      </c>
      <c r="W559">
        <f t="shared" si="35"/>
        <v>388.18200000000002</v>
      </c>
      <c r="X559">
        <v>3</v>
      </c>
    </row>
    <row r="560" spans="1:24" x14ac:dyDescent="0.3">
      <c r="A560">
        <v>559</v>
      </c>
      <c r="B560" t="s">
        <v>2332</v>
      </c>
      <c r="C560" s="6">
        <v>44755</v>
      </c>
      <c r="D560" t="str">
        <f t="shared" si="32"/>
        <v>Jul</v>
      </c>
      <c r="E560" t="str">
        <f t="shared" si="33"/>
        <v>2022</v>
      </c>
      <c r="F560" t="s">
        <v>4</v>
      </c>
      <c r="G560" t="s">
        <v>227</v>
      </c>
      <c r="H560" t="s">
        <v>1037</v>
      </c>
      <c r="I560">
        <v>110</v>
      </c>
      <c r="J560">
        <v>20</v>
      </c>
      <c r="K560">
        <f t="shared" si="34"/>
        <v>18.181818181818183</v>
      </c>
      <c r="L560" t="s">
        <v>1742</v>
      </c>
      <c r="M560" t="s">
        <v>3667</v>
      </c>
      <c r="N560" t="s">
        <v>1</v>
      </c>
      <c r="O560">
        <v>403206</v>
      </c>
      <c r="P560" t="s">
        <v>546</v>
      </c>
      <c r="Q560" t="s">
        <v>1754</v>
      </c>
      <c r="S560">
        <v>32.4</v>
      </c>
      <c r="T560">
        <v>5</v>
      </c>
      <c r="U560">
        <v>0.1</v>
      </c>
      <c r="V560">
        <v>15.552</v>
      </c>
      <c r="W560">
        <f t="shared" si="35"/>
        <v>3.3695999999999997</v>
      </c>
      <c r="X560">
        <v>3</v>
      </c>
    </row>
    <row r="561" spans="1:24" x14ac:dyDescent="0.3">
      <c r="A561">
        <v>560</v>
      </c>
      <c r="B561" t="s">
        <v>2333</v>
      </c>
      <c r="C561" s="6">
        <v>44756</v>
      </c>
      <c r="D561" t="str">
        <f t="shared" si="32"/>
        <v>Jul</v>
      </c>
      <c r="E561" t="str">
        <f t="shared" si="33"/>
        <v>2022</v>
      </c>
      <c r="F561" t="s">
        <v>3</v>
      </c>
      <c r="G561" t="s">
        <v>228</v>
      </c>
      <c r="H561" t="s">
        <v>925</v>
      </c>
      <c r="I561">
        <v>100</v>
      </c>
      <c r="J561">
        <v>12</v>
      </c>
      <c r="K561">
        <f t="shared" si="34"/>
        <v>12</v>
      </c>
      <c r="L561" t="s">
        <v>1739</v>
      </c>
      <c r="M561" t="s">
        <v>3668</v>
      </c>
      <c r="N561" t="s">
        <v>1</v>
      </c>
      <c r="O561">
        <v>403206</v>
      </c>
      <c r="P561" t="s">
        <v>546</v>
      </c>
      <c r="Q561" t="s">
        <v>1759</v>
      </c>
      <c r="S561">
        <v>42.6</v>
      </c>
      <c r="T561">
        <v>3</v>
      </c>
      <c r="U561">
        <v>0.1</v>
      </c>
      <c r="V561">
        <v>16.614000000000001</v>
      </c>
      <c r="W561">
        <f t="shared" si="35"/>
        <v>8.6620000000000008</v>
      </c>
      <c r="X561">
        <v>4</v>
      </c>
    </row>
    <row r="562" spans="1:24" x14ac:dyDescent="0.3">
      <c r="A562">
        <v>561</v>
      </c>
      <c r="B562" t="s">
        <v>2334</v>
      </c>
      <c r="C562" s="6">
        <v>44757</v>
      </c>
      <c r="D562" t="str">
        <f t="shared" si="32"/>
        <v>Jul</v>
      </c>
      <c r="E562" t="str">
        <f t="shared" si="33"/>
        <v>2022</v>
      </c>
      <c r="F562" t="s">
        <v>3</v>
      </c>
      <c r="G562" t="s">
        <v>228</v>
      </c>
      <c r="H562" t="s">
        <v>1038</v>
      </c>
      <c r="I562">
        <v>100</v>
      </c>
      <c r="J562">
        <v>24</v>
      </c>
      <c r="K562">
        <f t="shared" si="34"/>
        <v>24</v>
      </c>
      <c r="L562" t="s">
        <v>1738</v>
      </c>
      <c r="M562" t="s">
        <v>3669</v>
      </c>
      <c r="N562" t="s">
        <v>1</v>
      </c>
      <c r="O562">
        <v>834002</v>
      </c>
      <c r="P562" t="s">
        <v>546</v>
      </c>
      <c r="Q562" t="s">
        <v>1774</v>
      </c>
      <c r="S562">
        <v>84.055999999999997</v>
      </c>
      <c r="T562">
        <v>7</v>
      </c>
      <c r="U562">
        <v>0.2</v>
      </c>
      <c r="V562">
        <v>27.318200000000001</v>
      </c>
      <c r="W562">
        <f t="shared" si="35"/>
        <v>8.1053999999999995</v>
      </c>
      <c r="X562">
        <v>4</v>
      </c>
    </row>
    <row r="563" spans="1:24" x14ac:dyDescent="0.3">
      <c r="A563">
        <v>562</v>
      </c>
      <c r="B563" t="s">
        <v>2335</v>
      </c>
      <c r="C563" s="6">
        <v>44758</v>
      </c>
      <c r="D563" t="str">
        <f t="shared" si="32"/>
        <v>Jul</v>
      </c>
      <c r="E563" t="str">
        <f t="shared" si="33"/>
        <v>2022</v>
      </c>
      <c r="F563" t="s">
        <v>3</v>
      </c>
      <c r="G563" t="s">
        <v>229</v>
      </c>
      <c r="H563" t="s">
        <v>1039</v>
      </c>
      <c r="I563">
        <v>140</v>
      </c>
      <c r="J563">
        <v>22</v>
      </c>
      <c r="K563">
        <f t="shared" si="34"/>
        <v>15.714285714285714</v>
      </c>
      <c r="L563" t="s">
        <v>1743</v>
      </c>
      <c r="M563" t="s">
        <v>3670</v>
      </c>
      <c r="O563">
        <v>160030</v>
      </c>
      <c r="P563" t="s">
        <v>546</v>
      </c>
      <c r="Q563" t="s">
        <v>1776</v>
      </c>
      <c r="S563">
        <v>13</v>
      </c>
      <c r="T563">
        <v>5</v>
      </c>
      <c r="U563">
        <v>0.2</v>
      </c>
      <c r="V563">
        <v>1.3</v>
      </c>
      <c r="W563">
        <f t="shared" si="35"/>
        <v>2.34</v>
      </c>
      <c r="X563">
        <v>5</v>
      </c>
    </row>
    <row r="564" spans="1:24" x14ac:dyDescent="0.3">
      <c r="A564">
        <v>563</v>
      </c>
      <c r="B564" t="s">
        <v>2336</v>
      </c>
      <c r="C564" s="6">
        <v>44759</v>
      </c>
      <c r="D564" t="str">
        <f t="shared" si="32"/>
        <v>Jul</v>
      </c>
      <c r="E564" t="str">
        <f t="shared" si="33"/>
        <v>2022</v>
      </c>
      <c r="F564" t="s">
        <v>3</v>
      </c>
      <c r="G564" t="s">
        <v>229</v>
      </c>
      <c r="H564" t="s">
        <v>1040</v>
      </c>
      <c r="I564">
        <v>230</v>
      </c>
      <c r="J564">
        <v>30</v>
      </c>
      <c r="K564">
        <f t="shared" si="34"/>
        <v>13.043478260869565</v>
      </c>
      <c r="L564" t="s">
        <v>1737</v>
      </c>
      <c r="M564" t="s">
        <v>3671</v>
      </c>
      <c r="O564">
        <v>400025</v>
      </c>
      <c r="P564" t="s">
        <v>546</v>
      </c>
      <c r="Q564" t="s">
        <v>1768</v>
      </c>
      <c r="S564">
        <v>13.128</v>
      </c>
      <c r="T564">
        <v>3</v>
      </c>
      <c r="U564">
        <v>0.2</v>
      </c>
      <c r="V564">
        <v>3.7743000000000002</v>
      </c>
      <c r="W564">
        <f t="shared" si="35"/>
        <v>3.1179000000000001</v>
      </c>
      <c r="X564">
        <v>1</v>
      </c>
    </row>
    <row r="565" spans="1:24" x14ac:dyDescent="0.3">
      <c r="A565">
        <v>564</v>
      </c>
      <c r="B565" t="s">
        <v>2337</v>
      </c>
      <c r="C565" s="6">
        <v>44760</v>
      </c>
      <c r="D565" t="str">
        <f t="shared" si="32"/>
        <v>Jul</v>
      </c>
      <c r="E565" t="str">
        <f t="shared" si="33"/>
        <v>2022</v>
      </c>
      <c r="F565" t="s">
        <v>5</v>
      </c>
      <c r="G565" t="s">
        <v>230</v>
      </c>
      <c r="H565" t="s">
        <v>1041</v>
      </c>
      <c r="I565">
        <v>150</v>
      </c>
      <c r="J565">
        <v>26</v>
      </c>
      <c r="K565">
        <f t="shared" si="34"/>
        <v>17.333333333333336</v>
      </c>
      <c r="L565" t="s">
        <v>1741</v>
      </c>
      <c r="M565" t="s">
        <v>3672</v>
      </c>
      <c r="N565" t="s">
        <v>1</v>
      </c>
      <c r="O565">
        <v>631501</v>
      </c>
      <c r="P565" t="s">
        <v>546</v>
      </c>
      <c r="Q565" t="s">
        <v>1759</v>
      </c>
      <c r="R565" t="s">
        <v>2</v>
      </c>
      <c r="S565">
        <v>3.96</v>
      </c>
      <c r="T565">
        <v>2</v>
      </c>
      <c r="U565">
        <v>0.1</v>
      </c>
      <c r="V565">
        <v>0.1</v>
      </c>
      <c r="W565">
        <f t="shared" si="35"/>
        <v>1.93</v>
      </c>
      <c r="X565">
        <v>2</v>
      </c>
    </row>
    <row r="566" spans="1:24" x14ac:dyDescent="0.3">
      <c r="A566">
        <v>565</v>
      </c>
      <c r="B566" t="s">
        <v>2157</v>
      </c>
      <c r="C566" s="6">
        <v>44761</v>
      </c>
      <c r="D566" t="str">
        <f t="shared" si="32"/>
        <v>Jul</v>
      </c>
      <c r="E566" t="str">
        <f t="shared" si="33"/>
        <v>2022</v>
      </c>
      <c r="F566" t="s">
        <v>5</v>
      </c>
      <c r="G566" t="s">
        <v>230</v>
      </c>
      <c r="H566" t="s">
        <v>833</v>
      </c>
      <c r="I566">
        <v>160</v>
      </c>
      <c r="J566">
        <v>28</v>
      </c>
      <c r="K566">
        <f t="shared" si="34"/>
        <v>17.5</v>
      </c>
      <c r="L566" t="s">
        <v>1736</v>
      </c>
      <c r="M566" t="s">
        <v>3673</v>
      </c>
      <c r="N566" t="s">
        <v>1</v>
      </c>
      <c r="O566">
        <v>500047</v>
      </c>
      <c r="P566" t="s">
        <v>546</v>
      </c>
      <c r="Q566" t="s">
        <v>1754</v>
      </c>
      <c r="S566">
        <v>2.61</v>
      </c>
      <c r="T566">
        <v>1</v>
      </c>
      <c r="U566">
        <v>0.1</v>
      </c>
      <c r="V566">
        <v>1.2005999999999999</v>
      </c>
      <c r="W566">
        <f t="shared" si="35"/>
        <v>1.4094</v>
      </c>
      <c r="X566">
        <v>1</v>
      </c>
    </row>
    <row r="567" spans="1:24" x14ac:dyDescent="0.3">
      <c r="A567">
        <v>566</v>
      </c>
      <c r="B567" t="s">
        <v>2338</v>
      </c>
      <c r="C567" s="6">
        <v>44762</v>
      </c>
      <c r="D567" t="str">
        <f t="shared" si="32"/>
        <v>Jul</v>
      </c>
      <c r="E567" t="str">
        <f t="shared" si="33"/>
        <v>2022</v>
      </c>
      <c r="F567" t="s">
        <v>5</v>
      </c>
      <c r="G567" t="s">
        <v>231</v>
      </c>
      <c r="H567" t="s">
        <v>1042</v>
      </c>
      <c r="I567">
        <v>160</v>
      </c>
      <c r="J567">
        <v>26</v>
      </c>
      <c r="K567">
        <f t="shared" si="34"/>
        <v>16.25</v>
      </c>
      <c r="L567" t="s">
        <v>1744</v>
      </c>
      <c r="M567" t="s">
        <v>3674</v>
      </c>
      <c r="N567" t="s">
        <v>1</v>
      </c>
      <c r="O567">
        <v>131001</v>
      </c>
      <c r="P567" t="s">
        <v>546</v>
      </c>
      <c r="Q567" t="s">
        <v>1765</v>
      </c>
      <c r="R567" t="s">
        <v>2</v>
      </c>
      <c r="S567">
        <v>374.37599999999998</v>
      </c>
      <c r="T567">
        <v>3</v>
      </c>
      <c r="U567">
        <v>0.2</v>
      </c>
      <c r="V567">
        <v>46.796999999999997</v>
      </c>
      <c r="W567">
        <f t="shared" si="35"/>
        <v>109.19299999999998</v>
      </c>
      <c r="X567">
        <v>4</v>
      </c>
    </row>
    <row r="568" spans="1:24" x14ac:dyDescent="0.3">
      <c r="A568">
        <v>567</v>
      </c>
      <c r="B568" t="s">
        <v>2339</v>
      </c>
      <c r="C568" s="6">
        <v>44763</v>
      </c>
      <c r="D568" t="str">
        <f t="shared" si="32"/>
        <v>Jul</v>
      </c>
      <c r="E568" t="str">
        <f t="shared" si="33"/>
        <v>2022</v>
      </c>
      <c r="F568" t="s">
        <v>4</v>
      </c>
      <c r="G568" t="s">
        <v>232</v>
      </c>
      <c r="H568" t="s">
        <v>1043</v>
      </c>
      <c r="I568">
        <v>180</v>
      </c>
      <c r="J568">
        <v>24</v>
      </c>
      <c r="K568">
        <f t="shared" si="34"/>
        <v>13.333333333333334</v>
      </c>
      <c r="L568" t="s">
        <v>1740</v>
      </c>
      <c r="M568" t="s">
        <v>3675</v>
      </c>
      <c r="N568" t="s">
        <v>1</v>
      </c>
      <c r="O568">
        <v>411041</v>
      </c>
      <c r="P568" t="s">
        <v>546</v>
      </c>
      <c r="Q568" t="s">
        <v>1761</v>
      </c>
      <c r="S568">
        <v>91.84</v>
      </c>
      <c r="T568">
        <v>8</v>
      </c>
      <c r="U568">
        <v>0.1</v>
      </c>
      <c r="V568">
        <v>45.001600000000003</v>
      </c>
      <c r="W568">
        <f t="shared" si="35"/>
        <v>5.8548</v>
      </c>
      <c r="X568">
        <v>2</v>
      </c>
    </row>
    <row r="569" spans="1:24" x14ac:dyDescent="0.3">
      <c r="A569">
        <v>568</v>
      </c>
      <c r="B569" t="s">
        <v>2340</v>
      </c>
      <c r="C569" s="6">
        <v>44764</v>
      </c>
      <c r="D569" t="str">
        <f t="shared" si="32"/>
        <v>Jul</v>
      </c>
      <c r="E569" t="str">
        <f t="shared" si="33"/>
        <v>2022</v>
      </c>
      <c r="F569" t="s">
        <v>4</v>
      </c>
      <c r="G569" t="s">
        <v>232</v>
      </c>
      <c r="H569" t="s">
        <v>1044</v>
      </c>
      <c r="I569">
        <v>220</v>
      </c>
      <c r="J569">
        <v>16</v>
      </c>
      <c r="K569">
        <f t="shared" si="34"/>
        <v>7.2727272727272725</v>
      </c>
      <c r="L569" t="s">
        <v>1742</v>
      </c>
      <c r="M569" t="s">
        <v>3676</v>
      </c>
      <c r="N569" t="s">
        <v>1</v>
      </c>
      <c r="O569">
        <v>400059</v>
      </c>
      <c r="P569" t="s">
        <v>546</v>
      </c>
      <c r="Q569" t="s">
        <v>1764</v>
      </c>
      <c r="S569">
        <v>81.087999999999994</v>
      </c>
      <c r="T569">
        <v>7</v>
      </c>
      <c r="U569">
        <v>0.2</v>
      </c>
      <c r="V569">
        <v>27.3672</v>
      </c>
      <c r="W569">
        <f t="shared" si="35"/>
        <v>7.6743999999999994</v>
      </c>
      <c r="X569">
        <v>4</v>
      </c>
    </row>
    <row r="570" spans="1:24" x14ac:dyDescent="0.3">
      <c r="A570">
        <v>569</v>
      </c>
      <c r="B570" t="s">
        <v>2341</v>
      </c>
      <c r="C570" s="6">
        <v>44765</v>
      </c>
      <c r="D570" t="str">
        <f t="shared" si="32"/>
        <v>Jul</v>
      </c>
      <c r="E570" t="str">
        <f t="shared" si="33"/>
        <v>2022</v>
      </c>
      <c r="F570" t="s">
        <v>4</v>
      </c>
      <c r="G570" t="s">
        <v>232</v>
      </c>
      <c r="H570" t="s">
        <v>1045</v>
      </c>
      <c r="I570">
        <v>180</v>
      </c>
      <c r="J570">
        <v>10</v>
      </c>
      <c r="K570">
        <f t="shared" si="34"/>
        <v>5.5555555555555554</v>
      </c>
      <c r="L570" t="s">
        <v>1739</v>
      </c>
      <c r="M570" t="s">
        <v>3677</v>
      </c>
      <c r="O570">
        <v>500015</v>
      </c>
      <c r="P570" t="s">
        <v>546</v>
      </c>
      <c r="Q570" t="s">
        <v>1768</v>
      </c>
      <c r="S570">
        <v>19.440000000000001</v>
      </c>
      <c r="T570">
        <v>3</v>
      </c>
      <c r="U570">
        <v>0.1</v>
      </c>
      <c r="V570">
        <v>9.3312000000000008</v>
      </c>
      <c r="W570">
        <f t="shared" si="35"/>
        <v>3.3696000000000002</v>
      </c>
      <c r="X570">
        <v>5</v>
      </c>
    </row>
    <row r="571" spans="1:24" x14ac:dyDescent="0.3">
      <c r="A571">
        <v>570</v>
      </c>
      <c r="B571" t="s">
        <v>2342</v>
      </c>
      <c r="C571" s="6">
        <v>44766</v>
      </c>
      <c r="D571" t="str">
        <f t="shared" si="32"/>
        <v>Jul</v>
      </c>
      <c r="E571" t="str">
        <f t="shared" si="33"/>
        <v>2022</v>
      </c>
      <c r="F571" t="s">
        <v>4</v>
      </c>
      <c r="G571" t="s">
        <v>232</v>
      </c>
      <c r="H571" t="s">
        <v>1046</v>
      </c>
      <c r="I571">
        <v>120</v>
      </c>
      <c r="J571">
        <v>30</v>
      </c>
      <c r="K571">
        <f t="shared" si="34"/>
        <v>25</v>
      </c>
      <c r="L571" t="s">
        <v>1738</v>
      </c>
      <c r="M571" t="s">
        <v>3678</v>
      </c>
      <c r="N571" t="s">
        <v>1</v>
      </c>
      <c r="O571">
        <v>263139</v>
      </c>
      <c r="P571" t="s">
        <v>546</v>
      </c>
      <c r="Q571" t="s">
        <v>1765</v>
      </c>
      <c r="S571">
        <v>451.15199999999999</v>
      </c>
      <c r="T571">
        <v>3</v>
      </c>
      <c r="U571">
        <v>0.2</v>
      </c>
      <c r="V571">
        <v>0.1</v>
      </c>
      <c r="W571">
        <f t="shared" si="35"/>
        <v>150.35066666666665</v>
      </c>
      <c r="X571">
        <v>5</v>
      </c>
    </row>
    <row r="572" spans="1:24" x14ac:dyDescent="0.3">
      <c r="A572">
        <v>571</v>
      </c>
      <c r="B572" t="s">
        <v>2343</v>
      </c>
      <c r="C572" s="6">
        <v>44767</v>
      </c>
      <c r="D572" t="str">
        <f t="shared" si="32"/>
        <v>Jul</v>
      </c>
      <c r="E572" t="str">
        <f t="shared" si="33"/>
        <v>2022</v>
      </c>
      <c r="F572" t="s">
        <v>4</v>
      </c>
      <c r="G572" t="s">
        <v>233</v>
      </c>
      <c r="H572" t="s">
        <v>1035</v>
      </c>
      <c r="I572">
        <v>170</v>
      </c>
      <c r="J572">
        <v>22</v>
      </c>
      <c r="K572">
        <f t="shared" si="34"/>
        <v>12.941176470588237</v>
      </c>
      <c r="L572" t="s">
        <v>1737</v>
      </c>
      <c r="M572" t="s">
        <v>3679</v>
      </c>
      <c r="N572" t="s">
        <v>1</v>
      </c>
      <c r="O572">
        <v>680687</v>
      </c>
      <c r="P572" t="s">
        <v>546</v>
      </c>
      <c r="Q572" t="s">
        <v>1755</v>
      </c>
      <c r="S572">
        <v>72.45</v>
      </c>
      <c r="T572">
        <v>7</v>
      </c>
      <c r="U572">
        <v>0.1</v>
      </c>
      <c r="V572">
        <v>34.776000000000003</v>
      </c>
      <c r="W572">
        <f t="shared" si="35"/>
        <v>5.3819999999999997</v>
      </c>
      <c r="X572">
        <v>5</v>
      </c>
    </row>
    <row r="573" spans="1:24" x14ac:dyDescent="0.3">
      <c r="A573">
        <v>572</v>
      </c>
      <c r="B573" t="s">
        <v>2344</v>
      </c>
      <c r="C573" s="6">
        <v>44768</v>
      </c>
      <c r="D573" t="str">
        <f t="shared" si="32"/>
        <v>Jul</v>
      </c>
      <c r="E573" t="str">
        <f t="shared" si="33"/>
        <v>2022</v>
      </c>
      <c r="F573" t="s">
        <v>4</v>
      </c>
      <c r="G573" t="s">
        <v>233</v>
      </c>
      <c r="H573" t="s">
        <v>750</v>
      </c>
      <c r="I573">
        <v>170</v>
      </c>
      <c r="J573">
        <v>26</v>
      </c>
      <c r="K573">
        <f t="shared" si="34"/>
        <v>15.294117647058824</v>
      </c>
      <c r="L573" t="s">
        <v>1743</v>
      </c>
      <c r="M573" t="s">
        <v>3680</v>
      </c>
      <c r="N573" t="s">
        <v>1</v>
      </c>
      <c r="O573">
        <v>400008</v>
      </c>
      <c r="P573" t="s">
        <v>546</v>
      </c>
      <c r="Q573" t="s">
        <v>1755</v>
      </c>
      <c r="S573">
        <v>13.96</v>
      </c>
      <c r="T573">
        <v>4</v>
      </c>
      <c r="U573">
        <v>0.1</v>
      </c>
      <c r="V573">
        <v>6.4215999999999998</v>
      </c>
      <c r="W573">
        <f t="shared" si="35"/>
        <v>1.8846000000000003</v>
      </c>
      <c r="X573">
        <v>3</v>
      </c>
    </row>
    <row r="574" spans="1:24" x14ac:dyDescent="0.3">
      <c r="A574">
        <v>573</v>
      </c>
      <c r="B574" t="s">
        <v>2345</v>
      </c>
      <c r="C574" s="6">
        <v>44769</v>
      </c>
      <c r="D574" t="str">
        <f t="shared" si="32"/>
        <v>Jul</v>
      </c>
      <c r="E574" t="str">
        <f t="shared" si="33"/>
        <v>2022</v>
      </c>
      <c r="F574" t="s">
        <v>4</v>
      </c>
      <c r="G574" t="s">
        <v>233</v>
      </c>
      <c r="H574" t="s">
        <v>852</v>
      </c>
      <c r="I574">
        <v>210</v>
      </c>
      <c r="J574">
        <v>12</v>
      </c>
      <c r="K574">
        <f t="shared" si="34"/>
        <v>5.7142857142857144</v>
      </c>
      <c r="L574" t="s">
        <v>1738</v>
      </c>
      <c r="M574" t="s">
        <v>3681</v>
      </c>
      <c r="N574" t="s">
        <v>1</v>
      </c>
      <c r="O574">
        <v>415612</v>
      </c>
      <c r="P574" t="s">
        <v>546</v>
      </c>
      <c r="Q574" t="s">
        <v>1760</v>
      </c>
      <c r="S574">
        <v>33.264000000000003</v>
      </c>
      <c r="T574">
        <v>7</v>
      </c>
      <c r="U574">
        <v>0.2</v>
      </c>
      <c r="V574">
        <v>11.226599999999999</v>
      </c>
      <c r="W574">
        <f t="shared" si="35"/>
        <v>3.1482000000000006</v>
      </c>
      <c r="X574">
        <v>4</v>
      </c>
    </row>
    <row r="575" spans="1:24" x14ac:dyDescent="0.3">
      <c r="A575">
        <v>574</v>
      </c>
      <c r="B575" t="s">
        <v>2346</v>
      </c>
      <c r="C575" s="6">
        <v>44770</v>
      </c>
      <c r="D575" t="str">
        <f t="shared" si="32"/>
        <v>Jul</v>
      </c>
      <c r="E575" t="str">
        <f t="shared" si="33"/>
        <v>2022</v>
      </c>
      <c r="F575" t="s">
        <v>4</v>
      </c>
      <c r="G575" t="s">
        <v>233</v>
      </c>
      <c r="H575" t="s">
        <v>1047</v>
      </c>
      <c r="I575">
        <v>170</v>
      </c>
      <c r="J575">
        <v>20</v>
      </c>
      <c r="K575">
        <f t="shared" si="34"/>
        <v>11.76470588235294</v>
      </c>
      <c r="L575" t="s">
        <v>1739</v>
      </c>
      <c r="M575" t="s">
        <v>3682</v>
      </c>
      <c r="N575" t="s">
        <v>1</v>
      </c>
      <c r="O575">
        <v>800001</v>
      </c>
      <c r="P575" t="s">
        <v>546</v>
      </c>
      <c r="Q575" t="s">
        <v>1770</v>
      </c>
      <c r="S575">
        <v>14.85</v>
      </c>
      <c r="T575">
        <v>3</v>
      </c>
      <c r="U575">
        <v>0.1</v>
      </c>
      <c r="V575">
        <v>4.0095000000000001</v>
      </c>
      <c r="W575">
        <f t="shared" si="35"/>
        <v>3.6134999999999997</v>
      </c>
      <c r="X575">
        <v>5</v>
      </c>
    </row>
    <row r="576" spans="1:24" x14ac:dyDescent="0.3">
      <c r="A576">
        <v>575</v>
      </c>
      <c r="B576" t="s">
        <v>2347</v>
      </c>
      <c r="C576" s="6">
        <v>44771</v>
      </c>
      <c r="D576" t="str">
        <f t="shared" si="32"/>
        <v>Jul</v>
      </c>
      <c r="E576" t="str">
        <f t="shared" si="33"/>
        <v>2022</v>
      </c>
      <c r="F576" t="s">
        <v>4</v>
      </c>
      <c r="G576" t="s">
        <v>234</v>
      </c>
      <c r="H576" t="s">
        <v>1048</v>
      </c>
      <c r="I576">
        <v>210</v>
      </c>
      <c r="J576">
        <v>24</v>
      </c>
      <c r="K576">
        <f t="shared" si="34"/>
        <v>11.428571428571429</v>
      </c>
      <c r="L576" t="s">
        <v>1741</v>
      </c>
      <c r="M576" t="s">
        <v>3683</v>
      </c>
      <c r="N576" t="s">
        <v>1</v>
      </c>
      <c r="O576">
        <v>560093</v>
      </c>
      <c r="P576" t="s">
        <v>546</v>
      </c>
      <c r="Q576" t="s">
        <v>1765</v>
      </c>
      <c r="S576">
        <v>8.82</v>
      </c>
      <c r="T576">
        <v>3</v>
      </c>
      <c r="U576">
        <v>0.1</v>
      </c>
      <c r="V576">
        <v>2.3814000000000002</v>
      </c>
      <c r="W576">
        <f t="shared" si="35"/>
        <v>2.1461999999999999</v>
      </c>
      <c r="X576">
        <v>1</v>
      </c>
    </row>
    <row r="577" spans="1:24" x14ac:dyDescent="0.3">
      <c r="A577">
        <v>576</v>
      </c>
      <c r="B577" t="s">
        <v>2348</v>
      </c>
      <c r="C577" s="6">
        <v>44772</v>
      </c>
      <c r="D577" t="str">
        <f t="shared" si="32"/>
        <v>Jul</v>
      </c>
      <c r="E577" t="str">
        <f t="shared" si="33"/>
        <v>2022</v>
      </c>
      <c r="F577" t="s">
        <v>3</v>
      </c>
      <c r="G577" t="s">
        <v>235</v>
      </c>
      <c r="H577" t="s">
        <v>1043</v>
      </c>
      <c r="I577">
        <v>220</v>
      </c>
      <c r="J577">
        <v>18</v>
      </c>
      <c r="K577">
        <f t="shared" si="34"/>
        <v>8.1818181818181817</v>
      </c>
      <c r="L577" t="s">
        <v>1736</v>
      </c>
      <c r="M577" t="s">
        <v>3684</v>
      </c>
      <c r="O577">
        <v>263139</v>
      </c>
      <c r="P577" t="s">
        <v>546</v>
      </c>
      <c r="Q577" t="s">
        <v>1774</v>
      </c>
      <c r="S577">
        <v>160.72</v>
      </c>
      <c r="T577">
        <v>14</v>
      </c>
      <c r="U577">
        <v>0.1</v>
      </c>
      <c r="V577">
        <v>78.752799999999993</v>
      </c>
      <c r="W577">
        <f t="shared" si="35"/>
        <v>5.8548</v>
      </c>
      <c r="X577">
        <v>3</v>
      </c>
    </row>
    <row r="578" spans="1:24" x14ac:dyDescent="0.3">
      <c r="A578">
        <v>577</v>
      </c>
      <c r="B578" t="s">
        <v>2349</v>
      </c>
      <c r="C578" s="6">
        <v>44773</v>
      </c>
      <c r="D578" t="str">
        <f t="shared" si="32"/>
        <v>Jul</v>
      </c>
      <c r="E578" t="str">
        <f t="shared" si="33"/>
        <v>2022</v>
      </c>
      <c r="F578" t="s">
        <v>3</v>
      </c>
      <c r="G578" t="s">
        <v>235</v>
      </c>
      <c r="H578" t="s">
        <v>1049</v>
      </c>
      <c r="I578">
        <v>130</v>
      </c>
      <c r="J578">
        <v>16</v>
      </c>
      <c r="K578">
        <f t="shared" si="34"/>
        <v>12.307692307692308</v>
      </c>
      <c r="L578" t="s">
        <v>1744</v>
      </c>
      <c r="M578" t="s">
        <v>3685</v>
      </c>
      <c r="N578" t="s">
        <v>1</v>
      </c>
      <c r="O578">
        <v>620001</v>
      </c>
      <c r="P578" t="s">
        <v>546</v>
      </c>
      <c r="Q578" t="s">
        <v>1755</v>
      </c>
      <c r="S578">
        <v>19.920000000000002</v>
      </c>
      <c r="T578">
        <v>4</v>
      </c>
      <c r="U578">
        <v>0.1</v>
      </c>
      <c r="V578">
        <v>9.7607999999999997</v>
      </c>
      <c r="W578">
        <f t="shared" si="35"/>
        <v>2.5398000000000005</v>
      </c>
      <c r="X578">
        <v>1</v>
      </c>
    </row>
    <row r="579" spans="1:24" x14ac:dyDescent="0.3">
      <c r="A579">
        <v>578</v>
      </c>
      <c r="B579" t="s">
        <v>2350</v>
      </c>
      <c r="C579" s="6">
        <v>44774</v>
      </c>
      <c r="D579" t="str">
        <f t="shared" ref="D579:D642" si="36">TEXT(C579,"Mmm")</f>
        <v>Aug</v>
      </c>
      <c r="E579" t="str">
        <f t="shared" ref="E579:E642" si="37">TEXT(C579,"YYYY")</f>
        <v>2022</v>
      </c>
      <c r="F579" t="s">
        <v>3</v>
      </c>
      <c r="G579" t="s">
        <v>235</v>
      </c>
      <c r="H579" t="s">
        <v>1050</v>
      </c>
      <c r="I579">
        <v>120</v>
      </c>
      <c r="J579">
        <v>26</v>
      </c>
      <c r="K579">
        <f t="shared" ref="K579:K642" si="38">(J579/I579)*100</f>
        <v>21.666666666666668</v>
      </c>
      <c r="L579" t="s">
        <v>1740</v>
      </c>
      <c r="M579" t="s">
        <v>3686</v>
      </c>
      <c r="N579" t="s">
        <v>1</v>
      </c>
      <c r="O579">
        <v>181131</v>
      </c>
      <c r="P579" t="s">
        <v>546</v>
      </c>
      <c r="Q579" t="s">
        <v>1754</v>
      </c>
      <c r="S579">
        <v>7.3</v>
      </c>
      <c r="T579">
        <v>2</v>
      </c>
      <c r="U579">
        <v>0.1</v>
      </c>
      <c r="V579">
        <v>2.19</v>
      </c>
      <c r="W579">
        <f t="shared" ref="W579:W642" si="39">(S579-V579)/T579</f>
        <v>2.5549999999999997</v>
      </c>
      <c r="X579">
        <v>1</v>
      </c>
    </row>
    <row r="580" spans="1:24" x14ac:dyDescent="0.3">
      <c r="A580">
        <v>579</v>
      </c>
      <c r="B580" t="s">
        <v>2351</v>
      </c>
      <c r="C580" s="6">
        <v>44775</v>
      </c>
      <c r="D580" t="str">
        <f t="shared" si="36"/>
        <v>Aug</v>
      </c>
      <c r="E580" t="str">
        <f t="shared" si="37"/>
        <v>2022</v>
      </c>
      <c r="F580" t="s">
        <v>4</v>
      </c>
      <c r="G580" t="s">
        <v>236</v>
      </c>
      <c r="H580" t="s">
        <v>670</v>
      </c>
      <c r="I580">
        <v>150</v>
      </c>
      <c r="J580">
        <v>24</v>
      </c>
      <c r="K580">
        <f t="shared" si="38"/>
        <v>16</v>
      </c>
      <c r="L580" t="s">
        <v>1742</v>
      </c>
      <c r="M580" t="s">
        <v>3687</v>
      </c>
      <c r="N580" t="s">
        <v>1</v>
      </c>
      <c r="O580">
        <v>831004</v>
      </c>
      <c r="P580" t="s">
        <v>546</v>
      </c>
      <c r="Q580" t="s">
        <v>1758</v>
      </c>
      <c r="S580">
        <v>69.712000000000003</v>
      </c>
      <c r="T580">
        <v>2</v>
      </c>
      <c r="U580">
        <v>0.2</v>
      </c>
      <c r="V580">
        <v>8.7140000000000004</v>
      </c>
      <c r="W580">
        <f t="shared" si="39"/>
        <v>30.499000000000002</v>
      </c>
      <c r="X580">
        <v>3</v>
      </c>
    </row>
    <row r="581" spans="1:24" x14ac:dyDescent="0.3">
      <c r="A581">
        <v>580</v>
      </c>
      <c r="B581" t="s">
        <v>2352</v>
      </c>
      <c r="C581" s="6">
        <v>44776</v>
      </c>
      <c r="D581" t="str">
        <f t="shared" si="36"/>
        <v>Aug</v>
      </c>
      <c r="E581" t="str">
        <f t="shared" si="37"/>
        <v>2022</v>
      </c>
      <c r="F581" t="s">
        <v>4</v>
      </c>
      <c r="G581" t="s">
        <v>236</v>
      </c>
      <c r="H581" t="s">
        <v>1051</v>
      </c>
      <c r="I581">
        <v>150</v>
      </c>
      <c r="J581">
        <v>12</v>
      </c>
      <c r="K581">
        <f t="shared" si="38"/>
        <v>8</v>
      </c>
      <c r="L581" t="s">
        <v>1739</v>
      </c>
      <c r="M581" t="s">
        <v>3688</v>
      </c>
      <c r="N581" t="s">
        <v>1</v>
      </c>
      <c r="O581">
        <v>600106</v>
      </c>
      <c r="P581" t="s">
        <v>546</v>
      </c>
      <c r="Q581" t="s">
        <v>1758</v>
      </c>
      <c r="S581">
        <v>8.7919999999999998</v>
      </c>
      <c r="T581">
        <v>1</v>
      </c>
      <c r="U581">
        <v>0.6</v>
      </c>
      <c r="V581">
        <v>-5.7148000000000003</v>
      </c>
      <c r="W581">
        <f t="shared" si="39"/>
        <v>14.5068</v>
      </c>
      <c r="X581">
        <v>3</v>
      </c>
    </row>
    <row r="582" spans="1:24" x14ac:dyDescent="0.3">
      <c r="A582">
        <v>581</v>
      </c>
      <c r="B582" t="s">
        <v>2353</v>
      </c>
      <c r="C582" s="6">
        <v>44777</v>
      </c>
      <c r="D582" t="str">
        <f t="shared" si="36"/>
        <v>Aug</v>
      </c>
      <c r="E582" t="str">
        <f t="shared" si="37"/>
        <v>2022</v>
      </c>
      <c r="F582" t="s">
        <v>4</v>
      </c>
      <c r="G582" t="s">
        <v>237</v>
      </c>
      <c r="H582" t="s">
        <v>1052</v>
      </c>
      <c r="I582">
        <v>250</v>
      </c>
      <c r="J582">
        <v>26</v>
      </c>
      <c r="K582">
        <f t="shared" si="38"/>
        <v>10.4</v>
      </c>
      <c r="L582" t="s">
        <v>1738</v>
      </c>
      <c r="M582" t="s">
        <v>3689</v>
      </c>
      <c r="N582" t="s">
        <v>1</v>
      </c>
      <c r="O582">
        <v>831004</v>
      </c>
      <c r="P582" t="s">
        <v>546</v>
      </c>
      <c r="Q582" t="s">
        <v>1768</v>
      </c>
      <c r="S582">
        <v>51.52</v>
      </c>
      <c r="T582">
        <v>4</v>
      </c>
      <c r="U582">
        <v>0.1</v>
      </c>
      <c r="V582">
        <v>1.5456000000000001</v>
      </c>
      <c r="W582">
        <f t="shared" si="39"/>
        <v>12.493600000000001</v>
      </c>
      <c r="X582">
        <v>5</v>
      </c>
    </row>
    <row r="583" spans="1:24" x14ac:dyDescent="0.3">
      <c r="A583">
        <v>582</v>
      </c>
      <c r="B583" t="s">
        <v>2354</v>
      </c>
      <c r="C583" s="6">
        <v>44778</v>
      </c>
      <c r="D583" t="str">
        <f t="shared" si="36"/>
        <v>Aug</v>
      </c>
      <c r="E583" t="str">
        <f t="shared" si="37"/>
        <v>2022</v>
      </c>
      <c r="F583" t="s">
        <v>4</v>
      </c>
      <c r="G583" t="s">
        <v>238</v>
      </c>
      <c r="H583" t="s">
        <v>581</v>
      </c>
      <c r="I583">
        <v>230</v>
      </c>
      <c r="J583">
        <v>12</v>
      </c>
      <c r="K583">
        <f t="shared" si="38"/>
        <v>5.2173913043478262</v>
      </c>
      <c r="L583" t="s">
        <v>1743</v>
      </c>
      <c r="M583" t="s">
        <v>3690</v>
      </c>
      <c r="N583" t="s">
        <v>1</v>
      </c>
      <c r="O583">
        <v>226003</v>
      </c>
      <c r="P583" t="s">
        <v>546</v>
      </c>
      <c r="Q583" t="s">
        <v>1766</v>
      </c>
      <c r="S583">
        <v>470.37599999999998</v>
      </c>
      <c r="T583">
        <v>3</v>
      </c>
      <c r="U583">
        <v>0.2</v>
      </c>
      <c r="V583">
        <v>52.917299999999997</v>
      </c>
      <c r="W583">
        <f t="shared" si="39"/>
        <v>139.15289999999999</v>
      </c>
      <c r="X583">
        <v>5</v>
      </c>
    </row>
    <row r="584" spans="1:24" x14ac:dyDescent="0.3">
      <c r="A584">
        <v>583</v>
      </c>
      <c r="B584" t="s">
        <v>2355</v>
      </c>
      <c r="C584" s="6">
        <v>44779</v>
      </c>
      <c r="D584" t="str">
        <f t="shared" si="36"/>
        <v>Aug</v>
      </c>
      <c r="E584" t="str">
        <f t="shared" si="37"/>
        <v>2022</v>
      </c>
      <c r="F584" t="s">
        <v>4</v>
      </c>
      <c r="G584" t="s">
        <v>238</v>
      </c>
      <c r="H584" t="s">
        <v>1053</v>
      </c>
      <c r="I584">
        <v>190</v>
      </c>
      <c r="J584">
        <v>28</v>
      </c>
      <c r="K584">
        <f t="shared" si="38"/>
        <v>14.736842105263156</v>
      </c>
      <c r="L584" t="s">
        <v>1737</v>
      </c>
      <c r="M584" t="s">
        <v>3691</v>
      </c>
      <c r="N584" t="s">
        <v>1</v>
      </c>
      <c r="O584">
        <v>627358</v>
      </c>
      <c r="P584" t="s">
        <v>546</v>
      </c>
      <c r="Q584" t="s">
        <v>1759</v>
      </c>
      <c r="S584">
        <v>105.584</v>
      </c>
      <c r="T584">
        <v>2</v>
      </c>
      <c r="U584">
        <v>0.2</v>
      </c>
      <c r="V584">
        <v>9.2385999999999999</v>
      </c>
      <c r="W584">
        <f t="shared" si="39"/>
        <v>48.172699999999999</v>
      </c>
      <c r="X584">
        <v>5</v>
      </c>
    </row>
    <row r="585" spans="1:24" x14ac:dyDescent="0.3">
      <c r="A585">
        <v>584</v>
      </c>
      <c r="B585" t="s">
        <v>2356</v>
      </c>
      <c r="C585" s="6">
        <v>44780</v>
      </c>
      <c r="D585" t="str">
        <f t="shared" si="36"/>
        <v>Aug</v>
      </c>
      <c r="E585" t="str">
        <f t="shared" si="37"/>
        <v>2022</v>
      </c>
      <c r="F585" t="s">
        <v>4</v>
      </c>
      <c r="G585" t="s">
        <v>238</v>
      </c>
      <c r="H585" t="s">
        <v>642</v>
      </c>
      <c r="I585">
        <v>120</v>
      </c>
      <c r="J585">
        <v>6</v>
      </c>
      <c r="K585">
        <f t="shared" si="38"/>
        <v>5</v>
      </c>
      <c r="L585" t="s">
        <v>1741</v>
      </c>
      <c r="M585" t="s">
        <v>3692</v>
      </c>
      <c r="N585" t="s">
        <v>1</v>
      </c>
      <c r="O585">
        <v>400091</v>
      </c>
      <c r="P585" t="s">
        <v>546</v>
      </c>
      <c r="Q585" t="s">
        <v>1755</v>
      </c>
      <c r="R585" t="s">
        <v>2</v>
      </c>
      <c r="S585">
        <v>31.152000000000001</v>
      </c>
      <c r="T585">
        <v>3</v>
      </c>
      <c r="U585">
        <v>0.2</v>
      </c>
      <c r="V585">
        <v>3.5045999999999999</v>
      </c>
      <c r="W585">
        <f t="shared" si="39"/>
        <v>9.2157999999999998</v>
      </c>
      <c r="X585">
        <v>5</v>
      </c>
    </row>
    <row r="586" spans="1:24" x14ac:dyDescent="0.3">
      <c r="A586">
        <v>585</v>
      </c>
      <c r="B586" t="s">
        <v>2357</v>
      </c>
      <c r="C586" s="6">
        <v>44781</v>
      </c>
      <c r="D586" t="str">
        <f t="shared" si="36"/>
        <v>Aug</v>
      </c>
      <c r="E586" t="str">
        <f t="shared" si="37"/>
        <v>2022</v>
      </c>
      <c r="F586" t="s">
        <v>4</v>
      </c>
      <c r="G586" t="s">
        <v>238</v>
      </c>
      <c r="H586" t="s">
        <v>1054</v>
      </c>
      <c r="I586">
        <v>110</v>
      </c>
      <c r="J586">
        <v>22</v>
      </c>
      <c r="K586">
        <f t="shared" si="38"/>
        <v>20</v>
      </c>
      <c r="L586" t="s">
        <v>1736</v>
      </c>
      <c r="M586" t="s">
        <v>3693</v>
      </c>
      <c r="N586" t="s">
        <v>1</v>
      </c>
      <c r="O586">
        <v>831004</v>
      </c>
      <c r="P586" t="s">
        <v>546</v>
      </c>
      <c r="Q586" t="s">
        <v>1764</v>
      </c>
      <c r="S586">
        <v>6.7830000000000004</v>
      </c>
      <c r="T586">
        <v>7</v>
      </c>
      <c r="U586">
        <v>0.7</v>
      </c>
      <c r="V586">
        <v>-4.7481</v>
      </c>
      <c r="W586">
        <f t="shared" si="39"/>
        <v>1.6473</v>
      </c>
      <c r="X586">
        <v>5</v>
      </c>
    </row>
    <row r="587" spans="1:24" x14ac:dyDescent="0.3">
      <c r="A587">
        <v>586</v>
      </c>
      <c r="B587" t="s">
        <v>2358</v>
      </c>
      <c r="C587" s="6">
        <v>44782</v>
      </c>
      <c r="D587" t="str">
        <f t="shared" si="36"/>
        <v>Aug</v>
      </c>
      <c r="E587" t="str">
        <f t="shared" si="37"/>
        <v>2022</v>
      </c>
      <c r="F587" t="s">
        <v>4</v>
      </c>
      <c r="G587" t="s">
        <v>238</v>
      </c>
      <c r="H587" t="s">
        <v>690</v>
      </c>
      <c r="I587">
        <v>110</v>
      </c>
      <c r="J587">
        <v>18</v>
      </c>
      <c r="K587">
        <f t="shared" si="38"/>
        <v>16.363636363636363</v>
      </c>
      <c r="L587" t="s">
        <v>1744</v>
      </c>
      <c r="M587" t="s">
        <v>3694</v>
      </c>
      <c r="O587">
        <v>249201</v>
      </c>
      <c r="P587" t="s">
        <v>546</v>
      </c>
      <c r="Q587" t="s">
        <v>1763</v>
      </c>
      <c r="S587">
        <v>406.36799999999999</v>
      </c>
      <c r="T587">
        <v>4</v>
      </c>
      <c r="U587">
        <v>0.2</v>
      </c>
      <c r="V587">
        <v>30.477599999999999</v>
      </c>
      <c r="W587">
        <f t="shared" si="39"/>
        <v>93.9726</v>
      </c>
      <c r="X587">
        <v>1</v>
      </c>
    </row>
    <row r="588" spans="1:24" x14ac:dyDescent="0.3">
      <c r="A588">
        <v>587</v>
      </c>
      <c r="B588" t="s">
        <v>2359</v>
      </c>
      <c r="C588" s="6">
        <v>44783</v>
      </c>
      <c r="D588" t="str">
        <f t="shared" si="36"/>
        <v>Aug</v>
      </c>
      <c r="E588" t="str">
        <f t="shared" si="37"/>
        <v>2022</v>
      </c>
      <c r="F588" t="s">
        <v>4</v>
      </c>
      <c r="G588" t="s">
        <v>239</v>
      </c>
      <c r="H588" t="s">
        <v>914</v>
      </c>
      <c r="I588">
        <v>140</v>
      </c>
      <c r="J588">
        <v>8</v>
      </c>
      <c r="K588">
        <f t="shared" si="38"/>
        <v>5.7142857142857144</v>
      </c>
      <c r="L588" t="s">
        <v>1740</v>
      </c>
      <c r="M588" t="s">
        <v>3695</v>
      </c>
      <c r="O588">
        <v>249201</v>
      </c>
      <c r="P588" t="s">
        <v>546</v>
      </c>
      <c r="Q588" t="s">
        <v>1761</v>
      </c>
      <c r="S588">
        <v>70.98</v>
      </c>
      <c r="T588">
        <v>1</v>
      </c>
      <c r="U588">
        <v>0.1</v>
      </c>
      <c r="V588">
        <v>4.9686000000000003</v>
      </c>
      <c r="W588">
        <f t="shared" si="39"/>
        <v>66.011400000000009</v>
      </c>
      <c r="X588">
        <v>2</v>
      </c>
    </row>
    <row r="589" spans="1:24" x14ac:dyDescent="0.3">
      <c r="A589">
        <v>588</v>
      </c>
      <c r="B589" t="s">
        <v>2360</v>
      </c>
      <c r="C589" s="6">
        <v>44784</v>
      </c>
      <c r="D589" t="str">
        <f t="shared" si="36"/>
        <v>Aug</v>
      </c>
      <c r="E589" t="str">
        <f t="shared" si="37"/>
        <v>2022</v>
      </c>
      <c r="F589" t="s">
        <v>4</v>
      </c>
      <c r="G589" t="s">
        <v>239</v>
      </c>
      <c r="H589" t="s">
        <v>1055</v>
      </c>
      <c r="I589">
        <v>220</v>
      </c>
      <c r="J589">
        <v>30</v>
      </c>
      <c r="K589">
        <f t="shared" si="38"/>
        <v>13.636363636363635</v>
      </c>
      <c r="L589" t="s">
        <v>1742</v>
      </c>
      <c r="M589" t="s">
        <v>3696</v>
      </c>
      <c r="O589">
        <v>249201</v>
      </c>
      <c r="P589" t="s">
        <v>546</v>
      </c>
      <c r="Q589" t="s">
        <v>1767</v>
      </c>
      <c r="R589" t="s">
        <v>2</v>
      </c>
      <c r="S589">
        <v>294.93</v>
      </c>
      <c r="T589">
        <v>3</v>
      </c>
      <c r="U589">
        <v>0.1</v>
      </c>
      <c r="V589">
        <v>144.51570000000001</v>
      </c>
      <c r="W589">
        <f t="shared" si="39"/>
        <v>50.138100000000001</v>
      </c>
      <c r="X589">
        <v>5</v>
      </c>
    </row>
    <row r="590" spans="1:24" x14ac:dyDescent="0.3">
      <c r="A590">
        <v>589</v>
      </c>
      <c r="B590" t="s">
        <v>2361</v>
      </c>
      <c r="C590" s="6">
        <v>44785</v>
      </c>
      <c r="D590" t="str">
        <f t="shared" si="36"/>
        <v>Aug</v>
      </c>
      <c r="E590" t="str">
        <f t="shared" si="37"/>
        <v>2022</v>
      </c>
      <c r="F590" t="s">
        <v>4</v>
      </c>
      <c r="G590" t="s">
        <v>240</v>
      </c>
      <c r="H590" t="s">
        <v>1056</v>
      </c>
      <c r="I590">
        <v>230</v>
      </c>
      <c r="J590">
        <v>10</v>
      </c>
      <c r="K590">
        <f t="shared" si="38"/>
        <v>4.3478260869565215</v>
      </c>
      <c r="L590" t="s">
        <v>1739</v>
      </c>
      <c r="M590" t="s">
        <v>3697</v>
      </c>
      <c r="N590" t="s">
        <v>1</v>
      </c>
      <c r="O590">
        <v>396125</v>
      </c>
      <c r="P590" t="s">
        <v>546</v>
      </c>
      <c r="Q590" t="s">
        <v>1759</v>
      </c>
      <c r="S590">
        <v>84.784000000000006</v>
      </c>
      <c r="T590">
        <v>2</v>
      </c>
      <c r="U590">
        <v>0.2</v>
      </c>
      <c r="V590">
        <v>-20.136199999999999</v>
      </c>
      <c r="W590">
        <f t="shared" si="39"/>
        <v>52.460100000000004</v>
      </c>
      <c r="X590">
        <v>5</v>
      </c>
    </row>
    <row r="591" spans="1:24" x14ac:dyDescent="0.3">
      <c r="A591">
        <v>590</v>
      </c>
      <c r="B591" t="s">
        <v>2362</v>
      </c>
      <c r="C591" s="6">
        <v>44786</v>
      </c>
      <c r="D591" t="str">
        <f t="shared" si="36"/>
        <v>Aug</v>
      </c>
      <c r="E591" t="str">
        <f t="shared" si="37"/>
        <v>2022</v>
      </c>
      <c r="F591" t="s">
        <v>4</v>
      </c>
      <c r="G591" t="s">
        <v>240</v>
      </c>
      <c r="H591" t="s">
        <v>1057</v>
      </c>
      <c r="I591">
        <v>190</v>
      </c>
      <c r="J591">
        <v>12</v>
      </c>
      <c r="K591">
        <f t="shared" si="38"/>
        <v>6.3157894736842106</v>
      </c>
      <c r="L591" t="s">
        <v>1738</v>
      </c>
      <c r="M591" t="s">
        <v>3698</v>
      </c>
      <c r="N591" t="s">
        <v>1</v>
      </c>
      <c r="O591">
        <v>283202</v>
      </c>
      <c r="P591" t="s">
        <v>546</v>
      </c>
      <c r="Q591" t="s">
        <v>1770</v>
      </c>
      <c r="S591">
        <v>20.736000000000001</v>
      </c>
      <c r="T591">
        <v>4</v>
      </c>
      <c r="U591">
        <v>0.2</v>
      </c>
      <c r="V591">
        <v>7.2576000000000001</v>
      </c>
      <c r="W591">
        <f t="shared" si="39"/>
        <v>3.3696000000000002</v>
      </c>
      <c r="X591">
        <v>1</v>
      </c>
    </row>
    <row r="592" spans="1:24" x14ac:dyDescent="0.3">
      <c r="A592">
        <v>591</v>
      </c>
      <c r="B592" t="s">
        <v>2363</v>
      </c>
      <c r="C592" s="6">
        <v>44787</v>
      </c>
      <c r="D592" t="str">
        <f t="shared" si="36"/>
        <v>Aug</v>
      </c>
      <c r="E592" t="str">
        <f t="shared" si="37"/>
        <v>2022</v>
      </c>
      <c r="F592" t="s">
        <v>4</v>
      </c>
      <c r="G592" t="s">
        <v>240</v>
      </c>
      <c r="H592" t="s">
        <v>987</v>
      </c>
      <c r="I592">
        <v>210</v>
      </c>
      <c r="J592">
        <v>24</v>
      </c>
      <c r="K592">
        <f t="shared" si="38"/>
        <v>11.428571428571429</v>
      </c>
      <c r="L592" t="s">
        <v>1737</v>
      </c>
      <c r="M592" t="s">
        <v>3699</v>
      </c>
      <c r="N592" t="s">
        <v>1</v>
      </c>
      <c r="O592">
        <v>263139</v>
      </c>
      <c r="P592" t="s">
        <v>546</v>
      </c>
      <c r="Q592" t="s">
        <v>1767</v>
      </c>
      <c r="S592">
        <v>16.821000000000002</v>
      </c>
      <c r="T592">
        <v>3</v>
      </c>
      <c r="U592">
        <v>0.7</v>
      </c>
      <c r="V592">
        <v>-12.896100000000001</v>
      </c>
      <c r="W592">
        <f t="shared" si="39"/>
        <v>9.9057000000000013</v>
      </c>
      <c r="X592">
        <v>4</v>
      </c>
    </row>
    <row r="593" spans="1:24" x14ac:dyDescent="0.3">
      <c r="A593">
        <v>592</v>
      </c>
      <c r="B593" t="s">
        <v>2364</v>
      </c>
      <c r="C593" s="6">
        <v>44788</v>
      </c>
      <c r="D593" t="str">
        <f t="shared" si="36"/>
        <v>Aug</v>
      </c>
      <c r="E593" t="str">
        <f t="shared" si="37"/>
        <v>2022</v>
      </c>
      <c r="F593" t="s">
        <v>4</v>
      </c>
      <c r="G593" t="s">
        <v>240</v>
      </c>
      <c r="H593" t="s">
        <v>1058</v>
      </c>
      <c r="I593">
        <v>120</v>
      </c>
      <c r="J593">
        <v>18</v>
      </c>
      <c r="K593">
        <f t="shared" si="38"/>
        <v>15</v>
      </c>
      <c r="L593" t="s">
        <v>1743</v>
      </c>
      <c r="M593" t="s">
        <v>3700</v>
      </c>
      <c r="N593" t="s">
        <v>1</v>
      </c>
      <c r="O593">
        <v>560068</v>
      </c>
      <c r="P593" t="s">
        <v>546</v>
      </c>
      <c r="Q593" t="s">
        <v>1759</v>
      </c>
      <c r="S593">
        <v>10.368</v>
      </c>
      <c r="T593">
        <v>2</v>
      </c>
      <c r="U593">
        <v>0.2</v>
      </c>
      <c r="V593">
        <v>3.6288</v>
      </c>
      <c r="W593">
        <f t="shared" si="39"/>
        <v>3.3696000000000002</v>
      </c>
      <c r="X593">
        <v>5</v>
      </c>
    </row>
    <row r="594" spans="1:24" x14ac:dyDescent="0.3">
      <c r="A594">
        <v>593</v>
      </c>
      <c r="B594" t="s">
        <v>2365</v>
      </c>
      <c r="C594" s="6">
        <v>44789</v>
      </c>
      <c r="D594" t="str">
        <f t="shared" si="36"/>
        <v>Aug</v>
      </c>
      <c r="E594" t="str">
        <f t="shared" si="37"/>
        <v>2022</v>
      </c>
      <c r="F594" t="s">
        <v>4</v>
      </c>
      <c r="G594" t="s">
        <v>241</v>
      </c>
      <c r="H594" t="s">
        <v>1059</v>
      </c>
      <c r="I594">
        <v>160</v>
      </c>
      <c r="J594">
        <v>28</v>
      </c>
      <c r="K594">
        <f t="shared" si="38"/>
        <v>17.5</v>
      </c>
      <c r="L594" t="s">
        <v>1738</v>
      </c>
      <c r="M594" t="s">
        <v>3701</v>
      </c>
      <c r="N594" t="s">
        <v>1</v>
      </c>
      <c r="O594">
        <v>560086</v>
      </c>
      <c r="P594" t="s">
        <v>546</v>
      </c>
      <c r="Q594" t="s">
        <v>1759</v>
      </c>
      <c r="S594">
        <v>9.3439999999999994</v>
      </c>
      <c r="T594">
        <v>2</v>
      </c>
      <c r="U594">
        <v>0.2</v>
      </c>
      <c r="V594">
        <v>1.1679999999999999</v>
      </c>
      <c r="W594">
        <f t="shared" si="39"/>
        <v>4.0880000000000001</v>
      </c>
      <c r="X594">
        <v>4</v>
      </c>
    </row>
    <row r="595" spans="1:24" x14ac:dyDescent="0.3">
      <c r="A595">
        <v>594</v>
      </c>
      <c r="B595" t="s">
        <v>2366</v>
      </c>
      <c r="C595" s="6">
        <v>44790</v>
      </c>
      <c r="D595" t="str">
        <f t="shared" si="36"/>
        <v>Aug</v>
      </c>
      <c r="E595" t="str">
        <f t="shared" si="37"/>
        <v>2022</v>
      </c>
      <c r="F595" t="s">
        <v>4</v>
      </c>
      <c r="G595" t="s">
        <v>241</v>
      </c>
      <c r="H595" t="s">
        <v>744</v>
      </c>
      <c r="I595">
        <v>200</v>
      </c>
      <c r="J595">
        <v>20</v>
      </c>
      <c r="K595">
        <f t="shared" si="38"/>
        <v>10</v>
      </c>
      <c r="L595" t="s">
        <v>1739</v>
      </c>
      <c r="M595" t="s">
        <v>3617</v>
      </c>
      <c r="N595" t="s">
        <v>1</v>
      </c>
      <c r="O595">
        <v>560086</v>
      </c>
      <c r="P595" t="s">
        <v>546</v>
      </c>
      <c r="Q595" t="s">
        <v>1761</v>
      </c>
      <c r="R595" t="s">
        <v>2</v>
      </c>
      <c r="S595">
        <v>31.2</v>
      </c>
      <c r="T595">
        <v>3</v>
      </c>
      <c r="U595">
        <v>0.2</v>
      </c>
      <c r="V595">
        <v>9.75</v>
      </c>
      <c r="W595">
        <f t="shared" si="39"/>
        <v>7.1499999999999995</v>
      </c>
      <c r="X595">
        <v>2</v>
      </c>
    </row>
    <row r="596" spans="1:24" x14ac:dyDescent="0.3">
      <c r="A596">
        <v>595</v>
      </c>
      <c r="B596" t="s">
        <v>2367</v>
      </c>
      <c r="C596" s="6">
        <v>44791</v>
      </c>
      <c r="D596" t="str">
        <f t="shared" si="36"/>
        <v>Aug</v>
      </c>
      <c r="E596" t="str">
        <f t="shared" si="37"/>
        <v>2022</v>
      </c>
      <c r="F596" t="s">
        <v>4</v>
      </c>
      <c r="G596" t="s">
        <v>242</v>
      </c>
      <c r="H596" t="s">
        <v>1060</v>
      </c>
      <c r="I596">
        <v>160</v>
      </c>
      <c r="J596">
        <v>28</v>
      </c>
      <c r="K596">
        <f t="shared" si="38"/>
        <v>17.5</v>
      </c>
      <c r="L596" t="s">
        <v>1741</v>
      </c>
      <c r="M596" t="s">
        <v>3702</v>
      </c>
      <c r="N596" t="s">
        <v>1</v>
      </c>
      <c r="O596">
        <v>201309</v>
      </c>
      <c r="P596" t="s">
        <v>546</v>
      </c>
      <c r="Q596" t="s">
        <v>1774</v>
      </c>
      <c r="S596">
        <v>76.12</v>
      </c>
      <c r="T596">
        <v>2</v>
      </c>
      <c r="U596">
        <v>0.1</v>
      </c>
      <c r="V596">
        <v>22.0748</v>
      </c>
      <c r="W596">
        <f t="shared" si="39"/>
        <v>27.022600000000004</v>
      </c>
      <c r="X596">
        <v>3</v>
      </c>
    </row>
    <row r="597" spans="1:24" x14ac:dyDescent="0.3">
      <c r="A597">
        <v>596</v>
      </c>
      <c r="B597" t="s">
        <v>2368</v>
      </c>
      <c r="C597" s="6">
        <v>44792</v>
      </c>
      <c r="D597" t="str">
        <f t="shared" si="36"/>
        <v>Aug</v>
      </c>
      <c r="E597" t="str">
        <f t="shared" si="37"/>
        <v>2022</v>
      </c>
      <c r="F597" t="s">
        <v>4</v>
      </c>
      <c r="G597" t="s">
        <v>242</v>
      </c>
      <c r="H597" t="s">
        <v>908</v>
      </c>
      <c r="I597">
        <v>100</v>
      </c>
      <c r="J597">
        <v>28</v>
      </c>
      <c r="K597">
        <f t="shared" si="38"/>
        <v>28.000000000000004</v>
      </c>
      <c r="L597" t="s">
        <v>1736</v>
      </c>
      <c r="M597" t="s">
        <v>3703</v>
      </c>
      <c r="N597" t="s">
        <v>1</v>
      </c>
      <c r="O597">
        <v>473335</v>
      </c>
      <c r="P597" t="s">
        <v>546</v>
      </c>
      <c r="Q597" t="s">
        <v>1772</v>
      </c>
      <c r="S597">
        <v>1199.9760000000001</v>
      </c>
      <c r="T597">
        <v>3</v>
      </c>
      <c r="U597">
        <v>0.2</v>
      </c>
      <c r="V597">
        <v>434.99130000000002</v>
      </c>
      <c r="W597">
        <f t="shared" si="39"/>
        <v>254.99490000000003</v>
      </c>
      <c r="X597">
        <v>5</v>
      </c>
    </row>
    <row r="598" spans="1:24" x14ac:dyDescent="0.3">
      <c r="A598">
        <v>597</v>
      </c>
      <c r="B598" t="s">
        <v>2369</v>
      </c>
      <c r="C598" s="6">
        <v>44793</v>
      </c>
      <c r="D598" t="str">
        <f t="shared" si="36"/>
        <v>Aug</v>
      </c>
      <c r="E598" t="str">
        <f t="shared" si="37"/>
        <v>2022</v>
      </c>
      <c r="F598" t="s">
        <v>4</v>
      </c>
      <c r="G598" t="s">
        <v>242</v>
      </c>
      <c r="H598" t="s">
        <v>835</v>
      </c>
      <c r="I598">
        <v>140</v>
      </c>
      <c r="J598">
        <v>6</v>
      </c>
      <c r="K598">
        <f t="shared" si="38"/>
        <v>4.2857142857142856</v>
      </c>
      <c r="L598" t="s">
        <v>1744</v>
      </c>
      <c r="M598" t="s">
        <v>3704</v>
      </c>
      <c r="N598" t="s">
        <v>1</v>
      </c>
      <c r="O598">
        <v>422013</v>
      </c>
      <c r="P598" t="s">
        <v>546</v>
      </c>
      <c r="Q598" t="s">
        <v>1760</v>
      </c>
      <c r="S598">
        <v>445.96</v>
      </c>
      <c r="T598">
        <v>5</v>
      </c>
      <c r="U598">
        <v>0.2</v>
      </c>
      <c r="V598">
        <v>55.744999999999997</v>
      </c>
      <c r="W598">
        <f t="shared" si="39"/>
        <v>78.042999999999992</v>
      </c>
      <c r="X598">
        <v>5</v>
      </c>
    </row>
    <row r="599" spans="1:24" x14ac:dyDescent="0.3">
      <c r="A599">
        <v>598</v>
      </c>
      <c r="B599" t="s">
        <v>2370</v>
      </c>
      <c r="C599" s="6">
        <v>44794</v>
      </c>
      <c r="D599" t="str">
        <f t="shared" si="36"/>
        <v>Aug</v>
      </c>
      <c r="E599" t="str">
        <f t="shared" si="37"/>
        <v>2022</v>
      </c>
      <c r="F599" t="s">
        <v>4</v>
      </c>
      <c r="G599" t="s">
        <v>242</v>
      </c>
      <c r="H599" t="s">
        <v>1061</v>
      </c>
      <c r="I599">
        <v>220</v>
      </c>
      <c r="J599">
        <v>26</v>
      </c>
      <c r="K599">
        <f t="shared" si="38"/>
        <v>11.818181818181818</v>
      </c>
      <c r="L599" t="s">
        <v>1740</v>
      </c>
      <c r="M599" t="s">
        <v>3705</v>
      </c>
      <c r="N599" t="s">
        <v>1</v>
      </c>
      <c r="O599">
        <v>422013</v>
      </c>
      <c r="P599" t="s">
        <v>546</v>
      </c>
      <c r="Q599" t="s">
        <v>1776</v>
      </c>
      <c r="S599">
        <v>327.76</v>
      </c>
      <c r="T599">
        <v>8</v>
      </c>
      <c r="U599">
        <v>0.1</v>
      </c>
      <c r="V599">
        <v>91.772800000000004</v>
      </c>
      <c r="W599">
        <f t="shared" si="39"/>
        <v>29.498399999999997</v>
      </c>
      <c r="X599">
        <v>5</v>
      </c>
    </row>
    <row r="600" spans="1:24" x14ac:dyDescent="0.3">
      <c r="A600">
        <v>599</v>
      </c>
      <c r="B600" t="s">
        <v>2371</v>
      </c>
      <c r="C600" s="6">
        <v>44795</v>
      </c>
      <c r="D600" t="str">
        <f t="shared" si="36"/>
        <v>Aug</v>
      </c>
      <c r="E600" t="str">
        <f t="shared" si="37"/>
        <v>2022</v>
      </c>
      <c r="F600" t="s">
        <v>5</v>
      </c>
      <c r="G600" t="s">
        <v>243</v>
      </c>
      <c r="H600" t="s">
        <v>1062</v>
      </c>
      <c r="I600">
        <v>240</v>
      </c>
      <c r="J600">
        <v>8</v>
      </c>
      <c r="K600">
        <f t="shared" si="38"/>
        <v>3.3333333333333335</v>
      </c>
      <c r="L600" t="s">
        <v>1742</v>
      </c>
      <c r="M600" t="s">
        <v>3706</v>
      </c>
      <c r="O600">
        <v>244001</v>
      </c>
      <c r="P600" t="s">
        <v>546</v>
      </c>
      <c r="Q600" t="s">
        <v>1761</v>
      </c>
      <c r="S600">
        <v>11.632</v>
      </c>
      <c r="T600">
        <v>2</v>
      </c>
      <c r="U600">
        <v>0.2</v>
      </c>
      <c r="V600">
        <v>1.0178</v>
      </c>
      <c r="W600">
        <f t="shared" si="39"/>
        <v>5.3071000000000002</v>
      </c>
      <c r="X600">
        <v>2</v>
      </c>
    </row>
    <row r="601" spans="1:24" x14ac:dyDescent="0.3">
      <c r="A601">
        <v>600</v>
      </c>
      <c r="B601" t="s">
        <v>2372</v>
      </c>
      <c r="C601" s="6">
        <v>44796</v>
      </c>
      <c r="D601" t="str">
        <f t="shared" si="36"/>
        <v>Aug</v>
      </c>
      <c r="E601" t="str">
        <f t="shared" si="37"/>
        <v>2022</v>
      </c>
      <c r="F601" t="s">
        <v>4</v>
      </c>
      <c r="G601" t="s">
        <v>244</v>
      </c>
      <c r="H601" t="s">
        <v>1063</v>
      </c>
      <c r="I601">
        <v>200</v>
      </c>
      <c r="J601">
        <v>24</v>
      </c>
      <c r="K601">
        <f t="shared" si="38"/>
        <v>12</v>
      </c>
      <c r="L601" t="s">
        <v>1739</v>
      </c>
      <c r="M601" t="s">
        <v>3707</v>
      </c>
      <c r="O601">
        <v>201304</v>
      </c>
      <c r="P601" t="s">
        <v>546</v>
      </c>
      <c r="Q601" t="s">
        <v>1770</v>
      </c>
      <c r="S601">
        <v>143.982</v>
      </c>
      <c r="T601">
        <v>3</v>
      </c>
      <c r="U601">
        <v>0.4</v>
      </c>
      <c r="V601">
        <v>-28.796399999999998</v>
      </c>
      <c r="W601">
        <f t="shared" si="39"/>
        <v>57.592800000000004</v>
      </c>
      <c r="X601">
        <v>4</v>
      </c>
    </row>
    <row r="602" spans="1:24" x14ac:dyDescent="0.3">
      <c r="A602">
        <v>601</v>
      </c>
      <c r="B602" t="s">
        <v>2373</v>
      </c>
      <c r="C602" s="6">
        <v>44797</v>
      </c>
      <c r="D602" t="str">
        <f t="shared" si="36"/>
        <v>Aug</v>
      </c>
      <c r="E602" t="str">
        <f t="shared" si="37"/>
        <v>2022</v>
      </c>
      <c r="F602" t="s">
        <v>4</v>
      </c>
      <c r="G602" t="s">
        <v>244</v>
      </c>
      <c r="H602" t="s">
        <v>1064</v>
      </c>
      <c r="I602">
        <v>140</v>
      </c>
      <c r="J602">
        <v>20</v>
      </c>
      <c r="K602">
        <f t="shared" si="38"/>
        <v>14.285714285714285</v>
      </c>
      <c r="L602" t="s">
        <v>1738</v>
      </c>
      <c r="M602" t="s">
        <v>3708</v>
      </c>
      <c r="N602" t="s">
        <v>1</v>
      </c>
      <c r="O602">
        <v>274602</v>
      </c>
      <c r="P602" t="s">
        <v>546</v>
      </c>
      <c r="Q602" t="s">
        <v>1756</v>
      </c>
      <c r="S602">
        <v>494.37599999999998</v>
      </c>
      <c r="T602">
        <v>4</v>
      </c>
      <c r="U602">
        <v>0.4</v>
      </c>
      <c r="V602">
        <v>-115.3544</v>
      </c>
      <c r="W602">
        <f t="shared" si="39"/>
        <v>152.43259999999998</v>
      </c>
      <c r="X602">
        <v>3</v>
      </c>
    </row>
    <row r="603" spans="1:24" x14ac:dyDescent="0.3">
      <c r="A603">
        <v>602</v>
      </c>
      <c r="B603" t="s">
        <v>2374</v>
      </c>
      <c r="C603" s="6">
        <v>44798</v>
      </c>
      <c r="D603" t="str">
        <f t="shared" si="36"/>
        <v>Aug</v>
      </c>
      <c r="E603" t="str">
        <f t="shared" si="37"/>
        <v>2022</v>
      </c>
      <c r="F603" t="s">
        <v>4</v>
      </c>
      <c r="G603" t="s">
        <v>244</v>
      </c>
      <c r="H603" t="s">
        <v>1050</v>
      </c>
      <c r="I603">
        <v>130</v>
      </c>
      <c r="J603">
        <v>16</v>
      </c>
      <c r="K603">
        <f t="shared" si="38"/>
        <v>12.307692307692308</v>
      </c>
      <c r="L603" t="s">
        <v>1743</v>
      </c>
      <c r="M603" t="s">
        <v>3709</v>
      </c>
      <c r="N603" t="s">
        <v>1</v>
      </c>
      <c r="O603">
        <v>110002</v>
      </c>
      <c r="P603" t="s">
        <v>546</v>
      </c>
      <c r="Q603" t="s">
        <v>1758</v>
      </c>
      <c r="S603">
        <v>5.84</v>
      </c>
      <c r="T603">
        <v>2</v>
      </c>
      <c r="U603">
        <v>0.2</v>
      </c>
      <c r="V603">
        <v>0.73</v>
      </c>
      <c r="W603">
        <f t="shared" si="39"/>
        <v>2.5549999999999997</v>
      </c>
      <c r="X603">
        <v>5</v>
      </c>
    </row>
    <row r="604" spans="1:24" x14ac:dyDescent="0.3">
      <c r="A604">
        <v>603</v>
      </c>
      <c r="B604" t="s">
        <v>2375</v>
      </c>
      <c r="C604" s="6">
        <v>44799</v>
      </c>
      <c r="D604" t="str">
        <f t="shared" si="36"/>
        <v>Aug</v>
      </c>
      <c r="E604" t="str">
        <f t="shared" si="37"/>
        <v>2022</v>
      </c>
      <c r="F604" t="s">
        <v>4</v>
      </c>
      <c r="G604" t="s">
        <v>245</v>
      </c>
      <c r="H604" t="s">
        <v>1065</v>
      </c>
      <c r="I604">
        <v>230</v>
      </c>
      <c r="J604">
        <v>12</v>
      </c>
      <c r="K604">
        <f t="shared" si="38"/>
        <v>5.2173913043478262</v>
      </c>
      <c r="L604" t="s">
        <v>1737</v>
      </c>
      <c r="M604" t="s">
        <v>3710</v>
      </c>
      <c r="N604" t="s">
        <v>1</v>
      </c>
      <c r="O604">
        <v>421204</v>
      </c>
      <c r="P604" t="s">
        <v>546</v>
      </c>
      <c r="Q604" t="s">
        <v>1772</v>
      </c>
      <c r="S604">
        <v>142.77600000000001</v>
      </c>
      <c r="T604">
        <v>1</v>
      </c>
      <c r="U604">
        <v>0.2</v>
      </c>
      <c r="V604">
        <v>17.847000000000001</v>
      </c>
      <c r="W604">
        <f t="shared" si="39"/>
        <v>124.929</v>
      </c>
      <c r="X604">
        <v>4</v>
      </c>
    </row>
    <row r="605" spans="1:24" x14ac:dyDescent="0.3">
      <c r="A605">
        <v>604</v>
      </c>
      <c r="B605" t="s">
        <v>2376</v>
      </c>
      <c r="C605" s="6">
        <v>44800</v>
      </c>
      <c r="D605" t="str">
        <f t="shared" si="36"/>
        <v>Aug</v>
      </c>
      <c r="E605" t="str">
        <f t="shared" si="37"/>
        <v>2022</v>
      </c>
      <c r="F605" t="s">
        <v>4</v>
      </c>
      <c r="G605" t="s">
        <v>245</v>
      </c>
      <c r="H605" t="s">
        <v>832</v>
      </c>
      <c r="I605">
        <v>220</v>
      </c>
      <c r="J605">
        <v>10</v>
      </c>
      <c r="K605">
        <f t="shared" si="38"/>
        <v>4.5454545454545459</v>
      </c>
      <c r="L605" t="s">
        <v>1741</v>
      </c>
      <c r="M605" t="s">
        <v>3711</v>
      </c>
      <c r="N605" t="s">
        <v>1</v>
      </c>
      <c r="O605">
        <v>575029</v>
      </c>
      <c r="P605" t="s">
        <v>546</v>
      </c>
      <c r="Q605" t="s">
        <v>1763</v>
      </c>
      <c r="S605">
        <v>45.695999999999998</v>
      </c>
      <c r="T605">
        <v>3</v>
      </c>
      <c r="U605">
        <v>0.2</v>
      </c>
      <c r="V605">
        <v>5.1407999999999996</v>
      </c>
      <c r="W605">
        <f t="shared" si="39"/>
        <v>13.5184</v>
      </c>
      <c r="X605">
        <v>4</v>
      </c>
    </row>
    <row r="606" spans="1:24" x14ac:dyDescent="0.3">
      <c r="A606">
        <v>605</v>
      </c>
      <c r="B606" t="s">
        <v>2377</v>
      </c>
      <c r="C606" s="6">
        <v>44801</v>
      </c>
      <c r="D606" t="str">
        <f t="shared" si="36"/>
        <v>Aug</v>
      </c>
      <c r="E606" t="str">
        <f t="shared" si="37"/>
        <v>2022</v>
      </c>
      <c r="F606" t="s">
        <v>4</v>
      </c>
      <c r="G606" t="s">
        <v>245</v>
      </c>
      <c r="H606" t="s">
        <v>932</v>
      </c>
      <c r="I606">
        <v>250</v>
      </c>
      <c r="J606">
        <v>30</v>
      </c>
      <c r="K606">
        <f t="shared" si="38"/>
        <v>12</v>
      </c>
      <c r="L606" t="s">
        <v>1736</v>
      </c>
      <c r="M606" t="s">
        <v>3712</v>
      </c>
      <c r="N606" t="s">
        <v>1</v>
      </c>
      <c r="O606">
        <v>110005</v>
      </c>
      <c r="P606" t="s">
        <v>546</v>
      </c>
      <c r="Q606" t="s">
        <v>1758</v>
      </c>
      <c r="S606">
        <v>7.218</v>
      </c>
      <c r="T606">
        <v>3</v>
      </c>
      <c r="U606">
        <v>0.7</v>
      </c>
      <c r="V606">
        <v>-5.5338000000000003</v>
      </c>
      <c r="W606">
        <f t="shared" si="39"/>
        <v>4.2505999999999995</v>
      </c>
      <c r="X606">
        <v>4</v>
      </c>
    </row>
    <row r="607" spans="1:24" x14ac:dyDescent="0.3">
      <c r="A607">
        <v>606</v>
      </c>
      <c r="B607" t="s">
        <v>2378</v>
      </c>
      <c r="C607" s="6">
        <v>44802</v>
      </c>
      <c r="D607" t="str">
        <f t="shared" si="36"/>
        <v>Aug</v>
      </c>
      <c r="E607" t="str">
        <f t="shared" si="37"/>
        <v>2022</v>
      </c>
      <c r="F607" t="s">
        <v>4</v>
      </c>
      <c r="G607" t="s">
        <v>245</v>
      </c>
      <c r="H607" t="s">
        <v>926</v>
      </c>
      <c r="I607">
        <v>230</v>
      </c>
      <c r="J607">
        <v>26</v>
      </c>
      <c r="K607">
        <f t="shared" si="38"/>
        <v>11.304347826086957</v>
      </c>
      <c r="L607" t="s">
        <v>1744</v>
      </c>
      <c r="M607" t="s">
        <v>3713</v>
      </c>
      <c r="N607" t="s">
        <v>1</v>
      </c>
      <c r="O607">
        <v>208001</v>
      </c>
      <c r="P607" t="s">
        <v>546</v>
      </c>
      <c r="Q607" t="s">
        <v>1760</v>
      </c>
      <c r="R607" t="s">
        <v>2</v>
      </c>
      <c r="S607">
        <v>43.188000000000002</v>
      </c>
      <c r="T607">
        <v>4</v>
      </c>
      <c r="U607">
        <v>0.7</v>
      </c>
      <c r="V607">
        <v>-31.671199999999999</v>
      </c>
      <c r="W607">
        <f t="shared" si="39"/>
        <v>18.7148</v>
      </c>
      <c r="X607">
        <v>1</v>
      </c>
    </row>
    <row r="608" spans="1:24" x14ac:dyDescent="0.3">
      <c r="A608">
        <v>607</v>
      </c>
      <c r="B608" t="s">
        <v>2379</v>
      </c>
      <c r="C608" s="6">
        <v>44803</v>
      </c>
      <c r="D608" t="str">
        <f t="shared" si="36"/>
        <v>Aug</v>
      </c>
      <c r="E608" t="str">
        <f t="shared" si="37"/>
        <v>2022</v>
      </c>
      <c r="F608" t="s">
        <v>4</v>
      </c>
      <c r="G608" t="s">
        <v>245</v>
      </c>
      <c r="H608" t="s">
        <v>1066</v>
      </c>
      <c r="I608">
        <v>100</v>
      </c>
      <c r="J608">
        <v>22</v>
      </c>
      <c r="K608">
        <f t="shared" si="38"/>
        <v>22</v>
      </c>
      <c r="L608" t="s">
        <v>1740</v>
      </c>
      <c r="M608" t="s">
        <v>3714</v>
      </c>
      <c r="N608" t="s">
        <v>1</v>
      </c>
      <c r="O608">
        <v>110062</v>
      </c>
      <c r="P608" t="s">
        <v>546</v>
      </c>
      <c r="Q608" t="s">
        <v>1761</v>
      </c>
      <c r="R608" t="s">
        <v>2</v>
      </c>
      <c r="S608">
        <v>131.904</v>
      </c>
      <c r="T608">
        <v>3</v>
      </c>
      <c r="U608">
        <v>0.2</v>
      </c>
      <c r="V608">
        <v>47.815199999999997</v>
      </c>
      <c r="W608">
        <f t="shared" si="39"/>
        <v>28.029599999999999</v>
      </c>
      <c r="X608">
        <v>4</v>
      </c>
    </row>
    <row r="609" spans="1:24" x14ac:dyDescent="0.3">
      <c r="A609">
        <v>608</v>
      </c>
      <c r="B609" t="s">
        <v>2380</v>
      </c>
      <c r="C609" s="6">
        <v>44804</v>
      </c>
      <c r="D609" t="str">
        <f t="shared" si="36"/>
        <v>Aug</v>
      </c>
      <c r="E609" t="str">
        <f t="shared" si="37"/>
        <v>2022</v>
      </c>
      <c r="F609" t="s">
        <v>4</v>
      </c>
      <c r="G609" t="s">
        <v>246</v>
      </c>
      <c r="H609" t="s">
        <v>1067</v>
      </c>
      <c r="I609">
        <v>190</v>
      </c>
      <c r="J609">
        <v>20</v>
      </c>
      <c r="K609">
        <f t="shared" si="38"/>
        <v>10.526315789473683</v>
      </c>
      <c r="L609" t="s">
        <v>1742</v>
      </c>
      <c r="M609" t="s">
        <v>3715</v>
      </c>
      <c r="N609" t="s">
        <v>1</v>
      </c>
      <c r="O609">
        <v>401107</v>
      </c>
      <c r="P609" t="s">
        <v>546</v>
      </c>
      <c r="Q609" t="s">
        <v>1775</v>
      </c>
      <c r="S609">
        <v>3.282</v>
      </c>
      <c r="T609">
        <v>2</v>
      </c>
      <c r="U609">
        <v>0.7</v>
      </c>
      <c r="V609">
        <v>-2.6255999999999999</v>
      </c>
      <c r="W609">
        <f t="shared" si="39"/>
        <v>2.9538000000000002</v>
      </c>
      <c r="X609">
        <v>4</v>
      </c>
    </row>
    <row r="610" spans="1:24" x14ac:dyDescent="0.3">
      <c r="A610">
        <v>609</v>
      </c>
      <c r="B610" t="s">
        <v>2381</v>
      </c>
      <c r="C610" s="6">
        <v>44805</v>
      </c>
      <c r="D610" t="str">
        <f t="shared" si="36"/>
        <v>Sep</v>
      </c>
      <c r="E610" t="str">
        <f t="shared" si="37"/>
        <v>2022</v>
      </c>
      <c r="F610" t="s">
        <v>4</v>
      </c>
      <c r="G610" t="s">
        <v>246</v>
      </c>
      <c r="H610" t="s">
        <v>1001</v>
      </c>
      <c r="I610">
        <v>230</v>
      </c>
      <c r="J610">
        <v>22</v>
      </c>
      <c r="K610">
        <f t="shared" si="38"/>
        <v>9.5652173913043477</v>
      </c>
      <c r="L610" t="s">
        <v>1739</v>
      </c>
      <c r="M610" t="s">
        <v>3600</v>
      </c>
      <c r="N610" t="s">
        <v>1</v>
      </c>
      <c r="O610">
        <v>122017</v>
      </c>
      <c r="P610" t="s">
        <v>546</v>
      </c>
      <c r="Q610" t="s">
        <v>1758</v>
      </c>
      <c r="S610">
        <v>21.167999999999999</v>
      </c>
      <c r="T610">
        <v>9</v>
      </c>
      <c r="U610">
        <v>0.2</v>
      </c>
      <c r="V610">
        <v>2.3814000000000002</v>
      </c>
      <c r="W610">
        <f t="shared" si="39"/>
        <v>2.0874000000000001</v>
      </c>
      <c r="X610">
        <v>3</v>
      </c>
    </row>
    <row r="611" spans="1:24" x14ac:dyDescent="0.3">
      <c r="A611">
        <v>610</v>
      </c>
      <c r="B611" t="s">
        <v>2382</v>
      </c>
      <c r="C611" s="6">
        <v>44806</v>
      </c>
      <c r="D611" t="str">
        <f t="shared" si="36"/>
        <v>Sep</v>
      </c>
      <c r="E611" t="str">
        <f t="shared" si="37"/>
        <v>2022</v>
      </c>
      <c r="F611" t="s">
        <v>4</v>
      </c>
      <c r="G611" t="s">
        <v>246</v>
      </c>
      <c r="H611" t="s">
        <v>1068</v>
      </c>
      <c r="I611">
        <v>210</v>
      </c>
      <c r="J611">
        <v>14</v>
      </c>
      <c r="K611">
        <f t="shared" si="38"/>
        <v>6.666666666666667</v>
      </c>
      <c r="L611" t="s">
        <v>1738</v>
      </c>
      <c r="M611" t="s">
        <v>3716</v>
      </c>
      <c r="N611" t="s">
        <v>1</v>
      </c>
      <c r="O611">
        <v>302019</v>
      </c>
      <c r="P611" t="s">
        <v>546</v>
      </c>
      <c r="Q611" t="s">
        <v>1761</v>
      </c>
      <c r="R611" t="s">
        <v>2</v>
      </c>
      <c r="S611">
        <v>55.188000000000002</v>
      </c>
      <c r="T611">
        <v>2</v>
      </c>
      <c r="U611">
        <v>0.4</v>
      </c>
      <c r="V611">
        <v>-10.117800000000001</v>
      </c>
      <c r="W611">
        <f t="shared" si="39"/>
        <v>32.652900000000002</v>
      </c>
      <c r="X611">
        <v>5</v>
      </c>
    </row>
    <row r="612" spans="1:24" x14ac:dyDescent="0.3">
      <c r="A612">
        <v>611</v>
      </c>
      <c r="B612" t="s">
        <v>2383</v>
      </c>
      <c r="C612" s="6">
        <v>44807</v>
      </c>
      <c r="D612" t="str">
        <f t="shared" si="36"/>
        <v>Sep</v>
      </c>
      <c r="E612" t="str">
        <f t="shared" si="37"/>
        <v>2022</v>
      </c>
      <c r="F612" t="s">
        <v>5</v>
      </c>
      <c r="G612" t="s">
        <v>247</v>
      </c>
      <c r="H612" t="s">
        <v>895</v>
      </c>
      <c r="I612">
        <v>150</v>
      </c>
      <c r="J612">
        <v>24</v>
      </c>
      <c r="K612">
        <f t="shared" si="38"/>
        <v>16</v>
      </c>
      <c r="L612" t="s">
        <v>1741</v>
      </c>
      <c r="M612" t="s">
        <v>3717</v>
      </c>
      <c r="N612" t="s">
        <v>1</v>
      </c>
      <c r="O612">
        <v>400069</v>
      </c>
      <c r="P612" t="s">
        <v>546</v>
      </c>
      <c r="Q612" t="s">
        <v>1767</v>
      </c>
      <c r="S612">
        <v>369.57600000000002</v>
      </c>
      <c r="T612">
        <v>3</v>
      </c>
      <c r="U612">
        <v>0.2</v>
      </c>
      <c r="V612">
        <v>41.577300000000001</v>
      </c>
      <c r="W612">
        <f t="shared" si="39"/>
        <v>109.33290000000001</v>
      </c>
      <c r="X612">
        <v>3</v>
      </c>
    </row>
    <row r="613" spans="1:24" x14ac:dyDescent="0.3">
      <c r="A613">
        <v>612</v>
      </c>
      <c r="B613" t="s">
        <v>2384</v>
      </c>
      <c r="C613" s="6">
        <v>44808</v>
      </c>
      <c r="D613" t="str">
        <f t="shared" si="36"/>
        <v>Sep</v>
      </c>
      <c r="E613" t="str">
        <f t="shared" si="37"/>
        <v>2022</v>
      </c>
      <c r="F613" t="s">
        <v>5</v>
      </c>
      <c r="G613" t="s">
        <v>247</v>
      </c>
      <c r="H613" t="s">
        <v>1069</v>
      </c>
      <c r="I613">
        <v>210</v>
      </c>
      <c r="J613">
        <v>16</v>
      </c>
      <c r="K613">
        <f t="shared" si="38"/>
        <v>7.6190476190476195</v>
      </c>
      <c r="L613" t="s">
        <v>1737</v>
      </c>
      <c r="M613" t="s">
        <v>3718</v>
      </c>
      <c r="N613" t="s">
        <v>1</v>
      </c>
      <c r="O613">
        <v>530026</v>
      </c>
      <c r="P613" t="s">
        <v>546</v>
      </c>
      <c r="Q613" t="s">
        <v>1754</v>
      </c>
      <c r="S613">
        <v>15.712</v>
      </c>
      <c r="T613">
        <v>4</v>
      </c>
      <c r="U613">
        <v>0.2</v>
      </c>
      <c r="V613">
        <v>5.6955999999999998</v>
      </c>
      <c r="W613">
        <f t="shared" si="39"/>
        <v>2.5041000000000002</v>
      </c>
      <c r="X613">
        <v>4</v>
      </c>
    </row>
    <row r="614" spans="1:24" x14ac:dyDescent="0.3">
      <c r="A614">
        <v>613</v>
      </c>
      <c r="B614" t="s">
        <v>2385</v>
      </c>
      <c r="C614" s="6">
        <v>44809</v>
      </c>
      <c r="D614" t="str">
        <f t="shared" si="36"/>
        <v>Sep</v>
      </c>
      <c r="E614" t="str">
        <f t="shared" si="37"/>
        <v>2022</v>
      </c>
      <c r="F614" t="s">
        <v>3</v>
      </c>
      <c r="G614" t="s">
        <v>248</v>
      </c>
      <c r="H614" t="s">
        <v>1070</v>
      </c>
      <c r="I614">
        <v>160</v>
      </c>
      <c r="J614">
        <v>8</v>
      </c>
      <c r="K614">
        <f t="shared" si="38"/>
        <v>5</v>
      </c>
      <c r="L614" t="s">
        <v>1743</v>
      </c>
      <c r="M614" t="s">
        <v>3719</v>
      </c>
      <c r="N614" t="s">
        <v>1</v>
      </c>
      <c r="O614">
        <v>831009</v>
      </c>
      <c r="P614" t="s">
        <v>546</v>
      </c>
      <c r="Q614" t="s">
        <v>1755</v>
      </c>
      <c r="S614">
        <v>8.4480000000000004</v>
      </c>
      <c r="T614">
        <v>2</v>
      </c>
      <c r="U614">
        <v>0.2</v>
      </c>
      <c r="V614">
        <v>2.64</v>
      </c>
      <c r="W614">
        <f t="shared" si="39"/>
        <v>2.9039999999999999</v>
      </c>
      <c r="X614">
        <v>2</v>
      </c>
    </row>
    <row r="615" spans="1:24" x14ac:dyDescent="0.3">
      <c r="A615">
        <v>614</v>
      </c>
      <c r="B615" t="s">
        <v>2386</v>
      </c>
      <c r="C615" s="6">
        <v>44810</v>
      </c>
      <c r="D615" t="str">
        <f t="shared" si="36"/>
        <v>Sep</v>
      </c>
      <c r="E615" t="str">
        <f t="shared" si="37"/>
        <v>2022</v>
      </c>
      <c r="F615" t="s">
        <v>3</v>
      </c>
      <c r="G615" t="s">
        <v>248</v>
      </c>
      <c r="H615" t="s">
        <v>1071</v>
      </c>
      <c r="I615">
        <v>140</v>
      </c>
      <c r="J615">
        <v>28</v>
      </c>
      <c r="K615">
        <f t="shared" si="38"/>
        <v>20</v>
      </c>
      <c r="L615" t="s">
        <v>1738</v>
      </c>
      <c r="M615" t="s">
        <v>3720</v>
      </c>
      <c r="N615" t="s">
        <v>1</v>
      </c>
      <c r="O615">
        <v>400615</v>
      </c>
      <c r="P615" t="s">
        <v>546</v>
      </c>
      <c r="Q615" t="s">
        <v>1773</v>
      </c>
      <c r="R615" t="s">
        <v>2</v>
      </c>
      <c r="S615">
        <v>728.94600000000003</v>
      </c>
      <c r="T615">
        <v>9</v>
      </c>
      <c r="U615">
        <v>0.4</v>
      </c>
      <c r="V615">
        <v>-157.9383</v>
      </c>
      <c r="W615">
        <f t="shared" si="39"/>
        <v>98.542700000000011</v>
      </c>
      <c r="X615">
        <v>1</v>
      </c>
    </row>
    <row r="616" spans="1:24" x14ac:dyDescent="0.3">
      <c r="A616">
        <v>615</v>
      </c>
      <c r="B616" t="s">
        <v>2387</v>
      </c>
      <c r="C616" s="6">
        <v>44811</v>
      </c>
      <c r="D616" t="str">
        <f t="shared" si="36"/>
        <v>Sep</v>
      </c>
      <c r="E616" t="str">
        <f t="shared" si="37"/>
        <v>2022</v>
      </c>
      <c r="F616" t="s">
        <v>3</v>
      </c>
      <c r="G616" t="s">
        <v>249</v>
      </c>
      <c r="H616" t="s">
        <v>769</v>
      </c>
      <c r="I616">
        <v>160</v>
      </c>
      <c r="J616">
        <v>12</v>
      </c>
      <c r="K616">
        <f t="shared" si="38"/>
        <v>7.5</v>
      </c>
      <c r="L616" t="s">
        <v>1739</v>
      </c>
      <c r="M616" t="s">
        <v>3721</v>
      </c>
      <c r="N616" t="s">
        <v>1</v>
      </c>
      <c r="O616">
        <v>521121</v>
      </c>
      <c r="P616" t="s">
        <v>546</v>
      </c>
      <c r="Q616" t="s">
        <v>1776</v>
      </c>
      <c r="R616" t="s">
        <v>2</v>
      </c>
      <c r="S616">
        <v>119.94</v>
      </c>
      <c r="T616">
        <v>10</v>
      </c>
      <c r="U616">
        <v>0.4</v>
      </c>
      <c r="V616">
        <v>15.992000000000001</v>
      </c>
      <c r="W616">
        <f t="shared" si="39"/>
        <v>10.3948</v>
      </c>
      <c r="X616">
        <v>1</v>
      </c>
    </row>
    <row r="617" spans="1:24" x14ac:dyDescent="0.3">
      <c r="A617">
        <v>616</v>
      </c>
      <c r="B617" t="s">
        <v>2388</v>
      </c>
      <c r="C617" s="6">
        <v>44812</v>
      </c>
      <c r="D617" t="str">
        <f t="shared" si="36"/>
        <v>Sep</v>
      </c>
      <c r="E617" t="str">
        <f t="shared" si="37"/>
        <v>2022</v>
      </c>
      <c r="F617" t="s">
        <v>3</v>
      </c>
      <c r="G617" t="s">
        <v>249</v>
      </c>
      <c r="H617" t="s">
        <v>1072</v>
      </c>
      <c r="I617">
        <v>100</v>
      </c>
      <c r="J617">
        <v>30</v>
      </c>
      <c r="K617">
        <f t="shared" si="38"/>
        <v>30</v>
      </c>
      <c r="L617" t="s">
        <v>1736</v>
      </c>
      <c r="M617" t="s">
        <v>3722</v>
      </c>
      <c r="N617" t="s">
        <v>1</v>
      </c>
      <c r="O617">
        <v>201301</v>
      </c>
      <c r="P617" t="s">
        <v>546</v>
      </c>
      <c r="Q617" t="s">
        <v>1763</v>
      </c>
      <c r="S617">
        <v>3.6480000000000001</v>
      </c>
      <c r="T617">
        <v>2</v>
      </c>
      <c r="U617">
        <v>0.7</v>
      </c>
      <c r="V617">
        <v>-2.7968000000000002</v>
      </c>
      <c r="W617">
        <f t="shared" si="39"/>
        <v>3.2224000000000004</v>
      </c>
      <c r="X617">
        <v>2</v>
      </c>
    </row>
    <row r="618" spans="1:24" x14ac:dyDescent="0.3">
      <c r="A618">
        <v>617</v>
      </c>
      <c r="B618" t="s">
        <v>2389</v>
      </c>
      <c r="C618" s="6">
        <v>44813</v>
      </c>
      <c r="D618" t="str">
        <f t="shared" si="36"/>
        <v>Sep</v>
      </c>
      <c r="E618" t="str">
        <f t="shared" si="37"/>
        <v>2022</v>
      </c>
      <c r="F618" t="s">
        <v>3</v>
      </c>
      <c r="G618" t="s">
        <v>250</v>
      </c>
      <c r="H618" t="s">
        <v>1073</v>
      </c>
      <c r="I618">
        <v>220</v>
      </c>
      <c r="J618">
        <v>24</v>
      </c>
      <c r="K618">
        <f t="shared" si="38"/>
        <v>10.909090909090908</v>
      </c>
      <c r="L618" t="s">
        <v>1744</v>
      </c>
      <c r="M618" t="s">
        <v>3723</v>
      </c>
      <c r="N618" t="s">
        <v>1</v>
      </c>
      <c r="O618">
        <v>201301</v>
      </c>
      <c r="P618" t="s">
        <v>546</v>
      </c>
      <c r="Q618" t="s">
        <v>1761</v>
      </c>
      <c r="S618">
        <v>40.479999999999997</v>
      </c>
      <c r="T618">
        <v>2</v>
      </c>
      <c r="U618">
        <v>0.1</v>
      </c>
      <c r="V618">
        <v>15.7872</v>
      </c>
      <c r="W618">
        <f t="shared" si="39"/>
        <v>12.346399999999999</v>
      </c>
      <c r="X618">
        <v>4</v>
      </c>
    </row>
    <row r="619" spans="1:24" x14ac:dyDescent="0.3">
      <c r="A619">
        <v>618</v>
      </c>
      <c r="B619" t="s">
        <v>2390</v>
      </c>
      <c r="C619" s="6">
        <v>44814</v>
      </c>
      <c r="D619" t="str">
        <f t="shared" si="36"/>
        <v>Sep</v>
      </c>
      <c r="E619" t="str">
        <f t="shared" si="37"/>
        <v>2022</v>
      </c>
      <c r="F619" t="s">
        <v>3</v>
      </c>
      <c r="G619" t="s">
        <v>250</v>
      </c>
      <c r="H619" t="s">
        <v>1074</v>
      </c>
      <c r="I619">
        <v>110</v>
      </c>
      <c r="J619">
        <v>12</v>
      </c>
      <c r="K619">
        <f t="shared" si="38"/>
        <v>10.909090909090908</v>
      </c>
      <c r="L619" t="s">
        <v>1740</v>
      </c>
      <c r="M619" t="s">
        <v>3724</v>
      </c>
      <c r="N619" t="s">
        <v>1</v>
      </c>
      <c r="O619">
        <v>201301</v>
      </c>
      <c r="P619" t="s">
        <v>546</v>
      </c>
      <c r="Q619" t="s">
        <v>1763</v>
      </c>
      <c r="R619" t="s">
        <v>2</v>
      </c>
      <c r="S619">
        <v>9.94</v>
      </c>
      <c r="T619">
        <v>2</v>
      </c>
      <c r="U619">
        <v>0.1</v>
      </c>
      <c r="V619">
        <v>3.0813999999999999</v>
      </c>
      <c r="W619">
        <f t="shared" si="39"/>
        <v>3.4292999999999996</v>
      </c>
      <c r="X619">
        <v>4</v>
      </c>
    </row>
    <row r="620" spans="1:24" x14ac:dyDescent="0.3">
      <c r="A620">
        <v>619</v>
      </c>
      <c r="B620" t="s">
        <v>2391</v>
      </c>
      <c r="C620" s="6">
        <v>44815</v>
      </c>
      <c r="D620" t="str">
        <f t="shared" si="36"/>
        <v>Sep</v>
      </c>
      <c r="E620" t="str">
        <f t="shared" si="37"/>
        <v>2022</v>
      </c>
      <c r="F620" t="s">
        <v>3</v>
      </c>
      <c r="G620" t="s">
        <v>250</v>
      </c>
      <c r="H620" t="s">
        <v>1075</v>
      </c>
      <c r="I620">
        <v>100</v>
      </c>
      <c r="J620">
        <v>14</v>
      </c>
      <c r="K620">
        <f t="shared" si="38"/>
        <v>14.000000000000002</v>
      </c>
      <c r="L620" t="s">
        <v>1742</v>
      </c>
      <c r="M620" t="s">
        <v>3725</v>
      </c>
      <c r="N620" t="s">
        <v>1</v>
      </c>
      <c r="O620">
        <v>201301</v>
      </c>
      <c r="P620" t="s">
        <v>546</v>
      </c>
      <c r="Q620" t="s">
        <v>1760</v>
      </c>
      <c r="R620" t="s">
        <v>2</v>
      </c>
      <c r="S620">
        <v>107.42400000000001</v>
      </c>
      <c r="T620">
        <v>9</v>
      </c>
      <c r="U620">
        <v>0.2</v>
      </c>
      <c r="V620">
        <v>33.57</v>
      </c>
      <c r="W620">
        <f t="shared" si="39"/>
        <v>8.2060000000000013</v>
      </c>
      <c r="X620">
        <v>4</v>
      </c>
    </row>
    <row r="621" spans="1:24" x14ac:dyDescent="0.3">
      <c r="A621">
        <v>620</v>
      </c>
      <c r="B621" t="s">
        <v>2392</v>
      </c>
      <c r="C621" s="6">
        <v>44816</v>
      </c>
      <c r="D621" t="str">
        <f t="shared" si="36"/>
        <v>Sep</v>
      </c>
      <c r="E621" t="str">
        <f t="shared" si="37"/>
        <v>2022</v>
      </c>
      <c r="F621" t="s">
        <v>3</v>
      </c>
      <c r="G621" t="s">
        <v>250</v>
      </c>
      <c r="H621" t="s">
        <v>1076</v>
      </c>
      <c r="I621">
        <v>110</v>
      </c>
      <c r="J621">
        <v>18</v>
      </c>
      <c r="K621">
        <f t="shared" si="38"/>
        <v>16.363636363636363</v>
      </c>
      <c r="L621" t="s">
        <v>1739</v>
      </c>
      <c r="M621" t="s">
        <v>3726</v>
      </c>
      <c r="N621" t="s">
        <v>1</v>
      </c>
      <c r="O621">
        <v>410210</v>
      </c>
      <c r="P621" t="s">
        <v>546</v>
      </c>
      <c r="Q621" t="s">
        <v>1775</v>
      </c>
      <c r="S621">
        <v>37.909999999999997</v>
      </c>
      <c r="T621">
        <v>1</v>
      </c>
      <c r="U621">
        <v>0.1</v>
      </c>
      <c r="V621">
        <v>10.9939</v>
      </c>
      <c r="W621">
        <f t="shared" si="39"/>
        <v>26.916099999999997</v>
      </c>
      <c r="X621">
        <v>4</v>
      </c>
    </row>
    <row r="622" spans="1:24" x14ac:dyDescent="0.3">
      <c r="A622">
        <v>621</v>
      </c>
      <c r="B622" t="s">
        <v>2393</v>
      </c>
      <c r="C622" s="6">
        <v>44817</v>
      </c>
      <c r="D622" t="str">
        <f t="shared" si="36"/>
        <v>Sep</v>
      </c>
      <c r="E622" t="str">
        <f t="shared" si="37"/>
        <v>2022</v>
      </c>
      <c r="F622" t="s">
        <v>3</v>
      </c>
      <c r="G622" t="s">
        <v>250</v>
      </c>
      <c r="H622" t="s">
        <v>685</v>
      </c>
      <c r="I622">
        <v>180</v>
      </c>
      <c r="J622">
        <v>22</v>
      </c>
      <c r="K622">
        <f t="shared" si="38"/>
        <v>12.222222222222221</v>
      </c>
      <c r="L622" t="s">
        <v>1738</v>
      </c>
      <c r="M622" t="s">
        <v>3727</v>
      </c>
      <c r="N622" t="s">
        <v>1</v>
      </c>
      <c r="O622">
        <v>501359</v>
      </c>
      <c r="P622" t="s">
        <v>546</v>
      </c>
      <c r="Q622" t="s">
        <v>1763</v>
      </c>
      <c r="S622">
        <v>88.02</v>
      </c>
      <c r="T622">
        <v>3</v>
      </c>
      <c r="U622">
        <v>0.1</v>
      </c>
      <c r="V622">
        <v>27.286200000000001</v>
      </c>
      <c r="W622">
        <f t="shared" si="39"/>
        <v>20.244599999999998</v>
      </c>
      <c r="X622">
        <v>4</v>
      </c>
    </row>
    <row r="623" spans="1:24" x14ac:dyDescent="0.3">
      <c r="A623">
        <v>622</v>
      </c>
      <c r="B623" t="s">
        <v>2394</v>
      </c>
      <c r="C623" s="6">
        <v>44818</v>
      </c>
      <c r="D623" t="str">
        <f t="shared" si="36"/>
        <v>Sep</v>
      </c>
      <c r="E623" t="str">
        <f t="shared" si="37"/>
        <v>2022</v>
      </c>
      <c r="F623" t="s">
        <v>4</v>
      </c>
      <c r="G623" t="s">
        <v>251</v>
      </c>
      <c r="H623" t="s">
        <v>1077</v>
      </c>
      <c r="I623">
        <v>190</v>
      </c>
      <c r="J623">
        <v>12</v>
      </c>
      <c r="K623">
        <f t="shared" si="38"/>
        <v>6.3157894736842106</v>
      </c>
      <c r="L623" t="s">
        <v>1743</v>
      </c>
      <c r="M623" t="s">
        <v>3728</v>
      </c>
      <c r="N623" t="s">
        <v>1</v>
      </c>
      <c r="O623">
        <v>501359</v>
      </c>
      <c r="P623" t="s">
        <v>546</v>
      </c>
      <c r="Q623" t="s">
        <v>1775</v>
      </c>
      <c r="S623">
        <v>8.69</v>
      </c>
      <c r="T623">
        <v>5</v>
      </c>
      <c r="U623">
        <v>0.8</v>
      </c>
      <c r="V623">
        <v>-14.773</v>
      </c>
      <c r="W623">
        <f t="shared" si="39"/>
        <v>4.6926000000000005</v>
      </c>
      <c r="X623">
        <v>2</v>
      </c>
    </row>
    <row r="624" spans="1:24" x14ac:dyDescent="0.3">
      <c r="A624">
        <v>623</v>
      </c>
      <c r="B624" t="s">
        <v>2395</v>
      </c>
      <c r="C624" s="6">
        <v>44819</v>
      </c>
      <c r="D624" t="str">
        <f t="shared" si="36"/>
        <v>Sep</v>
      </c>
      <c r="E624" t="str">
        <f t="shared" si="37"/>
        <v>2022</v>
      </c>
      <c r="F624" t="s">
        <v>4</v>
      </c>
      <c r="G624" t="s">
        <v>252</v>
      </c>
      <c r="H624" t="s">
        <v>1078</v>
      </c>
      <c r="I624">
        <v>140</v>
      </c>
      <c r="J624">
        <v>22</v>
      </c>
      <c r="K624">
        <f t="shared" si="38"/>
        <v>15.714285714285714</v>
      </c>
      <c r="L624" t="s">
        <v>1737</v>
      </c>
      <c r="M624" t="s">
        <v>3729</v>
      </c>
      <c r="N624" t="s">
        <v>1</v>
      </c>
      <c r="O624">
        <v>501359</v>
      </c>
      <c r="P624" t="s">
        <v>546</v>
      </c>
      <c r="Q624" t="s">
        <v>1766</v>
      </c>
      <c r="S624">
        <v>301.95999999999998</v>
      </c>
      <c r="T624">
        <v>2</v>
      </c>
      <c r="U624">
        <v>0.1</v>
      </c>
      <c r="V624">
        <v>87.568399999999997</v>
      </c>
      <c r="W624">
        <f t="shared" si="39"/>
        <v>107.19579999999999</v>
      </c>
      <c r="X624">
        <v>3</v>
      </c>
    </row>
    <row r="625" spans="1:24" x14ac:dyDescent="0.3">
      <c r="A625">
        <v>624</v>
      </c>
      <c r="B625" t="s">
        <v>2396</v>
      </c>
      <c r="C625" s="6">
        <v>44820</v>
      </c>
      <c r="D625" t="str">
        <f t="shared" si="36"/>
        <v>Sep</v>
      </c>
      <c r="E625" t="str">
        <f t="shared" si="37"/>
        <v>2022</v>
      </c>
      <c r="F625" t="s">
        <v>4</v>
      </c>
      <c r="G625" t="s">
        <v>252</v>
      </c>
      <c r="H625" t="s">
        <v>1079</v>
      </c>
      <c r="I625">
        <v>250</v>
      </c>
      <c r="J625">
        <v>10</v>
      </c>
      <c r="K625">
        <f t="shared" si="38"/>
        <v>4</v>
      </c>
      <c r="L625" t="s">
        <v>1741</v>
      </c>
      <c r="M625" t="s">
        <v>3730</v>
      </c>
      <c r="N625" t="s">
        <v>1</v>
      </c>
      <c r="O625">
        <v>500072</v>
      </c>
      <c r="P625" t="s">
        <v>546</v>
      </c>
      <c r="Q625" t="s">
        <v>1763</v>
      </c>
      <c r="S625">
        <v>555.21</v>
      </c>
      <c r="T625">
        <v>5</v>
      </c>
      <c r="U625">
        <v>0.11</v>
      </c>
      <c r="V625">
        <v>178.90100000000001</v>
      </c>
      <c r="W625">
        <f t="shared" si="39"/>
        <v>75.261800000000008</v>
      </c>
      <c r="X625">
        <v>3</v>
      </c>
    </row>
    <row r="626" spans="1:24" x14ac:dyDescent="0.3">
      <c r="A626">
        <v>625</v>
      </c>
      <c r="B626" t="s">
        <v>2397</v>
      </c>
      <c r="C626" s="6">
        <v>44821</v>
      </c>
      <c r="D626" t="str">
        <f t="shared" si="36"/>
        <v>Sep</v>
      </c>
      <c r="E626" t="str">
        <f t="shared" si="37"/>
        <v>2022</v>
      </c>
      <c r="F626" t="s">
        <v>4</v>
      </c>
      <c r="G626" t="s">
        <v>252</v>
      </c>
      <c r="H626" t="s">
        <v>1080</v>
      </c>
      <c r="I626">
        <v>190</v>
      </c>
      <c r="J626">
        <v>28</v>
      </c>
      <c r="K626">
        <f t="shared" si="38"/>
        <v>14.736842105263156</v>
      </c>
      <c r="L626" t="s">
        <v>1736</v>
      </c>
      <c r="M626" t="s">
        <v>3731</v>
      </c>
      <c r="N626" t="s">
        <v>1</v>
      </c>
      <c r="O626">
        <v>400615</v>
      </c>
      <c r="P626" t="s">
        <v>546</v>
      </c>
      <c r="Q626" t="s">
        <v>1768</v>
      </c>
      <c r="S626">
        <v>523.48</v>
      </c>
      <c r="T626">
        <v>4</v>
      </c>
      <c r="U626">
        <v>0.1</v>
      </c>
      <c r="V626">
        <v>130.87</v>
      </c>
      <c r="W626">
        <f t="shared" si="39"/>
        <v>98.152500000000003</v>
      </c>
      <c r="X626">
        <v>2</v>
      </c>
    </row>
    <row r="627" spans="1:24" x14ac:dyDescent="0.3">
      <c r="A627">
        <v>626</v>
      </c>
      <c r="B627" t="s">
        <v>2398</v>
      </c>
      <c r="C627" s="6">
        <v>44822</v>
      </c>
      <c r="D627" t="str">
        <f t="shared" si="36"/>
        <v>Sep</v>
      </c>
      <c r="E627" t="str">
        <f t="shared" si="37"/>
        <v>2022</v>
      </c>
      <c r="F627" t="s">
        <v>4</v>
      </c>
      <c r="G627" t="s">
        <v>252</v>
      </c>
      <c r="H627" t="s">
        <v>577</v>
      </c>
      <c r="I627">
        <v>170</v>
      </c>
      <c r="J627">
        <v>10</v>
      </c>
      <c r="K627">
        <f t="shared" si="38"/>
        <v>5.8823529411764701</v>
      </c>
      <c r="L627" t="s">
        <v>1744</v>
      </c>
      <c r="M627" t="s">
        <v>3732</v>
      </c>
      <c r="N627" t="s">
        <v>1</v>
      </c>
      <c r="O627">
        <v>600123</v>
      </c>
      <c r="P627" t="s">
        <v>546</v>
      </c>
      <c r="Q627" t="s">
        <v>1765</v>
      </c>
      <c r="S627">
        <v>161.82</v>
      </c>
      <c r="T627">
        <v>9</v>
      </c>
      <c r="U627">
        <v>0.1</v>
      </c>
      <c r="V627">
        <v>46.927799999999998</v>
      </c>
      <c r="W627">
        <f t="shared" si="39"/>
        <v>12.7658</v>
      </c>
      <c r="X627">
        <v>5</v>
      </c>
    </row>
    <row r="628" spans="1:24" x14ac:dyDescent="0.3">
      <c r="A628">
        <v>627</v>
      </c>
      <c r="B628" t="s">
        <v>2399</v>
      </c>
      <c r="C628" s="6">
        <v>44823</v>
      </c>
      <c r="D628" t="str">
        <f t="shared" si="36"/>
        <v>Sep</v>
      </c>
      <c r="E628" t="str">
        <f t="shared" si="37"/>
        <v>2022</v>
      </c>
      <c r="F628" t="s">
        <v>4</v>
      </c>
      <c r="G628" t="s">
        <v>253</v>
      </c>
      <c r="H628" t="s">
        <v>1081</v>
      </c>
      <c r="I628">
        <v>180</v>
      </c>
      <c r="J628">
        <v>14</v>
      </c>
      <c r="K628">
        <f t="shared" si="38"/>
        <v>7.7777777777777777</v>
      </c>
      <c r="L628" t="s">
        <v>1740</v>
      </c>
      <c r="M628" t="s">
        <v>3733</v>
      </c>
      <c r="O628">
        <v>721126</v>
      </c>
      <c r="P628" t="s">
        <v>546</v>
      </c>
      <c r="Q628" t="s">
        <v>1773</v>
      </c>
      <c r="S628">
        <v>35.56</v>
      </c>
      <c r="T628">
        <v>7</v>
      </c>
      <c r="U628">
        <v>0.1</v>
      </c>
      <c r="V628">
        <v>12.090400000000001</v>
      </c>
      <c r="W628">
        <f t="shared" si="39"/>
        <v>3.3527999999999998</v>
      </c>
      <c r="X628">
        <v>5</v>
      </c>
    </row>
    <row r="629" spans="1:24" x14ac:dyDescent="0.3">
      <c r="A629">
        <v>628</v>
      </c>
      <c r="B629" t="s">
        <v>2400</v>
      </c>
      <c r="C629" s="6">
        <v>44824</v>
      </c>
      <c r="D629" t="str">
        <f t="shared" si="36"/>
        <v>Sep</v>
      </c>
      <c r="E629" t="str">
        <f t="shared" si="37"/>
        <v>2022</v>
      </c>
      <c r="F629" t="s">
        <v>4</v>
      </c>
      <c r="G629" t="s">
        <v>254</v>
      </c>
      <c r="H629" t="s">
        <v>1082</v>
      </c>
      <c r="I629">
        <v>250</v>
      </c>
      <c r="J629">
        <v>20</v>
      </c>
      <c r="K629">
        <f t="shared" si="38"/>
        <v>8</v>
      </c>
      <c r="L629" t="s">
        <v>1742</v>
      </c>
      <c r="M629" t="s">
        <v>3734</v>
      </c>
      <c r="O629">
        <v>211002</v>
      </c>
      <c r="P629" t="s">
        <v>546</v>
      </c>
      <c r="Q629" t="s">
        <v>1769</v>
      </c>
      <c r="R629" t="s">
        <v>2</v>
      </c>
      <c r="S629">
        <v>97.16</v>
      </c>
      <c r="T629">
        <v>2</v>
      </c>
      <c r="U629">
        <v>0.1</v>
      </c>
      <c r="V629">
        <v>28.176400000000001</v>
      </c>
      <c r="W629">
        <f t="shared" si="39"/>
        <v>34.491799999999998</v>
      </c>
      <c r="X629">
        <v>4</v>
      </c>
    </row>
    <row r="630" spans="1:24" x14ac:dyDescent="0.3">
      <c r="A630">
        <v>629</v>
      </c>
      <c r="B630" t="s">
        <v>2401</v>
      </c>
      <c r="C630" s="6">
        <v>44825</v>
      </c>
      <c r="D630" t="str">
        <f t="shared" si="36"/>
        <v>Sep</v>
      </c>
      <c r="E630" t="str">
        <f t="shared" si="37"/>
        <v>2022</v>
      </c>
      <c r="F630" t="s">
        <v>4</v>
      </c>
      <c r="G630" t="s">
        <v>102</v>
      </c>
      <c r="H630" t="s">
        <v>1083</v>
      </c>
      <c r="I630">
        <v>150</v>
      </c>
      <c r="J630">
        <v>24</v>
      </c>
      <c r="K630">
        <f t="shared" si="38"/>
        <v>16</v>
      </c>
      <c r="L630" t="s">
        <v>1739</v>
      </c>
      <c r="M630" t="s">
        <v>3628</v>
      </c>
      <c r="N630" t="s">
        <v>1</v>
      </c>
      <c r="O630">
        <v>396445</v>
      </c>
      <c r="P630" t="s">
        <v>546</v>
      </c>
      <c r="Q630" t="s">
        <v>1763</v>
      </c>
      <c r="R630" t="s">
        <v>2</v>
      </c>
      <c r="S630">
        <v>15.24</v>
      </c>
      <c r="T630">
        <v>5</v>
      </c>
      <c r="U630">
        <v>0.2</v>
      </c>
      <c r="V630">
        <v>5.1435000000000004</v>
      </c>
      <c r="W630">
        <f t="shared" si="39"/>
        <v>2.0192999999999999</v>
      </c>
      <c r="X630">
        <v>2</v>
      </c>
    </row>
    <row r="631" spans="1:24" x14ac:dyDescent="0.3">
      <c r="A631">
        <v>630</v>
      </c>
      <c r="B631" t="s">
        <v>2402</v>
      </c>
      <c r="C631" s="6">
        <v>44826</v>
      </c>
      <c r="D631" t="str">
        <f t="shared" si="36"/>
        <v>Sep</v>
      </c>
      <c r="E631" t="str">
        <f t="shared" si="37"/>
        <v>2022</v>
      </c>
      <c r="F631" t="s">
        <v>4</v>
      </c>
      <c r="G631" t="s">
        <v>102</v>
      </c>
      <c r="H631" t="s">
        <v>796</v>
      </c>
      <c r="I631">
        <v>200</v>
      </c>
      <c r="J631">
        <v>26</v>
      </c>
      <c r="K631">
        <f t="shared" si="38"/>
        <v>13</v>
      </c>
      <c r="L631" t="s">
        <v>1738</v>
      </c>
      <c r="M631" t="s">
        <v>3629</v>
      </c>
      <c r="O631">
        <v>110005</v>
      </c>
      <c r="P631" t="s">
        <v>546</v>
      </c>
      <c r="Q631" t="s">
        <v>1763</v>
      </c>
      <c r="S631">
        <v>13.23</v>
      </c>
      <c r="T631">
        <v>3</v>
      </c>
      <c r="U631">
        <v>0.1</v>
      </c>
      <c r="V631">
        <v>6.0857999999999999</v>
      </c>
      <c r="W631">
        <f t="shared" si="39"/>
        <v>2.3814000000000002</v>
      </c>
      <c r="X631">
        <v>2</v>
      </c>
    </row>
    <row r="632" spans="1:24" x14ac:dyDescent="0.3">
      <c r="A632">
        <v>631</v>
      </c>
      <c r="B632" t="s">
        <v>2403</v>
      </c>
      <c r="C632" s="6">
        <v>44827</v>
      </c>
      <c r="D632" t="str">
        <f t="shared" si="36"/>
        <v>Sep</v>
      </c>
      <c r="E632" t="str">
        <f t="shared" si="37"/>
        <v>2022</v>
      </c>
      <c r="F632" t="s">
        <v>3</v>
      </c>
      <c r="G632" t="s">
        <v>255</v>
      </c>
      <c r="H632" t="s">
        <v>1084</v>
      </c>
      <c r="I632">
        <v>150</v>
      </c>
      <c r="J632">
        <v>26</v>
      </c>
      <c r="K632">
        <f t="shared" si="38"/>
        <v>17.333333333333336</v>
      </c>
      <c r="L632" t="s">
        <v>1737</v>
      </c>
      <c r="M632" t="s">
        <v>3735</v>
      </c>
      <c r="N632" t="s">
        <v>1</v>
      </c>
      <c r="O632">
        <v>721126</v>
      </c>
      <c r="P632" t="s">
        <v>546</v>
      </c>
      <c r="Q632" t="s">
        <v>1769</v>
      </c>
      <c r="S632">
        <v>243.38399999999999</v>
      </c>
      <c r="T632">
        <v>3</v>
      </c>
      <c r="U632">
        <v>0.2</v>
      </c>
      <c r="V632">
        <v>-51.719099999999997</v>
      </c>
      <c r="W632">
        <f t="shared" si="39"/>
        <v>98.367699999999999</v>
      </c>
      <c r="X632">
        <v>5</v>
      </c>
    </row>
    <row r="633" spans="1:24" x14ac:dyDescent="0.3">
      <c r="A633">
        <v>632</v>
      </c>
      <c r="B633" t="s">
        <v>2404</v>
      </c>
      <c r="C633" s="6">
        <v>44828</v>
      </c>
      <c r="D633" t="str">
        <f t="shared" si="36"/>
        <v>Sep</v>
      </c>
      <c r="E633" t="str">
        <f t="shared" si="37"/>
        <v>2022</v>
      </c>
      <c r="F633" t="s">
        <v>3</v>
      </c>
      <c r="G633" t="s">
        <v>255</v>
      </c>
      <c r="H633" t="s">
        <v>1085</v>
      </c>
      <c r="I633">
        <v>130</v>
      </c>
      <c r="J633">
        <v>8</v>
      </c>
      <c r="K633">
        <f t="shared" si="38"/>
        <v>6.1538461538461542</v>
      </c>
      <c r="L633" t="s">
        <v>1743</v>
      </c>
      <c r="M633" t="s">
        <v>3736</v>
      </c>
      <c r="N633" t="s">
        <v>1</v>
      </c>
      <c r="O633">
        <v>160014</v>
      </c>
      <c r="P633" t="s">
        <v>546</v>
      </c>
      <c r="Q633" t="s">
        <v>1759</v>
      </c>
      <c r="S633">
        <v>119.8</v>
      </c>
      <c r="T633">
        <v>5</v>
      </c>
      <c r="U633">
        <v>0.2</v>
      </c>
      <c r="V633">
        <v>29.95</v>
      </c>
      <c r="W633">
        <f t="shared" si="39"/>
        <v>17.97</v>
      </c>
      <c r="X633">
        <v>1</v>
      </c>
    </row>
    <row r="634" spans="1:24" x14ac:dyDescent="0.3">
      <c r="A634">
        <v>633</v>
      </c>
      <c r="B634" t="s">
        <v>2405</v>
      </c>
      <c r="C634" s="6">
        <v>44829</v>
      </c>
      <c r="D634" t="str">
        <f t="shared" si="36"/>
        <v>Sep</v>
      </c>
      <c r="E634" t="str">
        <f t="shared" si="37"/>
        <v>2022</v>
      </c>
      <c r="F634" t="s">
        <v>3</v>
      </c>
      <c r="G634" t="s">
        <v>255</v>
      </c>
      <c r="H634" t="s">
        <v>1086</v>
      </c>
      <c r="I634">
        <v>150</v>
      </c>
      <c r="J634">
        <v>8</v>
      </c>
      <c r="K634">
        <f t="shared" si="38"/>
        <v>5.3333333333333339</v>
      </c>
      <c r="L634" t="s">
        <v>1738</v>
      </c>
      <c r="M634" t="s">
        <v>3737</v>
      </c>
      <c r="N634" t="s">
        <v>1</v>
      </c>
      <c r="O634">
        <v>411045</v>
      </c>
      <c r="P634" t="s">
        <v>546</v>
      </c>
      <c r="Q634" t="s">
        <v>1761</v>
      </c>
      <c r="S634">
        <v>300.76799999999997</v>
      </c>
      <c r="T634">
        <v>4</v>
      </c>
      <c r="U634">
        <v>0.2</v>
      </c>
      <c r="V634">
        <v>30.076799999999999</v>
      </c>
      <c r="W634">
        <f t="shared" si="39"/>
        <v>67.672799999999995</v>
      </c>
      <c r="X634">
        <v>2</v>
      </c>
    </row>
    <row r="635" spans="1:24" x14ac:dyDescent="0.3">
      <c r="A635">
        <v>634</v>
      </c>
      <c r="B635" t="s">
        <v>2406</v>
      </c>
      <c r="C635" s="6">
        <v>44830</v>
      </c>
      <c r="D635" t="str">
        <f t="shared" si="36"/>
        <v>Sep</v>
      </c>
      <c r="E635" t="str">
        <f t="shared" si="37"/>
        <v>2022</v>
      </c>
      <c r="F635" t="s">
        <v>3</v>
      </c>
      <c r="G635" t="s">
        <v>212</v>
      </c>
      <c r="H635" t="s">
        <v>1087</v>
      </c>
      <c r="I635">
        <v>240</v>
      </c>
      <c r="J635">
        <v>18</v>
      </c>
      <c r="K635">
        <f t="shared" si="38"/>
        <v>7.5</v>
      </c>
      <c r="L635" t="s">
        <v>1739</v>
      </c>
      <c r="M635" t="s">
        <v>3682</v>
      </c>
      <c r="N635" t="s">
        <v>1</v>
      </c>
      <c r="O635">
        <v>402104</v>
      </c>
      <c r="P635" t="s">
        <v>546</v>
      </c>
      <c r="Q635" t="s">
        <v>1759</v>
      </c>
      <c r="S635">
        <v>17.88</v>
      </c>
      <c r="T635">
        <v>3</v>
      </c>
      <c r="U635">
        <v>0.2</v>
      </c>
      <c r="V635">
        <v>2.4584999999999999</v>
      </c>
      <c r="W635">
        <f t="shared" si="39"/>
        <v>5.1404999999999994</v>
      </c>
      <c r="X635">
        <v>2</v>
      </c>
    </row>
    <row r="636" spans="1:24" x14ac:dyDescent="0.3">
      <c r="A636">
        <v>635</v>
      </c>
      <c r="B636" t="s">
        <v>2407</v>
      </c>
      <c r="C636" s="6">
        <v>44831</v>
      </c>
      <c r="D636" t="str">
        <f t="shared" si="36"/>
        <v>Sep</v>
      </c>
      <c r="E636" t="str">
        <f t="shared" si="37"/>
        <v>2022</v>
      </c>
      <c r="F636" t="s">
        <v>3</v>
      </c>
      <c r="G636" t="s">
        <v>212</v>
      </c>
      <c r="H636" t="s">
        <v>1055</v>
      </c>
      <c r="I636">
        <v>230</v>
      </c>
      <c r="J636">
        <v>12</v>
      </c>
      <c r="K636">
        <f t="shared" si="38"/>
        <v>5.2173913043478262</v>
      </c>
      <c r="L636" t="s">
        <v>1741</v>
      </c>
      <c r="M636" t="s">
        <v>3738</v>
      </c>
      <c r="N636" t="s">
        <v>1</v>
      </c>
      <c r="O636">
        <v>400101</v>
      </c>
      <c r="P636" t="s">
        <v>546</v>
      </c>
      <c r="Q636" t="s">
        <v>1774</v>
      </c>
      <c r="S636">
        <v>235.94399999999999</v>
      </c>
      <c r="T636">
        <v>3</v>
      </c>
      <c r="U636">
        <v>0.2</v>
      </c>
      <c r="V636">
        <v>85.529700000000005</v>
      </c>
      <c r="W636">
        <f t="shared" si="39"/>
        <v>50.138099999999987</v>
      </c>
      <c r="X636">
        <v>5</v>
      </c>
    </row>
    <row r="637" spans="1:24" x14ac:dyDescent="0.3">
      <c r="A637">
        <v>636</v>
      </c>
      <c r="B637" t="s">
        <v>2408</v>
      </c>
      <c r="C637" s="6">
        <v>44832</v>
      </c>
      <c r="D637" t="str">
        <f t="shared" si="36"/>
        <v>Sep</v>
      </c>
      <c r="E637" t="str">
        <f t="shared" si="37"/>
        <v>2022</v>
      </c>
      <c r="F637" t="s">
        <v>3</v>
      </c>
      <c r="G637" t="s">
        <v>256</v>
      </c>
      <c r="H637" t="s">
        <v>1088</v>
      </c>
      <c r="I637">
        <v>200</v>
      </c>
      <c r="J637">
        <v>30</v>
      </c>
      <c r="K637">
        <f t="shared" si="38"/>
        <v>15</v>
      </c>
      <c r="L637" t="s">
        <v>1736</v>
      </c>
      <c r="M637" t="s">
        <v>3739</v>
      </c>
      <c r="N637" t="s">
        <v>1</v>
      </c>
      <c r="O637">
        <v>171301</v>
      </c>
      <c r="P637" t="s">
        <v>546</v>
      </c>
      <c r="Q637" t="s">
        <v>1764</v>
      </c>
      <c r="S637">
        <v>392.94</v>
      </c>
      <c r="T637">
        <v>3</v>
      </c>
      <c r="U637">
        <v>0.1</v>
      </c>
      <c r="V637">
        <v>43.223399999999998</v>
      </c>
      <c r="W637">
        <f t="shared" si="39"/>
        <v>116.5722</v>
      </c>
      <c r="X637">
        <v>1</v>
      </c>
    </row>
    <row r="638" spans="1:24" x14ac:dyDescent="0.3">
      <c r="A638">
        <v>637</v>
      </c>
      <c r="B638" t="s">
        <v>2409</v>
      </c>
      <c r="C638" s="6">
        <v>44833</v>
      </c>
      <c r="D638" t="str">
        <f t="shared" si="36"/>
        <v>Sep</v>
      </c>
      <c r="E638" t="str">
        <f t="shared" si="37"/>
        <v>2022</v>
      </c>
      <c r="F638" t="s">
        <v>4</v>
      </c>
      <c r="G638" t="s">
        <v>257</v>
      </c>
      <c r="H638" t="s">
        <v>1089</v>
      </c>
      <c r="I638">
        <v>230</v>
      </c>
      <c r="J638">
        <v>12</v>
      </c>
      <c r="K638">
        <f t="shared" si="38"/>
        <v>5.2173913043478262</v>
      </c>
      <c r="L638" t="s">
        <v>1744</v>
      </c>
      <c r="M638" t="s">
        <v>3585</v>
      </c>
      <c r="N638" t="s">
        <v>1</v>
      </c>
      <c r="O638">
        <v>570009</v>
      </c>
      <c r="P638" t="s">
        <v>546</v>
      </c>
      <c r="Q638" t="s">
        <v>1769</v>
      </c>
      <c r="S638">
        <v>18.882000000000001</v>
      </c>
      <c r="T638">
        <v>3</v>
      </c>
      <c r="U638">
        <v>0.7</v>
      </c>
      <c r="V638">
        <v>-13.8468</v>
      </c>
      <c r="W638">
        <f t="shared" si="39"/>
        <v>10.909599999999999</v>
      </c>
      <c r="X638">
        <v>3</v>
      </c>
    </row>
    <row r="639" spans="1:24" x14ac:dyDescent="0.3">
      <c r="A639">
        <v>638</v>
      </c>
      <c r="B639" t="s">
        <v>2410</v>
      </c>
      <c r="C639" s="6">
        <v>44834</v>
      </c>
      <c r="D639" t="str">
        <f t="shared" si="36"/>
        <v>Sep</v>
      </c>
      <c r="E639" t="str">
        <f t="shared" si="37"/>
        <v>2022</v>
      </c>
      <c r="F639" t="s">
        <v>4</v>
      </c>
      <c r="G639" t="s">
        <v>257</v>
      </c>
      <c r="H639" t="s">
        <v>1090</v>
      </c>
      <c r="I639">
        <v>150</v>
      </c>
      <c r="J639">
        <v>24</v>
      </c>
      <c r="K639">
        <f t="shared" si="38"/>
        <v>16</v>
      </c>
      <c r="L639" t="s">
        <v>1740</v>
      </c>
      <c r="M639" t="s">
        <v>3740</v>
      </c>
      <c r="N639" t="s">
        <v>1</v>
      </c>
      <c r="O639">
        <v>515001</v>
      </c>
      <c r="P639" t="s">
        <v>546</v>
      </c>
      <c r="Q639" t="s">
        <v>1764</v>
      </c>
      <c r="S639">
        <v>122.328</v>
      </c>
      <c r="T639">
        <v>3</v>
      </c>
      <c r="U639">
        <v>0.2</v>
      </c>
      <c r="V639">
        <v>12.232799999999999</v>
      </c>
      <c r="W639">
        <f t="shared" si="39"/>
        <v>36.698399999999999</v>
      </c>
      <c r="X639">
        <v>4</v>
      </c>
    </row>
    <row r="640" spans="1:24" x14ac:dyDescent="0.3">
      <c r="A640">
        <v>639</v>
      </c>
      <c r="B640" t="s">
        <v>2411</v>
      </c>
      <c r="C640" s="6">
        <v>44835</v>
      </c>
      <c r="D640" t="str">
        <f t="shared" si="36"/>
        <v>Oct</v>
      </c>
      <c r="E640" t="str">
        <f t="shared" si="37"/>
        <v>2022</v>
      </c>
      <c r="F640" t="s">
        <v>4</v>
      </c>
      <c r="G640" t="s">
        <v>53</v>
      </c>
      <c r="H640" t="s">
        <v>767</v>
      </c>
      <c r="I640">
        <v>160</v>
      </c>
      <c r="J640">
        <v>22</v>
      </c>
      <c r="K640">
        <f t="shared" si="38"/>
        <v>13.750000000000002</v>
      </c>
      <c r="L640" t="s">
        <v>1742</v>
      </c>
      <c r="M640" t="s">
        <v>3741</v>
      </c>
      <c r="N640" t="s">
        <v>1</v>
      </c>
      <c r="O640">
        <v>695608</v>
      </c>
      <c r="P640" t="s">
        <v>546</v>
      </c>
      <c r="Q640" t="s">
        <v>1774</v>
      </c>
      <c r="S640">
        <v>1049.2</v>
      </c>
      <c r="T640">
        <v>5</v>
      </c>
      <c r="U640">
        <v>0.1</v>
      </c>
      <c r="V640">
        <v>272.79199999999997</v>
      </c>
      <c r="W640">
        <f t="shared" si="39"/>
        <v>155.28160000000003</v>
      </c>
      <c r="X640">
        <v>3</v>
      </c>
    </row>
    <row r="641" spans="1:24" x14ac:dyDescent="0.3">
      <c r="A641">
        <v>640</v>
      </c>
      <c r="B641" t="s">
        <v>2412</v>
      </c>
      <c r="C641" s="6">
        <v>44836</v>
      </c>
      <c r="D641" t="str">
        <f t="shared" si="36"/>
        <v>Oct</v>
      </c>
      <c r="E641" t="str">
        <f t="shared" si="37"/>
        <v>2022</v>
      </c>
      <c r="F641" t="s">
        <v>4</v>
      </c>
      <c r="G641" t="s">
        <v>53</v>
      </c>
      <c r="H641" t="s">
        <v>1091</v>
      </c>
      <c r="I641">
        <v>180</v>
      </c>
      <c r="J641">
        <v>30</v>
      </c>
      <c r="K641">
        <f t="shared" si="38"/>
        <v>16.666666666666664</v>
      </c>
      <c r="L641" t="s">
        <v>1739</v>
      </c>
      <c r="M641" t="s">
        <v>3588</v>
      </c>
      <c r="N641" t="s">
        <v>1</v>
      </c>
      <c r="O641">
        <v>201301</v>
      </c>
      <c r="P641" t="s">
        <v>546</v>
      </c>
      <c r="Q641" t="s">
        <v>1773</v>
      </c>
      <c r="S641">
        <v>15.423999999999999</v>
      </c>
      <c r="T641">
        <v>4</v>
      </c>
      <c r="U641">
        <v>0.2</v>
      </c>
      <c r="V641">
        <v>5.0128000000000004</v>
      </c>
      <c r="W641">
        <f t="shared" si="39"/>
        <v>2.6027999999999998</v>
      </c>
      <c r="X641">
        <v>3</v>
      </c>
    </row>
    <row r="642" spans="1:24" x14ac:dyDescent="0.3">
      <c r="A642">
        <v>641</v>
      </c>
      <c r="B642" t="s">
        <v>2413</v>
      </c>
      <c r="C642" s="6">
        <v>44837</v>
      </c>
      <c r="D642" t="str">
        <f t="shared" si="36"/>
        <v>Oct</v>
      </c>
      <c r="E642" t="str">
        <f t="shared" si="37"/>
        <v>2022</v>
      </c>
      <c r="F642" t="s">
        <v>4</v>
      </c>
      <c r="G642" t="s">
        <v>258</v>
      </c>
      <c r="H642" t="s">
        <v>1092</v>
      </c>
      <c r="I642">
        <v>110</v>
      </c>
      <c r="J642">
        <v>8</v>
      </c>
      <c r="K642">
        <f t="shared" si="38"/>
        <v>7.2727272727272725</v>
      </c>
      <c r="L642" t="s">
        <v>1738</v>
      </c>
      <c r="M642" t="s">
        <v>3638</v>
      </c>
      <c r="N642" t="s">
        <v>1</v>
      </c>
      <c r="O642">
        <v>670307</v>
      </c>
      <c r="P642" t="s">
        <v>546</v>
      </c>
      <c r="Q642" t="s">
        <v>1770</v>
      </c>
      <c r="S642">
        <v>18.84</v>
      </c>
      <c r="T642">
        <v>3</v>
      </c>
      <c r="U642">
        <v>0.1</v>
      </c>
      <c r="V642">
        <v>6.0288000000000004</v>
      </c>
      <c r="W642">
        <f t="shared" si="39"/>
        <v>4.2703999999999995</v>
      </c>
      <c r="X642">
        <v>1</v>
      </c>
    </row>
    <row r="643" spans="1:24" x14ac:dyDescent="0.3">
      <c r="A643">
        <v>642</v>
      </c>
      <c r="B643" t="s">
        <v>2134</v>
      </c>
      <c r="C643" s="6">
        <v>44838</v>
      </c>
      <c r="D643" t="str">
        <f t="shared" ref="D643:D706" si="40">TEXT(C643,"Mmm")</f>
        <v>Oct</v>
      </c>
      <c r="E643" t="str">
        <f t="shared" ref="E643:E706" si="41">TEXT(C643,"YYYY")</f>
        <v>2022</v>
      </c>
      <c r="F643" t="s">
        <v>3</v>
      </c>
      <c r="G643" t="s">
        <v>259</v>
      </c>
      <c r="H643" t="s">
        <v>1093</v>
      </c>
      <c r="I643">
        <v>110</v>
      </c>
      <c r="J643">
        <v>22</v>
      </c>
      <c r="K643">
        <f t="shared" ref="K643:K706" si="42">(J643/I643)*100</f>
        <v>20</v>
      </c>
      <c r="L643" t="s">
        <v>1743</v>
      </c>
      <c r="M643" t="s">
        <v>3742</v>
      </c>
      <c r="N643" t="s">
        <v>1</v>
      </c>
      <c r="O643">
        <v>400708</v>
      </c>
      <c r="P643" t="s">
        <v>546</v>
      </c>
      <c r="Q643" t="s">
        <v>1755</v>
      </c>
      <c r="S643">
        <v>330.4</v>
      </c>
      <c r="T643">
        <v>2</v>
      </c>
      <c r="U643">
        <v>0.1</v>
      </c>
      <c r="V643">
        <v>85.903999999999996</v>
      </c>
      <c r="W643">
        <f t="shared" ref="W643:W706" si="43">(S643-V643)/T643</f>
        <v>122.24799999999999</v>
      </c>
      <c r="X643">
        <v>2</v>
      </c>
    </row>
    <row r="644" spans="1:24" x14ac:dyDescent="0.3">
      <c r="A644">
        <v>643</v>
      </c>
      <c r="B644" t="s">
        <v>2414</v>
      </c>
      <c r="C644" s="6">
        <v>44839</v>
      </c>
      <c r="D644" t="str">
        <f t="shared" si="40"/>
        <v>Oct</v>
      </c>
      <c r="E644" t="str">
        <f t="shared" si="41"/>
        <v>2022</v>
      </c>
      <c r="F644" t="s">
        <v>3</v>
      </c>
      <c r="G644" t="s">
        <v>259</v>
      </c>
      <c r="H644" t="s">
        <v>1094</v>
      </c>
      <c r="I644">
        <v>190</v>
      </c>
      <c r="J644">
        <v>18</v>
      </c>
      <c r="K644">
        <f t="shared" si="42"/>
        <v>9.4736842105263168</v>
      </c>
      <c r="L644" t="s">
        <v>1737</v>
      </c>
      <c r="M644" t="s">
        <v>3743</v>
      </c>
      <c r="N644" t="s">
        <v>1</v>
      </c>
      <c r="O644">
        <v>444105</v>
      </c>
      <c r="P644" t="s">
        <v>546</v>
      </c>
      <c r="Q644" t="s">
        <v>1763</v>
      </c>
      <c r="R644" t="s">
        <v>2</v>
      </c>
      <c r="S644">
        <v>26.25</v>
      </c>
      <c r="T644">
        <v>7</v>
      </c>
      <c r="U644">
        <v>0.1</v>
      </c>
      <c r="V644">
        <v>12.6</v>
      </c>
      <c r="W644">
        <f t="shared" si="43"/>
        <v>1.95</v>
      </c>
      <c r="X644">
        <v>5</v>
      </c>
    </row>
    <row r="645" spans="1:24" x14ac:dyDescent="0.3">
      <c r="A645">
        <v>644</v>
      </c>
      <c r="B645" t="s">
        <v>2415</v>
      </c>
      <c r="C645" s="6">
        <v>44840</v>
      </c>
      <c r="D645" t="str">
        <f t="shared" si="40"/>
        <v>Oct</v>
      </c>
      <c r="E645" t="str">
        <f t="shared" si="41"/>
        <v>2022</v>
      </c>
      <c r="F645" t="s">
        <v>4</v>
      </c>
      <c r="G645" t="s">
        <v>260</v>
      </c>
      <c r="H645" t="s">
        <v>764</v>
      </c>
      <c r="I645">
        <v>130</v>
      </c>
      <c r="J645">
        <v>16</v>
      </c>
      <c r="K645">
        <f t="shared" si="42"/>
        <v>12.307692307692308</v>
      </c>
      <c r="L645" t="s">
        <v>1741</v>
      </c>
      <c r="M645" t="s">
        <v>3744</v>
      </c>
      <c r="N645" t="s">
        <v>1</v>
      </c>
      <c r="O645">
        <v>848101</v>
      </c>
      <c r="P645" t="s">
        <v>546</v>
      </c>
      <c r="Q645" t="s">
        <v>1772</v>
      </c>
      <c r="S645">
        <v>132.52000000000001</v>
      </c>
      <c r="T645">
        <v>4</v>
      </c>
      <c r="U645">
        <v>0.1</v>
      </c>
      <c r="V645">
        <v>54.333199999999998</v>
      </c>
      <c r="W645">
        <f t="shared" si="43"/>
        <v>19.546700000000001</v>
      </c>
      <c r="X645">
        <v>5</v>
      </c>
    </row>
    <row r="646" spans="1:24" x14ac:dyDescent="0.3">
      <c r="A646">
        <v>645</v>
      </c>
      <c r="B646" t="s">
        <v>2416</v>
      </c>
      <c r="C646" s="6">
        <v>44841</v>
      </c>
      <c r="D646" t="str">
        <f t="shared" si="40"/>
        <v>Oct</v>
      </c>
      <c r="E646" t="str">
        <f t="shared" si="41"/>
        <v>2022</v>
      </c>
      <c r="F646" t="s">
        <v>4</v>
      </c>
      <c r="G646" t="s">
        <v>76</v>
      </c>
      <c r="H646" t="s">
        <v>1095</v>
      </c>
      <c r="I646">
        <v>140</v>
      </c>
      <c r="J646">
        <v>30</v>
      </c>
      <c r="K646">
        <f t="shared" si="42"/>
        <v>21.428571428571427</v>
      </c>
      <c r="L646" t="s">
        <v>1736</v>
      </c>
      <c r="M646" t="s">
        <v>3745</v>
      </c>
      <c r="N646" t="s">
        <v>1</v>
      </c>
      <c r="O646">
        <v>848101</v>
      </c>
      <c r="P646" t="s">
        <v>546</v>
      </c>
      <c r="Q646" t="s">
        <v>1769</v>
      </c>
      <c r="S646">
        <v>6.48</v>
      </c>
      <c r="T646">
        <v>1</v>
      </c>
      <c r="U646">
        <v>0.1</v>
      </c>
      <c r="V646">
        <v>3.1751999999999998</v>
      </c>
      <c r="W646">
        <f t="shared" si="43"/>
        <v>3.3048000000000006</v>
      </c>
      <c r="X646">
        <v>3</v>
      </c>
    </row>
    <row r="647" spans="1:24" x14ac:dyDescent="0.3">
      <c r="A647">
        <v>646</v>
      </c>
      <c r="B647" t="s">
        <v>2417</v>
      </c>
      <c r="C647" s="6">
        <v>44842</v>
      </c>
      <c r="D647" t="str">
        <f t="shared" si="40"/>
        <v>Oct</v>
      </c>
      <c r="E647" t="str">
        <f t="shared" si="41"/>
        <v>2022</v>
      </c>
      <c r="F647" t="s">
        <v>4</v>
      </c>
      <c r="G647" t="s">
        <v>261</v>
      </c>
      <c r="H647" t="s">
        <v>1096</v>
      </c>
      <c r="I647">
        <v>150</v>
      </c>
      <c r="J647">
        <v>20</v>
      </c>
      <c r="K647">
        <f t="shared" si="42"/>
        <v>13.333333333333334</v>
      </c>
      <c r="L647" t="s">
        <v>1744</v>
      </c>
      <c r="M647" t="s">
        <v>3746</v>
      </c>
      <c r="N647" t="s">
        <v>1</v>
      </c>
      <c r="O647">
        <v>380008</v>
      </c>
      <c r="P647" t="s">
        <v>546</v>
      </c>
      <c r="Q647" t="s">
        <v>1774</v>
      </c>
      <c r="R647" t="s">
        <v>2</v>
      </c>
      <c r="S647">
        <v>209.3</v>
      </c>
      <c r="T647">
        <v>2</v>
      </c>
      <c r="U647">
        <v>0.1</v>
      </c>
      <c r="V647">
        <v>56.511000000000003</v>
      </c>
      <c r="W647">
        <f t="shared" si="43"/>
        <v>76.394500000000008</v>
      </c>
      <c r="X647">
        <v>5</v>
      </c>
    </row>
    <row r="648" spans="1:24" x14ac:dyDescent="0.3">
      <c r="A648">
        <v>647</v>
      </c>
      <c r="B648" t="s">
        <v>2418</v>
      </c>
      <c r="C648" s="6">
        <v>44843</v>
      </c>
      <c r="D648" t="str">
        <f t="shared" si="40"/>
        <v>Oct</v>
      </c>
      <c r="E648" t="str">
        <f t="shared" si="41"/>
        <v>2022</v>
      </c>
      <c r="F648" t="s">
        <v>4</v>
      </c>
      <c r="G648" t="s">
        <v>128</v>
      </c>
      <c r="H648" t="s">
        <v>1097</v>
      </c>
      <c r="I648">
        <v>110</v>
      </c>
      <c r="J648">
        <v>28</v>
      </c>
      <c r="K648">
        <f t="shared" si="42"/>
        <v>25.454545454545453</v>
      </c>
      <c r="L648" t="s">
        <v>1740</v>
      </c>
      <c r="M648" t="s">
        <v>3586</v>
      </c>
      <c r="N648" t="s">
        <v>1</v>
      </c>
      <c r="O648">
        <v>413501</v>
      </c>
      <c r="P648" t="s">
        <v>546</v>
      </c>
      <c r="Q648" t="s">
        <v>1773</v>
      </c>
      <c r="S648">
        <v>31.56</v>
      </c>
      <c r="T648">
        <v>5</v>
      </c>
      <c r="U648">
        <v>0.2</v>
      </c>
      <c r="V648">
        <v>9.8625000000000007</v>
      </c>
      <c r="W648">
        <f t="shared" si="43"/>
        <v>4.3394999999999992</v>
      </c>
      <c r="X648">
        <v>5</v>
      </c>
    </row>
    <row r="649" spans="1:24" x14ac:dyDescent="0.3">
      <c r="A649">
        <v>648</v>
      </c>
      <c r="B649" t="s">
        <v>2419</v>
      </c>
      <c r="C649" s="6">
        <v>44844</v>
      </c>
      <c r="D649" t="str">
        <f t="shared" si="40"/>
        <v>Oct</v>
      </c>
      <c r="E649" t="str">
        <f t="shared" si="41"/>
        <v>2022</v>
      </c>
      <c r="F649" t="s">
        <v>4</v>
      </c>
      <c r="G649" t="s">
        <v>128</v>
      </c>
      <c r="H649" t="s">
        <v>1098</v>
      </c>
      <c r="I649">
        <v>140</v>
      </c>
      <c r="J649">
        <v>14</v>
      </c>
      <c r="K649">
        <f t="shared" si="42"/>
        <v>10</v>
      </c>
      <c r="L649" t="s">
        <v>1742</v>
      </c>
      <c r="M649" t="s">
        <v>3676</v>
      </c>
      <c r="N649" t="s">
        <v>1</v>
      </c>
      <c r="O649">
        <v>600117</v>
      </c>
      <c r="P649" t="s">
        <v>546</v>
      </c>
      <c r="Q649" t="s">
        <v>1766</v>
      </c>
      <c r="R649" t="s">
        <v>2</v>
      </c>
      <c r="S649">
        <v>30.143999999999998</v>
      </c>
      <c r="T649">
        <v>2</v>
      </c>
      <c r="U649">
        <v>0.2</v>
      </c>
      <c r="V649">
        <v>3.0144000000000002</v>
      </c>
      <c r="W649">
        <f t="shared" si="43"/>
        <v>13.564799999999998</v>
      </c>
      <c r="X649">
        <v>1</v>
      </c>
    </row>
    <row r="650" spans="1:24" x14ac:dyDescent="0.3">
      <c r="A650">
        <v>649</v>
      </c>
      <c r="B650" t="s">
        <v>2420</v>
      </c>
      <c r="C650" s="6">
        <v>44845</v>
      </c>
      <c r="D650" t="str">
        <f t="shared" si="40"/>
        <v>Oct</v>
      </c>
      <c r="E650" t="str">
        <f t="shared" si="41"/>
        <v>2022</v>
      </c>
      <c r="F650" t="s">
        <v>3</v>
      </c>
      <c r="G650" t="s">
        <v>262</v>
      </c>
      <c r="H650" t="s">
        <v>892</v>
      </c>
      <c r="I650">
        <v>140</v>
      </c>
      <c r="J650">
        <v>18</v>
      </c>
      <c r="K650">
        <f t="shared" si="42"/>
        <v>12.857142857142856</v>
      </c>
      <c r="L650" t="s">
        <v>1739</v>
      </c>
      <c r="M650" t="s">
        <v>3657</v>
      </c>
      <c r="N650" t="s">
        <v>1</v>
      </c>
      <c r="O650">
        <v>400028</v>
      </c>
      <c r="P650" t="s">
        <v>546</v>
      </c>
      <c r="Q650" t="s">
        <v>1761</v>
      </c>
      <c r="R650" t="s">
        <v>2</v>
      </c>
      <c r="S650">
        <v>14.8</v>
      </c>
      <c r="T650">
        <v>4</v>
      </c>
      <c r="U650">
        <v>0.1</v>
      </c>
      <c r="V650">
        <v>6.0679999999999996</v>
      </c>
      <c r="W650">
        <f t="shared" si="43"/>
        <v>2.1830000000000003</v>
      </c>
      <c r="X650">
        <v>4</v>
      </c>
    </row>
    <row r="651" spans="1:24" x14ac:dyDescent="0.3">
      <c r="A651">
        <v>650</v>
      </c>
      <c r="B651" t="s">
        <v>2421</v>
      </c>
      <c r="C651" s="6">
        <v>44846</v>
      </c>
      <c r="D651" t="str">
        <f t="shared" si="40"/>
        <v>Oct</v>
      </c>
      <c r="E651" t="str">
        <f t="shared" si="41"/>
        <v>2022</v>
      </c>
      <c r="F651" t="s">
        <v>3</v>
      </c>
      <c r="G651" t="s">
        <v>262</v>
      </c>
      <c r="H651" t="s">
        <v>719</v>
      </c>
      <c r="I651">
        <v>100</v>
      </c>
      <c r="J651">
        <v>6</v>
      </c>
      <c r="K651">
        <f t="shared" si="42"/>
        <v>6</v>
      </c>
      <c r="L651" t="s">
        <v>1738</v>
      </c>
      <c r="M651" t="s">
        <v>3618</v>
      </c>
      <c r="N651" t="s">
        <v>1</v>
      </c>
      <c r="O651">
        <v>584102</v>
      </c>
      <c r="P651" t="s">
        <v>546</v>
      </c>
      <c r="Q651" t="s">
        <v>1776</v>
      </c>
      <c r="S651">
        <v>302.37599999999998</v>
      </c>
      <c r="T651">
        <v>3</v>
      </c>
      <c r="U651">
        <v>0.2</v>
      </c>
      <c r="V651">
        <v>22.6782</v>
      </c>
      <c r="W651">
        <f t="shared" si="43"/>
        <v>93.232599999999991</v>
      </c>
      <c r="X651">
        <v>3</v>
      </c>
    </row>
    <row r="652" spans="1:24" x14ac:dyDescent="0.3">
      <c r="A652">
        <v>651</v>
      </c>
      <c r="B652" t="s">
        <v>2422</v>
      </c>
      <c r="C652" s="6">
        <v>44847</v>
      </c>
      <c r="D652" t="str">
        <f t="shared" si="40"/>
        <v>Oct</v>
      </c>
      <c r="E652" t="str">
        <f t="shared" si="41"/>
        <v>2022</v>
      </c>
      <c r="F652" t="s">
        <v>3</v>
      </c>
      <c r="G652" t="s">
        <v>262</v>
      </c>
      <c r="H652" t="s">
        <v>1099</v>
      </c>
      <c r="I652">
        <v>240</v>
      </c>
      <c r="J652">
        <v>10</v>
      </c>
      <c r="K652">
        <f t="shared" si="42"/>
        <v>4.1666666666666661</v>
      </c>
      <c r="L652" t="s">
        <v>1737</v>
      </c>
      <c r="M652" t="s">
        <v>3748</v>
      </c>
      <c r="N652" t="s">
        <v>1</v>
      </c>
      <c r="O652">
        <v>411007</v>
      </c>
      <c r="P652" t="s">
        <v>546</v>
      </c>
      <c r="Q652" t="s">
        <v>1764</v>
      </c>
      <c r="S652">
        <v>316</v>
      </c>
      <c r="T652">
        <v>4</v>
      </c>
      <c r="U652">
        <v>0.1</v>
      </c>
      <c r="V652">
        <v>31.6</v>
      </c>
      <c r="W652">
        <f t="shared" si="43"/>
        <v>71.099999999999994</v>
      </c>
      <c r="X652">
        <v>3</v>
      </c>
    </row>
    <row r="653" spans="1:24" x14ac:dyDescent="0.3">
      <c r="A653">
        <v>652</v>
      </c>
      <c r="B653" t="s">
        <v>2423</v>
      </c>
      <c r="C653" s="6">
        <v>44848</v>
      </c>
      <c r="D653" t="str">
        <f t="shared" si="40"/>
        <v>Oct</v>
      </c>
      <c r="E653" t="str">
        <f t="shared" si="41"/>
        <v>2022</v>
      </c>
      <c r="F653" t="s">
        <v>4</v>
      </c>
      <c r="G653" t="s">
        <v>263</v>
      </c>
      <c r="H653" t="s">
        <v>614</v>
      </c>
      <c r="I653">
        <v>120</v>
      </c>
      <c r="J653">
        <v>6</v>
      </c>
      <c r="K653">
        <f t="shared" si="42"/>
        <v>5</v>
      </c>
      <c r="L653" t="s">
        <v>1743</v>
      </c>
      <c r="M653" t="s">
        <v>3749</v>
      </c>
      <c r="N653" t="s">
        <v>1</v>
      </c>
      <c r="O653">
        <v>625512</v>
      </c>
      <c r="P653" t="s">
        <v>546</v>
      </c>
      <c r="Q653" t="s">
        <v>1759</v>
      </c>
      <c r="S653">
        <v>379.4</v>
      </c>
      <c r="T653">
        <v>10</v>
      </c>
      <c r="U653">
        <v>0.1</v>
      </c>
      <c r="V653">
        <v>178.31800000000001</v>
      </c>
      <c r="W653">
        <f t="shared" si="43"/>
        <v>20.108199999999997</v>
      </c>
      <c r="X653">
        <v>1</v>
      </c>
    </row>
    <row r="654" spans="1:24" x14ac:dyDescent="0.3">
      <c r="A654">
        <v>653</v>
      </c>
      <c r="B654" t="s">
        <v>2424</v>
      </c>
      <c r="C654" s="6">
        <v>44849</v>
      </c>
      <c r="D654" t="str">
        <f t="shared" si="40"/>
        <v>Oct</v>
      </c>
      <c r="E654" t="str">
        <f t="shared" si="41"/>
        <v>2022</v>
      </c>
      <c r="F654" t="s">
        <v>4</v>
      </c>
      <c r="G654" t="s">
        <v>160</v>
      </c>
      <c r="H654" t="s">
        <v>609</v>
      </c>
      <c r="I654">
        <v>190</v>
      </c>
      <c r="J654">
        <v>6</v>
      </c>
      <c r="K654">
        <f t="shared" si="42"/>
        <v>3.1578947368421053</v>
      </c>
      <c r="L654" t="s">
        <v>1738</v>
      </c>
      <c r="M654" t="s">
        <v>3750</v>
      </c>
      <c r="O654">
        <v>403709</v>
      </c>
      <c r="P654" t="s">
        <v>546</v>
      </c>
      <c r="Q654" t="s">
        <v>1761</v>
      </c>
      <c r="S654">
        <v>97.82</v>
      </c>
      <c r="T654">
        <v>2</v>
      </c>
      <c r="U654">
        <v>0.1</v>
      </c>
      <c r="V654">
        <v>45.9754</v>
      </c>
      <c r="W654">
        <f t="shared" si="43"/>
        <v>25.922299999999996</v>
      </c>
      <c r="X654">
        <v>1</v>
      </c>
    </row>
    <row r="655" spans="1:24" x14ac:dyDescent="0.3">
      <c r="A655">
        <v>654</v>
      </c>
      <c r="B655" t="s">
        <v>2425</v>
      </c>
      <c r="C655" s="6">
        <v>44850</v>
      </c>
      <c r="D655" t="str">
        <f t="shared" si="40"/>
        <v>Oct</v>
      </c>
      <c r="E655" t="str">
        <f t="shared" si="41"/>
        <v>2022</v>
      </c>
      <c r="F655" t="s">
        <v>4</v>
      </c>
      <c r="G655" t="s">
        <v>160</v>
      </c>
      <c r="H655" t="s">
        <v>1100</v>
      </c>
      <c r="I655">
        <v>230</v>
      </c>
      <c r="J655">
        <v>18</v>
      </c>
      <c r="K655">
        <f t="shared" si="42"/>
        <v>7.8260869565217401</v>
      </c>
      <c r="L655" t="s">
        <v>1739</v>
      </c>
      <c r="M655" t="s">
        <v>3751</v>
      </c>
      <c r="N655" t="s">
        <v>1</v>
      </c>
      <c r="O655">
        <v>226022</v>
      </c>
      <c r="P655" t="s">
        <v>546</v>
      </c>
      <c r="Q655" t="s">
        <v>1769</v>
      </c>
      <c r="S655">
        <v>103.12</v>
      </c>
      <c r="T655">
        <v>8</v>
      </c>
      <c r="U655">
        <v>0.1</v>
      </c>
      <c r="V655">
        <v>10.311999999999999</v>
      </c>
      <c r="W655">
        <f t="shared" si="43"/>
        <v>11.601000000000001</v>
      </c>
      <c r="X655">
        <v>1</v>
      </c>
    </row>
    <row r="656" spans="1:24" x14ac:dyDescent="0.3">
      <c r="A656">
        <v>655</v>
      </c>
      <c r="B656" t="s">
        <v>2426</v>
      </c>
      <c r="C656" s="6">
        <v>44851</v>
      </c>
      <c r="D656" t="str">
        <f t="shared" si="40"/>
        <v>Oct</v>
      </c>
      <c r="E656" t="str">
        <f t="shared" si="41"/>
        <v>2022</v>
      </c>
      <c r="F656" t="s">
        <v>4</v>
      </c>
      <c r="G656" t="s">
        <v>264</v>
      </c>
      <c r="H656" t="s">
        <v>1101</v>
      </c>
      <c r="I656">
        <v>220</v>
      </c>
      <c r="J656">
        <v>10</v>
      </c>
      <c r="K656">
        <f t="shared" si="42"/>
        <v>4.5454545454545459</v>
      </c>
      <c r="L656" t="s">
        <v>1741</v>
      </c>
      <c r="M656" t="s">
        <v>3752</v>
      </c>
      <c r="N656" t="s">
        <v>1</v>
      </c>
      <c r="O656">
        <v>700101</v>
      </c>
      <c r="P656" t="s">
        <v>546</v>
      </c>
      <c r="Q656" t="s">
        <v>1759</v>
      </c>
      <c r="S656">
        <v>113.55200000000001</v>
      </c>
      <c r="T656">
        <v>2</v>
      </c>
      <c r="U656">
        <v>0.2</v>
      </c>
      <c r="V656">
        <v>8.5164000000000009</v>
      </c>
      <c r="W656">
        <f t="shared" si="43"/>
        <v>52.517800000000001</v>
      </c>
      <c r="X656">
        <v>1</v>
      </c>
    </row>
    <row r="657" spans="1:24" x14ac:dyDescent="0.3">
      <c r="A657">
        <v>656</v>
      </c>
      <c r="B657" t="s">
        <v>2427</v>
      </c>
      <c r="C657" s="6">
        <v>44852</v>
      </c>
      <c r="D657" t="str">
        <f t="shared" si="40"/>
        <v>Oct</v>
      </c>
      <c r="E657" t="str">
        <f t="shared" si="41"/>
        <v>2022</v>
      </c>
      <c r="F657" t="s">
        <v>4</v>
      </c>
      <c r="G657" t="s">
        <v>264</v>
      </c>
      <c r="H657" t="s">
        <v>1102</v>
      </c>
      <c r="I657">
        <v>180</v>
      </c>
      <c r="J657">
        <v>6</v>
      </c>
      <c r="K657">
        <f t="shared" si="42"/>
        <v>3.3333333333333335</v>
      </c>
      <c r="L657" t="s">
        <v>1736</v>
      </c>
      <c r="M657" t="s">
        <v>3753</v>
      </c>
      <c r="N657" t="s">
        <v>1</v>
      </c>
      <c r="O657">
        <v>160036</v>
      </c>
      <c r="P657" t="s">
        <v>546</v>
      </c>
      <c r="Q657" t="s">
        <v>1774</v>
      </c>
      <c r="S657">
        <v>3.3180000000000001</v>
      </c>
      <c r="T657">
        <v>2</v>
      </c>
      <c r="U657">
        <v>0.7</v>
      </c>
      <c r="V657">
        <v>-2.6543999999999999</v>
      </c>
      <c r="W657">
        <f t="shared" si="43"/>
        <v>2.9862000000000002</v>
      </c>
      <c r="X657">
        <v>5</v>
      </c>
    </row>
    <row r="658" spans="1:24" x14ac:dyDescent="0.3">
      <c r="A658">
        <v>657</v>
      </c>
      <c r="B658" t="s">
        <v>2428</v>
      </c>
      <c r="C658" s="6">
        <v>44853</v>
      </c>
      <c r="D658" t="str">
        <f t="shared" si="40"/>
        <v>Oct</v>
      </c>
      <c r="E658" t="str">
        <f t="shared" si="41"/>
        <v>2022</v>
      </c>
      <c r="F658" t="s">
        <v>4</v>
      </c>
      <c r="G658" t="s">
        <v>264</v>
      </c>
      <c r="H658" t="s">
        <v>1103</v>
      </c>
      <c r="I658">
        <v>240</v>
      </c>
      <c r="J658">
        <v>16</v>
      </c>
      <c r="K658">
        <f t="shared" si="42"/>
        <v>6.666666666666667</v>
      </c>
      <c r="L658" t="s">
        <v>1744</v>
      </c>
      <c r="M658" t="s">
        <v>3754</v>
      </c>
      <c r="N658" t="s">
        <v>1</v>
      </c>
      <c r="O658">
        <v>581301</v>
      </c>
      <c r="P658" t="s">
        <v>546</v>
      </c>
      <c r="Q658" t="s">
        <v>1774</v>
      </c>
      <c r="S658">
        <v>134.28800000000001</v>
      </c>
      <c r="T658">
        <v>2</v>
      </c>
      <c r="U658">
        <v>0.2</v>
      </c>
      <c r="V658">
        <v>45.322200000000002</v>
      </c>
      <c r="W658">
        <f t="shared" si="43"/>
        <v>44.482900000000001</v>
      </c>
      <c r="X658">
        <v>2</v>
      </c>
    </row>
    <row r="659" spans="1:24" x14ac:dyDescent="0.3">
      <c r="A659">
        <v>658</v>
      </c>
      <c r="B659" t="s">
        <v>2429</v>
      </c>
      <c r="C659" s="6">
        <v>44854</v>
      </c>
      <c r="D659" t="str">
        <f t="shared" si="40"/>
        <v>Oct</v>
      </c>
      <c r="E659" t="str">
        <f t="shared" si="41"/>
        <v>2022</v>
      </c>
      <c r="F659" t="s">
        <v>6</v>
      </c>
      <c r="G659" t="s">
        <v>265</v>
      </c>
      <c r="H659" t="s">
        <v>992</v>
      </c>
      <c r="I659">
        <v>150</v>
      </c>
      <c r="J659">
        <v>24</v>
      </c>
      <c r="K659">
        <f t="shared" si="42"/>
        <v>16</v>
      </c>
      <c r="L659" t="s">
        <v>1740</v>
      </c>
      <c r="M659" t="s">
        <v>3755</v>
      </c>
      <c r="N659" t="s">
        <v>1</v>
      </c>
      <c r="O659">
        <v>226022</v>
      </c>
      <c r="P659" t="s">
        <v>546</v>
      </c>
      <c r="Q659" t="s">
        <v>1770</v>
      </c>
      <c r="S659">
        <v>701.37199999999996</v>
      </c>
      <c r="T659">
        <v>2</v>
      </c>
      <c r="U659">
        <v>0.3</v>
      </c>
      <c r="V659">
        <v>-50.097999999999999</v>
      </c>
      <c r="W659">
        <f t="shared" si="43"/>
        <v>375.73499999999996</v>
      </c>
      <c r="X659">
        <v>4</v>
      </c>
    </row>
    <row r="660" spans="1:24" x14ac:dyDescent="0.3">
      <c r="A660">
        <v>659</v>
      </c>
      <c r="B660" t="s">
        <v>2430</v>
      </c>
      <c r="C660" s="6">
        <v>44855</v>
      </c>
      <c r="D660" t="str">
        <f t="shared" si="40"/>
        <v>Oct</v>
      </c>
      <c r="E660" t="str">
        <f t="shared" si="41"/>
        <v>2022</v>
      </c>
      <c r="F660" t="s">
        <v>6</v>
      </c>
      <c r="G660" t="s">
        <v>265</v>
      </c>
      <c r="H660" t="s">
        <v>615</v>
      </c>
      <c r="I660">
        <v>230</v>
      </c>
      <c r="J660">
        <v>28</v>
      </c>
      <c r="K660">
        <f t="shared" si="42"/>
        <v>12.173913043478262</v>
      </c>
      <c r="L660" t="s">
        <v>1742</v>
      </c>
      <c r="M660" t="s">
        <v>3756</v>
      </c>
      <c r="N660" t="s">
        <v>1</v>
      </c>
      <c r="O660">
        <v>110075</v>
      </c>
      <c r="P660" t="s">
        <v>546</v>
      </c>
      <c r="Q660" t="s">
        <v>1758</v>
      </c>
      <c r="S660">
        <v>2.3079999999999998</v>
      </c>
      <c r="T660">
        <v>2</v>
      </c>
      <c r="U660">
        <v>0.8</v>
      </c>
      <c r="V660">
        <v>-3.4620000000000002</v>
      </c>
      <c r="W660">
        <f t="shared" si="43"/>
        <v>2.8849999999999998</v>
      </c>
      <c r="X660">
        <v>3</v>
      </c>
    </row>
    <row r="661" spans="1:24" x14ac:dyDescent="0.3">
      <c r="A661">
        <v>660</v>
      </c>
      <c r="B661" t="s">
        <v>2431</v>
      </c>
      <c r="C661" s="6">
        <v>44856</v>
      </c>
      <c r="D661" t="str">
        <f t="shared" si="40"/>
        <v>Oct</v>
      </c>
      <c r="E661" t="str">
        <f t="shared" si="41"/>
        <v>2022</v>
      </c>
      <c r="F661" t="s">
        <v>4</v>
      </c>
      <c r="G661" t="s">
        <v>97</v>
      </c>
      <c r="H661" t="s">
        <v>1065</v>
      </c>
      <c r="I661">
        <v>130</v>
      </c>
      <c r="J661">
        <v>22</v>
      </c>
      <c r="K661">
        <f t="shared" si="42"/>
        <v>16.923076923076923</v>
      </c>
      <c r="L661" t="s">
        <v>1739</v>
      </c>
      <c r="M661" t="s">
        <v>3757</v>
      </c>
      <c r="N661" t="s">
        <v>1</v>
      </c>
      <c r="O661">
        <v>226003</v>
      </c>
      <c r="P661" t="s">
        <v>546</v>
      </c>
      <c r="Q661" t="s">
        <v>1763</v>
      </c>
      <c r="S661">
        <v>999.43200000000002</v>
      </c>
      <c r="T661">
        <v>7</v>
      </c>
      <c r="U661">
        <v>0.2</v>
      </c>
      <c r="V661">
        <v>124.929</v>
      </c>
      <c r="W661">
        <f t="shared" si="43"/>
        <v>124.929</v>
      </c>
      <c r="X661">
        <v>5</v>
      </c>
    </row>
    <row r="662" spans="1:24" x14ac:dyDescent="0.3">
      <c r="A662">
        <v>661</v>
      </c>
      <c r="B662" t="s">
        <v>2432</v>
      </c>
      <c r="C662" s="6">
        <v>44857</v>
      </c>
      <c r="D662" t="str">
        <f t="shared" si="40"/>
        <v>Oct</v>
      </c>
      <c r="E662" t="str">
        <f t="shared" si="41"/>
        <v>2022</v>
      </c>
      <c r="F662" t="s">
        <v>4</v>
      </c>
      <c r="G662" t="s">
        <v>97</v>
      </c>
      <c r="H662" t="s">
        <v>1104</v>
      </c>
      <c r="I662">
        <v>110</v>
      </c>
      <c r="J662">
        <v>26</v>
      </c>
      <c r="K662">
        <f t="shared" si="42"/>
        <v>23.636363636363637</v>
      </c>
      <c r="L662" t="s">
        <v>1738</v>
      </c>
      <c r="M662" t="s">
        <v>3758</v>
      </c>
      <c r="N662" t="s">
        <v>1</v>
      </c>
      <c r="O662">
        <v>121002</v>
      </c>
      <c r="P662" t="s">
        <v>546</v>
      </c>
      <c r="Q662" t="s">
        <v>1758</v>
      </c>
      <c r="S662">
        <v>724.08</v>
      </c>
      <c r="T662">
        <v>14</v>
      </c>
      <c r="U662">
        <v>0.2</v>
      </c>
      <c r="V662">
        <v>-135.76499999999999</v>
      </c>
      <c r="W662">
        <f t="shared" si="43"/>
        <v>61.417500000000004</v>
      </c>
      <c r="X662">
        <v>3</v>
      </c>
    </row>
    <row r="663" spans="1:24" x14ac:dyDescent="0.3">
      <c r="A663">
        <v>662</v>
      </c>
      <c r="B663" t="s">
        <v>2433</v>
      </c>
      <c r="C663" s="6">
        <v>44858</v>
      </c>
      <c r="D663" t="str">
        <f t="shared" si="40"/>
        <v>Oct</v>
      </c>
      <c r="E663" t="str">
        <f t="shared" si="41"/>
        <v>2022</v>
      </c>
      <c r="F663" t="s">
        <v>4</v>
      </c>
      <c r="G663" t="s">
        <v>97</v>
      </c>
      <c r="H663" t="s">
        <v>661</v>
      </c>
      <c r="I663">
        <v>180</v>
      </c>
      <c r="J663">
        <v>14</v>
      </c>
      <c r="K663">
        <f t="shared" si="42"/>
        <v>7.7777777777777777</v>
      </c>
      <c r="L663" t="s">
        <v>1743</v>
      </c>
      <c r="M663" t="s">
        <v>3759</v>
      </c>
      <c r="N663" t="s">
        <v>1</v>
      </c>
      <c r="O663">
        <v>524002</v>
      </c>
      <c r="P663" t="s">
        <v>546</v>
      </c>
      <c r="Q663" t="s">
        <v>1766</v>
      </c>
      <c r="S663">
        <v>918.78499999999997</v>
      </c>
      <c r="T663">
        <v>5</v>
      </c>
      <c r="U663">
        <v>0.3</v>
      </c>
      <c r="V663">
        <v>-118.12949999999999</v>
      </c>
      <c r="W663">
        <f t="shared" si="43"/>
        <v>207.38289999999998</v>
      </c>
      <c r="X663">
        <v>5</v>
      </c>
    </row>
    <row r="664" spans="1:24" x14ac:dyDescent="0.3">
      <c r="A664">
        <v>663</v>
      </c>
      <c r="B664" t="s">
        <v>2434</v>
      </c>
      <c r="C664" s="6">
        <v>44859</v>
      </c>
      <c r="D664" t="str">
        <f t="shared" si="40"/>
        <v>Oct</v>
      </c>
      <c r="E664" t="str">
        <f t="shared" si="41"/>
        <v>2022</v>
      </c>
      <c r="F664" t="s">
        <v>4</v>
      </c>
      <c r="G664" t="s">
        <v>97</v>
      </c>
      <c r="H664" t="s">
        <v>656</v>
      </c>
      <c r="I664">
        <v>150</v>
      </c>
      <c r="J664">
        <v>26</v>
      </c>
      <c r="K664">
        <f t="shared" si="42"/>
        <v>17.333333333333336</v>
      </c>
      <c r="L664" t="s">
        <v>1737</v>
      </c>
      <c r="M664" t="s">
        <v>3760</v>
      </c>
      <c r="N664" t="s">
        <v>1</v>
      </c>
      <c r="O664">
        <v>134113</v>
      </c>
      <c r="P664" t="s">
        <v>546</v>
      </c>
      <c r="Q664" t="s">
        <v>1763</v>
      </c>
      <c r="S664">
        <v>2.7240000000000002</v>
      </c>
      <c r="T664">
        <v>3</v>
      </c>
      <c r="U664">
        <v>0.8</v>
      </c>
      <c r="V664">
        <v>-4.2222</v>
      </c>
      <c r="W664">
        <f t="shared" si="43"/>
        <v>2.3153999999999999</v>
      </c>
      <c r="X664">
        <v>1</v>
      </c>
    </row>
    <row r="665" spans="1:24" x14ac:dyDescent="0.3">
      <c r="A665">
        <v>664</v>
      </c>
      <c r="B665" t="s">
        <v>2435</v>
      </c>
      <c r="C665" s="6">
        <v>44860</v>
      </c>
      <c r="D665" t="str">
        <f t="shared" si="40"/>
        <v>Oct</v>
      </c>
      <c r="E665" t="str">
        <f t="shared" si="41"/>
        <v>2022</v>
      </c>
      <c r="F665" t="s">
        <v>4</v>
      </c>
      <c r="G665" t="s">
        <v>266</v>
      </c>
      <c r="H665" t="s">
        <v>743</v>
      </c>
      <c r="I665">
        <v>150</v>
      </c>
      <c r="J665">
        <v>24</v>
      </c>
      <c r="K665">
        <f t="shared" si="42"/>
        <v>16</v>
      </c>
      <c r="L665" t="s">
        <v>1741</v>
      </c>
      <c r="M665" t="s">
        <v>3761</v>
      </c>
      <c r="N665" t="s">
        <v>1</v>
      </c>
      <c r="O665">
        <v>482001</v>
      </c>
      <c r="P665" t="s">
        <v>546</v>
      </c>
      <c r="Q665" t="s">
        <v>1776</v>
      </c>
      <c r="S665">
        <v>459.95</v>
      </c>
      <c r="T665">
        <v>5</v>
      </c>
      <c r="U665">
        <v>0.1</v>
      </c>
      <c r="V665">
        <v>18.398</v>
      </c>
      <c r="W665">
        <f t="shared" si="43"/>
        <v>88.310399999999987</v>
      </c>
      <c r="X665">
        <v>4</v>
      </c>
    </row>
    <row r="666" spans="1:24" x14ac:dyDescent="0.3">
      <c r="A666">
        <v>665</v>
      </c>
      <c r="B666" t="s">
        <v>2436</v>
      </c>
      <c r="C666" s="6">
        <v>44861</v>
      </c>
      <c r="D666" t="str">
        <f t="shared" si="40"/>
        <v>Oct</v>
      </c>
      <c r="E666" t="str">
        <f t="shared" si="41"/>
        <v>2022</v>
      </c>
      <c r="F666" t="s">
        <v>6</v>
      </c>
      <c r="G666" t="s">
        <v>123</v>
      </c>
      <c r="H666" t="s">
        <v>657</v>
      </c>
      <c r="I666">
        <v>250</v>
      </c>
      <c r="J666">
        <v>18</v>
      </c>
      <c r="K666">
        <f t="shared" si="42"/>
        <v>7.1999999999999993</v>
      </c>
      <c r="L666" t="s">
        <v>1736</v>
      </c>
      <c r="M666" t="s">
        <v>3762</v>
      </c>
      <c r="N666" t="s">
        <v>1</v>
      </c>
      <c r="O666">
        <v>799001</v>
      </c>
      <c r="P666" t="s">
        <v>546</v>
      </c>
      <c r="Q666" t="s">
        <v>1768</v>
      </c>
      <c r="S666">
        <v>10.74</v>
      </c>
      <c r="T666">
        <v>3</v>
      </c>
      <c r="U666">
        <v>0.1</v>
      </c>
      <c r="V666">
        <v>5.2625999999999999</v>
      </c>
      <c r="W666">
        <f t="shared" si="43"/>
        <v>1.8258000000000001</v>
      </c>
      <c r="X666">
        <v>3</v>
      </c>
    </row>
    <row r="667" spans="1:24" x14ac:dyDescent="0.3">
      <c r="A667">
        <v>666</v>
      </c>
      <c r="B667" t="s">
        <v>2437</v>
      </c>
      <c r="C667" s="6">
        <v>44862</v>
      </c>
      <c r="D667" t="str">
        <f t="shared" si="40"/>
        <v>Oct</v>
      </c>
      <c r="E667" t="str">
        <f t="shared" si="41"/>
        <v>2022</v>
      </c>
      <c r="F667" t="s">
        <v>3</v>
      </c>
      <c r="G667" t="s">
        <v>267</v>
      </c>
      <c r="H667" t="s">
        <v>1105</v>
      </c>
      <c r="I667">
        <v>190</v>
      </c>
      <c r="J667">
        <v>22</v>
      </c>
      <c r="K667">
        <f t="shared" si="42"/>
        <v>11.578947368421053</v>
      </c>
      <c r="L667" t="s">
        <v>1744</v>
      </c>
      <c r="M667" t="s">
        <v>3763</v>
      </c>
      <c r="N667" t="s">
        <v>1</v>
      </c>
      <c r="O667">
        <v>500048</v>
      </c>
      <c r="P667" t="s">
        <v>546</v>
      </c>
      <c r="Q667" t="s">
        <v>1765</v>
      </c>
      <c r="S667">
        <v>23.76</v>
      </c>
      <c r="T667">
        <v>3</v>
      </c>
      <c r="U667">
        <v>0.2</v>
      </c>
      <c r="V667">
        <v>2.0790000000000002</v>
      </c>
      <c r="W667">
        <f t="shared" si="43"/>
        <v>7.2270000000000003</v>
      </c>
      <c r="X667">
        <v>1</v>
      </c>
    </row>
    <row r="668" spans="1:24" x14ac:dyDescent="0.3">
      <c r="A668">
        <v>667</v>
      </c>
      <c r="B668" t="s">
        <v>2438</v>
      </c>
      <c r="C668" s="6">
        <v>44863</v>
      </c>
      <c r="D668" t="str">
        <f t="shared" si="40"/>
        <v>Oct</v>
      </c>
      <c r="E668" t="str">
        <f t="shared" si="41"/>
        <v>2022</v>
      </c>
      <c r="F668" t="s">
        <v>3</v>
      </c>
      <c r="G668" t="s">
        <v>267</v>
      </c>
      <c r="H668" t="s">
        <v>805</v>
      </c>
      <c r="I668">
        <v>140</v>
      </c>
      <c r="J668">
        <v>18</v>
      </c>
      <c r="K668">
        <f t="shared" si="42"/>
        <v>12.857142857142856</v>
      </c>
      <c r="L668" t="s">
        <v>1740</v>
      </c>
      <c r="M668" t="s">
        <v>3764</v>
      </c>
      <c r="N668" t="s">
        <v>1</v>
      </c>
      <c r="O668">
        <v>400706</v>
      </c>
      <c r="P668" t="s">
        <v>546</v>
      </c>
      <c r="Q668" t="s">
        <v>1761</v>
      </c>
      <c r="S668">
        <v>85.055999999999997</v>
      </c>
      <c r="T668">
        <v>3</v>
      </c>
      <c r="U668">
        <v>0.2</v>
      </c>
      <c r="V668">
        <v>28.706399999999999</v>
      </c>
      <c r="W668">
        <f t="shared" si="43"/>
        <v>18.783199999999997</v>
      </c>
      <c r="X668">
        <v>3</v>
      </c>
    </row>
    <row r="669" spans="1:24" x14ac:dyDescent="0.3">
      <c r="A669">
        <v>668</v>
      </c>
      <c r="B669" t="s">
        <v>2439</v>
      </c>
      <c r="C669" s="6">
        <v>44864</v>
      </c>
      <c r="D669" t="str">
        <f t="shared" si="40"/>
        <v>Oct</v>
      </c>
      <c r="E669" t="str">
        <f t="shared" si="41"/>
        <v>2022</v>
      </c>
      <c r="F669" t="s">
        <v>3</v>
      </c>
      <c r="G669" t="s">
        <v>267</v>
      </c>
      <c r="H669" t="s">
        <v>1106</v>
      </c>
      <c r="I669">
        <v>170</v>
      </c>
      <c r="J669">
        <v>12</v>
      </c>
      <c r="K669">
        <f t="shared" si="42"/>
        <v>7.0588235294117645</v>
      </c>
      <c r="L669" t="s">
        <v>1742</v>
      </c>
      <c r="M669" t="s">
        <v>3765</v>
      </c>
      <c r="N669" t="s">
        <v>1</v>
      </c>
      <c r="O669">
        <v>500008</v>
      </c>
      <c r="P669" t="s">
        <v>546</v>
      </c>
      <c r="Q669" t="s">
        <v>1774</v>
      </c>
      <c r="R669" t="s">
        <v>2</v>
      </c>
      <c r="S669">
        <v>381.57600000000002</v>
      </c>
      <c r="T669">
        <v>3</v>
      </c>
      <c r="U669">
        <v>0.2</v>
      </c>
      <c r="V669">
        <v>28.618200000000002</v>
      </c>
      <c r="W669">
        <f t="shared" si="43"/>
        <v>117.65260000000001</v>
      </c>
      <c r="X669">
        <v>5</v>
      </c>
    </row>
    <row r="670" spans="1:24" x14ac:dyDescent="0.3">
      <c r="A670">
        <v>669</v>
      </c>
      <c r="B670" t="s">
        <v>2440</v>
      </c>
      <c r="C670" s="6">
        <v>44865</v>
      </c>
      <c r="D670" t="str">
        <f t="shared" si="40"/>
        <v>Oct</v>
      </c>
      <c r="E670" t="str">
        <f t="shared" si="41"/>
        <v>2022</v>
      </c>
      <c r="F670" t="s">
        <v>5</v>
      </c>
      <c r="G670" t="s">
        <v>268</v>
      </c>
      <c r="H670" t="s">
        <v>1107</v>
      </c>
      <c r="I670">
        <v>240</v>
      </c>
      <c r="J670">
        <v>20</v>
      </c>
      <c r="K670">
        <f t="shared" si="42"/>
        <v>8.3333333333333321</v>
      </c>
      <c r="L670" t="s">
        <v>1739</v>
      </c>
      <c r="M670" t="s">
        <v>3766</v>
      </c>
      <c r="O670">
        <v>110095</v>
      </c>
      <c r="P670" t="s">
        <v>546</v>
      </c>
      <c r="Q670" t="s">
        <v>1763</v>
      </c>
      <c r="S670">
        <v>30.36</v>
      </c>
      <c r="T670">
        <v>5</v>
      </c>
      <c r="U670">
        <v>0.2</v>
      </c>
      <c r="V670">
        <v>8.7285000000000004</v>
      </c>
      <c r="W670">
        <f t="shared" si="43"/>
        <v>4.3262999999999998</v>
      </c>
      <c r="X670">
        <v>4</v>
      </c>
    </row>
    <row r="671" spans="1:24" x14ac:dyDescent="0.3">
      <c r="A671">
        <v>670</v>
      </c>
      <c r="B671" t="s">
        <v>2441</v>
      </c>
      <c r="C671" s="6">
        <v>44866</v>
      </c>
      <c r="D671" t="str">
        <f t="shared" si="40"/>
        <v>Nov</v>
      </c>
      <c r="E671" t="str">
        <f t="shared" si="41"/>
        <v>2022</v>
      </c>
      <c r="F671" t="s">
        <v>4</v>
      </c>
      <c r="G671" t="s">
        <v>253</v>
      </c>
      <c r="H671" t="s">
        <v>1108</v>
      </c>
      <c r="I671">
        <v>250</v>
      </c>
      <c r="J671">
        <v>24</v>
      </c>
      <c r="K671">
        <f t="shared" si="42"/>
        <v>9.6</v>
      </c>
      <c r="L671" t="s">
        <v>1738</v>
      </c>
      <c r="M671" t="s">
        <v>3767</v>
      </c>
      <c r="N671" t="s">
        <v>1</v>
      </c>
      <c r="O671">
        <v>380015</v>
      </c>
      <c r="P671" t="s">
        <v>546</v>
      </c>
      <c r="Q671" t="s">
        <v>1770</v>
      </c>
      <c r="R671" t="s">
        <v>2</v>
      </c>
      <c r="S671">
        <v>23.975999999999999</v>
      </c>
      <c r="T671">
        <v>3</v>
      </c>
      <c r="U671">
        <v>0.6</v>
      </c>
      <c r="V671">
        <v>-14.3856</v>
      </c>
      <c r="W671">
        <f t="shared" si="43"/>
        <v>12.787199999999999</v>
      </c>
      <c r="X671">
        <v>5</v>
      </c>
    </row>
    <row r="672" spans="1:24" x14ac:dyDescent="0.3">
      <c r="A672">
        <v>671</v>
      </c>
      <c r="B672" t="s">
        <v>2442</v>
      </c>
      <c r="C672" s="6">
        <v>44867</v>
      </c>
      <c r="D672" t="str">
        <f t="shared" si="40"/>
        <v>Nov</v>
      </c>
      <c r="E672" t="str">
        <f t="shared" si="41"/>
        <v>2022</v>
      </c>
      <c r="F672" t="s">
        <v>4</v>
      </c>
      <c r="G672" t="s">
        <v>253</v>
      </c>
      <c r="H672" t="s">
        <v>1109</v>
      </c>
      <c r="I672">
        <v>100</v>
      </c>
      <c r="J672">
        <v>18</v>
      </c>
      <c r="K672">
        <f t="shared" si="42"/>
        <v>18</v>
      </c>
      <c r="L672" t="s">
        <v>1737</v>
      </c>
      <c r="M672" t="s">
        <v>3768</v>
      </c>
      <c r="N672" t="s">
        <v>1</v>
      </c>
      <c r="O672">
        <v>400030</v>
      </c>
      <c r="P672" t="s">
        <v>546</v>
      </c>
      <c r="Q672" t="s">
        <v>1775</v>
      </c>
      <c r="S672">
        <v>108.925</v>
      </c>
      <c r="T672">
        <v>1</v>
      </c>
      <c r="U672">
        <v>0.5</v>
      </c>
      <c r="V672">
        <v>-71.890500000000003</v>
      </c>
      <c r="W672">
        <f t="shared" si="43"/>
        <v>180.81549999999999</v>
      </c>
      <c r="X672">
        <v>4</v>
      </c>
    </row>
    <row r="673" spans="1:24" x14ac:dyDescent="0.3">
      <c r="A673">
        <v>672</v>
      </c>
      <c r="B673" t="s">
        <v>2443</v>
      </c>
      <c r="C673" s="6">
        <v>44868</v>
      </c>
      <c r="D673" t="str">
        <f t="shared" si="40"/>
        <v>Nov</v>
      </c>
      <c r="E673" t="str">
        <f t="shared" si="41"/>
        <v>2022</v>
      </c>
      <c r="F673" t="s">
        <v>4</v>
      </c>
      <c r="G673" t="s">
        <v>253</v>
      </c>
      <c r="H673" t="s">
        <v>673</v>
      </c>
      <c r="I673">
        <v>230</v>
      </c>
      <c r="J673">
        <v>16</v>
      </c>
      <c r="K673">
        <f t="shared" si="42"/>
        <v>6.9565217391304346</v>
      </c>
      <c r="L673" t="s">
        <v>1743</v>
      </c>
      <c r="M673" t="s">
        <v>3769</v>
      </c>
      <c r="N673" t="s">
        <v>1</v>
      </c>
      <c r="O673">
        <v>520008</v>
      </c>
      <c r="P673" t="s">
        <v>546</v>
      </c>
      <c r="Q673" t="s">
        <v>1766</v>
      </c>
      <c r="S673">
        <v>36.351999999999997</v>
      </c>
      <c r="T673">
        <v>8</v>
      </c>
      <c r="U673">
        <v>0.2</v>
      </c>
      <c r="V673">
        <v>11.36</v>
      </c>
      <c r="W673">
        <f t="shared" si="43"/>
        <v>3.1239999999999997</v>
      </c>
      <c r="X673">
        <v>2</v>
      </c>
    </row>
    <row r="674" spans="1:24" x14ac:dyDescent="0.3">
      <c r="A674">
        <v>673</v>
      </c>
      <c r="B674" t="s">
        <v>2444</v>
      </c>
      <c r="C674" s="6">
        <v>44869</v>
      </c>
      <c r="D674" t="str">
        <f t="shared" si="40"/>
        <v>Nov</v>
      </c>
      <c r="E674" t="str">
        <f t="shared" si="41"/>
        <v>2022</v>
      </c>
      <c r="F674" t="s">
        <v>4</v>
      </c>
      <c r="G674" t="s">
        <v>150</v>
      </c>
      <c r="H674" t="s">
        <v>1110</v>
      </c>
      <c r="I674">
        <v>250</v>
      </c>
      <c r="J674">
        <v>20</v>
      </c>
      <c r="K674">
        <f t="shared" si="42"/>
        <v>8</v>
      </c>
      <c r="L674" t="s">
        <v>1738</v>
      </c>
      <c r="M674" t="s">
        <v>3770</v>
      </c>
      <c r="N674" t="s">
        <v>1</v>
      </c>
      <c r="O674">
        <v>844504</v>
      </c>
      <c r="P674" t="s">
        <v>546</v>
      </c>
      <c r="Q674" t="s">
        <v>1768</v>
      </c>
      <c r="S674">
        <v>19.559999999999999</v>
      </c>
      <c r="T674">
        <v>5</v>
      </c>
      <c r="U674">
        <v>0.2</v>
      </c>
      <c r="V674">
        <v>1.7115</v>
      </c>
      <c r="W674">
        <f t="shared" si="43"/>
        <v>3.5696999999999997</v>
      </c>
      <c r="X674">
        <v>4</v>
      </c>
    </row>
    <row r="675" spans="1:24" x14ac:dyDescent="0.3">
      <c r="A675">
        <v>674</v>
      </c>
      <c r="B675" t="s">
        <v>2445</v>
      </c>
      <c r="C675" s="6">
        <v>44870</v>
      </c>
      <c r="D675" t="str">
        <f t="shared" si="40"/>
        <v>Nov</v>
      </c>
      <c r="E675" t="str">
        <f t="shared" si="41"/>
        <v>2022</v>
      </c>
      <c r="F675" t="s">
        <v>5</v>
      </c>
      <c r="G675" t="s">
        <v>269</v>
      </c>
      <c r="H675" t="s">
        <v>1111</v>
      </c>
      <c r="I675">
        <v>200</v>
      </c>
      <c r="J675">
        <v>22</v>
      </c>
      <c r="K675">
        <f t="shared" si="42"/>
        <v>11</v>
      </c>
      <c r="L675" t="s">
        <v>1739</v>
      </c>
      <c r="M675" t="s">
        <v>3771</v>
      </c>
      <c r="N675" t="s">
        <v>1</v>
      </c>
      <c r="O675">
        <v>160014</v>
      </c>
      <c r="P675" t="s">
        <v>546</v>
      </c>
      <c r="Q675" t="s">
        <v>1776</v>
      </c>
      <c r="S675">
        <v>61.44</v>
      </c>
      <c r="T675">
        <v>3</v>
      </c>
      <c r="U675">
        <v>0.1</v>
      </c>
      <c r="V675">
        <v>16.588799999999999</v>
      </c>
      <c r="W675">
        <f t="shared" si="43"/>
        <v>14.9504</v>
      </c>
      <c r="X675">
        <v>4</v>
      </c>
    </row>
    <row r="676" spans="1:24" x14ac:dyDescent="0.3">
      <c r="A676">
        <v>675</v>
      </c>
      <c r="B676" t="s">
        <v>2446</v>
      </c>
      <c r="C676" s="6">
        <v>44871</v>
      </c>
      <c r="D676" t="str">
        <f t="shared" si="40"/>
        <v>Nov</v>
      </c>
      <c r="E676" t="str">
        <f t="shared" si="41"/>
        <v>2022</v>
      </c>
      <c r="F676" t="s">
        <v>5</v>
      </c>
      <c r="G676" t="s">
        <v>269</v>
      </c>
      <c r="H676" t="s">
        <v>1112</v>
      </c>
      <c r="I676">
        <v>250</v>
      </c>
      <c r="J676">
        <v>26</v>
      </c>
      <c r="K676">
        <f t="shared" si="42"/>
        <v>10.4</v>
      </c>
      <c r="L676" t="s">
        <v>1741</v>
      </c>
      <c r="M676" t="s">
        <v>3772</v>
      </c>
      <c r="N676" t="s">
        <v>1</v>
      </c>
      <c r="O676">
        <v>825301</v>
      </c>
      <c r="P676" t="s">
        <v>546</v>
      </c>
      <c r="Q676" t="s">
        <v>1769</v>
      </c>
      <c r="R676" t="s">
        <v>2</v>
      </c>
      <c r="S676">
        <v>38.9</v>
      </c>
      <c r="T676">
        <v>5</v>
      </c>
      <c r="U676">
        <v>0.1</v>
      </c>
      <c r="V676">
        <v>17.504999999999999</v>
      </c>
      <c r="W676">
        <f t="shared" si="43"/>
        <v>4.2789999999999999</v>
      </c>
      <c r="X676">
        <v>5</v>
      </c>
    </row>
    <row r="677" spans="1:24" x14ac:dyDescent="0.3">
      <c r="A677">
        <v>676</v>
      </c>
      <c r="B677" t="s">
        <v>2447</v>
      </c>
      <c r="C677" s="6">
        <v>44872</v>
      </c>
      <c r="D677" t="str">
        <f t="shared" si="40"/>
        <v>Nov</v>
      </c>
      <c r="E677" t="str">
        <f t="shared" si="41"/>
        <v>2022</v>
      </c>
      <c r="F677" t="s">
        <v>5</v>
      </c>
      <c r="G677" t="s">
        <v>269</v>
      </c>
      <c r="H677" t="s">
        <v>764</v>
      </c>
      <c r="I677">
        <v>180</v>
      </c>
      <c r="J677">
        <v>16</v>
      </c>
      <c r="K677">
        <f t="shared" si="42"/>
        <v>8.8888888888888893</v>
      </c>
      <c r="L677" t="s">
        <v>1736</v>
      </c>
      <c r="M677" t="s">
        <v>3773</v>
      </c>
      <c r="N677" t="s">
        <v>1</v>
      </c>
      <c r="O677">
        <v>800014</v>
      </c>
      <c r="P677" t="s">
        <v>546</v>
      </c>
      <c r="Q677" t="s">
        <v>1765</v>
      </c>
      <c r="S677">
        <v>99.39</v>
      </c>
      <c r="T677">
        <v>3</v>
      </c>
      <c r="U677">
        <v>0.1</v>
      </c>
      <c r="V677">
        <v>40.749899999999997</v>
      </c>
      <c r="W677">
        <f t="shared" si="43"/>
        <v>19.546700000000001</v>
      </c>
      <c r="X677">
        <v>2</v>
      </c>
    </row>
    <row r="678" spans="1:24" x14ac:dyDescent="0.3">
      <c r="A678">
        <v>677</v>
      </c>
      <c r="B678" t="s">
        <v>2448</v>
      </c>
      <c r="C678" s="6">
        <v>44873</v>
      </c>
      <c r="D678" t="str">
        <f t="shared" si="40"/>
        <v>Nov</v>
      </c>
      <c r="E678" t="str">
        <f t="shared" si="41"/>
        <v>2022</v>
      </c>
      <c r="F678" t="s">
        <v>4</v>
      </c>
      <c r="G678" t="s">
        <v>270</v>
      </c>
      <c r="H678" t="s">
        <v>1113</v>
      </c>
      <c r="I678">
        <v>130</v>
      </c>
      <c r="J678">
        <v>12</v>
      </c>
      <c r="K678">
        <f t="shared" si="42"/>
        <v>9.2307692307692317</v>
      </c>
      <c r="L678" t="s">
        <v>1744</v>
      </c>
      <c r="M678" t="s">
        <v>3774</v>
      </c>
      <c r="N678" t="s">
        <v>1</v>
      </c>
      <c r="O678">
        <v>535240</v>
      </c>
      <c r="P678" t="s">
        <v>546</v>
      </c>
      <c r="Q678" t="s">
        <v>1772</v>
      </c>
      <c r="R678" t="s">
        <v>2</v>
      </c>
      <c r="S678">
        <v>2.6880000000000002</v>
      </c>
      <c r="T678">
        <v>3</v>
      </c>
      <c r="U678">
        <v>0.8</v>
      </c>
      <c r="V678">
        <v>-7.3920000000000003</v>
      </c>
      <c r="W678">
        <f t="shared" si="43"/>
        <v>3.36</v>
      </c>
      <c r="X678">
        <v>3</v>
      </c>
    </row>
    <row r="679" spans="1:24" x14ac:dyDescent="0.3">
      <c r="A679">
        <v>678</v>
      </c>
      <c r="B679" t="s">
        <v>2449</v>
      </c>
      <c r="C679" s="6">
        <v>44874</v>
      </c>
      <c r="D679" t="str">
        <f t="shared" si="40"/>
        <v>Nov</v>
      </c>
      <c r="E679" t="str">
        <f t="shared" si="41"/>
        <v>2022</v>
      </c>
      <c r="F679" t="s">
        <v>4</v>
      </c>
      <c r="G679" t="s">
        <v>270</v>
      </c>
      <c r="H679" t="s">
        <v>1114</v>
      </c>
      <c r="I679">
        <v>140</v>
      </c>
      <c r="J679">
        <v>18</v>
      </c>
      <c r="K679">
        <f t="shared" si="42"/>
        <v>12.857142857142856</v>
      </c>
      <c r="L679" t="s">
        <v>1740</v>
      </c>
      <c r="M679" t="s">
        <v>3775</v>
      </c>
      <c r="O679">
        <v>110095</v>
      </c>
      <c r="P679" t="s">
        <v>546</v>
      </c>
      <c r="Q679" t="s">
        <v>1765</v>
      </c>
      <c r="S679">
        <v>27.815999999999999</v>
      </c>
      <c r="T679">
        <v>3</v>
      </c>
      <c r="U679">
        <v>0.2</v>
      </c>
      <c r="V679">
        <v>4.5201000000000002</v>
      </c>
      <c r="W679">
        <f t="shared" si="43"/>
        <v>7.7652999999999999</v>
      </c>
      <c r="X679">
        <v>3</v>
      </c>
    </row>
    <row r="680" spans="1:24" x14ac:dyDescent="0.3">
      <c r="A680">
        <v>679</v>
      </c>
      <c r="B680" t="s">
        <v>2450</v>
      </c>
      <c r="C680" s="6">
        <v>44875</v>
      </c>
      <c r="D680" t="str">
        <f t="shared" si="40"/>
        <v>Nov</v>
      </c>
      <c r="E680" t="str">
        <f t="shared" si="41"/>
        <v>2022</v>
      </c>
      <c r="F680" t="s">
        <v>4</v>
      </c>
      <c r="G680" t="s">
        <v>270</v>
      </c>
      <c r="H680" t="s">
        <v>1115</v>
      </c>
      <c r="I680">
        <v>100</v>
      </c>
      <c r="J680">
        <v>30</v>
      </c>
      <c r="K680">
        <f t="shared" si="42"/>
        <v>30</v>
      </c>
      <c r="L680" t="s">
        <v>1742</v>
      </c>
      <c r="M680" t="s">
        <v>3776</v>
      </c>
      <c r="N680" t="s">
        <v>1</v>
      </c>
      <c r="O680">
        <v>400607</v>
      </c>
      <c r="P680" t="s">
        <v>546</v>
      </c>
      <c r="Q680" t="s">
        <v>1760</v>
      </c>
      <c r="S680">
        <v>82.524000000000001</v>
      </c>
      <c r="T680">
        <v>3</v>
      </c>
      <c r="U680">
        <v>0.6</v>
      </c>
      <c r="V680">
        <v>-41.262</v>
      </c>
      <c r="W680">
        <f t="shared" si="43"/>
        <v>41.262</v>
      </c>
      <c r="X680">
        <v>2</v>
      </c>
    </row>
    <row r="681" spans="1:24" x14ac:dyDescent="0.3">
      <c r="A681">
        <v>680</v>
      </c>
      <c r="B681" t="s">
        <v>2451</v>
      </c>
      <c r="C681" s="6">
        <v>44876</v>
      </c>
      <c r="D681" t="str">
        <f t="shared" si="40"/>
        <v>Nov</v>
      </c>
      <c r="E681" t="str">
        <f t="shared" si="41"/>
        <v>2022</v>
      </c>
      <c r="F681" t="s">
        <v>4</v>
      </c>
      <c r="G681" t="s">
        <v>270</v>
      </c>
      <c r="H681" t="s">
        <v>1116</v>
      </c>
      <c r="I681">
        <v>190</v>
      </c>
      <c r="J681">
        <v>10</v>
      </c>
      <c r="K681">
        <f t="shared" si="42"/>
        <v>5.2631578947368416</v>
      </c>
      <c r="L681" t="s">
        <v>1739</v>
      </c>
      <c r="M681" t="s">
        <v>3777</v>
      </c>
      <c r="N681" t="s">
        <v>1</v>
      </c>
      <c r="O681">
        <v>631002</v>
      </c>
      <c r="P681" t="s">
        <v>546</v>
      </c>
      <c r="Q681" t="s">
        <v>1761</v>
      </c>
      <c r="S681">
        <v>182.994</v>
      </c>
      <c r="T681">
        <v>3</v>
      </c>
      <c r="U681">
        <v>0.8</v>
      </c>
      <c r="V681">
        <v>-320.23950000000002</v>
      </c>
      <c r="W681">
        <f t="shared" si="43"/>
        <v>167.74450000000002</v>
      </c>
      <c r="X681">
        <v>2</v>
      </c>
    </row>
    <row r="682" spans="1:24" x14ac:dyDescent="0.3">
      <c r="A682">
        <v>681</v>
      </c>
      <c r="B682" t="s">
        <v>2452</v>
      </c>
      <c r="C682" s="6">
        <v>44877</v>
      </c>
      <c r="D682" t="str">
        <f t="shared" si="40"/>
        <v>Nov</v>
      </c>
      <c r="E682" t="str">
        <f t="shared" si="41"/>
        <v>2022</v>
      </c>
      <c r="F682" t="s">
        <v>4</v>
      </c>
      <c r="G682" t="s">
        <v>271</v>
      </c>
      <c r="H682" t="s">
        <v>1117</v>
      </c>
      <c r="I682">
        <v>100</v>
      </c>
      <c r="J682">
        <v>18</v>
      </c>
      <c r="K682">
        <f t="shared" si="42"/>
        <v>18</v>
      </c>
      <c r="L682" t="s">
        <v>1738</v>
      </c>
      <c r="M682" t="s">
        <v>3778</v>
      </c>
      <c r="N682" t="s">
        <v>1</v>
      </c>
      <c r="O682">
        <v>577204</v>
      </c>
      <c r="P682" t="s">
        <v>546</v>
      </c>
      <c r="Q682" t="s">
        <v>1769</v>
      </c>
      <c r="S682">
        <v>14.352</v>
      </c>
      <c r="T682">
        <v>3</v>
      </c>
      <c r="U682">
        <v>0.2</v>
      </c>
      <c r="V682">
        <v>4.6643999999999997</v>
      </c>
      <c r="W682">
        <f t="shared" si="43"/>
        <v>3.2292000000000001</v>
      </c>
      <c r="X682">
        <v>3</v>
      </c>
    </row>
    <row r="683" spans="1:24" x14ac:dyDescent="0.3">
      <c r="A683">
        <v>682</v>
      </c>
      <c r="B683" t="s">
        <v>2453</v>
      </c>
      <c r="C683" s="6">
        <v>44878</v>
      </c>
      <c r="D683" t="str">
        <f t="shared" si="40"/>
        <v>Nov</v>
      </c>
      <c r="E683" t="str">
        <f t="shared" si="41"/>
        <v>2022</v>
      </c>
      <c r="F683" t="s">
        <v>4</v>
      </c>
      <c r="G683" t="s">
        <v>271</v>
      </c>
      <c r="H683" t="s">
        <v>1118</v>
      </c>
      <c r="I683">
        <v>190</v>
      </c>
      <c r="J683">
        <v>8</v>
      </c>
      <c r="K683">
        <f t="shared" si="42"/>
        <v>4.2105263157894735</v>
      </c>
      <c r="L683" t="s">
        <v>1743</v>
      </c>
      <c r="M683" t="s">
        <v>3779</v>
      </c>
      <c r="N683" t="s">
        <v>1</v>
      </c>
      <c r="O683">
        <v>753009</v>
      </c>
      <c r="P683" t="s">
        <v>546</v>
      </c>
      <c r="Q683" t="s">
        <v>1772</v>
      </c>
      <c r="R683" t="s">
        <v>2</v>
      </c>
      <c r="S683">
        <v>64.959999999999994</v>
      </c>
      <c r="T683">
        <v>2</v>
      </c>
      <c r="U683">
        <v>0.1</v>
      </c>
      <c r="V683">
        <v>2.5983999999999998</v>
      </c>
      <c r="W683">
        <f t="shared" si="43"/>
        <v>31.180799999999998</v>
      </c>
      <c r="X683">
        <v>4</v>
      </c>
    </row>
    <row r="684" spans="1:24" x14ac:dyDescent="0.3">
      <c r="A684">
        <v>683</v>
      </c>
      <c r="B684" t="s">
        <v>2454</v>
      </c>
      <c r="C684" s="6">
        <v>44879</v>
      </c>
      <c r="D684" t="str">
        <f t="shared" si="40"/>
        <v>Nov</v>
      </c>
      <c r="E684" t="str">
        <f t="shared" si="41"/>
        <v>2022</v>
      </c>
      <c r="F684" t="s">
        <v>4</v>
      </c>
      <c r="G684" t="s">
        <v>271</v>
      </c>
      <c r="H684" t="s">
        <v>1003</v>
      </c>
      <c r="I684">
        <v>100</v>
      </c>
      <c r="J684">
        <v>12</v>
      </c>
      <c r="K684">
        <f t="shared" si="42"/>
        <v>12</v>
      </c>
      <c r="L684" t="s">
        <v>1737</v>
      </c>
      <c r="M684" t="s">
        <v>3780</v>
      </c>
      <c r="N684" t="s">
        <v>1</v>
      </c>
      <c r="O684">
        <v>500087</v>
      </c>
      <c r="P684" t="s">
        <v>546</v>
      </c>
      <c r="Q684" t="s">
        <v>1770</v>
      </c>
      <c r="S684">
        <v>68.599999999999994</v>
      </c>
      <c r="T684">
        <v>4</v>
      </c>
      <c r="U684">
        <v>0.1</v>
      </c>
      <c r="V684">
        <v>18.521999999999998</v>
      </c>
      <c r="W684">
        <f t="shared" si="43"/>
        <v>12.519499999999999</v>
      </c>
      <c r="X684">
        <v>1</v>
      </c>
    </row>
    <row r="685" spans="1:24" x14ac:dyDescent="0.3">
      <c r="A685">
        <v>684</v>
      </c>
      <c r="B685" t="s">
        <v>2455</v>
      </c>
      <c r="C685" s="6">
        <v>44880</v>
      </c>
      <c r="D685" t="str">
        <f t="shared" si="40"/>
        <v>Nov</v>
      </c>
      <c r="E685" t="str">
        <f t="shared" si="41"/>
        <v>2022</v>
      </c>
      <c r="F685" t="s">
        <v>6</v>
      </c>
      <c r="G685" t="s">
        <v>272</v>
      </c>
      <c r="H685" t="s">
        <v>1119</v>
      </c>
      <c r="I685">
        <v>220</v>
      </c>
      <c r="J685">
        <v>12</v>
      </c>
      <c r="K685">
        <f t="shared" si="42"/>
        <v>5.4545454545454541</v>
      </c>
      <c r="L685" t="s">
        <v>1741</v>
      </c>
      <c r="M685" t="s">
        <v>3781</v>
      </c>
      <c r="N685" t="s">
        <v>1</v>
      </c>
      <c r="O685">
        <v>401107</v>
      </c>
      <c r="P685" t="s">
        <v>546</v>
      </c>
      <c r="Q685" t="s">
        <v>1761</v>
      </c>
      <c r="S685">
        <v>7999.98</v>
      </c>
      <c r="T685">
        <v>4</v>
      </c>
      <c r="U685">
        <v>0.5</v>
      </c>
      <c r="V685">
        <v>-3839.9904000000001</v>
      </c>
      <c r="W685">
        <f t="shared" si="43"/>
        <v>2959.9926</v>
      </c>
      <c r="X685">
        <v>5</v>
      </c>
    </row>
    <row r="686" spans="1:24" x14ac:dyDescent="0.3">
      <c r="A686">
        <v>685</v>
      </c>
      <c r="B686" t="s">
        <v>2456</v>
      </c>
      <c r="C686" s="6">
        <v>44881</v>
      </c>
      <c r="D686" t="str">
        <f t="shared" si="40"/>
        <v>Nov</v>
      </c>
      <c r="E686" t="str">
        <f t="shared" si="41"/>
        <v>2022</v>
      </c>
      <c r="F686" t="s">
        <v>6</v>
      </c>
      <c r="G686" t="s">
        <v>272</v>
      </c>
      <c r="H686" t="s">
        <v>1096</v>
      </c>
      <c r="I686">
        <v>120</v>
      </c>
      <c r="J686">
        <v>12</v>
      </c>
      <c r="K686">
        <f t="shared" si="42"/>
        <v>10</v>
      </c>
      <c r="L686" t="s">
        <v>1736</v>
      </c>
      <c r="M686" t="s">
        <v>3782</v>
      </c>
      <c r="N686" t="s">
        <v>1</v>
      </c>
      <c r="O686">
        <v>600089</v>
      </c>
      <c r="P686" t="s">
        <v>546</v>
      </c>
      <c r="Q686" t="s">
        <v>1769</v>
      </c>
      <c r="R686" t="s">
        <v>2</v>
      </c>
      <c r="S686">
        <v>167.44</v>
      </c>
      <c r="T686">
        <v>2</v>
      </c>
      <c r="U686">
        <v>0.2</v>
      </c>
      <c r="V686">
        <v>14.651</v>
      </c>
      <c r="W686">
        <f t="shared" si="43"/>
        <v>76.394499999999994</v>
      </c>
      <c r="X686">
        <v>5</v>
      </c>
    </row>
    <row r="687" spans="1:24" x14ac:dyDescent="0.3">
      <c r="A687">
        <v>686</v>
      </c>
      <c r="B687" t="s">
        <v>2457</v>
      </c>
      <c r="C687" s="6">
        <v>44882</v>
      </c>
      <c r="D687" t="str">
        <f t="shared" si="40"/>
        <v>Nov</v>
      </c>
      <c r="E687" t="str">
        <f t="shared" si="41"/>
        <v>2022</v>
      </c>
      <c r="F687" t="s">
        <v>5</v>
      </c>
      <c r="G687" t="s">
        <v>273</v>
      </c>
      <c r="H687" t="s">
        <v>878</v>
      </c>
      <c r="I687">
        <v>130</v>
      </c>
      <c r="J687">
        <v>18</v>
      </c>
      <c r="K687">
        <f t="shared" si="42"/>
        <v>13.846153846153847</v>
      </c>
      <c r="L687" t="s">
        <v>1744</v>
      </c>
      <c r="M687" t="s">
        <v>3783</v>
      </c>
      <c r="N687" t="s">
        <v>1</v>
      </c>
      <c r="O687">
        <v>560049</v>
      </c>
      <c r="P687" t="s">
        <v>546</v>
      </c>
      <c r="Q687" t="s">
        <v>1768</v>
      </c>
      <c r="R687" t="s">
        <v>2</v>
      </c>
      <c r="S687">
        <v>479.97</v>
      </c>
      <c r="T687">
        <v>3</v>
      </c>
      <c r="U687">
        <v>0.1</v>
      </c>
      <c r="V687">
        <v>163.18979999999999</v>
      </c>
      <c r="W687">
        <f t="shared" si="43"/>
        <v>105.59340000000002</v>
      </c>
      <c r="X687">
        <v>2</v>
      </c>
    </row>
    <row r="688" spans="1:24" x14ac:dyDescent="0.3">
      <c r="A688">
        <v>687</v>
      </c>
      <c r="B688" t="s">
        <v>2458</v>
      </c>
      <c r="C688" s="6">
        <v>44883</v>
      </c>
      <c r="D688" t="str">
        <f t="shared" si="40"/>
        <v>Nov</v>
      </c>
      <c r="E688" t="str">
        <f t="shared" si="41"/>
        <v>2022</v>
      </c>
      <c r="F688" t="s">
        <v>5</v>
      </c>
      <c r="G688" t="s">
        <v>273</v>
      </c>
      <c r="H688" t="s">
        <v>1120</v>
      </c>
      <c r="I688">
        <v>100</v>
      </c>
      <c r="J688">
        <v>28</v>
      </c>
      <c r="K688">
        <f t="shared" si="42"/>
        <v>28.000000000000004</v>
      </c>
      <c r="L688" t="s">
        <v>1740</v>
      </c>
      <c r="M688" t="s">
        <v>3784</v>
      </c>
      <c r="N688" t="s">
        <v>1</v>
      </c>
      <c r="O688">
        <v>560049</v>
      </c>
      <c r="P688" t="s">
        <v>546</v>
      </c>
      <c r="Q688" t="s">
        <v>1765</v>
      </c>
      <c r="R688" t="s">
        <v>2</v>
      </c>
      <c r="S688">
        <v>14.62</v>
      </c>
      <c r="T688">
        <v>2</v>
      </c>
      <c r="U688">
        <v>0.1</v>
      </c>
      <c r="V688">
        <v>6.8714000000000004</v>
      </c>
      <c r="W688">
        <f t="shared" si="43"/>
        <v>3.8742999999999994</v>
      </c>
      <c r="X688">
        <v>1</v>
      </c>
    </row>
    <row r="689" spans="1:24" x14ac:dyDescent="0.3">
      <c r="A689">
        <v>688</v>
      </c>
      <c r="B689" t="s">
        <v>2459</v>
      </c>
      <c r="C689" s="6">
        <v>44884</v>
      </c>
      <c r="D689" t="str">
        <f t="shared" si="40"/>
        <v>Nov</v>
      </c>
      <c r="E689" t="str">
        <f t="shared" si="41"/>
        <v>2022</v>
      </c>
      <c r="F689" t="s">
        <v>5</v>
      </c>
      <c r="G689" t="s">
        <v>273</v>
      </c>
      <c r="H689" t="s">
        <v>635</v>
      </c>
      <c r="I689">
        <v>160</v>
      </c>
      <c r="J689">
        <v>8</v>
      </c>
      <c r="K689">
        <f t="shared" si="42"/>
        <v>5</v>
      </c>
      <c r="L689" t="s">
        <v>1742</v>
      </c>
      <c r="M689" t="s">
        <v>3647</v>
      </c>
      <c r="N689" t="s">
        <v>1</v>
      </c>
      <c r="O689">
        <v>700053</v>
      </c>
      <c r="P689" t="s">
        <v>546</v>
      </c>
      <c r="Q689" t="s">
        <v>1772</v>
      </c>
      <c r="S689">
        <v>19.440000000000001</v>
      </c>
      <c r="T689">
        <v>3</v>
      </c>
      <c r="U689">
        <v>0.1</v>
      </c>
      <c r="V689">
        <v>9.3312000000000008</v>
      </c>
      <c r="W689">
        <f t="shared" si="43"/>
        <v>3.3696000000000002</v>
      </c>
      <c r="X689">
        <v>5</v>
      </c>
    </row>
    <row r="690" spans="1:24" x14ac:dyDescent="0.3">
      <c r="A690">
        <v>689</v>
      </c>
      <c r="B690" t="s">
        <v>2460</v>
      </c>
      <c r="C690" s="6">
        <v>44885</v>
      </c>
      <c r="D690" t="str">
        <f t="shared" si="40"/>
        <v>Nov</v>
      </c>
      <c r="E690" t="str">
        <f t="shared" si="41"/>
        <v>2022</v>
      </c>
      <c r="F690" t="s">
        <v>4</v>
      </c>
      <c r="G690" t="s">
        <v>274</v>
      </c>
      <c r="H690" t="s">
        <v>1121</v>
      </c>
      <c r="I690">
        <v>130</v>
      </c>
      <c r="J690">
        <v>12</v>
      </c>
      <c r="K690">
        <f t="shared" si="42"/>
        <v>9.2307692307692317</v>
      </c>
      <c r="L690" t="s">
        <v>1739</v>
      </c>
      <c r="M690" t="s">
        <v>3785</v>
      </c>
      <c r="N690" t="s">
        <v>1</v>
      </c>
      <c r="O690">
        <v>249408</v>
      </c>
      <c r="P690" t="s">
        <v>546</v>
      </c>
      <c r="Q690" t="s">
        <v>1755</v>
      </c>
      <c r="S690">
        <v>191.98400000000001</v>
      </c>
      <c r="T690">
        <v>2</v>
      </c>
      <c r="U690">
        <v>0.2</v>
      </c>
      <c r="V690">
        <v>4.7995999999999999</v>
      </c>
      <c r="W690">
        <f t="shared" si="43"/>
        <v>93.592200000000005</v>
      </c>
      <c r="X690">
        <v>3</v>
      </c>
    </row>
    <row r="691" spans="1:24" x14ac:dyDescent="0.3">
      <c r="A691">
        <v>690</v>
      </c>
      <c r="B691" t="s">
        <v>2461</v>
      </c>
      <c r="C691" s="6">
        <v>44886</v>
      </c>
      <c r="D691" t="str">
        <f t="shared" si="40"/>
        <v>Nov</v>
      </c>
      <c r="E691" t="str">
        <f t="shared" si="41"/>
        <v>2022</v>
      </c>
      <c r="F691" t="s">
        <v>3</v>
      </c>
      <c r="G691" t="s">
        <v>275</v>
      </c>
      <c r="H691" t="s">
        <v>1122</v>
      </c>
      <c r="I691">
        <v>140</v>
      </c>
      <c r="J691">
        <v>10</v>
      </c>
      <c r="K691">
        <f t="shared" si="42"/>
        <v>7.1428571428571423</v>
      </c>
      <c r="L691" t="s">
        <v>1738</v>
      </c>
      <c r="M691" t="s">
        <v>3786</v>
      </c>
      <c r="N691" t="s">
        <v>1</v>
      </c>
      <c r="O691">
        <v>574203</v>
      </c>
      <c r="P691" t="s">
        <v>546</v>
      </c>
      <c r="Q691" t="s">
        <v>1759</v>
      </c>
      <c r="R691" t="s">
        <v>2</v>
      </c>
      <c r="S691">
        <v>104.01</v>
      </c>
      <c r="T691">
        <v>1</v>
      </c>
      <c r="U691">
        <v>0.1</v>
      </c>
      <c r="V691">
        <v>14.561400000000001</v>
      </c>
      <c r="W691">
        <f t="shared" si="43"/>
        <v>89.448599999999999</v>
      </c>
      <c r="X691">
        <v>4</v>
      </c>
    </row>
    <row r="692" spans="1:24" x14ac:dyDescent="0.3">
      <c r="A692">
        <v>691</v>
      </c>
      <c r="B692" t="s">
        <v>2462</v>
      </c>
      <c r="C692" s="6">
        <v>44887</v>
      </c>
      <c r="D692" t="str">
        <f t="shared" si="40"/>
        <v>Nov</v>
      </c>
      <c r="E692" t="str">
        <f t="shared" si="41"/>
        <v>2022</v>
      </c>
      <c r="F692" t="s">
        <v>3</v>
      </c>
      <c r="G692" t="s">
        <v>275</v>
      </c>
      <c r="H692" t="s">
        <v>558</v>
      </c>
      <c r="I692">
        <v>130</v>
      </c>
      <c r="J692">
        <v>6</v>
      </c>
      <c r="K692">
        <f t="shared" si="42"/>
        <v>4.6153846153846159</v>
      </c>
      <c r="L692" t="s">
        <v>1737</v>
      </c>
      <c r="M692" t="s">
        <v>3787</v>
      </c>
      <c r="N692" t="s">
        <v>1</v>
      </c>
      <c r="O692">
        <v>571216</v>
      </c>
      <c r="P692" t="s">
        <v>546</v>
      </c>
      <c r="Q692" t="s">
        <v>1754</v>
      </c>
      <c r="S692">
        <v>284.82</v>
      </c>
      <c r="T692">
        <v>1</v>
      </c>
      <c r="U692">
        <v>0.1</v>
      </c>
      <c r="V692">
        <v>74.053200000000004</v>
      </c>
      <c r="W692">
        <f t="shared" si="43"/>
        <v>210.76679999999999</v>
      </c>
      <c r="X692">
        <v>5</v>
      </c>
    </row>
    <row r="693" spans="1:24" x14ac:dyDescent="0.3">
      <c r="A693">
        <v>692</v>
      </c>
      <c r="B693" t="s">
        <v>2463</v>
      </c>
      <c r="C693" s="6">
        <v>44888</v>
      </c>
      <c r="D693" t="str">
        <f t="shared" si="40"/>
        <v>Nov</v>
      </c>
      <c r="E693" t="str">
        <f t="shared" si="41"/>
        <v>2022</v>
      </c>
      <c r="F693" t="s">
        <v>3</v>
      </c>
      <c r="G693" t="s">
        <v>275</v>
      </c>
      <c r="H693" t="s">
        <v>1123</v>
      </c>
      <c r="I693">
        <v>220</v>
      </c>
      <c r="J693">
        <v>28</v>
      </c>
      <c r="K693">
        <f t="shared" si="42"/>
        <v>12.727272727272727</v>
      </c>
      <c r="L693" t="s">
        <v>1743</v>
      </c>
      <c r="M693" t="s">
        <v>3736</v>
      </c>
      <c r="N693" t="s">
        <v>1</v>
      </c>
      <c r="O693">
        <v>768005</v>
      </c>
      <c r="P693" t="s">
        <v>546</v>
      </c>
      <c r="Q693" t="s">
        <v>1759</v>
      </c>
      <c r="S693">
        <v>36.840000000000003</v>
      </c>
      <c r="T693">
        <v>3</v>
      </c>
      <c r="U693">
        <v>0.1</v>
      </c>
      <c r="V693">
        <v>10.315200000000001</v>
      </c>
      <c r="W693">
        <f t="shared" si="43"/>
        <v>8.8416000000000015</v>
      </c>
      <c r="X693">
        <v>4</v>
      </c>
    </row>
    <row r="694" spans="1:24" x14ac:dyDescent="0.3">
      <c r="A694">
        <v>693</v>
      </c>
      <c r="B694" t="s">
        <v>2464</v>
      </c>
      <c r="C694" s="6">
        <v>44889</v>
      </c>
      <c r="D694" t="str">
        <f t="shared" si="40"/>
        <v>Nov</v>
      </c>
      <c r="E694" t="str">
        <f t="shared" si="41"/>
        <v>2022</v>
      </c>
      <c r="F694" t="s">
        <v>4</v>
      </c>
      <c r="G694" t="s">
        <v>276</v>
      </c>
      <c r="H694" t="s">
        <v>1124</v>
      </c>
      <c r="I694">
        <v>150</v>
      </c>
      <c r="J694">
        <v>28</v>
      </c>
      <c r="K694">
        <f t="shared" si="42"/>
        <v>18.666666666666668</v>
      </c>
      <c r="L694" t="s">
        <v>1738</v>
      </c>
      <c r="M694" t="s">
        <v>3788</v>
      </c>
      <c r="N694" t="s">
        <v>1</v>
      </c>
      <c r="O694">
        <v>841226</v>
      </c>
      <c r="P694" t="s">
        <v>546</v>
      </c>
      <c r="Q694" t="s">
        <v>1776</v>
      </c>
      <c r="S694">
        <v>166.24</v>
      </c>
      <c r="T694">
        <v>1</v>
      </c>
      <c r="U694">
        <v>0.1</v>
      </c>
      <c r="V694">
        <v>24.936</v>
      </c>
      <c r="W694">
        <f t="shared" si="43"/>
        <v>141.304</v>
      </c>
      <c r="X694">
        <v>4</v>
      </c>
    </row>
    <row r="695" spans="1:24" x14ac:dyDescent="0.3">
      <c r="A695">
        <v>694</v>
      </c>
      <c r="B695" t="s">
        <v>2465</v>
      </c>
      <c r="C695" s="6">
        <v>44890</v>
      </c>
      <c r="D695" t="str">
        <f t="shared" si="40"/>
        <v>Nov</v>
      </c>
      <c r="E695" t="str">
        <f t="shared" si="41"/>
        <v>2022</v>
      </c>
      <c r="F695" t="s">
        <v>4</v>
      </c>
      <c r="G695" t="s">
        <v>276</v>
      </c>
      <c r="H695" t="s">
        <v>1125</v>
      </c>
      <c r="I695">
        <v>240</v>
      </c>
      <c r="J695">
        <v>6</v>
      </c>
      <c r="K695">
        <f t="shared" si="42"/>
        <v>2.5</v>
      </c>
      <c r="L695" t="s">
        <v>1739</v>
      </c>
      <c r="M695" t="s">
        <v>3588</v>
      </c>
      <c r="N695" t="s">
        <v>1</v>
      </c>
      <c r="O695">
        <v>560032</v>
      </c>
      <c r="P695" t="s">
        <v>546</v>
      </c>
      <c r="Q695" t="s">
        <v>1763</v>
      </c>
      <c r="S695">
        <v>33.4</v>
      </c>
      <c r="T695">
        <v>5</v>
      </c>
      <c r="U695">
        <v>0.1</v>
      </c>
      <c r="V695">
        <v>16.032</v>
      </c>
      <c r="W695">
        <f t="shared" si="43"/>
        <v>3.4735999999999998</v>
      </c>
      <c r="X695">
        <v>5</v>
      </c>
    </row>
    <row r="696" spans="1:24" x14ac:dyDescent="0.3">
      <c r="A696">
        <v>695</v>
      </c>
      <c r="B696" t="s">
        <v>2466</v>
      </c>
      <c r="C696" s="6">
        <v>44891</v>
      </c>
      <c r="D696" t="str">
        <f t="shared" si="40"/>
        <v>Nov</v>
      </c>
      <c r="E696" t="str">
        <f t="shared" si="41"/>
        <v>2022</v>
      </c>
      <c r="F696" t="s">
        <v>5</v>
      </c>
      <c r="G696" t="s">
        <v>277</v>
      </c>
      <c r="H696" t="s">
        <v>837</v>
      </c>
      <c r="I696">
        <v>150</v>
      </c>
      <c r="J696">
        <v>20</v>
      </c>
      <c r="K696">
        <f t="shared" si="42"/>
        <v>13.333333333333334</v>
      </c>
      <c r="L696" t="s">
        <v>1741</v>
      </c>
      <c r="M696" t="s">
        <v>3789</v>
      </c>
      <c r="O696">
        <v>302019</v>
      </c>
      <c r="P696" t="s">
        <v>546</v>
      </c>
      <c r="Q696" t="s">
        <v>1754</v>
      </c>
      <c r="S696">
        <v>198.27199999999999</v>
      </c>
      <c r="T696">
        <v>8</v>
      </c>
      <c r="U696">
        <v>0.2</v>
      </c>
      <c r="V696">
        <v>17.348800000000001</v>
      </c>
      <c r="W696">
        <f t="shared" si="43"/>
        <v>22.615399999999998</v>
      </c>
      <c r="X696">
        <v>4</v>
      </c>
    </row>
    <row r="697" spans="1:24" x14ac:dyDescent="0.3">
      <c r="A697">
        <v>696</v>
      </c>
      <c r="B697" t="s">
        <v>2467</v>
      </c>
      <c r="C697" s="6">
        <v>44892</v>
      </c>
      <c r="D697" t="str">
        <f t="shared" si="40"/>
        <v>Nov</v>
      </c>
      <c r="E697" t="str">
        <f t="shared" si="41"/>
        <v>2022</v>
      </c>
      <c r="F697" t="s">
        <v>5</v>
      </c>
      <c r="G697" t="s">
        <v>277</v>
      </c>
      <c r="H697" t="s">
        <v>1126</v>
      </c>
      <c r="I697">
        <v>180</v>
      </c>
      <c r="J697">
        <v>30</v>
      </c>
      <c r="K697">
        <f t="shared" si="42"/>
        <v>16.666666666666664</v>
      </c>
      <c r="L697" t="s">
        <v>1736</v>
      </c>
      <c r="M697" t="s">
        <v>3790</v>
      </c>
      <c r="N697" t="s">
        <v>1</v>
      </c>
      <c r="O697">
        <v>400022</v>
      </c>
      <c r="P697" t="s">
        <v>546</v>
      </c>
      <c r="Q697" t="s">
        <v>1770</v>
      </c>
      <c r="S697">
        <v>47.36</v>
      </c>
      <c r="T697">
        <v>4</v>
      </c>
      <c r="U697">
        <v>0.2</v>
      </c>
      <c r="V697">
        <v>17.760000000000002</v>
      </c>
      <c r="W697">
        <f t="shared" si="43"/>
        <v>7.3999999999999995</v>
      </c>
      <c r="X697">
        <v>3</v>
      </c>
    </row>
    <row r="698" spans="1:24" x14ac:dyDescent="0.3">
      <c r="A698">
        <v>697</v>
      </c>
      <c r="B698" t="s">
        <v>2468</v>
      </c>
      <c r="C698" s="6">
        <v>44893</v>
      </c>
      <c r="D698" t="str">
        <f t="shared" si="40"/>
        <v>Nov</v>
      </c>
      <c r="E698" t="str">
        <f t="shared" si="41"/>
        <v>2022</v>
      </c>
      <c r="F698" t="s">
        <v>5</v>
      </c>
      <c r="G698" t="s">
        <v>277</v>
      </c>
      <c r="H698" t="s">
        <v>628</v>
      </c>
      <c r="I698">
        <v>100</v>
      </c>
      <c r="J698">
        <v>8</v>
      </c>
      <c r="K698">
        <f t="shared" si="42"/>
        <v>8</v>
      </c>
      <c r="L698" t="s">
        <v>1744</v>
      </c>
      <c r="M698" t="s">
        <v>3685</v>
      </c>
      <c r="N698" t="s">
        <v>1</v>
      </c>
      <c r="O698">
        <v>400101</v>
      </c>
      <c r="P698" t="s">
        <v>546</v>
      </c>
      <c r="Q698" t="s">
        <v>1763</v>
      </c>
      <c r="R698" t="s">
        <v>2</v>
      </c>
      <c r="S698">
        <v>200.98400000000001</v>
      </c>
      <c r="T698">
        <v>7</v>
      </c>
      <c r="U698">
        <v>0.2</v>
      </c>
      <c r="V698">
        <v>62.807499999999997</v>
      </c>
      <c r="W698">
        <f t="shared" si="43"/>
        <v>19.7395</v>
      </c>
      <c r="X698">
        <v>4</v>
      </c>
    </row>
    <row r="699" spans="1:24" x14ac:dyDescent="0.3">
      <c r="A699">
        <v>698</v>
      </c>
      <c r="B699" t="s">
        <v>2469</v>
      </c>
      <c r="C699" s="6">
        <v>44894</v>
      </c>
      <c r="D699" t="str">
        <f t="shared" si="40"/>
        <v>Nov</v>
      </c>
      <c r="E699" t="str">
        <f t="shared" si="41"/>
        <v>2022</v>
      </c>
      <c r="F699" t="s">
        <v>5</v>
      </c>
      <c r="G699" t="s">
        <v>277</v>
      </c>
      <c r="H699" t="s">
        <v>1127</v>
      </c>
      <c r="I699">
        <v>100</v>
      </c>
      <c r="J699">
        <v>12</v>
      </c>
      <c r="K699">
        <f t="shared" si="42"/>
        <v>12</v>
      </c>
      <c r="L699" t="s">
        <v>1740</v>
      </c>
      <c r="M699" t="s">
        <v>3791</v>
      </c>
      <c r="N699" t="s">
        <v>1</v>
      </c>
      <c r="O699">
        <v>500049</v>
      </c>
      <c r="P699" t="s">
        <v>546</v>
      </c>
      <c r="Q699" t="s">
        <v>1760</v>
      </c>
      <c r="S699">
        <v>97.695999999999998</v>
      </c>
      <c r="T699">
        <v>4</v>
      </c>
      <c r="U699">
        <v>0.2</v>
      </c>
      <c r="V699">
        <v>31.751200000000001</v>
      </c>
      <c r="W699">
        <f t="shared" si="43"/>
        <v>16.4862</v>
      </c>
      <c r="X699">
        <v>4</v>
      </c>
    </row>
    <row r="700" spans="1:24" x14ac:dyDescent="0.3">
      <c r="A700">
        <v>699</v>
      </c>
      <c r="B700" t="s">
        <v>2470</v>
      </c>
      <c r="C700" s="6">
        <v>44895</v>
      </c>
      <c r="D700" t="str">
        <f t="shared" si="40"/>
        <v>Nov</v>
      </c>
      <c r="E700" t="str">
        <f t="shared" si="41"/>
        <v>2022</v>
      </c>
      <c r="F700" t="s">
        <v>5</v>
      </c>
      <c r="G700" t="s">
        <v>277</v>
      </c>
      <c r="H700" t="s">
        <v>1128</v>
      </c>
      <c r="I700">
        <v>180</v>
      </c>
      <c r="J700">
        <v>6</v>
      </c>
      <c r="K700">
        <f t="shared" si="42"/>
        <v>3.3333333333333335</v>
      </c>
      <c r="L700" t="s">
        <v>1742</v>
      </c>
      <c r="M700" t="s">
        <v>3696</v>
      </c>
      <c r="N700" t="s">
        <v>1</v>
      </c>
      <c r="O700">
        <v>400028</v>
      </c>
      <c r="P700" t="s">
        <v>546</v>
      </c>
      <c r="Q700" t="s">
        <v>1772</v>
      </c>
      <c r="S700">
        <v>2.6960000000000002</v>
      </c>
      <c r="T700">
        <v>1</v>
      </c>
      <c r="U700">
        <v>0.2</v>
      </c>
      <c r="V700">
        <v>0.80879999999999996</v>
      </c>
      <c r="W700">
        <f t="shared" si="43"/>
        <v>1.8872000000000002</v>
      </c>
      <c r="X700">
        <v>2</v>
      </c>
    </row>
    <row r="701" spans="1:24" x14ac:dyDescent="0.3">
      <c r="A701">
        <v>700</v>
      </c>
      <c r="B701" t="s">
        <v>2471</v>
      </c>
      <c r="C701" s="6">
        <v>44896</v>
      </c>
      <c r="D701" t="str">
        <f t="shared" si="40"/>
        <v>Dec</v>
      </c>
      <c r="E701" t="str">
        <f t="shared" si="41"/>
        <v>2022</v>
      </c>
      <c r="F701" t="s">
        <v>5</v>
      </c>
      <c r="G701" t="s">
        <v>277</v>
      </c>
      <c r="H701" t="s">
        <v>1129</v>
      </c>
      <c r="I701">
        <v>160</v>
      </c>
      <c r="J701">
        <v>6</v>
      </c>
      <c r="K701">
        <f t="shared" si="42"/>
        <v>3.75</v>
      </c>
      <c r="L701" t="s">
        <v>1739</v>
      </c>
      <c r="M701" t="s">
        <v>3697</v>
      </c>
      <c r="O701">
        <v>800001</v>
      </c>
      <c r="P701" t="s">
        <v>546</v>
      </c>
      <c r="Q701" t="s">
        <v>1761</v>
      </c>
      <c r="S701">
        <v>18.588000000000001</v>
      </c>
      <c r="T701">
        <v>2</v>
      </c>
      <c r="U701">
        <v>0.7</v>
      </c>
      <c r="V701">
        <v>-13.6312</v>
      </c>
      <c r="W701">
        <f t="shared" si="43"/>
        <v>16.1096</v>
      </c>
      <c r="X701">
        <v>3</v>
      </c>
    </row>
    <row r="702" spans="1:24" x14ac:dyDescent="0.3">
      <c r="A702">
        <v>701</v>
      </c>
      <c r="B702" t="s">
        <v>2472</v>
      </c>
      <c r="C702" s="6">
        <v>44897</v>
      </c>
      <c r="D702" t="str">
        <f t="shared" si="40"/>
        <v>Dec</v>
      </c>
      <c r="E702" t="str">
        <f t="shared" si="41"/>
        <v>2022</v>
      </c>
      <c r="F702" t="s">
        <v>5</v>
      </c>
      <c r="G702" t="s">
        <v>277</v>
      </c>
      <c r="H702" t="s">
        <v>851</v>
      </c>
      <c r="I702">
        <v>170</v>
      </c>
      <c r="J702">
        <v>28</v>
      </c>
      <c r="K702">
        <f t="shared" si="42"/>
        <v>16.470588235294116</v>
      </c>
      <c r="L702" t="s">
        <v>1738</v>
      </c>
      <c r="M702" t="s">
        <v>3792</v>
      </c>
      <c r="N702" t="s">
        <v>1</v>
      </c>
      <c r="O702">
        <v>700063</v>
      </c>
      <c r="P702" t="s">
        <v>546</v>
      </c>
      <c r="Q702" t="s">
        <v>1761</v>
      </c>
      <c r="S702">
        <v>4.8959999999999999</v>
      </c>
      <c r="T702">
        <v>3</v>
      </c>
      <c r="U702">
        <v>0.7</v>
      </c>
      <c r="V702">
        <v>-3.4272</v>
      </c>
      <c r="W702">
        <f t="shared" si="43"/>
        <v>2.7744</v>
      </c>
      <c r="X702">
        <v>1</v>
      </c>
    </row>
    <row r="703" spans="1:24" x14ac:dyDescent="0.3">
      <c r="A703">
        <v>702</v>
      </c>
      <c r="B703" t="s">
        <v>2473</v>
      </c>
      <c r="C703" s="6">
        <v>44898</v>
      </c>
      <c r="D703" t="str">
        <f t="shared" si="40"/>
        <v>Dec</v>
      </c>
      <c r="E703" t="str">
        <f t="shared" si="41"/>
        <v>2022</v>
      </c>
      <c r="F703" t="s">
        <v>4</v>
      </c>
      <c r="G703" t="s">
        <v>121</v>
      </c>
      <c r="H703" t="s">
        <v>738</v>
      </c>
      <c r="I703">
        <v>220</v>
      </c>
      <c r="J703">
        <v>22</v>
      </c>
      <c r="K703">
        <f t="shared" si="42"/>
        <v>10</v>
      </c>
      <c r="L703" t="s">
        <v>1737</v>
      </c>
      <c r="M703" t="s">
        <v>3793</v>
      </c>
      <c r="N703" t="s">
        <v>1</v>
      </c>
      <c r="O703">
        <v>500051</v>
      </c>
      <c r="P703" t="s">
        <v>546</v>
      </c>
      <c r="Q703" t="s">
        <v>1770</v>
      </c>
      <c r="S703">
        <v>15.071999999999999</v>
      </c>
      <c r="T703">
        <v>3</v>
      </c>
      <c r="U703">
        <v>0.2</v>
      </c>
      <c r="V703">
        <v>4.1448</v>
      </c>
      <c r="W703">
        <f t="shared" si="43"/>
        <v>3.6423999999999999</v>
      </c>
      <c r="X703">
        <v>3</v>
      </c>
    </row>
    <row r="704" spans="1:24" x14ac:dyDescent="0.3">
      <c r="A704">
        <v>703</v>
      </c>
      <c r="B704" t="s">
        <v>2474</v>
      </c>
      <c r="C704" s="6">
        <v>44899</v>
      </c>
      <c r="D704" t="str">
        <f t="shared" si="40"/>
        <v>Dec</v>
      </c>
      <c r="E704" t="str">
        <f t="shared" si="41"/>
        <v>2022</v>
      </c>
      <c r="F704" t="s">
        <v>3</v>
      </c>
      <c r="G704" t="s">
        <v>162</v>
      </c>
      <c r="H704" t="s">
        <v>1130</v>
      </c>
      <c r="I704">
        <v>130</v>
      </c>
      <c r="J704">
        <v>12</v>
      </c>
      <c r="K704">
        <f t="shared" si="42"/>
        <v>9.2307692307692317</v>
      </c>
      <c r="L704" t="s">
        <v>1738</v>
      </c>
      <c r="M704" t="s">
        <v>3794</v>
      </c>
      <c r="N704" t="s">
        <v>1</v>
      </c>
      <c r="O704">
        <v>506167</v>
      </c>
      <c r="P704" t="s">
        <v>546</v>
      </c>
      <c r="Q704" t="s">
        <v>1768</v>
      </c>
      <c r="S704">
        <v>209.88</v>
      </c>
      <c r="T704">
        <v>3</v>
      </c>
      <c r="U704">
        <v>0.1</v>
      </c>
      <c r="V704">
        <v>35.679600000000001</v>
      </c>
      <c r="W704">
        <f t="shared" si="43"/>
        <v>58.066800000000001</v>
      </c>
      <c r="X704">
        <v>1</v>
      </c>
    </row>
    <row r="705" spans="1:24" x14ac:dyDescent="0.3">
      <c r="A705">
        <v>704</v>
      </c>
      <c r="B705" t="s">
        <v>2475</v>
      </c>
      <c r="C705" s="6">
        <v>44900</v>
      </c>
      <c r="D705" t="str">
        <f t="shared" si="40"/>
        <v>Dec</v>
      </c>
      <c r="E705" t="str">
        <f t="shared" si="41"/>
        <v>2022</v>
      </c>
      <c r="F705" t="s">
        <v>4</v>
      </c>
      <c r="G705" t="s">
        <v>278</v>
      </c>
      <c r="H705" t="s">
        <v>1131</v>
      </c>
      <c r="I705">
        <v>160</v>
      </c>
      <c r="J705">
        <v>14</v>
      </c>
      <c r="K705">
        <f t="shared" si="42"/>
        <v>8.75</v>
      </c>
      <c r="L705" t="s">
        <v>1738</v>
      </c>
      <c r="M705" t="s">
        <v>3795</v>
      </c>
      <c r="N705" t="s">
        <v>1</v>
      </c>
      <c r="O705">
        <v>682039</v>
      </c>
      <c r="P705" t="s">
        <v>546</v>
      </c>
      <c r="Q705" t="s">
        <v>1765</v>
      </c>
      <c r="S705">
        <v>369.91199999999998</v>
      </c>
      <c r="T705">
        <v>3</v>
      </c>
      <c r="U705">
        <v>0.2</v>
      </c>
      <c r="V705">
        <v>-13.871700000000001</v>
      </c>
      <c r="W705">
        <f t="shared" si="43"/>
        <v>127.92789999999998</v>
      </c>
      <c r="X705">
        <v>3</v>
      </c>
    </row>
    <row r="706" spans="1:24" x14ac:dyDescent="0.3">
      <c r="A706">
        <v>705</v>
      </c>
      <c r="B706" t="s">
        <v>2476</v>
      </c>
      <c r="C706" s="6">
        <v>44901</v>
      </c>
      <c r="D706" t="str">
        <f t="shared" si="40"/>
        <v>Dec</v>
      </c>
      <c r="E706" t="str">
        <f t="shared" si="41"/>
        <v>2022</v>
      </c>
      <c r="F706" t="s">
        <v>4</v>
      </c>
      <c r="G706" t="s">
        <v>279</v>
      </c>
      <c r="H706" t="s">
        <v>1132</v>
      </c>
      <c r="I706">
        <v>150</v>
      </c>
      <c r="J706">
        <v>22</v>
      </c>
      <c r="K706">
        <f t="shared" si="42"/>
        <v>14.666666666666666</v>
      </c>
      <c r="L706" t="s">
        <v>1739</v>
      </c>
      <c r="M706" t="s">
        <v>3594</v>
      </c>
      <c r="O706">
        <v>341510</v>
      </c>
      <c r="P706" t="s">
        <v>546</v>
      </c>
      <c r="Q706" t="s">
        <v>1776</v>
      </c>
      <c r="S706">
        <v>10.368</v>
      </c>
      <c r="T706">
        <v>2</v>
      </c>
      <c r="U706">
        <v>0.2</v>
      </c>
      <c r="V706">
        <v>3.6288</v>
      </c>
      <c r="W706">
        <f t="shared" si="43"/>
        <v>3.3696000000000002</v>
      </c>
      <c r="X706">
        <v>1</v>
      </c>
    </row>
    <row r="707" spans="1:24" x14ac:dyDescent="0.3">
      <c r="A707">
        <v>706</v>
      </c>
      <c r="B707" t="s">
        <v>2477</v>
      </c>
      <c r="C707" s="6">
        <v>44902</v>
      </c>
      <c r="D707" t="str">
        <f t="shared" ref="D707:D770" si="44">TEXT(C707,"Mmm")</f>
        <v>Dec</v>
      </c>
      <c r="E707" t="str">
        <f t="shared" ref="E707:E770" si="45">TEXT(C707,"YYYY")</f>
        <v>2022</v>
      </c>
      <c r="F707" t="s">
        <v>4</v>
      </c>
      <c r="G707" t="s">
        <v>279</v>
      </c>
      <c r="H707" t="s">
        <v>1133</v>
      </c>
      <c r="I707">
        <v>220</v>
      </c>
      <c r="J707">
        <v>16</v>
      </c>
      <c r="K707">
        <f t="shared" ref="K707:K770" si="46">(J707/I707)*100</f>
        <v>7.2727272727272725</v>
      </c>
      <c r="L707" t="s">
        <v>1741</v>
      </c>
      <c r="M707" t="s">
        <v>3796</v>
      </c>
      <c r="N707" t="s">
        <v>1</v>
      </c>
      <c r="O707">
        <v>400604</v>
      </c>
      <c r="P707" t="s">
        <v>546</v>
      </c>
      <c r="Q707" t="s">
        <v>1755</v>
      </c>
      <c r="R707" t="s">
        <v>2</v>
      </c>
      <c r="S707">
        <v>166.84</v>
      </c>
      <c r="T707">
        <v>5</v>
      </c>
      <c r="U707">
        <v>0.2</v>
      </c>
      <c r="V707">
        <v>18.769500000000001</v>
      </c>
      <c r="W707">
        <f t="shared" ref="W707:W770" si="47">(S707-V707)/T707</f>
        <v>29.614100000000001</v>
      </c>
      <c r="X707">
        <v>4</v>
      </c>
    </row>
    <row r="708" spans="1:24" x14ac:dyDescent="0.3">
      <c r="A708">
        <v>707</v>
      </c>
      <c r="B708" t="s">
        <v>2168</v>
      </c>
      <c r="C708" s="6">
        <v>44903</v>
      </c>
      <c r="D708" t="str">
        <f t="shared" si="44"/>
        <v>Dec</v>
      </c>
      <c r="E708" t="str">
        <f t="shared" si="45"/>
        <v>2022</v>
      </c>
      <c r="F708" t="s">
        <v>4</v>
      </c>
      <c r="G708" t="s">
        <v>279</v>
      </c>
      <c r="H708" t="s">
        <v>999</v>
      </c>
      <c r="I708">
        <v>140</v>
      </c>
      <c r="J708">
        <v>14</v>
      </c>
      <c r="K708">
        <f t="shared" si="46"/>
        <v>10</v>
      </c>
      <c r="L708" t="s">
        <v>1736</v>
      </c>
      <c r="M708" t="s">
        <v>3797</v>
      </c>
      <c r="N708" t="s">
        <v>1</v>
      </c>
      <c r="O708">
        <v>834002</v>
      </c>
      <c r="P708" t="s">
        <v>546</v>
      </c>
      <c r="Q708" t="s">
        <v>1755</v>
      </c>
      <c r="S708">
        <v>15.215999999999999</v>
      </c>
      <c r="T708">
        <v>1</v>
      </c>
      <c r="U708">
        <v>0.2</v>
      </c>
      <c r="V708">
        <v>2.2824</v>
      </c>
      <c r="W708">
        <f t="shared" si="47"/>
        <v>12.933599999999998</v>
      </c>
      <c r="X708">
        <v>3</v>
      </c>
    </row>
    <row r="709" spans="1:24" x14ac:dyDescent="0.3">
      <c r="A709">
        <v>708</v>
      </c>
      <c r="B709" t="s">
        <v>2478</v>
      </c>
      <c r="C709" s="6">
        <v>44904</v>
      </c>
      <c r="D709" t="str">
        <f t="shared" si="44"/>
        <v>Dec</v>
      </c>
      <c r="E709" t="str">
        <f t="shared" si="45"/>
        <v>2022</v>
      </c>
      <c r="F709" t="s">
        <v>5</v>
      </c>
      <c r="G709" t="s">
        <v>280</v>
      </c>
      <c r="H709" t="s">
        <v>793</v>
      </c>
      <c r="I709">
        <v>150</v>
      </c>
      <c r="J709">
        <v>18</v>
      </c>
      <c r="K709">
        <f t="shared" si="46"/>
        <v>12</v>
      </c>
      <c r="L709" t="s">
        <v>1744</v>
      </c>
      <c r="M709" t="s">
        <v>3798</v>
      </c>
      <c r="N709" t="s">
        <v>1</v>
      </c>
      <c r="O709">
        <v>400101</v>
      </c>
      <c r="P709" t="s">
        <v>546</v>
      </c>
      <c r="Q709" t="s">
        <v>1765</v>
      </c>
      <c r="S709">
        <v>119.96</v>
      </c>
      <c r="T709">
        <v>4</v>
      </c>
      <c r="U709">
        <v>0.1</v>
      </c>
      <c r="V709">
        <v>52.782400000000003</v>
      </c>
      <c r="W709">
        <f t="shared" si="47"/>
        <v>16.794399999999996</v>
      </c>
      <c r="X709">
        <v>4</v>
      </c>
    </row>
    <row r="710" spans="1:24" x14ac:dyDescent="0.3">
      <c r="A710">
        <v>709</v>
      </c>
      <c r="B710" t="s">
        <v>2479</v>
      </c>
      <c r="C710" s="6">
        <v>44905</v>
      </c>
      <c r="D710" t="str">
        <f t="shared" si="44"/>
        <v>Dec</v>
      </c>
      <c r="E710" t="str">
        <f t="shared" si="45"/>
        <v>2022</v>
      </c>
      <c r="F710" t="s">
        <v>5</v>
      </c>
      <c r="G710" t="s">
        <v>280</v>
      </c>
      <c r="H710" t="s">
        <v>1134</v>
      </c>
      <c r="I710">
        <v>180</v>
      </c>
      <c r="J710">
        <v>12</v>
      </c>
      <c r="K710">
        <f t="shared" si="46"/>
        <v>6.666666666666667</v>
      </c>
      <c r="L710" t="s">
        <v>1740</v>
      </c>
      <c r="M710" t="s">
        <v>3799</v>
      </c>
      <c r="N710" t="s">
        <v>1</v>
      </c>
      <c r="O710">
        <v>689676</v>
      </c>
      <c r="P710" t="s">
        <v>546</v>
      </c>
      <c r="Q710" t="s">
        <v>1755</v>
      </c>
      <c r="S710">
        <v>883.92</v>
      </c>
      <c r="T710">
        <v>5</v>
      </c>
      <c r="U710">
        <v>0.2</v>
      </c>
      <c r="V710">
        <v>-110.49</v>
      </c>
      <c r="W710">
        <f t="shared" si="47"/>
        <v>198.88200000000001</v>
      </c>
      <c r="X710">
        <v>5</v>
      </c>
    </row>
    <row r="711" spans="1:24" x14ac:dyDescent="0.3">
      <c r="A711">
        <v>710</v>
      </c>
      <c r="B711" t="s">
        <v>2480</v>
      </c>
      <c r="C711" s="6">
        <v>44906</v>
      </c>
      <c r="D711" t="str">
        <f t="shared" si="44"/>
        <v>Dec</v>
      </c>
      <c r="E711" t="str">
        <f t="shared" si="45"/>
        <v>2022</v>
      </c>
      <c r="F711" t="s">
        <v>5</v>
      </c>
      <c r="G711" t="s">
        <v>280</v>
      </c>
      <c r="H711" t="s">
        <v>894</v>
      </c>
      <c r="I711">
        <v>110</v>
      </c>
      <c r="J711">
        <v>10</v>
      </c>
      <c r="K711">
        <f t="shared" si="46"/>
        <v>9.0909090909090917</v>
      </c>
      <c r="L711" t="s">
        <v>1742</v>
      </c>
      <c r="M711" t="s">
        <v>3800</v>
      </c>
      <c r="N711" t="s">
        <v>1</v>
      </c>
      <c r="O711">
        <v>560047</v>
      </c>
      <c r="P711" t="s">
        <v>546</v>
      </c>
      <c r="Q711" t="s">
        <v>1769</v>
      </c>
      <c r="S711">
        <v>46.72</v>
      </c>
      <c r="T711">
        <v>8</v>
      </c>
      <c r="U711">
        <v>0.2</v>
      </c>
      <c r="V711">
        <v>15.768000000000001</v>
      </c>
      <c r="W711">
        <f t="shared" si="47"/>
        <v>3.8689999999999998</v>
      </c>
      <c r="X711">
        <v>1</v>
      </c>
    </row>
    <row r="712" spans="1:24" x14ac:dyDescent="0.3">
      <c r="A712">
        <v>711</v>
      </c>
      <c r="B712" t="s">
        <v>2481</v>
      </c>
      <c r="C712" s="6">
        <v>44907</v>
      </c>
      <c r="D712" t="str">
        <f t="shared" si="44"/>
        <v>Dec</v>
      </c>
      <c r="E712" t="str">
        <f t="shared" si="45"/>
        <v>2022</v>
      </c>
      <c r="F712" t="s">
        <v>5</v>
      </c>
      <c r="G712" t="s">
        <v>281</v>
      </c>
      <c r="H712" t="s">
        <v>964</v>
      </c>
      <c r="I712">
        <v>160</v>
      </c>
      <c r="J712">
        <v>28</v>
      </c>
      <c r="K712">
        <f t="shared" si="46"/>
        <v>17.5</v>
      </c>
      <c r="L712" t="s">
        <v>1739</v>
      </c>
      <c r="M712" t="s">
        <v>3623</v>
      </c>
      <c r="N712" t="s">
        <v>1</v>
      </c>
      <c r="O712">
        <v>445203</v>
      </c>
      <c r="P712" t="s">
        <v>546</v>
      </c>
      <c r="Q712" t="s">
        <v>1776</v>
      </c>
      <c r="S712">
        <v>55.48</v>
      </c>
      <c r="T712">
        <v>1</v>
      </c>
      <c r="U712">
        <v>0.1</v>
      </c>
      <c r="V712">
        <v>26.630400000000002</v>
      </c>
      <c r="W712">
        <f t="shared" si="47"/>
        <v>28.849599999999995</v>
      </c>
      <c r="X712">
        <v>2</v>
      </c>
    </row>
    <row r="713" spans="1:24" x14ac:dyDescent="0.3">
      <c r="A713">
        <v>712</v>
      </c>
      <c r="B713" t="s">
        <v>2482</v>
      </c>
      <c r="C713" s="6">
        <v>44908</v>
      </c>
      <c r="D713" t="str">
        <f t="shared" si="44"/>
        <v>Dec</v>
      </c>
      <c r="E713" t="str">
        <f t="shared" si="45"/>
        <v>2022</v>
      </c>
      <c r="F713" t="s">
        <v>4</v>
      </c>
      <c r="G713" t="s">
        <v>282</v>
      </c>
      <c r="H713" t="s">
        <v>1135</v>
      </c>
      <c r="I713">
        <v>120</v>
      </c>
      <c r="J713">
        <v>24</v>
      </c>
      <c r="K713">
        <f t="shared" si="46"/>
        <v>20</v>
      </c>
      <c r="L713" t="s">
        <v>1738</v>
      </c>
      <c r="M713" t="s">
        <v>3801</v>
      </c>
      <c r="N713" t="s">
        <v>1</v>
      </c>
      <c r="O713">
        <v>753008</v>
      </c>
      <c r="P713" t="s">
        <v>546</v>
      </c>
      <c r="Q713" t="s">
        <v>1756</v>
      </c>
      <c r="S713">
        <v>24.448</v>
      </c>
      <c r="T713">
        <v>4</v>
      </c>
      <c r="U713">
        <v>0.2</v>
      </c>
      <c r="V713">
        <v>8.8623999999999992</v>
      </c>
      <c r="W713">
        <f t="shared" si="47"/>
        <v>3.8964000000000003</v>
      </c>
      <c r="X713">
        <v>5</v>
      </c>
    </row>
    <row r="714" spans="1:24" x14ac:dyDescent="0.3">
      <c r="A714">
        <v>713</v>
      </c>
      <c r="B714" t="s">
        <v>2483</v>
      </c>
      <c r="C714" s="6">
        <v>44909</v>
      </c>
      <c r="D714" t="str">
        <f t="shared" si="44"/>
        <v>Dec</v>
      </c>
      <c r="E714" t="str">
        <f t="shared" si="45"/>
        <v>2022</v>
      </c>
      <c r="F714" t="s">
        <v>4</v>
      </c>
      <c r="G714" t="s">
        <v>283</v>
      </c>
      <c r="H714" t="s">
        <v>1136</v>
      </c>
      <c r="I714">
        <v>150</v>
      </c>
      <c r="J714">
        <v>6</v>
      </c>
      <c r="K714">
        <f t="shared" si="46"/>
        <v>4</v>
      </c>
      <c r="L714" t="s">
        <v>1737</v>
      </c>
      <c r="M714" t="s">
        <v>3802</v>
      </c>
      <c r="N714" t="s">
        <v>1</v>
      </c>
      <c r="O714">
        <v>400056</v>
      </c>
      <c r="P714" t="s">
        <v>546</v>
      </c>
      <c r="Q714" t="s">
        <v>1772</v>
      </c>
      <c r="R714" t="s">
        <v>2</v>
      </c>
      <c r="S714">
        <v>281.33999999999997</v>
      </c>
      <c r="T714">
        <v>6</v>
      </c>
      <c r="U714">
        <v>0.1</v>
      </c>
      <c r="V714">
        <v>109.7226</v>
      </c>
      <c r="W714">
        <f t="shared" si="47"/>
        <v>28.602899999999995</v>
      </c>
      <c r="X714">
        <v>3</v>
      </c>
    </row>
    <row r="715" spans="1:24" x14ac:dyDescent="0.3">
      <c r="A715">
        <v>714</v>
      </c>
      <c r="B715" t="s">
        <v>2484</v>
      </c>
      <c r="C715" s="6">
        <v>44910</v>
      </c>
      <c r="D715" t="str">
        <f t="shared" si="44"/>
        <v>Dec</v>
      </c>
      <c r="E715" t="str">
        <f t="shared" si="45"/>
        <v>2022</v>
      </c>
      <c r="F715" t="s">
        <v>4</v>
      </c>
      <c r="G715" t="s">
        <v>283</v>
      </c>
      <c r="H715" t="s">
        <v>895</v>
      </c>
      <c r="I715">
        <v>140</v>
      </c>
      <c r="J715">
        <v>12</v>
      </c>
      <c r="K715">
        <f t="shared" si="46"/>
        <v>8.5714285714285712</v>
      </c>
      <c r="L715" t="s">
        <v>1743</v>
      </c>
      <c r="M715" t="s">
        <v>3803</v>
      </c>
      <c r="N715" t="s">
        <v>1</v>
      </c>
      <c r="O715">
        <v>144004</v>
      </c>
      <c r="P715" t="s">
        <v>546</v>
      </c>
      <c r="Q715" t="s">
        <v>1761</v>
      </c>
      <c r="S715">
        <v>307.98</v>
      </c>
      <c r="T715">
        <v>2</v>
      </c>
      <c r="U715">
        <v>0.1</v>
      </c>
      <c r="V715">
        <v>89.3142</v>
      </c>
      <c r="W715">
        <f t="shared" si="47"/>
        <v>109.33290000000001</v>
      </c>
      <c r="X715">
        <v>2</v>
      </c>
    </row>
    <row r="716" spans="1:24" x14ac:dyDescent="0.3">
      <c r="A716">
        <v>715</v>
      </c>
      <c r="B716" t="s">
        <v>2485</v>
      </c>
      <c r="C716" s="6">
        <v>44911</v>
      </c>
      <c r="D716" t="str">
        <f t="shared" si="44"/>
        <v>Dec</v>
      </c>
      <c r="E716" t="str">
        <f t="shared" si="45"/>
        <v>2022</v>
      </c>
      <c r="F716" t="s">
        <v>4</v>
      </c>
      <c r="G716" t="s">
        <v>283</v>
      </c>
      <c r="H716" t="s">
        <v>1137</v>
      </c>
      <c r="I716">
        <v>180</v>
      </c>
      <c r="J716">
        <v>12</v>
      </c>
      <c r="K716">
        <f t="shared" si="46"/>
        <v>6.666666666666667</v>
      </c>
      <c r="L716" t="s">
        <v>1738</v>
      </c>
      <c r="M716" t="s">
        <v>3804</v>
      </c>
      <c r="N716" t="s">
        <v>1</v>
      </c>
      <c r="O716">
        <v>400706</v>
      </c>
      <c r="P716" t="s">
        <v>546</v>
      </c>
      <c r="Q716" t="s">
        <v>1763</v>
      </c>
      <c r="S716">
        <v>299.97000000000003</v>
      </c>
      <c r="T716">
        <v>3</v>
      </c>
      <c r="U716">
        <v>0.1</v>
      </c>
      <c r="V716">
        <v>113.98860000000001</v>
      </c>
      <c r="W716">
        <f t="shared" si="47"/>
        <v>61.9938</v>
      </c>
      <c r="X716">
        <v>2</v>
      </c>
    </row>
    <row r="717" spans="1:24" x14ac:dyDescent="0.3">
      <c r="A717">
        <v>716</v>
      </c>
      <c r="B717" t="s">
        <v>2486</v>
      </c>
      <c r="C717" s="6">
        <v>44912</v>
      </c>
      <c r="D717" t="str">
        <f t="shared" si="44"/>
        <v>Dec</v>
      </c>
      <c r="E717" t="str">
        <f t="shared" si="45"/>
        <v>2022</v>
      </c>
      <c r="F717" t="s">
        <v>3</v>
      </c>
      <c r="G717" t="s">
        <v>121</v>
      </c>
      <c r="H717" t="s">
        <v>1138</v>
      </c>
      <c r="I717">
        <v>240</v>
      </c>
      <c r="J717">
        <v>22</v>
      </c>
      <c r="K717">
        <f t="shared" si="46"/>
        <v>9.1666666666666661</v>
      </c>
      <c r="L717" t="s">
        <v>1739</v>
      </c>
      <c r="M717" t="s">
        <v>3600</v>
      </c>
      <c r="N717" t="s">
        <v>1</v>
      </c>
      <c r="O717">
        <v>401107</v>
      </c>
      <c r="P717" t="s">
        <v>546</v>
      </c>
      <c r="Q717" t="s">
        <v>1770</v>
      </c>
      <c r="S717">
        <v>19.920000000000002</v>
      </c>
      <c r="T717">
        <v>5</v>
      </c>
      <c r="U717">
        <v>0.2</v>
      </c>
      <c r="V717">
        <v>6.9720000000000004</v>
      </c>
      <c r="W717">
        <f t="shared" si="47"/>
        <v>2.5895999999999999</v>
      </c>
      <c r="X717">
        <v>2</v>
      </c>
    </row>
    <row r="718" spans="1:24" x14ac:dyDescent="0.3">
      <c r="A718">
        <v>717</v>
      </c>
      <c r="B718" t="s">
        <v>2487</v>
      </c>
      <c r="C718" s="6">
        <v>44913</v>
      </c>
      <c r="D718" t="str">
        <f t="shared" si="44"/>
        <v>Dec</v>
      </c>
      <c r="E718" t="str">
        <f t="shared" si="45"/>
        <v>2022</v>
      </c>
      <c r="F718" t="s">
        <v>5</v>
      </c>
      <c r="G718" t="s">
        <v>284</v>
      </c>
      <c r="H718" t="s">
        <v>1074</v>
      </c>
      <c r="I718">
        <v>140</v>
      </c>
      <c r="J718">
        <v>30</v>
      </c>
      <c r="K718">
        <f t="shared" si="46"/>
        <v>21.428571428571427</v>
      </c>
      <c r="L718" t="s">
        <v>1741</v>
      </c>
      <c r="M718" t="s">
        <v>3805</v>
      </c>
      <c r="N718" t="s">
        <v>1</v>
      </c>
      <c r="O718">
        <v>401107</v>
      </c>
      <c r="P718" t="s">
        <v>546</v>
      </c>
      <c r="Q718" t="s">
        <v>1760</v>
      </c>
      <c r="S718">
        <v>9.94</v>
      </c>
      <c r="T718">
        <v>2</v>
      </c>
      <c r="U718">
        <v>0.1</v>
      </c>
      <c r="V718">
        <v>3.0813999999999999</v>
      </c>
      <c r="W718">
        <f t="shared" si="47"/>
        <v>3.4292999999999996</v>
      </c>
      <c r="X718">
        <v>3</v>
      </c>
    </row>
    <row r="719" spans="1:24" x14ac:dyDescent="0.3">
      <c r="A719">
        <v>718</v>
      </c>
      <c r="B719" t="s">
        <v>2488</v>
      </c>
      <c r="C719" s="6">
        <v>44914</v>
      </c>
      <c r="D719" t="str">
        <f t="shared" si="44"/>
        <v>Dec</v>
      </c>
      <c r="E719" t="str">
        <f t="shared" si="45"/>
        <v>2022</v>
      </c>
      <c r="F719" t="s">
        <v>4</v>
      </c>
      <c r="G719" t="s">
        <v>117</v>
      </c>
      <c r="H719" t="s">
        <v>1139</v>
      </c>
      <c r="I719">
        <v>250</v>
      </c>
      <c r="J719">
        <v>12</v>
      </c>
      <c r="K719">
        <f t="shared" si="46"/>
        <v>4.8</v>
      </c>
      <c r="L719" t="s">
        <v>1736</v>
      </c>
      <c r="M719" t="s">
        <v>3644</v>
      </c>
      <c r="N719" t="s">
        <v>1</v>
      </c>
      <c r="O719">
        <v>500084</v>
      </c>
      <c r="P719" t="s">
        <v>546</v>
      </c>
      <c r="Q719" t="s">
        <v>1755</v>
      </c>
      <c r="S719">
        <v>103.056</v>
      </c>
      <c r="T719">
        <v>3</v>
      </c>
      <c r="U719">
        <v>0.2</v>
      </c>
      <c r="V719">
        <v>24.4758</v>
      </c>
      <c r="W719">
        <f t="shared" si="47"/>
        <v>26.193399999999997</v>
      </c>
      <c r="X719">
        <v>4</v>
      </c>
    </row>
    <row r="720" spans="1:24" x14ac:dyDescent="0.3">
      <c r="A720">
        <v>719</v>
      </c>
      <c r="B720" t="s">
        <v>2489</v>
      </c>
      <c r="C720" s="6">
        <v>44915</v>
      </c>
      <c r="D720" t="str">
        <f t="shared" si="44"/>
        <v>Dec</v>
      </c>
      <c r="E720" t="str">
        <f t="shared" si="45"/>
        <v>2022</v>
      </c>
      <c r="F720" t="s">
        <v>4</v>
      </c>
      <c r="G720" t="s">
        <v>285</v>
      </c>
      <c r="H720" t="s">
        <v>991</v>
      </c>
      <c r="I720">
        <v>150</v>
      </c>
      <c r="J720">
        <v>8</v>
      </c>
      <c r="K720">
        <f t="shared" si="46"/>
        <v>5.3333333333333339</v>
      </c>
      <c r="L720" t="s">
        <v>1744</v>
      </c>
      <c r="M720" t="s">
        <v>3806</v>
      </c>
      <c r="N720" t="s">
        <v>1</v>
      </c>
      <c r="O720">
        <v>700064</v>
      </c>
      <c r="P720" t="s">
        <v>546</v>
      </c>
      <c r="Q720" t="s">
        <v>1761</v>
      </c>
      <c r="S720">
        <v>59.808</v>
      </c>
      <c r="T720">
        <v>3</v>
      </c>
      <c r="U720">
        <v>0.2</v>
      </c>
      <c r="V720">
        <v>19.4376</v>
      </c>
      <c r="W720">
        <f t="shared" si="47"/>
        <v>13.456800000000001</v>
      </c>
      <c r="X720">
        <v>1</v>
      </c>
    </row>
    <row r="721" spans="1:24" x14ac:dyDescent="0.3">
      <c r="A721">
        <v>720</v>
      </c>
      <c r="B721" t="s">
        <v>2490</v>
      </c>
      <c r="C721" s="6">
        <v>44916</v>
      </c>
      <c r="D721" t="str">
        <f t="shared" si="44"/>
        <v>Dec</v>
      </c>
      <c r="E721" t="str">
        <f t="shared" si="45"/>
        <v>2022</v>
      </c>
      <c r="F721" t="s">
        <v>4</v>
      </c>
      <c r="G721" t="s">
        <v>285</v>
      </c>
      <c r="H721" t="s">
        <v>937</v>
      </c>
      <c r="I721">
        <v>230</v>
      </c>
      <c r="J721">
        <v>18</v>
      </c>
      <c r="K721">
        <f t="shared" si="46"/>
        <v>7.8260869565217401</v>
      </c>
      <c r="L721" t="s">
        <v>1740</v>
      </c>
      <c r="M721" t="s">
        <v>3586</v>
      </c>
      <c r="N721" t="s">
        <v>1</v>
      </c>
      <c r="O721">
        <v>313001</v>
      </c>
      <c r="P721" t="s">
        <v>546</v>
      </c>
      <c r="Q721" t="s">
        <v>1766</v>
      </c>
      <c r="S721">
        <v>73.319999999999993</v>
      </c>
      <c r="T721">
        <v>6</v>
      </c>
      <c r="U721">
        <v>0.1</v>
      </c>
      <c r="V721">
        <v>21.995999999999999</v>
      </c>
      <c r="W721">
        <f t="shared" si="47"/>
        <v>8.5540000000000003</v>
      </c>
      <c r="X721">
        <v>5</v>
      </c>
    </row>
    <row r="722" spans="1:24" x14ac:dyDescent="0.3">
      <c r="A722">
        <v>721</v>
      </c>
      <c r="B722" t="s">
        <v>2491</v>
      </c>
      <c r="C722" s="6">
        <v>44917</v>
      </c>
      <c r="D722" t="str">
        <f t="shared" si="44"/>
        <v>Dec</v>
      </c>
      <c r="E722" t="str">
        <f t="shared" si="45"/>
        <v>2022</v>
      </c>
      <c r="F722" t="s">
        <v>4</v>
      </c>
      <c r="G722" t="s">
        <v>286</v>
      </c>
      <c r="H722" t="s">
        <v>1140</v>
      </c>
      <c r="I722">
        <v>240</v>
      </c>
      <c r="J722">
        <v>12</v>
      </c>
      <c r="K722">
        <f t="shared" si="46"/>
        <v>5</v>
      </c>
      <c r="L722" t="s">
        <v>1742</v>
      </c>
      <c r="M722" t="s">
        <v>3676</v>
      </c>
      <c r="N722" t="s">
        <v>1</v>
      </c>
      <c r="O722">
        <v>560002</v>
      </c>
      <c r="P722" t="s">
        <v>546</v>
      </c>
      <c r="Q722" t="s">
        <v>1772</v>
      </c>
      <c r="S722">
        <v>146.82</v>
      </c>
      <c r="T722">
        <v>3</v>
      </c>
      <c r="U722">
        <v>0.1</v>
      </c>
      <c r="V722">
        <v>73.41</v>
      </c>
      <c r="W722">
        <f t="shared" si="47"/>
        <v>24.47</v>
      </c>
      <c r="X722">
        <v>2</v>
      </c>
    </row>
    <row r="723" spans="1:24" x14ac:dyDescent="0.3">
      <c r="A723">
        <v>722</v>
      </c>
      <c r="B723" t="s">
        <v>2492</v>
      </c>
      <c r="C723" s="6">
        <v>44918</v>
      </c>
      <c r="D723" t="str">
        <f t="shared" si="44"/>
        <v>Dec</v>
      </c>
      <c r="E723" t="str">
        <f t="shared" si="45"/>
        <v>2022</v>
      </c>
      <c r="F723" t="s">
        <v>4</v>
      </c>
      <c r="G723" t="s">
        <v>179</v>
      </c>
      <c r="H723" t="s">
        <v>1141</v>
      </c>
      <c r="I723">
        <v>200</v>
      </c>
      <c r="J723">
        <v>10</v>
      </c>
      <c r="K723">
        <f t="shared" si="46"/>
        <v>5</v>
      </c>
      <c r="L723" t="s">
        <v>1739</v>
      </c>
      <c r="M723" t="s">
        <v>3747</v>
      </c>
      <c r="O723">
        <v>841226</v>
      </c>
      <c r="P723" t="s">
        <v>546</v>
      </c>
      <c r="Q723" t="s">
        <v>1772</v>
      </c>
      <c r="R723" t="s">
        <v>2</v>
      </c>
      <c r="S723">
        <v>1652.94</v>
      </c>
      <c r="T723">
        <v>3</v>
      </c>
      <c r="U723">
        <v>0.1</v>
      </c>
      <c r="V723">
        <v>231.41159999999999</v>
      </c>
      <c r="W723">
        <f t="shared" si="47"/>
        <v>473.84280000000007</v>
      </c>
      <c r="X723">
        <v>4</v>
      </c>
    </row>
    <row r="724" spans="1:24" x14ac:dyDescent="0.3">
      <c r="A724">
        <v>723</v>
      </c>
      <c r="B724" t="s">
        <v>2493</v>
      </c>
      <c r="C724" s="6">
        <v>44919</v>
      </c>
      <c r="D724" t="str">
        <f t="shared" si="44"/>
        <v>Dec</v>
      </c>
      <c r="E724" t="str">
        <f t="shared" si="45"/>
        <v>2022</v>
      </c>
      <c r="F724" t="s">
        <v>4</v>
      </c>
      <c r="G724" t="s">
        <v>179</v>
      </c>
      <c r="H724" t="s">
        <v>1142</v>
      </c>
      <c r="I724">
        <v>210</v>
      </c>
      <c r="J724">
        <v>30</v>
      </c>
      <c r="K724">
        <f t="shared" si="46"/>
        <v>14.285714285714285</v>
      </c>
      <c r="L724" t="s">
        <v>1738</v>
      </c>
      <c r="M724" t="s">
        <v>3807</v>
      </c>
      <c r="N724" t="s">
        <v>1</v>
      </c>
      <c r="O724">
        <v>560091</v>
      </c>
      <c r="P724" t="s">
        <v>546</v>
      </c>
      <c r="Q724" t="s">
        <v>1767</v>
      </c>
      <c r="S724">
        <v>296.37</v>
      </c>
      <c r="T724">
        <v>3</v>
      </c>
      <c r="U724">
        <v>0.1</v>
      </c>
      <c r="V724">
        <v>80.019900000000007</v>
      </c>
      <c r="W724">
        <f t="shared" si="47"/>
        <v>72.116699999999994</v>
      </c>
      <c r="X724">
        <v>1</v>
      </c>
    </row>
    <row r="725" spans="1:24" x14ac:dyDescent="0.3">
      <c r="A725">
        <v>724</v>
      </c>
      <c r="B725" t="s">
        <v>2494</v>
      </c>
      <c r="C725" s="6">
        <v>44920</v>
      </c>
      <c r="D725" t="str">
        <f t="shared" si="44"/>
        <v>Dec</v>
      </c>
      <c r="E725" t="str">
        <f t="shared" si="45"/>
        <v>2022</v>
      </c>
      <c r="F725" t="s">
        <v>4</v>
      </c>
      <c r="G725" t="s">
        <v>287</v>
      </c>
      <c r="H725" t="s">
        <v>1143</v>
      </c>
      <c r="I725">
        <v>250</v>
      </c>
      <c r="J725">
        <v>22</v>
      </c>
      <c r="K725">
        <f t="shared" si="46"/>
        <v>8.7999999999999989</v>
      </c>
      <c r="L725" t="s">
        <v>1737</v>
      </c>
      <c r="M725" t="s">
        <v>3808</v>
      </c>
      <c r="O725">
        <v>110016</v>
      </c>
      <c r="P725" t="s">
        <v>546</v>
      </c>
      <c r="Q725" t="s">
        <v>1773</v>
      </c>
      <c r="S725">
        <v>129.91999999999999</v>
      </c>
      <c r="T725">
        <v>5</v>
      </c>
      <c r="U725">
        <v>0.2</v>
      </c>
      <c r="V725">
        <v>21.111999999999998</v>
      </c>
      <c r="W725">
        <f t="shared" si="47"/>
        <v>21.761599999999998</v>
      </c>
      <c r="X725">
        <v>2</v>
      </c>
    </row>
    <row r="726" spans="1:24" x14ac:dyDescent="0.3">
      <c r="A726">
        <v>725</v>
      </c>
      <c r="B726" t="s">
        <v>2495</v>
      </c>
      <c r="C726" s="6">
        <v>44921</v>
      </c>
      <c r="D726" t="str">
        <f t="shared" si="44"/>
        <v>Dec</v>
      </c>
      <c r="E726" t="str">
        <f t="shared" si="45"/>
        <v>2022</v>
      </c>
      <c r="F726" t="s">
        <v>4</v>
      </c>
      <c r="G726" t="s">
        <v>288</v>
      </c>
      <c r="H726" t="s">
        <v>1144</v>
      </c>
      <c r="I726">
        <v>180</v>
      </c>
      <c r="J726">
        <v>20</v>
      </c>
      <c r="K726">
        <f t="shared" si="46"/>
        <v>11.111111111111111</v>
      </c>
      <c r="L726" t="s">
        <v>1743</v>
      </c>
      <c r="M726" t="s">
        <v>3809</v>
      </c>
      <c r="O726">
        <v>302019</v>
      </c>
      <c r="P726" t="s">
        <v>546</v>
      </c>
      <c r="Q726" t="s">
        <v>1773</v>
      </c>
      <c r="S726">
        <v>45.584000000000003</v>
      </c>
      <c r="T726">
        <v>7</v>
      </c>
      <c r="U726">
        <v>0.2</v>
      </c>
      <c r="V726">
        <v>5.1281999999999996</v>
      </c>
      <c r="W726">
        <f t="shared" si="47"/>
        <v>5.7794000000000008</v>
      </c>
      <c r="X726">
        <v>1</v>
      </c>
    </row>
    <row r="727" spans="1:24" x14ac:dyDescent="0.3">
      <c r="A727">
        <v>726</v>
      </c>
      <c r="B727" t="s">
        <v>2496</v>
      </c>
      <c r="C727" s="6">
        <v>44922</v>
      </c>
      <c r="D727" t="str">
        <f t="shared" si="44"/>
        <v>Dec</v>
      </c>
      <c r="E727" t="str">
        <f t="shared" si="45"/>
        <v>2022</v>
      </c>
      <c r="F727" t="s">
        <v>4</v>
      </c>
      <c r="G727" t="s">
        <v>289</v>
      </c>
      <c r="H727" t="s">
        <v>1145</v>
      </c>
      <c r="I727">
        <v>170</v>
      </c>
      <c r="J727">
        <v>12</v>
      </c>
      <c r="K727">
        <f t="shared" si="46"/>
        <v>7.0588235294117645</v>
      </c>
      <c r="L727" t="s">
        <v>1738</v>
      </c>
      <c r="M727" t="s">
        <v>3681</v>
      </c>
      <c r="N727" t="s">
        <v>1</v>
      </c>
      <c r="O727">
        <v>390006</v>
      </c>
      <c r="P727" t="s">
        <v>546</v>
      </c>
      <c r="Q727" t="s">
        <v>1759</v>
      </c>
      <c r="S727">
        <v>17.568000000000001</v>
      </c>
      <c r="T727">
        <v>2</v>
      </c>
      <c r="U727">
        <v>0.2</v>
      </c>
      <c r="V727">
        <v>6.3684000000000003</v>
      </c>
      <c r="W727">
        <f t="shared" si="47"/>
        <v>5.5998000000000001</v>
      </c>
      <c r="X727">
        <v>1</v>
      </c>
    </row>
    <row r="728" spans="1:24" x14ac:dyDescent="0.3">
      <c r="A728">
        <v>727</v>
      </c>
      <c r="B728" t="s">
        <v>2497</v>
      </c>
      <c r="C728" s="6">
        <v>44923</v>
      </c>
      <c r="D728" t="str">
        <f t="shared" si="44"/>
        <v>Dec</v>
      </c>
      <c r="E728" t="str">
        <f t="shared" si="45"/>
        <v>2022</v>
      </c>
      <c r="F728" t="s">
        <v>4</v>
      </c>
      <c r="G728" t="s">
        <v>289</v>
      </c>
      <c r="H728" t="s">
        <v>1146</v>
      </c>
      <c r="I728">
        <v>120</v>
      </c>
      <c r="J728">
        <v>8</v>
      </c>
      <c r="K728">
        <f t="shared" si="46"/>
        <v>6.666666666666667</v>
      </c>
      <c r="L728" t="s">
        <v>1739</v>
      </c>
      <c r="M728" t="s">
        <v>3682</v>
      </c>
      <c r="N728" t="s">
        <v>1</v>
      </c>
      <c r="O728">
        <v>500028</v>
      </c>
      <c r="P728" t="s">
        <v>546</v>
      </c>
      <c r="Q728" t="s">
        <v>1764</v>
      </c>
      <c r="S728">
        <v>55.991999999999997</v>
      </c>
      <c r="T728">
        <v>1</v>
      </c>
      <c r="U728">
        <v>0.2</v>
      </c>
      <c r="V728">
        <v>5.5991999999999997</v>
      </c>
      <c r="W728">
        <f t="shared" si="47"/>
        <v>50.392799999999994</v>
      </c>
      <c r="X728">
        <v>1</v>
      </c>
    </row>
    <row r="729" spans="1:24" x14ac:dyDescent="0.3">
      <c r="A729">
        <v>728</v>
      </c>
      <c r="B729" t="s">
        <v>2498</v>
      </c>
      <c r="C729" s="6">
        <v>44924</v>
      </c>
      <c r="D729" t="str">
        <f t="shared" si="44"/>
        <v>Dec</v>
      </c>
      <c r="E729" t="str">
        <f t="shared" si="45"/>
        <v>2022</v>
      </c>
      <c r="F729" t="s">
        <v>5</v>
      </c>
      <c r="G729" t="s">
        <v>290</v>
      </c>
      <c r="H729" t="s">
        <v>1147</v>
      </c>
      <c r="I729">
        <v>220</v>
      </c>
      <c r="J729">
        <v>14</v>
      </c>
      <c r="K729">
        <f t="shared" si="46"/>
        <v>6.3636363636363633</v>
      </c>
      <c r="L729" t="s">
        <v>1741</v>
      </c>
      <c r="M729" t="s">
        <v>3810</v>
      </c>
      <c r="N729" t="s">
        <v>1</v>
      </c>
      <c r="O729">
        <v>534004</v>
      </c>
      <c r="P729" t="s">
        <v>546</v>
      </c>
      <c r="Q729" t="s">
        <v>1772</v>
      </c>
      <c r="R729" t="s">
        <v>2</v>
      </c>
      <c r="S729">
        <v>182.72</v>
      </c>
      <c r="T729">
        <v>8</v>
      </c>
      <c r="U729">
        <v>0.1</v>
      </c>
      <c r="V729">
        <v>84.051199999999994</v>
      </c>
      <c r="W729">
        <f t="shared" si="47"/>
        <v>12.333600000000001</v>
      </c>
      <c r="X729">
        <v>4</v>
      </c>
    </row>
    <row r="730" spans="1:24" x14ac:dyDescent="0.3">
      <c r="A730">
        <v>729</v>
      </c>
      <c r="B730" t="s">
        <v>2499</v>
      </c>
      <c r="C730" s="6">
        <v>44925</v>
      </c>
      <c r="D730" t="str">
        <f t="shared" si="44"/>
        <v>Dec</v>
      </c>
      <c r="E730" t="str">
        <f t="shared" si="45"/>
        <v>2022</v>
      </c>
      <c r="F730" t="s">
        <v>5</v>
      </c>
      <c r="G730" t="s">
        <v>290</v>
      </c>
      <c r="H730" t="s">
        <v>1148</v>
      </c>
      <c r="I730">
        <v>110</v>
      </c>
      <c r="J730">
        <v>18</v>
      </c>
      <c r="K730">
        <f t="shared" si="46"/>
        <v>16.363636363636363</v>
      </c>
      <c r="L730" t="s">
        <v>1736</v>
      </c>
      <c r="M730" t="s">
        <v>3673</v>
      </c>
      <c r="N730" t="s">
        <v>1</v>
      </c>
      <c r="O730">
        <v>401107</v>
      </c>
      <c r="P730" t="s">
        <v>546</v>
      </c>
      <c r="Q730" t="s">
        <v>1756</v>
      </c>
      <c r="S730">
        <v>400.03199999999998</v>
      </c>
      <c r="T730">
        <v>2</v>
      </c>
      <c r="U730">
        <v>0.4</v>
      </c>
      <c r="V730">
        <v>-153.34559999999999</v>
      </c>
      <c r="W730">
        <f t="shared" si="47"/>
        <v>276.68880000000001</v>
      </c>
      <c r="X730">
        <v>1</v>
      </c>
    </row>
    <row r="731" spans="1:24" x14ac:dyDescent="0.3">
      <c r="A731">
        <v>730</v>
      </c>
      <c r="B731" t="s">
        <v>2500</v>
      </c>
      <c r="C731" s="6">
        <v>44926</v>
      </c>
      <c r="D731" t="str">
        <f t="shared" si="44"/>
        <v>Dec</v>
      </c>
      <c r="E731" t="str">
        <f t="shared" si="45"/>
        <v>2022</v>
      </c>
      <c r="F731" t="s">
        <v>5</v>
      </c>
      <c r="G731" t="s">
        <v>290</v>
      </c>
      <c r="H731" t="s">
        <v>1149</v>
      </c>
      <c r="I731">
        <v>240</v>
      </c>
      <c r="J731">
        <v>18</v>
      </c>
      <c r="K731">
        <f t="shared" si="46"/>
        <v>7.5</v>
      </c>
      <c r="L731" t="s">
        <v>1744</v>
      </c>
      <c r="M731" t="s">
        <v>3746</v>
      </c>
      <c r="O731">
        <v>302019</v>
      </c>
      <c r="P731" t="s">
        <v>546</v>
      </c>
      <c r="Q731" t="s">
        <v>1767</v>
      </c>
      <c r="S731">
        <v>33.630000000000003</v>
      </c>
      <c r="T731">
        <v>3</v>
      </c>
      <c r="U731">
        <v>0.1</v>
      </c>
      <c r="V731">
        <v>10.089</v>
      </c>
      <c r="W731">
        <f t="shared" si="47"/>
        <v>7.8470000000000013</v>
      </c>
      <c r="X731">
        <v>1</v>
      </c>
    </row>
    <row r="732" spans="1:24" x14ac:dyDescent="0.3">
      <c r="A732">
        <v>731</v>
      </c>
      <c r="B732" t="s">
        <v>2501</v>
      </c>
      <c r="C732" s="6">
        <v>44927</v>
      </c>
      <c r="D732" t="str">
        <f t="shared" si="44"/>
        <v>Jan</v>
      </c>
      <c r="E732" t="str">
        <f t="shared" si="45"/>
        <v>2023</v>
      </c>
      <c r="F732" t="s">
        <v>5</v>
      </c>
      <c r="G732" t="s">
        <v>290</v>
      </c>
      <c r="H732" t="s">
        <v>775</v>
      </c>
      <c r="I732">
        <v>230</v>
      </c>
      <c r="J732">
        <v>6</v>
      </c>
      <c r="K732">
        <f t="shared" si="46"/>
        <v>2.6086956521739131</v>
      </c>
      <c r="L732" t="s">
        <v>1740</v>
      </c>
      <c r="M732" t="s">
        <v>3811</v>
      </c>
      <c r="N732" t="s">
        <v>1</v>
      </c>
      <c r="O732">
        <v>600018</v>
      </c>
      <c r="P732" t="s">
        <v>546</v>
      </c>
      <c r="Q732" t="s">
        <v>1755</v>
      </c>
      <c r="S732">
        <v>542.64599999999996</v>
      </c>
      <c r="T732">
        <v>3</v>
      </c>
      <c r="U732">
        <v>0.11</v>
      </c>
      <c r="V732">
        <v>102.49979999999999</v>
      </c>
      <c r="W732">
        <f t="shared" si="47"/>
        <v>146.71539999999999</v>
      </c>
      <c r="X732">
        <v>2</v>
      </c>
    </row>
    <row r="733" spans="1:24" x14ac:dyDescent="0.3">
      <c r="A733">
        <v>732</v>
      </c>
      <c r="B733" t="s">
        <v>2502</v>
      </c>
      <c r="C733" s="6">
        <v>44928</v>
      </c>
      <c r="D733" t="str">
        <f t="shared" si="44"/>
        <v>Jan</v>
      </c>
      <c r="E733" t="str">
        <f t="shared" si="45"/>
        <v>2023</v>
      </c>
      <c r="F733" t="s">
        <v>5</v>
      </c>
      <c r="G733" t="s">
        <v>290</v>
      </c>
      <c r="H733" t="s">
        <v>942</v>
      </c>
      <c r="I733">
        <v>160</v>
      </c>
      <c r="J733">
        <v>16</v>
      </c>
      <c r="K733">
        <f t="shared" si="46"/>
        <v>10</v>
      </c>
      <c r="L733" t="s">
        <v>1742</v>
      </c>
      <c r="M733" t="s">
        <v>3656</v>
      </c>
      <c r="N733" t="s">
        <v>1</v>
      </c>
      <c r="O733">
        <v>600004</v>
      </c>
      <c r="P733" t="s">
        <v>546</v>
      </c>
      <c r="Q733" t="s">
        <v>1765</v>
      </c>
      <c r="S733">
        <v>6.3</v>
      </c>
      <c r="T733">
        <v>2</v>
      </c>
      <c r="U733">
        <v>0.1</v>
      </c>
      <c r="V733">
        <v>3.024</v>
      </c>
      <c r="W733">
        <f t="shared" si="47"/>
        <v>1.6379999999999999</v>
      </c>
      <c r="X733">
        <v>5</v>
      </c>
    </row>
    <row r="734" spans="1:24" x14ac:dyDescent="0.3">
      <c r="A734">
        <v>733</v>
      </c>
      <c r="B734" t="s">
        <v>2503</v>
      </c>
      <c r="C734" s="6">
        <v>44929</v>
      </c>
      <c r="D734" t="str">
        <f t="shared" si="44"/>
        <v>Jan</v>
      </c>
      <c r="E734" t="str">
        <f t="shared" si="45"/>
        <v>2023</v>
      </c>
      <c r="F734" t="s">
        <v>4</v>
      </c>
      <c r="G734" t="s">
        <v>291</v>
      </c>
      <c r="H734" t="s">
        <v>1006</v>
      </c>
      <c r="I734">
        <v>100</v>
      </c>
      <c r="J734">
        <v>16</v>
      </c>
      <c r="K734">
        <f t="shared" si="46"/>
        <v>16</v>
      </c>
      <c r="L734" t="s">
        <v>1739</v>
      </c>
      <c r="M734" t="s">
        <v>3637</v>
      </c>
      <c r="N734" t="s">
        <v>1</v>
      </c>
      <c r="O734">
        <v>411038</v>
      </c>
      <c r="P734" t="s">
        <v>546</v>
      </c>
      <c r="Q734" t="s">
        <v>1755</v>
      </c>
      <c r="S734">
        <v>242.94</v>
      </c>
      <c r="T734">
        <v>3</v>
      </c>
      <c r="U734">
        <v>0.1</v>
      </c>
      <c r="V734">
        <v>9.7175999999999991</v>
      </c>
      <c r="W734">
        <f t="shared" si="47"/>
        <v>77.740799999999993</v>
      </c>
      <c r="X734">
        <v>3</v>
      </c>
    </row>
    <row r="735" spans="1:24" x14ac:dyDescent="0.3">
      <c r="A735">
        <v>734</v>
      </c>
      <c r="B735" t="s">
        <v>2504</v>
      </c>
      <c r="C735" s="6">
        <v>44930</v>
      </c>
      <c r="D735" t="str">
        <f t="shared" si="44"/>
        <v>Jan</v>
      </c>
      <c r="E735" t="str">
        <f t="shared" si="45"/>
        <v>2023</v>
      </c>
      <c r="F735" t="s">
        <v>4</v>
      </c>
      <c r="G735" t="s">
        <v>291</v>
      </c>
      <c r="H735" t="s">
        <v>1150</v>
      </c>
      <c r="I735">
        <v>140</v>
      </c>
      <c r="J735">
        <v>24</v>
      </c>
      <c r="K735">
        <f t="shared" si="46"/>
        <v>17.142857142857142</v>
      </c>
      <c r="L735" t="s">
        <v>1738</v>
      </c>
      <c r="M735" t="s">
        <v>3812</v>
      </c>
      <c r="O735">
        <v>400101</v>
      </c>
      <c r="P735" t="s">
        <v>546</v>
      </c>
      <c r="Q735" t="s">
        <v>1767</v>
      </c>
      <c r="S735">
        <v>179.97</v>
      </c>
      <c r="T735">
        <v>3</v>
      </c>
      <c r="U735">
        <v>0.1</v>
      </c>
      <c r="V735">
        <v>86.385599999999997</v>
      </c>
      <c r="W735">
        <f t="shared" si="47"/>
        <v>31.194800000000001</v>
      </c>
      <c r="X735">
        <v>1</v>
      </c>
    </row>
    <row r="736" spans="1:24" x14ac:dyDescent="0.3">
      <c r="A736">
        <v>735</v>
      </c>
      <c r="B736" t="s">
        <v>2505</v>
      </c>
      <c r="C736" s="6">
        <v>44931</v>
      </c>
      <c r="D736" t="str">
        <f t="shared" si="44"/>
        <v>Jan</v>
      </c>
      <c r="E736" t="str">
        <f t="shared" si="45"/>
        <v>2023</v>
      </c>
      <c r="F736" t="s">
        <v>4</v>
      </c>
      <c r="G736" t="s">
        <v>291</v>
      </c>
      <c r="H736" t="s">
        <v>897</v>
      </c>
      <c r="I736">
        <v>160</v>
      </c>
      <c r="J736">
        <v>8</v>
      </c>
      <c r="K736">
        <f t="shared" si="46"/>
        <v>5</v>
      </c>
      <c r="L736" t="s">
        <v>1737</v>
      </c>
      <c r="M736" t="s">
        <v>3813</v>
      </c>
      <c r="N736" t="s">
        <v>1</v>
      </c>
      <c r="O736">
        <v>560076</v>
      </c>
      <c r="P736" t="s">
        <v>546</v>
      </c>
      <c r="Q736" t="s">
        <v>1776</v>
      </c>
      <c r="S736">
        <v>99.695999999999998</v>
      </c>
      <c r="T736">
        <v>6</v>
      </c>
      <c r="U736">
        <v>0.2</v>
      </c>
      <c r="V736">
        <v>33.647399999999998</v>
      </c>
      <c r="W736">
        <f t="shared" si="47"/>
        <v>11.008099999999999</v>
      </c>
      <c r="X736">
        <v>5</v>
      </c>
    </row>
    <row r="737" spans="1:24" x14ac:dyDescent="0.3">
      <c r="A737">
        <v>736</v>
      </c>
      <c r="B737" t="s">
        <v>2506</v>
      </c>
      <c r="C737" s="6">
        <v>44932</v>
      </c>
      <c r="D737" t="str">
        <f t="shared" si="44"/>
        <v>Jan</v>
      </c>
      <c r="E737" t="str">
        <f t="shared" si="45"/>
        <v>2023</v>
      </c>
      <c r="F737" t="s">
        <v>4</v>
      </c>
      <c r="G737" t="s">
        <v>291</v>
      </c>
      <c r="H737" t="s">
        <v>591</v>
      </c>
      <c r="I737">
        <v>190</v>
      </c>
      <c r="J737">
        <v>16</v>
      </c>
      <c r="K737">
        <f t="shared" si="46"/>
        <v>8.4210526315789469</v>
      </c>
      <c r="L737" t="s">
        <v>1743</v>
      </c>
      <c r="M737" t="s">
        <v>3610</v>
      </c>
      <c r="N737" t="s">
        <v>1</v>
      </c>
      <c r="O737">
        <v>400066</v>
      </c>
      <c r="P737" t="s">
        <v>546</v>
      </c>
      <c r="Q737" t="s">
        <v>1770</v>
      </c>
      <c r="S737">
        <v>27.936</v>
      </c>
      <c r="T737">
        <v>4</v>
      </c>
      <c r="U737">
        <v>0.2</v>
      </c>
      <c r="V737">
        <v>9.4283999999999999</v>
      </c>
      <c r="W737">
        <f t="shared" si="47"/>
        <v>4.6269</v>
      </c>
      <c r="X737">
        <v>2</v>
      </c>
    </row>
    <row r="738" spans="1:24" x14ac:dyDescent="0.3">
      <c r="A738">
        <v>737</v>
      </c>
      <c r="B738" t="s">
        <v>2507</v>
      </c>
      <c r="C738" s="6">
        <v>44933</v>
      </c>
      <c r="D738" t="str">
        <f t="shared" si="44"/>
        <v>Jan</v>
      </c>
      <c r="E738" t="str">
        <f t="shared" si="45"/>
        <v>2023</v>
      </c>
      <c r="F738" t="s">
        <v>4</v>
      </c>
      <c r="G738" t="s">
        <v>291</v>
      </c>
      <c r="H738" t="s">
        <v>1151</v>
      </c>
      <c r="I738">
        <v>180</v>
      </c>
      <c r="J738">
        <v>24</v>
      </c>
      <c r="K738">
        <f t="shared" si="46"/>
        <v>13.333333333333334</v>
      </c>
      <c r="L738" t="s">
        <v>1738</v>
      </c>
      <c r="M738" t="s">
        <v>3814</v>
      </c>
      <c r="N738" t="s">
        <v>1</v>
      </c>
      <c r="O738">
        <v>781031</v>
      </c>
      <c r="P738" t="s">
        <v>546</v>
      </c>
      <c r="Q738" t="s">
        <v>1768</v>
      </c>
      <c r="S738">
        <v>84.98</v>
      </c>
      <c r="T738">
        <v>1</v>
      </c>
      <c r="U738">
        <v>0.1</v>
      </c>
      <c r="V738">
        <v>18.695599999999999</v>
      </c>
      <c r="W738">
        <f t="shared" si="47"/>
        <v>66.284400000000005</v>
      </c>
      <c r="X738">
        <v>3</v>
      </c>
    </row>
    <row r="739" spans="1:24" x14ac:dyDescent="0.3">
      <c r="A739">
        <v>738</v>
      </c>
      <c r="B739" t="s">
        <v>2508</v>
      </c>
      <c r="C739" s="6">
        <v>44934</v>
      </c>
      <c r="D739" t="str">
        <f t="shared" si="44"/>
        <v>Jan</v>
      </c>
      <c r="E739" t="str">
        <f t="shared" si="45"/>
        <v>2023</v>
      </c>
      <c r="F739" t="s">
        <v>4</v>
      </c>
      <c r="G739" t="s">
        <v>291</v>
      </c>
      <c r="H739" t="s">
        <v>1152</v>
      </c>
      <c r="I739">
        <v>110</v>
      </c>
      <c r="J739">
        <v>16</v>
      </c>
      <c r="K739">
        <f t="shared" si="46"/>
        <v>14.545454545454545</v>
      </c>
      <c r="L739" t="s">
        <v>1739</v>
      </c>
      <c r="M739" t="s">
        <v>3707</v>
      </c>
      <c r="N739" t="s">
        <v>1</v>
      </c>
      <c r="O739">
        <v>781003</v>
      </c>
      <c r="P739" t="s">
        <v>546</v>
      </c>
      <c r="Q739" t="s">
        <v>1765</v>
      </c>
      <c r="S739">
        <v>18.72</v>
      </c>
      <c r="T739">
        <v>5</v>
      </c>
      <c r="U739">
        <v>0.2</v>
      </c>
      <c r="V739">
        <v>6.5519999999999996</v>
      </c>
      <c r="W739">
        <f t="shared" si="47"/>
        <v>2.4335999999999998</v>
      </c>
      <c r="X739">
        <v>1</v>
      </c>
    </row>
    <row r="740" spans="1:24" x14ac:dyDescent="0.3">
      <c r="A740">
        <v>739</v>
      </c>
      <c r="B740" t="s">
        <v>2509</v>
      </c>
      <c r="C740" s="6">
        <v>44935</v>
      </c>
      <c r="D740" t="str">
        <f t="shared" si="44"/>
        <v>Jan</v>
      </c>
      <c r="E740" t="str">
        <f t="shared" si="45"/>
        <v>2023</v>
      </c>
      <c r="F740" t="s">
        <v>4</v>
      </c>
      <c r="G740" t="s">
        <v>54</v>
      </c>
      <c r="H740" t="s">
        <v>1153</v>
      </c>
      <c r="I740">
        <v>150</v>
      </c>
      <c r="J740">
        <v>26</v>
      </c>
      <c r="K740">
        <f t="shared" si="46"/>
        <v>17.333333333333336</v>
      </c>
      <c r="L740" t="s">
        <v>1741</v>
      </c>
      <c r="M740" t="s">
        <v>3815</v>
      </c>
      <c r="N740" t="s">
        <v>1</v>
      </c>
      <c r="O740">
        <v>110095</v>
      </c>
      <c r="P740" t="s">
        <v>546</v>
      </c>
      <c r="Q740" t="s">
        <v>1767</v>
      </c>
      <c r="S740">
        <v>49.98</v>
      </c>
      <c r="T740">
        <v>2</v>
      </c>
      <c r="U740">
        <v>0.1</v>
      </c>
      <c r="V740">
        <v>8.4966000000000008</v>
      </c>
      <c r="W740">
        <f t="shared" si="47"/>
        <v>20.741699999999998</v>
      </c>
      <c r="X740">
        <v>4</v>
      </c>
    </row>
    <row r="741" spans="1:24" x14ac:dyDescent="0.3">
      <c r="A741">
        <v>740</v>
      </c>
      <c r="B741" t="s">
        <v>2510</v>
      </c>
      <c r="C741" s="6">
        <v>44936</v>
      </c>
      <c r="D741" t="str">
        <f t="shared" si="44"/>
        <v>Jan</v>
      </c>
      <c r="E741" t="str">
        <f t="shared" si="45"/>
        <v>2023</v>
      </c>
      <c r="F741" t="s">
        <v>4</v>
      </c>
      <c r="G741" t="s">
        <v>292</v>
      </c>
      <c r="H741" t="s">
        <v>1154</v>
      </c>
      <c r="I741">
        <v>100</v>
      </c>
      <c r="J741">
        <v>12</v>
      </c>
      <c r="K741">
        <f t="shared" si="46"/>
        <v>12</v>
      </c>
      <c r="L741" t="s">
        <v>1736</v>
      </c>
      <c r="M741" t="s">
        <v>3653</v>
      </c>
      <c r="N741" t="s">
        <v>1</v>
      </c>
      <c r="O741">
        <v>560100</v>
      </c>
      <c r="P741" t="s">
        <v>546</v>
      </c>
      <c r="Q741" t="s">
        <v>1758</v>
      </c>
      <c r="R741" t="s">
        <v>2</v>
      </c>
      <c r="S741">
        <v>11.784000000000001</v>
      </c>
      <c r="T741">
        <v>3</v>
      </c>
      <c r="U741">
        <v>0.2</v>
      </c>
      <c r="V741">
        <v>4.2717000000000001</v>
      </c>
      <c r="W741">
        <f t="shared" si="47"/>
        <v>2.5041000000000002</v>
      </c>
      <c r="X741">
        <v>2</v>
      </c>
    </row>
    <row r="742" spans="1:24" x14ac:dyDescent="0.3">
      <c r="A742">
        <v>741</v>
      </c>
      <c r="B742" t="s">
        <v>2511</v>
      </c>
      <c r="C742" s="6">
        <v>44937</v>
      </c>
      <c r="D742" t="str">
        <f t="shared" si="44"/>
        <v>Jan</v>
      </c>
      <c r="E742" t="str">
        <f t="shared" si="45"/>
        <v>2023</v>
      </c>
      <c r="F742" t="s">
        <v>4</v>
      </c>
      <c r="G742" t="s">
        <v>292</v>
      </c>
      <c r="H742" t="s">
        <v>965</v>
      </c>
      <c r="I742">
        <v>130</v>
      </c>
      <c r="J742">
        <v>28</v>
      </c>
      <c r="K742">
        <f t="shared" si="46"/>
        <v>21.53846153846154</v>
      </c>
      <c r="L742" t="s">
        <v>1744</v>
      </c>
      <c r="M742" t="s">
        <v>3585</v>
      </c>
      <c r="N742" t="s">
        <v>1</v>
      </c>
      <c r="O742">
        <v>600033</v>
      </c>
      <c r="P742" t="s">
        <v>546</v>
      </c>
      <c r="Q742" t="s">
        <v>1754</v>
      </c>
      <c r="S742">
        <v>272.73599999999999</v>
      </c>
      <c r="T742">
        <v>3</v>
      </c>
      <c r="U742">
        <v>0.2</v>
      </c>
      <c r="V742">
        <v>-64.774799999999999</v>
      </c>
      <c r="W742">
        <f t="shared" si="47"/>
        <v>112.50360000000001</v>
      </c>
      <c r="X742">
        <v>1</v>
      </c>
    </row>
    <row r="743" spans="1:24" x14ac:dyDescent="0.3">
      <c r="A743">
        <v>742</v>
      </c>
      <c r="B743" t="s">
        <v>2512</v>
      </c>
      <c r="C743" s="6">
        <v>44938</v>
      </c>
      <c r="D743" t="str">
        <f t="shared" si="44"/>
        <v>Jan</v>
      </c>
      <c r="E743" t="str">
        <f t="shared" si="45"/>
        <v>2023</v>
      </c>
      <c r="F743" t="s">
        <v>4</v>
      </c>
      <c r="G743" t="s">
        <v>292</v>
      </c>
      <c r="H743" t="s">
        <v>1155</v>
      </c>
      <c r="I743">
        <v>200</v>
      </c>
      <c r="J743">
        <v>26</v>
      </c>
      <c r="K743">
        <f t="shared" si="46"/>
        <v>13</v>
      </c>
      <c r="L743" t="s">
        <v>1740</v>
      </c>
      <c r="M743" t="s">
        <v>3714</v>
      </c>
      <c r="N743" t="s">
        <v>1</v>
      </c>
      <c r="O743">
        <v>600033</v>
      </c>
      <c r="P743" t="s">
        <v>546</v>
      </c>
      <c r="Q743" t="s">
        <v>1766</v>
      </c>
      <c r="S743">
        <v>3.54</v>
      </c>
      <c r="T743">
        <v>2</v>
      </c>
      <c r="U743">
        <v>0.8</v>
      </c>
      <c r="V743">
        <v>-5.4870000000000001</v>
      </c>
      <c r="W743">
        <f t="shared" si="47"/>
        <v>4.5135000000000005</v>
      </c>
      <c r="X743">
        <v>2</v>
      </c>
    </row>
    <row r="744" spans="1:24" x14ac:dyDescent="0.3">
      <c r="A744">
        <v>743</v>
      </c>
      <c r="B744" t="s">
        <v>2513</v>
      </c>
      <c r="C744" s="6">
        <v>44939</v>
      </c>
      <c r="D744" t="str">
        <f t="shared" si="44"/>
        <v>Jan</v>
      </c>
      <c r="E744" t="str">
        <f t="shared" si="45"/>
        <v>2023</v>
      </c>
      <c r="F744" t="s">
        <v>4</v>
      </c>
      <c r="G744" t="s">
        <v>293</v>
      </c>
      <c r="H744" t="s">
        <v>1052</v>
      </c>
      <c r="I744">
        <v>170</v>
      </c>
      <c r="J744">
        <v>16</v>
      </c>
      <c r="K744">
        <f t="shared" si="46"/>
        <v>9.4117647058823533</v>
      </c>
      <c r="L744" t="s">
        <v>1742</v>
      </c>
      <c r="M744" t="s">
        <v>3816</v>
      </c>
      <c r="N744" t="s">
        <v>1</v>
      </c>
      <c r="O744">
        <v>505188</v>
      </c>
      <c r="P744" t="s">
        <v>546</v>
      </c>
      <c r="Q744" t="s">
        <v>1764</v>
      </c>
      <c r="S744">
        <v>51.52</v>
      </c>
      <c r="T744">
        <v>5</v>
      </c>
      <c r="U744">
        <v>0.2</v>
      </c>
      <c r="V744">
        <v>-10.948</v>
      </c>
      <c r="W744">
        <f t="shared" si="47"/>
        <v>12.493600000000001</v>
      </c>
      <c r="X744">
        <v>1</v>
      </c>
    </row>
    <row r="745" spans="1:24" x14ac:dyDescent="0.3">
      <c r="A745">
        <v>744</v>
      </c>
      <c r="B745" t="s">
        <v>2514</v>
      </c>
      <c r="C745" s="6">
        <v>44940</v>
      </c>
      <c r="D745" t="str">
        <f t="shared" si="44"/>
        <v>Jan</v>
      </c>
      <c r="E745" t="str">
        <f t="shared" si="45"/>
        <v>2023</v>
      </c>
      <c r="F745" t="s">
        <v>4</v>
      </c>
      <c r="G745" t="s">
        <v>293</v>
      </c>
      <c r="H745" t="s">
        <v>796</v>
      </c>
      <c r="I745">
        <v>140</v>
      </c>
      <c r="J745">
        <v>30</v>
      </c>
      <c r="K745">
        <f t="shared" si="46"/>
        <v>21.428571428571427</v>
      </c>
      <c r="L745" t="s">
        <v>1739</v>
      </c>
      <c r="M745" t="s">
        <v>3657</v>
      </c>
      <c r="N745" t="s">
        <v>1</v>
      </c>
      <c r="O745">
        <v>743145</v>
      </c>
      <c r="P745" t="s">
        <v>546</v>
      </c>
      <c r="Q745" t="s">
        <v>1759</v>
      </c>
      <c r="S745">
        <v>3.528</v>
      </c>
      <c r="T745">
        <v>1</v>
      </c>
      <c r="U745">
        <v>0.2</v>
      </c>
      <c r="V745">
        <v>1.1466000000000001</v>
      </c>
      <c r="W745">
        <f t="shared" si="47"/>
        <v>2.3814000000000002</v>
      </c>
      <c r="X745">
        <v>5</v>
      </c>
    </row>
    <row r="746" spans="1:24" x14ac:dyDescent="0.3">
      <c r="A746">
        <v>745</v>
      </c>
      <c r="B746" t="s">
        <v>2515</v>
      </c>
      <c r="C746" s="6">
        <v>44941</v>
      </c>
      <c r="D746" t="str">
        <f t="shared" si="44"/>
        <v>Jan</v>
      </c>
      <c r="E746" t="str">
        <f t="shared" si="45"/>
        <v>2023</v>
      </c>
      <c r="F746" t="s">
        <v>4</v>
      </c>
      <c r="G746" t="s">
        <v>293</v>
      </c>
      <c r="H746" t="s">
        <v>1156</v>
      </c>
      <c r="I746">
        <v>130</v>
      </c>
      <c r="J746">
        <v>16</v>
      </c>
      <c r="K746">
        <f t="shared" si="46"/>
        <v>12.307692307692308</v>
      </c>
      <c r="L746" t="s">
        <v>1738</v>
      </c>
      <c r="M746" t="s">
        <v>3817</v>
      </c>
      <c r="N746" t="s">
        <v>1</v>
      </c>
      <c r="O746">
        <v>624703</v>
      </c>
      <c r="P746" t="s">
        <v>546</v>
      </c>
      <c r="Q746" t="s">
        <v>1763</v>
      </c>
      <c r="S746">
        <v>4.6239999999999997</v>
      </c>
      <c r="T746">
        <v>1</v>
      </c>
      <c r="U746">
        <v>0.2</v>
      </c>
      <c r="V746">
        <v>1.6761999999999999</v>
      </c>
      <c r="W746">
        <f t="shared" si="47"/>
        <v>2.9478</v>
      </c>
      <c r="X746">
        <v>5</v>
      </c>
    </row>
    <row r="747" spans="1:24" x14ac:dyDescent="0.3">
      <c r="A747">
        <v>746</v>
      </c>
      <c r="B747" t="s">
        <v>2516</v>
      </c>
      <c r="C747" s="6">
        <v>44942</v>
      </c>
      <c r="D747" t="str">
        <f t="shared" si="44"/>
        <v>Jan</v>
      </c>
      <c r="E747" t="str">
        <f t="shared" si="45"/>
        <v>2023</v>
      </c>
      <c r="F747" t="s">
        <v>4</v>
      </c>
      <c r="G747" t="s">
        <v>293</v>
      </c>
      <c r="H747" t="s">
        <v>1157</v>
      </c>
      <c r="I747">
        <v>170</v>
      </c>
      <c r="J747">
        <v>8</v>
      </c>
      <c r="K747">
        <f t="shared" si="46"/>
        <v>4.7058823529411766</v>
      </c>
      <c r="L747" t="s">
        <v>1737</v>
      </c>
      <c r="M747" t="s">
        <v>3828</v>
      </c>
      <c r="N747" t="s">
        <v>1</v>
      </c>
      <c r="O747">
        <v>201304</v>
      </c>
      <c r="P747" t="s">
        <v>546</v>
      </c>
      <c r="Q747" t="s">
        <v>1763</v>
      </c>
      <c r="S747">
        <v>55.167999999999999</v>
      </c>
      <c r="T747">
        <v>4</v>
      </c>
      <c r="U747">
        <v>0.2</v>
      </c>
      <c r="V747">
        <v>6.2064000000000004</v>
      </c>
      <c r="W747">
        <f t="shared" si="47"/>
        <v>12.240399999999999</v>
      </c>
      <c r="X747">
        <v>2</v>
      </c>
    </row>
    <row r="748" spans="1:24" x14ac:dyDescent="0.3">
      <c r="A748">
        <v>747</v>
      </c>
      <c r="B748" t="s">
        <v>2517</v>
      </c>
      <c r="C748" s="6">
        <v>44943</v>
      </c>
      <c r="D748" t="str">
        <f t="shared" si="44"/>
        <v>Jan</v>
      </c>
      <c r="E748" t="str">
        <f t="shared" si="45"/>
        <v>2023</v>
      </c>
      <c r="F748" t="s">
        <v>6</v>
      </c>
      <c r="G748" t="s">
        <v>193</v>
      </c>
      <c r="H748" t="s">
        <v>770</v>
      </c>
      <c r="I748">
        <v>220</v>
      </c>
      <c r="J748">
        <v>20</v>
      </c>
      <c r="K748">
        <f t="shared" si="46"/>
        <v>9.0909090909090917</v>
      </c>
      <c r="L748" t="s">
        <v>1743</v>
      </c>
      <c r="M748" t="s">
        <v>3829</v>
      </c>
      <c r="N748" t="s">
        <v>1</v>
      </c>
      <c r="O748">
        <v>500024</v>
      </c>
      <c r="P748" t="s">
        <v>546</v>
      </c>
      <c r="Q748" t="s">
        <v>1760</v>
      </c>
      <c r="R748" t="s">
        <v>2</v>
      </c>
      <c r="S748">
        <v>567.12</v>
      </c>
      <c r="T748">
        <v>10</v>
      </c>
      <c r="U748">
        <v>0.2</v>
      </c>
      <c r="V748">
        <v>-28.356000000000002</v>
      </c>
      <c r="W748">
        <f t="shared" si="47"/>
        <v>59.547600000000003</v>
      </c>
      <c r="X748">
        <v>1</v>
      </c>
    </row>
    <row r="749" spans="1:24" x14ac:dyDescent="0.3">
      <c r="A749">
        <v>748</v>
      </c>
      <c r="B749" t="s">
        <v>2518</v>
      </c>
      <c r="C749" s="6">
        <v>44944</v>
      </c>
      <c r="D749" t="str">
        <f t="shared" si="44"/>
        <v>Jan</v>
      </c>
      <c r="E749" t="str">
        <f t="shared" si="45"/>
        <v>2023</v>
      </c>
      <c r="F749" t="s">
        <v>6</v>
      </c>
      <c r="G749" t="s">
        <v>193</v>
      </c>
      <c r="H749" t="s">
        <v>982</v>
      </c>
      <c r="I749">
        <v>150</v>
      </c>
      <c r="J749">
        <v>28</v>
      </c>
      <c r="K749">
        <f t="shared" si="46"/>
        <v>18.666666666666668</v>
      </c>
      <c r="L749" t="s">
        <v>1738</v>
      </c>
      <c r="M749" t="s">
        <v>3788</v>
      </c>
      <c r="N749" t="s">
        <v>1</v>
      </c>
      <c r="O749">
        <v>575003</v>
      </c>
      <c r="P749" t="s">
        <v>546</v>
      </c>
      <c r="Q749" t="s">
        <v>1764</v>
      </c>
      <c r="S749">
        <v>359.32</v>
      </c>
      <c r="T749">
        <v>4</v>
      </c>
      <c r="U749">
        <v>0.1</v>
      </c>
      <c r="V749">
        <v>7.1863999999999999</v>
      </c>
      <c r="W749">
        <f t="shared" si="47"/>
        <v>88.0334</v>
      </c>
      <c r="X749">
        <v>2</v>
      </c>
    </row>
    <row r="750" spans="1:24" x14ac:dyDescent="0.3">
      <c r="A750">
        <v>749</v>
      </c>
      <c r="B750" t="s">
        <v>2519</v>
      </c>
      <c r="C750" s="6">
        <v>44945</v>
      </c>
      <c r="D750" t="str">
        <f t="shared" si="44"/>
        <v>Jan</v>
      </c>
      <c r="E750" t="str">
        <f t="shared" si="45"/>
        <v>2023</v>
      </c>
      <c r="F750" t="s">
        <v>3</v>
      </c>
      <c r="G750" t="s">
        <v>294</v>
      </c>
      <c r="H750" t="s">
        <v>1158</v>
      </c>
      <c r="I750">
        <v>180</v>
      </c>
      <c r="J750">
        <v>10</v>
      </c>
      <c r="K750">
        <f t="shared" si="46"/>
        <v>5.5555555555555554</v>
      </c>
      <c r="L750" t="s">
        <v>1739</v>
      </c>
      <c r="M750" t="s">
        <v>3721</v>
      </c>
      <c r="N750" t="s">
        <v>1</v>
      </c>
      <c r="O750">
        <v>712103</v>
      </c>
      <c r="P750" t="s">
        <v>546</v>
      </c>
      <c r="Q750" t="s">
        <v>1758</v>
      </c>
      <c r="S750">
        <v>11.992000000000001</v>
      </c>
      <c r="T750">
        <v>1</v>
      </c>
      <c r="U750">
        <v>0.2</v>
      </c>
      <c r="V750">
        <v>0.89939999999999998</v>
      </c>
      <c r="W750">
        <f t="shared" si="47"/>
        <v>11.092600000000001</v>
      </c>
      <c r="X750">
        <v>1</v>
      </c>
    </row>
    <row r="751" spans="1:24" x14ac:dyDescent="0.3">
      <c r="A751">
        <v>750</v>
      </c>
      <c r="B751" t="s">
        <v>2520</v>
      </c>
      <c r="C751" s="6">
        <v>44946</v>
      </c>
      <c r="D751" t="str">
        <f t="shared" si="44"/>
        <v>Jan</v>
      </c>
      <c r="E751" t="str">
        <f t="shared" si="45"/>
        <v>2023</v>
      </c>
      <c r="F751" t="s">
        <v>4</v>
      </c>
      <c r="G751" t="s">
        <v>295</v>
      </c>
      <c r="H751" t="s">
        <v>1159</v>
      </c>
      <c r="I751">
        <v>160</v>
      </c>
      <c r="J751">
        <v>18</v>
      </c>
      <c r="K751">
        <f t="shared" si="46"/>
        <v>11.25</v>
      </c>
      <c r="L751" t="s">
        <v>1741</v>
      </c>
      <c r="M751" t="s">
        <v>3781</v>
      </c>
      <c r="N751" t="s">
        <v>1</v>
      </c>
      <c r="O751">
        <v>562125</v>
      </c>
      <c r="P751" t="s">
        <v>546</v>
      </c>
      <c r="Q751" t="s">
        <v>1758</v>
      </c>
      <c r="R751" t="s">
        <v>2</v>
      </c>
      <c r="S751">
        <v>58.05</v>
      </c>
      <c r="T751">
        <v>3</v>
      </c>
      <c r="U751">
        <v>0.1</v>
      </c>
      <c r="V751">
        <v>26.702999999999999</v>
      </c>
      <c r="W751">
        <f t="shared" si="47"/>
        <v>10.449</v>
      </c>
      <c r="X751">
        <v>1</v>
      </c>
    </row>
    <row r="752" spans="1:24" x14ac:dyDescent="0.3">
      <c r="A752">
        <v>751</v>
      </c>
      <c r="B752" t="s">
        <v>2521</v>
      </c>
      <c r="C752" s="6">
        <v>44947</v>
      </c>
      <c r="D752" t="str">
        <f t="shared" si="44"/>
        <v>Jan</v>
      </c>
      <c r="E752" t="str">
        <f t="shared" si="45"/>
        <v>2023</v>
      </c>
      <c r="F752" t="s">
        <v>4</v>
      </c>
      <c r="G752" t="s">
        <v>295</v>
      </c>
      <c r="H752" t="s">
        <v>1160</v>
      </c>
      <c r="I752">
        <v>110</v>
      </c>
      <c r="J752">
        <v>20</v>
      </c>
      <c r="K752">
        <f t="shared" si="46"/>
        <v>18.181818181818183</v>
      </c>
      <c r="L752" t="s">
        <v>1736</v>
      </c>
      <c r="M752" t="s">
        <v>3673</v>
      </c>
      <c r="N752" t="s">
        <v>1</v>
      </c>
      <c r="O752">
        <v>248002</v>
      </c>
      <c r="P752" t="s">
        <v>546</v>
      </c>
      <c r="Q752" t="s">
        <v>1774</v>
      </c>
      <c r="S752">
        <v>157.74</v>
      </c>
      <c r="T752">
        <v>11</v>
      </c>
      <c r="U752">
        <v>0.1</v>
      </c>
      <c r="V752">
        <v>56.7864</v>
      </c>
      <c r="W752">
        <f t="shared" si="47"/>
        <v>9.1776</v>
      </c>
      <c r="X752">
        <v>1</v>
      </c>
    </row>
    <row r="753" spans="1:24" x14ac:dyDescent="0.3">
      <c r="A753">
        <v>752</v>
      </c>
      <c r="B753" t="s">
        <v>2522</v>
      </c>
      <c r="C753" s="6">
        <v>44948</v>
      </c>
      <c r="D753" t="str">
        <f t="shared" si="44"/>
        <v>Jan</v>
      </c>
      <c r="E753" t="str">
        <f t="shared" si="45"/>
        <v>2023</v>
      </c>
      <c r="F753" t="s">
        <v>4</v>
      </c>
      <c r="G753" t="s">
        <v>295</v>
      </c>
      <c r="H753" t="s">
        <v>906</v>
      </c>
      <c r="I753">
        <v>150</v>
      </c>
      <c r="J753">
        <v>6</v>
      </c>
      <c r="K753">
        <f t="shared" si="46"/>
        <v>4</v>
      </c>
      <c r="L753" t="s">
        <v>1744</v>
      </c>
      <c r="M753" t="s">
        <v>3585</v>
      </c>
      <c r="N753" t="s">
        <v>1</v>
      </c>
      <c r="O753">
        <v>248001</v>
      </c>
      <c r="P753" t="s">
        <v>546</v>
      </c>
      <c r="Q753" t="s">
        <v>1759</v>
      </c>
      <c r="S753">
        <v>56.98</v>
      </c>
      <c r="T753">
        <v>7</v>
      </c>
      <c r="U753">
        <v>0.1</v>
      </c>
      <c r="V753">
        <v>22.792000000000002</v>
      </c>
      <c r="W753">
        <f t="shared" si="47"/>
        <v>4.8839999999999995</v>
      </c>
      <c r="X753">
        <v>4</v>
      </c>
    </row>
    <row r="754" spans="1:24" x14ac:dyDescent="0.3">
      <c r="A754">
        <v>753</v>
      </c>
      <c r="B754" t="s">
        <v>2523</v>
      </c>
      <c r="C754" s="6">
        <v>44949</v>
      </c>
      <c r="D754" t="str">
        <f t="shared" si="44"/>
        <v>Jan</v>
      </c>
      <c r="E754" t="str">
        <f t="shared" si="45"/>
        <v>2023</v>
      </c>
      <c r="F754" t="s">
        <v>4</v>
      </c>
      <c r="G754" t="s">
        <v>295</v>
      </c>
      <c r="H754" t="s">
        <v>1161</v>
      </c>
      <c r="I754">
        <v>100</v>
      </c>
      <c r="J754">
        <v>10</v>
      </c>
      <c r="K754">
        <f t="shared" si="46"/>
        <v>10</v>
      </c>
      <c r="L754" t="s">
        <v>1740</v>
      </c>
      <c r="M754" t="s">
        <v>3830</v>
      </c>
      <c r="N754" t="s">
        <v>1</v>
      </c>
      <c r="O754">
        <v>302020</v>
      </c>
      <c r="P754" t="s">
        <v>546</v>
      </c>
      <c r="Q754" t="s">
        <v>1756</v>
      </c>
      <c r="R754" t="s">
        <v>2</v>
      </c>
      <c r="S754">
        <v>2.88</v>
      </c>
      <c r="T754">
        <v>1</v>
      </c>
      <c r="U754">
        <v>0.1</v>
      </c>
      <c r="V754">
        <v>1.4112</v>
      </c>
      <c r="W754">
        <f t="shared" si="47"/>
        <v>1.4687999999999999</v>
      </c>
      <c r="X754">
        <v>2</v>
      </c>
    </row>
    <row r="755" spans="1:24" x14ac:dyDescent="0.3">
      <c r="A755">
        <v>754</v>
      </c>
      <c r="B755" t="s">
        <v>2524</v>
      </c>
      <c r="C755" s="6">
        <v>44950</v>
      </c>
      <c r="D755" t="str">
        <f t="shared" si="44"/>
        <v>Jan</v>
      </c>
      <c r="E755" t="str">
        <f t="shared" si="45"/>
        <v>2023</v>
      </c>
      <c r="F755" t="s">
        <v>5</v>
      </c>
      <c r="G755" t="s">
        <v>296</v>
      </c>
      <c r="H755" t="s">
        <v>1162</v>
      </c>
      <c r="I755">
        <v>200</v>
      </c>
      <c r="J755">
        <v>24</v>
      </c>
      <c r="K755">
        <f t="shared" si="46"/>
        <v>12</v>
      </c>
      <c r="L755" t="s">
        <v>1742</v>
      </c>
      <c r="M755" t="s">
        <v>3696</v>
      </c>
      <c r="N755" t="s">
        <v>1</v>
      </c>
      <c r="O755">
        <v>600070</v>
      </c>
      <c r="P755" t="s">
        <v>546</v>
      </c>
      <c r="Q755" t="s">
        <v>1760</v>
      </c>
      <c r="S755">
        <v>1199.9760000000001</v>
      </c>
      <c r="T755">
        <v>3</v>
      </c>
      <c r="U755">
        <v>0.2</v>
      </c>
      <c r="V755">
        <v>374.99250000000001</v>
      </c>
      <c r="W755">
        <f t="shared" si="47"/>
        <v>274.99450000000002</v>
      </c>
      <c r="X755">
        <v>5</v>
      </c>
    </row>
    <row r="756" spans="1:24" x14ac:dyDescent="0.3">
      <c r="A756">
        <v>755</v>
      </c>
      <c r="B756" t="s">
        <v>2525</v>
      </c>
      <c r="C756" s="6">
        <v>44951</v>
      </c>
      <c r="D756" t="str">
        <f t="shared" si="44"/>
        <v>Jan</v>
      </c>
      <c r="E756" t="str">
        <f t="shared" si="45"/>
        <v>2023</v>
      </c>
      <c r="F756" t="s">
        <v>4</v>
      </c>
      <c r="G756" t="s">
        <v>241</v>
      </c>
      <c r="H756" t="s">
        <v>1108</v>
      </c>
      <c r="I756">
        <v>120</v>
      </c>
      <c r="J756">
        <v>30</v>
      </c>
      <c r="K756">
        <f t="shared" si="46"/>
        <v>25</v>
      </c>
      <c r="L756" t="s">
        <v>1739</v>
      </c>
      <c r="M756" t="s">
        <v>3668</v>
      </c>
      <c r="N756" t="s">
        <v>1</v>
      </c>
      <c r="O756">
        <v>395009</v>
      </c>
      <c r="P756" t="s">
        <v>546</v>
      </c>
      <c r="Q756" t="s">
        <v>1765</v>
      </c>
      <c r="S756">
        <v>79.92</v>
      </c>
      <c r="T756">
        <v>4</v>
      </c>
      <c r="U756">
        <v>0.1</v>
      </c>
      <c r="V756">
        <v>28.7712</v>
      </c>
      <c r="W756">
        <f t="shared" si="47"/>
        <v>12.7872</v>
      </c>
      <c r="X756">
        <v>1</v>
      </c>
    </row>
    <row r="757" spans="1:24" x14ac:dyDescent="0.3">
      <c r="A757">
        <v>756</v>
      </c>
      <c r="B757" t="s">
        <v>2526</v>
      </c>
      <c r="C757" s="6">
        <v>44952</v>
      </c>
      <c r="D757" t="str">
        <f t="shared" si="44"/>
        <v>Jan</v>
      </c>
      <c r="E757" t="str">
        <f t="shared" si="45"/>
        <v>2023</v>
      </c>
      <c r="F757" t="s">
        <v>4</v>
      </c>
      <c r="G757" t="s">
        <v>247</v>
      </c>
      <c r="H757" t="s">
        <v>1163</v>
      </c>
      <c r="I757">
        <v>160</v>
      </c>
      <c r="J757">
        <v>28</v>
      </c>
      <c r="K757">
        <f t="shared" si="46"/>
        <v>17.5</v>
      </c>
      <c r="L757" t="s">
        <v>1738</v>
      </c>
      <c r="M757" t="s">
        <v>3812</v>
      </c>
      <c r="N757" t="s">
        <v>1</v>
      </c>
      <c r="O757">
        <v>390025</v>
      </c>
      <c r="P757" t="s">
        <v>546</v>
      </c>
      <c r="Q757" t="s">
        <v>1770</v>
      </c>
      <c r="S757">
        <v>383.43799999999999</v>
      </c>
      <c r="T757">
        <v>4</v>
      </c>
      <c r="U757">
        <v>0.45</v>
      </c>
      <c r="V757">
        <v>-167.3184</v>
      </c>
      <c r="W757">
        <f t="shared" si="47"/>
        <v>137.6891</v>
      </c>
      <c r="X757">
        <v>4</v>
      </c>
    </row>
    <row r="758" spans="1:24" x14ac:dyDescent="0.3">
      <c r="A758">
        <v>757</v>
      </c>
      <c r="B758" t="s">
        <v>2527</v>
      </c>
      <c r="C758" s="6">
        <v>44953</v>
      </c>
      <c r="D758" t="str">
        <f t="shared" si="44"/>
        <v>Jan</v>
      </c>
      <c r="E758" t="str">
        <f t="shared" si="45"/>
        <v>2023</v>
      </c>
      <c r="F758" t="s">
        <v>4</v>
      </c>
      <c r="G758" t="s">
        <v>297</v>
      </c>
      <c r="H758" t="s">
        <v>1123</v>
      </c>
      <c r="I758">
        <v>200</v>
      </c>
      <c r="J758">
        <v>12</v>
      </c>
      <c r="K758">
        <f t="shared" si="46"/>
        <v>6</v>
      </c>
      <c r="L758" t="s">
        <v>1743</v>
      </c>
      <c r="M758" t="s">
        <v>3831</v>
      </c>
      <c r="N758" t="s">
        <v>1</v>
      </c>
      <c r="O758">
        <v>560037</v>
      </c>
      <c r="P758" t="s">
        <v>546</v>
      </c>
      <c r="Q758" t="s">
        <v>1758</v>
      </c>
      <c r="S758">
        <v>24.56</v>
      </c>
      <c r="T758">
        <v>2</v>
      </c>
      <c r="U758">
        <v>0.1</v>
      </c>
      <c r="V758">
        <v>6.8768000000000002</v>
      </c>
      <c r="W758">
        <f t="shared" si="47"/>
        <v>8.8415999999999997</v>
      </c>
      <c r="X758">
        <v>5</v>
      </c>
    </row>
    <row r="759" spans="1:24" x14ac:dyDescent="0.3">
      <c r="A759">
        <v>758</v>
      </c>
      <c r="B759" t="s">
        <v>2528</v>
      </c>
      <c r="C759" s="6">
        <v>44954</v>
      </c>
      <c r="D759" t="str">
        <f t="shared" si="44"/>
        <v>Jan</v>
      </c>
      <c r="E759" t="str">
        <f t="shared" si="45"/>
        <v>2023</v>
      </c>
      <c r="F759" t="s">
        <v>4</v>
      </c>
      <c r="G759" t="s">
        <v>297</v>
      </c>
      <c r="H759" t="s">
        <v>1085</v>
      </c>
      <c r="I759">
        <v>110</v>
      </c>
      <c r="J759">
        <v>22</v>
      </c>
      <c r="K759">
        <f t="shared" si="46"/>
        <v>20</v>
      </c>
      <c r="L759" t="s">
        <v>1737</v>
      </c>
      <c r="M759" t="s">
        <v>3802</v>
      </c>
      <c r="N759" t="s">
        <v>1</v>
      </c>
      <c r="O759">
        <v>500090</v>
      </c>
      <c r="P759" t="s">
        <v>546</v>
      </c>
      <c r="Q759" t="s">
        <v>1755</v>
      </c>
      <c r="S759">
        <v>119.8</v>
      </c>
      <c r="T759">
        <v>4</v>
      </c>
      <c r="U759">
        <v>0.1</v>
      </c>
      <c r="V759">
        <v>47.92</v>
      </c>
      <c r="W759">
        <f t="shared" si="47"/>
        <v>17.97</v>
      </c>
      <c r="X759">
        <v>3</v>
      </c>
    </row>
    <row r="760" spans="1:24" x14ac:dyDescent="0.3">
      <c r="A760">
        <v>759</v>
      </c>
      <c r="B760" t="s">
        <v>2529</v>
      </c>
      <c r="C760" s="6">
        <v>44955</v>
      </c>
      <c r="D760" t="str">
        <f t="shared" si="44"/>
        <v>Jan</v>
      </c>
      <c r="E760" t="str">
        <f t="shared" si="45"/>
        <v>2023</v>
      </c>
      <c r="F760" t="s">
        <v>4</v>
      </c>
      <c r="G760" t="s">
        <v>298</v>
      </c>
      <c r="H760" t="s">
        <v>1067</v>
      </c>
      <c r="I760">
        <v>100</v>
      </c>
      <c r="J760">
        <v>14</v>
      </c>
      <c r="K760">
        <f t="shared" si="46"/>
        <v>14.000000000000002</v>
      </c>
      <c r="L760" t="s">
        <v>1741</v>
      </c>
      <c r="M760" t="s">
        <v>3815</v>
      </c>
      <c r="N760" t="s">
        <v>1</v>
      </c>
      <c r="O760">
        <v>380015</v>
      </c>
      <c r="P760" t="s">
        <v>546</v>
      </c>
      <c r="Q760" t="s">
        <v>1760</v>
      </c>
      <c r="S760">
        <v>13.128</v>
      </c>
      <c r="T760">
        <v>3</v>
      </c>
      <c r="U760">
        <v>0.2</v>
      </c>
      <c r="V760">
        <v>4.2666000000000004</v>
      </c>
      <c r="W760">
        <f t="shared" si="47"/>
        <v>2.9537999999999998</v>
      </c>
      <c r="X760">
        <v>5</v>
      </c>
    </row>
    <row r="761" spans="1:24" x14ac:dyDescent="0.3">
      <c r="A761">
        <v>760</v>
      </c>
      <c r="B761" t="s">
        <v>2530</v>
      </c>
      <c r="C761" s="6">
        <v>44956</v>
      </c>
      <c r="D761" t="str">
        <f t="shared" si="44"/>
        <v>Jan</v>
      </c>
      <c r="E761" t="str">
        <f t="shared" si="45"/>
        <v>2023</v>
      </c>
      <c r="F761" t="s">
        <v>4</v>
      </c>
      <c r="G761" t="s">
        <v>299</v>
      </c>
      <c r="H761" t="s">
        <v>673</v>
      </c>
      <c r="I761">
        <v>100</v>
      </c>
      <c r="J761">
        <v>28</v>
      </c>
      <c r="K761">
        <f t="shared" si="46"/>
        <v>28.000000000000004</v>
      </c>
      <c r="L761" t="s">
        <v>1736</v>
      </c>
      <c r="M761" t="s">
        <v>3653</v>
      </c>
      <c r="N761" t="s">
        <v>1</v>
      </c>
      <c r="O761">
        <v>333026</v>
      </c>
      <c r="P761" t="s">
        <v>546</v>
      </c>
      <c r="Q761" t="s">
        <v>1766</v>
      </c>
      <c r="S761">
        <v>22.72</v>
      </c>
      <c r="T761">
        <v>4</v>
      </c>
      <c r="U761">
        <v>0.1</v>
      </c>
      <c r="V761">
        <v>10.224</v>
      </c>
      <c r="W761">
        <f t="shared" si="47"/>
        <v>3.1239999999999997</v>
      </c>
      <c r="X761">
        <v>1</v>
      </c>
    </row>
    <row r="762" spans="1:24" x14ac:dyDescent="0.3">
      <c r="A762">
        <v>761</v>
      </c>
      <c r="B762" t="s">
        <v>2531</v>
      </c>
      <c r="C762" s="6">
        <v>44957</v>
      </c>
      <c r="D762" t="str">
        <f t="shared" si="44"/>
        <v>Jan</v>
      </c>
      <c r="E762" t="str">
        <f t="shared" si="45"/>
        <v>2023</v>
      </c>
      <c r="F762" t="s">
        <v>4</v>
      </c>
      <c r="G762" t="s">
        <v>246</v>
      </c>
      <c r="H762" t="s">
        <v>1037</v>
      </c>
      <c r="I762">
        <v>160</v>
      </c>
      <c r="J762">
        <v>18</v>
      </c>
      <c r="K762">
        <f t="shared" si="46"/>
        <v>11.25</v>
      </c>
      <c r="L762" t="s">
        <v>1744</v>
      </c>
      <c r="M762" t="s">
        <v>3832</v>
      </c>
      <c r="O762">
        <v>248001</v>
      </c>
      <c r="P762" t="s">
        <v>546</v>
      </c>
      <c r="Q762" t="s">
        <v>1763</v>
      </c>
      <c r="S762">
        <v>58.32</v>
      </c>
      <c r="T762">
        <v>9</v>
      </c>
      <c r="U762">
        <v>0.1</v>
      </c>
      <c r="V762">
        <v>27.993600000000001</v>
      </c>
      <c r="W762">
        <f t="shared" si="47"/>
        <v>3.3696000000000002</v>
      </c>
      <c r="X762">
        <v>1</v>
      </c>
    </row>
    <row r="763" spans="1:24" x14ac:dyDescent="0.3">
      <c r="A763">
        <v>762</v>
      </c>
      <c r="B763" t="s">
        <v>2532</v>
      </c>
      <c r="C763" s="6">
        <v>44958</v>
      </c>
      <c r="D763" t="str">
        <f t="shared" si="44"/>
        <v>Feb</v>
      </c>
      <c r="E763" t="str">
        <f t="shared" si="45"/>
        <v>2023</v>
      </c>
      <c r="F763" t="s">
        <v>4</v>
      </c>
      <c r="G763" t="s">
        <v>43</v>
      </c>
      <c r="H763" t="s">
        <v>1164</v>
      </c>
      <c r="I763">
        <v>100</v>
      </c>
      <c r="J763">
        <v>6</v>
      </c>
      <c r="K763">
        <f t="shared" si="46"/>
        <v>6</v>
      </c>
      <c r="L763" t="s">
        <v>1740</v>
      </c>
      <c r="M763" t="s">
        <v>3733</v>
      </c>
      <c r="N763" t="s">
        <v>1</v>
      </c>
      <c r="O763">
        <v>122018</v>
      </c>
      <c r="P763" t="s">
        <v>546</v>
      </c>
      <c r="Q763" t="s">
        <v>1759</v>
      </c>
      <c r="S763">
        <v>12.39</v>
      </c>
      <c r="T763">
        <v>3</v>
      </c>
      <c r="U763">
        <v>0.1</v>
      </c>
      <c r="V763">
        <v>5.6993999999999998</v>
      </c>
      <c r="W763">
        <f t="shared" si="47"/>
        <v>2.2302000000000004</v>
      </c>
      <c r="X763">
        <v>4</v>
      </c>
    </row>
    <row r="764" spans="1:24" x14ac:dyDescent="0.3">
      <c r="A764">
        <v>763</v>
      </c>
      <c r="B764" t="s">
        <v>2533</v>
      </c>
      <c r="C764" s="6">
        <v>44959</v>
      </c>
      <c r="D764" t="str">
        <f t="shared" si="44"/>
        <v>Feb</v>
      </c>
      <c r="E764" t="str">
        <f t="shared" si="45"/>
        <v>2023</v>
      </c>
      <c r="F764" t="s">
        <v>4</v>
      </c>
      <c r="G764" t="s">
        <v>300</v>
      </c>
      <c r="H764" t="s">
        <v>707</v>
      </c>
      <c r="I764">
        <v>240</v>
      </c>
      <c r="J764">
        <v>10</v>
      </c>
      <c r="K764">
        <f t="shared" si="46"/>
        <v>4.1666666666666661</v>
      </c>
      <c r="L764" t="s">
        <v>1742</v>
      </c>
      <c r="M764" t="s">
        <v>3816</v>
      </c>
      <c r="N764" t="s">
        <v>1</v>
      </c>
      <c r="O764">
        <v>825301</v>
      </c>
      <c r="P764" t="s">
        <v>546</v>
      </c>
      <c r="Q764" t="s">
        <v>1768</v>
      </c>
      <c r="R764" t="s">
        <v>2</v>
      </c>
      <c r="S764">
        <v>107.982</v>
      </c>
      <c r="T764">
        <v>3</v>
      </c>
      <c r="U764">
        <v>0.4</v>
      </c>
      <c r="V764">
        <v>-26.9955</v>
      </c>
      <c r="W764">
        <f t="shared" si="47"/>
        <v>44.9925</v>
      </c>
      <c r="X764">
        <v>4</v>
      </c>
    </row>
    <row r="765" spans="1:24" x14ac:dyDescent="0.3">
      <c r="A765">
        <v>764</v>
      </c>
      <c r="B765" t="s">
        <v>2534</v>
      </c>
      <c r="C765" s="6">
        <v>44960</v>
      </c>
      <c r="D765" t="str">
        <f t="shared" si="44"/>
        <v>Feb</v>
      </c>
      <c r="E765" t="str">
        <f t="shared" si="45"/>
        <v>2023</v>
      </c>
      <c r="F765" t="s">
        <v>3</v>
      </c>
      <c r="G765" t="s">
        <v>301</v>
      </c>
      <c r="H765" t="s">
        <v>699</v>
      </c>
      <c r="I765">
        <v>160</v>
      </c>
      <c r="J765">
        <v>6</v>
      </c>
      <c r="K765">
        <f t="shared" si="46"/>
        <v>3.75</v>
      </c>
      <c r="L765" t="s">
        <v>1739</v>
      </c>
      <c r="M765" t="s">
        <v>3600</v>
      </c>
      <c r="N765" t="s">
        <v>1</v>
      </c>
      <c r="O765">
        <v>500032</v>
      </c>
      <c r="P765" t="s">
        <v>546</v>
      </c>
      <c r="Q765" t="s">
        <v>1772</v>
      </c>
      <c r="S765">
        <v>11.36</v>
      </c>
      <c r="T765">
        <v>2</v>
      </c>
      <c r="U765">
        <v>0.1</v>
      </c>
      <c r="V765">
        <v>5.3391999999999999</v>
      </c>
      <c r="W765">
        <f t="shared" si="47"/>
        <v>3.0103999999999997</v>
      </c>
      <c r="X765">
        <v>4</v>
      </c>
    </row>
    <row r="766" spans="1:24" x14ac:dyDescent="0.3">
      <c r="A766">
        <v>765</v>
      </c>
      <c r="B766" t="s">
        <v>2535</v>
      </c>
      <c r="C766" s="6">
        <v>44961</v>
      </c>
      <c r="D766" t="str">
        <f t="shared" si="44"/>
        <v>Feb</v>
      </c>
      <c r="E766" t="str">
        <f t="shared" si="45"/>
        <v>2023</v>
      </c>
      <c r="F766" t="s">
        <v>3</v>
      </c>
      <c r="G766" t="s">
        <v>301</v>
      </c>
      <c r="H766" t="s">
        <v>1165</v>
      </c>
      <c r="I766">
        <v>190</v>
      </c>
      <c r="J766">
        <v>18</v>
      </c>
      <c r="K766">
        <f t="shared" si="46"/>
        <v>9.4736842105263168</v>
      </c>
      <c r="L766" t="s">
        <v>1738</v>
      </c>
      <c r="M766" t="s">
        <v>3817</v>
      </c>
      <c r="N766" t="s">
        <v>1</v>
      </c>
      <c r="O766">
        <v>400059</v>
      </c>
      <c r="P766" t="s">
        <v>546</v>
      </c>
      <c r="Q766" t="s">
        <v>1756</v>
      </c>
      <c r="S766">
        <v>50.94</v>
      </c>
      <c r="T766">
        <v>3</v>
      </c>
      <c r="U766">
        <v>0.1</v>
      </c>
      <c r="V766">
        <v>25.47</v>
      </c>
      <c r="W766">
        <f t="shared" si="47"/>
        <v>8.49</v>
      </c>
      <c r="X766">
        <v>5</v>
      </c>
    </row>
    <row r="767" spans="1:24" x14ac:dyDescent="0.3">
      <c r="A767">
        <v>766</v>
      </c>
      <c r="B767" t="s">
        <v>2536</v>
      </c>
      <c r="C767" s="6">
        <v>44962</v>
      </c>
      <c r="D767" t="str">
        <f t="shared" si="44"/>
        <v>Feb</v>
      </c>
      <c r="E767" t="str">
        <f t="shared" si="45"/>
        <v>2023</v>
      </c>
      <c r="F767" t="s">
        <v>3</v>
      </c>
      <c r="G767" t="s">
        <v>301</v>
      </c>
      <c r="H767" t="s">
        <v>1166</v>
      </c>
      <c r="I767">
        <v>200</v>
      </c>
      <c r="J767">
        <v>22</v>
      </c>
      <c r="K767">
        <f t="shared" si="46"/>
        <v>11</v>
      </c>
      <c r="L767" t="s">
        <v>1737</v>
      </c>
      <c r="M767" t="s">
        <v>3808</v>
      </c>
      <c r="O767">
        <v>403401</v>
      </c>
      <c r="P767" t="s">
        <v>546</v>
      </c>
      <c r="Q767" t="s">
        <v>1759</v>
      </c>
      <c r="S767">
        <v>646.74</v>
      </c>
      <c r="T767">
        <v>6</v>
      </c>
      <c r="U767">
        <v>0.1</v>
      </c>
      <c r="V767">
        <v>258.69600000000003</v>
      </c>
      <c r="W767">
        <f t="shared" si="47"/>
        <v>64.673999999999992</v>
      </c>
      <c r="X767">
        <v>5</v>
      </c>
    </row>
    <row r="768" spans="1:24" x14ac:dyDescent="0.3">
      <c r="A768">
        <v>767</v>
      </c>
      <c r="B768" t="s">
        <v>2537</v>
      </c>
      <c r="C768" s="6">
        <v>44963</v>
      </c>
      <c r="D768" t="str">
        <f t="shared" si="44"/>
        <v>Feb</v>
      </c>
      <c r="E768" t="str">
        <f t="shared" si="45"/>
        <v>2023</v>
      </c>
      <c r="F768" t="s">
        <v>3</v>
      </c>
      <c r="G768" t="s">
        <v>301</v>
      </c>
      <c r="H768" t="s">
        <v>1167</v>
      </c>
      <c r="I768">
        <v>190</v>
      </c>
      <c r="J768">
        <v>26</v>
      </c>
      <c r="K768">
        <f t="shared" si="46"/>
        <v>13.684210526315791</v>
      </c>
      <c r="L768" t="s">
        <v>1743</v>
      </c>
      <c r="M768" t="s">
        <v>3833</v>
      </c>
      <c r="N768" t="s">
        <v>1</v>
      </c>
      <c r="O768">
        <v>583219</v>
      </c>
      <c r="P768" t="s">
        <v>546</v>
      </c>
      <c r="Q768" t="s">
        <v>1759</v>
      </c>
      <c r="R768" t="s">
        <v>2</v>
      </c>
      <c r="S768">
        <v>5.64</v>
      </c>
      <c r="T768">
        <v>3</v>
      </c>
      <c r="U768">
        <v>0.1</v>
      </c>
      <c r="V768">
        <v>2.7071999999999998</v>
      </c>
      <c r="W768">
        <f t="shared" si="47"/>
        <v>0.97759999999999991</v>
      </c>
      <c r="X768">
        <v>5</v>
      </c>
    </row>
    <row r="769" spans="1:24" x14ac:dyDescent="0.3">
      <c r="A769">
        <v>768</v>
      </c>
      <c r="B769" t="s">
        <v>2538</v>
      </c>
      <c r="C769" s="6">
        <v>44964</v>
      </c>
      <c r="D769" t="str">
        <f t="shared" si="44"/>
        <v>Feb</v>
      </c>
      <c r="E769" t="str">
        <f t="shared" si="45"/>
        <v>2023</v>
      </c>
      <c r="F769" t="s">
        <v>3</v>
      </c>
      <c r="G769" t="s">
        <v>301</v>
      </c>
      <c r="H769" t="s">
        <v>1168</v>
      </c>
      <c r="I769">
        <v>160</v>
      </c>
      <c r="J769">
        <v>24</v>
      </c>
      <c r="K769">
        <f t="shared" si="46"/>
        <v>15</v>
      </c>
      <c r="L769" t="s">
        <v>1738</v>
      </c>
      <c r="M769" t="s">
        <v>3681</v>
      </c>
      <c r="N769" t="s">
        <v>1</v>
      </c>
      <c r="O769">
        <v>721607</v>
      </c>
      <c r="P769" t="s">
        <v>546</v>
      </c>
      <c r="Q769" t="s">
        <v>1772</v>
      </c>
      <c r="R769" t="s">
        <v>2</v>
      </c>
      <c r="S769">
        <v>572.58000000000004</v>
      </c>
      <c r="T769">
        <v>6</v>
      </c>
      <c r="U769">
        <v>0.1</v>
      </c>
      <c r="V769">
        <v>34.354799999999997</v>
      </c>
      <c r="W769">
        <f t="shared" si="47"/>
        <v>89.704200000000014</v>
      </c>
      <c r="X769">
        <v>3</v>
      </c>
    </row>
    <row r="770" spans="1:24" x14ac:dyDescent="0.3">
      <c r="A770">
        <v>769</v>
      </c>
      <c r="B770" t="s">
        <v>2539</v>
      </c>
      <c r="C770" s="6">
        <v>44965</v>
      </c>
      <c r="D770" t="str">
        <f t="shared" si="44"/>
        <v>Feb</v>
      </c>
      <c r="E770" t="str">
        <f t="shared" si="45"/>
        <v>2023</v>
      </c>
      <c r="F770" t="s">
        <v>4</v>
      </c>
      <c r="G770" t="s">
        <v>302</v>
      </c>
      <c r="H770" t="s">
        <v>1169</v>
      </c>
      <c r="I770">
        <v>190</v>
      </c>
      <c r="J770">
        <v>30</v>
      </c>
      <c r="K770">
        <f t="shared" si="46"/>
        <v>15.789473684210526</v>
      </c>
      <c r="L770" t="s">
        <v>1739</v>
      </c>
      <c r="M770" t="s">
        <v>3682</v>
      </c>
      <c r="N770" t="s">
        <v>1</v>
      </c>
      <c r="O770">
        <v>125051</v>
      </c>
      <c r="P770" t="s">
        <v>546</v>
      </c>
      <c r="Q770" t="s">
        <v>1761</v>
      </c>
      <c r="S770">
        <v>310.88</v>
      </c>
      <c r="T770">
        <v>2</v>
      </c>
      <c r="U770">
        <v>0.2</v>
      </c>
      <c r="V770">
        <v>23.315999999999999</v>
      </c>
      <c r="W770">
        <f t="shared" si="47"/>
        <v>143.78200000000001</v>
      </c>
      <c r="X770">
        <v>1</v>
      </c>
    </row>
    <row r="771" spans="1:24" x14ac:dyDescent="0.3">
      <c r="A771">
        <v>770</v>
      </c>
      <c r="B771" t="s">
        <v>2540</v>
      </c>
      <c r="C771" s="6">
        <v>44966</v>
      </c>
      <c r="D771" t="str">
        <f t="shared" ref="D771:D834" si="48">TEXT(C771,"Mmm")</f>
        <v>Feb</v>
      </c>
      <c r="E771" t="str">
        <f t="shared" ref="E771:E834" si="49">TEXT(C771,"YYYY")</f>
        <v>2023</v>
      </c>
      <c r="F771" t="s">
        <v>4</v>
      </c>
      <c r="G771" t="s">
        <v>104</v>
      </c>
      <c r="H771" t="s">
        <v>1170</v>
      </c>
      <c r="I771">
        <v>240</v>
      </c>
      <c r="J771">
        <v>18</v>
      </c>
      <c r="K771">
        <f t="shared" ref="K771:K834" si="50">(J771/I771)*100</f>
        <v>7.5</v>
      </c>
      <c r="L771" t="s">
        <v>1741</v>
      </c>
      <c r="M771" t="s">
        <v>3810</v>
      </c>
      <c r="N771" t="s">
        <v>1</v>
      </c>
      <c r="O771">
        <v>682030</v>
      </c>
      <c r="P771" t="s">
        <v>546</v>
      </c>
      <c r="Q771" t="s">
        <v>1761</v>
      </c>
      <c r="S771">
        <v>641.96</v>
      </c>
      <c r="T771">
        <v>2</v>
      </c>
      <c r="U771">
        <v>0.1</v>
      </c>
      <c r="V771">
        <v>179.74879999999999</v>
      </c>
      <c r="W771">
        <f t="shared" ref="W771:W834" si="51">(S771-V771)/T771</f>
        <v>231.10560000000004</v>
      </c>
      <c r="X771">
        <v>3</v>
      </c>
    </row>
    <row r="772" spans="1:24" x14ac:dyDescent="0.3">
      <c r="A772">
        <v>771</v>
      </c>
      <c r="B772" t="s">
        <v>2541</v>
      </c>
      <c r="C772" s="6">
        <v>44967</v>
      </c>
      <c r="D772" t="str">
        <f t="shared" si="48"/>
        <v>Feb</v>
      </c>
      <c r="E772" t="str">
        <f t="shared" si="49"/>
        <v>2023</v>
      </c>
      <c r="F772" t="s">
        <v>4</v>
      </c>
      <c r="G772" t="s">
        <v>303</v>
      </c>
      <c r="H772" t="s">
        <v>1171</v>
      </c>
      <c r="I772">
        <v>120</v>
      </c>
      <c r="J772">
        <v>8</v>
      </c>
      <c r="K772">
        <f t="shared" si="50"/>
        <v>6.666666666666667</v>
      </c>
      <c r="L772" t="s">
        <v>1736</v>
      </c>
      <c r="M772" t="s">
        <v>3693</v>
      </c>
      <c r="N772" t="s">
        <v>1</v>
      </c>
      <c r="O772">
        <v>132041</v>
      </c>
      <c r="P772" t="s">
        <v>546</v>
      </c>
      <c r="Q772" t="s">
        <v>1768</v>
      </c>
      <c r="S772">
        <v>18.28</v>
      </c>
      <c r="T772">
        <v>2</v>
      </c>
      <c r="U772">
        <v>0.1</v>
      </c>
      <c r="V772">
        <v>9.14</v>
      </c>
      <c r="W772">
        <f t="shared" si="51"/>
        <v>4.57</v>
      </c>
      <c r="X772">
        <v>5</v>
      </c>
    </row>
    <row r="773" spans="1:24" x14ac:dyDescent="0.3">
      <c r="A773">
        <v>772</v>
      </c>
      <c r="B773" t="s">
        <v>2542</v>
      </c>
      <c r="C773" s="6">
        <v>44968</v>
      </c>
      <c r="D773" t="str">
        <f t="shared" si="48"/>
        <v>Feb</v>
      </c>
      <c r="E773" t="str">
        <f t="shared" si="49"/>
        <v>2023</v>
      </c>
      <c r="F773" t="s">
        <v>4</v>
      </c>
      <c r="G773" t="s">
        <v>303</v>
      </c>
      <c r="H773" t="s">
        <v>849</v>
      </c>
      <c r="I773">
        <v>250</v>
      </c>
      <c r="J773">
        <v>28</v>
      </c>
      <c r="K773">
        <f t="shared" si="50"/>
        <v>11.200000000000001</v>
      </c>
      <c r="L773" t="s">
        <v>1744</v>
      </c>
      <c r="M773" t="s">
        <v>3746</v>
      </c>
      <c r="N773" t="s">
        <v>1</v>
      </c>
      <c r="O773">
        <v>695574</v>
      </c>
      <c r="P773" t="s">
        <v>546</v>
      </c>
      <c r="Q773" t="s">
        <v>1761</v>
      </c>
      <c r="S773">
        <v>207</v>
      </c>
      <c r="T773">
        <v>3</v>
      </c>
      <c r="U773">
        <v>0.1</v>
      </c>
      <c r="V773">
        <v>51.75</v>
      </c>
      <c r="W773">
        <f t="shared" si="51"/>
        <v>51.75</v>
      </c>
      <c r="X773">
        <v>2</v>
      </c>
    </row>
    <row r="774" spans="1:24" x14ac:dyDescent="0.3">
      <c r="A774">
        <v>773</v>
      </c>
      <c r="B774" t="s">
        <v>2543</v>
      </c>
      <c r="C774" s="6">
        <v>44969</v>
      </c>
      <c r="D774" t="str">
        <f t="shared" si="48"/>
        <v>Feb</v>
      </c>
      <c r="E774" t="str">
        <f t="shared" si="49"/>
        <v>2023</v>
      </c>
      <c r="F774" t="s">
        <v>4</v>
      </c>
      <c r="G774" t="s">
        <v>303</v>
      </c>
      <c r="H774" t="s">
        <v>1172</v>
      </c>
      <c r="I774">
        <v>160</v>
      </c>
      <c r="J774">
        <v>22</v>
      </c>
      <c r="K774">
        <f t="shared" si="50"/>
        <v>13.750000000000002</v>
      </c>
      <c r="L774" t="s">
        <v>1740</v>
      </c>
      <c r="M774" t="s">
        <v>3799</v>
      </c>
      <c r="O774">
        <v>333026</v>
      </c>
      <c r="P774" t="s">
        <v>546</v>
      </c>
      <c r="Q774" t="s">
        <v>1763</v>
      </c>
      <c r="S774">
        <v>32.35</v>
      </c>
      <c r="T774">
        <v>5</v>
      </c>
      <c r="U774">
        <v>0.1</v>
      </c>
      <c r="V774">
        <v>16.175000000000001</v>
      </c>
      <c r="W774">
        <f t="shared" si="51"/>
        <v>3.2350000000000003</v>
      </c>
      <c r="X774">
        <v>3</v>
      </c>
    </row>
    <row r="775" spans="1:24" x14ac:dyDescent="0.3">
      <c r="A775">
        <v>774</v>
      </c>
      <c r="B775" t="s">
        <v>2544</v>
      </c>
      <c r="C775" s="6">
        <v>44970</v>
      </c>
      <c r="D775" t="str">
        <f t="shared" si="48"/>
        <v>Feb</v>
      </c>
      <c r="E775" t="str">
        <f t="shared" si="49"/>
        <v>2023</v>
      </c>
      <c r="F775" t="s">
        <v>4</v>
      </c>
      <c r="G775" t="s">
        <v>303</v>
      </c>
      <c r="H775" t="s">
        <v>555</v>
      </c>
      <c r="I775">
        <v>210</v>
      </c>
      <c r="J775">
        <v>22</v>
      </c>
      <c r="K775">
        <f t="shared" si="50"/>
        <v>10.476190476190476</v>
      </c>
      <c r="L775" t="s">
        <v>1742</v>
      </c>
      <c r="M775" t="s">
        <v>3800</v>
      </c>
      <c r="N775" t="s">
        <v>1</v>
      </c>
      <c r="O775">
        <v>600041</v>
      </c>
      <c r="P775" t="s">
        <v>546</v>
      </c>
      <c r="Q775" t="s">
        <v>1767</v>
      </c>
      <c r="S775">
        <v>7.71</v>
      </c>
      <c r="T775">
        <v>1</v>
      </c>
      <c r="U775">
        <v>0.1</v>
      </c>
      <c r="V775">
        <v>3.4695</v>
      </c>
      <c r="W775">
        <f t="shared" si="51"/>
        <v>4.2404999999999999</v>
      </c>
      <c r="X775">
        <v>5</v>
      </c>
    </row>
    <row r="776" spans="1:24" x14ac:dyDescent="0.3">
      <c r="A776">
        <v>775</v>
      </c>
      <c r="B776" t="s">
        <v>2545</v>
      </c>
      <c r="C776" s="6">
        <v>44971</v>
      </c>
      <c r="D776" t="str">
        <f t="shared" si="48"/>
        <v>Feb</v>
      </c>
      <c r="E776" t="str">
        <f t="shared" si="49"/>
        <v>2023</v>
      </c>
      <c r="F776" t="s">
        <v>4</v>
      </c>
      <c r="G776" t="s">
        <v>303</v>
      </c>
      <c r="H776" t="s">
        <v>1173</v>
      </c>
      <c r="I776">
        <v>120</v>
      </c>
      <c r="J776">
        <v>16</v>
      </c>
      <c r="K776">
        <f t="shared" si="50"/>
        <v>13.333333333333334</v>
      </c>
      <c r="L776" t="s">
        <v>1739</v>
      </c>
      <c r="M776" t="s">
        <v>3637</v>
      </c>
      <c r="N776" t="s">
        <v>1</v>
      </c>
      <c r="O776">
        <v>110095</v>
      </c>
      <c r="P776" t="s">
        <v>546</v>
      </c>
      <c r="Q776" t="s">
        <v>1759</v>
      </c>
      <c r="S776">
        <v>40.299999999999997</v>
      </c>
      <c r="T776">
        <v>2</v>
      </c>
      <c r="U776">
        <v>0.1</v>
      </c>
      <c r="V776">
        <v>10.881</v>
      </c>
      <c r="W776">
        <f t="shared" si="51"/>
        <v>14.709499999999998</v>
      </c>
      <c r="X776">
        <v>5</v>
      </c>
    </row>
    <row r="777" spans="1:24" x14ac:dyDescent="0.3">
      <c r="A777">
        <v>776</v>
      </c>
      <c r="B777" t="s">
        <v>2546</v>
      </c>
      <c r="C777" s="6">
        <v>44972</v>
      </c>
      <c r="D777" t="str">
        <f t="shared" si="48"/>
        <v>Feb</v>
      </c>
      <c r="E777" t="str">
        <f t="shared" si="49"/>
        <v>2023</v>
      </c>
      <c r="F777" t="s">
        <v>4</v>
      </c>
      <c r="G777" t="s">
        <v>303</v>
      </c>
      <c r="H777" t="s">
        <v>1174</v>
      </c>
      <c r="I777">
        <v>160</v>
      </c>
      <c r="J777">
        <v>22</v>
      </c>
      <c r="K777">
        <f t="shared" si="50"/>
        <v>13.750000000000002</v>
      </c>
      <c r="L777" t="s">
        <v>1738</v>
      </c>
      <c r="M777" t="s">
        <v>3814</v>
      </c>
      <c r="N777" t="s">
        <v>1</v>
      </c>
      <c r="P777" t="s">
        <v>546</v>
      </c>
      <c r="Q777" t="s">
        <v>1761</v>
      </c>
      <c r="S777">
        <v>34.58</v>
      </c>
      <c r="T777">
        <v>7</v>
      </c>
      <c r="U777">
        <v>0.1</v>
      </c>
      <c r="V777">
        <v>14.5236</v>
      </c>
      <c r="W777">
        <f t="shared" si="51"/>
        <v>2.8651999999999993</v>
      </c>
      <c r="X777">
        <v>1</v>
      </c>
    </row>
    <row r="778" spans="1:24" x14ac:dyDescent="0.3">
      <c r="A778">
        <v>777</v>
      </c>
      <c r="B778" t="s">
        <v>2547</v>
      </c>
      <c r="C778" s="6">
        <v>44973</v>
      </c>
      <c r="D778" t="str">
        <f t="shared" si="48"/>
        <v>Feb</v>
      </c>
      <c r="E778" t="str">
        <f t="shared" si="49"/>
        <v>2023</v>
      </c>
      <c r="F778" t="s">
        <v>4</v>
      </c>
      <c r="G778" t="s">
        <v>304</v>
      </c>
      <c r="H778" t="s">
        <v>1175</v>
      </c>
      <c r="I778">
        <v>220</v>
      </c>
      <c r="J778">
        <v>20</v>
      </c>
      <c r="K778">
        <f t="shared" si="50"/>
        <v>9.0909090909090917</v>
      </c>
      <c r="L778" t="s">
        <v>1737</v>
      </c>
      <c r="M778" t="s">
        <v>3813</v>
      </c>
      <c r="N778" t="s">
        <v>1</v>
      </c>
      <c r="Q778" t="s">
        <v>1755</v>
      </c>
      <c r="S778">
        <v>32.76</v>
      </c>
      <c r="T778">
        <v>7</v>
      </c>
      <c r="U778">
        <v>0.2</v>
      </c>
      <c r="V778">
        <v>3.6855000000000002</v>
      </c>
      <c r="W778">
        <f t="shared" si="51"/>
        <v>4.1534999999999993</v>
      </c>
      <c r="X778">
        <v>5</v>
      </c>
    </row>
    <row r="779" spans="1:24" x14ac:dyDescent="0.3">
      <c r="A779">
        <v>778</v>
      </c>
      <c r="B779" t="s">
        <v>2548</v>
      </c>
      <c r="C779" s="6">
        <v>44974</v>
      </c>
      <c r="D779" t="str">
        <f t="shared" si="48"/>
        <v>Feb</v>
      </c>
      <c r="E779" t="str">
        <f t="shared" si="49"/>
        <v>2023</v>
      </c>
      <c r="F779" t="s">
        <v>5</v>
      </c>
      <c r="G779" t="s">
        <v>132</v>
      </c>
      <c r="H779" t="s">
        <v>1176</v>
      </c>
      <c r="I779">
        <v>220</v>
      </c>
      <c r="J779">
        <v>28</v>
      </c>
      <c r="K779">
        <f t="shared" si="50"/>
        <v>12.727272727272727</v>
      </c>
      <c r="L779" t="s">
        <v>1743</v>
      </c>
      <c r="M779" t="s">
        <v>3610</v>
      </c>
      <c r="N779" t="s">
        <v>1</v>
      </c>
      <c r="O779">
        <v>400601</v>
      </c>
      <c r="P779" t="s">
        <v>546</v>
      </c>
      <c r="Q779" t="s">
        <v>1759</v>
      </c>
      <c r="S779">
        <v>544.00800000000004</v>
      </c>
      <c r="T779">
        <v>3</v>
      </c>
      <c r="U779">
        <v>0.2</v>
      </c>
      <c r="V779">
        <v>40.800600000000003</v>
      </c>
      <c r="W779">
        <f t="shared" si="51"/>
        <v>167.73580000000001</v>
      </c>
      <c r="X779">
        <v>5</v>
      </c>
    </row>
    <row r="780" spans="1:24" x14ac:dyDescent="0.3">
      <c r="A780">
        <v>779</v>
      </c>
      <c r="B780" t="s">
        <v>2549</v>
      </c>
      <c r="C780" s="6">
        <v>44975</v>
      </c>
      <c r="D780" t="str">
        <f t="shared" si="48"/>
        <v>Feb</v>
      </c>
      <c r="E780" t="str">
        <f t="shared" si="49"/>
        <v>2023</v>
      </c>
      <c r="F780" t="s">
        <v>5</v>
      </c>
      <c r="G780" t="s">
        <v>132</v>
      </c>
      <c r="H780" t="s">
        <v>915</v>
      </c>
      <c r="I780">
        <v>150</v>
      </c>
      <c r="J780">
        <v>24</v>
      </c>
      <c r="K780">
        <f t="shared" si="50"/>
        <v>16</v>
      </c>
      <c r="L780" t="s">
        <v>1738</v>
      </c>
      <c r="M780" t="s">
        <v>3807</v>
      </c>
      <c r="N780" t="s">
        <v>1</v>
      </c>
      <c r="O780">
        <v>560078</v>
      </c>
      <c r="P780" t="s">
        <v>546</v>
      </c>
      <c r="Q780" t="s">
        <v>1755</v>
      </c>
      <c r="S780">
        <v>59.94</v>
      </c>
      <c r="T780">
        <v>3</v>
      </c>
      <c r="U780">
        <v>0.1</v>
      </c>
      <c r="V780">
        <v>28.171800000000001</v>
      </c>
      <c r="W780">
        <f t="shared" si="51"/>
        <v>10.589399999999999</v>
      </c>
      <c r="X780">
        <v>2</v>
      </c>
    </row>
    <row r="781" spans="1:24" x14ac:dyDescent="0.3">
      <c r="A781">
        <v>780</v>
      </c>
      <c r="B781" t="s">
        <v>2550</v>
      </c>
      <c r="C781" s="6">
        <v>44976</v>
      </c>
      <c r="D781" t="str">
        <f t="shared" si="48"/>
        <v>Feb</v>
      </c>
      <c r="E781" t="str">
        <f t="shared" si="49"/>
        <v>2023</v>
      </c>
      <c r="F781" t="s">
        <v>5</v>
      </c>
      <c r="G781" t="s">
        <v>132</v>
      </c>
      <c r="H781" t="s">
        <v>905</v>
      </c>
      <c r="I781">
        <v>250</v>
      </c>
      <c r="J781">
        <v>24</v>
      </c>
      <c r="K781">
        <f t="shared" si="50"/>
        <v>9.6</v>
      </c>
      <c r="L781" t="s">
        <v>1739</v>
      </c>
      <c r="M781" t="s">
        <v>3707</v>
      </c>
      <c r="N781" t="s">
        <v>1</v>
      </c>
      <c r="O781">
        <v>587313</v>
      </c>
      <c r="P781" t="s">
        <v>546</v>
      </c>
      <c r="Q781" t="s">
        <v>1763</v>
      </c>
      <c r="S781">
        <v>23.92</v>
      </c>
      <c r="T781">
        <v>4</v>
      </c>
      <c r="U781">
        <v>0.1</v>
      </c>
      <c r="V781">
        <v>11.720800000000001</v>
      </c>
      <c r="W781">
        <f t="shared" si="51"/>
        <v>3.0498000000000003</v>
      </c>
      <c r="X781">
        <v>2</v>
      </c>
    </row>
    <row r="782" spans="1:24" x14ac:dyDescent="0.3">
      <c r="A782">
        <v>781</v>
      </c>
      <c r="B782" t="s">
        <v>2551</v>
      </c>
      <c r="C782" s="6">
        <v>44977</v>
      </c>
      <c r="D782" t="str">
        <f t="shared" si="48"/>
        <v>Feb</v>
      </c>
      <c r="E782" t="str">
        <f t="shared" si="49"/>
        <v>2023</v>
      </c>
      <c r="F782" t="s">
        <v>5</v>
      </c>
      <c r="G782" t="s">
        <v>132</v>
      </c>
      <c r="H782" t="s">
        <v>1177</v>
      </c>
      <c r="I782">
        <v>230</v>
      </c>
      <c r="J782">
        <v>24</v>
      </c>
      <c r="K782">
        <f t="shared" si="50"/>
        <v>10.434782608695652</v>
      </c>
      <c r="L782" t="s">
        <v>1741</v>
      </c>
      <c r="M782" t="s">
        <v>3805</v>
      </c>
      <c r="N782" t="s">
        <v>1</v>
      </c>
      <c r="O782">
        <v>342010</v>
      </c>
      <c r="P782" t="s">
        <v>546</v>
      </c>
      <c r="Q782" t="s">
        <v>1769</v>
      </c>
      <c r="S782">
        <v>4.28</v>
      </c>
      <c r="T782">
        <v>1</v>
      </c>
      <c r="U782">
        <v>0.1</v>
      </c>
      <c r="V782">
        <v>1.9259999999999999</v>
      </c>
      <c r="W782">
        <f t="shared" si="51"/>
        <v>2.3540000000000001</v>
      </c>
      <c r="X782">
        <v>2</v>
      </c>
    </row>
    <row r="783" spans="1:24" x14ac:dyDescent="0.3">
      <c r="A783">
        <v>782</v>
      </c>
      <c r="B783" t="s">
        <v>2552</v>
      </c>
      <c r="C783" s="6">
        <v>44978</v>
      </c>
      <c r="D783" t="str">
        <f t="shared" si="48"/>
        <v>Feb</v>
      </c>
      <c r="E783" t="str">
        <f t="shared" si="49"/>
        <v>2023</v>
      </c>
      <c r="F783" t="s">
        <v>3</v>
      </c>
      <c r="G783" t="s">
        <v>305</v>
      </c>
      <c r="H783" t="s">
        <v>957</v>
      </c>
      <c r="I783">
        <v>200</v>
      </c>
      <c r="J783">
        <v>10</v>
      </c>
      <c r="K783">
        <f t="shared" si="50"/>
        <v>5</v>
      </c>
      <c r="L783" t="s">
        <v>1736</v>
      </c>
      <c r="M783" t="s">
        <v>3797</v>
      </c>
      <c r="N783" t="s">
        <v>1</v>
      </c>
      <c r="O783">
        <v>342010</v>
      </c>
      <c r="P783" t="s">
        <v>546</v>
      </c>
      <c r="Q783" t="s">
        <v>1754</v>
      </c>
      <c r="S783">
        <v>32.07</v>
      </c>
      <c r="T783">
        <v>5</v>
      </c>
      <c r="U783">
        <v>0.7</v>
      </c>
      <c r="V783">
        <v>-22.449000000000002</v>
      </c>
      <c r="W783">
        <f t="shared" si="51"/>
        <v>10.9038</v>
      </c>
      <c r="X783">
        <v>3</v>
      </c>
    </row>
    <row r="784" spans="1:24" x14ac:dyDescent="0.3">
      <c r="A784">
        <v>783</v>
      </c>
      <c r="B784" t="s">
        <v>2553</v>
      </c>
      <c r="C784" s="6">
        <v>44979</v>
      </c>
      <c r="D784" t="str">
        <f t="shared" si="48"/>
        <v>Feb</v>
      </c>
      <c r="E784" t="str">
        <f t="shared" si="49"/>
        <v>2023</v>
      </c>
      <c r="F784" t="s">
        <v>3</v>
      </c>
      <c r="G784" t="s">
        <v>305</v>
      </c>
      <c r="H784" t="s">
        <v>593</v>
      </c>
      <c r="I784">
        <v>170</v>
      </c>
      <c r="J784">
        <v>26</v>
      </c>
      <c r="K784">
        <f t="shared" si="50"/>
        <v>15.294117647058824</v>
      </c>
      <c r="L784" t="s">
        <v>1744</v>
      </c>
      <c r="M784" t="s">
        <v>3685</v>
      </c>
      <c r="N784" t="s">
        <v>1</v>
      </c>
      <c r="O784">
        <v>410210</v>
      </c>
      <c r="P784" t="s">
        <v>546</v>
      </c>
      <c r="Q784" t="s">
        <v>1770</v>
      </c>
      <c r="R784" t="s">
        <v>2</v>
      </c>
      <c r="S784">
        <v>24</v>
      </c>
      <c r="T784">
        <v>2</v>
      </c>
      <c r="U784">
        <v>0.2</v>
      </c>
      <c r="V784">
        <v>-2.7</v>
      </c>
      <c r="W784">
        <f t="shared" si="51"/>
        <v>13.35</v>
      </c>
      <c r="X784">
        <v>5</v>
      </c>
    </row>
    <row r="785" spans="1:24" x14ac:dyDescent="0.3">
      <c r="A785">
        <v>784</v>
      </c>
      <c r="B785" t="s">
        <v>2554</v>
      </c>
      <c r="C785" s="6">
        <v>44980</v>
      </c>
      <c r="D785" t="str">
        <f t="shared" si="48"/>
        <v>Feb</v>
      </c>
      <c r="E785" t="str">
        <f t="shared" si="49"/>
        <v>2023</v>
      </c>
      <c r="F785" t="s">
        <v>3</v>
      </c>
      <c r="G785" t="s">
        <v>305</v>
      </c>
      <c r="H785" t="s">
        <v>1178</v>
      </c>
      <c r="I785">
        <v>100</v>
      </c>
      <c r="J785">
        <v>30</v>
      </c>
      <c r="K785">
        <f t="shared" si="50"/>
        <v>30</v>
      </c>
      <c r="L785" t="s">
        <v>1740</v>
      </c>
      <c r="M785" t="s">
        <v>3791</v>
      </c>
      <c r="N785" t="s">
        <v>1</v>
      </c>
      <c r="O785">
        <v>431001</v>
      </c>
      <c r="P785" t="s">
        <v>546</v>
      </c>
      <c r="Q785" t="s">
        <v>1772</v>
      </c>
      <c r="S785">
        <v>35.49</v>
      </c>
      <c r="T785">
        <v>1</v>
      </c>
      <c r="U785">
        <v>0.5</v>
      </c>
      <c r="V785">
        <v>-15.615600000000001</v>
      </c>
      <c r="W785">
        <f t="shared" si="51"/>
        <v>51.105600000000003</v>
      </c>
      <c r="X785">
        <v>2</v>
      </c>
    </row>
    <row r="786" spans="1:24" x14ac:dyDescent="0.3">
      <c r="A786">
        <v>785</v>
      </c>
      <c r="B786" t="s">
        <v>2555</v>
      </c>
      <c r="C786" s="6">
        <v>44981</v>
      </c>
      <c r="D786" t="str">
        <f t="shared" si="48"/>
        <v>Feb</v>
      </c>
      <c r="E786" t="str">
        <f t="shared" si="49"/>
        <v>2023</v>
      </c>
      <c r="F786" t="s">
        <v>3</v>
      </c>
      <c r="G786" t="s">
        <v>305</v>
      </c>
      <c r="H786" t="s">
        <v>1179</v>
      </c>
      <c r="I786">
        <v>200</v>
      </c>
      <c r="J786">
        <v>24</v>
      </c>
      <c r="K786">
        <f t="shared" si="50"/>
        <v>12</v>
      </c>
      <c r="L786" t="s">
        <v>1742</v>
      </c>
      <c r="M786" t="s">
        <v>3647</v>
      </c>
      <c r="N786" t="s">
        <v>1</v>
      </c>
      <c r="O786">
        <v>110018</v>
      </c>
      <c r="P786" t="s">
        <v>546</v>
      </c>
      <c r="Q786" t="s">
        <v>1759</v>
      </c>
      <c r="R786" t="s">
        <v>2</v>
      </c>
      <c r="S786">
        <v>47.984000000000002</v>
      </c>
      <c r="T786">
        <v>2</v>
      </c>
      <c r="U786">
        <v>0.2</v>
      </c>
      <c r="V786">
        <v>0.5998</v>
      </c>
      <c r="W786">
        <f t="shared" si="51"/>
        <v>23.6921</v>
      </c>
      <c r="X786">
        <v>2</v>
      </c>
    </row>
    <row r="787" spans="1:24" x14ac:dyDescent="0.3">
      <c r="A787">
        <v>786</v>
      </c>
      <c r="B787" t="s">
        <v>2556</v>
      </c>
      <c r="C787" s="6">
        <v>44982</v>
      </c>
      <c r="D787" t="str">
        <f t="shared" si="48"/>
        <v>Feb</v>
      </c>
      <c r="E787" t="str">
        <f t="shared" si="49"/>
        <v>2023</v>
      </c>
      <c r="F787" t="s">
        <v>4</v>
      </c>
      <c r="G787" t="s">
        <v>112</v>
      </c>
      <c r="H787" t="s">
        <v>1180</v>
      </c>
      <c r="I787">
        <v>200</v>
      </c>
      <c r="J787">
        <v>24</v>
      </c>
      <c r="K787">
        <f t="shared" si="50"/>
        <v>12</v>
      </c>
      <c r="L787" t="s">
        <v>1739</v>
      </c>
      <c r="M787" t="s">
        <v>3697</v>
      </c>
      <c r="N787" t="s">
        <v>1</v>
      </c>
      <c r="O787">
        <v>751002</v>
      </c>
      <c r="P787" t="s">
        <v>546</v>
      </c>
      <c r="Q787" t="s">
        <v>1775</v>
      </c>
      <c r="R787" t="s">
        <v>2</v>
      </c>
      <c r="S787">
        <v>186.69</v>
      </c>
      <c r="T787">
        <v>3</v>
      </c>
      <c r="U787">
        <v>0.1</v>
      </c>
      <c r="V787">
        <v>87.744299999999996</v>
      </c>
      <c r="W787">
        <f t="shared" si="51"/>
        <v>32.981900000000003</v>
      </c>
      <c r="X787">
        <v>2</v>
      </c>
    </row>
    <row r="788" spans="1:24" x14ac:dyDescent="0.3">
      <c r="A788">
        <v>787</v>
      </c>
      <c r="B788" t="s">
        <v>2557</v>
      </c>
      <c r="C788" s="6">
        <v>44983</v>
      </c>
      <c r="D788" t="str">
        <f t="shared" si="48"/>
        <v>Feb</v>
      </c>
      <c r="E788" t="str">
        <f t="shared" si="49"/>
        <v>2023</v>
      </c>
      <c r="F788" t="s">
        <v>3</v>
      </c>
      <c r="G788" t="s">
        <v>59</v>
      </c>
      <c r="H788" t="s">
        <v>1181</v>
      </c>
      <c r="I788">
        <v>250</v>
      </c>
      <c r="J788">
        <v>20</v>
      </c>
      <c r="K788">
        <f t="shared" si="50"/>
        <v>8</v>
      </c>
      <c r="L788" t="s">
        <v>1738</v>
      </c>
      <c r="M788" t="s">
        <v>3801</v>
      </c>
      <c r="N788" t="s">
        <v>1</v>
      </c>
      <c r="O788">
        <v>500076</v>
      </c>
      <c r="P788" t="s">
        <v>546</v>
      </c>
      <c r="Q788" t="s">
        <v>1775</v>
      </c>
      <c r="S788">
        <v>17.456</v>
      </c>
      <c r="T788">
        <v>2</v>
      </c>
      <c r="U788">
        <v>0.2</v>
      </c>
      <c r="V788">
        <v>5.8914</v>
      </c>
      <c r="W788">
        <f t="shared" si="51"/>
        <v>5.7822999999999993</v>
      </c>
      <c r="X788">
        <v>1</v>
      </c>
    </row>
    <row r="789" spans="1:24" x14ac:dyDescent="0.3">
      <c r="A789">
        <v>788</v>
      </c>
      <c r="B789" t="s">
        <v>2558</v>
      </c>
      <c r="C789" s="6">
        <v>44984</v>
      </c>
      <c r="D789" t="str">
        <f t="shared" si="48"/>
        <v>Feb</v>
      </c>
      <c r="E789" t="str">
        <f t="shared" si="49"/>
        <v>2023</v>
      </c>
      <c r="F789" t="s">
        <v>4</v>
      </c>
      <c r="G789" t="s">
        <v>306</v>
      </c>
      <c r="H789" t="s">
        <v>1182</v>
      </c>
      <c r="I789">
        <v>160</v>
      </c>
      <c r="J789">
        <v>28</v>
      </c>
      <c r="K789">
        <f t="shared" si="50"/>
        <v>17.5</v>
      </c>
      <c r="L789" t="s">
        <v>1737</v>
      </c>
      <c r="M789" t="s">
        <v>3787</v>
      </c>
      <c r="O789">
        <v>570007</v>
      </c>
      <c r="P789" t="s">
        <v>546</v>
      </c>
      <c r="Q789" t="s">
        <v>1761</v>
      </c>
      <c r="S789">
        <v>348.928</v>
      </c>
      <c r="T789">
        <v>2</v>
      </c>
      <c r="U789">
        <v>0.2</v>
      </c>
      <c r="V789">
        <v>34.892800000000001</v>
      </c>
      <c r="W789">
        <f t="shared" si="51"/>
        <v>157.01759999999999</v>
      </c>
      <c r="X789">
        <v>2</v>
      </c>
    </row>
    <row r="790" spans="1:24" x14ac:dyDescent="0.3">
      <c r="A790">
        <v>789</v>
      </c>
      <c r="B790" t="s">
        <v>2559</v>
      </c>
      <c r="C790" s="6">
        <v>44985</v>
      </c>
      <c r="D790" t="str">
        <f t="shared" si="48"/>
        <v>Feb</v>
      </c>
      <c r="E790" t="str">
        <f t="shared" si="49"/>
        <v>2023</v>
      </c>
      <c r="F790" t="s">
        <v>4</v>
      </c>
      <c r="G790" t="s">
        <v>200</v>
      </c>
      <c r="H790" t="s">
        <v>926</v>
      </c>
      <c r="I790">
        <v>230</v>
      </c>
      <c r="J790">
        <v>10</v>
      </c>
      <c r="K790">
        <f t="shared" si="50"/>
        <v>4.3478260869565215</v>
      </c>
      <c r="L790" t="s">
        <v>1743</v>
      </c>
      <c r="M790" t="s">
        <v>3736</v>
      </c>
      <c r="N790" t="s">
        <v>1</v>
      </c>
      <c r="O790">
        <v>524001</v>
      </c>
      <c r="P790" t="s">
        <v>546</v>
      </c>
      <c r="Q790" t="s">
        <v>1759</v>
      </c>
      <c r="R790" t="s">
        <v>2</v>
      </c>
      <c r="S790">
        <v>143.96</v>
      </c>
      <c r="T790">
        <v>4</v>
      </c>
      <c r="U790">
        <v>0.1</v>
      </c>
      <c r="V790">
        <v>69.100800000000007</v>
      </c>
      <c r="W790">
        <f t="shared" si="51"/>
        <v>18.7148</v>
      </c>
      <c r="X790">
        <v>3</v>
      </c>
    </row>
    <row r="791" spans="1:24" x14ac:dyDescent="0.3">
      <c r="A791">
        <v>790</v>
      </c>
      <c r="B791" t="s">
        <v>2560</v>
      </c>
      <c r="C791" s="6">
        <v>44986</v>
      </c>
      <c r="D791" t="str">
        <f t="shared" si="48"/>
        <v>Mar</v>
      </c>
      <c r="E791" t="str">
        <f t="shared" si="49"/>
        <v>2023</v>
      </c>
      <c r="F791" t="s">
        <v>4</v>
      </c>
      <c r="G791" t="s">
        <v>200</v>
      </c>
      <c r="H791" t="s">
        <v>968</v>
      </c>
      <c r="I791">
        <v>210</v>
      </c>
      <c r="J791">
        <v>8</v>
      </c>
      <c r="K791">
        <f t="shared" si="50"/>
        <v>3.8095238095238098</v>
      </c>
      <c r="L791" t="s">
        <v>1738</v>
      </c>
      <c r="M791" t="s">
        <v>3804</v>
      </c>
      <c r="N791" t="s">
        <v>1</v>
      </c>
      <c r="O791">
        <v>713102</v>
      </c>
      <c r="P791" t="s">
        <v>546</v>
      </c>
      <c r="Q791" t="s">
        <v>1756</v>
      </c>
      <c r="S791">
        <v>15.42</v>
      </c>
      <c r="T791">
        <v>1</v>
      </c>
      <c r="U791">
        <v>0.1</v>
      </c>
      <c r="V791">
        <v>4.1634000000000002</v>
      </c>
      <c r="W791">
        <f t="shared" si="51"/>
        <v>11.256599999999999</v>
      </c>
      <c r="X791">
        <v>2</v>
      </c>
    </row>
    <row r="792" spans="1:24" x14ac:dyDescent="0.3">
      <c r="A792">
        <v>791</v>
      </c>
      <c r="B792" t="s">
        <v>2561</v>
      </c>
      <c r="C792" s="6">
        <v>44987</v>
      </c>
      <c r="D792" t="str">
        <f t="shared" si="48"/>
        <v>Mar</v>
      </c>
      <c r="E792" t="str">
        <f t="shared" si="49"/>
        <v>2023</v>
      </c>
      <c r="F792" t="s">
        <v>4</v>
      </c>
      <c r="G792" t="s">
        <v>200</v>
      </c>
      <c r="H792" t="s">
        <v>1183</v>
      </c>
      <c r="I792">
        <v>230</v>
      </c>
      <c r="J792">
        <v>10</v>
      </c>
      <c r="K792">
        <f t="shared" si="50"/>
        <v>4.3478260869565215</v>
      </c>
      <c r="L792" t="s">
        <v>1739</v>
      </c>
      <c r="M792" t="s">
        <v>3588</v>
      </c>
      <c r="N792" t="s">
        <v>1</v>
      </c>
      <c r="O792">
        <v>641035</v>
      </c>
      <c r="P792" t="s">
        <v>546</v>
      </c>
      <c r="Q792" t="s">
        <v>1768</v>
      </c>
      <c r="S792">
        <v>43.04</v>
      </c>
      <c r="T792">
        <v>8</v>
      </c>
      <c r="U792">
        <v>0.1</v>
      </c>
      <c r="V792">
        <v>21.089600000000001</v>
      </c>
      <c r="W792">
        <f t="shared" si="51"/>
        <v>2.7437999999999998</v>
      </c>
      <c r="X792">
        <v>5</v>
      </c>
    </row>
    <row r="793" spans="1:24" x14ac:dyDescent="0.3">
      <c r="A793">
        <v>792</v>
      </c>
      <c r="B793" t="s">
        <v>2562</v>
      </c>
      <c r="C793" s="6">
        <v>44988</v>
      </c>
      <c r="D793" t="str">
        <f t="shared" si="48"/>
        <v>Mar</v>
      </c>
      <c r="E793" t="str">
        <f t="shared" si="49"/>
        <v>2023</v>
      </c>
      <c r="F793" t="s">
        <v>4</v>
      </c>
      <c r="G793" t="s">
        <v>200</v>
      </c>
      <c r="H793" t="s">
        <v>1184</v>
      </c>
      <c r="I793">
        <v>220</v>
      </c>
      <c r="J793">
        <v>6</v>
      </c>
      <c r="K793">
        <f t="shared" si="50"/>
        <v>2.7272727272727271</v>
      </c>
      <c r="L793" t="s">
        <v>1741</v>
      </c>
      <c r="M793" t="s">
        <v>3789</v>
      </c>
      <c r="N793" t="s">
        <v>1</v>
      </c>
      <c r="O793">
        <v>641027</v>
      </c>
      <c r="P793" t="s">
        <v>546</v>
      </c>
      <c r="Q793" t="s">
        <v>1756</v>
      </c>
      <c r="S793">
        <v>332.94</v>
      </c>
      <c r="T793">
        <v>3</v>
      </c>
      <c r="U793">
        <v>0.1</v>
      </c>
      <c r="V793">
        <v>79.905600000000007</v>
      </c>
      <c r="W793">
        <f t="shared" si="51"/>
        <v>84.344800000000006</v>
      </c>
      <c r="X793">
        <v>5</v>
      </c>
    </row>
    <row r="794" spans="1:24" x14ac:dyDescent="0.3">
      <c r="A794">
        <v>793</v>
      </c>
      <c r="B794" t="s">
        <v>2563</v>
      </c>
      <c r="C794" s="6">
        <v>44989</v>
      </c>
      <c r="D794" t="str">
        <f t="shared" si="48"/>
        <v>Mar</v>
      </c>
      <c r="E794" t="str">
        <f t="shared" si="49"/>
        <v>2023</v>
      </c>
      <c r="F794" t="s">
        <v>6</v>
      </c>
      <c r="G794" t="s">
        <v>307</v>
      </c>
      <c r="H794" t="s">
        <v>1185</v>
      </c>
      <c r="I794">
        <v>250</v>
      </c>
      <c r="J794">
        <v>6</v>
      </c>
      <c r="K794">
        <f t="shared" si="50"/>
        <v>2.4</v>
      </c>
      <c r="L794" t="s">
        <v>1736</v>
      </c>
      <c r="M794" t="s">
        <v>3790</v>
      </c>
      <c r="N794" t="s">
        <v>1</v>
      </c>
      <c r="O794">
        <v>500072</v>
      </c>
      <c r="P794" t="s">
        <v>546</v>
      </c>
      <c r="Q794" t="s">
        <v>1755</v>
      </c>
      <c r="S794">
        <v>1363.96</v>
      </c>
      <c r="T794">
        <v>5</v>
      </c>
      <c r="U794">
        <v>0.2</v>
      </c>
      <c r="V794">
        <v>85.247500000000002</v>
      </c>
      <c r="W794">
        <f t="shared" si="51"/>
        <v>255.74250000000001</v>
      </c>
      <c r="X794">
        <v>1</v>
      </c>
    </row>
    <row r="795" spans="1:24" x14ac:dyDescent="0.3">
      <c r="A795">
        <v>794</v>
      </c>
      <c r="B795" t="s">
        <v>2564</v>
      </c>
      <c r="C795" s="6">
        <v>44990</v>
      </c>
      <c r="D795" t="str">
        <f t="shared" si="48"/>
        <v>Mar</v>
      </c>
      <c r="E795" t="str">
        <f t="shared" si="49"/>
        <v>2023</v>
      </c>
      <c r="F795" t="s">
        <v>4</v>
      </c>
      <c r="G795" t="s">
        <v>308</v>
      </c>
      <c r="H795" t="s">
        <v>1186</v>
      </c>
      <c r="I795">
        <v>170</v>
      </c>
      <c r="J795">
        <v>26</v>
      </c>
      <c r="K795">
        <f t="shared" si="50"/>
        <v>15.294117647058824</v>
      </c>
      <c r="L795" t="s">
        <v>1744</v>
      </c>
      <c r="M795" t="s">
        <v>3798</v>
      </c>
      <c r="N795" t="s">
        <v>1</v>
      </c>
      <c r="O795">
        <v>302001</v>
      </c>
      <c r="P795" t="s">
        <v>546</v>
      </c>
      <c r="Q795" t="s">
        <v>1763</v>
      </c>
      <c r="S795">
        <v>9.9600000000000009</v>
      </c>
      <c r="T795">
        <v>2</v>
      </c>
      <c r="U795">
        <v>0.1</v>
      </c>
      <c r="V795">
        <v>4.5815999999999999</v>
      </c>
      <c r="W795">
        <f t="shared" si="51"/>
        <v>2.6892000000000005</v>
      </c>
      <c r="X795">
        <v>3</v>
      </c>
    </row>
    <row r="796" spans="1:24" x14ac:dyDescent="0.3">
      <c r="A796">
        <v>795</v>
      </c>
      <c r="B796" t="s">
        <v>2565</v>
      </c>
      <c r="C796" s="6">
        <v>44991</v>
      </c>
      <c r="D796" t="str">
        <f t="shared" si="48"/>
        <v>Mar</v>
      </c>
      <c r="E796" t="str">
        <f t="shared" si="49"/>
        <v>2023</v>
      </c>
      <c r="F796" t="s">
        <v>4</v>
      </c>
      <c r="G796" t="s">
        <v>308</v>
      </c>
      <c r="H796" t="s">
        <v>909</v>
      </c>
      <c r="I796">
        <v>230</v>
      </c>
      <c r="J796">
        <v>16</v>
      </c>
      <c r="K796">
        <f t="shared" si="50"/>
        <v>6.9565217391304346</v>
      </c>
      <c r="L796" t="s">
        <v>1740</v>
      </c>
      <c r="M796" t="s">
        <v>3834</v>
      </c>
      <c r="N796" t="s">
        <v>1</v>
      </c>
      <c r="O796">
        <v>620017</v>
      </c>
      <c r="P796" t="s">
        <v>546</v>
      </c>
      <c r="Q796" t="s">
        <v>1765</v>
      </c>
      <c r="S796">
        <v>21.72</v>
      </c>
      <c r="T796">
        <v>4</v>
      </c>
      <c r="U796">
        <v>0.1</v>
      </c>
      <c r="V796">
        <v>10.642799999999999</v>
      </c>
      <c r="W796">
        <f t="shared" si="51"/>
        <v>2.7692999999999999</v>
      </c>
      <c r="X796">
        <v>1</v>
      </c>
    </row>
    <row r="797" spans="1:24" x14ac:dyDescent="0.3">
      <c r="A797">
        <v>796</v>
      </c>
      <c r="B797" t="s">
        <v>2566</v>
      </c>
      <c r="C797" s="6">
        <v>44992</v>
      </c>
      <c r="D797" t="str">
        <f t="shared" si="48"/>
        <v>Mar</v>
      </c>
      <c r="E797" t="str">
        <f t="shared" si="49"/>
        <v>2023</v>
      </c>
      <c r="F797" t="s">
        <v>4</v>
      </c>
      <c r="G797" t="s">
        <v>309</v>
      </c>
      <c r="H797" t="s">
        <v>1161</v>
      </c>
      <c r="I797">
        <v>170</v>
      </c>
      <c r="J797">
        <v>8</v>
      </c>
      <c r="K797">
        <f t="shared" si="50"/>
        <v>4.7058823529411766</v>
      </c>
      <c r="L797" t="s">
        <v>1742</v>
      </c>
      <c r="M797" t="s">
        <v>3776</v>
      </c>
      <c r="N797" t="s">
        <v>1</v>
      </c>
      <c r="O797">
        <v>110089</v>
      </c>
      <c r="P797" t="s">
        <v>546</v>
      </c>
      <c r="Q797" t="s">
        <v>1769</v>
      </c>
      <c r="S797">
        <v>20.16</v>
      </c>
      <c r="T797">
        <v>7</v>
      </c>
      <c r="U797">
        <v>0.1</v>
      </c>
      <c r="V797">
        <v>9.8783999999999992</v>
      </c>
      <c r="W797">
        <f t="shared" si="51"/>
        <v>1.4688000000000001</v>
      </c>
      <c r="X797">
        <v>1</v>
      </c>
    </row>
    <row r="798" spans="1:24" x14ac:dyDescent="0.3">
      <c r="A798">
        <v>797</v>
      </c>
      <c r="B798" t="s">
        <v>2567</v>
      </c>
      <c r="C798" s="6">
        <v>44993</v>
      </c>
      <c r="D798" t="str">
        <f t="shared" si="48"/>
        <v>Mar</v>
      </c>
      <c r="E798" t="str">
        <f t="shared" si="49"/>
        <v>2023</v>
      </c>
      <c r="F798" t="s">
        <v>5</v>
      </c>
      <c r="G798" t="s">
        <v>113</v>
      </c>
      <c r="H798" t="s">
        <v>1187</v>
      </c>
      <c r="I798">
        <v>240</v>
      </c>
      <c r="J798">
        <v>26</v>
      </c>
      <c r="K798">
        <f t="shared" si="50"/>
        <v>10.833333333333334</v>
      </c>
      <c r="L798" t="s">
        <v>1739</v>
      </c>
      <c r="M798" t="s">
        <v>3785</v>
      </c>
      <c r="N798" t="s">
        <v>1</v>
      </c>
      <c r="O798">
        <v>560061</v>
      </c>
      <c r="P798" t="s">
        <v>546</v>
      </c>
      <c r="Q798" t="s">
        <v>1772</v>
      </c>
      <c r="S798">
        <v>132.79</v>
      </c>
      <c r="T798">
        <v>7</v>
      </c>
      <c r="U798">
        <v>0.1</v>
      </c>
      <c r="V798">
        <v>63.739199999999997</v>
      </c>
      <c r="W798">
        <f t="shared" si="51"/>
        <v>9.8643999999999998</v>
      </c>
      <c r="X798">
        <v>1</v>
      </c>
    </row>
    <row r="799" spans="1:24" x14ac:dyDescent="0.3">
      <c r="A799">
        <v>798</v>
      </c>
      <c r="B799" t="s">
        <v>2568</v>
      </c>
      <c r="C799" s="6">
        <v>44994</v>
      </c>
      <c r="D799" t="str">
        <f t="shared" si="48"/>
        <v>Mar</v>
      </c>
      <c r="E799" t="str">
        <f t="shared" si="49"/>
        <v>2023</v>
      </c>
      <c r="F799" t="s">
        <v>5</v>
      </c>
      <c r="G799" t="s">
        <v>113</v>
      </c>
      <c r="H799" t="s">
        <v>559</v>
      </c>
      <c r="I799">
        <v>170</v>
      </c>
      <c r="J799">
        <v>12</v>
      </c>
      <c r="K799">
        <f t="shared" si="50"/>
        <v>7.0588235294117645</v>
      </c>
      <c r="L799" t="s">
        <v>1738</v>
      </c>
      <c r="M799" t="s">
        <v>3788</v>
      </c>
      <c r="O799">
        <v>560077</v>
      </c>
      <c r="P799" t="s">
        <v>546</v>
      </c>
      <c r="Q799" t="s">
        <v>1770</v>
      </c>
      <c r="S799">
        <v>12.96</v>
      </c>
      <c r="T799">
        <v>2</v>
      </c>
      <c r="U799">
        <v>0.1</v>
      </c>
      <c r="V799">
        <v>6.2207999999999997</v>
      </c>
      <c r="W799">
        <f t="shared" si="51"/>
        <v>3.3696000000000006</v>
      </c>
      <c r="X799">
        <v>5</v>
      </c>
    </row>
    <row r="800" spans="1:24" x14ac:dyDescent="0.3">
      <c r="A800">
        <v>799</v>
      </c>
      <c r="B800" t="s">
        <v>2569</v>
      </c>
      <c r="C800" s="6">
        <v>44995</v>
      </c>
      <c r="D800" t="str">
        <f t="shared" si="48"/>
        <v>Mar</v>
      </c>
      <c r="E800" t="str">
        <f t="shared" si="49"/>
        <v>2023</v>
      </c>
      <c r="F800" t="s">
        <v>5</v>
      </c>
      <c r="G800" t="s">
        <v>113</v>
      </c>
      <c r="H800" t="s">
        <v>1188</v>
      </c>
      <c r="I800">
        <v>150</v>
      </c>
      <c r="J800">
        <v>10</v>
      </c>
      <c r="K800">
        <f t="shared" si="50"/>
        <v>6.666666666666667</v>
      </c>
      <c r="L800" t="s">
        <v>1737</v>
      </c>
      <c r="M800" t="s">
        <v>3768</v>
      </c>
      <c r="N800" t="s">
        <v>1</v>
      </c>
      <c r="O800">
        <v>482001</v>
      </c>
      <c r="P800" t="s">
        <v>546</v>
      </c>
      <c r="Q800" t="s">
        <v>1755</v>
      </c>
      <c r="R800" t="s">
        <v>2</v>
      </c>
      <c r="S800">
        <v>21.56</v>
      </c>
      <c r="T800">
        <v>7</v>
      </c>
      <c r="U800">
        <v>0.1</v>
      </c>
      <c r="V800">
        <v>10.348800000000001</v>
      </c>
      <c r="W800">
        <f t="shared" si="51"/>
        <v>1.6015999999999997</v>
      </c>
      <c r="X800">
        <v>1</v>
      </c>
    </row>
    <row r="801" spans="1:24" x14ac:dyDescent="0.3">
      <c r="A801">
        <v>800</v>
      </c>
      <c r="B801" t="s">
        <v>2570</v>
      </c>
      <c r="C801" s="6">
        <v>44996</v>
      </c>
      <c r="D801" t="str">
        <f t="shared" si="48"/>
        <v>Mar</v>
      </c>
      <c r="E801" t="str">
        <f t="shared" si="49"/>
        <v>2023</v>
      </c>
      <c r="F801" t="s">
        <v>4</v>
      </c>
      <c r="G801" t="s">
        <v>310</v>
      </c>
      <c r="H801" t="s">
        <v>1021</v>
      </c>
      <c r="I801">
        <v>110</v>
      </c>
      <c r="J801">
        <v>10</v>
      </c>
      <c r="K801">
        <f t="shared" si="50"/>
        <v>9.0909090909090917</v>
      </c>
      <c r="L801" t="s">
        <v>1743</v>
      </c>
      <c r="M801" t="s">
        <v>3769</v>
      </c>
      <c r="N801" t="s">
        <v>1</v>
      </c>
      <c r="O801">
        <v>751003</v>
      </c>
      <c r="P801" t="s">
        <v>546</v>
      </c>
      <c r="Q801" t="s">
        <v>1766</v>
      </c>
      <c r="R801" t="s">
        <v>2</v>
      </c>
      <c r="S801">
        <v>283.92</v>
      </c>
      <c r="T801">
        <v>5</v>
      </c>
      <c r="U801">
        <v>0.2</v>
      </c>
      <c r="V801">
        <v>17.745000000000001</v>
      </c>
      <c r="W801">
        <f t="shared" si="51"/>
        <v>53.234999999999999</v>
      </c>
      <c r="X801">
        <v>5</v>
      </c>
    </row>
    <row r="802" spans="1:24" x14ac:dyDescent="0.3">
      <c r="A802">
        <v>801</v>
      </c>
      <c r="B802" t="s">
        <v>2571</v>
      </c>
      <c r="C802" s="6">
        <v>44997</v>
      </c>
      <c r="D802" t="str">
        <f t="shared" si="48"/>
        <v>Mar</v>
      </c>
      <c r="E802" t="str">
        <f t="shared" si="49"/>
        <v>2023</v>
      </c>
      <c r="F802" t="s">
        <v>5</v>
      </c>
      <c r="G802" t="s">
        <v>311</v>
      </c>
      <c r="H802" t="s">
        <v>1189</v>
      </c>
      <c r="I802">
        <v>210</v>
      </c>
      <c r="J802">
        <v>18</v>
      </c>
      <c r="K802">
        <f t="shared" si="50"/>
        <v>8.5714285714285712</v>
      </c>
      <c r="L802" t="s">
        <v>1738</v>
      </c>
      <c r="M802" t="s">
        <v>3770</v>
      </c>
      <c r="N802" t="s">
        <v>1</v>
      </c>
      <c r="O802">
        <v>590006</v>
      </c>
      <c r="P802" t="s">
        <v>546</v>
      </c>
      <c r="Q802" t="s">
        <v>1761</v>
      </c>
      <c r="S802">
        <v>22.23</v>
      </c>
      <c r="T802">
        <v>1</v>
      </c>
      <c r="U802">
        <v>0.1</v>
      </c>
      <c r="V802">
        <v>7.3358999999999996</v>
      </c>
      <c r="W802">
        <f t="shared" si="51"/>
        <v>14.894100000000002</v>
      </c>
      <c r="X802">
        <v>3</v>
      </c>
    </row>
    <row r="803" spans="1:24" x14ac:dyDescent="0.3">
      <c r="A803">
        <v>802</v>
      </c>
      <c r="B803" t="s">
        <v>2572</v>
      </c>
      <c r="C803" s="6">
        <v>44998</v>
      </c>
      <c r="D803" t="str">
        <f t="shared" si="48"/>
        <v>Mar</v>
      </c>
      <c r="E803" t="str">
        <f t="shared" si="49"/>
        <v>2023</v>
      </c>
      <c r="F803" t="s">
        <v>5</v>
      </c>
      <c r="G803" t="s">
        <v>311</v>
      </c>
      <c r="H803" t="s">
        <v>780</v>
      </c>
      <c r="I803">
        <v>170</v>
      </c>
      <c r="J803">
        <v>6</v>
      </c>
      <c r="K803">
        <f t="shared" si="50"/>
        <v>3.5294117647058822</v>
      </c>
      <c r="L803" t="s">
        <v>1739</v>
      </c>
      <c r="M803" t="s">
        <v>3771</v>
      </c>
      <c r="N803" t="s">
        <v>1</v>
      </c>
      <c r="O803">
        <v>560040</v>
      </c>
      <c r="P803" t="s">
        <v>546</v>
      </c>
      <c r="Q803" t="s">
        <v>1756</v>
      </c>
      <c r="R803" t="s">
        <v>2</v>
      </c>
      <c r="S803">
        <v>215.96799999999999</v>
      </c>
      <c r="T803">
        <v>2</v>
      </c>
      <c r="U803">
        <v>0.2</v>
      </c>
      <c r="V803">
        <v>18.897200000000002</v>
      </c>
      <c r="W803">
        <f t="shared" si="51"/>
        <v>98.535399999999996</v>
      </c>
      <c r="X803">
        <v>1</v>
      </c>
    </row>
    <row r="804" spans="1:24" x14ac:dyDescent="0.3">
      <c r="A804">
        <v>803</v>
      </c>
      <c r="B804" t="s">
        <v>2573</v>
      </c>
      <c r="C804" s="6">
        <v>44999</v>
      </c>
      <c r="D804" t="str">
        <f t="shared" si="48"/>
        <v>Mar</v>
      </c>
      <c r="E804" t="str">
        <f t="shared" si="49"/>
        <v>2023</v>
      </c>
      <c r="F804" t="s">
        <v>3</v>
      </c>
      <c r="G804" t="s">
        <v>311</v>
      </c>
      <c r="H804" t="s">
        <v>1190</v>
      </c>
      <c r="I804">
        <v>130</v>
      </c>
      <c r="J804">
        <v>26</v>
      </c>
      <c r="K804">
        <f t="shared" si="50"/>
        <v>20</v>
      </c>
      <c r="L804" t="s">
        <v>1741</v>
      </c>
      <c r="M804" t="s">
        <v>3796</v>
      </c>
      <c r="N804" t="s">
        <v>1</v>
      </c>
      <c r="O804">
        <v>400028</v>
      </c>
      <c r="P804" t="s">
        <v>546</v>
      </c>
      <c r="Q804" t="s">
        <v>1765</v>
      </c>
      <c r="R804" t="s">
        <v>2</v>
      </c>
      <c r="S804">
        <v>355.32</v>
      </c>
      <c r="T804">
        <v>9</v>
      </c>
      <c r="U804">
        <v>0.1</v>
      </c>
      <c r="V804">
        <v>99.489599999999996</v>
      </c>
      <c r="W804">
        <f t="shared" si="51"/>
        <v>28.425599999999999</v>
      </c>
      <c r="X804">
        <v>3</v>
      </c>
    </row>
    <row r="805" spans="1:24" x14ac:dyDescent="0.3">
      <c r="A805">
        <v>804</v>
      </c>
      <c r="B805" t="s">
        <v>2574</v>
      </c>
      <c r="C805" s="6">
        <v>45000</v>
      </c>
      <c r="D805" t="str">
        <f t="shared" si="48"/>
        <v>Mar</v>
      </c>
      <c r="E805" t="str">
        <f t="shared" si="49"/>
        <v>2023</v>
      </c>
      <c r="F805" t="s">
        <v>4</v>
      </c>
      <c r="G805" t="s">
        <v>312</v>
      </c>
      <c r="H805" t="s">
        <v>1191</v>
      </c>
      <c r="I805">
        <v>110</v>
      </c>
      <c r="J805">
        <v>18</v>
      </c>
      <c r="K805">
        <f t="shared" si="50"/>
        <v>16.363636363636363</v>
      </c>
      <c r="L805" t="s">
        <v>1736</v>
      </c>
      <c r="M805" t="s">
        <v>3773</v>
      </c>
      <c r="N805" t="s">
        <v>1</v>
      </c>
      <c r="O805">
        <v>600017</v>
      </c>
      <c r="P805" t="s">
        <v>546</v>
      </c>
      <c r="Q805" t="s">
        <v>1755</v>
      </c>
      <c r="S805">
        <v>12.96</v>
      </c>
      <c r="T805">
        <v>2</v>
      </c>
      <c r="U805">
        <v>0.1</v>
      </c>
      <c r="V805">
        <v>6.2207999999999997</v>
      </c>
      <c r="W805">
        <f t="shared" si="51"/>
        <v>3.3696000000000006</v>
      </c>
      <c r="X805">
        <v>4</v>
      </c>
    </row>
    <row r="806" spans="1:24" x14ac:dyDescent="0.3">
      <c r="A806">
        <v>805</v>
      </c>
      <c r="B806" t="s">
        <v>2575</v>
      </c>
      <c r="C806" s="6">
        <v>45001</v>
      </c>
      <c r="D806" t="str">
        <f t="shared" si="48"/>
        <v>Mar</v>
      </c>
      <c r="E806" t="str">
        <f t="shared" si="49"/>
        <v>2023</v>
      </c>
      <c r="F806" t="s">
        <v>5</v>
      </c>
      <c r="G806" t="s">
        <v>313</v>
      </c>
      <c r="H806" t="s">
        <v>1192</v>
      </c>
      <c r="I806">
        <v>180</v>
      </c>
      <c r="J806">
        <v>28</v>
      </c>
      <c r="K806">
        <f t="shared" si="50"/>
        <v>15.555555555555555</v>
      </c>
      <c r="L806" t="s">
        <v>1744</v>
      </c>
      <c r="M806" t="s">
        <v>3774</v>
      </c>
      <c r="N806" t="s">
        <v>1</v>
      </c>
      <c r="O806">
        <v>411060</v>
      </c>
      <c r="P806" t="s">
        <v>546</v>
      </c>
      <c r="Q806" t="s">
        <v>1759</v>
      </c>
      <c r="S806">
        <v>18.28</v>
      </c>
      <c r="T806">
        <v>2</v>
      </c>
      <c r="U806">
        <v>0.1</v>
      </c>
      <c r="V806">
        <v>6.2152000000000003</v>
      </c>
      <c r="W806">
        <f t="shared" si="51"/>
        <v>6.0324000000000009</v>
      </c>
      <c r="X806">
        <v>2</v>
      </c>
    </row>
    <row r="807" spans="1:24" x14ac:dyDescent="0.3">
      <c r="A807">
        <v>806</v>
      </c>
      <c r="B807" t="s">
        <v>2576</v>
      </c>
      <c r="C807" s="6">
        <v>45002</v>
      </c>
      <c r="D807" t="str">
        <f t="shared" si="48"/>
        <v>Mar</v>
      </c>
      <c r="E807" t="str">
        <f t="shared" si="49"/>
        <v>2023</v>
      </c>
      <c r="F807" t="s">
        <v>4</v>
      </c>
      <c r="G807" t="s">
        <v>161</v>
      </c>
      <c r="H807" t="s">
        <v>1193</v>
      </c>
      <c r="I807">
        <v>190</v>
      </c>
      <c r="J807">
        <v>16</v>
      </c>
      <c r="K807">
        <f t="shared" si="50"/>
        <v>8.4210526315789469</v>
      </c>
      <c r="L807" t="s">
        <v>1740</v>
      </c>
      <c r="M807" t="s">
        <v>3775</v>
      </c>
      <c r="O807">
        <v>380059</v>
      </c>
      <c r="P807" t="s">
        <v>546</v>
      </c>
      <c r="Q807" t="s">
        <v>1755</v>
      </c>
      <c r="S807">
        <v>43.176000000000002</v>
      </c>
      <c r="T807">
        <v>3</v>
      </c>
      <c r="U807">
        <v>0.2</v>
      </c>
      <c r="V807">
        <v>4.3175999999999997</v>
      </c>
      <c r="W807">
        <f t="shared" si="51"/>
        <v>12.952800000000002</v>
      </c>
      <c r="X807">
        <v>5</v>
      </c>
    </row>
    <row r="808" spans="1:24" x14ac:dyDescent="0.3">
      <c r="A808">
        <v>807</v>
      </c>
      <c r="B808" t="s">
        <v>2577</v>
      </c>
      <c r="C808" s="6">
        <v>45003</v>
      </c>
      <c r="D808" t="str">
        <f t="shared" si="48"/>
        <v>Mar</v>
      </c>
      <c r="E808" t="str">
        <f t="shared" si="49"/>
        <v>2023</v>
      </c>
      <c r="F808" t="s">
        <v>4</v>
      </c>
      <c r="G808" t="s">
        <v>161</v>
      </c>
      <c r="H808" t="s">
        <v>1194</v>
      </c>
      <c r="I808">
        <v>150</v>
      </c>
      <c r="J808">
        <v>20</v>
      </c>
      <c r="K808">
        <f t="shared" si="50"/>
        <v>13.333333333333334</v>
      </c>
      <c r="L808" t="s">
        <v>1742</v>
      </c>
      <c r="M808" t="s">
        <v>3765</v>
      </c>
      <c r="N808" t="s">
        <v>1</v>
      </c>
      <c r="O808">
        <v>201014</v>
      </c>
      <c r="P808" t="s">
        <v>546</v>
      </c>
      <c r="Q808" t="s">
        <v>1759</v>
      </c>
      <c r="S808">
        <v>1983.9680000000001</v>
      </c>
      <c r="T808">
        <v>4</v>
      </c>
      <c r="U808">
        <v>0.2</v>
      </c>
      <c r="V808">
        <v>247.99600000000001</v>
      </c>
      <c r="W808">
        <f t="shared" si="51"/>
        <v>433.99299999999999</v>
      </c>
      <c r="X808">
        <v>5</v>
      </c>
    </row>
    <row r="809" spans="1:24" x14ac:dyDescent="0.3">
      <c r="A809">
        <v>808</v>
      </c>
      <c r="B809" t="s">
        <v>2578</v>
      </c>
      <c r="C809" s="6">
        <v>45004</v>
      </c>
      <c r="D809" t="str">
        <f t="shared" si="48"/>
        <v>Mar</v>
      </c>
      <c r="E809" t="str">
        <f t="shared" si="49"/>
        <v>2023</v>
      </c>
      <c r="F809" t="s">
        <v>5</v>
      </c>
      <c r="G809" t="s">
        <v>218</v>
      </c>
      <c r="H809" t="s">
        <v>925</v>
      </c>
      <c r="I809">
        <v>240</v>
      </c>
      <c r="J809">
        <v>14</v>
      </c>
      <c r="K809">
        <f t="shared" si="50"/>
        <v>5.833333333333333</v>
      </c>
      <c r="L809" t="s">
        <v>1739</v>
      </c>
      <c r="M809" t="s">
        <v>3777</v>
      </c>
      <c r="N809" t="s">
        <v>1</v>
      </c>
      <c r="O809">
        <v>785640</v>
      </c>
      <c r="P809" t="s">
        <v>546</v>
      </c>
      <c r="Q809" t="s">
        <v>1761</v>
      </c>
      <c r="S809">
        <v>28.4</v>
      </c>
      <c r="T809">
        <v>2</v>
      </c>
      <c r="U809">
        <v>0.1</v>
      </c>
      <c r="V809">
        <v>11.076000000000001</v>
      </c>
      <c r="W809">
        <f t="shared" si="51"/>
        <v>8.661999999999999</v>
      </c>
      <c r="X809">
        <v>4</v>
      </c>
    </row>
    <row r="810" spans="1:24" x14ac:dyDescent="0.3">
      <c r="A810">
        <v>809</v>
      </c>
      <c r="B810" t="s">
        <v>2579</v>
      </c>
      <c r="C810" s="6">
        <v>45005</v>
      </c>
      <c r="D810" t="str">
        <f t="shared" si="48"/>
        <v>Mar</v>
      </c>
      <c r="E810" t="str">
        <f t="shared" si="49"/>
        <v>2023</v>
      </c>
      <c r="F810" t="s">
        <v>5</v>
      </c>
      <c r="G810" t="s">
        <v>218</v>
      </c>
      <c r="H810" t="s">
        <v>1195</v>
      </c>
      <c r="I810">
        <v>160</v>
      </c>
      <c r="J810">
        <v>22</v>
      </c>
      <c r="K810">
        <f t="shared" si="50"/>
        <v>13.750000000000002</v>
      </c>
      <c r="L810" t="s">
        <v>1738</v>
      </c>
      <c r="M810" t="s">
        <v>3750</v>
      </c>
      <c r="N810" t="s">
        <v>1</v>
      </c>
      <c r="O810">
        <v>110084</v>
      </c>
      <c r="P810" t="s">
        <v>546</v>
      </c>
      <c r="Q810" t="s">
        <v>1760</v>
      </c>
      <c r="S810">
        <v>149.97</v>
      </c>
      <c r="T810">
        <v>3</v>
      </c>
      <c r="U810">
        <v>0.1</v>
      </c>
      <c r="V810">
        <v>50.989800000000002</v>
      </c>
      <c r="W810">
        <f t="shared" si="51"/>
        <v>32.993400000000001</v>
      </c>
      <c r="X810">
        <v>2</v>
      </c>
    </row>
    <row r="811" spans="1:24" x14ac:dyDescent="0.3">
      <c r="A811">
        <v>810</v>
      </c>
      <c r="B811" t="s">
        <v>2580</v>
      </c>
      <c r="C811" s="6">
        <v>45006</v>
      </c>
      <c r="D811" t="str">
        <f t="shared" si="48"/>
        <v>Mar</v>
      </c>
      <c r="E811" t="str">
        <f t="shared" si="49"/>
        <v>2023</v>
      </c>
      <c r="F811" t="s">
        <v>5</v>
      </c>
      <c r="G811" t="s">
        <v>240</v>
      </c>
      <c r="H811" t="s">
        <v>1196</v>
      </c>
      <c r="I811">
        <v>140</v>
      </c>
      <c r="J811">
        <v>30</v>
      </c>
      <c r="K811">
        <f t="shared" si="50"/>
        <v>21.428571428571427</v>
      </c>
      <c r="L811" t="s">
        <v>1737</v>
      </c>
      <c r="M811" t="s">
        <v>3835</v>
      </c>
      <c r="N811" t="s">
        <v>1</v>
      </c>
      <c r="O811">
        <v>400060</v>
      </c>
      <c r="P811" t="s">
        <v>546</v>
      </c>
      <c r="Q811" t="s">
        <v>1761</v>
      </c>
      <c r="S811">
        <v>11.52</v>
      </c>
      <c r="T811">
        <v>4</v>
      </c>
      <c r="U811">
        <v>0.1</v>
      </c>
      <c r="V811">
        <v>3.2256</v>
      </c>
      <c r="W811">
        <f t="shared" si="51"/>
        <v>2.0735999999999999</v>
      </c>
      <c r="X811">
        <v>1</v>
      </c>
    </row>
    <row r="812" spans="1:24" x14ac:dyDescent="0.3">
      <c r="A812">
        <v>811</v>
      </c>
      <c r="B812" t="s">
        <v>2581</v>
      </c>
      <c r="C812" s="6">
        <v>45007</v>
      </c>
      <c r="D812" t="str">
        <f t="shared" si="48"/>
        <v>Mar</v>
      </c>
      <c r="E812" t="str">
        <f t="shared" si="49"/>
        <v>2023</v>
      </c>
      <c r="F812" t="s">
        <v>5</v>
      </c>
      <c r="G812" t="s">
        <v>240</v>
      </c>
      <c r="H812" t="s">
        <v>804</v>
      </c>
      <c r="I812">
        <v>240</v>
      </c>
      <c r="J812">
        <v>26</v>
      </c>
      <c r="K812">
        <f t="shared" si="50"/>
        <v>10.833333333333334</v>
      </c>
      <c r="L812" t="s">
        <v>1743</v>
      </c>
      <c r="M812" t="s">
        <v>3836</v>
      </c>
      <c r="N812" t="s">
        <v>1</v>
      </c>
      <c r="O812">
        <v>400092</v>
      </c>
      <c r="P812" t="s">
        <v>546</v>
      </c>
      <c r="Q812" t="s">
        <v>1755</v>
      </c>
      <c r="S812">
        <v>1298.55</v>
      </c>
      <c r="T812">
        <v>5</v>
      </c>
      <c r="U812">
        <v>0.1</v>
      </c>
      <c r="V812">
        <v>311.65199999999999</v>
      </c>
      <c r="W812">
        <f t="shared" si="51"/>
        <v>197.37959999999998</v>
      </c>
      <c r="X812">
        <v>1</v>
      </c>
    </row>
    <row r="813" spans="1:24" x14ac:dyDescent="0.3">
      <c r="A813">
        <v>812</v>
      </c>
      <c r="B813" t="s">
        <v>2582</v>
      </c>
      <c r="C813" s="6">
        <v>45008</v>
      </c>
      <c r="D813" t="str">
        <f t="shared" si="48"/>
        <v>Mar</v>
      </c>
      <c r="E813" t="str">
        <f t="shared" si="49"/>
        <v>2023</v>
      </c>
      <c r="F813" t="s">
        <v>5</v>
      </c>
      <c r="G813" t="s">
        <v>240</v>
      </c>
      <c r="H813" t="s">
        <v>1197</v>
      </c>
      <c r="I813">
        <v>140</v>
      </c>
      <c r="J813">
        <v>30</v>
      </c>
      <c r="K813">
        <f t="shared" si="50"/>
        <v>21.428571428571427</v>
      </c>
      <c r="L813" t="s">
        <v>1738</v>
      </c>
      <c r="M813" t="s">
        <v>3795</v>
      </c>
      <c r="N813" t="s">
        <v>1</v>
      </c>
      <c r="O813">
        <v>785640</v>
      </c>
      <c r="P813" t="s">
        <v>546</v>
      </c>
      <c r="Q813" t="s">
        <v>1755</v>
      </c>
      <c r="R813" t="s">
        <v>2</v>
      </c>
      <c r="S813">
        <v>213.92</v>
      </c>
      <c r="T813">
        <v>4</v>
      </c>
      <c r="U813">
        <v>0.1</v>
      </c>
      <c r="V813">
        <v>62.036799999999999</v>
      </c>
      <c r="W813">
        <f t="shared" si="51"/>
        <v>37.970799999999997</v>
      </c>
      <c r="X813">
        <v>2</v>
      </c>
    </row>
    <row r="814" spans="1:24" x14ac:dyDescent="0.3">
      <c r="A814">
        <v>813</v>
      </c>
      <c r="B814" t="s">
        <v>2583</v>
      </c>
      <c r="C814" s="6">
        <v>45009</v>
      </c>
      <c r="D814" t="str">
        <f t="shared" si="48"/>
        <v>Mar</v>
      </c>
      <c r="E814" t="str">
        <f t="shared" si="49"/>
        <v>2023</v>
      </c>
      <c r="F814" t="s">
        <v>5</v>
      </c>
      <c r="G814" t="s">
        <v>240</v>
      </c>
      <c r="H814" t="s">
        <v>1100</v>
      </c>
      <c r="I814">
        <v>230</v>
      </c>
      <c r="J814">
        <v>10</v>
      </c>
      <c r="K814">
        <f t="shared" si="50"/>
        <v>4.3478260869565215</v>
      </c>
      <c r="L814" t="s">
        <v>1739</v>
      </c>
      <c r="M814" t="s">
        <v>3751</v>
      </c>
      <c r="N814" t="s">
        <v>1</v>
      </c>
      <c r="O814">
        <v>509001</v>
      </c>
      <c r="P814" t="s">
        <v>546</v>
      </c>
      <c r="Q814" t="s">
        <v>1775</v>
      </c>
      <c r="S814">
        <v>25.78</v>
      </c>
      <c r="T814">
        <v>2</v>
      </c>
      <c r="U814">
        <v>0.1</v>
      </c>
      <c r="V814">
        <v>2.5779999999999998</v>
      </c>
      <c r="W814">
        <f t="shared" si="51"/>
        <v>11.601000000000001</v>
      </c>
      <c r="X814">
        <v>3</v>
      </c>
    </row>
    <row r="815" spans="1:24" x14ac:dyDescent="0.3">
      <c r="A815">
        <v>814</v>
      </c>
      <c r="B815" t="s">
        <v>2584</v>
      </c>
      <c r="C815" s="6">
        <v>45010</v>
      </c>
      <c r="D815" t="str">
        <f t="shared" si="48"/>
        <v>Mar</v>
      </c>
      <c r="E815" t="str">
        <f t="shared" si="49"/>
        <v>2023</v>
      </c>
      <c r="F815" t="s">
        <v>6</v>
      </c>
      <c r="G815" t="s">
        <v>314</v>
      </c>
      <c r="H815" t="s">
        <v>1192</v>
      </c>
      <c r="I815">
        <v>100</v>
      </c>
      <c r="J815">
        <v>6</v>
      </c>
      <c r="K815">
        <f t="shared" si="50"/>
        <v>6</v>
      </c>
      <c r="L815" t="s">
        <v>1741</v>
      </c>
      <c r="M815" t="s">
        <v>3752</v>
      </c>
      <c r="N815" t="s">
        <v>1</v>
      </c>
      <c r="O815">
        <v>533103</v>
      </c>
      <c r="P815" t="s">
        <v>546</v>
      </c>
      <c r="Q815" t="s">
        <v>1758</v>
      </c>
      <c r="S815">
        <v>18.28</v>
      </c>
      <c r="T815">
        <v>2</v>
      </c>
      <c r="U815">
        <v>0.1</v>
      </c>
      <c r="V815">
        <v>6.2152000000000003</v>
      </c>
      <c r="W815">
        <f t="shared" si="51"/>
        <v>6.0324000000000009</v>
      </c>
      <c r="X815">
        <v>3</v>
      </c>
    </row>
    <row r="816" spans="1:24" x14ac:dyDescent="0.3">
      <c r="A816">
        <v>815</v>
      </c>
      <c r="B816" t="s">
        <v>2585</v>
      </c>
      <c r="C816" s="6">
        <v>45011</v>
      </c>
      <c r="D816" t="str">
        <f t="shared" si="48"/>
        <v>Mar</v>
      </c>
      <c r="E816" t="str">
        <f t="shared" si="49"/>
        <v>2023</v>
      </c>
      <c r="F816" t="s">
        <v>6</v>
      </c>
      <c r="G816" t="s">
        <v>314</v>
      </c>
      <c r="H816" t="s">
        <v>1198</v>
      </c>
      <c r="I816">
        <v>240</v>
      </c>
      <c r="J816">
        <v>14</v>
      </c>
      <c r="K816">
        <f t="shared" si="50"/>
        <v>5.833333333333333</v>
      </c>
      <c r="L816" t="s">
        <v>1736</v>
      </c>
      <c r="M816" t="s">
        <v>3753</v>
      </c>
      <c r="N816" t="s">
        <v>1</v>
      </c>
      <c r="O816">
        <v>800014</v>
      </c>
      <c r="P816" t="s">
        <v>546</v>
      </c>
      <c r="Q816" t="s">
        <v>1759</v>
      </c>
      <c r="S816">
        <v>1399.93</v>
      </c>
      <c r="T816">
        <v>7</v>
      </c>
      <c r="U816">
        <v>0.1</v>
      </c>
      <c r="V816">
        <v>601.96990000000005</v>
      </c>
      <c r="W816">
        <f t="shared" si="51"/>
        <v>113.9943</v>
      </c>
      <c r="X816">
        <v>2</v>
      </c>
    </row>
    <row r="817" spans="1:24" x14ac:dyDescent="0.3">
      <c r="A817">
        <v>816</v>
      </c>
      <c r="B817" t="s">
        <v>2586</v>
      </c>
      <c r="C817" s="6">
        <v>45012</v>
      </c>
      <c r="D817" t="str">
        <f t="shared" si="48"/>
        <v>Mar</v>
      </c>
      <c r="E817" t="str">
        <f t="shared" si="49"/>
        <v>2023</v>
      </c>
      <c r="F817" t="s">
        <v>5</v>
      </c>
      <c r="G817" t="s">
        <v>315</v>
      </c>
      <c r="H817" t="s">
        <v>727</v>
      </c>
      <c r="I817">
        <v>250</v>
      </c>
      <c r="J817">
        <v>24</v>
      </c>
      <c r="K817">
        <f t="shared" si="50"/>
        <v>9.6</v>
      </c>
      <c r="L817" t="s">
        <v>1744</v>
      </c>
      <c r="M817" t="s">
        <v>3754</v>
      </c>
      <c r="N817" t="s">
        <v>1</v>
      </c>
      <c r="O817">
        <v>400069</v>
      </c>
      <c r="P817" t="s">
        <v>546</v>
      </c>
      <c r="Q817" t="s">
        <v>1766</v>
      </c>
      <c r="S817">
        <v>51.84</v>
      </c>
      <c r="T817">
        <v>8</v>
      </c>
      <c r="U817">
        <v>0.1</v>
      </c>
      <c r="V817">
        <v>24.883199999999999</v>
      </c>
      <c r="W817">
        <f t="shared" si="51"/>
        <v>3.3696000000000006</v>
      </c>
      <c r="X817">
        <v>5</v>
      </c>
    </row>
    <row r="818" spans="1:24" x14ac:dyDescent="0.3">
      <c r="A818">
        <v>817</v>
      </c>
      <c r="B818" t="s">
        <v>2587</v>
      </c>
      <c r="C818" s="6">
        <v>45013</v>
      </c>
      <c r="D818" t="str">
        <f t="shared" si="48"/>
        <v>Mar</v>
      </c>
      <c r="E818" t="str">
        <f t="shared" si="49"/>
        <v>2023</v>
      </c>
      <c r="F818" t="s">
        <v>4</v>
      </c>
      <c r="G818" t="s">
        <v>210</v>
      </c>
      <c r="H818" t="s">
        <v>1199</v>
      </c>
      <c r="I818">
        <v>170</v>
      </c>
      <c r="J818">
        <v>26</v>
      </c>
      <c r="K818">
        <f t="shared" si="50"/>
        <v>15.294117647058824</v>
      </c>
      <c r="L818" t="s">
        <v>1740</v>
      </c>
      <c r="M818" t="s">
        <v>3755</v>
      </c>
      <c r="N818" t="s">
        <v>1</v>
      </c>
      <c r="O818">
        <v>560029</v>
      </c>
      <c r="P818" t="s">
        <v>546</v>
      </c>
      <c r="Q818" t="s">
        <v>1759</v>
      </c>
      <c r="S818">
        <v>5.3440000000000003</v>
      </c>
      <c r="T818">
        <v>1</v>
      </c>
      <c r="U818">
        <v>0.2</v>
      </c>
      <c r="V818">
        <v>1.8704000000000001</v>
      </c>
      <c r="W818">
        <f t="shared" si="51"/>
        <v>3.4736000000000002</v>
      </c>
      <c r="X818">
        <v>2</v>
      </c>
    </row>
    <row r="819" spans="1:24" x14ac:dyDescent="0.3">
      <c r="A819">
        <v>818</v>
      </c>
      <c r="B819" t="s">
        <v>2588</v>
      </c>
      <c r="C819" s="6">
        <v>45014</v>
      </c>
      <c r="D819" t="str">
        <f t="shared" si="48"/>
        <v>Mar</v>
      </c>
      <c r="E819" t="str">
        <f t="shared" si="49"/>
        <v>2023</v>
      </c>
      <c r="F819" t="s">
        <v>4</v>
      </c>
      <c r="G819" t="s">
        <v>229</v>
      </c>
      <c r="H819" t="s">
        <v>635</v>
      </c>
      <c r="I819">
        <v>180</v>
      </c>
      <c r="J819">
        <v>26</v>
      </c>
      <c r="K819">
        <f t="shared" si="50"/>
        <v>14.444444444444443</v>
      </c>
      <c r="L819" t="s">
        <v>1742</v>
      </c>
      <c r="M819" t="s">
        <v>3756</v>
      </c>
      <c r="O819">
        <v>608001</v>
      </c>
      <c r="P819" t="s">
        <v>546</v>
      </c>
      <c r="Q819" t="s">
        <v>1768</v>
      </c>
      <c r="S819">
        <v>41.472000000000001</v>
      </c>
      <c r="T819">
        <v>8</v>
      </c>
      <c r="U819">
        <v>0.2</v>
      </c>
      <c r="V819">
        <v>14.5152</v>
      </c>
      <c r="W819">
        <f t="shared" si="51"/>
        <v>3.3696000000000002</v>
      </c>
      <c r="X819">
        <v>2</v>
      </c>
    </row>
    <row r="820" spans="1:24" x14ac:dyDescent="0.3">
      <c r="A820">
        <v>819</v>
      </c>
      <c r="B820" t="s">
        <v>2589</v>
      </c>
      <c r="C820" s="6">
        <v>45015</v>
      </c>
      <c r="D820" t="str">
        <f t="shared" si="48"/>
        <v>Mar</v>
      </c>
      <c r="E820" t="str">
        <f t="shared" si="49"/>
        <v>2023</v>
      </c>
      <c r="F820" t="s">
        <v>4</v>
      </c>
      <c r="G820" t="s">
        <v>229</v>
      </c>
      <c r="H820" t="s">
        <v>1200</v>
      </c>
      <c r="I820">
        <v>130</v>
      </c>
      <c r="J820">
        <v>26</v>
      </c>
      <c r="K820">
        <f t="shared" si="50"/>
        <v>20</v>
      </c>
      <c r="L820" t="s">
        <v>1739</v>
      </c>
      <c r="M820" t="s">
        <v>3757</v>
      </c>
      <c r="N820" t="s">
        <v>1</v>
      </c>
      <c r="O820">
        <v>560017</v>
      </c>
      <c r="P820" t="s">
        <v>546</v>
      </c>
      <c r="Q820" t="s">
        <v>1760</v>
      </c>
      <c r="S820">
        <v>3.1680000000000001</v>
      </c>
      <c r="T820">
        <v>3</v>
      </c>
      <c r="U820">
        <v>0.7</v>
      </c>
      <c r="V820">
        <v>-2.4287999999999998</v>
      </c>
      <c r="W820">
        <f t="shared" si="51"/>
        <v>1.8655999999999999</v>
      </c>
      <c r="X820">
        <v>1</v>
      </c>
    </row>
    <row r="821" spans="1:24" x14ac:dyDescent="0.3">
      <c r="A821">
        <v>820</v>
      </c>
      <c r="B821" t="s">
        <v>2590</v>
      </c>
      <c r="C821" s="6">
        <v>45016</v>
      </c>
      <c r="D821" t="str">
        <f t="shared" si="48"/>
        <v>Mar</v>
      </c>
      <c r="E821" t="str">
        <f t="shared" si="49"/>
        <v>2023</v>
      </c>
      <c r="F821" t="s">
        <v>4</v>
      </c>
      <c r="G821" t="s">
        <v>229</v>
      </c>
      <c r="H821" t="s">
        <v>1201</v>
      </c>
      <c r="I821">
        <v>190</v>
      </c>
      <c r="J821">
        <v>22</v>
      </c>
      <c r="K821">
        <f t="shared" si="50"/>
        <v>11.578947368421053</v>
      </c>
      <c r="L821" t="s">
        <v>1738</v>
      </c>
      <c r="M821" t="s">
        <v>3758</v>
      </c>
      <c r="N821" t="s">
        <v>1</v>
      </c>
      <c r="O821">
        <v>400701</v>
      </c>
      <c r="P821" t="s">
        <v>546</v>
      </c>
      <c r="Q821" t="s">
        <v>1770</v>
      </c>
      <c r="R821" t="s">
        <v>2</v>
      </c>
      <c r="S821">
        <v>1228.4649999999999</v>
      </c>
      <c r="T821">
        <v>5</v>
      </c>
      <c r="U821">
        <v>0.3</v>
      </c>
      <c r="V821">
        <v>0.1</v>
      </c>
      <c r="W821">
        <f t="shared" si="51"/>
        <v>245.673</v>
      </c>
      <c r="X821">
        <v>4</v>
      </c>
    </row>
    <row r="822" spans="1:24" x14ac:dyDescent="0.3">
      <c r="A822">
        <v>821</v>
      </c>
      <c r="B822" t="s">
        <v>2591</v>
      </c>
      <c r="C822" s="6">
        <v>45017</v>
      </c>
      <c r="D822" t="str">
        <f t="shared" si="48"/>
        <v>Apr</v>
      </c>
      <c r="E822" t="str">
        <f t="shared" si="49"/>
        <v>2023</v>
      </c>
      <c r="F822" t="s">
        <v>4</v>
      </c>
      <c r="G822" t="s">
        <v>229</v>
      </c>
      <c r="H822" t="s">
        <v>1202</v>
      </c>
      <c r="I822">
        <v>240</v>
      </c>
      <c r="J822">
        <v>14</v>
      </c>
      <c r="K822">
        <f t="shared" si="50"/>
        <v>5.833333333333333</v>
      </c>
      <c r="L822" t="s">
        <v>1743</v>
      </c>
      <c r="M822" t="s">
        <v>3759</v>
      </c>
      <c r="N822" t="s">
        <v>1</v>
      </c>
      <c r="O822">
        <v>500094</v>
      </c>
      <c r="P822" t="s">
        <v>546</v>
      </c>
      <c r="Q822" t="s">
        <v>1773</v>
      </c>
      <c r="S822">
        <v>31.085999999999999</v>
      </c>
      <c r="T822">
        <v>3</v>
      </c>
      <c r="U822">
        <v>0.7</v>
      </c>
      <c r="V822">
        <v>-22.796399999999998</v>
      </c>
      <c r="W822">
        <f t="shared" si="51"/>
        <v>17.960799999999999</v>
      </c>
      <c r="X822">
        <v>5</v>
      </c>
    </row>
    <row r="823" spans="1:24" x14ac:dyDescent="0.3">
      <c r="A823">
        <v>822</v>
      </c>
      <c r="B823" t="s">
        <v>2592</v>
      </c>
      <c r="C823" s="6">
        <v>45018</v>
      </c>
      <c r="D823" t="str">
        <f t="shared" si="48"/>
        <v>Apr</v>
      </c>
      <c r="E823" t="str">
        <f t="shared" si="49"/>
        <v>2023</v>
      </c>
      <c r="F823" t="s">
        <v>4</v>
      </c>
      <c r="G823" t="s">
        <v>229</v>
      </c>
      <c r="H823" t="s">
        <v>1203</v>
      </c>
      <c r="I823">
        <v>190</v>
      </c>
      <c r="J823">
        <v>20</v>
      </c>
      <c r="K823">
        <f t="shared" si="50"/>
        <v>10.526315789473683</v>
      </c>
      <c r="L823" t="s">
        <v>1737</v>
      </c>
      <c r="M823" t="s">
        <v>3760</v>
      </c>
      <c r="N823" t="s">
        <v>1</v>
      </c>
      <c r="O823">
        <v>673506</v>
      </c>
      <c r="P823" t="s">
        <v>546</v>
      </c>
      <c r="Q823" t="s">
        <v>1759</v>
      </c>
      <c r="S823">
        <v>335.52</v>
      </c>
      <c r="T823">
        <v>4</v>
      </c>
      <c r="U823">
        <v>0.2</v>
      </c>
      <c r="V823">
        <v>117.432</v>
      </c>
      <c r="W823">
        <f t="shared" si="51"/>
        <v>54.521999999999991</v>
      </c>
      <c r="X823">
        <v>3</v>
      </c>
    </row>
    <row r="824" spans="1:24" x14ac:dyDescent="0.3">
      <c r="A824">
        <v>823</v>
      </c>
      <c r="B824" t="s">
        <v>2593</v>
      </c>
      <c r="C824" s="6">
        <v>45019</v>
      </c>
      <c r="D824" t="str">
        <f t="shared" si="48"/>
        <v>Apr</v>
      </c>
      <c r="E824" t="str">
        <f t="shared" si="49"/>
        <v>2023</v>
      </c>
      <c r="F824" t="s">
        <v>4</v>
      </c>
      <c r="G824" t="s">
        <v>316</v>
      </c>
      <c r="H824" t="s">
        <v>1204</v>
      </c>
      <c r="I824">
        <v>150</v>
      </c>
      <c r="J824">
        <v>22</v>
      </c>
      <c r="K824">
        <f t="shared" si="50"/>
        <v>14.666666666666666</v>
      </c>
      <c r="L824" t="s">
        <v>1741</v>
      </c>
      <c r="M824" t="s">
        <v>3761</v>
      </c>
      <c r="N824" t="s">
        <v>1</v>
      </c>
      <c r="O824">
        <v>721305</v>
      </c>
      <c r="P824" t="s">
        <v>546</v>
      </c>
      <c r="Q824" t="s">
        <v>1761</v>
      </c>
      <c r="S824">
        <v>239.97</v>
      </c>
      <c r="T824">
        <v>3</v>
      </c>
      <c r="U824">
        <v>0.1</v>
      </c>
      <c r="V824">
        <v>71.991</v>
      </c>
      <c r="W824">
        <f t="shared" si="51"/>
        <v>55.992999999999995</v>
      </c>
      <c r="X824">
        <v>5</v>
      </c>
    </row>
    <row r="825" spans="1:24" x14ac:dyDescent="0.3">
      <c r="A825">
        <v>824</v>
      </c>
      <c r="B825" t="s">
        <v>2594</v>
      </c>
      <c r="C825" s="6">
        <v>45020</v>
      </c>
      <c r="D825" t="str">
        <f t="shared" si="48"/>
        <v>Apr</v>
      </c>
      <c r="E825" t="str">
        <f t="shared" si="49"/>
        <v>2023</v>
      </c>
      <c r="F825" t="s">
        <v>4</v>
      </c>
      <c r="G825" t="s">
        <v>316</v>
      </c>
      <c r="H825" t="s">
        <v>1154</v>
      </c>
      <c r="I825">
        <v>250</v>
      </c>
      <c r="J825">
        <v>30</v>
      </c>
      <c r="K825">
        <f t="shared" si="50"/>
        <v>12</v>
      </c>
      <c r="L825" t="s">
        <v>1736</v>
      </c>
      <c r="M825" t="s">
        <v>3762</v>
      </c>
      <c r="N825" t="s">
        <v>1</v>
      </c>
      <c r="O825">
        <v>721305</v>
      </c>
      <c r="P825" t="s">
        <v>546</v>
      </c>
      <c r="Q825" t="s">
        <v>1767</v>
      </c>
      <c r="S825">
        <v>9.82</v>
      </c>
      <c r="T825">
        <v>2</v>
      </c>
      <c r="U825">
        <v>0.1</v>
      </c>
      <c r="V825">
        <v>4.8117999999999999</v>
      </c>
      <c r="W825">
        <f t="shared" si="51"/>
        <v>2.5041000000000002</v>
      </c>
      <c r="X825">
        <v>3</v>
      </c>
    </row>
    <row r="826" spans="1:24" x14ac:dyDescent="0.3">
      <c r="A826">
        <v>825</v>
      </c>
      <c r="B826" t="s">
        <v>2595</v>
      </c>
      <c r="C826" s="6">
        <v>45021</v>
      </c>
      <c r="D826" t="str">
        <f t="shared" si="48"/>
        <v>Apr</v>
      </c>
      <c r="E826" t="str">
        <f t="shared" si="49"/>
        <v>2023</v>
      </c>
      <c r="F826" t="s">
        <v>4</v>
      </c>
      <c r="G826" t="s">
        <v>317</v>
      </c>
      <c r="H826" t="s">
        <v>1205</v>
      </c>
      <c r="I826">
        <v>120</v>
      </c>
      <c r="J826">
        <v>24</v>
      </c>
      <c r="K826">
        <f t="shared" si="50"/>
        <v>20</v>
      </c>
      <c r="L826" t="s">
        <v>1744</v>
      </c>
      <c r="M826" t="s">
        <v>3763</v>
      </c>
      <c r="N826" t="s">
        <v>1</v>
      </c>
      <c r="O826">
        <v>721305</v>
      </c>
      <c r="P826" t="s">
        <v>546</v>
      </c>
      <c r="Q826" t="s">
        <v>1773</v>
      </c>
      <c r="S826">
        <v>67.8</v>
      </c>
      <c r="T826">
        <v>4</v>
      </c>
      <c r="U826">
        <v>0.1</v>
      </c>
      <c r="V826">
        <v>4.0679999999999996</v>
      </c>
      <c r="W826">
        <f t="shared" si="51"/>
        <v>15.933</v>
      </c>
      <c r="X826">
        <v>1</v>
      </c>
    </row>
    <row r="827" spans="1:24" x14ac:dyDescent="0.3">
      <c r="A827">
        <v>826</v>
      </c>
      <c r="B827" t="s">
        <v>2596</v>
      </c>
      <c r="C827" s="6">
        <v>45022</v>
      </c>
      <c r="D827" t="str">
        <f t="shared" si="48"/>
        <v>Apr</v>
      </c>
      <c r="E827" t="str">
        <f t="shared" si="49"/>
        <v>2023</v>
      </c>
      <c r="F827" t="s">
        <v>4</v>
      </c>
      <c r="G827" t="s">
        <v>317</v>
      </c>
      <c r="H827" t="s">
        <v>748</v>
      </c>
      <c r="I827">
        <v>250</v>
      </c>
      <c r="J827">
        <v>8</v>
      </c>
      <c r="K827">
        <f t="shared" si="50"/>
        <v>3.2</v>
      </c>
      <c r="L827" t="s">
        <v>1740</v>
      </c>
      <c r="M827" t="s">
        <v>3764</v>
      </c>
      <c r="N827" t="s">
        <v>1</v>
      </c>
      <c r="O827">
        <v>411017</v>
      </c>
      <c r="P827" t="s">
        <v>546</v>
      </c>
      <c r="Q827" t="s">
        <v>1756</v>
      </c>
      <c r="S827">
        <v>167.97</v>
      </c>
      <c r="T827">
        <v>3</v>
      </c>
      <c r="U827">
        <v>0.1</v>
      </c>
      <c r="V827">
        <v>40.312800000000003</v>
      </c>
      <c r="W827">
        <f t="shared" si="51"/>
        <v>42.552399999999999</v>
      </c>
      <c r="X827">
        <v>2</v>
      </c>
    </row>
    <row r="828" spans="1:24" x14ac:dyDescent="0.3">
      <c r="A828">
        <v>827</v>
      </c>
      <c r="B828" t="s">
        <v>2597</v>
      </c>
      <c r="C828" s="6">
        <v>45023</v>
      </c>
      <c r="D828" t="str">
        <f t="shared" si="48"/>
        <v>Apr</v>
      </c>
      <c r="E828" t="str">
        <f t="shared" si="49"/>
        <v>2023</v>
      </c>
      <c r="F828" t="s">
        <v>4</v>
      </c>
      <c r="G828" t="s">
        <v>225</v>
      </c>
      <c r="H828" t="s">
        <v>1206</v>
      </c>
      <c r="I828">
        <v>120</v>
      </c>
      <c r="J828">
        <v>18</v>
      </c>
      <c r="K828">
        <f t="shared" si="50"/>
        <v>15</v>
      </c>
      <c r="L828" t="s">
        <v>1742</v>
      </c>
      <c r="M828" t="s">
        <v>3765</v>
      </c>
      <c r="N828" t="s">
        <v>1</v>
      </c>
      <c r="O828">
        <v>700041</v>
      </c>
      <c r="P828" t="s">
        <v>546</v>
      </c>
      <c r="Q828" t="s">
        <v>1773</v>
      </c>
      <c r="R828" t="s">
        <v>2</v>
      </c>
      <c r="S828">
        <v>35</v>
      </c>
      <c r="T828">
        <v>7</v>
      </c>
      <c r="U828">
        <v>0.1</v>
      </c>
      <c r="V828">
        <v>16.8</v>
      </c>
      <c r="W828">
        <f t="shared" si="51"/>
        <v>2.6</v>
      </c>
      <c r="X828">
        <v>4</v>
      </c>
    </row>
    <row r="829" spans="1:24" x14ac:dyDescent="0.3">
      <c r="A829">
        <v>828</v>
      </c>
      <c r="B829" t="s">
        <v>2598</v>
      </c>
      <c r="C829" s="6">
        <v>45024</v>
      </c>
      <c r="D829" t="str">
        <f t="shared" si="48"/>
        <v>Apr</v>
      </c>
      <c r="E829" t="str">
        <f t="shared" si="49"/>
        <v>2023</v>
      </c>
      <c r="F829" t="s">
        <v>4</v>
      </c>
      <c r="G829" t="s">
        <v>225</v>
      </c>
      <c r="H829" t="s">
        <v>1207</v>
      </c>
      <c r="I829">
        <v>160</v>
      </c>
      <c r="J829">
        <v>24</v>
      </c>
      <c r="K829">
        <f t="shared" si="50"/>
        <v>15</v>
      </c>
      <c r="L829" t="s">
        <v>1739</v>
      </c>
      <c r="M829" t="s">
        <v>3766</v>
      </c>
      <c r="N829" t="s">
        <v>1</v>
      </c>
      <c r="O829">
        <v>683110</v>
      </c>
      <c r="P829" t="s">
        <v>546</v>
      </c>
      <c r="Q829" t="s">
        <v>1767</v>
      </c>
      <c r="S829">
        <v>37.24</v>
      </c>
      <c r="T829">
        <v>4</v>
      </c>
      <c r="U829">
        <v>0.1</v>
      </c>
      <c r="V829">
        <v>10.7996</v>
      </c>
      <c r="W829">
        <f t="shared" si="51"/>
        <v>6.610100000000001</v>
      </c>
      <c r="X829">
        <v>4</v>
      </c>
    </row>
    <row r="830" spans="1:24" x14ac:dyDescent="0.3">
      <c r="A830">
        <v>829</v>
      </c>
      <c r="B830" t="s">
        <v>2599</v>
      </c>
      <c r="C830" s="6">
        <v>45025</v>
      </c>
      <c r="D830" t="str">
        <f t="shared" si="48"/>
        <v>Apr</v>
      </c>
      <c r="E830" t="str">
        <f t="shared" si="49"/>
        <v>2023</v>
      </c>
      <c r="F830" t="s">
        <v>4</v>
      </c>
      <c r="G830" t="s">
        <v>225</v>
      </c>
      <c r="H830" t="s">
        <v>1208</v>
      </c>
      <c r="I830">
        <v>250</v>
      </c>
      <c r="J830">
        <v>8</v>
      </c>
      <c r="K830">
        <f t="shared" si="50"/>
        <v>3.2</v>
      </c>
      <c r="L830" t="s">
        <v>1738</v>
      </c>
      <c r="M830" t="s">
        <v>3767</v>
      </c>
      <c r="N830" t="s">
        <v>1</v>
      </c>
      <c r="O830">
        <v>641034</v>
      </c>
      <c r="P830" t="s">
        <v>546</v>
      </c>
      <c r="Q830" t="s">
        <v>1769</v>
      </c>
      <c r="S830">
        <v>15.28</v>
      </c>
      <c r="T830">
        <v>2</v>
      </c>
      <c r="U830">
        <v>0.1</v>
      </c>
      <c r="V830">
        <v>7.4871999999999996</v>
      </c>
      <c r="W830">
        <f t="shared" si="51"/>
        <v>3.8963999999999999</v>
      </c>
      <c r="X830">
        <v>5</v>
      </c>
    </row>
    <row r="831" spans="1:24" x14ac:dyDescent="0.3">
      <c r="A831">
        <v>830</v>
      </c>
      <c r="B831" t="s">
        <v>2600</v>
      </c>
      <c r="C831" s="6">
        <v>45026</v>
      </c>
      <c r="D831" t="str">
        <f t="shared" si="48"/>
        <v>Apr</v>
      </c>
      <c r="E831" t="str">
        <f t="shared" si="49"/>
        <v>2023</v>
      </c>
      <c r="F831" t="s">
        <v>3</v>
      </c>
      <c r="G831" t="s">
        <v>39</v>
      </c>
      <c r="H831" t="s">
        <v>1209</v>
      </c>
      <c r="I831">
        <v>110</v>
      </c>
      <c r="J831">
        <v>16</v>
      </c>
      <c r="K831">
        <f t="shared" si="50"/>
        <v>14.545454545454545</v>
      </c>
      <c r="L831" t="s">
        <v>1737</v>
      </c>
      <c r="M831" t="s">
        <v>3768</v>
      </c>
      <c r="N831" t="s">
        <v>1</v>
      </c>
      <c r="O831">
        <v>533005</v>
      </c>
      <c r="P831" t="s">
        <v>546</v>
      </c>
      <c r="Q831" t="s">
        <v>1759</v>
      </c>
      <c r="R831" t="s">
        <v>2</v>
      </c>
      <c r="S831">
        <v>301.95999999999998</v>
      </c>
      <c r="T831">
        <v>2</v>
      </c>
      <c r="U831">
        <v>0.1</v>
      </c>
      <c r="V831">
        <v>90.587999999999994</v>
      </c>
      <c r="W831">
        <f t="shared" si="51"/>
        <v>105.68599999999999</v>
      </c>
      <c r="X831">
        <v>4</v>
      </c>
    </row>
    <row r="832" spans="1:24" x14ac:dyDescent="0.3">
      <c r="A832">
        <v>831</v>
      </c>
      <c r="B832" t="s">
        <v>2601</v>
      </c>
      <c r="C832" s="6">
        <v>45027</v>
      </c>
      <c r="D832" t="str">
        <f t="shared" si="48"/>
        <v>Apr</v>
      </c>
      <c r="E832" t="str">
        <f t="shared" si="49"/>
        <v>2023</v>
      </c>
      <c r="F832" t="s">
        <v>3</v>
      </c>
      <c r="G832" t="s">
        <v>39</v>
      </c>
      <c r="H832" t="s">
        <v>1210</v>
      </c>
      <c r="I832">
        <v>170</v>
      </c>
      <c r="J832">
        <v>16</v>
      </c>
      <c r="K832">
        <f t="shared" si="50"/>
        <v>9.4117647058823533</v>
      </c>
      <c r="L832" t="s">
        <v>1743</v>
      </c>
      <c r="M832" t="s">
        <v>3769</v>
      </c>
      <c r="N832" t="s">
        <v>1</v>
      </c>
      <c r="O832">
        <v>500018</v>
      </c>
      <c r="P832" t="s">
        <v>546</v>
      </c>
      <c r="Q832" t="s">
        <v>1755</v>
      </c>
      <c r="S832">
        <v>180.66</v>
      </c>
      <c r="T832">
        <v>3</v>
      </c>
      <c r="U832">
        <v>0.1</v>
      </c>
      <c r="V832">
        <v>50.584800000000001</v>
      </c>
      <c r="W832">
        <f t="shared" si="51"/>
        <v>43.358399999999996</v>
      </c>
      <c r="X832">
        <v>2</v>
      </c>
    </row>
    <row r="833" spans="1:24" x14ac:dyDescent="0.3">
      <c r="A833">
        <v>832</v>
      </c>
      <c r="B833" t="s">
        <v>2602</v>
      </c>
      <c r="C833" s="6">
        <v>45028</v>
      </c>
      <c r="D833" t="str">
        <f t="shared" si="48"/>
        <v>Apr</v>
      </c>
      <c r="E833" t="str">
        <f t="shared" si="49"/>
        <v>2023</v>
      </c>
      <c r="F833" t="s">
        <v>3</v>
      </c>
      <c r="G833" t="s">
        <v>39</v>
      </c>
      <c r="H833" t="s">
        <v>1211</v>
      </c>
      <c r="I833">
        <v>150</v>
      </c>
      <c r="J833">
        <v>24</v>
      </c>
      <c r="K833">
        <f t="shared" si="50"/>
        <v>16</v>
      </c>
      <c r="L833" t="s">
        <v>1738</v>
      </c>
      <c r="M833" t="s">
        <v>3770</v>
      </c>
      <c r="N833" t="s">
        <v>1</v>
      </c>
      <c r="O833">
        <v>614901</v>
      </c>
      <c r="P833" t="s">
        <v>546</v>
      </c>
      <c r="Q833" t="s">
        <v>1760</v>
      </c>
      <c r="S833">
        <v>191.98</v>
      </c>
      <c r="T833">
        <v>2</v>
      </c>
      <c r="U833">
        <v>0.1</v>
      </c>
      <c r="V833">
        <v>51.834600000000002</v>
      </c>
      <c r="W833">
        <f t="shared" si="51"/>
        <v>70.072699999999998</v>
      </c>
      <c r="X833">
        <v>3</v>
      </c>
    </row>
    <row r="834" spans="1:24" x14ac:dyDescent="0.3">
      <c r="A834">
        <v>833</v>
      </c>
      <c r="B834" t="s">
        <v>2603</v>
      </c>
      <c r="C834" s="6">
        <v>45029</v>
      </c>
      <c r="D834" t="str">
        <f t="shared" si="48"/>
        <v>Apr</v>
      </c>
      <c r="E834" t="str">
        <f t="shared" si="49"/>
        <v>2023</v>
      </c>
      <c r="F834" t="s">
        <v>3</v>
      </c>
      <c r="G834" t="s">
        <v>39</v>
      </c>
      <c r="H834" t="s">
        <v>1212</v>
      </c>
      <c r="I834">
        <v>190</v>
      </c>
      <c r="J834">
        <v>28</v>
      </c>
      <c r="K834">
        <f t="shared" si="50"/>
        <v>14.736842105263156</v>
      </c>
      <c r="L834" t="s">
        <v>1739</v>
      </c>
      <c r="M834" t="s">
        <v>3771</v>
      </c>
      <c r="N834" t="s">
        <v>1</v>
      </c>
      <c r="O834">
        <v>600002</v>
      </c>
      <c r="P834" t="s">
        <v>546</v>
      </c>
      <c r="Q834" t="s">
        <v>1755</v>
      </c>
      <c r="S834">
        <v>65.989999999999995</v>
      </c>
      <c r="T834">
        <v>1</v>
      </c>
      <c r="U834">
        <v>0.1</v>
      </c>
      <c r="V834">
        <v>17.157399999999999</v>
      </c>
      <c r="W834">
        <f t="shared" si="51"/>
        <v>48.832599999999999</v>
      </c>
      <c r="X834">
        <v>3</v>
      </c>
    </row>
    <row r="835" spans="1:24" x14ac:dyDescent="0.3">
      <c r="A835">
        <v>834</v>
      </c>
      <c r="B835" t="s">
        <v>2604</v>
      </c>
      <c r="C835" s="6">
        <v>45030</v>
      </c>
      <c r="D835" t="str">
        <f t="shared" ref="D835:D898" si="52">TEXT(C835,"Mmm")</f>
        <v>Apr</v>
      </c>
      <c r="E835" t="str">
        <f t="shared" ref="E835:E898" si="53">TEXT(C835,"YYYY")</f>
        <v>2023</v>
      </c>
      <c r="F835" t="s">
        <v>4</v>
      </c>
      <c r="G835" t="s">
        <v>87</v>
      </c>
      <c r="H835" t="s">
        <v>1213</v>
      </c>
      <c r="I835">
        <v>140</v>
      </c>
      <c r="J835">
        <v>24</v>
      </c>
      <c r="K835">
        <f t="shared" ref="K835:K898" si="54">(J835/I835)*100</f>
        <v>17.142857142857142</v>
      </c>
      <c r="L835" t="s">
        <v>1741</v>
      </c>
      <c r="M835" t="s">
        <v>3772</v>
      </c>
      <c r="N835" t="s">
        <v>1</v>
      </c>
      <c r="O835">
        <v>226026</v>
      </c>
      <c r="P835" t="s">
        <v>546</v>
      </c>
      <c r="Q835" t="s">
        <v>1769</v>
      </c>
      <c r="S835">
        <v>35.216000000000001</v>
      </c>
      <c r="T835">
        <v>2</v>
      </c>
      <c r="U835">
        <v>0.2</v>
      </c>
      <c r="V835">
        <v>2.6412</v>
      </c>
      <c r="W835">
        <f t="shared" ref="W835:W898" si="55">(S835-V835)/T835</f>
        <v>16.287400000000002</v>
      </c>
      <c r="X835">
        <v>1</v>
      </c>
    </row>
    <row r="836" spans="1:24" x14ac:dyDescent="0.3">
      <c r="A836">
        <v>835</v>
      </c>
      <c r="B836" t="s">
        <v>2605</v>
      </c>
      <c r="C836" s="6">
        <v>45031</v>
      </c>
      <c r="D836" t="str">
        <f t="shared" si="52"/>
        <v>Apr</v>
      </c>
      <c r="E836" t="str">
        <f t="shared" si="53"/>
        <v>2023</v>
      </c>
      <c r="F836" t="s">
        <v>4</v>
      </c>
      <c r="G836" t="s">
        <v>87</v>
      </c>
      <c r="H836" t="s">
        <v>1214</v>
      </c>
      <c r="I836">
        <v>250</v>
      </c>
      <c r="J836">
        <v>26</v>
      </c>
      <c r="K836">
        <f t="shared" si="54"/>
        <v>10.4</v>
      </c>
      <c r="L836" t="s">
        <v>1736</v>
      </c>
      <c r="M836" t="s">
        <v>3773</v>
      </c>
      <c r="N836" t="s">
        <v>1</v>
      </c>
      <c r="O836">
        <v>400607</v>
      </c>
      <c r="P836" t="s">
        <v>546</v>
      </c>
      <c r="Q836" t="s">
        <v>1772</v>
      </c>
      <c r="S836">
        <v>23.696000000000002</v>
      </c>
      <c r="T836">
        <v>2</v>
      </c>
      <c r="U836">
        <v>0.2</v>
      </c>
      <c r="V836">
        <v>6.5164</v>
      </c>
      <c r="W836">
        <f t="shared" si="55"/>
        <v>8.5898000000000003</v>
      </c>
      <c r="X836">
        <v>2</v>
      </c>
    </row>
    <row r="837" spans="1:24" x14ac:dyDescent="0.3">
      <c r="A837">
        <v>836</v>
      </c>
      <c r="B837" t="s">
        <v>2606</v>
      </c>
      <c r="C837" s="6">
        <v>45032</v>
      </c>
      <c r="D837" t="str">
        <f t="shared" si="52"/>
        <v>Apr</v>
      </c>
      <c r="E837" t="str">
        <f t="shared" si="53"/>
        <v>2023</v>
      </c>
      <c r="F837" t="s">
        <v>4</v>
      </c>
      <c r="G837" t="s">
        <v>87</v>
      </c>
      <c r="H837" t="s">
        <v>1215</v>
      </c>
      <c r="I837">
        <v>190</v>
      </c>
      <c r="J837">
        <v>6</v>
      </c>
      <c r="K837">
        <f t="shared" si="54"/>
        <v>3.1578947368421053</v>
      </c>
      <c r="L837" t="s">
        <v>1744</v>
      </c>
      <c r="M837" t="s">
        <v>3774</v>
      </c>
      <c r="O837">
        <v>400066</v>
      </c>
      <c r="P837" t="s">
        <v>546</v>
      </c>
      <c r="Q837" t="s">
        <v>1767</v>
      </c>
      <c r="S837">
        <v>265.47500000000002</v>
      </c>
      <c r="T837">
        <v>1</v>
      </c>
      <c r="U837">
        <v>0.5</v>
      </c>
      <c r="V837">
        <v>-111.4995</v>
      </c>
      <c r="W837">
        <f t="shared" si="55"/>
        <v>376.97450000000003</v>
      </c>
      <c r="X837">
        <v>4</v>
      </c>
    </row>
    <row r="838" spans="1:24" x14ac:dyDescent="0.3">
      <c r="A838">
        <v>837</v>
      </c>
      <c r="B838" t="s">
        <v>2607</v>
      </c>
      <c r="C838" s="6">
        <v>45033</v>
      </c>
      <c r="D838" t="str">
        <f t="shared" si="52"/>
        <v>Apr</v>
      </c>
      <c r="E838" t="str">
        <f t="shared" si="53"/>
        <v>2023</v>
      </c>
      <c r="F838" t="s">
        <v>3</v>
      </c>
      <c r="G838" t="s">
        <v>300</v>
      </c>
      <c r="H838" t="s">
        <v>1216</v>
      </c>
      <c r="I838">
        <v>120</v>
      </c>
      <c r="J838">
        <v>8</v>
      </c>
      <c r="K838">
        <f t="shared" si="54"/>
        <v>6.666666666666667</v>
      </c>
      <c r="L838" t="s">
        <v>1740</v>
      </c>
      <c r="M838" t="s">
        <v>3775</v>
      </c>
      <c r="N838" t="s">
        <v>1</v>
      </c>
      <c r="O838">
        <v>500018</v>
      </c>
      <c r="P838" t="s">
        <v>546</v>
      </c>
      <c r="Q838" t="s">
        <v>1763</v>
      </c>
      <c r="R838" t="s">
        <v>2</v>
      </c>
      <c r="S838">
        <v>51.183999999999997</v>
      </c>
      <c r="T838">
        <v>4</v>
      </c>
      <c r="U838">
        <v>0.8</v>
      </c>
      <c r="V838">
        <v>-79.3352</v>
      </c>
      <c r="W838">
        <f t="shared" si="55"/>
        <v>32.629800000000003</v>
      </c>
      <c r="X838">
        <v>4</v>
      </c>
    </row>
    <row r="839" spans="1:24" x14ac:dyDescent="0.3">
      <c r="A839">
        <v>838</v>
      </c>
      <c r="B839" t="s">
        <v>2608</v>
      </c>
      <c r="C839" s="6">
        <v>45034</v>
      </c>
      <c r="D839" t="str">
        <f t="shared" si="52"/>
        <v>Apr</v>
      </c>
      <c r="E839" t="str">
        <f t="shared" si="53"/>
        <v>2023</v>
      </c>
      <c r="F839" t="s">
        <v>4</v>
      </c>
      <c r="G839" t="s">
        <v>318</v>
      </c>
      <c r="H839" t="s">
        <v>1217</v>
      </c>
      <c r="I839">
        <v>220</v>
      </c>
      <c r="J839">
        <v>10</v>
      </c>
      <c r="K839">
        <f t="shared" si="54"/>
        <v>4.5454545454545459</v>
      </c>
      <c r="L839" t="s">
        <v>1742</v>
      </c>
      <c r="M839" t="s">
        <v>3776</v>
      </c>
      <c r="N839" t="s">
        <v>1</v>
      </c>
      <c r="O839">
        <v>500018</v>
      </c>
      <c r="P839" t="s">
        <v>546</v>
      </c>
      <c r="Q839" t="s">
        <v>1774</v>
      </c>
      <c r="S839">
        <v>9.6639999999999997</v>
      </c>
      <c r="T839">
        <v>2</v>
      </c>
      <c r="U839">
        <v>0.2</v>
      </c>
      <c r="V839">
        <v>3.2616000000000001</v>
      </c>
      <c r="W839">
        <f t="shared" si="55"/>
        <v>3.2012</v>
      </c>
      <c r="X839">
        <v>5</v>
      </c>
    </row>
    <row r="840" spans="1:24" x14ac:dyDescent="0.3">
      <c r="A840">
        <v>839</v>
      </c>
      <c r="B840" t="s">
        <v>2609</v>
      </c>
      <c r="C840" s="6">
        <v>45035</v>
      </c>
      <c r="D840" t="str">
        <f t="shared" si="52"/>
        <v>Apr</v>
      </c>
      <c r="E840" t="str">
        <f t="shared" si="53"/>
        <v>2023</v>
      </c>
      <c r="F840" t="s">
        <v>4</v>
      </c>
      <c r="G840" t="s">
        <v>189</v>
      </c>
      <c r="H840" t="s">
        <v>949</v>
      </c>
      <c r="I840">
        <v>210</v>
      </c>
      <c r="J840">
        <v>8</v>
      </c>
      <c r="K840">
        <f t="shared" si="54"/>
        <v>3.8095238095238098</v>
      </c>
      <c r="L840" t="s">
        <v>1739</v>
      </c>
      <c r="M840" t="s">
        <v>3777</v>
      </c>
      <c r="N840" t="s">
        <v>1</v>
      </c>
      <c r="O840">
        <v>761200</v>
      </c>
      <c r="P840" t="s">
        <v>546</v>
      </c>
      <c r="Q840" t="s">
        <v>1767</v>
      </c>
      <c r="S840">
        <v>21.071999999999999</v>
      </c>
      <c r="T840">
        <v>3</v>
      </c>
      <c r="U840">
        <v>0.2</v>
      </c>
      <c r="V840">
        <v>1.5804</v>
      </c>
      <c r="W840">
        <f t="shared" si="55"/>
        <v>6.4971999999999994</v>
      </c>
      <c r="X840">
        <v>2</v>
      </c>
    </row>
    <row r="841" spans="1:24" x14ac:dyDescent="0.3">
      <c r="A841">
        <v>840</v>
      </c>
      <c r="B841" t="s">
        <v>2610</v>
      </c>
      <c r="C841" s="6">
        <v>45036</v>
      </c>
      <c r="D841" t="str">
        <f t="shared" si="52"/>
        <v>Apr</v>
      </c>
      <c r="E841" t="str">
        <f t="shared" si="53"/>
        <v>2023</v>
      </c>
      <c r="F841" t="s">
        <v>4</v>
      </c>
      <c r="G841" t="s">
        <v>319</v>
      </c>
      <c r="H841" t="s">
        <v>1173</v>
      </c>
      <c r="I841">
        <v>130</v>
      </c>
      <c r="J841">
        <v>22</v>
      </c>
      <c r="K841">
        <f t="shared" si="54"/>
        <v>16.923076923076923</v>
      </c>
      <c r="L841" t="s">
        <v>1738</v>
      </c>
      <c r="M841" t="s">
        <v>3778</v>
      </c>
      <c r="N841" t="s">
        <v>1</v>
      </c>
      <c r="O841">
        <v>122101</v>
      </c>
      <c r="P841" t="s">
        <v>546</v>
      </c>
      <c r="Q841" t="s">
        <v>1761</v>
      </c>
      <c r="S841">
        <v>60.45</v>
      </c>
      <c r="T841">
        <v>3</v>
      </c>
      <c r="U841">
        <v>0.1</v>
      </c>
      <c r="V841">
        <v>16.3215</v>
      </c>
      <c r="W841">
        <f t="shared" si="55"/>
        <v>14.7095</v>
      </c>
      <c r="X841">
        <v>2</v>
      </c>
    </row>
    <row r="842" spans="1:24" x14ac:dyDescent="0.3">
      <c r="A842">
        <v>841</v>
      </c>
      <c r="B842" t="s">
        <v>2611</v>
      </c>
      <c r="C842" s="6">
        <v>45037</v>
      </c>
      <c r="D842" t="str">
        <f t="shared" si="52"/>
        <v>Apr</v>
      </c>
      <c r="E842" t="str">
        <f t="shared" si="53"/>
        <v>2023</v>
      </c>
      <c r="F842" t="s">
        <v>4</v>
      </c>
      <c r="G842" t="s">
        <v>319</v>
      </c>
      <c r="H842" t="s">
        <v>1218</v>
      </c>
      <c r="I842">
        <v>140</v>
      </c>
      <c r="J842">
        <v>12</v>
      </c>
      <c r="K842">
        <f t="shared" si="54"/>
        <v>8.5714285714285712</v>
      </c>
      <c r="L842" t="s">
        <v>1743</v>
      </c>
      <c r="M842" t="s">
        <v>3779</v>
      </c>
      <c r="N842" t="s">
        <v>1</v>
      </c>
      <c r="O842">
        <v>743235</v>
      </c>
      <c r="P842" t="s">
        <v>546</v>
      </c>
      <c r="Q842" t="s">
        <v>1759</v>
      </c>
      <c r="S842">
        <v>11.52</v>
      </c>
      <c r="T842">
        <v>4</v>
      </c>
      <c r="U842">
        <v>0.1</v>
      </c>
      <c r="V842">
        <v>3.3408000000000002</v>
      </c>
      <c r="W842">
        <f t="shared" si="55"/>
        <v>2.0448</v>
      </c>
      <c r="X842">
        <v>3</v>
      </c>
    </row>
    <row r="843" spans="1:24" x14ac:dyDescent="0.3">
      <c r="A843">
        <v>842</v>
      </c>
      <c r="B843" t="s">
        <v>2612</v>
      </c>
      <c r="C843" s="6">
        <v>45038</v>
      </c>
      <c r="D843" t="str">
        <f t="shared" si="52"/>
        <v>Apr</v>
      </c>
      <c r="E843" t="str">
        <f t="shared" si="53"/>
        <v>2023</v>
      </c>
      <c r="F843" t="s">
        <v>4</v>
      </c>
      <c r="G843" t="s">
        <v>319</v>
      </c>
      <c r="H843" t="s">
        <v>1219</v>
      </c>
      <c r="I843">
        <v>150</v>
      </c>
      <c r="J843">
        <v>28</v>
      </c>
      <c r="K843">
        <f t="shared" si="54"/>
        <v>18.666666666666668</v>
      </c>
      <c r="L843" t="s">
        <v>1737</v>
      </c>
      <c r="M843" t="s">
        <v>3780</v>
      </c>
      <c r="N843" t="s">
        <v>1</v>
      </c>
      <c r="O843">
        <v>393130</v>
      </c>
      <c r="P843" t="s">
        <v>546</v>
      </c>
      <c r="Q843" t="s">
        <v>1763</v>
      </c>
      <c r="S843">
        <v>186.048</v>
      </c>
      <c r="T843">
        <v>4</v>
      </c>
      <c r="U843">
        <v>0.2</v>
      </c>
      <c r="V843">
        <v>9.3024000000000004</v>
      </c>
      <c r="W843">
        <f t="shared" si="55"/>
        <v>44.186399999999999</v>
      </c>
      <c r="X843">
        <v>5</v>
      </c>
    </row>
    <row r="844" spans="1:24" x14ac:dyDescent="0.3">
      <c r="A844">
        <v>843</v>
      </c>
      <c r="B844" t="s">
        <v>2613</v>
      </c>
      <c r="C844" s="6">
        <v>45039</v>
      </c>
      <c r="D844" t="str">
        <f t="shared" si="52"/>
        <v>Apr</v>
      </c>
      <c r="E844" t="str">
        <f t="shared" si="53"/>
        <v>2023</v>
      </c>
      <c r="F844" t="s">
        <v>5</v>
      </c>
      <c r="G844" t="s">
        <v>320</v>
      </c>
      <c r="H844" t="s">
        <v>1220</v>
      </c>
      <c r="I844">
        <v>160</v>
      </c>
      <c r="J844">
        <v>30</v>
      </c>
      <c r="K844">
        <f t="shared" si="54"/>
        <v>18.75</v>
      </c>
      <c r="L844" t="s">
        <v>1741</v>
      </c>
      <c r="M844" t="s">
        <v>3781</v>
      </c>
      <c r="N844" t="s">
        <v>1</v>
      </c>
      <c r="O844">
        <v>854105</v>
      </c>
      <c r="P844" t="s">
        <v>546</v>
      </c>
      <c r="Q844" t="s">
        <v>1761</v>
      </c>
      <c r="R844" t="s">
        <v>2</v>
      </c>
      <c r="S844">
        <v>37.44</v>
      </c>
      <c r="T844">
        <v>4</v>
      </c>
      <c r="U844">
        <v>0.2</v>
      </c>
      <c r="V844">
        <v>11.7</v>
      </c>
      <c r="W844">
        <f t="shared" si="55"/>
        <v>6.4349999999999996</v>
      </c>
      <c r="X844">
        <v>5</v>
      </c>
    </row>
    <row r="845" spans="1:24" x14ac:dyDescent="0.3">
      <c r="A845">
        <v>844</v>
      </c>
      <c r="B845" t="s">
        <v>2614</v>
      </c>
      <c r="C845" s="6">
        <v>45040</v>
      </c>
      <c r="D845" t="str">
        <f t="shared" si="52"/>
        <v>Apr</v>
      </c>
      <c r="E845" t="str">
        <f t="shared" si="53"/>
        <v>2023</v>
      </c>
      <c r="F845" t="s">
        <v>5</v>
      </c>
      <c r="G845" t="s">
        <v>320</v>
      </c>
      <c r="H845" t="s">
        <v>1221</v>
      </c>
      <c r="I845">
        <v>220</v>
      </c>
      <c r="J845">
        <v>16</v>
      </c>
      <c r="K845">
        <f t="shared" si="54"/>
        <v>7.2727272727272725</v>
      </c>
      <c r="L845" t="s">
        <v>1736</v>
      </c>
      <c r="M845" t="s">
        <v>3782</v>
      </c>
      <c r="N845" t="s">
        <v>1</v>
      </c>
      <c r="O845">
        <v>571403</v>
      </c>
      <c r="P845" t="s">
        <v>546</v>
      </c>
      <c r="Q845" t="s">
        <v>1755</v>
      </c>
      <c r="S845">
        <v>26.975999999999999</v>
      </c>
      <c r="T845">
        <v>4</v>
      </c>
      <c r="U845">
        <v>0.2</v>
      </c>
      <c r="V845">
        <v>8.7672000000000008</v>
      </c>
      <c r="W845">
        <f t="shared" si="55"/>
        <v>4.5521999999999991</v>
      </c>
      <c r="X845">
        <v>4</v>
      </c>
    </row>
    <row r="846" spans="1:24" x14ac:dyDescent="0.3">
      <c r="A846">
        <v>845</v>
      </c>
      <c r="B846" t="s">
        <v>2615</v>
      </c>
      <c r="C846" s="6">
        <v>45041</v>
      </c>
      <c r="D846" t="str">
        <f t="shared" si="52"/>
        <v>Apr</v>
      </c>
      <c r="E846" t="str">
        <f t="shared" si="53"/>
        <v>2023</v>
      </c>
      <c r="F846" t="s">
        <v>5</v>
      </c>
      <c r="G846" t="s">
        <v>320</v>
      </c>
      <c r="H846" t="s">
        <v>1222</v>
      </c>
      <c r="I846">
        <v>180</v>
      </c>
      <c r="J846">
        <v>12</v>
      </c>
      <c r="K846">
        <f t="shared" si="54"/>
        <v>6.666666666666667</v>
      </c>
      <c r="L846" t="s">
        <v>1744</v>
      </c>
      <c r="M846" t="s">
        <v>3783</v>
      </c>
      <c r="N846" t="s">
        <v>1</v>
      </c>
      <c r="O846">
        <v>522403</v>
      </c>
      <c r="P846" t="s">
        <v>546</v>
      </c>
      <c r="Q846" t="s">
        <v>1756</v>
      </c>
      <c r="S846">
        <v>11.36</v>
      </c>
      <c r="T846">
        <v>2</v>
      </c>
      <c r="U846">
        <v>0.1</v>
      </c>
      <c r="V846">
        <v>3.2944</v>
      </c>
      <c r="W846">
        <f t="shared" si="55"/>
        <v>4.0327999999999999</v>
      </c>
      <c r="X846">
        <v>2</v>
      </c>
    </row>
    <row r="847" spans="1:24" x14ac:dyDescent="0.3">
      <c r="A847">
        <v>846</v>
      </c>
      <c r="B847" t="s">
        <v>2616</v>
      </c>
      <c r="C847" s="6">
        <v>45042</v>
      </c>
      <c r="D847" t="str">
        <f t="shared" si="52"/>
        <v>Apr</v>
      </c>
      <c r="E847" t="str">
        <f t="shared" si="53"/>
        <v>2023</v>
      </c>
      <c r="F847" t="s">
        <v>5</v>
      </c>
      <c r="G847" t="s">
        <v>320</v>
      </c>
      <c r="H847" t="s">
        <v>1223</v>
      </c>
      <c r="I847">
        <v>170</v>
      </c>
      <c r="J847">
        <v>30</v>
      </c>
      <c r="K847">
        <f t="shared" si="54"/>
        <v>17.647058823529413</v>
      </c>
      <c r="L847" t="s">
        <v>1740</v>
      </c>
      <c r="M847" t="s">
        <v>3784</v>
      </c>
      <c r="N847" t="s">
        <v>1</v>
      </c>
      <c r="O847">
        <v>500047</v>
      </c>
      <c r="P847" t="s">
        <v>546</v>
      </c>
      <c r="Q847" t="s">
        <v>1755</v>
      </c>
      <c r="S847">
        <v>14.62</v>
      </c>
      <c r="T847">
        <v>2</v>
      </c>
      <c r="U847">
        <v>0.1</v>
      </c>
      <c r="V847">
        <v>6.8714000000000004</v>
      </c>
      <c r="W847">
        <f t="shared" si="55"/>
        <v>3.8742999999999994</v>
      </c>
      <c r="X847">
        <v>4</v>
      </c>
    </row>
    <row r="848" spans="1:24" x14ac:dyDescent="0.3">
      <c r="A848">
        <v>847</v>
      </c>
      <c r="B848" t="s">
        <v>2617</v>
      </c>
      <c r="C848" s="6">
        <v>45043</v>
      </c>
      <c r="D848" t="str">
        <f t="shared" si="52"/>
        <v>Apr</v>
      </c>
      <c r="E848" t="str">
        <f t="shared" si="53"/>
        <v>2023</v>
      </c>
      <c r="F848" t="s">
        <v>4</v>
      </c>
      <c r="G848" t="s">
        <v>321</v>
      </c>
      <c r="H848" t="s">
        <v>726</v>
      </c>
      <c r="I848">
        <v>190</v>
      </c>
      <c r="J848">
        <v>26</v>
      </c>
      <c r="K848">
        <f t="shared" si="54"/>
        <v>13.684210526315791</v>
      </c>
      <c r="L848" t="s">
        <v>1742</v>
      </c>
      <c r="M848" t="s">
        <v>3647</v>
      </c>
      <c r="N848" t="s">
        <v>1</v>
      </c>
      <c r="O848">
        <v>524003</v>
      </c>
      <c r="P848" t="s">
        <v>546</v>
      </c>
      <c r="Q848" t="s">
        <v>1766</v>
      </c>
      <c r="R848" t="s">
        <v>2</v>
      </c>
      <c r="S848">
        <v>83.72</v>
      </c>
      <c r="T848">
        <v>7</v>
      </c>
      <c r="U848">
        <v>0.1</v>
      </c>
      <c r="V848">
        <v>23.441600000000001</v>
      </c>
      <c r="W848">
        <f t="shared" si="55"/>
        <v>8.6112000000000002</v>
      </c>
      <c r="X848">
        <v>3</v>
      </c>
    </row>
    <row r="849" spans="1:24" x14ac:dyDescent="0.3">
      <c r="A849">
        <v>848</v>
      </c>
      <c r="B849" t="s">
        <v>2618</v>
      </c>
      <c r="C849" s="6">
        <v>45044</v>
      </c>
      <c r="D849" t="str">
        <f t="shared" si="52"/>
        <v>Apr</v>
      </c>
      <c r="E849" t="str">
        <f t="shared" si="53"/>
        <v>2023</v>
      </c>
      <c r="F849" t="s">
        <v>4</v>
      </c>
      <c r="G849" t="s">
        <v>321</v>
      </c>
      <c r="H849" t="s">
        <v>815</v>
      </c>
      <c r="I849">
        <v>100</v>
      </c>
      <c r="J849">
        <v>26</v>
      </c>
      <c r="K849">
        <f t="shared" si="54"/>
        <v>26</v>
      </c>
      <c r="L849" t="s">
        <v>1739</v>
      </c>
      <c r="M849" t="s">
        <v>3785</v>
      </c>
      <c r="N849" t="s">
        <v>1</v>
      </c>
      <c r="O849">
        <v>400092</v>
      </c>
      <c r="P849" t="s">
        <v>546</v>
      </c>
      <c r="Q849" t="s">
        <v>1772</v>
      </c>
      <c r="R849" t="s">
        <v>2</v>
      </c>
      <c r="S849">
        <v>287.94</v>
      </c>
      <c r="T849">
        <v>3</v>
      </c>
      <c r="U849">
        <v>0.1</v>
      </c>
      <c r="V849">
        <v>77.743799999999993</v>
      </c>
      <c r="W849">
        <f t="shared" si="55"/>
        <v>70.065399999999997</v>
      </c>
      <c r="X849">
        <v>1</v>
      </c>
    </row>
    <row r="850" spans="1:24" x14ac:dyDescent="0.3">
      <c r="A850">
        <v>849</v>
      </c>
      <c r="B850" t="s">
        <v>2619</v>
      </c>
      <c r="C850" s="6">
        <v>45045</v>
      </c>
      <c r="D850" t="str">
        <f t="shared" si="52"/>
        <v>Apr</v>
      </c>
      <c r="E850" t="str">
        <f t="shared" si="53"/>
        <v>2023</v>
      </c>
      <c r="F850" t="s">
        <v>4</v>
      </c>
      <c r="G850" t="s">
        <v>322</v>
      </c>
      <c r="H850" t="s">
        <v>1224</v>
      </c>
      <c r="I850">
        <v>210</v>
      </c>
      <c r="J850">
        <v>24</v>
      </c>
      <c r="K850">
        <f t="shared" si="54"/>
        <v>11.428571428571429</v>
      </c>
      <c r="L850" t="s">
        <v>1738</v>
      </c>
      <c r="M850" t="s">
        <v>3786</v>
      </c>
      <c r="N850" t="s">
        <v>1</v>
      </c>
      <c r="O850">
        <v>603002</v>
      </c>
      <c r="P850" t="s">
        <v>546</v>
      </c>
      <c r="Q850" t="s">
        <v>1764</v>
      </c>
      <c r="S850">
        <v>48.896000000000001</v>
      </c>
      <c r="T850">
        <v>4</v>
      </c>
      <c r="U850">
        <v>0.2</v>
      </c>
      <c r="V850">
        <v>8.5568000000000008</v>
      </c>
      <c r="W850">
        <f t="shared" si="55"/>
        <v>10.0848</v>
      </c>
      <c r="X850">
        <v>4</v>
      </c>
    </row>
    <row r="851" spans="1:24" x14ac:dyDescent="0.3">
      <c r="A851">
        <v>850</v>
      </c>
      <c r="B851" t="s">
        <v>2620</v>
      </c>
      <c r="C851" s="6">
        <v>45046</v>
      </c>
      <c r="D851" t="str">
        <f t="shared" si="52"/>
        <v>Apr</v>
      </c>
      <c r="E851" t="str">
        <f t="shared" si="53"/>
        <v>2023</v>
      </c>
      <c r="F851" t="s">
        <v>4</v>
      </c>
      <c r="G851" t="s">
        <v>323</v>
      </c>
      <c r="H851" t="s">
        <v>1225</v>
      </c>
      <c r="I851">
        <v>220</v>
      </c>
      <c r="J851">
        <v>30</v>
      </c>
      <c r="K851">
        <f t="shared" si="54"/>
        <v>13.636363636363635</v>
      </c>
      <c r="L851" t="s">
        <v>1737</v>
      </c>
      <c r="M851" t="s">
        <v>3787</v>
      </c>
      <c r="O851">
        <v>743252</v>
      </c>
      <c r="P851" t="s">
        <v>546</v>
      </c>
      <c r="Q851" t="s">
        <v>1755</v>
      </c>
      <c r="S851">
        <v>115.36</v>
      </c>
      <c r="T851">
        <v>7</v>
      </c>
      <c r="U851">
        <v>0.1</v>
      </c>
      <c r="V851">
        <v>49.604799999999997</v>
      </c>
      <c r="W851">
        <f t="shared" si="55"/>
        <v>9.3936000000000011</v>
      </c>
      <c r="X851">
        <v>3</v>
      </c>
    </row>
    <row r="852" spans="1:24" x14ac:dyDescent="0.3">
      <c r="A852">
        <v>851</v>
      </c>
      <c r="B852" t="s">
        <v>2621</v>
      </c>
      <c r="C852" s="6">
        <v>45047</v>
      </c>
      <c r="D852" t="str">
        <f t="shared" si="52"/>
        <v>May</v>
      </c>
      <c r="E852" t="str">
        <f t="shared" si="53"/>
        <v>2023</v>
      </c>
      <c r="F852" t="s">
        <v>3</v>
      </c>
      <c r="G852" t="s">
        <v>324</v>
      </c>
      <c r="H852" t="s">
        <v>1226</v>
      </c>
      <c r="I852">
        <v>100</v>
      </c>
      <c r="J852">
        <v>18</v>
      </c>
      <c r="K852">
        <f t="shared" si="54"/>
        <v>18</v>
      </c>
      <c r="L852" t="s">
        <v>1743</v>
      </c>
      <c r="M852" t="s">
        <v>3736</v>
      </c>
      <c r="N852" t="s">
        <v>1</v>
      </c>
      <c r="O852">
        <v>795001</v>
      </c>
      <c r="P852" t="s">
        <v>546</v>
      </c>
      <c r="Q852" t="s">
        <v>1767</v>
      </c>
      <c r="S852">
        <v>5.16</v>
      </c>
      <c r="T852">
        <v>2</v>
      </c>
      <c r="U852">
        <v>0.1</v>
      </c>
      <c r="V852">
        <v>1.3415999999999999</v>
      </c>
      <c r="W852">
        <f t="shared" si="55"/>
        <v>1.9092000000000002</v>
      </c>
      <c r="X852">
        <v>4</v>
      </c>
    </row>
    <row r="853" spans="1:24" x14ac:dyDescent="0.3">
      <c r="A853">
        <v>852</v>
      </c>
      <c r="B853" t="s">
        <v>2622</v>
      </c>
      <c r="C853" s="6">
        <v>45048</v>
      </c>
      <c r="D853" t="str">
        <f t="shared" si="52"/>
        <v>May</v>
      </c>
      <c r="E853" t="str">
        <f t="shared" si="53"/>
        <v>2023</v>
      </c>
      <c r="F853" t="s">
        <v>3</v>
      </c>
      <c r="G853" t="s">
        <v>324</v>
      </c>
      <c r="H853" t="s">
        <v>1227</v>
      </c>
      <c r="I853">
        <v>250</v>
      </c>
      <c r="J853">
        <v>10</v>
      </c>
      <c r="K853">
        <f t="shared" si="54"/>
        <v>4</v>
      </c>
      <c r="L853" t="s">
        <v>1738</v>
      </c>
      <c r="M853" t="s">
        <v>3788</v>
      </c>
      <c r="N853" t="s">
        <v>1</v>
      </c>
      <c r="O853">
        <v>500084</v>
      </c>
      <c r="P853" t="s">
        <v>546</v>
      </c>
      <c r="Q853" t="s">
        <v>1774</v>
      </c>
      <c r="S853">
        <v>38.880000000000003</v>
      </c>
      <c r="T853">
        <v>6</v>
      </c>
      <c r="U853">
        <v>0.1</v>
      </c>
      <c r="V853">
        <v>18.662400000000002</v>
      </c>
      <c r="W853">
        <f t="shared" si="55"/>
        <v>3.3696000000000002</v>
      </c>
      <c r="X853">
        <v>5</v>
      </c>
    </row>
    <row r="854" spans="1:24" x14ac:dyDescent="0.3">
      <c r="A854">
        <v>853</v>
      </c>
      <c r="B854" t="s">
        <v>2623</v>
      </c>
      <c r="C854" s="6">
        <v>45049</v>
      </c>
      <c r="D854" t="str">
        <f t="shared" si="52"/>
        <v>May</v>
      </c>
      <c r="E854" t="str">
        <f t="shared" si="53"/>
        <v>2023</v>
      </c>
      <c r="F854" t="s">
        <v>4</v>
      </c>
      <c r="G854" t="s">
        <v>111</v>
      </c>
      <c r="H854" t="s">
        <v>837</v>
      </c>
      <c r="I854">
        <v>100</v>
      </c>
      <c r="J854">
        <v>24</v>
      </c>
      <c r="K854">
        <f t="shared" si="54"/>
        <v>24</v>
      </c>
      <c r="L854" t="s">
        <v>1739</v>
      </c>
      <c r="M854" t="s">
        <v>3588</v>
      </c>
      <c r="N854" t="s">
        <v>1</v>
      </c>
      <c r="O854">
        <v>500084</v>
      </c>
      <c r="P854" t="s">
        <v>546</v>
      </c>
      <c r="Q854" t="s">
        <v>1767</v>
      </c>
      <c r="S854">
        <v>185.88</v>
      </c>
      <c r="T854">
        <v>6</v>
      </c>
      <c r="U854">
        <v>0.1</v>
      </c>
      <c r="V854">
        <v>50.187600000000003</v>
      </c>
      <c r="W854">
        <f t="shared" si="55"/>
        <v>22.615399999999998</v>
      </c>
      <c r="X854">
        <v>5</v>
      </c>
    </row>
    <row r="855" spans="1:24" x14ac:dyDescent="0.3">
      <c r="A855">
        <v>854</v>
      </c>
      <c r="B855" t="s">
        <v>2624</v>
      </c>
      <c r="C855" s="6">
        <v>45050</v>
      </c>
      <c r="D855" t="str">
        <f t="shared" si="52"/>
        <v>May</v>
      </c>
      <c r="E855" t="str">
        <f t="shared" si="53"/>
        <v>2023</v>
      </c>
      <c r="F855" t="s">
        <v>4</v>
      </c>
      <c r="G855" t="s">
        <v>225</v>
      </c>
      <c r="H855" t="s">
        <v>1189</v>
      </c>
      <c r="I855">
        <v>240</v>
      </c>
      <c r="J855">
        <v>12</v>
      </c>
      <c r="K855">
        <f t="shared" si="54"/>
        <v>5</v>
      </c>
      <c r="L855" t="s">
        <v>1741</v>
      </c>
      <c r="M855" t="s">
        <v>3789</v>
      </c>
      <c r="N855" t="s">
        <v>1</v>
      </c>
      <c r="O855">
        <v>641004</v>
      </c>
      <c r="P855" t="s">
        <v>546</v>
      </c>
      <c r="Q855" t="s">
        <v>1772</v>
      </c>
      <c r="R855" t="s">
        <v>2</v>
      </c>
      <c r="S855">
        <v>44.46</v>
      </c>
      <c r="T855">
        <v>2</v>
      </c>
      <c r="U855">
        <v>0.1</v>
      </c>
      <c r="V855">
        <v>14.671799999999999</v>
      </c>
      <c r="W855">
        <f t="shared" si="55"/>
        <v>14.894100000000002</v>
      </c>
      <c r="X855">
        <v>1</v>
      </c>
    </row>
    <row r="856" spans="1:24" x14ac:dyDescent="0.3">
      <c r="A856">
        <v>855</v>
      </c>
      <c r="B856" t="s">
        <v>2625</v>
      </c>
      <c r="C856" s="6">
        <v>45051</v>
      </c>
      <c r="D856" t="str">
        <f t="shared" si="52"/>
        <v>May</v>
      </c>
      <c r="E856" t="str">
        <f t="shared" si="53"/>
        <v>2023</v>
      </c>
      <c r="F856" t="s">
        <v>4</v>
      </c>
      <c r="G856" t="s">
        <v>225</v>
      </c>
      <c r="H856" t="s">
        <v>1006</v>
      </c>
      <c r="I856">
        <v>100</v>
      </c>
      <c r="J856">
        <v>6</v>
      </c>
      <c r="K856">
        <f t="shared" si="54"/>
        <v>6</v>
      </c>
      <c r="L856" t="s">
        <v>1736</v>
      </c>
      <c r="M856" t="s">
        <v>3790</v>
      </c>
      <c r="N856" t="s">
        <v>1</v>
      </c>
      <c r="O856">
        <v>500010</v>
      </c>
      <c r="P856" t="s">
        <v>546</v>
      </c>
      <c r="Q856" t="s">
        <v>1773</v>
      </c>
      <c r="S856">
        <v>242.94</v>
      </c>
      <c r="T856">
        <v>3</v>
      </c>
      <c r="U856">
        <v>0.1</v>
      </c>
      <c r="V856">
        <v>9.7175999999999991</v>
      </c>
      <c r="W856">
        <f t="shared" si="55"/>
        <v>77.740799999999993</v>
      </c>
      <c r="X856">
        <v>4</v>
      </c>
    </row>
    <row r="857" spans="1:24" x14ac:dyDescent="0.3">
      <c r="A857">
        <v>856</v>
      </c>
      <c r="B857" t="s">
        <v>2626</v>
      </c>
      <c r="C857" s="6">
        <v>45052</v>
      </c>
      <c r="D857" t="str">
        <f t="shared" si="52"/>
        <v>May</v>
      </c>
      <c r="E857" t="str">
        <f t="shared" si="53"/>
        <v>2023</v>
      </c>
      <c r="F857" t="s">
        <v>4</v>
      </c>
      <c r="G857" t="s">
        <v>325</v>
      </c>
      <c r="H857" t="s">
        <v>1228</v>
      </c>
      <c r="I857">
        <v>100</v>
      </c>
      <c r="J857">
        <v>14</v>
      </c>
      <c r="K857">
        <f t="shared" si="54"/>
        <v>14.000000000000002</v>
      </c>
      <c r="L857" t="s">
        <v>1744</v>
      </c>
      <c r="M857" t="s">
        <v>3685</v>
      </c>
      <c r="N857" t="s">
        <v>1</v>
      </c>
      <c r="O857">
        <v>600030</v>
      </c>
      <c r="P857" t="s">
        <v>546</v>
      </c>
      <c r="Q857" t="s">
        <v>1761</v>
      </c>
      <c r="S857">
        <v>39.96</v>
      </c>
      <c r="T857">
        <v>2</v>
      </c>
      <c r="U857">
        <v>0.1</v>
      </c>
      <c r="V857">
        <v>18.781199999999998</v>
      </c>
      <c r="W857">
        <f t="shared" si="55"/>
        <v>10.589400000000001</v>
      </c>
      <c r="X857">
        <v>3</v>
      </c>
    </row>
    <row r="858" spans="1:24" x14ac:dyDescent="0.3">
      <c r="A858">
        <v>857</v>
      </c>
      <c r="B858" t="s">
        <v>2627</v>
      </c>
      <c r="C858" s="6">
        <v>45053</v>
      </c>
      <c r="D858" t="str">
        <f t="shared" si="52"/>
        <v>May</v>
      </c>
      <c r="E858" t="str">
        <f t="shared" si="53"/>
        <v>2023</v>
      </c>
      <c r="F858" t="s">
        <v>4</v>
      </c>
      <c r="G858" t="s">
        <v>325</v>
      </c>
      <c r="H858" t="s">
        <v>1229</v>
      </c>
      <c r="I858">
        <v>190</v>
      </c>
      <c r="J858">
        <v>14</v>
      </c>
      <c r="K858">
        <f t="shared" si="54"/>
        <v>7.3684210526315779</v>
      </c>
      <c r="L858" t="s">
        <v>1740</v>
      </c>
      <c r="M858" t="s">
        <v>3791</v>
      </c>
      <c r="N858" t="s">
        <v>1</v>
      </c>
      <c r="O858">
        <v>801103</v>
      </c>
      <c r="P858" t="s">
        <v>546</v>
      </c>
      <c r="Q858" t="s">
        <v>1759</v>
      </c>
      <c r="S858">
        <v>102.3</v>
      </c>
      <c r="T858">
        <v>10</v>
      </c>
      <c r="U858">
        <v>0.1</v>
      </c>
      <c r="V858">
        <v>26.597999999999999</v>
      </c>
      <c r="W858">
        <f t="shared" si="55"/>
        <v>7.5701999999999998</v>
      </c>
      <c r="X858">
        <v>3</v>
      </c>
    </row>
    <row r="859" spans="1:24" x14ac:dyDescent="0.3">
      <c r="A859">
        <v>858</v>
      </c>
      <c r="B859" t="s">
        <v>2628</v>
      </c>
      <c r="C859" s="6">
        <v>45054</v>
      </c>
      <c r="D859" t="str">
        <f t="shared" si="52"/>
        <v>May</v>
      </c>
      <c r="E859" t="str">
        <f t="shared" si="53"/>
        <v>2023</v>
      </c>
      <c r="F859" t="s">
        <v>4</v>
      </c>
      <c r="G859" t="s">
        <v>325</v>
      </c>
      <c r="H859" t="s">
        <v>1230</v>
      </c>
      <c r="I859">
        <v>160</v>
      </c>
      <c r="J859">
        <v>10</v>
      </c>
      <c r="K859">
        <f t="shared" si="54"/>
        <v>6.25</v>
      </c>
      <c r="L859" t="s">
        <v>1742</v>
      </c>
      <c r="M859" t="s">
        <v>3696</v>
      </c>
      <c r="N859" t="s">
        <v>1</v>
      </c>
      <c r="O859">
        <v>800002</v>
      </c>
      <c r="P859" t="s">
        <v>546</v>
      </c>
      <c r="Q859" t="s">
        <v>1754</v>
      </c>
      <c r="S859">
        <v>21.36</v>
      </c>
      <c r="T859">
        <v>2</v>
      </c>
      <c r="U859">
        <v>0.1</v>
      </c>
      <c r="V859">
        <v>5.7671999999999999</v>
      </c>
      <c r="W859">
        <f t="shared" si="55"/>
        <v>7.7964000000000002</v>
      </c>
      <c r="X859">
        <v>5</v>
      </c>
    </row>
    <row r="860" spans="1:24" x14ac:dyDescent="0.3">
      <c r="A860">
        <v>859</v>
      </c>
      <c r="B860" t="s">
        <v>2629</v>
      </c>
      <c r="C860" s="6">
        <v>45055</v>
      </c>
      <c r="D860" t="str">
        <f t="shared" si="52"/>
        <v>May</v>
      </c>
      <c r="E860" t="str">
        <f t="shared" si="53"/>
        <v>2023</v>
      </c>
      <c r="F860" t="s">
        <v>4</v>
      </c>
      <c r="G860" t="s">
        <v>326</v>
      </c>
      <c r="H860" t="s">
        <v>776</v>
      </c>
      <c r="I860">
        <v>130</v>
      </c>
      <c r="J860">
        <v>8</v>
      </c>
      <c r="K860">
        <f t="shared" si="54"/>
        <v>6.1538461538461542</v>
      </c>
      <c r="L860" t="s">
        <v>1739</v>
      </c>
      <c r="M860" t="s">
        <v>3697</v>
      </c>
      <c r="N860" t="s">
        <v>1</v>
      </c>
      <c r="O860">
        <v>500008</v>
      </c>
      <c r="P860" t="s">
        <v>546</v>
      </c>
      <c r="Q860" t="s">
        <v>1772</v>
      </c>
      <c r="S860">
        <v>7.61</v>
      </c>
      <c r="T860">
        <v>1</v>
      </c>
      <c r="U860">
        <v>0.1</v>
      </c>
      <c r="V860">
        <v>3.5767000000000002</v>
      </c>
      <c r="W860">
        <f t="shared" si="55"/>
        <v>4.0333000000000006</v>
      </c>
      <c r="X860">
        <v>4</v>
      </c>
    </row>
    <row r="861" spans="1:24" x14ac:dyDescent="0.3">
      <c r="A861">
        <v>860</v>
      </c>
      <c r="B861" t="s">
        <v>2630</v>
      </c>
      <c r="C861" s="6">
        <v>45056</v>
      </c>
      <c r="D861" t="str">
        <f t="shared" si="52"/>
        <v>May</v>
      </c>
      <c r="E861" t="str">
        <f t="shared" si="53"/>
        <v>2023</v>
      </c>
      <c r="F861" t="s">
        <v>4</v>
      </c>
      <c r="G861" t="s">
        <v>326</v>
      </c>
      <c r="H861" t="s">
        <v>841</v>
      </c>
      <c r="I861">
        <v>150</v>
      </c>
      <c r="J861">
        <v>14</v>
      </c>
      <c r="K861">
        <f t="shared" si="54"/>
        <v>9.3333333333333339</v>
      </c>
      <c r="L861" t="s">
        <v>1738</v>
      </c>
      <c r="M861" t="s">
        <v>3792</v>
      </c>
      <c r="N861" t="s">
        <v>1</v>
      </c>
      <c r="O861">
        <v>800004</v>
      </c>
      <c r="P861" t="s">
        <v>546</v>
      </c>
      <c r="Q861" t="s">
        <v>1770</v>
      </c>
      <c r="S861">
        <v>7.16</v>
      </c>
      <c r="T861">
        <v>2</v>
      </c>
      <c r="U861">
        <v>0.1</v>
      </c>
      <c r="V861">
        <v>3.58</v>
      </c>
      <c r="W861">
        <f t="shared" si="55"/>
        <v>1.79</v>
      </c>
      <c r="X861">
        <v>1</v>
      </c>
    </row>
    <row r="862" spans="1:24" x14ac:dyDescent="0.3">
      <c r="A862">
        <v>861</v>
      </c>
      <c r="B862" t="s">
        <v>2631</v>
      </c>
      <c r="C862" s="6">
        <v>45057</v>
      </c>
      <c r="D862" t="str">
        <f t="shared" si="52"/>
        <v>May</v>
      </c>
      <c r="E862" t="str">
        <f t="shared" si="53"/>
        <v>2023</v>
      </c>
      <c r="F862" t="s">
        <v>4</v>
      </c>
      <c r="G862" t="s">
        <v>327</v>
      </c>
      <c r="H862" t="s">
        <v>874</v>
      </c>
      <c r="I862">
        <v>230</v>
      </c>
      <c r="J862">
        <v>22</v>
      </c>
      <c r="K862">
        <f t="shared" si="54"/>
        <v>9.5652173913043477</v>
      </c>
      <c r="L862" t="s">
        <v>1737</v>
      </c>
      <c r="M862" t="s">
        <v>3793</v>
      </c>
      <c r="N862" t="s">
        <v>1</v>
      </c>
      <c r="O862">
        <v>695582</v>
      </c>
      <c r="P862" t="s">
        <v>546</v>
      </c>
      <c r="Q862" t="s">
        <v>1766</v>
      </c>
      <c r="R862" t="s">
        <v>2</v>
      </c>
      <c r="S862">
        <v>7.36</v>
      </c>
      <c r="T862">
        <v>2</v>
      </c>
      <c r="U862">
        <v>0.1</v>
      </c>
      <c r="V862">
        <v>0.1472</v>
      </c>
      <c r="W862">
        <f t="shared" si="55"/>
        <v>3.6064000000000003</v>
      </c>
      <c r="X862">
        <v>1</v>
      </c>
    </row>
    <row r="863" spans="1:24" x14ac:dyDescent="0.3">
      <c r="A863">
        <v>862</v>
      </c>
      <c r="B863" t="s">
        <v>2632</v>
      </c>
      <c r="C863" s="6">
        <v>45058</v>
      </c>
      <c r="D863" t="str">
        <f t="shared" si="52"/>
        <v>May</v>
      </c>
      <c r="E863" t="str">
        <f t="shared" si="53"/>
        <v>2023</v>
      </c>
      <c r="F863" t="s">
        <v>4</v>
      </c>
      <c r="G863" t="s">
        <v>327</v>
      </c>
      <c r="H863" t="s">
        <v>1231</v>
      </c>
      <c r="I863">
        <v>110</v>
      </c>
      <c r="J863">
        <v>10</v>
      </c>
      <c r="K863">
        <f t="shared" si="54"/>
        <v>9.0909090909090917</v>
      </c>
      <c r="L863" t="s">
        <v>1743</v>
      </c>
      <c r="M863" t="s">
        <v>3794</v>
      </c>
      <c r="N863" t="s">
        <v>1</v>
      </c>
      <c r="O863">
        <v>400078</v>
      </c>
      <c r="P863" t="s">
        <v>546</v>
      </c>
      <c r="Q863" t="s">
        <v>1772</v>
      </c>
      <c r="R863" t="s">
        <v>2</v>
      </c>
      <c r="S863">
        <v>23.1</v>
      </c>
      <c r="T863">
        <v>2</v>
      </c>
      <c r="U863">
        <v>0.1</v>
      </c>
      <c r="V863">
        <v>10.625999999999999</v>
      </c>
      <c r="W863">
        <f t="shared" si="55"/>
        <v>6.237000000000001</v>
      </c>
      <c r="X863">
        <v>5</v>
      </c>
    </row>
    <row r="864" spans="1:24" x14ac:dyDescent="0.3">
      <c r="A864">
        <v>863</v>
      </c>
      <c r="B864" t="s">
        <v>2633</v>
      </c>
      <c r="C864" s="6">
        <v>45059</v>
      </c>
      <c r="D864" t="str">
        <f t="shared" si="52"/>
        <v>May</v>
      </c>
      <c r="E864" t="str">
        <f t="shared" si="53"/>
        <v>2023</v>
      </c>
      <c r="F864" t="s">
        <v>3</v>
      </c>
      <c r="G864" t="s">
        <v>302</v>
      </c>
      <c r="H864" t="s">
        <v>1232</v>
      </c>
      <c r="I864">
        <v>110</v>
      </c>
      <c r="J864">
        <v>12</v>
      </c>
      <c r="K864">
        <f t="shared" si="54"/>
        <v>10.909090909090908</v>
      </c>
      <c r="L864" t="s">
        <v>1738</v>
      </c>
      <c r="M864" t="s">
        <v>3795</v>
      </c>
      <c r="O864">
        <v>400078</v>
      </c>
      <c r="P864" t="s">
        <v>546</v>
      </c>
      <c r="Q864" t="s">
        <v>1754</v>
      </c>
      <c r="S864">
        <v>191.47200000000001</v>
      </c>
      <c r="T864">
        <v>6</v>
      </c>
      <c r="U864">
        <v>0.2</v>
      </c>
      <c r="V864">
        <v>40.687800000000003</v>
      </c>
      <c r="W864">
        <f t="shared" si="55"/>
        <v>25.130700000000001</v>
      </c>
      <c r="X864">
        <v>2</v>
      </c>
    </row>
    <row r="865" spans="1:24" x14ac:dyDescent="0.3">
      <c r="A865">
        <v>864</v>
      </c>
      <c r="B865" t="s">
        <v>2634</v>
      </c>
      <c r="C865" s="6">
        <v>45060</v>
      </c>
      <c r="D865" t="str">
        <f t="shared" si="52"/>
        <v>May</v>
      </c>
      <c r="E865" t="str">
        <f t="shared" si="53"/>
        <v>2023</v>
      </c>
      <c r="F865" t="s">
        <v>3</v>
      </c>
      <c r="G865" t="s">
        <v>302</v>
      </c>
      <c r="H865" t="s">
        <v>1233</v>
      </c>
      <c r="I865">
        <v>230</v>
      </c>
      <c r="J865">
        <v>6</v>
      </c>
      <c r="K865">
        <f t="shared" si="54"/>
        <v>2.6086956521739131</v>
      </c>
      <c r="L865" t="s">
        <v>1739</v>
      </c>
      <c r="M865" t="s">
        <v>3594</v>
      </c>
      <c r="N865" t="s">
        <v>1</v>
      </c>
      <c r="O865">
        <v>400703</v>
      </c>
      <c r="P865" t="s">
        <v>546</v>
      </c>
      <c r="Q865" t="s">
        <v>1773</v>
      </c>
      <c r="S865">
        <v>5.2480000000000002</v>
      </c>
      <c r="T865">
        <v>2</v>
      </c>
      <c r="U865">
        <v>0.2</v>
      </c>
      <c r="V865">
        <v>0.59040000000000004</v>
      </c>
      <c r="W865">
        <f t="shared" si="55"/>
        <v>2.3288000000000002</v>
      </c>
      <c r="X865">
        <v>1</v>
      </c>
    </row>
    <row r="866" spans="1:24" x14ac:dyDescent="0.3">
      <c r="A866">
        <v>865</v>
      </c>
      <c r="B866" t="s">
        <v>2635</v>
      </c>
      <c r="C866" s="6">
        <v>45061</v>
      </c>
      <c r="D866" t="str">
        <f t="shared" si="52"/>
        <v>May</v>
      </c>
      <c r="E866" t="str">
        <f t="shared" si="53"/>
        <v>2023</v>
      </c>
      <c r="F866" t="s">
        <v>3</v>
      </c>
      <c r="G866" t="s">
        <v>302</v>
      </c>
      <c r="H866" t="s">
        <v>1234</v>
      </c>
      <c r="I866">
        <v>230</v>
      </c>
      <c r="J866">
        <v>28</v>
      </c>
      <c r="K866">
        <f t="shared" si="54"/>
        <v>12.173913043478262</v>
      </c>
      <c r="L866" t="s">
        <v>1741</v>
      </c>
      <c r="M866" t="s">
        <v>3796</v>
      </c>
      <c r="N866" t="s">
        <v>1</v>
      </c>
      <c r="O866">
        <v>522403</v>
      </c>
      <c r="P866" t="s">
        <v>546</v>
      </c>
      <c r="Q866" t="s">
        <v>1759</v>
      </c>
      <c r="S866">
        <v>59.183999999999997</v>
      </c>
      <c r="T866">
        <v>2</v>
      </c>
      <c r="U866">
        <v>0.2</v>
      </c>
      <c r="V866">
        <v>5.1786000000000003</v>
      </c>
      <c r="W866">
        <f t="shared" si="55"/>
        <v>27.002699999999997</v>
      </c>
      <c r="X866">
        <v>4</v>
      </c>
    </row>
    <row r="867" spans="1:24" x14ac:dyDescent="0.3">
      <c r="A867">
        <v>866</v>
      </c>
      <c r="B867" t="s">
        <v>2636</v>
      </c>
      <c r="C867" s="6">
        <v>45062</v>
      </c>
      <c r="D867" t="str">
        <f t="shared" si="52"/>
        <v>May</v>
      </c>
      <c r="E867" t="str">
        <f t="shared" si="53"/>
        <v>2023</v>
      </c>
      <c r="F867" t="s">
        <v>4</v>
      </c>
      <c r="G867" t="s">
        <v>328</v>
      </c>
      <c r="H867" t="s">
        <v>1235</v>
      </c>
      <c r="I867">
        <v>190</v>
      </c>
      <c r="J867">
        <v>16</v>
      </c>
      <c r="K867">
        <f t="shared" si="54"/>
        <v>8.4210526315789469</v>
      </c>
      <c r="L867" t="s">
        <v>1736</v>
      </c>
      <c r="M867" t="s">
        <v>3797</v>
      </c>
      <c r="N867" t="s">
        <v>1</v>
      </c>
      <c r="O867">
        <v>410206</v>
      </c>
      <c r="P867" t="s">
        <v>546</v>
      </c>
      <c r="Q867" t="s">
        <v>1760</v>
      </c>
      <c r="S867">
        <v>2.89</v>
      </c>
      <c r="T867">
        <v>1</v>
      </c>
      <c r="U867">
        <v>0.1</v>
      </c>
      <c r="V867">
        <v>1.3583000000000001</v>
      </c>
      <c r="W867">
        <f t="shared" si="55"/>
        <v>1.5317000000000001</v>
      </c>
      <c r="X867">
        <v>1</v>
      </c>
    </row>
    <row r="868" spans="1:24" x14ac:dyDescent="0.3">
      <c r="A868">
        <v>867</v>
      </c>
      <c r="B868" t="s">
        <v>2637</v>
      </c>
      <c r="C868" s="6">
        <v>45063</v>
      </c>
      <c r="D868" t="str">
        <f t="shared" si="52"/>
        <v>May</v>
      </c>
      <c r="E868" t="str">
        <f t="shared" si="53"/>
        <v>2023</v>
      </c>
      <c r="F868" t="s">
        <v>4</v>
      </c>
      <c r="G868" t="s">
        <v>328</v>
      </c>
      <c r="H868" t="s">
        <v>1236</v>
      </c>
      <c r="I868">
        <v>170</v>
      </c>
      <c r="J868">
        <v>20</v>
      </c>
      <c r="K868">
        <f t="shared" si="54"/>
        <v>11.76470588235294</v>
      </c>
      <c r="L868" t="s">
        <v>1744</v>
      </c>
      <c r="M868" t="s">
        <v>3798</v>
      </c>
      <c r="N868" t="s">
        <v>1</v>
      </c>
      <c r="O868">
        <v>600100</v>
      </c>
      <c r="P868" t="s">
        <v>546</v>
      </c>
      <c r="Q868" t="s">
        <v>1755</v>
      </c>
      <c r="S868">
        <v>51.94</v>
      </c>
      <c r="T868">
        <v>1</v>
      </c>
      <c r="U868">
        <v>0.1</v>
      </c>
      <c r="V868">
        <v>21.295400000000001</v>
      </c>
      <c r="W868">
        <f t="shared" si="55"/>
        <v>30.644599999999997</v>
      </c>
      <c r="X868">
        <v>3</v>
      </c>
    </row>
    <row r="869" spans="1:24" x14ac:dyDescent="0.3">
      <c r="A869">
        <v>868</v>
      </c>
      <c r="B869" t="s">
        <v>2638</v>
      </c>
      <c r="C869" s="6">
        <v>45064</v>
      </c>
      <c r="D869" t="str">
        <f t="shared" si="52"/>
        <v>May</v>
      </c>
      <c r="E869" t="str">
        <f t="shared" si="53"/>
        <v>2023</v>
      </c>
      <c r="F869" t="s">
        <v>5</v>
      </c>
      <c r="G869" t="s">
        <v>329</v>
      </c>
      <c r="H869" t="s">
        <v>1237</v>
      </c>
      <c r="I869">
        <v>150</v>
      </c>
      <c r="J869">
        <v>26</v>
      </c>
      <c r="K869">
        <f t="shared" si="54"/>
        <v>17.333333333333336</v>
      </c>
      <c r="L869" t="s">
        <v>1740</v>
      </c>
      <c r="M869" t="s">
        <v>3799</v>
      </c>
      <c r="N869" t="s">
        <v>1</v>
      </c>
      <c r="O869">
        <v>122016</v>
      </c>
      <c r="P869" t="s">
        <v>546</v>
      </c>
      <c r="Q869" t="s">
        <v>1758</v>
      </c>
      <c r="S869">
        <v>15.936</v>
      </c>
      <c r="T869">
        <v>4</v>
      </c>
      <c r="U869">
        <v>0.2</v>
      </c>
      <c r="V869">
        <v>5.1791999999999998</v>
      </c>
      <c r="W869">
        <f t="shared" si="55"/>
        <v>2.6892</v>
      </c>
      <c r="X869">
        <v>2</v>
      </c>
    </row>
    <row r="870" spans="1:24" x14ac:dyDescent="0.3">
      <c r="A870">
        <v>869</v>
      </c>
      <c r="B870" t="s">
        <v>2639</v>
      </c>
      <c r="C870" s="6">
        <v>45065</v>
      </c>
      <c r="D870" t="str">
        <f t="shared" si="52"/>
        <v>May</v>
      </c>
      <c r="E870" t="str">
        <f t="shared" si="53"/>
        <v>2023</v>
      </c>
      <c r="F870" t="s">
        <v>4</v>
      </c>
      <c r="G870" t="s">
        <v>330</v>
      </c>
      <c r="H870" t="s">
        <v>1238</v>
      </c>
      <c r="I870">
        <v>130</v>
      </c>
      <c r="J870">
        <v>18</v>
      </c>
      <c r="K870">
        <f t="shared" si="54"/>
        <v>13.846153846153847</v>
      </c>
      <c r="L870" t="s">
        <v>1742</v>
      </c>
      <c r="M870" t="s">
        <v>3800</v>
      </c>
      <c r="N870" t="s">
        <v>1</v>
      </c>
      <c r="O870">
        <v>533101</v>
      </c>
      <c r="P870" t="s">
        <v>546</v>
      </c>
      <c r="Q870" t="s">
        <v>1774</v>
      </c>
      <c r="S870">
        <v>44.91</v>
      </c>
      <c r="T870">
        <v>6</v>
      </c>
      <c r="U870">
        <v>0.7</v>
      </c>
      <c r="V870">
        <v>-35.927999999999997</v>
      </c>
      <c r="W870">
        <f t="shared" si="55"/>
        <v>13.472999999999999</v>
      </c>
      <c r="X870">
        <v>1</v>
      </c>
    </row>
    <row r="871" spans="1:24" x14ac:dyDescent="0.3">
      <c r="A871">
        <v>870</v>
      </c>
      <c r="B871" t="s">
        <v>2640</v>
      </c>
      <c r="C871" s="6">
        <v>45066</v>
      </c>
      <c r="D871" t="str">
        <f t="shared" si="52"/>
        <v>May</v>
      </c>
      <c r="E871" t="str">
        <f t="shared" si="53"/>
        <v>2023</v>
      </c>
      <c r="F871" t="s">
        <v>5</v>
      </c>
      <c r="G871" t="s">
        <v>331</v>
      </c>
      <c r="H871" t="s">
        <v>1239</v>
      </c>
      <c r="I871">
        <v>200</v>
      </c>
      <c r="J871">
        <v>6</v>
      </c>
      <c r="K871">
        <f t="shared" si="54"/>
        <v>3</v>
      </c>
      <c r="L871" t="s">
        <v>1739</v>
      </c>
      <c r="M871" t="s">
        <v>3623</v>
      </c>
      <c r="N871" t="s">
        <v>1</v>
      </c>
      <c r="O871">
        <v>382470</v>
      </c>
      <c r="P871" t="s">
        <v>546</v>
      </c>
      <c r="Q871" t="s">
        <v>1759</v>
      </c>
      <c r="S871">
        <v>1141.47</v>
      </c>
      <c r="T871">
        <v>5</v>
      </c>
      <c r="U871">
        <v>0.7</v>
      </c>
      <c r="V871">
        <v>-760.98</v>
      </c>
      <c r="W871">
        <f t="shared" si="55"/>
        <v>380.49</v>
      </c>
      <c r="X871">
        <v>5</v>
      </c>
    </row>
    <row r="872" spans="1:24" x14ac:dyDescent="0.3">
      <c r="A872">
        <v>871</v>
      </c>
      <c r="B872" t="s">
        <v>2641</v>
      </c>
      <c r="C872" s="6">
        <v>45067</v>
      </c>
      <c r="D872" t="str">
        <f t="shared" si="52"/>
        <v>May</v>
      </c>
      <c r="E872" t="str">
        <f t="shared" si="53"/>
        <v>2023</v>
      </c>
      <c r="F872" t="s">
        <v>5</v>
      </c>
      <c r="G872" t="s">
        <v>331</v>
      </c>
      <c r="H872" t="s">
        <v>1042</v>
      </c>
      <c r="I872">
        <v>230</v>
      </c>
      <c r="J872">
        <v>22</v>
      </c>
      <c r="K872">
        <f t="shared" si="54"/>
        <v>9.5652173913043477</v>
      </c>
      <c r="L872" t="s">
        <v>1738</v>
      </c>
      <c r="M872" t="s">
        <v>3801</v>
      </c>
      <c r="N872" t="s">
        <v>1</v>
      </c>
      <c r="O872">
        <v>210001</v>
      </c>
      <c r="P872" t="s">
        <v>546</v>
      </c>
      <c r="Q872" t="s">
        <v>1776</v>
      </c>
      <c r="S872">
        <v>280.78199999999998</v>
      </c>
      <c r="T872">
        <v>3</v>
      </c>
      <c r="U872">
        <v>0.4</v>
      </c>
      <c r="V872">
        <v>-46.796999999999997</v>
      </c>
      <c r="W872">
        <f t="shared" si="55"/>
        <v>109.19299999999998</v>
      </c>
      <c r="X872">
        <v>3</v>
      </c>
    </row>
    <row r="873" spans="1:24" x14ac:dyDescent="0.3">
      <c r="A873">
        <v>872</v>
      </c>
      <c r="B873" t="s">
        <v>2642</v>
      </c>
      <c r="C873" s="6">
        <v>45068</v>
      </c>
      <c r="D873" t="str">
        <f t="shared" si="52"/>
        <v>May</v>
      </c>
      <c r="E873" t="str">
        <f t="shared" si="53"/>
        <v>2023</v>
      </c>
      <c r="F873" t="s">
        <v>5</v>
      </c>
      <c r="G873" t="s">
        <v>21</v>
      </c>
      <c r="H873" t="s">
        <v>1240</v>
      </c>
      <c r="I873">
        <v>130</v>
      </c>
      <c r="J873">
        <v>16</v>
      </c>
      <c r="K873">
        <f t="shared" si="54"/>
        <v>12.307692307692308</v>
      </c>
      <c r="L873" t="s">
        <v>1737</v>
      </c>
      <c r="M873" t="s">
        <v>3802</v>
      </c>
      <c r="N873" t="s">
        <v>1</v>
      </c>
      <c r="O873">
        <v>500032</v>
      </c>
      <c r="P873" t="s">
        <v>546</v>
      </c>
      <c r="Q873" t="s">
        <v>1767</v>
      </c>
      <c r="S873">
        <v>34.44</v>
      </c>
      <c r="T873">
        <v>3</v>
      </c>
      <c r="U873">
        <v>0.1</v>
      </c>
      <c r="V873">
        <v>17.22</v>
      </c>
      <c r="W873">
        <f t="shared" si="55"/>
        <v>5.7399999999999993</v>
      </c>
      <c r="X873">
        <v>1</v>
      </c>
    </row>
    <row r="874" spans="1:24" x14ac:dyDescent="0.3">
      <c r="A874">
        <v>873</v>
      </c>
      <c r="B874" t="s">
        <v>2643</v>
      </c>
      <c r="C874" s="6">
        <v>45069</v>
      </c>
      <c r="D874" t="str">
        <f t="shared" si="52"/>
        <v>May</v>
      </c>
      <c r="E874" t="str">
        <f t="shared" si="53"/>
        <v>2023</v>
      </c>
      <c r="F874" t="s">
        <v>4</v>
      </c>
      <c r="G874" t="s">
        <v>332</v>
      </c>
      <c r="H874" t="s">
        <v>799</v>
      </c>
      <c r="I874">
        <v>110</v>
      </c>
      <c r="J874">
        <v>14</v>
      </c>
      <c r="K874">
        <f t="shared" si="54"/>
        <v>12.727272727272727</v>
      </c>
      <c r="L874" t="s">
        <v>1743</v>
      </c>
      <c r="M874" t="s">
        <v>3803</v>
      </c>
      <c r="N874" t="s">
        <v>1</v>
      </c>
      <c r="O874">
        <v>560077</v>
      </c>
      <c r="P874" t="s">
        <v>546</v>
      </c>
      <c r="Q874" t="s">
        <v>1755</v>
      </c>
      <c r="S874">
        <v>11.36</v>
      </c>
      <c r="T874">
        <v>2</v>
      </c>
      <c r="U874">
        <v>0.1</v>
      </c>
      <c r="V874">
        <v>5.2256</v>
      </c>
      <c r="W874">
        <f t="shared" si="55"/>
        <v>3.0671999999999997</v>
      </c>
      <c r="X874">
        <v>4</v>
      </c>
    </row>
    <row r="875" spans="1:24" x14ac:dyDescent="0.3">
      <c r="A875">
        <v>874</v>
      </c>
      <c r="B875" t="s">
        <v>2644</v>
      </c>
      <c r="C875" s="6">
        <v>45070</v>
      </c>
      <c r="D875" t="str">
        <f t="shared" si="52"/>
        <v>May</v>
      </c>
      <c r="E875" t="str">
        <f t="shared" si="53"/>
        <v>2023</v>
      </c>
      <c r="F875" t="s">
        <v>4</v>
      </c>
      <c r="G875" t="s">
        <v>332</v>
      </c>
      <c r="H875" t="s">
        <v>959</v>
      </c>
      <c r="I875">
        <v>150</v>
      </c>
      <c r="J875">
        <v>18</v>
      </c>
      <c r="K875">
        <f t="shared" si="54"/>
        <v>12</v>
      </c>
      <c r="L875" t="s">
        <v>1738</v>
      </c>
      <c r="M875" t="s">
        <v>3804</v>
      </c>
      <c r="N875" t="s">
        <v>1</v>
      </c>
      <c r="O875">
        <v>382470</v>
      </c>
      <c r="P875" t="s">
        <v>546</v>
      </c>
      <c r="Q875" t="s">
        <v>1766</v>
      </c>
      <c r="S875">
        <v>106.34399999999999</v>
      </c>
      <c r="T875">
        <v>7</v>
      </c>
      <c r="U875">
        <v>0.2</v>
      </c>
      <c r="V875">
        <v>37.220399999999998</v>
      </c>
      <c r="W875">
        <f t="shared" si="55"/>
        <v>9.8747999999999987</v>
      </c>
      <c r="X875">
        <v>1</v>
      </c>
    </row>
    <row r="876" spans="1:24" x14ac:dyDescent="0.3">
      <c r="A876">
        <v>875</v>
      </c>
      <c r="B876" t="s">
        <v>2645</v>
      </c>
      <c r="C876" s="6">
        <v>45071</v>
      </c>
      <c r="D876" t="str">
        <f t="shared" si="52"/>
        <v>May</v>
      </c>
      <c r="E876" t="str">
        <f t="shared" si="53"/>
        <v>2023</v>
      </c>
      <c r="F876" t="s">
        <v>4</v>
      </c>
      <c r="G876" t="s">
        <v>322</v>
      </c>
      <c r="H876" t="s">
        <v>1241</v>
      </c>
      <c r="I876">
        <v>180</v>
      </c>
      <c r="J876">
        <v>6</v>
      </c>
      <c r="K876">
        <f t="shared" si="54"/>
        <v>3.3333333333333335</v>
      </c>
      <c r="L876" t="s">
        <v>1739</v>
      </c>
      <c r="M876" t="s">
        <v>3600</v>
      </c>
      <c r="N876" t="s">
        <v>1</v>
      </c>
      <c r="O876">
        <v>411035</v>
      </c>
      <c r="P876" t="s">
        <v>546</v>
      </c>
      <c r="Q876" t="s">
        <v>1763</v>
      </c>
      <c r="S876">
        <v>192.16</v>
      </c>
      <c r="T876">
        <v>5</v>
      </c>
      <c r="U876">
        <v>0.2</v>
      </c>
      <c r="V876">
        <v>67.256</v>
      </c>
      <c r="W876">
        <f t="shared" si="55"/>
        <v>24.980799999999999</v>
      </c>
      <c r="X876">
        <v>3</v>
      </c>
    </row>
    <row r="877" spans="1:24" x14ac:dyDescent="0.3">
      <c r="A877">
        <v>876</v>
      </c>
      <c r="B877" t="s">
        <v>2646</v>
      </c>
      <c r="C877" s="6">
        <v>45072</v>
      </c>
      <c r="D877" t="str">
        <f t="shared" si="52"/>
        <v>May</v>
      </c>
      <c r="E877" t="str">
        <f t="shared" si="53"/>
        <v>2023</v>
      </c>
      <c r="F877" t="s">
        <v>4</v>
      </c>
      <c r="G877" t="s">
        <v>261</v>
      </c>
      <c r="H877" t="s">
        <v>763</v>
      </c>
      <c r="I877">
        <v>140</v>
      </c>
      <c r="J877">
        <v>14</v>
      </c>
      <c r="K877">
        <f t="shared" si="54"/>
        <v>10</v>
      </c>
      <c r="L877" t="s">
        <v>1741</v>
      </c>
      <c r="M877" t="s">
        <v>3805</v>
      </c>
      <c r="O877">
        <v>815383</v>
      </c>
      <c r="P877" t="s">
        <v>546</v>
      </c>
      <c r="Q877" t="s">
        <v>1760</v>
      </c>
      <c r="S877">
        <v>322.58999999999997</v>
      </c>
      <c r="T877">
        <v>3</v>
      </c>
      <c r="U877">
        <v>0.1</v>
      </c>
      <c r="V877">
        <v>64.518000000000001</v>
      </c>
      <c r="W877">
        <f t="shared" si="55"/>
        <v>86.024000000000001</v>
      </c>
      <c r="X877">
        <v>2</v>
      </c>
    </row>
    <row r="878" spans="1:24" x14ac:dyDescent="0.3">
      <c r="A878">
        <v>877</v>
      </c>
      <c r="B878" t="s">
        <v>2647</v>
      </c>
      <c r="C878" s="6">
        <v>45073</v>
      </c>
      <c r="D878" t="str">
        <f t="shared" si="52"/>
        <v>May</v>
      </c>
      <c r="E878" t="str">
        <f t="shared" si="53"/>
        <v>2023</v>
      </c>
      <c r="F878" t="s">
        <v>4</v>
      </c>
      <c r="G878" t="s">
        <v>261</v>
      </c>
      <c r="H878" t="s">
        <v>793</v>
      </c>
      <c r="I878">
        <v>180</v>
      </c>
      <c r="J878">
        <v>20</v>
      </c>
      <c r="K878">
        <f t="shared" si="54"/>
        <v>11.111111111111111</v>
      </c>
      <c r="L878" t="s">
        <v>1736</v>
      </c>
      <c r="M878" t="s">
        <v>3644</v>
      </c>
      <c r="O878">
        <v>560077</v>
      </c>
      <c r="P878" t="s">
        <v>546</v>
      </c>
      <c r="Q878" t="s">
        <v>1763</v>
      </c>
      <c r="S878">
        <v>29.99</v>
      </c>
      <c r="T878">
        <v>1</v>
      </c>
      <c r="U878">
        <v>0.1</v>
      </c>
      <c r="V878">
        <v>13.195600000000001</v>
      </c>
      <c r="W878">
        <f t="shared" si="55"/>
        <v>16.794399999999996</v>
      </c>
      <c r="X878">
        <v>1</v>
      </c>
    </row>
    <row r="879" spans="1:24" x14ac:dyDescent="0.3">
      <c r="A879">
        <v>878</v>
      </c>
      <c r="B879" t="s">
        <v>2648</v>
      </c>
      <c r="C879" s="6">
        <v>45074</v>
      </c>
      <c r="D879" t="str">
        <f t="shared" si="52"/>
        <v>May</v>
      </c>
      <c r="E879" t="str">
        <f t="shared" si="53"/>
        <v>2023</v>
      </c>
      <c r="F879" t="s">
        <v>4</v>
      </c>
      <c r="G879" t="s">
        <v>261</v>
      </c>
      <c r="H879" t="s">
        <v>1242</v>
      </c>
      <c r="I879">
        <v>190</v>
      </c>
      <c r="J879">
        <v>14</v>
      </c>
      <c r="K879">
        <f t="shared" si="54"/>
        <v>7.3684210526315779</v>
      </c>
      <c r="L879" t="s">
        <v>1744</v>
      </c>
      <c r="M879" t="s">
        <v>3806</v>
      </c>
      <c r="O879">
        <v>533101</v>
      </c>
      <c r="P879" t="s">
        <v>546</v>
      </c>
      <c r="Q879" t="s">
        <v>1772</v>
      </c>
      <c r="S879">
        <v>371.97</v>
      </c>
      <c r="T879">
        <v>3</v>
      </c>
      <c r="U879">
        <v>0.1</v>
      </c>
      <c r="V879">
        <v>66.954599999999999</v>
      </c>
      <c r="W879">
        <f t="shared" si="55"/>
        <v>101.6718</v>
      </c>
      <c r="X879">
        <v>4</v>
      </c>
    </row>
    <row r="880" spans="1:24" x14ac:dyDescent="0.3">
      <c r="A880">
        <v>879</v>
      </c>
      <c r="B880" t="s">
        <v>2649</v>
      </c>
      <c r="C880" s="6">
        <v>45075</v>
      </c>
      <c r="D880" t="str">
        <f t="shared" si="52"/>
        <v>May</v>
      </c>
      <c r="E880" t="str">
        <f t="shared" si="53"/>
        <v>2023</v>
      </c>
      <c r="F880" t="s">
        <v>4</v>
      </c>
      <c r="G880" t="s">
        <v>333</v>
      </c>
      <c r="H880" t="s">
        <v>1243</v>
      </c>
      <c r="I880">
        <v>120</v>
      </c>
      <c r="J880">
        <v>26</v>
      </c>
      <c r="K880">
        <f t="shared" si="54"/>
        <v>21.666666666666668</v>
      </c>
      <c r="L880" t="s">
        <v>1740</v>
      </c>
      <c r="M880" t="s">
        <v>3586</v>
      </c>
      <c r="N880" t="s">
        <v>1</v>
      </c>
      <c r="O880">
        <v>110058</v>
      </c>
      <c r="P880" t="s">
        <v>546</v>
      </c>
      <c r="Q880" t="s">
        <v>1756</v>
      </c>
      <c r="S880">
        <v>5.8920000000000003</v>
      </c>
      <c r="T880">
        <v>4</v>
      </c>
      <c r="U880">
        <v>0.7</v>
      </c>
      <c r="V880">
        <v>-4.1243999999999996</v>
      </c>
      <c r="W880">
        <f t="shared" si="55"/>
        <v>2.5041000000000002</v>
      </c>
      <c r="X880">
        <v>3</v>
      </c>
    </row>
    <row r="881" spans="1:24" x14ac:dyDescent="0.3">
      <c r="A881">
        <v>880</v>
      </c>
      <c r="B881" t="s">
        <v>2650</v>
      </c>
      <c r="C881" s="6">
        <v>45076</v>
      </c>
      <c r="D881" t="str">
        <f t="shared" si="52"/>
        <v>May</v>
      </c>
      <c r="E881" t="str">
        <f t="shared" si="53"/>
        <v>2023</v>
      </c>
      <c r="F881" t="s">
        <v>3</v>
      </c>
      <c r="G881" t="s">
        <v>13</v>
      </c>
      <c r="H881" t="s">
        <v>1244</v>
      </c>
      <c r="I881">
        <v>120</v>
      </c>
      <c r="J881">
        <v>14</v>
      </c>
      <c r="K881">
        <f t="shared" si="54"/>
        <v>11.666666666666666</v>
      </c>
      <c r="L881" t="s">
        <v>1742</v>
      </c>
      <c r="M881" t="s">
        <v>3676</v>
      </c>
      <c r="N881" t="s">
        <v>1</v>
      </c>
      <c r="O881">
        <v>683511</v>
      </c>
      <c r="P881" t="s">
        <v>546</v>
      </c>
      <c r="Q881" t="s">
        <v>1767</v>
      </c>
      <c r="S881">
        <v>68.471999999999994</v>
      </c>
      <c r="T881">
        <v>3</v>
      </c>
      <c r="U881">
        <v>0.2</v>
      </c>
      <c r="V881">
        <v>23.109300000000001</v>
      </c>
      <c r="W881">
        <f t="shared" si="55"/>
        <v>15.120899999999997</v>
      </c>
      <c r="X881">
        <v>1</v>
      </c>
    </row>
    <row r="882" spans="1:24" x14ac:dyDescent="0.3">
      <c r="A882">
        <v>881</v>
      </c>
      <c r="B882" t="s">
        <v>2651</v>
      </c>
      <c r="C882" s="6">
        <v>45077</v>
      </c>
      <c r="D882" t="str">
        <f t="shared" si="52"/>
        <v>May</v>
      </c>
      <c r="E882" t="str">
        <f t="shared" si="53"/>
        <v>2023</v>
      </c>
      <c r="F882" t="s">
        <v>3</v>
      </c>
      <c r="G882" t="s">
        <v>13</v>
      </c>
      <c r="H882" t="s">
        <v>704</v>
      </c>
      <c r="I882">
        <v>110</v>
      </c>
      <c r="J882">
        <v>14</v>
      </c>
      <c r="K882">
        <f t="shared" si="54"/>
        <v>12.727272727272727</v>
      </c>
      <c r="L882" t="s">
        <v>1739</v>
      </c>
      <c r="M882" t="s">
        <v>3747</v>
      </c>
      <c r="N882" t="s">
        <v>1</v>
      </c>
      <c r="O882">
        <v>521108</v>
      </c>
      <c r="P882" t="s">
        <v>546</v>
      </c>
      <c r="Q882" t="s">
        <v>1761</v>
      </c>
      <c r="S882">
        <v>1242.9000000000001</v>
      </c>
      <c r="T882">
        <v>5</v>
      </c>
      <c r="U882">
        <v>0.11</v>
      </c>
      <c r="V882">
        <v>262.39</v>
      </c>
      <c r="W882">
        <f t="shared" si="55"/>
        <v>196.10200000000003</v>
      </c>
      <c r="X882">
        <v>4</v>
      </c>
    </row>
    <row r="883" spans="1:24" x14ac:dyDescent="0.3">
      <c r="A883">
        <v>882</v>
      </c>
      <c r="B883" t="s">
        <v>2652</v>
      </c>
      <c r="C883" s="6">
        <v>45078</v>
      </c>
      <c r="D883" t="str">
        <f t="shared" si="52"/>
        <v>Jun</v>
      </c>
      <c r="E883" t="str">
        <f t="shared" si="53"/>
        <v>2023</v>
      </c>
      <c r="F883" t="s">
        <v>4</v>
      </c>
      <c r="G883" t="s">
        <v>61</v>
      </c>
      <c r="H883" t="s">
        <v>968</v>
      </c>
      <c r="I883">
        <v>110</v>
      </c>
      <c r="J883">
        <v>6</v>
      </c>
      <c r="K883">
        <f t="shared" si="54"/>
        <v>5.4545454545454541</v>
      </c>
      <c r="L883" t="s">
        <v>1738</v>
      </c>
      <c r="M883" t="s">
        <v>3807</v>
      </c>
      <c r="N883" t="s">
        <v>1</v>
      </c>
      <c r="O883">
        <v>600078</v>
      </c>
      <c r="P883" t="s">
        <v>546</v>
      </c>
      <c r="Q883" t="s">
        <v>1767</v>
      </c>
      <c r="S883">
        <v>30.84</v>
      </c>
      <c r="T883">
        <v>2</v>
      </c>
      <c r="U883">
        <v>0.1</v>
      </c>
      <c r="V883">
        <v>8.3268000000000004</v>
      </c>
      <c r="W883">
        <f t="shared" si="55"/>
        <v>11.256599999999999</v>
      </c>
      <c r="X883">
        <v>1</v>
      </c>
    </row>
    <row r="884" spans="1:24" x14ac:dyDescent="0.3">
      <c r="A884">
        <v>883</v>
      </c>
      <c r="B884" t="s">
        <v>2653</v>
      </c>
      <c r="C884" s="6">
        <v>45079</v>
      </c>
      <c r="D884" t="str">
        <f t="shared" si="52"/>
        <v>Jun</v>
      </c>
      <c r="E884" t="str">
        <f t="shared" si="53"/>
        <v>2023</v>
      </c>
      <c r="F884" t="s">
        <v>6</v>
      </c>
      <c r="G884" t="s">
        <v>54</v>
      </c>
      <c r="H884" t="s">
        <v>1128</v>
      </c>
      <c r="I884">
        <v>210</v>
      </c>
      <c r="J884">
        <v>8</v>
      </c>
      <c r="K884">
        <f t="shared" si="54"/>
        <v>3.8095238095238098</v>
      </c>
      <c r="L884" t="s">
        <v>1737</v>
      </c>
      <c r="M884" t="s">
        <v>3808</v>
      </c>
      <c r="N884" t="s">
        <v>1</v>
      </c>
      <c r="O884">
        <v>600078</v>
      </c>
      <c r="P884" t="s">
        <v>546</v>
      </c>
      <c r="Q884" t="s">
        <v>1759</v>
      </c>
      <c r="R884" t="s">
        <v>2</v>
      </c>
      <c r="S884">
        <v>13.48</v>
      </c>
      <c r="T884">
        <v>4</v>
      </c>
      <c r="U884">
        <v>0.1</v>
      </c>
      <c r="V884">
        <v>5.9311999999999996</v>
      </c>
      <c r="W884">
        <f t="shared" si="55"/>
        <v>1.8872000000000002</v>
      </c>
      <c r="X884">
        <v>1</v>
      </c>
    </row>
    <row r="885" spans="1:24" x14ac:dyDescent="0.3">
      <c r="A885">
        <v>884</v>
      </c>
      <c r="B885" t="s">
        <v>2654</v>
      </c>
      <c r="C885" s="6">
        <v>45080</v>
      </c>
      <c r="D885" t="str">
        <f t="shared" si="52"/>
        <v>Jun</v>
      </c>
      <c r="E885" t="str">
        <f t="shared" si="53"/>
        <v>2023</v>
      </c>
      <c r="F885" t="s">
        <v>5</v>
      </c>
      <c r="G885" t="s">
        <v>334</v>
      </c>
      <c r="H885" t="s">
        <v>1092</v>
      </c>
      <c r="I885">
        <v>100</v>
      </c>
      <c r="J885">
        <v>28</v>
      </c>
      <c r="K885">
        <f t="shared" si="54"/>
        <v>28.000000000000004</v>
      </c>
      <c r="L885" t="s">
        <v>1743</v>
      </c>
      <c r="M885" t="s">
        <v>3809</v>
      </c>
      <c r="N885" t="s">
        <v>1</v>
      </c>
      <c r="O885">
        <v>600078</v>
      </c>
      <c r="P885" t="s">
        <v>546</v>
      </c>
      <c r="Q885" t="s">
        <v>1754</v>
      </c>
      <c r="R885" t="s">
        <v>2</v>
      </c>
      <c r="S885">
        <v>31.4</v>
      </c>
      <c r="T885">
        <v>5</v>
      </c>
      <c r="U885">
        <v>0.1</v>
      </c>
      <c r="V885">
        <v>10.048</v>
      </c>
      <c r="W885">
        <f t="shared" si="55"/>
        <v>4.2703999999999995</v>
      </c>
      <c r="X885">
        <v>3</v>
      </c>
    </row>
    <row r="886" spans="1:24" x14ac:dyDescent="0.3">
      <c r="A886">
        <v>885</v>
      </c>
      <c r="B886" t="s">
        <v>2655</v>
      </c>
      <c r="C886" s="6">
        <v>45081</v>
      </c>
      <c r="D886" t="str">
        <f t="shared" si="52"/>
        <v>Jun</v>
      </c>
      <c r="E886" t="str">
        <f t="shared" si="53"/>
        <v>2023</v>
      </c>
      <c r="F886" t="s">
        <v>4</v>
      </c>
      <c r="G886" t="s">
        <v>335</v>
      </c>
      <c r="H886" t="s">
        <v>1245</v>
      </c>
      <c r="I886">
        <v>190</v>
      </c>
      <c r="J886">
        <v>28</v>
      </c>
      <c r="K886">
        <f t="shared" si="54"/>
        <v>14.736842105263156</v>
      </c>
      <c r="L886" t="s">
        <v>1738</v>
      </c>
      <c r="M886" t="s">
        <v>3681</v>
      </c>
      <c r="N886" t="s">
        <v>1</v>
      </c>
      <c r="O886">
        <v>600078</v>
      </c>
      <c r="P886" t="s">
        <v>546</v>
      </c>
      <c r="Q886" t="s">
        <v>1759</v>
      </c>
      <c r="R886" t="s">
        <v>2</v>
      </c>
      <c r="S886">
        <v>17.46</v>
      </c>
      <c r="T886">
        <v>2</v>
      </c>
      <c r="U886">
        <v>0.1</v>
      </c>
      <c r="V886">
        <v>5.9363999999999999</v>
      </c>
      <c r="W886">
        <f t="shared" si="55"/>
        <v>5.7618000000000009</v>
      </c>
      <c r="X886">
        <v>4</v>
      </c>
    </row>
    <row r="887" spans="1:24" x14ac:dyDescent="0.3">
      <c r="A887">
        <v>886</v>
      </c>
      <c r="B887" t="s">
        <v>2656</v>
      </c>
      <c r="C887" s="6">
        <v>45082</v>
      </c>
      <c r="D887" t="str">
        <f t="shared" si="52"/>
        <v>Jun</v>
      </c>
      <c r="E887" t="str">
        <f t="shared" si="53"/>
        <v>2023</v>
      </c>
      <c r="F887" t="s">
        <v>3</v>
      </c>
      <c r="G887" t="s">
        <v>336</v>
      </c>
      <c r="H887" t="s">
        <v>1246</v>
      </c>
      <c r="I887">
        <v>110</v>
      </c>
      <c r="J887">
        <v>12</v>
      </c>
      <c r="K887">
        <f t="shared" si="54"/>
        <v>10.909090909090908</v>
      </c>
      <c r="L887" t="s">
        <v>1739</v>
      </c>
      <c r="M887" t="s">
        <v>3682</v>
      </c>
      <c r="N887" t="s">
        <v>1</v>
      </c>
      <c r="O887">
        <v>410209</v>
      </c>
      <c r="P887" t="s">
        <v>546</v>
      </c>
      <c r="Q887" t="s">
        <v>1759</v>
      </c>
      <c r="R887" t="s">
        <v>2</v>
      </c>
      <c r="S887">
        <v>13.944000000000001</v>
      </c>
      <c r="T887">
        <v>3</v>
      </c>
      <c r="U887">
        <v>0.2</v>
      </c>
      <c r="V887">
        <v>4.5317999999999996</v>
      </c>
      <c r="W887">
        <f t="shared" si="55"/>
        <v>3.1374000000000009</v>
      </c>
      <c r="X887">
        <v>2</v>
      </c>
    </row>
    <row r="888" spans="1:24" x14ac:dyDescent="0.3">
      <c r="A888">
        <v>887</v>
      </c>
      <c r="B888" t="s">
        <v>2657</v>
      </c>
      <c r="C888" s="6">
        <v>45083</v>
      </c>
      <c r="D888" t="str">
        <f t="shared" si="52"/>
        <v>Jun</v>
      </c>
      <c r="E888" t="str">
        <f t="shared" si="53"/>
        <v>2023</v>
      </c>
      <c r="F888" t="s">
        <v>4</v>
      </c>
      <c r="G888" t="s">
        <v>227</v>
      </c>
      <c r="H888" t="s">
        <v>1247</v>
      </c>
      <c r="I888">
        <v>240</v>
      </c>
      <c r="J888">
        <v>28</v>
      </c>
      <c r="K888">
        <f t="shared" si="54"/>
        <v>11.666666666666666</v>
      </c>
      <c r="L888" t="s">
        <v>1741</v>
      </c>
      <c r="M888" t="s">
        <v>3810</v>
      </c>
      <c r="N888" t="s">
        <v>1</v>
      </c>
      <c r="O888">
        <v>452016</v>
      </c>
      <c r="P888" t="s">
        <v>546</v>
      </c>
      <c r="Q888" t="s">
        <v>1754</v>
      </c>
      <c r="S888">
        <v>83.76</v>
      </c>
      <c r="T888">
        <v>12</v>
      </c>
      <c r="U888">
        <v>0.1</v>
      </c>
      <c r="V888">
        <v>1.6752</v>
      </c>
      <c r="W888">
        <f t="shared" si="55"/>
        <v>6.8403999999999998</v>
      </c>
      <c r="X888">
        <v>1</v>
      </c>
    </row>
    <row r="889" spans="1:24" x14ac:dyDescent="0.3">
      <c r="A889">
        <v>888</v>
      </c>
      <c r="B889" t="s">
        <v>2658</v>
      </c>
      <c r="C889" s="6">
        <v>45084</v>
      </c>
      <c r="D889" t="str">
        <f t="shared" si="52"/>
        <v>Jun</v>
      </c>
      <c r="E889" t="str">
        <f t="shared" si="53"/>
        <v>2023</v>
      </c>
      <c r="F889" t="s">
        <v>4</v>
      </c>
      <c r="G889" t="s">
        <v>337</v>
      </c>
      <c r="H889" t="s">
        <v>608</v>
      </c>
      <c r="I889">
        <v>240</v>
      </c>
      <c r="J889">
        <v>24</v>
      </c>
      <c r="K889">
        <f t="shared" si="54"/>
        <v>10</v>
      </c>
      <c r="L889" t="s">
        <v>1736</v>
      </c>
      <c r="M889" t="s">
        <v>3673</v>
      </c>
      <c r="N889" t="s">
        <v>1</v>
      </c>
      <c r="O889">
        <v>452016</v>
      </c>
      <c r="P889" t="s">
        <v>546</v>
      </c>
      <c r="Q889" t="s">
        <v>1765</v>
      </c>
      <c r="S889">
        <v>37.659999999999997</v>
      </c>
      <c r="T889">
        <v>7</v>
      </c>
      <c r="U889">
        <v>0.1</v>
      </c>
      <c r="V889">
        <v>18.453399999999998</v>
      </c>
      <c r="W889">
        <f t="shared" si="55"/>
        <v>2.7437999999999998</v>
      </c>
      <c r="X889">
        <v>1</v>
      </c>
    </row>
    <row r="890" spans="1:24" x14ac:dyDescent="0.3">
      <c r="A890">
        <v>889</v>
      </c>
      <c r="B890" t="s">
        <v>2659</v>
      </c>
      <c r="C890" s="6">
        <v>45085</v>
      </c>
      <c r="D890" t="str">
        <f t="shared" si="52"/>
        <v>Jun</v>
      </c>
      <c r="E890" t="str">
        <f t="shared" si="53"/>
        <v>2023</v>
      </c>
      <c r="F890" t="s">
        <v>4</v>
      </c>
      <c r="G890" t="s">
        <v>323</v>
      </c>
      <c r="H890" t="s">
        <v>918</v>
      </c>
      <c r="I890">
        <v>190</v>
      </c>
      <c r="J890">
        <v>10</v>
      </c>
      <c r="K890">
        <f t="shared" si="54"/>
        <v>5.2631578947368416</v>
      </c>
      <c r="L890" t="s">
        <v>1744</v>
      </c>
      <c r="M890" t="s">
        <v>3746</v>
      </c>
      <c r="N890" t="s">
        <v>1</v>
      </c>
      <c r="O890">
        <v>520002</v>
      </c>
      <c r="P890" t="s">
        <v>546</v>
      </c>
      <c r="Q890" t="s">
        <v>1766</v>
      </c>
      <c r="S890">
        <v>34.68</v>
      </c>
      <c r="T890">
        <v>6</v>
      </c>
      <c r="U890">
        <v>0.1</v>
      </c>
      <c r="V890">
        <v>16.993200000000002</v>
      </c>
      <c r="W890">
        <f t="shared" si="55"/>
        <v>2.9477999999999995</v>
      </c>
      <c r="X890">
        <v>4</v>
      </c>
    </row>
    <row r="891" spans="1:24" x14ac:dyDescent="0.3">
      <c r="A891">
        <v>890</v>
      </c>
      <c r="B891" t="s">
        <v>2660</v>
      </c>
      <c r="C891" s="6">
        <v>45086</v>
      </c>
      <c r="D891" t="str">
        <f t="shared" si="52"/>
        <v>Jun</v>
      </c>
      <c r="E891" t="str">
        <f t="shared" si="53"/>
        <v>2023</v>
      </c>
      <c r="F891" t="s">
        <v>4</v>
      </c>
      <c r="G891" t="s">
        <v>195</v>
      </c>
      <c r="H891" t="s">
        <v>1248</v>
      </c>
      <c r="I891">
        <v>210</v>
      </c>
      <c r="J891">
        <v>8</v>
      </c>
      <c r="K891">
        <f t="shared" si="54"/>
        <v>3.8095238095238098</v>
      </c>
      <c r="L891" t="s">
        <v>1740</v>
      </c>
      <c r="M891" t="s">
        <v>3811</v>
      </c>
      <c r="N891" t="s">
        <v>1</v>
      </c>
      <c r="O891">
        <v>403715</v>
      </c>
      <c r="P891" t="s">
        <v>546</v>
      </c>
      <c r="Q891" t="s">
        <v>1755</v>
      </c>
      <c r="S891">
        <v>149.94999999999999</v>
      </c>
      <c r="T891">
        <v>5</v>
      </c>
      <c r="U891">
        <v>0.1</v>
      </c>
      <c r="V891">
        <v>14.994999999999999</v>
      </c>
      <c r="W891">
        <f t="shared" si="55"/>
        <v>26.990999999999996</v>
      </c>
      <c r="X891">
        <v>5</v>
      </c>
    </row>
    <row r="892" spans="1:24" x14ac:dyDescent="0.3">
      <c r="A892">
        <v>891</v>
      </c>
      <c r="B892" t="s">
        <v>2661</v>
      </c>
      <c r="C892" s="6">
        <v>45087</v>
      </c>
      <c r="D892" t="str">
        <f t="shared" si="52"/>
        <v>Jun</v>
      </c>
      <c r="E892" t="str">
        <f t="shared" si="53"/>
        <v>2023</v>
      </c>
      <c r="F892" t="s">
        <v>4</v>
      </c>
      <c r="G892" t="s">
        <v>195</v>
      </c>
      <c r="H892" t="s">
        <v>957</v>
      </c>
      <c r="I892">
        <v>240</v>
      </c>
      <c r="J892">
        <v>24</v>
      </c>
      <c r="K892">
        <f t="shared" si="54"/>
        <v>10</v>
      </c>
      <c r="L892" t="s">
        <v>1742</v>
      </c>
      <c r="M892" t="s">
        <v>3656</v>
      </c>
      <c r="N892" t="s">
        <v>1</v>
      </c>
      <c r="O892">
        <v>403715</v>
      </c>
      <c r="P892" t="s">
        <v>546</v>
      </c>
      <c r="Q892" t="s">
        <v>1770</v>
      </c>
      <c r="S892">
        <v>51.311999999999998</v>
      </c>
      <c r="T892">
        <v>3</v>
      </c>
      <c r="U892">
        <v>0.2</v>
      </c>
      <c r="V892">
        <v>18.6006</v>
      </c>
      <c r="W892">
        <f t="shared" si="55"/>
        <v>10.903799999999999</v>
      </c>
      <c r="X892">
        <v>2</v>
      </c>
    </row>
    <row r="893" spans="1:24" x14ac:dyDescent="0.3">
      <c r="A893">
        <v>892</v>
      </c>
      <c r="B893" t="s">
        <v>2662</v>
      </c>
      <c r="C893" s="6">
        <v>45088</v>
      </c>
      <c r="D893" t="str">
        <f t="shared" si="52"/>
        <v>Jun</v>
      </c>
      <c r="E893" t="str">
        <f t="shared" si="53"/>
        <v>2023</v>
      </c>
      <c r="F893" t="s">
        <v>5</v>
      </c>
      <c r="G893" t="s">
        <v>281</v>
      </c>
      <c r="H893" t="s">
        <v>1249</v>
      </c>
      <c r="I893">
        <v>240</v>
      </c>
      <c r="J893">
        <v>24</v>
      </c>
      <c r="K893">
        <f t="shared" si="54"/>
        <v>10</v>
      </c>
      <c r="L893" t="s">
        <v>1739</v>
      </c>
      <c r="M893" t="s">
        <v>3637</v>
      </c>
      <c r="N893" t="s">
        <v>1</v>
      </c>
      <c r="O893">
        <v>600126</v>
      </c>
      <c r="P893" t="s">
        <v>546</v>
      </c>
      <c r="Q893" t="s">
        <v>1776</v>
      </c>
      <c r="S893">
        <v>4.54</v>
      </c>
      <c r="T893">
        <v>1</v>
      </c>
      <c r="U893">
        <v>0.1</v>
      </c>
      <c r="V893">
        <v>2.0430000000000001</v>
      </c>
      <c r="W893">
        <f t="shared" si="55"/>
        <v>2.4969999999999999</v>
      </c>
      <c r="X893">
        <v>2</v>
      </c>
    </row>
    <row r="894" spans="1:24" x14ac:dyDescent="0.3">
      <c r="A894">
        <v>893</v>
      </c>
      <c r="B894" t="s">
        <v>2663</v>
      </c>
      <c r="C894" s="6">
        <v>45089</v>
      </c>
      <c r="D894" t="str">
        <f t="shared" si="52"/>
        <v>Jun</v>
      </c>
      <c r="E894" t="str">
        <f t="shared" si="53"/>
        <v>2023</v>
      </c>
      <c r="F894" t="s">
        <v>5</v>
      </c>
      <c r="G894" t="s">
        <v>281</v>
      </c>
      <c r="H894" t="s">
        <v>1250</v>
      </c>
      <c r="I894">
        <v>110</v>
      </c>
      <c r="J894">
        <v>10</v>
      </c>
      <c r="K894">
        <f t="shared" si="54"/>
        <v>9.0909090909090917</v>
      </c>
      <c r="L894" t="s">
        <v>1738</v>
      </c>
      <c r="M894" t="s">
        <v>3812</v>
      </c>
      <c r="N894" t="s">
        <v>1</v>
      </c>
      <c r="O894">
        <v>123106</v>
      </c>
      <c r="P894" t="s">
        <v>546</v>
      </c>
      <c r="Q894" t="s">
        <v>1768</v>
      </c>
      <c r="S894">
        <v>15.92</v>
      </c>
      <c r="T894">
        <v>4</v>
      </c>
      <c r="U894">
        <v>0.1</v>
      </c>
      <c r="V894">
        <v>5.4127999999999998</v>
      </c>
      <c r="W894">
        <f t="shared" si="55"/>
        <v>2.6268000000000002</v>
      </c>
      <c r="X894">
        <v>5</v>
      </c>
    </row>
    <row r="895" spans="1:24" x14ac:dyDescent="0.3">
      <c r="A895">
        <v>894</v>
      </c>
      <c r="B895" t="s">
        <v>2664</v>
      </c>
      <c r="C895" s="6">
        <v>45090</v>
      </c>
      <c r="D895" t="str">
        <f t="shared" si="52"/>
        <v>Jun</v>
      </c>
      <c r="E895" t="str">
        <f t="shared" si="53"/>
        <v>2023</v>
      </c>
      <c r="F895" t="s">
        <v>5</v>
      </c>
      <c r="G895" t="s">
        <v>281</v>
      </c>
      <c r="H895" t="s">
        <v>1251</v>
      </c>
      <c r="I895">
        <v>250</v>
      </c>
      <c r="J895">
        <v>16</v>
      </c>
      <c r="K895">
        <f t="shared" si="54"/>
        <v>6.4</v>
      </c>
      <c r="L895" t="s">
        <v>1737</v>
      </c>
      <c r="M895" t="s">
        <v>3813</v>
      </c>
      <c r="O895">
        <v>123106</v>
      </c>
      <c r="P895" t="s">
        <v>546</v>
      </c>
      <c r="Q895" t="s">
        <v>1759</v>
      </c>
      <c r="S895">
        <v>543.91999999999996</v>
      </c>
      <c r="T895">
        <v>8</v>
      </c>
      <c r="U895">
        <v>0.1</v>
      </c>
      <c r="V895">
        <v>135.97999999999999</v>
      </c>
      <c r="W895">
        <f t="shared" si="55"/>
        <v>50.992499999999993</v>
      </c>
      <c r="X895">
        <v>4</v>
      </c>
    </row>
    <row r="896" spans="1:24" x14ac:dyDescent="0.3">
      <c r="A896">
        <v>895</v>
      </c>
      <c r="B896" t="s">
        <v>2665</v>
      </c>
      <c r="C896" s="6">
        <v>45091</v>
      </c>
      <c r="D896" t="str">
        <f t="shared" si="52"/>
        <v>Jun</v>
      </c>
      <c r="E896" t="str">
        <f t="shared" si="53"/>
        <v>2023</v>
      </c>
      <c r="F896" t="s">
        <v>5</v>
      </c>
      <c r="G896" t="s">
        <v>338</v>
      </c>
      <c r="H896" t="s">
        <v>877</v>
      </c>
      <c r="I896">
        <v>160</v>
      </c>
      <c r="J896">
        <v>26</v>
      </c>
      <c r="K896">
        <f t="shared" si="54"/>
        <v>16.25</v>
      </c>
      <c r="L896" t="s">
        <v>1743</v>
      </c>
      <c r="M896" t="s">
        <v>3610</v>
      </c>
      <c r="N896" t="s">
        <v>1</v>
      </c>
      <c r="O896">
        <v>560064</v>
      </c>
      <c r="P896" t="s">
        <v>546</v>
      </c>
      <c r="Q896" t="s">
        <v>1769</v>
      </c>
      <c r="S896">
        <v>155.82</v>
      </c>
      <c r="T896">
        <v>7</v>
      </c>
      <c r="U896">
        <v>0.1</v>
      </c>
      <c r="V896">
        <v>42.071399999999997</v>
      </c>
      <c r="W896">
        <f t="shared" si="55"/>
        <v>16.2498</v>
      </c>
      <c r="X896">
        <v>4</v>
      </c>
    </row>
    <row r="897" spans="1:24" x14ac:dyDescent="0.3">
      <c r="A897">
        <v>896</v>
      </c>
      <c r="B897" t="s">
        <v>2666</v>
      </c>
      <c r="C897" s="6">
        <v>45092</v>
      </c>
      <c r="D897" t="str">
        <f t="shared" si="52"/>
        <v>Jun</v>
      </c>
      <c r="E897" t="str">
        <f t="shared" si="53"/>
        <v>2023</v>
      </c>
      <c r="F897" t="s">
        <v>5</v>
      </c>
      <c r="G897" t="s">
        <v>338</v>
      </c>
      <c r="H897" t="s">
        <v>1252</v>
      </c>
      <c r="I897">
        <v>110</v>
      </c>
      <c r="J897">
        <v>8</v>
      </c>
      <c r="K897">
        <f t="shared" si="54"/>
        <v>7.2727272727272725</v>
      </c>
      <c r="L897" t="s">
        <v>1738</v>
      </c>
      <c r="M897" t="s">
        <v>3814</v>
      </c>
      <c r="N897" t="s">
        <v>1</v>
      </c>
      <c r="O897">
        <v>125001</v>
      </c>
      <c r="P897" t="s">
        <v>546</v>
      </c>
      <c r="Q897" t="s">
        <v>1768</v>
      </c>
      <c r="S897">
        <v>70.007999999999996</v>
      </c>
      <c r="T897">
        <v>3</v>
      </c>
      <c r="U897">
        <v>0.2</v>
      </c>
      <c r="V897">
        <v>24.502800000000001</v>
      </c>
      <c r="W897">
        <f t="shared" si="55"/>
        <v>15.168399999999998</v>
      </c>
      <c r="X897">
        <v>5</v>
      </c>
    </row>
    <row r="898" spans="1:24" x14ac:dyDescent="0.3">
      <c r="A898">
        <v>897</v>
      </c>
      <c r="B898" t="s">
        <v>2667</v>
      </c>
      <c r="C898" s="6">
        <v>45093</v>
      </c>
      <c r="D898" t="str">
        <f t="shared" si="52"/>
        <v>Jun</v>
      </c>
      <c r="E898" t="str">
        <f t="shared" si="53"/>
        <v>2023</v>
      </c>
      <c r="F898" t="s">
        <v>3</v>
      </c>
      <c r="G898" t="s">
        <v>339</v>
      </c>
      <c r="H898" t="s">
        <v>1253</v>
      </c>
      <c r="I898">
        <v>160</v>
      </c>
      <c r="J898">
        <v>24</v>
      </c>
      <c r="K898">
        <f t="shared" si="54"/>
        <v>15</v>
      </c>
      <c r="L898" t="s">
        <v>1739</v>
      </c>
      <c r="M898" t="s">
        <v>3707</v>
      </c>
      <c r="N898" t="s">
        <v>1</v>
      </c>
      <c r="O898">
        <v>600028</v>
      </c>
      <c r="P898" t="s">
        <v>546</v>
      </c>
      <c r="Q898" t="s">
        <v>1763</v>
      </c>
      <c r="S898">
        <v>15.648</v>
      </c>
      <c r="T898">
        <v>2</v>
      </c>
      <c r="U898">
        <v>0.2</v>
      </c>
      <c r="V898">
        <v>5.0856000000000003</v>
      </c>
      <c r="W898">
        <f t="shared" si="55"/>
        <v>5.2812000000000001</v>
      </c>
      <c r="X898">
        <v>1</v>
      </c>
    </row>
    <row r="899" spans="1:24" x14ac:dyDescent="0.3">
      <c r="A899">
        <v>898</v>
      </c>
      <c r="B899" t="s">
        <v>2668</v>
      </c>
      <c r="C899" s="6">
        <v>45094</v>
      </c>
      <c r="D899" t="str">
        <f t="shared" ref="D899:D962" si="56">TEXT(C899,"Mmm")</f>
        <v>Jun</v>
      </c>
      <c r="E899" t="str">
        <f t="shared" ref="E899:E962" si="57">TEXT(C899,"YYYY")</f>
        <v>2023</v>
      </c>
      <c r="F899" t="s">
        <v>4</v>
      </c>
      <c r="G899" t="s">
        <v>340</v>
      </c>
      <c r="H899" t="s">
        <v>976</v>
      </c>
      <c r="I899">
        <v>220</v>
      </c>
      <c r="J899">
        <v>14</v>
      </c>
      <c r="K899">
        <f t="shared" ref="K899:K962" si="58">(J899/I899)*100</f>
        <v>6.3636363636363633</v>
      </c>
      <c r="L899" t="s">
        <v>1741</v>
      </c>
      <c r="M899" t="s">
        <v>3815</v>
      </c>
      <c r="O899">
        <v>410209</v>
      </c>
      <c r="P899" t="s">
        <v>546</v>
      </c>
      <c r="Q899" t="s">
        <v>1764</v>
      </c>
      <c r="R899" t="s">
        <v>2</v>
      </c>
      <c r="S899">
        <v>103.6</v>
      </c>
      <c r="T899">
        <v>7</v>
      </c>
      <c r="U899">
        <v>0.1</v>
      </c>
      <c r="V899">
        <v>51.8</v>
      </c>
      <c r="W899">
        <f t="shared" ref="W899:W962" si="59">(S899-V899)/T899</f>
        <v>7.3999999999999995</v>
      </c>
      <c r="X899">
        <v>3</v>
      </c>
    </row>
    <row r="900" spans="1:24" x14ac:dyDescent="0.3">
      <c r="A900">
        <v>899</v>
      </c>
      <c r="B900" t="s">
        <v>2669</v>
      </c>
      <c r="C900" s="6">
        <v>45095</v>
      </c>
      <c r="D900" t="str">
        <f t="shared" si="56"/>
        <v>Jun</v>
      </c>
      <c r="E900" t="str">
        <f t="shared" si="57"/>
        <v>2023</v>
      </c>
      <c r="F900" t="s">
        <v>3</v>
      </c>
      <c r="G900" t="s">
        <v>341</v>
      </c>
      <c r="H900" t="s">
        <v>1254</v>
      </c>
      <c r="I900">
        <v>170</v>
      </c>
      <c r="J900">
        <v>14</v>
      </c>
      <c r="K900">
        <f t="shared" si="58"/>
        <v>8.235294117647058</v>
      </c>
      <c r="L900" t="s">
        <v>1736</v>
      </c>
      <c r="M900" t="s">
        <v>3653</v>
      </c>
      <c r="N900" t="s">
        <v>1</v>
      </c>
      <c r="O900">
        <v>133203</v>
      </c>
      <c r="P900" t="s">
        <v>546</v>
      </c>
      <c r="Q900" t="s">
        <v>1775</v>
      </c>
      <c r="R900" t="s">
        <v>2</v>
      </c>
      <c r="S900">
        <v>46.96</v>
      </c>
      <c r="T900">
        <v>8</v>
      </c>
      <c r="U900">
        <v>0.1</v>
      </c>
      <c r="V900">
        <v>22.540800000000001</v>
      </c>
      <c r="W900">
        <f t="shared" si="59"/>
        <v>3.0524</v>
      </c>
      <c r="X900">
        <v>3</v>
      </c>
    </row>
    <row r="901" spans="1:24" x14ac:dyDescent="0.3">
      <c r="A901">
        <v>900</v>
      </c>
      <c r="B901" t="s">
        <v>2670</v>
      </c>
      <c r="C901" s="6">
        <v>45096</v>
      </c>
      <c r="D901" t="str">
        <f t="shared" si="56"/>
        <v>Jun</v>
      </c>
      <c r="E901" t="str">
        <f t="shared" si="57"/>
        <v>2023</v>
      </c>
      <c r="F901" t="s">
        <v>5</v>
      </c>
      <c r="G901" t="s">
        <v>342</v>
      </c>
      <c r="H901" t="s">
        <v>1255</v>
      </c>
      <c r="I901">
        <v>210</v>
      </c>
      <c r="J901">
        <v>10</v>
      </c>
      <c r="K901">
        <f t="shared" si="58"/>
        <v>4.7619047619047619</v>
      </c>
      <c r="L901" t="s">
        <v>1744</v>
      </c>
      <c r="M901" t="s">
        <v>3585</v>
      </c>
      <c r="N901" t="s">
        <v>1</v>
      </c>
      <c r="O901">
        <v>560079</v>
      </c>
      <c r="P901" t="s">
        <v>546</v>
      </c>
      <c r="Q901" t="s">
        <v>1765</v>
      </c>
      <c r="S901">
        <v>8.9039999999999999</v>
      </c>
      <c r="T901">
        <v>2</v>
      </c>
      <c r="U901">
        <v>0.7</v>
      </c>
      <c r="V901">
        <v>-6.5296000000000003</v>
      </c>
      <c r="W901">
        <f t="shared" si="59"/>
        <v>7.7168000000000001</v>
      </c>
      <c r="X901">
        <v>5</v>
      </c>
    </row>
    <row r="902" spans="1:24" x14ac:dyDescent="0.3">
      <c r="A902">
        <v>901</v>
      </c>
      <c r="B902" t="s">
        <v>2671</v>
      </c>
      <c r="C902" s="6">
        <v>45097</v>
      </c>
      <c r="D902" t="str">
        <f t="shared" si="56"/>
        <v>Jun</v>
      </c>
      <c r="E902" t="str">
        <f t="shared" si="57"/>
        <v>2023</v>
      </c>
      <c r="F902" t="s">
        <v>5</v>
      </c>
      <c r="G902" t="s">
        <v>150</v>
      </c>
      <c r="H902" t="s">
        <v>1256</v>
      </c>
      <c r="I902">
        <v>220</v>
      </c>
      <c r="J902">
        <v>12</v>
      </c>
      <c r="K902">
        <f t="shared" si="58"/>
        <v>5.4545454545454541</v>
      </c>
      <c r="L902" t="s">
        <v>1740</v>
      </c>
      <c r="M902" t="s">
        <v>3714</v>
      </c>
      <c r="N902" t="s">
        <v>1</v>
      </c>
      <c r="O902">
        <v>121003</v>
      </c>
      <c r="P902" t="s">
        <v>546</v>
      </c>
      <c r="Q902" t="s">
        <v>1765</v>
      </c>
      <c r="S902">
        <v>10.44</v>
      </c>
      <c r="T902">
        <v>5</v>
      </c>
      <c r="U902">
        <v>0.2</v>
      </c>
      <c r="V902">
        <v>3.3929999999999998</v>
      </c>
      <c r="W902">
        <f t="shared" si="59"/>
        <v>1.4094</v>
      </c>
      <c r="X902">
        <v>3</v>
      </c>
    </row>
    <row r="903" spans="1:24" x14ac:dyDescent="0.3">
      <c r="A903">
        <v>902</v>
      </c>
      <c r="B903" t="s">
        <v>2672</v>
      </c>
      <c r="C903" s="6">
        <v>45098</v>
      </c>
      <c r="D903" t="str">
        <f t="shared" si="56"/>
        <v>Jun</v>
      </c>
      <c r="E903" t="str">
        <f t="shared" si="57"/>
        <v>2023</v>
      </c>
      <c r="F903" t="s">
        <v>5</v>
      </c>
      <c r="G903" t="s">
        <v>150</v>
      </c>
      <c r="H903" t="s">
        <v>1257</v>
      </c>
      <c r="I903">
        <v>100</v>
      </c>
      <c r="J903">
        <v>12</v>
      </c>
      <c r="K903">
        <f t="shared" si="58"/>
        <v>12</v>
      </c>
      <c r="L903" t="s">
        <v>1742</v>
      </c>
      <c r="M903" t="s">
        <v>3816</v>
      </c>
      <c r="O903">
        <v>110096</v>
      </c>
      <c r="P903" t="s">
        <v>546</v>
      </c>
      <c r="Q903" t="s">
        <v>1755</v>
      </c>
      <c r="S903">
        <v>18.335999999999999</v>
      </c>
      <c r="T903">
        <v>4</v>
      </c>
      <c r="U903">
        <v>0.8</v>
      </c>
      <c r="V903">
        <v>-32.088000000000001</v>
      </c>
      <c r="W903">
        <f t="shared" si="59"/>
        <v>12.606</v>
      </c>
      <c r="X903">
        <v>2</v>
      </c>
    </row>
    <row r="904" spans="1:24" x14ac:dyDescent="0.3">
      <c r="A904">
        <v>903</v>
      </c>
      <c r="B904" t="s">
        <v>2673</v>
      </c>
      <c r="C904" s="6">
        <v>45099</v>
      </c>
      <c r="D904" t="str">
        <f t="shared" si="56"/>
        <v>Jun</v>
      </c>
      <c r="E904" t="str">
        <f t="shared" si="57"/>
        <v>2023</v>
      </c>
      <c r="F904" t="s">
        <v>5</v>
      </c>
      <c r="G904" t="s">
        <v>79</v>
      </c>
      <c r="H904" t="s">
        <v>696</v>
      </c>
      <c r="I904">
        <v>210</v>
      </c>
      <c r="J904">
        <v>30</v>
      </c>
      <c r="K904">
        <f t="shared" si="58"/>
        <v>14.285714285714285</v>
      </c>
      <c r="L904" t="s">
        <v>1739</v>
      </c>
      <c r="M904" t="s">
        <v>3657</v>
      </c>
      <c r="N904" t="s">
        <v>1</v>
      </c>
      <c r="O904">
        <v>411044</v>
      </c>
      <c r="P904" t="s">
        <v>546</v>
      </c>
      <c r="Q904" t="s">
        <v>1759</v>
      </c>
      <c r="R904" t="s">
        <v>2</v>
      </c>
      <c r="S904">
        <v>323.976</v>
      </c>
      <c r="T904">
        <v>3</v>
      </c>
      <c r="U904">
        <v>0.2</v>
      </c>
      <c r="V904">
        <v>20.2485</v>
      </c>
      <c r="W904">
        <f t="shared" si="59"/>
        <v>101.24250000000001</v>
      </c>
      <c r="X904">
        <v>2</v>
      </c>
    </row>
    <row r="905" spans="1:24" x14ac:dyDescent="0.3">
      <c r="A905">
        <v>904</v>
      </c>
      <c r="B905" t="s">
        <v>2674</v>
      </c>
      <c r="C905" s="6">
        <v>45100</v>
      </c>
      <c r="D905" t="str">
        <f t="shared" si="56"/>
        <v>Jun</v>
      </c>
      <c r="E905" t="str">
        <f t="shared" si="57"/>
        <v>2023</v>
      </c>
      <c r="F905" t="s">
        <v>4</v>
      </c>
      <c r="G905" t="s">
        <v>102</v>
      </c>
      <c r="H905" t="s">
        <v>1258</v>
      </c>
      <c r="I905">
        <v>160</v>
      </c>
      <c r="J905">
        <v>20</v>
      </c>
      <c r="K905">
        <f t="shared" si="58"/>
        <v>12.5</v>
      </c>
      <c r="L905" t="s">
        <v>1738</v>
      </c>
      <c r="M905" t="s">
        <v>3817</v>
      </c>
      <c r="N905" t="s">
        <v>1</v>
      </c>
      <c r="O905">
        <v>560043</v>
      </c>
      <c r="P905" t="s">
        <v>546</v>
      </c>
      <c r="Q905" t="s">
        <v>1776</v>
      </c>
      <c r="S905">
        <v>20.04</v>
      </c>
      <c r="T905">
        <v>3</v>
      </c>
      <c r="U905">
        <v>0.1</v>
      </c>
      <c r="V905">
        <v>9.6191999999999993</v>
      </c>
      <c r="W905">
        <f t="shared" si="59"/>
        <v>3.4735999999999998</v>
      </c>
      <c r="X905">
        <v>2</v>
      </c>
    </row>
    <row r="906" spans="1:24" x14ac:dyDescent="0.3">
      <c r="A906">
        <v>905</v>
      </c>
      <c r="B906" t="s">
        <v>2675</v>
      </c>
      <c r="C906" s="6">
        <v>45101</v>
      </c>
      <c r="D906" t="str">
        <f t="shared" si="56"/>
        <v>Jun</v>
      </c>
      <c r="E906" t="str">
        <f t="shared" si="57"/>
        <v>2023</v>
      </c>
      <c r="F906" t="s">
        <v>4</v>
      </c>
      <c r="G906" t="s">
        <v>102</v>
      </c>
      <c r="H906" t="s">
        <v>1118</v>
      </c>
      <c r="I906">
        <v>220</v>
      </c>
      <c r="J906">
        <v>8</v>
      </c>
      <c r="K906">
        <f t="shared" si="58"/>
        <v>3.6363636363636362</v>
      </c>
      <c r="L906" t="s">
        <v>1737</v>
      </c>
      <c r="M906" t="s">
        <v>3818</v>
      </c>
      <c r="N906" t="s">
        <v>1</v>
      </c>
      <c r="O906">
        <v>560043</v>
      </c>
      <c r="P906" t="s">
        <v>546</v>
      </c>
      <c r="Q906" t="s">
        <v>1755</v>
      </c>
      <c r="S906">
        <v>64.959999999999994</v>
      </c>
      <c r="T906">
        <v>2</v>
      </c>
      <c r="U906">
        <v>0.1</v>
      </c>
      <c r="V906">
        <v>2.5983999999999998</v>
      </c>
      <c r="W906">
        <f t="shared" si="59"/>
        <v>31.180799999999998</v>
      </c>
      <c r="X906">
        <v>3</v>
      </c>
    </row>
    <row r="907" spans="1:24" x14ac:dyDescent="0.3">
      <c r="A907">
        <v>906</v>
      </c>
      <c r="B907" t="s">
        <v>2676</v>
      </c>
      <c r="C907" s="6">
        <v>45102</v>
      </c>
      <c r="D907" t="str">
        <f t="shared" si="56"/>
        <v>Jun</v>
      </c>
      <c r="E907" t="str">
        <f t="shared" si="57"/>
        <v>2023</v>
      </c>
      <c r="F907" t="s">
        <v>4</v>
      </c>
      <c r="G907" t="s">
        <v>102</v>
      </c>
      <c r="H907" t="s">
        <v>1259</v>
      </c>
      <c r="I907">
        <v>240</v>
      </c>
      <c r="J907">
        <v>6</v>
      </c>
      <c r="K907">
        <f t="shared" si="58"/>
        <v>2.5</v>
      </c>
      <c r="L907" t="s">
        <v>1743</v>
      </c>
      <c r="M907" t="s">
        <v>3819</v>
      </c>
      <c r="N907" t="s">
        <v>1</v>
      </c>
      <c r="O907">
        <v>560061</v>
      </c>
      <c r="P907" t="s">
        <v>546</v>
      </c>
      <c r="Q907" t="s">
        <v>1776</v>
      </c>
      <c r="S907">
        <v>12.96</v>
      </c>
      <c r="T907">
        <v>2</v>
      </c>
      <c r="U907">
        <v>0.1</v>
      </c>
      <c r="V907">
        <v>6.2207999999999997</v>
      </c>
      <c r="W907">
        <f t="shared" si="59"/>
        <v>3.3696000000000006</v>
      </c>
      <c r="X907">
        <v>4</v>
      </c>
    </row>
    <row r="908" spans="1:24" x14ac:dyDescent="0.3">
      <c r="A908">
        <v>907</v>
      </c>
      <c r="B908" t="s">
        <v>2677</v>
      </c>
      <c r="C908" s="6">
        <v>45103</v>
      </c>
      <c r="D908" t="str">
        <f t="shared" si="56"/>
        <v>Jun</v>
      </c>
      <c r="E908" t="str">
        <f t="shared" si="57"/>
        <v>2023</v>
      </c>
      <c r="F908" t="s">
        <v>4</v>
      </c>
      <c r="G908" t="s">
        <v>29</v>
      </c>
      <c r="H908" t="s">
        <v>1260</v>
      </c>
      <c r="I908">
        <v>220</v>
      </c>
      <c r="J908">
        <v>22</v>
      </c>
      <c r="K908">
        <f t="shared" si="58"/>
        <v>10</v>
      </c>
      <c r="L908" t="s">
        <v>1738</v>
      </c>
      <c r="M908" t="s">
        <v>3662</v>
      </c>
      <c r="N908" t="s">
        <v>1</v>
      </c>
      <c r="O908">
        <v>560061</v>
      </c>
      <c r="P908" t="s">
        <v>546</v>
      </c>
      <c r="Q908" t="s">
        <v>1769</v>
      </c>
      <c r="S908">
        <v>323.13600000000002</v>
      </c>
      <c r="T908">
        <v>4</v>
      </c>
      <c r="U908">
        <v>0.2</v>
      </c>
      <c r="V908">
        <v>12.117599999999999</v>
      </c>
      <c r="W908">
        <f t="shared" si="59"/>
        <v>77.754600000000011</v>
      </c>
      <c r="X908">
        <v>3</v>
      </c>
    </row>
    <row r="909" spans="1:24" x14ac:dyDescent="0.3">
      <c r="A909">
        <v>908</v>
      </c>
      <c r="B909" t="s">
        <v>2678</v>
      </c>
      <c r="C909" s="6">
        <v>45104</v>
      </c>
      <c r="D909" t="str">
        <f t="shared" si="56"/>
        <v>Jun</v>
      </c>
      <c r="E909" t="str">
        <f t="shared" si="57"/>
        <v>2023</v>
      </c>
      <c r="F909" t="s">
        <v>4</v>
      </c>
      <c r="G909" t="s">
        <v>29</v>
      </c>
      <c r="H909" t="s">
        <v>1261</v>
      </c>
      <c r="I909">
        <v>190</v>
      </c>
      <c r="J909">
        <v>24</v>
      </c>
      <c r="K909">
        <f t="shared" si="58"/>
        <v>12.631578947368421</v>
      </c>
      <c r="L909" t="s">
        <v>1739</v>
      </c>
      <c r="M909" t="s">
        <v>3617</v>
      </c>
      <c r="N909" t="s">
        <v>1</v>
      </c>
      <c r="O909">
        <v>400093</v>
      </c>
      <c r="P909" t="s">
        <v>546</v>
      </c>
      <c r="Q909" t="s">
        <v>1761</v>
      </c>
      <c r="S909">
        <v>90.93</v>
      </c>
      <c r="T909">
        <v>7</v>
      </c>
      <c r="U909">
        <v>0.1</v>
      </c>
      <c r="V909">
        <v>2.7279</v>
      </c>
      <c r="W909">
        <f t="shared" si="59"/>
        <v>12.600300000000001</v>
      </c>
      <c r="X909">
        <v>5</v>
      </c>
    </row>
    <row r="910" spans="1:24" x14ac:dyDescent="0.3">
      <c r="A910">
        <v>909</v>
      </c>
      <c r="B910" t="s">
        <v>2679</v>
      </c>
      <c r="C910" s="6">
        <v>45105</v>
      </c>
      <c r="D910" t="str">
        <f t="shared" si="56"/>
        <v>Jun</v>
      </c>
      <c r="E910" t="str">
        <f t="shared" si="57"/>
        <v>2023</v>
      </c>
      <c r="F910" t="s">
        <v>4</v>
      </c>
      <c r="G910" t="s">
        <v>29</v>
      </c>
      <c r="H910" t="s">
        <v>1262</v>
      </c>
      <c r="I910">
        <v>160</v>
      </c>
      <c r="J910">
        <v>18</v>
      </c>
      <c r="K910">
        <f t="shared" si="58"/>
        <v>11.25</v>
      </c>
      <c r="L910" t="s">
        <v>1741</v>
      </c>
      <c r="M910" t="s">
        <v>3820</v>
      </c>
      <c r="N910" t="s">
        <v>1</v>
      </c>
      <c r="O910">
        <v>411030</v>
      </c>
      <c r="P910" t="s">
        <v>546</v>
      </c>
      <c r="Q910" t="s">
        <v>1774</v>
      </c>
      <c r="S910">
        <v>52.776000000000003</v>
      </c>
      <c r="T910">
        <v>3</v>
      </c>
      <c r="U910">
        <v>0.2</v>
      </c>
      <c r="V910">
        <v>19.791</v>
      </c>
      <c r="W910">
        <f t="shared" si="59"/>
        <v>10.994999999999999</v>
      </c>
      <c r="X910">
        <v>5</v>
      </c>
    </row>
    <row r="911" spans="1:24" x14ac:dyDescent="0.3">
      <c r="A911">
        <v>910</v>
      </c>
      <c r="B911" t="s">
        <v>2680</v>
      </c>
      <c r="C911" s="6">
        <v>45106</v>
      </c>
      <c r="D911" t="str">
        <f t="shared" si="56"/>
        <v>Jun</v>
      </c>
      <c r="E911" t="str">
        <f t="shared" si="57"/>
        <v>2023</v>
      </c>
      <c r="F911" t="s">
        <v>4</v>
      </c>
      <c r="G911" t="s">
        <v>343</v>
      </c>
      <c r="H911" t="s">
        <v>1263</v>
      </c>
      <c r="I911">
        <v>180</v>
      </c>
      <c r="J911">
        <v>24</v>
      </c>
      <c r="K911">
        <f t="shared" si="58"/>
        <v>13.333333333333334</v>
      </c>
      <c r="L911" t="s">
        <v>1736</v>
      </c>
      <c r="M911" t="s">
        <v>3821</v>
      </c>
      <c r="N911" t="s">
        <v>1</v>
      </c>
      <c r="O911">
        <v>431203</v>
      </c>
      <c r="P911" t="s">
        <v>546</v>
      </c>
      <c r="Q911" t="s">
        <v>1766</v>
      </c>
      <c r="S911">
        <v>1199.8</v>
      </c>
      <c r="T911">
        <v>4</v>
      </c>
      <c r="U911">
        <v>0.1</v>
      </c>
      <c r="V911">
        <v>323.94600000000003</v>
      </c>
      <c r="W911">
        <f t="shared" si="59"/>
        <v>218.96349999999998</v>
      </c>
      <c r="X911">
        <v>5</v>
      </c>
    </row>
    <row r="912" spans="1:24" x14ac:dyDescent="0.3">
      <c r="A912">
        <v>911</v>
      </c>
      <c r="B912" t="s">
        <v>2681</v>
      </c>
      <c r="C912" s="6">
        <v>45107</v>
      </c>
      <c r="D912" t="str">
        <f t="shared" si="56"/>
        <v>Jun</v>
      </c>
      <c r="E912" t="str">
        <f t="shared" si="57"/>
        <v>2023</v>
      </c>
      <c r="F912" t="s">
        <v>4</v>
      </c>
      <c r="G912" t="s">
        <v>343</v>
      </c>
      <c r="H912" t="s">
        <v>1264</v>
      </c>
      <c r="I912">
        <v>240</v>
      </c>
      <c r="J912">
        <v>12</v>
      </c>
      <c r="K912">
        <f t="shared" si="58"/>
        <v>5</v>
      </c>
      <c r="L912" t="s">
        <v>1744</v>
      </c>
      <c r="M912" t="s">
        <v>3822</v>
      </c>
      <c r="N912" t="s">
        <v>1</v>
      </c>
      <c r="O912">
        <v>580030</v>
      </c>
      <c r="P912" t="s">
        <v>546</v>
      </c>
      <c r="Q912" t="s">
        <v>1768</v>
      </c>
      <c r="S912">
        <v>1928.78</v>
      </c>
      <c r="T912">
        <v>7</v>
      </c>
      <c r="U912">
        <v>0.1</v>
      </c>
      <c r="V912">
        <v>829.37540000000001</v>
      </c>
      <c r="W912">
        <f t="shared" si="59"/>
        <v>157.05779999999999</v>
      </c>
      <c r="X912">
        <v>1</v>
      </c>
    </row>
    <row r="913" spans="1:24" x14ac:dyDescent="0.3">
      <c r="A913">
        <v>912</v>
      </c>
      <c r="B913" t="s">
        <v>2682</v>
      </c>
      <c r="C913" s="6">
        <v>45108</v>
      </c>
      <c r="D913" t="str">
        <f t="shared" si="56"/>
        <v>Jul</v>
      </c>
      <c r="E913" t="str">
        <f t="shared" si="57"/>
        <v>2023</v>
      </c>
      <c r="F913" t="s">
        <v>4</v>
      </c>
      <c r="G913" t="s">
        <v>343</v>
      </c>
      <c r="H913" t="s">
        <v>1265</v>
      </c>
      <c r="I913">
        <v>130</v>
      </c>
      <c r="J913">
        <v>30</v>
      </c>
      <c r="K913">
        <f t="shared" si="58"/>
        <v>23.076923076923077</v>
      </c>
      <c r="L913" t="s">
        <v>1740</v>
      </c>
      <c r="M913" t="s">
        <v>3823</v>
      </c>
      <c r="N913" t="s">
        <v>1</v>
      </c>
      <c r="O913">
        <v>243601</v>
      </c>
      <c r="P913" t="s">
        <v>546</v>
      </c>
      <c r="Q913" t="s">
        <v>1761</v>
      </c>
      <c r="S913">
        <v>352.38</v>
      </c>
      <c r="T913">
        <v>2</v>
      </c>
      <c r="U913">
        <v>0.1</v>
      </c>
      <c r="V913">
        <v>81.047399999999996</v>
      </c>
      <c r="W913">
        <f t="shared" si="59"/>
        <v>135.66630000000001</v>
      </c>
      <c r="X913">
        <v>5</v>
      </c>
    </row>
    <row r="914" spans="1:24" x14ac:dyDescent="0.3">
      <c r="A914">
        <v>913</v>
      </c>
      <c r="B914" t="s">
        <v>2683</v>
      </c>
      <c r="C914" s="6">
        <v>45109</v>
      </c>
      <c r="D914" t="str">
        <f t="shared" si="56"/>
        <v>Jul</v>
      </c>
      <c r="E914" t="str">
        <f t="shared" si="57"/>
        <v>2023</v>
      </c>
      <c r="F914" t="s">
        <v>4</v>
      </c>
      <c r="G914" t="s">
        <v>344</v>
      </c>
      <c r="H914" t="s">
        <v>892</v>
      </c>
      <c r="I914">
        <v>150</v>
      </c>
      <c r="J914">
        <v>24</v>
      </c>
      <c r="K914">
        <f t="shared" si="58"/>
        <v>16</v>
      </c>
      <c r="L914" t="s">
        <v>1742</v>
      </c>
      <c r="M914" t="s">
        <v>3687</v>
      </c>
      <c r="N914" t="s">
        <v>1</v>
      </c>
      <c r="O914">
        <v>737102</v>
      </c>
      <c r="P914" t="s">
        <v>546</v>
      </c>
      <c r="Q914" t="s">
        <v>1764</v>
      </c>
      <c r="S914">
        <v>22.2</v>
      </c>
      <c r="T914">
        <v>6</v>
      </c>
      <c r="U914">
        <v>0.1</v>
      </c>
      <c r="V914">
        <v>9.1020000000000003</v>
      </c>
      <c r="W914">
        <f t="shared" si="59"/>
        <v>2.1829999999999998</v>
      </c>
      <c r="X914">
        <v>3</v>
      </c>
    </row>
    <row r="915" spans="1:24" x14ac:dyDescent="0.3">
      <c r="A915">
        <v>914</v>
      </c>
      <c r="B915" t="s">
        <v>2684</v>
      </c>
      <c r="C915" s="6">
        <v>45110</v>
      </c>
      <c r="D915" t="str">
        <f t="shared" si="56"/>
        <v>Jul</v>
      </c>
      <c r="E915" t="str">
        <f t="shared" si="57"/>
        <v>2023</v>
      </c>
      <c r="F915" t="s">
        <v>5</v>
      </c>
      <c r="G915" t="s">
        <v>319</v>
      </c>
      <c r="H915" t="s">
        <v>814</v>
      </c>
      <c r="I915">
        <v>220</v>
      </c>
      <c r="J915">
        <v>24</v>
      </c>
      <c r="K915">
        <f t="shared" si="58"/>
        <v>10.909090909090908</v>
      </c>
      <c r="L915" t="s">
        <v>1739</v>
      </c>
      <c r="M915" t="s">
        <v>3608</v>
      </c>
      <c r="N915" t="s">
        <v>1</v>
      </c>
      <c r="O915">
        <v>400050</v>
      </c>
      <c r="P915" t="s">
        <v>546</v>
      </c>
      <c r="Q915" t="s">
        <v>1772</v>
      </c>
      <c r="S915">
        <v>46.94</v>
      </c>
      <c r="T915">
        <v>1</v>
      </c>
      <c r="U915">
        <v>0.1</v>
      </c>
      <c r="V915">
        <v>19.2454</v>
      </c>
      <c r="W915">
        <f t="shared" si="59"/>
        <v>27.694599999999998</v>
      </c>
      <c r="X915">
        <v>3</v>
      </c>
    </row>
    <row r="916" spans="1:24" x14ac:dyDescent="0.3">
      <c r="A916">
        <v>915</v>
      </c>
      <c r="B916" t="s">
        <v>2685</v>
      </c>
      <c r="C916" s="6">
        <v>45111</v>
      </c>
      <c r="D916" t="str">
        <f t="shared" si="56"/>
        <v>Jul</v>
      </c>
      <c r="E916" t="str">
        <f t="shared" si="57"/>
        <v>2023</v>
      </c>
      <c r="F916" t="s">
        <v>5</v>
      </c>
      <c r="G916" t="s">
        <v>319</v>
      </c>
      <c r="H916" t="s">
        <v>951</v>
      </c>
      <c r="I916">
        <v>150</v>
      </c>
      <c r="J916">
        <v>24</v>
      </c>
      <c r="K916">
        <f t="shared" si="58"/>
        <v>16</v>
      </c>
      <c r="L916" t="s">
        <v>1738</v>
      </c>
      <c r="M916" t="s">
        <v>3786</v>
      </c>
      <c r="N916" t="s">
        <v>1</v>
      </c>
      <c r="O916">
        <v>401208</v>
      </c>
      <c r="P916" t="s">
        <v>546</v>
      </c>
      <c r="Q916" t="s">
        <v>1775</v>
      </c>
      <c r="S916">
        <v>143.72999999999999</v>
      </c>
      <c r="T916">
        <v>9</v>
      </c>
      <c r="U916">
        <v>0.1</v>
      </c>
      <c r="V916">
        <v>56.054699999999997</v>
      </c>
      <c r="W916">
        <f t="shared" si="59"/>
        <v>9.7416999999999998</v>
      </c>
      <c r="X916">
        <v>5</v>
      </c>
    </row>
    <row r="917" spans="1:24" x14ac:dyDescent="0.3">
      <c r="A917">
        <v>916</v>
      </c>
      <c r="B917" t="s">
        <v>2686</v>
      </c>
      <c r="C917" s="6">
        <v>45112</v>
      </c>
      <c r="D917" t="str">
        <f t="shared" si="56"/>
        <v>Jul</v>
      </c>
      <c r="E917" t="str">
        <f t="shared" si="57"/>
        <v>2023</v>
      </c>
      <c r="F917" t="s">
        <v>4</v>
      </c>
      <c r="G917" t="s">
        <v>133</v>
      </c>
      <c r="H917" t="s">
        <v>1266</v>
      </c>
      <c r="I917">
        <v>100</v>
      </c>
      <c r="J917">
        <v>26</v>
      </c>
      <c r="K917">
        <f t="shared" si="58"/>
        <v>26</v>
      </c>
      <c r="L917" t="s">
        <v>1743</v>
      </c>
      <c r="M917" t="s">
        <v>3690</v>
      </c>
      <c r="N917" t="s">
        <v>1</v>
      </c>
      <c r="O917">
        <v>751003</v>
      </c>
      <c r="P917" t="s">
        <v>546</v>
      </c>
      <c r="Q917" t="s">
        <v>1755</v>
      </c>
      <c r="S917">
        <v>99.918000000000006</v>
      </c>
      <c r="T917">
        <v>2</v>
      </c>
      <c r="U917">
        <v>0.3</v>
      </c>
      <c r="V917">
        <v>-18.5562</v>
      </c>
      <c r="W917">
        <f t="shared" si="59"/>
        <v>59.237100000000005</v>
      </c>
      <c r="X917">
        <v>2</v>
      </c>
    </row>
    <row r="918" spans="1:24" x14ac:dyDescent="0.3">
      <c r="A918">
        <v>917</v>
      </c>
      <c r="B918" t="s">
        <v>2687</v>
      </c>
      <c r="C918" s="6">
        <v>45113</v>
      </c>
      <c r="D918" t="str">
        <f t="shared" si="56"/>
        <v>Jul</v>
      </c>
      <c r="E918" t="str">
        <f t="shared" si="57"/>
        <v>2023</v>
      </c>
      <c r="F918" t="s">
        <v>4</v>
      </c>
      <c r="G918" t="s">
        <v>133</v>
      </c>
      <c r="H918" t="s">
        <v>1010</v>
      </c>
      <c r="I918">
        <v>150</v>
      </c>
      <c r="J918">
        <v>6</v>
      </c>
      <c r="K918">
        <f t="shared" si="58"/>
        <v>4</v>
      </c>
      <c r="L918" t="s">
        <v>1737</v>
      </c>
      <c r="M918" t="s">
        <v>3824</v>
      </c>
      <c r="N918" t="s">
        <v>1</v>
      </c>
      <c r="O918">
        <v>560082</v>
      </c>
      <c r="P918" t="s">
        <v>546</v>
      </c>
      <c r="Q918" t="s">
        <v>1759</v>
      </c>
      <c r="S918">
        <v>797.94399999999996</v>
      </c>
      <c r="T918">
        <v>4</v>
      </c>
      <c r="U918">
        <v>0.3</v>
      </c>
      <c r="V918">
        <v>-56.996000000000002</v>
      </c>
      <c r="W918">
        <f t="shared" si="59"/>
        <v>213.73499999999999</v>
      </c>
      <c r="X918">
        <v>4</v>
      </c>
    </row>
    <row r="919" spans="1:24" x14ac:dyDescent="0.3">
      <c r="A919">
        <v>918</v>
      </c>
      <c r="B919" t="s">
        <v>2688</v>
      </c>
      <c r="C919" s="6">
        <v>45114</v>
      </c>
      <c r="D919" t="str">
        <f t="shared" si="56"/>
        <v>Jul</v>
      </c>
      <c r="E919" t="str">
        <f t="shared" si="57"/>
        <v>2023</v>
      </c>
      <c r="F919" t="s">
        <v>4</v>
      </c>
      <c r="G919" t="s">
        <v>133</v>
      </c>
      <c r="H919" t="s">
        <v>823</v>
      </c>
      <c r="I919">
        <v>230</v>
      </c>
      <c r="J919">
        <v>16</v>
      </c>
      <c r="K919">
        <f t="shared" si="58"/>
        <v>6.9565217391304346</v>
      </c>
      <c r="L919" t="s">
        <v>1741</v>
      </c>
      <c r="M919" t="s">
        <v>3825</v>
      </c>
      <c r="N919" t="s">
        <v>1</v>
      </c>
      <c r="O919">
        <v>421003</v>
      </c>
      <c r="P919" t="s">
        <v>546</v>
      </c>
      <c r="Q919" t="s">
        <v>1772</v>
      </c>
      <c r="S919">
        <v>8.5679999999999996</v>
      </c>
      <c r="T919">
        <v>3</v>
      </c>
      <c r="U919">
        <v>0.8</v>
      </c>
      <c r="V919">
        <v>-14.5656</v>
      </c>
      <c r="W919">
        <f t="shared" si="59"/>
        <v>7.7112000000000007</v>
      </c>
      <c r="X919">
        <v>2</v>
      </c>
    </row>
    <row r="920" spans="1:24" x14ac:dyDescent="0.3">
      <c r="A920">
        <v>919</v>
      </c>
      <c r="B920" t="s">
        <v>2689</v>
      </c>
      <c r="C920" s="6">
        <v>45115</v>
      </c>
      <c r="D920" t="str">
        <f t="shared" si="56"/>
        <v>Jul</v>
      </c>
      <c r="E920" t="str">
        <f t="shared" si="57"/>
        <v>2023</v>
      </c>
      <c r="F920" t="s">
        <v>4</v>
      </c>
      <c r="G920" t="s">
        <v>345</v>
      </c>
      <c r="H920" t="s">
        <v>1180</v>
      </c>
      <c r="I920">
        <v>130</v>
      </c>
      <c r="J920">
        <v>30</v>
      </c>
      <c r="K920">
        <f t="shared" si="58"/>
        <v>23.076923076923077</v>
      </c>
      <c r="L920" t="s">
        <v>1736</v>
      </c>
      <c r="M920" t="s">
        <v>3644</v>
      </c>
      <c r="N920" t="s">
        <v>1</v>
      </c>
      <c r="O920">
        <v>110045</v>
      </c>
      <c r="P920" t="s">
        <v>546</v>
      </c>
      <c r="Q920" t="s">
        <v>1759</v>
      </c>
      <c r="S920">
        <v>149.352</v>
      </c>
      <c r="T920">
        <v>3</v>
      </c>
      <c r="U920">
        <v>0.2</v>
      </c>
      <c r="V920">
        <v>50.406300000000002</v>
      </c>
      <c r="W920">
        <f t="shared" si="59"/>
        <v>32.981900000000003</v>
      </c>
      <c r="X920">
        <v>1</v>
      </c>
    </row>
    <row r="921" spans="1:24" x14ac:dyDescent="0.3">
      <c r="A921">
        <v>920</v>
      </c>
      <c r="B921" t="s">
        <v>2690</v>
      </c>
      <c r="C921" s="6">
        <v>45116</v>
      </c>
      <c r="D921" t="str">
        <f t="shared" si="56"/>
        <v>Jul</v>
      </c>
      <c r="E921" t="str">
        <f t="shared" si="57"/>
        <v>2023</v>
      </c>
      <c r="F921" t="s">
        <v>4</v>
      </c>
      <c r="G921" t="s">
        <v>345</v>
      </c>
      <c r="H921" t="s">
        <v>1267</v>
      </c>
      <c r="I921">
        <v>250</v>
      </c>
      <c r="J921">
        <v>16</v>
      </c>
      <c r="K921">
        <f t="shared" si="58"/>
        <v>6.4</v>
      </c>
      <c r="L921" t="s">
        <v>1744</v>
      </c>
      <c r="M921" t="s">
        <v>3826</v>
      </c>
      <c r="N921" t="s">
        <v>1</v>
      </c>
      <c r="O921">
        <v>396191</v>
      </c>
      <c r="P921" t="s">
        <v>546</v>
      </c>
      <c r="Q921" t="s">
        <v>1759</v>
      </c>
      <c r="S921">
        <v>12.992000000000001</v>
      </c>
      <c r="T921">
        <v>1</v>
      </c>
      <c r="U921">
        <v>0.2</v>
      </c>
      <c r="V921">
        <v>-0.81200000000000006</v>
      </c>
      <c r="W921">
        <f t="shared" si="59"/>
        <v>13.804</v>
      </c>
      <c r="X921">
        <v>3</v>
      </c>
    </row>
    <row r="922" spans="1:24" x14ac:dyDescent="0.3">
      <c r="A922">
        <v>921</v>
      </c>
      <c r="B922" t="s">
        <v>2691</v>
      </c>
      <c r="C922" s="6">
        <v>45117</v>
      </c>
      <c r="D922" t="str">
        <f t="shared" si="56"/>
        <v>Jul</v>
      </c>
      <c r="E922" t="str">
        <f t="shared" si="57"/>
        <v>2023</v>
      </c>
      <c r="F922" t="s">
        <v>4</v>
      </c>
      <c r="G922" t="s">
        <v>123</v>
      </c>
      <c r="H922" t="s">
        <v>1123</v>
      </c>
      <c r="I922">
        <v>190</v>
      </c>
      <c r="J922">
        <v>20</v>
      </c>
      <c r="K922">
        <f t="shared" si="58"/>
        <v>10.526315789473683</v>
      </c>
      <c r="L922" t="s">
        <v>1740</v>
      </c>
      <c r="M922" t="s">
        <v>3827</v>
      </c>
      <c r="N922" t="s">
        <v>1</v>
      </c>
      <c r="O922">
        <v>401208</v>
      </c>
      <c r="P922" t="s">
        <v>546</v>
      </c>
      <c r="Q922" t="s">
        <v>1756</v>
      </c>
      <c r="S922">
        <v>24.56</v>
      </c>
      <c r="T922">
        <v>2</v>
      </c>
      <c r="U922">
        <v>0.1</v>
      </c>
      <c r="V922">
        <v>6.8768000000000002</v>
      </c>
      <c r="W922">
        <f t="shared" si="59"/>
        <v>8.8415999999999997</v>
      </c>
      <c r="X922">
        <v>5</v>
      </c>
    </row>
    <row r="923" spans="1:24" x14ac:dyDescent="0.3">
      <c r="A923">
        <v>922</v>
      </c>
      <c r="B923" t="s">
        <v>2692</v>
      </c>
      <c r="C923" s="6">
        <v>45118</v>
      </c>
      <c r="D923" t="str">
        <f t="shared" si="56"/>
        <v>Jul</v>
      </c>
      <c r="E923" t="str">
        <f t="shared" si="57"/>
        <v>2023</v>
      </c>
      <c r="F923" t="s">
        <v>4</v>
      </c>
      <c r="G923" t="s">
        <v>346</v>
      </c>
      <c r="H923" t="s">
        <v>1268</v>
      </c>
      <c r="I923">
        <v>140</v>
      </c>
      <c r="J923">
        <v>20</v>
      </c>
      <c r="K923">
        <f t="shared" si="58"/>
        <v>14.285714285714285</v>
      </c>
      <c r="L923" t="s">
        <v>1742</v>
      </c>
      <c r="M923" t="s">
        <v>3656</v>
      </c>
      <c r="N923" t="s">
        <v>1</v>
      </c>
      <c r="O923">
        <v>530011</v>
      </c>
      <c r="P923" t="s">
        <v>546</v>
      </c>
      <c r="Q923" t="s">
        <v>1772</v>
      </c>
      <c r="S923">
        <v>85.14</v>
      </c>
      <c r="T923">
        <v>3</v>
      </c>
      <c r="U923">
        <v>0.1</v>
      </c>
      <c r="V923">
        <v>34.907400000000003</v>
      </c>
      <c r="W923">
        <f t="shared" si="59"/>
        <v>16.744199999999999</v>
      </c>
      <c r="X923">
        <v>2</v>
      </c>
    </row>
    <row r="924" spans="1:24" x14ac:dyDescent="0.3">
      <c r="A924">
        <v>923</v>
      </c>
      <c r="B924" t="s">
        <v>2693</v>
      </c>
      <c r="C924" s="6">
        <v>45119</v>
      </c>
      <c r="D924" t="str">
        <f t="shared" si="56"/>
        <v>Jul</v>
      </c>
      <c r="E924" t="str">
        <f t="shared" si="57"/>
        <v>2023</v>
      </c>
      <c r="F924" t="s">
        <v>4</v>
      </c>
      <c r="G924" t="s">
        <v>346</v>
      </c>
      <c r="H924" t="s">
        <v>1269</v>
      </c>
      <c r="I924">
        <v>220</v>
      </c>
      <c r="J924">
        <v>22</v>
      </c>
      <c r="K924">
        <f t="shared" si="58"/>
        <v>10</v>
      </c>
      <c r="L924" t="s">
        <v>1739</v>
      </c>
      <c r="M924" t="s">
        <v>3657</v>
      </c>
      <c r="N924" t="s">
        <v>1</v>
      </c>
      <c r="O924">
        <v>516001</v>
      </c>
      <c r="P924" t="s">
        <v>546</v>
      </c>
      <c r="Q924" t="s">
        <v>1759</v>
      </c>
      <c r="S924">
        <v>21.99</v>
      </c>
      <c r="T924">
        <v>1</v>
      </c>
      <c r="U924">
        <v>0.1</v>
      </c>
      <c r="V924">
        <v>10.555199999999999</v>
      </c>
      <c r="W924">
        <f t="shared" si="59"/>
        <v>11.434799999999999</v>
      </c>
      <c r="X924">
        <v>2</v>
      </c>
    </row>
    <row r="925" spans="1:24" x14ac:dyDescent="0.3">
      <c r="A925">
        <v>924</v>
      </c>
      <c r="B925" t="s">
        <v>2694</v>
      </c>
      <c r="C925" s="6">
        <v>45120</v>
      </c>
      <c r="D925" t="str">
        <f t="shared" si="56"/>
        <v>Jul</v>
      </c>
      <c r="E925" t="str">
        <f t="shared" si="57"/>
        <v>2023</v>
      </c>
      <c r="F925" t="s">
        <v>4</v>
      </c>
      <c r="G925" t="s">
        <v>346</v>
      </c>
      <c r="H925" t="s">
        <v>1270</v>
      </c>
      <c r="I925">
        <v>210</v>
      </c>
      <c r="J925">
        <v>6</v>
      </c>
      <c r="K925">
        <f t="shared" si="58"/>
        <v>2.8571428571428572</v>
      </c>
      <c r="L925" t="s">
        <v>1738</v>
      </c>
      <c r="M925" t="s">
        <v>3778</v>
      </c>
      <c r="N925" t="s">
        <v>1</v>
      </c>
      <c r="O925">
        <v>400075</v>
      </c>
      <c r="P925" t="s">
        <v>546</v>
      </c>
      <c r="Q925" t="s">
        <v>1763</v>
      </c>
      <c r="R925" t="s">
        <v>2</v>
      </c>
      <c r="S925">
        <v>406.6</v>
      </c>
      <c r="T925">
        <v>5</v>
      </c>
      <c r="U925">
        <v>0.1</v>
      </c>
      <c r="V925">
        <v>113.848</v>
      </c>
      <c r="W925">
        <f t="shared" si="59"/>
        <v>58.550400000000003</v>
      </c>
      <c r="X925">
        <v>4</v>
      </c>
    </row>
    <row r="926" spans="1:24" x14ac:dyDescent="0.3">
      <c r="A926">
        <v>925</v>
      </c>
      <c r="B926" t="s">
        <v>2695</v>
      </c>
      <c r="C926" s="6">
        <v>45121</v>
      </c>
      <c r="D926" t="str">
        <f t="shared" si="56"/>
        <v>Jul</v>
      </c>
      <c r="E926" t="str">
        <f t="shared" si="57"/>
        <v>2023</v>
      </c>
      <c r="F926" t="s">
        <v>4</v>
      </c>
      <c r="G926" t="s">
        <v>347</v>
      </c>
      <c r="H926" t="s">
        <v>662</v>
      </c>
      <c r="I926">
        <v>150</v>
      </c>
      <c r="J926">
        <v>24</v>
      </c>
      <c r="K926">
        <f t="shared" si="58"/>
        <v>16</v>
      </c>
      <c r="L926" t="s">
        <v>1737</v>
      </c>
      <c r="M926" t="s">
        <v>3828</v>
      </c>
      <c r="N926" t="s">
        <v>1</v>
      </c>
      <c r="O926">
        <v>411028</v>
      </c>
      <c r="P926" t="s">
        <v>546</v>
      </c>
      <c r="Q926" t="s">
        <v>1754</v>
      </c>
      <c r="R926" t="s">
        <v>2</v>
      </c>
      <c r="S926">
        <v>841.56799999999998</v>
      </c>
      <c r="T926">
        <v>2</v>
      </c>
      <c r="U926">
        <v>0.2</v>
      </c>
      <c r="V926">
        <v>294.54880000000003</v>
      </c>
      <c r="W926">
        <f t="shared" si="59"/>
        <v>273.50959999999998</v>
      </c>
      <c r="X926">
        <v>2</v>
      </c>
    </row>
    <row r="927" spans="1:24" x14ac:dyDescent="0.3">
      <c r="A927">
        <v>926</v>
      </c>
      <c r="B927" t="s">
        <v>2696</v>
      </c>
      <c r="C927" s="6">
        <v>45122</v>
      </c>
      <c r="D927" t="str">
        <f t="shared" si="56"/>
        <v>Jul</v>
      </c>
      <c r="E927" t="str">
        <f t="shared" si="57"/>
        <v>2023</v>
      </c>
      <c r="F927" t="s">
        <v>5</v>
      </c>
      <c r="G927" t="s">
        <v>348</v>
      </c>
      <c r="H927" t="s">
        <v>1271</v>
      </c>
      <c r="I927">
        <v>170</v>
      </c>
      <c r="J927">
        <v>8</v>
      </c>
      <c r="K927">
        <f t="shared" si="58"/>
        <v>4.7058823529411766</v>
      </c>
      <c r="L927" t="s">
        <v>1743</v>
      </c>
      <c r="M927" t="s">
        <v>3829</v>
      </c>
      <c r="N927" t="s">
        <v>1</v>
      </c>
      <c r="O927">
        <v>560024</v>
      </c>
      <c r="P927" t="s">
        <v>546</v>
      </c>
      <c r="Q927" t="s">
        <v>1763</v>
      </c>
      <c r="S927">
        <v>15.552</v>
      </c>
      <c r="T927">
        <v>3</v>
      </c>
      <c r="U927">
        <v>0.2</v>
      </c>
      <c r="V927">
        <v>5.4432</v>
      </c>
      <c r="W927">
        <f t="shared" si="59"/>
        <v>3.3695999999999997</v>
      </c>
      <c r="X927">
        <v>5</v>
      </c>
    </row>
    <row r="928" spans="1:24" x14ac:dyDescent="0.3">
      <c r="A928">
        <v>927</v>
      </c>
      <c r="B928" t="s">
        <v>2697</v>
      </c>
      <c r="C928" s="6">
        <v>45123</v>
      </c>
      <c r="D928" t="str">
        <f t="shared" si="56"/>
        <v>Jul</v>
      </c>
      <c r="E928" t="str">
        <f t="shared" si="57"/>
        <v>2023</v>
      </c>
      <c r="F928" t="s">
        <v>5</v>
      </c>
      <c r="G928" t="s">
        <v>348</v>
      </c>
      <c r="H928" t="s">
        <v>1272</v>
      </c>
      <c r="I928">
        <v>100</v>
      </c>
      <c r="J928">
        <v>30</v>
      </c>
      <c r="K928">
        <f t="shared" si="58"/>
        <v>30</v>
      </c>
      <c r="L928" t="s">
        <v>1738</v>
      </c>
      <c r="M928" t="s">
        <v>3788</v>
      </c>
      <c r="N928" t="s">
        <v>1</v>
      </c>
      <c r="O928">
        <v>560024</v>
      </c>
      <c r="P928" t="s">
        <v>546</v>
      </c>
      <c r="Q928" t="s">
        <v>1755</v>
      </c>
      <c r="S928">
        <v>252</v>
      </c>
      <c r="T928">
        <v>5</v>
      </c>
      <c r="U928">
        <v>0.2</v>
      </c>
      <c r="V928">
        <v>53.55</v>
      </c>
      <c r="W928">
        <f t="shared" si="59"/>
        <v>39.69</v>
      </c>
      <c r="X928">
        <v>2</v>
      </c>
    </row>
    <row r="929" spans="1:24" x14ac:dyDescent="0.3">
      <c r="A929">
        <v>928</v>
      </c>
      <c r="B929" t="s">
        <v>2698</v>
      </c>
      <c r="C929" s="6">
        <v>45124</v>
      </c>
      <c r="D929" t="str">
        <f t="shared" si="56"/>
        <v>Jul</v>
      </c>
      <c r="E929" t="str">
        <f t="shared" si="57"/>
        <v>2023</v>
      </c>
      <c r="F929" t="s">
        <v>4</v>
      </c>
      <c r="G929" t="s">
        <v>349</v>
      </c>
      <c r="H929" t="s">
        <v>879</v>
      </c>
      <c r="I929">
        <v>130</v>
      </c>
      <c r="J929">
        <v>30</v>
      </c>
      <c r="K929">
        <f t="shared" si="58"/>
        <v>23.076923076923077</v>
      </c>
      <c r="L929" t="s">
        <v>1739</v>
      </c>
      <c r="M929" t="s">
        <v>3721</v>
      </c>
      <c r="N929" t="s">
        <v>1</v>
      </c>
      <c r="O929">
        <v>560024</v>
      </c>
      <c r="P929" t="s">
        <v>546</v>
      </c>
      <c r="Q929" t="s">
        <v>1765</v>
      </c>
      <c r="S929">
        <v>46.2</v>
      </c>
      <c r="T929">
        <v>4</v>
      </c>
      <c r="U929">
        <v>0.1</v>
      </c>
      <c r="V929">
        <v>12.936</v>
      </c>
      <c r="W929">
        <f t="shared" si="59"/>
        <v>8.3160000000000007</v>
      </c>
      <c r="X929">
        <v>3</v>
      </c>
    </row>
    <row r="930" spans="1:24" x14ac:dyDescent="0.3">
      <c r="A930">
        <v>929</v>
      </c>
      <c r="B930" t="s">
        <v>2699</v>
      </c>
      <c r="C930" s="6">
        <v>45125</v>
      </c>
      <c r="D930" t="str">
        <f t="shared" si="56"/>
        <v>Jul</v>
      </c>
      <c r="E930" t="str">
        <f t="shared" si="57"/>
        <v>2023</v>
      </c>
      <c r="F930" t="s">
        <v>4</v>
      </c>
      <c r="G930" t="s">
        <v>349</v>
      </c>
      <c r="H930" t="s">
        <v>883</v>
      </c>
      <c r="I930">
        <v>200</v>
      </c>
      <c r="J930">
        <v>24</v>
      </c>
      <c r="K930">
        <f t="shared" si="58"/>
        <v>12</v>
      </c>
      <c r="L930" t="s">
        <v>1741</v>
      </c>
      <c r="M930" t="s">
        <v>3781</v>
      </c>
      <c r="N930" t="s">
        <v>1</v>
      </c>
      <c r="O930">
        <v>560076</v>
      </c>
      <c r="P930" t="s">
        <v>546</v>
      </c>
      <c r="Q930" t="s">
        <v>1770</v>
      </c>
      <c r="S930">
        <v>28.84</v>
      </c>
      <c r="T930">
        <v>2</v>
      </c>
      <c r="U930">
        <v>0.1</v>
      </c>
      <c r="V930">
        <v>9.5172000000000008</v>
      </c>
      <c r="W930">
        <f t="shared" si="59"/>
        <v>9.6614000000000004</v>
      </c>
      <c r="X930">
        <v>2</v>
      </c>
    </row>
    <row r="931" spans="1:24" x14ac:dyDescent="0.3">
      <c r="A931">
        <v>930</v>
      </c>
      <c r="B931" t="s">
        <v>2700</v>
      </c>
      <c r="C931" s="6">
        <v>45126</v>
      </c>
      <c r="D931" t="str">
        <f t="shared" si="56"/>
        <v>Jul</v>
      </c>
      <c r="E931" t="str">
        <f t="shared" si="57"/>
        <v>2023</v>
      </c>
      <c r="F931" t="s">
        <v>5</v>
      </c>
      <c r="G931" t="s">
        <v>276</v>
      </c>
      <c r="H931" t="s">
        <v>1034</v>
      </c>
      <c r="I931">
        <v>170</v>
      </c>
      <c r="J931">
        <v>22</v>
      </c>
      <c r="K931">
        <f t="shared" si="58"/>
        <v>12.941176470588237</v>
      </c>
      <c r="L931" t="s">
        <v>1736</v>
      </c>
      <c r="M931" t="s">
        <v>3673</v>
      </c>
      <c r="N931" t="s">
        <v>1</v>
      </c>
      <c r="O931">
        <v>752055</v>
      </c>
      <c r="P931" t="s">
        <v>546</v>
      </c>
      <c r="Q931" t="s">
        <v>1761</v>
      </c>
      <c r="S931">
        <v>14.592000000000001</v>
      </c>
      <c r="T931">
        <v>3</v>
      </c>
      <c r="U931">
        <v>0.2</v>
      </c>
      <c r="V931">
        <v>2.5535999999999999</v>
      </c>
      <c r="W931">
        <f t="shared" si="59"/>
        <v>4.0128000000000004</v>
      </c>
      <c r="X931">
        <v>4</v>
      </c>
    </row>
    <row r="932" spans="1:24" x14ac:dyDescent="0.3">
      <c r="A932">
        <v>931</v>
      </c>
      <c r="B932" t="s">
        <v>2701</v>
      </c>
      <c r="C932" s="6">
        <v>45127</v>
      </c>
      <c r="D932" t="str">
        <f t="shared" si="56"/>
        <v>Jul</v>
      </c>
      <c r="E932" t="str">
        <f t="shared" si="57"/>
        <v>2023</v>
      </c>
      <c r="F932" t="s">
        <v>5</v>
      </c>
      <c r="G932" t="s">
        <v>276</v>
      </c>
      <c r="H932" t="s">
        <v>1273</v>
      </c>
      <c r="I932">
        <v>140</v>
      </c>
      <c r="J932">
        <v>26</v>
      </c>
      <c r="K932">
        <f t="shared" si="58"/>
        <v>18.571428571428573</v>
      </c>
      <c r="L932" t="s">
        <v>1744</v>
      </c>
      <c r="M932" t="s">
        <v>3585</v>
      </c>
      <c r="N932" t="s">
        <v>1</v>
      </c>
      <c r="O932">
        <v>141013</v>
      </c>
      <c r="P932" t="s">
        <v>546</v>
      </c>
      <c r="Q932" t="s">
        <v>1772</v>
      </c>
      <c r="S932">
        <v>89.855999999999995</v>
      </c>
      <c r="T932">
        <v>3</v>
      </c>
      <c r="U932">
        <v>0.2</v>
      </c>
      <c r="V932">
        <v>21.340800000000002</v>
      </c>
      <c r="W932">
        <f t="shared" si="59"/>
        <v>22.838399999999996</v>
      </c>
      <c r="X932">
        <v>5</v>
      </c>
    </row>
    <row r="933" spans="1:24" x14ac:dyDescent="0.3">
      <c r="A933">
        <v>932</v>
      </c>
      <c r="B933" t="s">
        <v>2702</v>
      </c>
      <c r="C933" s="6">
        <v>45128</v>
      </c>
      <c r="D933" t="str">
        <f t="shared" si="56"/>
        <v>Jul</v>
      </c>
      <c r="E933" t="str">
        <f t="shared" si="57"/>
        <v>2023</v>
      </c>
      <c r="F933" t="s">
        <v>5</v>
      </c>
      <c r="G933" t="s">
        <v>276</v>
      </c>
      <c r="H933" t="s">
        <v>1156</v>
      </c>
      <c r="I933">
        <v>190</v>
      </c>
      <c r="J933">
        <v>30</v>
      </c>
      <c r="K933">
        <f t="shared" si="58"/>
        <v>15.789473684210526</v>
      </c>
      <c r="L933" t="s">
        <v>1740</v>
      </c>
      <c r="M933" t="s">
        <v>3830</v>
      </c>
      <c r="O933">
        <v>424002</v>
      </c>
      <c r="P933" t="s">
        <v>546</v>
      </c>
      <c r="Q933" t="s">
        <v>1759</v>
      </c>
      <c r="S933">
        <v>13.872</v>
      </c>
      <c r="T933">
        <v>3</v>
      </c>
      <c r="U933">
        <v>0.2</v>
      </c>
      <c r="V933">
        <v>5.0286</v>
      </c>
      <c r="W933">
        <f t="shared" si="59"/>
        <v>2.9477999999999995</v>
      </c>
      <c r="X933">
        <v>1</v>
      </c>
    </row>
    <row r="934" spans="1:24" x14ac:dyDescent="0.3">
      <c r="A934">
        <v>933</v>
      </c>
      <c r="B934" t="s">
        <v>2703</v>
      </c>
      <c r="C934" s="6">
        <v>45129</v>
      </c>
      <c r="D934" t="str">
        <f t="shared" si="56"/>
        <v>Jul</v>
      </c>
      <c r="E934" t="str">
        <f t="shared" si="57"/>
        <v>2023</v>
      </c>
      <c r="F934" t="s">
        <v>4</v>
      </c>
      <c r="G934" t="s">
        <v>350</v>
      </c>
      <c r="H934" t="s">
        <v>1274</v>
      </c>
      <c r="I934">
        <v>110</v>
      </c>
      <c r="J934">
        <v>22</v>
      </c>
      <c r="K934">
        <f t="shared" si="58"/>
        <v>20</v>
      </c>
      <c r="L934" t="s">
        <v>1742</v>
      </c>
      <c r="M934" t="s">
        <v>3696</v>
      </c>
      <c r="N934" t="s">
        <v>1</v>
      </c>
      <c r="O934">
        <v>600116</v>
      </c>
      <c r="P934" t="s">
        <v>546</v>
      </c>
      <c r="Q934" t="s">
        <v>1772</v>
      </c>
      <c r="S934">
        <v>12.192</v>
      </c>
      <c r="T934">
        <v>3</v>
      </c>
      <c r="U934">
        <v>0.2</v>
      </c>
      <c r="V934">
        <v>4.1147999999999998</v>
      </c>
      <c r="W934">
        <f t="shared" si="59"/>
        <v>2.6924000000000006</v>
      </c>
      <c r="X934">
        <v>3</v>
      </c>
    </row>
    <row r="935" spans="1:24" x14ac:dyDescent="0.3">
      <c r="A935">
        <v>934</v>
      </c>
      <c r="B935" t="s">
        <v>2704</v>
      </c>
      <c r="C935" s="6">
        <v>45130</v>
      </c>
      <c r="D935" t="str">
        <f t="shared" si="56"/>
        <v>Jul</v>
      </c>
      <c r="E935" t="str">
        <f t="shared" si="57"/>
        <v>2023</v>
      </c>
      <c r="F935" t="s">
        <v>4</v>
      </c>
      <c r="G935" t="s">
        <v>351</v>
      </c>
      <c r="H935" t="s">
        <v>1275</v>
      </c>
      <c r="I935">
        <v>230</v>
      </c>
      <c r="J935">
        <v>26</v>
      </c>
      <c r="K935">
        <f t="shared" si="58"/>
        <v>11.304347826086957</v>
      </c>
      <c r="L935" t="s">
        <v>1739</v>
      </c>
      <c r="M935" t="s">
        <v>3668</v>
      </c>
      <c r="N935" t="s">
        <v>1</v>
      </c>
      <c r="O935">
        <v>110088</v>
      </c>
      <c r="P935" t="s">
        <v>546</v>
      </c>
      <c r="Q935" t="s">
        <v>1759</v>
      </c>
      <c r="S935">
        <v>45.055999999999997</v>
      </c>
      <c r="T935">
        <v>8</v>
      </c>
      <c r="U935">
        <v>0.2</v>
      </c>
      <c r="V935">
        <v>15.2064</v>
      </c>
      <c r="W935">
        <f t="shared" si="59"/>
        <v>3.7311999999999994</v>
      </c>
      <c r="X935">
        <v>3</v>
      </c>
    </row>
    <row r="936" spans="1:24" x14ac:dyDescent="0.3">
      <c r="A936">
        <v>935</v>
      </c>
      <c r="B936" t="s">
        <v>2705</v>
      </c>
      <c r="C936" s="6">
        <v>45131</v>
      </c>
      <c r="D936" t="str">
        <f t="shared" si="56"/>
        <v>Jul</v>
      </c>
      <c r="E936" t="str">
        <f t="shared" si="57"/>
        <v>2023</v>
      </c>
      <c r="F936" t="s">
        <v>4</v>
      </c>
      <c r="G936" t="s">
        <v>351</v>
      </c>
      <c r="H936" t="s">
        <v>1276</v>
      </c>
      <c r="I936">
        <v>190</v>
      </c>
      <c r="J936">
        <v>24</v>
      </c>
      <c r="K936">
        <f t="shared" si="58"/>
        <v>12.631578947368421</v>
      </c>
      <c r="L936" t="s">
        <v>1738</v>
      </c>
      <c r="M936" t="s">
        <v>3812</v>
      </c>
      <c r="N936" t="s">
        <v>1</v>
      </c>
      <c r="O936">
        <v>110088</v>
      </c>
      <c r="P936" t="s">
        <v>546</v>
      </c>
      <c r="Q936" t="s">
        <v>1775</v>
      </c>
      <c r="S936">
        <v>29.718</v>
      </c>
      <c r="T936">
        <v>6</v>
      </c>
      <c r="U936">
        <v>0.7</v>
      </c>
      <c r="V936">
        <v>-21.793199999999999</v>
      </c>
      <c r="W936">
        <f t="shared" si="59"/>
        <v>8.5852000000000004</v>
      </c>
      <c r="X936">
        <v>1</v>
      </c>
    </row>
    <row r="937" spans="1:24" x14ac:dyDescent="0.3">
      <c r="A937">
        <v>936</v>
      </c>
      <c r="B937" t="s">
        <v>2706</v>
      </c>
      <c r="C937" s="6">
        <v>45132</v>
      </c>
      <c r="D937" t="str">
        <f t="shared" si="56"/>
        <v>Jul</v>
      </c>
      <c r="E937" t="str">
        <f t="shared" si="57"/>
        <v>2023</v>
      </c>
      <c r="F937" t="s">
        <v>4</v>
      </c>
      <c r="G937" t="s">
        <v>351</v>
      </c>
      <c r="H937" t="s">
        <v>1227</v>
      </c>
      <c r="I937">
        <v>210</v>
      </c>
      <c r="J937">
        <v>8</v>
      </c>
      <c r="K937">
        <f t="shared" si="58"/>
        <v>3.8095238095238098</v>
      </c>
      <c r="L937" t="s">
        <v>1743</v>
      </c>
      <c r="M937" t="s">
        <v>3831</v>
      </c>
      <c r="N937" t="s">
        <v>1</v>
      </c>
      <c r="O937">
        <v>140603</v>
      </c>
      <c r="P937" t="s">
        <v>546</v>
      </c>
      <c r="Q937" t="s">
        <v>1756</v>
      </c>
      <c r="S937">
        <v>15.552</v>
      </c>
      <c r="T937">
        <v>3</v>
      </c>
      <c r="U937">
        <v>0.2</v>
      </c>
      <c r="V937">
        <v>5.4432</v>
      </c>
      <c r="W937">
        <f t="shared" si="59"/>
        <v>3.3695999999999997</v>
      </c>
      <c r="X937">
        <v>4</v>
      </c>
    </row>
    <row r="938" spans="1:24" x14ac:dyDescent="0.3">
      <c r="A938">
        <v>937</v>
      </c>
      <c r="B938" t="s">
        <v>2707</v>
      </c>
      <c r="C938" s="6">
        <v>45133</v>
      </c>
      <c r="D938" t="str">
        <f t="shared" si="56"/>
        <v>Jul</v>
      </c>
      <c r="E938" t="str">
        <f t="shared" si="57"/>
        <v>2023</v>
      </c>
      <c r="F938" t="s">
        <v>4</v>
      </c>
      <c r="G938" t="s">
        <v>351</v>
      </c>
      <c r="H938" t="s">
        <v>684</v>
      </c>
      <c r="I938">
        <v>250</v>
      </c>
      <c r="J938">
        <v>26</v>
      </c>
      <c r="K938">
        <f t="shared" si="58"/>
        <v>10.4</v>
      </c>
      <c r="L938" t="s">
        <v>1737</v>
      </c>
      <c r="M938" t="s">
        <v>3802</v>
      </c>
      <c r="N938" t="s">
        <v>1</v>
      </c>
      <c r="O938">
        <v>110022</v>
      </c>
      <c r="P938" t="s">
        <v>546</v>
      </c>
      <c r="Q938" t="s">
        <v>1758</v>
      </c>
      <c r="R938" t="s">
        <v>2</v>
      </c>
      <c r="S938">
        <v>447.69600000000003</v>
      </c>
      <c r="T938">
        <v>2</v>
      </c>
      <c r="U938">
        <v>0.2</v>
      </c>
      <c r="V938">
        <v>33.577199999999998</v>
      </c>
      <c r="W938">
        <f t="shared" si="59"/>
        <v>207.05940000000001</v>
      </c>
      <c r="X938">
        <v>4</v>
      </c>
    </row>
    <row r="939" spans="1:24" x14ac:dyDescent="0.3">
      <c r="A939">
        <v>938</v>
      </c>
      <c r="B939" t="s">
        <v>2708</v>
      </c>
      <c r="C939" s="6">
        <v>45134</v>
      </c>
      <c r="D939" t="str">
        <f t="shared" si="56"/>
        <v>Jul</v>
      </c>
      <c r="E939" t="str">
        <f t="shared" si="57"/>
        <v>2023</v>
      </c>
      <c r="F939" t="s">
        <v>5</v>
      </c>
      <c r="G939" t="s">
        <v>26</v>
      </c>
      <c r="H939" t="s">
        <v>878</v>
      </c>
      <c r="I939">
        <v>250</v>
      </c>
      <c r="J939">
        <v>18</v>
      </c>
      <c r="K939">
        <f t="shared" si="58"/>
        <v>7.1999999999999993</v>
      </c>
      <c r="L939" t="s">
        <v>1741</v>
      </c>
      <c r="M939" t="s">
        <v>3815</v>
      </c>
      <c r="O939">
        <v>530011</v>
      </c>
      <c r="P939" t="s">
        <v>546</v>
      </c>
      <c r="Q939" t="s">
        <v>1761</v>
      </c>
      <c r="S939">
        <v>159.99</v>
      </c>
      <c r="T939">
        <v>1</v>
      </c>
      <c r="U939">
        <v>0.1</v>
      </c>
      <c r="V939">
        <v>54.396599999999999</v>
      </c>
      <c r="W939">
        <f t="shared" si="59"/>
        <v>105.5934</v>
      </c>
      <c r="X939">
        <v>4</v>
      </c>
    </row>
    <row r="940" spans="1:24" x14ac:dyDescent="0.3">
      <c r="A940">
        <v>939</v>
      </c>
      <c r="B940" t="s">
        <v>2709</v>
      </c>
      <c r="C940" s="6">
        <v>45135</v>
      </c>
      <c r="D940" t="str">
        <f t="shared" si="56"/>
        <v>Jul</v>
      </c>
      <c r="E940" t="str">
        <f t="shared" si="57"/>
        <v>2023</v>
      </c>
      <c r="F940" t="s">
        <v>4</v>
      </c>
      <c r="G940" t="s">
        <v>352</v>
      </c>
      <c r="H940" t="s">
        <v>1277</v>
      </c>
      <c r="I940">
        <v>140</v>
      </c>
      <c r="J940">
        <v>24</v>
      </c>
      <c r="K940">
        <f t="shared" si="58"/>
        <v>17.142857142857142</v>
      </c>
      <c r="L940" t="s">
        <v>1736</v>
      </c>
      <c r="M940" t="s">
        <v>3653</v>
      </c>
      <c r="O940">
        <v>560068</v>
      </c>
      <c r="P940" t="s">
        <v>546</v>
      </c>
      <c r="Q940" t="s">
        <v>1755</v>
      </c>
      <c r="S940">
        <v>12.96</v>
      </c>
      <c r="T940">
        <v>2</v>
      </c>
      <c r="U940">
        <v>0.1</v>
      </c>
      <c r="V940">
        <v>6.2207999999999997</v>
      </c>
      <c r="W940">
        <f t="shared" si="59"/>
        <v>3.3696000000000006</v>
      </c>
      <c r="X940">
        <v>1</v>
      </c>
    </row>
    <row r="941" spans="1:24" x14ac:dyDescent="0.3">
      <c r="A941">
        <v>940</v>
      </c>
      <c r="B941" t="s">
        <v>2710</v>
      </c>
      <c r="C941" s="6">
        <v>45136</v>
      </c>
      <c r="D941" t="str">
        <f t="shared" si="56"/>
        <v>Jul</v>
      </c>
      <c r="E941" t="str">
        <f t="shared" si="57"/>
        <v>2023</v>
      </c>
      <c r="F941" t="s">
        <v>4</v>
      </c>
      <c r="G941" t="s">
        <v>352</v>
      </c>
      <c r="H941" t="s">
        <v>1278</v>
      </c>
      <c r="I941">
        <v>220</v>
      </c>
      <c r="J941">
        <v>6</v>
      </c>
      <c r="K941">
        <f t="shared" si="58"/>
        <v>2.7272727272727271</v>
      </c>
      <c r="L941" t="s">
        <v>1744</v>
      </c>
      <c r="M941" t="s">
        <v>3832</v>
      </c>
      <c r="O941">
        <v>203131</v>
      </c>
      <c r="P941" t="s">
        <v>546</v>
      </c>
      <c r="Q941" t="s">
        <v>1759</v>
      </c>
      <c r="S941">
        <v>134.47999999999999</v>
      </c>
      <c r="T941">
        <v>4</v>
      </c>
      <c r="U941">
        <v>0.1</v>
      </c>
      <c r="V941">
        <v>34.964799999999997</v>
      </c>
      <c r="W941">
        <f t="shared" si="59"/>
        <v>24.878799999999998</v>
      </c>
      <c r="X941">
        <v>3</v>
      </c>
    </row>
    <row r="942" spans="1:24" x14ac:dyDescent="0.3">
      <c r="A942">
        <v>941</v>
      </c>
      <c r="B942" t="s">
        <v>2711</v>
      </c>
      <c r="C942" s="6">
        <v>45137</v>
      </c>
      <c r="D942" t="str">
        <f t="shared" si="56"/>
        <v>Jul</v>
      </c>
      <c r="E942" t="str">
        <f t="shared" si="57"/>
        <v>2023</v>
      </c>
      <c r="F942" t="s">
        <v>5</v>
      </c>
      <c r="G942" t="s">
        <v>353</v>
      </c>
      <c r="H942" t="s">
        <v>1279</v>
      </c>
      <c r="I942">
        <v>160</v>
      </c>
      <c r="J942">
        <v>16</v>
      </c>
      <c r="K942">
        <f t="shared" si="58"/>
        <v>10</v>
      </c>
      <c r="L942" t="s">
        <v>1740</v>
      </c>
      <c r="M942" t="s">
        <v>3733</v>
      </c>
      <c r="N942" t="s">
        <v>1</v>
      </c>
      <c r="O942">
        <v>313001</v>
      </c>
      <c r="P942" t="s">
        <v>546</v>
      </c>
      <c r="Q942" t="s">
        <v>1773</v>
      </c>
      <c r="R942" t="s">
        <v>2</v>
      </c>
      <c r="S942">
        <v>17.12</v>
      </c>
      <c r="T942">
        <v>2</v>
      </c>
      <c r="U942">
        <v>0.1</v>
      </c>
      <c r="V942">
        <v>8.0464000000000002</v>
      </c>
      <c r="W942">
        <f t="shared" si="59"/>
        <v>4.5368000000000004</v>
      </c>
      <c r="X942">
        <v>5</v>
      </c>
    </row>
    <row r="943" spans="1:24" x14ac:dyDescent="0.3">
      <c r="A943">
        <v>942</v>
      </c>
      <c r="B943" t="s">
        <v>2712</v>
      </c>
      <c r="C943" s="6">
        <v>45138</v>
      </c>
      <c r="D943" t="str">
        <f t="shared" si="56"/>
        <v>Jul</v>
      </c>
      <c r="E943" t="str">
        <f t="shared" si="57"/>
        <v>2023</v>
      </c>
      <c r="F943" t="s">
        <v>4</v>
      </c>
      <c r="G943" t="s">
        <v>345</v>
      </c>
      <c r="H943" t="s">
        <v>1280</v>
      </c>
      <c r="I943">
        <v>230</v>
      </c>
      <c r="J943">
        <v>14</v>
      </c>
      <c r="K943">
        <f t="shared" si="58"/>
        <v>6.0869565217391308</v>
      </c>
      <c r="L943" t="s">
        <v>1742</v>
      </c>
      <c r="M943" t="s">
        <v>3816</v>
      </c>
      <c r="N943" t="s">
        <v>1</v>
      </c>
      <c r="O943">
        <v>395002</v>
      </c>
      <c r="P943" t="s">
        <v>546</v>
      </c>
      <c r="Q943" t="s">
        <v>1766</v>
      </c>
      <c r="S943">
        <v>6.0960000000000001</v>
      </c>
      <c r="T943">
        <v>2</v>
      </c>
      <c r="U943">
        <v>0.2</v>
      </c>
      <c r="V943">
        <v>2.2098</v>
      </c>
      <c r="W943">
        <f t="shared" si="59"/>
        <v>1.9431</v>
      </c>
      <c r="X943">
        <v>1</v>
      </c>
    </row>
    <row r="944" spans="1:24" x14ac:dyDescent="0.3">
      <c r="A944">
        <v>943</v>
      </c>
      <c r="B944" t="s">
        <v>2713</v>
      </c>
      <c r="C944" s="6">
        <v>45139</v>
      </c>
      <c r="D944" t="str">
        <f t="shared" si="56"/>
        <v>Aug</v>
      </c>
      <c r="E944" t="str">
        <f t="shared" si="57"/>
        <v>2023</v>
      </c>
      <c r="F944" t="s">
        <v>4</v>
      </c>
      <c r="G944" t="s">
        <v>345</v>
      </c>
      <c r="H944" t="s">
        <v>550</v>
      </c>
      <c r="I944">
        <v>250</v>
      </c>
      <c r="J944">
        <v>26</v>
      </c>
      <c r="K944">
        <f t="shared" si="58"/>
        <v>10.4</v>
      </c>
      <c r="L944" t="s">
        <v>1739</v>
      </c>
      <c r="M944" t="s">
        <v>3600</v>
      </c>
      <c r="N944" t="s">
        <v>1</v>
      </c>
      <c r="O944">
        <v>395007</v>
      </c>
      <c r="P944" t="s">
        <v>546</v>
      </c>
      <c r="Q944" t="s">
        <v>1765</v>
      </c>
      <c r="R944" t="s">
        <v>2</v>
      </c>
      <c r="S944">
        <v>1114.2719999999999</v>
      </c>
      <c r="T944">
        <v>4</v>
      </c>
      <c r="U944">
        <v>0.2</v>
      </c>
      <c r="V944">
        <v>41.785200000000003</v>
      </c>
      <c r="W944">
        <f t="shared" si="59"/>
        <v>268.12169999999998</v>
      </c>
      <c r="X944">
        <v>3</v>
      </c>
    </row>
    <row r="945" spans="1:24" x14ac:dyDescent="0.3">
      <c r="A945">
        <v>944</v>
      </c>
      <c r="B945" t="s">
        <v>2714</v>
      </c>
      <c r="C945" s="6">
        <v>45140</v>
      </c>
      <c r="D945" t="str">
        <f t="shared" si="56"/>
        <v>Aug</v>
      </c>
      <c r="E945" t="str">
        <f t="shared" si="57"/>
        <v>2023</v>
      </c>
      <c r="F945" t="s">
        <v>4</v>
      </c>
      <c r="G945" t="s">
        <v>146</v>
      </c>
      <c r="H945" t="s">
        <v>1058</v>
      </c>
      <c r="I945">
        <v>110</v>
      </c>
      <c r="J945">
        <v>14</v>
      </c>
      <c r="K945">
        <f t="shared" si="58"/>
        <v>12.727272727272727</v>
      </c>
      <c r="L945" t="s">
        <v>1738</v>
      </c>
      <c r="M945" t="s">
        <v>3817</v>
      </c>
      <c r="N945" t="s">
        <v>1</v>
      </c>
      <c r="O945">
        <v>641009</v>
      </c>
      <c r="P945" t="s">
        <v>546</v>
      </c>
      <c r="Q945" t="s">
        <v>1763</v>
      </c>
      <c r="S945">
        <v>32.4</v>
      </c>
      <c r="T945">
        <v>5</v>
      </c>
      <c r="U945">
        <v>0.1</v>
      </c>
      <c r="V945">
        <v>15.552</v>
      </c>
      <c r="W945">
        <f t="shared" si="59"/>
        <v>3.3695999999999997</v>
      </c>
      <c r="X945">
        <v>2</v>
      </c>
    </row>
    <row r="946" spans="1:24" x14ac:dyDescent="0.3">
      <c r="A946">
        <v>945</v>
      </c>
      <c r="B946" t="s">
        <v>2715</v>
      </c>
      <c r="C946" s="6">
        <v>45141</v>
      </c>
      <c r="D946" t="str">
        <f t="shared" si="56"/>
        <v>Aug</v>
      </c>
      <c r="E946" t="str">
        <f t="shared" si="57"/>
        <v>2023</v>
      </c>
      <c r="F946" t="s">
        <v>4</v>
      </c>
      <c r="G946" t="s">
        <v>146</v>
      </c>
      <c r="H946" t="s">
        <v>1281</v>
      </c>
      <c r="I946">
        <v>250</v>
      </c>
      <c r="J946">
        <v>18</v>
      </c>
      <c r="K946">
        <f t="shared" si="58"/>
        <v>7.1999999999999993</v>
      </c>
      <c r="L946" t="s">
        <v>1737</v>
      </c>
      <c r="M946" t="s">
        <v>3808</v>
      </c>
      <c r="N946" t="s">
        <v>1</v>
      </c>
      <c r="O946">
        <v>400042</v>
      </c>
      <c r="P946" t="s">
        <v>546</v>
      </c>
      <c r="Q946" t="s">
        <v>1761</v>
      </c>
      <c r="S946">
        <v>540.57000000000005</v>
      </c>
      <c r="T946">
        <v>3</v>
      </c>
      <c r="U946">
        <v>0.1</v>
      </c>
      <c r="V946">
        <v>140.54820000000001</v>
      </c>
      <c r="W946">
        <f t="shared" si="59"/>
        <v>133.34060000000002</v>
      </c>
      <c r="X946">
        <v>2</v>
      </c>
    </row>
    <row r="947" spans="1:24" x14ac:dyDescent="0.3">
      <c r="A947">
        <v>946</v>
      </c>
      <c r="B947" t="s">
        <v>2716</v>
      </c>
      <c r="C947" s="6">
        <v>45142</v>
      </c>
      <c r="D947" t="str">
        <f t="shared" si="56"/>
        <v>Aug</v>
      </c>
      <c r="E947" t="str">
        <f t="shared" si="57"/>
        <v>2023</v>
      </c>
      <c r="F947" t="s">
        <v>4</v>
      </c>
      <c r="G947" t="s">
        <v>146</v>
      </c>
      <c r="H947" t="s">
        <v>1282</v>
      </c>
      <c r="I947">
        <v>190</v>
      </c>
      <c r="J947">
        <v>22</v>
      </c>
      <c r="K947">
        <f t="shared" si="58"/>
        <v>11.578947368421053</v>
      </c>
      <c r="L947" t="s">
        <v>1743</v>
      </c>
      <c r="M947" t="s">
        <v>3833</v>
      </c>
      <c r="N947" t="s">
        <v>1</v>
      </c>
      <c r="O947">
        <v>560016</v>
      </c>
      <c r="P947" t="s">
        <v>546</v>
      </c>
      <c r="Q947" t="s">
        <v>1774</v>
      </c>
      <c r="R947" t="s">
        <v>2</v>
      </c>
      <c r="S947">
        <v>167.76</v>
      </c>
      <c r="T947">
        <v>5</v>
      </c>
      <c r="U947">
        <v>0.2</v>
      </c>
      <c r="V947">
        <v>62.91</v>
      </c>
      <c r="W947">
        <f t="shared" si="59"/>
        <v>20.97</v>
      </c>
      <c r="X947">
        <v>2</v>
      </c>
    </row>
    <row r="948" spans="1:24" x14ac:dyDescent="0.3">
      <c r="A948">
        <v>947</v>
      </c>
      <c r="B948" t="s">
        <v>2717</v>
      </c>
      <c r="C948" s="6">
        <v>45143</v>
      </c>
      <c r="D948" t="str">
        <f t="shared" si="56"/>
        <v>Aug</v>
      </c>
      <c r="E948" t="str">
        <f t="shared" si="57"/>
        <v>2023</v>
      </c>
      <c r="F948" t="s">
        <v>5</v>
      </c>
      <c r="G948" t="s">
        <v>229</v>
      </c>
      <c r="H948" t="s">
        <v>1283</v>
      </c>
      <c r="I948">
        <v>170</v>
      </c>
      <c r="J948">
        <v>6</v>
      </c>
      <c r="K948">
        <f t="shared" si="58"/>
        <v>3.5294117647058822</v>
      </c>
      <c r="L948" t="s">
        <v>1738</v>
      </c>
      <c r="M948" t="s">
        <v>3681</v>
      </c>
      <c r="N948" t="s">
        <v>1</v>
      </c>
      <c r="O948">
        <v>600010</v>
      </c>
      <c r="P948" t="s">
        <v>546</v>
      </c>
      <c r="Q948" t="s">
        <v>1759</v>
      </c>
      <c r="R948" t="s">
        <v>2</v>
      </c>
      <c r="S948">
        <v>393.16500000000002</v>
      </c>
      <c r="T948">
        <v>3</v>
      </c>
      <c r="U948">
        <v>0.5</v>
      </c>
      <c r="V948">
        <v>-204.44579999999999</v>
      </c>
      <c r="W948">
        <f t="shared" si="59"/>
        <v>199.20360000000002</v>
      </c>
      <c r="X948">
        <v>2</v>
      </c>
    </row>
    <row r="949" spans="1:24" x14ac:dyDescent="0.3">
      <c r="A949">
        <v>948</v>
      </c>
      <c r="B949" t="s">
        <v>2718</v>
      </c>
      <c r="C949" s="6">
        <v>45144</v>
      </c>
      <c r="D949" t="str">
        <f t="shared" si="56"/>
        <v>Aug</v>
      </c>
      <c r="E949" t="str">
        <f t="shared" si="57"/>
        <v>2023</v>
      </c>
      <c r="F949" t="s">
        <v>4</v>
      </c>
      <c r="G949" t="s">
        <v>183</v>
      </c>
      <c r="H949" t="s">
        <v>1284</v>
      </c>
      <c r="I949">
        <v>190</v>
      </c>
      <c r="J949">
        <v>16</v>
      </c>
      <c r="K949">
        <f t="shared" si="58"/>
        <v>8.4210526315789469</v>
      </c>
      <c r="L949" t="s">
        <v>1739</v>
      </c>
      <c r="M949" t="s">
        <v>3682</v>
      </c>
      <c r="N949" t="s">
        <v>1</v>
      </c>
      <c r="O949">
        <v>474001</v>
      </c>
      <c r="P949" t="s">
        <v>546</v>
      </c>
      <c r="Q949" t="s">
        <v>1756</v>
      </c>
      <c r="S949">
        <v>516.48800000000006</v>
      </c>
      <c r="T949">
        <v>7</v>
      </c>
      <c r="U949">
        <v>0.2</v>
      </c>
      <c r="V949">
        <v>-12.9122</v>
      </c>
      <c r="W949">
        <f t="shared" si="59"/>
        <v>75.628600000000006</v>
      </c>
      <c r="X949">
        <v>3</v>
      </c>
    </row>
    <row r="950" spans="1:24" x14ac:dyDescent="0.3">
      <c r="A950">
        <v>949</v>
      </c>
      <c r="B950" t="s">
        <v>2719</v>
      </c>
      <c r="C950" s="6">
        <v>45145</v>
      </c>
      <c r="D950" t="str">
        <f t="shared" si="56"/>
        <v>Aug</v>
      </c>
      <c r="E950" t="str">
        <f t="shared" si="57"/>
        <v>2023</v>
      </c>
      <c r="F950" t="s">
        <v>4</v>
      </c>
      <c r="G950" t="s">
        <v>183</v>
      </c>
      <c r="H950" t="s">
        <v>767</v>
      </c>
      <c r="I950">
        <v>150</v>
      </c>
      <c r="J950">
        <v>8</v>
      </c>
      <c r="K950">
        <f t="shared" si="58"/>
        <v>5.3333333333333339</v>
      </c>
      <c r="L950" t="s">
        <v>1741</v>
      </c>
      <c r="M950" t="s">
        <v>3810</v>
      </c>
      <c r="N950" t="s">
        <v>1</v>
      </c>
      <c r="O950">
        <v>474001</v>
      </c>
      <c r="P950" t="s">
        <v>546</v>
      </c>
      <c r="Q950" t="s">
        <v>1755</v>
      </c>
      <c r="S950">
        <v>1007.232</v>
      </c>
      <c r="T950">
        <v>6</v>
      </c>
      <c r="U950">
        <v>0.2</v>
      </c>
      <c r="V950">
        <v>75.542400000000001</v>
      </c>
      <c r="W950">
        <f t="shared" si="59"/>
        <v>155.2816</v>
      </c>
      <c r="X950">
        <v>3</v>
      </c>
    </row>
    <row r="951" spans="1:24" x14ac:dyDescent="0.3">
      <c r="A951">
        <v>950</v>
      </c>
      <c r="B951" t="s">
        <v>2720</v>
      </c>
      <c r="C951" s="6">
        <v>45146</v>
      </c>
      <c r="D951" t="str">
        <f t="shared" si="56"/>
        <v>Aug</v>
      </c>
      <c r="E951" t="str">
        <f t="shared" si="57"/>
        <v>2023</v>
      </c>
      <c r="F951" t="s">
        <v>4</v>
      </c>
      <c r="G951" t="s">
        <v>183</v>
      </c>
      <c r="H951" t="s">
        <v>1285</v>
      </c>
      <c r="I951">
        <v>160</v>
      </c>
      <c r="J951">
        <v>22</v>
      </c>
      <c r="K951">
        <f t="shared" si="58"/>
        <v>13.750000000000002</v>
      </c>
      <c r="L951" t="s">
        <v>1736</v>
      </c>
      <c r="M951" t="s">
        <v>3693</v>
      </c>
      <c r="N951" t="s">
        <v>1</v>
      </c>
      <c r="O951">
        <v>201301</v>
      </c>
      <c r="P951" t="s">
        <v>546</v>
      </c>
      <c r="Q951" t="s">
        <v>1766</v>
      </c>
      <c r="S951">
        <v>2065.3200000000002</v>
      </c>
      <c r="T951">
        <v>12</v>
      </c>
      <c r="U951">
        <v>0.4</v>
      </c>
      <c r="V951">
        <v>-619.596</v>
      </c>
      <c r="W951">
        <f t="shared" si="59"/>
        <v>223.74300000000002</v>
      </c>
      <c r="X951">
        <v>1</v>
      </c>
    </row>
    <row r="952" spans="1:24" x14ac:dyDescent="0.3">
      <c r="A952">
        <v>951</v>
      </c>
      <c r="B952" t="s">
        <v>2721</v>
      </c>
      <c r="C952" s="6">
        <v>45147</v>
      </c>
      <c r="D952" t="str">
        <f t="shared" si="56"/>
        <v>Aug</v>
      </c>
      <c r="E952" t="str">
        <f t="shared" si="57"/>
        <v>2023</v>
      </c>
      <c r="F952" t="s">
        <v>4</v>
      </c>
      <c r="G952" t="s">
        <v>183</v>
      </c>
      <c r="H952" t="s">
        <v>1286</v>
      </c>
      <c r="I952">
        <v>160</v>
      </c>
      <c r="J952">
        <v>14</v>
      </c>
      <c r="K952">
        <f t="shared" si="58"/>
        <v>8.75</v>
      </c>
      <c r="L952" t="s">
        <v>1744</v>
      </c>
      <c r="M952" t="s">
        <v>3746</v>
      </c>
      <c r="N952" t="s">
        <v>1</v>
      </c>
      <c r="O952">
        <v>400612</v>
      </c>
      <c r="P952" t="s">
        <v>546</v>
      </c>
      <c r="Q952" t="s">
        <v>1767</v>
      </c>
      <c r="R952" t="s">
        <v>2</v>
      </c>
      <c r="S952">
        <v>15.552</v>
      </c>
      <c r="T952">
        <v>3</v>
      </c>
      <c r="U952">
        <v>0.2</v>
      </c>
      <c r="V952">
        <v>5.4432</v>
      </c>
      <c r="W952">
        <f t="shared" si="59"/>
        <v>3.3695999999999997</v>
      </c>
      <c r="X952">
        <v>5</v>
      </c>
    </row>
    <row r="953" spans="1:24" x14ac:dyDescent="0.3">
      <c r="A953">
        <v>952</v>
      </c>
      <c r="B953" t="s">
        <v>2722</v>
      </c>
      <c r="C953" s="6">
        <v>45148</v>
      </c>
      <c r="D953" t="str">
        <f t="shared" si="56"/>
        <v>Aug</v>
      </c>
      <c r="E953" t="str">
        <f t="shared" si="57"/>
        <v>2023</v>
      </c>
      <c r="F953" t="s">
        <v>4</v>
      </c>
      <c r="G953" t="s">
        <v>183</v>
      </c>
      <c r="H953" t="s">
        <v>765</v>
      </c>
      <c r="I953">
        <v>210</v>
      </c>
      <c r="J953">
        <v>18</v>
      </c>
      <c r="K953">
        <f t="shared" si="58"/>
        <v>8.5714285714285712</v>
      </c>
      <c r="L953" t="s">
        <v>1740</v>
      </c>
      <c r="M953" t="s">
        <v>3799</v>
      </c>
      <c r="N953" t="s">
        <v>1</v>
      </c>
      <c r="O953">
        <v>711410</v>
      </c>
      <c r="P953" t="s">
        <v>546</v>
      </c>
      <c r="Q953" t="s">
        <v>1754</v>
      </c>
      <c r="S953">
        <v>25.344000000000001</v>
      </c>
      <c r="T953">
        <v>6</v>
      </c>
      <c r="U953">
        <v>0.2</v>
      </c>
      <c r="V953">
        <v>7.92</v>
      </c>
      <c r="W953">
        <f t="shared" si="59"/>
        <v>2.9039999999999999</v>
      </c>
      <c r="X953">
        <v>3</v>
      </c>
    </row>
    <row r="954" spans="1:24" x14ac:dyDescent="0.3">
      <c r="A954">
        <v>953</v>
      </c>
      <c r="B954" t="s">
        <v>2723</v>
      </c>
      <c r="C954" s="6">
        <v>45149</v>
      </c>
      <c r="D954" t="str">
        <f t="shared" si="56"/>
        <v>Aug</v>
      </c>
      <c r="E954" t="str">
        <f t="shared" si="57"/>
        <v>2023</v>
      </c>
      <c r="F954" t="s">
        <v>4</v>
      </c>
      <c r="G954" t="s">
        <v>354</v>
      </c>
      <c r="H954" t="s">
        <v>1287</v>
      </c>
      <c r="I954">
        <v>180</v>
      </c>
      <c r="J954">
        <v>20</v>
      </c>
      <c r="K954">
        <f t="shared" si="58"/>
        <v>11.111111111111111</v>
      </c>
      <c r="L954" t="s">
        <v>1742</v>
      </c>
      <c r="M954" t="s">
        <v>3800</v>
      </c>
      <c r="N954" t="s">
        <v>1</v>
      </c>
      <c r="O954">
        <v>560043</v>
      </c>
      <c r="P954" t="s">
        <v>546</v>
      </c>
      <c r="Q954" t="s">
        <v>1761</v>
      </c>
      <c r="S954">
        <v>25.472000000000001</v>
      </c>
      <c r="T954">
        <v>4</v>
      </c>
      <c r="U954">
        <v>0.2</v>
      </c>
      <c r="V954">
        <v>7.6416000000000004</v>
      </c>
      <c r="W954">
        <f t="shared" si="59"/>
        <v>4.4576000000000002</v>
      </c>
      <c r="X954">
        <v>2</v>
      </c>
    </row>
    <row r="955" spans="1:24" x14ac:dyDescent="0.3">
      <c r="A955">
        <v>954</v>
      </c>
      <c r="B955" t="s">
        <v>2724</v>
      </c>
      <c r="C955" s="6">
        <v>45150</v>
      </c>
      <c r="D955" t="str">
        <f t="shared" si="56"/>
        <v>Aug</v>
      </c>
      <c r="E955" t="str">
        <f t="shared" si="57"/>
        <v>2023</v>
      </c>
      <c r="F955" t="s">
        <v>4</v>
      </c>
      <c r="G955" t="s">
        <v>355</v>
      </c>
      <c r="H955" t="s">
        <v>754</v>
      </c>
      <c r="I955">
        <v>110</v>
      </c>
      <c r="J955">
        <v>12</v>
      </c>
      <c r="K955">
        <f t="shared" si="58"/>
        <v>10.909090909090908</v>
      </c>
      <c r="L955" t="s">
        <v>1739</v>
      </c>
      <c r="M955" t="s">
        <v>3637</v>
      </c>
      <c r="N955" t="s">
        <v>1</v>
      </c>
      <c r="O955">
        <v>560043</v>
      </c>
      <c r="P955" t="s">
        <v>546</v>
      </c>
      <c r="Q955" t="s">
        <v>1767</v>
      </c>
      <c r="R955" t="s">
        <v>2</v>
      </c>
      <c r="S955">
        <v>27.167999999999999</v>
      </c>
      <c r="T955">
        <v>2</v>
      </c>
      <c r="U955">
        <v>0.2</v>
      </c>
      <c r="V955">
        <v>2.7168000000000001</v>
      </c>
      <c r="W955">
        <f t="shared" si="59"/>
        <v>12.2256</v>
      </c>
      <c r="X955">
        <v>1</v>
      </c>
    </row>
    <row r="956" spans="1:24" x14ac:dyDescent="0.3">
      <c r="A956">
        <v>955</v>
      </c>
      <c r="B956" t="s">
        <v>2725</v>
      </c>
      <c r="C956" s="6">
        <v>45151</v>
      </c>
      <c r="D956" t="str">
        <f t="shared" si="56"/>
        <v>Aug</v>
      </c>
      <c r="E956" t="str">
        <f t="shared" si="57"/>
        <v>2023</v>
      </c>
      <c r="F956" t="s">
        <v>4</v>
      </c>
      <c r="G956" t="s">
        <v>355</v>
      </c>
      <c r="H956" t="s">
        <v>813</v>
      </c>
      <c r="I956">
        <v>130</v>
      </c>
      <c r="J956">
        <v>10</v>
      </c>
      <c r="K956">
        <f t="shared" si="58"/>
        <v>7.6923076923076925</v>
      </c>
      <c r="L956" t="s">
        <v>1738</v>
      </c>
      <c r="M956" t="s">
        <v>3814</v>
      </c>
      <c r="N956" t="s">
        <v>1</v>
      </c>
      <c r="O956">
        <v>560043</v>
      </c>
      <c r="P956" t="s">
        <v>546</v>
      </c>
      <c r="Q956" t="s">
        <v>1776</v>
      </c>
      <c r="R956" t="s">
        <v>2</v>
      </c>
      <c r="S956">
        <v>78.852800000000002</v>
      </c>
      <c r="T956">
        <v>2</v>
      </c>
      <c r="U956">
        <v>0.32</v>
      </c>
      <c r="V956">
        <v>-11.596</v>
      </c>
      <c r="W956">
        <f t="shared" si="59"/>
        <v>45.224400000000003</v>
      </c>
      <c r="X956">
        <v>2</v>
      </c>
    </row>
    <row r="957" spans="1:24" x14ac:dyDescent="0.3">
      <c r="A957">
        <v>956</v>
      </c>
      <c r="B957" t="s">
        <v>2726</v>
      </c>
      <c r="C957" s="6">
        <v>45152</v>
      </c>
      <c r="D957" t="str">
        <f t="shared" si="56"/>
        <v>Aug</v>
      </c>
      <c r="E957" t="str">
        <f t="shared" si="57"/>
        <v>2023</v>
      </c>
      <c r="F957" t="s">
        <v>4</v>
      </c>
      <c r="G957" t="s">
        <v>356</v>
      </c>
      <c r="H957" t="s">
        <v>601</v>
      </c>
      <c r="I957">
        <v>120</v>
      </c>
      <c r="J957">
        <v>6</v>
      </c>
      <c r="K957">
        <f t="shared" si="58"/>
        <v>5</v>
      </c>
      <c r="L957" t="s">
        <v>1737</v>
      </c>
      <c r="M957" t="s">
        <v>3813</v>
      </c>
      <c r="N957" t="s">
        <v>1</v>
      </c>
      <c r="O957">
        <v>121001</v>
      </c>
      <c r="P957" t="s">
        <v>546</v>
      </c>
      <c r="Q957" t="s">
        <v>1768</v>
      </c>
      <c r="S957">
        <v>173.8</v>
      </c>
      <c r="T957">
        <v>5</v>
      </c>
      <c r="U957">
        <v>0.1</v>
      </c>
      <c r="V957">
        <v>43.45</v>
      </c>
      <c r="W957">
        <f t="shared" si="59"/>
        <v>26.070000000000004</v>
      </c>
      <c r="X957">
        <v>2</v>
      </c>
    </row>
    <row r="958" spans="1:24" x14ac:dyDescent="0.3">
      <c r="A958">
        <v>957</v>
      </c>
      <c r="B958" t="s">
        <v>2727</v>
      </c>
      <c r="C958" s="6">
        <v>45153</v>
      </c>
      <c r="D958" t="str">
        <f t="shared" si="56"/>
        <v>Aug</v>
      </c>
      <c r="E958" t="str">
        <f t="shared" si="57"/>
        <v>2023</v>
      </c>
      <c r="F958" t="s">
        <v>3</v>
      </c>
      <c r="G958" t="s">
        <v>357</v>
      </c>
      <c r="H958" t="s">
        <v>1234</v>
      </c>
      <c r="I958">
        <v>120</v>
      </c>
      <c r="J958">
        <v>30</v>
      </c>
      <c r="K958">
        <f t="shared" si="58"/>
        <v>25</v>
      </c>
      <c r="L958" t="s">
        <v>1743</v>
      </c>
      <c r="M958" t="s">
        <v>3610</v>
      </c>
      <c r="N958" t="s">
        <v>1</v>
      </c>
      <c r="O958">
        <v>795005</v>
      </c>
      <c r="P958" t="s">
        <v>546</v>
      </c>
      <c r="Q958" t="s">
        <v>1776</v>
      </c>
      <c r="S958">
        <v>29.591999999999999</v>
      </c>
      <c r="T958">
        <v>1</v>
      </c>
      <c r="U958">
        <v>0.2</v>
      </c>
      <c r="V958">
        <v>2.5893000000000002</v>
      </c>
      <c r="W958">
        <f t="shared" si="59"/>
        <v>27.002699999999997</v>
      </c>
      <c r="X958">
        <v>3</v>
      </c>
    </row>
    <row r="959" spans="1:24" x14ac:dyDescent="0.3">
      <c r="A959">
        <v>958</v>
      </c>
      <c r="B959" t="s">
        <v>2728</v>
      </c>
      <c r="C959" s="6">
        <v>45154</v>
      </c>
      <c r="D959" t="str">
        <f t="shared" si="56"/>
        <v>Aug</v>
      </c>
      <c r="E959" t="str">
        <f t="shared" si="57"/>
        <v>2023</v>
      </c>
      <c r="F959" t="s">
        <v>3</v>
      </c>
      <c r="G959" t="s">
        <v>357</v>
      </c>
      <c r="H959" t="s">
        <v>1288</v>
      </c>
      <c r="I959">
        <v>200</v>
      </c>
      <c r="J959">
        <v>16</v>
      </c>
      <c r="K959">
        <f t="shared" si="58"/>
        <v>8</v>
      </c>
      <c r="L959" t="s">
        <v>1738</v>
      </c>
      <c r="M959" t="s">
        <v>3807</v>
      </c>
      <c r="O959">
        <v>313001</v>
      </c>
      <c r="P959" t="s">
        <v>546</v>
      </c>
      <c r="Q959" t="s">
        <v>1774</v>
      </c>
      <c r="R959" t="s">
        <v>2</v>
      </c>
      <c r="S959">
        <v>4.7519999999999998</v>
      </c>
      <c r="T959">
        <v>2</v>
      </c>
      <c r="U959">
        <v>0.7</v>
      </c>
      <c r="V959">
        <v>-3.1680000000000001</v>
      </c>
      <c r="W959">
        <f t="shared" si="59"/>
        <v>3.96</v>
      </c>
      <c r="X959">
        <v>5</v>
      </c>
    </row>
    <row r="960" spans="1:24" x14ac:dyDescent="0.3">
      <c r="A960">
        <v>959</v>
      </c>
      <c r="B960" t="s">
        <v>2729</v>
      </c>
      <c r="C960" s="6">
        <v>45155</v>
      </c>
      <c r="D960" t="str">
        <f t="shared" si="56"/>
        <v>Aug</v>
      </c>
      <c r="E960" t="str">
        <f t="shared" si="57"/>
        <v>2023</v>
      </c>
      <c r="F960" t="s">
        <v>3</v>
      </c>
      <c r="G960" t="s">
        <v>357</v>
      </c>
      <c r="H960" t="s">
        <v>1289</v>
      </c>
      <c r="I960">
        <v>230</v>
      </c>
      <c r="J960">
        <v>18</v>
      </c>
      <c r="K960">
        <f t="shared" si="58"/>
        <v>7.8260869565217401</v>
      </c>
      <c r="L960" t="s">
        <v>1739</v>
      </c>
      <c r="M960" t="s">
        <v>3707</v>
      </c>
      <c r="N960" t="s">
        <v>1</v>
      </c>
      <c r="O960">
        <v>506001</v>
      </c>
      <c r="P960" t="s">
        <v>546</v>
      </c>
      <c r="Q960" t="s">
        <v>1761</v>
      </c>
      <c r="S960">
        <v>15.552</v>
      </c>
      <c r="T960">
        <v>3</v>
      </c>
      <c r="U960">
        <v>0.2</v>
      </c>
      <c r="V960">
        <v>5.6375999999999999</v>
      </c>
      <c r="W960">
        <f t="shared" si="59"/>
        <v>3.3048000000000002</v>
      </c>
      <c r="X960">
        <v>3</v>
      </c>
    </row>
    <row r="961" spans="1:24" x14ac:dyDescent="0.3">
      <c r="A961">
        <v>960</v>
      </c>
      <c r="B961" t="s">
        <v>2730</v>
      </c>
      <c r="C961" s="6">
        <v>45156</v>
      </c>
      <c r="D961" t="str">
        <f t="shared" si="56"/>
        <v>Aug</v>
      </c>
      <c r="E961" t="str">
        <f t="shared" si="57"/>
        <v>2023</v>
      </c>
      <c r="F961" t="s">
        <v>6</v>
      </c>
      <c r="G961" t="s">
        <v>358</v>
      </c>
      <c r="H961" t="s">
        <v>1290</v>
      </c>
      <c r="I961">
        <v>130</v>
      </c>
      <c r="J961">
        <v>14</v>
      </c>
      <c r="K961">
        <f t="shared" si="58"/>
        <v>10.76923076923077</v>
      </c>
      <c r="L961" t="s">
        <v>1741</v>
      </c>
      <c r="M961" t="s">
        <v>3805</v>
      </c>
      <c r="N961" t="s">
        <v>1</v>
      </c>
      <c r="O961">
        <v>400610</v>
      </c>
      <c r="P961" t="s">
        <v>546</v>
      </c>
      <c r="Q961" t="s">
        <v>1774</v>
      </c>
      <c r="S961">
        <v>204.6</v>
      </c>
      <c r="T961">
        <v>2</v>
      </c>
      <c r="U961">
        <v>0.1</v>
      </c>
      <c r="V961">
        <v>53.195999999999998</v>
      </c>
      <c r="W961">
        <f t="shared" si="59"/>
        <v>75.701999999999998</v>
      </c>
      <c r="X961">
        <v>5</v>
      </c>
    </row>
    <row r="962" spans="1:24" x14ac:dyDescent="0.3">
      <c r="A962">
        <v>961</v>
      </c>
      <c r="B962" t="s">
        <v>2731</v>
      </c>
      <c r="C962" s="6">
        <v>45157</v>
      </c>
      <c r="D962" t="str">
        <f t="shared" si="56"/>
        <v>Aug</v>
      </c>
      <c r="E962" t="str">
        <f t="shared" si="57"/>
        <v>2023</v>
      </c>
      <c r="F962" t="s">
        <v>4</v>
      </c>
      <c r="G962" t="s">
        <v>359</v>
      </c>
      <c r="H962" t="s">
        <v>775</v>
      </c>
      <c r="I962">
        <v>180</v>
      </c>
      <c r="J962">
        <v>8</v>
      </c>
      <c r="K962">
        <f t="shared" si="58"/>
        <v>4.4444444444444446</v>
      </c>
      <c r="L962" t="s">
        <v>1736</v>
      </c>
      <c r="M962" t="s">
        <v>3797</v>
      </c>
      <c r="N962" t="s">
        <v>1</v>
      </c>
      <c r="O962">
        <v>400610</v>
      </c>
      <c r="P962" t="s">
        <v>546</v>
      </c>
      <c r="Q962" t="s">
        <v>1758</v>
      </c>
      <c r="R962" t="s">
        <v>2</v>
      </c>
      <c r="S962">
        <v>321.56799999999998</v>
      </c>
      <c r="T962">
        <v>2</v>
      </c>
      <c r="U962">
        <v>0.2</v>
      </c>
      <c r="V962">
        <v>28.1372</v>
      </c>
      <c r="W962">
        <f t="shared" si="59"/>
        <v>146.71539999999999</v>
      </c>
      <c r="X962">
        <v>3</v>
      </c>
    </row>
    <row r="963" spans="1:24" x14ac:dyDescent="0.3">
      <c r="A963">
        <v>962</v>
      </c>
      <c r="B963" t="s">
        <v>2732</v>
      </c>
      <c r="C963" s="6">
        <v>45158</v>
      </c>
      <c r="D963" t="str">
        <f t="shared" ref="D963:D1026" si="60">TEXT(C963,"Mmm")</f>
        <v>Aug</v>
      </c>
      <c r="E963" t="str">
        <f t="shared" ref="E963:E1026" si="61">TEXT(C963,"YYYY")</f>
        <v>2023</v>
      </c>
      <c r="F963" t="s">
        <v>4</v>
      </c>
      <c r="G963" t="s">
        <v>360</v>
      </c>
      <c r="H963" t="s">
        <v>1291</v>
      </c>
      <c r="I963">
        <v>250</v>
      </c>
      <c r="J963">
        <v>12</v>
      </c>
      <c r="K963">
        <f t="shared" ref="K963:K1026" si="62">(J963/I963)*100</f>
        <v>4.8</v>
      </c>
      <c r="L963" t="s">
        <v>1744</v>
      </c>
      <c r="M963" t="s">
        <v>3685</v>
      </c>
      <c r="N963" t="s">
        <v>1</v>
      </c>
      <c r="O963">
        <v>201102</v>
      </c>
      <c r="P963" t="s">
        <v>546</v>
      </c>
      <c r="Q963" t="s">
        <v>1759</v>
      </c>
      <c r="S963">
        <v>6.24</v>
      </c>
      <c r="T963">
        <v>2</v>
      </c>
      <c r="U963">
        <v>0.1</v>
      </c>
      <c r="V963">
        <v>3.0575999999999999</v>
      </c>
      <c r="W963">
        <f t="shared" ref="W963:W1026" si="63">(S963-V963)/T963</f>
        <v>1.5912000000000002</v>
      </c>
      <c r="X963">
        <v>2</v>
      </c>
    </row>
    <row r="964" spans="1:24" x14ac:dyDescent="0.3">
      <c r="A964">
        <v>963</v>
      </c>
      <c r="B964" t="s">
        <v>2733</v>
      </c>
      <c r="C964" s="6">
        <v>45159</v>
      </c>
      <c r="D964" t="str">
        <f t="shared" si="60"/>
        <v>Aug</v>
      </c>
      <c r="E964" t="str">
        <f t="shared" si="61"/>
        <v>2023</v>
      </c>
      <c r="F964" t="s">
        <v>5</v>
      </c>
      <c r="G964" t="s">
        <v>58</v>
      </c>
      <c r="H964" t="s">
        <v>1013</v>
      </c>
      <c r="I964">
        <v>210</v>
      </c>
      <c r="J964">
        <v>24</v>
      </c>
      <c r="K964">
        <f t="shared" si="62"/>
        <v>11.428571428571429</v>
      </c>
      <c r="L964" t="s">
        <v>1740</v>
      </c>
      <c r="M964" t="s">
        <v>3791</v>
      </c>
      <c r="O964">
        <v>201301</v>
      </c>
      <c r="P964" t="s">
        <v>546</v>
      </c>
      <c r="Q964" t="s">
        <v>1759</v>
      </c>
      <c r="S964">
        <v>21.88</v>
      </c>
      <c r="T964">
        <v>2</v>
      </c>
      <c r="U964">
        <v>0.1</v>
      </c>
      <c r="V964">
        <v>10.94</v>
      </c>
      <c r="W964">
        <f t="shared" si="63"/>
        <v>5.47</v>
      </c>
      <c r="X964">
        <v>4</v>
      </c>
    </row>
    <row r="965" spans="1:24" x14ac:dyDescent="0.3">
      <c r="A965">
        <v>964</v>
      </c>
      <c r="B965" t="s">
        <v>2734</v>
      </c>
      <c r="C965" s="6">
        <v>45160</v>
      </c>
      <c r="D965" t="str">
        <f t="shared" si="60"/>
        <v>Aug</v>
      </c>
      <c r="E965" t="str">
        <f t="shared" si="61"/>
        <v>2023</v>
      </c>
      <c r="F965" t="s">
        <v>3</v>
      </c>
      <c r="G965" t="s">
        <v>340</v>
      </c>
      <c r="H965" t="s">
        <v>1292</v>
      </c>
      <c r="I965">
        <v>140</v>
      </c>
      <c r="J965">
        <v>14</v>
      </c>
      <c r="K965">
        <f t="shared" si="62"/>
        <v>10</v>
      </c>
      <c r="L965" t="s">
        <v>1742</v>
      </c>
      <c r="M965" t="s">
        <v>3647</v>
      </c>
      <c r="N965" t="s">
        <v>1</v>
      </c>
      <c r="O965">
        <v>600011</v>
      </c>
      <c r="P965" t="s">
        <v>546</v>
      </c>
      <c r="Q965" t="s">
        <v>1769</v>
      </c>
      <c r="S965">
        <v>4.6079999999999997</v>
      </c>
      <c r="T965">
        <v>2</v>
      </c>
      <c r="U965">
        <v>0.2</v>
      </c>
      <c r="V965">
        <v>1.6704000000000001</v>
      </c>
      <c r="W965">
        <f t="shared" si="63"/>
        <v>1.4687999999999999</v>
      </c>
      <c r="X965">
        <v>3</v>
      </c>
    </row>
    <row r="966" spans="1:24" x14ac:dyDescent="0.3">
      <c r="A966">
        <v>965</v>
      </c>
      <c r="B966" t="s">
        <v>2735</v>
      </c>
      <c r="C966" s="6">
        <v>45161</v>
      </c>
      <c r="D966" t="str">
        <f t="shared" si="60"/>
        <v>Aug</v>
      </c>
      <c r="E966" t="str">
        <f t="shared" si="61"/>
        <v>2023</v>
      </c>
      <c r="F966" t="s">
        <v>5</v>
      </c>
      <c r="G966" t="s">
        <v>361</v>
      </c>
      <c r="H966" t="s">
        <v>1293</v>
      </c>
      <c r="I966">
        <v>150</v>
      </c>
      <c r="J966">
        <v>24</v>
      </c>
      <c r="K966">
        <f t="shared" si="62"/>
        <v>16</v>
      </c>
      <c r="L966" t="s">
        <v>1739</v>
      </c>
      <c r="M966" t="s">
        <v>3697</v>
      </c>
      <c r="N966" t="s">
        <v>1</v>
      </c>
      <c r="O966">
        <v>474001</v>
      </c>
      <c r="P966" t="s">
        <v>546</v>
      </c>
      <c r="Q966" t="s">
        <v>1775</v>
      </c>
      <c r="S966">
        <v>9.82</v>
      </c>
      <c r="T966">
        <v>2</v>
      </c>
      <c r="U966">
        <v>0.1</v>
      </c>
      <c r="V966">
        <v>4.8117999999999999</v>
      </c>
      <c r="W966">
        <f t="shared" si="63"/>
        <v>2.5041000000000002</v>
      </c>
      <c r="X966">
        <v>1</v>
      </c>
    </row>
    <row r="967" spans="1:24" x14ac:dyDescent="0.3">
      <c r="A967">
        <v>966</v>
      </c>
      <c r="B967" t="s">
        <v>2736</v>
      </c>
      <c r="C967" s="6">
        <v>45162</v>
      </c>
      <c r="D967" t="str">
        <f t="shared" si="60"/>
        <v>Aug</v>
      </c>
      <c r="E967" t="str">
        <f t="shared" si="61"/>
        <v>2023</v>
      </c>
      <c r="F967" t="s">
        <v>5</v>
      </c>
      <c r="G967" t="s">
        <v>361</v>
      </c>
      <c r="H967" t="s">
        <v>916</v>
      </c>
      <c r="I967">
        <v>240</v>
      </c>
      <c r="J967">
        <v>28</v>
      </c>
      <c r="K967">
        <f t="shared" si="62"/>
        <v>11.666666666666666</v>
      </c>
      <c r="L967" t="s">
        <v>1738</v>
      </c>
      <c r="M967" t="s">
        <v>3801</v>
      </c>
      <c r="N967" t="s">
        <v>1</v>
      </c>
      <c r="O967">
        <v>474001</v>
      </c>
      <c r="P967" t="s">
        <v>546</v>
      </c>
      <c r="Q967" t="s">
        <v>1768</v>
      </c>
      <c r="R967" t="s">
        <v>2</v>
      </c>
      <c r="S967">
        <v>35.97</v>
      </c>
      <c r="T967">
        <v>3</v>
      </c>
      <c r="U967">
        <v>0.1</v>
      </c>
      <c r="V967">
        <v>9.7119</v>
      </c>
      <c r="W967">
        <f t="shared" si="63"/>
        <v>8.752699999999999</v>
      </c>
      <c r="X967">
        <v>2</v>
      </c>
    </row>
    <row r="968" spans="1:24" x14ac:dyDescent="0.3">
      <c r="A968">
        <v>967</v>
      </c>
      <c r="B968" t="s">
        <v>2737</v>
      </c>
      <c r="C968" s="6">
        <v>45163</v>
      </c>
      <c r="D968" t="str">
        <f t="shared" si="60"/>
        <v>Aug</v>
      </c>
      <c r="E968" t="str">
        <f t="shared" si="61"/>
        <v>2023</v>
      </c>
      <c r="F968" t="s">
        <v>5</v>
      </c>
      <c r="G968" t="s">
        <v>361</v>
      </c>
      <c r="H968" t="s">
        <v>1294</v>
      </c>
      <c r="I968">
        <v>100</v>
      </c>
      <c r="J968">
        <v>30</v>
      </c>
      <c r="K968">
        <f t="shared" si="62"/>
        <v>30</v>
      </c>
      <c r="L968" t="s">
        <v>1737</v>
      </c>
      <c r="M968" t="s">
        <v>3787</v>
      </c>
      <c r="N968" t="s">
        <v>1</v>
      </c>
      <c r="O968">
        <v>122003</v>
      </c>
      <c r="P968" t="s">
        <v>546</v>
      </c>
      <c r="Q968" t="s">
        <v>1773</v>
      </c>
      <c r="S968">
        <v>12.96</v>
      </c>
      <c r="T968">
        <v>2</v>
      </c>
      <c r="U968">
        <v>0.1</v>
      </c>
      <c r="V968">
        <v>6.2207999999999997</v>
      </c>
      <c r="W968">
        <f t="shared" si="63"/>
        <v>3.3696000000000006</v>
      </c>
      <c r="X968">
        <v>4</v>
      </c>
    </row>
    <row r="969" spans="1:24" x14ac:dyDescent="0.3">
      <c r="A969">
        <v>968</v>
      </c>
      <c r="B969" t="s">
        <v>2738</v>
      </c>
      <c r="C969" s="6">
        <v>45164</v>
      </c>
      <c r="D969" t="str">
        <f t="shared" si="60"/>
        <v>Aug</v>
      </c>
      <c r="E969" t="str">
        <f t="shared" si="61"/>
        <v>2023</v>
      </c>
      <c r="F969" t="s">
        <v>5</v>
      </c>
      <c r="G969" t="s">
        <v>361</v>
      </c>
      <c r="H969" t="s">
        <v>1295</v>
      </c>
      <c r="I969">
        <v>100</v>
      </c>
      <c r="J969">
        <v>28</v>
      </c>
      <c r="K969">
        <f t="shared" si="62"/>
        <v>28.000000000000004</v>
      </c>
      <c r="L969" t="s">
        <v>1743</v>
      </c>
      <c r="M969" t="s">
        <v>3736</v>
      </c>
      <c r="N969" t="s">
        <v>1</v>
      </c>
      <c r="O969">
        <v>390022</v>
      </c>
      <c r="P969" t="s">
        <v>546</v>
      </c>
      <c r="Q969" t="s">
        <v>1773</v>
      </c>
      <c r="S969">
        <v>191.6</v>
      </c>
      <c r="T969">
        <v>4</v>
      </c>
      <c r="U969">
        <v>0.1</v>
      </c>
      <c r="V969">
        <v>91.968000000000004</v>
      </c>
      <c r="W969">
        <f t="shared" si="63"/>
        <v>24.907999999999998</v>
      </c>
      <c r="X969">
        <v>5</v>
      </c>
    </row>
    <row r="970" spans="1:24" x14ac:dyDescent="0.3">
      <c r="A970">
        <v>969</v>
      </c>
      <c r="B970" t="s">
        <v>2739</v>
      </c>
      <c r="C970" s="6">
        <v>45165</v>
      </c>
      <c r="D970" t="str">
        <f t="shared" si="60"/>
        <v>Aug</v>
      </c>
      <c r="E970" t="str">
        <f t="shared" si="61"/>
        <v>2023</v>
      </c>
      <c r="F970" t="s">
        <v>5</v>
      </c>
      <c r="G970" t="s">
        <v>361</v>
      </c>
      <c r="H970" t="s">
        <v>1292</v>
      </c>
      <c r="I970">
        <v>140</v>
      </c>
      <c r="J970">
        <v>24</v>
      </c>
      <c r="K970">
        <f t="shared" si="62"/>
        <v>17.142857142857142</v>
      </c>
      <c r="L970" t="s">
        <v>1738</v>
      </c>
      <c r="M970" t="s">
        <v>3804</v>
      </c>
      <c r="N970" t="s">
        <v>1</v>
      </c>
      <c r="O970">
        <v>390022</v>
      </c>
      <c r="P970" t="s">
        <v>546</v>
      </c>
      <c r="Q970" t="s">
        <v>1772</v>
      </c>
      <c r="R970" t="s">
        <v>2</v>
      </c>
      <c r="S970">
        <v>8.64</v>
      </c>
      <c r="T970">
        <v>3</v>
      </c>
      <c r="U970">
        <v>0.1</v>
      </c>
      <c r="V970">
        <v>4.2336</v>
      </c>
      <c r="W970">
        <f t="shared" si="63"/>
        <v>1.4688000000000001</v>
      </c>
      <c r="X970">
        <v>1</v>
      </c>
    </row>
    <row r="971" spans="1:24" x14ac:dyDescent="0.3">
      <c r="A971">
        <v>970</v>
      </c>
      <c r="B971" t="s">
        <v>2740</v>
      </c>
      <c r="C971" s="6">
        <v>45166</v>
      </c>
      <c r="D971" t="str">
        <f t="shared" si="60"/>
        <v>Aug</v>
      </c>
      <c r="E971" t="str">
        <f t="shared" si="61"/>
        <v>2023</v>
      </c>
      <c r="F971" t="s">
        <v>5</v>
      </c>
      <c r="G971" t="s">
        <v>361</v>
      </c>
      <c r="H971" t="s">
        <v>1296</v>
      </c>
      <c r="I971">
        <v>170</v>
      </c>
      <c r="J971">
        <v>6</v>
      </c>
      <c r="K971">
        <f t="shared" si="62"/>
        <v>3.5294117647058822</v>
      </c>
      <c r="L971" t="s">
        <v>1739</v>
      </c>
      <c r="M971" t="s">
        <v>3588</v>
      </c>
      <c r="N971" t="s">
        <v>1</v>
      </c>
      <c r="O971">
        <v>180007</v>
      </c>
      <c r="P971" t="s">
        <v>546</v>
      </c>
      <c r="Q971" t="s">
        <v>1761</v>
      </c>
      <c r="S971">
        <v>501.81</v>
      </c>
      <c r="T971">
        <v>3</v>
      </c>
      <c r="U971">
        <v>0.1</v>
      </c>
      <c r="V971">
        <v>0.1</v>
      </c>
      <c r="W971">
        <f t="shared" si="63"/>
        <v>167.23666666666665</v>
      </c>
      <c r="X971">
        <v>3</v>
      </c>
    </row>
    <row r="972" spans="1:24" x14ac:dyDescent="0.3">
      <c r="A972">
        <v>971</v>
      </c>
      <c r="B972" t="s">
        <v>2741</v>
      </c>
      <c r="C972" s="6">
        <v>45167</v>
      </c>
      <c r="D972" t="str">
        <f t="shared" si="60"/>
        <v>Aug</v>
      </c>
      <c r="E972" t="str">
        <f t="shared" si="61"/>
        <v>2023</v>
      </c>
      <c r="F972" t="s">
        <v>3</v>
      </c>
      <c r="G972" t="s">
        <v>118</v>
      </c>
      <c r="H972" t="s">
        <v>1297</v>
      </c>
      <c r="I972">
        <v>140</v>
      </c>
      <c r="J972">
        <v>20</v>
      </c>
      <c r="K972">
        <f t="shared" si="62"/>
        <v>14.285714285714285</v>
      </c>
      <c r="L972" t="s">
        <v>1741</v>
      </c>
      <c r="M972" t="s">
        <v>3789</v>
      </c>
      <c r="N972" t="s">
        <v>1</v>
      </c>
      <c r="O972">
        <v>670305</v>
      </c>
      <c r="P972" t="s">
        <v>546</v>
      </c>
      <c r="Q972" t="s">
        <v>1755</v>
      </c>
      <c r="S972">
        <v>127.104</v>
      </c>
      <c r="T972">
        <v>6</v>
      </c>
      <c r="U972">
        <v>0.2</v>
      </c>
      <c r="V972">
        <v>28.598400000000002</v>
      </c>
      <c r="W972">
        <f t="shared" si="63"/>
        <v>16.4176</v>
      </c>
      <c r="X972">
        <v>2</v>
      </c>
    </row>
    <row r="973" spans="1:24" x14ac:dyDescent="0.3">
      <c r="A973">
        <v>972</v>
      </c>
      <c r="B973" t="s">
        <v>2742</v>
      </c>
      <c r="C973" s="6">
        <v>45168</v>
      </c>
      <c r="D973" t="str">
        <f t="shared" si="60"/>
        <v>Aug</v>
      </c>
      <c r="E973" t="str">
        <f t="shared" si="61"/>
        <v>2023</v>
      </c>
      <c r="F973" t="s">
        <v>3</v>
      </c>
      <c r="G973" t="s">
        <v>118</v>
      </c>
      <c r="H973" t="s">
        <v>849</v>
      </c>
      <c r="I973">
        <v>150</v>
      </c>
      <c r="J973">
        <v>12</v>
      </c>
      <c r="K973">
        <f t="shared" si="62"/>
        <v>8</v>
      </c>
      <c r="L973" t="s">
        <v>1736</v>
      </c>
      <c r="M973" t="s">
        <v>3790</v>
      </c>
      <c r="N973" t="s">
        <v>1</v>
      </c>
      <c r="O973">
        <v>600062</v>
      </c>
      <c r="P973" t="s">
        <v>546</v>
      </c>
      <c r="Q973" t="s">
        <v>1763</v>
      </c>
      <c r="S973">
        <v>124.2</v>
      </c>
      <c r="T973">
        <v>3</v>
      </c>
      <c r="U973">
        <v>0.4</v>
      </c>
      <c r="V973">
        <v>-31.05</v>
      </c>
      <c r="W973">
        <f t="shared" si="63"/>
        <v>51.75</v>
      </c>
      <c r="X973">
        <v>5</v>
      </c>
    </row>
    <row r="974" spans="1:24" x14ac:dyDescent="0.3">
      <c r="A974">
        <v>973</v>
      </c>
      <c r="B974" t="s">
        <v>2743</v>
      </c>
      <c r="C974" s="6">
        <v>45169</v>
      </c>
      <c r="D974" t="str">
        <f t="shared" si="60"/>
        <v>Aug</v>
      </c>
      <c r="E974" t="str">
        <f t="shared" si="61"/>
        <v>2023</v>
      </c>
      <c r="F974" t="s">
        <v>3</v>
      </c>
      <c r="G974" t="s">
        <v>118</v>
      </c>
      <c r="H974" t="s">
        <v>1129</v>
      </c>
      <c r="I974">
        <v>140</v>
      </c>
      <c r="J974">
        <v>6</v>
      </c>
      <c r="K974">
        <f t="shared" si="62"/>
        <v>4.2857142857142856</v>
      </c>
      <c r="L974" t="s">
        <v>1744</v>
      </c>
      <c r="M974" t="s">
        <v>3798</v>
      </c>
      <c r="N974" t="s">
        <v>1</v>
      </c>
      <c r="O974">
        <v>421204</v>
      </c>
      <c r="P974" t="s">
        <v>546</v>
      </c>
      <c r="Q974" t="s">
        <v>1755</v>
      </c>
      <c r="S974">
        <v>18.588000000000001</v>
      </c>
      <c r="T974">
        <v>2</v>
      </c>
      <c r="U974">
        <v>0.7</v>
      </c>
      <c r="V974">
        <v>-13.6312</v>
      </c>
      <c r="W974">
        <f t="shared" si="63"/>
        <v>16.1096</v>
      </c>
      <c r="X974">
        <v>5</v>
      </c>
    </row>
    <row r="975" spans="1:24" x14ac:dyDescent="0.3">
      <c r="A975">
        <v>974</v>
      </c>
      <c r="B975" t="s">
        <v>2744</v>
      </c>
      <c r="C975" s="6">
        <v>45170</v>
      </c>
      <c r="D975" t="str">
        <f t="shared" si="60"/>
        <v>Sep</v>
      </c>
      <c r="E975" t="str">
        <f t="shared" si="61"/>
        <v>2023</v>
      </c>
      <c r="F975" t="s">
        <v>3</v>
      </c>
      <c r="G975" t="s">
        <v>118</v>
      </c>
      <c r="H975" t="s">
        <v>847</v>
      </c>
      <c r="I975">
        <v>100</v>
      </c>
      <c r="J975">
        <v>14</v>
      </c>
      <c r="K975">
        <f t="shared" si="62"/>
        <v>14.000000000000002</v>
      </c>
      <c r="L975" t="s">
        <v>1740</v>
      </c>
      <c r="M975" t="s">
        <v>3834</v>
      </c>
      <c r="O975">
        <v>641009</v>
      </c>
      <c r="P975" t="s">
        <v>546</v>
      </c>
      <c r="Q975" t="s">
        <v>1765</v>
      </c>
      <c r="S975">
        <v>30.071999999999999</v>
      </c>
      <c r="T975">
        <v>3</v>
      </c>
      <c r="U975">
        <v>0.2</v>
      </c>
      <c r="V975">
        <v>10.1493</v>
      </c>
      <c r="W975">
        <f t="shared" si="63"/>
        <v>6.6408999999999994</v>
      </c>
      <c r="X975">
        <v>2</v>
      </c>
    </row>
    <row r="976" spans="1:24" x14ac:dyDescent="0.3">
      <c r="A976">
        <v>975</v>
      </c>
      <c r="B976" t="s">
        <v>2745</v>
      </c>
      <c r="C976" s="6">
        <v>45171</v>
      </c>
      <c r="D976" t="str">
        <f t="shared" si="60"/>
        <v>Sep</v>
      </c>
      <c r="E976" t="str">
        <f t="shared" si="61"/>
        <v>2023</v>
      </c>
      <c r="F976" t="s">
        <v>3</v>
      </c>
      <c r="G976" t="s">
        <v>292</v>
      </c>
      <c r="H976" t="s">
        <v>1008</v>
      </c>
      <c r="I976">
        <v>100</v>
      </c>
      <c r="J976">
        <v>6</v>
      </c>
      <c r="K976">
        <f t="shared" si="62"/>
        <v>6</v>
      </c>
      <c r="L976" t="s">
        <v>1742</v>
      </c>
      <c r="M976" t="s">
        <v>3776</v>
      </c>
      <c r="N976" t="s">
        <v>1</v>
      </c>
      <c r="O976">
        <v>670661</v>
      </c>
      <c r="P976" t="s">
        <v>546</v>
      </c>
      <c r="Q976" t="s">
        <v>1767</v>
      </c>
      <c r="S976">
        <v>160.93</v>
      </c>
      <c r="T976">
        <v>7</v>
      </c>
      <c r="U976">
        <v>0.1</v>
      </c>
      <c r="V976">
        <v>3.2185999999999999</v>
      </c>
      <c r="W976">
        <f t="shared" si="63"/>
        <v>22.530200000000001</v>
      </c>
      <c r="X976">
        <v>2</v>
      </c>
    </row>
    <row r="977" spans="1:24" x14ac:dyDescent="0.3">
      <c r="A977">
        <v>976</v>
      </c>
      <c r="B977" t="s">
        <v>2746</v>
      </c>
      <c r="C977" s="6">
        <v>45172</v>
      </c>
      <c r="D977" t="str">
        <f t="shared" si="60"/>
        <v>Sep</v>
      </c>
      <c r="E977" t="str">
        <f t="shared" si="61"/>
        <v>2023</v>
      </c>
      <c r="F977" t="s">
        <v>3</v>
      </c>
      <c r="G977" t="s">
        <v>292</v>
      </c>
      <c r="H977" t="s">
        <v>898</v>
      </c>
      <c r="I977">
        <v>130</v>
      </c>
      <c r="J977">
        <v>14</v>
      </c>
      <c r="K977">
        <f t="shared" si="62"/>
        <v>10.76923076923077</v>
      </c>
      <c r="L977" t="s">
        <v>1739</v>
      </c>
      <c r="M977" t="s">
        <v>3785</v>
      </c>
      <c r="N977" t="s">
        <v>1</v>
      </c>
      <c r="O977">
        <v>632602</v>
      </c>
      <c r="P977" t="s">
        <v>546</v>
      </c>
      <c r="Q977" t="s">
        <v>1755</v>
      </c>
      <c r="R977" t="s">
        <v>2</v>
      </c>
      <c r="S977">
        <v>75.792000000000002</v>
      </c>
      <c r="T977">
        <v>3</v>
      </c>
      <c r="U977">
        <v>0.2</v>
      </c>
      <c r="V977">
        <v>25.579799999999999</v>
      </c>
      <c r="W977">
        <f t="shared" si="63"/>
        <v>16.737400000000001</v>
      </c>
      <c r="X977">
        <v>5</v>
      </c>
    </row>
    <row r="978" spans="1:24" x14ac:dyDescent="0.3">
      <c r="A978">
        <v>977</v>
      </c>
      <c r="B978" t="s">
        <v>2747</v>
      </c>
      <c r="C978" s="6">
        <v>45173</v>
      </c>
      <c r="D978" t="str">
        <f t="shared" si="60"/>
        <v>Sep</v>
      </c>
      <c r="E978" t="str">
        <f t="shared" si="61"/>
        <v>2023</v>
      </c>
      <c r="F978" t="s">
        <v>4</v>
      </c>
      <c r="G978" t="s">
        <v>150</v>
      </c>
      <c r="H978" t="s">
        <v>1298</v>
      </c>
      <c r="I978">
        <v>190</v>
      </c>
      <c r="J978">
        <v>20</v>
      </c>
      <c r="K978">
        <f t="shared" si="62"/>
        <v>10.526315789473683</v>
      </c>
      <c r="L978" t="s">
        <v>1738</v>
      </c>
      <c r="M978" t="s">
        <v>3788</v>
      </c>
      <c r="N978" t="s">
        <v>1</v>
      </c>
      <c r="O978">
        <v>522647</v>
      </c>
      <c r="P978" t="s">
        <v>546</v>
      </c>
      <c r="Q978" t="s">
        <v>1755</v>
      </c>
      <c r="S978">
        <v>1.08</v>
      </c>
      <c r="T978">
        <v>2</v>
      </c>
      <c r="U978">
        <v>0.7</v>
      </c>
      <c r="V978">
        <v>-0.79200000000000004</v>
      </c>
      <c r="W978">
        <f t="shared" si="63"/>
        <v>0.93600000000000005</v>
      </c>
      <c r="X978">
        <v>1</v>
      </c>
    </row>
    <row r="979" spans="1:24" x14ac:dyDescent="0.3">
      <c r="A979">
        <v>978</v>
      </c>
      <c r="B979" t="s">
        <v>2748</v>
      </c>
      <c r="C979" s="6">
        <v>45174</v>
      </c>
      <c r="D979" t="str">
        <f t="shared" si="60"/>
        <v>Sep</v>
      </c>
      <c r="E979" t="str">
        <f t="shared" si="61"/>
        <v>2023</v>
      </c>
      <c r="F979" t="s">
        <v>5</v>
      </c>
      <c r="G979" t="s">
        <v>315</v>
      </c>
      <c r="H979" t="s">
        <v>702</v>
      </c>
      <c r="I979">
        <v>200</v>
      </c>
      <c r="J979">
        <v>30</v>
      </c>
      <c r="K979">
        <f t="shared" si="62"/>
        <v>15</v>
      </c>
      <c r="L979" t="s">
        <v>1737</v>
      </c>
      <c r="M979" t="s">
        <v>3768</v>
      </c>
      <c r="N979" t="s">
        <v>1</v>
      </c>
      <c r="O979">
        <v>586201</v>
      </c>
      <c r="P979" t="s">
        <v>546</v>
      </c>
      <c r="Q979" t="s">
        <v>1755</v>
      </c>
      <c r="S979">
        <v>3059.982</v>
      </c>
      <c r="T979">
        <v>2</v>
      </c>
      <c r="U979">
        <v>0.11</v>
      </c>
      <c r="V979">
        <v>679.99599999999998</v>
      </c>
      <c r="W979">
        <f t="shared" si="63"/>
        <v>1189.9929999999999</v>
      </c>
      <c r="X979">
        <v>3</v>
      </c>
    </row>
    <row r="980" spans="1:24" x14ac:dyDescent="0.3">
      <c r="A980">
        <v>979</v>
      </c>
      <c r="B980" t="s">
        <v>2749</v>
      </c>
      <c r="C980" s="6">
        <v>45175</v>
      </c>
      <c r="D980" t="str">
        <f t="shared" si="60"/>
        <v>Sep</v>
      </c>
      <c r="E980" t="str">
        <f t="shared" si="61"/>
        <v>2023</v>
      </c>
      <c r="F980" t="s">
        <v>5</v>
      </c>
      <c r="G980" t="s">
        <v>362</v>
      </c>
      <c r="H980" t="s">
        <v>1067</v>
      </c>
      <c r="I980">
        <v>170</v>
      </c>
      <c r="J980">
        <v>8</v>
      </c>
      <c r="K980">
        <f t="shared" si="62"/>
        <v>4.7058823529411766</v>
      </c>
      <c r="L980" t="s">
        <v>1743</v>
      </c>
      <c r="M980" t="s">
        <v>3769</v>
      </c>
      <c r="N980" t="s">
        <v>1</v>
      </c>
      <c r="O980">
        <v>500004</v>
      </c>
      <c r="P980" t="s">
        <v>546</v>
      </c>
      <c r="Q980" t="s">
        <v>1764</v>
      </c>
      <c r="S980">
        <v>3.282</v>
      </c>
      <c r="T980">
        <v>2</v>
      </c>
      <c r="U980">
        <v>0.7</v>
      </c>
      <c r="V980">
        <v>-2.6255999999999999</v>
      </c>
      <c r="W980">
        <f t="shared" si="63"/>
        <v>2.9538000000000002</v>
      </c>
      <c r="X980">
        <v>2</v>
      </c>
    </row>
    <row r="981" spans="1:24" x14ac:dyDescent="0.3">
      <c r="A981">
        <v>980</v>
      </c>
      <c r="B981" t="s">
        <v>2750</v>
      </c>
      <c r="C981" s="6">
        <v>45176</v>
      </c>
      <c r="D981" t="str">
        <f t="shared" si="60"/>
        <v>Sep</v>
      </c>
      <c r="E981" t="str">
        <f t="shared" si="61"/>
        <v>2023</v>
      </c>
      <c r="F981" t="s">
        <v>5</v>
      </c>
      <c r="G981" t="s">
        <v>40</v>
      </c>
      <c r="H981" t="s">
        <v>1299</v>
      </c>
      <c r="I981">
        <v>200</v>
      </c>
      <c r="J981">
        <v>16</v>
      </c>
      <c r="K981">
        <f t="shared" si="62"/>
        <v>8</v>
      </c>
      <c r="L981" t="s">
        <v>1738</v>
      </c>
      <c r="M981" t="s">
        <v>3770</v>
      </c>
      <c r="N981" t="s">
        <v>1</v>
      </c>
      <c r="O981">
        <v>500044</v>
      </c>
      <c r="P981" t="s">
        <v>546</v>
      </c>
      <c r="Q981" t="s">
        <v>1773</v>
      </c>
      <c r="S981">
        <v>34.020000000000003</v>
      </c>
      <c r="T981">
        <v>3</v>
      </c>
      <c r="U981">
        <v>0.1</v>
      </c>
      <c r="V981">
        <v>16.669799999999999</v>
      </c>
      <c r="W981">
        <f t="shared" si="63"/>
        <v>5.7834000000000012</v>
      </c>
      <c r="X981">
        <v>4</v>
      </c>
    </row>
    <row r="982" spans="1:24" x14ac:dyDescent="0.3">
      <c r="A982">
        <v>981</v>
      </c>
      <c r="B982" t="s">
        <v>2751</v>
      </c>
      <c r="C982" s="6">
        <v>45177</v>
      </c>
      <c r="D982" t="str">
        <f t="shared" si="60"/>
        <v>Sep</v>
      </c>
      <c r="E982" t="str">
        <f t="shared" si="61"/>
        <v>2023</v>
      </c>
      <c r="F982" t="s">
        <v>4</v>
      </c>
      <c r="G982" t="s">
        <v>19</v>
      </c>
      <c r="H982" t="s">
        <v>1184</v>
      </c>
      <c r="I982">
        <v>150</v>
      </c>
      <c r="J982">
        <v>20</v>
      </c>
      <c r="K982">
        <f t="shared" si="62"/>
        <v>13.333333333333334</v>
      </c>
      <c r="L982" t="s">
        <v>1739</v>
      </c>
      <c r="M982" t="s">
        <v>3771</v>
      </c>
      <c r="N982" t="s">
        <v>1</v>
      </c>
      <c r="O982">
        <v>834001</v>
      </c>
      <c r="P982" t="s">
        <v>546</v>
      </c>
      <c r="Q982" t="s">
        <v>1761</v>
      </c>
      <c r="R982" t="s">
        <v>2</v>
      </c>
      <c r="S982">
        <v>599.29200000000003</v>
      </c>
      <c r="T982">
        <v>6</v>
      </c>
      <c r="U982">
        <v>0.11</v>
      </c>
      <c r="V982">
        <v>93.223200000000006</v>
      </c>
      <c r="W982">
        <f t="shared" si="63"/>
        <v>84.344800000000006</v>
      </c>
      <c r="X982">
        <v>3</v>
      </c>
    </row>
    <row r="983" spans="1:24" x14ac:dyDescent="0.3">
      <c r="A983">
        <v>982</v>
      </c>
      <c r="B983" t="s">
        <v>2752</v>
      </c>
      <c r="C983" s="6">
        <v>45178</v>
      </c>
      <c r="D983" t="str">
        <f t="shared" si="60"/>
        <v>Sep</v>
      </c>
      <c r="E983" t="str">
        <f t="shared" si="61"/>
        <v>2023</v>
      </c>
      <c r="F983" t="s">
        <v>3</v>
      </c>
      <c r="G983" t="s">
        <v>363</v>
      </c>
      <c r="H983" t="s">
        <v>1300</v>
      </c>
      <c r="I983">
        <v>180</v>
      </c>
      <c r="J983">
        <v>12</v>
      </c>
      <c r="K983">
        <f t="shared" si="62"/>
        <v>6.666666666666667</v>
      </c>
      <c r="L983" t="s">
        <v>1741</v>
      </c>
      <c r="M983" t="s">
        <v>3796</v>
      </c>
      <c r="N983" t="s">
        <v>1</v>
      </c>
      <c r="O983">
        <v>700064</v>
      </c>
      <c r="P983" t="s">
        <v>546</v>
      </c>
      <c r="Q983" t="s">
        <v>1759</v>
      </c>
      <c r="S983">
        <v>3.3919999999999999</v>
      </c>
      <c r="T983">
        <v>1</v>
      </c>
      <c r="U983">
        <v>0.2</v>
      </c>
      <c r="V983">
        <v>0.80559999999999998</v>
      </c>
      <c r="W983">
        <f t="shared" si="63"/>
        <v>2.5863999999999998</v>
      </c>
      <c r="X983">
        <v>2</v>
      </c>
    </row>
    <row r="984" spans="1:24" x14ac:dyDescent="0.3">
      <c r="A984">
        <v>983</v>
      </c>
      <c r="B984" t="s">
        <v>2753</v>
      </c>
      <c r="C984" s="6">
        <v>45179</v>
      </c>
      <c r="D984" t="str">
        <f t="shared" si="60"/>
        <v>Sep</v>
      </c>
      <c r="E984" t="str">
        <f t="shared" si="61"/>
        <v>2023</v>
      </c>
      <c r="F984" t="s">
        <v>3</v>
      </c>
      <c r="G984" t="s">
        <v>363</v>
      </c>
      <c r="H984" t="s">
        <v>1301</v>
      </c>
      <c r="I984">
        <v>140</v>
      </c>
      <c r="J984">
        <v>6</v>
      </c>
      <c r="K984">
        <f t="shared" si="62"/>
        <v>4.2857142857142856</v>
      </c>
      <c r="L984" t="s">
        <v>1736</v>
      </c>
      <c r="M984" t="s">
        <v>3773</v>
      </c>
      <c r="N984" t="s">
        <v>1</v>
      </c>
      <c r="O984">
        <v>800025</v>
      </c>
      <c r="P984" t="s">
        <v>546</v>
      </c>
      <c r="Q984" t="s">
        <v>1776</v>
      </c>
      <c r="S984">
        <v>559.98400000000004</v>
      </c>
      <c r="T984">
        <v>2</v>
      </c>
      <c r="U984">
        <v>0.2</v>
      </c>
      <c r="V984">
        <v>55.998399999999997</v>
      </c>
      <c r="W984">
        <f t="shared" si="63"/>
        <v>251.99280000000002</v>
      </c>
      <c r="X984">
        <v>1</v>
      </c>
    </row>
    <row r="985" spans="1:24" x14ac:dyDescent="0.3">
      <c r="A985">
        <v>984</v>
      </c>
      <c r="B985" t="s">
        <v>2754</v>
      </c>
      <c r="C985" s="6">
        <v>45180</v>
      </c>
      <c r="D985" t="str">
        <f t="shared" si="60"/>
        <v>Sep</v>
      </c>
      <c r="E985" t="str">
        <f t="shared" si="61"/>
        <v>2023</v>
      </c>
      <c r="F985" t="s">
        <v>3</v>
      </c>
      <c r="G985" t="s">
        <v>363</v>
      </c>
      <c r="H985" t="s">
        <v>1209</v>
      </c>
      <c r="I985">
        <v>150</v>
      </c>
      <c r="J985">
        <v>18</v>
      </c>
      <c r="K985">
        <f t="shared" si="62"/>
        <v>12</v>
      </c>
      <c r="L985" t="s">
        <v>1744</v>
      </c>
      <c r="M985" t="s">
        <v>3774</v>
      </c>
      <c r="N985" t="s">
        <v>1</v>
      </c>
      <c r="O985">
        <v>411033</v>
      </c>
      <c r="P985" t="s">
        <v>546</v>
      </c>
      <c r="Q985" t="s">
        <v>1761</v>
      </c>
      <c r="S985">
        <v>603.91999999999996</v>
      </c>
      <c r="T985">
        <v>5</v>
      </c>
      <c r="U985">
        <v>0.2</v>
      </c>
      <c r="V985">
        <v>75.489999999999995</v>
      </c>
      <c r="W985">
        <f t="shared" si="63"/>
        <v>105.68599999999999</v>
      </c>
      <c r="X985">
        <v>4</v>
      </c>
    </row>
    <row r="986" spans="1:24" x14ac:dyDescent="0.3">
      <c r="A986">
        <v>985</v>
      </c>
      <c r="B986" t="s">
        <v>2755</v>
      </c>
      <c r="C986" s="6">
        <v>45181</v>
      </c>
      <c r="D986" t="str">
        <f t="shared" si="60"/>
        <v>Sep</v>
      </c>
      <c r="E986" t="str">
        <f t="shared" si="61"/>
        <v>2023</v>
      </c>
      <c r="F986" t="s">
        <v>4</v>
      </c>
      <c r="G986" t="s">
        <v>364</v>
      </c>
      <c r="H986" t="s">
        <v>1186</v>
      </c>
      <c r="I986">
        <v>190</v>
      </c>
      <c r="J986">
        <v>24</v>
      </c>
      <c r="K986">
        <f t="shared" si="62"/>
        <v>12.631578947368421</v>
      </c>
      <c r="L986" t="s">
        <v>1740</v>
      </c>
      <c r="M986" t="s">
        <v>3775</v>
      </c>
      <c r="N986" t="s">
        <v>1</v>
      </c>
      <c r="O986">
        <v>263145</v>
      </c>
      <c r="P986" t="s">
        <v>546</v>
      </c>
      <c r="Q986" t="s">
        <v>1761</v>
      </c>
      <c r="R986" t="s">
        <v>2</v>
      </c>
      <c r="S986">
        <v>7.968</v>
      </c>
      <c r="T986">
        <v>2</v>
      </c>
      <c r="U986">
        <v>0.2</v>
      </c>
      <c r="V986">
        <v>2.5895999999999999</v>
      </c>
      <c r="W986">
        <f t="shared" si="63"/>
        <v>2.6892</v>
      </c>
      <c r="X986">
        <v>4</v>
      </c>
    </row>
    <row r="987" spans="1:24" x14ac:dyDescent="0.3">
      <c r="A987">
        <v>986</v>
      </c>
      <c r="B987" t="s">
        <v>2756</v>
      </c>
      <c r="C987" s="6">
        <v>45182</v>
      </c>
      <c r="D987" t="str">
        <f t="shared" si="60"/>
        <v>Sep</v>
      </c>
      <c r="E987" t="str">
        <f t="shared" si="61"/>
        <v>2023</v>
      </c>
      <c r="F987" t="s">
        <v>4</v>
      </c>
      <c r="G987" t="s">
        <v>364</v>
      </c>
      <c r="H987" t="s">
        <v>1302</v>
      </c>
      <c r="I987">
        <v>200</v>
      </c>
      <c r="J987">
        <v>22</v>
      </c>
      <c r="K987">
        <f t="shared" si="62"/>
        <v>11</v>
      </c>
      <c r="L987" t="s">
        <v>1742</v>
      </c>
      <c r="M987" t="s">
        <v>3765</v>
      </c>
      <c r="N987" t="s">
        <v>1</v>
      </c>
      <c r="O987">
        <v>110019</v>
      </c>
      <c r="P987" t="s">
        <v>546</v>
      </c>
      <c r="Q987" t="s">
        <v>1766</v>
      </c>
      <c r="S987">
        <v>27.968</v>
      </c>
      <c r="T987">
        <v>4</v>
      </c>
      <c r="U987">
        <v>0.2</v>
      </c>
      <c r="V987">
        <v>9.4391999999999996</v>
      </c>
      <c r="W987">
        <f t="shared" si="63"/>
        <v>4.6322000000000001</v>
      </c>
      <c r="X987">
        <v>3</v>
      </c>
    </row>
    <row r="988" spans="1:24" x14ac:dyDescent="0.3">
      <c r="A988">
        <v>987</v>
      </c>
      <c r="B988" t="s">
        <v>2757</v>
      </c>
      <c r="C988" s="6">
        <v>45183</v>
      </c>
      <c r="D988" t="str">
        <f t="shared" si="60"/>
        <v>Sep</v>
      </c>
      <c r="E988" t="str">
        <f t="shared" si="61"/>
        <v>2023</v>
      </c>
      <c r="F988" t="s">
        <v>4</v>
      </c>
      <c r="G988" t="s">
        <v>364</v>
      </c>
      <c r="H988" t="s">
        <v>1303</v>
      </c>
      <c r="I988">
        <v>230</v>
      </c>
      <c r="J988">
        <v>22</v>
      </c>
      <c r="K988">
        <f t="shared" si="62"/>
        <v>9.5652173913043477</v>
      </c>
      <c r="L988" t="s">
        <v>1739</v>
      </c>
      <c r="M988" t="s">
        <v>3777</v>
      </c>
      <c r="N988" t="s">
        <v>1</v>
      </c>
      <c r="O988">
        <v>501101</v>
      </c>
      <c r="P988" t="s">
        <v>546</v>
      </c>
      <c r="Q988" t="s">
        <v>1772</v>
      </c>
      <c r="S988">
        <v>336.51</v>
      </c>
      <c r="T988">
        <v>3</v>
      </c>
      <c r="U988">
        <v>0.4</v>
      </c>
      <c r="V988">
        <v>44.868000000000002</v>
      </c>
      <c r="W988">
        <f t="shared" si="63"/>
        <v>97.213999999999999</v>
      </c>
      <c r="X988">
        <v>2</v>
      </c>
    </row>
    <row r="989" spans="1:24" x14ac:dyDescent="0.3">
      <c r="A989">
        <v>988</v>
      </c>
      <c r="B989" t="s">
        <v>2758</v>
      </c>
      <c r="C989" s="6">
        <v>45184</v>
      </c>
      <c r="D989" t="str">
        <f t="shared" si="60"/>
        <v>Sep</v>
      </c>
      <c r="E989" t="str">
        <f t="shared" si="61"/>
        <v>2023</v>
      </c>
      <c r="F989" t="s">
        <v>6</v>
      </c>
      <c r="G989" t="s">
        <v>365</v>
      </c>
      <c r="H989" t="s">
        <v>1304</v>
      </c>
      <c r="I989">
        <v>240</v>
      </c>
      <c r="J989">
        <v>6</v>
      </c>
      <c r="K989">
        <f t="shared" si="62"/>
        <v>2.5</v>
      </c>
      <c r="L989" t="s">
        <v>1738</v>
      </c>
      <c r="M989" t="s">
        <v>3750</v>
      </c>
      <c r="N989" t="s">
        <v>1</v>
      </c>
      <c r="O989">
        <v>500058</v>
      </c>
      <c r="P989" t="s">
        <v>546</v>
      </c>
      <c r="Q989" t="s">
        <v>1772</v>
      </c>
      <c r="S989">
        <v>1.1120000000000001</v>
      </c>
      <c r="T989">
        <v>2</v>
      </c>
      <c r="U989">
        <v>0.8</v>
      </c>
      <c r="V989">
        <v>-1.8904000000000001</v>
      </c>
      <c r="W989">
        <f t="shared" si="63"/>
        <v>1.5012000000000001</v>
      </c>
      <c r="X989">
        <v>3</v>
      </c>
    </row>
    <row r="990" spans="1:24" x14ac:dyDescent="0.3">
      <c r="A990">
        <v>989</v>
      </c>
      <c r="B990" t="s">
        <v>2759</v>
      </c>
      <c r="C990" s="6">
        <v>45185</v>
      </c>
      <c r="D990" t="str">
        <f t="shared" si="60"/>
        <v>Sep</v>
      </c>
      <c r="E990" t="str">
        <f t="shared" si="61"/>
        <v>2023</v>
      </c>
      <c r="F990" t="s">
        <v>4</v>
      </c>
      <c r="G990" t="s">
        <v>196</v>
      </c>
      <c r="H990" t="s">
        <v>1122</v>
      </c>
      <c r="I990">
        <v>110</v>
      </c>
      <c r="J990">
        <v>16</v>
      </c>
      <c r="K990">
        <f t="shared" si="62"/>
        <v>14.545454545454545</v>
      </c>
      <c r="L990" t="s">
        <v>1737</v>
      </c>
      <c r="M990" t="s">
        <v>3835</v>
      </c>
      <c r="N990" t="s">
        <v>1</v>
      </c>
      <c r="O990">
        <v>500058</v>
      </c>
      <c r="P990" t="s">
        <v>546</v>
      </c>
      <c r="Q990" t="s">
        <v>1759</v>
      </c>
      <c r="S990">
        <v>520.04999999999995</v>
      </c>
      <c r="T990">
        <v>5</v>
      </c>
      <c r="U990">
        <v>0.1</v>
      </c>
      <c r="V990">
        <v>72.807000000000002</v>
      </c>
      <c r="W990">
        <f t="shared" si="63"/>
        <v>89.448599999999985</v>
      </c>
      <c r="X990">
        <v>4</v>
      </c>
    </row>
    <row r="991" spans="1:24" x14ac:dyDescent="0.3">
      <c r="A991">
        <v>990</v>
      </c>
      <c r="B991" t="s">
        <v>2760</v>
      </c>
      <c r="C991" s="6">
        <v>45186</v>
      </c>
      <c r="D991" t="str">
        <f t="shared" si="60"/>
        <v>Sep</v>
      </c>
      <c r="E991" t="str">
        <f t="shared" si="61"/>
        <v>2023</v>
      </c>
      <c r="F991" t="s">
        <v>4</v>
      </c>
      <c r="G991" t="s">
        <v>196</v>
      </c>
      <c r="H991" t="s">
        <v>1305</v>
      </c>
      <c r="I991">
        <v>180</v>
      </c>
      <c r="J991">
        <v>30</v>
      </c>
      <c r="K991">
        <f t="shared" si="62"/>
        <v>16.666666666666664</v>
      </c>
      <c r="L991" t="s">
        <v>1743</v>
      </c>
      <c r="M991" t="s">
        <v>3836</v>
      </c>
      <c r="N991" t="s">
        <v>1</v>
      </c>
      <c r="O991">
        <v>122010</v>
      </c>
      <c r="P991" t="s">
        <v>546</v>
      </c>
      <c r="Q991" t="s">
        <v>1764</v>
      </c>
      <c r="S991">
        <v>17.97</v>
      </c>
      <c r="T991">
        <v>3</v>
      </c>
      <c r="U991">
        <v>0.1</v>
      </c>
      <c r="V991">
        <v>5.2112999999999996</v>
      </c>
      <c r="W991">
        <f t="shared" si="63"/>
        <v>4.2528999999999995</v>
      </c>
      <c r="X991">
        <v>5</v>
      </c>
    </row>
    <row r="992" spans="1:24" x14ac:dyDescent="0.3">
      <c r="A992">
        <v>991</v>
      </c>
      <c r="B992" t="s">
        <v>2761</v>
      </c>
      <c r="C992" s="6">
        <v>45187</v>
      </c>
      <c r="D992" t="str">
        <f t="shared" si="60"/>
        <v>Sep</v>
      </c>
      <c r="E992" t="str">
        <f t="shared" si="61"/>
        <v>2023</v>
      </c>
      <c r="F992" t="s">
        <v>3</v>
      </c>
      <c r="G992" t="s">
        <v>366</v>
      </c>
      <c r="H992" t="s">
        <v>831</v>
      </c>
      <c r="I992">
        <v>170</v>
      </c>
      <c r="J992">
        <v>10</v>
      </c>
      <c r="K992">
        <f t="shared" si="62"/>
        <v>5.8823529411764701</v>
      </c>
      <c r="L992" t="s">
        <v>1738</v>
      </c>
      <c r="M992" t="s">
        <v>3795</v>
      </c>
      <c r="O992">
        <v>110016</v>
      </c>
      <c r="P992" t="s">
        <v>546</v>
      </c>
      <c r="Q992" t="s">
        <v>1756</v>
      </c>
      <c r="S992">
        <v>1166.92</v>
      </c>
      <c r="T992">
        <v>5</v>
      </c>
      <c r="U992">
        <v>0.2</v>
      </c>
      <c r="V992">
        <v>131.27850000000001</v>
      </c>
      <c r="W992">
        <f t="shared" si="63"/>
        <v>207.12830000000002</v>
      </c>
      <c r="X992">
        <v>5</v>
      </c>
    </row>
    <row r="993" spans="1:24" x14ac:dyDescent="0.3">
      <c r="A993">
        <v>992</v>
      </c>
      <c r="B993" t="s">
        <v>2762</v>
      </c>
      <c r="C993" s="6">
        <v>45188</v>
      </c>
      <c r="D993" t="str">
        <f t="shared" si="60"/>
        <v>Sep</v>
      </c>
      <c r="E993" t="str">
        <f t="shared" si="61"/>
        <v>2023</v>
      </c>
      <c r="F993" t="s">
        <v>5</v>
      </c>
      <c r="G993" t="s">
        <v>66</v>
      </c>
      <c r="H993" t="s">
        <v>1171</v>
      </c>
      <c r="I993">
        <v>240</v>
      </c>
      <c r="J993">
        <v>28</v>
      </c>
      <c r="K993">
        <f t="shared" si="62"/>
        <v>11.666666666666666</v>
      </c>
      <c r="L993" t="s">
        <v>1739</v>
      </c>
      <c r="M993" t="s">
        <v>3751</v>
      </c>
      <c r="N993" t="s">
        <v>1</v>
      </c>
      <c r="O993">
        <v>500020</v>
      </c>
      <c r="P993" t="s">
        <v>546</v>
      </c>
      <c r="Q993" t="s">
        <v>1772</v>
      </c>
      <c r="S993">
        <v>14.624000000000001</v>
      </c>
      <c r="T993">
        <v>2</v>
      </c>
      <c r="U993">
        <v>0.2</v>
      </c>
      <c r="V993">
        <v>5.484</v>
      </c>
      <c r="W993">
        <f t="shared" si="63"/>
        <v>4.57</v>
      </c>
      <c r="X993">
        <v>1</v>
      </c>
    </row>
    <row r="994" spans="1:24" x14ac:dyDescent="0.3">
      <c r="A994">
        <v>993</v>
      </c>
      <c r="B994" t="s">
        <v>2763</v>
      </c>
      <c r="C994" s="6">
        <v>45189</v>
      </c>
      <c r="D994" t="str">
        <f t="shared" si="60"/>
        <v>Sep</v>
      </c>
      <c r="E994" t="str">
        <f t="shared" si="61"/>
        <v>2023</v>
      </c>
      <c r="F994" t="s">
        <v>5</v>
      </c>
      <c r="G994" t="s">
        <v>295</v>
      </c>
      <c r="H994" t="s">
        <v>810</v>
      </c>
      <c r="I994">
        <v>170</v>
      </c>
      <c r="J994">
        <v>14</v>
      </c>
      <c r="K994">
        <f t="shared" si="62"/>
        <v>8.235294117647058</v>
      </c>
      <c r="L994" t="s">
        <v>1741</v>
      </c>
      <c r="M994" t="s">
        <v>3752</v>
      </c>
      <c r="N994" t="s">
        <v>1</v>
      </c>
      <c r="O994">
        <v>110064</v>
      </c>
      <c r="P994" t="s">
        <v>546</v>
      </c>
      <c r="Q994" t="s">
        <v>1770</v>
      </c>
      <c r="S994">
        <v>10.23</v>
      </c>
      <c r="T994">
        <v>3</v>
      </c>
      <c r="U994">
        <v>0.1</v>
      </c>
      <c r="V994">
        <v>4.9104000000000001</v>
      </c>
      <c r="W994">
        <f t="shared" si="63"/>
        <v>1.7732000000000001</v>
      </c>
      <c r="X994">
        <v>4</v>
      </c>
    </row>
    <row r="995" spans="1:24" x14ac:dyDescent="0.3">
      <c r="A995">
        <v>994</v>
      </c>
      <c r="B995" t="s">
        <v>2764</v>
      </c>
      <c r="C995" s="6">
        <v>45190</v>
      </c>
      <c r="D995" t="str">
        <f t="shared" si="60"/>
        <v>Sep</v>
      </c>
      <c r="E995" t="str">
        <f t="shared" si="61"/>
        <v>2023</v>
      </c>
      <c r="F995" t="s">
        <v>5</v>
      </c>
      <c r="G995" t="s">
        <v>295</v>
      </c>
      <c r="H995" t="s">
        <v>1306</v>
      </c>
      <c r="I995">
        <v>150</v>
      </c>
      <c r="J995">
        <v>8</v>
      </c>
      <c r="K995">
        <f t="shared" si="62"/>
        <v>5.3333333333333339</v>
      </c>
      <c r="L995" t="s">
        <v>1736</v>
      </c>
      <c r="M995" t="s">
        <v>3753</v>
      </c>
      <c r="N995" t="s">
        <v>1</v>
      </c>
      <c r="O995">
        <v>531031</v>
      </c>
      <c r="P995" t="s">
        <v>546</v>
      </c>
      <c r="Q995" t="s">
        <v>1761</v>
      </c>
      <c r="R995" t="s">
        <v>2</v>
      </c>
      <c r="S995">
        <v>154.9</v>
      </c>
      <c r="T995">
        <v>5</v>
      </c>
      <c r="U995">
        <v>0.1</v>
      </c>
      <c r="V995">
        <v>69.704999999999998</v>
      </c>
      <c r="W995">
        <f t="shared" si="63"/>
        <v>17.039000000000001</v>
      </c>
      <c r="X995">
        <v>4</v>
      </c>
    </row>
    <row r="996" spans="1:24" x14ac:dyDescent="0.3">
      <c r="A996">
        <v>995</v>
      </c>
      <c r="B996" t="s">
        <v>2765</v>
      </c>
      <c r="C996" s="6">
        <v>45191</v>
      </c>
      <c r="D996" t="str">
        <f t="shared" si="60"/>
        <v>Sep</v>
      </c>
      <c r="E996" t="str">
        <f t="shared" si="61"/>
        <v>2023</v>
      </c>
      <c r="F996" t="s">
        <v>4</v>
      </c>
      <c r="G996" t="s">
        <v>367</v>
      </c>
      <c r="H996" t="s">
        <v>1307</v>
      </c>
      <c r="I996">
        <v>240</v>
      </c>
      <c r="J996">
        <v>12</v>
      </c>
      <c r="K996">
        <f t="shared" si="62"/>
        <v>5</v>
      </c>
      <c r="L996" t="s">
        <v>1744</v>
      </c>
      <c r="M996" t="s">
        <v>3754</v>
      </c>
      <c r="N996" t="s">
        <v>1</v>
      </c>
      <c r="O996">
        <v>495001</v>
      </c>
      <c r="P996" t="s">
        <v>546</v>
      </c>
      <c r="Q996" t="s">
        <v>1761</v>
      </c>
      <c r="S996">
        <v>2715.93</v>
      </c>
      <c r="T996">
        <v>7</v>
      </c>
      <c r="U996">
        <v>0.1</v>
      </c>
      <c r="V996">
        <v>1276.4871000000001</v>
      </c>
      <c r="W996">
        <f t="shared" si="63"/>
        <v>205.63469999999998</v>
      </c>
      <c r="X996">
        <v>1</v>
      </c>
    </row>
    <row r="997" spans="1:24" x14ac:dyDescent="0.3">
      <c r="A997">
        <v>996</v>
      </c>
      <c r="B997" t="s">
        <v>2766</v>
      </c>
      <c r="C997" s="6">
        <v>45192</v>
      </c>
      <c r="D997" t="str">
        <f t="shared" si="60"/>
        <v>Sep</v>
      </c>
      <c r="E997" t="str">
        <f t="shared" si="61"/>
        <v>2023</v>
      </c>
      <c r="F997" t="s">
        <v>4</v>
      </c>
      <c r="G997" t="s">
        <v>367</v>
      </c>
      <c r="H997" t="s">
        <v>1185</v>
      </c>
      <c r="I997">
        <v>150</v>
      </c>
      <c r="J997">
        <v>30</v>
      </c>
      <c r="K997">
        <f t="shared" si="62"/>
        <v>20</v>
      </c>
      <c r="L997" t="s">
        <v>1740</v>
      </c>
      <c r="M997" t="s">
        <v>3755</v>
      </c>
      <c r="N997" t="s">
        <v>1</v>
      </c>
      <c r="O997">
        <v>400088</v>
      </c>
      <c r="P997" t="s">
        <v>546</v>
      </c>
      <c r="Q997" t="s">
        <v>1756</v>
      </c>
      <c r="R997" t="s">
        <v>2</v>
      </c>
      <c r="S997">
        <v>617.97</v>
      </c>
      <c r="T997">
        <v>3</v>
      </c>
      <c r="U997">
        <v>0.1</v>
      </c>
      <c r="V997">
        <v>173.0316</v>
      </c>
      <c r="W997">
        <f t="shared" si="63"/>
        <v>148.31280000000001</v>
      </c>
      <c r="X997">
        <v>4</v>
      </c>
    </row>
    <row r="998" spans="1:24" x14ac:dyDescent="0.3">
      <c r="A998">
        <v>997</v>
      </c>
      <c r="B998" t="s">
        <v>2767</v>
      </c>
      <c r="C998" s="6">
        <v>45193</v>
      </c>
      <c r="D998" t="str">
        <f t="shared" si="60"/>
        <v>Sep</v>
      </c>
      <c r="E998" t="str">
        <f t="shared" si="61"/>
        <v>2023</v>
      </c>
      <c r="F998" t="s">
        <v>4</v>
      </c>
      <c r="G998" t="s">
        <v>368</v>
      </c>
      <c r="H998" t="s">
        <v>1308</v>
      </c>
      <c r="I998">
        <v>140</v>
      </c>
      <c r="J998">
        <v>8</v>
      </c>
      <c r="K998">
        <f t="shared" si="62"/>
        <v>5.7142857142857144</v>
      </c>
      <c r="L998" t="s">
        <v>1742</v>
      </c>
      <c r="M998" t="s">
        <v>3756</v>
      </c>
      <c r="N998" t="s">
        <v>1</v>
      </c>
      <c r="O998">
        <v>500008</v>
      </c>
      <c r="P998" t="s">
        <v>546</v>
      </c>
      <c r="Q998" t="s">
        <v>1767</v>
      </c>
      <c r="S998">
        <v>10.67</v>
      </c>
      <c r="T998">
        <v>1</v>
      </c>
      <c r="U998">
        <v>0.1</v>
      </c>
      <c r="V998">
        <v>4.9081999999999999</v>
      </c>
      <c r="W998">
        <f t="shared" si="63"/>
        <v>5.7618</v>
      </c>
      <c r="X998">
        <v>3</v>
      </c>
    </row>
    <row r="999" spans="1:24" x14ac:dyDescent="0.3">
      <c r="A999">
        <v>998</v>
      </c>
      <c r="B999" t="s">
        <v>2768</v>
      </c>
      <c r="C999" s="6">
        <v>45194</v>
      </c>
      <c r="D999" t="str">
        <f t="shared" si="60"/>
        <v>Sep</v>
      </c>
      <c r="E999" t="str">
        <f t="shared" si="61"/>
        <v>2023</v>
      </c>
      <c r="F999" t="s">
        <v>4</v>
      </c>
      <c r="G999" t="s">
        <v>368</v>
      </c>
      <c r="H999" t="s">
        <v>1309</v>
      </c>
      <c r="I999">
        <v>180</v>
      </c>
      <c r="J999">
        <v>6</v>
      </c>
      <c r="K999">
        <f t="shared" si="62"/>
        <v>3.3333333333333335</v>
      </c>
      <c r="L999" t="s">
        <v>1739</v>
      </c>
      <c r="M999" t="s">
        <v>3757</v>
      </c>
      <c r="N999" t="s">
        <v>1</v>
      </c>
      <c r="O999">
        <v>395002</v>
      </c>
      <c r="P999" t="s">
        <v>546</v>
      </c>
      <c r="Q999" t="s">
        <v>1774</v>
      </c>
      <c r="R999" t="s">
        <v>2</v>
      </c>
      <c r="S999">
        <v>36.630000000000003</v>
      </c>
      <c r="T999">
        <v>3</v>
      </c>
      <c r="U999">
        <v>0.1</v>
      </c>
      <c r="V999">
        <v>9.8901000000000003</v>
      </c>
      <c r="W999">
        <f t="shared" si="63"/>
        <v>8.9133000000000013</v>
      </c>
      <c r="X999">
        <v>4</v>
      </c>
    </row>
    <row r="1000" spans="1:24" x14ac:dyDescent="0.3">
      <c r="A1000">
        <v>999</v>
      </c>
      <c r="B1000" t="s">
        <v>2769</v>
      </c>
      <c r="C1000" s="6">
        <v>45195</v>
      </c>
      <c r="D1000" t="str">
        <f t="shared" si="60"/>
        <v>Sep</v>
      </c>
      <c r="E1000" t="str">
        <f t="shared" si="61"/>
        <v>2023</v>
      </c>
      <c r="F1000" t="s">
        <v>4</v>
      </c>
      <c r="G1000" t="s">
        <v>368</v>
      </c>
      <c r="H1000" t="s">
        <v>1310</v>
      </c>
      <c r="I1000">
        <v>200</v>
      </c>
      <c r="J1000">
        <v>26</v>
      </c>
      <c r="K1000">
        <f t="shared" si="62"/>
        <v>13</v>
      </c>
      <c r="L1000" t="s">
        <v>1738</v>
      </c>
      <c r="M1000" t="s">
        <v>3758</v>
      </c>
      <c r="N1000" t="s">
        <v>1</v>
      </c>
      <c r="O1000">
        <v>360004</v>
      </c>
      <c r="P1000" t="s">
        <v>546</v>
      </c>
      <c r="Q1000" t="s">
        <v>1758</v>
      </c>
      <c r="R1000" t="s">
        <v>2</v>
      </c>
      <c r="S1000">
        <v>24.1</v>
      </c>
      <c r="T1000">
        <v>5</v>
      </c>
      <c r="U1000">
        <v>0.1</v>
      </c>
      <c r="V1000">
        <v>9.1579999999999995</v>
      </c>
      <c r="W1000">
        <f t="shared" si="63"/>
        <v>2.9884000000000004</v>
      </c>
      <c r="X1000">
        <v>1</v>
      </c>
    </row>
    <row r="1001" spans="1:24" x14ac:dyDescent="0.3">
      <c r="A1001">
        <v>1000</v>
      </c>
      <c r="B1001" t="s">
        <v>2770</v>
      </c>
      <c r="C1001" s="6">
        <v>45196</v>
      </c>
      <c r="D1001" t="str">
        <f t="shared" si="60"/>
        <v>Sep</v>
      </c>
      <c r="E1001" t="str">
        <f t="shared" si="61"/>
        <v>2023</v>
      </c>
      <c r="F1001" t="s">
        <v>4</v>
      </c>
      <c r="G1001" t="s">
        <v>368</v>
      </c>
      <c r="H1001" t="s">
        <v>830</v>
      </c>
      <c r="I1001">
        <v>240</v>
      </c>
      <c r="J1001">
        <v>8</v>
      </c>
      <c r="K1001">
        <f t="shared" si="62"/>
        <v>3.3333333333333335</v>
      </c>
      <c r="L1001" t="s">
        <v>1737</v>
      </c>
      <c r="M1001" t="s">
        <v>3837</v>
      </c>
      <c r="N1001" t="s">
        <v>1</v>
      </c>
      <c r="O1001">
        <v>400078</v>
      </c>
      <c r="P1001" t="s">
        <v>546</v>
      </c>
      <c r="Q1001" t="s">
        <v>1764</v>
      </c>
      <c r="R1001" t="s">
        <v>2</v>
      </c>
      <c r="S1001">
        <v>33.11</v>
      </c>
      <c r="T1001">
        <v>7</v>
      </c>
      <c r="U1001">
        <v>0.1</v>
      </c>
      <c r="V1001">
        <v>12.9129</v>
      </c>
      <c r="W1001">
        <f t="shared" si="63"/>
        <v>2.8853</v>
      </c>
      <c r="X1001">
        <v>2</v>
      </c>
    </row>
    <row r="1002" spans="1:24" x14ac:dyDescent="0.3">
      <c r="A1002">
        <v>1001</v>
      </c>
      <c r="B1002" t="s">
        <v>2771</v>
      </c>
      <c r="C1002" s="6">
        <v>45197</v>
      </c>
      <c r="D1002" t="str">
        <f t="shared" si="60"/>
        <v>Sep</v>
      </c>
      <c r="E1002" t="str">
        <f t="shared" si="61"/>
        <v>2023</v>
      </c>
      <c r="F1002" t="s">
        <v>4</v>
      </c>
      <c r="G1002" t="s">
        <v>93</v>
      </c>
      <c r="H1002" t="s">
        <v>1213</v>
      </c>
      <c r="I1002">
        <v>230</v>
      </c>
      <c r="J1002">
        <v>20</v>
      </c>
      <c r="K1002">
        <f t="shared" si="62"/>
        <v>8.695652173913043</v>
      </c>
      <c r="L1002" t="s">
        <v>1743</v>
      </c>
      <c r="M1002" t="s">
        <v>3838</v>
      </c>
      <c r="N1002" t="s">
        <v>1</v>
      </c>
      <c r="O1002">
        <v>110003</v>
      </c>
      <c r="P1002" t="s">
        <v>546</v>
      </c>
      <c r="Q1002" t="s">
        <v>1761</v>
      </c>
      <c r="S1002">
        <v>44.02</v>
      </c>
      <c r="T1002">
        <v>2</v>
      </c>
      <c r="U1002">
        <v>0.1</v>
      </c>
      <c r="V1002">
        <v>11.4452</v>
      </c>
      <c r="W1002">
        <f t="shared" si="63"/>
        <v>16.287400000000002</v>
      </c>
      <c r="X1002">
        <v>3</v>
      </c>
    </row>
    <row r="1003" spans="1:24" x14ac:dyDescent="0.3">
      <c r="A1003">
        <v>1002</v>
      </c>
      <c r="B1003" t="s">
        <v>2772</v>
      </c>
      <c r="C1003" s="6">
        <v>45198</v>
      </c>
      <c r="D1003" t="str">
        <f t="shared" si="60"/>
        <v>Sep</v>
      </c>
      <c r="E1003" t="str">
        <f t="shared" si="61"/>
        <v>2023</v>
      </c>
      <c r="F1003" t="s">
        <v>6</v>
      </c>
      <c r="G1003" t="s">
        <v>309</v>
      </c>
      <c r="H1003" t="s">
        <v>1311</v>
      </c>
      <c r="I1003">
        <v>100</v>
      </c>
      <c r="J1003">
        <v>18</v>
      </c>
      <c r="K1003">
        <f t="shared" si="62"/>
        <v>18</v>
      </c>
      <c r="L1003" t="s">
        <v>1738</v>
      </c>
      <c r="M1003" t="s">
        <v>3839</v>
      </c>
      <c r="N1003" t="s">
        <v>1</v>
      </c>
      <c r="O1003">
        <v>605001</v>
      </c>
      <c r="P1003" t="s">
        <v>546</v>
      </c>
      <c r="Q1003" t="s">
        <v>1758</v>
      </c>
      <c r="S1003">
        <v>2309.65</v>
      </c>
      <c r="T1003">
        <v>7</v>
      </c>
      <c r="U1003">
        <v>0.1</v>
      </c>
      <c r="V1003">
        <v>762.18449999999996</v>
      </c>
      <c r="W1003">
        <f t="shared" si="63"/>
        <v>221.06650000000005</v>
      </c>
      <c r="X1003">
        <v>5</v>
      </c>
    </row>
    <row r="1004" spans="1:24" x14ac:dyDescent="0.3">
      <c r="A1004">
        <v>1003</v>
      </c>
      <c r="B1004" t="s">
        <v>2773</v>
      </c>
      <c r="C1004" s="6">
        <v>45199</v>
      </c>
      <c r="D1004" t="str">
        <f t="shared" si="60"/>
        <v>Sep</v>
      </c>
      <c r="E1004" t="str">
        <f t="shared" si="61"/>
        <v>2023</v>
      </c>
      <c r="F1004" t="s">
        <v>6</v>
      </c>
      <c r="G1004" t="s">
        <v>309</v>
      </c>
      <c r="H1004" t="s">
        <v>804</v>
      </c>
      <c r="I1004">
        <v>190</v>
      </c>
      <c r="J1004">
        <v>30</v>
      </c>
      <c r="K1004">
        <f t="shared" si="62"/>
        <v>15.789473684210526</v>
      </c>
      <c r="L1004" t="s">
        <v>1739</v>
      </c>
      <c r="M1004" t="s">
        <v>3840</v>
      </c>
      <c r="N1004" t="s">
        <v>1</v>
      </c>
      <c r="O1004">
        <v>492001</v>
      </c>
      <c r="P1004" t="s">
        <v>546</v>
      </c>
      <c r="Q1004" t="s">
        <v>1755</v>
      </c>
      <c r="S1004">
        <v>1090.7819999999999</v>
      </c>
      <c r="T1004">
        <v>7</v>
      </c>
      <c r="U1004">
        <v>0.4</v>
      </c>
      <c r="V1004">
        <v>-290.87520000000001</v>
      </c>
      <c r="W1004">
        <f t="shared" si="63"/>
        <v>197.37959999999998</v>
      </c>
      <c r="X1004">
        <v>2</v>
      </c>
    </row>
    <row r="1005" spans="1:24" x14ac:dyDescent="0.3">
      <c r="A1005">
        <v>1004</v>
      </c>
      <c r="B1005" t="s">
        <v>1902</v>
      </c>
      <c r="C1005" s="6">
        <v>45200</v>
      </c>
      <c r="D1005" t="str">
        <f t="shared" si="60"/>
        <v>Oct</v>
      </c>
      <c r="E1005" t="str">
        <f t="shared" si="61"/>
        <v>2023</v>
      </c>
      <c r="F1005" t="s">
        <v>6</v>
      </c>
      <c r="G1005" t="s">
        <v>309</v>
      </c>
      <c r="H1005" t="s">
        <v>1294</v>
      </c>
      <c r="I1005">
        <v>240</v>
      </c>
      <c r="J1005">
        <v>12</v>
      </c>
      <c r="K1005">
        <f t="shared" si="62"/>
        <v>5</v>
      </c>
      <c r="L1005" t="s">
        <v>1741</v>
      </c>
      <c r="M1005" t="s">
        <v>3841</v>
      </c>
      <c r="N1005" t="s">
        <v>1</v>
      </c>
      <c r="O1005">
        <v>600118</v>
      </c>
      <c r="P1005" t="s">
        <v>546</v>
      </c>
      <c r="Q1005" t="s">
        <v>1760</v>
      </c>
      <c r="S1005">
        <v>19.440000000000001</v>
      </c>
      <c r="T1005">
        <v>3</v>
      </c>
      <c r="U1005">
        <v>0.1</v>
      </c>
      <c r="V1005">
        <v>9.3312000000000008</v>
      </c>
      <c r="W1005">
        <f t="shared" si="63"/>
        <v>3.3696000000000002</v>
      </c>
      <c r="X1005">
        <v>4</v>
      </c>
    </row>
    <row r="1006" spans="1:24" x14ac:dyDescent="0.3">
      <c r="A1006">
        <v>1005</v>
      </c>
      <c r="B1006" t="s">
        <v>2774</v>
      </c>
      <c r="C1006" s="6">
        <v>45201</v>
      </c>
      <c r="D1006" t="str">
        <f t="shared" si="60"/>
        <v>Oct</v>
      </c>
      <c r="E1006" t="str">
        <f t="shared" si="61"/>
        <v>2023</v>
      </c>
      <c r="F1006" t="s">
        <v>4</v>
      </c>
      <c r="G1006" t="s">
        <v>369</v>
      </c>
      <c r="H1006" t="s">
        <v>1312</v>
      </c>
      <c r="I1006">
        <v>240</v>
      </c>
      <c r="J1006">
        <v>18</v>
      </c>
      <c r="K1006">
        <f t="shared" si="62"/>
        <v>7.5</v>
      </c>
      <c r="L1006" t="s">
        <v>1736</v>
      </c>
      <c r="M1006" t="s">
        <v>3842</v>
      </c>
      <c r="O1006">
        <v>682023</v>
      </c>
      <c r="P1006" t="s">
        <v>546</v>
      </c>
      <c r="Q1006" t="s">
        <v>1759</v>
      </c>
      <c r="S1006">
        <v>484.65</v>
      </c>
      <c r="T1006">
        <v>3</v>
      </c>
      <c r="U1006">
        <v>0.1</v>
      </c>
      <c r="V1006">
        <v>92.083500000000001</v>
      </c>
      <c r="W1006">
        <f t="shared" si="63"/>
        <v>130.85549999999998</v>
      </c>
      <c r="X1006">
        <v>4</v>
      </c>
    </row>
    <row r="1007" spans="1:24" x14ac:dyDescent="0.3">
      <c r="A1007">
        <v>1006</v>
      </c>
      <c r="B1007" t="s">
        <v>2775</v>
      </c>
      <c r="C1007" s="6">
        <v>45202</v>
      </c>
      <c r="D1007" t="str">
        <f t="shared" si="60"/>
        <v>Oct</v>
      </c>
      <c r="E1007" t="str">
        <f t="shared" si="61"/>
        <v>2023</v>
      </c>
      <c r="F1007" t="s">
        <v>4</v>
      </c>
      <c r="G1007" t="s">
        <v>307</v>
      </c>
      <c r="H1007" t="s">
        <v>1241</v>
      </c>
      <c r="I1007">
        <v>200</v>
      </c>
      <c r="J1007">
        <v>6</v>
      </c>
      <c r="K1007">
        <f t="shared" si="62"/>
        <v>3</v>
      </c>
      <c r="L1007" t="s">
        <v>1744</v>
      </c>
      <c r="M1007" t="s">
        <v>3674</v>
      </c>
      <c r="O1007">
        <v>421204</v>
      </c>
      <c r="P1007" t="s">
        <v>546</v>
      </c>
      <c r="Q1007" t="s">
        <v>1759</v>
      </c>
      <c r="S1007">
        <v>115.29600000000001</v>
      </c>
      <c r="T1007">
        <v>3</v>
      </c>
      <c r="U1007">
        <v>0.2</v>
      </c>
      <c r="V1007">
        <v>40.3536</v>
      </c>
      <c r="W1007">
        <f t="shared" si="63"/>
        <v>24.980800000000002</v>
      </c>
      <c r="X1007">
        <v>5</v>
      </c>
    </row>
    <row r="1008" spans="1:24" x14ac:dyDescent="0.3">
      <c r="A1008">
        <v>1007</v>
      </c>
      <c r="B1008" t="s">
        <v>2776</v>
      </c>
      <c r="C1008" s="6">
        <v>45203</v>
      </c>
      <c r="D1008" t="str">
        <f t="shared" si="60"/>
        <v>Oct</v>
      </c>
      <c r="E1008" t="str">
        <f t="shared" si="61"/>
        <v>2023</v>
      </c>
      <c r="F1008" t="s">
        <v>5</v>
      </c>
      <c r="G1008" t="s">
        <v>370</v>
      </c>
      <c r="H1008" t="s">
        <v>658</v>
      </c>
      <c r="I1008">
        <v>130</v>
      </c>
      <c r="J1008">
        <v>16</v>
      </c>
      <c r="K1008">
        <f t="shared" si="62"/>
        <v>12.307692307692308</v>
      </c>
      <c r="L1008" t="s">
        <v>1740</v>
      </c>
      <c r="M1008" t="s">
        <v>3843</v>
      </c>
      <c r="N1008" t="s">
        <v>1</v>
      </c>
      <c r="O1008">
        <v>110022</v>
      </c>
      <c r="P1008" t="s">
        <v>546</v>
      </c>
      <c r="Q1008" t="s">
        <v>1761</v>
      </c>
      <c r="R1008" t="s">
        <v>2</v>
      </c>
      <c r="S1008">
        <v>7.08</v>
      </c>
      <c r="T1008">
        <v>3</v>
      </c>
      <c r="U1008">
        <v>0.2</v>
      </c>
      <c r="V1008">
        <v>2.4780000000000002</v>
      </c>
      <c r="W1008">
        <f t="shared" si="63"/>
        <v>1.534</v>
      </c>
      <c r="X1008">
        <v>5</v>
      </c>
    </row>
    <row r="1009" spans="1:24" x14ac:dyDescent="0.3">
      <c r="A1009">
        <v>1008</v>
      </c>
      <c r="B1009" t="s">
        <v>2777</v>
      </c>
      <c r="C1009" s="6">
        <v>45204</v>
      </c>
      <c r="D1009" t="str">
        <f t="shared" si="60"/>
        <v>Oct</v>
      </c>
      <c r="E1009" t="str">
        <f t="shared" si="61"/>
        <v>2023</v>
      </c>
      <c r="F1009" t="s">
        <v>5</v>
      </c>
      <c r="G1009" t="s">
        <v>370</v>
      </c>
      <c r="H1009" t="s">
        <v>1313</v>
      </c>
      <c r="I1009">
        <v>180</v>
      </c>
      <c r="J1009">
        <v>20</v>
      </c>
      <c r="K1009">
        <f t="shared" si="62"/>
        <v>11.111111111111111</v>
      </c>
      <c r="L1009" t="s">
        <v>1742</v>
      </c>
      <c r="M1009" t="s">
        <v>3844</v>
      </c>
      <c r="N1009" t="s">
        <v>1</v>
      </c>
      <c r="O1009">
        <v>243122</v>
      </c>
      <c r="P1009" t="s">
        <v>546</v>
      </c>
      <c r="Q1009" t="s">
        <v>1767</v>
      </c>
      <c r="S1009">
        <v>4.4009999999999998</v>
      </c>
      <c r="T1009">
        <v>3</v>
      </c>
      <c r="U1009">
        <v>0.7</v>
      </c>
      <c r="V1009">
        <v>-3.5207999999999999</v>
      </c>
      <c r="W1009">
        <f t="shared" si="63"/>
        <v>2.6405999999999996</v>
      </c>
      <c r="X1009">
        <v>3</v>
      </c>
    </row>
    <row r="1010" spans="1:24" x14ac:dyDescent="0.3">
      <c r="A1010">
        <v>1009</v>
      </c>
      <c r="B1010" t="s">
        <v>2778</v>
      </c>
      <c r="C1010" s="6">
        <v>45205</v>
      </c>
      <c r="D1010" t="str">
        <f t="shared" si="60"/>
        <v>Oct</v>
      </c>
      <c r="E1010" t="str">
        <f t="shared" si="61"/>
        <v>2023</v>
      </c>
      <c r="F1010" t="s">
        <v>4</v>
      </c>
      <c r="G1010" t="s">
        <v>145</v>
      </c>
      <c r="H1010" t="s">
        <v>969</v>
      </c>
      <c r="I1010">
        <v>190</v>
      </c>
      <c r="J1010">
        <v>8</v>
      </c>
      <c r="K1010">
        <f t="shared" si="62"/>
        <v>4.2105263157894735</v>
      </c>
      <c r="L1010" t="s">
        <v>1739</v>
      </c>
      <c r="M1010" t="s">
        <v>3845</v>
      </c>
      <c r="N1010" t="s">
        <v>1</v>
      </c>
      <c r="O1010">
        <v>400006</v>
      </c>
      <c r="P1010" t="s">
        <v>546</v>
      </c>
      <c r="Q1010" t="s">
        <v>1766</v>
      </c>
      <c r="S1010">
        <v>44.75</v>
      </c>
      <c r="T1010">
        <v>5</v>
      </c>
      <c r="U1010">
        <v>0.1</v>
      </c>
      <c r="V1010">
        <v>20.585000000000001</v>
      </c>
      <c r="W1010">
        <f t="shared" si="63"/>
        <v>4.8330000000000002</v>
      </c>
      <c r="X1010">
        <v>2</v>
      </c>
    </row>
    <row r="1011" spans="1:24" x14ac:dyDescent="0.3">
      <c r="A1011">
        <v>1010</v>
      </c>
      <c r="B1011" t="s">
        <v>2779</v>
      </c>
      <c r="C1011" s="6">
        <v>45206</v>
      </c>
      <c r="D1011" t="str">
        <f t="shared" si="60"/>
        <v>Oct</v>
      </c>
      <c r="E1011" t="str">
        <f t="shared" si="61"/>
        <v>2023</v>
      </c>
      <c r="F1011" t="s">
        <v>5</v>
      </c>
      <c r="G1011" t="s">
        <v>254</v>
      </c>
      <c r="H1011" t="s">
        <v>707</v>
      </c>
      <c r="I1011">
        <v>120</v>
      </c>
      <c r="J1011">
        <v>6</v>
      </c>
      <c r="K1011">
        <f t="shared" si="62"/>
        <v>5</v>
      </c>
      <c r="L1011" t="s">
        <v>1738</v>
      </c>
      <c r="M1011" t="s">
        <v>3846</v>
      </c>
      <c r="N1011" t="s">
        <v>1</v>
      </c>
      <c r="O1011">
        <v>201301</v>
      </c>
      <c r="P1011" t="s">
        <v>546</v>
      </c>
      <c r="Q1011" t="s">
        <v>1767</v>
      </c>
      <c r="S1011">
        <v>95.983999999999995</v>
      </c>
      <c r="T1011">
        <v>2</v>
      </c>
      <c r="U1011">
        <v>0.2</v>
      </c>
      <c r="V1011">
        <v>5.9989999999999997</v>
      </c>
      <c r="W1011">
        <f t="shared" si="63"/>
        <v>44.9925</v>
      </c>
      <c r="X1011">
        <v>5</v>
      </c>
    </row>
    <row r="1012" spans="1:24" x14ac:dyDescent="0.3">
      <c r="A1012">
        <v>1011</v>
      </c>
      <c r="B1012" t="s">
        <v>2780</v>
      </c>
      <c r="C1012" s="6">
        <v>45207</v>
      </c>
      <c r="D1012" t="str">
        <f t="shared" si="60"/>
        <v>Oct</v>
      </c>
      <c r="E1012" t="str">
        <f t="shared" si="61"/>
        <v>2023</v>
      </c>
      <c r="F1012" t="s">
        <v>5</v>
      </c>
      <c r="G1012" t="s">
        <v>371</v>
      </c>
      <c r="H1012" t="s">
        <v>1314</v>
      </c>
      <c r="I1012">
        <v>250</v>
      </c>
      <c r="J1012">
        <v>24</v>
      </c>
      <c r="K1012">
        <f t="shared" si="62"/>
        <v>9.6</v>
      </c>
      <c r="L1012" t="s">
        <v>1743</v>
      </c>
      <c r="M1012" t="s">
        <v>3847</v>
      </c>
      <c r="N1012" t="s">
        <v>1</v>
      </c>
      <c r="O1012">
        <v>190003</v>
      </c>
      <c r="P1012" t="s">
        <v>546</v>
      </c>
      <c r="Q1012" t="s">
        <v>1760</v>
      </c>
      <c r="S1012">
        <v>151.72</v>
      </c>
      <c r="T1012">
        <v>4</v>
      </c>
      <c r="U1012">
        <v>0.1</v>
      </c>
      <c r="V1012">
        <v>27.3096</v>
      </c>
      <c r="W1012">
        <f t="shared" si="63"/>
        <v>31.102599999999999</v>
      </c>
      <c r="X1012">
        <v>5</v>
      </c>
    </row>
    <row r="1013" spans="1:24" x14ac:dyDescent="0.3">
      <c r="A1013">
        <v>1012</v>
      </c>
      <c r="B1013" t="s">
        <v>2781</v>
      </c>
      <c r="C1013" s="6">
        <v>45208</v>
      </c>
      <c r="D1013" t="str">
        <f t="shared" si="60"/>
        <v>Oct</v>
      </c>
      <c r="E1013" t="str">
        <f t="shared" si="61"/>
        <v>2023</v>
      </c>
      <c r="F1013" t="s">
        <v>3</v>
      </c>
      <c r="G1013" t="s">
        <v>65</v>
      </c>
      <c r="H1013" t="s">
        <v>575</v>
      </c>
      <c r="I1013">
        <v>110</v>
      </c>
      <c r="J1013">
        <v>22</v>
      </c>
      <c r="K1013">
        <f t="shared" si="62"/>
        <v>20</v>
      </c>
      <c r="L1013" t="s">
        <v>1737</v>
      </c>
      <c r="M1013" t="s">
        <v>3848</v>
      </c>
      <c r="N1013" t="s">
        <v>1</v>
      </c>
      <c r="O1013">
        <v>431720</v>
      </c>
      <c r="P1013" t="s">
        <v>546</v>
      </c>
      <c r="Q1013" t="s">
        <v>1772</v>
      </c>
      <c r="R1013" t="s">
        <v>2</v>
      </c>
      <c r="S1013">
        <v>155.25</v>
      </c>
      <c r="T1013">
        <v>3</v>
      </c>
      <c r="U1013">
        <v>0.1</v>
      </c>
      <c r="V1013">
        <v>46.575000000000003</v>
      </c>
      <c r="W1013">
        <f t="shared" si="63"/>
        <v>36.225000000000001</v>
      </c>
      <c r="X1013">
        <v>3</v>
      </c>
    </row>
    <row r="1014" spans="1:24" x14ac:dyDescent="0.3">
      <c r="A1014">
        <v>1013</v>
      </c>
      <c r="B1014" t="s">
        <v>2782</v>
      </c>
      <c r="C1014" s="6">
        <v>45209</v>
      </c>
      <c r="D1014" t="str">
        <f t="shared" si="60"/>
        <v>Oct</v>
      </c>
      <c r="E1014" t="str">
        <f t="shared" si="61"/>
        <v>2023</v>
      </c>
      <c r="F1014" t="s">
        <v>3</v>
      </c>
      <c r="G1014" t="s">
        <v>65</v>
      </c>
      <c r="H1014" t="s">
        <v>1315</v>
      </c>
      <c r="I1014">
        <v>250</v>
      </c>
      <c r="J1014">
        <v>8</v>
      </c>
      <c r="K1014">
        <f t="shared" si="62"/>
        <v>3.2</v>
      </c>
      <c r="L1014" t="s">
        <v>1741</v>
      </c>
      <c r="M1014" t="s">
        <v>3849</v>
      </c>
      <c r="N1014" t="s">
        <v>1</v>
      </c>
      <c r="O1014">
        <v>689546</v>
      </c>
      <c r="P1014" t="s">
        <v>546</v>
      </c>
      <c r="Q1014" t="s">
        <v>1754</v>
      </c>
      <c r="S1014">
        <v>14.03</v>
      </c>
      <c r="T1014">
        <v>1</v>
      </c>
      <c r="U1014">
        <v>0.1</v>
      </c>
      <c r="V1014">
        <v>4.0686999999999998</v>
      </c>
      <c r="W1014">
        <f t="shared" si="63"/>
        <v>9.9612999999999996</v>
      </c>
      <c r="X1014">
        <v>2</v>
      </c>
    </row>
    <row r="1015" spans="1:24" x14ac:dyDescent="0.3">
      <c r="A1015">
        <v>1014</v>
      </c>
      <c r="B1015" t="s">
        <v>2783</v>
      </c>
      <c r="C1015" s="6">
        <v>45210</v>
      </c>
      <c r="D1015" t="str">
        <f t="shared" si="60"/>
        <v>Oct</v>
      </c>
      <c r="E1015" t="str">
        <f t="shared" si="61"/>
        <v>2023</v>
      </c>
      <c r="F1015" t="s">
        <v>3</v>
      </c>
      <c r="G1015" t="s">
        <v>372</v>
      </c>
      <c r="H1015" t="s">
        <v>756</v>
      </c>
      <c r="I1015">
        <v>100</v>
      </c>
      <c r="J1015">
        <v>6</v>
      </c>
      <c r="K1015">
        <f t="shared" si="62"/>
        <v>6</v>
      </c>
      <c r="L1015" t="s">
        <v>1736</v>
      </c>
      <c r="M1015" t="s">
        <v>3850</v>
      </c>
      <c r="N1015" t="s">
        <v>1</v>
      </c>
      <c r="O1015">
        <v>689546</v>
      </c>
      <c r="P1015" t="s">
        <v>546</v>
      </c>
      <c r="Q1015" t="s">
        <v>1754</v>
      </c>
      <c r="S1015">
        <v>1618.37</v>
      </c>
      <c r="T1015">
        <v>13</v>
      </c>
      <c r="U1015">
        <v>0.1</v>
      </c>
      <c r="V1015">
        <v>356.04140000000001</v>
      </c>
      <c r="W1015">
        <f t="shared" si="63"/>
        <v>97.102199999999982</v>
      </c>
      <c r="X1015">
        <v>5</v>
      </c>
    </row>
    <row r="1016" spans="1:24" x14ac:dyDescent="0.3">
      <c r="A1016">
        <v>1015</v>
      </c>
      <c r="B1016" t="s">
        <v>2784</v>
      </c>
      <c r="C1016" s="6">
        <v>45211</v>
      </c>
      <c r="D1016" t="str">
        <f t="shared" si="60"/>
        <v>Oct</v>
      </c>
      <c r="E1016" t="str">
        <f t="shared" si="61"/>
        <v>2023</v>
      </c>
      <c r="F1016" t="s">
        <v>3</v>
      </c>
      <c r="G1016" t="s">
        <v>372</v>
      </c>
      <c r="H1016" t="s">
        <v>1316</v>
      </c>
      <c r="I1016">
        <v>150</v>
      </c>
      <c r="J1016">
        <v>10</v>
      </c>
      <c r="K1016">
        <f t="shared" si="62"/>
        <v>6.666666666666667</v>
      </c>
      <c r="L1016" t="s">
        <v>1744</v>
      </c>
      <c r="M1016" t="s">
        <v>3851</v>
      </c>
      <c r="N1016" t="s">
        <v>1</v>
      </c>
      <c r="O1016">
        <v>689546</v>
      </c>
      <c r="P1016" t="s">
        <v>546</v>
      </c>
      <c r="Q1016" t="s">
        <v>1759</v>
      </c>
      <c r="R1016" t="s">
        <v>2</v>
      </c>
      <c r="S1016">
        <v>99.6</v>
      </c>
      <c r="T1016">
        <v>1</v>
      </c>
      <c r="U1016">
        <v>0.1</v>
      </c>
      <c r="V1016">
        <v>36.851999999999997</v>
      </c>
      <c r="W1016">
        <f t="shared" si="63"/>
        <v>62.747999999999998</v>
      </c>
      <c r="X1016">
        <v>1</v>
      </c>
    </row>
    <row r="1017" spans="1:24" x14ac:dyDescent="0.3">
      <c r="A1017">
        <v>1016</v>
      </c>
      <c r="B1017" t="s">
        <v>2785</v>
      </c>
      <c r="C1017" s="6">
        <v>45212</v>
      </c>
      <c r="D1017" t="str">
        <f t="shared" si="60"/>
        <v>Oct</v>
      </c>
      <c r="E1017" t="str">
        <f t="shared" si="61"/>
        <v>2023</v>
      </c>
      <c r="F1017" t="s">
        <v>3</v>
      </c>
      <c r="G1017" t="s">
        <v>253</v>
      </c>
      <c r="H1017" t="s">
        <v>807</v>
      </c>
      <c r="I1017">
        <v>250</v>
      </c>
      <c r="J1017">
        <v>24</v>
      </c>
      <c r="K1017">
        <f t="shared" si="62"/>
        <v>9.6</v>
      </c>
      <c r="L1017" t="s">
        <v>1740</v>
      </c>
      <c r="M1017" t="s">
        <v>3852</v>
      </c>
      <c r="N1017" t="s">
        <v>1</v>
      </c>
      <c r="O1017">
        <v>486331</v>
      </c>
      <c r="P1017" t="s">
        <v>546</v>
      </c>
      <c r="Q1017" t="s">
        <v>1755</v>
      </c>
      <c r="S1017">
        <v>32.4</v>
      </c>
      <c r="T1017">
        <v>5</v>
      </c>
      <c r="U1017">
        <v>0.1</v>
      </c>
      <c r="V1017">
        <v>15.552</v>
      </c>
      <c r="W1017">
        <f t="shared" si="63"/>
        <v>3.3695999999999997</v>
      </c>
      <c r="X1017">
        <v>4</v>
      </c>
    </row>
    <row r="1018" spans="1:24" x14ac:dyDescent="0.3">
      <c r="A1018">
        <v>1017</v>
      </c>
      <c r="B1018" t="s">
        <v>2786</v>
      </c>
      <c r="C1018" s="6">
        <v>45213</v>
      </c>
      <c r="D1018" t="str">
        <f t="shared" si="60"/>
        <v>Oct</v>
      </c>
      <c r="E1018" t="str">
        <f t="shared" si="61"/>
        <v>2023</v>
      </c>
      <c r="F1018" t="s">
        <v>4</v>
      </c>
      <c r="G1018" t="s">
        <v>373</v>
      </c>
      <c r="H1018" t="s">
        <v>1317</v>
      </c>
      <c r="I1018">
        <v>160</v>
      </c>
      <c r="J1018">
        <v>20</v>
      </c>
      <c r="K1018">
        <f t="shared" si="62"/>
        <v>12.5</v>
      </c>
      <c r="L1018" t="s">
        <v>1742</v>
      </c>
      <c r="M1018" t="s">
        <v>3853</v>
      </c>
      <c r="N1018" t="s">
        <v>1</v>
      </c>
      <c r="O1018">
        <v>380054</v>
      </c>
      <c r="P1018" t="s">
        <v>546</v>
      </c>
      <c r="Q1018" t="s">
        <v>1759</v>
      </c>
      <c r="S1018">
        <v>13.96</v>
      </c>
      <c r="T1018">
        <v>2</v>
      </c>
      <c r="U1018">
        <v>0.1</v>
      </c>
      <c r="V1018">
        <v>6.7008000000000001</v>
      </c>
      <c r="W1018">
        <f t="shared" si="63"/>
        <v>3.6296000000000004</v>
      </c>
      <c r="X1018">
        <v>2</v>
      </c>
    </row>
    <row r="1019" spans="1:24" x14ac:dyDescent="0.3">
      <c r="A1019">
        <v>1018</v>
      </c>
      <c r="B1019" t="s">
        <v>2787</v>
      </c>
      <c r="C1019" s="6">
        <v>45214</v>
      </c>
      <c r="D1019" t="str">
        <f t="shared" si="60"/>
        <v>Oct</v>
      </c>
      <c r="E1019" t="str">
        <f t="shared" si="61"/>
        <v>2023</v>
      </c>
      <c r="F1019" t="s">
        <v>4</v>
      </c>
      <c r="G1019" t="s">
        <v>373</v>
      </c>
      <c r="H1019" t="s">
        <v>1236</v>
      </c>
      <c r="I1019">
        <v>120</v>
      </c>
      <c r="J1019">
        <v>28</v>
      </c>
      <c r="K1019">
        <f t="shared" si="62"/>
        <v>23.333333333333332</v>
      </c>
      <c r="L1019" t="s">
        <v>1739</v>
      </c>
      <c r="M1019" t="s">
        <v>3854</v>
      </c>
      <c r="N1019" t="s">
        <v>1</v>
      </c>
      <c r="O1019">
        <v>815351</v>
      </c>
      <c r="P1019" t="s">
        <v>546</v>
      </c>
      <c r="Q1019" t="s">
        <v>1763</v>
      </c>
      <c r="S1019">
        <v>155.82</v>
      </c>
      <c r="T1019">
        <v>3</v>
      </c>
      <c r="U1019">
        <v>0.1</v>
      </c>
      <c r="V1019">
        <v>63.886200000000002</v>
      </c>
      <c r="W1019">
        <f t="shared" si="63"/>
        <v>30.644599999999997</v>
      </c>
      <c r="X1019">
        <v>4</v>
      </c>
    </row>
    <row r="1020" spans="1:24" x14ac:dyDescent="0.3">
      <c r="A1020">
        <v>1019</v>
      </c>
      <c r="B1020" t="s">
        <v>2788</v>
      </c>
      <c r="C1020" s="6">
        <v>45215</v>
      </c>
      <c r="D1020" t="str">
        <f t="shared" si="60"/>
        <v>Oct</v>
      </c>
      <c r="E1020" t="str">
        <f t="shared" si="61"/>
        <v>2023</v>
      </c>
      <c r="F1020" t="s">
        <v>4</v>
      </c>
      <c r="G1020" t="s">
        <v>373</v>
      </c>
      <c r="H1020" t="s">
        <v>1318</v>
      </c>
      <c r="I1020">
        <v>180</v>
      </c>
      <c r="J1020">
        <v>28</v>
      </c>
      <c r="K1020">
        <f t="shared" si="62"/>
        <v>15.555555555555555</v>
      </c>
      <c r="L1020" t="s">
        <v>1738</v>
      </c>
      <c r="M1020" t="s">
        <v>3855</v>
      </c>
      <c r="N1020" t="s">
        <v>1</v>
      </c>
      <c r="O1020">
        <v>122001</v>
      </c>
      <c r="P1020" t="s">
        <v>546</v>
      </c>
      <c r="Q1020" t="s">
        <v>1761</v>
      </c>
      <c r="S1020">
        <v>124.95</v>
      </c>
      <c r="T1020">
        <v>5</v>
      </c>
      <c r="U1020">
        <v>0.1</v>
      </c>
      <c r="V1020">
        <v>2.4990000000000001</v>
      </c>
      <c r="W1020">
        <f t="shared" si="63"/>
        <v>24.490200000000002</v>
      </c>
      <c r="X1020">
        <v>5</v>
      </c>
    </row>
    <row r="1021" spans="1:24" x14ac:dyDescent="0.3">
      <c r="A1021">
        <v>1020</v>
      </c>
      <c r="B1021" t="s">
        <v>2789</v>
      </c>
      <c r="C1021" s="6">
        <v>45216</v>
      </c>
      <c r="D1021" t="str">
        <f t="shared" si="60"/>
        <v>Oct</v>
      </c>
      <c r="E1021" t="str">
        <f t="shared" si="61"/>
        <v>2023</v>
      </c>
      <c r="F1021" t="s">
        <v>4</v>
      </c>
      <c r="G1021" t="s">
        <v>373</v>
      </c>
      <c r="H1021" t="s">
        <v>1319</v>
      </c>
      <c r="I1021">
        <v>210</v>
      </c>
      <c r="J1021">
        <v>20</v>
      </c>
      <c r="K1021">
        <f t="shared" si="62"/>
        <v>9.5238095238095237</v>
      </c>
      <c r="L1021" t="s">
        <v>1737</v>
      </c>
      <c r="M1021" t="s">
        <v>3856</v>
      </c>
      <c r="N1021" t="s">
        <v>1</v>
      </c>
      <c r="O1021">
        <v>744102</v>
      </c>
      <c r="P1021" t="s">
        <v>546</v>
      </c>
      <c r="Q1021" t="s">
        <v>1761</v>
      </c>
      <c r="R1021" t="s">
        <v>2</v>
      </c>
      <c r="S1021">
        <v>601.65</v>
      </c>
      <c r="T1021">
        <v>5</v>
      </c>
      <c r="U1021">
        <v>0.1</v>
      </c>
      <c r="V1021">
        <v>156.429</v>
      </c>
      <c r="W1021">
        <f t="shared" si="63"/>
        <v>89.044200000000004</v>
      </c>
      <c r="X1021">
        <v>2</v>
      </c>
    </row>
    <row r="1022" spans="1:24" x14ac:dyDescent="0.3">
      <c r="A1022">
        <v>1021</v>
      </c>
      <c r="B1022" t="s">
        <v>2790</v>
      </c>
      <c r="C1022" s="6">
        <v>45217</v>
      </c>
      <c r="D1022" t="str">
        <f t="shared" si="60"/>
        <v>Oct</v>
      </c>
      <c r="E1022" t="str">
        <f t="shared" si="61"/>
        <v>2023</v>
      </c>
      <c r="F1022" t="s">
        <v>4</v>
      </c>
      <c r="G1022" t="s">
        <v>225</v>
      </c>
      <c r="H1022" t="s">
        <v>1320</v>
      </c>
      <c r="I1022">
        <v>170</v>
      </c>
      <c r="J1022">
        <v>20</v>
      </c>
      <c r="K1022">
        <f t="shared" si="62"/>
        <v>11.76470588235294</v>
      </c>
      <c r="L1022" t="s">
        <v>1743</v>
      </c>
      <c r="M1022" t="s">
        <v>3857</v>
      </c>
      <c r="N1022" t="s">
        <v>1</v>
      </c>
      <c r="O1022">
        <v>801110</v>
      </c>
      <c r="P1022" t="s">
        <v>546</v>
      </c>
      <c r="Q1022" t="s">
        <v>1758</v>
      </c>
      <c r="S1022">
        <v>22.74</v>
      </c>
      <c r="T1022">
        <v>3</v>
      </c>
      <c r="U1022">
        <v>0.1</v>
      </c>
      <c r="V1022">
        <v>8.8686000000000007</v>
      </c>
      <c r="W1022">
        <f t="shared" si="63"/>
        <v>4.6237999999999992</v>
      </c>
      <c r="X1022">
        <v>3</v>
      </c>
    </row>
    <row r="1023" spans="1:24" x14ac:dyDescent="0.3">
      <c r="A1023">
        <v>1022</v>
      </c>
      <c r="B1023" t="s">
        <v>2791</v>
      </c>
      <c r="C1023" s="6">
        <v>45218</v>
      </c>
      <c r="D1023" t="str">
        <f t="shared" si="60"/>
        <v>Oct</v>
      </c>
      <c r="E1023" t="str">
        <f t="shared" si="61"/>
        <v>2023</v>
      </c>
      <c r="F1023" t="s">
        <v>4</v>
      </c>
      <c r="G1023" t="s">
        <v>225</v>
      </c>
      <c r="H1023" t="s">
        <v>1321</v>
      </c>
      <c r="I1023">
        <v>180</v>
      </c>
      <c r="J1023">
        <v>26</v>
      </c>
      <c r="K1023">
        <f t="shared" si="62"/>
        <v>14.444444444444443</v>
      </c>
      <c r="L1023" t="s">
        <v>1738</v>
      </c>
      <c r="M1023" t="s">
        <v>3858</v>
      </c>
      <c r="N1023" t="s">
        <v>1</v>
      </c>
      <c r="O1023">
        <v>122103</v>
      </c>
      <c r="P1023" t="s">
        <v>546</v>
      </c>
      <c r="Q1023" t="s">
        <v>1768</v>
      </c>
      <c r="S1023">
        <v>1267.53</v>
      </c>
      <c r="T1023">
        <v>3</v>
      </c>
      <c r="U1023">
        <v>0.1</v>
      </c>
      <c r="V1023">
        <v>316.88249999999999</v>
      </c>
      <c r="W1023">
        <f t="shared" si="63"/>
        <v>316.88249999999999</v>
      </c>
      <c r="X1023">
        <v>4</v>
      </c>
    </row>
    <row r="1024" spans="1:24" x14ac:dyDescent="0.3">
      <c r="A1024">
        <v>1023</v>
      </c>
      <c r="B1024" t="s">
        <v>2792</v>
      </c>
      <c r="C1024" s="6">
        <v>45219</v>
      </c>
      <c r="D1024" t="str">
        <f t="shared" si="60"/>
        <v>Oct</v>
      </c>
      <c r="E1024" t="str">
        <f t="shared" si="61"/>
        <v>2023</v>
      </c>
      <c r="F1024" t="s">
        <v>4</v>
      </c>
      <c r="G1024" t="s">
        <v>225</v>
      </c>
      <c r="H1024" t="s">
        <v>1322</v>
      </c>
      <c r="I1024">
        <v>240</v>
      </c>
      <c r="J1024">
        <v>26</v>
      </c>
      <c r="K1024">
        <f t="shared" si="62"/>
        <v>10.833333333333334</v>
      </c>
      <c r="L1024" t="s">
        <v>1739</v>
      </c>
      <c r="M1024" t="s">
        <v>3859</v>
      </c>
      <c r="N1024" t="s">
        <v>1</v>
      </c>
      <c r="O1024">
        <v>632013</v>
      </c>
      <c r="P1024" t="s">
        <v>546</v>
      </c>
      <c r="Q1024" t="s">
        <v>1761</v>
      </c>
      <c r="S1024">
        <v>1379.92</v>
      </c>
      <c r="T1024">
        <v>8</v>
      </c>
      <c r="U1024">
        <v>0.1</v>
      </c>
      <c r="V1024">
        <v>648.56240000000003</v>
      </c>
      <c r="W1024">
        <f t="shared" si="63"/>
        <v>91.419700000000006</v>
      </c>
      <c r="X1024">
        <v>5</v>
      </c>
    </row>
    <row r="1025" spans="1:24" x14ac:dyDescent="0.3">
      <c r="A1025">
        <v>1024</v>
      </c>
      <c r="B1025" t="s">
        <v>2793</v>
      </c>
      <c r="C1025" s="6">
        <v>45220</v>
      </c>
      <c r="D1025" t="str">
        <f t="shared" si="60"/>
        <v>Oct</v>
      </c>
      <c r="E1025" t="str">
        <f t="shared" si="61"/>
        <v>2023</v>
      </c>
      <c r="F1025" t="s">
        <v>4</v>
      </c>
      <c r="G1025" t="s">
        <v>178</v>
      </c>
      <c r="H1025" t="s">
        <v>1323</v>
      </c>
      <c r="I1025">
        <v>200</v>
      </c>
      <c r="J1025">
        <v>18</v>
      </c>
      <c r="K1025">
        <f t="shared" si="62"/>
        <v>9</v>
      </c>
      <c r="L1025" t="s">
        <v>1741</v>
      </c>
      <c r="M1025" t="s">
        <v>3860</v>
      </c>
      <c r="N1025" t="s">
        <v>1</v>
      </c>
      <c r="O1025">
        <v>400101</v>
      </c>
      <c r="P1025" t="s">
        <v>546</v>
      </c>
      <c r="Q1025" t="s">
        <v>1774</v>
      </c>
      <c r="R1025" t="s">
        <v>2</v>
      </c>
      <c r="S1025">
        <v>6.2080000000000002</v>
      </c>
      <c r="T1025">
        <v>2</v>
      </c>
      <c r="U1025">
        <v>0.2</v>
      </c>
      <c r="V1025">
        <v>2.1728000000000001</v>
      </c>
      <c r="W1025">
        <f t="shared" si="63"/>
        <v>2.0175999999999998</v>
      </c>
      <c r="X1025">
        <v>5</v>
      </c>
    </row>
    <row r="1026" spans="1:24" x14ac:dyDescent="0.3">
      <c r="A1026">
        <v>1025</v>
      </c>
      <c r="B1026" t="s">
        <v>2794</v>
      </c>
      <c r="C1026" s="6">
        <v>45221</v>
      </c>
      <c r="D1026" t="str">
        <f t="shared" si="60"/>
        <v>Oct</v>
      </c>
      <c r="E1026" t="str">
        <f t="shared" si="61"/>
        <v>2023</v>
      </c>
      <c r="F1026" t="s">
        <v>5</v>
      </c>
      <c r="G1026" t="s">
        <v>374</v>
      </c>
      <c r="H1026" t="s">
        <v>1324</v>
      </c>
      <c r="I1026">
        <v>150</v>
      </c>
      <c r="J1026">
        <v>22</v>
      </c>
      <c r="K1026">
        <f t="shared" si="62"/>
        <v>14.666666666666666</v>
      </c>
      <c r="L1026" t="s">
        <v>1736</v>
      </c>
      <c r="M1026" t="s">
        <v>3861</v>
      </c>
      <c r="N1026" t="s">
        <v>1</v>
      </c>
      <c r="O1026">
        <v>201005</v>
      </c>
      <c r="P1026" t="s">
        <v>546</v>
      </c>
      <c r="Q1026" t="s">
        <v>1761</v>
      </c>
      <c r="R1026" t="s">
        <v>2</v>
      </c>
      <c r="S1026">
        <v>11.808</v>
      </c>
      <c r="T1026">
        <v>2</v>
      </c>
      <c r="U1026">
        <v>0.2</v>
      </c>
      <c r="V1026">
        <v>4.2804000000000002</v>
      </c>
      <c r="W1026">
        <f t="shared" si="63"/>
        <v>3.7637999999999998</v>
      </c>
      <c r="X1026">
        <v>1</v>
      </c>
    </row>
    <row r="1027" spans="1:24" x14ac:dyDescent="0.3">
      <c r="A1027">
        <v>1026</v>
      </c>
      <c r="B1027" t="s">
        <v>2795</v>
      </c>
      <c r="C1027" s="6">
        <v>45222</v>
      </c>
      <c r="D1027" t="str">
        <f t="shared" ref="D1027:D1090" si="64">TEXT(C1027,"Mmm")</f>
        <v>Oct</v>
      </c>
      <c r="E1027" t="str">
        <f t="shared" ref="E1027:E1090" si="65">TEXT(C1027,"YYYY")</f>
        <v>2023</v>
      </c>
      <c r="F1027" t="s">
        <v>3</v>
      </c>
      <c r="G1027" t="s">
        <v>375</v>
      </c>
      <c r="H1027" t="s">
        <v>1325</v>
      </c>
      <c r="I1027">
        <v>140</v>
      </c>
      <c r="J1027">
        <v>18</v>
      </c>
      <c r="K1027">
        <f t="shared" ref="K1027:K1090" si="66">(J1027/I1027)*100</f>
        <v>12.857142857142856</v>
      </c>
      <c r="L1027" t="s">
        <v>1744</v>
      </c>
      <c r="M1027" t="s">
        <v>3862</v>
      </c>
      <c r="N1027" t="s">
        <v>1</v>
      </c>
      <c r="O1027">
        <v>500004</v>
      </c>
      <c r="P1027" t="s">
        <v>546</v>
      </c>
      <c r="Q1027" t="s">
        <v>1772</v>
      </c>
      <c r="S1027">
        <v>15.552</v>
      </c>
      <c r="T1027">
        <v>3</v>
      </c>
      <c r="U1027">
        <v>0.2</v>
      </c>
      <c r="V1027">
        <v>5.4432</v>
      </c>
      <c r="W1027">
        <f t="shared" ref="W1027:W1090" si="67">(S1027-V1027)/T1027</f>
        <v>3.3695999999999997</v>
      </c>
      <c r="X1027">
        <v>2</v>
      </c>
    </row>
    <row r="1028" spans="1:24" x14ac:dyDescent="0.3">
      <c r="A1028">
        <v>1027</v>
      </c>
      <c r="B1028" t="s">
        <v>2796</v>
      </c>
      <c r="C1028" s="6">
        <v>45223</v>
      </c>
      <c r="D1028" t="str">
        <f t="shared" si="64"/>
        <v>Oct</v>
      </c>
      <c r="E1028" t="str">
        <f t="shared" si="65"/>
        <v>2023</v>
      </c>
      <c r="F1028" t="s">
        <v>3</v>
      </c>
      <c r="G1028" t="s">
        <v>375</v>
      </c>
      <c r="H1028" t="s">
        <v>1326</v>
      </c>
      <c r="I1028">
        <v>220</v>
      </c>
      <c r="J1028">
        <v>6</v>
      </c>
      <c r="K1028">
        <f t="shared" si="66"/>
        <v>2.7272727272727271</v>
      </c>
      <c r="L1028" t="s">
        <v>1740</v>
      </c>
      <c r="M1028" t="s">
        <v>3863</v>
      </c>
      <c r="N1028" t="s">
        <v>1</v>
      </c>
      <c r="O1028">
        <v>334005</v>
      </c>
      <c r="P1028" t="s">
        <v>546</v>
      </c>
      <c r="Q1028" t="s">
        <v>1760</v>
      </c>
      <c r="S1028">
        <v>63.311999999999998</v>
      </c>
      <c r="T1028">
        <v>3</v>
      </c>
      <c r="U1028">
        <v>0.2</v>
      </c>
      <c r="V1028">
        <v>20.5764</v>
      </c>
      <c r="W1028">
        <f t="shared" si="67"/>
        <v>14.245199999999999</v>
      </c>
      <c r="X1028">
        <v>5</v>
      </c>
    </row>
    <row r="1029" spans="1:24" x14ac:dyDescent="0.3">
      <c r="A1029">
        <v>1028</v>
      </c>
      <c r="B1029" t="s">
        <v>2797</v>
      </c>
      <c r="C1029" s="6">
        <v>45224</v>
      </c>
      <c r="D1029" t="str">
        <f t="shared" si="64"/>
        <v>Oct</v>
      </c>
      <c r="E1029" t="str">
        <f t="shared" si="65"/>
        <v>2023</v>
      </c>
      <c r="F1029" t="s">
        <v>3</v>
      </c>
      <c r="G1029" t="s">
        <v>375</v>
      </c>
      <c r="H1029" t="s">
        <v>1327</v>
      </c>
      <c r="I1029">
        <v>120</v>
      </c>
      <c r="J1029">
        <v>6</v>
      </c>
      <c r="K1029">
        <f t="shared" si="66"/>
        <v>5</v>
      </c>
      <c r="L1029" t="s">
        <v>1742</v>
      </c>
      <c r="M1029" t="s">
        <v>3864</v>
      </c>
      <c r="N1029" t="s">
        <v>1</v>
      </c>
      <c r="O1029">
        <v>140507</v>
      </c>
      <c r="P1029" t="s">
        <v>546</v>
      </c>
      <c r="Q1029" t="s">
        <v>1774</v>
      </c>
      <c r="S1029">
        <v>15.587999999999999</v>
      </c>
      <c r="T1029">
        <v>2</v>
      </c>
      <c r="U1029">
        <v>0.4</v>
      </c>
      <c r="V1029">
        <v>-9.8724000000000007</v>
      </c>
      <c r="W1029">
        <f t="shared" si="67"/>
        <v>12.7302</v>
      </c>
      <c r="X1029">
        <v>1</v>
      </c>
    </row>
    <row r="1030" spans="1:24" x14ac:dyDescent="0.3">
      <c r="A1030">
        <v>1029</v>
      </c>
      <c r="B1030" t="s">
        <v>2798</v>
      </c>
      <c r="C1030" s="6">
        <v>45225</v>
      </c>
      <c r="D1030" t="str">
        <f t="shared" si="64"/>
        <v>Oct</v>
      </c>
      <c r="E1030" t="str">
        <f t="shared" si="65"/>
        <v>2023</v>
      </c>
      <c r="F1030" t="s">
        <v>4</v>
      </c>
      <c r="G1030" t="s">
        <v>163</v>
      </c>
      <c r="H1030" t="s">
        <v>805</v>
      </c>
      <c r="I1030">
        <v>200</v>
      </c>
      <c r="J1030">
        <v>12</v>
      </c>
      <c r="K1030">
        <f t="shared" si="66"/>
        <v>6</v>
      </c>
      <c r="L1030" t="s">
        <v>1739</v>
      </c>
      <c r="M1030" t="s">
        <v>3865</v>
      </c>
      <c r="N1030" t="s">
        <v>1</v>
      </c>
      <c r="O1030">
        <v>190003</v>
      </c>
      <c r="P1030" t="s">
        <v>546</v>
      </c>
      <c r="Q1030" t="s">
        <v>1769</v>
      </c>
      <c r="S1030">
        <v>177.2</v>
      </c>
      <c r="T1030">
        <v>5</v>
      </c>
      <c r="U1030">
        <v>0.1</v>
      </c>
      <c r="V1030">
        <v>83.284000000000006</v>
      </c>
      <c r="W1030">
        <f t="shared" si="67"/>
        <v>18.783199999999997</v>
      </c>
      <c r="X1030">
        <v>1</v>
      </c>
    </row>
    <row r="1031" spans="1:24" x14ac:dyDescent="0.3">
      <c r="A1031">
        <v>1030</v>
      </c>
      <c r="B1031" t="s">
        <v>2799</v>
      </c>
      <c r="C1031" s="6">
        <v>45226</v>
      </c>
      <c r="D1031" t="str">
        <f t="shared" si="64"/>
        <v>Oct</v>
      </c>
      <c r="E1031" t="str">
        <f t="shared" si="65"/>
        <v>2023</v>
      </c>
      <c r="F1031" t="s">
        <v>4</v>
      </c>
      <c r="G1031" t="s">
        <v>163</v>
      </c>
      <c r="H1031" t="s">
        <v>1328</v>
      </c>
      <c r="I1031">
        <v>250</v>
      </c>
      <c r="J1031">
        <v>24</v>
      </c>
      <c r="K1031">
        <f t="shared" si="66"/>
        <v>9.6</v>
      </c>
      <c r="L1031" t="s">
        <v>1738</v>
      </c>
      <c r="M1031" t="s">
        <v>3866</v>
      </c>
      <c r="N1031" t="s">
        <v>1</v>
      </c>
      <c r="O1031">
        <v>500004</v>
      </c>
      <c r="P1031" t="s">
        <v>546</v>
      </c>
      <c r="Q1031" t="s">
        <v>1761</v>
      </c>
      <c r="S1031">
        <v>197.97</v>
      </c>
      <c r="T1031">
        <v>3</v>
      </c>
      <c r="U1031">
        <v>0.1</v>
      </c>
      <c r="V1031">
        <v>57.411299999999997</v>
      </c>
      <c r="W1031">
        <f t="shared" si="67"/>
        <v>46.852899999999998</v>
      </c>
      <c r="X1031">
        <v>2</v>
      </c>
    </row>
    <row r="1032" spans="1:24" x14ac:dyDescent="0.3">
      <c r="A1032">
        <v>1031</v>
      </c>
      <c r="B1032" t="s">
        <v>2478</v>
      </c>
      <c r="C1032" s="6">
        <v>45227</v>
      </c>
      <c r="D1032" t="str">
        <f t="shared" si="64"/>
        <v>Oct</v>
      </c>
      <c r="E1032" t="str">
        <f t="shared" si="65"/>
        <v>2023</v>
      </c>
      <c r="F1032" t="s">
        <v>4</v>
      </c>
      <c r="G1032" t="s">
        <v>163</v>
      </c>
      <c r="H1032" t="s">
        <v>1010</v>
      </c>
      <c r="I1032">
        <v>120</v>
      </c>
      <c r="J1032">
        <v>12</v>
      </c>
      <c r="K1032">
        <f t="shared" si="66"/>
        <v>10</v>
      </c>
      <c r="L1032" t="s">
        <v>1743</v>
      </c>
      <c r="M1032" t="s">
        <v>3867</v>
      </c>
      <c r="N1032" t="s">
        <v>1</v>
      </c>
      <c r="O1032">
        <v>171005</v>
      </c>
      <c r="P1032" t="s">
        <v>546</v>
      </c>
      <c r="Q1032" t="s">
        <v>1759</v>
      </c>
      <c r="R1032" t="s">
        <v>2</v>
      </c>
      <c r="S1032">
        <v>854.94</v>
      </c>
      <c r="T1032">
        <v>3</v>
      </c>
      <c r="U1032">
        <v>0.1</v>
      </c>
      <c r="V1032">
        <v>213.73500000000001</v>
      </c>
      <c r="W1032">
        <f t="shared" si="67"/>
        <v>213.73500000000001</v>
      </c>
      <c r="X1032">
        <v>5</v>
      </c>
    </row>
    <row r="1033" spans="1:24" x14ac:dyDescent="0.3">
      <c r="A1033">
        <v>1032</v>
      </c>
      <c r="B1033" t="s">
        <v>2800</v>
      </c>
      <c r="C1033" s="6">
        <v>45228</v>
      </c>
      <c r="D1033" t="str">
        <f t="shared" si="64"/>
        <v>Oct</v>
      </c>
      <c r="E1033" t="str">
        <f t="shared" si="65"/>
        <v>2023</v>
      </c>
      <c r="F1033" t="s">
        <v>4</v>
      </c>
      <c r="G1033" t="s">
        <v>163</v>
      </c>
      <c r="H1033" t="s">
        <v>640</v>
      </c>
      <c r="I1033">
        <v>160</v>
      </c>
      <c r="J1033">
        <v>6</v>
      </c>
      <c r="K1033">
        <f t="shared" si="66"/>
        <v>3.75</v>
      </c>
      <c r="L1033" t="s">
        <v>1737</v>
      </c>
      <c r="M1033" t="s">
        <v>3868</v>
      </c>
      <c r="N1033" t="s">
        <v>1</v>
      </c>
      <c r="O1033">
        <v>524005</v>
      </c>
      <c r="P1033" t="s">
        <v>546</v>
      </c>
      <c r="Q1033" t="s">
        <v>1759</v>
      </c>
      <c r="R1033" t="s">
        <v>2</v>
      </c>
      <c r="S1033">
        <v>124.11</v>
      </c>
      <c r="T1033">
        <v>9</v>
      </c>
      <c r="U1033">
        <v>0.1</v>
      </c>
      <c r="V1033">
        <v>52.126199999999997</v>
      </c>
      <c r="W1033">
        <f t="shared" si="67"/>
        <v>7.9982000000000006</v>
      </c>
      <c r="X1033">
        <v>5</v>
      </c>
    </row>
    <row r="1034" spans="1:24" x14ac:dyDescent="0.3">
      <c r="A1034">
        <v>1033</v>
      </c>
      <c r="B1034" t="s">
        <v>2801</v>
      </c>
      <c r="C1034" s="6">
        <v>45229</v>
      </c>
      <c r="D1034" t="str">
        <f t="shared" si="64"/>
        <v>Oct</v>
      </c>
      <c r="E1034" t="str">
        <f t="shared" si="65"/>
        <v>2023</v>
      </c>
      <c r="F1034" t="s">
        <v>4</v>
      </c>
      <c r="G1034" t="s">
        <v>163</v>
      </c>
      <c r="H1034" t="s">
        <v>1329</v>
      </c>
      <c r="I1034">
        <v>100</v>
      </c>
      <c r="J1034">
        <v>20</v>
      </c>
      <c r="K1034">
        <f t="shared" si="66"/>
        <v>20</v>
      </c>
      <c r="L1034" t="s">
        <v>1741</v>
      </c>
      <c r="M1034" t="s">
        <v>3825</v>
      </c>
      <c r="N1034" t="s">
        <v>1</v>
      </c>
      <c r="O1034">
        <v>641402</v>
      </c>
      <c r="P1034" t="s">
        <v>546</v>
      </c>
      <c r="Q1034" t="s">
        <v>1769</v>
      </c>
      <c r="S1034">
        <v>14.4</v>
      </c>
      <c r="T1034">
        <v>5</v>
      </c>
      <c r="U1034">
        <v>0.1</v>
      </c>
      <c r="V1034">
        <v>7.056</v>
      </c>
      <c r="W1034">
        <f t="shared" si="67"/>
        <v>1.4688000000000001</v>
      </c>
      <c r="X1034">
        <v>1</v>
      </c>
    </row>
    <row r="1035" spans="1:24" x14ac:dyDescent="0.3">
      <c r="A1035">
        <v>1034</v>
      </c>
      <c r="B1035" t="s">
        <v>2802</v>
      </c>
      <c r="C1035" s="6">
        <v>45230</v>
      </c>
      <c r="D1035" t="str">
        <f t="shared" si="64"/>
        <v>Oct</v>
      </c>
      <c r="E1035" t="str">
        <f t="shared" si="65"/>
        <v>2023</v>
      </c>
      <c r="F1035" t="s">
        <v>5</v>
      </c>
      <c r="G1035" t="s">
        <v>376</v>
      </c>
      <c r="H1035" t="s">
        <v>1330</v>
      </c>
      <c r="I1035">
        <v>110</v>
      </c>
      <c r="J1035">
        <v>22</v>
      </c>
      <c r="K1035">
        <f t="shared" si="66"/>
        <v>20</v>
      </c>
      <c r="L1035" t="s">
        <v>1736</v>
      </c>
      <c r="M1035" t="s">
        <v>3869</v>
      </c>
      <c r="N1035" t="s">
        <v>1</v>
      </c>
      <c r="O1035">
        <v>781006</v>
      </c>
      <c r="P1035" t="s">
        <v>546</v>
      </c>
      <c r="Q1035" t="s">
        <v>1764</v>
      </c>
      <c r="R1035" t="s">
        <v>2</v>
      </c>
      <c r="S1035">
        <v>15.696</v>
      </c>
      <c r="T1035">
        <v>3</v>
      </c>
      <c r="U1035">
        <v>0.2</v>
      </c>
      <c r="V1035">
        <v>5.1012000000000004</v>
      </c>
      <c r="W1035">
        <f t="shared" si="67"/>
        <v>3.5315999999999996</v>
      </c>
      <c r="X1035">
        <v>5</v>
      </c>
    </row>
    <row r="1036" spans="1:24" x14ac:dyDescent="0.3">
      <c r="A1036">
        <v>1035</v>
      </c>
      <c r="B1036" t="s">
        <v>2740</v>
      </c>
      <c r="C1036" s="6">
        <v>45231</v>
      </c>
      <c r="D1036" t="str">
        <f t="shared" si="64"/>
        <v>Nov</v>
      </c>
      <c r="E1036" t="str">
        <f t="shared" si="65"/>
        <v>2023</v>
      </c>
      <c r="F1036" t="s">
        <v>5</v>
      </c>
      <c r="G1036" t="s">
        <v>376</v>
      </c>
      <c r="H1036" t="s">
        <v>783</v>
      </c>
      <c r="I1036">
        <v>150</v>
      </c>
      <c r="J1036">
        <v>6</v>
      </c>
      <c r="K1036">
        <f t="shared" si="66"/>
        <v>4</v>
      </c>
      <c r="L1036" t="s">
        <v>1744</v>
      </c>
      <c r="M1036" t="s">
        <v>3870</v>
      </c>
      <c r="N1036" t="s">
        <v>1</v>
      </c>
      <c r="O1036">
        <v>520002</v>
      </c>
      <c r="P1036" t="s">
        <v>546</v>
      </c>
      <c r="Q1036" t="s">
        <v>1763</v>
      </c>
      <c r="S1036">
        <v>2.6280000000000001</v>
      </c>
      <c r="T1036">
        <v>2</v>
      </c>
      <c r="U1036">
        <v>0.7</v>
      </c>
      <c r="V1036">
        <v>-1.9272</v>
      </c>
      <c r="W1036">
        <f t="shared" si="67"/>
        <v>2.2776000000000001</v>
      </c>
      <c r="X1036">
        <v>2</v>
      </c>
    </row>
    <row r="1037" spans="1:24" x14ac:dyDescent="0.3">
      <c r="A1037">
        <v>1036</v>
      </c>
      <c r="B1037" t="s">
        <v>2803</v>
      </c>
      <c r="C1037" s="6">
        <v>45232</v>
      </c>
      <c r="D1037" t="str">
        <f t="shared" si="64"/>
        <v>Nov</v>
      </c>
      <c r="E1037" t="str">
        <f t="shared" si="65"/>
        <v>2023</v>
      </c>
      <c r="F1037" t="s">
        <v>5</v>
      </c>
      <c r="G1037" t="s">
        <v>376</v>
      </c>
      <c r="H1037" t="s">
        <v>574</v>
      </c>
      <c r="I1037">
        <v>150</v>
      </c>
      <c r="J1037">
        <v>12</v>
      </c>
      <c r="K1037">
        <f t="shared" si="66"/>
        <v>8</v>
      </c>
      <c r="L1037" t="s">
        <v>1740</v>
      </c>
      <c r="M1037" t="s">
        <v>3871</v>
      </c>
      <c r="N1037" t="s">
        <v>1</v>
      </c>
      <c r="O1037">
        <v>221007</v>
      </c>
      <c r="P1037" t="s">
        <v>546</v>
      </c>
      <c r="Q1037" t="s">
        <v>1767</v>
      </c>
      <c r="S1037">
        <v>14.427</v>
      </c>
      <c r="T1037">
        <v>3</v>
      </c>
      <c r="U1037">
        <v>0.7</v>
      </c>
      <c r="V1037">
        <v>-10.579800000000001</v>
      </c>
      <c r="W1037">
        <f t="shared" si="67"/>
        <v>8.3355999999999995</v>
      </c>
      <c r="X1037">
        <v>5</v>
      </c>
    </row>
    <row r="1038" spans="1:24" x14ac:dyDescent="0.3">
      <c r="A1038">
        <v>1037</v>
      </c>
      <c r="B1038" t="s">
        <v>2804</v>
      </c>
      <c r="C1038" s="6">
        <v>45233</v>
      </c>
      <c r="D1038" t="str">
        <f t="shared" si="64"/>
        <v>Nov</v>
      </c>
      <c r="E1038" t="str">
        <f t="shared" si="65"/>
        <v>2023</v>
      </c>
      <c r="F1038" t="s">
        <v>4</v>
      </c>
      <c r="G1038" t="s">
        <v>337</v>
      </c>
      <c r="H1038" t="s">
        <v>1331</v>
      </c>
      <c r="I1038">
        <v>160</v>
      </c>
      <c r="J1038">
        <v>28</v>
      </c>
      <c r="K1038">
        <f t="shared" si="66"/>
        <v>17.5</v>
      </c>
      <c r="L1038" t="s">
        <v>1742</v>
      </c>
      <c r="M1038" t="s">
        <v>3756</v>
      </c>
      <c r="N1038" t="s">
        <v>1</v>
      </c>
      <c r="O1038">
        <v>800001</v>
      </c>
      <c r="P1038" t="s">
        <v>546</v>
      </c>
      <c r="Q1038" t="s">
        <v>1759</v>
      </c>
      <c r="R1038" t="s">
        <v>2</v>
      </c>
      <c r="S1038">
        <v>86.62</v>
      </c>
      <c r="T1038">
        <v>2</v>
      </c>
      <c r="U1038">
        <v>0.1</v>
      </c>
      <c r="V1038">
        <v>8.6620000000000008</v>
      </c>
      <c r="W1038">
        <f t="shared" si="67"/>
        <v>38.978999999999999</v>
      </c>
      <c r="X1038">
        <v>2</v>
      </c>
    </row>
    <row r="1039" spans="1:24" x14ac:dyDescent="0.3">
      <c r="A1039">
        <v>1038</v>
      </c>
      <c r="B1039" t="s">
        <v>2805</v>
      </c>
      <c r="C1039" s="6">
        <v>45234</v>
      </c>
      <c r="D1039" t="str">
        <f t="shared" si="64"/>
        <v>Nov</v>
      </c>
      <c r="E1039" t="str">
        <f t="shared" si="65"/>
        <v>2023</v>
      </c>
      <c r="F1039" t="s">
        <v>5</v>
      </c>
      <c r="G1039" t="s">
        <v>377</v>
      </c>
      <c r="H1039" t="s">
        <v>1332</v>
      </c>
      <c r="I1039">
        <v>220</v>
      </c>
      <c r="J1039">
        <v>14</v>
      </c>
      <c r="K1039">
        <f t="shared" si="66"/>
        <v>6.3636363636363633</v>
      </c>
      <c r="L1039" t="s">
        <v>1739</v>
      </c>
      <c r="M1039" t="s">
        <v>3872</v>
      </c>
      <c r="O1039">
        <v>400006</v>
      </c>
      <c r="P1039" t="s">
        <v>546</v>
      </c>
      <c r="Q1039" t="s">
        <v>1756</v>
      </c>
      <c r="S1039">
        <v>36.624000000000002</v>
      </c>
      <c r="T1039">
        <v>3</v>
      </c>
      <c r="U1039">
        <v>0.2</v>
      </c>
      <c r="V1039">
        <v>13.734</v>
      </c>
      <c r="W1039">
        <f t="shared" si="67"/>
        <v>7.63</v>
      </c>
      <c r="X1039">
        <v>4</v>
      </c>
    </row>
    <row r="1040" spans="1:24" x14ac:dyDescent="0.3">
      <c r="A1040">
        <v>1039</v>
      </c>
      <c r="B1040" t="s">
        <v>2806</v>
      </c>
      <c r="C1040" s="6">
        <v>45235</v>
      </c>
      <c r="D1040" t="str">
        <f t="shared" si="64"/>
        <v>Nov</v>
      </c>
      <c r="E1040" t="str">
        <f t="shared" si="65"/>
        <v>2023</v>
      </c>
      <c r="F1040" t="s">
        <v>5</v>
      </c>
      <c r="G1040" t="s">
        <v>378</v>
      </c>
      <c r="H1040" t="s">
        <v>1333</v>
      </c>
      <c r="I1040">
        <v>200</v>
      </c>
      <c r="J1040">
        <v>16</v>
      </c>
      <c r="K1040">
        <f t="shared" si="66"/>
        <v>8</v>
      </c>
      <c r="L1040" t="s">
        <v>1738</v>
      </c>
      <c r="M1040" t="s">
        <v>3778</v>
      </c>
      <c r="N1040" t="s">
        <v>1</v>
      </c>
      <c r="O1040">
        <v>250004</v>
      </c>
      <c r="P1040" t="s">
        <v>546</v>
      </c>
      <c r="Q1040" t="s">
        <v>1761</v>
      </c>
      <c r="R1040" t="s">
        <v>2</v>
      </c>
      <c r="S1040">
        <v>23.968</v>
      </c>
      <c r="T1040">
        <v>7</v>
      </c>
      <c r="U1040">
        <v>0.2</v>
      </c>
      <c r="V1040">
        <v>2.6964000000000001</v>
      </c>
      <c r="W1040">
        <f t="shared" si="67"/>
        <v>3.0387999999999997</v>
      </c>
      <c r="X1040">
        <v>2</v>
      </c>
    </row>
    <row r="1041" spans="1:24" x14ac:dyDescent="0.3">
      <c r="A1041">
        <v>1040</v>
      </c>
      <c r="B1041" t="s">
        <v>2807</v>
      </c>
      <c r="C1041" s="6">
        <v>45236</v>
      </c>
      <c r="D1041" t="str">
        <f t="shared" si="64"/>
        <v>Nov</v>
      </c>
      <c r="E1041" t="str">
        <f t="shared" si="65"/>
        <v>2023</v>
      </c>
      <c r="F1041" t="s">
        <v>5</v>
      </c>
      <c r="G1041" t="s">
        <v>378</v>
      </c>
      <c r="H1041" t="s">
        <v>1334</v>
      </c>
      <c r="I1041">
        <v>180</v>
      </c>
      <c r="J1041">
        <v>16</v>
      </c>
      <c r="K1041">
        <f t="shared" si="66"/>
        <v>8.8888888888888893</v>
      </c>
      <c r="L1041" t="s">
        <v>1737</v>
      </c>
      <c r="M1041" t="s">
        <v>3828</v>
      </c>
      <c r="N1041" t="s">
        <v>1</v>
      </c>
      <c r="O1041">
        <v>600023</v>
      </c>
      <c r="P1041" t="s">
        <v>546</v>
      </c>
      <c r="Q1041" t="s">
        <v>1764</v>
      </c>
      <c r="S1041">
        <v>28.728000000000002</v>
      </c>
      <c r="T1041">
        <v>3</v>
      </c>
      <c r="U1041">
        <v>0.2</v>
      </c>
      <c r="V1041">
        <v>1.7955000000000001</v>
      </c>
      <c r="W1041">
        <f t="shared" si="67"/>
        <v>8.9775000000000009</v>
      </c>
      <c r="X1041">
        <v>2</v>
      </c>
    </row>
    <row r="1042" spans="1:24" x14ac:dyDescent="0.3">
      <c r="A1042">
        <v>1041</v>
      </c>
      <c r="B1042" t="s">
        <v>2808</v>
      </c>
      <c r="C1042" s="6">
        <v>45237</v>
      </c>
      <c r="D1042" t="str">
        <f t="shared" si="64"/>
        <v>Nov</v>
      </c>
      <c r="E1042" t="str">
        <f t="shared" si="65"/>
        <v>2023</v>
      </c>
      <c r="F1042" t="s">
        <v>4</v>
      </c>
      <c r="G1042" t="s">
        <v>379</v>
      </c>
      <c r="H1042" t="s">
        <v>1163</v>
      </c>
      <c r="I1042">
        <v>140</v>
      </c>
      <c r="J1042">
        <v>8</v>
      </c>
      <c r="K1042">
        <f t="shared" si="66"/>
        <v>5.7142857142857144</v>
      </c>
      <c r="L1042" t="s">
        <v>1743</v>
      </c>
      <c r="M1042" t="s">
        <v>3873</v>
      </c>
      <c r="N1042" t="s">
        <v>1</v>
      </c>
      <c r="O1042">
        <v>243201</v>
      </c>
      <c r="P1042" t="s">
        <v>546</v>
      </c>
      <c r="Q1042" t="s">
        <v>1755</v>
      </c>
      <c r="S1042">
        <v>697.16</v>
      </c>
      <c r="T1042">
        <v>4</v>
      </c>
      <c r="U1042">
        <v>0.1</v>
      </c>
      <c r="V1042">
        <v>146.40360000000001</v>
      </c>
      <c r="W1042">
        <f t="shared" si="67"/>
        <v>137.6891</v>
      </c>
      <c r="X1042">
        <v>2</v>
      </c>
    </row>
    <row r="1043" spans="1:24" x14ac:dyDescent="0.3">
      <c r="A1043">
        <v>1042</v>
      </c>
      <c r="B1043" t="s">
        <v>2809</v>
      </c>
      <c r="C1043" s="6">
        <v>45238</v>
      </c>
      <c r="D1043" t="str">
        <f t="shared" si="64"/>
        <v>Nov</v>
      </c>
      <c r="E1043" t="str">
        <f t="shared" si="65"/>
        <v>2023</v>
      </c>
      <c r="F1043" t="s">
        <v>3</v>
      </c>
      <c r="G1043" t="s">
        <v>380</v>
      </c>
      <c r="H1043" t="s">
        <v>1335</v>
      </c>
      <c r="I1043">
        <v>100</v>
      </c>
      <c r="J1043">
        <v>26</v>
      </c>
      <c r="K1043">
        <f t="shared" si="66"/>
        <v>26</v>
      </c>
      <c r="L1043" t="s">
        <v>1738</v>
      </c>
      <c r="M1043" t="s">
        <v>3788</v>
      </c>
      <c r="N1043" t="s">
        <v>1</v>
      </c>
      <c r="O1043">
        <v>422013</v>
      </c>
      <c r="P1043" t="s">
        <v>546</v>
      </c>
      <c r="Q1043" t="s">
        <v>1767</v>
      </c>
      <c r="S1043">
        <v>31.86</v>
      </c>
      <c r="T1043">
        <v>2</v>
      </c>
      <c r="U1043">
        <v>0.1</v>
      </c>
      <c r="V1043">
        <v>11.151</v>
      </c>
      <c r="W1043">
        <f t="shared" si="67"/>
        <v>10.3545</v>
      </c>
      <c r="X1043">
        <v>4</v>
      </c>
    </row>
    <row r="1044" spans="1:24" x14ac:dyDescent="0.3">
      <c r="A1044">
        <v>1043</v>
      </c>
      <c r="B1044" t="s">
        <v>2810</v>
      </c>
      <c r="C1044" s="6">
        <v>45239</v>
      </c>
      <c r="D1044" t="str">
        <f t="shared" si="64"/>
        <v>Nov</v>
      </c>
      <c r="E1044" t="str">
        <f t="shared" si="65"/>
        <v>2023</v>
      </c>
      <c r="F1044" t="s">
        <v>3</v>
      </c>
      <c r="G1044" t="s">
        <v>380</v>
      </c>
      <c r="H1044" t="s">
        <v>1336</v>
      </c>
      <c r="I1044">
        <v>180</v>
      </c>
      <c r="J1044">
        <v>18</v>
      </c>
      <c r="K1044">
        <f t="shared" si="66"/>
        <v>10</v>
      </c>
      <c r="L1044" t="s">
        <v>1739</v>
      </c>
      <c r="M1044" t="s">
        <v>3874</v>
      </c>
      <c r="N1044" t="s">
        <v>1</v>
      </c>
      <c r="O1044">
        <v>122011</v>
      </c>
      <c r="P1044" t="s">
        <v>546</v>
      </c>
      <c r="Q1044" t="s">
        <v>1767</v>
      </c>
      <c r="S1044">
        <v>722.35199999999998</v>
      </c>
      <c r="T1044">
        <v>3</v>
      </c>
      <c r="U1044">
        <v>0.2</v>
      </c>
      <c r="V1044">
        <v>90.293999999999997</v>
      </c>
      <c r="W1044">
        <f t="shared" si="67"/>
        <v>210.68600000000001</v>
      </c>
      <c r="X1044">
        <v>5</v>
      </c>
    </row>
    <row r="1045" spans="1:24" x14ac:dyDescent="0.3">
      <c r="A1045">
        <v>1044</v>
      </c>
      <c r="B1045" t="s">
        <v>2811</v>
      </c>
      <c r="C1045" s="6">
        <v>45240</v>
      </c>
      <c r="D1045" t="str">
        <f t="shared" si="64"/>
        <v>Nov</v>
      </c>
      <c r="E1045" t="str">
        <f t="shared" si="65"/>
        <v>2023</v>
      </c>
      <c r="F1045" t="s">
        <v>5</v>
      </c>
      <c r="G1045" t="s">
        <v>381</v>
      </c>
      <c r="H1045" t="s">
        <v>1337</v>
      </c>
      <c r="I1045">
        <v>190</v>
      </c>
      <c r="J1045">
        <v>26</v>
      </c>
      <c r="K1045">
        <f t="shared" si="66"/>
        <v>13.684210526315791</v>
      </c>
      <c r="L1045" t="s">
        <v>1741</v>
      </c>
      <c r="M1045" t="s">
        <v>3820</v>
      </c>
      <c r="N1045" t="s">
        <v>1</v>
      </c>
      <c r="O1045">
        <v>201014</v>
      </c>
      <c r="P1045" t="s">
        <v>546</v>
      </c>
      <c r="Q1045" t="s">
        <v>1754</v>
      </c>
      <c r="R1045" t="s">
        <v>2</v>
      </c>
      <c r="S1045">
        <v>8.84</v>
      </c>
      <c r="T1045">
        <v>5</v>
      </c>
      <c r="U1045">
        <v>0.2</v>
      </c>
      <c r="V1045">
        <v>2.9834999999999998</v>
      </c>
      <c r="W1045">
        <f t="shared" si="67"/>
        <v>1.1713</v>
      </c>
      <c r="X1045">
        <v>3</v>
      </c>
    </row>
    <row r="1046" spans="1:24" x14ac:dyDescent="0.3">
      <c r="A1046">
        <v>1045</v>
      </c>
      <c r="B1046" t="s">
        <v>2812</v>
      </c>
      <c r="C1046" s="6">
        <v>45241</v>
      </c>
      <c r="D1046" t="str">
        <f t="shared" si="64"/>
        <v>Nov</v>
      </c>
      <c r="E1046" t="str">
        <f t="shared" si="65"/>
        <v>2023</v>
      </c>
      <c r="F1046" t="s">
        <v>5</v>
      </c>
      <c r="G1046" t="s">
        <v>381</v>
      </c>
      <c r="H1046" t="s">
        <v>1338</v>
      </c>
      <c r="I1046">
        <v>140</v>
      </c>
      <c r="J1046">
        <v>8</v>
      </c>
      <c r="K1046">
        <f t="shared" si="66"/>
        <v>5.7142857142857144</v>
      </c>
      <c r="L1046" t="s">
        <v>1736</v>
      </c>
      <c r="M1046" t="s">
        <v>3875</v>
      </c>
      <c r="N1046" t="s">
        <v>1</v>
      </c>
      <c r="O1046">
        <v>461775</v>
      </c>
      <c r="P1046" t="s">
        <v>546</v>
      </c>
      <c r="Q1046" t="s">
        <v>1755</v>
      </c>
      <c r="S1046">
        <v>58.463999999999999</v>
      </c>
      <c r="T1046">
        <v>9</v>
      </c>
      <c r="U1046">
        <v>0.8</v>
      </c>
      <c r="V1046">
        <v>-146.16</v>
      </c>
      <c r="W1046">
        <f t="shared" si="67"/>
        <v>22.736000000000001</v>
      </c>
      <c r="X1046">
        <v>3</v>
      </c>
    </row>
    <row r="1047" spans="1:24" x14ac:dyDescent="0.3">
      <c r="A1047">
        <v>1046</v>
      </c>
      <c r="B1047" t="s">
        <v>2813</v>
      </c>
      <c r="C1047" s="6">
        <v>45242</v>
      </c>
      <c r="D1047" t="str">
        <f t="shared" si="64"/>
        <v>Nov</v>
      </c>
      <c r="E1047" t="str">
        <f t="shared" si="65"/>
        <v>2023</v>
      </c>
      <c r="F1047" t="s">
        <v>4</v>
      </c>
      <c r="G1047" t="s">
        <v>24</v>
      </c>
      <c r="H1047" t="s">
        <v>1339</v>
      </c>
      <c r="I1047">
        <v>240</v>
      </c>
      <c r="J1047">
        <v>30</v>
      </c>
      <c r="K1047">
        <f t="shared" si="66"/>
        <v>12.5</v>
      </c>
      <c r="L1047" t="s">
        <v>1744</v>
      </c>
      <c r="M1047" t="s">
        <v>3876</v>
      </c>
      <c r="N1047" t="s">
        <v>1</v>
      </c>
      <c r="O1047">
        <v>590001</v>
      </c>
      <c r="P1047" t="s">
        <v>546</v>
      </c>
      <c r="Q1047" t="s">
        <v>1775</v>
      </c>
      <c r="S1047">
        <v>254.60400000000001</v>
      </c>
      <c r="T1047">
        <v>14</v>
      </c>
      <c r="U1047">
        <v>0.3</v>
      </c>
      <c r="V1047">
        <v>-18.186</v>
      </c>
      <c r="W1047">
        <f t="shared" si="67"/>
        <v>19.485000000000003</v>
      </c>
      <c r="X1047">
        <v>5</v>
      </c>
    </row>
    <row r="1048" spans="1:24" x14ac:dyDescent="0.3">
      <c r="A1048">
        <v>1047</v>
      </c>
      <c r="B1048" t="s">
        <v>2814</v>
      </c>
      <c r="C1048" s="6">
        <v>45243</v>
      </c>
      <c r="D1048" t="str">
        <f t="shared" si="64"/>
        <v>Nov</v>
      </c>
      <c r="E1048" t="str">
        <f t="shared" si="65"/>
        <v>2023</v>
      </c>
      <c r="F1048" t="s">
        <v>4</v>
      </c>
      <c r="G1048" t="s">
        <v>240</v>
      </c>
      <c r="H1048" t="s">
        <v>1185</v>
      </c>
      <c r="I1048">
        <v>100</v>
      </c>
      <c r="J1048">
        <v>30</v>
      </c>
      <c r="K1048">
        <f t="shared" si="66"/>
        <v>30</v>
      </c>
      <c r="L1048" t="s">
        <v>1740</v>
      </c>
      <c r="M1048" t="s">
        <v>3877</v>
      </c>
      <c r="N1048" t="s">
        <v>1</v>
      </c>
      <c r="O1048">
        <v>400006</v>
      </c>
      <c r="P1048" t="s">
        <v>546</v>
      </c>
      <c r="Q1048" t="s">
        <v>1763</v>
      </c>
      <c r="S1048">
        <v>1363.96</v>
      </c>
      <c r="T1048">
        <v>5</v>
      </c>
      <c r="U1048">
        <v>0.2</v>
      </c>
      <c r="V1048">
        <v>85.247500000000002</v>
      </c>
      <c r="W1048">
        <f t="shared" si="67"/>
        <v>255.74250000000001</v>
      </c>
      <c r="X1048">
        <v>4</v>
      </c>
    </row>
    <row r="1049" spans="1:24" x14ac:dyDescent="0.3">
      <c r="A1049">
        <v>1048</v>
      </c>
      <c r="B1049" t="s">
        <v>2815</v>
      </c>
      <c r="C1049" s="6">
        <v>45244</v>
      </c>
      <c r="D1049" t="str">
        <f t="shared" si="64"/>
        <v>Nov</v>
      </c>
      <c r="E1049" t="str">
        <f t="shared" si="65"/>
        <v>2023</v>
      </c>
      <c r="F1049" t="s">
        <v>4</v>
      </c>
      <c r="G1049" t="s">
        <v>240</v>
      </c>
      <c r="H1049" t="s">
        <v>648</v>
      </c>
      <c r="I1049">
        <v>110</v>
      </c>
      <c r="J1049">
        <v>6</v>
      </c>
      <c r="K1049">
        <f t="shared" si="66"/>
        <v>5.4545454545454541</v>
      </c>
      <c r="L1049" t="s">
        <v>1742</v>
      </c>
      <c r="M1049" t="s">
        <v>3696</v>
      </c>
      <c r="N1049" t="s">
        <v>1</v>
      </c>
      <c r="O1049">
        <v>143521</v>
      </c>
      <c r="P1049" t="s">
        <v>546</v>
      </c>
      <c r="Q1049" t="s">
        <v>1772</v>
      </c>
      <c r="S1049">
        <v>102.36</v>
      </c>
      <c r="T1049">
        <v>3</v>
      </c>
      <c r="U1049">
        <v>0.2</v>
      </c>
      <c r="V1049">
        <v>-3.8384999999999998</v>
      </c>
      <c r="W1049">
        <f t="shared" si="67"/>
        <v>35.399499999999996</v>
      </c>
      <c r="X1049">
        <v>1</v>
      </c>
    </row>
    <row r="1050" spans="1:24" x14ac:dyDescent="0.3">
      <c r="A1050">
        <v>1049</v>
      </c>
      <c r="B1050" t="s">
        <v>2816</v>
      </c>
      <c r="C1050" s="6">
        <v>45245</v>
      </c>
      <c r="D1050" t="str">
        <f t="shared" si="64"/>
        <v>Nov</v>
      </c>
      <c r="E1050" t="str">
        <f t="shared" si="65"/>
        <v>2023</v>
      </c>
      <c r="F1050" t="s">
        <v>3</v>
      </c>
      <c r="G1050" t="s">
        <v>69</v>
      </c>
      <c r="H1050" t="s">
        <v>586</v>
      </c>
      <c r="I1050">
        <v>240</v>
      </c>
      <c r="J1050">
        <v>8</v>
      </c>
      <c r="K1050">
        <f t="shared" si="66"/>
        <v>3.3333333333333335</v>
      </c>
      <c r="L1050" t="s">
        <v>1739</v>
      </c>
      <c r="M1050" t="s">
        <v>3878</v>
      </c>
      <c r="N1050" t="s">
        <v>1</v>
      </c>
      <c r="O1050">
        <v>422013</v>
      </c>
      <c r="P1050" t="s">
        <v>546</v>
      </c>
      <c r="Q1050" t="s">
        <v>1763</v>
      </c>
      <c r="S1050">
        <v>1113.5039999999999</v>
      </c>
      <c r="T1050">
        <v>12</v>
      </c>
      <c r="U1050">
        <v>0.2</v>
      </c>
      <c r="V1050">
        <v>125.2692</v>
      </c>
      <c r="W1050">
        <f t="shared" si="67"/>
        <v>82.352899999999991</v>
      </c>
      <c r="X1050">
        <v>1</v>
      </c>
    </row>
    <row r="1051" spans="1:24" x14ac:dyDescent="0.3">
      <c r="A1051">
        <v>1050</v>
      </c>
      <c r="B1051" t="s">
        <v>2817</v>
      </c>
      <c r="C1051" s="6">
        <v>45246</v>
      </c>
      <c r="D1051" t="str">
        <f t="shared" si="64"/>
        <v>Nov</v>
      </c>
      <c r="E1051" t="str">
        <f t="shared" si="65"/>
        <v>2023</v>
      </c>
      <c r="F1051" t="s">
        <v>3</v>
      </c>
      <c r="G1051" t="s">
        <v>69</v>
      </c>
      <c r="H1051" t="s">
        <v>1137</v>
      </c>
      <c r="I1051">
        <v>200</v>
      </c>
      <c r="J1051">
        <v>12</v>
      </c>
      <c r="K1051">
        <f t="shared" si="66"/>
        <v>6</v>
      </c>
      <c r="L1051" t="s">
        <v>1738</v>
      </c>
      <c r="M1051" t="s">
        <v>3814</v>
      </c>
      <c r="N1051" t="s">
        <v>1</v>
      </c>
      <c r="O1051">
        <v>247667</v>
      </c>
      <c r="P1051" t="s">
        <v>546</v>
      </c>
      <c r="Q1051" t="s">
        <v>1760</v>
      </c>
      <c r="S1051">
        <v>99.99</v>
      </c>
      <c r="T1051">
        <v>1</v>
      </c>
      <c r="U1051">
        <v>0.1</v>
      </c>
      <c r="V1051">
        <v>37.996200000000002</v>
      </c>
      <c r="W1051">
        <f t="shared" si="67"/>
        <v>61.993799999999993</v>
      </c>
      <c r="X1051">
        <v>3</v>
      </c>
    </row>
    <row r="1052" spans="1:24" x14ac:dyDescent="0.3">
      <c r="A1052">
        <v>1051</v>
      </c>
      <c r="B1052" t="s">
        <v>2818</v>
      </c>
      <c r="C1052" s="6">
        <v>45247</v>
      </c>
      <c r="D1052" t="str">
        <f t="shared" si="64"/>
        <v>Nov</v>
      </c>
      <c r="E1052" t="str">
        <f t="shared" si="65"/>
        <v>2023</v>
      </c>
      <c r="F1052" t="s">
        <v>5</v>
      </c>
      <c r="G1052" t="s">
        <v>382</v>
      </c>
      <c r="H1052" t="s">
        <v>1340</v>
      </c>
      <c r="I1052">
        <v>150</v>
      </c>
      <c r="J1052">
        <v>22</v>
      </c>
      <c r="K1052">
        <f t="shared" si="66"/>
        <v>14.666666666666666</v>
      </c>
      <c r="L1052" t="s">
        <v>1743</v>
      </c>
      <c r="M1052" t="s">
        <v>3879</v>
      </c>
      <c r="N1052" t="s">
        <v>1</v>
      </c>
      <c r="O1052">
        <v>534250</v>
      </c>
      <c r="P1052" t="s">
        <v>546</v>
      </c>
      <c r="Q1052" t="s">
        <v>1761</v>
      </c>
      <c r="R1052" t="s">
        <v>2</v>
      </c>
      <c r="S1052">
        <v>168.464</v>
      </c>
      <c r="T1052">
        <v>2</v>
      </c>
      <c r="U1052">
        <v>0.2</v>
      </c>
      <c r="V1052">
        <v>-29.481200000000001</v>
      </c>
      <c r="W1052">
        <f t="shared" si="67"/>
        <v>98.9726</v>
      </c>
      <c r="X1052">
        <v>1</v>
      </c>
    </row>
    <row r="1053" spans="1:24" x14ac:dyDescent="0.3">
      <c r="A1053">
        <v>1052</v>
      </c>
      <c r="B1053" t="s">
        <v>2819</v>
      </c>
      <c r="C1053" s="6">
        <v>45248</v>
      </c>
      <c r="D1053" t="str">
        <f t="shared" si="64"/>
        <v>Nov</v>
      </c>
      <c r="E1053" t="str">
        <f t="shared" si="65"/>
        <v>2023</v>
      </c>
      <c r="F1053" t="s">
        <v>5</v>
      </c>
      <c r="G1053" t="s">
        <v>382</v>
      </c>
      <c r="H1053" t="s">
        <v>1341</v>
      </c>
      <c r="I1053">
        <v>230</v>
      </c>
      <c r="J1053">
        <v>20</v>
      </c>
      <c r="K1053">
        <f t="shared" si="66"/>
        <v>8.695652173913043</v>
      </c>
      <c r="L1053" t="s">
        <v>1737</v>
      </c>
      <c r="M1053" t="s">
        <v>3813</v>
      </c>
      <c r="N1053" t="s">
        <v>1</v>
      </c>
      <c r="O1053">
        <v>629203</v>
      </c>
      <c r="P1053" t="s">
        <v>546</v>
      </c>
      <c r="Q1053" t="s">
        <v>1770</v>
      </c>
      <c r="S1053">
        <v>6.72</v>
      </c>
      <c r="T1053">
        <v>2</v>
      </c>
      <c r="U1053">
        <v>0.2</v>
      </c>
      <c r="V1053">
        <v>2.4359999999999999</v>
      </c>
      <c r="W1053">
        <f t="shared" si="67"/>
        <v>2.1419999999999999</v>
      </c>
      <c r="X1053">
        <v>4</v>
      </c>
    </row>
    <row r="1054" spans="1:24" x14ac:dyDescent="0.3">
      <c r="A1054">
        <v>1053</v>
      </c>
      <c r="B1054" t="s">
        <v>2820</v>
      </c>
      <c r="C1054" s="6">
        <v>45249</v>
      </c>
      <c r="D1054" t="str">
        <f t="shared" si="64"/>
        <v>Nov</v>
      </c>
      <c r="E1054" t="str">
        <f t="shared" si="65"/>
        <v>2023</v>
      </c>
      <c r="F1054" t="s">
        <v>5</v>
      </c>
      <c r="G1054" t="s">
        <v>382</v>
      </c>
      <c r="H1054" t="s">
        <v>1342</v>
      </c>
      <c r="I1054">
        <v>190</v>
      </c>
      <c r="J1054">
        <v>14</v>
      </c>
      <c r="K1054">
        <f t="shared" si="66"/>
        <v>7.3684210526315779</v>
      </c>
      <c r="L1054" t="s">
        <v>1741</v>
      </c>
      <c r="M1054" t="s">
        <v>3761</v>
      </c>
      <c r="N1054" t="s">
        <v>1</v>
      </c>
      <c r="O1054">
        <v>411057</v>
      </c>
      <c r="P1054" t="s">
        <v>546</v>
      </c>
      <c r="Q1054" t="s">
        <v>1765</v>
      </c>
      <c r="S1054">
        <v>282.88799999999998</v>
      </c>
      <c r="T1054">
        <v>9</v>
      </c>
      <c r="U1054">
        <v>0.2</v>
      </c>
      <c r="V1054">
        <v>56.577599999999997</v>
      </c>
      <c r="W1054">
        <f t="shared" si="67"/>
        <v>25.145599999999998</v>
      </c>
      <c r="X1054">
        <v>2</v>
      </c>
    </row>
    <row r="1055" spans="1:24" x14ac:dyDescent="0.3">
      <c r="A1055">
        <v>1054</v>
      </c>
      <c r="B1055" t="s">
        <v>2821</v>
      </c>
      <c r="C1055" s="6">
        <v>45250</v>
      </c>
      <c r="D1055" t="str">
        <f t="shared" si="64"/>
        <v>Nov</v>
      </c>
      <c r="E1055" t="str">
        <f t="shared" si="65"/>
        <v>2023</v>
      </c>
      <c r="F1055" t="s">
        <v>4</v>
      </c>
      <c r="G1055" t="s">
        <v>383</v>
      </c>
      <c r="H1055" t="s">
        <v>1343</v>
      </c>
      <c r="I1055">
        <v>110</v>
      </c>
      <c r="J1055">
        <v>30</v>
      </c>
      <c r="K1055">
        <f t="shared" si="66"/>
        <v>27.27272727272727</v>
      </c>
      <c r="L1055" t="s">
        <v>1736</v>
      </c>
      <c r="M1055" t="s">
        <v>3644</v>
      </c>
      <c r="N1055" t="s">
        <v>1</v>
      </c>
      <c r="O1055">
        <v>500004</v>
      </c>
      <c r="P1055" t="s">
        <v>546</v>
      </c>
      <c r="Q1055" t="s">
        <v>1759</v>
      </c>
      <c r="S1055">
        <v>11.16</v>
      </c>
      <c r="T1055">
        <v>2</v>
      </c>
      <c r="U1055">
        <v>0.1</v>
      </c>
      <c r="V1055">
        <v>4.3524000000000003</v>
      </c>
      <c r="W1055">
        <f t="shared" si="67"/>
        <v>3.4037999999999999</v>
      </c>
      <c r="X1055">
        <v>5</v>
      </c>
    </row>
    <row r="1056" spans="1:24" x14ac:dyDescent="0.3">
      <c r="A1056">
        <v>1055</v>
      </c>
      <c r="B1056" t="s">
        <v>2822</v>
      </c>
      <c r="C1056" s="6">
        <v>45251</v>
      </c>
      <c r="D1056" t="str">
        <f t="shared" si="64"/>
        <v>Nov</v>
      </c>
      <c r="E1056" t="str">
        <f t="shared" si="65"/>
        <v>2023</v>
      </c>
      <c r="F1056" t="s">
        <v>4</v>
      </c>
      <c r="G1056" t="s">
        <v>383</v>
      </c>
      <c r="H1056" t="s">
        <v>1344</v>
      </c>
      <c r="I1056">
        <v>240</v>
      </c>
      <c r="J1056">
        <v>10</v>
      </c>
      <c r="K1056">
        <f t="shared" si="66"/>
        <v>4.1666666666666661</v>
      </c>
      <c r="L1056" t="s">
        <v>1744</v>
      </c>
      <c r="M1056" t="s">
        <v>3585</v>
      </c>
      <c r="O1056">
        <v>721137</v>
      </c>
      <c r="P1056" t="s">
        <v>546</v>
      </c>
      <c r="Q1056" t="s">
        <v>1761</v>
      </c>
      <c r="S1056">
        <v>108.4</v>
      </c>
      <c r="T1056">
        <v>2</v>
      </c>
      <c r="U1056">
        <v>0.1</v>
      </c>
      <c r="V1056">
        <v>22.763999999999999</v>
      </c>
      <c r="W1056">
        <f t="shared" si="67"/>
        <v>42.818000000000005</v>
      </c>
      <c r="X1056">
        <v>4</v>
      </c>
    </row>
    <row r="1057" spans="1:24" x14ac:dyDescent="0.3">
      <c r="A1057">
        <v>1056</v>
      </c>
      <c r="B1057" t="s">
        <v>2823</v>
      </c>
      <c r="C1057" s="6">
        <v>45252</v>
      </c>
      <c r="D1057" t="str">
        <f t="shared" si="64"/>
        <v>Nov</v>
      </c>
      <c r="E1057" t="str">
        <f t="shared" si="65"/>
        <v>2023</v>
      </c>
      <c r="F1057" t="s">
        <v>4</v>
      </c>
      <c r="G1057" t="s">
        <v>383</v>
      </c>
      <c r="H1057" t="s">
        <v>688</v>
      </c>
      <c r="I1057">
        <v>120</v>
      </c>
      <c r="J1057">
        <v>22</v>
      </c>
      <c r="K1057">
        <f t="shared" si="66"/>
        <v>18.333333333333332</v>
      </c>
      <c r="L1057" t="s">
        <v>1740</v>
      </c>
      <c r="M1057" t="s">
        <v>3811</v>
      </c>
      <c r="N1057" t="s">
        <v>1</v>
      </c>
      <c r="O1057">
        <v>831012</v>
      </c>
      <c r="P1057" t="s">
        <v>546</v>
      </c>
      <c r="Q1057" t="s">
        <v>1767</v>
      </c>
      <c r="R1057" t="s">
        <v>2</v>
      </c>
      <c r="S1057">
        <v>82.343999999999994</v>
      </c>
      <c r="T1057">
        <v>3</v>
      </c>
      <c r="U1057">
        <v>0.2</v>
      </c>
      <c r="V1057">
        <v>27.7911</v>
      </c>
      <c r="W1057">
        <f t="shared" si="67"/>
        <v>18.184299999999997</v>
      </c>
      <c r="X1057">
        <v>4</v>
      </c>
    </row>
    <row r="1058" spans="1:24" x14ac:dyDescent="0.3">
      <c r="A1058">
        <v>1057</v>
      </c>
      <c r="B1058" t="s">
        <v>2824</v>
      </c>
      <c r="C1058" s="6">
        <v>45253</v>
      </c>
      <c r="D1058" t="str">
        <f t="shared" si="64"/>
        <v>Nov</v>
      </c>
      <c r="E1058" t="str">
        <f t="shared" si="65"/>
        <v>2023</v>
      </c>
      <c r="F1058" t="s">
        <v>4</v>
      </c>
      <c r="G1058" t="s">
        <v>383</v>
      </c>
      <c r="H1058" t="s">
        <v>1345</v>
      </c>
      <c r="I1058">
        <v>250</v>
      </c>
      <c r="J1058">
        <v>26</v>
      </c>
      <c r="K1058">
        <f t="shared" si="66"/>
        <v>10.4</v>
      </c>
      <c r="L1058" t="s">
        <v>1742</v>
      </c>
      <c r="M1058" t="s">
        <v>3816</v>
      </c>
      <c r="N1058" t="s">
        <v>1</v>
      </c>
      <c r="O1058">
        <v>410206</v>
      </c>
      <c r="P1058" t="s">
        <v>546</v>
      </c>
      <c r="Q1058" t="s">
        <v>1775</v>
      </c>
      <c r="R1058" t="s">
        <v>2</v>
      </c>
      <c r="S1058">
        <v>9.0879999999999992</v>
      </c>
      <c r="T1058">
        <v>4</v>
      </c>
      <c r="U1058">
        <v>0.2</v>
      </c>
      <c r="V1058">
        <v>3.2944</v>
      </c>
      <c r="W1058">
        <f t="shared" si="67"/>
        <v>1.4483999999999999</v>
      </c>
      <c r="X1058">
        <v>5</v>
      </c>
    </row>
    <row r="1059" spans="1:24" x14ac:dyDescent="0.3">
      <c r="A1059">
        <v>1058</v>
      </c>
      <c r="B1059" t="s">
        <v>2825</v>
      </c>
      <c r="C1059" s="6">
        <v>45254</v>
      </c>
      <c r="D1059" t="str">
        <f t="shared" si="64"/>
        <v>Nov</v>
      </c>
      <c r="E1059" t="str">
        <f t="shared" si="65"/>
        <v>2023</v>
      </c>
      <c r="F1059" t="s">
        <v>4</v>
      </c>
      <c r="G1059" t="s">
        <v>137</v>
      </c>
      <c r="H1059" t="s">
        <v>1346</v>
      </c>
      <c r="I1059">
        <v>250</v>
      </c>
      <c r="J1059">
        <v>18</v>
      </c>
      <c r="K1059">
        <f t="shared" si="66"/>
        <v>7.1999999999999993</v>
      </c>
      <c r="L1059" t="s">
        <v>1739</v>
      </c>
      <c r="M1059" t="s">
        <v>3657</v>
      </c>
      <c r="N1059" t="s">
        <v>1</v>
      </c>
      <c r="O1059">
        <v>602001</v>
      </c>
      <c r="P1059" t="s">
        <v>546</v>
      </c>
      <c r="Q1059" t="s">
        <v>1772</v>
      </c>
      <c r="S1059">
        <v>19.936</v>
      </c>
      <c r="T1059">
        <v>4</v>
      </c>
      <c r="U1059">
        <v>0.2</v>
      </c>
      <c r="V1059">
        <v>7.2267999999999999</v>
      </c>
      <c r="W1059">
        <f t="shared" si="67"/>
        <v>3.1772999999999998</v>
      </c>
      <c r="X1059">
        <v>3</v>
      </c>
    </row>
    <row r="1060" spans="1:24" x14ac:dyDescent="0.3">
      <c r="A1060">
        <v>1059</v>
      </c>
      <c r="B1060" t="s">
        <v>2826</v>
      </c>
      <c r="C1060" s="6">
        <v>45255</v>
      </c>
      <c r="D1060" t="str">
        <f t="shared" si="64"/>
        <v>Nov</v>
      </c>
      <c r="E1060" t="str">
        <f t="shared" si="65"/>
        <v>2023</v>
      </c>
      <c r="F1060" t="s">
        <v>4</v>
      </c>
      <c r="G1060" t="s">
        <v>137</v>
      </c>
      <c r="H1060" t="s">
        <v>1347</v>
      </c>
      <c r="I1060">
        <v>110</v>
      </c>
      <c r="J1060">
        <v>16</v>
      </c>
      <c r="K1060">
        <f t="shared" si="66"/>
        <v>14.545454545454545</v>
      </c>
      <c r="L1060" t="s">
        <v>1738</v>
      </c>
      <c r="M1060" t="s">
        <v>3817</v>
      </c>
      <c r="N1060" t="s">
        <v>1</v>
      </c>
      <c r="O1060">
        <v>602001</v>
      </c>
      <c r="P1060" t="s">
        <v>546</v>
      </c>
      <c r="Q1060" t="s">
        <v>1773</v>
      </c>
      <c r="S1060">
        <v>65.567999999999998</v>
      </c>
      <c r="T1060">
        <v>2</v>
      </c>
      <c r="U1060">
        <v>0.2</v>
      </c>
      <c r="V1060">
        <v>22.948799999999999</v>
      </c>
      <c r="W1060">
        <f t="shared" si="67"/>
        <v>21.3096</v>
      </c>
      <c r="X1060">
        <v>4</v>
      </c>
    </row>
    <row r="1061" spans="1:24" x14ac:dyDescent="0.3">
      <c r="A1061">
        <v>1060</v>
      </c>
      <c r="B1061" t="s">
        <v>2827</v>
      </c>
      <c r="C1061" s="6">
        <v>45256</v>
      </c>
      <c r="D1061" t="str">
        <f t="shared" si="64"/>
        <v>Nov</v>
      </c>
      <c r="E1061" t="str">
        <f t="shared" si="65"/>
        <v>2023</v>
      </c>
      <c r="F1061" t="s">
        <v>4</v>
      </c>
      <c r="G1061" t="s">
        <v>384</v>
      </c>
      <c r="H1061" t="s">
        <v>1348</v>
      </c>
      <c r="I1061">
        <v>230</v>
      </c>
      <c r="J1061">
        <v>16</v>
      </c>
      <c r="K1061">
        <f t="shared" si="66"/>
        <v>6.9565217391304346</v>
      </c>
      <c r="L1061" t="s">
        <v>1737</v>
      </c>
      <c r="M1061" t="s">
        <v>3818</v>
      </c>
      <c r="N1061" t="s">
        <v>1</v>
      </c>
      <c r="O1061">
        <v>573201</v>
      </c>
      <c r="P1061" t="s">
        <v>546</v>
      </c>
      <c r="Q1061" t="s">
        <v>1774</v>
      </c>
      <c r="R1061" t="s">
        <v>2</v>
      </c>
      <c r="S1061">
        <v>4.4160000000000004</v>
      </c>
      <c r="T1061">
        <v>3</v>
      </c>
      <c r="U1061">
        <v>0.2</v>
      </c>
      <c r="V1061">
        <v>1.6008</v>
      </c>
      <c r="W1061">
        <f t="shared" si="67"/>
        <v>0.93840000000000012</v>
      </c>
      <c r="X1061">
        <v>1</v>
      </c>
    </row>
    <row r="1062" spans="1:24" x14ac:dyDescent="0.3">
      <c r="A1062">
        <v>1061</v>
      </c>
      <c r="B1062" t="s">
        <v>2828</v>
      </c>
      <c r="C1062" s="6">
        <v>45257</v>
      </c>
      <c r="D1062" t="str">
        <f t="shared" si="64"/>
        <v>Nov</v>
      </c>
      <c r="E1062" t="str">
        <f t="shared" si="65"/>
        <v>2023</v>
      </c>
      <c r="F1062" t="s">
        <v>4</v>
      </c>
      <c r="G1062" t="s">
        <v>155</v>
      </c>
      <c r="H1062" t="s">
        <v>936</v>
      </c>
      <c r="I1062">
        <v>150</v>
      </c>
      <c r="J1062">
        <v>8</v>
      </c>
      <c r="K1062">
        <f t="shared" si="66"/>
        <v>5.3333333333333339</v>
      </c>
      <c r="L1062" t="s">
        <v>1743</v>
      </c>
      <c r="M1062" t="s">
        <v>3819</v>
      </c>
      <c r="N1062" t="s">
        <v>1</v>
      </c>
      <c r="O1062">
        <v>400081</v>
      </c>
      <c r="P1062" t="s">
        <v>546</v>
      </c>
      <c r="Q1062" t="s">
        <v>1766</v>
      </c>
      <c r="R1062" t="s">
        <v>2</v>
      </c>
      <c r="S1062">
        <v>107.77200000000001</v>
      </c>
      <c r="T1062">
        <v>2</v>
      </c>
      <c r="U1062">
        <v>0.3</v>
      </c>
      <c r="V1062">
        <v>-29.252400000000002</v>
      </c>
      <c r="W1062">
        <f t="shared" si="67"/>
        <v>68.512200000000007</v>
      </c>
      <c r="X1062">
        <v>5</v>
      </c>
    </row>
    <row r="1063" spans="1:24" x14ac:dyDescent="0.3">
      <c r="A1063">
        <v>1062</v>
      </c>
      <c r="B1063" t="s">
        <v>2829</v>
      </c>
      <c r="C1063" s="6">
        <v>45258</v>
      </c>
      <c r="D1063" t="str">
        <f t="shared" si="64"/>
        <v>Nov</v>
      </c>
      <c r="E1063" t="str">
        <f t="shared" si="65"/>
        <v>2023</v>
      </c>
      <c r="F1063" t="s">
        <v>4</v>
      </c>
      <c r="G1063" t="s">
        <v>385</v>
      </c>
      <c r="H1063" t="s">
        <v>1098</v>
      </c>
      <c r="I1063">
        <v>170</v>
      </c>
      <c r="J1063">
        <v>20</v>
      </c>
      <c r="K1063">
        <f t="shared" si="66"/>
        <v>11.76470588235294</v>
      </c>
      <c r="L1063" t="s">
        <v>1738</v>
      </c>
      <c r="M1063" t="s">
        <v>3662</v>
      </c>
      <c r="N1063" t="s">
        <v>1</v>
      </c>
      <c r="O1063">
        <v>400081</v>
      </c>
      <c r="P1063" t="s">
        <v>546</v>
      </c>
      <c r="Q1063" t="s">
        <v>1761</v>
      </c>
      <c r="S1063">
        <v>45.216000000000001</v>
      </c>
      <c r="T1063">
        <v>3</v>
      </c>
      <c r="U1063">
        <v>0.2</v>
      </c>
      <c r="V1063">
        <v>4.5216000000000003</v>
      </c>
      <c r="W1063">
        <f t="shared" si="67"/>
        <v>13.5648</v>
      </c>
      <c r="X1063">
        <v>1</v>
      </c>
    </row>
    <row r="1064" spans="1:24" x14ac:dyDescent="0.3">
      <c r="A1064">
        <v>1063</v>
      </c>
      <c r="B1064" t="s">
        <v>2401</v>
      </c>
      <c r="C1064" s="6">
        <v>45259</v>
      </c>
      <c r="D1064" t="str">
        <f t="shared" si="64"/>
        <v>Nov</v>
      </c>
      <c r="E1064" t="str">
        <f t="shared" si="65"/>
        <v>2023</v>
      </c>
      <c r="F1064" t="s">
        <v>4</v>
      </c>
      <c r="G1064" t="s">
        <v>385</v>
      </c>
      <c r="H1064" t="s">
        <v>1349</v>
      </c>
      <c r="I1064">
        <v>130</v>
      </c>
      <c r="J1064">
        <v>28</v>
      </c>
      <c r="K1064">
        <f t="shared" si="66"/>
        <v>21.53846153846154</v>
      </c>
      <c r="L1064" t="s">
        <v>1739</v>
      </c>
      <c r="M1064" t="s">
        <v>3617</v>
      </c>
      <c r="N1064" t="s">
        <v>1</v>
      </c>
      <c r="O1064">
        <v>400081</v>
      </c>
      <c r="P1064" t="s">
        <v>546</v>
      </c>
      <c r="Q1064" t="s">
        <v>1758</v>
      </c>
      <c r="S1064">
        <v>10.416</v>
      </c>
      <c r="T1064">
        <v>7</v>
      </c>
      <c r="U1064">
        <v>0.2</v>
      </c>
      <c r="V1064">
        <v>-2.2134</v>
      </c>
      <c r="W1064">
        <f t="shared" si="67"/>
        <v>1.8042</v>
      </c>
      <c r="X1064">
        <v>4</v>
      </c>
    </row>
    <row r="1065" spans="1:24" x14ac:dyDescent="0.3">
      <c r="A1065">
        <v>1064</v>
      </c>
      <c r="B1065" t="s">
        <v>2830</v>
      </c>
      <c r="C1065" s="6">
        <v>45260</v>
      </c>
      <c r="D1065" t="str">
        <f t="shared" si="64"/>
        <v>Nov</v>
      </c>
      <c r="E1065" t="str">
        <f t="shared" si="65"/>
        <v>2023</v>
      </c>
      <c r="F1065" t="s">
        <v>4</v>
      </c>
      <c r="G1065" t="s">
        <v>385</v>
      </c>
      <c r="H1065" t="s">
        <v>893</v>
      </c>
      <c r="I1065">
        <v>240</v>
      </c>
      <c r="J1065">
        <v>22</v>
      </c>
      <c r="K1065">
        <f t="shared" si="66"/>
        <v>9.1666666666666661</v>
      </c>
      <c r="L1065" t="s">
        <v>1741</v>
      </c>
      <c r="M1065" t="s">
        <v>3820</v>
      </c>
      <c r="N1065" t="s">
        <v>1</v>
      </c>
      <c r="O1065">
        <v>400081</v>
      </c>
      <c r="P1065" t="s">
        <v>546</v>
      </c>
      <c r="Q1065" t="s">
        <v>1768</v>
      </c>
      <c r="S1065">
        <v>7.8719999999999999</v>
      </c>
      <c r="T1065">
        <v>3</v>
      </c>
      <c r="U1065">
        <v>0.2</v>
      </c>
      <c r="V1065">
        <v>1.2791999999999999</v>
      </c>
      <c r="W1065">
        <f t="shared" si="67"/>
        <v>2.1976</v>
      </c>
      <c r="X1065">
        <v>5</v>
      </c>
    </row>
    <row r="1066" spans="1:24" x14ac:dyDescent="0.3">
      <c r="A1066">
        <v>1065</v>
      </c>
      <c r="B1066" t="s">
        <v>2831</v>
      </c>
      <c r="C1066" s="6">
        <v>45261</v>
      </c>
      <c r="D1066" t="str">
        <f t="shared" si="64"/>
        <v>Dec</v>
      </c>
      <c r="E1066" t="str">
        <f t="shared" si="65"/>
        <v>2023</v>
      </c>
      <c r="F1066" t="s">
        <v>4</v>
      </c>
      <c r="G1066" t="s">
        <v>385</v>
      </c>
      <c r="H1066" t="s">
        <v>1350</v>
      </c>
      <c r="I1066">
        <v>220</v>
      </c>
      <c r="J1066">
        <v>6</v>
      </c>
      <c r="K1066">
        <f t="shared" si="66"/>
        <v>2.7272727272727271</v>
      </c>
      <c r="L1066" t="s">
        <v>1736</v>
      </c>
      <c r="M1066" t="s">
        <v>3821</v>
      </c>
      <c r="N1066" t="s">
        <v>1</v>
      </c>
      <c r="O1066">
        <v>500061</v>
      </c>
      <c r="P1066" t="s">
        <v>546</v>
      </c>
      <c r="Q1066" t="s">
        <v>1774</v>
      </c>
      <c r="R1066" t="s">
        <v>2</v>
      </c>
      <c r="S1066">
        <v>118.782</v>
      </c>
      <c r="T1066">
        <v>3</v>
      </c>
      <c r="U1066">
        <v>0.4</v>
      </c>
      <c r="V1066">
        <v>-27.715800000000002</v>
      </c>
      <c r="W1066">
        <f t="shared" si="67"/>
        <v>48.832599999999992</v>
      </c>
      <c r="X1066">
        <v>5</v>
      </c>
    </row>
    <row r="1067" spans="1:24" x14ac:dyDescent="0.3">
      <c r="A1067">
        <v>1066</v>
      </c>
      <c r="B1067" t="s">
        <v>2832</v>
      </c>
      <c r="C1067" s="6">
        <v>45262</v>
      </c>
      <c r="D1067" t="str">
        <f t="shared" si="64"/>
        <v>Dec</v>
      </c>
      <c r="E1067" t="str">
        <f t="shared" si="65"/>
        <v>2023</v>
      </c>
      <c r="F1067" t="s">
        <v>4</v>
      </c>
      <c r="G1067" t="s">
        <v>385</v>
      </c>
      <c r="H1067" t="s">
        <v>1351</v>
      </c>
      <c r="I1067">
        <v>110</v>
      </c>
      <c r="J1067">
        <v>12</v>
      </c>
      <c r="K1067">
        <f t="shared" si="66"/>
        <v>10.909090909090908</v>
      </c>
      <c r="L1067" t="s">
        <v>1744</v>
      </c>
      <c r="M1067" t="s">
        <v>3822</v>
      </c>
      <c r="N1067" t="s">
        <v>1</v>
      </c>
      <c r="O1067">
        <v>160055</v>
      </c>
      <c r="P1067" t="s">
        <v>546</v>
      </c>
      <c r="Q1067" t="s">
        <v>1755</v>
      </c>
      <c r="S1067">
        <v>1.448</v>
      </c>
      <c r="T1067">
        <v>1</v>
      </c>
      <c r="U1067">
        <v>0.2</v>
      </c>
      <c r="V1067">
        <v>0.23530000000000001</v>
      </c>
      <c r="W1067">
        <f t="shared" si="67"/>
        <v>1.2126999999999999</v>
      </c>
      <c r="X1067">
        <v>5</v>
      </c>
    </row>
    <row r="1068" spans="1:24" x14ac:dyDescent="0.3">
      <c r="A1068">
        <v>1067</v>
      </c>
      <c r="B1068" t="s">
        <v>2833</v>
      </c>
      <c r="C1068" s="6">
        <v>45263</v>
      </c>
      <c r="D1068" t="str">
        <f t="shared" si="64"/>
        <v>Dec</v>
      </c>
      <c r="E1068" t="str">
        <f t="shared" si="65"/>
        <v>2023</v>
      </c>
      <c r="F1068" t="s">
        <v>4</v>
      </c>
      <c r="G1068" t="s">
        <v>385</v>
      </c>
      <c r="H1068" t="s">
        <v>1352</v>
      </c>
      <c r="I1068">
        <v>130</v>
      </c>
      <c r="J1068">
        <v>8</v>
      </c>
      <c r="K1068">
        <f t="shared" si="66"/>
        <v>6.1538461538461542</v>
      </c>
      <c r="L1068" t="s">
        <v>1740</v>
      </c>
      <c r="M1068" t="s">
        <v>3823</v>
      </c>
      <c r="N1068" t="s">
        <v>1</v>
      </c>
      <c r="O1068">
        <v>600051</v>
      </c>
      <c r="P1068" t="s">
        <v>546</v>
      </c>
      <c r="Q1068" t="s">
        <v>1761</v>
      </c>
      <c r="S1068">
        <v>55.47</v>
      </c>
      <c r="T1068">
        <v>5</v>
      </c>
      <c r="U1068">
        <v>0.7</v>
      </c>
      <c r="V1068">
        <v>-46.225000000000001</v>
      </c>
      <c r="W1068">
        <f t="shared" si="67"/>
        <v>20.338999999999999</v>
      </c>
      <c r="X1068">
        <v>4</v>
      </c>
    </row>
    <row r="1069" spans="1:24" x14ac:dyDescent="0.3">
      <c r="A1069">
        <v>1068</v>
      </c>
      <c r="B1069" t="s">
        <v>2834</v>
      </c>
      <c r="C1069" s="6">
        <v>45264</v>
      </c>
      <c r="D1069" t="str">
        <f t="shared" si="64"/>
        <v>Dec</v>
      </c>
      <c r="E1069" t="str">
        <f t="shared" si="65"/>
        <v>2023</v>
      </c>
      <c r="F1069" t="s">
        <v>5</v>
      </c>
      <c r="G1069" t="s">
        <v>386</v>
      </c>
      <c r="H1069" t="s">
        <v>611</v>
      </c>
      <c r="I1069">
        <v>210</v>
      </c>
      <c r="J1069">
        <v>16</v>
      </c>
      <c r="K1069">
        <f t="shared" si="66"/>
        <v>7.6190476190476195</v>
      </c>
      <c r="L1069" t="s">
        <v>1742</v>
      </c>
      <c r="M1069" t="s">
        <v>3687</v>
      </c>
      <c r="N1069" t="s">
        <v>1</v>
      </c>
      <c r="O1069">
        <v>403601</v>
      </c>
      <c r="P1069" t="s">
        <v>546</v>
      </c>
      <c r="Q1069" t="s">
        <v>1769</v>
      </c>
      <c r="S1069">
        <v>194.84800000000001</v>
      </c>
      <c r="T1069">
        <v>4</v>
      </c>
      <c r="U1069">
        <v>0.2</v>
      </c>
      <c r="V1069">
        <v>12.178000000000001</v>
      </c>
      <c r="W1069">
        <f t="shared" si="67"/>
        <v>45.667500000000004</v>
      </c>
      <c r="X1069">
        <v>4</v>
      </c>
    </row>
    <row r="1070" spans="1:24" x14ac:dyDescent="0.3">
      <c r="A1070">
        <v>1069</v>
      </c>
      <c r="B1070" t="s">
        <v>2835</v>
      </c>
      <c r="C1070" s="6">
        <v>45265</v>
      </c>
      <c r="D1070" t="str">
        <f t="shared" si="64"/>
        <v>Dec</v>
      </c>
      <c r="E1070" t="str">
        <f t="shared" si="65"/>
        <v>2023</v>
      </c>
      <c r="F1070" t="s">
        <v>3</v>
      </c>
      <c r="G1070" t="s">
        <v>387</v>
      </c>
      <c r="H1070" t="s">
        <v>1029</v>
      </c>
      <c r="I1070">
        <v>250</v>
      </c>
      <c r="J1070">
        <v>10</v>
      </c>
      <c r="K1070">
        <f t="shared" si="66"/>
        <v>4</v>
      </c>
      <c r="L1070" t="s">
        <v>1739</v>
      </c>
      <c r="M1070" t="s">
        <v>3608</v>
      </c>
      <c r="N1070" t="s">
        <v>1</v>
      </c>
      <c r="O1070">
        <v>400084</v>
      </c>
      <c r="P1070" t="s">
        <v>546</v>
      </c>
      <c r="Q1070" t="s">
        <v>1758</v>
      </c>
      <c r="S1070">
        <v>1.744</v>
      </c>
      <c r="T1070">
        <v>1</v>
      </c>
      <c r="U1070">
        <v>0.2</v>
      </c>
      <c r="V1070">
        <v>-0.3488</v>
      </c>
      <c r="W1070">
        <f t="shared" si="67"/>
        <v>2.0928</v>
      </c>
      <c r="X1070">
        <v>5</v>
      </c>
    </row>
    <row r="1071" spans="1:24" x14ac:dyDescent="0.3">
      <c r="A1071">
        <v>1070</v>
      </c>
      <c r="B1071" t="s">
        <v>2836</v>
      </c>
      <c r="C1071" s="6">
        <v>45266</v>
      </c>
      <c r="D1071" t="str">
        <f t="shared" si="64"/>
        <v>Dec</v>
      </c>
      <c r="E1071" t="str">
        <f t="shared" si="65"/>
        <v>2023</v>
      </c>
      <c r="F1071" t="s">
        <v>4</v>
      </c>
      <c r="G1071" t="s">
        <v>183</v>
      </c>
      <c r="H1071" t="s">
        <v>848</v>
      </c>
      <c r="I1071">
        <v>230</v>
      </c>
      <c r="J1071">
        <v>8</v>
      </c>
      <c r="K1071">
        <f t="shared" si="66"/>
        <v>3.4782608695652173</v>
      </c>
      <c r="L1071" t="s">
        <v>1738</v>
      </c>
      <c r="M1071" t="s">
        <v>3786</v>
      </c>
      <c r="N1071" t="s">
        <v>1</v>
      </c>
      <c r="O1071">
        <v>248140</v>
      </c>
      <c r="P1071" t="s">
        <v>546</v>
      </c>
      <c r="Q1071" t="s">
        <v>1769</v>
      </c>
      <c r="S1071">
        <v>25.175999999999998</v>
      </c>
      <c r="T1071">
        <v>4</v>
      </c>
      <c r="U1071">
        <v>0.7</v>
      </c>
      <c r="V1071">
        <v>-18.462399999999999</v>
      </c>
      <c r="W1071">
        <f t="shared" si="67"/>
        <v>10.909599999999999</v>
      </c>
      <c r="X1071">
        <v>3</v>
      </c>
    </row>
    <row r="1072" spans="1:24" x14ac:dyDescent="0.3">
      <c r="A1072">
        <v>1071</v>
      </c>
      <c r="B1072" t="s">
        <v>2837</v>
      </c>
      <c r="C1072" s="6">
        <v>45267</v>
      </c>
      <c r="D1072" t="str">
        <f t="shared" si="64"/>
        <v>Dec</v>
      </c>
      <c r="E1072" t="str">
        <f t="shared" si="65"/>
        <v>2023</v>
      </c>
      <c r="F1072" t="s">
        <v>4</v>
      </c>
      <c r="G1072" t="s">
        <v>388</v>
      </c>
      <c r="H1072" t="s">
        <v>871</v>
      </c>
      <c r="I1072">
        <v>100</v>
      </c>
      <c r="J1072">
        <v>18</v>
      </c>
      <c r="K1072">
        <f t="shared" si="66"/>
        <v>18</v>
      </c>
      <c r="L1072" t="s">
        <v>1743</v>
      </c>
      <c r="M1072" t="s">
        <v>3690</v>
      </c>
      <c r="N1072" t="s">
        <v>1</v>
      </c>
      <c r="O1072">
        <v>144007</v>
      </c>
      <c r="P1072" t="s">
        <v>546</v>
      </c>
      <c r="Q1072" t="s">
        <v>1754</v>
      </c>
      <c r="S1072">
        <v>19.46</v>
      </c>
      <c r="T1072">
        <v>7</v>
      </c>
      <c r="U1072">
        <v>0.1</v>
      </c>
      <c r="V1072">
        <v>5.0595999999999997</v>
      </c>
      <c r="W1072">
        <f t="shared" si="67"/>
        <v>2.0572000000000004</v>
      </c>
      <c r="X1072">
        <v>4</v>
      </c>
    </row>
    <row r="1073" spans="1:24" x14ac:dyDescent="0.3">
      <c r="A1073">
        <v>1072</v>
      </c>
      <c r="B1073" t="s">
        <v>2838</v>
      </c>
      <c r="C1073" s="6">
        <v>45268</v>
      </c>
      <c r="D1073" t="str">
        <f t="shared" si="64"/>
        <v>Dec</v>
      </c>
      <c r="E1073" t="str">
        <f t="shared" si="65"/>
        <v>2023</v>
      </c>
      <c r="F1073" t="s">
        <v>4</v>
      </c>
      <c r="G1073" t="s">
        <v>389</v>
      </c>
      <c r="H1073" t="s">
        <v>861</v>
      </c>
      <c r="I1073">
        <v>230</v>
      </c>
      <c r="J1073">
        <v>16</v>
      </c>
      <c r="K1073">
        <f t="shared" si="66"/>
        <v>6.9565217391304346</v>
      </c>
      <c r="L1073" t="s">
        <v>1737</v>
      </c>
      <c r="M1073" t="s">
        <v>3824</v>
      </c>
      <c r="N1073" t="s">
        <v>1</v>
      </c>
      <c r="O1073">
        <v>600006</v>
      </c>
      <c r="P1073" t="s">
        <v>546</v>
      </c>
      <c r="Q1073" t="s">
        <v>1756</v>
      </c>
      <c r="S1073">
        <v>29.472000000000001</v>
      </c>
      <c r="T1073">
        <v>3</v>
      </c>
      <c r="U1073">
        <v>0.2</v>
      </c>
      <c r="V1073">
        <v>9.9467999999999996</v>
      </c>
      <c r="W1073">
        <f t="shared" si="67"/>
        <v>6.5084000000000009</v>
      </c>
      <c r="X1073">
        <v>5</v>
      </c>
    </row>
    <row r="1074" spans="1:24" x14ac:dyDescent="0.3">
      <c r="A1074">
        <v>1073</v>
      </c>
      <c r="B1074" t="s">
        <v>2839</v>
      </c>
      <c r="C1074" s="6">
        <v>45269</v>
      </c>
      <c r="D1074" t="str">
        <f t="shared" si="64"/>
        <v>Dec</v>
      </c>
      <c r="E1074" t="str">
        <f t="shared" si="65"/>
        <v>2023</v>
      </c>
      <c r="F1074" t="s">
        <v>4</v>
      </c>
      <c r="G1074" t="s">
        <v>390</v>
      </c>
      <c r="H1074" t="s">
        <v>1353</v>
      </c>
      <c r="I1074">
        <v>160</v>
      </c>
      <c r="J1074">
        <v>16</v>
      </c>
      <c r="K1074">
        <f t="shared" si="66"/>
        <v>10</v>
      </c>
      <c r="L1074" t="s">
        <v>1741</v>
      </c>
      <c r="M1074" t="s">
        <v>3825</v>
      </c>
      <c r="N1074" t="s">
        <v>1</v>
      </c>
      <c r="O1074">
        <v>211008</v>
      </c>
      <c r="P1074" t="s">
        <v>546</v>
      </c>
      <c r="Q1074" t="s">
        <v>1768</v>
      </c>
      <c r="S1074">
        <v>8.64</v>
      </c>
      <c r="T1074">
        <v>2</v>
      </c>
      <c r="U1074">
        <v>0.2</v>
      </c>
      <c r="V1074">
        <v>3.024</v>
      </c>
      <c r="W1074">
        <f t="shared" si="67"/>
        <v>2.8080000000000003</v>
      </c>
      <c r="X1074">
        <v>1</v>
      </c>
    </row>
    <row r="1075" spans="1:24" x14ac:dyDescent="0.3">
      <c r="A1075">
        <v>1074</v>
      </c>
      <c r="B1075" t="s">
        <v>2840</v>
      </c>
      <c r="C1075" s="6">
        <v>45270</v>
      </c>
      <c r="D1075" t="str">
        <f t="shared" si="64"/>
        <v>Dec</v>
      </c>
      <c r="E1075" t="str">
        <f t="shared" si="65"/>
        <v>2023</v>
      </c>
      <c r="F1075" t="s">
        <v>4</v>
      </c>
      <c r="G1075" t="s">
        <v>391</v>
      </c>
      <c r="H1075" t="s">
        <v>1354</v>
      </c>
      <c r="I1075">
        <v>160</v>
      </c>
      <c r="J1075">
        <v>22</v>
      </c>
      <c r="K1075">
        <f t="shared" si="66"/>
        <v>13.750000000000002</v>
      </c>
      <c r="L1075" t="s">
        <v>1736</v>
      </c>
      <c r="M1075" t="s">
        <v>3644</v>
      </c>
      <c r="O1075">
        <v>605001</v>
      </c>
      <c r="P1075" t="s">
        <v>546</v>
      </c>
      <c r="Q1075" t="s">
        <v>1775</v>
      </c>
      <c r="S1075">
        <v>6.27</v>
      </c>
      <c r="T1075">
        <v>5</v>
      </c>
      <c r="U1075">
        <v>0.7</v>
      </c>
      <c r="V1075">
        <v>-4.5979999999999999</v>
      </c>
      <c r="W1075">
        <f t="shared" si="67"/>
        <v>2.1735999999999995</v>
      </c>
      <c r="X1075">
        <v>4</v>
      </c>
    </row>
    <row r="1076" spans="1:24" x14ac:dyDescent="0.3">
      <c r="A1076">
        <v>1075</v>
      </c>
      <c r="B1076" t="s">
        <v>2841</v>
      </c>
      <c r="C1076" s="6">
        <v>45271</v>
      </c>
      <c r="D1076" t="str">
        <f t="shared" si="64"/>
        <v>Dec</v>
      </c>
      <c r="E1076" t="str">
        <f t="shared" si="65"/>
        <v>2023</v>
      </c>
      <c r="F1076" t="s">
        <v>4</v>
      </c>
      <c r="G1076" t="s">
        <v>391</v>
      </c>
      <c r="H1076" t="s">
        <v>802</v>
      </c>
      <c r="I1076">
        <v>130</v>
      </c>
      <c r="J1076">
        <v>18</v>
      </c>
      <c r="K1076">
        <f t="shared" si="66"/>
        <v>13.846153846153847</v>
      </c>
      <c r="L1076" t="s">
        <v>1744</v>
      </c>
      <c r="M1076" t="s">
        <v>3826</v>
      </c>
      <c r="N1076" t="s">
        <v>1</v>
      </c>
      <c r="O1076">
        <v>411033</v>
      </c>
      <c r="P1076" t="s">
        <v>546</v>
      </c>
      <c r="Q1076" t="s">
        <v>1768</v>
      </c>
      <c r="S1076">
        <v>4.3680000000000003</v>
      </c>
      <c r="T1076">
        <v>7</v>
      </c>
      <c r="U1076">
        <v>0.7</v>
      </c>
      <c r="V1076">
        <v>-3.3488000000000002</v>
      </c>
      <c r="W1076">
        <f t="shared" si="67"/>
        <v>1.1024</v>
      </c>
      <c r="X1076">
        <v>1</v>
      </c>
    </row>
    <row r="1077" spans="1:24" x14ac:dyDescent="0.3">
      <c r="A1077">
        <v>1076</v>
      </c>
      <c r="B1077" t="s">
        <v>2842</v>
      </c>
      <c r="C1077" s="6">
        <v>45272</v>
      </c>
      <c r="D1077" t="str">
        <f t="shared" si="64"/>
        <v>Dec</v>
      </c>
      <c r="E1077" t="str">
        <f t="shared" si="65"/>
        <v>2023</v>
      </c>
      <c r="F1077" t="s">
        <v>4</v>
      </c>
      <c r="G1077" t="s">
        <v>391</v>
      </c>
      <c r="H1077" t="s">
        <v>1355</v>
      </c>
      <c r="I1077">
        <v>200</v>
      </c>
      <c r="J1077">
        <v>12</v>
      </c>
      <c r="K1077">
        <f t="shared" si="66"/>
        <v>6</v>
      </c>
      <c r="L1077" t="s">
        <v>1740</v>
      </c>
      <c r="M1077" t="s">
        <v>3827</v>
      </c>
      <c r="N1077" t="s">
        <v>1</v>
      </c>
      <c r="O1077">
        <v>786152</v>
      </c>
      <c r="P1077" t="s">
        <v>546</v>
      </c>
      <c r="Q1077" t="s">
        <v>1772</v>
      </c>
      <c r="R1077" t="s">
        <v>2</v>
      </c>
      <c r="S1077">
        <v>31.984000000000002</v>
      </c>
      <c r="T1077">
        <v>2</v>
      </c>
      <c r="U1077">
        <v>0.2</v>
      </c>
      <c r="V1077">
        <v>1.9990000000000001</v>
      </c>
      <c r="W1077">
        <f t="shared" si="67"/>
        <v>14.992500000000001</v>
      </c>
      <c r="X1077">
        <v>1</v>
      </c>
    </row>
    <row r="1078" spans="1:24" x14ac:dyDescent="0.3">
      <c r="A1078">
        <v>1077</v>
      </c>
      <c r="B1078" t="s">
        <v>2843</v>
      </c>
      <c r="C1078" s="6">
        <v>45273</v>
      </c>
      <c r="D1078" t="str">
        <f t="shared" si="64"/>
        <v>Dec</v>
      </c>
      <c r="E1078" t="str">
        <f t="shared" si="65"/>
        <v>2023</v>
      </c>
      <c r="F1078" t="s">
        <v>5</v>
      </c>
      <c r="G1078" t="s">
        <v>392</v>
      </c>
      <c r="H1078" t="s">
        <v>1356</v>
      </c>
      <c r="I1078">
        <v>130</v>
      </c>
      <c r="J1078">
        <v>30</v>
      </c>
      <c r="K1078">
        <f t="shared" si="66"/>
        <v>23.076923076923077</v>
      </c>
      <c r="L1078" t="s">
        <v>1742</v>
      </c>
      <c r="M1078" t="s">
        <v>3656</v>
      </c>
      <c r="N1078" t="s">
        <v>1</v>
      </c>
      <c r="O1078">
        <v>786152</v>
      </c>
      <c r="P1078" t="s">
        <v>546</v>
      </c>
      <c r="Q1078" t="s">
        <v>1759</v>
      </c>
      <c r="S1078">
        <v>40.880000000000003</v>
      </c>
      <c r="T1078">
        <v>7</v>
      </c>
      <c r="U1078">
        <v>0.1</v>
      </c>
      <c r="V1078">
        <v>10.6288</v>
      </c>
      <c r="W1078">
        <f t="shared" si="67"/>
        <v>4.321600000000001</v>
      </c>
      <c r="X1078">
        <v>2</v>
      </c>
    </row>
    <row r="1079" spans="1:24" x14ac:dyDescent="0.3">
      <c r="A1079">
        <v>1078</v>
      </c>
      <c r="B1079" t="s">
        <v>2844</v>
      </c>
      <c r="C1079" s="6">
        <v>45274</v>
      </c>
      <c r="D1079" t="str">
        <f t="shared" si="64"/>
        <v>Dec</v>
      </c>
      <c r="E1079" t="str">
        <f t="shared" si="65"/>
        <v>2023</v>
      </c>
      <c r="F1079" t="s">
        <v>3</v>
      </c>
      <c r="G1079" t="s">
        <v>393</v>
      </c>
      <c r="H1079" t="s">
        <v>1357</v>
      </c>
      <c r="I1079">
        <v>200</v>
      </c>
      <c r="J1079">
        <v>8</v>
      </c>
      <c r="K1079">
        <f t="shared" si="66"/>
        <v>4</v>
      </c>
      <c r="L1079" t="s">
        <v>1736</v>
      </c>
      <c r="M1079" t="s">
        <v>3657</v>
      </c>
      <c r="N1079" t="s">
        <v>1</v>
      </c>
      <c r="O1079">
        <v>135001</v>
      </c>
      <c r="P1079" t="s">
        <v>546</v>
      </c>
      <c r="Q1079" t="s">
        <v>1773</v>
      </c>
      <c r="R1079" t="s">
        <v>2</v>
      </c>
      <c r="S1079">
        <v>119.96</v>
      </c>
      <c r="T1079">
        <v>2</v>
      </c>
      <c r="U1079">
        <v>0.1</v>
      </c>
      <c r="V1079">
        <v>33.588799999999999</v>
      </c>
      <c r="W1079">
        <f t="shared" si="67"/>
        <v>43.185599999999994</v>
      </c>
      <c r="X1079">
        <v>1</v>
      </c>
    </row>
    <row r="1080" spans="1:24" x14ac:dyDescent="0.3">
      <c r="A1080">
        <v>1079</v>
      </c>
      <c r="B1080" t="s">
        <v>2845</v>
      </c>
      <c r="C1080" s="6">
        <v>45275</v>
      </c>
      <c r="D1080" t="str">
        <f t="shared" si="64"/>
        <v>Dec</v>
      </c>
      <c r="E1080" t="str">
        <f t="shared" si="65"/>
        <v>2023</v>
      </c>
      <c r="F1080" t="s">
        <v>3</v>
      </c>
      <c r="G1080" t="s">
        <v>393</v>
      </c>
      <c r="H1080" t="s">
        <v>1017</v>
      </c>
      <c r="I1080">
        <v>250</v>
      </c>
      <c r="J1080">
        <v>18</v>
      </c>
      <c r="K1080">
        <f t="shared" si="66"/>
        <v>7.1999999999999993</v>
      </c>
      <c r="L1080" t="s">
        <v>1738</v>
      </c>
      <c r="M1080" t="s">
        <v>3778</v>
      </c>
      <c r="N1080" t="s">
        <v>1</v>
      </c>
      <c r="O1080">
        <v>490001</v>
      </c>
      <c r="P1080" t="s">
        <v>546</v>
      </c>
      <c r="Q1080" t="s">
        <v>1770</v>
      </c>
      <c r="R1080" t="s">
        <v>2</v>
      </c>
      <c r="S1080">
        <v>31.44</v>
      </c>
      <c r="T1080">
        <v>3</v>
      </c>
      <c r="U1080">
        <v>0.1</v>
      </c>
      <c r="V1080">
        <v>8.4887999999999995</v>
      </c>
      <c r="W1080">
        <f t="shared" si="67"/>
        <v>7.6504000000000003</v>
      </c>
      <c r="X1080">
        <v>5</v>
      </c>
    </row>
    <row r="1081" spans="1:24" x14ac:dyDescent="0.3">
      <c r="A1081">
        <v>1080</v>
      </c>
      <c r="B1081" t="s">
        <v>2846</v>
      </c>
      <c r="C1081" s="6">
        <v>45276</v>
      </c>
      <c r="D1081" t="str">
        <f t="shared" si="64"/>
        <v>Dec</v>
      </c>
      <c r="E1081" t="str">
        <f t="shared" si="65"/>
        <v>2023</v>
      </c>
      <c r="F1081" t="s">
        <v>3</v>
      </c>
      <c r="G1081" t="s">
        <v>393</v>
      </c>
      <c r="H1081" t="s">
        <v>1027</v>
      </c>
      <c r="I1081">
        <v>220</v>
      </c>
      <c r="J1081">
        <v>18</v>
      </c>
      <c r="K1081">
        <f t="shared" si="66"/>
        <v>8.1818181818181817</v>
      </c>
      <c r="L1081" t="s">
        <v>1737</v>
      </c>
      <c r="M1081" t="s">
        <v>3828</v>
      </c>
      <c r="N1081" t="s">
        <v>1</v>
      </c>
      <c r="O1081">
        <v>641004</v>
      </c>
      <c r="P1081" t="s">
        <v>546</v>
      </c>
      <c r="Q1081" t="s">
        <v>1760</v>
      </c>
      <c r="R1081" t="s">
        <v>2</v>
      </c>
      <c r="S1081">
        <v>6.88</v>
      </c>
      <c r="T1081">
        <v>1</v>
      </c>
      <c r="U1081">
        <v>0.2</v>
      </c>
      <c r="V1081">
        <v>2.3220000000000001</v>
      </c>
      <c r="W1081">
        <f t="shared" si="67"/>
        <v>4.5579999999999998</v>
      </c>
      <c r="X1081">
        <v>2</v>
      </c>
    </row>
    <row r="1082" spans="1:24" x14ac:dyDescent="0.3">
      <c r="A1082">
        <v>1081</v>
      </c>
      <c r="B1082" t="s">
        <v>2847</v>
      </c>
      <c r="C1082" s="6">
        <v>45277</v>
      </c>
      <c r="D1082" t="str">
        <f t="shared" si="64"/>
        <v>Dec</v>
      </c>
      <c r="E1082" t="str">
        <f t="shared" si="65"/>
        <v>2023</v>
      </c>
      <c r="F1082" t="s">
        <v>4</v>
      </c>
      <c r="G1082" t="s">
        <v>394</v>
      </c>
      <c r="H1082" t="s">
        <v>1358</v>
      </c>
      <c r="I1082">
        <v>170</v>
      </c>
      <c r="J1082">
        <v>14</v>
      </c>
      <c r="K1082">
        <f t="shared" si="66"/>
        <v>8.235294117647058</v>
      </c>
      <c r="L1082" t="s">
        <v>1743</v>
      </c>
      <c r="M1082" t="s">
        <v>3829</v>
      </c>
      <c r="N1082" t="s">
        <v>1</v>
      </c>
      <c r="O1082">
        <v>765022</v>
      </c>
      <c r="P1082" t="s">
        <v>546</v>
      </c>
      <c r="Q1082" t="s">
        <v>1767</v>
      </c>
      <c r="S1082">
        <v>19.920000000000002</v>
      </c>
      <c r="T1082">
        <v>4</v>
      </c>
      <c r="U1082">
        <v>0.1</v>
      </c>
      <c r="V1082">
        <v>9.3623999999999992</v>
      </c>
      <c r="W1082">
        <f t="shared" si="67"/>
        <v>2.6394000000000006</v>
      </c>
      <c r="X1082">
        <v>2</v>
      </c>
    </row>
    <row r="1083" spans="1:24" x14ac:dyDescent="0.3">
      <c r="A1083">
        <v>1082</v>
      </c>
      <c r="B1083" t="s">
        <v>2848</v>
      </c>
      <c r="C1083" s="6">
        <v>45278</v>
      </c>
      <c r="D1083" t="str">
        <f t="shared" si="64"/>
        <v>Dec</v>
      </c>
      <c r="E1083" t="str">
        <f t="shared" si="65"/>
        <v>2023</v>
      </c>
      <c r="F1083" t="s">
        <v>4</v>
      </c>
      <c r="G1083" t="s">
        <v>394</v>
      </c>
      <c r="H1083" t="s">
        <v>1359</v>
      </c>
      <c r="I1083">
        <v>190</v>
      </c>
      <c r="J1083">
        <v>22</v>
      </c>
      <c r="K1083">
        <f t="shared" si="66"/>
        <v>11.578947368421053</v>
      </c>
      <c r="L1083" t="s">
        <v>1738</v>
      </c>
      <c r="M1083" t="s">
        <v>3788</v>
      </c>
      <c r="N1083" t="s">
        <v>1</v>
      </c>
      <c r="O1083">
        <v>560043</v>
      </c>
      <c r="P1083" t="s">
        <v>546</v>
      </c>
      <c r="Q1083" t="s">
        <v>1774</v>
      </c>
      <c r="S1083">
        <v>1106.9100000000001</v>
      </c>
      <c r="T1083">
        <v>9</v>
      </c>
      <c r="U1083">
        <v>0.1</v>
      </c>
      <c r="V1083">
        <v>121.76009999999999</v>
      </c>
      <c r="W1083">
        <f t="shared" si="67"/>
        <v>109.46110000000002</v>
      </c>
      <c r="X1083">
        <v>2</v>
      </c>
    </row>
    <row r="1084" spans="1:24" x14ac:dyDescent="0.3">
      <c r="A1084">
        <v>1083</v>
      </c>
      <c r="B1084" t="s">
        <v>2849</v>
      </c>
      <c r="C1084" s="6">
        <v>45279</v>
      </c>
      <c r="D1084" t="str">
        <f t="shared" si="64"/>
        <v>Dec</v>
      </c>
      <c r="E1084" t="str">
        <f t="shared" si="65"/>
        <v>2023</v>
      </c>
      <c r="F1084" t="s">
        <v>4</v>
      </c>
      <c r="G1084" t="s">
        <v>37</v>
      </c>
      <c r="H1084" t="s">
        <v>1163</v>
      </c>
      <c r="I1084">
        <v>150</v>
      </c>
      <c r="J1084">
        <v>18</v>
      </c>
      <c r="K1084">
        <f t="shared" si="66"/>
        <v>12</v>
      </c>
      <c r="L1084" t="s">
        <v>1739</v>
      </c>
      <c r="M1084" t="s">
        <v>3721</v>
      </c>
      <c r="N1084" t="s">
        <v>1</v>
      </c>
      <c r="O1084">
        <v>637001</v>
      </c>
      <c r="P1084" t="s">
        <v>546</v>
      </c>
      <c r="Q1084" t="s">
        <v>1769</v>
      </c>
      <c r="R1084" t="s">
        <v>2</v>
      </c>
      <c r="S1084">
        <v>836.59199999999998</v>
      </c>
      <c r="T1084">
        <v>8</v>
      </c>
      <c r="U1084">
        <v>0.4</v>
      </c>
      <c r="V1084">
        <v>-264.92079999999999</v>
      </c>
      <c r="W1084">
        <f t="shared" si="67"/>
        <v>137.6891</v>
      </c>
      <c r="X1084">
        <v>2</v>
      </c>
    </row>
    <row r="1085" spans="1:24" x14ac:dyDescent="0.3">
      <c r="A1085">
        <v>1084</v>
      </c>
      <c r="B1085" t="s">
        <v>2850</v>
      </c>
      <c r="C1085" s="6">
        <v>45280</v>
      </c>
      <c r="D1085" t="str">
        <f t="shared" si="64"/>
        <v>Dec</v>
      </c>
      <c r="E1085" t="str">
        <f t="shared" si="65"/>
        <v>2023</v>
      </c>
      <c r="F1085" t="s">
        <v>4</v>
      </c>
      <c r="G1085" t="s">
        <v>37</v>
      </c>
      <c r="H1085" t="s">
        <v>1360</v>
      </c>
      <c r="I1085">
        <v>110</v>
      </c>
      <c r="J1085">
        <v>8</v>
      </c>
      <c r="K1085">
        <f t="shared" si="66"/>
        <v>7.2727272727272725</v>
      </c>
      <c r="L1085" t="s">
        <v>1741</v>
      </c>
      <c r="M1085" t="s">
        <v>3781</v>
      </c>
      <c r="N1085" t="s">
        <v>1</v>
      </c>
      <c r="O1085">
        <v>782447</v>
      </c>
      <c r="P1085" t="s">
        <v>546</v>
      </c>
      <c r="Q1085" t="s">
        <v>1760</v>
      </c>
      <c r="S1085">
        <v>26.38</v>
      </c>
      <c r="T1085">
        <v>1</v>
      </c>
      <c r="U1085">
        <v>0.1</v>
      </c>
      <c r="V1085">
        <v>12.1348</v>
      </c>
      <c r="W1085">
        <f t="shared" si="67"/>
        <v>14.245199999999999</v>
      </c>
      <c r="X1085">
        <v>1</v>
      </c>
    </row>
    <row r="1086" spans="1:24" x14ac:dyDescent="0.3">
      <c r="A1086">
        <v>1085</v>
      </c>
      <c r="B1086" t="s">
        <v>2851</v>
      </c>
      <c r="C1086" s="6">
        <v>45281</v>
      </c>
      <c r="D1086" t="str">
        <f t="shared" si="64"/>
        <v>Dec</v>
      </c>
      <c r="E1086" t="str">
        <f t="shared" si="65"/>
        <v>2023</v>
      </c>
      <c r="F1086" t="s">
        <v>4</v>
      </c>
      <c r="G1086" t="s">
        <v>37</v>
      </c>
      <c r="H1086" t="s">
        <v>792</v>
      </c>
      <c r="I1086">
        <v>100</v>
      </c>
      <c r="J1086">
        <v>22</v>
      </c>
      <c r="K1086">
        <f t="shared" si="66"/>
        <v>22</v>
      </c>
      <c r="L1086" t="s">
        <v>1736</v>
      </c>
      <c r="M1086" t="s">
        <v>3673</v>
      </c>
      <c r="N1086" t="s">
        <v>1</v>
      </c>
      <c r="O1086">
        <v>400605</v>
      </c>
      <c r="P1086" t="s">
        <v>546</v>
      </c>
      <c r="Q1086" t="s">
        <v>1768</v>
      </c>
      <c r="S1086">
        <v>362.92</v>
      </c>
      <c r="T1086">
        <v>2</v>
      </c>
      <c r="U1086">
        <v>0.1</v>
      </c>
      <c r="V1086">
        <v>105.24679999999999</v>
      </c>
      <c r="W1086">
        <f t="shared" si="67"/>
        <v>128.8366</v>
      </c>
      <c r="X1086">
        <v>3</v>
      </c>
    </row>
    <row r="1087" spans="1:24" x14ac:dyDescent="0.3">
      <c r="A1087">
        <v>1086</v>
      </c>
      <c r="B1087" t="s">
        <v>2852</v>
      </c>
      <c r="C1087" s="6">
        <v>45282</v>
      </c>
      <c r="D1087" t="str">
        <f t="shared" si="64"/>
        <v>Dec</v>
      </c>
      <c r="E1087" t="str">
        <f t="shared" si="65"/>
        <v>2023</v>
      </c>
      <c r="F1087" t="s">
        <v>4</v>
      </c>
      <c r="G1087" t="s">
        <v>37</v>
      </c>
      <c r="H1087" t="s">
        <v>1361</v>
      </c>
      <c r="I1087">
        <v>160</v>
      </c>
      <c r="J1087">
        <v>16</v>
      </c>
      <c r="K1087">
        <f t="shared" si="66"/>
        <v>10</v>
      </c>
      <c r="L1087" t="s">
        <v>1744</v>
      </c>
      <c r="M1087" t="s">
        <v>3585</v>
      </c>
      <c r="N1087" t="s">
        <v>1</v>
      </c>
      <c r="O1087">
        <v>600008</v>
      </c>
      <c r="P1087" t="s">
        <v>546</v>
      </c>
      <c r="Q1087" t="s">
        <v>1754</v>
      </c>
      <c r="S1087">
        <v>4899.93</v>
      </c>
      <c r="T1087">
        <v>7</v>
      </c>
      <c r="U1087">
        <v>0.1</v>
      </c>
      <c r="V1087">
        <v>2400.9657000000002</v>
      </c>
      <c r="W1087">
        <f t="shared" si="67"/>
        <v>356.99490000000003</v>
      </c>
      <c r="X1087">
        <v>2</v>
      </c>
    </row>
    <row r="1088" spans="1:24" x14ac:dyDescent="0.3">
      <c r="A1088">
        <v>1087</v>
      </c>
      <c r="B1088" t="s">
        <v>2853</v>
      </c>
      <c r="C1088" s="6">
        <v>45283</v>
      </c>
      <c r="D1088" t="str">
        <f t="shared" si="64"/>
        <v>Dec</v>
      </c>
      <c r="E1088" t="str">
        <f t="shared" si="65"/>
        <v>2023</v>
      </c>
      <c r="F1088" t="s">
        <v>6</v>
      </c>
      <c r="G1088" t="s">
        <v>55</v>
      </c>
      <c r="H1088" t="s">
        <v>1362</v>
      </c>
      <c r="I1088">
        <v>160</v>
      </c>
      <c r="J1088">
        <v>14</v>
      </c>
      <c r="K1088">
        <f t="shared" si="66"/>
        <v>8.75</v>
      </c>
      <c r="L1088" t="s">
        <v>1740</v>
      </c>
      <c r="M1088" t="s">
        <v>3830</v>
      </c>
      <c r="N1088" t="s">
        <v>1</v>
      </c>
      <c r="O1088">
        <v>799004</v>
      </c>
      <c r="P1088" t="s">
        <v>546</v>
      </c>
      <c r="Q1088" t="s">
        <v>1769</v>
      </c>
      <c r="R1088" t="s">
        <v>2</v>
      </c>
      <c r="S1088">
        <v>6.48</v>
      </c>
      <c r="T1088">
        <v>1</v>
      </c>
      <c r="U1088">
        <v>0.1</v>
      </c>
      <c r="V1088">
        <v>3.1103999999999998</v>
      </c>
      <c r="W1088">
        <f t="shared" si="67"/>
        <v>3.3696000000000006</v>
      </c>
      <c r="X1088">
        <v>4</v>
      </c>
    </row>
    <row r="1089" spans="1:24" x14ac:dyDescent="0.3">
      <c r="A1089">
        <v>1088</v>
      </c>
      <c r="B1089" t="s">
        <v>2854</v>
      </c>
      <c r="C1089" s="6">
        <v>45284</v>
      </c>
      <c r="D1089" t="str">
        <f t="shared" si="64"/>
        <v>Dec</v>
      </c>
      <c r="E1089" t="str">
        <f t="shared" si="65"/>
        <v>2023</v>
      </c>
      <c r="F1089" t="s">
        <v>3</v>
      </c>
      <c r="G1089" t="s">
        <v>395</v>
      </c>
      <c r="H1089" t="s">
        <v>720</v>
      </c>
      <c r="I1089">
        <v>170</v>
      </c>
      <c r="J1089">
        <v>10</v>
      </c>
      <c r="K1089">
        <f t="shared" si="66"/>
        <v>5.8823529411764701</v>
      </c>
      <c r="L1089" t="s">
        <v>1742</v>
      </c>
      <c r="M1089" t="s">
        <v>3696</v>
      </c>
      <c r="N1089" t="s">
        <v>1</v>
      </c>
      <c r="O1089">
        <v>500072</v>
      </c>
      <c r="P1089" t="s">
        <v>546</v>
      </c>
      <c r="Q1089" t="s">
        <v>1772</v>
      </c>
      <c r="S1089">
        <v>71.975999999999999</v>
      </c>
      <c r="T1089">
        <v>3</v>
      </c>
      <c r="U1089">
        <v>0.2</v>
      </c>
      <c r="V1089">
        <v>7.1976000000000004</v>
      </c>
      <c r="W1089">
        <f t="shared" si="67"/>
        <v>21.5928</v>
      </c>
      <c r="X1089">
        <v>1</v>
      </c>
    </row>
    <row r="1090" spans="1:24" x14ac:dyDescent="0.3">
      <c r="A1090">
        <v>1089</v>
      </c>
      <c r="B1090" t="s">
        <v>2855</v>
      </c>
      <c r="C1090" s="6">
        <v>45285</v>
      </c>
      <c r="D1090" t="str">
        <f t="shared" si="64"/>
        <v>Dec</v>
      </c>
      <c r="E1090" t="str">
        <f t="shared" si="65"/>
        <v>2023</v>
      </c>
      <c r="F1090" t="s">
        <v>3</v>
      </c>
      <c r="G1090" t="s">
        <v>395</v>
      </c>
      <c r="H1090" t="s">
        <v>1363</v>
      </c>
      <c r="I1090">
        <v>210</v>
      </c>
      <c r="J1090">
        <v>8</v>
      </c>
      <c r="K1090">
        <f t="shared" si="66"/>
        <v>3.8095238095238098</v>
      </c>
      <c r="L1090" t="s">
        <v>1739</v>
      </c>
      <c r="M1090" t="s">
        <v>3668</v>
      </c>
      <c r="N1090" t="s">
        <v>1</v>
      </c>
      <c r="O1090">
        <v>411014</v>
      </c>
      <c r="P1090" t="s">
        <v>546</v>
      </c>
      <c r="Q1090" t="s">
        <v>1755</v>
      </c>
      <c r="S1090">
        <v>3.15</v>
      </c>
      <c r="T1090">
        <v>1</v>
      </c>
      <c r="U1090">
        <v>0.1</v>
      </c>
      <c r="V1090">
        <v>1.512</v>
      </c>
      <c r="W1090">
        <f t="shared" si="67"/>
        <v>1.6379999999999999</v>
      </c>
      <c r="X1090">
        <v>2</v>
      </c>
    </row>
    <row r="1091" spans="1:24" x14ac:dyDescent="0.3">
      <c r="A1091">
        <v>1090</v>
      </c>
      <c r="B1091" t="s">
        <v>2856</v>
      </c>
      <c r="C1091" s="6">
        <v>45286</v>
      </c>
      <c r="D1091" t="str">
        <f t="shared" ref="D1091:D1154" si="68">TEXT(C1091,"Mmm")</f>
        <v>Dec</v>
      </c>
      <c r="E1091" t="str">
        <f t="shared" ref="E1091:E1154" si="69">TEXT(C1091,"YYYY")</f>
        <v>2023</v>
      </c>
      <c r="F1091" t="s">
        <v>4</v>
      </c>
      <c r="G1091" t="s">
        <v>359</v>
      </c>
      <c r="H1091" t="s">
        <v>843</v>
      </c>
      <c r="I1091">
        <v>180</v>
      </c>
      <c r="J1091">
        <v>30</v>
      </c>
      <c r="K1091">
        <f t="shared" ref="K1091:K1154" si="70">(J1091/I1091)*100</f>
        <v>16.666666666666664</v>
      </c>
      <c r="L1091" t="s">
        <v>1738</v>
      </c>
      <c r="M1091" t="s">
        <v>3812</v>
      </c>
      <c r="N1091" t="s">
        <v>1</v>
      </c>
      <c r="O1091">
        <v>600056</v>
      </c>
      <c r="P1091" t="s">
        <v>546</v>
      </c>
      <c r="Q1091" t="s">
        <v>1776</v>
      </c>
      <c r="S1091">
        <v>31.984000000000002</v>
      </c>
      <c r="T1091">
        <v>2</v>
      </c>
      <c r="U1091">
        <v>0.2</v>
      </c>
      <c r="V1091">
        <v>1.9990000000000001</v>
      </c>
      <c r="W1091">
        <f t="shared" ref="W1091:W1154" si="71">(S1091-V1091)/T1091</f>
        <v>14.992500000000001</v>
      </c>
      <c r="X1091">
        <v>5</v>
      </c>
    </row>
    <row r="1092" spans="1:24" x14ac:dyDescent="0.3">
      <c r="A1092">
        <v>1091</v>
      </c>
      <c r="B1092" t="s">
        <v>2857</v>
      </c>
      <c r="C1092" s="6">
        <v>45287</v>
      </c>
      <c r="D1092" t="str">
        <f t="shared" si="68"/>
        <v>Dec</v>
      </c>
      <c r="E1092" t="str">
        <f t="shared" si="69"/>
        <v>2023</v>
      </c>
      <c r="F1092" t="s">
        <v>4</v>
      </c>
      <c r="G1092" t="s">
        <v>359</v>
      </c>
      <c r="H1092" t="s">
        <v>1364</v>
      </c>
      <c r="I1092">
        <v>150</v>
      </c>
      <c r="J1092">
        <v>14</v>
      </c>
      <c r="K1092">
        <f t="shared" si="70"/>
        <v>9.3333333333333339</v>
      </c>
      <c r="L1092" t="s">
        <v>1743</v>
      </c>
      <c r="M1092" t="s">
        <v>3831</v>
      </c>
      <c r="N1092" t="s">
        <v>1</v>
      </c>
      <c r="O1092">
        <v>152002</v>
      </c>
      <c r="P1092" t="s">
        <v>546</v>
      </c>
      <c r="Q1092" t="s">
        <v>1774</v>
      </c>
      <c r="S1092">
        <v>71.983999999999995</v>
      </c>
      <c r="T1092">
        <v>2</v>
      </c>
      <c r="U1092">
        <v>0.2</v>
      </c>
      <c r="V1092">
        <v>25.194400000000002</v>
      </c>
      <c r="W1092">
        <f t="shared" si="71"/>
        <v>23.394799999999996</v>
      </c>
      <c r="X1092">
        <v>3</v>
      </c>
    </row>
    <row r="1093" spans="1:24" x14ac:dyDescent="0.3">
      <c r="A1093">
        <v>1092</v>
      </c>
      <c r="B1093" t="s">
        <v>2858</v>
      </c>
      <c r="C1093" s="6">
        <v>45288</v>
      </c>
      <c r="D1093" t="str">
        <f t="shared" si="68"/>
        <v>Dec</v>
      </c>
      <c r="E1093" t="str">
        <f t="shared" si="69"/>
        <v>2023</v>
      </c>
      <c r="F1093" t="s">
        <v>4</v>
      </c>
      <c r="G1093" t="s">
        <v>275</v>
      </c>
      <c r="H1093" t="s">
        <v>1365</v>
      </c>
      <c r="I1093">
        <v>150</v>
      </c>
      <c r="J1093">
        <v>10</v>
      </c>
      <c r="K1093">
        <f t="shared" si="70"/>
        <v>6.666666666666667</v>
      </c>
      <c r="L1093" t="s">
        <v>1737</v>
      </c>
      <c r="M1093" t="s">
        <v>3802</v>
      </c>
      <c r="N1093" t="s">
        <v>1</v>
      </c>
      <c r="O1093">
        <v>500068</v>
      </c>
      <c r="P1093" t="s">
        <v>546</v>
      </c>
      <c r="Q1093" t="s">
        <v>1766</v>
      </c>
      <c r="S1093">
        <v>120.15</v>
      </c>
      <c r="T1093">
        <v>9</v>
      </c>
      <c r="U1093">
        <v>0.1</v>
      </c>
      <c r="V1093">
        <v>33.642000000000003</v>
      </c>
      <c r="W1093">
        <f t="shared" si="71"/>
        <v>9.6120000000000019</v>
      </c>
      <c r="X1093">
        <v>4</v>
      </c>
    </row>
    <row r="1094" spans="1:24" x14ac:dyDescent="0.3">
      <c r="A1094">
        <v>1093</v>
      </c>
      <c r="B1094" t="s">
        <v>2859</v>
      </c>
      <c r="C1094" s="6">
        <v>45289</v>
      </c>
      <c r="D1094" t="str">
        <f t="shared" si="68"/>
        <v>Dec</v>
      </c>
      <c r="E1094" t="str">
        <f t="shared" si="69"/>
        <v>2023</v>
      </c>
      <c r="F1094" t="s">
        <v>4</v>
      </c>
      <c r="G1094" t="s">
        <v>275</v>
      </c>
      <c r="H1094" t="s">
        <v>1366</v>
      </c>
      <c r="I1094">
        <v>100</v>
      </c>
      <c r="J1094">
        <v>16</v>
      </c>
      <c r="K1094">
        <f t="shared" si="70"/>
        <v>16</v>
      </c>
      <c r="L1094" t="s">
        <v>1741</v>
      </c>
      <c r="M1094" t="s">
        <v>3815</v>
      </c>
      <c r="N1094" t="s">
        <v>1</v>
      </c>
      <c r="O1094">
        <v>500068</v>
      </c>
      <c r="P1094" t="s">
        <v>546</v>
      </c>
      <c r="Q1094" t="s">
        <v>1770</v>
      </c>
      <c r="S1094">
        <v>219.184</v>
      </c>
      <c r="T1094">
        <v>2</v>
      </c>
      <c r="U1094">
        <v>0.2</v>
      </c>
      <c r="V1094">
        <v>19.178599999999999</v>
      </c>
      <c r="W1094">
        <f t="shared" si="71"/>
        <v>100.0027</v>
      </c>
      <c r="X1094">
        <v>3</v>
      </c>
    </row>
    <row r="1095" spans="1:24" x14ac:dyDescent="0.3">
      <c r="A1095">
        <v>1094</v>
      </c>
      <c r="B1095" t="s">
        <v>2860</v>
      </c>
      <c r="C1095" s="6">
        <v>45290</v>
      </c>
      <c r="D1095" t="str">
        <f t="shared" si="68"/>
        <v>Dec</v>
      </c>
      <c r="E1095" t="str">
        <f t="shared" si="69"/>
        <v>2023</v>
      </c>
      <c r="F1095" t="s">
        <v>4</v>
      </c>
      <c r="G1095" t="s">
        <v>396</v>
      </c>
      <c r="H1095" t="s">
        <v>1367</v>
      </c>
      <c r="I1095">
        <v>250</v>
      </c>
      <c r="J1095">
        <v>16</v>
      </c>
      <c r="K1095">
        <f t="shared" si="70"/>
        <v>6.4</v>
      </c>
      <c r="L1095" t="s">
        <v>1736</v>
      </c>
      <c r="M1095" t="s">
        <v>3653</v>
      </c>
      <c r="N1095" t="s">
        <v>1</v>
      </c>
      <c r="O1095">
        <v>160062</v>
      </c>
      <c r="P1095" t="s">
        <v>546</v>
      </c>
      <c r="Q1095" t="s">
        <v>1761</v>
      </c>
      <c r="S1095">
        <v>28.9</v>
      </c>
      <c r="T1095">
        <v>5</v>
      </c>
      <c r="U1095">
        <v>0.1</v>
      </c>
      <c r="V1095">
        <v>14.161</v>
      </c>
      <c r="W1095">
        <f t="shared" si="71"/>
        <v>2.9478</v>
      </c>
      <c r="X1095">
        <v>2</v>
      </c>
    </row>
    <row r="1096" spans="1:24" x14ac:dyDescent="0.3">
      <c r="A1096">
        <v>1095</v>
      </c>
      <c r="B1096" t="s">
        <v>2861</v>
      </c>
      <c r="C1096" s="6">
        <v>45291</v>
      </c>
      <c r="D1096" t="str">
        <f t="shared" si="68"/>
        <v>Dec</v>
      </c>
      <c r="E1096" t="str">
        <f t="shared" si="69"/>
        <v>2023</v>
      </c>
      <c r="F1096" t="s">
        <v>4</v>
      </c>
      <c r="G1096" t="s">
        <v>396</v>
      </c>
      <c r="H1096" t="s">
        <v>706</v>
      </c>
      <c r="I1096">
        <v>230</v>
      </c>
      <c r="J1096">
        <v>8</v>
      </c>
      <c r="K1096">
        <f t="shared" si="70"/>
        <v>3.4782608695652173</v>
      </c>
      <c r="L1096" t="s">
        <v>1744</v>
      </c>
      <c r="M1096" t="s">
        <v>3832</v>
      </c>
      <c r="N1096" t="s">
        <v>1</v>
      </c>
      <c r="O1096">
        <v>122103</v>
      </c>
      <c r="P1096" t="s">
        <v>546</v>
      </c>
      <c r="Q1096" t="s">
        <v>1761</v>
      </c>
      <c r="S1096">
        <v>355.96</v>
      </c>
      <c r="T1096">
        <v>2</v>
      </c>
      <c r="U1096">
        <v>0.1</v>
      </c>
      <c r="V1096">
        <v>103.22839999999999</v>
      </c>
      <c r="W1096">
        <f t="shared" si="71"/>
        <v>126.36579999999999</v>
      </c>
      <c r="X1096">
        <v>5</v>
      </c>
    </row>
    <row r="1097" spans="1:24" x14ac:dyDescent="0.3">
      <c r="A1097">
        <v>1096</v>
      </c>
      <c r="B1097" t="s">
        <v>2862</v>
      </c>
      <c r="C1097" s="6">
        <v>45292</v>
      </c>
      <c r="D1097" t="str">
        <f t="shared" si="68"/>
        <v>Jan</v>
      </c>
      <c r="E1097" t="str">
        <f t="shared" si="69"/>
        <v>2024</v>
      </c>
      <c r="F1097" t="s">
        <v>4</v>
      </c>
      <c r="G1097" t="s">
        <v>397</v>
      </c>
      <c r="H1097" t="s">
        <v>1368</v>
      </c>
      <c r="I1097">
        <v>120</v>
      </c>
      <c r="J1097">
        <v>6</v>
      </c>
      <c r="K1097">
        <f t="shared" si="70"/>
        <v>5</v>
      </c>
      <c r="L1097" t="s">
        <v>1740</v>
      </c>
      <c r="M1097" t="s">
        <v>3733</v>
      </c>
      <c r="N1097" t="s">
        <v>1</v>
      </c>
      <c r="O1097">
        <v>713403</v>
      </c>
      <c r="P1097" t="s">
        <v>546</v>
      </c>
      <c r="Q1097" t="s">
        <v>1758</v>
      </c>
      <c r="S1097">
        <v>348.20800000000003</v>
      </c>
      <c r="T1097">
        <v>7</v>
      </c>
      <c r="U1097">
        <v>0.2</v>
      </c>
      <c r="V1097">
        <v>30.4682</v>
      </c>
      <c r="W1097">
        <f t="shared" si="71"/>
        <v>45.391399999999997</v>
      </c>
      <c r="X1097">
        <v>1</v>
      </c>
    </row>
    <row r="1098" spans="1:24" x14ac:dyDescent="0.3">
      <c r="A1098">
        <v>1097</v>
      </c>
      <c r="B1098" t="s">
        <v>2863</v>
      </c>
      <c r="C1098" s="6">
        <v>45293</v>
      </c>
      <c r="D1098" t="str">
        <f t="shared" si="68"/>
        <v>Jan</v>
      </c>
      <c r="E1098" t="str">
        <f t="shared" si="69"/>
        <v>2024</v>
      </c>
      <c r="F1098" t="s">
        <v>4</v>
      </c>
      <c r="G1098" t="s">
        <v>397</v>
      </c>
      <c r="H1098" t="s">
        <v>1369</v>
      </c>
      <c r="I1098">
        <v>150</v>
      </c>
      <c r="J1098">
        <v>18</v>
      </c>
      <c r="K1098">
        <f t="shared" si="70"/>
        <v>12</v>
      </c>
      <c r="L1098" t="s">
        <v>1742</v>
      </c>
      <c r="M1098" t="s">
        <v>3816</v>
      </c>
      <c r="N1098" t="s">
        <v>1</v>
      </c>
      <c r="O1098">
        <v>560070</v>
      </c>
      <c r="P1098" t="s">
        <v>546</v>
      </c>
      <c r="Q1098" t="s">
        <v>1768</v>
      </c>
      <c r="R1098" t="s">
        <v>2</v>
      </c>
      <c r="S1098">
        <v>35.783999999999999</v>
      </c>
      <c r="T1098">
        <v>7</v>
      </c>
      <c r="U1098">
        <v>0.7</v>
      </c>
      <c r="V1098">
        <v>-28.627199999999998</v>
      </c>
      <c r="W1098">
        <f t="shared" si="71"/>
        <v>9.2015999999999991</v>
      </c>
      <c r="X1098">
        <v>5</v>
      </c>
    </row>
    <row r="1099" spans="1:24" x14ac:dyDescent="0.3">
      <c r="A1099">
        <v>1098</v>
      </c>
      <c r="B1099" t="s">
        <v>2864</v>
      </c>
      <c r="C1099" s="6">
        <v>45294</v>
      </c>
      <c r="D1099" t="str">
        <f t="shared" si="68"/>
        <v>Jan</v>
      </c>
      <c r="E1099" t="str">
        <f t="shared" si="69"/>
        <v>2024</v>
      </c>
      <c r="F1099" t="s">
        <v>5</v>
      </c>
      <c r="G1099" t="s">
        <v>381</v>
      </c>
      <c r="H1099" t="s">
        <v>1370</v>
      </c>
      <c r="I1099">
        <v>240</v>
      </c>
      <c r="J1099">
        <v>26</v>
      </c>
      <c r="K1099">
        <f t="shared" si="70"/>
        <v>10.833333333333334</v>
      </c>
      <c r="L1099" t="s">
        <v>1739</v>
      </c>
      <c r="M1099" t="s">
        <v>3600</v>
      </c>
      <c r="N1099" t="s">
        <v>1</v>
      </c>
      <c r="O1099">
        <v>441614</v>
      </c>
      <c r="P1099" t="s">
        <v>546</v>
      </c>
      <c r="Q1099" t="s">
        <v>1764</v>
      </c>
      <c r="S1099">
        <v>447.84</v>
      </c>
      <c r="T1099">
        <v>5</v>
      </c>
      <c r="U1099">
        <v>0.2</v>
      </c>
      <c r="V1099">
        <v>11.196</v>
      </c>
      <c r="W1099">
        <f t="shared" si="71"/>
        <v>87.328799999999987</v>
      </c>
      <c r="X1099">
        <v>1</v>
      </c>
    </row>
    <row r="1100" spans="1:24" x14ac:dyDescent="0.3">
      <c r="A1100">
        <v>1099</v>
      </c>
      <c r="B1100" t="s">
        <v>2865</v>
      </c>
      <c r="C1100" s="6">
        <v>45295</v>
      </c>
      <c r="D1100" t="str">
        <f t="shared" si="68"/>
        <v>Jan</v>
      </c>
      <c r="E1100" t="str">
        <f t="shared" si="69"/>
        <v>2024</v>
      </c>
      <c r="F1100" t="s">
        <v>5</v>
      </c>
      <c r="G1100" t="s">
        <v>398</v>
      </c>
      <c r="H1100" t="s">
        <v>1371</v>
      </c>
      <c r="I1100">
        <v>230</v>
      </c>
      <c r="J1100">
        <v>12</v>
      </c>
      <c r="K1100">
        <f t="shared" si="70"/>
        <v>5.2173913043478262</v>
      </c>
      <c r="L1100" t="s">
        <v>1738</v>
      </c>
      <c r="M1100" t="s">
        <v>3817</v>
      </c>
      <c r="N1100" t="s">
        <v>1</v>
      </c>
      <c r="O1100">
        <v>713104</v>
      </c>
      <c r="P1100" t="s">
        <v>546</v>
      </c>
      <c r="Q1100" t="s">
        <v>1761</v>
      </c>
      <c r="S1100">
        <v>7.04</v>
      </c>
      <c r="T1100">
        <v>4</v>
      </c>
      <c r="U1100">
        <v>0.1</v>
      </c>
      <c r="V1100">
        <v>2.0415999999999999</v>
      </c>
      <c r="W1100">
        <f t="shared" si="71"/>
        <v>1.2496</v>
      </c>
      <c r="X1100">
        <v>3</v>
      </c>
    </row>
    <row r="1101" spans="1:24" x14ac:dyDescent="0.3">
      <c r="A1101">
        <v>1100</v>
      </c>
      <c r="B1101" t="s">
        <v>2866</v>
      </c>
      <c r="C1101" s="6">
        <v>45296</v>
      </c>
      <c r="D1101" t="str">
        <f t="shared" si="68"/>
        <v>Jan</v>
      </c>
      <c r="E1101" t="str">
        <f t="shared" si="69"/>
        <v>2024</v>
      </c>
      <c r="F1101" t="s">
        <v>5</v>
      </c>
      <c r="G1101" t="s">
        <v>398</v>
      </c>
      <c r="H1101" t="s">
        <v>943</v>
      </c>
      <c r="I1101">
        <v>190</v>
      </c>
      <c r="J1101">
        <v>20</v>
      </c>
      <c r="K1101">
        <f t="shared" si="70"/>
        <v>10.526315789473683</v>
      </c>
      <c r="L1101" t="s">
        <v>1737</v>
      </c>
      <c r="M1101" t="s">
        <v>3808</v>
      </c>
      <c r="O1101">
        <v>131001</v>
      </c>
      <c r="P1101" t="s">
        <v>546</v>
      </c>
      <c r="Q1101" t="s">
        <v>1773</v>
      </c>
      <c r="S1101">
        <v>8.73</v>
      </c>
      <c r="T1101">
        <v>3</v>
      </c>
      <c r="U1101">
        <v>0.1</v>
      </c>
      <c r="V1101">
        <v>4.1031000000000004</v>
      </c>
      <c r="W1101">
        <f t="shared" si="71"/>
        <v>1.5423</v>
      </c>
      <c r="X1101">
        <v>3</v>
      </c>
    </row>
    <row r="1102" spans="1:24" x14ac:dyDescent="0.3">
      <c r="A1102">
        <v>1101</v>
      </c>
      <c r="B1102" t="s">
        <v>2867</v>
      </c>
      <c r="C1102" s="6">
        <v>45297</v>
      </c>
      <c r="D1102" t="str">
        <f t="shared" si="68"/>
        <v>Jan</v>
      </c>
      <c r="E1102" t="str">
        <f t="shared" si="69"/>
        <v>2024</v>
      </c>
      <c r="F1102" t="s">
        <v>5</v>
      </c>
      <c r="G1102" t="s">
        <v>398</v>
      </c>
      <c r="H1102" t="s">
        <v>1372</v>
      </c>
      <c r="I1102">
        <v>240</v>
      </c>
      <c r="J1102">
        <v>16</v>
      </c>
      <c r="K1102">
        <f t="shared" si="70"/>
        <v>6.666666666666667</v>
      </c>
      <c r="L1102" t="s">
        <v>1743</v>
      </c>
      <c r="M1102" t="s">
        <v>3833</v>
      </c>
      <c r="N1102" t="s">
        <v>1</v>
      </c>
      <c r="O1102">
        <v>400086</v>
      </c>
      <c r="P1102" t="s">
        <v>546</v>
      </c>
      <c r="Q1102" t="s">
        <v>1759</v>
      </c>
      <c r="S1102">
        <v>29.29</v>
      </c>
      <c r="T1102">
        <v>1</v>
      </c>
      <c r="U1102">
        <v>0.1</v>
      </c>
      <c r="V1102">
        <v>9.6656999999999993</v>
      </c>
      <c r="W1102">
        <f t="shared" si="71"/>
        <v>19.624299999999998</v>
      </c>
      <c r="X1102">
        <v>5</v>
      </c>
    </row>
    <row r="1103" spans="1:24" x14ac:dyDescent="0.3">
      <c r="A1103">
        <v>1102</v>
      </c>
      <c r="B1103" t="s">
        <v>2868</v>
      </c>
      <c r="C1103" s="6">
        <v>45298</v>
      </c>
      <c r="D1103" t="str">
        <f t="shared" si="68"/>
        <v>Jan</v>
      </c>
      <c r="E1103" t="str">
        <f t="shared" si="69"/>
        <v>2024</v>
      </c>
      <c r="F1103" t="s">
        <v>5</v>
      </c>
      <c r="G1103" t="s">
        <v>398</v>
      </c>
      <c r="H1103" t="s">
        <v>1373</v>
      </c>
      <c r="I1103">
        <v>110</v>
      </c>
      <c r="J1103">
        <v>14</v>
      </c>
      <c r="K1103">
        <f t="shared" si="70"/>
        <v>12.727272727272727</v>
      </c>
      <c r="L1103" t="s">
        <v>1738</v>
      </c>
      <c r="M1103" t="s">
        <v>3681</v>
      </c>
      <c r="N1103" t="s">
        <v>1</v>
      </c>
      <c r="O1103">
        <v>560043</v>
      </c>
      <c r="P1103" t="s">
        <v>546</v>
      </c>
      <c r="Q1103" t="s">
        <v>1764</v>
      </c>
      <c r="S1103">
        <v>8.64</v>
      </c>
      <c r="T1103">
        <v>3</v>
      </c>
      <c r="U1103">
        <v>0.1</v>
      </c>
      <c r="V1103">
        <v>2.5055999999999998</v>
      </c>
      <c r="W1103">
        <f t="shared" si="71"/>
        <v>2.0448000000000004</v>
      </c>
      <c r="X1103">
        <v>1</v>
      </c>
    </row>
    <row r="1104" spans="1:24" x14ac:dyDescent="0.3">
      <c r="A1104">
        <v>1103</v>
      </c>
      <c r="B1104" t="s">
        <v>2869</v>
      </c>
      <c r="C1104" s="6">
        <v>45299</v>
      </c>
      <c r="D1104" t="str">
        <f t="shared" si="68"/>
        <v>Jan</v>
      </c>
      <c r="E1104" t="str">
        <f t="shared" si="69"/>
        <v>2024</v>
      </c>
      <c r="F1104" t="s">
        <v>4</v>
      </c>
      <c r="G1104" t="s">
        <v>268</v>
      </c>
      <c r="H1104" t="s">
        <v>854</v>
      </c>
      <c r="I1104">
        <v>150</v>
      </c>
      <c r="J1104">
        <v>20</v>
      </c>
      <c r="K1104">
        <f t="shared" si="70"/>
        <v>13.333333333333334</v>
      </c>
      <c r="L1104" t="s">
        <v>1739</v>
      </c>
      <c r="M1104" t="s">
        <v>3682</v>
      </c>
      <c r="N1104" t="s">
        <v>1</v>
      </c>
      <c r="O1104">
        <v>690109</v>
      </c>
      <c r="P1104" t="s">
        <v>546</v>
      </c>
      <c r="Q1104" t="s">
        <v>1754</v>
      </c>
      <c r="S1104">
        <v>2.694</v>
      </c>
      <c r="T1104">
        <v>3</v>
      </c>
      <c r="U1104">
        <v>0.8</v>
      </c>
      <c r="V1104">
        <v>-4.7145000000000001</v>
      </c>
      <c r="W1104">
        <f t="shared" si="71"/>
        <v>2.4695</v>
      </c>
      <c r="X1104">
        <v>1</v>
      </c>
    </row>
    <row r="1105" spans="1:24" x14ac:dyDescent="0.3">
      <c r="A1105">
        <v>1104</v>
      </c>
      <c r="B1105" t="s">
        <v>2870</v>
      </c>
      <c r="C1105" s="6">
        <v>45300</v>
      </c>
      <c r="D1105" t="str">
        <f t="shared" si="68"/>
        <v>Jan</v>
      </c>
      <c r="E1105" t="str">
        <f t="shared" si="69"/>
        <v>2024</v>
      </c>
      <c r="F1105" t="s">
        <v>4</v>
      </c>
      <c r="G1105" t="s">
        <v>268</v>
      </c>
      <c r="H1105" t="s">
        <v>1313</v>
      </c>
      <c r="I1105">
        <v>240</v>
      </c>
      <c r="J1105">
        <v>24</v>
      </c>
      <c r="K1105">
        <f t="shared" si="70"/>
        <v>10</v>
      </c>
      <c r="L1105" t="s">
        <v>1741</v>
      </c>
      <c r="M1105" t="s">
        <v>3810</v>
      </c>
      <c r="N1105" t="s">
        <v>1</v>
      </c>
      <c r="O1105">
        <v>713104</v>
      </c>
      <c r="P1105" t="s">
        <v>546</v>
      </c>
      <c r="Q1105" t="s">
        <v>1761</v>
      </c>
      <c r="S1105">
        <v>2.9340000000000002</v>
      </c>
      <c r="T1105">
        <v>3</v>
      </c>
      <c r="U1105">
        <v>0.8</v>
      </c>
      <c r="V1105">
        <v>-4.9878</v>
      </c>
      <c r="W1105">
        <f t="shared" si="71"/>
        <v>2.6406000000000001</v>
      </c>
      <c r="X1105">
        <v>4</v>
      </c>
    </row>
    <row r="1106" spans="1:24" x14ac:dyDescent="0.3">
      <c r="A1106">
        <v>1105</v>
      </c>
      <c r="B1106" t="s">
        <v>2871</v>
      </c>
      <c r="C1106" s="6">
        <v>45301</v>
      </c>
      <c r="D1106" t="str">
        <f t="shared" si="68"/>
        <v>Jan</v>
      </c>
      <c r="E1106" t="str">
        <f t="shared" si="69"/>
        <v>2024</v>
      </c>
      <c r="F1106" t="s">
        <v>4</v>
      </c>
      <c r="G1106" t="s">
        <v>399</v>
      </c>
      <c r="H1106" t="s">
        <v>1374</v>
      </c>
      <c r="I1106">
        <v>240</v>
      </c>
      <c r="J1106">
        <v>24</v>
      </c>
      <c r="K1106">
        <f t="shared" si="70"/>
        <v>10</v>
      </c>
      <c r="L1106" t="s">
        <v>1736</v>
      </c>
      <c r="M1106" t="s">
        <v>3693</v>
      </c>
      <c r="N1106" t="s">
        <v>1</v>
      </c>
      <c r="O1106">
        <v>713104</v>
      </c>
      <c r="P1106" t="s">
        <v>546</v>
      </c>
      <c r="Q1106" t="s">
        <v>1767</v>
      </c>
      <c r="S1106">
        <v>22.92</v>
      </c>
      <c r="T1106">
        <v>3</v>
      </c>
      <c r="U1106">
        <v>0.1</v>
      </c>
      <c r="V1106">
        <v>11.2308</v>
      </c>
      <c r="W1106">
        <f t="shared" si="71"/>
        <v>3.8964000000000003</v>
      </c>
      <c r="X1106">
        <v>1</v>
      </c>
    </row>
    <row r="1107" spans="1:24" x14ac:dyDescent="0.3">
      <c r="A1107">
        <v>1106</v>
      </c>
      <c r="B1107" t="s">
        <v>2872</v>
      </c>
      <c r="C1107" s="6">
        <v>45302</v>
      </c>
      <c r="D1107" t="str">
        <f t="shared" si="68"/>
        <v>Jan</v>
      </c>
      <c r="E1107" t="str">
        <f t="shared" si="69"/>
        <v>2024</v>
      </c>
      <c r="F1107" t="s">
        <v>4</v>
      </c>
      <c r="G1107" t="s">
        <v>20</v>
      </c>
      <c r="H1107" t="s">
        <v>740</v>
      </c>
      <c r="I1107">
        <v>120</v>
      </c>
      <c r="J1107">
        <v>18</v>
      </c>
      <c r="K1107">
        <f t="shared" si="70"/>
        <v>15</v>
      </c>
      <c r="L1107" t="s">
        <v>1744</v>
      </c>
      <c r="M1107" t="s">
        <v>3746</v>
      </c>
      <c r="O1107">
        <v>201301</v>
      </c>
      <c r="P1107" t="s">
        <v>546</v>
      </c>
      <c r="Q1107" t="s">
        <v>1759</v>
      </c>
      <c r="R1107" t="s">
        <v>2</v>
      </c>
      <c r="S1107">
        <v>100.70399999999999</v>
      </c>
      <c r="T1107">
        <v>6</v>
      </c>
      <c r="U1107">
        <v>0.2</v>
      </c>
      <c r="V1107">
        <v>-16.3644</v>
      </c>
      <c r="W1107">
        <f t="shared" si="71"/>
        <v>19.511399999999998</v>
      </c>
      <c r="X1107">
        <v>5</v>
      </c>
    </row>
    <row r="1108" spans="1:24" x14ac:dyDescent="0.3">
      <c r="A1108">
        <v>1107</v>
      </c>
      <c r="B1108" t="s">
        <v>2873</v>
      </c>
      <c r="C1108" s="6">
        <v>45303</v>
      </c>
      <c r="D1108" t="str">
        <f t="shared" si="68"/>
        <v>Jan</v>
      </c>
      <c r="E1108" t="str">
        <f t="shared" si="69"/>
        <v>2024</v>
      </c>
      <c r="F1108" t="s">
        <v>4</v>
      </c>
      <c r="G1108" t="s">
        <v>20</v>
      </c>
      <c r="H1108" t="s">
        <v>943</v>
      </c>
      <c r="I1108">
        <v>160</v>
      </c>
      <c r="J1108">
        <v>22</v>
      </c>
      <c r="K1108">
        <f t="shared" si="70"/>
        <v>13.750000000000002</v>
      </c>
      <c r="L1108" t="s">
        <v>1740</v>
      </c>
      <c r="M1108" t="s">
        <v>3799</v>
      </c>
      <c r="N1108" t="s">
        <v>1</v>
      </c>
      <c r="O1108">
        <v>795001</v>
      </c>
      <c r="P1108" t="s">
        <v>546</v>
      </c>
      <c r="Q1108" t="s">
        <v>1776</v>
      </c>
      <c r="R1108" t="s">
        <v>2</v>
      </c>
      <c r="S1108">
        <v>2.3279999999999998</v>
      </c>
      <c r="T1108">
        <v>2</v>
      </c>
      <c r="U1108">
        <v>0.6</v>
      </c>
      <c r="V1108">
        <v>-0.75660000000000005</v>
      </c>
      <c r="W1108">
        <f t="shared" si="71"/>
        <v>1.5423</v>
      </c>
      <c r="X1108">
        <v>2</v>
      </c>
    </row>
    <row r="1109" spans="1:24" x14ac:dyDescent="0.3">
      <c r="A1109">
        <v>1108</v>
      </c>
      <c r="B1109" t="s">
        <v>2874</v>
      </c>
      <c r="C1109" s="6">
        <v>45304</v>
      </c>
      <c r="D1109" t="str">
        <f t="shared" si="68"/>
        <v>Jan</v>
      </c>
      <c r="E1109" t="str">
        <f t="shared" si="69"/>
        <v>2024</v>
      </c>
      <c r="F1109" t="s">
        <v>4</v>
      </c>
      <c r="G1109" t="s">
        <v>20</v>
      </c>
      <c r="H1109" t="s">
        <v>1375</v>
      </c>
      <c r="I1109">
        <v>160</v>
      </c>
      <c r="J1109">
        <v>30</v>
      </c>
      <c r="K1109">
        <f t="shared" si="70"/>
        <v>18.75</v>
      </c>
      <c r="L1109" t="s">
        <v>1742</v>
      </c>
      <c r="M1109" t="s">
        <v>3800</v>
      </c>
      <c r="O1109">
        <v>700156</v>
      </c>
      <c r="P1109" t="s">
        <v>546</v>
      </c>
      <c r="Q1109" t="s">
        <v>1758</v>
      </c>
      <c r="S1109">
        <v>10.78</v>
      </c>
      <c r="T1109">
        <v>5</v>
      </c>
      <c r="U1109">
        <v>0.8</v>
      </c>
      <c r="V1109">
        <v>-17.248000000000001</v>
      </c>
      <c r="W1109">
        <f t="shared" si="71"/>
        <v>5.6055999999999999</v>
      </c>
      <c r="X1109">
        <v>2</v>
      </c>
    </row>
    <row r="1110" spans="1:24" x14ac:dyDescent="0.3">
      <c r="A1110">
        <v>1109</v>
      </c>
      <c r="B1110" t="s">
        <v>2875</v>
      </c>
      <c r="C1110" s="6">
        <v>45305</v>
      </c>
      <c r="D1110" t="str">
        <f t="shared" si="68"/>
        <v>Jan</v>
      </c>
      <c r="E1110" t="str">
        <f t="shared" si="69"/>
        <v>2024</v>
      </c>
      <c r="F1110" t="s">
        <v>4</v>
      </c>
      <c r="G1110" t="s">
        <v>20</v>
      </c>
      <c r="H1110" t="s">
        <v>1376</v>
      </c>
      <c r="I1110">
        <v>230</v>
      </c>
      <c r="J1110">
        <v>26</v>
      </c>
      <c r="K1110">
        <f t="shared" si="70"/>
        <v>11.304347826086957</v>
      </c>
      <c r="L1110" t="s">
        <v>1739</v>
      </c>
      <c r="M1110" t="s">
        <v>3637</v>
      </c>
      <c r="O1110">
        <v>700156</v>
      </c>
      <c r="P1110" t="s">
        <v>546</v>
      </c>
      <c r="Q1110" t="s">
        <v>1768</v>
      </c>
      <c r="R1110" t="s">
        <v>2</v>
      </c>
      <c r="S1110">
        <v>58.368000000000002</v>
      </c>
      <c r="T1110">
        <v>12</v>
      </c>
      <c r="U1110">
        <v>0.2</v>
      </c>
      <c r="V1110">
        <v>21.888000000000002</v>
      </c>
      <c r="W1110">
        <f t="shared" si="71"/>
        <v>3.0400000000000005</v>
      </c>
      <c r="X1110">
        <v>5</v>
      </c>
    </row>
    <row r="1111" spans="1:24" x14ac:dyDescent="0.3">
      <c r="A1111">
        <v>1110</v>
      </c>
      <c r="B1111" t="s">
        <v>2876</v>
      </c>
      <c r="C1111" s="6">
        <v>45306</v>
      </c>
      <c r="D1111" t="str">
        <f t="shared" si="68"/>
        <v>Jan</v>
      </c>
      <c r="E1111" t="str">
        <f t="shared" si="69"/>
        <v>2024</v>
      </c>
      <c r="F1111" t="s">
        <v>4</v>
      </c>
      <c r="G1111" t="s">
        <v>20</v>
      </c>
      <c r="H1111" t="s">
        <v>1377</v>
      </c>
      <c r="I1111">
        <v>140</v>
      </c>
      <c r="J1111">
        <v>10</v>
      </c>
      <c r="K1111">
        <f t="shared" si="70"/>
        <v>7.1428571428571423</v>
      </c>
      <c r="L1111" t="s">
        <v>1738</v>
      </c>
      <c r="M1111" t="s">
        <v>3814</v>
      </c>
      <c r="N1111" t="s">
        <v>1</v>
      </c>
      <c r="O1111">
        <v>689654</v>
      </c>
      <c r="P1111" t="s">
        <v>546</v>
      </c>
      <c r="Q1111" t="s">
        <v>1759</v>
      </c>
      <c r="R1111" t="s">
        <v>2</v>
      </c>
      <c r="S1111">
        <v>40.968000000000004</v>
      </c>
      <c r="T1111">
        <v>3</v>
      </c>
      <c r="U1111">
        <v>0.2</v>
      </c>
      <c r="V1111">
        <v>13.826700000000001</v>
      </c>
      <c r="W1111">
        <f t="shared" si="71"/>
        <v>9.0471000000000004</v>
      </c>
      <c r="X1111">
        <v>5</v>
      </c>
    </row>
    <row r="1112" spans="1:24" x14ac:dyDescent="0.3">
      <c r="A1112">
        <v>1111</v>
      </c>
      <c r="B1112" t="s">
        <v>2877</v>
      </c>
      <c r="C1112" s="6">
        <v>45307</v>
      </c>
      <c r="D1112" t="str">
        <f t="shared" si="68"/>
        <v>Jan</v>
      </c>
      <c r="E1112" t="str">
        <f t="shared" si="69"/>
        <v>2024</v>
      </c>
      <c r="F1112" t="s">
        <v>4</v>
      </c>
      <c r="G1112" t="s">
        <v>20</v>
      </c>
      <c r="H1112" t="s">
        <v>1378</v>
      </c>
      <c r="I1112">
        <v>190</v>
      </c>
      <c r="J1112">
        <v>26</v>
      </c>
      <c r="K1112">
        <f t="shared" si="70"/>
        <v>13.684210526315791</v>
      </c>
      <c r="L1112" t="s">
        <v>1737</v>
      </c>
      <c r="M1112" t="s">
        <v>3813</v>
      </c>
      <c r="N1112" t="s">
        <v>1</v>
      </c>
      <c r="O1112">
        <v>110085</v>
      </c>
      <c r="P1112" t="s">
        <v>546</v>
      </c>
      <c r="Q1112" t="s">
        <v>1763</v>
      </c>
      <c r="S1112">
        <v>71.959999999999994</v>
      </c>
      <c r="T1112">
        <v>5</v>
      </c>
      <c r="U1112">
        <v>0.2</v>
      </c>
      <c r="V1112">
        <v>25.186</v>
      </c>
      <c r="W1112">
        <f t="shared" si="71"/>
        <v>9.3547999999999991</v>
      </c>
      <c r="X1112">
        <v>1</v>
      </c>
    </row>
    <row r="1113" spans="1:24" x14ac:dyDescent="0.3">
      <c r="A1113">
        <v>1112</v>
      </c>
      <c r="B1113" t="s">
        <v>2878</v>
      </c>
      <c r="C1113" s="6">
        <v>45308</v>
      </c>
      <c r="D1113" t="str">
        <f t="shared" si="68"/>
        <v>Jan</v>
      </c>
      <c r="E1113" t="str">
        <f t="shared" si="69"/>
        <v>2024</v>
      </c>
      <c r="F1113" t="s">
        <v>4</v>
      </c>
      <c r="G1113" t="s">
        <v>20</v>
      </c>
      <c r="H1113" t="s">
        <v>1379</v>
      </c>
      <c r="I1113">
        <v>100</v>
      </c>
      <c r="J1113">
        <v>20</v>
      </c>
      <c r="K1113">
        <f t="shared" si="70"/>
        <v>20</v>
      </c>
      <c r="L1113" t="s">
        <v>1743</v>
      </c>
      <c r="M1113" t="s">
        <v>3610</v>
      </c>
      <c r="N1113" t="s">
        <v>1</v>
      </c>
      <c r="O1113">
        <v>500062</v>
      </c>
      <c r="P1113" t="s">
        <v>546</v>
      </c>
      <c r="Q1113" t="s">
        <v>1756</v>
      </c>
      <c r="S1113">
        <v>10.368</v>
      </c>
      <c r="T1113">
        <v>2</v>
      </c>
      <c r="U1113">
        <v>0.2</v>
      </c>
      <c r="V1113">
        <v>3.6288</v>
      </c>
      <c r="W1113">
        <f t="shared" si="71"/>
        <v>3.3696000000000002</v>
      </c>
      <c r="X1113">
        <v>2</v>
      </c>
    </row>
    <row r="1114" spans="1:24" x14ac:dyDescent="0.3">
      <c r="A1114">
        <v>1113</v>
      </c>
      <c r="B1114" t="s">
        <v>2879</v>
      </c>
      <c r="C1114" s="6">
        <v>45309</v>
      </c>
      <c r="D1114" t="str">
        <f t="shared" si="68"/>
        <v>Jan</v>
      </c>
      <c r="E1114" t="str">
        <f t="shared" si="69"/>
        <v>2024</v>
      </c>
      <c r="F1114" t="s">
        <v>4</v>
      </c>
      <c r="G1114" t="s">
        <v>20</v>
      </c>
      <c r="H1114" t="s">
        <v>645</v>
      </c>
      <c r="I1114">
        <v>150</v>
      </c>
      <c r="J1114">
        <v>6</v>
      </c>
      <c r="K1114">
        <f t="shared" si="70"/>
        <v>4</v>
      </c>
      <c r="L1114" t="s">
        <v>1738</v>
      </c>
      <c r="M1114" t="s">
        <v>3807</v>
      </c>
      <c r="N1114" t="s">
        <v>1</v>
      </c>
      <c r="O1114">
        <v>411038</v>
      </c>
      <c r="P1114" t="s">
        <v>546</v>
      </c>
      <c r="Q1114" t="s">
        <v>1764</v>
      </c>
      <c r="S1114">
        <v>1.1919999999999999</v>
      </c>
      <c r="T1114">
        <v>2</v>
      </c>
      <c r="U1114">
        <v>0.8</v>
      </c>
      <c r="V1114">
        <v>-2.0264000000000002</v>
      </c>
      <c r="W1114">
        <f t="shared" si="71"/>
        <v>1.6092</v>
      </c>
      <c r="X1114">
        <v>2</v>
      </c>
    </row>
    <row r="1115" spans="1:24" x14ac:dyDescent="0.3">
      <c r="A1115">
        <v>1114</v>
      </c>
      <c r="B1115" t="s">
        <v>2880</v>
      </c>
      <c r="C1115" s="6">
        <v>45310</v>
      </c>
      <c r="D1115" t="str">
        <f t="shared" si="68"/>
        <v>Jan</v>
      </c>
      <c r="E1115" t="str">
        <f t="shared" si="69"/>
        <v>2024</v>
      </c>
      <c r="F1115" t="s">
        <v>3</v>
      </c>
      <c r="G1115" t="s">
        <v>161</v>
      </c>
      <c r="H1115" t="s">
        <v>1252</v>
      </c>
      <c r="I1115">
        <v>170</v>
      </c>
      <c r="J1115">
        <v>6</v>
      </c>
      <c r="K1115">
        <f t="shared" si="70"/>
        <v>3.5294117647058822</v>
      </c>
      <c r="L1115" t="s">
        <v>1739</v>
      </c>
      <c r="M1115" t="s">
        <v>3707</v>
      </c>
      <c r="N1115" t="s">
        <v>1</v>
      </c>
      <c r="O1115">
        <v>700048</v>
      </c>
      <c r="P1115" t="s">
        <v>546</v>
      </c>
      <c r="Q1115" t="s">
        <v>1764</v>
      </c>
      <c r="S1115">
        <v>46.671999999999997</v>
      </c>
      <c r="T1115">
        <v>2</v>
      </c>
      <c r="U1115">
        <v>0.2</v>
      </c>
      <c r="V1115">
        <v>16.3352</v>
      </c>
      <c r="W1115">
        <f t="shared" si="71"/>
        <v>15.168399999999998</v>
      </c>
      <c r="X1115">
        <v>4</v>
      </c>
    </row>
    <row r="1116" spans="1:24" x14ac:dyDescent="0.3">
      <c r="A1116">
        <v>1115</v>
      </c>
      <c r="B1116" t="s">
        <v>2881</v>
      </c>
      <c r="C1116" s="6">
        <v>45311</v>
      </c>
      <c r="D1116" t="str">
        <f t="shared" si="68"/>
        <v>Jan</v>
      </c>
      <c r="E1116" t="str">
        <f t="shared" si="69"/>
        <v>2024</v>
      </c>
      <c r="F1116" t="s">
        <v>3</v>
      </c>
      <c r="G1116" t="s">
        <v>161</v>
      </c>
      <c r="H1116" t="s">
        <v>1380</v>
      </c>
      <c r="I1116">
        <v>140</v>
      </c>
      <c r="J1116">
        <v>6</v>
      </c>
      <c r="K1116">
        <f t="shared" si="70"/>
        <v>4.2857142857142856</v>
      </c>
      <c r="L1116" t="s">
        <v>1741</v>
      </c>
      <c r="M1116" t="s">
        <v>3805</v>
      </c>
      <c r="N1116" t="s">
        <v>1</v>
      </c>
      <c r="O1116">
        <v>700019</v>
      </c>
      <c r="P1116" t="s">
        <v>546</v>
      </c>
      <c r="Q1116" t="s">
        <v>1764</v>
      </c>
      <c r="S1116">
        <v>119.833</v>
      </c>
      <c r="T1116">
        <v>1</v>
      </c>
      <c r="U1116">
        <v>0.15</v>
      </c>
      <c r="V1116">
        <v>-12.6882</v>
      </c>
      <c r="W1116">
        <f t="shared" si="71"/>
        <v>132.52119999999999</v>
      </c>
      <c r="X1116">
        <v>5</v>
      </c>
    </row>
    <row r="1117" spans="1:24" x14ac:dyDescent="0.3">
      <c r="A1117">
        <v>1116</v>
      </c>
      <c r="B1117" t="s">
        <v>2882</v>
      </c>
      <c r="C1117" s="6">
        <v>45312</v>
      </c>
      <c r="D1117" t="str">
        <f t="shared" si="68"/>
        <v>Jan</v>
      </c>
      <c r="E1117" t="str">
        <f t="shared" si="69"/>
        <v>2024</v>
      </c>
      <c r="F1117" t="s">
        <v>3</v>
      </c>
      <c r="G1117" t="s">
        <v>161</v>
      </c>
      <c r="H1117" t="s">
        <v>1150</v>
      </c>
      <c r="I1117">
        <v>180</v>
      </c>
      <c r="J1117">
        <v>20</v>
      </c>
      <c r="K1117">
        <f t="shared" si="70"/>
        <v>11.111111111111111</v>
      </c>
      <c r="L1117" t="s">
        <v>1736</v>
      </c>
      <c r="M1117" t="s">
        <v>3797</v>
      </c>
      <c r="N1117" t="s">
        <v>1</v>
      </c>
      <c r="O1117">
        <v>560068</v>
      </c>
      <c r="P1117" t="s">
        <v>546</v>
      </c>
      <c r="Q1117" t="s">
        <v>1755</v>
      </c>
      <c r="R1117" t="s">
        <v>2</v>
      </c>
      <c r="S1117">
        <v>119.98</v>
      </c>
      <c r="T1117">
        <v>2</v>
      </c>
      <c r="U1117">
        <v>0.1</v>
      </c>
      <c r="V1117">
        <v>57.590400000000002</v>
      </c>
      <c r="W1117">
        <f t="shared" si="71"/>
        <v>31.194800000000001</v>
      </c>
      <c r="X1117">
        <v>4</v>
      </c>
    </row>
    <row r="1118" spans="1:24" x14ac:dyDescent="0.3">
      <c r="A1118">
        <v>1117</v>
      </c>
      <c r="B1118" t="s">
        <v>2883</v>
      </c>
      <c r="C1118" s="6">
        <v>45313</v>
      </c>
      <c r="D1118" t="str">
        <f t="shared" si="68"/>
        <v>Jan</v>
      </c>
      <c r="E1118" t="str">
        <f t="shared" si="69"/>
        <v>2024</v>
      </c>
      <c r="F1118" t="s">
        <v>3</v>
      </c>
      <c r="G1118" t="s">
        <v>400</v>
      </c>
      <c r="H1118" t="s">
        <v>912</v>
      </c>
      <c r="I1118">
        <v>200</v>
      </c>
      <c r="J1118">
        <v>6</v>
      </c>
      <c r="K1118">
        <f t="shared" si="70"/>
        <v>3</v>
      </c>
      <c r="L1118" t="s">
        <v>1744</v>
      </c>
      <c r="M1118" t="s">
        <v>3685</v>
      </c>
      <c r="N1118" t="s">
        <v>1</v>
      </c>
      <c r="O1118">
        <v>122004</v>
      </c>
      <c r="P1118" t="s">
        <v>546</v>
      </c>
      <c r="Q1118" t="s">
        <v>1772</v>
      </c>
      <c r="R1118" t="s">
        <v>2</v>
      </c>
      <c r="S1118">
        <v>6.3</v>
      </c>
      <c r="T1118">
        <v>2</v>
      </c>
      <c r="U1118">
        <v>0.1</v>
      </c>
      <c r="V1118">
        <v>3.024</v>
      </c>
      <c r="W1118">
        <f t="shared" si="71"/>
        <v>1.6379999999999999</v>
      </c>
      <c r="X1118">
        <v>3</v>
      </c>
    </row>
    <row r="1119" spans="1:24" x14ac:dyDescent="0.3">
      <c r="A1119">
        <v>1118</v>
      </c>
      <c r="B1119" t="s">
        <v>2884</v>
      </c>
      <c r="C1119" s="6">
        <v>45314</v>
      </c>
      <c r="D1119" t="str">
        <f t="shared" si="68"/>
        <v>Jan</v>
      </c>
      <c r="E1119" t="str">
        <f t="shared" si="69"/>
        <v>2024</v>
      </c>
      <c r="F1119" t="s">
        <v>4</v>
      </c>
      <c r="G1119" t="s">
        <v>401</v>
      </c>
      <c r="H1119" t="s">
        <v>861</v>
      </c>
      <c r="I1119">
        <v>130</v>
      </c>
      <c r="J1119">
        <v>10</v>
      </c>
      <c r="K1119">
        <f t="shared" si="70"/>
        <v>7.6923076923076925</v>
      </c>
      <c r="L1119" t="s">
        <v>1740</v>
      </c>
      <c r="M1119" t="s">
        <v>3791</v>
      </c>
      <c r="N1119" t="s">
        <v>1</v>
      </c>
      <c r="O1119">
        <v>400067</v>
      </c>
      <c r="P1119" t="s">
        <v>546</v>
      </c>
      <c r="Q1119" t="s">
        <v>1773</v>
      </c>
      <c r="S1119">
        <v>279.89999999999998</v>
      </c>
      <c r="T1119">
        <v>5</v>
      </c>
      <c r="U1119">
        <v>0.1</v>
      </c>
      <c r="V1119">
        <v>137.15100000000001</v>
      </c>
      <c r="W1119">
        <f t="shared" si="71"/>
        <v>28.549799999999994</v>
      </c>
      <c r="X1119">
        <v>4</v>
      </c>
    </row>
    <row r="1120" spans="1:24" x14ac:dyDescent="0.3">
      <c r="A1120">
        <v>1119</v>
      </c>
      <c r="B1120" t="s">
        <v>2885</v>
      </c>
      <c r="C1120" s="6">
        <v>45315</v>
      </c>
      <c r="D1120" t="str">
        <f t="shared" si="68"/>
        <v>Jan</v>
      </c>
      <c r="E1120" t="str">
        <f t="shared" si="69"/>
        <v>2024</v>
      </c>
      <c r="F1120" t="s">
        <v>4</v>
      </c>
      <c r="G1120" t="s">
        <v>401</v>
      </c>
      <c r="H1120" t="s">
        <v>1242</v>
      </c>
      <c r="I1120">
        <v>210</v>
      </c>
      <c r="J1120">
        <v>10</v>
      </c>
      <c r="K1120">
        <f t="shared" si="70"/>
        <v>4.7619047619047619</v>
      </c>
      <c r="L1120" t="s">
        <v>1742</v>
      </c>
      <c r="M1120" t="s">
        <v>3647</v>
      </c>
      <c r="N1120" t="s">
        <v>1</v>
      </c>
      <c r="O1120">
        <v>110075</v>
      </c>
      <c r="P1120" t="s">
        <v>546</v>
      </c>
      <c r="Q1120" t="s">
        <v>1776</v>
      </c>
      <c r="S1120">
        <v>619.95000000000005</v>
      </c>
      <c r="T1120">
        <v>5</v>
      </c>
      <c r="U1120">
        <v>0.1</v>
      </c>
      <c r="V1120">
        <v>111.59099999999999</v>
      </c>
      <c r="W1120">
        <f t="shared" si="71"/>
        <v>101.6718</v>
      </c>
      <c r="X1120">
        <v>1</v>
      </c>
    </row>
    <row r="1121" spans="1:24" x14ac:dyDescent="0.3">
      <c r="A1121">
        <v>1120</v>
      </c>
      <c r="B1121" t="s">
        <v>2886</v>
      </c>
      <c r="C1121" s="6">
        <v>45316</v>
      </c>
      <c r="D1121" t="str">
        <f t="shared" si="68"/>
        <v>Jan</v>
      </c>
      <c r="E1121" t="str">
        <f t="shared" si="69"/>
        <v>2024</v>
      </c>
      <c r="F1121" t="s">
        <v>4</v>
      </c>
      <c r="G1121" t="s">
        <v>401</v>
      </c>
      <c r="H1121" t="s">
        <v>1381</v>
      </c>
      <c r="I1121">
        <v>160</v>
      </c>
      <c r="J1121">
        <v>24</v>
      </c>
      <c r="K1121">
        <f t="shared" si="70"/>
        <v>15</v>
      </c>
      <c r="L1121" t="s">
        <v>1739</v>
      </c>
      <c r="M1121" t="s">
        <v>3697</v>
      </c>
      <c r="N1121" t="s">
        <v>1</v>
      </c>
      <c r="O1121">
        <v>570011</v>
      </c>
      <c r="P1121" t="s">
        <v>546</v>
      </c>
      <c r="Q1121" t="s">
        <v>1760</v>
      </c>
      <c r="R1121" t="s">
        <v>2</v>
      </c>
      <c r="S1121">
        <v>4.3600000000000003</v>
      </c>
      <c r="T1121">
        <v>2</v>
      </c>
      <c r="U1121">
        <v>0.1</v>
      </c>
      <c r="V1121">
        <v>2.0491999999999999</v>
      </c>
      <c r="W1121">
        <f t="shared" si="71"/>
        <v>1.1554000000000002</v>
      </c>
      <c r="X1121">
        <v>2</v>
      </c>
    </row>
    <row r="1122" spans="1:24" x14ac:dyDescent="0.3">
      <c r="A1122">
        <v>1121</v>
      </c>
      <c r="B1122" t="s">
        <v>2887</v>
      </c>
      <c r="C1122" s="6">
        <v>45317</v>
      </c>
      <c r="D1122" t="str">
        <f t="shared" si="68"/>
        <v>Jan</v>
      </c>
      <c r="E1122" t="str">
        <f t="shared" si="69"/>
        <v>2024</v>
      </c>
      <c r="F1122" t="s">
        <v>4</v>
      </c>
      <c r="G1122" t="s">
        <v>401</v>
      </c>
      <c r="H1122" t="s">
        <v>1208</v>
      </c>
      <c r="I1122">
        <v>150</v>
      </c>
      <c r="J1122">
        <v>12</v>
      </c>
      <c r="K1122">
        <f t="shared" si="70"/>
        <v>8</v>
      </c>
      <c r="L1122" t="s">
        <v>1738</v>
      </c>
      <c r="M1122" t="s">
        <v>3801</v>
      </c>
      <c r="N1122" t="s">
        <v>1</v>
      </c>
      <c r="O1122">
        <v>854303</v>
      </c>
      <c r="P1122" t="s">
        <v>546</v>
      </c>
      <c r="Q1122" t="s">
        <v>1772</v>
      </c>
      <c r="S1122">
        <v>15.28</v>
      </c>
      <c r="T1122">
        <v>2</v>
      </c>
      <c r="U1122">
        <v>0.1</v>
      </c>
      <c r="V1122">
        <v>7.4871999999999996</v>
      </c>
      <c r="W1122">
        <f t="shared" si="71"/>
        <v>3.8963999999999999</v>
      </c>
      <c r="X1122">
        <v>1</v>
      </c>
    </row>
    <row r="1123" spans="1:24" x14ac:dyDescent="0.3">
      <c r="A1123">
        <v>1122</v>
      </c>
      <c r="B1123" t="s">
        <v>2888</v>
      </c>
      <c r="C1123" s="6">
        <v>45318</v>
      </c>
      <c r="D1123" t="str">
        <f t="shared" si="68"/>
        <v>Jan</v>
      </c>
      <c r="E1123" t="str">
        <f t="shared" si="69"/>
        <v>2024</v>
      </c>
      <c r="F1123" t="s">
        <v>4</v>
      </c>
      <c r="G1123" t="s">
        <v>339</v>
      </c>
      <c r="H1123" t="s">
        <v>1382</v>
      </c>
      <c r="I1123">
        <v>170</v>
      </c>
      <c r="J1123">
        <v>20</v>
      </c>
      <c r="K1123">
        <f t="shared" si="70"/>
        <v>11.76470588235294</v>
      </c>
      <c r="L1123" t="s">
        <v>1737</v>
      </c>
      <c r="M1123" t="s">
        <v>3787</v>
      </c>
      <c r="N1123" t="s">
        <v>1</v>
      </c>
      <c r="O1123">
        <v>600099</v>
      </c>
      <c r="P1123" t="s">
        <v>546</v>
      </c>
      <c r="Q1123" t="s">
        <v>1758</v>
      </c>
      <c r="S1123">
        <v>699.93</v>
      </c>
      <c r="T1123">
        <v>7</v>
      </c>
      <c r="U1123">
        <v>0.1</v>
      </c>
      <c r="V1123">
        <v>181.98179999999999</v>
      </c>
      <c r="W1123">
        <f t="shared" si="71"/>
        <v>73.992599999999996</v>
      </c>
      <c r="X1123">
        <v>4</v>
      </c>
    </row>
    <row r="1124" spans="1:24" x14ac:dyDescent="0.3">
      <c r="A1124">
        <v>1123</v>
      </c>
      <c r="B1124" t="s">
        <v>2889</v>
      </c>
      <c r="C1124" s="6">
        <v>45319</v>
      </c>
      <c r="D1124" t="str">
        <f t="shared" si="68"/>
        <v>Jan</v>
      </c>
      <c r="E1124" t="str">
        <f t="shared" si="69"/>
        <v>2024</v>
      </c>
      <c r="F1124" t="s">
        <v>4</v>
      </c>
      <c r="G1124" t="s">
        <v>339</v>
      </c>
      <c r="H1124" t="s">
        <v>1383</v>
      </c>
      <c r="I1124">
        <v>150</v>
      </c>
      <c r="J1124">
        <v>26</v>
      </c>
      <c r="K1124">
        <f t="shared" si="70"/>
        <v>17.333333333333336</v>
      </c>
      <c r="L1124" t="s">
        <v>1743</v>
      </c>
      <c r="M1124" t="s">
        <v>3736</v>
      </c>
      <c r="N1124" t="s">
        <v>1</v>
      </c>
      <c r="O1124">
        <v>560064</v>
      </c>
      <c r="P1124" t="s">
        <v>546</v>
      </c>
      <c r="Q1124" t="s">
        <v>1759</v>
      </c>
      <c r="S1124">
        <v>22.96</v>
      </c>
      <c r="T1124">
        <v>7</v>
      </c>
      <c r="U1124">
        <v>0.1</v>
      </c>
      <c r="V1124">
        <v>6.6584000000000003</v>
      </c>
      <c r="W1124">
        <f t="shared" si="71"/>
        <v>2.3288000000000002</v>
      </c>
      <c r="X1124">
        <v>1</v>
      </c>
    </row>
    <row r="1125" spans="1:24" x14ac:dyDescent="0.3">
      <c r="A1125">
        <v>1124</v>
      </c>
      <c r="B1125" t="s">
        <v>2890</v>
      </c>
      <c r="C1125" s="6">
        <v>45320</v>
      </c>
      <c r="D1125" t="str">
        <f t="shared" si="68"/>
        <v>Jan</v>
      </c>
      <c r="E1125" t="str">
        <f t="shared" si="69"/>
        <v>2024</v>
      </c>
      <c r="F1125" t="s">
        <v>4</v>
      </c>
      <c r="G1125" t="s">
        <v>339</v>
      </c>
      <c r="H1125" t="s">
        <v>623</v>
      </c>
      <c r="I1125">
        <v>150</v>
      </c>
      <c r="J1125">
        <v>22</v>
      </c>
      <c r="K1125">
        <f t="shared" si="70"/>
        <v>14.666666666666666</v>
      </c>
      <c r="L1125" t="s">
        <v>1738</v>
      </c>
      <c r="M1125" t="s">
        <v>3804</v>
      </c>
      <c r="N1125" t="s">
        <v>1</v>
      </c>
      <c r="O1125">
        <v>577501</v>
      </c>
      <c r="P1125" t="s">
        <v>546</v>
      </c>
      <c r="Q1125" t="s">
        <v>1756</v>
      </c>
      <c r="R1125" t="s">
        <v>2</v>
      </c>
      <c r="S1125">
        <v>38.6</v>
      </c>
      <c r="T1125">
        <v>4</v>
      </c>
      <c r="U1125">
        <v>0.1</v>
      </c>
      <c r="V1125">
        <v>11.58</v>
      </c>
      <c r="W1125">
        <f t="shared" si="71"/>
        <v>6.7550000000000008</v>
      </c>
      <c r="X1125">
        <v>5</v>
      </c>
    </row>
    <row r="1126" spans="1:24" x14ac:dyDescent="0.3">
      <c r="A1126">
        <v>1125</v>
      </c>
      <c r="B1126" t="s">
        <v>2891</v>
      </c>
      <c r="C1126" s="6">
        <v>45321</v>
      </c>
      <c r="D1126" t="str">
        <f t="shared" si="68"/>
        <v>Jan</v>
      </c>
      <c r="E1126" t="str">
        <f t="shared" si="69"/>
        <v>2024</v>
      </c>
      <c r="F1126" t="s">
        <v>4</v>
      </c>
      <c r="G1126" t="s">
        <v>339</v>
      </c>
      <c r="H1126" t="s">
        <v>1000</v>
      </c>
      <c r="I1126">
        <v>160</v>
      </c>
      <c r="J1126">
        <v>26</v>
      </c>
      <c r="K1126">
        <f t="shared" si="70"/>
        <v>16.25</v>
      </c>
      <c r="L1126" t="s">
        <v>1739</v>
      </c>
      <c r="M1126" t="s">
        <v>3588</v>
      </c>
      <c r="N1126" t="s">
        <v>1</v>
      </c>
      <c r="O1126">
        <v>221005</v>
      </c>
      <c r="P1126" t="s">
        <v>546</v>
      </c>
      <c r="Q1126" t="s">
        <v>1763</v>
      </c>
      <c r="S1126">
        <v>6.63</v>
      </c>
      <c r="T1126">
        <v>3</v>
      </c>
      <c r="U1126">
        <v>0.1</v>
      </c>
      <c r="V1126">
        <v>1.7901</v>
      </c>
      <c r="W1126">
        <f t="shared" si="71"/>
        <v>1.6133</v>
      </c>
      <c r="X1126">
        <v>4</v>
      </c>
    </row>
    <row r="1127" spans="1:24" x14ac:dyDescent="0.3">
      <c r="A1127">
        <v>1126</v>
      </c>
      <c r="B1127" t="s">
        <v>2892</v>
      </c>
      <c r="C1127" s="6">
        <v>45322</v>
      </c>
      <c r="D1127" t="str">
        <f t="shared" si="68"/>
        <v>Jan</v>
      </c>
      <c r="E1127" t="str">
        <f t="shared" si="69"/>
        <v>2024</v>
      </c>
      <c r="F1127" t="s">
        <v>4</v>
      </c>
      <c r="G1127" t="s">
        <v>339</v>
      </c>
      <c r="H1127" t="s">
        <v>1384</v>
      </c>
      <c r="I1127">
        <v>140</v>
      </c>
      <c r="J1127">
        <v>20</v>
      </c>
      <c r="K1127">
        <f t="shared" si="70"/>
        <v>14.285714285714285</v>
      </c>
      <c r="L1127" t="s">
        <v>1741</v>
      </c>
      <c r="M1127" t="s">
        <v>3789</v>
      </c>
      <c r="O1127">
        <v>110085</v>
      </c>
      <c r="P1127" t="s">
        <v>546</v>
      </c>
      <c r="Q1127" t="s">
        <v>1773</v>
      </c>
      <c r="S1127">
        <v>23.34</v>
      </c>
      <c r="T1127">
        <v>3</v>
      </c>
      <c r="U1127">
        <v>0.1</v>
      </c>
      <c r="V1127">
        <v>10.969799999999999</v>
      </c>
      <c r="W1127">
        <f t="shared" si="71"/>
        <v>4.1234000000000002</v>
      </c>
      <c r="X1127">
        <v>3</v>
      </c>
    </row>
    <row r="1128" spans="1:24" x14ac:dyDescent="0.3">
      <c r="A1128">
        <v>1127</v>
      </c>
      <c r="B1128" t="s">
        <v>2893</v>
      </c>
      <c r="C1128" s="6">
        <v>45323</v>
      </c>
      <c r="D1128" t="str">
        <f t="shared" si="68"/>
        <v>Feb</v>
      </c>
      <c r="E1128" t="str">
        <f t="shared" si="69"/>
        <v>2024</v>
      </c>
      <c r="F1128" t="s">
        <v>4</v>
      </c>
      <c r="G1128" t="s">
        <v>339</v>
      </c>
      <c r="H1128" t="s">
        <v>953</v>
      </c>
      <c r="I1128">
        <v>110</v>
      </c>
      <c r="J1128">
        <v>20</v>
      </c>
      <c r="K1128">
        <f t="shared" si="70"/>
        <v>18.181818181818183</v>
      </c>
      <c r="L1128" t="s">
        <v>1736</v>
      </c>
      <c r="M1128" t="s">
        <v>3790</v>
      </c>
      <c r="N1128" t="s">
        <v>1</v>
      </c>
      <c r="O1128">
        <v>144002</v>
      </c>
      <c r="P1128" t="s">
        <v>546</v>
      </c>
      <c r="Q1128" t="s">
        <v>1765</v>
      </c>
      <c r="S1128">
        <v>1067.94</v>
      </c>
      <c r="T1128">
        <v>3</v>
      </c>
      <c r="U1128">
        <v>0.1</v>
      </c>
      <c r="V1128">
        <v>224.26740000000001</v>
      </c>
      <c r="W1128">
        <f t="shared" si="71"/>
        <v>281.22420000000005</v>
      </c>
      <c r="X1128">
        <v>2</v>
      </c>
    </row>
    <row r="1129" spans="1:24" x14ac:dyDescent="0.3">
      <c r="A1129">
        <v>1128</v>
      </c>
      <c r="B1129" t="s">
        <v>2894</v>
      </c>
      <c r="C1129" s="6">
        <v>45324</v>
      </c>
      <c r="D1129" t="str">
        <f t="shared" si="68"/>
        <v>Feb</v>
      </c>
      <c r="E1129" t="str">
        <f t="shared" si="69"/>
        <v>2024</v>
      </c>
      <c r="F1129" t="s">
        <v>4</v>
      </c>
      <c r="G1129" t="s">
        <v>57</v>
      </c>
      <c r="H1129" t="s">
        <v>947</v>
      </c>
      <c r="I1129">
        <v>120</v>
      </c>
      <c r="J1129">
        <v>6</v>
      </c>
      <c r="K1129">
        <f t="shared" si="70"/>
        <v>5</v>
      </c>
      <c r="L1129" t="s">
        <v>1744</v>
      </c>
      <c r="M1129" t="s">
        <v>3798</v>
      </c>
      <c r="N1129" t="s">
        <v>1</v>
      </c>
      <c r="O1129">
        <v>625513</v>
      </c>
      <c r="P1129" t="s">
        <v>546</v>
      </c>
      <c r="Q1129" t="s">
        <v>1767</v>
      </c>
      <c r="S1129">
        <v>10.16</v>
      </c>
      <c r="T1129">
        <v>1</v>
      </c>
      <c r="U1129">
        <v>0.1</v>
      </c>
      <c r="V1129">
        <v>2.6415999999999999</v>
      </c>
      <c r="W1129">
        <f t="shared" si="71"/>
        <v>7.5183999999999997</v>
      </c>
      <c r="X1129">
        <v>3</v>
      </c>
    </row>
    <row r="1130" spans="1:24" x14ac:dyDescent="0.3">
      <c r="A1130">
        <v>1129</v>
      </c>
      <c r="B1130" t="s">
        <v>2895</v>
      </c>
      <c r="C1130" s="6">
        <v>45325</v>
      </c>
      <c r="D1130" t="str">
        <f t="shared" si="68"/>
        <v>Feb</v>
      </c>
      <c r="E1130" t="str">
        <f t="shared" si="69"/>
        <v>2024</v>
      </c>
      <c r="F1130" t="s">
        <v>4</v>
      </c>
      <c r="G1130" t="s">
        <v>57</v>
      </c>
      <c r="H1130" t="s">
        <v>1165</v>
      </c>
      <c r="I1130">
        <v>110</v>
      </c>
      <c r="J1130">
        <v>16</v>
      </c>
      <c r="K1130">
        <f t="shared" si="70"/>
        <v>14.545454545454545</v>
      </c>
      <c r="L1130" t="s">
        <v>1740</v>
      </c>
      <c r="M1130" t="s">
        <v>3834</v>
      </c>
      <c r="N1130" t="s">
        <v>1</v>
      </c>
      <c r="O1130">
        <v>500100</v>
      </c>
      <c r="P1130" t="s">
        <v>546</v>
      </c>
      <c r="Q1130" t="s">
        <v>1763</v>
      </c>
      <c r="S1130">
        <v>101.88</v>
      </c>
      <c r="T1130">
        <v>6</v>
      </c>
      <c r="U1130">
        <v>0.1</v>
      </c>
      <c r="V1130">
        <v>50.94</v>
      </c>
      <c r="W1130">
        <f t="shared" si="71"/>
        <v>8.49</v>
      </c>
      <c r="X1130">
        <v>2</v>
      </c>
    </row>
    <row r="1131" spans="1:24" x14ac:dyDescent="0.3">
      <c r="A1131">
        <v>1130</v>
      </c>
      <c r="B1131" t="s">
        <v>2896</v>
      </c>
      <c r="C1131" s="6">
        <v>45326</v>
      </c>
      <c r="D1131" t="str">
        <f t="shared" si="68"/>
        <v>Feb</v>
      </c>
      <c r="E1131" t="str">
        <f t="shared" si="69"/>
        <v>2024</v>
      </c>
      <c r="F1131" t="s">
        <v>4</v>
      </c>
      <c r="G1131" t="s">
        <v>212</v>
      </c>
      <c r="H1131" t="s">
        <v>1385</v>
      </c>
      <c r="I1131">
        <v>110</v>
      </c>
      <c r="J1131">
        <v>12</v>
      </c>
      <c r="K1131">
        <f t="shared" si="70"/>
        <v>10.909090909090908</v>
      </c>
      <c r="L1131" t="s">
        <v>1742</v>
      </c>
      <c r="M1131" t="s">
        <v>3776</v>
      </c>
      <c r="N1131" t="s">
        <v>1</v>
      </c>
      <c r="O1131">
        <v>411014</v>
      </c>
      <c r="P1131" t="s">
        <v>546</v>
      </c>
      <c r="Q1131" t="s">
        <v>1774</v>
      </c>
      <c r="S1131">
        <v>343.92</v>
      </c>
      <c r="T1131">
        <v>4</v>
      </c>
      <c r="U1131">
        <v>0.1</v>
      </c>
      <c r="V1131">
        <v>75.662400000000005</v>
      </c>
      <c r="W1131">
        <f t="shared" si="71"/>
        <v>67.064400000000006</v>
      </c>
      <c r="X1131">
        <v>2</v>
      </c>
    </row>
    <row r="1132" spans="1:24" x14ac:dyDescent="0.3">
      <c r="A1132">
        <v>1131</v>
      </c>
      <c r="B1132" t="s">
        <v>1901</v>
      </c>
      <c r="C1132" s="6">
        <v>45327</v>
      </c>
      <c r="D1132" t="str">
        <f t="shared" si="68"/>
        <v>Feb</v>
      </c>
      <c r="E1132" t="str">
        <f t="shared" si="69"/>
        <v>2024</v>
      </c>
      <c r="F1132" t="s">
        <v>4</v>
      </c>
      <c r="G1132" t="s">
        <v>212</v>
      </c>
      <c r="H1132" t="s">
        <v>1386</v>
      </c>
      <c r="I1132">
        <v>180</v>
      </c>
      <c r="J1132">
        <v>8</v>
      </c>
      <c r="K1132">
        <f t="shared" si="70"/>
        <v>4.4444444444444446</v>
      </c>
      <c r="L1132" t="s">
        <v>1739</v>
      </c>
      <c r="M1132" t="s">
        <v>3785</v>
      </c>
      <c r="N1132" t="s">
        <v>1</v>
      </c>
      <c r="O1132">
        <v>231219</v>
      </c>
      <c r="P1132" t="s">
        <v>546</v>
      </c>
      <c r="Q1132" t="s">
        <v>1766</v>
      </c>
      <c r="S1132">
        <v>40.99</v>
      </c>
      <c r="T1132">
        <v>1</v>
      </c>
      <c r="U1132">
        <v>0.1</v>
      </c>
      <c r="V1132">
        <v>20.085100000000001</v>
      </c>
      <c r="W1132">
        <f t="shared" si="71"/>
        <v>20.904900000000001</v>
      </c>
      <c r="X1132">
        <v>3</v>
      </c>
    </row>
    <row r="1133" spans="1:24" x14ac:dyDescent="0.3">
      <c r="A1133">
        <v>1132</v>
      </c>
      <c r="B1133" t="s">
        <v>2897</v>
      </c>
      <c r="C1133" s="6">
        <v>45328</v>
      </c>
      <c r="D1133" t="str">
        <f t="shared" si="68"/>
        <v>Feb</v>
      </c>
      <c r="E1133" t="str">
        <f t="shared" si="69"/>
        <v>2024</v>
      </c>
      <c r="F1133" t="s">
        <v>4</v>
      </c>
      <c r="G1133" t="s">
        <v>212</v>
      </c>
      <c r="H1133" t="s">
        <v>665</v>
      </c>
      <c r="I1133">
        <v>210</v>
      </c>
      <c r="J1133">
        <v>8</v>
      </c>
      <c r="K1133">
        <f t="shared" si="70"/>
        <v>3.8095238095238098</v>
      </c>
      <c r="L1133" t="s">
        <v>1738</v>
      </c>
      <c r="M1133" t="s">
        <v>3788</v>
      </c>
      <c r="N1133" t="s">
        <v>1</v>
      </c>
      <c r="O1133">
        <v>474001</v>
      </c>
      <c r="P1133" t="s">
        <v>546</v>
      </c>
      <c r="Q1133" t="s">
        <v>1763</v>
      </c>
      <c r="S1133">
        <v>63.9</v>
      </c>
      <c r="T1133">
        <v>5</v>
      </c>
      <c r="U1133">
        <v>0.1</v>
      </c>
      <c r="V1133">
        <v>28.754999999999999</v>
      </c>
      <c r="W1133">
        <f t="shared" si="71"/>
        <v>7.028999999999999</v>
      </c>
      <c r="X1133">
        <v>2</v>
      </c>
    </row>
    <row r="1134" spans="1:24" x14ac:dyDescent="0.3">
      <c r="A1134">
        <v>1133</v>
      </c>
      <c r="B1134" t="s">
        <v>2898</v>
      </c>
      <c r="C1134" s="6">
        <v>45329</v>
      </c>
      <c r="D1134" t="str">
        <f t="shared" si="68"/>
        <v>Feb</v>
      </c>
      <c r="E1134" t="str">
        <f t="shared" si="69"/>
        <v>2024</v>
      </c>
      <c r="F1134" t="s">
        <v>5</v>
      </c>
      <c r="G1134" t="s">
        <v>62</v>
      </c>
      <c r="H1134" t="s">
        <v>807</v>
      </c>
      <c r="I1134">
        <v>140</v>
      </c>
      <c r="J1134">
        <v>24</v>
      </c>
      <c r="K1134">
        <f t="shared" si="70"/>
        <v>17.142857142857142</v>
      </c>
      <c r="L1134" t="s">
        <v>1737</v>
      </c>
      <c r="M1134" t="s">
        <v>3768</v>
      </c>
      <c r="N1134" t="s">
        <v>1</v>
      </c>
      <c r="O1134">
        <v>411019</v>
      </c>
      <c r="P1134" t="s">
        <v>546</v>
      </c>
      <c r="Q1134" t="s">
        <v>1766</v>
      </c>
      <c r="S1134">
        <v>19.440000000000001</v>
      </c>
      <c r="T1134">
        <v>3</v>
      </c>
      <c r="U1134">
        <v>0.1</v>
      </c>
      <c r="V1134">
        <v>9.3312000000000008</v>
      </c>
      <c r="W1134">
        <f t="shared" si="71"/>
        <v>3.3696000000000002</v>
      </c>
      <c r="X1134">
        <v>2</v>
      </c>
    </row>
    <row r="1135" spans="1:24" x14ac:dyDescent="0.3">
      <c r="A1135">
        <v>1134</v>
      </c>
      <c r="B1135" t="s">
        <v>2899</v>
      </c>
      <c r="C1135" s="6">
        <v>45330</v>
      </c>
      <c r="D1135" t="str">
        <f t="shared" si="68"/>
        <v>Feb</v>
      </c>
      <c r="E1135" t="str">
        <f t="shared" si="69"/>
        <v>2024</v>
      </c>
      <c r="F1135" t="s">
        <v>4</v>
      </c>
      <c r="G1135" t="s">
        <v>192</v>
      </c>
      <c r="H1135" t="s">
        <v>588</v>
      </c>
      <c r="I1135">
        <v>160</v>
      </c>
      <c r="J1135">
        <v>28</v>
      </c>
      <c r="K1135">
        <f t="shared" si="70"/>
        <v>17.5</v>
      </c>
      <c r="L1135" t="s">
        <v>1743</v>
      </c>
      <c r="M1135" t="s">
        <v>3769</v>
      </c>
      <c r="N1135" t="s">
        <v>1</v>
      </c>
      <c r="O1135">
        <v>441111</v>
      </c>
      <c r="P1135" t="s">
        <v>546</v>
      </c>
      <c r="Q1135" t="s">
        <v>1775</v>
      </c>
      <c r="R1135" t="s">
        <v>2</v>
      </c>
      <c r="S1135">
        <v>124.608</v>
      </c>
      <c r="T1135">
        <v>4</v>
      </c>
      <c r="U1135">
        <v>0.2</v>
      </c>
      <c r="V1135">
        <v>-23.364000000000001</v>
      </c>
      <c r="W1135">
        <f t="shared" si="71"/>
        <v>36.993000000000002</v>
      </c>
      <c r="X1135">
        <v>4</v>
      </c>
    </row>
    <row r="1136" spans="1:24" x14ac:dyDescent="0.3">
      <c r="A1136">
        <v>1135</v>
      </c>
      <c r="B1136" t="s">
        <v>2900</v>
      </c>
      <c r="C1136" s="6">
        <v>45331</v>
      </c>
      <c r="D1136" t="str">
        <f t="shared" si="68"/>
        <v>Feb</v>
      </c>
      <c r="E1136" t="str">
        <f t="shared" si="69"/>
        <v>2024</v>
      </c>
      <c r="F1136" t="s">
        <v>4</v>
      </c>
      <c r="G1136" t="s">
        <v>192</v>
      </c>
      <c r="H1136" t="s">
        <v>1387</v>
      </c>
      <c r="I1136">
        <v>100</v>
      </c>
      <c r="J1136">
        <v>12</v>
      </c>
      <c r="K1136">
        <f t="shared" si="70"/>
        <v>12</v>
      </c>
      <c r="L1136" t="s">
        <v>1738</v>
      </c>
      <c r="M1136" t="s">
        <v>3770</v>
      </c>
      <c r="O1136">
        <v>507303</v>
      </c>
      <c r="P1136" t="s">
        <v>546</v>
      </c>
      <c r="Q1136" t="s">
        <v>1765</v>
      </c>
      <c r="R1136" t="s">
        <v>2</v>
      </c>
      <c r="S1136">
        <v>7.56</v>
      </c>
      <c r="T1136">
        <v>3</v>
      </c>
      <c r="U1136">
        <v>0.2</v>
      </c>
      <c r="V1136">
        <v>2.6459999999999999</v>
      </c>
      <c r="W1136">
        <f t="shared" si="71"/>
        <v>1.6379999999999999</v>
      </c>
      <c r="X1136">
        <v>2</v>
      </c>
    </row>
    <row r="1137" spans="1:24" x14ac:dyDescent="0.3">
      <c r="A1137">
        <v>1136</v>
      </c>
      <c r="B1137" t="s">
        <v>2901</v>
      </c>
      <c r="C1137" s="6">
        <v>45332</v>
      </c>
      <c r="D1137" t="str">
        <f t="shared" si="68"/>
        <v>Feb</v>
      </c>
      <c r="E1137" t="str">
        <f t="shared" si="69"/>
        <v>2024</v>
      </c>
      <c r="F1137" t="s">
        <v>6</v>
      </c>
      <c r="G1137" t="s">
        <v>242</v>
      </c>
      <c r="H1137" t="s">
        <v>1388</v>
      </c>
      <c r="I1137">
        <v>170</v>
      </c>
      <c r="J1137">
        <v>16</v>
      </c>
      <c r="K1137">
        <f t="shared" si="70"/>
        <v>9.4117647058823533</v>
      </c>
      <c r="L1137" t="s">
        <v>1739</v>
      </c>
      <c r="M1137" t="s">
        <v>3771</v>
      </c>
      <c r="N1137" t="s">
        <v>1</v>
      </c>
      <c r="O1137">
        <v>411017</v>
      </c>
      <c r="P1137" t="s">
        <v>546</v>
      </c>
      <c r="Q1137" t="s">
        <v>1769</v>
      </c>
      <c r="R1137" t="s">
        <v>2</v>
      </c>
      <c r="S1137">
        <v>85.224000000000004</v>
      </c>
      <c r="T1137">
        <v>3</v>
      </c>
      <c r="U1137">
        <v>0.2</v>
      </c>
      <c r="V1137">
        <v>7.4570999999999996</v>
      </c>
      <c r="W1137">
        <f t="shared" si="71"/>
        <v>25.922300000000003</v>
      </c>
      <c r="X1137">
        <v>2</v>
      </c>
    </row>
    <row r="1138" spans="1:24" x14ac:dyDescent="0.3">
      <c r="A1138">
        <v>1137</v>
      </c>
      <c r="B1138" t="s">
        <v>2902</v>
      </c>
      <c r="C1138" s="6">
        <v>45333</v>
      </c>
      <c r="D1138" t="str">
        <f t="shared" si="68"/>
        <v>Feb</v>
      </c>
      <c r="E1138" t="str">
        <f t="shared" si="69"/>
        <v>2024</v>
      </c>
      <c r="F1138" t="s">
        <v>3</v>
      </c>
      <c r="G1138" t="s">
        <v>402</v>
      </c>
      <c r="H1138" t="s">
        <v>1389</v>
      </c>
      <c r="I1138">
        <v>190</v>
      </c>
      <c r="J1138">
        <v>16</v>
      </c>
      <c r="K1138">
        <f t="shared" si="70"/>
        <v>8.4210526315789469</v>
      </c>
      <c r="L1138" t="s">
        <v>1741</v>
      </c>
      <c r="M1138" t="s">
        <v>3796</v>
      </c>
      <c r="O1138">
        <v>122002</v>
      </c>
      <c r="P1138" t="s">
        <v>546</v>
      </c>
      <c r="Q1138" t="s">
        <v>1774</v>
      </c>
      <c r="S1138">
        <v>287.52</v>
      </c>
      <c r="T1138">
        <v>8</v>
      </c>
      <c r="U1138">
        <v>0.1</v>
      </c>
      <c r="V1138">
        <v>129.38399999999999</v>
      </c>
      <c r="W1138">
        <f t="shared" si="71"/>
        <v>19.766999999999999</v>
      </c>
      <c r="X1138">
        <v>5</v>
      </c>
    </row>
    <row r="1139" spans="1:24" x14ac:dyDescent="0.3">
      <c r="A1139">
        <v>1138</v>
      </c>
      <c r="B1139" t="s">
        <v>2903</v>
      </c>
      <c r="C1139" s="6">
        <v>45334</v>
      </c>
      <c r="D1139" t="str">
        <f t="shared" si="68"/>
        <v>Feb</v>
      </c>
      <c r="E1139" t="str">
        <f t="shared" si="69"/>
        <v>2024</v>
      </c>
      <c r="F1139" t="s">
        <v>3</v>
      </c>
      <c r="G1139" t="s">
        <v>402</v>
      </c>
      <c r="H1139" t="s">
        <v>1098</v>
      </c>
      <c r="I1139">
        <v>240</v>
      </c>
      <c r="J1139">
        <v>22</v>
      </c>
      <c r="K1139">
        <f t="shared" si="70"/>
        <v>9.1666666666666661</v>
      </c>
      <c r="L1139" t="s">
        <v>1736</v>
      </c>
      <c r="M1139" t="s">
        <v>3773</v>
      </c>
      <c r="N1139" t="s">
        <v>1</v>
      </c>
      <c r="O1139">
        <v>110027</v>
      </c>
      <c r="P1139" t="s">
        <v>546</v>
      </c>
      <c r="Q1139" t="s">
        <v>1758</v>
      </c>
      <c r="R1139" t="s">
        <v>2</v>
      </c>
      <c r="S1139">
        <v>37.68</v>
      </c>
      <c r="T1139">
        <v>2</v>
      </c>
      <c r="U1139">
        <v>0.1</v>
      </c>
      <c r="V1139">
        <v>10.5504</v>
      </c>
      <c r="W1139">
        <f t="shared" si="71"/>
        <v>13.5648</v>
      </c>
      <c r="X1139">
        <v>5</v>
      </c>
    </row>
    <row r="1140" spans="1:24" x14ac:dyDescent="0.3">
      <c r="A1140">
        <v>1139</v>
      </c>
      <c r="B1140" t="s">
        <v>2904</v>
      </c>
      <c r="C1140" s="6">
        <v>45335</v>
      </c>
      <c r="D1140" t="str">
        <f t="shared" si="68"/>
        <v>Feb</v>
      </c>
      <c r="E1140" t="str">
        <f t="shared" si="69"/>
        <v>2024</v>
      </c>
      <c r="F1140" t="s">
        <v>3</v>
      </c>
      <c r="G1140" t="s">
        <v>402</v>
      </c>
      <c r="H1140" t="s">
        <v>1390</v>
      </c>
      <c r="I1140">
        <v>170</v>
      </c>
      <c r="J1140">
        <v>28</v>
      </c>
      <c r="K1140">
        <f t="shared" si="70"/>
        <v>16.470588235294116</v>
      </c>
      <c r="L1140" t="s">
        <v>1744</v>
      </c>
      <c r="M1140" t="s">
        <v>3774</v>
      </c>
      <c r="N1140" t="s">
        <v>1</v>
      </c>
      <c r="O1140">
        <v>560040</v>
      </c>
      <c r="P1140" t="s">
        <v>546</v>
      </c>
      <c r="Q1140" t="s">
        <v>1758</v>
      </c>
      <c r="S1140">
        <v>19.98</v>
      </c>
      <c r="T1140">
        <v>2</v>
      </c>
      <c r="U1140">
        <v>0.1</v>
      </c>
      <c r="V1140">
        <v>8.9909999999999997</v>
      </c>
      <c r="W1140">
        <f t="shared" si="71"/>
        <v>5.4945000000000004</v>
      </c>
      <c r="X1140">
        <v>1</v>
      </c>
    </row>
    <row r="1141" spans="1:24" x14ac:dyDescent="0.3">
      <c r="A1141">
        <v>1140</v>
      </c>
      <c r="B1141" t="s">
        <v>2905</v>
      </c>
      <c r="C1141" s="6">
        <v>45336</v>
      </c>
      <c r="D1141" t="str">
        <f t="shared" si="68"/>
        <v>Feb</v>
      </c>
      <c r="E1141" t="str">
        <f t="shared" si="69"/>
        <v>2024</v>
      </c>
      <c r="F1141" t="s">
        <v>3</v>
      </c>
      <c r="G1141" t="s">
        <v>402</v>
      </c>
      <c r="H1141" t="s">
        <v>1048</v>
      </c>
      <c r="I1141">
        <v>210</v>
      </c>
      <c r="J1141">
        <v>22</v>
      </c>
      <c r="K1141">
        <f t="shared" si="70"/>
        <v>10.476190476190476</v>
      </c>
      <c r="L1141" t="s">
        <v>1740</v>
      </c>
      <c r="M1141" t="s">
        <v>3775</v>
      </c>
      <c r="N1141" t="s">
        <v>1</v>
      </c>
      <c r="O1141">
        <v>605001</v>
      </c>
      <c r="P1141" t="s">
        <v>546</v>
      </c>
      <c r="Q1141" t="s">
        <v>1776</v>
      </c>
      <c r="S1141">
        <v>20.58</v>
      </c>
      <c r="T1141">
        <v>7</v>
      </c>
      <c r="U1141">
        <v>0.1</v>
      </c>
      <c r="V1141">
        <v>5.5566000000000004</v>
      </c>
      <c r="W1141">
        <f t="shared" si="71"/>
        <v>2.1461999999999999</v>
      </c>
      <c r="X1141">
        <v>5</v>
      </c>
    </row>
    <row r="1142" spans="1:24" x14ac:dyDescent="0.3">
      <c r="A1142">
        <v>1141</v>
      </c>
      <c r="B1142" t="s">
        <v>2906</v>
      </c>
      <c r="C1142" s="6">
        <v>45337</v>
      </c>
      <c r="D1142" t="str">
        <f t="shared" si="68"/>
        <v>Feb</v>
      </c>
      <c r="E1142" t="str">
        <f t="shared" si="69"/>
        <v>2024</v>
      </c>
      <c r="F1142" t="s">
        <v>3</v>
      </c>
      <c r="G1142" t="s">
        <v>402</v>
      </c>
      <c r="H1142" t="s">
        <v>1391</v>
      </c>
      <c r="I1142">
        <v>150</v>
      </c>
      <c r="J1142">
        <v>14</v>
      </c>
      <c r="K1142">
        <f t="shared" si="70"/>
        <v>9.3333333333333339</v>
      </c>
      <c r="L1142" t="s">
        <v>1742</v>
      </c>
      <c r="M1142" t="s">
        <v>3765</v>
      </c>
      <c r="N1142" t="s">
        <v>1</v>
      </c>
      <c r="O1142">
        <v>600119</v>
      </c>
      <c r="P1142" t="s">
        <v>546</v>
      </c>
      <c r="Q1142" t="s">
        <v>1761</v>
      </c>
      <c r="S1142">
        <v>17.38</v>
      </c>
      <c r="T1142">
        <v>2</v>
      </c>
      <c r="U1142">
        <v>0.1</v>
      </c>
      <c r="V1142">
        <v>8.69</v>
      </c>
      <c r="W1142">
        <f t="shared" si="71"/>
        <v>4.3449999999999998</v>
      </c>
      <c r="X1142">
        <v>3</v>
      </c>
    </row>
    <row r="1143" spans="1:24" x14ac:dyDescent="0.3">
      <c r="A1143">
        <v>1142</v>
      </c>
      <c r="B1143" t="s">
        <v>2907</v>
      </c>
      <c r="C1143" s="6">
        <v>45338</v>
      </c>
      <c r="D1143" t="str">
        <f t="shared" si="68"/>
        <v>Feb</v>
      </c>
      <c r="E1143" t="str">
        <f t="shared" si="69"/>
        <v>2024</v>
      </c>
      <c r="F1143" t="s">
        <v>4</v>
      </c>
      <c r="G1143" t="s">
        <v>282</v>
      </c>
      <c r="H1143" t="s">
        <v>1290</v>
      </c>
      <c r="I1143">
        <v>230</v>
      </c>
      <c r="J1143">
        <v>12</v>
      </c>
      <c r="K1143">
        <f t="shared" si="70"/>
        <v>5.2173913043478262</v>
      </c>
      <c r="L1143" t="s">
        <v>1739</v>
      </c>
      <c r="M1143" t="s">
        <v>3777</v>
      </c>
      <c r="N1143" t="s">
        <v>1</v>
      </c>
      <c r="O1143">
        <v>560070</v>
      </c>
      <c r="P1143" t="s">
        <v>546</v>
      </c>
      <c r="Q1143" t="s">
        <v>1775</v>
      </c>
      <c r="S1143">
        <v>204.6</v>
      </c>
      <c r="T1143">
        <v>2</v>
      </c>
      <c r="U1143">
        <v>0.1</v>
      </c>
      <c r="V1143">
        <v>53.195999999999998</v>
      </c>
      <c r="W1143">
        <f t="shared" si="71"/>
        <v>75.701999999999998</v>
      </c>
      <c r="X1143">
        <v>5</v>
      </c>
    </row>
    <row r="1144" spans="1:24" x14ac:dyDescent="0.3">
      <c r="A1144">
        <v>1143</v>
      </c>
      <c r="B1144" t="s">
        <v>2908</v>
      </c>
      <c r="C1144" s="6">
        <v>45339</v>
      </c>
      <c r="D1144" t="str">
        <f t="shared" si="68"/>
        <v>Feb</v>
      </c>
      <c r="E1144" t="str">
        <f t="shared" si="69"/>
        <v>2024</v>
      </c>
      <c r="F1144" t="s">
        <v>4</v>
      </c>
      <c r="G1144" t="s">
        <v>282</v>
      </c>
      <c r="H1144" t="s">
        <v>1392</v>
      </c>
      <c r="I1144">
        <v>250</v>
      </c>
      <c r="J1144">
        <v>20</v>
      </c>
      <c r="K1144">
        <f t="shared" si="70"/>
        <v>8</v>
      </c>
      <c r="L1144" t="s">
        <v>1738</v>
      </c>
      <c r="M1144" t="s">
        <v>3750</v>
      </c>
      <c r="N1144" t="s">
        <v>1</v>
      </c>
      <c r="O1144">
        <v>560062</v>
      </c>
      <c r="P1144" t="s">
        <v>546</v>
      </c>
      <c r="Q1144" t="s">
        <v>1770</v>
      </c>
      <c r="S1144">
        <v>8.7200000000000006</v>
      </c>
      <c r="T1144">
        <v>4</v>
      </c>
      <c r="U1144">
        <v>0.1</v>
      </c>
      <c r="V1144">
        <v>2.8776000000000002</v>
      </c>
      <c r="W1144">
        <f t="shared" si="71"/>
        <v>1.4606000000000001</v>
      </c>
      <c r="X1144">
        <v>5</v>
      </c>
    </row>
    <row r="1145" spans="1:24" x14ac:dyDescent="0.3">
      <c r="A1145">
        <v>1144</v>
      </c>
      <c r="B1145" t="s">
        <v>2909</v>
      </c>
      <c r="C1145" s="6">
        <v>45340</v>
      </c>
      <c r="D1145" t="str">
        <f t="shared" si="68"/>
        <v>Feb</v>
      </c>
      <c r="E1145" t="str">
        <f t="shared" si="69"/>
        <v>2024</v>
      </c>
      <c r="F1145" t="s">
        <v>4</v>
      </c>
      <c r="G1145" t="s">
        <v>282</v>
      </c>
      <c r="H1145" t="s">
        <v>819</v>
      </c>
      <c r="I1145">
        <v>150</v>
      </c>
      <c r="J1145">
        <v>10</v>
      </c>
      <c r="K1145">
        <f t="shared" si="70"/>
        <v>6.666666666666667</v>
      </c>
      <c r="L1145" t="s">
        <v>1737</v>
      </c>
      <c r="M1145" t="s">
        <v>3835</v>
      </c>
      <c r="N1145" t="s">
        <v>1</v>
      </c>
      <c r="O1145">
        <v>110092</v>
      </c>
      <c r="P1145" t="s">
        <v>546</v>
      </c>
      <c r="Q1145" t="s">
        <v>1767</v>
      </c>
      <c r="S1145">
        <v>6.48</v>
      </c>
      <c r="T1145">
        <v>1</v>
      </c>
      <c r="U1145">
        <v>0.1</v>
      </c>
      <c r="V1145">
        <v>3.1103999999999998</v>
      </c>
      <c r="W1145">
        <f t="shared" si="71"/>
        <v>3.3696000000000006</v>
      </c>
      <c r="X1145">
        <v>2</v>
      </c>
    </row>
    <row r="1146" spans="1:24" x14ac:dyDescent="0.3">
      <c r="A1146">
        <v>1145</v>
      </c>
      <c r="B1146" t="s">
        <v>2910</v>
      </c>
      <c r="C1146" s="6">
        <v>45341</v>
      </c>
      <c r="D1146" t="str">
        <f t="shared" si="68"/>
        <v>Feb</v>
      </c>
      <c r="E1146" t="str">
        <f t="shared" si="69"/>
        <v>2024</v>
      </c>
      <c r="F1146" t="s">
        <v>4</v>
      </c>
      <c r="G1146" t="s">
        <v>282</v>
      </c>
      <c r="H1146" t="s">
        <v>1393</v>
      </c>
      <c r="I1146">
        <v>170</v>
      </c>
      <c r="J1146">
        <v>26</v>
      </c>
      <c r="K1146">
        <f t="shared" si="70"/>
        <v>15.294117647058824</v>
      </c>
      <c r="L1146" t="s">
        <v>1743</v>
      </c>
      <c r="M1146" t="s">
        <v>3836</v>
      </c>
      <c r="N1146" t="s">
        <v>1</v>
      </c>
      <c r="O1146">
        <v>673016</v>
      </c>
      <c r="P1146" t="s">
        <v>546</v>
      </c>
      <c r="Q1146" t="s">
        <v>1774</v>
      </c>
      <c r="S1146">
        <v>686.32</v>
      </c>
      <c r="T1146">
        <v>2</v>
      </c>
      <c r="U1146">
        <v>0.2</v>
      </c>
      <c r="V1146">
        <v>223.054</v>
      </c>
      <c r="W1146">
        <f t="shared" si="71"/>
        <v>231.63300000000004</v>
      </c>
      <c r="X1146">
        <v>4</v>
      </c>
    </row>
    <row r="1147" spans="1:24" x14ac:dyDescent="0.3">
      <c r="A1147">
        <v>1146</v>
      </c>
      <c r="B1147" t="s">
        <v>2911</v>
      </c>
      <c r="C1147" s="6">
        <v>45342</v>
      </c>
      <c r="D1147" t="str">
        <f t="shared" si="68"/>
        <v>Feb</v>
      </c>
      <c r="E1147" t="str">
        <f t="shared" si="69"/>
        <v>2024</v>
      </c>
      <c r="F1147" t="s">
        <v>4</v>
      </c>
      <c r="G1147" t="s">
        <v>282</v>
      </c>
      <c r="H1147" t="s">
        <v>1368</v>
      </c>
      <c r="I1147">
        <v>110</v>
      </c>
      <c r="J1147">
        <v>16</v>
      </c>
      <c r="K1147">
        <f t="shared" si="70"/>
        <v>14.545454545454545</v>
      </c>
      <c r="L1147" t="s">
        <v>1738</v>
      </c>
      <c r="M1147" t="s">
        <v>3795</v>
      </c>
      <c r="N1147" t="s">
        <v>1</v>
      </c>
      <c r="O1147">
        <v>415001</v>
      </c>
      <c r="P1147" t="s">
        <v>546</v>
      </c>
      <c r="Q1147" t="s">
        <v>1763</v>
      </c>
      <c r="S1147">
        <v>62.18</v>
      </c>
      <c r="T1147">
        <v>1</v>
      </c>
      <c r="U1147">
        <v>0.1</v>
      </c>
      <c r="V1147">
        <v>16.788599999999999</v>
      </c>
      <c r="W1147">
        <f t="shared" si="71"/>
        <v>45.391400000000004</v>
      </c>
      <c r="X1147">
        <v>1</v>
      </c>
    </row>
    <row r="1148" spans="1:24" x14ac:dyDescent="0.3">
      <c r="A1148">
        <v>1147</v>
      </c>
      <c r="B1148" t="s">
        <v>2877</v>
      </c>
      <c r="C1148" s="6">
        <v>45343</v>
      </c>
      <c r="D1148" t="str">
        <f t="shared" si="68"/>
        <v>Feb</v>
      </c>
      <c r="E1148" t="str">
        <f t="shared" si="69"/>
        <v>2024</v>
      </c>
      <c r="F1148" t="s">
        <v>6</v>
      </c>
      <c r="G1148" t="s">
        <v>403</v>
      </c>
      <c r="H1148" t="s">
        <v>1394</v>
      </c>
      <c r="I1148">
        <v>100</v>
      </c>
      <c r="J1148">
        <v>28</v>
      </c>
      <c r="K1148">
        <f t="shared" si="70"/>
        <v>28.000000000000004</v>
      </c>
      <c r="L1148" t="s">
        <v>1739</v>
      </c>
      <c r="M1148" t="s">
        <v>3751</v>
      </c>
      <c r="N1148" t="s">
        <v>1</v>
      </c>
      <c r="O1148">
        <v>415001</v>
      </c>
      <c r="P1148" t="s">
        <v>546</v>
      </c>
      <c r="Q1148" t="s">
        <v>1766</v>
      </c>
      <c r="R1148" t="s">
        <v>2</v>
      </c>
      <c r="S1148">
        <v>644.07600000000002</v>
      </c>
      <c r="T1148">
        <v>2</v>
      </c>
      <c r="U1148">
        <v>0.11</v>
      </c>
      <c r="V1148">
        <v>107.346</v>
      </c>
      <c r="W1148">
        <f t="shared" si="71"/>
        <v>268.36500000000001</v>
      </c>
      <c r="X1148">
        <v>1</v>
      </c>
    </row>
    <row r="1149" spans="1:24" x14ac:dyDescent="0.3">
      <c r="A1149">
        <v>1148</v>
      </c>
      <c r="B1149" t="s">
        <v>2912</v>
      </c>
      <c r="C1149" s="6">
        <v>45344</v>
      </c>
      <c r="D1149" t="str">
        <f t="shared" si="68"/>
        <v>Feb</v>
      </c>
      <c r="E1149" t="str">
        <f t="shared" si="69"/>
        <v>2024</v>
      </c>
      <c r="F1149" t="s">
        <v>6</v>
      </c>
      <c r="G1149" t="s">
        <v>403</v>
      </c>
      <c r="H1149" t="s">
        <v>1395</v>
      </c>
      <c r="I1149">
        <v>160</v>
      </c>
      <c r="J1149">
        <v>20</v>
      </c>
      <c r="K1149">
        <f t="shared" si="70"/>
        <v>12.5</v>
      </c>
      <c r="L1149" t="s">
        <v>1741</v>
      </c>
      <c r="M1149" t="s">
        <v>3752</v>
      </c>
      <c r="N1149" t="s">
        <v>1</v>
      </c>
      <c r="O1149">
        <v>415001</v>
      </c>
      <c r="P1149" t="s">
        <v>546</v>
      </c>
      <c r="Q1149" t="s">
        <v>1773</v>
      </c>
      <c r="R1149" t="s">
        <v>2</v>
      </c>
      <c r="S1149">
        <v>5.84</v>
      </c>
      <c r="T1149">
        <v>2</v>
      </c>
      <c r="U1149">
        <v>0.1</v>
      </c>
      <c r="V1149">
        <v>2.6280000000000001</v>
      </c>
      <c r="W1149">
        <f t="shared" si="71"/>
        <v>1.6059999999999999</v>
      </c>
      <c r="X1149">
        <v>5</v>
      </c>
    </row>
    <row r="1150" spans="1:24" x14ac:dyDescent="0.3">
      <c r="A1150">
        <v>1149</v>
      </c>
      <c r="B1150" t="s">
        <v>2913</v>
      </c>
      <c r="C1150" s="6">
        <v>45345</v>
      </c>
      <c r="D1150" t="str">
        <f t="shared" si="68"/>
        <v>Feb</v>
      </c>
      <c r="E1150" t="str">
        <f t="shared" si="69"/>
        <v>2024</v>
      </c>
      <c r="F1150" t="s">
        <v>6</v>
      </c>
      <c r="G1150" t="s">
        <v>403</v>
      </c>
      <c r="H1150" t="s">
        <v>1396</v>
      </c>
      <c r="I1150">
        <v>170</v>
      </c>
      <c r="J1150">
        <v>20</v>
      </c>
      <c r="K1150">
        <f t="shared" si="70"/>
        <v>11.76470588235294</v>
      </c>
      <c r="L1150" t="s">
        <v>1736</v>
      </c>
      <c r="M1150" t="s">
        <v>3753</v>
      </c>
      <c r="N1150" t="s">
        <v>1</v>
      </c>
      <c r="O1150">
        <v>415001</v>
      </c>
      <c r="P1150" t="s">
        <v>546</v>
      </c>
      <c r="Q1150" t="s">
        <v>1770</v>
      </c>
      <c r="R1150" t="s">
        <v>2</v>
      </c>
      <c r="S1150">
        <v>12.76</v>
      </c>
      <c r="T1150">
        <v>2</v>
      </c>
      <c r="U1150">
        <v>0.1</v>
      </c>
      <c r="V1150">
        <v>5.8696000000000002</v>
      </c>
      <c r="W1150">
        <f t="shared" si="71"/>
        <v>3.4451999999999998</v>
      </c>
      <c r="X1150">
        <v>3</v>
      </c>
    </row>
    <row r="1151" spans="1:24" x14ac:dyDescent="0.3">
      <c r="A1151">
        <v>1150</v>
      </c>
      <c r="B1151" t="s">
        <v>2914</v>
      </c>
      <c r="C1151" s="6">
        <v>45346</v>
      </c>
      <c r="D1151" t="str">
        <f t="shared" si="68"/>
        <v>Feb</v>
      </c>
      <c r="E1151" t="str">
        <f t="shared" si="69"/>
        <v>2024</v>
      </c>
      <c r="F1151" t="s">
        <v>6</v>
      </c>
      <c r="G1151" t="s">
        <v>403</v>
      </c>
      <c r="H1151" t="s">
        <v>1397</v>
      </c>
      <c r="I1151">
        <v>250</v>
      </c>
      <c r="J1151">
        <v>20</v>
      </c>
      <c r="K1151">
        <f t="shared" si="70"/>
        <v>8</v>
      </c>
      <c r="L1151" t="s">
        <v>1744</v>
      </c>
      <c r="M1151" t="s">
        <v>3754</v>
      </c>
      <c r="N1151" t="s">
        <v>1</v>
      </c>
      <c r="O1151">
        <v>600056</v>
      </c>
      <c r="P1151" t="s">
        <v>546</v>
      </c>
      <c r="Q1151" t="s">
        <v>1775</v>
      </c>
      <c r="S1151">
        <v>10.95</v>
      </c>
      <c r="T1151">
        <v>1</v>
      </c>
      <c r="U1151">
        <v>0.1</v>
      </c>
      <c r="V1151">
        <v>0.438</v>
      </c>
      <c r="W1151">
        <f t="shared" si="71"/>
        <v>10.511999999999999</v>
      </c>
      <c r="X1151">
        <v>2</v>
      </c>
    </row>
    <row r="1152" spans="1:24" x14ac:dyDescent="0.3">
      <c r="A1152">
        <v>1151</v>
      </c>
      <c r="B1152" t="s">
        <v>2915</v>
      </c>
      <c r="C1152" s="6">
        <v>45347</v>
      </c>
      <c r="D1152" t="str">
        <f t="shared" si="68"/>
        <v>Feb</v>
      </c>
      <c r="E1152" t="str">
        <f t="shared" si="69"/>
        <v>2024</v>
      </c>
      <c r="F1152" t="s">
        <v>6</v>
      </c>
      <c r="G1152" t="s">
        <v>403</v>
      </c>
      <c r="H1152" t="s">
        <v>1398</v>
      </c>
      <c r="I1152">
        <v>130</v>
      </c>
      <c r="J1152">
        <v>8</v>
      </c>
      <c r="K1152">
        <f t="shared" si="70"/>
        <v>6.1538461538461542</v>
      </c>
      <c r="L1152" t="s">
        <v>1740</v>
      </c>
      <c r="M1152" t="s">
        <v>3755</v>
      </c>
      <c r="N1152" t="s">
        <v>1</v>
      </c>
      <c r="O1152">
        <v>500089</v>
      </c>
      <c r="P1152" t="s">
        <v>546</v>
      </c>
      <c r="Q1152" t="s">
        <v>1765</v>
      </c>
      <c r="R1152" t="s">
        <v>2</v>
      </c>
      <c r="S1152">
        <v>599.98</v>
      </c>
      <c r="T1152">
        <v>2</v>
      </c>
      <c r="U1152">
        <v>0.1</v>
      </c>
      <c r="V1152">
        <v>209.99299999999999</v>
      </c>
      <c r="W1152">
        <f t="shared" si="71"/>
        <v>194.99350000000001</v>
      </c>
      <c r="X1152">
        <v>1</v>
      </c>
    </row>
    <row r="1153" spans="1:24" x14ac:dyDescent="0.3">
      <c r="A1153">
        <v>1152</v>
      </c>
      <c r="B1153" t="s">
        <v>2196</v>
      </c>
      <c r="C1153" s="6">
        <v>45348</v>
      </c>
      <c r="D1153" t="str">
        <f t="shared" si="68"/>
        <v>Feb</v>
      </c>
      <c r="E1153" t="str">
        <f t="shared" si="69"/>
        <v>2024</v>
      </c>
      <c r="F1153" t="s">
        <v>4</v>
      </c>
      <c r="G1153" t="s">
        <v>125</v>
      </c>
      <c r="H1153" t="s">
        <v>1399</v>
      </c>
      <c r="I1153">
        <v>130</v>
      </c>
      <c r="J1153">
        <v>30</v>
      </c>
      <c r="K1153">
        <f t="shared" si="70"/>
        <v>23.076923076923077</v>
      </c>
      <c r="L1153" t="s">
        <v>1742</v>
      </c>
      <c r="M1153" t="s">
        <v>3756</v>
      </c>
      <c r="N1153" t="s">
        <v>1</v>
      </c>
      <c r="O1153">
        <v>400601</v>
      </c>
      <c r="P1153" t="s">
        <v>546</v>
      </c>
      <c r="Q1153" t="s">
        <v>1767</v>
      </c>
      <c r="S1153">
        <v>8.3520000000000003</v>
      </c>
      <c r="T1153">
        <v>6</v>
      </c>
      <c r="U1153">
        <v>0.2</v>
      </c>
      <c r="V1153">
        <v>1.2527999999999999</v>
      </c>
      <c r="W1153">
        <f t="shared" si="71"/>
        <v>1.1832</v>
      </c>
      <c r="X1153">
        <v>1</v>
      </c>
    </row>
    <row r="1154" spans="1:24" x14ac:dyDescent="0.3">
      <c r="A1154">
        <v>1153</v>
      </c>
      <c r="B1154" t="s">
        <v>2916</v>
      </c>
      <c r="C1154" s="6">
        <v>45349</v>
      </c>
      <c r="D1154" t="str">
        <f t="shared" si="68"/>
        <v>Feb</v>
      </c>
      <c r="E1154" t="str">
        <f t="shared" si="69"/>
        <v>2024</v>
      </c>
      <c r="F1154" t="s">
        <v>4</v>
      </c>
      <c r="G1154" t="s">
        <v>133</v>
      </c>
      <c r="H1154" t="s">
        <v>1400</v>
      </c>
      <c r="I1154">
        <v>100</v>
      </c>
      <c r="J1154">
        <v>10</v>
      </c>
      <c r="K1154">
        <f t="shared" si="70"/>
        <v>10</v>
      </c>
      <c r="L1154" t="s">
        <v>1739</v>
      </c>
      <c r="M1154" t="s">
        <v>3757</v>
      </c>
      <c r="O1154">
        <v>110058</v>
      </c>
      <c r="P1154" t="s">
        <v>546</v>
      </c>
      <c r="Q1154" t="s">
        <v>1761</v>
      </c>
      <c r="S1154">
        <v>3.64</v>
      </c>
      <c r="T1154">
        <v>2</v>
      </c>
      <c r="U1154">
        <v>0.1</v>
      </c>
      <c r="V1154">
        <v>1.6379999999999999</v>
      </c>
      <c r="W1154">
        <f t="shared" si="71"/>
        <v>1.0010000000000001</v>
      </c>
      <c r="X1154">
        <v>1</v>
      </c>
    </row>
    <row r="1155" spans="1:24" x14ac:dyDescent="0.3">
      <c r="A1155">
        <v>1154</v>
      </c>
      <c r="B1155" t="s">
        <v>2917</v>
      </c>
      <c r="C1155" s="6">
        <v>45350</v>
      </c>
      <c r="D1155" t="str">
        <f t="shared" ref="D1155:D1218" si="72">TEXT(C1155,"Mmm")</f>
        <v>Feb</v>
      </c>
      <c r="E1155" t="str">
        <f t="shared" ref="E1155:E1218" si="73">TEXT(C1155,"YYYY")</f>
        <v>2024</v>
      </c>
      <c r="F1155" t="s">
        <v>4</v>
      </c>
      <c r="G1155" t="s">
        <v>133</v>
      </c>
      <c r="H1155" t="s">
        <v>1244</v>
      </c>
      <c r="I1155">
        <v>140</v>
      </c>
      <c r="J1155">
        <v>10</v>
      </c>
      <c r="K1155">
        <f t="shared" ref="K1155:K1218" si="74">(J1155/I1155)*100</f>
        <v>7.1428571428571423</v>
      </c>
      <c r="L1155" t="s">
        <v>1738</v>
      </c>
      <c r="M1155" t="s">
        <v>3758</v>
      </c>
      <c r="N1155" t="s">
        <v>1</v>
      </c>
      <c r="O1155">
        <v>411014</v>
      </c>
      <c r="P1155" t="s">
        <v>546</v>
      </c>
      <c r="Q1155" t="s">
        <v>1772</v>
      </c>
      <c r="S1155">
        <v>159.768</v>
      </c>
      <c r="T1155">
        <v>7</v>
      </c>
      <c r="U1155">
        <v>0.2</v>
      </c>
      <c r="V1155">
        <v>53.921700000000001</v>
      </c>
      <c r="W1155">
        <f t="shared" ref="W1155:W1218" si="75">(S1155-V1155)/T1155</f>
        <v>15.120900000000001</v>
      </c>
      <c r="X1155">
        <v>2</v>
      </c>
    </row>
    <row r="1156" spans="1:24" x14ac:dyDescent="0.3">
      <c r="A1156">
        <v>1155</v>
      </c>
      <c r="B1156" t="s">
        <v>2918</v>
      </c>
      <c r="C1156" s="6">
        <v>45351</v>
      </c>
      <c r="D1156" t="str">
        <f t="shared" si="72"/>
        <v>Feb</v>
      </c>
      <c r="E1156" t="str">
        <f t="shared" si="73"/>
        <v>2024</v>
      </c>
      <c r="F1156" t="s">
        <v>5</v>
      </c>
      <c r="G1156" t="s">
        <v>397</v>
      </c>
      <c r="H1156" t="s">
        <v>1401</v>
      </c>
      <c r="I1156">
        <v>180</v>
      </c>
      <c r="J1156">
        <v>16</v>
      </c>
      <c r="K1156">
        <f t="shared" si="74"/>
        <v>8.8888888888888893</v>
      </c>
      <c r="L1156" t="s">
        <v>1743</v>
      </c>
      <c r="M1156" t="s">
        <v>3759</v>
      </c>
      <c r="N1156" t="s">
        <v>1</v>
      </c>
      <c r="O1156">
        <v>411014</v>
      </c>
      <c r="P1156" t="s">
        <v>546</v>
      </c>
      <c r="Q1156" t="s">
        <v>1766</v>
      </c>
      <c r="S1156">
        <v>122.48</v>
      </c>
      <c r="T1156">
        <v>2</v>
      </c>
      <c r="U1156">
        <v>0.1</v>
      </c>
      <c r="V1156">
        <v>0.1</v>
      </c>
      <c r="W1156">
        <f t="shared" si="75"/>
        <v>61.190000000000005</v>
      </c>
      <c r="X1156">
        <v>1</v>
      </c>
    </row>
    <row r="1157" spans="1:24" x14ac:dyDescent="0.3">
      <c r="A1157">
        <v>1156</v>
      </c>
      <c r="B1157" t="s">
        <v>2919</v>
      </c>
      <c r="C1157" s="6">
        <v>45352</v>
      </c>
      <c r="D1157" t="str">
        <f t="shared" si="72"/>
        <v>Mar</v>
      </c>
      <c r="E1157" t="str">
        <f t="shared" si="73"/>
        <v>2024</v>
      </c>
      <c r="F1157" t="s">
        <v>5</v>
      </c>
      <c r="G1157" t="s">
        <v>397</v>
      </c>
      <c r="H1157" t="s">
        <v>1402</v>
      </c>
      <c r="I1157">
        <v>170</v>
      </c>
      <c r="J1157">
        <v>10</v>
      </c>
      <c r="K1157">
        <f t="shared" si="74"/>
        <v>5.8823529411764701</v>
      </c>
      <c r="L1157" t="s">
        <v>1737</v>
      </c>
      <c r="M1157" t="s">
        <v>3760</v>
      </c>
      <c r="N1157" t="s">
        <v>1</v>
      </c>
      <c r="O1157">
        <v>411014</v>
      </c>
      <c r="P1157" t="s">
        <v>546</v>
      </c>
      <c r="Q1157" t="s">
        <v>1763</v>
      </c>
      <c r="R1157" t="s">
        <v>2</v>
      </c>
      <c r="S1157">
        <v>2244.48</v>
      </c>
      <c r="T1157">
        <v>7</v>
      </c>
      <c r="U1157">
        <v>0.1</v>
      </c>
      <c r="V1157">
        <v>493.78559999999999</v>
      </c>
      <c r="W1157">
        <f t="shared" si="75"/>
        <v>250.09920000000002</v>
      </c>
      <c r="X1157">
        <v>5</v>
      </c>
    </row>
    <row r="1158" spans="1:24" x14ac:dyDescent="0.3">
      <c r="A1158">
        <v>1157</v>
      </c>
      <c r="B1158" t="s">
        <v>2920</v>
      </c>
      <c r="C1158" s="6">
        <v>45353</v>
      </c>
      <c r="D1158" t="str">
        <f t="shared" si="72"/>
        <v>Mar</v>
      </c>
      <c r="E1158" t="str">
        <f t="shared" si="73"/>
        <v>2024</v>
      </c>
      <c r="F1158" t="s">
        <v>5</v>
      </c>
      <c r="G1158" t="s">
        <v>397</v>
      </c>
      <c r="H1158" t="s">
        <v>897</v>
      </c>
      <c r="I1158">
        <v>110</v>
      </c>
      <c r="J1158">
        <v>16</v>
      </c>
      <c r="K1158">
        <f t="shared" si="74"/>
        <v>14.545454545454545</v>
      </c>
      <c r="L1158" t="s">
        <v>1741</v>
      </c>
      <c r="M1158" t="s">
        <v>3761</v>
      </c>
      <c r="N1158" t="s">
        <v>1</v>
      </c>
      <c r="O1158">
        <v>411014</v>
      </c>
      <c r="P1158" t="s">
        <v>546</v>
      </c>
      <c r="Q1158" t="s">
        <v>1763</v>
      </c>
      <c r="R1158" t="s">
        <v>2</v>
      </c>
      <c r="S1158">
        <v>62.31</v>
      </c>
      <c r="T1158">
        <v>3</v>
      </c>
      <c r="U1158">
        <v>0.1</v>
      </c>
      <c r="V1158">
        <v>29.285699999999999</v>
      </c>
      <c r="W1158">
        <f t="shared" si="75"/>
        <v>11.008100000000001</v>
      </c>
      <c r="X1158">
        <v>1</v>
      </c>
    </row>
    <row r="1159" spans="1:24" x14ac:dyDescent="0.3">
      <c r="A1159">
        <v>1158</v>
      </c>
      <c r="B1159" t="s">
        <v>2921</v>
      </c>
      <c r="C1159" s="6">
        <v>45354</v>
      </c>
      <c r="D1159" t="str">
        <f t="shared" si="72"/>
        <v>Mar</v>
      </c>
      <c r="E1159" t="str">
        <f t="shared" si="73"/>
        <v>2024</v>
      </c>
      <c r="F1159" t="s">
        <v>5</v>
      </c>
      <c r="G1159" t="s">
        <v>397</v>
      </c>
      <c r="H1159" t="s">
        <v>889</v>
      </c>
      <c r="I1159">
        <v>200</v>
      </c>
      <c r="J1159">
        <v>24</v>
      </c>
      <c r="K1159">
        <f t="shared" si="74"/>
        <v>12</v>
      </c>
      <c r="L1159" t="s">
        <v>1736</v>
      </c>
      <c r="M1159" t="s">
        <v>3762</v>
      </c>
      <c r="N1159" t="s">
        <v>1</v>
      </c>
      <c r="O1159">
        <v>411014</v>
      </c>
      <c r="P1159" t="s">
        <v>546</v>
      </c>
      <c r="Q1159" t="s">
        <v>1760</v>
      </c>
      <c r="R1159" t="s">
        <v>2</v>
      </c>
      <c r="S1159">
        <v>455.1</v>
      </c>
      <c r="T1159">
        <v>2</v>
      </c>
      <c r="U1159">
        <v>0.1</v>
      </c>
      <c r="V1159">
        <v>100.122</v>
      </c>
      <c r="W1159">
        <f t="shared" si="75"/>
        <v>177.489</v>
      </c>
      <c r="X1159">
        <v>1</v>
      </c>
    </row>
    <row r="1160" spans="1:24" x14ac:dyDescent="0.3">
      <c r="A1160">
        <v>1159</v>
      </c>
      <c r="B1160" t="s">
        <v>2922</v>
      </c>
      <c r="C1160" s="6">
        <v>45355</v>
      </c>
      <c r="D1160" t="str">
        <f t="shared" si="72"/>
        <v>Mar</v>
      </c>
      <c r="E1160" t="str">
        <f t="shared" si="73"/>
        <v>2024</v>
      </c>
      <c r="F1160" t="s">
        <v>3</v>
      </c>
      <c r="G1160" t="s">
        <v>341</v>
      </c>
      <c r="H1160" t="s">
        <v>1403</v>
      </c>
      <c r="I1160">
        <v>110</v>
      </c>
      <c r="J1160">
        <v>28</v>
      </c>
      <c r="K1160">
        <f t="shared" si="74"/>
        <v>25.454545454545453</v>
      </c>
      <c r="L1160" t="s">
        <v>1744</v>
      </c>
      <c r="M1160" t="s">
        <v>3763</v>
      </c>
      <c r="N1160" t="s">
        <v>1</v>
      </c>
      <c r="O1160">
        <v>571428</v>
      </c>
      <c r="P1160" t="s">
        <v>546</v>
      </c>
      <c r="Q1160" t="s">
        <v>1769</v>
      </c>
      <c r="S1160">
        <v>195.184</v>
      </c>
      <c r="T1160">
        <v>1</v>
      </c>
      <c r="U1160">
        <v>0.2</v>
      </c>
      <c r="V1160">
        <v>19.5184</v>
      </c>
      <c r="W1160">
        <f t="shared" si="75"/>
        <v>175.66559999999998</v>
      </c>
      <c r="X1160">
        <v>4</v>
      </c>
    </row>
    <row r="1161" spans="1:24" x14ac:dyDescent="0.3">
      <c r="A1161">
        <v>1160</v>
      </c>
      <c r="B1161" t="s">
        <v>2923</v>
      </c>
      <c r="C1161" s="6">
        <v>45356</v>
      </c>
      <c r="D1161" t="str">
        <f t="shared" si="72"/>
        <v>Mar</v>
      </c>
      <c r="E1161" t="str">
        <f t="shared" si="73"/>
        <v>2024</v>
      </c>
      <c r="F1161" t="s">
        <v>4</v>
      </c>
      <c r="G1161" t="s">
        <v>404</v>
      </c>
      <c r="H1161" t="s">
        <v>1190</v>
      </c>
      <c r="I1161">
        <v>190</v>
      </c>
      <c r="J1161">
        <v>24</v>
      </c>
      <c r="K1161">
        <f t="shared" si="74"/>
        <v>12.631578947368421</v>
      </c>
      <c r="L1161" t="s">
        <v>1740</v>
      </c>
      <c r="M1161" t="s">
        <v>3764</v>
      </c>
      <c r="N1161" t="s">
        <v>1</v>
      </c>
      <c r="O1161">
        <v>639004</v>
      </c>
      <c r="P1161" t="s">
        <v>546</v>
      </c>
      <c r="Q1161" t="s">
        <v>1754</v>
      </c>
      <c r="S1161">
        <v>362.94</v>
      </c>
      <c r="T1161">
        <v>3</v>
      </c>
      <c r="U1161">
        <v>0.1</v>
      </c>
      <c r="V1161">
        <v>90.734999999999999</v>
      </c>
      <c r="W1161">
        <f t="shared" si="75"/>
        <v>90.734999999999999</v>
      </c>
      <c r="X1161">
        <v>3</v>
      </c>
    </row>
    <row r="1162" spans="1:24" x14ac:dyDescent="0.3">
      <c r="A1162">
        <v>1161</v>
      </c>
      <c r="B1162" t="s">
        <v>2924</v>
      </c>
      <c r="C1162" s="6">
        <v>45357</v>
      </c>
      <c r="D1162" t="str">
        <f t="shared" si="72"/>
        <v>Mar</v>
      </c>
      <c r="E1162" t="str">
        <f t="shared" si="73"/>
        <v>2024</v>
      </c>
      <c r="F1162" t="s">
        <v>4</v>
      </c>
      <c r="G1162" t="s">
        <v>404</v>
      </c>
      <c r="H1162" t="s">
        <v>615</v>
      </c>
      <c r="I1162">
        <v>150</v>
      </c>
      <c r="J1162">
        <v>8</v>
      </c>
      <c r="K1162">
        <f t="shared" si="74"/>
        <v>5.3333333333333339</v>
      </c>
      <c r="L1162" t="s">
        <v>1742</v>
      </c>
      <c r="M1162" t="s">
        <v>3765</v>
      </c>
      <c r="N1162" t="s">
        <v>1</v>
      </c>
      <c r="O1162">
        <v>400101</v>
      </c>
      <c r="P1162" t="s">
        <v>546</v>
      </c>
      <c r="Q1162" t="s">
        <v>1765</v>
      </c>
      <c r="S1162">
        <v>11.54</v>
      </c>
      <c r="T1162">
        <v>2</v>
      </c>
      <c r="U1162">
        <v>0.1</v>
      </c>
      <c r="V1162">
        <v>5.77</v>
      </c>
      <c r="W1162">
        <f t="shared" si="75"/>
        <v>2.8849999999999998</v>
      </c>
      <c r="X1162">
        <v>1</v>
      </c>
    </row>
    <row r="1163" spans="1:24" x14ac:dyDescent="0.3">
      <c r="A1163">
        <v>1162</v>
      </c>
      <c r="B1163" t="s">
        <v>2925</v>
      </c>
      <c r="C1163" s="6">
        <v>45358</v>
      </c>
      <c r="D1163" t="str">
        <f t="shared" si="72"/>
        <v>Mar</v>
      </c>
      <c r="E1163" t="str">
        <f t="shared" si="73"/>
        <v>2024</v>
      </c>
      <c r="F1163" t="s">
        <v>3</v>
      </c>
      <c r="G1163" t="s">
        <v>405</v>
      </c>
      <c r="H1163" t="s">
        <v>577</v>
      </c>
      <c r="I1163">
        <v>230</v>
      </c>
      <c r="J1163">
        <v>22</v>
      </c>
      <c r="K1163">
        <f t="shared" si="74"/>
        <v>9.5652173913043477</v>
      </c>
      <c r="L1163" t="s">
        <v>1739</v>
      </c>
      <c r="M1163" t="s">
        <v>3766</v>
      </c>
      <c r="N1163" t="s">
        <v>1</v>
      </c>
      <c r="O1163">
        <v>522006</v>
      </c>
      <c r="P1163" t="s">
        <v>546</v>
      </c>
      <c r="Q1163" t="s">
        <v>1759</v>
      </c>
      <c r="S1163">
        <v>53.94</v>
      </c>
      <c r="T1163">
        <v>3</v>
      </c>
      <c r="U1163">
        <v>0.1</v>
      </c>
      <c r="V1163">
        <v>15.6426</v>
      </c>
      <c r="W1163">
        <f t="shared" si="75"/>
        <v>12.765799999999999</v>
      </c>
      <c r="X1163">
        <v>4</v>
      </c>
    </row>
    <row r="1164" spans="1:24" x14ac:dyDescent="0.3">
      <c r="A1164">
        <v>1163</v>
      </c>
      <c r="B1164" t="s">
        <v>2926</v>
      </c>
      <c r="C1164" s="6">
        <v>45359</v>
      </c>
      <c r="D1164" t="str">
        <f t="shared" si="72"/>
        <v>Mar</v>
      </c>
      <c r="E1164" t="str">
        <f t="shared" si="73"/>
        <v>2024</v>
      </c>
      <c r="F1164" t="s">
        <v>4</v>
      </c>
      <c r="G1164" t="s">
        <v>406</v>
      </c>
      <c r="H1164" t="s">
        <v>1404</v>
      </c>
      <c r="I1164">
        <v>120</v>
      </c>
      <c r="J1164">
        <v>14</v>
      </c>
      <c r="K1164">
        <f t="shared" si="74"/>
        <v>11.666666666666666</v>
      </c>
      <c r="L1164" t="s">
        <v>1738</v>
      </c>
      <c r="M1164" t="s">
        <v>3767</v>
      </c>
      <c r="N1164" t="s">
        <v>1</v>
      </c>
      <c r="O1164">
        <v>753003</v>
      </c>
      <c r="P1164" t="s">
        <v>546</v>
      </c>
      <c r="Q1164" t="s">
        <v>1767</v>
      </c>
      <c r="S1164">
        <v>9.99</v>
      </c>
      <c r="T1164">
        <v>1</v>
      </c>
      <c r="U1164">
        <v>0.1</v>
      </c>
      <c r="V1164">
        <v>4.5953999999999997</v>
      </c>
      <c r="W1164">
        <f t="shared" si="75"/>
        <v>5.3946000000000005</v>
      </c>
      <c r="X1164">
        <v>4</v>
      </c>
    </row>
    <row r="1165" spans="1:24" x14ac:dyDescent="0.3">
      <c r="A1165">
        <v>1164</v>
      </c>
      <c r="B1165" t="s">
        <v>2927</v>
      </c>
      <c r="C1165" s="6">
        <v>45360</v>
      </c>
      <c r="D1165" t="str">
        <f t="shared" si="72"/>
        <v>Mar</v>
      </c>
      <c r="E1165" t="str">
        <f t="shared" si="73"/>
        <v>2024</v>
      </c>
      <c r="F1165" t="s">
        <v>4</v>
      </c>
      <c r="G1165" t="s">
        <v>406</v>
      </c>
      <c r="H1165" t="s">
        <v>817</v>
      </c>
      <c r="I1165">
        <v>210</v>
      </c>
      <c r="J1165">
        <v>30</v>
      </c>
      <c r="K1165">
        <f t="shared" si="74"/>
        <v>14.285714285714285</v>
      </c>
      <c r="L1165" t="s">
        <v>1737</v>
      </c>
      <c r="M1165" t="s">
        <v>3768</v>
      </c>
      <c r="N1165" t="s">
        <v>1</v>
      </c>
      <c r="O1165">
        <v>560047</v>
      </c>
      <c r="P1165" t="s">
        <v>546</v>
      </c>
      <c r="Q1165" t="s">
        <v>1768</v>
      </c>
      <c r="S1165">
        <v>125.76</v>
      </c>
      <c r="T1165">
        <v>3</v>
      </c>
      <c r="U1165">
        <v>0.2</v>
      </c>
      <c r="V1165">
        <v>40.872</v>
      </c>
      <c r="W1165">
        <f t="shared" si="75"/>
        <v>28.296000000000003</v>
      </c>
      <c r="X1165">
        <v>5</v>
      </c>
    </row>
    <row r="1166" spans="1:24" x14ac:dyDescent="0.3">
      <c r="A1166">
        <v>1165</v>
      </c>
      <c r="B1166" t="s">
        <v>2928</v>
      </c>
      <c r="C1166" s="6">
        <v>45361</v>
      </c>
      <c r="D1166" t="str">
        <f t="shared" si="72"/>
        <v>Mar</v>
      </c>
      <c r="E1166" t="str">
        <f t="shared" si="73"/>
        <v>2024</v>
      </c>
      <c r="F1166" t="s">
        <v>4</v>
      </c>
      <c r="G1166" t="s">
        <v>406</v>
      </c>
      <c r="H1166" t="s">
        <v>1405</v>
      </c>
      <c r="I1166">
        <v>180</v>
      </c>
      <c r="J1166">
        <v>6</v>
      </c>
      <c r="K1166">
        <f t="shared" si="74"/>
        <v>3.3333333333333335</v>
      </c>
      <c r="L1166" t="s">
        <v>1743</v>
      </c>
      <c r="M1166" t="s">
        <v>3769</v>
      </c>
      <c r="N1166" t="s">
        <v>1</v>
      </c>
      <c r="O1166">
        <v>560047</v>
      </c>
      <c r="P1166" t="s">
        <v>546</v>
      </c>
      <c r="Q1166" t="s">
        <v>1759</v>
      </c>
      <c r="R1166" t="s">
        <v>2</v>
      </c>
      <c r="S1166">
        <v>25.32</v>
      </c>
      <c r="T1166">
        <v>5</v>
      </c>
      <c r="U1166">
        <v>0.2</v>
      </c>
      <c r="V1166">
        <v>9.1784999999999997</v>
      </c>
      <c r="W1166">
        <f t="shared" si="75"/>
        <v>3.2282999999999999</v>
      </c>
      <c r="X1166">
        <v>3</v>
      </c>
    </row>
    <row r="1167" spans="1:24" x14ac:dyDescent="0.3">
      <c r="A1167">
        <v>1166</v>
      </c>
      <c r="B1167" t="s">
        <v>2929</v>
      </c>
      <c r="C1167" s="6">
        <v>45362</v>
      </c>
      <c r="D1167" t="str">
        <f t="shared" si="72"/>
        <v>Mar</v>
      </c>
      <c r="E1167" t="str">
        <f t="shared" si="73"/>
        <v>2024</v>
      </c>
      <c r="F1167" t="s">
        <v>4</v>
      </c>
      <c r="G1167" t="s">
        <v>407</v>
      </c>
      <c r="H1167" t="s">
        <v>1220</v>
      </c>
      <c r="I1167">
        <v>100</v>
      </c>
      <c r="J1167">
        <v>30</v>
      </c>
      <c r="K1167">
        <f t="shared" si="74"/>
        <v>30</v>
      </c>
      <c r="L1167" t="s">
        <v>1738</v>
      </c>
      <c r="M1167" t="s">
        <v>3770</v>
      </c>
      <c r="N1167" t="s">
        <v>1</v>
      </c>
      <c r="O1167">
        <v>585222</v>
      </c>
      <c r="P1167" t="s">
        <v>546</v>
      </c>
      <c r="Q1167" t="s">
        <v>1759</v>
      </c>
      <c r="S1167">
        <v>46.8</v>
      </c>
      <c r="T1167">
        <v>4</v>
      </c>
      <c r="U1167">
        <v>0.1</v>
      </c>
      <c r="V1167">
        <v>21.06</v>
      </c>
      <c r="W1167">
        <f t="shared" si="75"/>
        <v>6.4349999999999996</v>
      </c>
      <c r="X1167">
        <v>5</v>
      </c>
    </row>
    <row r="1168" spans="1:24" x14ac:dyDescent="0.3">
      <c r="A1168">
        <v>1167</v>
      </c>
      <c r="B1168" t="s">
        <v>2930</v>
      </c>
      <c r="C1168" s="6">
        <v>45363</v>
      </c>
      <c r="D1168" t="str">
        <f t="shared" si="72"/>
        <v>Mar</v>
      </c>
      <c r="E1168" t="str">
        <f t="shared" si="73"/>
        <v>2024</v>
      </c>
      <c r="F1168" t="s">
        <v>6</v>
      </c>
      <c r="G1168" t="s">
        <v>117</v>
      </c>
      <c r="H1168" t="s">
        <v>647</v>
      </c>
      <c r="I1168">
        <v>100</v>
      </c>
      <c r="J1168">
        <v>24</v>
      </c>
      <c r="K1168">
        <f t="shared" si="74"/>
        <v>24</v>
      </c>
      <c r="L1168" t="s">
        <v>1739</v>
      </c>
      <c r="M1168" t="s">
        <v>3771</v>
      </c>
      <c r="N1168" t="s">
        <v>1</v>
      </c>
      <c r="O1168">
        <v>282002</v>
      </c>
      <c r="P1168" t="s">
        <v>546</v>
      </c>
      <c r="Q1168" t="s">
        <v>1772</v>
      </c>
      <c r="S1168">
        <v>447.93</v>
      </c>
      <c r="T1168">
        <v>9</v>
      </c>
      <c r="U1168">
        <v>0.1</v>
      </c>
      <c r="V1168">
        <v>49.272300000000001</v>
      </c>
      <c r="W1168">
        <f t="shared" si="75"/>
        <v>44.295299999999997</v>
      </c>
      <c r="X1168">
        <v>3</v>
      </c>
    </row>
    <row r="1169" spans="1:24" x14ac:dyDescent="0.3">
      <c r="A1169">
        <v>1168</v>
      </c>
      <c r="B1169" t="s">
        <v>2931</v>
      </c>
      <c r="C1169" s="6">
        <v>45364</v>
      </c>
      <c r="D1169" t="str">
        <f t="shared" si="72"/>
        <v>Mar</v>
      </c>
      <c r="E1169" t="str">
        <f t="shared" si="73"/>
        <v>2024</v>
      </c>
      <c r="F1169" t="s">
        <v>3</v>
      </c>
      <c r="G1169" t="s">
        <v>118</v>
      </c>
      <c r="H1169" t="s">
        <v>1406</v>
      </c>
      <c r="I1169">
        <v>140</v>
      </c>
      <c r="J1169">
        <v>18</v>
      </c>
      <c r="K1169">
        <f t="shared" si="74"/>
        <v>12.857142857142856</v>
      </c>
      <c r="L1169" t="s">
        <v>1741</v>
      </c>
      <c r="M1169" t="s">
        <v>3772</v>
      </c>
      <c r="N1169" t="s">
        <v>1</v>
      </c>
      <c r="O1169">
        <v>244713</v>
      </c>
      <c r="P1169" t="s">
        <v>546</v>
      </c>
      <c r="Q1169" t="s">
        <v>1772</v>
      </c>
      <c r="S1169">
        <v>109.48</v>
      </c>
      <c r="T1169">
        <v>2</v>
      </c>
      <c r="U1169">
        <v>0.1</v>
      </c>
      <c r="V1169">
        <v>33.938800000000001</v>
      </c>
      <c r="W1169">
        <f t="shared" si="75"/>
        <v>37.770600000000002</v>
      </c>
      <c r="X1169">
        <v>2</v>
      </c>
    </row>
    <row r="1170" spans="1:24" x14ac:dyDescent="0.3">
      <c r="A1170">
        <v>1169</v>
      </c>
      <c r="B1170" t="s">
        <v>2932</v>
      </c>
      <c r="C1170" s="6">
        <v>45365</v>
      </c>
      <c r="D1170" t="str">
        <f t="shared" si="72"/>
        <v>Mar</v>
      </c>
      <c r="E1170" t="str">
        <f t="shared" si="73"/>
        <v>2024</v>
      </c>
      <c r="F1170" t="s">
        <v>3</v>
      </c>
      <c r="G1170" t="s">
        <v>118</v>
      </c>
      <c r="H1170" t="s">
        <v>619</v>
      </c>
      <c r="I1170">
        <v>210</v>
      </c>
      <c r="J1170">
        <v>24</v>
      </c>
      <c r="K1170">
        <f t="shared" si="74"/>
        <v>11.428571428571429</v>
      </c>
      <c r="L1170" t="s">
        <v>1736</v>
      </c>
      <c r="M1170" t="s">
        <v>3773</v>
      </c>
      <c r="N1170" t="s">
        <v>1</v>
      </c>
      <c r="O1170">
        <v>574203</v>
      </c>
      <c r="P1170" t="s">
        <v>546</v>
      </c>
      <c r="Q1170" t="s">
        <v>1775</v>
      </c>
      <c r="S1170">
        <v>272.94</v>
      </c>
      <c r="T1170">
        <v>3</v>
      </c>
      <c r="U1170">
        <v>0.1</v>
      </c>
      <c r="V1170">
        <v>0.1</v>
      </c>
      <c r="W1170">
        <f t="shared" si="75"/>
        <v>90.946666666666658</v>
      </c>
      <c r="X1170">
        <v>2</v>
      </c>
    </row>
    <row r="1171" spans="1:24" x14ac:dyDescent="0.3">
      <c r="A1171">
        <v>1170</v>
      </c>
      <c r="B1171" t="s">
        <v>2933</v>
      </c>
      <c r="C1171" s="6">
        <v>45366</v>
      </c>
      <c r="D1171" t="str">
        <f t="shared" si="72"/>
        <v>Mar</v>
      </c>
      <c r="E1171" t="str">
        <f t="shared" si="73"/>
        <v>2024</v>
      </c>
      <c r="F1171" t="s">
        <v>3</v>
      </c>
      <c r="G1171" t="s">
        <v>118</v>
      </c>
      <c r="H1171" t="s">
        <v>1407</v>
      </c>
      <c r="I1171">
        <v>140</v>
      </c>
      <c r="J1171">
        <v>14</v>
      </c>
      <c r="K1171">
        <f t="shared" si="74"/>
        <v>10</v>
      </c>
      <c r="L1171" t="s">
        <v>1744</v>
      </c>
      <c r="M1171" t="s">
        <v>3774</v>
      </c>
      <c r="N1171" t="s">
        <v>1</v>
      </c>
      <c r="O1171">
        <v>411020</v>
      </c>
      <c r="P1171" t="s">
        <v>546</v>
      </c>
      <c r="Q1171" t="s">
        <v>1759</v>
      </c>
      <c r="S1171">
        <v>19.440000000000001</v>
      </c>
      <c r="T1171">
        <v>3</v>
      </c>
      <c r="U1171">
        <v>0.1</v>
      </c>
      <c r="V1171">
        <v>9.3312000000000008</v>
      </c>
      <c r="W1171">
        <f t="shared" si="75"/>
        <v>3.3696000000000002</v>
      </c>
      <c r="X1171">
        <v>3</v>
      </c>
    </row>
    <row r="1172" spans="1:24" x14ac:dyDescent="0.3">
      <c r="A1172">
        <v>1171</v>
      </c>
      <c r="B1172" t="s">
        <v>2934</v>
      </c>
      <c r="C1172" s="6">
        <v>45367</v>
      </c>
      <c r="D1172" t="str">
        <f t="shared" si="72"/>
        <v>Mar</v>
      </c>
      <c r="E1172" t="str">
        <f t="shared" si="73"/>
        <v>2024</v>
      </c>
      <c r="F1172" t="s">
        <v>3</v>
      </c>
      <c r="G1172" t="s">
        <v>118</v>
      </c>
      <c r="H1172" t="s">
        <v>1408</v>
      </c>
      <c r="I1172">
        <v>170</v>
      </c>
      <c r="J1172">
        <v>26</v>
      </c>
      <c r="K1172">
        <f t="shared" si="74"/>
        <v>15.294117647058824</v>
      </c>
      <c r="L1172" t="s">
        <v>1740</v>
      </c>
      <c r="M1172" t="s">
        <v>3775</v>
      </c>
      <c r="N1172" t="s">
        <v>1</v>
      </c>
      <c r="O1172">
        <v>390012</v>
      </c>
      <c r="P1172" t="s">
        <v>546</v>
      </c>
      <c r="Q1172" t="s">
        <v>1768</v>
      </c>
      <c r="R1172" t="s">
        <v>2</v>
      </c>
      <c r="S1172">
        <v>31.92</v>
      </c>
      <c r="T1172">
        <v>4</v>
      </c>
      <c r="U1172">
        <v>0.1</v>
      </c>
      <c r="V1172">
        <v>8.2992000000000008</v>
      </c>
      <c r="W1172">
        <f t="shared" si="75"/>
        <v>5.9052000000000007</v>
      </c>
      <c r="X1172">
        <v>4</v>
      </c>
    </row>
    <row r="1173" spans="1:24" x14ac:dyDescent="0.3">
      <c r="A1173">
        <v>1172</v>
      </c>
      <c r="B1173" t="s">
        <v>2935</v>
      </c>
      <c r="C1173" s="6">
        <v>45368</v>
      </c>
      <c r="D1173" t="str">
        <f t="shared" si="72"/>
        <v>Mar</v>
      </c>
      <c r="E1173" t="str">
        <f t="shared" si="73"/>
        <v>2024</v>
      </c>
      <c r="F1173" t="s">
        <v>4</v>
      </c>
      <c r="G1173" t="s">
        <v>356</v>
      </c>
      <c r="H1173" t="s">
        <v>1409</v>
      </c>
      <c r="I1173">
        <v>180</v>
      </c>
      <c r="J1173">
        <v>26</v>
      </c>
      <c r="K1173">
        <f t="shared" si="74"/>
        <v>14.444444444444443</v>
      </c>
      <c r="L1173" t="s">
        <v>1742</v>
      </c>
      <c r="M1173" t="s">
        <v>3776</v>
      </c>
      <c r="O1173">
        <v>713303</v>
      </c>
      <c r="P1173" t="s">
        <v>546</v>
      </c>
      <c r="Q1173" t="s">
        <v>1769</v>
      </c>
      <c r="S1173">
        <v>22.38</v>
      </c>
      <c r="T1173">
        <v>2</v>
      </c>
      <c r="U1173">
        <v>0.1</v>
      </c>
      <c r="V1173">
        <v>10.7424</v>
      </c>
      <c r="W1173">
        <f t="shared" si="75"/>
        <v>5.8187999999999995</v>
      </c>
      <c r="X1173">
        <v>5</v>
      </c>
    </row>
    <row r="1174" spans="1:24" x14ac:dyDescent="0.3">
      <c r="A1174">
        <v>1173</v>
      </c>
      <c r="B1174" t="s">
        <v>2936</v>
      </c>
      <c r="C1174" s="6">
        <v>45369</v>
      </c>
      <c r="D1174" t="str">
        <f t="shared" si="72"/>
        <v>Mar</v>
      </c>
      <c r="E1174" t="str">
        <f t="shared" si="73"/>
        <v>2024</v>
      </c>
      <c r="F1174" t="s">
        <v>4</v>
      </c>
      <c r="G1174" t="s">
        <v>218</v>
      </c>
      <c r="H1174" t="s">
        <v>1410</v>
      </c>
      <c r="I1174">
        <v>230</v>
      </c>
      <c r="J1174">
        <v>22</v>
      </c>
      <c r="K1174">
        <f t="shared" si="74"/>
        <v>9.5652173913043477</v>
      </c>
      <c r="L1174" t="s">
        <v>1739</v>
      </c>
      <c r="M1174" t="s">
        <v>3777</v>
      </c>
      <c r="N1174" t="s">
        <v>1</v>
      </c>
      <c r="O1174">
        <v>560098</v>
      </c>
      <c r="P1174" t="s">
        <v>546</v>
      </c>
      <c r="Q1174" t="s">
        <v>1761</v>
      </c>
      <c r="S1174">
        <v>16.52</v>
      </c>
      <c r="T1174">
        <v>5</v>
      </c>
      <c r="U1174">
        <v>0.2</v>
      </c>
      <c r="V1174">
        <v>5.5754999999999999</v>
      </c>
      <c r="W1174">
        <f t="shared" si="75"/>
        <v>2.1888999999999998</v>
      </c>
      <c r="X1174">
        <v>5</v>
      </c>
    </row>
    <row r="1175" spans="1:24" x14ac:dyDescent="0.3">
      <c r="A1175">
        <v>1174</v>
      </c>
      <c r="B1175" t="s">
        <v>2937</v>
      </c>
      <c r="C1175" s="6">
        <v>45370</v>
      </c>
      <c r="D1175" t="str">
        <f t="shared" si="72"/>
        <v>Mar</v>
      </c>
      <c r="E1175" t="str">
        <f t="shared" si="73"/>
        <v>2024</v>
      </c>
      <c r="F1175" t="s">
        <v>4</v>
      </c>
      <c r="G1175" t="s">
        <v>306</v>
      </c>
      <c r="H1175" t="s">
        <v>1172</v>
      </c>
      <c r="I1175">
        <v>250</v>
      </c>
      <c r="J1175">
        <v>14</v>
      </c>
      <c r="K1175">
        <f t="shared" si="74"/>
        <v>5.6000000000000005</v>
      </c>
      <c r="L1175" t="s">
        <v>1738</v>
      </c>
      <c r="M1175" t="s">
        <v>3778</v>
      </c>
      <c r="N1175" t="s">
        <v>1</v>
      </c>
      <c r="O1175">
        <v>180010</v>
      </c>
      <c r="P1175" t="s">
        <v>546</v>
      </c>
      <c r="Q1175" t="s">
        <v>1766</v>
      </c>
      <c r="R1175" t="s">
        <v>2</v>
      </c>
      <c r="S1175">
        <v>5.1760000000000002</v>
      </c>
      <c r="T1175">
        <v>4</v>
      </c>
      <c r="U1175">
        <v>0.8</v>
      </c>
      <c r="V1175">
        <v>-7.7640000000000002</v>
      </c>
      <c r="W1175">
        <f t="shared" si="75"/>
        <v>3.2350000000000003</v>
      </c>
      <c r="X1175">
        <v>1</v>
      </c>
    </row>
    <row r="1176" spans="1:24" x14ac:dyDescent="0.3">
      <c r="A1176">
        <v>1175</v>
      </c>
      <c r="B1176" t="s">
        <v>2938</v>
      </c>
      <c r="C1176" s="6">
        <v>45371</v>
      </c>
      <c r="D1176" t="str">
        <f t="shared" si="72"/>
        <v>Mar</v>
      </c>
      <c r="E1176" t="str">
        <f t="shared" si="73"/>
        <v>2024</v>
      </c>
      <c r="F1176" t="s">
        <v>5</v>
      </c>
      <c r="G1176" t="s">
        <v>324</v>
      </c>
      <c r="H1176" t="s">
        <v>1411</v>
      </c>
      <c r="I1176">
        <v>190</v>
      </c>
      <c r="J1176">
        <v>12</v>
      </c>
      <c r="K1176">
        <f t="shared" si="74"/>
        <v>6.3157894736842106</v>
      </c>
      <c r="L1176" t="s">
        <v>1743</v>
      </c>
      <c r="M1176" t="s">
        <v>3779</v>
      </c>
      <c r="N1176" t="s">
        <v>1</v>
      </c>
      <c r="O1176">
        <v>570008</v>
      </c>
      <c r="P1176" t="s">
        <v>546</v>
      </c>
      <c r="Q1176" t="s">
        <v>1764</v>
      </c>
      <c r="S1176">
        <v>50.112000000000002</v>
      </c>
      <c r="T1176">
        <v>6</v>
      </c>
      <c r="U1176">
        <v>0.2</v>
      </c>
      <c r="V1176">
        <v>16.2864</v>
      </c>
      <c r="W1176">
        <f t="shared" si="75"/>
        <v>5.6375999999999999</v>
      </c>
      <c r="X1176">
        <v>1</v>
      </c>
    </row>
    <row r="1177" spans="1:24" x14ac:dyDescent="0.3">
      <c r="A1177">
        <v>1176</v>
      </c>
      <c r="B1177" t="s">
        <v>2939</v>
      </c>
      <c r="C1177" s="6">
        <v>45372</v>
      </c>
      <c r="D1177" t="str">
        <f t="shared" si="72"/>
        <v>Mar</v>
      </c>
      <c r="E1177" t="str">
        <f t="shared" si="73"/>
        <v>2024</v>
      </c>
      <c r="F1177" t="s">
        <v>4</v>
      </c>
      <c r="G1177" t="s">
        <v>151</v>
      </c>
      <c r="H1177" t="s">
        <v>1207</v>
      </c>
      <c r="I1177">
        <v>220</v>
      </c>
      <c r="J1177">
        <v>14</v>
      </c>
      <c r="K1177">
        <f t="shared" si="74"/>
        <v>6.3636363636363633</v>
      </c>
      <c r="L1177" t="s">
        <v>1737</v>
      </c>
      <c r="M1177" t="s">
        <v>3780</v>
      </c>
      <c r="N1177" t="s">
        <v>1</v>
      </c>
      <c r="O1177">
        <v>400095</v>
      </c>
      <c r="P1177" t="s">
        <v>546</v>
      </c>
      <c r="Q1177" t="s">
        <v>1773</v>
      </c>
      <c r="R1177" t="s">
        <v>2</v>
      </c>
      <c r="S1177">
        <v>27.93</v>
      </c>
      <c r="T1177">
        <v>3</v>
      </c>
      <c r="U1177">
        <v>0.1</v>
      </c>
      <c r="V1177">
        <v>8.0997000000000003</v>
      </c>
      <c r="W1177">
        <f t="shared" si="75"/>
        <v>6.6101000000000001</v>
      </c>
      <c r="X1177">
        <v>3</v>
      </c>
    </row>
    <row r="1178" spans="1:24" x14ac:dyDescent="0.3">
      <c r="A1178">
        <v>1177</v>
      </c>
      <c r="B1178" t="s">
        <v>2940</v>
      </c>
      <c r="C1178" s="6">
        <v>45373</v>
      </c>
      <c r="D1178" t="str">
        <f t="shared" si="72"/>
        <v>Mar</v>
      </c>
      <c r="E1178" t="str">
        <f t="shared" si="73"/>
        <v>2024</v>
      </c>
      <c r="F1178" t="s">
        <v>3</v>
      </c>
      <c r="G1178" t="s">
        <v>408</v>
      </c>
      <c r="H1178" t="s">
        <v>1412</v>
      </c>
      <c r="I1178">
        <v>140</v>
      </c>
      <c r="J1178">
        <v>12</v>
      </c>
      <c r="K1178">
        <f t="shared" si="74"/>
        <v>8.5714285714285712</v>
      </c>
      <c r="L1178" t="s">
        <v>1741</v>
      </c>
      <c r="M1178" t="s">
        <v>3781</v>
      </c>
      <c r="N1178" t="s">
        <v>1</v>
      </c>
      <c r="O1178">
        <v>600069</v>
      </c>
      <c r="P1178" t="s">
        <v>546</v>
      </c>
      <c r="Q1178" t="s">
        <v>1772</v>
      </c>
      <c r="S1178">
        <v>11.56</v>
      </c>
      <c r="T1178">
        <v>4</v>
      </c>
      <c r="U1178">
        <v>0.1</v>
      </c>
      <c r="V1178">
        <v>5.4332000000000003</v>
      </c>
      <c r="W1178">
        <f t="shared" si="75"/>
        <v>1.5317000000000001</v>
      </c>
      <c r="X1178">
        <v>1</v>
      </c>
    </row>
    <row r="1179" spans="1:24" x14ac:dyDescent="0.3">
      <c r="A1179">
        <v>1178</v>
      </c>
      <c r="B1179" t="s">
        <v>2941</v>
      </c>
      <c r="C1179" s="6">
        <v>45374</v>
      </c>
      <c r="D1179" t="str">
        <f t="shared" si="72"/>
        <v>Mar</v>
      </c>
      <c r="E1179" t="str">
        <f t="shared" si="73"/>
        <v>2024</v>
      </c>
      <c r="F1179" t="s">
        <v>4</v>
      </c>
      <c r="G1179" t="s">
        <v>39</v>
      </c>
      <c r="H1179" t="s">
        <v>1413</v>
      </c>
      <c r="I1179">
        <v>180</v>
      </c>
      <c r="J1179">
        <v>20</v>
      </c>
      <c r="K1179">
        <f t="shared" si="74"/>
        <v>11.111111111111111</v>
      </c>
      <c r="L1179" t="s">
        <v>1736</v>
      </c>
      <c r="M1179" t="s">
        <v>3782</v>
      </c>
      <c r="N1179" t="s">
        <v>1</v>
      </c>
      <c r="O1179">
        <v>226002</v>
      </c>
      <c r="P1179" t="s">
        <v>546</v>
      </c>
      <c r="Q1179" t="s">
        <v>1756</v>
      </c>
      <c r="R1179" t="s">
        <v>2</v>
      </c>
      <c r="S1179">
        <v>172.5</v>
      </c>
      <c r="T1179">
        <v>2</v>
      </c>
      <c r="U1179">
        <v>0.1</v>
      </c>
      <c r="V1179">
        <v>51.75</v>
      </c>
      <c r="W1179">
        <f t="shared" si="75"/>
        <v>60.375</v>
      </c>
      <c r="X1179">
        <v>1</v>
      </c>
    </row>
    <row r="1180" spans="1:24" x14ac:dyDescent="0.3">
      <c r="A1180">
        <v>1179</v>
      </c>
      <c r="B1180" t="s">
        <v>2942</v>
      </c>
      <c r="C1180" s="6">
        <v>45375</v>
      </c>
      <c r="D1180" t="str">
        <f t="shared" si="72"/>
        <v>Mar</v>
      </c>
      <c r="E1180" t="str">
        <f t="shared" si="73"/>
        <v>2024</v>
      </c>
      <c r="F1180" t="s">
        <v>4</v>
      </c>
      <c r="G1180" t="s">
        <v>39</v>
      </c>
      <c r="H1180" t="s">
        <v>707</v>
      </c>
      <c r="I1180">
        <v>240</v>
      </c>
      <c r="J1180">
        <v>28</v>
      </c>
      <c r="K1180">
        <f t="shared" si="74"/>
        <v>11.666666666666666</v>
      </c>
      <c r="L1180" t="s">
        <v>1744</v>
      </c>
      <c r="M1180" t="s">
        <v>3783</v>
      </c>
      <c r="N1180" t="s">
        <v>1</v>
      </c>
      <c r="O1180">
        <v>226002</v>
      </c>
      <c r="P1180" t="s">
        <v>546</v>
      </c>
      <c r="Q1180" t="s">
        <v>1759</v>
      </c>
      <c r="S1180">
        <v>179.97</v>
      </c>
      <c r="T1180">
        <v>3</v>
      </c>
      <c r="U1180">
        <v>0.1</v>
      </c>
      <c r="V1180">
        <v>44.9925</v>
      </c>
      <c r="W1180">
        <f t="shared" si="75"/>
        <v>44.9925</v>
      </c>
      <c r="X1180">
        <v>5</v>
      </c>
    </row>
    <row r="1181" spans="1:24" x14ac:dyDescent="0.3">
      <c r="A1181">
        <v>1180</v>
      </c>
      <c r="B1181" t="s">
        <v>2943</v>
      </c>
      <c r="C1181" s="6">
        <v>45376</v>
      </c>
      <c r="D1181" t="str">
        <f t="shared" si="72"/>
        <v>Mar</v>
      </c>
      <c r="E1181" t="str">
        <f t="shared" si="73"/>
        <v>2024</v>
      </c>
      <c r="F1181" t="s">
        <v>3</v>
      </c>
      <c r="G1181" t="s">
        <v>409</v>
      </c>
      <c r="H1181" t="s">
        <v>1166</v>
      </c>
      <c r="I1181">
        <v>160</v>
      </c>
      <c r="J1181">
        <v>22</v>
      </c>
      <c r="K1181">
        <f t="shared" si="74"/>
        <v>13.750000000000002</v>
      </c>
      <c r="L1181" t="s">
        <v>1740</v>
      </c>
      <c r="M1181" t="s">
        <v>3784</v>
      </c>
      <c r="N1181" t="s">
        <v>1</v>
      </c>
      <c r="O1181">
        <v>445001</v>
      </c>
      <c r="P1181" t="s">
        <v>546</v>
      </c>
      <c r="Q1181" t="s">
        <v>1766</v>
      </c>
      <c r="S1181">
        <v>258.69600000000003</v>
      </c>
      <c r="T1181">
        <v>3</v>
      </c>
      <c r="U1181">
        <v>0.2</v>
      </c>
      <c r="V1181">
        <v>64.674000000000007</v>
      </c>
      <c r="W1181">
        <f t="shared" si="75"/>
        <v>64.674000000000007</v>
      </c>
      <c r="X1181">
        <v>3</v>
      </c>
    </row>
    <row r="1182" spans="1:24" x14ac:dyDescent="0.3">
      <c r="A1182">
        <v>1181</v>
      </c>
      <c r="B1182" t="s">
        <v>2944</v>
      </c>
      <c r="C1182" s="6">
        <v>45377</v>
      </c>
      <c r="D1182" t="str">
        <f t="shared" si="72"/>
        <v>Mar</v>
      </c>
      <c r="E1182" t="str">
        <f t="shared" si="73"/>
        <v>2024</v>
      </c>
      <c r="F1182" t="s">
        <v>4</v>
      </c>
      <c r="G1182" t="s">
        <v>79</v>
      </c>
      <c r="H1182" t="s">
        <v>1414</v>
      </c>
      <c r="I1182">
        <v>210</v>
      </c>
      <c r="J1182">
        <v>22</v>
      </c>
      <c r="K1182">
        <f t="shared" si="74"/>
        <v>10.476190476190476</v>
      </c>
      <c r="L1182" t="s">
        <v>1742</v>
      </c>
      <c r="M1182" t="s">
        <v>3647</v>
      </c>
      <c r="N1182" t="s">
        <v>1</v>
      </c>
      <c r="O1182">
        <v>560100</v>
      </c>
      <c r="P1182" t="s">
        <v>546</v>
      </c>
      <c r="Q1182" t="s">
        <v>1764</v>
      </c>
      <c r="S1182">
        <v>1322.93</v>
      </c>
      <c r="T1182">
        <v>7</v>
      </c>
      <c r="U1182">
        <v>0.1</v>
      </c>
      <c r="V1182">
        <v>357.19110000000001</v>
      </c>
      <c r="W1182">
        <f t="shared" si="75"/>
        <v>137.96270000000001</v>
      </c>
      <c r="X1182">
        <v>5</v>
      </c>
    </row>
    <row r="1183" spans="1:24" x14ac:dyDescent="0.3">
      <c r="A1183">
        <v>1182</v>
      </c>
      <c r="B1183" t="s">
        <v>2945</v>
      </c>
      <c r="C1183" s="6">
        <v>45378</v>
      </c>
      <c r="D1183" t="str">
        <f t="shared" si="72"/>
        <v>Mar</v>
      </c>
      <c r="E1183" t="str">
        <f t="shared" si="73"/>
        <v>2024</v>
      </c>
      <c r="F1183" t="s">
        <v>4</v>
      </c>
      <c r="G1183" t="s">
        <v>79</v>
      </c>
      <c r="H1183" t="s">
        <v>1415</v>
      </c>
      <c r="I1183">
        <v>130</v>
      </c>
      <c r="J1183">
        <v>26</v>
      </c>
      <c r="K1183">
        <f t="shared" si="74"/>
        <v>20</v>
      </c>
      <c r="L1183" t="s">
        <v>1739</v>
      </c>
      <c r="M1183" t="s">
        <v>3785</v>
      </c>
      <c r="N1183" t="s">
        <v>1</v>
      </c>
      <c r="O1183">
        <v>793002</v>
      </c>
      <c r="P1183" t="s">
        <v>546</v>
      </c>
      <c r="Q1183" t="s">
        <v>1759</v>
      </c>
      <c r="S1183">
        <v>3.76</v>
      </c>
      <c r="T1183">
        <v>2</v>
      </c>
      <c r="U1183">
        <v>0.1</v>
      </c>
      <c r="V1183">
        <v>1.0904</v>
      </c>
      <c r="W1183">
        <f t="shared" si="75"/>
        <v>1.3348</v>
      </c>
      <c r="X1183">
        <v>3</v>
      </c>
    </row>
    <row r="1184" spans="1:24" x14ac:dyDescent="0.3">
      <c r="A1184">
        <v>1183</v>
      </c>
      <c r="B1184" t="s">
        <v>2946</v>
      </c>
      <c r="C1184" s="6">
        <v>45379</v>
      </c>
      <c r="D1184" t="str">
        <f t="shared" si="72"/>
        <v>Mar</v>
      </c>
      <c r="E1184" t="str">
        <f t="shared" si="73"/>
        <v>2024</v>
      </c>
      <c r="F1184" t="s">
        <v>5</v>
      </c>
      <c r="G1184" t="s">
        <v>269</v>
      </c>
      <c r="H1184" t="s">
        <v>660</v>
      </c>
      <c r="I1184">
        <v>170</v>
      </c>
      <c r="J1184">
        <v>14</v>
      </c>
      <c r="K1184">
        <f t="shared" si="74"/>
        <v>8.235294117647058</v>
      </c>
      <c r="L1184" t="s">
        <v>1738</v>
      </c>
      <c r="M1184" t="s">
        <v>3786</v>
      </c>
      <c r="N1184" t="s">
        <v>1</v>
      </c>
      <c r="O1184">
        <v>122003</v>
      </c>
      <c r="P1184" t="s">
        <v>546</v>
      </c>
      <c r="Q1184" t="s">
        <v>1769</v>
      </c>
      <c r="R1184" t="s">
        <v>2</v>
      </c>
      <c r="S1184">
        <v>21.744</v>
      </c>
      <c r="T1184">
        <v>1</v>
      </c>
      <c r="U1184">
        <v>0.2</v>
      </c>
      <c r="V1184">
        <v>7.3385999999999996</v>
      </c>
      <c r="W1184">
        <f t="shared" si="75"/>
        <v>14.4054</v>
      </c>
      <c r="X1184">
        <v>3</v>
      </c>
    </row>
    <row r="1185" spans="1:24" x14ac:dyDescent="0.3">
      <c r="A1185">
        <v>1184</v>
      </c>
      <c r="B1185" t="s">
        <v>2947</v>
      </c>
      <c r="C1185" s="6">
        <v>45380</v>
      </c>
      <c r="D1185" t="str">
        <f t="shared" si="72"/>
        <v>Mar</v>
      </c>
      <c r="E1185" t="str">
        <f t="shared" si="73"/>
        <v>2024</v>
      </c>
      <c r="F1185" t="s">
        <v>5</v>
      </c>
      <c r="G1185" t="s">
        <v>269</v>
      </c>
      <c r="H1185" t="s">
        <v>1416</v>
      </c>
      <c r="I1185">
        <v>110</v>
      </c>
      <c r="J1185">
        <v>30</v>
      </c>
      <c r="K1185">
        <f t="shared" si="74"/>
        <v>27.27272727272727</v>
      </c>
      <c r="L1185" t="s">
        <v>1737</v>
      </c>
      <c r="M1185" t="s">
        <v>3787</v>
      </c>
      <c r="N1185" t="s">
        <v>1</v>
      </c>
      <c r="O1185">
        <v>613402</v>
      </c>
      <c r="P1185" t="s">
        <v>546</v>
      </c>
      <c r="Q1185" t="s">
        <v>1767</v>
      </c>
      <c r="R1185" t="s">
        <v>2</v>
      </c>
      <c r="S1185">
        <v>7.92</v>
      </c>
      <c r="T1185">
        <v>5</v>
      </c>
      <c r="U1185">
        <v>0.2</v>
      </c>
      <c r="V1185">
        <v>0.69299999999999995</v>
      </c>
      <c r="W1185">
        <f t="shared" si="75"/>
        <v>1.4454</v>
      </c>
      <c r="X1185">
        <v>1</v>
      </c>
    </row>
    <row r="1186" spans="1:24" x14ac:dyDescent="0.3">
      <c r="A1186">
        <v>1185</v>
      </c>
      <c r="B1186" t="s">
        <v>2948</v>
      </c>
      <c r="C1186" s="6">
        <v>45381</v>
      </c>
      <c r="D1186" t="str">
        <f t="shared" si="72"/>
        <v>Mar</v>
      </c>
      <c r="E1186" t="str">
        <f t="shared" si="73"/>
        <v>2024</v>
      </c>
      <c r="F1186" t="s">
        <v>4</v>
      </c>
      <c r="G1186" t="s">
        <v>410</v>
      </c>
      <c r="H1186" t="s">
        <v>1417</v>
      </c>
      <c r="I1186">
        <v>120</v>
      </c>
      <c r="J1186">
        <v>30</v>
      </c>
      <c r="K1186">
        <f t="shared" si="74"/>
        <v>25</v>
      </c>
      <c r="L1186" t="s">
        <v>1743</v>
      </c>
      <c r="M1186" t="s">
        <v>3736</v>
      </c>
      <c r="N1186" t="s">
        <v>1</v>
      </c>
      <c r="O1186">
        <v>700060</v>
      </c>
      <c r="P1186" t="s">
        <v>546</v>
      </c>
      <c r="Q1186" t="s">
        <v>1772</v>
      </c>
      <c r="S1186">
        <v>12.096</v>
      </c>
      <c r="T1186">
        <v>7</v>
      </c>
      <c r="U1186">
        <v>0.2</v>
      </c>
      <c r="V1186">
        <v>4.2336</v>
      </c>
      <c r="W1186">
        <f t="shared" si="75"/>
        <v>1.1232</v>
      </c>
      <c r="X1186">
        <v>1</v>
      </c>
    </row>
    <row r="1187" spans="1:24" x14ac:dyDescent="0.3">
      <c r="A1187">
        <v>1186</v>
      </c>
      <c r="B1187" t="s">
        <v>2949</v>
      </c>
      <c r="C1187" s="6">
        <v>45382</v>
      </c>
      <c r="D1187" t="str">
        <f t="shared" si="72"/>
        <v>Mar</v>
      </c>
      <c r="E1187" t="str">
        <f t="shared" si="73"/>
        <v>2024</v>
      </c>
      <c r="F1187" t="s">
        <v>4</v>
      </c>
      <c r="G1187" t="s">
        <v>410</v>
      </c>
      <c r="H1187" t="s">
        <v>1418</v>
      </c>
      <c r="I1187">
        <v>170</v>
      </c>
      <c r="J1187">
        <v>10</v>
      </c>
      <c r="K1187">
        <f t="shared" si="74"/>
        <v>5.8823529411764701</v>
      </c>
      <c r="L1187" t="s">
        <v>1738</v>
      </c>
      <c r="M1187" t="s">
        <v>3788</v>
      </c>
      <c r="N1187" t="s">
        <v>1</v>
      </c>
      <c r="O1187">
        <v>226003</v>
      </c>
      <c r="P1187" t="s">
        <v>546</v>
      </c>
      <c r="Q1187" t="s">
        <v>1767</v>
      </c>
      <c r="S1187">
        <v>485.88</v>
      </c>
      <c r="T1187">
        <v>6</v>
      </c>
      <c r="U1187">
        <v>0.1</v>
      </c>
      <c r="V1187">
        <v>9.7175999999999991</v>
      </c>
      <c r="W1187">
        <f t="shared" si="75"/>
        <v>79.360399999999998</v>
      </c>
      <c r="X1187">
        <v>5</v>
      </c>
    </row>
    <row r="1188" spans="1:24" x14ac:dyDescent="0.3">
      <c r="A1188">
        <v>1187</v>
      </c>
      <c r="B1188" t="s">
        <v>2058</v>
      </c>
      <c r="C1188" s="6">
        <v>45383</v>
      </c>
      <c r="D1188" t="str">
        <f t="shared" si="72"/>
        <v>Apr</v>
      </c>
      <c r="E1188" t="str">
        <f t="shared" si="73"/>
        <v>2024</v>
      </c>
      <c r="F1188" t="s">
        <v>4</v>
      </c>
      <c r="G1188" t="s">
        <v>410</v>
      </c>
      <c r="H1188" t="s">
        <v>1132</v>
      </c>
      <c r="I1188">
        <v>180</v>
      </c>
      <c r="J1188">
        <v>10</v>
      </c>
      <c r="K1188">
        <f t="shared" si="74"/>
        <v>5.5555555555555554</v>
      </c>
      <c r="L1188" t="s">
        <v>1739</v>
      </c>
      <c r="M1188" t="s">
        <v>3588</v>
      </c>
      <c r="N1188" t="s">
        <v>1</v>
      </c>
      <c r="O1188">
        <v>425001</v>
      </c>
      <c r="P1188" t="s">
        <v>546</v>
      </c>
      <c r="Q1188" t="s">
        <v>1764</v>
      </c>
      <c r="S1188">
        <v>25.92</v>
      </c>
      <c r="T1188">
        <v>4</v>
      </c>
      <c r="U1188">
        <v>0.1</v>
      </c>
      <c r="V1188">
        <v>12.441599999999999</v>
      </c>
      <c r="W1188">
        <f t="shared" si="75"/>
        <v>3.3696000000000006</v>
      </c>
      <c r="X1188">
        <v>3</v>
      </c>
    </row>
    <row r="1189" spans="1:24" x14ac:dyDescent="0.3">
      <c r="A1189">
        <v>1188</v>
      </c>
      <c r="B1189" t="s">
        <v>2950</v>
      </c>
      <c r="C1189" s="6">
        <v>45384</v>
      </c>
      <c r="D1189" t="str">
        <f t="shared" si="72"/>
        <v>Apr</v>
      </c>
      <c r="E1189" t="str">
        <f t="shared" si="73"/>
        <v>2024</v>
      </c>
      <c r="F1189" t="s">
        <v>4</v>
      </c>
      <c r="G1189" t="s">
        <v>410</v>
      </c>
      <c r="H1189" t="s">
        <v>1142</v>
      </c>
      <c r="I1189">
        <v>150</v>
      </c>
      <c r="J1189">
        <v>14</v>
      </c>
      <c r="K1189">
        <f t="shared" si="74"/>
        <v>9.3333333333333339</v>
      </c>
      <c r="L1189" t="s">
        <v>1741</v>
      </c>
      <c r="M1189" t="s">
        <v>3789</v>
      </c>
      <c r="N1189" t="s">
        <v>1</v>
      </c>
      <c r="O1189">
        <v>411001</v>
      </c>
      <c r="P1189" t="s">
        <v>546</v>
      </c>
      <c r="Q1189" t="s">
        <v>1772</v>
      </c>
      <c r="S1189">
        <v>197.58</v>
      </c>
      <c r="T1189">
        <v>2</v>
      </c>
      <c r="U1189">
        <v>0.1</v>
      </c>
      <c r="V1189">
        <v>53.346600000000002</v>
      </c>
      <c r="W1189">
        <f t="shared" si="75"/>
        <v>72.116700000000009</v>
      </c>
      <c r="X1189">
        <v>4</v>
      </c>
    </row>
    <row r="1190" spans="1:24" x14ac:dyDescent="0.3">
      <c r="A1190">
        <v>1189</v>
      </c>
      <c r="B1190" t="s">
        <v>2951</v>
      </c>
      <c r="C1190" s="6">
        <v>45385</v>
      </c>
      <c r="D1190" t="str">
        <f t="shared" si="72"/>
        <v>Apr</v>
      </c>
      <c r="E1190" t="str">
        <f t="shared" si="73"/>
        <v>2024</v>
      </c>
      <c r="F1190" t="s">
        <v>3</v>
      </c>
      <c r="G1190" t="s">
        <v>411</v>
      </c>
      <c r="H1190" t="s">
        <v>1111</v>
      </c>
      <c r="I1190">
        <v>150</v>
      </c>
      <c r="J1190">
        <v>30</v>
      </c>
      <c r="K1190">
        <f t="shared" si="74"/>
        <v>20</v>
      </c>
      <c r="L1190" t="s">
        <v>1736</v>
      </c>
      <c r="M1190" t="s">
        <v>3790</v>
      </c>
      <c r="N1190" t="s">
        <v>1</v>
      </c>
      <c r="O1190">
        <v>700085</v>
      </c>
      <c r="P1190" t="s">
        <v>546</v>
      </c>
      <c r="Q1190" t="s">
        <v>1763</v>
      </c>
      <c r="R1190" t="s">
        <v>2</v>
      </c>
      <c r="S1190">
        <v>81.92</v>
      </c>
      <c r="T1190">
        <v>4</v>
      </c>
      <c r="U1190">
        <v>0.1</v>
      </c>
      <c r="V1190">
        <v>22.118400000000001</v>
      </c>
      <c r="W1190">
        <f t="shared" si="75"/>
        <v>14.9504</v>
      </c>
      <c r="X1190">
        <v>4</v>
      </c>
    </row>
    <row r="1191" spans="1:24" x14ac:dyDescent="0.3">
      <c r="A1191">
        <v>1190</v>
      </c>
      <c r="B1191" t="s">
        <v>2952</v>
      </c>
      <c r="C1191" s="6">
        <v>45386</v>
      </c>
      <c r="D1191" t="str">
        <f t="shared" si="72"/>
        <v>Apr</v>
      </c>
      <c r="E1191" t="str">
        <f t="shared" si="73"/>
        <v>2024</v>
      </c>
      <c r="F1191" t="s">
        <v>3</v>
      </c>
      <c r="G1191" t="s">
        <v>411</v>
      </c>
      <c r="H1191" t="s">
        <v>1419</v>
      </c>
      <c r="I1191">
        <v>140</v>
      </c>
      <c r="J1191">
        <v>8</v>
      </c>
      <c r="K1191">
        <f t="shared" si="74"/>
        <v>5.7142857142857144</v>
      </c>
      <c r="L1191" t="s">
        <v>1744</v>
      </c>
      <c r="M1191" t="s">
        <v>3685</v>
      </c>
      <c r="N1191" t="s">
        <v>1</v>
      </c>
      <c r="O1191">
        <v>248009</v>
      </c>
      <c r="P1191" t="s">
        <v>546</v>
      </c>
      <c r="Q1191" t="s">
        <v>1766</v>
      </c>
      <c r="S1191">
        <v>889.53599999999994</v>
      </c>
      <c r="T1191">
        <v>8</v>
      </c>
      <c r="U1191">
        <v>0.2</v>
      </c>
      <c r="V1191">
        <v>66.715199999999996</v>
      </c>
      <c r="W1191">
        <f t="shared" si="75"/>
        <v>102.8526</v>
      </c>
      <c r="X1191">
        <v>3</v>
      </c>
    </row>
    <row r="1192" spans="1:24" x14ac:dyDescent="0.3">
      <c r="A1192">
        <v>1191</v>
      </c>
      <c r="B1192" t="s">
        <v>2953</v>
      </c>
      <c r="C1192" s="6">
        <v>45387</v>
      </c>
      <c r="D1192" t="str">
        <f t="shared" si="72"/>
        <v>Apr</v>
      </c>
      <c r="E1192" t="str">
        <f t="shared" si="73"/>
        <v>2024</v>
      </c>
      <c r="F1192" t="s">
        <v>3</v>
      </c>
      <c r="G1192" t="s">
        <v>411</v>
      </c>
      <c r="H1192" t="s">
        <v>1420</v>
      </c>
      <c r="I1192">
        <v>130</v>
      </c>
      <c r="J1192">
        <v>22</v>
      </c>
      <c r="K1192">
        <f t="shared" si="74"/>
        <v>16.923076923076923</v>
      </c>
      <c r="L1192" t="s">
        <v>1740</v>
      </c>
      <c r="M1192" t="s">
        <v>3791</v>
      </c>
      <c r="O1192">
        <v>815301</v>
      </c>
      <c r="P1192" t="s">
        <v>546</v>
      </c>
      <c r="Q1192" t="s">
        <v>1761</v>
      </c>
      <c r="S1192">
        <v>892.22400000000005</v>
      </c>
      <c r="T1192">
        <v>3</v>
      </c>
      <c r="U1192">
        <v>0.2</v>
      </c>
      <c r="V1192">
        <v>89.222399999999993</v>
      </c>
      <c r="W1192">
        <f t="shared" si="75"/>
        <v>267.66720000000004</v>
      </c>
      <c r="X1192">
        <v>1</v>
      </c>
    </row>
    <row r="1193" spans="1:24" x14ac:dyDescent="0.3">
      <c r="A1193">
        <v>1192</v>
      </c>
      <c r="B1193" t="s">
        <v>2954</v>
      </c>
      <c r="C1193" s="6">
        <v>45388</v>
      </c>
      <c r="D1193" t="str">
        <f t="shared" si="72"/>
        <v>Apr</v>
      </c>
      <c r="E1193" t="str">
        <f t="shared" si="73"/>
        <v>2024</v>
      </c>
      <c r="F1193" t="s">
        <v>3</v>
      </c>
      <c r="G1193" t="s">
        <v>411</v>
      </c>
      <c r="H1193" t="s">
        <v>861</v>
      </c>
      <c r="I1193">
        <v>240</v>
      </c>
      <c r="J1193">
        <v>14</v>
      </c>
      <c r="K1193">
        <f t="shared" si="74"/>
        <v>5.833333333333333</v>
      </c>
      <c r="L1193" t="s">
        <v>1742</v>
      </c>
      <c r="M1193" t="s">
        <v>3696</v>
      </c>
      <c r="N1193" t="s">
        <v>1</v>
      </c>
      <c r="O1193">
        <v>490006</v>
      </c>
      <c r="P1193" t="s">
        <v>546</v>
      </c>
      <c r="Q1193" t="s">
        <v>1770</v>
      </c>
      <c r="S1193">
        <v>223.92</v>
      </c>
      <c r="T1193">
        <v>4</v>
      </c>
      <c r="U1193">
        <v>0.1</v>
      </c>
      <c r="V1193">
        <v>109.7208</v>
      </c>
      <c r="W1193">
        <f t="shared" si="75"/>
        <v>28.549799999999998</v>
      </c>
      <c r="X1193">
        <v>2</v>
      </c>
    </row>
    <row r="1194" spans="1:24" x14ac:dyDescent="0.3">
      <c r="A1194">
        <v>1193</v>
      </c>
      <c r="B1194" t="s">
        <v>2955</v>
      </c>
      <c r="C1194" s="6">
        <v>45389</v>
      </c>
      <c r="D1194" t="str">
        <f t="shared" si="72"/>
        <v>Apr</v>
      </c>
      <c r="E1194" t="str">
        <f t="shared" si="73"/>
        <v>2024</v>
      </c>
      <c r="F1194" t="s">
        <v>3</v>
      </c>
      <c r="G1194" t="s">
        <v>411</v>
      </c>
      <c r="H1194" t="s">
        <v>1421</v>
      </c>
      <c r="I1194">
        <v>180</v>
      </c>
      <c r="J1194">
        <v>14</v>
      </c>
      <c r="K1194">
        <f t="shared" si="74"/>
        <v>7.7777777777777777</v>
      </c>
      <c r="L1194" t="s">
        <v>1739</v>
      </c>
      <c r="M1194" t="s">
        <v>3697</v>
      </c>
      <c r="N1194" t="s">
        <v>1</v>
      </c>
      <c r="O1194">
        <v>673310</v>
      </c>
      <c r="P1194" t="s">
        <v>546</v>
      </c>
      <c r="Q1194" t="s">
        <v>1772</v>
      </c>
      <c r="S1194">
        <v>23.12</v>
      </c>
      <c r="T1194">
        <v>4</v>
      </c>
      <c r="U1194">
        <v>0.1</v>
      </c>
      <c r="V1194">
        <v>11.328799999999999</v>
      </c>
      <c r="W1194">
        <f t="shared" si="75"/>
        <v>2.9478000000000004</v>
      </c>
      <c r="X1194">
        <v>4</v>
      </c>
    </row>
    <row r="1195" spans="1:24" x14ac:dyDescent="0.3">
      <c r="A1195">
        <v>1194</v>
      </c>
      <c r="B1195" t="s">
        <v>2956</v>
      </c>
      <c r="C1195" s="6">
        <v>45390</v>
      </c>
      <c r="D1195" t="str">
        <f t="shared" si="72"/>
        <v>Apr</v>
      </c>
      <c r="E1195" t="str">
        <f t="shared" si="73"/>
        <v>2024</v>
      </c>
      <c r="F1195" t="s">
        <v>6</v>
      </c>
      <c r="G1195" t="s">
        <v>250</v>
      </c>
      <c r="H1195" t="s">
        <v>836</v>
      </c>
      <c r="I1195">
        <v>210</v>
      </c>
      <c r="J1195">
        <v>20</v>
      </c>
      <c r="K1195">
        <f t="shared" si="74"/>
        <v>9.5238095238095237</v>
      </c>
      <c r="L1195" t="s">
        <v>1738</v>
      </c>
      <c r="M1195" t="s">
        <v>3792</v>
      </c>
      <c r="N1195" t="s">
        <v>1</v>
      </c>
      <c r="O1195">
        <v>847304</v>
      </c>
      <c r="P1195" t="s">
        <v>546</v>
      </c>
      <c r="Q1195" t="s">
        <v>1767</v>
      </c>
      <c r="R1195" t="s">
        <v>2</v>
      </c>
      <c r="S1195">
        <v>15.552</v>
      </c>
      <c r="T1195">
        <v>3</v>
      </c>
      <c r="U1195">
        <v>0.2</v>
      </c>
      <c r="V1195">
        <v>5.4432</v>
      </c>
      <c r="W1195">
        <f t="shared" si="75"/>
        <v>3.3695999999999997</v>
      </c>
      <c r="X1195">
        <v>3</v>
      </c>
    </row>
    <row r="1196" spans="1:24" x14ac:dyDescent="0.3">
      <c r="A1196">
        <v>1195</v>
      </c>
      <c r="B1196" t="s">
        <v>2957</v>
      </c>
      <c r="C1196" s="6">
        <v>45391</v>
      </c>
      <c r="D1196" t="str">
        <f t="shared" si="72"/>
        <v>Apr</v>
      </c>
      <c r="E1196" t="str">
        <f t="shared" si="73"/>
        <v>2024</v>
      </c>
      <c r="F1196" t="s">
        <v>6</v>
      </c>
      <c r="G1196" t="s">
        <v>250</v>
      </c>
      <c r="H1196" t="s">
        <v>1422</v>
      </c>
      <c r="I1196">
        <v>170</v>
      </c>
      <c r="J1196">
        <v>24</v>
      </c>
      <c r="K1196">
        <f t="shared" si="74"/>
        <v>14.117647058823529</v>
      </c>
      <c r="L1196" t="s">
        <v>1737</v>
      </c>
      <c r="M1196" t="s">
        <v>3793</v>
      </c>
      <c r="N1196" t="s">
        <v>1</v>
      </c>
      <c r="O1196">
        <v>481661</v>
      </c>
      <c r="P1196" t="s">
        <v>546</v>
      </c>
      <c r="Q1196" t="s">
        <v>1755</v>
      </c>
      <c r="S1196">
        <v>15.712</v>
      </c>
      <c r="T1196">
        <v>4</v>
      </c>
      <c r="U1196">
        <v>0.2</v>
      </c>
      <c r="V1196">
        <v>2.5531999999999999</v>
      </c>
      <c r="W1196">
        <f t="shared" si="75"/>
        <v>3.2896999999999998</v>
      </c>
      <c r="X1196">
        <v>5</v>
      </c>
    </row>
    <row r="1197" spans="1:24" x14ac:dyDescent="0.3">
      <c r="A1197">
        <v>1196</v>
      </c>
      <c r="B1197" t="s">
        <v>2958</v>
      </c>
      <c r="C1197" s="6">
        <v>45392</v>
      </c>
      <c r="D1197" t="str">
        <f t="shared" si="72"/>
        <v>Apr</v>
      </c>
      <c r="E1197" t="str">
        <f t="shared" si="73"/>
        <v>2024</v>
      </c>
      <c r="F1197" t="s">
        <v>6</v>
      </c>
      <c r="G1197" t="s">
        <v>250</v>
      </c>
      <c r="H1197" t="s">
        <v>968</v>
      </c>
      <c r="I1197">
        <v>200</v>
      </c>
      <c r="J1197">
        <v>14</v>
      </c>
      <c r="K1197">
        <f t="shared" si="74"/>
        <v>7.0000000000000009</v>
      </c>
      <c r="L1197" t="s">
        <v>1743</v>
      </c>
      <c r="M1197" t="s">
        <v>3794</v>
      </c>
      <c r="N1197" t="s">
        <v>1</v>
      </c>
      <c r="O1197">
        <v>641038</v>
      </c>
      <c r="P1197" t="s">
        <v>546</v>
      </c>
      <c r="Q1197" t="s">
        <v>1767</v>
      </c>
      <c r="S1197">
        <v>24.672000000000001</v>
      </c>
      <c r="T1197">
        <v>2</v>
      </c>
      <c r="U1197">
        <v>0.2</v>
      </c>
      <c r="V1197">
        <v>2.1587999999999998</v>
      </c>
      <c r="W1197">
        <f t="shared" si="75"/>
        <v>11.256600000000001</v>
      </c>
      <c r="X1197">
        <v>1</v>
      </c>
    </row>
    <row r="1198" spans="1:24" x14ac:dyDescent="0.3">
      <c r="A1198">
        <v>1197</v>
      </c>
      <c r="B1198" t="s">
        <v>2959</v>
      </c>
      <c r="C1198" s="6">
        <v>45393</v>
      </c>
      <c r="D1198" t="str">
        <f t="shared" si="72"/>
        <v>Apr</v>
      </c>
      <c r="E1198" t="str">
        <f t="shared" si="73"/>
        <v>2024</v>
      </c>
      <c r="F1198" t="s">
        <v>6</v>
      </c>
      <c r="G1198" t="s">
        <v>250</v>
      </c>
      <c r="H1198" t="s">
        <v>1130</v>
      </c>
      <c r="I1198">
        <v>220</v>
      </c>
      <c r="J1198">
        <v>18</v>
      </c>
      <c r="K1198">
        <f t="shared" si="74"/>
        <v>8.1818181818181817</v>
      </c>
      <c r="L1198" t="s">
        <v>1738</v>
      </c>
      <c r="M1198" t="s">
        <v>3795</v>
      </c>
      <c r="N1198" t="s">
        <v>1</v>
      </c>
      <c r="O1198">
        <v>400069</v>
      </c>
      <c r="P1198" t="s">
        <v>546</v>
      </c>
      <c r="Q1198" t="s">
        <v>1776</v>
      </c>
      <c r="S1198">
        <v>55.968000000000004</v>
      </c>
      <c r="T1198">
        <v>1</v>
      </c>
      <c r="U1198">
        <v>0.2</v>
      </c>
      <c r="V1198">
        <v>-2.0988000000000002</v>
      </c>
      <c r="W1198">
        <f t="shared" si="75"/>
        <v>58.066800000000001</v>
      </c>
      <c r="X1198">
        <v>3</v>
      </c>
    </row>
    <row r="1199" spans="1:24" x14ac:dyDescent="0.3">
      <c r="A1199">
        <v>1198</v>
      </c>
      <c r="B1199" t="s">
        <v>2960</v>
      </c>
      <c r="C1199" s="6">
        <v>45394</v>
      </c>
      <c r="D1199" t="str">
        <f t="shared" si="72"/>
        <v>Apr</v>
      </c>
      <c r="E1199" t="str">
        <f t="shared" si="73"/>
        <v>2024</v>
      </c>
      <c r="F1199" t="s">
        <v>4</v>
      </c>
      <c r="G1199" t="s">
        <v>240</v>
      </c>
      <c r="H1199" t="s">
        <v>1423</v>
      </c>
      <c r="I1199">
        <v>170</v>
      </c>
      <c r="J1199">
        <v>10</v>
      </c>
      <c r="K1199">
        <f t="shared" si="74"/>
        <v>5.8823529411764701</v>
      </c>
      <c r="L1199" t="s">
        <v>1739</v>
      </c>
      <c r="M1199" t="s">
        <v>3594</v>
      </c>
      <c r="N1199" t="s">
        <v>1</v>
      </c>
      <c r="O1199">
        <v>534202</v>
      </c>
      <c r="P1199" t="s">
        <v>546</v>
      </c>
      <c r="Q1199" t="s">
        <v>1769</v>
      </c>
      <c r="S1199">
        <v>431.928</v>
      </c>
      <c r="T1199">
        <v>9</v>
      </c>
      <c r="U1199">
        <v>0.2</v>
      </c>
      <c r="V1199">
        <v>64.789199999999994</v>
      </c>
      <c r="W1199">
        <f t="shared" si="75"/>
        <v>40.793199999999999</v>
      </c>
      <c r="X1199">
        <v>4</v>
      </c>
    </row>
    <row r="1200" spans="1:24" x14ac:dyDescent="0.3">
      <c r="A1200">
        <v>1199</v>
      </c>
      <c r="B1200" t="s">
        <v>2961</v>
      </c>
      <c r="C1200" s="6">
        <v>45395</v>
      </c>
      <c r="D1200" t="str">
        <f t="shared" si="72"/>
        <v>Apr</v>
      </c>
      <c r="E1200" t="str">
        <f t="shared" si="73"/>
        <v>2024</v>
      </c>
      <c r="F1200" t="s">
        <v>4</v>
      </c>
      <c r="G1200" t="s">
        <v>240</v>
      </c>
      <c r="H1200" t="s">
        <v>1424</v>
      </c>
      <c r="I1200">
        <v>200</v>
      </c>
      <c r="J1200">
        <v>22</v>
      </c>
      <c r="K1200">
        <f t="shared" si="74"/>
        <v>11</v>
      </c>
      <c r="L1200" t="s">
        <v>1741</v>
      </c>
      <c r="M1200" t="s">
        <v>3796</v>
      </c>
      <c r="N1200" t="s">
        <v>1</v>
      </c>
      <c r="O1200">
        <v>132001</v>
      </c>
      <c r="P1200" t="s">
        <v>546</v>
      </c>
      <c r="Q1200" t="s">
        <v>1764</v>
      </c>
      <c r="S1200">
        <v>95.983999999999995</v>
      </c>
      <c r="T1200">
        <v>4</v>
      </c>
      <c r="U1200">
        <v>0.3</v>
      </c>
      <c r="V1200">
        <v>-4.1135999999999999</v>
      </c>
      <c r="W1200">
        <f t="shared" si="75"/>
        <v>25.0244</v>
      </c>
      <c r="X1200">
        <v>2</v>
      </c>
    </row>
    <row r="1201" spans="1:24" x14ac:dyDescent="0.3">
      <c r="A1201">
        <v>1200</v>
      </c>
      <c r="B1201" t="s">
        <v>2962</v>
      </c>
      <c r="C1201" s="6">
        <v>45396</v>
      </c>
      <c r="D1201" t="str">
        <f t="shared" si="72"/>
        <v>Apr</v>
      </c>
      <c r="E1201" t="str">
        <f t="shared" si="73"/>
        <v>2024</v>
      </c>
      <c r="F1201" t="s">
        <v>4</v>
      </c>
      <c r="G1201" t="s">
        <v>240</v>
      </c>
      <c r="H1201" t="s">
        <v>863</v>
      </c>
      <c r="I1201">
        <v>140</v>
      </c>
      <c r="J1201">
        <v>6</v>
      </c>
      <c r="K1201">
        <f t="shared" si="74"/>
        <v>4.2857142857142856</v>
      </c>
      <c r="L1201" t="s">
        <v>1736</v>
      </c>
      <c r="M1201" t="s">
        <v>3797</v>
      </c>
      <c r="N1201" t="s">
        <v>1</v>
      </c>
      <c r="O1201">
        <v>160022</v>
      </c>
      <c r="P1201" t="s">
        <v>546</v>
      </c>
      <c r="Q1201" t="s">
        <v>1759</v>
      </c>
      <c r="R1201" t="s">
        <v>2</v>
      </c>
      <c r="S1201">
        <v>1088.7919999999999</v>
      </c>
      <c r="T1201">
        <v>4</v>
      </c>
      <c r="U1201">
        <v>0.8</v>
      </c>
      <c r="V1201">
        <v>-1850.9464</v>
      </c>
      <c r="W1201">
        <f t="shared" si="75"/>
        <v>734.93460000000005</v>
      </c>
      <c r="X1201">
        <v>3</v>
      </c>
    </row>
    <row r="1202" spans="1:24" x14ac:dyDescent="0.3">
      <c r="A1202">
        <v>1201</v>
      </c>
      <c r="B1202" t="s">
        <v>2963</v>
      </c>
      <c r="C1202" s="6">
        <v>45397</v>
      </c>
      <c r="D1202" t="str">
        <f t="shared" si="72"/>
        <v>Apr</v>
      </c>
      <c r="E1202" t="str">
        <f t="shared" si="73"/>
        <v>2024</v>
      </c>
      <c r="F1202" t="s">
        <v>4</v>
      </c>
      <c r="G1202" t="s">
        <v>329</v>
      </c>
      <c r="H1202" t="s">
        <v>1176</v>
      </c>
      <c r="I1202">
        <v>180</v>
      </c>
      <c r="J1202">
        <v>16</v>
      </c>
      <c r="K1202">
        <f t="shared" si="74"/>
        <v>8.8888888888888893</v>
      </c>
      <c r="L1202" t="s">
        <v>1744</v>
      </c>
      <c r="M1202" t="s">
        <v>3798</v>
      </c>
      <c r="N1202" t="s">
        <v>1</v>
      </c>
      <c r="O1202">
        <v>400028</v>
      </c>
      <c r="P1202" t="s">
        <v>546</v>
      </c>
      <c r="Q1202" t="s">
        <v>1759</v>
      </c>
      <c r="S1202">
        <v>544.00800000000004</v>
      </c>
      <c r="T1202">
        <v>3</v>
      </c>
      <c r="U1202">
        <v>0.2</v>
      </c>
      <c r="V1202">
        <v>40.800600000000003</v>
      </c>
      <c r="W1202">
        <f t="shared" si="75"/>
        <v>167.73580000000001</v>
      </c>
      <c r="X1202">
        <v>4</v>
      </c>
    </row>
    <row r="1203" spans="1:24" x14ac:dyDescent="0.3">
      <c r="A1203">
        <v>1202</v>
      </c>
      <c r="B1203" t="s">
        <v>2964</v>
      </c>
      <c r="C1203" s="6">
        <v>45398</v>
      </c>
      <c r="D1203" t="str">
        <f t="shared" si="72"/>
        <v>Apr</v>
      </c>
      <c r="E1203" t="str">
        <f t="shared" si="73"/>
        <v>2024</v>
      </c>
      <c r="F1203" t="s">
        <v>4</v>
      </c>
      <c r="G1203" t="s">
        <v>329</v>
      </c>
      <c r="H1203" t="s">
        <v>802</v>
      </c>
      <c r="I1203">
        <v>130</v>
      </c>
      <c r="J1203">
        <v>30</v>
      </c>
      <c r="K1203">
        <f t="shared" si="74"/>
        <v>23.076923076923077</v>
      </c>
      <c r="L1203" t="s">
        <v>1740</v>
      </c>
      <c r="M1203" t="s">
        <v>3799</v>
      </c>
      <c r="N1203" t="s">
        <v>1</v>
      </c>
      <c r="O1203">
        <v>332311</v>
      </c>
      <c r="P1203" t="s">
        <v>546</v>
      </c>
      <c r="Q1203" t="s">
        <v>1772</v>
      </c>
      <c r="R1203" t="s">
        <v>2</v>
      </c>
      <c r="S1203">
        <v>1.8720000000000001</v>
      </c>
      <c r="T1203">
        <v>3</v>
      </c>
      <c r="U1203">
        <v>0.7</v>
      </c>
      <c r="V1203">
        <v>-1.4352</v>
      </c>
      <c r="W1203">
        <f t="shared" si="75"/>
        <v>1.1024</v>
      </c>
      <c r="X1203">
        <v>1</v>
      </c>
    </row>
    <row r="1204" spans="1:24" x14ac:dyDescent="0.3">
      <c r="A1204">
        <v>1203</v>
      </c>
      <c r="B1204" t="s">
        <v>2965</v>
      </c>
      <c r="C1204" s="6">
        <v>45399</v>
      </c>
      <c r="D1204" t="str">
        <f t="shared" si="72"/>
        <v>Apr</v>
      </c>
      <c r="E1204" t="str">
        <f t="shared" si="73"/>
        <v>2024</v>
      </c>
      <c r="F1204" t="s">
        <v>4</v>
      </c>
      <c r="G1204" t="s">
        <v>329</v>
      </c>
      <c r="H1204" t="s">
        <v>953</v>
      </c>
      <c r="I1204">
        <v>170</v>
      </c>
      <c r="J1204">
        <v>30</v>
      </c>
      <c r="K1204">
        <f t="shared" si="74"/>
        <v>17.647058823529413</v>
      </c>
      <c r="L1204" t="s">
        <v>1742</v>
      </c>
      <c r="M1204" t="s">
        <v>3800</v>
      </c>
      <c r="N1204" t="s">
        <v>1</v>
      </c>
      <c r="O1204">
        <v>380054</v>
      </c>
      <c r="P1204" t="s">
        <v>546</v>
      </c>
      <c r="Q1204" t="s">
        <v>1765</v>
      </c>
      <c r="S1204">
        <v>854.35199999999998</v>
      </c>
      <c r="T1204">
        <v>3</v>
      </c>
      <c r="U1204">
        <v>0.2</v>
      </c>
      <c r="V1204">
        <v>10.679399999999999</v>
      </c>
      <c r="W1204">
        <f t="shared" si="75"/>
        <v>281.2242</v>
      </c>
      <c r="X1204">
        <v>1</v>
      </c>
    </row>
    <row r="1205" spans="1:24" x14ac:dyDescent="0.3">
      <c r="A1205">
        <v>1204</v>
      </c>
      <c r="B1205" t="s">
        <v>2966</v>
      </c>
      <c r="C1205" s="6">
        <v>45400</v>
      </c>
      <c r="D1205" t="str">
        <f t="shared" si="72"/>
        <v>Apr</v>
      </c>
      <c r="E1205" t="str">
        <f t="shared" si="73"/>
        <v>2024</v>
      </c>
      <c r="F1205" t="s">
        <v>4</v>
      </c>
      <c r="G1205" t="s">
        <v>329</v>
      </c>
      <c r="H1205" t="s">
        <v>1425</v>
      </c>
      <c r="I1205">
        <v>230</v>
      </c>
      <c r="J1205">
        <v>16</v>
      </c>
      <c r="K1205">
        <f t="shared" si="74"/>
        <v>6.9565217391304346</v>
      </c>
      <c r="L1205" t="s">
        <v>1739</v>
      </c>
      <c r="M1205" t="s">
        <v>3623</v>
      </c>
      <c r="N1205" t="s">
        <v>1</v>
      </c>
      <c r="O1205">
        <v>641027</v>
      </c>
      <c r="P1205" t="s">
        <v>546</v>
      </c>
      <c r="Q1205" t="s">
        <v>1768</v>
      </c>
      <c r="R1205" t="s">
        <v>2</v>
      </c>
      <c r="S1205">
        <v>593.56799999999998</v>
      </c>
      <c r="T1205">
        <v>2</v>
      </c>
      <c r="U1205">
        <v>0.2</v>
      </c>
      <c r="V1205">
        <v>0.1</v>
      </c>
      <c r="W1205">
        <f t="shared" si="75"/>
        <v>296.73399999999998</v>
      </c>
      <c r="X1205">
        <v>4</v>
      </c>
    </row>
    <row r="1206" spans="1:24" x14ac:dyDescent="0.3">
      <c r="A1206">
        <v>1205</v>
      </c>
      <c r="B1206" t="s">
        <v>2967</v>
      </c>
      <c r="C1206" s="6">
        <v>45401</v>
      </c>
      <c r="D1206" t="str">
        <f t="shared" si="72"/>
        <v>Apr</v>
      </c>
      <c r="E1206" t="str">
        <f t="shared" si="73"/>
        <v>2024</v>
      </c>
      <c r="F1206" t="s">
        <v>4</v>
      </c>
      <c r="G1206" t="s">
        <v>329</v>
      </c>
      <c r="H1206" t="s">
        <v>973</v>
      </c>
      <c r="I1206">
        <v>230</v>
      </c>
      <c r="J1206">
        <v>14</v>
      </c>
      <c r="K1206">
        <f t="shared" si="74"/>
        <v>6.0869565217391308</v>
      </c>
      <c r="L1206" t="s">
        <v>1738</v>
      </c>
      <c r="M1206" t="s">
        <v>3801</v>
      </c>
      <c r="N1206" t="s">
        <v>1</v>
      </c>
      <c r="O1206">
        <v>231219</v>
      </c>
      <c r="P1206" t="s">
        <v>546</v>
      </c>
      <c r="Q1206" t="s">
        <v>1767</v>
      </c>
      <c r="R1206" t="s">
        <v>2</v>
      </c>
      <c r="S1206">
        <v>338.04</v>
      </c>
      <c r="T1206">
        <v>3</v>
      </c>
      <c r="U1206">
        <v>0.2</v>
      </c>
      <c r="V1206">
        <v>-33.804000000000002</v>
      </c>
      <c r="W1206">
        <f t="shared" si="75"/>
        <v>123.94800000000002</v>
      </c>
      <c r="X1206">
        <v>1</v>
      </c>
    </row>
    <row r="1207" spans="1:24" x14ac:dyDescent="0.3">
      <c r="A1207">
        <v>1206</v>
      </c>
      <c r="B1207" t="s">
        <v>2968</v>
      </c>
      <c r="C1207" s="6">
        <v>45402</v>
      </c>
      <c r="D1207" t="str">
        <f t="shared" si="72"/>
        <v>Apr</v>
      </c>
      <c r="E1207" t="str">
        <f t="shared" si="73"/>
        <v>2024</v>
      </c>
      <c r="F1207" t="s">
        <v>5</v>
      </c>
      <c r="G1207" t="s">
        <v>412</v>
      </c>
      <c r="H1207" t="s">
        <v>1251</v>
      </c>
      <c r="I1207">
        <v>180</v>
      </c>
      <c r="J1207">
        <v>12</v>
      </c>
      <c r="K1207">
        <f t="shared" si="74"/>
        <v>6.666666666666667</v>
      </c>
      <c r="L1207" t="s">
        <v>1737</v>
      </c>
      <c r="M1207" t="s">
        <v>3802</v>
      </c>
      <c r="N1207" t="s">
        <v>1</v>
      </c>
      <c r="O1207">
        <v>577201</v>
      </c>
      <c r="P1207" t="s">
        <v>546</v>
      </c>
      <c r="Q1207" t="s">
        <v>1774</v>
      </c>
      <c r="S1207">
        <v>271.95999999999998</v>
      </c>
      <c r="T1207">
        <v>5</v>
      </c>
      <c r="U1207">
        <v>0.2</v>
      </c>
      <c r="V1207">
        <v>16.997499999999999</v>
      </c>
      <c r="W1207">
        <f t="shared" si="75"/>
        <v>50.992499999999993</v>
      </c>
      <c r="X1207">
        <v>3</v>
      </c>
    </row>
    <row r="1208" spans="1:24" x14ac:dyDescent="0.3">
      <c r="A1208">
        <v>1207</v>
      </c>
      <c r="B1208" t="s">
        <v>2969</v>
      </c>
      <c r="C1208" s="6">
        <v>45403</v>
      </c>
      <c r="D1208" t="str">
        <f t="shared" si="72"/>
        <v>Apr</v>
      </c>
      <c r="E1208" t="str">
        <f t="shared" si="73"/>
        <v>2024</v>
      </c>
      <c r="F1208" t="s">
        <v>3</v>
      </c>
      <c r="G1208" t="s">
        <v>413</v>
      </c>
      <c r="H1208" t="s">
        <v>1149</v>
      </c>
      <c r="I1208">
        <v>160</v>
      </c>
      <c r="J1208">
        <v>14</v>
      </c>
      <c r="K1208">
        <f t="shared" si="74"/>
        <v>8.75</v>
      </c>
      <c r="L1208" t="s">
        <v>1743</v>
      </c>
      <c r="M1208" t="s">
        <v>3803</v>
      </c>
      <c r="N1208" t="s">
        <v>1</v>
      </c>
      <c r="O1208">
        <v>500090</v>
      </c>
      <c r="P1208" t="s">
        <v>546</v>
      </c>
      <c r="Q1208" t="s">
        <v>1763</v>
      </c>
      <c r="S1208">
        <v>11.21</v>
      </c>
      <c r="T1208">
        <v>1</v>
      </c>
      <c r="U1208">
        <v>0.1</v>
      </c>
      <c r="V1208">
        <v>3.363</v>
      </c>
      <c r="W1208">
        <f t="shared" si="75"/>
        <v>7.8470000000000013</v>
      </c>
      <c r="X1208">
        <v>1</v>
      </c>
    </row>
    <row r="1209" spans="1:24" x14ac:dyDescent="0.3">
      <c r="A1209">
        <v>1208</v>
      </c>
      <c r="B1209" t="s">
        <v>2970</v>
      </c>
      <c r="C1209" s="6">
        <v>45404</v>
      </c>
      <c r="D1209" t="str">
        <f t="shared" si="72"/>
        <v>Apr</v>
      </c>
      <c r="E1209" t="str">
        <f t="shared" si="73"/>
        <v>2024</v>
      </c>
      <c r="F1209" t="s">
        <v>3</v>
      </c>
      <c r="G1209" t="s">
        <v>413</v>
      </c>
      <c r="H1209" t="s">
        <v>862</v>
      </c>
      <c r="I1209">
        <v>200</v>
      </c>
      <c r="J1209">
        <v>18</v>
      </c>
      <c r="K1209">
        <f t="shared" si="74"/>
        <v>9</v>
      </c>
      <c r="L1209" t="s">
        <v>1738</v>
      </c>
      <c r="M1209" t="s">
        <v>3804</v>
      </c>
      <c r="N1209" t="s">
        <v>1</v>
      </c>
      <c r="O1209">
        <v>401209</v>
      </c>
      <c r="P1209" t="s">
        <v>546</v>
      </c>
      <c r="Q1209" t="s">
        <v>1767</v>
      </c>
      <c r="S1209">
        <v>9.1440000000000001</v>
      </c>
      <c r="T1209">
        <v>3</v>
      </c>
      <c r="U1209">
        <v>0.2</v>
      </c>
      <c r="V1209">
        <v>3.2004000000000001</v>
      </c>
      <c r="W1209">
        <f t="shared" si="75"/>
        <v>1.9812000000000001</v>
      </c>
      <c r="X1209">
        <v>5</v>
      </c>
    </row>
    <row r="1210" spans="1:24" x14ac:dyDescent="0.3">
      <c r="A1210">
        <v>1209</v>
      </c>
      <c r="B1210" t="s">
        <v>2971</v>
      </c>
      <c r="C1210" s="6">
        <v>45405</v>
      </c>
      <c r="D1210" t="str">
        <f t="shared" si="72"/>
        <v>Apr</v>
      </c>
      <c r="E1210" t="str">
        <f t="shared" si="73"/>
        <v>2024</v>
      </c>
      <c r="F1210" t="s">
        <v>3</v>
      </c>
      <c r="G1210" t="s">
        <v>413</v>
      </c>
      <c r="H1210" t="s">
        <v>678</v>
      </c>
      <c r="I1210">
        <v>180</v>
      </c>
      <c r="J1210">
        <v>16</v>
      </c>
      <c r="K1210">
        <f t="shared" si="74"/>
        <v>8.8888888888888893</v>
      </c>
      <c r="L1210" t="s">
        <v>1739</v>
      </c>
      <c r="M1210" t="s">
        <v>3600</v>
      </c>
      <c r="N1210" t="s">
        <v>1</v>
      </c>
      <c r="O1210">
        <v>493118</v>
      </c>
      <c r="P1210" t="s">
        <v>546</v>
      </c>
      <c r="Q1210" t="s">
        <v>1761</v>
      </c>
      <c r="S1210">
        <v>14.07</v>
      </c>
      <c r="T1210">
        <v>7</v>
      </c>
      <c r="U1210">
        <v>0.1</v>
      </c>
      <c r="V1210">
        <v>6.8943000000000003</v>
      </c>
      <c r="W1210">
        <f t="shared" si="75"/>
        <v>1.0250999999999999</v>
      </c>
      <c r="X1210">
        <v>2</v>
      </c>
    </row>
    <row r="1211" spans="1:24" x14ac:dyDescent="0.3">
      <c r="A1211">
        <v>1210</v>
      </c>
      <c r="B1211" t="s">
        <v>2972</v>
      </c>
      <c r="C1211" s="6">
        <v>45406</v>
      </c>
      <c r="D1211" t="str">
        <f t="shared" si="72"/>
        <v>Apr</v>
      </c>
      <c r="E1211" t="str">
        <f t="shared" si="73"/>
        <v>2024</v>
      </c>
      <c r="F1211" t="s">
        <v>3</v>
      </c>
      <c r="G1211" t="s">
        <v>413</v>
      </c>
      <c r="H1211" t="s">
        <v>1426</v>
      </c>
      <c r="I1211">
        <v>250</v>
      </c>
      <c r="J1211">
        <v>24</v>
      </c>
      <c r="K1211">
        <f t="shared" si="74"/>
        <v>9.6</v>
      </c>
      <c r="L1211" t="s">
        <v>1741</v>
      </c>
      <c r="M1211" t="s">
        <v>3805</v>
      </c>
      <c r="N1211" t="s">
        <v>1</v>
      </c>
      <c r="O1211">
        <v>500032</v>
      </c>
      <c r="P1211" t="s">
        <v>546</v>
      </c>
      <c r="Q1211" t="s">
        <v>1774</v>
      </c>
      <c r="S1211">
        <v>41.86</v>
      </c>
      <c r="T1211">
        <v>7</v>
      </c>
      <c r="U1211">
        <v>0.1</v>
      </c>
      <c r="V1211">
        <v>10.465</v>
      </c>
      <c r="W1211">
        <f t="shared" si="75"/>
        <v>4.4850000000000003</v>
      </c>
      <c r="X1211">
        <v>3</v>
      </c>
    </row>
    <row r="1212" spans="1:24" x14ac:dyDescent="0.3">
      <c r="A1212">
        <v>1211</v>
      </c>
      <c r="B1212" t="s">
        <v>2973</v>
      </c>
      <c r="C1212" s="6">
        <v>45407</v>
      </c>
      <c r="D1212" t="str">
        <f t="shared" si="72"/>
        <v>Apr</v>
      </c>
      <c r="E1212" t="str">
        <f t="shared" si="73"/>
        <v>2024</v>
      </c>
      <c r="F1212" t="s">
        <v>3</v>
      </c>
      <c r="G1212" t="s">
        <v>413</v>
      </c>
      <c r="H1212" t="s">
        <v>1427</v>
      </c>
      <c r="I1212">
        <v>210</v>
      </c>
      <c r="J1212">
        <v>26</v>
      </c>
      <c r="K1212">
        <f t="shared" si="74"/>
        <v>12.380952380952381</v>
      </c>
      <c r="L1212" t="s">
        <v>1736</v>
      </c>
      <c r="M1212" t="s">
        <v>3644</v>
      </c>
      <c r="N1212" t="s">
        <v>1</v>
      </c>
      <c r="O1212">
        <v>490001</v>
      </c>
      <c r="P1212" t="s">
        <v>546</v>
      </c>
      <c r="Q1212" t="s">
        <v>1755</v>
      </c>
      <c r="S1212">
        <v>8.5440000000000005</v>
      </c>
      <c r="T1212">
        <v>2</v>
      </c>
      <c r="U1212">
        <v>0.2</v>
      </c>
      <c r="V1212">
        <v>2.8835999999999999</v>
      </c>
      <c r="W1212">
        <f t="shared" si="75"/>
        <v>2.8302000000000005</v>
      </c>
      <c r="X1212">
        <v>1</v>
      </c>
    </row>
    <row r="1213" spans="1:24" x14ac:dyDescent="0.3">
      <c r="A1213">
        <v>1212</v>
      </c>
      <c r="B1213" t="s">
        <v>2974</v>
      </c>
      <c r="C1213" s="6">
        <v>45408</v>
      </c>
      <c r="D1213" t="str">
        <f t="shared" si="72"/>
        <v>Apr</v>
      </c>
      <c r="E1213" t="str">
        <f t="shared" si="73"/>
        <v>2024</v>
      </c>
      <c r="F1213" t="s">
        <v>3</v>
      </c>
      <c r="G1213" t="s">
        <v>413</v>
      </c>
      <c r="H1213" t="s">
        <v>746</v>
      </c>
      <c r="I1213">
        <v>200</v>
      </c>
      <c r="J1213">
        <v>16</v>
      </c>
      <c r="K1213">
        <f t="shared" si="74"/>
        <v>8</v>
      </c>
      <c r="L1213" t="s">
        <v>1744</v>
      </c>
      <c r="M1213" t="s">
        <v>3806</v>
      </c>
      <c r="N1213" t="s">
        <v>1</v>
      </c>
      <c r="O1213">
        <v>573201</v>
      </c>
      <c r="P1213" t="s">
        <v>546</v>
      </c>
      <c r="Q1213" t="s">
        <v>1772</v>
      </c>
      <c r="S1213">
        <v>579.13599999999997</v>
      </c>
      <c r="T1213">
        <v>4</v>
      </c>
      <c r="U1213">
        <v>0.2</v>
      </c>
      <c r="V1213">
        <v>21.717600000000001</v>
      </c>
      <c r="W1213">
        <f t="shared" si="75"/>
        <v>139.3546</v>
      </c>
      <c r="X1213">
        <v>1</v>
      </c>
    </row>
    <row r="1214" spans="1:24" x14ac:dyDescent="0.3">
      <c r="A1214">
        <v>1213</v>
      </c>
      <c r="B1214" t="s">
        <v>2975</v>
      </c>
      <c r="C1214" s="6">
        <v>45409</v>
      </c>
      <c r="D1214" t="str">
        <f t="shared" si="72"/>
        <v>Apr</v>
      </c>
      <c r="E1214" t="str">
        <f t="shared" si="73"/>
        <v>2024</v>
      </c>
      <c r="F1214" t="s">
        <v>4</v>
      </c>
      <c r="G1214" t="s">
        <v>414</v>
      </c>
      <c r="H1214" t="s">
        <v>758</v>
      </c>
      <c r="I1214">
        <v>250</v>
      </c>
      <c r="J1214">
        <v>30</v>
      </c>
      <c r="K1214">
        <f t="shared" si="74"/>
        <v>12</v>
      </c>
      <c r="L1214" t="s">
        <v>1740</v>
      </c>
      <c r="M1214" t="s">
        <v>3586</v>
      </c>
      <c r="N1214" t="s">
        <v>1</v>
      </c>
      <c r="O1214">
        <v>226010</v>
      </c>
      <c r="P1214" t="s">
        <v>546</v>
      </c>
      <c r="Q1214" t="s">
        <v>1767</v>
      </c>
      <c r="R1214" t="s">
        <v>2</v>
      </c>
      <c r="S1214">
        <v>141.37200000000001</v>
      </c>
      <c r="T1214">
        <v>2</v>
      </c>
      <c r="U1214">
        <v>0.3</v>
      </c>
      <c r="V1214">
        <v>-48.470399999999998</v>
      </c>
      <c r="W1214">
        <f t="shared" si="75"/>
        <v>94.921199999999999</v>
      </c>
      <c r="X1214">
        <v>3</v>
      </c>
    </row>
    <row r="1215" spans="1:24" x14ac:dyDescent="0.3">
      <c r="A1215">
        <v>1214</v>
      </c>
      <c r="B1215" t="s">
        <v>2976</v>
      </c>
      <c r="C1215" s="6">
        <v>45410</v>
      </c>
      <c r="D1215" t="str">
        <f t="shared" si="72"/>
        <v>Apr</v>
      </c>
      <c r="E1215" t="str">
        <f t="shared" si="73"/>
        <v>2024</v>
      </c>
      <c r="F1215" t="s">
        <v>4</v>
      </c>
      <c r="G1215" t="s">
        <v>414</v>
      </c>
      <c r="H1215" t="s">
        <v>1428</v>
      </c>
      <c r="I1215">
        <v>140</v>
      </c>
      <c r="J1215">
        <v>6</v>
      </c>
      <c r="K1215">
        <f t="shared" si="74"/>
        <v>4.2857142857142856</v>
      </c>
      <c r="L1215" t="s">
        <v>1742</v>
      </c>
      <c r="M1215" t="s">
        <v>3676</v>
      </c>
      <c r="O1215">
        <v>500001</v>
      </c>
      <c r="P1215" t="s">
        <v>546</v>
      </c>
      <c r="Q1215" t="s">
        <v>1761</v>
      </c>
      <c r="R1215" t="s">
        <v>2</v>
      </c>
      <c r="S1215">
        <v>3.036</v>
      </c>
      <c r="T1215">
        <v>2</v>
      </c>
      <c r="U1215">
        <v>0.7</v>
      </c>
      <c r="V1215">
        <v>-2.3275999999999999</v>
      </c>
      <c r="W1215">
        <f t="shared" si="75"/>
        <v>2.6818</v>
      </c>
      <c r="X1215">
        <v>3</v>
      </c>
    </row>
    <row r="1216" spans="1:24" x14ac:dyDescent="0.3">
      <c r="A1216">
        <v>1215</v>
      </c>
      <c r="B1216" t="s">
        <v>2977</v>
      </c>
      <c r="C1216" s="6">
        <v>45411</v>
      </c>
      <c r="D1216" t="str">
        <f t="shared" si="72"/>
        <v>Apr</v>
      </c>
      <c r="E1216" t="str">
        <f t="shared" si="73"/>
        <v>2024</v>
      </c>
      <c r="F1216" t="s">
        <v>4</v>
      </c>
      <c r="G1216" t="s">
        <v>414</v>
      </c>
      <c r="H1216" t="s">
        <v>1038</v>
      </c>
      <c r="I1216">
        <v>230</v>
      </c>
      <c r="J1216">
        <v>28</v>
      </c>
      <c r="K1216">
        <f t="shared" si="74"/>
        <v>12.173913043478262</v>
      </c>
      <c r="L1216" t="s">
        <v>1739</v>
      </c>
      <c r="M1216" t="s">
        <v>3747</v>
      </c>
      <c r="O1216">
        <v>500001</v>
      </c>
      <c r="P1216" t="s">
        <v>546</v>
      </c>
      <c r="Q1216" t="s">
        <v>1775</v>
      </c>
      <c r="S1216">
        <v>4.5030000000000001</v>
      </c>
      <c r="T1216">
        <v>1</v>
      </c>
      <c r="U1216">
        <v>0.7</v>
      </c>
      <c r="V1216">
        <v>-3.6023999999999998</v>
      </c>
      <c r="W1216">
        <f t="shared" si="75"/>
        <v>8.1053999999999995</v>
      </c>
      <c r="X1216">
        <v>2</v>
      </c>
    </row>
    <row r="1217" spans="1:24" x14ac:dyDescent="0.3">
      <c r="A1217">
        <v>1216</v>
      </c>
      <c r="B1217" t="s">
        <v>2978</v>
      </c>
      <c r="C1217" s="6">
        <v>45412</v>
      </c>
      <c r="D1217" t="str">
        <f t="shared" si="72"/>
        <v>Apr</v>
      </c>
      <c r="E1217" t="str">
        <f t="shared" si="73"/>
        <v>2024</v>
      </c>
      <c r="F1217" t="s">
        <v>4</v>
      </c>
      <c r="G1217" t="s">
        <v>414</v>
      </c>
      <c r="H1217" t="s">
        <v>788</v>
      </c>
      <c r="I1217">
        <v>100</v>
      </c>
      <c r="J1217">
        <v>10</v>
      </c>
      <c r="K1217">
        <f t="shared" si="74"/>
        <v>10</v>
      </c>
      <c r="L1217" t="s">
        <v>1738</v>
      </c>
      <c r="M1217" t="s">
        <v>3807</v>
      </c>
      <c r="N1217" t="s">
        <v>1</v>
      </c>
      <c r="O1217">
        <v>801503</v>
      </c>
      <c r="P1217" t="s">
        <v>546</v>
      </c>
      <c r="Q1217" t="s">
        <v>1759</v>
      </c>
      <c r="R1217" t="s">
        <v>2</v>
      </c>
      <c r="S1217">
        <v>4.6719999999999997</v>
      </c>
      <c r="T1217">
        <v>1</v>
      </c>
      <c r="U1217">
        <v>0.2</v>
      </c>
      <c r="V1217">
        <v>1.5768</v>
      </c>
      <c r="W1217">
        <f t="shared" si="75"/>
        <v>3.0951999999999997</v>
      </c>
      <c r="X1217">
        <v>4</v>
      </c>
    </row>
    <row r="1218" spans="1:24" x14ac:dyDescent="0.3">
      <c r="A1218">
        <v>1217</v>
      </c>
      <c r="B1218" t="s">
        <v>2979</v>
      </c>
      <c r="C1218" s="6">
        <v>45413</v>
      </c>
      <c r="D1218" t="str">
        <f t="shared" si="72"/>
        <v>May</v>
      </c>
      <c r="E1218" t="str">
        <f t="shared" si="73"/>
        <v>2024</v>
      </c>
      <c r="F1218" t="s">
        <v>4</v>
      </c>
      <c r="G1218" t="s">
        <v>414</v>
      </c>
      <c r="H1218" t="s">
        <v>787</v>
      </c>
      <c r="I1218">
        <v>240</v>
      </c>
      <c r="J1218">
        <v>26</v>
      </c>
      <c r="K1218">
        <f t="shared" si="74"/>
        <v>10.833333333333334</v>
      </c>
      <c r="L1218" t="s">
        <v>1737</v>
      </c>
      <c r="M1218" t="s">
        <v>3808</v>
      </c>
      <c r="N1218" t="s">
        <v>1</v>
      </c>
      <c r="O1218">
        <v>273164</v>
      </c>
      <c r="P1218" t="s">
        <v>546</v>
      </c>
      <c r="Q1218" t="s">
        <v>1772</v>
      </c>
      <c r="S1218">
        <v>95.88</v>
      </c>
      <c r="T1218">
        <v>3</v>
      </c>
      <c r="U1218">
        <v>0.2</v>
      </c>
      <c r="V1218">
        <v>28.763999999999999</v>
      </c>
      <c r="W1218">
        <f t="shared" si="75"/>
        <v>22.372</v>
      </c>
      <c r="X1218">
        <v>4</v>
      </c>
    </row>
    <row r="1219" spans="1:24" x14ac:dyDescent="0.3">
      <c r="A1219">
        <v>1218</v>
      </c>
      <c r="B1219" t="s">
        <v>2980</v>
      </c>
      <c r="C1219" s="6">
        <v>45414</v>
      </c>
      <c r="D1219" t="str">
        <f t="shared" ref="D1219:D1282" si="76">TEXT(C1219,"Mmm")</f>
        <v>May</v>
      </c>
      <c r="E1219" t="str">
        <f t="shared" ref="E1219:E1282" si="77">TEXT(C1219,"YYYY")</f>
        <v>2024</v>
      </c>
      <c r="F1219" t="s">
        <v>4</v>
      </c>
      <c r="G1219" t="s">
        <v>414</v>
      </c>
      <c r="H1219" t="s">
        <v>1429</v>
      </c>
      <c r="I1219">
        <v>200</v>
      </c>
      <c r="J1219">
        <v>6</v>
      </c>
      <c r="K1219">
        <f t="shared" ref="K1219:K1282" si="78">(J1219/I1219)*100</f>
        <v>3</v>
      </c>
      <c r="L1219" t="s">
        <v>1743</v>
      </c>
      <c r="M1219" t="s">
        <v>3809</v>
      </c>
      <c r="N1219" t="s">
        <v>1</v>
      </c>
      <c r="O1219">
        <v>243502</v>
      </c>
      <c r="P1219" t="s">
        <v>546</v>
      </c>
      <c r="Q1219" t="s">
        <v>1755</v>
      </c>
      <c r="S1219">
        <v>17.024000000000001</v>
      </c>
      <c r="T1219">
        <v>2</v>
      </c>
      <c r="U1219">
        <v>0.2</v>
      </c>
      <c r="V1219">
        <v>1.7023999999999999</v>
      </c>
      <c r="W1219">
        <f t="shared" ref="W1219:W1282" si="79">(S1219-V1219)/T1219</f>
        <v>7.6608000000000001</v>
      </c>
      <c r="X1219">
        <v>1</v>
      </c>
    </row>
    <row r="1220" spans="1:24" x14ac:dyDescent="0.3">
      <c r="A1220">
        <v>1219</v>
      </c>
      <c r="B1220" t="s">
        <v>2981</v>
      </c>
      <c r="C1220" s="6">
        <v>45415</v>
      </c>
      <c r="D1220" t="str">
        <f t="shared" si="76"/>
        <v>May</v>
      </c>
      <c r="E1220" t="str">
        <f t="shared" si="77"/>
        <v>2024</v>
      </c>
      <c r="F1220" t="s">
        <v>4</v>
      </c>
      <c r="G1220" t="s">
        <v>414</v>
      </c>
      <c r="H1220" t="s">
        <v>1166</v>
      </c>
      <c r="I1220">
        <v>200</v>
      </c>
      <c r="J1220">
        <v>14</v>
      </c>
      <c r="K1220">
        <f t="shared" si="78"/>
        <v>7.0000000000000009</v>
      </c>
      <c r="L1220" t="s">
        <v>1738</v>
      </c>
      <c r="M1220" t="s">
        <v>3681</v>
      </c>
      <c r="N1220" t="s">
        <v>1</v>
      </c>
      <c r="O1220">
        <v>500072</v>
      </c>
      <c r="P1220" t="s">
        <v>546</v>
      </c>
      <c r="Q1220" t="s">
        <v>1763</v>
      </c>
      <c r="R1220" t="s">
        <v>2</v>
      </c>
      <c r="S1220">
        <v>258.69600000000003</v>
      </c>
      <c r="T1220">
        <v>3</v>
      </c>
      <c r="U1220">
        <v>0.2</v>
      </c>
      <c r="V1220">
        <v>64.674000000000007</v>
      </c>
      <c r="W1220">
        <f t="shared" si="79"/>
        <v>64.674000000000007</v>
      </c>
      <c r="X1220">
        <v>4</v>
      </c>
    </row>
    <row r="1221" spans="1:24" x14ac:dyDescent="0.3">
      <c r="A1221">
        <v>1220</v>
      </c>
      <c r="B1221" t="s">
        <v>2982</v>
      </c>
      <c r="C1221" s="6">
        <v>45416</v>
      </c>
      <c r="D1221" t="str">
        <f t="shared" si="76"/>
        <v>May</v>
      </c>
      <c r="E1221" t="str">
        <f t="shared" si="77"/>
        <v>2024</v>
      </c>
      <c r="F1221" t="s">
        <v>4</v>
      </c>
      <c r="G1221" t="s">
        <v>414</v>
      </c>
      <c r="H1221" t="s">
        <v>1430</v>
      </c>
      <c r="I1221">
        <v>210</v>
      </c>
      <c r="J1221">
        <v>24</v>
      </c>
      <c r="K1221">
        <f t="shared" si="78"/>
        <v>11.428571428571429</v>
      </c>
      <c r="L1221" t="s">
        <v>1739</v>
      </c>
      <c r="M1221" t="s">
        <v>3682</v>
      </c>
      <c r="N1221" t="s">
        <v>1</v>
      </c>
      <c r="O1221">
        <v>500072</v>
      </c>
      <c r="P1221" t="s">
        <v>546</v>
      </c>
      <c r="Q1221" t="s">
        <v>1763</v>
      </c>
      <c r="S1221">
        <v>1931.9580000000001</v>
      </c>
      <c r="T1221">
        <v>7</v>
      </c>
      <c r="U1221">
        <v>0.4</v>
      </c>
      <c r="V1221">
        <v>-386.39159999999998</v>
      </c>
      <c r="W1221">
        <f t="shared" si="79"/>
        <v>331.19279999999998</v>
      </c>
      <c r="X1221">
        <v>1</v>
      </c>
    </row>
    <row r="1222" spans="1:24" x14ac:dyDescent="0.3">
      <c r="A1222">
        <v>1221</v>
      </c>
      <c r="B1222" t="s">
        <v>2983</v>
      </c>
      <c r="C1222" s="6">
        <v>45417</v>
      </c>
      <c r="D1222" t="str">
        <f t="shared" si="76"/>
        <v>May</v>
      </c>
      <c r="E1222" t="str">
        <f t="shared" si="77"/>
        <v>2024</v>
      </c>
      <c r="F1222" t="s">
        <v>4</v>
      </c>
      <c r="G1222" t="s">
        <v>415</v>
      </c>
      <c r="H1222" t="s">
        <v>564</v>
      </c>
      <c r="I1222">
        <v>200</v>
      </c>
      <c r="J1222">
        <v>26</v>
      </c>
      <c r="K1222">
        <f t="shared" si="78"/>
        <v>13</v>
      </c>
      <c r="L1222" t="s">
        <v>1741</v>
      </c>
      <c r="M1222" t="s">
        <v>3810</v>
      </c>
      <c r="N1222" t="s">
        <v>1</v>
      </c>
      <c r="O1222">
        <v>768106</v>
      </c>
      <c r="P1222" t="s">
        <v>546</v>
      </c>
      <c r="Q1222" t="s">
        <v>1765</v>
      </c>
      <c r="R1222" t="s">
        <v>2</v>
      </c>
      <c r="S1222">
        <v>249.75</v>
      </c>
      <c r="T1222">
        <v>9</v>
      </c>
      <c r="U1222">
        <v>0.1</v>
      </c>
      <c r="V1222">
        <v>44.954999999999998</v>
      </c>
      <c r="W1222">
        <f t="shared" si="79"/>
        <v>22.755000000000003</v>
      </c>
      <c r="X1222">
        <v>4</v>
      </c>
    </row>
    <row r="1223" spans="1:24" x14ac:dyDescent="0.3">
      <c r="A1223">
        <v>1222</v>
      </c>
      <c r="B1223" t="s">
        <v>2984</v>
      </c>
      <c r="C1223" s="6">
        <v>45418</v>
      </c>
      <c r="D1223" t="str">
        <f t="shared" si="76"/>
        <v>May</v>
      </c>
      <c r="E1223" t="str">
        <f t="shared" si="77"/>
        <v>2024</v>
      </c>
      <c r="F1223" t="s">
        <v>4</v>
      </c>
      <c r="G1223" t="s">
        <v>415</v>
      </c>
      <c r="H1223" t="s">
        <v>1431</v>
      </c>
      <c r="I1223">
        <v>180</v>
      </c>
      <c r="J1223">
        <v>28</v>
      </c>
      <c r="K1223">
        <f t="shared" si="78"/>
        <v>15.555555555555555</v>
      </c>
      <c r="L1223" t="s">
        <v>1736</v>
      </c>
      <c r="M1223" t="s">
        <v>3673</v>
      </c>
      <c r="N1223" t="s">
        <v>1</v>
      </c>
      <c r="O1223">
        <v>768106</v>
      </c>
      <c r="P1223" t="s">
        <v>546</v>
      </c>
      <c r="Q1223" t="s">
        <v>1764</v>
      </c>
      <c r="R1223" t="s">
        <v>2</v>
      </c>
      <c r="S1223">
        <v>255.93600000000001</v>
      </c>
      <c r="T1223">
        <v>8</v>
      </c>
      <c r="U1223">
        <v>0.2</v>
      </c>
      <c r="V1223">
        <v>28.7928</v>
      </c>
      <c r="W1223">
        <f t="shared" si="79"/>
        <v>28.392900000000001</v>
      </c>
      <c r="X1223">
        <v>3</v>
      </c>
    </row>
    <row r="1224" spans="1:24" x14ac:dyDescent="0.3">
      <c r="A1224">
        <v>1223</v>
      </c>
      <c r="B1224" t="s">
        <v>2985</v>
      </c>
      <c r="C1224" s="6">
        <v>45419</v>
      </c>
      <c r="D1224" t="str">
        <f t="shared" si="76"/>
        <v>May</v>
      </c>
      <c r="E1224" t="str">
        <f t="shared" si="77"/>
        <v>2024</v>
      </c>
      <c r="F1224" t="s">
        <v>5</v>
      </c>
      <c r="G1224" t="s">
        <v>85</v>
      </c>
      <c r="H1224" t="s">
        <v>1314</v>
      </c>
      <c r="I1224">
        <v>210</v>
      </c>
      <c r="J1224">
        <v>24</v>
      </c>
      <c r="K1224">
        <f t="shared" si="78"/>
        <v>11.428571428571429</v>
      </c>
      <c r="L1224" t="s">
        <v>1744</v>
      </c>
      <c r="M1224" t="s">
        <v>3746</v>
      </c>
      <c r="N1224" t="s">
        <v>1</v>
      </c>
      <c r="O1224">
        <v>500008</v>
      </c>
      <c r="P1224" t="s">
        <v>546</v>
      </c>
      <c r="Q1224" t="s">
        <v>1764</v>
      </c>
      <c r="S1224">
        <v>113.79</v>
      </c>
      <c r="T1224">
        <v>3</v>
      </c>
      <c r="U1224">
        <v>0.1</v>
      </c>
      <c r="V1224">
        <v>20.482199999999999</v>
      </c>
      <c r="W1224">
        <f t="shared" si="79"/>
        <v>31.102600000000006</v>
      </c>
      <c r="X1224">
        <v>4</v>
      </c>
    </row>
    <row r="1225" spans="1:24" x14ac:dyDescent="0.3">
      <c r="A1225">
        <v>1224</v>
      </c>
      <c r="B1225" t="s">
        <v>2986</v>
      </c>
      <c r="C1225" s="6">
        <v>45420</v>
      </c>
      <c r="D1225" t="str">
        <f t="shared" si="76"/>
        <v>May</v>
      </c>
      <c r="E1225" t="str">
        <f t="shared" si="77"/>
        <v>2024</v>
      </c>
      <c r="F1225" t="s">
        <v>5</v>
      </c>
      <c r="G1225" t="s">
        <v>85</v>
      </c>
      <c r="H1225" t="s">
        <v>1022</v>
      </c>
      <c r="I1225">
        <v>120</v>
      </c>
      <c r="J1225">
        <v>28</v>
      </c>
      <c r="K1225">
        <f t="shared" si="78"/>
        <v>23.333333333333332</v>
      </c>
      <c r="L1225" t="s">
        <v>1740</v>
      </c>
      <c r="M1225" t="s">
        <v>3811</v>
      </c>
      <c r="N1225" t="s">
        <v>1</v>
      </c>
      <c r="O1225">
        <v>560045</v>
      </c>
      <c r="P1225" t="s">
        <v>546</v>
      </c>
      <c r="Q1225" t="s">
        <v>1760</v>
      </c>
      <c r="R1225" t="s">
        <v>2</v>
      </c>
      <c r="S1225">
        <v>78.150000000000006</v>
      </c>
      <c r="T1225">
        <v>1</v>
      </c>
      <c r="U1225">
        <v>0.1</v>
      </c>
      <c r="V1225">
        <v>34.386000000000003</v>
      </c>
      <c r="W1225">
        <f t="shared" si="79"/>
        <v>43.764000000000003</v>
      </c>
      <c r="X1225">
        <v>2</v>
      </c>
    </row>
    <row r="1226" spans="1:24" x14ac:dyDescent="0.3">
      <c r="A1226">
        <v>1225</v>
      </c>
      <c r="B1226" t="s">
        <v>2987</v>
      </c>
      <c r="C1226" s="6">
        <v>45421</v>
      </c>
      <c r="D1226" t="str">
        <f t="shared" si="76"/>
        <v>May</v>
      </c>
      <c r="E1226" t="str">
        <f t="shared" si="77"/>
        <v>2024</v>
      </c>
      <c r="F1226" t="s">
        <v>5</v>
      </c>
      <c r="G1226" t="s">
        <v>85</v>
      </c>
      <c r="H1226" t="s">
        <v>1417</v>
      </c>
      <c r="I1226">
        <v>150</v>
      </c>
      <c r="J1226">
        <v>8</v>
      </c>
      <c r="K1226">
        <f t="shared" si="78"/>
        <v>5.3333333333333339</v>
      </c>
      <c r="L1226" t="s">
        <v>1742</v>
      </c>
      <c r="M1226" t="s">
        <v>3656</v>
      </c>
      <c r="N1226" t="s">
        <v>1</v>
      </c>
      <c r="O1226">
        <v>560045</v>
      </c>
      <c r="P1226" t="s">
        <v>546</v>
      </c>
      <c r="Q1226" t="s">
        <v>1761</v>
      </c>
      <c r="S1226">
        <v>1.728</v>
      </c>
      <c r="T1226">
        <v>1</v>
      </c>
      <c r="U1226">
        <v>0.2</v>
      </c>
      <c r="V1226">
        <v>0.6048</v>
      </c>
      <c r="W1226">
        <f t="shared" si="79"/>
        <v>1.1232</v>
      </c>
      <c r="X1226">
        <v>5</v>
      </c>
    </row>
    <row r="1227" spans="1:24" x14ac:dyDescent="0.3">
      <c r="A1227">
        <v>1226</v>
      </c>
      <c r="B1227" t="s">
        <v>2988</v>
      </c>
      <c r="C1227" s="6">
        <v>45422</v>
      </c>
      <c r="D1227" t="str">
        <f t="shared" si="76"/>
        <v>May</v>
      </c>
      <c r="E1227" t="str">
        <f t="shared" si="77"/>
        <v>2024</v>
      </c>
      <c r="F1227" t="s">
        <v>5</v>
      </c>
      <c r="G1227" t="s">
        <v>85</v>
      </c>
      <c r="H1227" t="s">
        <v>1432</v>
      </c>
      <c r="I1227">
        <v>230</v>
      </c>
      <c r="J1227">
        <v>14</v>
      </c>
      <c r="K1227">
        <f t="shared" si="78"/>
        <v>6.0869565217391308</v>
      </c>
      <c r="L1227" t="s">
        <v>1739</v>
      </c>
      <c r="M1227" t="s">
        <v>3637</v>
      </c>
      <c r="N1227" t="s">
        <v>1</v>
      </c>
      <c r="O1227">
        <v>502032</v>
      </c>
      <c r="P1227" t="s">
        <v>546</v>
      </c>
      <c r="Q1227" t="s">
        <v>1765</v>
      </c>
      <c r="R1227" t="s">
        <v>2</v>
      </c>
      <c r="S1227">
        <v>40.56</v>
      </c>
      <c r="T1227">
        <v>4</v>
      </c>
      <c r="U1227">
        <v>0.1</v>
      </c>
      <c r="V1227">
        <v>19.874400000000001</v>
      </c>
      <c r="W1227">
        <f t="shared" si="79"/>
        <v>5.1714000000000002</v>
      </c>
      <c r="X1227">
        <v>1</v>
      </c>
    </row>
    <row r="1228" spans="1:24" x14ac:dyDescent="0.3">
      <c r="A1228">
        <v>1227</v>
      </c>
      <c r="B1228" t="s">
        <v>2989</v>
      </c>
      <c r="C1228" s="6">
        <v>45423</v>
      </c>
      <c r="D1228" t="str">
        <f t="shared" si="76"/>
        <v>May</v>
      </c>
      <c r="E1228" t="str">
        <f t="shared" si="77"/>
        <v>2024</v>
      </c>
      <c r="F1228" t="s">
        <v>5</v>
      </c>
      <c r="G1228" t="s">
        <v>85</v>
      </c>
      <c r="H1228" t="s">
        <v>1433</v>
      </c>
      <c r="I1228">
        <v>190</v>
      </c>
      <c r="J1228">
        <v>16</v>
      </c>
      <c r="K1228">
        <f t="shared" si="78"/>
        <v>8.4210526315789469</v>
      </c>
      <c r="L1228" t="s">
        <v>1738</v>
      </c>
      <c r="M1228" t="s">
        <v>3812</v>
      </c>
      <c r="N1228" t="s">
        <v>1</v>
      </c>
      <c r="O1228">
        <v>390008</v>
      </c>
      <c r="P1228" t="s">
        <v>546</v>
      </c>
      <c r="Q1228" t="s">
        <v>1756</v>
      </c>
      <c r="R1228" t="s">
        <v>2</v>
      </c>
      <c r="S1228">
        <v>182.94</v>
      </c>
      <c r="T1228">
        <v>3</v>
      </c>
      <c r="U1228">
        <v>0.1</v>
      </c>
      <c r="V1228">
        <v>3.6587999999999998</v>
      </c>
      <c r="W1228">
        <f t="shared" si="79"/>
        <v>59.760399999999997</v>
      </c>
      <c r="X1228">
        <v>4</v>
      </c>
    </row>
    <row r="1229" spans="1:24" x14ac:dyDescent="0.3">
      <c r="A1229">
        <v>1228</v>
      </c>
      <c r="B1229" t="s">
        <v>2990</v>
      </c>
      <c r="C1229" s="6">
        <v>45424</v>
      </c>
      <c r="D1229" t="str">
        <f t="shared" si="76"/>
        <v>May</v>
      </c>
      <c r="E1229" t="str">
        <f t="shared" si="77"/>
        <v>2024</v>
      </c>
      <c r="F1229" t="s">
        <v>5</v>
      </c>
      <c r="G1229" t="s">
        <v>85</v>
      </c>
      <c r="H1229" t="s">
        <v>1434</v>
      </c>
      <c r="I1229">
        <v>230</v>
      </c>
      <c r="J1229">
        <v>8</v>
      </c>
      <c r="K1229">
        <f t="shared" si="78"/>
        <v>3.4782608695652173</v>
      </c>
      <c r="L1229" t="s">
        <v>1737</v>
      </c>
      <c r="M1229" t="s">
        <v>3813</v>
      </c>
      <c r="N1229" t="s">
        <v>1</v>
      </c>
      <c r="O1229">
        <v>390008</v>
      </c>
      <c r="P1229" t="s">
        <v>546</v>
      </c>
      <c r="Q1229" t="s">
        <v>1759</v>
      </c>
      <c r="S1229">
        <v>193.86</v>
      </c>
      <c r="T1229">
        <v>2</v>
      </c>
      <c r="U1229">
        <v>0.1</v>
      </c>
      <c r="V1229">
        <v>11.631600000000001</v>
      </c>
      <c r="W1229">
        <f t="shared" si="79"/>
        <v>91.114200000000011</v>
      </c>
      <c r="X1229">
        <v>5</v>
      </c>
    </row>
    <row r="1230" spans="1:24" x14ac:dyDescent="0.3">
      <c r="A1230">
        <v>1229</v>
      </c>
      <c r="B1230" t="s">
        <v>2991</v>
      </c>
      <c r="C1230" s="6">
        <v>45425</v>
      </c>
      <c r="D1230" t="str">
        <f t="shared" si="76"/>
        <v>May</v>
      </c>
      <c r="E1230" t="str">
        <f t="shared" si="77"/>
        <v>2024</v>
      </c>
      <c r="F1230" t="s">
        <v>4</v>
      </c>
      <c r="G1230" t="s">
        <v>240</v>
      </c>
      <c r="H1230" t="s">
        <v>1135</v>
      </c>
      <c r="I1230">
        <v>110</v>
      </c>
      <c r="J1230">
        <v>6</v>
      </c>
      <c r="K1230">
        <f t="shared" si="78"/>
        <v>5.4545454545454541</v>
      </c>
      <c r="L1230" t="s">
        <v>1743</v>
      </c>
      <c r="M1230" t="s">
        <v>3610</v>
      </c>
      <c r="N1230" t="s">
        <v>1</v>
      </c>
      <c r="O1230">
        <v>390008</v>
      </c>
      <c r="P1230" t="s">
        <v>546</v>
      </c>
      <c r="Q1230" t="s">
        <v>1772</v>
      </c>
      <c r="S1230">
        <v>15.28</v>
      </c>
      <c r="T1230">
        <v>2</v>
      </c>
      <c r="U1230">
        <v>0.1</v>
      </c>
      <c r="V1230">
        <v>7.4871999999999996</v>
      </c>
      <c r="W1230">
        <f t="shared" si="79"/>
        <v>3.8963999999999999</v>
      </c>
      <c r="X1230">
        <v>5</v>
      </c>
    </row>
    <row r="1231" spans="1:24" x14ac:dyDescent="0.3">
      <c r="A1231">
        <v>1230</v>
      </c>
      <c r="B1231" t="s">
        <v>2992</v>
      </c>
      <c r="C1231" s="6">
        <v>45426</v>
      </c>
      <c r="D1231" t="str">
        <f t="shared" si="76"/>
        <v>May</v>
      </c>
      <c r="E1231" t="str">
        <f t="shared" si="77"/>
        <v>2024</v>
      </c>
      <c r="F1231" t="s">
        <v>4</v>
      </c>
      <c r="G1231" t="s">
        <v>240</v>
      </c>
      <c r="H1231" t="s">
        <v>1245</v>
      </c>
      <c r="I1231">
        <v>230</v>
      </c>
      <c r="J1231">
        <v>28</v>
      </c>
      <c r="K1231">
        <f t="shared" si="78"/>
        <v>12.173913043478262</v>
      </c>
      <c r="L1231" t="s">
        <v>1738</v>
      </c>
      <c r="M1231" t="s">
        <v>3814</v>
      </c>
      <c r="N1231" t="s">
        <v>1</v>
      </c>
      <c r="O1231">
        <v>390008</v>
      </c>
      <c r="P1231" t="s">
        <v>546</v>
      </c>
      <c r="Q1231" t="s">
        <v>1755</v>
      </c>
      <c r="S1231">
        <v>8.73</v>
      </c>
      <c r="T1231">
        <v>1</v>
      </c>
      <c r="U1231">
        <v>0.1</v>
      </c>
      <c r="V1231">
        <v>2.9681999999999999</v>
      </c>
      <c r="W1231">
        <f t="shared" si="79"/>
        <v>5.7618000000000009</v>
      </c>
      <c r="X1231">
        <v>2</v>
      </c>
    </row>
    <row r="1232" spans="1:24" x14ac:dyDescent="0.3">
      <c r="A1232">
        <v>1231</v>
      </c>
      <c r="B1232" t="s">
        <v>2993</v>
      </c>
      <c r="C1232" s="6">
        <v>45427</v>
      </c>
      <c r="D1232" t="str">
        <f t="shared" si="76"/>
        <v>May</v>
      </c>
      <c r="E1232" t="str">
        <f t="shared" si="77"/>
        <v>2024</v>
      </c>
      <c r="F1232" t="s">
        <v>4</v>
      </c>
      <c r="G1232" t="s">
        <v>240</v>
      </c>
      <c r="H1232" t="s">
        <v>1435</v>
      </c>
      <c r="I1232">
        <v>120</v>
      </c>
      <c r="J1232">
        <v>10</v>
      </c>
      <c r="K1232">
        <f t="shared" si="78"/>
        <v>8.3333333333333321</v>
      </c>
      <c r="L1232" t="s">
        <v>1739</v>
      </c>
      <c r="M1232" t="s">
        <v>3707</v>
      </c>
      <c r="N1232" t="s">
        <v>1</v>
      </c>
      <c r="O1232">
        <v>600016</v>
      </c>
      <c r="P1232" t="s">
        <v>546</v>
      </c>
      <c r="Q1232" t="s">
        <v>1770</v>
      </c>
      <c r="R1232" t="s">
        <v>2</v>
      </c>
      <c r="S1232">
        <v>5.68</v>
      </c>
      <c r="T1232">
        <v>2</v>
      </c>
      <c r="U1232">
        <v>0.1</v>
      </c>
      <c r="V1232">
        <v>1.7607999999999999</v>
      </c>
      <c r="W1232">
        <f t="shared" si="79"/>
        <v>1.9596</v>
      </c>
      <c r="X1232">
        <v>2</v>
      </c>
    </row>
    <row r="1233" spans="1:24" x14ac:dyDescent="0.3">
      <c r="A1233">
        <v>1232</v>
      </c>
      <c r="B1233" t="s">
        <v>2994</v>
      </c>
      <c r="C1233" s="6">
        <v>45428</v>
      </c>
      <c r="D1233" t="str">
        <f t="shared" si="76"/>
        <v>May</v>
      </c>
      <c r="E1233" t="str">
        <f t="shared" si="77"/>
        <v>2024</v>
      </c>
      <c r="F1233" t="s">
        <v>3</v>
      </c>
      <c r="G1233" t="s">
        <v>416</v>
      </c>
      <c r="H1233" t="s">
        <v>928</v>
      </c>
      <c r="I1233">
        <v>240</v>
      </c>
      <c r="J1233">
        <v>30</v>
      </c>
      <c r="K1233">
        <f t="shared" si="78"/>
        <v>12.5</v>
      </c>
      <c r="L1233" t="s">
        <v>1741</v>
      </c>
      <c r="M1233" t="s">
        <v>3815</v>
      </c>
      <c r="N1233" t="s">
        <v>1</v>
      </c>
      <c r="O1233">
        <v>400104</v>
      </c>
      <c r="P1233" t="s">
        <v>546</v>
      </c>
      <c r="Q1233" t="s">
        <v>1758</v>
      </c>
      <c r="S1233">
        <v>2.78</v>
      </c>
      <c r="T1233">
        <v>2</v>
      </c>
      <c r="U1233">
        <v>0.1</v>
      </c>
      <c r="V1233">
        <v>0.7228</v>
      </c>
      <c r="W1233">
        <f t="shared" si="79"/>
        <v>1.0286</v>
      </c>
      <c r="X1233">
        <v>1</v>
      </c>
    </row>
    <row r="1234" spans="1:24" x14ac:dyDescent="0.3">
      <c r="A1234">
        <v>1233</v>
      </c>
      <c r="B1234" t="s">
        <v>2995</v>
      </c>
      <c r="C1234" s="6">
        <v>45429</v>
      </c>
      <c r="D1234" t="str">
        <f t="shared" si="76"/>
        <v>May</v>
      </c>
      <c r="E1234" t="str">
        <f t="shared" si="77"/>
        <v>2024</v>
      </c>
      <c r="F1234" t="s">
        <v>3</v>
      </c>
      <c r="G1234" t="s">
        <v>416</v>
      </c>
      <c r="H1234" t="s">
        <v>1436</v>
      </c>
      <c r="I1234">
        <v>140</v>
      </c>
      <c r="J1234">
        <v>26</v>
      </c>
      <c r="K1234">
        <f t="shared" si="78"/>
        <v>18.571428571428573</v>
      </c>
      <c r="L1234" t="s">
        <v>1736</v>
      </c>
      <c r="M1234" t="s">
        <v>3653</v>
      </c>
      <c r="O1234">
        <v>502032</v>
      </c>
      <c r="P1234" t="s">
        <v>546</v>
      </c>
      <c r="Q1234" t="s">
        <v>1754</v>
      </c>
      <c r="R1234" t="s">
        <v>2</v>
      </c>
      <c r="S1234">
        <v>79.959999999999994</v>
      </c>
      <c r="T1234">
        <v>2</v>
      </c>
      <c r="U1234">
        <v>0.1</v>
      </c>
      <c r="V1234">
        <v>35.981999999999999</v>
      </c>
      <c r="W1234">
        <f t="shared" si="79"/>
        <v>21.988999999999997</v>
      </c>
      <c r="X1234">
        <v>3</v>
      </c>
    </row>
    <row r="1235" spans="1:24" x14ac:dyDescent="0.3">
      <c r="A1235">
        <v>1234</v>
      </c>
      <c r="B1235" t="s">
        <v>2996</v>
      </c>
      <c r="C1235" s="6">
        <v>45430</v>
      </c>
      <c r="D1235" t="str">
        <f t="shared" si="76"/>
        <v>May</v>
      </c>
      <c r="E1235" t="str">
        <f t="shared" si="77"/>
        <v>2024</v>
      </c>
      <c r="F1235" t="s">
        <v>5</v>
      </c>
      <c r="G1235" t="s">
        <v>417</v>
      </c>
      <c r="H1235" t="s">
        <v>1437</v>
      </c>
      <c r="I1235">
        <v>110</v>
      </c>
      <c r="J1235">
        <v>12</v>
      </c>
      <c r="K1235">
        <f t="shared" si="78"/>
        <v>10.909090909090908</v>
      </c>
      <c r="L1235" t="s">
        <v>1744</v>
      </c>
      <c r="M1235" t="s">
        <v>3585</v>
      </c>
      <c r="N1235" t="s">
        <v>1</v>
      </c>
      <c r="O1235">
        <v>625014</v>
      </c>
      <c r="P1235" t="s">
        <v>546</v>
      </c>
      <c r="Q1235" t="s">
        <v>1768</v>
      </c>
      <c r="R1235" t="s">
        <v>2</v>
      </c>
      <c r="S1235">
        <v>839.98800000000006</v>
      </c>
      <c r="T1235">
        <v>2</v>
      </c>
      <c r="U1235">
        <v>0.4</v>
      </c>
      <c r="V1235">
        <v>69.998999999999995</v>
      </c>
      <c r="W1235">
        <f t="shared" si="79"/>
        <v>384.99450000000002</v>
      </c>
      <c r="X1235">
        <v>1</v>
      </c>
    </row>
    <row r="1236" spans="1:24" x14ac:dyDescent="0.3">
      <c r="A1236">
        <v>1235</v>
      </c>
      <c r="B1236" t="s">
        <v>2997</v>
      </c>
      <c r="C1236" s="6">
        <v>45431</v>
      </c>
      <c r="D1236" t="str">
        <f t="shared" si="76"/>
        <v>May</v>
      </c>
      <c r="E1236" t="str">
        <f t="shared" si="77"/>
        <v>2024</v>
      </c>
      <c r="F1236" t="s">
        <v>6</v>
      </c>
      <c r="G1236" t="s">
        <v>317</v>
      </c>
      <c r="H1236" t="s">
        <v>1438</v>
      </c>
      <c r="I1236">
        <v>150</v>
      </c>
      <c r="J1236">
        <v>28</v>
      </c>
      <c r="K1236">
        <f t="shared" si="78"/>
        <v>18.666666666666668</v>
      </c>
      <c r="L1236" t="s">
        <v>1740</v>
      </c>
      <c r="M1236" t="s">
        <v>3714</v>
      </c>
      <c r="N1236" t="s">
        <v>1</v>
      </c>
      <c r="O1236">
        <v>625014</v>
      </c>
      <c r="P1236" t="s">
        <v>546</v>
      </c>
      <c r="Q1236" t="s">
        <v>1759</v>
      </c>
      <c r="S1236">
        <v>47.951999999999998</v>
      </c>
      <c r="T1236">
        <v>3</v>
      </c>
      <c r="U1236">
        <v>0.2</v>
      </c>
      <c r="V1236">
        <v>13.786199999999999</v>
      </c>
      <c r="W1236">
        <f t="shared" si="79"/>
        <v>11.388599999999999</v>
      </c>
      <c r="X1236">
        <v>5</v>
      </c>
    </row>
    <row r="1237" spans="1:24" x14ac:dyDescent="0.3">
      <c r="A1237">
        <v>1236</v>
      </c>
      <c r="B1237" t="s">
        <v>2998</v>
      </c>
      <c r="C1237" s="6">
        <v>45432</v>
      </c>
      <c r="D1237" t="str">
        <f t="shared" si="76"/>
        <v>May</v>
      </c>
      <c r="E1237" t="str">
        <f t="shared" si="77"/>
        <v>2024</v>
      </c>
      <c r="F1237" t="s">
        <v>6</v>
      </c>
      <c r="G1237" t="s">
        <v>317</v>
      </c>
      <c r="H1237" t="s">
        <v>1238</v>
      </c>
      <c r="I1237">
        <v>170</v>
      </c>
      <c r="J1237">
        <v>6</v>
      </c>
      <c r="K1237">
        <f t="shared" si="78"/>
        <v>3.5294117647058822</v>
      </c>
      <c r="L1237" t="s">
        <v>1742</v>
      </c>
      <c r="M1237" t="s">
        <v>3816</v>
      </c>
      <c r="N1237" t="s">
        <v>1</v>
      </c>
      <c r="O1237">
        <v>440013</v>
      </c>
      <c r="P1237" t="s">
        <v>546</v>
      </c>
      <c r="Q1237" t="s">
        <v>1766</v>
      </c>
      <c r="S1237">
        <v>37.424999999999997</v>
      </c>
      <c r="T1237">
        <v>5</v>
      </c>
      <c r="U1237">
        <v>0.7</v>
      </c>
      <c r="V1237">
        <v>-29.94</v>
      </c>
      <c r="W1237">
        <f t="shared" si="79"/>
        <v>13.472999999999999</v>
      </c>
      <c r="X1237">
        <v>5</v>
      </c>
    </row>
    <row r="1238" spans="1:24" x14ac:dyDescent="0.3">
      <c r="A1238">
        <v>1237</v>
      </c>
      <c r="B1238" t="s">
        <v>2999</v>
      </c>
      <c r="C1238" s="6">
        <v>45433</v>
      </c>
      <c r="D1238" t="str">
        <f t="shared" si="76"/>
        <v>May</v>
      </c>
      <c r="E1238" t="str">
        <f t="shared" si="77"/>
        <v>2024</v>
      </c>
      <c r="F1238" t="s">
        <v>6</v>
      </c>
      <c r="G1238" t="s">
        <v>317</v>
      </c>
      <c r="H1238" t="s">
        <v>1439</v>
      </c>
      <c r="I1238">
        <v>230</v>
      </c>
      <c r="J1238">
        <v>16</v>
      </c>
      <c r="K1238">
        <f t="shared" si="78"/>
        <v>6.9565217391304346</v>
      </c>
      <c r="L1238" t="s">
        <v>1739</v>
      </c>
      <c r="M1238" t="s">
        <v>3657</v>
      </c>
      <c r="N1238" t="s">
        <v>1</v>
      </c>
      <c r="O1238">
        <v>491001</v>
      </c>
      <c r="P1238" t="s">
        <v>546</v>
      </c>
      <c r="Q1238" t="s">
        <v>1765</v>
      </c>
      <c r="S1238">
        <v>63.968000000000004</v>
      </c>
      <c r="T1238">
        <v>2</v>
      </c>
      <c r="U1238">
        <v>0.2</v>
      </c>
      <c r="V1238">
        <v>0.1</v>
      </c>
      <c r="W1238">
        <f t="shared" si="79"/>
        <v>31.934000000000001</v>
      </c>
      <c r="X1238">
        <v>1</v>
      </c>
    </row>
    <row r="1239" spans="1:24" x14ac:dyDescent="0.3">
      <c r="A1239">
        <v>1238</v>
      </c>
      <c r="B1239" t="s">
        <v>3000</v>
      </c>
      <c r="C1239" s="6">
        <v>45434</v>
      </c>
      <c r="D1239" t="str">
        <f t="shared" si="76"/>
        <v>May</v>
      </c>
      <c r="E1239" t="str">
        <f t="shared" si="77"/>
        <v>2024</v>
      </c>
      <c r="F1239" t="s">
        <v>6</v>
      </c>
      <c r="G1239" t="s">
        <v>317</v>
      </c>
      <c r="H1239" t="s">
        <v>1115</v>
      </c>
      <c r="I1239">
        <v>180</v>
      </c>
      <c r="J1239">
        <v>12</v>
      </c>
      <c r="K1239">
        <f t="shared" si="78"/>
        <v>6.666666666666667</v>
      </c>
      <c r="L1239" t="s">
        <v>1738</v>
      </c>
      <c r="M1239" t="s">
        <v>3817</v>
      </c>
      <c r="N1239" t="s">
        <v>1</v>
      </c>
      <c r="O1239">
        <v>560008</v>
      </c>
      <c r="P1239" t="s">
        <v>546</v>
      </c>
      <c r="Q1239" t="s">
        <v>1770</v>
      </c>
      <c r="S1239">
        <v>165.048</v>
      </c>
      <c r="T1239">
        <v>3</v>
      </c>
      <c r="U1239">
        <v>0.2</v>
      </c>
      <c r="V1239">
        <v>41.262</v>
      </c>
      <c r="W1239">
        <f t="shared" si="79"/>
        <v>41.262</v>
      </c>
      <c r="X1239">
        <v>4</v>
      </c>
    </row>
    <row r="1240" spans="1:24" x14ac:dyDescent="0.3">
      <c r="A1240">
        <v>1239</v>
      </c>
      <c r="B1240" t="s">
        <v>3001</v>
      </c>
      <c r="C1240" s="6">
        <v>45435</v>
      </c>
      <c r="D1240" t="str">
        <f t="shared" si="76"/>
        <v>May</v>
      </c>
      <c r="E1240" t="str">
        <f t="shared" si="77"/>
        <v>2024</v>
      </c>
      <c r="F1240" t="s">
        <v>4</v>
      </c>
      <c r="G1240" t="s">
        <v>418</v>
      </c>
      <c r="H1240" t="s">
        <v>1440</v>
      </c>
      <c r="I1240">
        <v>240</v>
      </c>
      <c r="J1240">
        <v>6</v>
      </c>
      <c r="K1240">
        <f t="shared" si="78"/>
        <v>2.5</v>
      </c>
      <c r="L1240" t="s">
        <v>1737</v>
      </c>
      <c r="M1240" t="s">
        <v>3880</v>
      </c>
      <c r="N1240" t="s">
        <v>1</v>
      </c>
      <c r="O1240">
        <v>682020</v>
      </c>
      <c r="P1240" t="s">
        <v>546</v>
      </c>
      <c r="Q1240" t="s">
        <v>1755</v>
      </c>
      <c r="S1240">
        <v>12.35</v>
      </c>
      <c r="T1240">
        <v>1</v>
      </c>
      <c r="U1240">
        <v>0.1</v>
      </c>
      <c r="V1240">
        <v>5.4340000000000002</v>
      </c>
      <c r="W1240">
        <f t="shared" si="79"/>
        <v>6.9159999999999995</v>
      </c>
      <c r="X1240">
        <v>4</v>
      </c>
    </row>
    <row r="1241" spans="1:24" x14ac:dyDescent="0.3">
      <c r="A1241">
        <v>1240</v>
      </c>
      <c r="B1241" t="s">
        <v>3002</v>
      </c>
      <c r="C1241" s="6">
        <v>45436</v>
      </c>
      <c r="D1241" t="str">
        <f t="shared" si="76"/>
        <v>May</v>
      </c>
      <c r="E1241" t="str">
        <f t="shared" si="77"/>
        <v>2024</v>
      </c>
      <c r="F1241" t="s">
        <v>4</v>
      </c>
      <c r="G1241" t="s">
        <v>418</v>
      </c>
      <c r="H1241" t="s">
        <v>1441</v>
      </c>
      <c r="I1241">
        <v>100</v>
      </c>
      <c r="J1241">
        <v>18</v>
      </c>
      <c r="K1241">
        <f t="shared" si="78"/>
        <v>18</v>
      </c>
      <c r="L1241" t="s">
        <v>1743</v>
      </c>
      <c r="M1241" t="s">
        <v>3881</v>
      </c>
      <c r="N1241" t="s">
        <v>1</v>
      </c>
      <c r="O1241">
        <v>122011</v>
      </c>
      <c r="P1241" t="s">
        <v>546</v>
      </c>
      <c r="Q1241" t="s">
        <v>1767</v>
      </c>
      <c r="S1241">
        <v>40.97</v>
      </c>
      <c r="T1241">
        <v>1</v>
      </c>
      <c r="U1241">
        <v>0.1</v>
      </c>
      <c r="V1241">
        <v>10.652200000000001</v>
      </c>
      <c r="W1241">
        <f t="shared" si="79"/>
        <v>30.317799999999998</v>
      </c>
      <c r="X1241">
        <v>2</v>
      </c>
    </row>
    <row r="1242" spans="1:24" x14ac:dyDescent="0.3">
      <c r="A1242">
        <v>1241</v>
      </c>
      <c r="B1242" t="s">
        <v>3003</v>
      </c>
      <c r="C1242" s="6">
        <v>45437</v>
      </c>
      <c r="D1242" t="str">
        <f t="shared" si="76"/>
        <v>May</v>
      </c>
      <c r="E1242" t="str">
        <f t="shared" si="77"/>
        <v>2024</v>
      </c>
      <c r="F1242" t="s">
        <v>4</v>
      </c>
      <c r="G1242" t="s">
        <v>418</v>
      </c>
      <c r="H1242" t="s">
        <v>818</v>
      </c>
      <c r="I1242">
        <v>200</v>
      </c>
      <c r="J1242">
        <v>10</v>
      </c>
      <c r="K1242">
        <f t="shared" si="78"/>
        <v>5</v>
      </c>
      <c r="L1242" t="s">
        <v>1738</v>
      </c>
      <c r="M1242" t="s">
        <v>3882</v>
      </c>
      <c r="N1242" t="s">
        <v>1</v>
      </c>
      <c r="O1242">
        <v>110081</v>
      </c>
      <c r="P1242" t="s">
        <v>546</v>
      </c>
      <c r="Q1242" t="s">
        <v>1758</v>
      </c>
      <c r="S1242">
        <v>22.96</v>
      </c>
      <c r="T1242">
        <v>2</v>
      </c>
      <c r="U1242">
        <v>0.1</v>
      </c>
      <c r="V1242">
        <v>10.7912</v>
      </c>
      <c r="W1242">
        <f t="shared" si="79"/>
        <v>6.0844000000000005</v>
      </c>
      <c r="X1242">
        <v>4</v>
      </c>
    </row>
    <row r="1243" spans="1:24" x14ac:dyDescent="0.3">
      <c r="A1243">
        <v>1242</v>
      </c>
      <c r="B1243" t="s">
        <v>3004</v>
      </c>
      <c r="C1243" s="6">
        <v>45438</v>
      </c>
      <c r="D1243" t="str">
        <f t="shared" si="76"/>
        <v>May</v>
      </c>
      <c r="E1243" t="str">
        <f t="shared" si="77"/>
        <v>2024</v>
      </c>
      <c r="F1243" t="s">
        <v>4</v>
      </c>
      <c r="G1243" t="s">
        <v>253</v>
      </c>
      <c r="H1243" t="s">
        <v>1442</v>
      </c>
      <c r="I1243">
        <v>210</v>
      </c>
      <c r="J1243">
        <v>16</v>
      </c>
      <c r="K1243">
        <f t="shared" si="78"/>
        <v>7.6190476190476195</v>
      </c>
      <c r="L1243" t="s">
        <v>1739</v>
      </c>
      <c r="M1243" t="s">
        <v>3883</v>
      </c>
      <c r="N1243" t="s">
        <v>1</v>
      </c>
      <c r="O1243">
        <v>560068</v>
      </c>
      <c r="P1243" t="s">
        <v>546</v>
      </c>
      <c r="Q1243" t="s">
        <v>1760</v>
      </c>
      <c r="S1243">
        <v>22</v>
      </c>
      <c r="T1243">
        <v>4</v>
      </c>
      <c r="U1243">
        <v>0.1</v>
      </c>
      <c r="V1243">
        <v>5.5</v>
      </c>
      <c r="W1243">
        <f t="shared" si="79"/>
        <v>4.125</v>
      </c>
      <c r="X1243">
        <v>2</v>
      </c>
    </row>
    <row r="1244" spans="1:24" x14ac:dyDescent="0.3">
      <c r="A1244">
        <v>1243</v>
      </c>
      <c r="B1244" t="s">
        <v>3005</v>
      </c>
      <c r="C1244" s="6">
        <v>45439</v>
      </c>
      <c r="D1244" t="str">
        <f t="shared" si="76"/>
        <v>May</v>
      </c>
      <c r="E1244" t="str">
        <f t="shared" si="77"/>
        <v>2024</v>
      </c>
      <c r="F1244" t="s">
        <v>4</v>
      </c>
      <c r="G1244" t="s">
        <v>317</v>
      </c>
      <c r="H1244" t="s">
        <v>1443</v>
      </c>
      <c r="I1244">
        <v>130</v>
      </c>
      <c r="J1244">
        <v>6</v>
      </c>
      <c r="K1244">
        <f t="shared" si="78"/>
        <v>4.6153846153846159</v>
      </c>
      <c r="L1244" t="s">
        <v>1741</v>
      </c>
      <c r="M1244" t="s">
        <v>3884</v>
      </c>
      <c r="N1244" t="s">
        <v>1</v>
      </c>
      <c r="O1244">
        <v>400012</v>
      </c>
      <c r="P1244" t="s">
        <v>546</v>
      </c>
      <c r="Q1244" t="s">
        <v>1759</v>
      </c>
      <c r="R1244" t="s">
        <v>2</v>
      </c>
      <c r="S1244">
        <v>398.35199999999998</v>
      </c>
      <c r="T1244">
        <v>3</v>
      </c>
      <c r="U1244">
        <v>0.2</v>
      </c>
      <c r="V1244">
        <v>124.485</v>
      </c>
      <c r="W1244">
        <f t="shared" si="79"/>
        <v>91.288999999999987</v>
      </c>
      <c r="X1244">
        <v>1</v>
      </c>
    </row>
    <row r="1245" spans="1:24" x14ac:dyDescent="0.3">
      <c r="A1245">
        <v>1244</v>
      </c>
      <c r="B1245" t="s">
        <v>3006</v>
      </c>
      <c r="C1245" s="6">
        <v>45440</v>
      </c>
      <c r="D1245" t="str">
        <f t="shared" si="76"/>
        <v>May</v>
      </c>
      <c r="E1245" t="str">
        <f t="shared" si="77"/>
        <v>2024</v>
      </c>
      <c r="F1245" t="s">
        <v>4</v>
      </c>
      <c r="G1245" t="s">
        <v>317</v>
      </c>
      <c r="H1245" t="s">
        <v>599</v>
      </c>
      <c r="I1245">
        <v>220</v>
      </c>
      <c r="J1245">
        <v>24</v>
      </c>
      <c r="K1245">
        <f t="shared" si="78"/>
        <v>10.909090909090908</v>
      </c>
      <c r="L1245" t="s">
        <v>1736</v>
      </c>
      <c r="M1245" t="s">
        <v>3885</v>
      </c>
      <c r="N1245" t="s">
        <v>1</v>
      </c>
      <c r="O1245">
        <v>144001</v>
      </c>
      <c r="P1245" t="s">
        <v>546</v>
      </c>
      <c r="Q1245" t="s">
        <v>1772</v>
      </c>
      <c r="S1245">
        <v>8.7200000000000006</v>
      </c>
      <c r="T1245">
        <v>4</v>
      </c>
      <c r="U1245">
        <v>0.1</v>
      </c>
      <c r="V1245">
        <v>3.5752000000000002</v>
      </c>
      <c r="W1245">
        <f t="shared" si="79"/>
        <v>1.2862</v>
      </c>
      <c r="X1245">
        <v>4</v>
      </c>
    </row>
    <row r="1246" spans="1:24" x14ac:dyDescent="0.3">
      <c r="A1246">
        <v>1245</v>
      </c>
      <c r="B1246" t="s">
        <v>3007</v>
      </c>
      <c r="C1246" s="6">
        <v>45441</v>
      </c>
      <c r="D1246" t="str">
        <f t="shared" si="76"/>
        <v>May</v>
      </c>
      <c r="E1246" t="str">
        <f t="shared" si="77"/>
        <v>2024</v>
      </c>
      <c r="F1246" t="s">
        <v>4</v>
      </c>
      <c r="G1246" t="s">
        <v>419</v>
      </c>
      <c r="H1246" t="s">
        <v>1444</v>
      </c>
      <c r="I1246">
        <v>170</v>
      </c>
      <c r="J1246">
        <v>26</v>
      </c>
      <c r="K1246">
        <f t="shared" si="78"/>
        <v>15.294117647058824</v>
      </c>
      <c r="L1246" t="s">
        <v>1744</v>
      </c>
      <c r="M1246" t="s">
        <v>3886</v>
      </c>
      <c r="N1246" t="s">
        <v>1</v>
      </c>
      <c r="O1246">
        <v>505212</v>
      </c>
      <c r="P1246" t="s">
        <v>546</v>
      </c>
      <c r="Q1246" t="s">
        <v>1760</v>
      </c>
      <c r="S1246">
        <v>48.69</v>
      </c>
      <c r="T1246">
        <v>9</v>
      </c>
      <c r="U1246">
        <v>0.1</v>
      </c>
      <c r="V1246">
        <v>23.8581</v>
      </c>
      <c r="W1246">
        <f t="shared" si="79"/>
        <v>2.7590999999999997</v>
      </c>
      <c r="X1246">
        <v>3</v>
      </c>
    </row>
    <row r="1247" spans="1:24" x14ac:dyDescent="0.3">
      <c r="A1247">
        <v>1246</v>
      </c>
      <c r="B1247" t="s">
        <v>3008</v>
      </c>
      <c r="C1247" s="6">
        <v>45442</v>
      </c>
      <c r="D1247" t="str">
        <f t="shared" si="76"/>
        <v>May</v>
      </c>
      <c r="E1247" t="str">
        <f t="shared" si="77"/>
        <v>2024</v>
      </c>
      <c r="F1247" t="s">
        <v>3</v>
      </c>
      <c r="G1247" t="s">
        <v>420</v>
      </c>
      <c r="H1247" t="s">
        <v>1445</v>
      </c>
      <c r="I1247">
        <v>240</v>
      </c>
      <c r="J1247">
        <v>18</v>
      </c>
      <c r="K1247">
        <f t="shared" si="78"/>
        <v>7.5</v>
      </c>
      <c r="L1247" t="s">
        <v>1740</v>
      </c>
      <c r="M1247" t="s">
        <v>3887</v>
      </c>
      <c r="N1247" t="s">
        <v>1</v>
      </c>
      <c r="O1247">
        <v>492001</v>
      </c>
      <c r="P1247" t="s">
        <v>546</v>
      </c>
      <c r="Q1247" t="s">
        <v>1759</v>
      </c>
      <c r="S1247">
        <v>764.68799999999999</v>
      </c>
      <c r="T1247">
        <v>6</v>
      </c>
      <c r="U1247">
        <v>0.2</v>
      </c>
      <c r="V1247">
        <v>95.585999999999999</v>
      </c>
      <c r="W1247">
        <f t="shared" si="79"/>
        <v>111.517</v>
      </c>
      <c r="X1247">
        <v>5</v>
      </c>
    </row>
    <row r="1248" spans="1:24" x14ac:dyDescent="0.3">
      <c r="A1248">
        <v>1247</v>
      </c>
      <c r="B1248" t="s">
        <v>3009</v>
      </c>
      <c r="C1248" s="6">
        <v>45443</v>
      </c>
      <c r="D1248" t="str">
        <f t="shared" si="76"/>
        <v>May</v>
      </c>
      <c r="E1248" t="str">
        <f t="shared" si="77"/>
        <v>2024</v>
      </c>
      <c r="F1248" t="s">
        <v>3</v>
      </c>
      <c r="G1248" t="s">
        <v>420</v>
      </c>
      <c r="H1248" t="s">
        <v>762</v>
      </c>
      <c r="I1248">
        <v>240</v>
      </c>
      <c r="J1248">
        <v>8</v>
      </c>
      <c r="K1248">
        <f t="shared" si="78"/>
        <v>3.3333333333333335</v>
      </c>
      <c r="L1248" t="s">
        <v>1742</v>
      </c>
      <c r="M1248" t="s">
        <v>3888</v>
      </c>
      <c r="N1248" t="s">
        <v>1</v>
      </c>
      <c r="O1248">
        <v>400086</v>
      </c>
      <c r="P1248" t="s">
        <v>546</v>
      </c>
      <c r="Q1248" t="s">
        <v>1773</v>
      </c>
      <c r="S1248">
        <v>3610.848</v>
      </c>
      <c r="T1248">
        <v>12</v>
      </c>
      <c r="U1248">
        <v>0.2</v>
      </c>
      <c r="V1248">
        <v>135.4068</v>
      </c>
      <c r="W1248">
        <f t="shared" si="79"/>
        <v>289.62009999999998</v>
      </c>
      <c r="X1248">
        <v>3</v>
      </c>
    </row>
    <row r="1249" spans="1:24" x14ac:dyDescent="0.3">
      <c r="A1249">
        <v>1248</v>
      </c>
      <c r="B1249" t="s">
        <v>3010</v>
      </c>
      <c r="C1249" s="6">
        <v>45444</v>
      </c>
      <c r="D1249" t="str">
        <f t="shared" si="76"/>
        <v>Jun</v>
      </c>
      <c r="E1249" t="str">
        <f t="shared" si="77"/>
        <v>2024</v>
      </c>
      <c r="F1249" t="s">
        <v>3</v>
      </c>
      <c r="G1249" t="s">
        <v>420</v>
      </c>
      <c r="H1249" t="s">
        <v>1446</v>
      </c>
      <c r="I1249">
        <v>130</v>
      </c>
      <c r="J1249">
        <v>6</v>
      </c>
      <c r="K1249">
        <f t="shared" si="78"/>
        <v>4.6153846153846159</v>
      </c>
      <c r="L1249" t="s">
        <v>1739</v>
      </c>
      <c r="M1249" t="s">
        <v>3889</v>
      </c>
      <c r="N1249" t="s">
        <v>1</v>
      </c>
      <c r="O1249">
        <v>524002</v>
      </c>
      <c r="P1249" t="s">
        <v>546</v>
      </c>
      <c r="Q1249" t="s">
        <v>1765</v>
      </c>
      <c r="S1249">
        <v>254.97450000000001</v>
      </c>
      <c r="T1249">
        <v>3</v>
      </c>
      <c r="U1249">
        <v>0.15</v>
      </c>
      <c r="V1249">
        <v>11.998799999999999</v>
      </c>
      <c r="W1249">
        <f t="shared" si="79"/>
        <v>80.991900000000001</v>
      </c>
      <c r="X1249">
        <v>2</v>
      </c>
    </row>
    <row r="1250" spans="1:24" x14ac:dyDescent="0.3">
      <c r="A1250">
        <v>1249</v>
      </c>
      <c r="B1250" t="s">
        <v>3011</v>
      </c>
      <c r="C1250" s="6">
        <v>45445</v>
      </c>
      <c r="D1250" t="str">
        <f t="shared" si="76"/>
        <v>Jun</v>
      </c>
      <c r="E1250" t="str">
        <f t="shared" si="77"/>
        <v>2024</v>
      </c>
      <c r="F1250" t="s">
        <v>4</v>
      </c>
      <c r="G1250" t="s">
        <v>271</v>
      </c>
      <c r="H1250" t="s">
        <v>1447</v>
      </c>
      <c r="I1250">
        <v>180</v>
      </c>
      <c r="J1250">
        <v>16</v>
      </c>
      <c r="K1250">
        <f t="shared" si="78"/>
        <v>8.8888888888888893</v>
      </c>
      <c r="L1250" t="s">
        <v>1738</v>
      </c>
      <c r="M1250" t="s">
        <v>3890</v>
      </c>
      <c r="N1250" t="s">
        <v>1</v>
      </c>
      <c r="O1250">
        <v>431005</v>
      </c>
      <c r="P1250" t="s">
        <v>546</v>
      </c>
      <c r="Q1250" t="s">
        <v>1764</v>
      </c>
      <c r="S1250">
        <v>38.82</v>
      </c>
      <c r="T1250">
        <v>6</v>
      </c>
      <c r="U1250">
        <v>0.1</v>
      </c>
      <c r="V1250">
        <v>17.469000000000001</v>
      </c>
      <c r="W1250">
        <f t="shared" si="79"/>
        <v>3.5585</v>
      </c>
      <c r="X1250">
        <v>2</v>
      </c>
    </row>
    <row r="1251" spans="1:24" x14ac:dyDescent="0.3">
      <c r="A1251">
        <v>1250</v>
      </c>
      <c r="B1251" t="s">
        <v>3012</v>
      </c>
      <c r="C1251" s="6">
        <v>45446</v>
      </c>
      <c r="D1251" t="str">
        <f t="shared" si="76"/>
        <v>Jun</v>
      </c>
      <c r="E1251" t="str">
        <f t="shared" si="77"/>
        <v>2024</v>
      </c>
      <c r="F1251" t="s">
        <v>4</v>
      </c>
      <c r="G1251" t="s">
        <v>271</v>
      </c>
      <c r="H1251" t="s">
        <v>1448</v>
      </c>
      <c r="I1251">
        <v>200</v>
      </c>
      <c r="J1251">
        <v>12</v>
      </c>
      <c r="K1251">
        <f t="shared" si="78"/>
        <v>6</v>
      </c>
      <c r="L1251" t="s">
        <v>1743</v>
      </c>
      <c r="M1251" t="s">
        <v>3891</v>
      </c>
      <c r="N1251" t="s">
        <v>1</v>
      </c>
      <c r="O1251">
        <v>700126</v>
      </c>
      <c r="P1251" t="s">
        <v>546</v>
      </c>
      <c r="Q1251" t="s">
        <v>1764</v>
      </c>
      <c r="S1251">
        <v>1141.9380000000001</v>
      </c>
      <c r="T1251">
        <v>9</v>
      </c>
      <c r="U1251">
        <v>0.11</v>
      </c>
      <c r="V1251">
        <v>139.5702</v>
      </c>
      <c r="W1251">
        <f t="shared" si="79"/>
        <v>111.37420000000002</v>
      </c>
      <c r="X1251">
        <v>5</v>
      </c>
    </row>
    <row r="1252" spans="1:24" x14ac:dyDescent="0.3">
      <c r="A1252">
        <v>1251</v>
      </c>
      <c r="B1252" t="s">
        <v>3013</v>
      </c>
      <c r="C1252" s="6">
        <v>45447</v>
      </c>
      <c r="D1252" t="str">
        <f t="shared" si="76"/>
        <v>Jun</v>
      </c>
      <c r="E1252" t="str">
        <f t="shared" si="77"/>
        <v>2024</v>
      </c>
      <c r="F1252" t="s">
        <v>4</v>
      </c>
      <c r="G1252" t="s">
        <v>271</v>
      </c>
      <c r="H1252" t="s">
        <v>711</v>
      </c>
      <c r="I1252">
        <v>110</v>
      </c>
      <c r="J1252">
        <v>14</v>
      </c>
      <c r="K1252">
        <f t="shared" si="78"/>
        <v>12.727272727272727</v>
      </c>
      <c r="L1252" t="s">
        <v>1737</v>
      </c>
      <c r="M1252" t="s">
        <v>3892</v>
      </c>
      <c r="N1252" t="s">
        <v>1</v>
      </c>
      <c r="O1252">
        <v>440002</v>
      </c>
      <c r="P1252" t="s">
        <v>546</v>
      </c>
      <c r="Q1252" t="s">
        <v>1759</v>
      </c>
      <c r="R1252" t="s">
        <v>2</v>
      </c>
      <c r="S1252">
        <v>1704.56</v>
      </c>
      <c r="T1252">
        <v>13</v>
      </c>
      <c r="U1252">
        <v>0.1</v>
      </c>
      <c r="V1252">
        <v>511.36799999999999</v>
      </c>
      <c r="W1252">
        <f t="shared" si="79"/>
        <v>91.784000000000006</v>
      </c>
      <c r="X1252">
        <v>1</v>
      </c>
    </row>
    <row r="1253" spans="1:24" x14ac:dyDescent="0.3">
      <c r="A1253">
        <v>1252</v>
      </c>
      <c r="B1253" t="s">
        <v>3014</v>
      </c>
      <c r="C1253" s="6">
        <v>45448</v>
      </c>
      <c r="D1253" t="str">
        <f t="shared" si="76"/>
        <v>Jun</v>
      </c>
      <c r="E1253" t="str">
        <f t="shared" si="77"/>
        <v>2024</v>
      </c>
      <c r="F1253" t="s">
        <v>4</v>
      </c>
      <c r="G1253" t="s">
        <v>271</v>
      </c>
      <c r="H1253" t="s">
        <v>1449</v>
      </c>
      <c r="I1253">
        <v>130</v>
      </c>
      <c r="J1253">
        <v>24</v>
      </c>
      <c r="K1253">
        <f t="shared" si="78"/>
        <v>18.461538461538463</v>
      </c>
      <c r="L1253" t="s">
        <v>1741</v>
      </c>
      <c r="M1253" t="s">
        <v>3893</v>
      </c>
      <c r="O1253">
        <v>502032</v>
      </c>
      <c r="P1253" t="s">
        <v>546</v>
      </c>
      <c r="Q1253" t="s">
        <v>1772</v>
      </c>
      <c r="R1253" t="s">
        <v>2</v>
      </c>
      <c r="S1253">
        <v>3.2</v>
      </c>
      <c r="T1253">
        <v>2</v>
      </c>
      <c r="U1253">
        <v>0.1</v>
      </c>
      <c r="V1253">
        <v>1.3759999999999999</v>
      </c>
      <c r="W1253">
        <f t="shared" si="79"/>
        <v>0.91200000000000014</v>
      </c>
      <c r="X1253">
        <v>1</v>
      </c>
    </row>
    <row r="1254" spans="1:24" x14ac:dyDescent="0.3">
      <c r="A1254">
        <v>1253</v>
      </c>
      <c r="B1254" t="s">
        <v>3015</v>
      </c>
      <c r="C1254" s="6">
        <v>45449</v>
      </c>
      <c r="D1254" t="str">
        <f t="shared" si="76"/>
        <v>Jun</v>
      </c>
      <c r="E1254" t="str">
        <f t="shared" si="77"/>
        <v>2024</v>
      </c>
      <c r="F1254" t="s">
        <v>4</v>
      </c>
      <c r="G1254" t="s">
        <v>12</v>
      </c>
      <c r="H1254" t="s">
        <v>1450</v>
      </c>
      <c r="I1254">
        <v>210</v>
      </c>
      <c r="J1254">
        <v>10</v>
      </c>
      <c r="K1254">
        <f t="shared" si="78"/>
        <v>4.7619047619047619</v>
      </c>
      <c r="L1254" t="s">
        <v>1736</v>
      </c>
      <c r="M1254" t="s">
        <v>3894</v>
      </c>
      <c r="N1254" t="s">
        <v>1</v>
      </c>
      <c r="O1254">
        <v>400051</v>
      </c>
      <c r="P1254" t="s">
        <v>546</v>
      </c>
      <c r="Q1254" t="s">
        <v>1776</v>
      </c>
      <c r="S1254">
        <v>1099.96</v>
      </c>
      <c r="T1254">
        <v>4</v>
      </c>
      <c r="U1254">
        <v>0.1</v>
      </c>
      <c r="V1254">
        <v>285.9896</v>
      </c>
      <c r="W1254">
        <f t="shared" si="79"/>
        <v>203.49260000000001</v>
      </c>
      <c r="X1254">
        <v>5</v>
      </c>
    </row>
    <row r="1255" spans="1:24" x14ac:dyDescent="0.3">
      <c r="A1255">
        <v>1254</v>
      </c>
      <c r="B1255" t="s">
        <v>3016</v>
      </c>
      <c r="C1255" s="6">
        <v>45450</v>
      </c>
      <c r="D1255" t="str">
        <f t="shared" si="76"/>
        <v>Jun</v>
      </c>
      <c r="E1255" t="str">
        <f t="shared" si="77"/>
        <v>2024</v>
      </c>
      <c r="F1255" t="s">
        <v>4</v>
      </c>
      <c r="G1255" t="s">
        <v>421</v>
      </c>
      <c r="H1255" t="s">
        <v>1233</v>
      </c>
      <c r="I1255">
        <v>250</v>
      </c>
      <c r="J1255">
        <v>24</v>
      </c>
      <c r="K1255">
        <f t="shared" si="78"/>
        <v>9.6</v>
      </c>
      <c r="L1255" t="s">
        <v>1744</v>
      </c>
      <c r="M1255" t="s">
        <v>3895</v>
      </c>
      <c r="N1255" t="s">
        <v>1</v>
      </c>
      <c r="O1255">
        <v>781022</v>
      </c>
      <c r="P1255" t="s">
        <v>546</v>
      </c>
      <c r="Q1255" t="s">
        <v>1776</v>
      </c>
      <c r="S1255">
        <v>5.2480000000000002</v>
      </c>
      <c r="T1255">
        <v>2</v>
      </c>
      <c r="U1255">
        <v>0.2</v>
      </c>
      <c r="V1255">
        <v>0.59040000000000004</v>
      </c>
      <c r="W1255">
        <f t="shared" si="79"/>
        <v>2.3288000000000002</v>
      </c>
      <c r="X1255">
        <v>1</v>
      </c>
    </row>
    <row r="1256" spans="1:24" x14ac:dyDescent="0.3">
      <c r="A1256">
        <v>1255</v>
      </c>
      <c r="B1256" t="s">
        <v>3017</v>
      </c>
      <c r="C1256" s="6">
        <v>45451</v>
      </c>
      <c r="D1256" t="str">
        <f t="shared" si="76"/>
        <v>Jun</v>
      </c>
      <c r="E1256" t="str">
        <f t="shared" si="77"/>
        <v>2024</v>
      </c>
      <c r="F1256" t="s">
        <v>4</v>
      </c>
      <c r="G1256" t="s">
        <v>421</v>
      </c>
      <c r="H1256" t="s">
        <v>971</v>
      </c>
      <c r="I1256">
        <v>120</v>
      </c>
      <c r="J1256">
        <v>22</v>
      </c>
      <c r="K1256">
        <f t="shared" si="78"/>
        <v>18.333333333333332</v>
      </c>
      <c r="L1256" t="s">
        <v>1740</v>
      </c>
      <c r="M1256" t="s">
        <v>3896</v>
      </c>
      <c r="N1256" t="s">
        <v>1</v>
      </c>
      <c r="O1256">
        <v>491445</v>
      </c>
      <c r="P1256" t="s">
        <v>546</v>
      </c>
      <c r="Q1256" t="s">
        <v>1761</v>
      </c>
      <c r="R1256" t="s">
        <v>2</v>
      </c>
      <c r="S1256">
        <v>35.909999999999997</v>
      </c>
      <c r="T1256">
        <v>3</v>
      </c>
      <c r="U1256">
        <v>0.4</v>
      </c>
      <c r="V1256">
        <v>-8.3789999999999996</v>
      </c>
      <c r="W1256">
        <f t="shared" si="79"/>
        <v>14.762999999999998</v>
      </c>
      <c r="X1256">
        <v>3</v>
      </c>
    </row>
    <row r="1257" spans="1:24" x14ac:dyDescent="0.3">
      <c r="A1257">
        <v>1256</v>
      </c>
      <c r="B1257" t="s">
        <v>3018</v>
      </c>
      <c r="C1257" s="6">
        <v>45452</v>
      </c>
      <c r="D1257" t="str">
        <f t="shared" si="76"/>
        <v>Jun</v>
      </c>
      <c r="E1257" t="str">
        <f t="shared" si="77"/>
        <v>2024</v>
      </c>
      <c r="F1257" t="s">
        <v>4</v>
      </c>
      <c r="G1257" t="s">
        <v>421</v>
      </c>
      <c r="H1257" t="s">
        <v>1451</v>
      </c>
      <c r="I1257">
        <v>100</v>
      </c>
      <c r="J1257">
        <v>10</v>
      </c>
      <c r="K1257">
        <f t="shared" si="78"/>
        <v>10</v>
      </c>
      <c r="L1257" t="s">
        <v>1742</v>
      </c>
      <c r="M1257" t="s">
        <v>3706</v>
      </c>
      <c r="N1257" t="s">
        <v>1</v>
      </c>
      <c r="O1257">
        <v>826001</v>
      </c>
      <c r="P1257" t="s">
        <v>546</v>
      </c>
      <c r="Q1257" t="s">
        <v>1765</v>
      </c>
      <c r="R1257" t="s">
        <v>2</v>
      </c>
      <c r="S1257">
        <v>6.6959999999999997</v>
      </c>
      <c r="T1257">
        <v>1</v>
      </c>
      <c r="U1257">
        <v>0.2</v>
      </c>
      <c r="V1257">
        <v>0.50219999999999998</v>
      </c>
      <c r="W1257">
        <f t="shared" si="79"/>
        <v>6.1937999999999995</v>
      </c>
      <c r="X1257">
        <v>2</v>
      </c>
    </row>
    <row r="1258" spans="1:24" x14ac:dyDescent="0.3">
      <c r="A1258">
        <v>1257</v>
      </c>
      <c r="B1258" t="s">
        <v>3019</v>
      </c>
      <c r="C1258" s="6">
        <v>45453</v>
      </c>
      <c r="D1258" t="str">
        <f t="shared" si="76"/>
        <v>Jun</v>
      </c>
      <c r="E1258" t="str">
        <f t="shared" si="77"/>
        <v>2024</v>
      </c>
      <c r="F1258" t="s">
        <v>4</v>
      </c>
      <c r="G1258" t="s">
        <v>421</v>
      </c>
      <c r="H1258" t="s">
        <v>1452</v>
      </c>
      <c r="I1258">
        <v>180</v>
      </c>
      <c r="J1258">
        <v>8</v>
      </c>
      <c r="K1258">
        <f t="shared" si="78"/>
        <v>4.4444444444444446</v>
      </c>
      <c r="L1258" t="s">
        <v>1739</v>
      </c>
      <c r="M1258" t="s">
        <v>3897</v>
      </c>
      <c r="N1258" t="s">
        <v>1</v>
      </c>
      <c r="O1258">
        <v>560056</v>
      </c>
      <c r="P1258" t="s">
        <v>546</v>
      </c>
      <c r="Q1258" t="s">
        <v>1774</v>
      </c>
      <c r="S1258">
        <v>43.872</v>
      </c>
      <c r="T1258">
        <v>2</v>
      </c>
      <c r="U1258">
        <v>0.2</v>
      </c>
      <c r="V1258">
        <v>11.516400000000001</v>
      </c>
      <c r="W1258">
        <f t="shared" si="79"/>
        <v>16.177799999999998</v>
      </c>
      <c r="X1258">
        <v>4</v>
      </c>
    </row>
    <row r="1259" spans="1:24" x14ac:dyDescent="0.3">
      <c r="A1259">
        <v>1258</v>
      </c>
      <c r="B1259" t="s">
        <v>3020</v>
      </c>
      <c r="C1259" s="6">
        <v>45454</v>
      </c>
      <c r="D1259" t="str">
        <f t="shared" si="76"/>
        <v>Jun</v>
      </c>
      <c r="E1259" t="str">
        <f t="shared" si="77"/>
        <v>2024</v>
      </c>
      <c r="F1259" t="s">
        <v>3</v>
      </c>
      <c r="G1259" t="s">
        <v>183</v>
      </c>
      <c r="H1259" t="s">
        <v>1129</v>
      </c>
      <c r="I1259">
        <v>170</v>
      </c>
      <c r="J1259">
        <v>10</v>
      </c>
      <c r="K1259">
        <f t="shared" si="78"/>
        <v>5.8823529411764701</v>
      </c>
      <c r="L1259" t="s">
        <v>1738</v>
      </c>
      <c r="M1259" t="s">
        <v>3786</v>
      </c>
      <c r="N1259" t="s">
        <v>1</v>
      </c>
      <c r="O1259">
        <v>500090</v>
      </c>
      <c r="P1259" t="s">
        <v>546</v>
      </c>
      <c r="Q1259" t="s">
        <v>1763</v>
      </c>
      <c r="R1259" t="s">
        <v>2</v>
      </c>
      <c r="S1259">
        <v>27.882000000000001</v>
      </c>
      <c r="T1259">
        <v>3</v>
      </c>
      <c r="U1259">
        <v>0.7</v>
      </c>
      <c r="V1259">
        <v>-20.4468</v>
      </c>
      <c r="W1259">
        <f t="shared" si="79"/>
        <v>16.1096</v>
      </c>
      <c r="X1259">
        <v>2</v>
      </c>
    </row>
    <row r="1260" spans="1:24" x14ac:dyDescent="0.3">
      <c r="A1260">
        <v>1259</v>
      </c>
      <c r="B1260" t="s">
        <v>3021</v>
      </c>
      <c r="C1260" s="6">
        <v>45455</v>
      </c>
      <c r="D1260" t="str">
        <f t="shared" si="76"/>
        <v>Jun</v>
      </c>
      <c r="E1260" t="str">
        <f t="shared" si="77"/>
        <v>2024</v>
      </c>
      <c r="F1260" t="s">
        <v>3</v>
      </c>
      <c r="G1260" t="s">
        <v>183</v>
      </c>
      <c r="H1260" t="s">
        <v>1453</v>
      </c>
      <c r="I1260">
        <v>190</v>
      </c>
      <c r="J1260">
        <v>16</v>
      </c>
      <c r="K1260">
        <f t="shared" si="78"/>
        <v>8.4210526315789469</v>
      </c>
      <c r="L1260" t="s">
        <v>1737</v>
      </c>
      <c r="M1260" t="s">
        <v>3898</v>
      </c>
      <c r="N1260" t="s">
        <v>1</v>
      </c>
      <c r="O1260">
        <v>400050</v>
      </c>
      <c r="P1260" t="s">
        <v>546</v>
      </c>
      <c r="Q1260" t="s">
        <v>1776</v>
      </c>
      <c r="S1260">
        <v>540.048</v>
      </c>
      <c r="T1260">
        <v>3</v>
      </c>
      <c r="U1260">
        <v>0.2</v>
      </c>
      <c r="V1260">
        <v>-47.254199999999997</v>
      </c>
      <c r="W1260">
        <f t="shared" si="79"/>
        <v>195.76739999999998</v>
      </c>
      <c r="X1260">
        <v>1</v>
      </c>
    </row>
    <row r="1261" spans="1:24" x14ac:dyDescent="0.3">
      <c r="A1261">
        <v>1260</v>
      </c>
      <c r="B1261" t="s">
        <v>3022</v>
      </c>
      <c r="C1261" s="6">
        <v>45456</v>
      </c>
      <c r="D1261" t="str">
        <f t="shared" si="76"/>
        <v>Jun</v>
      </c>
      <c r="E1261" t="str">
        <f t="shared" si="77"/>
        <v>2024</v>
      </c>
      <c r="F1261" t="s">
        <v>3</v>
      </c>
      <c r="G1261" t="s">
        <v>183</v>
      </c>
      <c r="H1261" t="s">
        <v>787</v>
      </c>
      <c r="I1261">
        <v>240</v>
      </c>
      <c r="J1261">
        <v>24</v>
      </c>
      <c r="K1261">
        <f t="shared" si="78"/>
        <v>10</v>
      </c>
      <c r="L1261" t="s">
        <v>1743</v>
      </c>
      <c r="M1261" t="s">
        <v>3899</v>
      </c>
      <c r="N1261" t="s">
        <v>1</v>
      </c>
      <c r="O1261">
        <v>342026</v>
      </c>
      <c r="P1261" t="s">
        <v>546</v>
      </c>
      <c r="Q1261" t="s">
        <v>1765</v>
      </c>
      <c r="S1261">
        <v>255.68</v>
      </c>
      <c r="T1261">
        <v>8</v>
      </c>
      <c r="U1261">
        <v>0.2</v>
      </c>
      <c r="V1261">
        <v>76.703999999999994</v>
      </c>
      <c r="W1261">
        <f t="shared" si="79"/>
        <v>22.372</v>
      </c>
      <c r="X1261">
        <v>5</v>
      </c>
    </row>
    <row r="1262" spans="1:24" x14ac:dyDescent="0.3">
      <c r="A1262">
        <v>1261</v>
      </c>
      <c r="B1262" t="s">
        <v>3023</v>
      </c>
      <c r="C1262" s="6">
        <v>45457</v>
      </c>
      <c r="D1262" t="str">
        <f t="shared" si="76"/>
        <v>Jun</v>
      </c>
      <c r="E1262" t="str">
        <f t="shared" si="77"/>
        <v>2024</v>
      </c>
      <c r="F1262" t="s">
        <v>4</v>
      </c>
      <c r="G1262" t="s">
        <v>422</v>
      </c>
      <c r="H1262" t="s">
        <v>1454</v>
      </c>
      <c r="I1262">
        <v>130</v>
      </c>
      <c r="J1262">
        <v>8</v>
      </c>
      <c r="K1262">
        <f t="shared" si="78"/>
        <v>6.1538461538461542</v>
      </c>
      <c r="L1262" t="s">
        <v>1738</v>
      </c>
      <c r="M1262" t="s">
        <v>3788</v>
      </c>
      <c r="N1262" t="s">
        <v>1</v>
      </c>
      <c r="O1262">
        <v>201306</v>
      </c>
      <c r="P1262" t="s">
        <v>546</v>
      </c>
      <c r="Q1262" t="s">
        <v>1760</v>
      </c>
      <c r="S1262">
        <v>863.88</v>
      </c>
      <c r="T1262">
        <v>3</v>
      </c>
      <c r="U1262">
        <v>0.2</v>
      </c>
      <c r="V1262">
        <v>107.985</v>
      </c>
      <c r="W1262">
        <f t="shared" si="79"/>
        <v>251.965</v>
      </c>
      <c r="X1262">
        <v>1</v>
      </c>
    </row>
    <row r="1263" spans="1:24" x14ac:dyDescent="0.3">
      <c r="A1263">
        <v>1262</v>
      </c>
      <c r="B1263" t="s">
        <v>3024</v>
      </c>
      <c r="C1263" s="6">
        <v>45458</v>
      </c>
      <c r="D1263" t="str">
        <f t="shared" si="76"/>
        <v>Jun</v>
      </c>
      <c r="E1263" t="str">
        <f t="shared" si="77"/>
        <v>2024</v>
      </c>
      <c r="F1263" t="s">
        <v>4</v>
      </c>
      <c r="G1263" t="s">
        <v>423</v>
      </c>
      <c r="H1263" t="s">
        <v>1455</v>
      </c>
      <c r="I1263">
        <v>180</v>
      </c>
      <c r="J1263">
        <v>18</v>
      </c>
      <c r="K1263">
        <f t="shared" si="78"/>
        <v>10</v>
      </c>
      <c r="L1263" t="s">
        <v>1739</v>
      </c>
      <c r="M1263" t="s">
        <v>3900</v>
      </c>
      <c r="N1263" t="s">
        <v>1</v>
      </c>
      <c r="O1263">
        <v>209601</v>
      </c>
      <c r="P1263" t="s">
        <v>546</v>
      </c>
      <c r="Q1263" t="s">
        <v>1767</v>
      </c>
      <c r="S1263">
        <v>17.616</v>
      </c>
      <c r="T1263">
        <v>4</v>
      </c>
      <c r="U1263">
        <v>0.7</v>
      </c>
      <c r="V1263">
        <v>-14.0928</v>
      </c>
      <c r="W1263">
        <f t="shared" si="79"/>
        <v>7.9272</v>
      </c>
      <c r="X1263">
        <v>5</v>
      </c>
    </row>
    <row r="1264" spans="1:24" x14ac:dyDescent="0.3">
      <c r="A1264">
        <v>1263</v>
      </c>
      <c r="B1264" t="s">
        <v>3025</v>
      </c>
      <c r="C1264" s="6">
        <v>45459</v>
      </c>
      <c r="D1264" t="str">
        <f t="shared" si="76"/>
        <v>Jun</v>
      </c>
      <c r="E1264" t="str">
        <f t="shared" si="77"/>
        <v>2024</v>
      </c>
      <c r="F1264" t="s">
        <v>3</v>
      </c>
      <c r="G1264" t="s">
        <v>401</v>
      </c>
      <c r="H1264" t="s">
        <v>571</v>
      </c>
      <c r="I1264">
        <v>180</v>
      </c>
      <c r="J1264">
        <v>18</v>
      </c>
      <c r="K1264">
        <f t="shared" si="78"/>
        <v>10</v>
      </c>
      <c r="L1264" t="s">
        <v>1741</v>
      </c>
      <c r="M1264" t="s">
        <v>3901</v>
      </c>
      <c r="N1264" t="s">
        <v>1</v>
      </c>
      <c r="O1264">
        <v>212635</v>
      </c>
      <c r="P1264" t="s">
        <v>546</v>
      </c>
      <c r="Q1264" t="s">
        <v>1755</v>
      </c>
      <c r="S1264">
        <v>17.472000000000001</v>
      </c>
      <c r="T1264">
        <v>3</v>
      </c>
      <c r="U1264">
        <v>0.2</v>
      </c>
      <c r="V1264">
        <v>6.3335999999999997</v>
      </c>
      <c r="W1264">
        <f t="shared" si="79"/>
        <v>3.7128000000000001</v>
      </c>
      <c r="X1264">
        <v>2</v>
      </c>
    </row>
    <row r="1265" spans="1:24" x14ac:dyDescent="0.3">
      <c r="A1265">
        <v>1264</v>
      </c>
      <c r="B1265" t="s">
        <v>3026</v>
      </c>
      <c r="C1265" s="6">
        <v>45460</v>
      </c>
      <c r="D1265" t="str">
        <f t="shared" si="76"/>
        <v>Jun</v>
      </c>
      <c r="E1265" t="str">
        <f t="shared" si="77"/>
        <v>2024</v>
      </c>
      <c r="F1265" t="s">
        <v>5</v>
      </c>
      <c r="G1265" t="s">
        <v>424</v>
      </c>
      <c r="H1265" t="s">
        <v>686</v>
      </c>
      <c r="I1265">
        <v>110</v>
      </c>
      <c r="J1265">
        <v>26</v>
      </c>
      <c r="K1265">
        <f t="shared" si="78"/>
        <v>23.636363636363637</v>
      </c>
      <c r="L1265" t="s">
        <v>1736</v>
      </c>
      <c r="M1265" t="s">
        <v>3902</v>
      </c>
      <c r="N1265" t="s">
        <v>1</v>
      </c>
      <c r="O1265">
        <v>560076</v>
      </c>
      <c r="P1265" t="s">
        <v>546</v>
      </c>
      <c r="Q1265" t="s">
        <v>1767</v>
      </c>
      <c r="S1265">
        <v>69.900000000000006</v>
      </c>
      <c r="T1265">
        <v>2</v>
      </c>
      <c r="U1265">
        <v>0.1</v>
      </c>
      <c r="V1265">
        <v>18.873000000000001</v>
      </c>
      <c r="W1265">
        <f t="shared" si="79"/>
        <v>25.513500000000001</v>
      </c>
      <c r="X1265">
        <v>2</v>
      </c>
    </row>
    <row r="1266" spans="1:24" x14ac:dyDescent="0.3">
      <c r="A1266">
        <v>1265</v>
      </c>
      <c r="B1266" t="s">
        <v>3027</v>
      </c>
      <c r="C1266" s="6">
        <v>45461</v>
      </c>
      <c r="D1266" t="str">
        <f t="shared" si="76"/>
        <v>Jun</v>
      </c>
      <c r="E1266" t="str">
        <f t="shared" si="77"/>
        <v>2024</v>
      </c>
      <c r="F1266" t="s">
        <v>5</v>
      </c>
      <c r="G1266" t="s">
        <v>424</v>
      </c>
      <c r="H1266" t="s">
        <v>1451</v>
      </c>
      <c r="I1266">
        <v>180</v>
      </c>
      <c r="J1266">
        <v>26</v>
      </c>
      <c r="K1266">
        <f t="shared" si="78"/>
        <v>14.444444444444443</v>
      </c>
      <c r="L1266" t="s">
        <v>1744</v>
      </c>
      <c r="M1266" t="s">
        <v>3903</v>
      </c>
      <c r="N1266" t="s">
        <v>1</v>
      </c>
      <c r="O1266">
        <v>391330</v>
      </c>
      <c r="P1266" t="s">
        <v>546</v>
      </c>
      <c r="Q1266" t="s">
        <v>1763</v>
      </c>
      <c r="S1266">
        <v>41.85</v>
      </c>
      <c r="T1266">
        <v>5</v>
      </c>
      <c r="U1266">
        <v>0.1</v>
      </c>
      <c r="V1266">
        <v>10.881</v>
      </c>
      <c r="W1266">
        <f t="shared" si="79"/>
        <v>6.1938000000000004</v>
      </c>
      <c r="X1266">
        <v>1</v>
      </c>
    </row>
    <row r="1267" spans="1:24" x14ac:dyDescent="0.3">
      <c r="A1267">
        <v>1266</v>
      </c>
      <c r="B1267" t="s">
        <v>3028</v>
      </c>
      <c r="C1267" s="6">
        <v>45462</v>
      </c>
      <c r="D1267" t="str">
        <f t="shared" si="76"/>
        <v>Jun</v>
      </c>
      <c r="E1267" t="str">
        <f t="shared" si="77"/>
        <v>2024</v>
      </c>
      <c r="F1267" t="s">
        <v>4</v>
      </c>
      <c r="G1267" t="s">
        <v>425</v>
      </c>
      <c r="H1267" t="s">
        <v>1456</v>
      </c>
      <c r="I1267">
        <v>100</v>
      </c>
      <c r="J1267">
        <v>22</v>
      </c>
      <c r="K1267">
        <f t="shared" si="78"/>
        <v>22</v>
      </c>
      <c r="L1267" t="s">
        <v>1740</v>
      </c>
      <c r="M1267" t="s">
        <v>3904</v>
      </c>
      <c r="N1267" t="s">
        <v>1</v>
      </c>
      <c r="O1267">
        <v>534005</v>
      </c>
      <c r="P1267" t="s">
        <v>546</v>
      </c>
      <c r="Q1267" t="s">
        <v>1763</v>
      </c>
      <c r="S1267">
        <v>6.57</v>
      </c>
      <c r="T1267">
        <v>3</v>
      </c>
      <c r="U1267">
        <v>0.1</v>
      </c>
      <c r="V1267">
        <v>1.7739</v>
      </c>
      <c r="W1267">
        <f t="shared" si="79"/>
        <v>1.5987</v>
      </c>
      <c r="X1267">
        <v>1</v>
      </c>
    </row>
    <row r="1268" spans="1:24" x14ac:dyDescent="0.3">
      <c r="A1268">
        <v>1267</v>
      </c>
      <c r="B1268" t="s">
        <v>3029</v>
      </c>
      <c r="C1268" s="6">
        <v>45463</v>
      </c>
      <c r="D1268" t="str">
        <f t="shared" si="76"/>
        <v>Jun</v>
      </c>
      <c r="E1268" t="str">
        <f t="shared" si="77"/>
        <v>2024</v>
      </c>
      <c r="F1268" t="s">
        <v>4</v>
      </c>
      <c r="G1268" t="s">
        <v>43</v>
      </c>
      <c r="H1268" t="s">
        <v>931</v>
      </c>
      <c r="I1268">
        <v>110</v>
      </c>
      <c r="J1268">
        <v>18</v>
      </c>
      <c r="K1268">
        <f t="shared" si="78"/>
        <v>16.363636363636363</v>
      </c>
      <c r="L1268" t="s">
        <v>1742</v>
      </c>
      <c r="M1268" t="s">
        <v>3647</v>
      </c>
      <c r="N1268" t="s">
        <v>1</v>
      </c>
      <c r="O1268">
        <v>201002</v>
      </c>
      <c r="P1268" t="s">
        <v>546</v>
      </c>
      <c r="Q1268" t="s">
        <v>1759</v>
      </c>
      <c r="S1268">
        <v>142.86000000000001</v>
      </c>
      <c r="T1268">
        <v>1</v>
      </c>
      <c r="U1268">
        <v>0.1</v>
      </c>
      <c r="V1268">
        <v>41.429400000000001</v>
      </c>
      <c r="W1268">
        <f t="shared" si="79"/>
        <v>101.43060000000001</v>
      </c>
      <c r="X1268">
        <v>2</v>
      </c>
    </row>
    <row r="1269" spans="1:24" x14ac:dyDescent="0.3">
      <c r="A1269">
        <v>1268</v>
      </c>
      <c r="B1269" t="s">
        <v>3030</v>
      </c>
      <c r="C1269" s="6">
        <v>45464</v>
      </c>
      <c r="D1269" t="str">
        <f t="shared" si="76"/>
        <v>Jun</v>
      </c>
      <c r="E1269" t="str">
        <f t="shared" si="77"/>
        <v>2024</v>
      </c>
      <c r="F1269" t="s">
        <v>4</v>
      </c>
      <c r="G1269" t="s">
        <v>43</v>
      </c>
      <c r="H1269" t="s">
        <v>611</v>
      </c>
      <c r="I1269">
        <v>250</v>
      </c>
      <c r="J1269">
        <v>6</v>
      </c>
      <c r="K1269">
        <f t="shared" si="78"/>
        <v>2.4</v>
      </c>
      <c r="L1269" t="s">
        <v>1739</v>
      </c>
      <c r="M1269" t="s">
        <v>3905</v>
      </c>
      <c r="O1269">
        <v>342026</v>
      </c>
      <c r="P1269" t="s">
        <v>546</v>
      </c>
      <c r="Q1269" t="s">
        <v>1768</v>
      </c>
      <c r="S1269">
        <v>292.27199999999999</v>
      </c>
      <c r="T1269">
        <v>6</v>
      </c>
      <c r="U1269">
        <v>0.2</v>
      </c>
      <c r="V1269">
        <v>18.266999999999999</v>
      </c>
      <c r="W1269">
        <f t="shared" si="79"/>
        <v>45.667499999999997</v>
      </c>
      <c r="X1269">
        <v>3</v>
      </c>
    </row>
    <row r="1270" spans="1:24" x14ac:dyDescent="0.3">
      <c r="A1270">
        <v>1269</v>
      </c>
      <c r="B1270" t="s">
        <v>3031</v>
      </c>
      <c r="C1270" s="6">
        <v>45465</v>
      </c>
      <c r="D1270" t="str">
        <f t="shared" si="76"/>
        <v>Jun</v>
      </c>
      <c r="E1270" t="str">
        <f t="shared" si="77"/>
        <v>2024</v>
      </c>
      <c r="F1270" t="s">
        <v>4</v>
      </c>
      <c r="G1270" t="s">
        <v>417</v>
      </c>
      <c r="H1270" t="s">
        <v>937</v>
      </c>
      <c r="I1270">
        <v>130</v>
      </c>
      <c r="J1270">
        <v>24</v>
      </c>
      <c r="K1270">
        <f t="shared" si="78"/>
        <v>18.461538461538463</v>
      </c>
      <c r="L1270" t="s">
        <v>1738</v>
      </c>
      <c r="M1270" t="s">
        <v>3778</v>
      </c>
      <c r="N1270" t="s">
        <v>1</v>
      </c>
      <c r="O1270">
        <v>700034</v>
      </c>
      <c r="P1270" t="s">
        <v>546</v>
      </c>
      <c r="Q1270" t="s">
        <v>1767</v>
      </c>
      <c r="S1270">
        <v>29.327999999999999</v>
      </c>
      <c r="T1270">
        <v>3</v>
      </c>
      <c r="U1270">
        <v>0.2</v>
      </c>
      <c r="V1270">
        <v>3.6659999999999999</v>
      </c>
      <c r="W1270">
        <f t="shared" si="79"/>
        <v>8.5540000000000003</v>
      </c>
      <c r="X1270">
        <v>5</v>
      </c>
    </row>
    <row r="1271" spans="1:24" x14ac:dyDescent="0.3">
      <c r="A1271">
        <v>1270</v>
      </c>
      <c r="B1271" t="s">
        <v>3032</v>
      </c>
      <c r="C1271" s="6">
        <v>45466</v>
      </c>
      <c r="D1271" t="str">
        <f t="shared" si="76"/>
        <v>Jun</v>
      </c>
      <c r="E1271" t="str">
        <f t="shared" si="77"/>
        <v>2024</v>
      </c>
      <c r="F1271" t="s">
        <v>4</v>
      </c>
      <c r="G1271" t="s">
        <v>426</v>
      </c>
      <c r="H1271" t="s">
        <v>1457</v>
      </c>
      <c r="I1271">
        <v>240</v>
      </c>
      <c r="J1271">
        <v>16</v>
      </c>
      <c r="K1271">
        <f t="shared" si="78"/>
        <v>6.666666666666667</v>
      </c>
      <c r="L1271" t="s">
        <v>1743</v>
      </c>
      <c r="M1271" t="s">
        <v>3906</v>
      </c>
      <c r="N1271" t="s">
        <v>1</v>
      </c>
      <c r="O1271">
        <v>500009</v>
      </c>
      <c r="P1271" t="s">
        <v>546</v>
      </c>
      <c r="Q1271" t="s">
        <v>1770</v>
      </c>
      <c r="S1271">
        <v>12.48</v>
      </c>
      <c r="T1271">
        <v>2</v>
      </c>
      <c r="U1271">
        <v>0.1</v>
      </c>
      <c r="V1271">
        <v>5.6159999999999997</v>
      </c>
      <c r="W1271">
        <f t="shared" si="79"/>
        <v>3.4320000000000004</v>
      </c>
      <c r="X1271">
        <v>3</v>
      </c>
    </row>
    <row r="1272" spans="1:24" x14ac:dyDescent="0.3">
      <c r="A1272">
        <v>1271</v>
      </c>
      <c r="B1272" t="s">
        <v>3033</v>
      </c>
      <c r="C1272" s="6">
        <v>45467</v>
      </c>
      <c r="D1272" t="str">
        <f t="shared" si="76"/>
        <v>Jun</v>
      </c>
      <c r="E1272" t="str">
        <f t="shared" si="77"/>
        <v>2024</v>
      </c>
      <c r="F1272" t="s">
        <v>4</v>
      </c>
      <c r="G1272" t="s">
        <v>266</v>
      </c>
      <c r="H1272" t="s">
        <v>1458</v>
      </c>
      <c r="I1272">
        <v>250</v>
      </c>
      <c r="J1272">
        <v>24</v>
      </c>
      <c r="K1272">
        <f t="shared" si="78"/>
        <v>9.6</v>
      </c>
      <c r="L1272" t="s">
        <v>1737</v>
      </c>
      <c r="M1272" t="s">
        <v>3907</v>
      </c>
      <c r="N1272" t="s">
        <v>1</v>
      </c>
      <c r="O1272">
        <v>144004</v>
      </c>
      <c r="P1272" t="s">
        <v>546</v>
      </c>
      <c r="Q1272" t="s">
        <v>1754</v>
      </c>
      <c r="S1272">
        <v>102.336</v>
      </c>
      <c r="T1272">
        <v>4</v>
      </c>
      <c r="U1272">
        <v>0.2</v>
      </c>
      <c r="V1272">
        <v>-12.792</v>
      </c>
      <c r="W1272">
        <f t="shared" si="79"/>
        <v>28.782</v>
      </c>
      <c r="X1272">
        <v>5</v>
      </c>
    </row>
    <row r="1273" spans="1:24" x14ac:dyDescent="0.3">
      <c r="A1273">
        <v>1272</v>
      </c>
      <c r="B1273" t="s">
        <v>3034</v>
      </c>
      <c r="C1273" s="6">
        <v>45468</v>
      </c>
      <c r="D1273" t="str">
        <f t="shared" si="76"/>
        <v>Jun</v>
      </c>
      <c r="E1273" t="str">
        <f t="shared" si="77"/>
        <v>2024</v>
      </c>
      <c r="F1273" t="s">
        <v>4</v>
      </c>
      <c r="G1273" t="s">
        <v>266</v>
      </c>
      <c r="H1273" t="s">
        <v>1270</v>
      </c>
      <c r="I1273">
        <v>140</v>
      </c>
      <c r="J1273">
        <v>18</v>
      </c>
      <c r="K1273">
        <f t="shared" si="78"/>
        <v>12.857142857142856</v>
      </c>
      <c r="L1273" t="s">
        <v>1741</v>
      </c>
      <c r="M1273" t="s">
        <v>3908</v>
      </c>
      <c r="N1273" t="s">
        <v>1</v>
      </c>
      <c r="O1273">
        <v>400071</v>
      </c>
      <c r="P1273" t="s">
        <v>546</v>
      </c>
      <c r="Q1273" t="s">
        <v>1759</v>
      </c>
      <c r="R1273" t="s">
        <v>2</v>
      </c>
      <c r="S1273">
        <v>48.792000000000002</v>
      </c>
      <c r="T1273">
        <v>3</v>
      </c>
      <c r="U1273">
        <v>0.8</v>
      </c>
      <c r="V1273">
        <v>-126.8592</v>
      </c>
      <c r="W1273">
        <f t="shared" si="79"/>
        <v>58.550400000000003</v>
      </c>
      <c r="X1273">
        <v>3</v>
      </c>
    </row>
    <row r="1274" spans="1:24" x14ac:dyDescent="0.3">
      <c r="A1274">
        <v>1273</v>
      </c>
      <c r="B1274" t="s">
        <v>3035</v>
      </c>
      <c r="C1274" s="6">
        <v>45469</v>
      </c>
      <c r="D1274" t="str">
        <f t="shared" si="76"/>
        <v>Jun</v>
      </c>
      <c r="E1274" t="str">
        <f t="shared" si="77"/>
        <v>2024</v>
      </c>
      <c r="F1274" t="s">
        <v>4</v>
      </c>
      <c r="G1274" t="s">
        <v>266</v>
      </c>
      <c r="H1274" t="s">
        <v>1459</v>
      </c>
      <c r="I1274">
        <v>100</v>
      </c>
      <c r="J1274">
        <v>30</v>
      </c>
      <c r="K1274">
        <f t="shared" si="78"/>
        <v>30</v>
      </c>
      <c r="L1274" t="s">
        <v>1736</v>
      </c>
      <c r="M1274" t="s">
        <v>3909</v>
      </c>
      <c r="N1274" t="s">
        <v>1</v>
      </c>
      <c r="O1274">
        <v>500070</v>
      </c>
      <c r="P1274" t="s">
        <v>546</v>
      </c>
      <c r="Q1274" t="s">
        <v>1766</v>
      </c>
      <c r="R1274" t="s">
        <v>2</v>
      </c>
      <c r="S1274">
        <v>44.847999999999999</v>
      </c>
      <c r="T1274">
        <v>8</v>
      </c>
      <c r="U1274">
        <v>0.8</v>
      </c>
      <c r="V1274">
        <v>-67.272000000000006</v>
      </c>
      <c r="W1274">
        <f t="shared" si="79"/>
        <v>14.015000000000001</v>
      </c>
      <c r="X1274">
        <v>1</v>
      </c>
    </row>
    <row r="1275" spans="1:24" x14ac:dyDescent="0.3">
      <c r="A1275">
        <v>1274</v>
      </c>
      <c r="B1275" t="s">
        <v>1906</v>
      </c>
      <c r="C1275" s="6">
        <v>45470</v>
      </c>
      <c r="D1275" t="str">
        <f t="shared" si="76"/>
        <v>Jun</v>
      </c>
      <c r="E1275" t="str">
        <f t="shared" si="77"/>
        <v>2024</v>
      </c>
      <c r="F1275" t="s">
        <v>6</v>
      </c>
      <c r="G1275" t="s">
        <v>391</v>
      </c>
      <c r="H1275" t="s">
        <v>1294</v>
      </c>
      <c r="I1275">
        <v>110</v>
      </c>
      <c r="J1275">
        <v>10</v>
      </c>
      <c r="K1275">
        <f t="shared" si="78"/>
        <v>9.0909090909090917</v>
      </c>
      <c r="L1275" t="s">
        <v>1744</v>
      </c>
      <c r="M1275" t="s">
        <v>3585</v>
      </c>
      <c r="N1275" t="s">
        <v>1</v>
      </c>
      <c r="O1275">
        <v>500070</v>
      </c>
      <c r="P1275" t="s">
        <v>546</v>
      </c>
      <c r="Q1275" t="s">
        <v>1774</v>
      </c>
      <c r="R1275" t="s">
        <v>2</v>
      </c>
      <c r="S1275">
        <v>10.368</v>
      </c>
      <c r="T1275">
        <v>2</v>
      </c>
      <c r="U1275">
        <v>0.2</v>
      </c>
      <c r="V1275">
        <v>3.6288</v>
      </c>
      <c r="W1275">
        <f t="shared" si="79"/>
        <v>3.3696000000000002</v>
      </c>
      <c r="X1275">
        <v>5</v>
      </c>
    </row>
    <row r="1276" spans="1:24" x14ac:dyDescent="0.3">
      <c r="A1276">
        <v>1275</v>
      </c>
      <c r="B1276" t="s">
        <v>3036</v>
      </c>
      <c r="C1276" s="6">
        <v>45471</v>
      </c>
      <c r="D1276" t="str">
        <f t="shared" si="76"/>
        <v>Jun</v>
      </c>
      <c r="E1276" t="str">
        <f t="shared" si="77"/>
        <v>2024</v>
      </c>
      <c r="F1276" t="s">
        <v>6</v>
      </c>
      <c r="G1276" t="s">
        <v>391</v>
      </c>
      <c r="H1276" t="s">
        <v>1460</v>
      </c>
      <c r="I1276">
        <v>120</v>
      </c>
      <c r="J1276">
        <v>8</v>
      </c>
      <c r="K1276">
        <f t="shared" si="78"/>
        <v>6.666666666666667</v>
      </c>
      <c r="L1276" t="s">
        <v>1740</v>
      </c>
      <c r="M1276" t="s">
        <v>3733</v>
      </c>
      <c r="N1276" t="s">
        <v>1</v>
      </c>
      <c r="O1276">
        <v>400708</v>
      </c>
      <c r="P1276" t="s">
        <v>546</v>
      </c>
      <c r="Q1276" t="s">
        <v>1759</v>
      </c>
      <c r="S1276">
        <v>388.43</v>
      </c>
      <c r="T1276">
        <v>5</v>
      </c>
      <c r="U1276">
        <v>0.3</v>
      </c>
      <c r="V1276">
        <v>-88.784000000000006</v>
      </c>
      <c r="W1276">
        <f t="shared" si="79"/>
        <v>95.442800000000005</v>
      </c>
      <c r="X1276">
        <v>1</v>
      </c>
    </row>
    <row r="1277" spans="1:24" x14ac:dyDescent="0.3">
      <c r="A1277">
        <v>1276</v>
      </c>
      <c r="B1277" t="s">
        <v>3037</v>
      </c>
      <c r="C1277" s="6">
        <v>45472</v>
      </c>
      <c r="D1277" t="str">
        <f t="shared" si="76"/>
        <v>Jun</v>
      </c>
      <c r="E1277" t="str">
        <f t="shared" si="77"/>
        <v>2024</v>
      </c>
      <c r="F1277" t="s">
        <v>6</v>
      </c>
      <c r="G1277" t="s">
        <v>391</v>
      </c>
      <c r="H1277" t="s">
        <v>646</v>
      </c>
      <c r="I1277">
        <v>220</v>
      </c>
      <c r="J1277">
        <v>30</v>
      </c>
      <c r="K1277">
        <f t="shared" si="78"/>
        <v>13.636363636363635</v>
      </c>
      <c r="L1277" t="s">
        <v>1742</v>
      </c>
      <c r="M1277" t="s">
        <v>3910</v>
      </c>
      <c r="N1277" t="s">
        <v>1</v>
      </c>
      <c r="O1277">
        <v>560084</v>
      </c>
      <c r="P1277" t="s">
        <v>546</v>
      </c>
      <c r="Q1277" t="s">
        <v>1769</v>
      </c>
      <c r="S1277">
        <v>14.352</v>
      </c>
      <c r="T1277">
        <v>3</v>
      </c>
      <c r="U1277">
        <v>0.2</v>
      </c>
      <c r="V1277">
        <v>5.2026000000000003</v>
      </c>
      <c r="W1277">
        <f t="shared" si="79"/>
        <v>3.0497999999999998</v>
      </c>
      <c r="X1277">
        <v>3</v>
      </c>
    </row>
    <row r="1278" spans="1:24" x14ac:dyDescent="0.3">
      <c r="A1278">
        <v>1277</v>
      </c>
      <c r="B1278" t="s">
        <v>3038</v>
      </c>
      <c r="C1278" s="6">
        <v>45473</v>
      </c>
      <c r="D1278" t="str">
        <f t="shared" si="76"/>
        <v>Jun</v>
      </c>
      <c r="E1278" t="str">
        <f t="shared" si="77"/>
        <v>2024</v>
      </c>
      <c r="F1278" t="s">
        <v>6</v>
      </c>
      <c r="G1278" t="s">
        <v>391</v>
      </c>
      <c r="H1278" t="s">
        <v>1461</v>
      </c>
      <c r="I1278">
        <v>190</v>
      </c>
      <c r="J1278">
        <v>24</v>
      </c>
      <c r="K1278">
        <f t="shared" si="78"/>
        <v>12.631578947368421</v>
      </c>
      <c r="L1278" t="s">
        <v>1739</v>
      </c>
      <c r="M1278" t="s">
        <v>3657</v>
      </c>
      <c r="N1278" t="s">
        <v>1</v>
      </c>
      <c r="O1278">
        <v>562107</v>
      </c>
      <c r="P1278" t="s">
        <v>546</v>
      </c>
      <c r="Q1278" t="s">
        <v>1765</v>
      </c>
      <c r="S1278">
        <v>63.991999999999997</v>
      </c>
      <c r="T1278">
        <v>1</v>
      </c>
      <c r="U1278">
        <v>0.2</v>
      </c>
      <c r="V1278">
        <v>-7.1990999999999996</v>
      </c>
      <c r="W1278">
        <f t="shared" si="79"/>
        <v>71.191099999999992</v>
      </c>
      <c r="X1278">
        <v>2</v>
      </c>
    </row>
    <row r="1279" spans="1:24" x14ac:dyDescent="0.3">
      <c r="A1279">
        <v>1278</v>
      </c>
      <c r="B1279" t="s">
        <v>3039</v>
      </c>
      <c r="C1279" s="6">
        <v>45474</v>
      </c>
      <c r="D1279" t="str">
        <f t="shared" si="76"/>
        <v>Jul</v>
      </c>
      <c r="E1279" t="str">
        <f t="shared" si="77"/>
        <v>2024</v>
      </c>
      <c r="F1279" t="s">
        <v>4</v>
      </c>
      <c r="G1279" t="s">
        <v>427</v>
      </c>
      <c r="H1279" t="s">
        <v>1462</v>
      </c>
      <c r="I1279">
        <v>120</v>
      </c>
      <c r="J1279">
        <v>24</v>
      </c>
      <c r="K1279">
        <f t="shared" si="78"/>
        <v>20</v>
      </c>
      <c r="L1279" t="s">
        <v>1738</v>
      </c>
      <c r="M1279" t="s">
        <v>3817</v>
      </c>
      <c r="N1279" t="s">
        <v>1</v>
      </c>
      <c r="O1279">
        <v>400701</v>
      </c>
      <c r="P1279" t="s">
        <v>546</v>
      </c>
      <c r="Q1279" t="s">
        <v>1776</v>
      </c>
      <c r="S1279">
        <v>86.352000000000004</v>
      </c>
      <c r="T1279">
        <v>3</v>
      </c>
      <c r="U1279">
        <v>0.2</v>
      </c>
      <c r="V1279">
        <v>5.3970000000000002</v>
      </c>
      <c r="W1279">
        <f t="shared" si="79"/>
        <v>26.984999999999999</v>
      </c>
      <c r="X1279">
        <v>5</v>
      </c>
    </row>
    <row r="1280" spans="1:24" x14ac:dyDescent="0.3">
      <c r="A1280">
        <v>1279</v>
      </c>
      <c r="B1280" t="s">
        <v>3040</v>
      </c>
      <c r="C1280" s="6">
        <v>45475</v>
      </c>
      <c r="D1280" t="str">
        <f t="shared" si="76"/>
        <v>Jul</v>
      </c>
      <c r="E1280" t="str">
        <f t="shared" si="77"/>
        <v>2024</v>
      </c>
      <c r="F1280" t="s">
        <v>5</v>
      </c>
      <c r="G1280" t="s">
        <v>353</v>
      </c>
      <c r="H1280" t="s">
        <v>1463</v>
      </c>
      <c r="I1280">
        <v>210</v>
      </c>
      <c r="J1280">
        <v>10</v>
      </c>
      <c r="K1280">
        <f t="shared" si="78"/>
        <v>4.7619047619047619</v>
      </c>
      <c r="L1280" t="s">
        <v>1737</v>
      </c>
      <c r="M1280" t="s">
        <v>3911</v>
      </c>
      <c r="N1280" t="s">
        <v>1</v>
      </c>
      <c r="O1280">
        <v>500092</v>
      </c>
      <c r="P1280" t="s">
        <v>546</v>
      </c>
      <c r="Q1280" t="s">
        <v>1759</v>
      </c>
      <c r="S1280">
        <v>32.97</v>
      </c>
      <c r="T1280">
        <v>3</v>
      </c>
      <c r="U1280">
        <v>0.1</v>
      </c>
      <c r="V1280">
        <v>12.8583</v>
      </c>
      <c r="W1280">
        <f t="shared" si="79"/>
        <v>6.7039</v>
      </c>
      <c r="X1280">
        <v>2</v>
      </c>
    </row>
    <row r="1281" spans="1:24" x14ac:dyDescent="0.3">
      <c r="A1281">
        <v>1280</v>
      </c>
      <c r="B1281" t="s">
        <v>3041</v>
      </c>
      <c r="C1281" s="6">
        <v>45476</v>
      </c>
      <c r="D1281" t="str">
        <f t="shared" si="76"/>
        <v>Jul</v>
      </c>
      <c r="E1281" t="str">
        <f t="shared" si="77"/>
        <v>2024</v>
      </c>
      <c r="F1281" t="s">
        <v>5</v>
      </c>
      <c r="G1281" t="s">
        <v>353</v>
      </c>
      <c r="H1281" t="s">
        <v>1464</v>
      </c>
      <c r="I1281">
        <v>170</v>
      </c>
      <c r="J1281">
        <v>8</v>
      </c>
      <c r="K1281">
        <f t="shared" si="78"/>
        <v>4.7058823529411766</v>
      </c>
      <c r="L1281" t="s">
        <v>1743</v>
      </c>
      <c r="M1281" t="s">
        <v>3912</v>
      </c>
      <c r="N1281" t="s">
        <v>1</v>
      </c>
      <c r="O1281">
        <v>534202</v>
      </c>
      <c r="P1281" t="s">
        <v>546</v>
      </c>
      <c r="Q1281" t="s">
        <v>1755</v>
      </c>
      <c r="S1281">
        <v>83.88</v>
      </c>
      <c r="T1281">
        <v>4</v>
      </c>
      <c r="U1281">
        <v>0.1</v>
      </c>
      <c r="V1281">
        <v>30.1968</v>
      </c>
      <c r="W1281">
        <f t="shared" si="79"/>
        <v>13.4208</v>
      </c>
      <c r="X1281">
        <v>1</v>
      </c>
    </row>
    <row r="1282" spans="1:24" x14ac:dyDescent="0.3">
      <c r="A1282">
        <v>1281</v>
      </c>
      <c r="B1282" t="s">
        <v>3042</v>
      </c>
      <c r="C1282" s="6">
        <v>45477</v>
      </c>
      <c r="D1282" t="str">
        <f t="shared" si="76"/>
        <v>Jul</v>
      </c>
      <c r="E1282" t="str">
        <f t="shared" si="77"/>
        <v>2024</v>
      </c>
      <c r="F1282" t="s">
        <v>5</v>
      </c>
      <c r="G1282" t="s">
        <v>316</v>
      </c>
      <c r="H1282" t="s">
        <v>1465</v>
      </c>
      <c r="I1282">
        <v>170</v>
      </c>
      <c r="J1282">
        <v>12</v>
      </c>
      <c r="K1282">
        <f t="shared" si="78"/>
        <v>7.0588235294117645</v>
      </c>
      <c r="L1282" t="s">
        <v>1738</v>
      </c>
      <c r="M1282" t="s">
        <v>3662</v>
      </c>
      <c r="N1282" t="s">
        <v>1</v>
      </c>
      <c r="O1282">
        <v>391410</v>
      </c>
      <c r="P1282" t="s">
        <v>546</v>
      </c>
      <c r="Q1282" t="s">
        <v>1758</v>
      </c>
      <c r="S1282">
        <v>278.39999999999998</v>
      </c>
      <c r="T1282">
        <v>3</v>
      </c>
      <c r="U1282">
        <v>0.1</v>
      </c>
      <c r="V1282">
        <v>80.736000000000004</v>
      </c>
      <c r="W1282">
        <f t="shared" si="79"/>
        <v>65.887999999999991</v>
      </c>
      <c r="X1282">
        <v>2</v>
      </c>
    </row>
    <row r="1283" spans="1:24" x14ac:dyDescent="0.3">
      <c r="A1283">
        <v>1282</v>
      </c>
      <c r="B1283" t="s">
        <v>2530</v>
      </c>
      <c r="C1283" s="6">
        <v>45478</v>
      </c>
      <c r="D1283" t="str">
        <f t="shared" ref="D1283:D1346" si="80">TEXT(C1283,"Mmm")</f>
        <v>Jul</v>
      </c>
      <c r="E1283" t="str">
        <f t="shared" ref="E1283:E1346" si="81">TEXT(C1283,"YYYY")</f>
        <v>2024</v>
      </c>
      <c r="F1283" t="s">
        <v>5</v>
      </c>
      <c r="G1283" t="s">
        <v>200</v>
      </c>
      <c r="H1283" t="s">
        <v>1466</v>
      </c>
      <c r="I1283">
        <v>130</v>
      </c>
      <c r="J1283">
        <v>16</v>
      </c>
      <c r="K1283">
        <f t="shared" ref="K1283:K1346" si="82">(J1283/I1283)*100</f>
        <v>12.307692307692308</v>
      </c>
      <c r="L1283" t="s">
        <v>1739</v>
      </c>
      <c r="M1283" t="s">
        <v>3617</v>
      </c>
      <c r="N1283" t="s">
        <v>1</v>
      </c>
      <c r="O1283">
        <v>391410</v>
      </c>
      <c r="P1283" t="s">
        <v>546</v>
      </c>
      <c r="Q1283" t="s">
        <v>1760</v>
      </c>
      <c r="R1283" t="s">
        <v>2</v>
      </c>
      <c r="S1283">
        <v>15.12</v>
      </c>
      <c r="T1283">
        <v>3</v>
      </c>
      <c r="U1283">
        <v>0.2</v>
      </c>
      <c r="V1283">
        <v>4.9139999999999997</v>
      </c>
      <c r="W1283">
        <f t="shared" ref="W1283:W1346" si="83">(S1283-V1283)/T1283</f>
        <v>3.4019999999999997</v>
      </c>
      <c r="X1283">
        <v>2</v>
      </c>
    </row>
    <row r="1284" spans="1:24" x14ac:dyDescent="0.3">
      <c r="A1284">
        <v>1283</v>
      </c>
      <c r="B1284" t="s">
        <v>3043</v>
      </c>
      <c r="C1284" s="6">
        <v>45479</v>
      </c>
      <c r="D1284" t="str">
        <f t="shared" si="80"/>
        <v>Jul</v>
      </c>
      <c r="E1284" t="str">
        <f t="shared" si="81"/>
        <v>2024</v>
      </c>
      <c r="F1284" t="s">
        <v>5</v>
      </c>
      <c r="G1284" t="s">
        <v>200</v>
      </c>
      <c r="H1284" t="s">
        <v>1467</v>
      </c>
      <c r="I1284">
        <v>190</v>
      </c>
      <c r="J1284">
        <v>22</v>
      </c>
      <c r="K1284">
        <f t="shared" si="82"/>
        <v>11.578947368421053</v>
      </c>
      <c r="L1284" t="s">
        <v>1741</v>
      </c>
      <c r="M1284" t="s">
        <v>3820</v>
      </c>
      <c r="N1284" t="s">
        <v>1</v>
      </c>
      <c r="O1284">
        <v>700038</v>
      </c>
      <c r="P1284" t="s">
        <v>546</v>
      </c>
      <c r="Q1284" t="s">
        <v>1761</v>
      </c>
      <c r="S1284">
        <v>17.43</v>
      </c>
      <c r="T1284">
        <v>1</v>
      </c>
      <c r="U1284">
        <v>0.7</v>
      </c>
      <c r="V1284">
        <v>-13.363</v>
      </c>
      <c r="W1284">
        <f t="shared" si="83"/>
        <v>30.792999999999999</v>
      </c>
      <c r="X1284">
        <v>4</v>
      </c>
    </row>
    <row r="1285" spans="1:24" x14ac:dyDescent="0.3">
      <c r="A1285">
        <v>1284</v>
      </c>
      <c r="B1285" t="s">
        <v>3044</v>
      </c>
      <c r="C1285" s="6">
        <v>45480</v>
      </c>
      <c r="D1285" t="str">
        <f t="shared" si="80"/>
        <v>Jul</v>
      </c>
      <c r="E1285" t="str">
        <f t="shared" si="81"/>
        <v>2024</v>
      </c>
      <c r="F1285" t="s">
        <v>5</v>
      </c>
      <c r="G1285" t="s">
        <v>200</v>
      </c>
      <c r="H1285" t="s">
        <v>1468</v>
      </c>
      <c r="I1285">
        <v>210</v>
      </c>
      <c r="J1285">
        <v>28</v>
      </c>
      <c r="K1285">
        <f t="shared" si="82"/>
        <v>13.333333333333334</v>
      </c>
      <c r="L1285" t="s">
        <v>1736</v>
      </c>
      <c r="M1285" t="s">
        <v>3821</v>
      </c>
      <c r="N1285" t="s">
        <v>1</v>
      </c>
      <c r="O1285">
        <v>752104</v>
      </c>
      <c r="P1285" t="s">
        <v>546</v>
      </c>
      <c r="Q1285" t="s">
        <v>1774</v>
      </c>
      <c r="S1285">
        <v>251.64</v>
      </c>
      <c r="T1285">
        <v>3</v>
      </c>
      <c r="U1285">
        <v>0.2</v>
      </c>
      <c r="V1285">
        <v>88.073999999999998</v>
      </c>
      <c r="W1285">
        <f t="shared" si="83"/>
        <v>54.521999999999991</v>
      </c>
      <c r="X1285">
        <v>2</v>
      </c>
    </row>
    <row r="1286" spans="1:24" x14ac:dyDescent="0.3">
      <c r="A1286">
        <v>1285</v>
      </c>
      <c r="B1286" t="s">
        <v>3045</v>
      </c>
      <c r="C1286" s="6">
        <v>45481</v>
      </c>
      <c r="D1286" t="str">
        <f t="shared" si="80"/>
        <v>Jul</v>
      </c>
      <c r="E1286" t="str">
        <f t="shared" si="81"/>
        <v>2024</v>
      </c>
      <c r="F1286" t="s">
        <v>4</v>
      </c>
      <c r="G1286" t="s">
        <v>154</v>
      </c>
      <c r="H1286" t="s">
        <v>1469</v>
      </c>
      <c r="I1286">
        <v>220</v>
      </c>
      <c r="J1286">
        <v>28</v>
      </c>
      <c r="K1286">
        <f t="shared" si="82"/>
        <v>12.727272727272727</v>
      </c>
      <c r="L1286" t="s">
        <v>1744</v>
      </c>
      <c r="M1286" t="s">
        <v>3822</v>
      </c>
      <c r="O1286">
        <v>160059</v>
      </c>
      <c r="P1286" t="s">
        <v>546</v>
      </c>
      <c r="Q1286" t="s">
        <v>1769</v>
      </c>
      <c r="S1286">
        <v>2.7719999999999998</v>
      </c>
      <c r="T1286">
        <v>7</v>
      </c>
      <c r="U1286">
        <v>0.8</v>
      </c>
      <c r="V1286">
        <v>-4.851</v>
      </c>
      <c r="W1286">
        <f t="shared" si="83"/>
        <v>1.089</v>
      </c>
      <c r="X1286">
        <v>3</v>
      </c>
    </row>
    <row r="1287" spans="1:24" x14ac:dyDescent="0.3">
      <c r="A1287">
        <v>1286</v>
      </c>
      <c r="B1287" t="s">
        <v>3046</v>
      </c>
      <c r="C1287" s="6">
        <v>45482</v>
      </c>
      <c r="D1287" t="str">
        <f t="shared" si="80"/>
        <v>Jul</v>
      </c>
      <c r="E1287" t="str">
        <f t="shared" si="81"/>
        <v>2024</v>
      </c>
      <c r="F1287" t="s">
        <v>4</v>
      </c>
      <c r="G1287" t="s">
        <v>428</v>
      </c>
      <c r="H1287" t="s">
        <v>930</v>
      </c>
      <c r="I1287">
        <v>150</v>
      </c>
      <c r="J1287">
        <v>16</v>
      </c>
      <c r="K1287">
        <f t="shared" si="82"/>
        <v>10.666666666666668</v>
      </c>
      <c r="L1287" t="s">
        <v>1740</v>
      </c>
      <c r="M1287" t="s">
        <v>3823</v>
      </c>
      <c r="N1287" t="s">
        <v>1</v>
      </c>
      <c r="O1287">
        <v>390021</v>
      </c>
      <c r="P1287" t="s">
        <v>546</v>
      </c>
      <c r="Q1287" t="s">
        <v>1765</v>
      </c>
      <c r="S1287">
        <v>14.9</v>
      </c>
      <c r="T1287">
        <v>5</v>
      </c>
      <c r="U1287">
        <v>0.1</v>
      </c>
      <c r="V1287">
        <v>1.0429999999999999</v>
      </c>
      <c r="W1287">
        <f t="shared" si="83"/>
        <v>2.7714000000000003</v>
      </c>
      <c r="X1287">
        <v>2</v>
      </c>
    </row>
    <row r="1288" spans="1:24" x14ac:dyDescent="0.3">
      <c r="A1288">
        <v>1287</v>
      </c>
      <c r="B1288" t="s">
        <v>3047</v>
      </c>
      <c r="C1288" s="6">
        <v>45483</v>
      </c>
      <c r="D1288" t="str">
        <f t="shared" si="80"/>
        <v>Jul</v>
      </c>
      <c r="E1288" t="str">
        <f t="shared" si="81"/>
        <v>2024</v>
      </c>
      <c r="F1288" t="s">
        <v>4</v>
      </c>
      <c r="G1288" t="s">
        <v>64</v>
      </c>
      <c r="H1288" t="s">
        <v>1470</v>
      </c>
      <c r="I1288">
        <v>220</v>
      </c>
      <c r="J1288">
        <v>16</v>
      </c>
      <c r="K1288">
        <f t="shared" si="82"/>
        <v>7.2727272727272725</v>
      </c>
      <c r="L1288" t="s">
        <v>1742</v>
      </c>
      <c r="M1288" t="s">
        <v>3687</v>
      </c>
      <c r="N1288" t="s">
        <v>1</v>
      </c>
      <c r="O1288">
        <v>560086</v>
      </c>
      <c r="P1288" t="s">
        <v>546</v>
      </c>
      <c r="Q1288" t="s">
        <v>1755</v>
      </c>
      <c r="S1288">
        <v>15.48</v>
      </c>
      <c r="T1288">
        <v>3</v>
      </c>
      <c r="U1288">
        <v>0.1</v>
      </c>
      <c r="V1288">
        <v>4.4892000000000003</v>
      </c>
      <c r="W1288">
        <f t="shared" si="83"/>
        <v>3.6636000000000002</v>
      </c>
      <c r="X1288">
        <v>4</v>
      </c>
    </row>
    <row r="1289" spans="1:24" x14ac:dyDescent="0.3">
      <c r="A1289">
        <v>1288</v>
      </c>
      <c r="B1289" t="s">
        <v>2819</v>
      </c>
      <c r="C1289" s="6">
        <v>45484</v>
      </c>
      <c r="D1289" t="str">
        <f t="shared" si="80"/>
        <v>Jul</v>
      </c>
      <c r="E1289" t="str">
        <f t="shared" si="81"/>
        <v>2024</v>
      </c>
      <c r="F1289" t="s">
        <v>4</v>
      </c>
      <c r="G1289" t="s">
        <v>429</v>
      </c>
      <c r="H1289" t="s">
        <v>610</v>
      </c>
      <c r="I1289">
        <v>120</v>
      </c>
      <c r="J1289">
        <v>12</v>
      </c>
      <c r="K1289">
        <f t="shared" si="82"/>
        <v>10</v>
      </c>
      <c r="L1289" t="s">
        <v>1739</v>
      </c>
      <c r="M1289" t="s">
        <v>3608</v>
      </c>
      <c r="N1289" t="s">
        <v>1</v>
      </c>
      <c r="O1289">
        <v>226001</v>
      </c>
      <c r="P1289" t="s">
        <v>546</v>
      </c>
      <c r="Q1289" t="s">
        <v>1770</v>
      </c>
      <c r="S1289">
        <v>39.880000000000003</v>
      </c>
      <c r="T1289">
        <v>2</v>
      </c>
      <c r="U1289">
        <v>0.1</v>
      </c>
      <c r="V1289">
        <v>11.166399999999999</v>
      </c>
      <c r="W1289">
        <f t="shared" si="83"/>
        <v>14.356800000000002</v>
      </c>
      <c r="X1289">
        <v>2</v>
      </c>
    </row>
    <row r="1290" spans="1:24" x14ac:dyDescent="0.3">
      <c r="A1290">
        <v>1289</v>
      </c>
      <c r="B1290" t="s">
        <v>3048</v>
      </c>
      <c r="C1290" s="6">
        <v>45485</v>
      </c>
      <c r="D1290" t="str">
        <f t="shared" si="80"/>
        <v>Jul</v>
      </c>
      <c r="E1290" t="str">
        <f t="shared" si="81"/>
        <v>2024</v>
      </c>
      <c r="F1290" t="s">
        <v>4</v>
      </c>
      <c r="G1290" t="s">
        <v>429</v>
      </c>
      <c r="H1290" t="s">
        <v>1083</v>
      </c>
      <c r="I1290">
        <v>220</v>
      </c>
      <c r="J1290">
        <v>28</v>
      </c>
      <c r="K1290">
        <f t="shared" si="82"/>
        <v>12.727272727272727</v>
      </c>
      <c r="L1290" t="s">
        <v>1738</v>
      </c>
      <c r="M1290" t="s">
        <v>3786</v>
      </c>
      <c r="N1290" t="s">
        <v>1</v>
      </c>
      <c r="O1290">
        <v>212201</v>
      </c>
      <c r="P1290" t="s">
        <v>546</v>
      </c>
      <c r="Q1290" t="s">
        <v>1759</v>
      </c>
      <c r="S1290">
        <v>12.192</v>
      </c>
      <c r="T1290">
        <v>4</v>
      </c>
      <c r="U1290">
        <v>0.2</v>
      </c>
      <c r="V1290">
        <v>4.1147999999999998</v>
      </c>
      <c r="W1290">
        <f t="shared" si="83"/>
        <v>2.0193000000000003</v>
      </c>
      <c r="X1290">
        <v>5</v>
      </c>
    </row>
    <row r="1291" spans="1:24" x14ac:dyDescent="0.3">
      <c r="A1291">
        <v>1290</v>
      </c>
      <c r="B1291" t="s">
        <v>3049</v>
      </c>
      <c r="C1291" s="6">
        <v>45486</v>
      </c>
      <c r="D1291" t="str">
        <f t="shared" si="80"/>
        <v>Jul</v>
      </c>
      <c r="E1291" t="str">
        <f t="shared" si="81"/>
        <v>2024</v>
      </c>
      <c r="F1291" t="s">
        <v>4</v>
      </c>
      <c r="G1291" t="s">
        <v>429</v>
      </c>
      <c r="H1291" t="s">
        <v>1471</v>
      </c>
      <c r="I1291">
        <v>250</v>
      </c>
      <c r="J1291">
        <v>20</v>
      </c>
      <c r="K1291">
        <f t="shared" si="82"/>
        <v>8</v>
      </c>
      <c r="L1291" t="s">
        <v>1743</v>
      </c>
      <c r="M1291" t="s">
        <v>3690</v>
      </c>
      <c r="N1291" t="s">
        <v>1</v>
      </c>
      <c r="O1291">
        <v>560093</v>
      </c>
      <c r="P1291" t="s">
        <v>546</v>
      </c>
      <c r="Q1291" t="s">
        <v>1760</v>
      </c>
      <c r="S1291">
        <v>20.82</v>
      </c>
      <c r="T1291">
        <v>3</v>
      </c>
      <c r="U1291">
        <v>0.1</v>
      </c>
      <c r="V1291">
        <v>7.4951999999999996</v>
      </c>
      <c r="W1291">
        <f t="shared" si="83"/>
        <v>4.4416000000000002</v>
      </c>
      <c r="X1291">
        <v>5</v>
      </c>
    </row>
    <row r="1292" spans="1:24" x14ac:dyDescent="0.3">
      <c r="A1292">
        <v>1291</v>
      </c>
      <c r="B1292" t="s">
        <v>3050</v>
      </c>
      <c r="C1292" s="6">
        <v>45487</v>
      </c>
      <c r="D1292" t="str">
        <f t="shared" si="80"/>
        <v>Jul</v>
      </c>
      <c r="E1292" t="str">
        <f t="shared" si="81"/>
        <v>2024</v>
      </c>
      <c r="F1292" t="s">
        <v>5</v>
      </c>
      <c r="G1292" t="s">
        <v>261</v>
      </c>
      <c r="H1292" t="s">
        <v>1472</v>
      </c>
      <c r="I1292">
        <v>160</v>
      </c>
      <c r="J1292">
        <v>26</v>
      </c>
      <c r="K1292">
        <f t="shared" si="82"/>
        <v>16.25</v>
      </c>
      <c r="L1292" t="s">
        <v>1737</v>
      </c>
      <c r="M1292" t="s">
        <v>3824</v>
      </c>
      <c r="N1292" t="s">
        <v>1</v>
      </c>
      <c r="O1292">
        <v>411019</v>
      </c>
      <c r="P1292" t="s">
        <v>546</v>
      </c>
      <c r="Q1292" t="s">
        <v>1772</v>
      </c>
      <c r="S1292">
        <v>13.215999999999999</v>
      </c>
      <c r="T1292">
        <v>4</v>
      </c>
      <c r="U1292">
        <v>0.2</v>
      </c>
      <c r="V1292">
        <v>4.4603999999999999</v>
      </c>
      <c r="W1292">
        <f t="shared" si="83"/>
        <v>2.1888999999999998</v>
      </c>
      <c r="X1292">
        <v>3</v>
      </c>
    </row>
    <row r="1293" spans="1:24" x14ac:dyDescent="0.3">
      <c r="A1293">
        <v>1292</v>
      </c>
      <c r="B1293" t="s">
        <v>3051</v>
      </c>
      <c r="C1293" s="6">
        <v>45488</v>
      </c>
      <c r="D1293" t="str">
        <f t="shared" si="80"/>
        <v>Jul</v>
      </c>
      <c r="E1293" t="str">
        <f t="shared" si="81"/>
        <v>2024</v>
      </c>
      <c r="F1293" t="s">
        <v>5</v>
      </c>
      <c r="G1293" t="s">
        <v>261</v>
      </c>
      <c r="H1293" t="s">
        <v>1407</v>
      </c>
      <c r="I1293">
        <v>140</v>
      </c>
      <c r="J1293">
        <v>22</v>
      </c>
      <c r="K1293">
        <f t="shared" si="82"/>
        <v>15.714285714285714</v>
      </c>
      <c r="L1293" t="s">
        <v>1741</v>
      </c>
      <c r="M1293" t="s">
        <v>3825</v>
      </c>
      <c r="N1293" t="s">
        <v>1</v>
      </c>
      <c r="O1293">
        <v>411036</v>
      </c>
      <c r="P1293" t="s">
        <v>546</v>
      </c>
      <c r="Q1293" t="s">
        <v>1761</v>
      </c>
      <c r="R1293" t="s">
        <v>2</v>
      </c>
      <c r="S1293">
        <v>32.4</v>
      </c>
      <c r="T1293">
        <v>5</v>
      </c>
      <c r="U1293">
        <v>0.1</v>
      </c>
      <c r="V1293">
        <v>15.552</v>
      </c>
      <c r="W1293">
        <f t="shared" si="83"/>
        <v>3.3695999999999997</v>
      </c>
      <c r="X1293">
        <v>5</v>
      </c>
    </row>
    <row r="1294" spans="1:24" x14ac:dyDescent="0.3">
      <c r="A1294">
        <v>1293</v>
      </c>
      <c r="B1294" t="s">
        <v>3052</v>
      </c>
      <c r="C1294" s="6">
        <v>45489</v>
      </c>
      <c r="D1294" t="str">
        <f t="shared" si="80"/>
        <v>Jul</v>
      </c>
      <c r="E1294" t="str">
        <f t="shared" si="81"/>
        <v>2024</v>
      </c>
      <c r="F1294" t="s">
        <v>4</v>
      </c>
      <c r="G1294" t="s">
        <v>65</v>
      </c>
      <c r="H1294" t="s">
        <v>680</v>
      </c>
      <c r="I1294">
        <v>100</v>
      </c>
      <c r="J1294">
        <v>10</v>
      </c>
      <c r="K1294">
        <f t="shared" si="82"/>
        <v>10</v>
      </c>
      <c r="L1294" t="s">
        <v>1736</v>
      </c>
      <c r="M1294" t="s">
        <v>3644</v>
      </c>
      <c r="N1294" t="s">
        <v>1</v>
      </c>
      <c r="O1294">
        <v>411036</v>
      </c>
      <c r="P1294" t="s">
        <v>546</v>
      </c>
      <c r="Q1294" t="s">
        <v>1759</v>
      </c>
      <c r="S1294">
        <v>32.94</v>
      </c>
      <c r="T1294">
        <v>3</v>
      </c>
      <c r="U1294">
        <v>0.1</v>
      </c>
      <c r="V1294">
        <v>9.2232000000000003</v>
      </c>
      <c r="W1294">
        <f t="shared" si="83"/>
        <v>7.9055999999999997</v>
      </c>
      <c r="X1294">
        <v>4</v>
      </c>
    </row>
    <row r="1295" spans="1:24" x14ac:dyDescent="0.3">
      <c r="A1295">
        <v>1294</v>
      </c>
      <c r="B1295" t="s">
        <v>3053</v>
      </c>
      <c r="C1295" s="6">
        <v>45490</v>
      </c>
      <c r="D1295" t="str">
        <f t="shared" si="80"/>
        <v>Jul</v>
      </c>
      <c r="E1295" t="str">
        <f t="shared" si="81"/>
        <v>2024</v>
      </c>
      <c r="F1295" t="s">
        <v>4</v>
      </c>
      <c r="G1295" t="s">
        <v>65</v>
      </c>
      <c r="H1295" t="s">
        <v>1473</v>
      </c>
      <c r="I1295">
        <v>190</v>
      </c>
      <c r="J1295">
        <v>26</v>
      </c>
      <c r="K1295">
        <f t="shared" si="82"/>
        <v>13.684210526315791</v>
      </c>
      <c r="L1295" t="s">
        <v>1744</v>
      </c>
      <c r="M1295" t="s">
        <v>3826</v>
      </c>
      <c r="N1295" t="s">
        <v>1</v>
      </c>
      <c r="O1295">
        <v>411036</v>
      </c>
      <c r="P1295" t="s">
        <v>546</v>
      </c>
      <c r="Q1295" t="s">
        <v>1765</v>
      </c>
      <c r="S1295">
        <v>114.2</v>
      </c>
      <c r="T1295">
        <v>5</v>
      </c>
      <c r="U1295">
        <v>0.1</v>
      </c>
      <c r="V1295">
        <v>52.531999999999996</v>
      </c>
      <c r="W1295">
        <f t="shared" si="83"/>
        <v>12.333600000000001</v>
      </c>
      <c r="X1295">
        <v>1</v>
      </c>
    </row>
    <row r="1296" spans="1:24" x14ac:dyDescent="0.3">
      <c r="A1296">
        <v>1295</v>
      </c>
      <c r="B1296" t="s">
        <v>3054</v>
      </c>
      <c r="C1296" s="6">
        <v>45491</v>
      </c>
      <c r="D1296" t="str">
        <f t="shared" si="80"/>
        <v>Jul</v>
      </c>
      <c r="E1296" t="str">
        <f t="shared" si="81"/>
        <v>2024</v>
      </c>
      <c r="F1296" t="s">
        <v>4</v>
      </c>
      <c r="G1296" t="s">
        <v>65</v>
      </c>
      <c r="H1296" t="s">
        <v>632</v>
      </c>
      <c r="I1296">
        <v>150</v>
      </c>
      <c r="J1296">
        <v>24</v>
      </c>
      <c r="K1296">
        <f t="shared" si="82"/>
        <v>16</v>
      </c>
      <c r="L1296" t="s">
        <v>1740</v>
      </c>
      <c r="M1296" t="s">
        <v>3827</v>
      </c>
      <c r="N1296" t="s">
        <v>1</v>
      </c>
      <c r="O1296">
        <v>456006</v>
      </c>
      <c r="P1296" t="s">
        <v>546</v>
      </c>
      <c r="Q1296" t="s">
        <v>1768</v>
      </c>
      <c r="S1296">
        <v>3.08</v>
      </c>
      <c r="T1296">
        <v>1</v>
      </c>
      <c r="U1296">
        <v>0.1</v>
      </c>
      <c r="V1296">
        <v>1.4783999999999999</v>
      </c>
      <c r="W1296">
        <f t="shared" si="83"/>
        <v>1.6016000000000001</v>
      </c>
      <c r="X1296">
        <v>5</v>
      </c>
    </row>
    <row r="1297" spans="1:24" x14ac:dyDescent="0.3">
      <c r="A1297">
        <v>1296</v>
      </c>
      <c r="B1297" t="s">
        <v>3055</v>
      </c>
      <c r="C1297" s="6">
        <v>45492</v>
      </c>
      <c r="D1297" t="str">
        <f t="shared" si="80"/>
        <v>Jul</v>
      </c>
      <c r="E1297" t="str">
        <f t="shared" si="81"/>
        <v>2024</v>
      </c>
      <c r="F1297" t="s">
        <v>4</v>
      </c>
      <c r="G1297" t="s">
        <v>430</v>
      </c>
      <c r="H1297" t="s">
        <v>1270</v>
      </c>
      <c r="I1297">
        <v>100</v>
      </c>
      <c r="J1297">
        <v>6</v>
      </c>
      <c r="K1297">
        <f t="shared" si="82"/>
        <v>6</v>
      </c>
      <c r="L1297" t="s">
        <v>1742</v>
      </c>
      <c r="M1297" t="s">
        <v>3656</v>
      </c>
      <c r="N1297" t="s">
        <v>1</v>
      </c>
      <c r="O1297">
        <v>181123</v>
      </c>
      <c r="P1297" t="s">
        <v>546</v>
      </c>
      <c r="Q1297" t="s">
        <v>1755</v>
      </c>
      <c r="S1297">
        <v>845.72799999999995</v>
      </c>
      <c r="T1297">
        <v>13</v>
      </c>
      <c r="U1297">
        <v>0.2</v>
      </c>
      <c r="V1297">
        <v>84.572800000000001</v>
      </c>
      <c r="W1297">
        <f t="shared" si="83"/>
        <v>58.550399999999996</v>
      </c>
      <c r="X1297">
        <v>3</v>
      </c>
    </row>
    <row r="1298" spans="1:24" x14ac:dyDescent="0.3">
      <c r="A1298">
        <v>1297</v>
      </c>
      <c r="B1298" t="s">
        <v>3056</v>
      </c>
      <c r="C1298" s="6">
        <v>45493</v>
      </c>
      <c r="D1298" t="str">
        <f t="shared" si="80"/>
        <v>Jul</v>
      </c>
      <c r="E1298" t="str">
        <f t="shared" si="81"/>
        <v>2024</v>
      </c>
      <c r="F1298" t="s">
        <v>4</v>
      </c>
      <c r="G1298" t="s">
        <v>431</v>
      </c>
      <c r="H1298" t="s">
        <v>1077</v>
      </c>
      <c r="I1298">
        <v>170</v>
      </c>
      <c r="J1298">
        <v>16</v>
      </c>
      <c r="K1298">
        <f t="shared" si="82"/>
        <v>9.4117647058823533</v>
      </c>
      <c r="L1298" t="s">
        <v>1739</v>
      </c>
      <c r="M1298" t="s">
        <v>3657</v>
      </c>
      <c r="N1298" t="s">
        <v>1</v>
      </c>
      <c r="O1298">
        <v>585401</v>
      </c>
      <c r="P1298" t="s">
        <v>546</v>
      </c>
      <c r="Q1298" t="s">
        <v>1760</v>
      </c>
      <c r="R1298" t="s">
        <v>2</v>
      </c>
      <c r="S1298">
        <v>13.904</v>
      </c>
      <c r="T1298">
        <v>2</v>
      </c>
      <c r="U1298">
        <v>0.2</v>
      </c>
      <c r="V1298">
        <v>4.5187999999999997</v>
      </c>
      <c r="W1298">
        <f t="shared" si="83"/>
        <v>4.6926000000000005</v>
      </c>
      <c r="X1298">
        <v>2</v>
      </c>
    </row>
    <row r="1299" spans="1:24" x14ac:dyDescent="0.3">
      <c r="A1299">
        <v>1298</v>
      </c>
      <c r="B1299" t="s">
        <v>3057</v>
      </c>
      <c r="C1299" s="6">
        <v>45494</v>
      </c>
      <c r="D1299" t="str">
        <f t="shared" si="80"/>
        <v>Jul</v>
      </c>
      <c r="E1299" t="str">
        <f t="shared" si="81"/>
        <v>2024</v>
      </c>
      <c r="F1299" t="s">
        <v>4</v>
      </c>
      <c r="G1299" t="s">
        <v>431</v>
      </c>
      <c r="H1299" t="s">
        <v>1116</v>
      </c>
      <c r="I1299">
        <v>130</v>
      </c>
      <c r="J1299">
        <v>30</v>
      </c>
      <c r="K1299">
        <f t="shared" si="82"/>
        <v>23.076923076923077</v>
      </c>
      <c r="L1299" t="s">
        <v>1738</v>
      </c>
      <c r="M1299" t="s">
        <v>3778</v>
      </c>
      <c r="N1299" t="s">
        <v>1</v>
      </c>
      <c r="O1299">
        <v>389151</v>
      </c>
      <c r="P1299" t="s">
        <v>546</v>
      </c>
      <c r="Q1299" t="s">
        <v>1767</v>
      </c>
      <c r="S1299">
        <v>20.72</v>
      </c>
      <c r="T1299">
        <v>2</v>
      </c>
      <c r="U1299">
        <v>0.2</v>
      </c>
      <c r="V1299">
        <v>6.4749999999999996</v>
      </c>
      <c r="W1299">
        <f t="shared" si="83"/>
        <v>7.1224999999999996</v>
      </c>
      <c r="X1299">
        <v>3</v>
      </c>
    </row>
    <row r="1300" spans="1:24" x14ac:dyDescent="0.3">
      <c r="A1300">
        <v>1299</v>
      </c>
      <c r="B1300" t="s">
        <v>3058</v>
      </c>
      <c r="C1300" s="6">
        <v>45495</v>
      </c>
      <c r="D1300" t="str">
        <f t="shared" si="80"/>
        <v>Jul</v>
      </c>
      <c r="E1300" t="str">
        <f t="shared" si="81"/>
        <v>2024</v>
      </c>
      <c r="F1300" t="s">
        <v>3</v>
      </c>
      <c r="G1300" t="s">
        <v>432</v>
      </c>
      <c r="H1300" t="s">
        <v>1008</v>
      </c>
      <c r="I1300">
        <v>200</v>
      </c>
      <c r="J1300">
        <v>30</v>
      </c>
      <c r="K1300">
        <f t="shared" si="82"/>
        <v>15</v>
      </c>
      <c r="L1300" t="s">
        <v>1737</v>
      </c>
      <c r="M1300" t="s">
        <v>3828</v>
      </c>
      <c r="N1300" t="s">
        <v>1</v>
      </c>
      <c r="O1300">
        <v>452001</v>
      </c>
      <c r="P1300" t="s">
        <v>546</v>
      </c>
      <c r="Q1300" t="s">
        <v>1763</v>
      </c>
      <c r="S1300">
        <v>114.95</v>
      </c>
      <c r="T1300">
        <v>5</v>
      </c>
      <c r="U1300">
        <v>0.1</v>
      </c>
      <c r="V1300">
        <v>2.2989999999999999</v>
      </c>
      <c r="W1300">
        <f t="shared" si="83"/>
        <v>22.530200000000001</v>
      </c>
      <c r="X1300">
        <v>1</v>
      </c>
    </row>
    <row r="1301" spans="1:24" x14ac:dyDescent="0.3">
      <c r="A1301">
        <v>1300</v>
      </c>
      <c r="B1301" t="s">
        <v>3059</v>
      </c>
      <c r="C1301" s="6">
        <v>45496</v>
      </c>
      <c r="D1301" t="str">
        <f t="shared" si="80"/>
        <v>Jul</v>
      </c>
      <c r="E1301" t="str">
        <f t="shared" si="81"/>
        <v>2024</v>
      </c>
      <c r="F1301" t="s">
        <v>5</v>
      </c>
      <c r="G1301" t="s">
        <v>404</v>
      </c>
      <c r="H1301" t="s">
        <v>693</v>
      </c>
      <c r="I1301">
        <v>120</v>
      </c>
      <c r="J1301">
        <v>16</v>
      </c>
      <c r="K1301">
        <f t="shared" si="82"/>
        <v>13.333333333333334</v>
      </c>
      <c r="L1301" t="s">
        <v>1743</v>
      </c>
      <c r="M1301" t="s">
        <v>3829</v>
      </c>
      <c r="N1301" t="s">
        <v>1</v>
      </c>
      <c r="O1301">
        <v>250001</v>
      </c>
      <c r="P1301" t="s">
        <v>546</v>
      </c>
      <c r="Q1301" t="s">
        <v>1759</v>
      </c>
      <c r="S1301">
        <v>26.96</v>
      </c>
      <c r="T1301">
        <v>2</v>
      </c>
      <c r="U1301">
        <v>0.1</v>
      </c>
      <c r="V1301">
        <v>7.0095999999999998</v>
      </c>
      <c r="W1301">
        <f t="shared" si="83"/>
        <v>9.975200000000001</v>
      </c>
      <c r="X1301">
        <v>4</v>
      </c>
    </row>
    <row r="1302" spans="1:24" x14ac:dyDescent="0.3">
      <c r="A1302">
        <v>1301</v>
      </c>
      <c r="B1302" t="s">
        <v>3060</v>
      </c>
      <c r="C1302" s="6">
        <v>45497</v>
      </c>
      <c r="D1302" t="str">
        <f t="shared" si="80"/>
        <v>Jul</v>
      </c>
      <c r="E1302" t="str">
        <f t="shared" si="81"/>
        <v>2024</v>
      </c>
      <c r="F1302" t="s">
        <v>3</v>
      </c>
      <c r="G1302" t="s">
        <v>102</v>
      </c>
      <c r="H1302" t="s">
        <v>582</v>
      </c>
      <c r="I1302">
        <v>170</v>
      </c>
      <c r="J1302">
        <v>16</v>
      </c>
      <c r="K1302">
        <f t="shared" si="82"/>
        <v>9.4117647058823533</v>
      </c>
      <c r="L1302" t="s">
        <v>1738</v>
      </c>
      <c r="M1302" t="s">
        <v>3788</v>
      </c>
      <c r="N1302" t="s">
        <v>1</v>
      </c>
      <c r="O1302">
        <v>403707</v>
      </c>
      <c r="P1302" t="s">
        <v>546</v>
      </c>
      <c r="Q1302" t="s">
        <v>1766</v>
      </c>
      <c r="S1302">
        <v>572.76</v>
      </c>
      <c r="T1302">
        <v>6</v>
      </c>
      <c r="U1302">
        <v>0.1</v>
      </c>
      <c r="V1302">
        <v>166.10040000000001</v>
      </c>
      <c r="W1302">
        <f t="shared" si="83"/>
        <v>67.776599999999988</v>
      </c>
      <c r="X1302">
        <v>5</v>
      </c>
    </row>
    <row r="1303" spans="1:24" x14ac:dyDescent="0.3">
      <c r="A1303">
        <v>1302</v>
      </c>
      <c r="B1303" t="s">
        <v>3061</v>
      </c>
      <c r="C1303" s="6">
        <v>45498</v>
      </c>
      <c r="D1303" t="str">
        <f t="shared" si="80"/>
        <v>Jul</v>
      </c>
      <c r="E1303" t="str">
        <f t="shared" si="81"/>
        <v>2024</v>
      </c>
      <c r="F1303" t="s">
        <v>3</v>
      </c>
      <c r="G1303" t="s">
        <v>102</v>
      </c>
      <c r="H1303" t="s">
        <v>582</v>
      </c>
      <c r="I1303">
        <v>220</v>
      </c>
      <c r="J1303">
        <v>6</v>
      </c>
      <c r="K1303">
        <f t="shared" si="82"/>
        <v>2.7272727272727271</v>
      </c>
      <c r="L1303" t="s">
        <v>1739</v>
      </c>
      <c r="M1303" t="s">
        <v>3721</v>
      </c>
      <c r="N1303" t="s">
        <v>1</v>
      </c>
      <c r="O1303">
        <v>530052</v>
      </c>
      <c r="P1303" t="s">
        <v>546</v>
      </c>
      <c r="Q1303" t="s">
        <v>1774</v>
      </c>
      <c r="S1303">
        <v>286.38</v>
      </c>
      <c r="T1303">
        <v>3</v>
      </c>
      <c r="U1303">
        <v>0.1</v>
      </c>
      <c r="V1303">
        <v>83.050200000000004</v>
      </c>
      <c r="W1303">
        <f t="shared" si="83"/>
        <v>67.776599999999988</v>
      </c>
      <c r="X1303">
        <v>1</v>
      </c>
    </row>
    <row r="1304" spans="1:24" x14ac:dyDescent="0.3">
      <c r="A1304">
        <v>1303</v>
      </c>
      <c r="B1304" t="s">
        <v>3062</v>
      </c>
      <c r="C1304" s="6">
        <v>45499</v>
      </c>
      <c r="D1304" t="str">
        <f t="shared" si="80"/>
        <v>Jul</v>
      </c>
      <c r="E1304" t="str">
        <f t="shared" si="81"/>
        <v>2024</v>
      </c>
      <c r="F1304" t="s">
        <v>3</v>
      </c>
      <c r="G1304" t="s">
        <v>433</v>
      </c>
      <c r="H1304" t="s">
        <v>1474</v>
      </c>
      <c r="I1304">
        <v>230</v>
      </c>
      <c r="J1304">
        <v>6</v>
      </c>
      <c r="K1304">
        <f t="shared" si="82"/>
        <v>2.6086956521739131</v>
      </c>
      <c r="L1304" t="s">
        <v>1741</v>
      </c>
      <c r="M1304" t="s">
        <v>3781</v>
      </c>
      <c r="N1304" t="s">
        <v>1</v>
      </c>
      <c r="O1304">
        <v>110076</v>
      </c>
      <c r="P1304" t="s">
        <v>546</v>
      </c>
      <c r="Q1304" t="s">
        <v>1759</v>
      </c>
      <c r="S1304">
        <v>61.96</v>
      </c>
      <c r="T1304">
        <v>2</v>
      </c>
      <c r="U1304">
        <v>0.1</v>
      </c>
      <c r="V1304">
        <v>4.3372000000000002</v>
      </c>
      <c r="W1304">
        <f t="shared" si="83"/>
        <v>28.811399999999999</v>
      </c>
      <c r="X1304">
        <v>2</v>
      </c>
    </row>
    <row r="1305" spans="1:24" x14ac:dyDescent="0.3">
      <c r="A1305">
        <v>1304</v>
      </c>
      <c r="B1305" t="s">
        <v>3063</v>
      </c>
      <c r="C1305" s="6">
        <v>45500</v>
      </c>
      <c r="D1305" t="str">
        <f t="shared" si="80"/>
        <v>Jul</v>
      </c>
      <c r="E1305" t="str">
        <f t="shared" si="81"/>
        <v>2024</v>
      </c>
      <c r="F1305" t="s">
        <v>4</v>
      </c>
      <c r="G1305" t="s">
        <v>434</v>
      </c>
      <c r="H1305" t="s">
        <v>1475</v>
      </c>
      <c r="I1305">
        <v>110</v>
      </c>
      <c r="J1305">
        <v>22</v>
      </c>
      <c r="K1305">
        <f t="shared" si="82"/>
        <v>20</v>
      </c>
      <c r="L1305" t="s">
        <v>1736</v>
      </c>
      <c r="M1305" t="s">
        <v>3673</v>
      </c>
      <c r="N1305" t="s">
        <v>1</v>
      </c>
      <c r="O1305">
        <v>522006</v>
      </c>
      <c r="P1305" t="s">
        <v>546</v>
      </c>
      <c r="Q1305" t="s">
        <v>1764</v>
      </c>
      <c r="S1305">
        <v>23.99</v>
      </c>
      <c r="T1305">
        <v>1</v>
      </c>
      <c r="U1305">
        <v>0.1</v>
      </c>
      <c r="V1305">
        <v>5.5176999999999996</v>
      </c>
      <c r="W1305">
        <f t="shared" si="83"/>
        <v>18.472299999999997</v>
      </c>
      <c r="X1305">
        <v>3</v>
      </c>
    </row>
    <row r="1306" spans="1:24" x14ac:dyDescent="0.3">
      <c r="A1306">
        <v>1305</v>
      </c>
      <c r="B1306" t="s">
        <v>3064</v>
      </c>
      <c r="C1306" s="6">
        <v>45501</v>
      </c>
      <c r="D1306" t="str">
        <f t="shared" si="80"/>
        <v>Jul</v>
      </c>
      <c r="E1306" t="str">
        <f t="shared" si="81"/>
        <v>2024</v>
      </c>
      <c r="F1306" t="s">
        <v>4</v>
      </c>
      <c r="G1306" t="s">
        <v>434</v>
      </c>
      <c r="H1306" t="s">
        <v>1211</v>
      </c>
      <c r="I1306">
        <v>150</v>
      </c>
      <c r="J1306">
        <v>22</v>
      </c>
      <c r="K1306">
        <f t="shared" si="82"/>
        <v>14.666666666666666</v>
      </c>
      <c r="L1306" t="s">
        <v>1744</v>
      </c>
      <c r="M1306" t="s">
        <v>3585</v>
      </c>
      <c r="N1306" t="s">
        <v>1</v>
      </c>
      <c r="O1306">
        <v>690533</v>
      </c>
      <c r="P1306" t="s">
        <v>546</v>
      </c>
      <c r="Q1306" t="s">
        <v>1770</v>
      </c>
      <c r="R1306" t="s">
        <v>2</v>
      </c>
      <c r="S1306">
        <v>287.97000000000003</v>
      </c>
      <c r="T1306">
        <v>3</v>
      </c>
      <c r="U1306">
        <v>0.1</v>
      </c>
      <c r="V1306">
        <v>77.751900000000006</v>
      </c>
      <c r="W1306">
        <f t="shared" si="83"/>
        <v>70.072700000000012</v>
      </c>
      <c r="X1306">
        <v>3</v>
      </c>
    </row>
    <row r="1307" spans="1:24" x14ac:dyDescent="0.3">
      <c r="A1307">
        <v>1306</v>
      </c>
      <c r="B1307" t="s">
        <v>3065</v>
      </c>
      <c r="C1307" s="6">
        <v>45502</v>
      </c>
      <c r="D1307" t="str">
        <f t="shared" si="80"/>
        <v>Jul</v>
      </c>
      <c r="E1307" t="str">
        <f t="shared" si="81"/>
        <v>2024</v>
      </c>
      <c r="F1307" t="s">
        <v>3</v>
      </c>
      <c r="G1307" t="s">
        <v>305</v>
      </c>
      <c r="H1307" t="s">
        <v>1476</v>
      </c>
      <c r="I1307">
        <v>170</v>
      </c>
      <c r="J1307">
        <v>20</v>
      </c>
      <c r="K1307">
        <f t="shared" si="82"/>
        <v>11.76470588235294</v>
      </c>
      <c r="L1307" t="s">
        <v>1740</v>
      </c>
      <c r="M1307" t="s">
        <v>3830</v>
      </c>
      <c r="N1307" t="s">
        <v>1</v>
      </c>
      <c r="O1307">
        <v>212201</v>
      </c>
      <c r="P1307" t="s">
        <v>546</v>
      </c>
      <c r="Q1307" t="s">
        <v>1768</v>
      </c>
      <c r="S1307">
        <v>419.94400000000002</v>
      </c>
      <c r="T1307">
        <v>7</v>
      </c>
      <c r="U1307">
        <v>0.2</v>
      </c>
      <c r="V1307">
        <v>52.493000000000002</v>
      </c>
      <c r="W1307">
        <f t="shared" si="83"/>
        <v>52.493000000000002</v>
      </c>
      <c r="X1307">
        <v>5</v>
      </c>
    </row>
    <row r="1308" spans="1:24" x14ac:dyDescent="0.3">
      <c r="A1308">
        <v>1307</v>
      </c>
      <c r="B1308" t="s">
        <v>3066</v>
      </c>
      <c r="C1308" s="6">
        <v>45503</v>
      </c>
      <c r="D1308" t="str">
        <f t="shared" si="80"/>
        <v>Jul</v>
      </c>
      <c r="E1308" t="str">
        <f t="shared" si="81"/>
        <v>2024</v>
      </c>
      <c r="F1308" t="s">
        <v>5</v>
      </c>
      <c r="G1308" t="s">
        <v>123</v>
      </c>
      <c r="H1308" t="s">
        <v>1028</v>
      </c>
      <c r="I1308">
        <v>240</v>
      </c>
      <c r="J1308">
        <v>24</v>
      </c>
      <c r="K1308">
        <f t="shared" si="82"/>
        <v>10</v>
      </c>
      <c r="L1308" t="s">
        <v>1742</v>
      </c>
      <c r="M1308" t="s">
        <v>3696</v>
      </c>
      <c r="N1308" t="s">
        <v>1</v>
      </c>
      <c r="O1308">
        <v>410208</v>
      </c>
      <c r="P1308" t="s">
        <v>546</v>
      </c>
      <c r="Q1308" t="s">
        <v>1761</v>
      </c>
      <c r="S1308">
        <v>46.76</v>
      </c>
      <c r="T1308">
        <v>7</v>
      </c>
      <c r="U1308">
        <v>0.1</v>
      </c>
      <c r="V1308">
        <v>22.444800000000001</v>
      </c>
      <c r="W1308">
        <f t="shared" si="83"/>
        <v>3.4735999999999998</v>
      </c>
      <c r="X1308">
        <v>1</v>
      </c>
    </row>
    <row r="1309" spans="1:24" x14ac:dyDescent="0.3">
      <c r="A1309">
        <v>1308</v>
      </c>
      <c r="B1309" t="s">
        <v>3067</v>
      </c>
      <c r="C1309" s="6">
        <v>45504</v>
      </c>
      <c r="D1309" t="str">
        <f t="shared" si="80"/>
        <v>Jul</v>
      </c>
      <c r="E1309" t="str">
        <f t="shared" si="81"/>
        <v>2024</v>
      </c>
      <c r="F1309" t="s">
        <v>5</v>
      </c>
      <c r="G1309" t="s">
        <v>123</v>
      </c>
      <c r="H1309" t="s">
        <v>1324</v>
      </c>
      <c r="I1309">
        <v>120</v>
      </c>
      <c r="J1309">
        <v>8</v>
      </c>
      <c r="K1309">
        <f t="shared" si="82"/>
        <v>6.666666666666667</v>
      </c>
      <c r="L1309" t="s">
        <v>1739</v>
      </c>
      <c r="M1309" t="s">
        <v>3668</v>
      </c>
      <c r="O1309">
        <v>600011</v>
      </c>
      <c r="P1309" t="s">
        <v>546</v>
      </c>
      <c r="Q1309" t="s">
        <v>1775</v>
      </c>
      <c r="S1309">
        <v>17.712</v>
      </c>
      <c r="T1309">
        <v>3</v>
      </c>
      <c r="U1309">
        <v>0.2</v>
      </c>
      <c r="V1309">
        <v>6.4206000000000003</v>
      </c>
      <c r="W1309">
        <f t="shared" si="83"/>
        <v>3.7637999999999998</v>
      </c>
      <c r="X1309">
        <v>4</v>
      </c>
    </row>
    <row r="1310" spans="1:24" x14ac:dyDescent="0.3">
      <c r="A1310">
        <v>1309</v>
      </c>
      <c r="B1310" t="s">
        <v>3068</v>
      </c>
      <c r="C1310" s="6">
        <v>45505</v>
      </c>
      <c r="D1310" t="str">
        <f t="shared" si="80"/>
        <v>Aug</v>
      </c>
      <c r="E1310" t="str">
        <f t="shared" si="81"/>
        <v>2024</v>
      </c>
      <c r="F1310" t="s">
        <v>5</v>
      </c>
      <c r="G1310" t="s">
        <v>123</v>
      </c>
      <c r="H1310" t="s">
        <v>1477</v>
      </c>
      <c r="I1310">
        <v>130</v>
      </c>
      <c r="J1310">
        <v>28</v>
      </c>
      <c r="K1310">
        <f t="shared" si="82"/>
        <v>21.53846153846154</v>
      </c>
      <c r="L1310" t="s">
        <v>1738</v>
      </c>
      <c r="M1310" t="s">
        <v>3812</v>
      </c>
      <c r="N1310" t="s">
        <v>1</v>
      </c>
      <c r="O1310">
        <v>531027</v>
      </c>
      <c r="P1310" t="s">
        <v>546</v>
      </c>
      <c r="Q1310" t="s">
        <v>1768</v>
      </c>
      <c r="S1310">
        <v>21.78</v>
      </c>
      <c r="T1310">
        <v>2</v>
      </c>
      <c r="U1310">
        <v>0.1</v>
      </c>
      <c r="V1310">
        <v>5.6627999999999998</v>
      </c>
      <c r="W1310">
        <f t="shared" si="83"/>
        <v>8.0586000000000002</v>
      </c>
      <c r="X1310">
        <v>3</v>
      </c>
    </row>
    <row r="1311" spans="1:24" x14ac:dyDescent="0.3">
      <c r="A1311">
        <v>1310</v>
      </c>
      <c r="B1311" t="s">
        <v>3069</v>
      </c>
      <c r="C1311" s="6">
        <v>45506</v>
      </c>
      <c r="D1311" t="str">
        <f t="shared" si="80"/>
        <v>Aug</v>
      </c>
      <c r="E1311" t="str">
        <f t="shared" si="81"/>
        <v>2024</v>
      </c>
      <c r="F1311" t="s">
        <v>5</v>
      </c>
      <c r="G1311" t="s">
        <v>123</v>
      </c>
      <c r="H1311" t="s">
        <v>945</v>
      </c>
      <c r="I1311">
        <v>160</v>
      </c>
      <c r="J1311">
        <v>26</v>
      </c>
      <c r="K1311">
        <f t="shared" si="82"/>
        <v>16.25</v>
      </c>
      <c r="L1311" t="s">
        <v>1743</v>
      </c>
      <c r="M1311" t="s">
        <v>3831</v>
      </c>
      <c r="N1311" t="s">
        <v>1</v>
      </c>
      <c r="O1311">
        <v>500062</v>
      </c>
      <c r="P1311" t="s">
        <v>546</v>
      </c>
      <c r="Q1311" t="s">
        <v>1772</v>
      </c>
      <c r="S1311">
        <v>161.94</v>
      </c>
      <c r="T1311">
        <v>3</v>
      </c>
      <c r="U1311">
        <v>0.1</v>
      </c>
      <c r="V1311">
        <v>9.7164000000000001</v>
      </c>
      <c r="W1311">
        <f t="shared" si="83"/>
        <v>50.741199999999999</v>
      </c>
      <c r="X1311">
        <v>4</v>
      </c>
    </row>
    <row r="1312" spans="1:24" x14ac:dyDescent="0.3">
      <c r="A1312">
        <v>1311</v>
      </c>
      <c r="B1312" t="s">
        <v>3070</v>
      </c>
      <c r="C1312" s="6">
        <v>45507</v>
      </c>
      <c r="D1312" t="str">
        <f t="shared" si="80"/>
        <v>Aug</v>
      </c>
      <c r="E1312" t="str">
        <f t="shared" si="81"/>
        <v>2024</v>
      </c>
      <c r="F1312" t="s">
        <v>5</v>
      </c>
      <c r="G1312" t="s">
        <v>123</v>
      </c>
      <c r="H1312" t="s">
        <v>1478</v>
      </c>
      <c r="I1312">
        <v>190</v>
      </c>
      <c r="J1312">
        <v>14</v>
      </c>
      <c r="K1312">
        <f t="shared" si="82"/>
        <v>7.3684210526315779</v>
      </c>
      <c r="L1312" t="s">
        <v>1737</v>
      </c>
      <c r="M1312" t="s">
        <v>3802</v>
      </c>
      <c r="N1312" t="s">
        <v>1</v>
      </c>
      <c r="O1312">
        <v>751003</v>
      </c>
      <c r="P1312" t="s">
        <v>546</v>
      </c>
      <c r="Q1312" t="s">
        <v>1772</v>
      </c>
      <c r="S1312">
        <v>161.56800000000001</v>
      </c>
      <c r="T1312">
        <v>2</v>
      </c>
      <c r="U1312">
        <v>0.2</v>
      </c>
      <c r="V1312">
        <v>-8.0784000000000002</v>
      </c>
      <c r="W1312">
        <f t="shared" si="83"/>
        <v>84.8232</v>
      </c>
      <c r="X1312">
        <v>4</v>
      </c>
    </row>
    <row r="1313" spans="1:24" x14ac:dyDescent="0.3">
      <c r="A1313">
        <v>1312</v>
      </c>
      <c r="B1313" t="s">
        <v>3071</v>
      </c>
      <c r="C1313" s="6">
        <v>45508</v>
      </c>
      <c r="D1313" t="str">
        <f t="shared" si="80"/>
        <v>Aug</v>
      </c>
      <c r="E1313" t="str">
        <f t="shared" si="81"/>
        <v>2024</v>
      </c>
      <c r="F1313" t="s">
        <v>4</v>
      </c>
      <c r="G1313" t="s">
        <v>255</v>
      </c>
      <c r="H1313" t="s">
        <v>1479</v>
      </c>
      <c r="I1313">
        <v>190</v>
      </c>
      <c r="J1313">
        <v>24</v>
      </c>
      <c r="K1313">
        <f t="shared" si="82"/>
        <v>12.631578947368421</v>
      </c>
      <c r="L1313" t="s">
        <v>1741</v>
      </c>
      <c r="M1313" t="s">
        <v>3815</v>
      </c>
      <c r="N1313" t="s">
        <v>1</v>
      </c>
      <c r="O1313">
        <v>515425</v>
      </c>
      <c r="P1313" t="s">
        <v>546</v>
      </c>
      <c r="Q1313" t="s">
        <v>1776</v>
      </c>
      <c r="S1313">
        <v>3.69</v>
      </c>
      <c r="T1313">
        <v>1</v>
      </c>
      <c r="U1313">
        <v>0.1</v>
      </c>
      <c r="V1313">
        <v>1.7343</v>
      </c>
      <c r="W1313">
        <f t="shared" si="83"/>
        <v>1.9557</v>
      </c>
      <c r="X1313">
        <v>5</v>
      </c>
    </row>
    <row r="1314" spans="1:24" x14ac:dyDescent="0.3">
      <c r="A1314">
        <v>1313</v>
      </c>
      <c r="B1314" t="s">
        <v>3072</v>
      </c>
      <c r="C1314" s="6">
        <v>45509</v>
      </c>
      <c r="D1314" t="str">
        <f t="shared" si="80"/>
        <v>Aug</v>
      </c>
      <c r="E1314" t="str">
        <f t="shared" si="81"/>
        <v>2024</v>
      </c>
      <c r="F1314" t="s">
        <v>4</v>
      </c>
      <c r="G1314" t="s">
        <v>255</v>
      </c>
      <c r="H1314" t="s">
        <v>1480</v>
      </c>
      <c r="I1314">
        <v>160</v>
      </c>
      <c r="J1314">
        <v>26</v>
      </c>
      <c r="K1314">
        <f t="shared" si="82"/>
        <v>16.25</v>
      </c>
      <c r="L1314" t="s">
        <v>1736</v>
      </c>
      <c r="M1314" t="s">
        <v>3653</v>
      </c>
      <c r="N1314" t="s">
        <v>1</v>
      </c>
      <c r="O1314">
        <v>400023</v>
      </c>
      <c r="P1314" t="s">
        <v>546</v>
      </c>
      <c r="Q1314" t="s">
        <v>1775</v>
      </c>
      <c r="S1314">
        <v>122.12</v>
      </c>
      <c r="T1314">
        <v>4</v>
      </c>
      <c r="U1314">
        <v>0.1</v>
      </c>
      <c r="V1314">
        <v>56.175199999999997</v>
      </c>
      <c r="W1314">
        <f t="shared" si="83"/>
        <v>16.486200000000004</v>
      </c>
      <c r="X1314">
        <v>1</v>
      </c>
    </row>
    <row r="1315" spans="1:24" x14ac:dyDescent="0.3">
      <c r="A1315">
        <v>1314</v>
      </c>
      <c r="B1315" t="s">
        <v>3073</v>
      </c>
      <c r="C1315" s="6">
        <v>45510</v>
      </c>
      <c r="D1315" t="str">
        <f t="shared" si="80"/>
        <v>Aug</v>
      </c>
      <c r="E1315" t="str">
        <f t="shared" si="81"/>
        <v>2024</v>
      </c>
      <c r="F1315" t="s">
        <v>4</v>
      </c>
      <c r="G1315" t="s">
        <v>14</v>
      </c>
      <c r="H1315" t="s">
        <v>1184</v>
      </c>
      <c r="I1315">
        <v>230</v>
      </c>
      <c r="J1315">
        <v>12</v>
      </c>
      <c r="K1315">
        <f t="shared" si="82"/>
        <v>5.2173913043478262</v>
      </c>
      <c r="L1315" t="s">
        <v>1744</v>
      </c>
      <c r="M1315" t="s">
        <v>3832</v>
      </c>
      <c r="N1315" t="s">
        <v>1</v>
      </c>
      <c r="O1315">
        <v>570022</v>
      </c>
      <c r="P1315" t="s">
        <v>546</v>
      </c>
      <c r="Q1315" t="s">
        <v>1774</v>
      </c>
      <c r="S1315">
        <v>155.37200000000001</v>
      </c>
      <c r="T1315">
        <v>2</v>
      </c>
      <c r="U1315">
        <v>0.3</v>
      </c>
      <c r="V1315">
        <v>-13.317600000000001</v>
      </c>
      <c r="W1315">
        <f t="shared" si="83"/>
        <v>84.344800000000006</v>
      </c>
      <c r="X1315">
        <v>5</v>
      </c>
    </row>
    <row r="1316" spans="1:24" x14ac:dyDescent="0.3">
      <c r="A1316">
        <v>1315</v>
      </c>
      <c r="B1316" t="s">
        <v>3074</v>
      </c>
      <c r="C1316" s="6">
        <v>45511</v>
      </c>
      <c r="D1316" t="str">
        <f t="shared" si="80"/>
        <v>Aug</v>
      </c>
      <c r="E1316" t="str">
        <f t="shared" si="81"/>
        <v>2024</v>
      </c>
      <c r="F1316" t="s">
        <v>4</v>
      </c>
      <c r="G1316" t="s">
        <v>435</v>
      </c>
      <c r="H1316" t="s">
        <v>1481</v>
      </c>
      <c r="I1316">
        <v>200</v>
      </c>
      <c r="J1316">
        <v>20</v>
      </c>
      <c r="K1316">
        <f t="shared" si="82"/>
        <v>10</v>
      </c>
      <c r="L1316" t="s">
        <v>1740</v>
      </c>
      <c r="M1316" t="s">
        <v>3733</v>
      </c>
      <c r="N1316" t="s">
        <v>1</v>
      </c>
      <c r="O1316">
        <v>201304</v>
      </c>
      <c r="P1316" t="s">
        <v>546</v>
      </c>
      <c r="Q1316" t="s">
        <v>1760</v>
      </c>
      <c r="S1316">
        <v>38.880000000000003</v>
      </c>
      <c r="T1316">
        <v>6</v>
      </c>
      <c r="U1316">
        <v>0.1</v>
      </c>
      <c r="V1316">
        <v>18.662400000000002</v>
      </c>
      <c r="W1316">
        <f t="shared" si="83"/>
        <v>3.3696000000000002</v>
      </c>
      <c r="X1316">
        <v>1</v>
      </c>
    </row>
    <row r="1317" spans="1:24" x14ac:dyDescent="0.3">
      <c r="A1317">
        <v>1316</v>
      </c>
      <c r="B1317" t="s">
        <v>3075</v>
      </c>
      <c r="C1317" s="6">
        <v>45512</v>
      </c>
      <c r="D1317" t="str">
        <f t="shared" si="80"/>
        <v>Aug</v>
      </c>
      <c r="E1317" t="str">
        <f t="shared" si="81"/>
        <v>2024</v>
      </c>
      <c r="F1317" t="s">
        <v>4</v>
      </c>
      <c r="G1317" t="s">
        <v>435</v>
      </c>
      <c r="H1317" t="s">
        <v>1482</v>
      </c>
      <c r="I1317">
        <v>220</v>
      </c>
      <c r="J1317">
        <v>20</v>
      </c>
      <c r="K1317">
        <f t="shared" si="82"/>
        <v>9.0909090909090917</v>
      </c>
      <c r="L1317" t="s">
        <v>1742</v>
      </c>
      <c r="M1317" t="s">
        <v>3816</v>
      </c>
      <c r="N1317" t="s">
        <v>1</v>
      </c>
      <c r="O1317">
        <v>334001</v>
      </c>
      <c r="P1317" t="s">
        <v>546</v>
      </c>
      <c r="Q1317" t="s">
        <v>1758</v>
      </c>
      <c r="R1317" t="s">
        <v>2</v>
      </c>
      <c r="S1317">
        <v>183.84</v>
      </c>
      <c r="T1317">
        <v>8</v>
      </c>
      <c r="U1317">
        <v>0.1</v>
      </c>
      <c r="V1317">
        <v>62.505600000000001</v>
      </c>
      <c r="W1317">
        <f t="shared" si="83"/>
        <v>15.1668</v>
      </c>
      <c r="X1317">
        <v>2</v>
      </c>
    </row>
    <row r="1318" spans="1:24" x14ac:dyDescent="0.3">
      <c r="A1318">
        <v>1317</v>
      </c>
      <c r="B1318" t="s">
        <v>3076</v>
      </c>
      <c r="C1318" s="6">
        <v>45513</v>
      </c>
      <c r="D1318" t="str">
        <f t="shared" si="80"/>
        <v>Aug</v>
      </c>
      <c r="E1318" t="str">
        <f t="shared" si="81"/>
        <v>2024</v>
      </c>
      <c r="F1318" t="s">
        <v>4</v>
      </c>
      <c r="G1318" t="s">
        <v>435</v>
      </c>
      <c r="H1318" t="s">
        <v>960</v>
      </c>
      <c r="I1318">
        <v>180</v>
      </c>
      <c r="J1318">
        <v>28</v>
      </c>
      <c r="K1318">
        <f t="shared" si="82"/>
        <v>15.555555555555555</v>
      </c>
      <c r="L1318" t="s">
        <v>1739</v>
      </c>
      <c r="M1318" t="s">
        <v>3600</v>
      </c>
      <c r="N1318" t="s">
        <v>1</v>
      </c>
      <c r="O1318">
        <v>403601</v>
      </c>
      <c r="P1318" t="s">
        <v>546</v>
      </c>
      <c r="Q1318" t="s">
        <v>1763</v>
      </c>
      <c r="R1318" t="s">
        <v>2</v>
      </c>
      <c r="S1318">
        <v>579.29999999999995</v>
      </c>
      <c r="T1318">
        <v>5</v>
      </c>
      <c r="U1318">
        <v>0.1</v>
      </c>
      <c r="V1318">
        <v>28.965</v>
      </c>
      <c r="W1318">
        <f t="shared" si="83"/>
        <v>110.06699999999998</v>
      </c>
      <c r="X1318">
        <v>4</v>
      </c>
    </row>
    <row r="1319" spans="1:24" x14ac:dyDescent="0.3">
      <c r="A1319">
        <v>1318</v>
      </c>
      <c r="B1319" t="s">
        <v>3077</v>
      </c>
      <c r="C1319" s="6">
        <v>45514</v>
      </c>
      <c r="D1319" t="str">
        <f t="shared" si="80"/>
        <v>Aug</v>
      </c>
      <c r="E1319" t="str">
        <f t="shared" si="81"/>
        <v>2024</v>
      </c>
      <c r="F1319" t="s">
        <v>4</v>
      </c>
      <c r="G1319" t="s">
        <v>73</v>
      </c>
      <c r="H1319" t="s">
        <v>1483</v>
      </c>
      <c r="I1319">
        <v>250</v>
      </c>
      <c r="J1319">
        <v>14</v>
      </c>
      <c r="K1319">
        <f t="shared" si="82"/>
        <v>5.6000000000000005</v>
      </c>
      <c r="L1319" t="s">
        <v>1738</v>
      </c>
      <c r="M1319" t="s">
        <v>3817</v>
      </c>
      <c r="N1319" t="s">
        <v>1</v>
      </c>
      <c r="O1319">
        <v>334001</v>
      </c>
      <c r="P1319" t="s">
        <v>546</v>
      </c>
      <c r="Q1319" t="s">
        <v>1772</v>
      </c>
      <c r="S1319">
        <v>14.2</v>
      </c>
      <c r="T1319">
        <v>1</v>
      </c>
      <c r="U1319">
        <v>0.2</v>
      </c>
      <c r="V1319">
        <v>3.3725000000000001</v>
      </c>
      <c r="W1319">
        <f t="shared" si="83"/>
        <v>10.827499999999999</v>
      </c>
      <c r="X1319">
        <v>5</v>
      </c>
    </row>
    <row r="1320" spans="1:24" x14ac:dyDescent="0.3">
      <c r="A1320">
        <v>1319</v>
      </c>
      <c r="B1320" t="s">
        <v>3078</v>
      </c>
      <c r="C1320" s="6">
        <v>45515</v>
      </c>
      <c r="D1320" t="str">
        <f t="shared" si="80"/>
        <v>Aug</v>
      </c>
      <c r="E1320" t="str">
        <f t="shared" si="81"/>
        <v>2024</v>
      </c>
      <c r="F1320" t="s">
        <v>4</v>
      </c>
      <c r="G1320" t="s">
        <v>436</v>
      </c>
      <c r="H1320" t="s">
        <v>1454</v>
      </c>
      <c r="I1320">
        <v>230</v>
      </c>
      <c r="J1320">
        <v>22</v>
      </c>
      <c r="K1320">
        <f t="shared" si="82"/>
        <v>9.5652173913043477</v>
      </c>
      <c r="L1320" t="s">
        <v>1737</v>
      </c>
      <c r="M1320" t="s">
        <v>3808</v>
      </c>
      <c r="N1320" t="s">
        <v>1</v>
      </c>
      <c r="O1320">
        <v>847225</v>
      </c>
      <c r="P1320" t="s">
        <v>546</v>
      </c>
      <c r="Q1320" t="s">
        <v>1765</v>
      </c>
      <c r="S1320">
        <v>575.91999999999996</v>
      </c>
      <c r="T1320">
        <v>2</v>
      </c>
      <c r="U1320">
        <v>0.2</v>
      </c>
      <c r="V1320">
        <v>71.989999999999995</v>
      </c>
      <c r="W1320">
        <f t="shared" si="83"/>
        <v>251.96499999999997</v>
      </c>
      <c r="X1320">
        <v>2</v>
      </c>
    </row>
    <row r="1321" spans="1:24" x14ac:dyDescent="0.3">
      <c r="A1321">
        <v>1320</v>
      </c>
      <c r="B1321" t="s">
        <v>3079</v>
      </c>
      <c r="C1321" s="6">
        <v>45516</v>
      </c>
      <c r="D1321" t="str">
        <f t="shared" si="80"/>
        <v>Aug</v>
      </c>
      <c r="E1321" t="str">
        <f t="shared" si="81"/>
        <v>2024</v>
      </c>
      <c r="F1321" t="s">
        <v>4</v>
      </c>
      <c r="G1321" t="s">
        <v>436</v>
      </c>
      <c r="H1321" t="s">
        <v>1161</v>
      </c>
      <c r="I1321">
        <v>250</v>
      </c>
      <c r="J1321">
        <v>18</v>
      </c>
      <c r="K1321">
        <f t="shared" si="82"/>
        <v>7.1999999999999993</v>
      </c>
      <c r="L1321" t="s">
        <v>1743</v>
      </c>
      <c r="M1321" t="s">
        <v>3833</v>
      </c>
      <c r="N1321" t="s">
        <v>1</v>
      </c>
      <c r="O1321">
        <v>682301</v>
      </c>
      <c r="P1321" t="s">
        <v>546</v>
      </c>
      <c r="Q1321" t="s">
        <v>1754</v>
      </c>
      <c r="S1321">
        <v>5.1840000000000002</v>
      </c>
      <c r="T1321">
        <v>6</v>
      </c>
      <c r="U1321">
        <v>0.7</v>
      </c>
      <c r="V1321">
        <v>-3.6288</v>
      </c>
      <c r="W1321">
        <f t="shared" si="83"/>
        <v>1.4687999999999999</v>
      </c>
      <c r="X1321">
        <v>3</v>
      </c>
    </row>
    <row r="1322" spans="1:24" x14ac:dyDescent="0.3">
      <c r="A1322">
        <v>1321</v>
      </c>
      <c r="B1322" t="s">
        <v>3080</v>
      </c>
      <c r="C1322" s="6">
        <v>45517</v>
      </c>
      <c r="D1322" t="str">
        <f t="shared" si="80"/>
        <v>Aug</v>
      </c>
      <c r="E1322" t="str">
        <f t="shared" si="81"/>
        <v>2024</v>
      </c>
      <c r="F1322" t="s">
        <v>4</v>
      </c>
      <c r="G1322" t="s">
        <v>437</v>
      </c>
      <c r="H1322" t="s">
        <v>1246</v>
      </c>
      <c r="I1322">
        <v>170</v>
      </c>
      <c r="J1322">
        <v>30</v>
      </c>
      <c r="K1322">
        <f t="shared" si="82"/>
        <v>17.647058823529413</v>
      </c>
      <c r="L1322" t="s">
        <v>1738</v>
      </c>
      <c r="M1322" t="s">
        <v>3681</v>
      </c>
      <c r="N1322" t="s">
        <v>1</v>
      </c>
      <c r="O1322">
        <v>560103</v>
      </c>
      <c r="P1322" t="s">
        <v>546</v>
      </c>
      <c r="Q1322" t="s">
        <v>1772</v>
      </c>
      <c r="R1322" t="s">
        <v>2</v>
      </c>
      <c r="S1322">
        <v>5.2290000000000001</v>
      </c>
      <c r="T1322">
        <v>3</v>
      </c>
      <c r="U1322">
        <v>0.7</v>
      </c>
      <c r="V1322">
        <v>-4.1832000000000003</v>
      </c>
      <c r="W1322">
        <f t="shared" si="83"/>
        <v>3.1374</v>
      </c>
      <c r="X1322">
        <v>1</v>
      </c>
    </row>
    <row r="1323" spans="1:24" x14ac:dyDescent="0.3">
      <c r="A1323">
        <v>1322</v>
      </c>
      <c r="B1323" t="s">
        <v>3081</v>
      </c>
      <c r="C1323" s="6">
        <v>45518</v>
      </c>
      <c r="D1323" t="str">
        <f t="shared" si="80"/>
        <v>Aug</v>
      </c>
      <c r="E1323" t="str">
        <f t="shared" si="81"/>
        <v>2024</v>
      </c>
      <c r="F1323" t="s">
        <v>4</v>
      </c>
      <c r="G1323" t="s">
        <v>437</v>
      </c>
      <c r="H1323" t="s">
        <v>1065</v>
      </c>
      <c r="I1323">
        <v>160</v>
      </c>
      <c r="J1323">
        <v>30</v>
      </c>
      <c r="K1323">
        <f t="shared" si="82"/>
        <v>18.75</v>
      </c>
      <c r="L1323" t="s">
        <v>1739</v>
      </c>
      <c r="M1323" t="s">
        <v>3682</v>
      </c>
      <c r="N1323" t="s">
        <v>1</v>
      </c>
      <c r="O1323">
        <v>632403</v>
      </c>
      <c r="P1323" t="s">
        <v>546</v>
      </c>
      <c r="Q1323" t="s">
        <v>1759</v>
      </c>
      <c r="S1323">
        <v>285.55200000000002</v>
      </c>
      <c r="T1323">
        <v>2</v>
      </c>
      <c r="U1323">
        <v>0.2</v>
      </c>
      <c r="V1323">
        <v>35.694000000000003</v>
      </c>
      <c r="W1323">
        <f t="shared" si="83"/>
        <v>124.929</v>
      </c>
      <c r="X1323">
        <v>4</v>
      </c>
    </row>
    <row r="1324" spans="1:24" x14ac:dyDescent="0.3">
      <c r="A1324">
        <v>1323</v>
      </c>
      <c r="B1324" t="s">
        <v>3082</v>
      </c>
      <c r="C1324" s="6">
        <v>45519</v>
      </c>
      <c r="D1324" t="str">
        <f t="shared" si="80"/>
        <v>Aug</v>
      </c>
      <c r="E1324" t="str">
        <f t="shared" si="81"/>
        <v>2024</v>
      </c>
      <c r="F1324" t="s">
        <v>4</v>
      </c>
      <c r="G1324" t="s">
        <v>438</v>
      </c>
      <c r="H1324" t="s">
        <v>1484</v>
      </c>
      <c r="I1324">
        <v>250</v>
      </c>
      <c r="J1324">
        <v>24</v>
      </c>
      <c r="K1324">
        <f t="shared" si="82"/>
        <v>9.6</v>
      </c>
      <c r="L1324" t="s">
        <v>1741</v>
      </c>
      <c r="M1324" t="s">
        <v>3810</v>
      </c>
      <c r="N1324" t="s">
        <v>1</v>
      </c>
      <c r="O1324">
        <v>414003</v>
      </c>
      <c r="P1324" t="s">
        <v>546</v>
      </c>
      <c r="Q1324" t="s">
        <v>1763</v>
      </c>
      <c r="S1324">
        <v>72.8</v>
      </c>
      <c r="T1324">
        <v>5</v>
      </c>
      <c r="U1324">
        <v>0.1</v>
      </c>
      <c r="V1324">
        <v>19.655999999999999</v>
      </c>
      <c r="W1324">
        <f t="shared" si="83"/>
        <v>10.6288</v>
      </c>
      <c r="X1324">
        <v>1</v>
      </c>
    </row>
    <row r="1325" spans="1:24" x14ac:dyDescent="0.3">
      <c r="A1325">
        <v>1324</v>
      </c>
      <c r="B1325" t="s">
        <v>3083</v>
      </c>
      <c r="C1325" s="6">
        <v>45520</v>
      </c>
      <c r="D1325" t="str">
        <f t="shared" si="80"/>
        <v>Aug</v>
      </c>
      <c r="E1325" t="str">
        <f t="shared" si="81"/>
        <v>2024</v>
      </c>
      <c r="F1325" t="s">
        <v>5</v>
      </c>
      <c r="G1325" t="s">
        <v>439</v>
      </c>
      <c r="H1325" t="s">
        <v>1485</v>
      </c>
      <c r="I1325">
        <v>150</v>
      </c>
      <c r="J1325">
        <v>14</v>
      </c>
      <c r="K1325">
        <f t="shared" si="82"/>
        <v>9.3333333333333339</v>
      </c>
      <c r="L1325" t="s">
        <v>1736</v>
      </c>
      <c r="M1325" t="s">
        <v>3693</v>
      </c>
      <c r="N1325" t="s">
        <v>1</v>
      </c>
      <c r="O1325">
        <v>533003</v>
      </c>
      <c r="P1325" t="s">
        <v>546</v>
      </c>
      <c r="Q1325" t="s">
        <v>1755</v>
      </c>
      <c r="S1325">
        <v>10.816000000000001</v>
      </c>
      <c r="T1325">
        <v>4</v>
      </c>
      <c r="U1325">
        <v>0.2</v>
      </c>
      <c r="V1325">
        <v>3.5152000000000001</v>
      </c>
      <c r="W1325">
        <f t="shared" si="83"/>
        <v>1.8252000000000002</v>
      </c>
      <c r="X1325">
        <v>4</v>
      </c>
    </row>
    <row r="1326" spans="1:24" x14ac:dyDescent="0.3">
      <c r="A1326">
        <v>1325</v>
      </c>
      <c r="B1326" t="s">
        <v>3084</v>
      </c>
      <c r="C1326" s="6">
        <v>45521</v>
      </c>
      <c r="D1326" t="str">
        <f t="shared" si="80"/>
        <v>Aug</v>
      </c>
      <c r="E1326" t="str">
        <f t="shared" si="81"/>
        <v>2024</v>
      </c>
      <c r="F1326" t="s">
        <v>4</v>
      </c>
      <c r="G1326" t="s">
        <v>440</v>
      </c>
      <c r="H1326" t="s">
        <v>968</v>
      </c>
      <c r="I1326">
        <v>160</v>
      </c>
      <c r="J1326">
        <v>26</v>
      </c>
      <c r="K1326">
        <f t="shared" si="82"/>
        <v>16.25</v>
      </c>
      <c r="L1326" t="s">
        <v>1744</v>
      </c>
      <c r="M1326" t="s">
        <v>3746</v>
      </c>
      <c r="N1326" t="s">
        <v>1</v>
      </c>
      <c r="O1326">
        <v>560037</v>
      </c>
      <c r="P1326" t="s">
        <v>546</v>
      </c>
      <c r="Q1326" t="s">
        <v>1758</v>
      </c>
      <c r="S1326">
        <v>46.26</v>
      </c>
      <c r="T1326">
        <v>3</v>
      </c>
      <c r="U1326">
        <v>0.1</v>
      </c>
      <c r="V1326">
        <v>12.4902</v>
      </c>
      <c r="W1326">
        <f t="shared" si="83"/>
        <v>11.256599999999999</v>
      </c>
      <c r="X1326">
        <v>4</v>
      </c>
    </row>
    <row r="1327" spans="1:24" x14ac:dyDescent="0.3">
      <c r="A1327">
        <v>1326</v>
      </c>
      <c r="B1327" t="s">
        <v>3085</v>
      </c>
      <c r="C1327" s="6">
        <v>45522</v>
      </c>
      <c r="D1327" t="str">
        <f t="shared" si="80"/>
        <v>Aug</v>
      </c>
      <c r="E1327" t="str">
        <f t="shared" si="81"/>
        <v>2024</v>
      </c>
      <c r="F1327" t="s">
        <v>5</v>
      </c>
      <c r="G1327" t="s">
        <v>104</v>
      </c>
      <c r="H1327" t="s">
        <v>1486</v>
      </c>
      <c r="I1327">
        <v>250</v>
      </c>
      <c r="J1327">
        <v>16</v>
      </c>
      <c r="K1327">
        <f t="shared" si="82"/>
        <v>6.4</v>
      </c>
      <c r="L1327" t="s">
        <v>1740</v>
      </c>
      <c r="M1327" t="s">
        <v>3799</v>
      </c>
      <c r="N1327" t="s">
        <v>1</v>
      </c>
      <c r="O1327">
        <v>560030</v>
      </c>
      <c r="P1327" t="s">
        <v>546</v>
      </c>
      <c r="Q1327" t="s">
        <v>1758</v>
      </c>
      <c r="S1327">
        <v>17.46</v>
      </c>
      <c r="T1327">
        <v>6</v>
      </c>
      <c r="U1327">
        <v>0.8</v>
      </c>
      <c r="V1327">
        <v>-30.555</v>
      </c>
      <c r="W1327">
        <f t="shared" si="83"/>
        <v>8.0024999999999995</v>
      </c>
      <c r="X1327">
        <v>1</v>
      </c>
    </row>
    <row r="1328" spans="1:24" x14ac:dyDescent="0.3">
      <c r="A1328">
        <v>1327</v>
      </c>
      <c r="B1328" t="s">
        <v>2700</v>
      </c>
      <c r="C1328" s="6">
        <v>45523</v>
      </c>
      <c r="D1328" t="str">
        <f t="shared" si="80"/>
        <v>Aug</v>
      </c>
      <c r="E1328" t="str">
        <f t="shared" si="81"/>
        <v>2024</v>
      </c>
      <c r="F1328" t="s">
        <v>4</v>
      </c>
      <c r="G1328" t="s">
        <v>64</v>
      </c>
      <c r="H1328" t="s">
        <v>1429</v>
      </c>
      <c r="I1328">
        <v>230</v>
      </c>
      <c r="J1328">
        <v>10</v>
      </c>
      <c r="K1328">
        <f t="shared" si="82"/>
        <v>4.3478260869565215</v>
      </c>
      <c r="L1328" t="s">
        <v>1742</v>
      </c>
      <c r="M1328" t="s">
        <v>3800</v>
      </c>
      <c r="N1328" t="s">
        <v>1</v>
      </c>
      <c r="O1328">
        <v>560030</v>
      </c>
      <c r="P1328" t="s">
        <v>546</v>
      </c>
      <c r="Q1328" t="s">
        <v>1774</v>
      </c>
      <c r="R1328" t="s">
        <v>2</v>
      </c>
      <c r="S1328">
        <v>51.072000000000003</v>
      </c>
      <c r="T1328">
        <v>6</v>
      </c>
      <c r="U1328">
        <v>0.2</v>
      </c>
      <c r="V1328">
        <v>5.1071999999999997</v>
      </c>
      <c r="W1328">
        <f t="shared" si="83"/>
        <v>7.6608000000000009</v>
      </c>
      <c r="X1328">
        <v>3</v>
      </c>
    </row>
    <row r="1329" spans="1:24" x14ac:dyDescent="0.3">
      <c r="A1329">
        <v>1328</v>
      </c>
      <c r="B1329" t="s">
        <v>3086</v>
      </c>
      <c r="C1329" s="6">
        <v>45524</v>
      </c>
      <c r="D1329" t="str">
        <f t="shared" si="80"/>
        <v>Aug</v>
      </c>
      <c r="E1329" t="str">
        <f t="shared" si="81"/>
        <v>2024</v>
      </c>
      <c r="F1329" t="s">
        <v>5</v>
      </c>
      <c r="G1329" t="s">
        <v>441</v>
      </c>
      <c r="H1329" t="s">
        <v>1299</v>
      </c>
      <c r="I1329">
        <v>190</v>
      </c>
      <c r="J1329">
        <v>10</v>
      </c>
      <c r="K1329">
        <f t="shared" si="82"/>
        <v>5.2631578947368416</v>
      </c>
      <c r="L1329" t="s">
        <v>1739</v>
      </c>
      <c r="M1329" t="s">
        <v>3637</v>
      </c>
      <c r="N1329" t="s">
        <v>1</v>
      </c>
      <c r="O1329">
        <v>788151</v>
      </c>
      <c r="P1329" t="s">
        <v>546</v>
      </c>
      <c r="Q1329" t="s">
        <v>1767</v>
      </c>
      <c r="S1329">
        <v>11.34</v>
      </c>
      <c r="T1329">
        <v>1</v>
      </c>
      <c r="U1329">
        <v>0.1</v>
      </c>
      <c r="V1329">
        <v>5.5566000000000004</v>
      </c>
      <c r="W1329">
        <f t="shared" si="83"/>
        <v>5.7833999999999994</v>
      </c>
      <c r="X1329">
        <v>1</v>
      </c>
    </row>
    <row r="1330" spans="1:24" x14ac:dyDescent="0.3">
      <c r="A1330">
        <v>1329</v>
      </c>
      <c r="B1330" t="s">
        <v>3087</v>
      </c>
      <c r="C1330" s="6">
        <v>45525</v>
      </c>
      <c r="D1330" t="str">
        <f t="shared" si="80"/>
        <v>Aug</v>
      </c>
      <c r="E1330" t="str">
        <f t="shared" si="81"/>
        <v>2024</v>
      </c>
      <c r="F1330" t="s">
        <v>3</v>
      </c>
      <c r="G1330" t="s">
        <v>442</v>
      </c>
      <c r="H1330" t="s">
        <v>1487</v>
      </c>
      <c r="I1330">
        <v>140</v>
      </c>
      <c r="J1330">
        <v>24</v>
      </c>
      <c r="K1330">
        <f t="shared" si="82"/>
        <v>17.142857142857142</v>
      </c>
      <c r="L1330" t="s">
        <v>1738</v>
      </c>
      <c r="M1330" t="s">
        <v>3814</v>
      </c>
      <c r="O1330">
        <v>322201</v>
      </c>
      <c r="P1330" t="s">
        <v>546</v>
      </c>
      <c r="Q1330" t="s">
        <v>1770</v>
      </c>
      <c r="S1330">
        <v>87.92</v>
      </c>
      <c r="T1330">
        <v>4</v>
      </c>
      <c r="U1330">
        <v>0.1</v>
      </c>
      <c r="V1330">
        <v>26.376000000000001</v>
      </c>
      <c r="W1330">
        <f t="shared" si="83"/>
        <v>15.385999999999999</v>
      </c>
      <c r="X1330">
        <v>4</v>
      </c>
    </row>
    <row r="1331" spans="1:24" x14ac:dyDescent="0.3">
      <c r="A1331">
        <v>1330</v>
      </c>
      <c r="B1331" t="s">
        <v>3088</v>
      </c>
      <c r="C1331" s="6">
        <v>45526</v>
      </c>
      <c r="D1331" t="str">
        <f t="shared" si="80"/>
        <v>Aug</v>
      </c>
      <c r="E1331" t="str">
        <f t="shared" si="81"/>
        <v>2024</v>
      </c>
      <c r="F1331" t="s">
        <v>4</v>
      </c>
      <c r="G1331" t="s">
        <v>443</v>
      </c>
      <c r="H1331" t="s">
        <v>1440</v>
      </c>
      <c r="I1331">
        <v>150</v>
      </c>
      <c r="J1331">
        <v>20</v>
      </c>
      <c r="K1331">
        <f t="shared" si="82"/>
        <v>13.333333333333334</v>
      </c>
      <c r="L1331" t="s">
        <v>1737</v>
      </c>
      <c r="M1331" t="s">
        <v>3813</v>
      </c>
      <c r="N1331" t="s">
        <v>1</v>
      </c>
      <c r="O1331">
        <v>322201</v>
      </c>
      <c r="P1331" t="s">
        <v>546</v>
      </c>
      <c r="Q1331" t="s">
        <v>1765</v>
      </c>
      <c r="S1331">
        <v>37.049999999999997</v>
      </c>
      <c r="T1331">
        <v>3</v>
      </c>
      <c r="U1331">
        <v>0.1</v>
      </c>
      <c r="V1331">
        <v>16.302</v>
      </c>
      <c r="W1331">
        <f t="shared" si="83"/>
        <v>6.9159999999999995</v>
      </c>
      <c r="X1331">
        <v>3</v>
      </c>
    </row>
    <row r="1332" spans="1:24" x14ac:dyDescent="0.3">
      <c r="A1332">
        <v>1331</v>
      </c>
      <c r="B1332" t="s">
        <v>3089</v>
      </c>
      <c r="C1332" s="6">
        <v>45527</v>
      </c>
      <c r="D1332" t="str">
        <f t="shared" si="80"/>
        <v>Aug</v>
      </c>
      <c r="E1332" t="str">
        <f t="shared" si="81"/>
        <v>2024</v>
      </c>
      <c r="F1332" t="s">
        <v>4</v>
      </c>
      <c r="G1332" t="s">
        <v>444</v>
      </c>
      <c r="H1332" t="s">
        <v>1047</v>
      </c>
      <c r="I1332">
        <v>150</v>
      </c>
      <c r="J1332">
        <v>14</v>
      </c>
      <c r="K1332">
        <f t="shared" si="82"/>
        <v>9.3333333333333339</v>
      </c>
      <c r="L1332" t="s">
        <v>1743</v>
      </c>
      <c r="M1332" t="s">
        <v>3610</v>
      </c>
      <c r="N1332" t="s">
        <v>1</v>
      </c>
      <c r="O1332">
        <v>400607</v>
      </c>
      <c r="P1332" t="s">
        <v>546</v>
      </c>
      <c r="Q1332" t="s">
        <v>1754</v>
      </c>
      <c r="S1332">
        <v>2.97</v>
      </c>
      <c r="T1332">
        <v>1</v>
      </c>
      <c r="U1332">
        <v>0.4</v>
      </c>
      <c r="V1332">
        <v>-0.64349999999999996</v>
      </c>
      <c r="W1332">
        <f t="shared" si="83"/>
        <v>3.6135000000000002</v>
      </c>
      <c r="X1332">
        <v>4</v>
      </c>
    </row>
    <row r="1333" spans="1:24" x14ac:dyDescent="0.3">
      <c r="A1333">
        <v>1332</v>
      </c>
      <c r="B1333" t="s">
        <v>3090</v>
      </c>
      <c r="C1333" s="6">
        <v>45528</v>
      </c>
      <c r="D1333" t="str">
        <f t="shared" si="80"/>
        <v>Aug</v>
      </c>
      <c r="E1333" t="str">
        <f t="shared" si="81"/>
        <v>2024</v>
      </c>
      <c r="F1333" t="s">
        <v>4</v>
      </c>
      <c r="G1333" t="s">
        <v>444</v>
      </c>
      <c r="H1333" t="s">
        <v>1003</v>
      </c>
      <c r="I1333">
        <v>240</v>
      </c>
      <c r="J1333">
        <v>16</v>
      </c>
      <c r="K1333">
        <f t="shared" si="82"/>
        <v>6.666666666666667</v>
      </c>
      <c r="L1333" t="s">
        <v>1738</v>
      </c>
      <c r="M1333" t="s">
        <v>3807</v>
      </c>
      <c r="N1333" t="s">
        <v>1</v>
      </c>
      <c r="O1333">
        <v>500027</v>
      </c>
      <c r="P1333" t="s">
        <v>546</v>
      </c>
      <c r="Q1333" t="s">
        <v>1776</v>
      </c>
      <c r="R1333" t="s">
        <v>2</v>
      </c>
      <c r="S1333">
        <v>27.44</v>
      </c>
      <c r="T1333">
        <v>2</v>
      </c>
      <c r="U1333">
        <v>0.2</v>
      </c>
      <c r="V1333">
        <v>2.4009999999999998</v>
      </c>
      <c r="W1333">
        <f t="shared" si="83"/>
        <v>12.519500000000001</v>
      </c>
      <c r="X1333">
        <v>3</v>
      </c>
    </row>
    <row r="1334" spans="1:24" x14ac:dyDescent="0.3">
      <c r="A1334">
        <v>1333</v>
      </c>
      <c r="B1334" t="s">
        <v>3091</v>
      </c>
      <c r="C1334" s="6">
        <v>45529</v>
      </c>
      <c r="D1334" t="str">
        <f t="shared" si="80"/>
        <v>Aug</v>
      </c>
      <c r="E1334" t="str">
        <f t="shared" si="81"/>
        <v>2024</v>
      </c>
      <c r="F1334" t="s">
        <v>4</v>
      </c>
      <c r="G1334" t="s">
        <v>445</v>
      </c>
      <c r="H1334" t="s">
        <v>1298</v>
      </c>
      <c r="I1334">
        <v>140</v>
      </c>
      <c r="J1334">
        <v>26</v>
      </c>
      <c r="K1334">
        <f t="shared" si="82"/>
        <v>18.571428571428573</v>
      </c>
      <c r="L1334" t="s">
        <v>1739</v>
      </c>
      <c r="M1334" t="s">
        <v>3707</v>
      </c>
      <c r="N1334" t="s">
        <v>1</v>
      </c>
      <c r="O1334">
        <v>560100</v>
      </c>
      <c r="P1334" t="s">
        <v>546</v>
      </c>
      <c r="Q1334" t="s">
        <v>1760</v>
      </c>
      <c r="S1334">
        <v>1.08</v>
      </c>
      <c r="T1334">
        <v>3</v>
      </c>
      <c r="U1334">
        <v>0.8</v>
      </c>
      <c r="V1334">
        <v>-1.728</v>
      </c>
      <c r="W1334">
        <f t="shared" si="83"/>
        <v>0.93599999999999994</v>
      </c>
      <c r="X1334">
        <v>5</v>
      </c>
    </row>
    <row r="1335" spans="1:24" x14ac:dyDescent="0.3">
      <c r="A1335">
        <v>1334</v>
      </c>
      <c r="B1335" t="s">
        <v>3092</v>
      </c>
      <c r="C1335" s="6">
        <v>45530</v>
      </c>
      <c r="D1335" t="str">
        <f t="shared" si="80"/>
        <v>Aug</v>
      </c>
      <c r="E1335" t="str">
        <f t="shared" si="81"/>
        <v>2024</v>
      </c>
      <c r="F1335" t="s">
        <v>4</v>
      </c>
      <c r="G1335" t="s">
        <v>445</v>
      </c>
      <c r="H1335" t="s">
        <v>1488</v>
      </c>
      <c r="I1335">
        <v>240</v>
      </c>
      <c r="J1335">
        <v>24</v>
      </c>
      <c r="K1335">
        <f t="shared" si="82"/>
        <v>10</v>
      </c>
      <c r="L1335" t="s">
        <v>1741</v>
      </c>
      <c r="M1335" t="s">
        <v>3805</v>
      </c>
      <c r="N1335" t="s">
        <v>1</v>
      </c>
      <c r="O1335">
        <v>422009</v>
      </c>
      <c r="P1335" t="s">
        <v>546</v>
      </c>
      <c r="Q1335" t="s">
        <v>1764</v>
      </c>
      <c r="S1335">
        <v>7.96</v>
      </c>
      <c r="T1335">
        <v>2</v>
      </c>
      <c r="U1335">
        <v>0.8</v>
      </c>
      <c r="V1335">
        <v>-13.93</v>
      </c>
      <c r="W1335">
        <f t="shared" si="83"/>
        <v>10.945</v>
      </c>
      <c r="X1335">
        <v>4</v>
      </c>
    </row>
    <row r="1336" spans="1:24" x14ac:dyDescent="0.3">
      <c r="A1336">
        <v>1335</v>
      </c>
      <c r="B1336" t="s">
        <v>3093</v>
      </c>
      <c r="C1336" s="6">
        <v>45531</v>
      </c>
      <c r="D1336" t="str">
        <f t="shared" si="80"/>
        <v>Aug</v>
      </c>
      <c r="E1336" t="str">
        <f t="shared" si="81"/>
        <v>2024</v>
      </c>
      <c r="F1336" t="s">
        <v>4</v>
      </c>
      <c r="G1336" t="s">
        <v>13</v>
      </c>
      <c r="H1336" t="s">
        <v>1262</v>
      </c>
      <c r="I1336">
        <v>100</v>
      </c>
      <c r="J1336">
        <v>28</v>
      </c>
      <c r="K1336">
        <f t="shared" si="82"/>
        <v>28.000000000000004</v>
      </c>
      <c r="L1336" t="s">
        <v>1736</v>
      </c>
      <c r="M1336" t="s">
        <v>3797</v>
      </c>
      <c r="N1336" t="s">
        <v>1</v>
      </c>
      <c r="O1336">
        <v>800025</v>
      </c>
      <c r="P1336" t="s">
        <v>546</v>
      </c>
      <c r="Q1336" t="s">
        <v>1759</v>
      </c>
      <c r="R1336" t="s">
        <v>2</v>
      </c>
      <c r="S1336">
        <v>140.73599999999999</v>
      </c>
      <c r="T1336">
        <v>8</v>
      </c>
      <c r="U1336">
        <v>0.2</v>
      </c>
      <c r="V1336">
        <v>52.776000000000003</v>
      </c>
      <c r="W1336">
        <f t="shared" si="83"/>
        <v>10.994999999999997</v>
      </c>
      <c r="X1336">
        <v>5</v>
      </c>
    </row>
    <row r="1337" spans="1:24" x14ac:dyDescent="0.3">
      <c r="A1337">
        <v>1336</v>
      </c>
      <c r="B1337" t="s">
        <v>3094</v>
      </c>
      <c r="C1337" s="6">
        <v>45532</v>
      </c>
      <c r="D1337" t="str">
        <f t="shared" si="80"/>
        <v>Aug</v>
      </c>
      <c r="E1337" t="str">
        <f t="shared" si="81"/>
        <v>2024</v>
      </c>
      <c r="F1337" t="s">
        <v>4</v>
      </c>
      <c r="G1337" t="s">
        <v>446</v>
      </c>
      <c r="H1337" t="s">
        <v>1489</v>
      </c>
      <c r="I1337">
        <v>190</v>
      </c>
      <c r="J1337">
        <v>30</v>
      </c>
      <c r="K1337">
        <f t="shared" si="82"/>
        <v>15.789473684210526</v>
      </c>
      <c r="L1337" t="s">
        <v>1744</v>
      </c>
      <c r="M1337" t="s">
        <v>3685</v>
      </c>
      <c r="N1337" t="s">
        <v>1</v>
      </c>
      <c r="O1337">
        <v>795001</v>
      </c>
      <c r="P1337" t="s">
        <v>546</v>
      </c>
      <c r="Q1337" t="s">
        <v>1774</v>
      </c>
      <c r="S1337">
        <v>552.55999999999995</v>
      </c>
      <c r="T1337">
        <v>4</v>
      </c>
      <c r="U1337">
        <v>0.1</v>
      </c>
      <c r="V1337">
        <v>0.1</v>
      </c>
      <c r="W1337">
        <f t="shared" si="83"/>
        <v>138.11499999999998</v>
      </c>
      <c r="X1337">
        <v>3</v>
      </c>
    </row>
    <row r="1338" spans="1:24" x14ac:dyDescent="0.3">
      <c r="A1338">
        <v>1337</v>
      </c>
      <c r="B1338" t="s">
        <v>3095</v>
      </c>
      <c r="C1338" s="6">
        <v>45533</v>
      </c>
      <c r="D1338" t="str">
        <f t="shared" si="80"/>
        <v>Aug</v>
      </c>
      <c r="E1338" t="str">
        <f t="shared" si="81"/>
        <v>2024</v>
      </c>
      <c r="F1338" t="s">
        <v>4</v>
      </c>
      <c r="G1338" t="s">
        <v>447</v>
      </c>
      <c r="H1338" t="s">
        <v>1451</v>
      </c>
      <c r="I1338">
        <v>120</v>
      </c>
      <c r="J1338">
        <v>20</v>
      </c>
      <c r="K1338">
        <f t="shared" si="82"/>
        <v>16.666666666666664</v>
      </c>
      <c r="L1338" t="s">
        <v>1740</v>
      </c>
      <c r="M1338" t="s">
        <v>3791</v>
      </c>
      <c r="N1338" t="s">
        <v>1</v>
      </c>
      <c r="O1338">
        <v>500027</v>
      </c>
      <c r="P1338" t="s">
        <v>546</v>
      </c>
      <c r="Q1338" t="s">
        <v>1761</v>
      </c>
      <c r="S1338">
        <v>25.11</v>
      </c>
      <c r="T1338">
        <v>3</v>
      </c>
      <c r="U1338">
        <v>0.1</v>
      </c>
      <c r="V1338">
        <v>6.5286</v>
      </c>
      <c r="W1338">
        <f t="shared" si="83"/>
        <v>6.1937999999999995</v>
      </c>
      <c r="X1338">
        <v>4</v>
      </c>
    </row>
    <row r="1339" spans="1:24" x14ac:dyDescent="0.3">
      <c r="A1339">
        <v>1338</v>
      </c>
      <c r="B1339" t="s">
        <v>3096</v>
      </c>
      <c r="C1339" s="6">
        <v>45534</v>
      </c>
      <c r="D1339" t="str">
        <f t="shared" si="80"/>
        <v>Aug</v>
      </c>
      <c r="E1339" t="str">
        <f t="shared" si="81"/>
        <v>2024</v>
      </c>
      <c r="F1339" t="s">
        <v>3</v>
      </c>
      <c r="G1339" t="s">
        <v>448</v>
      </c>
      <c r="H1339" t="s">
        <v>1490</v>
      </c>
      <c r="I1339">
        <v>210</v>
      </c>
      <c r="J1339">
        <v>10</v>
      </c>
      <c r="K1339">
        <f t="shared" si="82"/>
        <v>4.7619047619047619</v>
      </c>
      <c r="L1339" t="s">
        <v>1742</v>
      </c>
      <c r="M1339" t="s">
        <v>3647</v>
      </c>
      <c r="N1339" t="s">
        <v>1</v>
      </c>
      <c r="O1339">
        <v>410206</v>
      </c>
      <c r="P1339" t="s">
        <v>546</v>
      </c>
      <c r="Q1339" t="s">
        <v>1761</v>
      </c>
      <c r="S1339">
        <v>29.78</v>
      </c>
      <c r="T1339">
        <v>2</v>
      </c>
      <c r="U1339">
        <v>0.1</v>
      </c>
      <c r="V1339">
        <v>8.0405999999999995</v>
      </c>
      <c r="W1339">
        <f t="shared" si="83"/>
        <v>10.869700000000002</v>
      </c>
      <c r="X1339">
        <v>1</v>
      </c>
    </row>
    <row r="1340" spans="1:24" x14ac:dyDescent="0.3">
      <c r="A1340">
        <v>1339</v>
      </c>
      <c r="B1340" t="s">
        <v>3097</v>
      </c>
      <c r="C1340" s="6">
        <v>45535</v>
      </c>
      <c r="D1340" t="str">
        <f t="shared" si="80"/>
        <v>Aug</v>
      </c>
      <c r="E1340" t="str">
        <f t="shared" si="81"/>
        <v>2024</v>
      </c>
      <c r="F1340" t="s">
        <v>3</v>
      </c>
      <c r="G1340" t="s">
        <v>448</v>
      </c>
      <c r="H1340" t="s">
        <v>1491</v>
      </c>
      <c r="I1340">
        <v>100</v>
      </c>
      <c r="J1340">
        <v>24</v>
      </c>
      <c r="K1340">
        <f t="shared" si="82"/>
        <v>24</v>
      </c>
      <c r="L1340" t="s">
        <v>1739</v>
      </c>
      <c r="M1340" t="s">
        <v>3697</v>
      </c>
      <c r="N1340" t="s">
        <v>1</v>
      </c>
      <c r="O1340">
        <v>411014</v>
      </c>
      <c r="P1340" t="s">
        <v>546</v>
      </c>
      <c r="Q1340" t="s">
        <v>1759</v>
      </c>
      <c r="S1340">
        <v>677.58</v>
      </c>
      <c r="T1340">
        <v>3</v>
      </c>
      <c r="U1340">
        <v>0.1</v>
      </c>
      <c r="V1340">
        <v>176.17080000000001</v>
      </c>
      <c r="W1340">
        <f t="shared" si="83"/>
        <v>167.13640000000001</v>
      </c>
      <c r="X1340">
        <v>1</v>
      </c>
    </row>
    <row r="1341" spans="1:24" x14ac:dyDescent="0.3">
      <c r="A1341">
        <v>1340</v>
      </c>
      <c r="B1341" t="s">
        <v>3098</v>
      </c>
      <c r="C1341" s="6">
        <v>45536</v>
      </c>
      <c r="D1341" t="str">
        <f t="shared" si="80"/>
        <v>Sep</v>
      </c>
      <c r="E1341" t="str">
        <f t="shared" si="81"/>
        <v>2024</v>
      </c>
      <c r="F1341" t="s">
        <v>3</v>
      </c>
      <c r="G1341" t="s">
        <v>448</v>
      </c>
      <c r="H1341" t="s">
        <v>1492</v>
      </c>
      <c r="I1341">
        <v>200</v>
      </c>
      <c r="J1341">
        <v>14</v>
      </c>
      <c r="K1341">
        <f t="shared" si="82"/>
        <v>7.0000000000000009</v>
      </c>
      <c r="L1341" t="s">
        <v>1738</v>
      </c>
      <c r="M1341" t="s">
        <v>3801</v>
      </c>
      <c r="N1341" t="s">
        <v>1</v>
      </c>
      <c r="O1341">
        <v>834001</v>
      </c>
      <c r="P1341" t="s">
        <v>546</v>
      </c>
      <c r="Q1341" t="s">
        <v>1766</v>
      </c>
      <c r="S1341">
        <v>75.040000000000006</v>
      </c>
      <c r="T1341">
        <v>8</v>
      </c>
      <c r="U1341">
        <v>0.1</v>
      </c>
      <c r="V1341">
        <v>36.019199999999998</v>
      </c>
      <c r="W1341">
        <f t="shared" si="83"/>
        <v>4.877600000000001</v>
      </c>
      <c r="X1341">
        <v>5</v>
      </c>
    </row>
    <row r="1342" spans="1:24" x14ac:dyDescent="0.3">
      <c r="A1342">
        <v>1341</v>
      </c>
      <c r="B1342" t="s">
        <v>3099</v>
      </c>
      <c r="C1342" s="6">
        <v>45537</v>
      </c>
      <c r="D1342" t="str">
        <f t="shared" si="80"/>
        <v>Sep</v>
      </c>
      <c r="E1342" t="str">
        <f t="shared" si="81"/>
        <v>2024</v>
      </c>
      <c r="F1342" t="s">
        <v>5</v>
      </c>
      <c r="G1342" t="s">
        <v>449</v>
      </c>
      <c r="H1342" t="s">
        <v>1493</v>
      </c>
      <c r="I1342">
        <v>130</v>
      </c>
      <c r="J1342">
        <v>14</v>
      </c>
      <c r="K1342">
        <f t="shared" si="82"/>
        <v>10.76923076923077</v>
      </c>
      <c r="L1342" t="s">
        <v>1737</v>
      </c>
      <c r="M1342" t="s">
        <v>3787</v>
      </c>
      <c r="O1342">
        <v>788151</v>
      </c>
      <c r="P1342" t="s">
        <v>546</v>
      </c>
      <c r="Q1342" t="s">
        <v>1759</v>
      </c>
      <c r="S1342">
        <v>695.7</v>
      </c>
      <c r="T1342">
        <v>2</v>
      </c>
      <c r="U1342">
        <v>0.5</v>
      </c>
      <c r="V1342">
        <v>-27.827999999999999</v>
      </c>
      <c r="W1342">
        <f t="shared" si="83"/>
        <v>361.76400000000001</v>
      </c>
      <c r="X1342">
        <v>5</v>
      </c>
    </row>
    <row r="1343" spans="1:24" x14ac:dyDescent="0.3">
      <c r="A1343">
        <v>1342</v>
      </c>
      <c r="B1343" t="s">
        <v>3100</v>
      </c>
      <c r="C1343" s="6">
        <v>45538</v>
      </c>
      <c r="D1343" t="str">
        <f t="shared" si="80"/>
        <v>Sep</v>
      </c>
      <c r="E1343" t="str">
        <f t="shared" si="81"/>
        <v>2024</v>
      </c>
      <c r="F1343" t="s">
        <v>5</v>
      </c>
      <c r="G1343" t="s">
        <v>449</v>
      </c>
      <c r="H1343" t="s">
        <v>1411</v>
      </c>
      <c r="I1343">
        <v>220</v>
      </c>
      <c r="J1343">
        <v>12</v>
      </c>
      <c r="K1343">
        <f t="shared" si="82"/>
        <v>5.4545454545454541</v>
      </c>
      <c r="L1343" t="s">
        <v>1743</v>
      </c>
      <c r="M1343" t="s">
        <v>3736</v>
      </c>
      <c r="N1343" t="s">
        <v>1</v>
      </c>
      <c r="O1343">
        <v>400084</v>
      </c>
      <c r="P1343" t="s">
        <v>546</v>
      </c>
      <c r="Q1343" t="s">
        <v>1774</v>
      </c>
      <c r="S1343">
        <v>15.66</v>
      </c>
      <c r="T1343">
        <v>5</v>
      </c>
      <c r="U1343">
        <v>0.7</v>
      </c>
      <c r="V1343">
        <v>-12.528</v>
      </c>
      <c r="W1343">
        <f t="shared" si="83"/>
        <v>5.6376000000000008</v>
      </c>
      <c r="X1343">
        <v>2</v>
      </c>
    </row>
    <row r="1344" spans="1:24" x14ac:dyDescent="0.3">
      <c r="A1344">
        <v>1343</v>
      </c>
      <c r="B1344" t="s">
        <v>3101</v>
      </c>
      <c r="C1344" s="6">
        <v>45539</v>
      </c>
      <c r="D1344" t="str">
        <f t="shared" si="80"/>
        <v>Sep</v>
      </c>
      <c r="E1344" t="str">
        <f t="shared" si="81"/>
        <v>2024</v>
      </c>
      <c r="F1344" t="s">
        <v>5</v>
      </c>
      <c r="G1344" t="s">
        <v>449</v>
      </c>
      <c r="H1344" t="s">
        <v>574</v>
      </c>
      <c r="I1344">
        <v>180</v>
      </c>
      <c r="J1344">
        <v>6</v>
      </c>
      <c r="K1344">
        <f t="shared" si="82"/>
        <v>3.3333333333333335</v>
      </c>
      <c r="L1344" t="s">
        <v>1738</v>
      </c>
      <c r="M1344" t="s">
        <v>3804</v>
      </c>
      <c r="N1344" t="s">
        <v>1</v>
      </c>
      <c r="O1344">
        <v>132001</v>
      </c>
      <c r="P1344" t="s">
        <v>546</v>
      </c>
      <c r="Q1344" t="s">
        <v>1765</v>
      </c>
      <c r="R1344" t="s">
        <v>2</v>
      </c>
      <c r="S1344">
        <v>28.853999999999999</v>
      </c>
      <c r="T1344">
        <v>6</v>
      </c>
      <c r="U1344">
        <v>0.7</v>
      </c>
      <c r="V1344">
        <v>-21.159600000000001</v>
      </c>
      <c r="W1344">
        <f t="shared" si="83"/>
        <v>8.3355999999999995</v>
      </c>
      <c r="X1344">
        <v>2</v>
      </c>
    </row>
    <row r="1345" spans="1:24" x14ac:dyDescent="0.3">
      <c r="A1345">
        <v>1344</v>
      </c>
      <c r="B1345" t="s">
        <v>3102</v>
      </c>
      <c r="C1345" s="6">
        <v>45540</v>
      </c>
      <c r="D1345" t="str">
        <f t="shared" si="80"/>
        <v>Sep</v>
      </c>
      <c r="E1345" t="str">
        <f t="shared" si="81"/>
        <v>2024</v>
      </c>
      <c r="F1345" t="s">
        <v>4</v>
      </c>
      <c r="G1345" t="s">
        <v>48</v>
      </c>
      <c r="H1345" t="s">
        <v>1494</v>
      </c>
      <c r="I1345">
        <v>110</v>
      </c>
      <c r="J1345">
        <v>30</v>
      </c>
      <c r="K1345">
        <f t="shared" si="82"/>
        <v>27.27272727272727</v>
      </c>
      <c r="L1345" t="s">
        <v>1739</v>
      </c>
      <c r="M1345" t="s">
        <v>3588</v>
      </c>
      <c r="N1345" t="s">
        <v>1</v>
      </c>
      <c r="O1345">
        <v>700157</v>
      </c>
      <c r="P1345" t="s">
        <v>546</v>
      </c>
      <c r="Q1345" t="s">
        <v>1766</v>
      </c>
      <c r="S1345">
        <v>47.82</v>
      </c>
      <c r="T1345">
        <v>3</v>
      </c>
      <c r="U1345">
        <v>0.1</v>
      </c>
      <c r="V1345">
        <v>14.346</v>
      </c>
      <c r="W1345">
        <f t="shared" si="83"/>
        <v>11.158000000000001</v>
      </c>
      <c r="X1345">
        <v>4</v>
      </c>
    </row>
    <row r="1346" spans="1:24" x14ac:dyDescent="0.3">
      <c r="A1346">
        <v>1345</v>
      </c>
      <c r="B1346" t="s">
        <v>3103</v>
      </c>
      <c r="C1346" s="6">
        <v>45541</v>
      </c>
      <c r="D1346" t="str">
        <f t="shared" si="80"/>
        <v>Sep</v>
      </c>
      <c r="E1346" t="str">
        <f t="shared" si="81"/>
        <v>2024</v>
      </c>
      <c r="F1346" t="s">
        <v>4</v>
      </c>
      <c r="G1346" t="s">
        <v>48</v>
      </c>
      <c r="H1346" t="s">
        <v>1495</v>
      </c>
      <c r="I1346">
        <v>200</v>
      </c>
      <c r="J1346">
        <v>20</v>
      </c>
      <c r="K1346">
        <f t="shared" si="82"/>
        <v>10</v>
      </c>
      <c r="L1346" t="s">
        <v>1741</v>
      </c>
      <c r="M1346" t="s">
        <v>3789</v>
      </c>
      <c r="N1346" t="s">
        <v>1</v>
      </c>
      <c r="O1346">
        <v>444506</v>
      </c>
      <c r="P1346" t="s">
        <v>546</v>
      </c>
      <c r="Q1346" t="s">
        <v>1770</v>
      </c>
      <c r="R1346" t="s">
        <v>2</v>
      </c>
      <c r="S1346">
        <v>13.05</v>
      </c>
      <c r="T1346">
        <v>5</v>
      </c>
      <c r="U1346">
        <v>0.1</v>
      </c>
      <c r="V1346">
        <v>6.0030000000000001</v>
      </c>
      <c r="W1346">
        <f t="shared" si="83"/>
        <v>1.4094000000000002</v>
      </c>
      <c r="X1346">
        <v>4</v>
      </c>
    </row>
    <row r="1347" spans="1:24" x14ac:dyDescent="0.3">
      <c r="A1347">
        <v>1346</v>
      </c>
      <c r="B1347" t="s">
        <v>3104</v>
      </c>
      <c r="C1347" s="6">
        <v>45542</v>
      </c>
      <c r="D1347" t="str">
        <f t="shared" ref="D1347:D1410" si="84">TEXT(C1347,"Mmm")</f>
        <v>Sep</v>
      </c>
      <c r="E1347" t="str">
        <f t="shared" ref="E1347:E1410" si="85">TEXT(C1347,"YYYY")</f>
        <v>2024</v>
      </c>
      <c r="F1347" t="s">
        <v>4</v>
      </c>
      <c r="G1347" t="s">
        <v>209</v>
      </c>
      <c r="H1347" t="s">
        <v>1136</v>
      </c>
      <c r="I1347">
        <v>160</v>
      </c>
      <c r="J1347">
        <v>18</v>
      </c>
      <c r="K1347">
        <f t="shared" ref="K1347:K1410" si="86">(J1347/I1347)*100</f>
        <v>11.25</v>
      </c>
      <c r="L1347" t="s">
        <v>1736</v>
      </c>
      <c r="M1347" t="s">
        <v>3790</v>
      </c>
      <c r="N1347" t="s">
        <v>1</v>
      </c>
      <c r="O1347">
        <v>390013</v>
      </c>
      <c r="P1347" t="s">
        <v>546</v>
      </c>
      <c r="Q1347" t="s">
        <v>1768</v>
      </c>
      <c r="S1347">
        <v>93.78</v>
      </c>
      <c r="T1347">
        <v>2</v>
      </c>
      <c r="U1347">
        <v>0.1</v>
      </c>
      <c r="V1347">
        <v>36.574199999999998</v>
      </c>
      <c r="W1347">
        <f t="shared" ref="W1347:W1410" si="87">(S1347-V1347)/T1347</f>
        <v>28.602900000000002</v>
      </c>
      <c r="X1347">
        <v>5</v>
      </c>
    </row>
    <row r="1348" spans="1:24" x14ac:dyDescent="0.3">
      <c r="A1348">
        <v>1347</v>
      </c>
      <c r="B1348" t="s">
        <v>3105</v>
      </c>
      <c r="C1348" s="6">
        <v>45543</v>
      </c>
      <c r="D1348" t="str">
        <f t="shared" si="84"/>
        <v>Sep</v>
      </c>
      <c r="E1348" t="str">
        <f t="shared" si="85"/>
        <v>2024</v>
      </c>
      <c r="F1348" t="s">
        <v>4</v>
      </c>
      <c r="G1348" t="s">
        <v>209</v>
      </c>
      <c r="H1348" t="s">
        <v>1496</v>
      </c>
      <c r="I1348">
        <v>160</v>
      </c>
      <c r="J1348">
        <v>10</v>
      </c>
      <c r="K1348">
        <f t="shared" si="86"/>
        <v>6.25</v>
      </c>
      <c r="L1348" t="s">
        <v>1744</v>
      </c>
      <c r="M1348" t="s">
        <v>3798</v>
      </c>
      <c r="N1348" t="s">
        <v>1</v>
      </c>
      <c r="O1348">
        <v>390013</v>
      </c>
      <c r="P1348" t="s">
        <v>546</v>
      </c>
      <c r="Q1348" t="s">
        <v>1759</v>
      </c>
      <c r="S1348">
        <v>47.18</v>
      </c>
      <c r="T1348">
        <v>7</v>
      </c>
      <c r="U1348">
        <v>0.1</v>
      </c>
      <c r="V1348">
        <v>23.59</v>
      </c>
      <c r="W1348">
        <f t="shared" si="87"/>
        <v>3.37</v>
      </c>
      <c r="X1348">
        <v>3</v>
      </c>
    </row>
    <row r="1349" spans="1:24" x14ac:dyDescent="0.3">
      <c r="A1349">
        <v>1348</v>
      </c>
      <c r="B1349" t="s">
        <v>3106</v>
      </c>
      <c r="C1349" s="6">
        <v>45544</v>
      </c>
      <c r="D1349" t="str">
        <f t="shared" si="84"/>
        <v>Sep</v>
      </c>
      <c r="E1349" t="str">
        <f t="shared" si="85"/>
        <v>2024</v>
      </c>
      <c r="F1349" t="s">
        <v>4</v>
      </c>
      <c r="G1349" t="s">
        <v>209</v>
      </c>
      <c r="H1349" t="s">
        <v>1497</v>
      </c>
      <c r="I1349">
        <v>140</v>
      </c>
      <c r="J1349">
        <v>20</v>
      </c>
      <c r="K1349">
        <f t="shared" si="86"/>
        <v>14.285714285714285</v>
      </c>
      <c r="L1349" t="s">
        <v>1740</v>
      </c>
      <c r="M1349" t="s">
        <v>3834</v>
      </c>
      <c r="N1349" t="s">
        <v>1</v>
      </c>
      <c r="O1349">
        <v>110041</v>
      </c>
      <c r="P1349" t="s">
        <v>546</v>
      </c>
      <c r="Q1349" t="s">
        <v>1758</v>
      </c>
      <c r="S1349">
        <v>19.68</v>
      </c>
      <c r="T1349">
        <v>6</v>
      </c>
      <c r="U1349">
        <v>0.1</v>
      </c>
      <c r="V1349">
        <v>5.7072000000000003</v>
      </c>
      <c r="W1349">
        <f t="shared" si="87"/>
        <v>2.3287999999999998</v>
      </c>
      <c r="X1349">
        <v>4</v>
      </c>
    </row>
    <row r="1350" spans="1:24" x14ac:dyDescent="0.3">
      <c r="A1350">
        <v>1349</v>
      </c>
      <c r="B1350" t="s">
        <v>3055</v>
      </c>
      <c r="C1350" s="6">
        <v>45545</v>
      </c>
      <c r="D1350" t="str">
        <f t="shared" si="84"/>
        <v>Sep</v>
      </c>
      <c r="E1350" t="str">
        <f t="shared" si="85"/>
        <v>2024</v>
      </c>
      <c r="F1350" t="s">
        <v>4</v>
      </c>
      <c r="G1350" t="s">
        <v>209</v>
      </c>
      <c r="H1350" t="s">
        <v>1498</v>
      </c>
      <c r="I1350">
        <v>140</v>
      </c>
      <c r="J1350">
        <v>6</v>
      </c>
      <c r="K1350">
        <f t="shared" si="86"/>
        <v>4.2857142857142856</v>
      </c>
      <c r="L1350" t="s">
        <v>1742</v>
      </c>
      <c r="M1350" t="s">
        <v>3776</v>
      </c>
      <c r="N1350" t="s">
        <v>1</v>
      </c>
      <c r="O1350">
        <v>110041</v>
      </c>
      <c r="P1350" t="s">
        <v>546</v>
      </c>
      <c r="Q1350" t="s">
        <v>1759</v>
      </c>
      <c r="S1350">
        <v>53.4</v>
      </c>
      <c r="T1350">
        <v>10</v>
      </c>
      <c r="U1350">
        <v>0.1</v>
      </c>
      <c r="V1350">
        <v>25.097999999999999</v>
      </c>
      <c r="W1350">
        <f t="shared" si="87"/>
        <v>2.8302</v>
      </c>
      <c r="X1350">
        <v>2</v>
      </c>
    </row>
    <row r="1351" spans="1:24" x14ac:dyDescent="0.3">
      <c r="A1351">
        <v>1350</v>
      </c>
      <c r="B1351" t="s">
        <v>3107</v>
      </c>
      <c r="C1351" s="6">
        <v>45546</v>
      </c>
      <c r="D1351" t="str">
        <f t="shared" si="84"/>
        <v>Sep</v>
      </c>
      <c r="E1351" t="str">
        <f t="shared" si="85"/>
        <v>2024</v>
      </c>
      <c r="F1351" t="s">
        <v>4</v>
      </c>
      <c r="G1351" t="s">
        <v>209</v>
      </c>
      <c r="H1351" t="s">
        <v>1499</v>
      </c>
      <c r="I1351">
        <v>110</v>
      </c>
      <c r="J1351">
        <v>10</v>
      </c>
      <c r="K1351">
        <f t="shared" si="86"/>
        <v>9.0909090909090917</v>
      </c>
      <c r="L1351" t="s">
        <v>1739</v>
      </c>
      <c r="M1351" t="s">
        <v>3785</v>
      </c>
      <c r="N1351" t="s">
        <v>1</v>
      </c>
      <c r="O1351">
        <v>110041</v>
      </c>
      <c r="P1351" t="s">
        <v>546</v>
      </c>
      <c r="Q1351" t="s">
        <v>1760</v>
      </c>
      <c r="S1351">
        <v>35.880000000000003</v>
      </c>
      <c r="T1351">
        <v>6</v>
      </c>
      <c r="U1351">
        <v>0.1</v>
      </c>
      <c r="V1351">
        <v>17.2224</v>
      </c>
      <c r="W1351">
        <f t="shared" si="87"/>
        <v>3.1096000000000004</v>
      </c>
      <c r="X1351">
        <v>3</v>
      </c>
    </row>
    <row r="1352" spans="1:24" x14ac:dyDescent="0.3">
      <c r="A1352">
        <v>1351</v>
      </c>
      <c r="B1352" t="s">
        <v>3108</v>
      </c>
      <c r="C1352" s="6">
        <v>45547</v>
      </c>
      <c r="D1352" t="str">
        <f t="shared" si="84"/>
        <v>Sep</v>
      </c>
      <c r="E1352" t="str">
        <f t="shared" si="85"/>
        <v>2024</v>
      </c>
      <c r="F1352" t="s">
        <v>3</v>
      </c>
      <c r="G1352" t="s">
        <v>450</v>
      </c>
      <c r="H1352" t="s">
        <v>1359</v>
      </c>
      <c r="I1352">
        <v>250</v>
      </c>
      <c r="J1352">
        <v>30</v>
      </c>
      <c r="K1352">
        <f t="shared" si="86"/>
        <v>12</v>
      </c>
      <c r="L1352" t="s">
        <v>1738</v>
      </c>
      <c r="M1352" t="s">
        <v>3788</v>
      </c>
      <c r="N1352" t="s">
        <v>1</v>
      </c>
      <c r="O1352">
        <v>110011</v>
      </c>
      <c r="P1352" t="s">
        <v>546</v>
      </c>
      <c r="Q1352" t="s">
        <v>1765</v>
      </c>
      <c r="S1352">
        <v>258.279</v>
      </c>
      <c r="T1352">
        <v>3</v>
      </c>
      <c r="U1352">
        <v>0.3</v>
      </c>
      <c r="V1352">
        <v>-70.104299999999995</v>
      </c>
      <c r="W1352">
        <f t="shared" si="87"/>
        <v>109.46109999999999</v>
      </c>
      <c r="X1352">
        <v>3</v>
      </c>
    </row>
    <row r="1353" spans="1:24" x14ac:dyDescent="0.3">
      <c r="A1353">
        <v>1352</v>
      </c>
      <c r="B1353" t="s">
        <v>3109</v>
      </c>
      <c r="C1353" s="6">
        <v>45548</v>
      </c>
      <c r="D1353" t="str">
        <f t="shared" si="84"/>
        <v>Sep</v>
      </c>
      <c r="E1353" t="str">
        <f t="shared" si="85"/>
        <v>2024</v>
      </c>
      <c r="F1353" t="s">
        <v>5</v>
      </c>
      <c r="G1353" t="s">
        <v>449</v>
      </c>
      <c r="H1353" t="s">
        <v>1500</v>
      </c>
      <c r="I1353">
        <v>110</v>
      </c>
      <c r="J1353">
        <v>16</v>
      </c>
      <c r="K1353">
        <f t="shared" si="86"/>
        <v>14.545454545454545</v>
      </c>
      <c r="L1353" t="s">
        <v>1737</v>
      </c>
      <c r="M1353" t="s">
        <v>3768</v>
      </c>
      <c r="N1353" t="s">
        <v>1</v>
      </c>
      <c r="O1353">
        <v>110011</v>
      </c>
      <c r="P1353" t="s">
        <v>546</v>
      </c>
      <c r="Q1353" t="s">
        <v>1774</v>
      </c>
      <c r="S1353">
        <v>31.4</v>
      </c>
      <c r="T1353">
        <v>2</v>
      </c>
      <c r="U1353">
        <v>0.1</v>
      </c>
      <c r="V1353">
        <v>7.85</v>
      </c>
      <c r="W1353">
        <f t="shared" si="87"/>
        <v>11.774999999999999</v>
      </c>
      <c r="X1353">
        <v>3</v>
      </c>
    </row>
    <row r="1354" spans="1:24" x14ac:dyDescent="0.3">
      <c r="A1354">
        <v>1353</v>
      </c>
      <c r="B1354" t="s">
        <v>3110</v>
      </c>
      <c r="C1354" s="6">
        <v>45549</v>
      </c>
      <c r="D1354" t="str">
        <f t="shared" si="84"/>
        <v>Sep</v>
      </c>
      <c r="E1354" t="str">
        <f t="shared" si="85"/>
        <v>2024</v>
      </c>
      <c r="F1354" t="s">
        <v>4</v>
      </c>
      <c r="G1354" t="s">
        <v>359</v>
      </c>
      <c r="H1354" t="s">
        <v>1068</v>
      </c>
      <c r="I1354">
        <v>210</v>
      </c>
      <c r="J1354">
        <v>16</v>
      </c>
      <c r="K1354">
        <f t="shared" si="86"/>
        <v>7.6190476190476195</v>
      </c>
      <c r="L1354" t="s">
        <v>1743</v>
      </c>
      <c r="M1354" t="s">
        <v>3769</v>
      </c>
      <c r="O1354">
        <v>560056</v>
      </c>
      <c r="P1354" t="s">
        <v>546</v>
      </c>
      <c r="Q1354" t="s">
        <v>1773</v>
      </c>
      <c r="S1354">
        <v>183.96</v>
      </c>
      <c r="T1354">
        <v>5</v>
      </c>
      <c r="U1354">
        <v>0.2</v>
      </c>
      <c r="V1354">
        <v>20.695499999999999</v>
      </c>
      <c r="W1354">
        <f t="shared" si="87"/>
        <v>32.652900000000002</v>
      </c>
      <c r="X1354">
        <v>1</v>
      </c>
    </row>
    <row r="1355" spans="1:24" x14ac:dyDescent="0.3">
      <c r="A1355">
        <v>1354</v>
      </c>
      <c r="B1355" t="s">
        <v>3111</v>
      </c>
      <c r="C1355" s="6">
        <v>45550</v>
      </c>
      <c r="D1355" t="str">
        <f t="shared" si="84"/>
        <v>Sep</v>
      </c>
      <c r="E1355" t="str">
        <f t="shared" si="85"/>
        <v>2024</v>
      </c>
      <c r="F1355" t="s">
        <v>4</v>
      </c>
      <c r="G1355" t="s">
        <v>359</v>
      </c>
      <c r="H1355" t="s">
        <v>1254</v>
      </c>
      <c r="I1355">
        <v>140</v>
      </c>
      <c r="J1355">
        <v>30</v>
      </c>
      <c r="K1355">
        <f t="shared" si="86"/>
        <v>21.428571428571427</v>
      </c>
      <c r="L1355" t="s">
        <v>1738</v>
      </c>
      <c r="M1355" t="s">
        <v>3770</v>
      </c>
      <c r="N1355" t="s">
        <v>1</v>
      </c>
      <c r="O1355">
        <v>500097</v>
      </c>
      <c r="P1355" t="s">
        <v>546</v>
      </c>
      <c r="Q1355" t="s">
        <v>1759</v>
      </c>
      <c r="R1355" t="s">
        <v>2</v>
      </c>
      <c r="S1355">
        <v>17.61</v>
      </c>
      <c r="T1355">
        <v>3</v>
      </c>
      <c r="U1355">
        <v>0.1</v>
      </c>
      <c r="V1355">
        <v>8.4527999999999999</v>
      </c>
      <c r="W1355">
        <f t="shared" si="87"/>
        <v>3.0524</v>
      </c>
      <c r="X1355">
        <v>1</v>
      </c>
    </row>
    <row r="1356" spans="1:24" x14ac:dyDescent="0.3">
      <c r="A1356">
        <v>1355</v>
      </c>
      <c r="B1356" t="s">
        <v>3112</v>
      </c>
      <c r="C1356" s="6">
        <v>45551</v>
      </c>
      <c r="D1356" t="str">
        <f t="shared" si="84"/>
        <v>Sep</v>
      </c>
      <c r="E1356" t="str">
        <f t="shared" si="85"/>
        <v>2024</v>
      </c>
      <c r="F1356" t="s">
        <v>4</v>
      </c>
      <c r="G1356" t="s">
        <v>359</v>
      </c>
      <c r="H1356" t="s">
        <v>762</v>
      </c>
      <c r="I1356">
        <v>230</v>
      </c>
      <c r="J1356">
        <v>10</v>
      </c>
      <c r="K1356">
        <f t="shared" si="86"/>
        <v>4.3478260869565215</v>
      </c>
      <c r="L1356" t="s">
        <v>1739</v>
      </c>
      <c r="M1356" t="s">
        <v>3771</v>
      </c>
      <c r="N1356" t="s">
        <v>1</v>
      </c>
      <c r="O1356">
        <v>431605</v>
      </c>
      <c r="P1356" t="s">
        <v>546</v>
      </c>
      <c r="Q1356" t="s">
        <v>1755</v>
      </c>
      <c r="S1356">
        <v>300.904</v>
      </c>
      <c r="T1356">
        <v>1</v>
      </c>
      <c r="U1356">
        <v>0.2</v>
      </c>
      <c r="V1356">
        <v>11.283899999999999</v>
      </c>
      <c r="W1356">
        <f t="shared" si="87"/>
        <v>289.62009999999998</v>
      </c>
      <c r="X1356">
        <v>4</v>
      </c>
    </row>
    <row r="1357" spans="1:24" x14ac:dyDescent="0.3">
      <c r="A1357">
        <v>1356</v>
      </c>
      <c r="B1357" t="s">
        <v>3113</v>
      </c>
      <c r="C1357" s="6">
        <v>45552</v>
      </c>
      <c r="D1357" t="str">
        <f t="shared" si="84"/>
        <v>Sep</v>
      </c>
      <c r="E1357" t="str">
        <f t="shared" si="85"/>
        <v>2024</v>
      </c>
      <c r="F1357" t="s">
        <v>6</v>
      </c>
      <c r="G1357" t="s">
        <v>426</v>
      </c>
      <c r="H1357" t="s">
        <v>743</v>
      </c>
      <c r="I1357">
        <v>170</v>
      </c>
      <c r="J1357">
        <v>6</v>
      </c>
      <c r="K1357">
        <f t="shared" si="86"/>
        <v>3.5294117647058822</v>
      </c>
      <c r="L1357" t="s">
        <v>1741</v>
      </c>
      <c r="M1357" t="s">
        <v>3796</v>
      </c>
      <c r="N1357" t="s">
        <v>1</v>
      </c>
      <c r="O1357">
        <v>800025</v>
      </c>
      <c r="P1357" t="s">
        <v>546</v>
      </c>
      <c r="Q1357" t="s">
        <v>1775</v>
      </c>
      <c r="S1357">
        <v>220.77600000000001</v>
      </c>
      <c r="T1357">
        <v>3</v>
      </c>
      <c r="U1357">
        <v>0.2</v>
      </c>
      <c r="V1357">
        <v>-44.155200000000001</v>
      </c>
      <c r="W1357">
        <f t="shared" si="87"/>
        <v>88.310400000000001</v>
      </c>
      <c r="X1357">
        <v>1</v>
      </c>
    </row>
    <row r="1358" spans="1:24" x14ac:dyDescent="0.3">
      <c r="A1358">
        <v>1357</v>
      </c>
      <c r="B1358" t="s">
        <v>3114</v>
      </c>
      <c r="C1358" s="6">
        <v>45553</v>
      </c>
      <c r="D1358" t="str">
        <f t="shared" si="84"/>
        <v>Sep</v>
      </c>
      <c r="E1358" t="str">
        <f t="shared" si="85"/>
        <v>2024</v>
      </c>
      <c r="F1358" t="s">
        <v>6</v>
      </c>
      <c r="G1358" t="s">
        <v>426</v>
      </c>
      <c r="H1358" t="s">
        <v>1458</v>
      </c>
      <c r="I1358">
        <v>220</v>
      </c>
      <c r="J1358">
        <v>28</v>
      </c>
      <c r="K1358">
        <f t="shared" si="86"/>
        <v>12.727272727272727</v>
      </c>
      <c r="L1358" t="s">
        <v>1736</v>
      </c>
      <c r="M1358" t="s">
        <v>3773</v>
      </c>
      <c r="N1358" t="s">
        <v>1</v>
      </c>
      <c r="O1358">
        <v>515134</v>
      </c>
      <c r="P1358" t="s">
        <v>546</v>
      </c>
      <c r="Q1358" t="s">
        <v>1759</v>
      </c>
      <c r="S1358">
        <v>281.42399999999998</v>
      </c>
      <c r="T1358">
        <v>11</v>
      </c>
      <c r="U1358">
        <v>0.2</v>
      </c>
      <c r="V1358">
        <v>-35.177999999999997</v>
      </c>
      <c r="W1358">
        <f t="shared" si="87"/>
        <v>28.781999999999996</v>
      </c>
      <c r="X1358">
        <v>3</v>
      </c>
    </row>
    <row r="1359" spans="1:24" x14ac:dyDescent="0.3">
      <c r="A1359">
        <v>1358</v>
      </c>
      <c r="B1359" t="s">
        <v>3115</v>
      </c>
      <c r="C1359" s="6">
        <v>45554</v>
      </c>
      <c r="D1359" t="str">
        <f t="shared" si="84"/>
        <v>Sep</v>
      </c>
      <c r="E1359" t="str">
        <f t="shared" si="85"/>
        <v>2024</v>
      </c>
      <c r="F1359" t="s">
        <v>5</v>
      </c>
      <c r="G1359" t="s">
        <v>451</v>
      </c>
      <c r="H1359" t="s">
        <v>1501</v>
      </c>
      <c r="I1359">
        <v>190</v>
      </c>
      <c r="J1359">
        <v>28</v>
      </c>
      <c r="K1359">
        <f t="shared" si="86"/>
        <v>14.736842105263156</v>
      </c>
      <c r="L1359" t="s">
        <v>1744</v>
      </c>
      <c r="M1359" t="s">
        <v>3774</v>
      </c>
      <c r="N1359" t="s">
        <v>1</v>
      </c>
      <c r="O1359">
        <v>395001</v>
      </c>
      <c r="P1359" t="s">
        <v>546</v>
      </c>
      <c r="Q1359" t="s">
        <v>1755</v>
      </c>
      <c r="S1359">
        <v>79.14</v>
      </c>
      <c r="T1359">
        <v>3</v>
      </c>
      <c r="U1359">
        <v>0.1</v>
      </c>
      <c r="V1359">
        <v>36.404400000000003</v>
      </c>
      <c r="W1359">
        <f t="shared" si="87"/>
        <v>14.245199999999999</v>
      </c>
      <c r="X1359">
        <v>2</v>
      </c>
    </row>
    <row r="1360" spans="1:24" x14ac:dyDescent="0.3">
      <c r="A1360">
        <v>1359</v>
      </c>
      <c r="B1360" t="s">
        <v>3116</v>
      </c>
      <c r="C1360" s="6">
        <v>45555</v>
      </c>
      <c r="D1360" t="str">
        <f t="shared" si="84"/>
        <v>Sep</v>
      </c>
      <c r="E1360" t="str">
        <f t="shared" si="85"/>
        <v>2024</v>
      </c>
      <c r="F1360" t="s">
        <v>5</v>
      </c>
      <c r="G1360" t="s">
        <v>452</v>
      </c>
      <c r="H1360" t="s">
        <v>1074</v>
      </c>
      <c r="I1360">
        <v>150</v>
      </c>
      <c r="J1360">
        <v>12</v>
      </c>
      <c r="K1360">
        <f t="shared" si="86"/>
        <v>8</v>
      </c>
      <c r="L1360" t="s">
        <v>1740</v>
      </c>
      <c r="M1360" t="s">
        <v>3775</v>
      </c>
      <c r="N1360" t="s">
        <v>1</v>
      </c>
      <c r="O1360">
        <v>222001</v>
      </c>
      <c r="P1360" t="s">
        <v>546</v>
      </c>
      <c r="Q1360" t="s">
        <v>1770</v>
      </c>
      <c r="S1360">
        <v>1.988</v>
      </c>
      <c r="T1360">
        <v>1</v>
      </c>
      <c r="U1360">
        <v>0.6</v>
      </c>
      <c r="V1360">
        <v>-1.4413</v>
      </c>
      <c r="W1360">
        <f t="shared" si="87"/>
        <v>3.4293</v>
      </c>
      <c r="X1360">
        <v>5</v>
      </c>
    </row>
    <row r="1361" spans="1:24" x14ac:dyDescent="0.3">
      <c r="A1361">
        <v>1360</v>
      </c>
      <c r="B1361" t="s">
        <v>3117</v>
      </c>
      <c r="C1361" s="6">
        <v>45556</v>
      </c>
      <c r="D1361" t="str">
        <f t="shared" si="84"/>
        <v>Sep</v>
      </c>
      <c r="E1361" t="str">
        <f t="shared" si="85"/>
        <v>2024</v>
      </c>
      <c r="F1361" t="s">
        <v>3</v>
      </c>
      <c r="G1361" t="s">
        <v>453</v>
      </c>
      <c r="H1361" t="s">
        <v>1502</v>
      </c>
      <c r="I1361">
        <v>170</v>
      </c>
      <c r="J1361">
        <v>22</v>
      </c>
      <c r="K1361">
        <f t="shared" si="86"/>
        <v>12.941176470588237</v>
      </c>
      <c r="L1361" t="s">
        <v>1742</v>
      </c>
      <c r="M1361" t="s">
        <v>3765</v>
      </c>
      <c r="N1361" t="s">
        <v>1</v>
      </c>
      <c r="O1361">
        <v>560095</v>
      </c>
      <c r="P1361" t="s">
        <v>546</v>
      </c>
      <c r="Q1361" t="s">
        <v>1756</v>
      </c>
      <c r="R1361" t="s">
        <v>2</v>
      </c>
      <c r="S1361">
        <v>145.56800000000001</v>
      </c>
      <c r="T1361">
        <v>2</v>
      </c>
      <c r="U1361">
        <v>0.2</v>
      </c>
      <c r="V1361">
        <v>0.1</v>
      </c>
      <c r="W1361">
        <f t="shared" si="87"/>
        <v>72.734000000000009</v>
      </c>
      <c r="X1361">
        <v>5</v>
      </c>
    </row>
    <row r="1362" spans="1:24" x14ac:dyDescent="0.3">
      <c r="A1362">
        <v>1361</v>
      </c>
      <c r="B1362" t="s">
        <v>3118</v>
      </c>
      <c r="C1362" s="6">
        <v>45557</v>
      </c>
      <c r="D1362" t="str">
        <f t="shared" si="84"/>
        <v>Sep</v>
      </c>
      <c r="E1362" t="str">
        <f t="shared" si="85"/>
        <v>2024</v>
      </c>
      <c r="F1362" t="s">
        <v>4</v>
      </c>
      <c r="G1362" t="s">
        <v>454</v>
      </c>
      <c r="H1362" t="s">
        <v>1213</v>
      </c>
      <c r="I1362">
        <v>190</v>
      </c>
      <c r="J1362">
        <v>26</v>
      </c>
      <c r="K1362">
        <f t="shared" si="86"/>
        <v>13.684210526315791</v>
      </c>
      <c r="L1362" t="s">
        <v>1739</v>
      </c>
      <c r="M1362" t="s">
        <v>3777</v>
      </c>
      <c r="N1362" t="s">
        <v>1</v>
      </c>
      <c r="O1362">
        <v>560064</v>
      </c>
      <c r="P1362" t="s">
        <v>546</v>
      </c>
      <c r="Q1362" t="s">
        <v>1758</v>
      </c>
      <c r="S1362">
        <v>123.256</v>
      </c>
      <c r="T1362">
        <v>7</v>
      </c>
      <c r="U1362">
        <v>0.2</v>
      </c>
      <c r="V1362">
        <v>9.2441999999999993</v>
      </c>
      <c r="W1362">
        <f t="shared" si="87"/>
        <v>16.287399999999998</v>
      </c>
      <c r="X1362">
        <v>4</v>
      </c>
    </row>
    <row r="1363" spans="1:24" x14ac:dyDescent="0.3">
      <c r="A1363">
        <v>1362</v>
      </c>
      <c r="B1363" t="s">
        <v>3119</v>
      </c>
      <c r="C1363" s="6">
        <v>45558</v>
      </c>
      <c r="D1363" t="str">
        <f t="shared" si="84"/>
        <v>Sep</v>
      </c>
      <c r="E1363" t="str">
        <f t="shared" si="85"/>
        <v>2024</v>
      </c>
      <c r="F1363" t="s">
        <v>4</v>
      </c>
      <c r="G1363" t="s">
        <v>454</v>
      </c>
      <c r="H1363" t="s">
        <v>1503</v>
      </c>
      <c r="I1363">
        <v>120</v>
      </c>
      <c r="J1363">
        <v>24</v>
      </c>
      <c r="K1363">
        <f t="shared" si="86"/>
        <v>20</v>
      </c>
      <c r="L1363" t="s">
        <v>1738</v>
      </c>
      <c r="M1363" t="s">
        <v>3750</v>
      </c>
      <c r="N1363" t="s">
        <v>1</v>
      </c>
      <c r="O1363">
        <v>226029</v>
      </c>
      <c r="P1363" t="s">
        <v>546</v>
      </c>
      <c r="Q1363" t="s">
        <v>1756</v>
      </c>
      <c r="S1363">
        <v>23.68</v>
      </c>
      <c r="T1363">
        <v>4</v>
      </c>
      <c r="U1363">
        <v>0.2</v>
      </c>
      <c r="V1363">
        <v>7.4</v>
      </c>
      <c r="W1363">
        <f t="shared" si="87"/>
        <v>4.07</v>
      </c>
      <c r="X1363">
        <v>3</v>
      </c>
    </row>
    <row r="1364" spans="1:24" x14ac:dyDescent="0.3">
      <c r="A1364">
        <v>1363</v>
      </c>
      <c r="B1364" t="s">
        <v>1836</v>
      </c>
      <c r="C1364" s="6">
        <v>45559</v>
      </c>
      <c r="D1364" t="str">
        <f t="shared" si="84"/>
        <v>Sep</v>
      </c>
      <c r="E1364" t="str">
        <f t="shared" si="85"/>
        <v>2024</v>
      </c>
      <c r="F1364" t="s">
        <v>4</v>
      </c>
      <c r="G1364" t="s">
        <v>454</v>
      </c>
      <c r="H1364" t="s">
        <v>1504</v>
      </c>
      <c r="I1364">
        <v>250</v>
      </c>
      <c r="J1364">
        <v>18</v>
      </c>
      <c r="K1364">
        <f t="shared" si="86"/>
        <v>7.1999999999999993</v>
      </c>
      <c r="L1364" t="s">
        <v>1737</v>
      </c>
      <c r="M1364" t="s">
        <v>3835</v>
      </c>
      <c r="O1364">
        <v>222001</v>
      </c>
      <c r="P1364" t="s">
        <v>546</v>
      </c>
      <c r="Q1364" t="s">
        <v>1759</v>
      </c>
      <c r="R1364" t="s">
        <v>2</v>
      </c>
      <c r="S1364">
        <v>309.57600000000002</v>
      </c>
      <c r="T1364">
        <v>4</v>
      </c>
      <c r="U1364">
        <v>0.4</v>
      </c>
      <c r="V1364">
        <v>-56.755600000000001</v>
      </c>
      <c r="W1364">
        <f t="shared" si="87"/>
        <v>91.582900000000009</v>
      </c>
      <c r="X1364">
        <v>2</v>
      </c>
    </row>
    <row r="1365" spans="1:24" x14ac:dyDescent="0.3">
      <c r="A1365">
        <v>1364</v>
      </c>
      <c r="B1365" t="s">
        <v>3120</v>
      </c>
      <c r="C1365" s="6">
        <v>45560</v>
      </c>
      <c r="D1365" t="str">
        <f t="shared" si="84"/>
        <v>Sep</v>
      </c>
      <c r="E1365" t="str">
        <f t="shared" si="85"/>
        <v>2024</v>
      </c>
      <c r="F1365" t="s">
        <v>5</v>
      </c>
      <c r="G1365" t="s">
        <v>455</v>
      </c>
      <c r="H1365" t="s">
        <v>1171</v>
      </c>
      <c r="I1365">
        <v>140</v>
      </c>
      <c r="J1365">
        <v>8</v>
      </c>
      <c r="K1365">
        <f t="shared" si="86"/>
        <v>5.7142857142857144</v>
      </c>
      <c r="L1365" t="s">
        <v>1743</v>
      </c>
      <c r="M1365" t="s">
        <v>3836</v>
      </c>
      <c r="N1365" t="s">
        <v>1</v>
      </c>
      <c r="O1365">
        <v>500032</v>
      </c>
      <c r="P1365" t="s">
        <v>546</v>
      </c>
      <c r="Q1365" t="s">
        <v>1767</v>
      </c>
      <c r="S1365">
        <v>38.387999999999998</v>
      </c>
      <c r="T1365">
        <v>14</v>
      </c>
      <c r="U1365">
        <v>0.7</v>
      </c>
      <c r="V1365">
        <v>-25.591999999999999</v>
      </c>
      <c r="W1365">
        <f t="shared" si="87"/>
        <v>4.5699999999999994</v>
      </c>
      <c r="X1365">
        <v>3</v>
      </c>
    </row>
    <row r="1366" spans="1:24" x14ac:dyDescent="0.3">
      <c r="A1366">
        <v>1365</v>
      </c>
      <c r="B1366" t="s">
        <v>3121</v>
      </c>
      <c r="C1366" s="6">
        <v>45561</v>
      </c>
      <c r="D1366" t="str">
        <f t="shared" si="84"/>
        <v>Sep</v>
      </c>
      <c r="E1366" t="str">
        <f t="shared" si="85"/>
        <v>2024</v>
      </c>
      <c r="F1366" t="s">
        <v>5</v>
      </c>
      <c r="G1366" t="s">
        <v>455</v>
      </c>
      <c r="H1366" t="s">
        <v>1505</v>
      </c>
      <c r="I1366">
        <v>110</v>
      </c>
      <c r="J1366">
        <v>18</v>
      </c>
      <c r="K1366">
        <f t="shared" si="86"/>
        <v>16.363636363636363</v>
      </c>
      <c r="L1366" t="s">
        <v>1738</v>
      </c>
      <c r="M1366" t="s">
        <v>3795</v>
      </c>
      <c r="N1366" t="s">
        <v>1</v>
      </c>
      <c r="O1366">
        <v>201301</v>
      </c>
      <c r="P1366" t="s">
        <v>546</v>
      </c>
      <c r="Q1366" t="s">
        <v>1759</v>
      </c>
      <c r="R1366" t="s">
        <v>2</v>
      </c>
      <c r="S1366">
        <v>95.994</v>
      </c>
      <c r="T1366">
        <v>2</v>
      </c>
      <c r="U1366">
        <v>0.7</v>
      </c>
      <c r="V1366">
        <v>-63.996000000000002</v>
      </c>
      <c r="W1366">
        <f t="shared" si="87"/>
        <v>79.995000000000005</v>
      </c>
      <c r="X1366">
        <v>5</v>
      </c>
    </row>
    <row r="1367" spans="1:24" x14ac:dyDescent="0.3">
      <c r="A1367">
        <v>1366</v>
      </c>
      <c r="B1367" t="s">
        <v>3122</v>
      </c>
      <c r="C1367" s="6">
        <v>45562</v>
      </c>
      <c r="D1367" t="str">
        <f t="shared" si="84"/>
        <v>Sep</v>
      </c>
      <c r="E1367" t="str">
        <f t="shared" si="85"/>
        <v>2024</v>
      </c>
      <c r="F1367" t="s">
        <v>5</v>
      </c>
      <c r="G1367" t="s">
        <v>455</v>
      </c>
      <c r="H1367" t="s">
        <v>1506</v>
      </c>
      <c r="I1367">
        <v>190</v>
      </c>
      <c r="J1367">
        <v>24</v>
      </c>
      <c r="K1367">
        <f t="shared" si="86"/>
        <v>12.631578947368421</v>
      </c>
      <c r="L1367" t="s">
        <v>1739</v>
      </c>
      <c r="M1367" t="s">
        <v>3751</v>
      </c>
      <c r="N1367" t="s">
        <v>1</v>
      </c>
      <c r="O1367">
        <v>801503</v>
      </c>
      <c r="P1367" t="s">
        <v>546</v>
      </c>
      <c r="Q1367" t="s">
        <v>1761</v>
      </c>
      <c r="R1367" t="s">
        <v>2</v>
      </c>
      <c r="S1367">
        <v>239.952</v>
      </c>
      <c r="T1367">
        <v>6</v>
      </c>
      <c r="U1367">
        <v>0.2</v>
      </c>
      <c r="V1367">
        <v>-35.992800000000003</v>
      </c>
      <c r="W1367">
        <f t="shared" si="87"/>
        <v>45.9908</v>
      </c>
      <c r="X1367">
        <v>3</v>
      </c>
    </row>
    <row r="1368" spans="1:24" x14ac:dyDescent="0.3">
      <c r="A1368">
        <v>1367</v>
      </c>
      <c r="B1368" t="s">
        <v>3123</v>
      </c>
      <c r="C1368" s="6">
        <v>45563</v>
      </c>
      <c r="D1368" t="str">
        <f t="shared" si="84"/>
        <v>Sep</v>
      </c>
      <c r="E1368" t="str">
        <f t="shared" si="85"/>
        <v>2024</v>
      </c>
      <c r="F1368" t="s">
        <v>5</v>
      </c>
      <c r="G1368" t="s">
        <v>455</v>
      </c>
      <c r="H1368" t="s">
        <v>749</v>
      </c>
      <c r="I1368">
        <v>190</v>
      </c>
      <c r="J1368">
        <v>24</v>
      </c>
      <c r="K1368">
        <f t="shared" si="86"/>
        <v>12.631578947368421</v>
      </c>
      <c r="L1368" t="s">
        <v>1741</v>
      </c>
      <c r="M1368" t="s">
        <v>3752</v>
      </c>
      <c r="N1368" t="s">
        <v>1</v>
      </c>
      <c r="O1368">
        <v>700092</v>
      </c>
      <c r="P1368" t="s">
        <v>546</v>
      </c>
      <c r="Q1368" t="s">
        <v>1773</v>
      </c>
      <c r="S1368">
        <v>201.584</v>
      </c>
      <c r="T1368">
        <v>2</v>
      </c>
      <c r="U1368">
        <v>0.2</v>
      </c>
      <c r="V1368">
        <v>15.1188</v>
      </c>
      <c r="W1368">
        <f t="shared" si="87"/>
        <v>93.232600000000005</v>
      </c>
      <c r="X1368">
        <v>5</v>
      </c>
    </row>
    <row r="1369" spans="1:24" x14ac:dyDescent="0.3">
      <c r="A1369">
        <v>1368</v>
      </c>
      <c r="B1369" t="s">
        <v>3124</v>
      </c>
      <c r="C1369" s="6">
        <v>45564</v>
      </c>
      <c r="D1369" t="str">
        <f t="shared" si="84"/>
        <v>Sep</v>
      </c>
      <c r="E1369" t="str">
        <f t="shared" si="85"/>
        <v>2024</v>
      </c>
      <c r="F1369" t="s">
        <v>5</v>
      </c>
      <c r="G1369" t="s">
        <v>455</v>
      </c>
      <c r="H1369" t="s">
        <v>846</v>
      </c>
      <c r="I1369">
        <v>180</v>
      </c>
      <c r="J1369">
        <v>12</v>
      </c>
      <c r="K1369">
        <f t="shared" si="86"/>
        <v>6.666666666666667</v>
      </c>
      <c r="L1369" t="s">
        <v>1736</v>
      </c>
      <c r="M1369" t="s">
        <v>3753</v>
      </c>
      <c r="N1369" t="s">
        <v>1</v>
      </c>
      <c r="O1369">
        <v>560076</v>
      </c>
      <c r="P1369" t="s">
        <v>546</v>
      </c>
      <c r="Q1369" t="s">
        <v>1759</v>
      </c>
      <c r="S1369">
        <v>899.13599999999997</v>
      </c>
      <c r="T1369">
        <v>4</v>
      </c>
      <c r="U1369">
        <v>0.2</v>
      </c>
      <c r="V1369">
        <v>-146.1096</v>
      </c>
      <c r="W1369">
        <f t="shared" si="87"/>
        <v>261.31139999999999</v>
      </c>
      <c r="X1369">
        <v>3</v>
      </c>
    </row>
    <row r="1370" spans="1:24" x14ac:dyDescent="0.3">
      <c r="A1370">
        <v>1369</v>
      </c>
      <c r="B1370" t="s">
        <v>3125</v>
      </c>
      <c r="C1370" s="6">
        <v>45565</v>
      </c>
      <c r="D1370" t="str">
        <f t="shared" si="84"/>
        <v>Sep</v>
      </c>
      <c r="E1370" t="str">
        <f t="shared" si="85"/>
        <v>2024</v>
      </c>
      <c r="F1370" t="s">
        <v>5</v>
      </c>
      <c r="G1370" t="s">
        <v>456</v>
      </c>
      <c r="H1370" t="s">
        <v>834</v>
      </c>
      <c r="I1370">
        <v>170</v>
      </c>
      <c r="J1370">
        <v>18</v>
      </c>
      <c r="K1370">
        <f t="shared" si="86"/>
        <v>10.588235294117647</v>
      </c>
      <c r="L1370" t="s">
        <v>1744</v>
      </c>
      <c r="M1370" t="s">
        <v>3754</v>
      </c>
      <c r="N1370" t="s">
        <v>1</v>
      </c>
      <c r="O1370">
        <v>500015</v>
      </c>
      <c r="P1370" t="s">
        <v>546</v>
      </c>
      <c r="Q1370" t="s">
        <v>1766</v>
      </c>
      <c r="S1370">
        <v>145.9</v>
      </c>
      <c r="T1370">
        <v>5</v>
      </c>
      <c r="U1370">
        <v>0.1</v>
      </c>
      <c r="V1370">
        <v>62.737000000000002</v>
      </c>
      <c r="W1370">
        <f t="shared" si="87"/>
        <v>16.632600000000004</v>
      </c>
      <c r="X1370">
        <v>2</v>
      </c>
    </row>
    <row r="1371" spans="1:24" x14ac:dyDescent="0.3">
      <c r="A1371">
        <v>1370</v>
      </c>
      <c r="B1371" t="s">
        <v>3126</v>
      </c>
      <c r="C1371" s="6">
        <v>45566</v>
      </c>
      <c r="D1371" t="str">
        <f t="shared" si="84"/>
        <v>Oct</v>
      </c>
      <c r="E1371" t="str">
        <f t="shared" si="85"/>
        <v>2024</v>
      </c>
      <c r="F1371" t="s">
        <v>4</v>
      </c>
      <c r="G1371" t="s">
        <v>446</v>
      </c>
      <c r="H1371" t="s">
        <v>725</v>
      </c>
      <c r="I1371">
        <v>140</v>
      </c>
      <c r="J1371">
        <v>10</v>
      </c>
      <c r="K1371">
        <f t="shared" si="86"/>
        <v>7.1428571428571423</v>
      </c>
      <c r="L1371" t="s">
        <v>1740</v>
      </c>
      <c r="M1371" t="s">
        <v>3755</v>
      </c>
      <c r="N1371" t="s">
        <v>1</v>
      </c>
      <c r="O1371">
        <v>122004</v>
      </c>
      <c r="P1371" t="s">
        <v>546</v>
      </c>
      <c r="Q1371" t="s">
        <v>1756</v>
      </c>
      <c r="S1371">
        <v>590.05799999999999</v>
      </c>
      <c r="T1371">
        <v>7</v>
      </c>
      <c r="U1371">
        <v>0.7</v>
      </c>
      <c r="V1371">
        <v>-786.74400000000003</v>
      </c>
      <c r="W1371">
        <f t="shared" si="87"/>
        <v>196.68600000000001</v>
      </c>
      <c r="X1371">
        <v>5</v>
      </c>
    </row>
    <row r="1372" spans="1:24" x14ac:dyDescent="0.3">
      <c r="A1372">
        <v>1371</v>
      </c>
      <c r="B1372" t="s">
        <v>3127</v>
      </c>
      <c r="C1372" s="6">
        <v>45567</v>
      </c>
      <c r="D1372" t="str">
        <f t="shared" si="84"/>
        <v>Oct</v>
      </c>
      <c r="E1372" t="str">
        <f t="shared" si="85"/>
        <v>2024</v>
      </c>
      <c r="F1372" t="s">
        <v>4</v>
      </c>
      <c r="G1372" t="s">
        <v>446</v>
      </c>
      <c r="H1372" t="s">
        <v>1175</v>
      </c>
      <c r="I1372">
        <v>120</v>
      </c>
      <c r="J1372">
        <v>14</v>
      </c>
      <c r="K1372">
        <f t="shared" si="86"/>
        <v>11.666666666666666</v>
      </c>
      <c r="L1372" t="s">
        <v>1742</v>
      </c>
      <c r="M1372" t="s">
        <v>3756</v>
      </c>
      <c r="N1372" t="s">
        <v>1</v>
      </c>
      <c r="O1372">
        <v>560086</v>
      </c>
      <c r="P1372" t="s">
        <v>546</v>
      </c>
      <c r="Q1372" t="s">
        <v>1770</v>
      </c>
      <c r="S1372">
        <v>14.04</v>
      </c>
      <c r="T1372">
        <v>3</v>
      </c>
      <c r="U1372">
        <v>0.2</v>
      </c>
      <c r="V1372">
        <v>1.5794999999999999</v>
      </c>
      <c r="W1372">
        <f t="shared" si="87"/>
        <v>4.1535000000000002</v>
      </c>
      <c r="X1372">
        <v>5</v>
      </c>
    </row>
    <row r="1373" spans="1:24" x14ac:dyDescent="0.3">
      <c r="A1373">
        <v>1372</v>
      </c>
      <c r="B1373" t="s">
        <v>3128</v>
      </c>
      <c r="C1373" s="6">
        <v>45568</v>
      </c>
      <c r="D1373" t="str">
        <f t="shared" si="84"/>
        <v>Oct</v>
      </c>
      <c r="E1373" t="str">
        <f t="shared" si="85"/>
        <v>2024</v>
      </c>
      <c r="F1373" t="s">
        <v>4</v>
      </c>
      <c r="G1373" t="s">
        <v>457</v>
      </c>
      <c r="H1373" t="s">
        <v>1507</v>
      </c>
      <c r="I1373">
        <v>210</v>
      </c>
      <c r="J1373">
        <v>6</v>
      </c>
      <c r="K1373">
        <f t="shared" si="86"/>
        <v>2.8571428571428572</v>
      </c>
      <c r="L1373" t="s">
        <v>1739</v>
      </c>
      <c r="M1373" t="s">
        <v>3757</v>
      </c>
      <c r="N1373" t="s">
        <v>1</v>
      </c>
      <c r="O1373">
        <v>400605</v>
      </c>
      <c r="P1373" t="s">
        <v>546</v>
      </c>
      <c r="Q1373" t="s">
        <v>1772</v>
      </c>
      <c r="S1373">
        <v>49.08</v>
      </c>
      <c r="T1373">
        <v>3</v>
      </c>
      <c r="U1373">
        <v>0.1</v>
      </c>
      <c r="V1373">
        <v>4.9080000000000004</v>
      </c>
      <c r="W1373">
        <f t="shared" si="87"/>
        <v>14.723999999999998</v>
      </c>
      <c r="X1373">
        <v>1</v>
      </c>
    </row>
    <row r="1374" spans="1:24" x14ac:dyDescent="0.3">
      <c r="A1374">
        <v>1373</v>
      </c>
      <c r="B1374" t="s">
        <v>3129</v>
      </c>
      <c r="C1374" s="6">
        <v>45569</v>
      </c>
      <c r="D1374" t="str">
        <f t="shared" si="84"/>
        <v>Oct</v>
      </c>
      <c r="E1374" t="str">
        <f t="shared" si="85"/>
        <v>2024</v>
      </c>
      <c r="F1374" t="s">
        <v>3</v>
      </c>
      <c r="G1374" t="s">
        <v>34</v>
      </c>
      <c r="H1374" t="s">
        <v>1126</v>
      </c>
      <c r="I1374">
        <v>210</v>
      </c>
      <c r="J1374">
        <v>22</v>
      </c>
      <c r="K1374">
        <f t="shared" si="86"/>
        <v>10.476190476190476</v>
      </c>
      <c r="L1374" t="s">
        <v>1738</v>
      </c>
      <c r="M1374" t="s">
        <v>3758</v>
      </c>
      <c r="N1374" t="s">
        <v>1</v>
      </c>
      <c r="O1374">
        <v>695010</v>
      </c>
      <c r="P1374" t="s">
        <v>546</v>
      </c>
      <c r="Q1374" t="s">
        <v>1761</v>
      </c>
      <c r="S1374">
        <v>29.6</v>
      </c>
      <c r="T1374">
        <v>2</v>
      </c>
      <c r="U1374">
        <v>0.1</v>
      </c>
      <c r="V1374">
        <v>14.8</v>
      </c>
      <c r="W1374">
        <f t="shared" si="87"/>
        <v>7.4</v>
      </c>
      <c r="X1374">
        <v>1</v>
      </c>
    </row>
    <row r="1375" spans="1:24" x14ac:dyDescent="0.3">
      <c r="A1375">
        <v>1374</v>
      </c>
      <c r="B1375" t="s">
        <v>3130</v>
      </c>
      <c r="C1375" s="6">
        <v>45570</v>
      </c>
      <c r="D1375" t="str">
        <f t="shared" si="84"/>
        <v>Oct</v>
      </c>
      <c r="E1375" t="str">
        <f t="shared" si="85"/>
        <v>2024</v>
      </c>
      <c r="F1375" t="s">
        <v>3</v>
      </c>
      <c r="G1375" t="s">
        <v>34</v>
      </c>
      <c r="H1375" t="s">
        <v>1508</v>
      </c>
      <c r="I1375">
        <v>150</v>
      </c>
      <c r="J1375">
        <v>10</v>
      </c>
      <c r="K1375">
        <f t="shared" si="86"/>
        <v>6.666666666666667</v>
      </c>
      <c r="L1375" t="s">
        <v>1743</v>
      </c>
      <c r="M1375" t="s">
        <v>3759</v>
      </c>
      <c r="N1375" t="s">
        <v>1</v>
      </c>
      <c r="O1375">
        <v>560068</v>
      </c>
      <c r="P1375" t="s">
        <v>546</v>
      </c>
      <c r="Q1375" t="s">
        <v>1758</v>
      </c>
      <c r="R1375" t="s">
        <v>2</v>
      </c>
      <c r="S1375">
        <v>17.088000000000001</v>
      </c>
      <c r="T1375">
        <v>4</v>
      </c>
      <c r="U1375">
        <v>0.2</v>
      </c>
      <c r="V1375">
        <v>5.5536000000000003</v>
      </c>
      <c r="W1375">
        <f t="shared" si="87"/>
        <v>2.8836000000000004</v>
      </c>
      <c r="X1375">
        <v>3</v>
      </c>
    </row>
    <row r="1376" spans="1:24" x14ac:dyDescent="0.3">
      <c r="A1376">
        <v>1375</v>
      </c>
      <c r="B1376" t="s">
        <v>3131</v>
      </c>
      <c r="C1376" s="6">
        <v>45571</v>
      </c>
      <c r="D1376" t="str">
        <f t="shared" si="84"/>
        <v>Oct</v>
      </c>
      <c r="E1376" t="str">
        <f t="shared" si="85"/>
        <v>2024</v>
      </c>
      <c r="F1376" t="s">
        <v>4</v>
      </c>
      <c r="G1376" t="s">
        <v>251</v>
      </c>
      <c r="H1376" t="s">
        <v>1509</v>
      </c>
      <c r="I1376">
        <v>250</v>
      </c>
      <c r="J1376">
        <v>30</v>
      </c>
      <c r="K1376">
        <f t="shared" si="86"/>
        <v>12</v>
      </c>
      <c r="L1376" t="s">
        <v>1737</v>
      </c>
      <c r="M1376" t="s">
        <v>3760</v>
      </c>
      <c r="N1376" t="s">
        <v>1</v>
      </c>
      <c r="O1376">
        <v>802101</v>
      </c>
      <c r="P1376" t="s">
        <v>546</v>
      </c>
      <c r="Q1376" t="s">
        <v>1763</v>
      </c>
      <c r="S1376">
        <v>912.75</v>
      </c>
      <c r="T1376">
        <v>5</v>
      </c>
      <c r="U1376">
        <v>0.1</v>
      </c>
      <c r="V1376">
        <v>118.6575</v>
      </c>
      <c r="W1376">
        <f t="shared" si="87"/>
        <v>158.8185</v>
      </c>
      <c r="X1376">
        <v>3</v>
      </c>
    </row>
    <row r="1377" spans="1:24" x14ac:dyDescent="0.3">
      <c r="A1377">
        <v>1376</v>
      </c>
      <c r="B1377" t="s">
        <v>3132</v>
      </c>
      <c r="C1377" s="6">
        <v>45572</v>
      </c>
      <c r="D1377" t="str">
        <f t="shared" si="84"/>
        <v>Oct</v>
      </c>
      <c r="E1377" t="str">
        <f t="shared" si="85"/>
        <v>2024</v>
      </c>
      <c r="F1377" t="s">
        <v>3</v>
      </c>
      <c r="G1377" t="s">
        <v>111</v>
      </c>
      <c r="H1377" t="s">
        <v>1510</v>
      </c>
      <c r="I1377">
        <v>220</v>
      </c>
      <c r="J1377">
        <v>22</v>
      </c>
      <c r="K1377">
        <f t="shared" si="86"/>
        <v>10</v>
      </c>
      <c r="L1377" t="s">
        <v>1741</v>
      </c>
      <c r="M1377" t="s">
        <v>3761</v>
      </c>
      <c r="N1377" t="s">
        <v>1</v>
      </c>
      <c r="O1377">
        <v>500032</v>
      </c>
      <c r="P1377" t="s">
        <v>546</v>
      </c>
      <c r="Q1377" t="s">
        <v>1773</v>
      </c>
      <c r="S1377">
        <v>1089.75</v>
      </c>
      <c r="T1377">
        <v>3</v>
      </c>
      <c r="U1377">
        <v>0.1</v>
      </c>
      <c r="V1377">
        <v>305.13</v>
      </c>
      <c r="W1377">
        <f t="shared" si="87"/>
        <v>261.54000000000002</v>
      </c>
      <c r="X1377">
        <v>1</v>
      </c>
    </row>
    <row r="1378" spans="1:24" x14ac:dyDescent="0.3">
      <c r="A1378">
        <v>1377</v>
      </c>
      <c r="B1378" t="s">
        <v>3133</v>
      </c>
      <c r="C1378" s="6">
        <v>45573</v>
      </c>
      <c r="D1378" t="str">
        <f t="shared" si="84"/>
        <v>Oct</v>
      </c>
      <c r="E1378" t="str">
        <f t="shared" si="85"/>
        <v>2024</v>
      </c>
      <c r="F1378" t="s">
        <v>3</v>
      </c>
      <c r="G1378" t="s">
        <v>111</v>
      </c>
      <c r="H1378" t="s">
        <v>1511</v>
      </c>
      <c r="I1378">
        <v>150</v>
      </c>
      <c r="J1378">
        <v>6</v>
      </c>
      <c r="K1378">
        <f t="shared" si="86"/>
        <v>4</v>
      </c>
      <c r="L1378" t="s">
        <v>1736</v>
      </c>
      <c r="M1378" t="s">
        <v>3762</v>
      </c>
      <c r="N1378" t="s">
        <v>1</v>
      </c>
      <c r="O1378">
        <v>700151</v>
      </c>
      <c r="P1378" t="s">
        <v>546</v>
      </c>
      <c r="Q1378" t="s">
        <v>1775</v>
      </c>
      <c r="S1378">
        <v>447.84</v>
      </c>
      <c r="T1378">
        <v>8</v>
      </c>
      <c r="U1378">
        <v>0.1</v>
      </c>
      <c r="V1378">
        <v>219.44159999999999</v>
      </c>
      <c r="W1378">
        <f t="shared" si="87"/>
        <v>28.549799999999998</v>
      </c>
      <c r="X1378">
        <v>4</v>
      </c>
    </row>
    <row r="1379" spans="1:24" x14ac:dyDescent="0.3">
      <c r="A1379">
        <v>1378</v>
      </c>
      <c r="B1379" t="s">
        <v>3134</v>
      </c>
      <c r="C1379" s="6">
        <v>45574</v>
      </c>
      <c r="D1379" t="str">
        <f t="shared" si="84"/>
        <v>Oct</v>
      </c>
      <c r="E1379" t="str">
        <f t="shared" si="85"/>
        <v>2024</v>
      </c>
      <c r="F1379" t="s">
        <v>3</v>
      </c>
      <c r="G1379" t="s">
        <v>111</v>
      </c>
      <c r="H1379" t="s">
        <v>1512</v>
      </c>
      <c r="I1379">
        <v>200</v>
      </c>
      <c r="J1379">
        <v>20</v>
      </c>
      <c r="K1379">
        <f t="shared" si="86"/>
        <v>10</v>
      </c>
      <c r="L1379" t="s">
        <v>1744</v>
      </c>
      <c r="M1379" t="s">
        <v>3763</v>
      </c>
      <c r="N1379" t="s">
        <v>1</v>
      </c>
      <c r="O1379">
        <v>670643</v>
      </c>
      <c r="P1379" t="s">
        <v>546</v>
      </c>
      <c r="Q1379" t="s">
        <v>1761</v>
      </c>
      <c r="S1379">
        <v>16.399999999999999</v>
      </c>
      <c r="T1379">
        <v>5</v>
      </c>
      <c r="U1379">
        <v>0.1</v>
      </c>
      <c r="V1379">
        <v>4.2640000000000002</v>
      </c>
      <c r="W1379">
        <f t="shared" si="87"/>
        <v>2.4272</v>
      </c>
      <c r="X1379">
        <v>5</v>
      </c>
    </row>
    <row r="1380" spans="1:24" x14ac:dyDescent="0.3">
      <c r="A1380">
        <v>1379</v>
      </c>
      <c r="B1380" t="s">
        <v>3135</v>
      </c>
      <c r="C1380" s="6">
        <v>45575</v>
      </c>
      <c r="D1380" t="str">
        <f t="shared" si="84"/>
        <v>Oct</v>
      </c>
      <c r="E1380" t="str">
        <f t="shared" si="85"/>
        <v>2024</v>
      </c>
      <c r="F1380" t="s">
        <v>3</v>
      </c>
      <c r="G1380" t="s">
        <v>111</v>
      </c>
      <c r="H1380" t="s">
        <v>1513</v>
      </c>
      <c r="I1380">
        <v>190</v>
      </c>
      <c r="J1380">
        <v>26</v>
      </c>
      <c r="K1380">
        <f t="shared" si="86"/>
        <v>13.684210526315791</v>
      </c>
      <c r="L1380" t="s">
        <v>1740</v>
      </c>
      <c r="M1380" t="s">
        <v>3764</v>
      </c>
      <c r="N1380" t="s">
        <v>1</v>
      </c>
      <c r="O1380">
        <v>560066</v>
      </c>
      <c r="P1380" t="s">
        <v>546</v>
      </c>
      <c r="Q1380" t="s">
        <v>1761</v>
      </c>
      <c r="R1380" t="s">
        <v>2</v>
      </c>
      <c r="S1380">
        <v>399.96</v>
      </c>
      <c r="T1380">
        <v>5</v>
      </c>
      <c r="U1380">
        <v>0.2</v>
      </c>
      <c r="V1380">
        <v>34.996499999999997</v>
      </c>
      <c r="W1380">
        <f t="shared" si="87"/>
        <v>72.992699999999985</v>
      </c>
      <c r="X1380">
        <v>1</v>
      </c>
    </row>
    <row r="1381" spans="1:24" x14ac:dyDescent="0.3">
      <c r="A1381">
        <v>1380</v>
      </c>
      <c r="B1381" t="s">
        <v>3136</v>
      </c>
      <c r="C1381" s="6">
        <v>45576</v>
      </c>
      <c r="D1381" t="str">
        <f t="shared" si="84"/>
        <v>Oct</v>
      </c>
      <c r="E1381" t="str">
        <f t="shared" si="85"/>
        <v>2024</v>
      </c>
      <c r="F1381" t="s">
        <v>3</v>
      </c>
      <c r="G1381" t="s">
        <v>111</v>
      </c>
      <c r="H1381" t="s">
        <v>1514</v>
      </c>
      <c r="I1381">
        <v>160</v>
      </c>
      <c r="J1381">
        <v>22</v>
      </c>
      <c r="K1381">
        <f t="shared" si="86"/>
        <v>13.750000000000002</v>
      </c>
      <c r="L1381" t="s">
        <v>1742</v>
      </c>
      <c r="M1381" t="s">
        <v>3765</v>
      </c>
      <c r="N1381" t="s">
        <v>1</v>
      </c>
      <c r="O1381">
        <v>600041</v>
      </c>
      <c r="P1381" t="s">
        <v>546</v>
      </c>
      <c r="Q1381" t="s">
        <v>1755</v>
      </c>
      <c r="S1381">
        <v>158.9</v>
      </c>
      <c r="T1381">
        <v>5</v>
      </c>
      <c r="U1381">
        <v>0.1</v>
      </c>
      <c r="V1381">
        <v>7.9450000000000003</v>
      </c>
      <c r="W1381">
        <f t="shared" si="87"/>
        <v>30.191000000000003</v>
      </c>
      <c r="X1381">
        <v>3</v>
      </c>
    </row>
    <row r="1382" spans="1:24" x14ac:dyDescent="0.3">
      <c r="A1382">
        <v>1381</v>
      </c>
      <c r="B1382" t="s">
        <v>3137</v>
      </c>
      <c r="C1382" s="6">
        <v>45577</v>
      </c>
      <c r="D1382" t="str">
        <f t="shared" si="84"/>
        <v>Oct</v>
      </c>
      <c r="E1382" t="str">
        <f t="shared" si="85"/>
        <v>2024</v>
      </c>
      <c r="F1382" t="s">
        <v>3</v>
      </c>
      <c r="G1382" t="s">
        <v>111</v>
      </c>
      <c r="H1382" t="s">
        <v>638</v>
      </c>
      <c r="I1382">
        <v>200</v>
      </c>
      <c r="J1382">
        <v>20</v>
      </c>
      <c r="K1382">
        <f t="shared" si="86"/>
        <v>10</v>
      </c>
      <c r="L1382" t="s">
        <v>1739</v>
      </c>
      <c r="M1382" t="s">
        <v>3766</v>
      </c>
      <c r="N1382" t="s">
        <v>1</v>
      </c>
      <c r="O1382">
        <v>462030</v>
      </c>
      <c r="P1382" t="s">
        <v>546</v>
      </c>
      <c r="Q1382" t="s">
        <v>1763</v>
      </c>
      <c r="R1382" t="s">
        <v>2</v>
      </c>
      <c r="S1382">
        <v>13.183999999999999</v>
      </c>
      <c r="T1382">
        <v>1</v>
      </c>
      <c r="U1382">
        <v>0.2</v>
      </c>
      <c r="V1382">
        <v>4.7792000000000003</v>
      </c>
      <c r="W1382">
        <f t="shared" si="87"/>
        <v>8.4047999999999981</v>
      </c>
      <c r="X1382">
        <v>2</v>
      </c>
    </row>
    <row r="1383" spans="1:24" x14ac:dyDescent="0.3">
      <c r="A1383">
        <v>1382</v>
      </c>
      <c r="B1383" t="s">
        <v>3138</v>
      </c>
      <c r="C1383" s="6">
        <v>45578</v>
      </c>
      <c r="D1383" t="str">
        <f t="shared" si="84"/>
        <v>Oct</v>
      </c>
      <c r="E1383" t="str">
        <f t="shared" si="85"/>
        <v>2024</v>
      </c>
      <c r="F1383" t="s">
        <v>4</v>
      </c>
      <c r="G1383" t="s">
        <v>458</v>
      </c>
      <c r="H1383" t="s">
        <v>1130</v>
      </c>
      <c r="I1383">
        <v>130</v>
      </c>
      <c r="J1383">
        <v>12</v>
      </c>
      <c r="K1383">
        <f t="shared" si="86"/>
        <v>9.2307692307692317</v>
      </c>
      <c r="L1383" t="s">
        <v>1738</v>
      </c>
      <c r="M1383" t="s">
        <v>3767</v>
      </c>
      <c r="N1383" t="s">
        <v>1</v>
      </c>
      <c r="O1383">
        <v>560035</v>
      </c>
      <c r="P1383" t="s">
        <v>546</v>
      </c>
      <c r="Q1383" t="s">
        <v>1761</v>
      </c>
      <c r="S1383">
        <v>83.951999999999998</v>
      </c>
      <c r="T1383">
        <v>3</v>
      </c>
      <c r="U1383">
        <v>0.6</v>
      </c>
      <c r="V1383">
        <v>-90.248400000000004</v>
      </c>
      <c r="W1383">
        <f t="shared" si="87"/>
        <v>58.066800000000001</v>
      </c>
      <c r="X1383">
        <v>5</v>
      </c>
    </row>
    <row r="1384" spans="1:24" x14ac:dyDescent="0.3">
      <c r="A1384">
        <v>1383</v>
      </c>
      <c r="B1384" t="s">
        <v>3139</v>
      </c>
      <c r="C1384" s="6">
        <v>45579</v>
      </c>
      <c r="D1384" t="str">
        <f t="shared" si="84"/>
        <v>Oct</v>
      </c>
      <c r="E1384" t="str">
        <f t="shared" si="85"/>
        <v>2024</v>
      </c>
      <c r="F1384" t="s">
        <v>6</v>
      </c>
      <c r="G1384" t="s">
        <v>459</v>
      </c>
      <c r="H1384" t="s">
        <v>1418</v>
      </c>
      <c r="I1384">
        <v>210</v>
      </c>
      <c r="J1384">
        <v>24</v>
      </c>
      <c r="K1384">
        <f t="shared" si="86"/>
        <v>11.428571428571429</v>
      </c>
      <c r="L1384" t="s">
        <v>1737</v>
      </c>
      <c r="M1384" t="s">
        <v>3768</v>
      </c>
      <c r="N1384" t="s">
        <v>1</v>
      </c>
      <c r="O1384">
        <v>500060</v>
      </c>
      <c r="P1384" t="s">
        <v>546</v>
      </c>
      <c r="Q1384" t="s">
        <v>1775</v>
      </c>
      <c r="S1384">
        <v>80.98</v>
      </c>
      <c r="T1384">
        <v>1</v>
      </c>
      <c r="U1384">
        <v>0.1</v>
      </c>
      <c r="V1384">
        <v>1.6195999999999999</v>
      </c>
      <c r="W1384">
        <f t="shared" si="87"/>
        <v>79.360399999999998</v>
      </c>
      <c r="X1384">
        <v>3</v>
      </c>
    </row>
    <row r="1385" spans="1:24" x14ac:dyDescent="0.3">
      <c r="A1385">
        <v>1384</v>
      </c>
      <c r="B1385" t="s">
        <v>3140</v>
      </c>
      <c r="C1385" s="6">
        <v>45580</v>
      </c>
      <c r="D1385" t="str">
        <f t="shared" si="84"/>
        <v>Oct</v>
      </c>
      <c r="E1385" t="str">
        <f t="shared" si="85"/>
        <v>2024</v>
      </c>
      <c r="F1385" t="s">
        <v>6</v>
      </c>
      <c r="G1385" t="s">
        <v>459</v>
      </c>
      <c r="H1385" t="s">
        <v>1515</v>
      </c>
      <c r="I1385">
        <v>130</v>
      </c>
      <c r="J1385">
        <v>10</v>
      </c>
      <c r="K1385">
        <f t="shared" si="86"/>
        <v>7.6923076923076925</v>
      </c>
      <c r="L1385" t="s">
        <v>1743</v>
      </c>
      <c r="M1385" t="s">
        <v>3769</v>
      </c>
      <c r="N1385" t="s">
        <v>1</v>
      </c>
      <c r="O1385">
        <v>560037</v>
      </c>
      <c r="P1385" t="s">
        <v>546</v>
      </c>
      <c r="Q1385" t="s">
        <v>1766</v>
      </c>
      <c r="S1385">
        <v>348.84</v>
      </c>
      <c r="T1385">
        <v>9</v>
      </c>
      <c r="U1385">
        <v>0.1</v>
      </c>
      <c r="V1385">
        <v>170.9316</v>
      </c>
      <c r="W1385">
        <f t="shared" si="87"/>
        <v>19.767599999999998</v>
      </c>
      <c r="X1385">
        <v>1</v>
      </c>
    </row>
    <row r="1386" spans="1:24" x14ac:dyDescent="0.3">
      <c r="A1386">
        <v>1385</v>
      </c>
      <c r="B1386" t="s">
        <v>3141</v>
      </c>
      <c r="C1386" s="6">
        <v>45581</v>
      </c>
      <c r="D1386" t="str">
        <f t="shared" si="84"/>
        <v>Oct</v>
      </c>
      <c r="E1386" t="str">
        <f t="shared" si="85"/>
        <v>2024</v>
      </c>
      <c r="F1386" t="s">
        <v>6</v>
      </c>
      <c r="G1386" t="s">
        <v>459</v>
      </c>
      <c r="H1386" t="s">
        <v>1516</v>
      </c>
      <c r="I1386">
        <v>180</v>
      </c>
      <c r="J1386">
        <v>6</v>
      </c>
      <c r="K1386">
        <f t="shared" si="86"/>
        <v>3.3333333333333335</v>
      </c>
      <c r="L1386" t="s">
        <v>1738</v>
      </c>
      <c r="M1386" t="s">
        <v>3770</v>
      </c>
      <c r="N1386" t="s">
        <v>1</v>
      </c>
      <c r="O1386">
        <v>302017</v>
      </c>
      <c r="P1386" t="s">
        <v>546</v>
      </c>
      <c r="Q1386" t="s">
        <v>1761</v>
      </c>
      <c r="S1386">
        <v>9.4499999999999993</v>
      </c>
      <c r="T1386">
        <v>5</v>
      </c>
      <c r="U1386">
        <v>0.1</v>
      </c>
      <c r="V1386">
        <v>0.189</v>
      </c>
      <c r="W1386">
        <f t="shared" si="87"/>
        <v>1.8521999999999998</v>
      </c>
      <c r="X1386">
        <v>2</v>
      </c>
    </row>
    <row r="1387" spans="1:24" x14ac:dyDescent="0.3">
      <c r="A1387">
        <v>1386</v>
      </c>
      <c r="B1387" t="s">
        <v>3142</v>
      </c>
      <c r="C1387" s="6">
        <v>45582</v>
      </c>
      <c r="D1387" t="str">
        <f t="shared" si="84"/>
        <v>Oct</v>
      </c>
      <c r="E1387" t="str">
        <f t="shared" si="85"/>
        <v>2024</v>
      </c>
      <c r="F1387" t="s">
        <v>6</v>
      </c>
      <c r="G1387" t="s">
        <v>459</v>
      </c>
      <c r="H1387" t="s">
        <v>814</v>
      </c>
      <c r="I1387">
        <v>170</v>
      </c>
      <c r="J1387">
        <v>14</v>
      </c>
      <c r="K1387">
        <f t="shared" si="86"/>
        <v>8.235294117647058</v>
      </c>
      <c r="L1387" t="s">
        <v>1739</v>
      </c>
      <c r="M1387" t="s">
        <v>3771</v>
      </c>
      <c r="N1387" t="s">
        <v>1</v>
      </c>
      <c r="O1387">
        <v>110074</v>
      </c>
      <c r="P1387" t="s">
        <v>546</v>
      </c>
      <c r="Q1387" t="s">
        <v>1767</v>
      </c>
      <c r="S1387">
        <v>18.84</v>
      </c>
      <c r="T1387">
        <v>3</v>
      </c>
      <c r="U1387">
        <v>0.1</v>
      </c>
      <c r="V1387">
        <v>7.1592000000000002</v>
      </c>
      <c r="W1387">
        <f t="shared" si="87"/>
        <v>3.8935999999999997</v>
      </c>
      <c r="X1387">
        <v>4</v>
      </c>
    </row>
    <row r="1388" spans="1:24" x14ac:dyDescent="0.3">
      <c r="A1388">
        <v>1387</v>
      </c>
      <c r="B1388" t="s">
        <v>3143</v>
      </c>
      <c r="C1388" s="6">
        <v>45583</v>
      </c>
      <c r="D1388" t="str">
        <f t="shared" si="84"/>
        <v>Oct</v>
      </c>
      <c r="E1388" t="str">
        <f t="shared" si="85"/>
        <v>2024</v>
      </c>
      <c r="F1388" t="s">
        <v>6</v>
      </c>
      <c r="G1388" t="s">
        <v>459</v>
      </c>
      <c r="H1388" t="s">
        <v>1121</v>
      </c>
      <c r="I1388">
        <v>130</v>
      </c>
      <c r="J1388">
        <v>16</v>
      </c>
      <c r="K1388">
        <f t="shared" si="86"/>
        <v>12.307692307692308</v>
      </c>
      <c r="L1388" t="s">
        <v>1741</v>
      </c>
      <c r="M1388" t="s">
        <v>3772</v>
      </c>
      <c r="O1388">
        <v>852131</v>
      </c>
      <c r="P1388" t="s">
        <v>546</v>
      </c>
      <c r="Q1388" t="s">
        <v>1767</v>
      </c>
      <c r="S1388">
        <v>239.98</v>
      </c>
      <c r="T1388">
        <v>2</v>
      </c>
      <c r="U1388">
        <v>0.1</v>
      </c>
      <c r="V1388">
        <v>52.7956</v>
      </c>
      <c r="W1388">
        <f t="shared" si="87"/>
        <v>93.592199999999991</v>
      </c>
      <c r="X1388">
        <v>1</v>
      </c>
    </row>
    <row r="1389" spans="1:24" x14ac:dyDescent="0.3">
      <c r="A1389">
        <v>1388</v>
      </c>
      <c r="B1389" t="s">
        <v>2746</v>
      </c>
      <c r="C1389" s="6">
        <v>45584</v>
      </c>
      <c r="D1389" t="str">
        <f t="shared" si="84"/>
        <v>Oct</v>
      </c>
      <c r="E1389" t="str">
        <f t="shared" si="85"/>
        <v>2024</v>
      </c>
      <c r="F1389" t="s">
        <v>6</v>
      </c>
      <c r="G1389" t="s">
        <v>459</v>
      </c>
      <c r="H1389" t="s">
        <v>1517</v>
      </c>
      <c r="I1389">
        <v>240</v>
      </c>
      <c r="J1389">
        <v>22</v>
      </c>
      <c r="K1389">
        <f t="shared" si="86"/>
        <v>9.1666666666666661</v>
      </c>
      <c r="L1389" t="s">
        <v>1736</v>
      </c>
      <c r="M1389" t="s">
        <v>3773</v>
      </c>
      <c r="N1389" t="s">
        <v>1</v>
      </c>
      <c r="O1389">
        <v>627003</v>
      </c>
      <c r="P1389" t="s">
        <v>546</v>
      </c>
      <c r="Q1389" t="s">
        <v>1761</v>
      </c>
      <c r="R1389" t="s">
        <v>2</v>
      </c>
      <c r="S1389">
        <v>167.96</v>
      </c>
      <c r="T1389">
        <v>2</v>
      </c>
      <c r="U1389">
        <v>0.1</v>
      </c>
      <c r="V1389">
        <v>78.941199999999995</v>
      </c>
      <c r="W1389">
        <f t="shared" si="87"/>
        <v>44.509400000000007</v>
      </c>
      <c r="X1389">
        <v>2</v>
      </c>
    </row>
    <row r="1390" spans="1:24" x14ac:dyDescent="0.3">
      <c r="A1390">
        <v>1389</v>
      </c>
      <c r="B1390" t="s">
        <v>3144</v>
      </c>
      <c r="C1390" s="6">
        <v>45585</v>
      </c>
      <c r="D1390" t="str">
        <f t="shared" si="84"/>
        <v>Oct</v>
      </c>
      <c r="E1390" t="str">
        <f t="shared" si="85"/>
        <v>2024</v>
      </c>
      <c r="F1390" t="s">
        <v>6</v>
      </c>
      <c r="G1390" t="s">
        <v>459</v>
      </c>
      <c r="H1390" t="s">
        <v>686</v>
      </c>
      <c r="I1390">
        <v>130</v>
      </c>
      <c r="J1390">
        <v>6</v>
      </c>
      <c r="K1390">
        <f t="shared" si="86"/>
        <v>4.6153846153846159</v>
      </c>
      <c r="L1390" t="s">
        <v>1744</v>
      </c>
      <c r="M1390" t="s">
        <v>3774</v>
      </c>
      <c r="O1390">
        <v>500061</v>
      </c>
      <c r="P1390" t="s">
        <v>546</v>
      </c>
      <c r="Q1390" t="s">
        <v>1759</v>
      </c>
      <c r="S1390">
        <v>104.85</v>
      </c>
      <c r="T1390">
        <v>3</v>
      </c>
      <c r="U1390">
        <v>0.1</v>
      </c>
      <c r="V1390">
        <v>28.3095</v>
      </c>
      <c r="W1390">
        <f t="shared" si="87"/>
        <v>25.513499999999997</v>
      </c>
      <c r="X1390">
        <v>2</v>
      </c>
    </row>
    <row r="1391" spans="1:24" x14ac:dyDescent="0.3">
      <c r="A1391">
        <v>1390</v>
      </c>
      <c r="B1391" t="s">
        <v>3145</v>
      </c>
      <c r="C1391" s="6">
        <v>45586</v>
      </c>
      <c r="D1391" t="str">
        <f t="shared" si="84"/>
        <v>Oct</v>
      </c>
      <c r="E1391" t="str">
        <f t="shared" si="85"/>
        <v>2024</v>
      </c>
      <c r="F1391" t="s">
        <v>6</v>
      </c>
      <c r="G1391" t="s">
        <v>459</v>
      </c>
      <c r="H1391" t="s">
        <v>844</v>
      </c>
      <c r="I1391">
        <v>100</v>
      </c>
      <c r="J1391">
        <v>20</v>
      </c>
      <c r="K1391">
        <f t="shared" si="86"/>
        <v>20</v>
      </c>
      <c r="L1391" t="s">
        <v>1740</v>
      </c>
      <c r="M1391" t="s">
        <v>3775</v>
      </c>
      <c r="N1391" t="s">
        <v>1</v>
      </c>
      <c r="O1391">
        <v>638008</v>
      </c>
      <c r="P1391" t="s">
        <v>546</v>
      </c>
      <c r="Q1391" t="s">
        <v>1758</v>
      </c>
      <c r="S1391">
        <v>484.83</v>
      </c>
      <c r="T1391">
        <v>3</v>
      </c>
      <c r="U1391">
        <v>0.1</v>
      </c>
      <c r="V1391">
        <v>126.0558</v>
      </c>
      <c r="W1391">
        <f t="shared" si="87"/>
        <v>119.59139999999998</v>
      </c>
      <c r="X1391">
        <v>4</v>
      </c>
    </row>
    <row r="1392" spans="1:24" x14ac:dyDescent="0.3">
      <c r="A1392">
        <v>1391</v>
      </c>
      <c r="B1392" t="s">
        <v>3146</v>
      </c>
      <c r="C1392" s="6">
        <v>45587</v>
      </c>
      <c r="D1392" t="str">
        <f t="shared" si="84"/>
        <v>Oct</v>
      </c>
      <c r="E1392" t="str">
        <f t="shared" si="85"/>
        <v>2024</v>
      </c>
      <c r="F1392" t="s">
        <v>6</v>
      </c>
      <c r="G1392" t="s">
        <v>459</v>
      </c>
      <c r="H1392" t="s">
        <v>994</v>
      </c>
      <c r="I1392">
        <v>200</v>
      </c>
      <c r="J1392">
        <v>22</v>
      </c>
      <c r="K1392">
        <f t="shared" si="86"/>
        <v>11</v>
      </c>
      <c r="L1392" t="s">
        <v>1742</v>
      </c>
      <c r="M1392" t="s">
        <v>3776</v>
      </c>
      <c r="N1392" t="s">
        <v>1</v>
      </c>
      <c r="O1392">
        <v>121002</v>
      </c>
      <c r="P1392" t="s">
        <v>546</v>
      </c>
      <c r="Q1392" t="s">
        <v>1768</v>
      </c>
      <c r="S1392">
        <v>122.97</v>
      </c>
      <c r="T1392">
        <v>3</v>
      </c>
      <c r="U1392">
        <v>0.1</v>
      </c>
      <c r="V1392">
        <v>60.255299999999998</v>
      </c>
      <c r="W1392">
        <f t="shared" si="87"/>
        <v>20.904900000000001</v>
      </c>
      <c r="X1392">
        <v>2</v>
      </c>
    </row>
    <row r="1393" spans="1:24" x14ac:dyDescent="0.3">
      <c r="A1393">
        <v>1392</v>
      </c>
      <c r="B1393" t="s">
        <v>3147</v>
      </c>
      <c r="C1393" s="6">
        <v>45588</v>
      </c>
      <c r="D1393" t="str">
        <f t="shared" si="84"/>
        <v>Oct</v>
      </c>
      <c r="E1393" t="str">
        <f t="shared" si="85"/>
        <v>2024</v>
      </c>
      <c r="F1393" t="s">
        <v>6</v>
      </c>
      <c r="G1393" t="s">
        <v>459</v>
      </c>
      <c r="H1393" t="s">
        <v>779</v>
      </c>
      <c r="I1393">
        <v>180</v>
      </c>
      <c r="J1393">
        <v>8</v>
      </c>
      <c r="K1393">
        <f t="shared" si="86"/>
        <v>4.4444444444444446</v>
      </c>
      <c r="L1393" t="s">
        <v>1739</v>
      </c>
      <c r="M1393" t="s">
        <v>3777</v>
      </c>
      <c r="N1393" t="s">
        <v>1</v>
      </c>
      <c r="O1393">
        <v>110067</v>
      </c>
      <c r="P1393" t="s">
        <v>546</v>
      </c>
      <c r="Q1393" t="s">
        <v>1774</v>
      </c>
      <c r="S1393">
        <v>154.44</v>
      </c>
      <c r="T1393">
        <v>3</v>
      </c>
      <c r="U1393">
        <v>0.1</v>
      </c>
      <c r="V1393">
        <v>1.5444</v>
      </c>
      <c r="W1393">
        <f t="shared" si="87"/>
        <v>50.965200000000003</v>
      </c>
      <c r="X1393">
        <v>1</v>
      </c>
    </row>
    <row r="1394" spans="1:24" x14ac:dyDescent="0.3">
      <c r="A1394">
        <v>1393</v>
      </c>
      <c r="B1394" t="s">
        <v>3148</v>
      </c>
      <c r="C1394" s="6">
        <v>45589</v>
      </c>
      <c r="D1394" t="str">
        <f t="shared" si="84"/>
        <v>Oct</v>
      </c>
      <c r="E1394" t="str">
        <f t="shared" si="85"/>
        <v>2024</v>
      </c>
      <c r="F1394" t="s">
        <v>6</v>
      </c>
      <c r="G1394" t="s">
        <v>459</v>
      </c>
      <c r="H1394" t="s">
        <v>609</v>
      </c>
      <c r="I1394">
        <v>170</v>
      </c>
      <c r="J1394">
        <v>10</v>
      </c>
      <c r="K1394">
        <f t="shared" si="86"/>
        <v>5.8823529411764701</v>
      </c>
      <c r="L1394" t="s">
        <v>1738</v>
      </c>
      <c r="M1394" t="s">
        <v>3778</v>
      </c>
      <c r="N1394" t="s">
        <v>1</v>
      </c>
      <c r="O1394">
        <v>600058</v>
      </c>
      <c r="P1394" t="s">
        <v>546</v>
      </c>
      <c r="Q1394" t="s">
        <v>1766</v>
      </c>
      <c r="R1394" t="s">
        <v>2</v>
      </c>
      <c r="S1394">
        <v>342.37</v>
      </c>
      <c r="T1394">
        <v>7</v>
      </c>
      <c r="U1394">
        <v>0.1</v>
      </c>
      <c r="V1394">
        <v>160.91390000000001</v>
      </c>
      <c r="W1394">
        <f t="shared" si="87"/>
        <v>25.9223</v>
      </c>
      <c r="X1394">
        <v>5</v>
      </c>
    </row>
    <row r="1395" spans="1:24" x14ac:dyDescent="0.3">
      <c r="A1395">
        <v>1394</v>
      </c>
      <c r="B1395" t="s">
        <v>3149</v>
      </c>
      <c r="C1395" s="6">
        <v>45590</v>
      </c>
      <c r="D1395" t="str">
        <f t="shared" si="84"/>
        <v>Oct</v>
      </c>
      <c r="E1395" t="str">
        <f t="shared" si="85"/>
        <v>2024</v>
      </c>
      <c r="F1395" t="s">
        <v>5</v>
      </c>
      <c r="G1395" t="s">
        <v>460</v>
      </c>
      <c r="H1395" t="s">
        <v>728</v>
      </c>
      <c r="I1395">
        <v>100</v>
      </c>
      <c r="J1395">
        <v>22</v>
      </c>
      <c r="K1395">
        <f t="shared" si="86"/>
        <v>22</v>
      </c>
      <c r="L1395" t="s">
        <v>1743</v>
      </c>
      <c r="M1395" t="s">
        <v>3779</v>
      </c>
      <c r="N1395" t="s">
        <v>1</v>
      </c>
      <c r="O1395">
        <v>380061</v>
      </c>
      <c r="P1395" t="s">
        <v>546</v>
      </c>
      <c r="Q1395" t="s">
        <v>1754</v>
      </c>
      <c r="R1395" t="s">
        <v>2</v>
      </c>
      <c r="S1395">
        <v>9.5519999999999996</v>
      </c>
      <c r="T1395">
        <v>3</v>
      </c>
      <c r="U1395">
        <v>0.2</v>
      </c>
      <c r="V1395">
        <v>1.5522</v>
      </c>
      <c r="W1395">
        <f t="shared" si="87"/>
        <v>2.6665999999999999</v>
      </c>
      <c r="X1395">
        <v>1</v>
      </c>
    </row>
    <row r="1396" spans="1:24" x14ac:dyDescent="0.3">
      <c r="A1396">
        <v>1395</v>
      </c>
      <c r="B1396" t="s">
        <v>3150</v>
      </c>
      <c r="C1396" s="6">
        <v>45591</v>
      </c>
      <c r="D1396" t="str">
        <f t="shared" si="84"/>
        <v>Oct</v>
      </c>
      <c r="E1396" t="str">
        <f t="shared" si="85"/>
        <v>2024</v>
      </c>
      <c r="F1396" t="s">
        <v>4</v>
      </c>
      <c r="G1396" t="s">
        <v>323</v>
      </c>
      <c r="H1396" t="s">
        <v>1518</v>
      </c>
      <c r="I1396">
        <v>120</v>
      </c>
      <c r="J1396">
        <v>18</v>
      </c>
      <c r="K1396">
        <f t="shared" si="86"/>
        <v>15</v>
      </c>
      <c r="L1396" t="s">
        <v>1737</v>
      </c>
      <c r="M1396" t="s">
        <v>3780</v>
      </c>
      <c r="O1396">
        <v>500043</v>
      </c>
      <c r="P1396" t="s">
        <v>546</v>
      </c>
      <c r="Q1396" t="s">
        <v>1759</v>
      </c>
      <c r="S1396">
        <v>652.45000000000005</v>
      </c>
      <c r="T1396">
        <v>5</v>
      </c>
      <c r="U1396">
        <v>0.5</v>
      </c>
      <c r="V1396">
        <v>-430.61700000000002</v>
      </c>
      <c r="W1396">
        <f t="shared" si="87"/>
        <v>216.61340000000001</v>
      </c>
      <c r="X1396">
        <v>1</v>
      </c>
    </row>
    <row r="1397" spans="1:24" x14ac:dyDescent="0.3">
      <c r="A1397">
        <v>1396</v>
      </c>
      <c r="B1397" t="s">
        <v>3151</v>
      </c>
      <c r="C1397" s="6">
        <v>45592</v>
      </c>
      <c r="D1397" t="str">
        <f t="shared" si="84"/>
        <v>Oct</v>
      </c>
      <c r="E1397" t="str">
        <f t="shared" si="85"/>
        <v>2024</v>
      </c>
      <c r="F1397" t="s">
        <v>4</v>
      </c>
      <c r="G1397" t="s">
        <v>323</v>
      </c>
      <c r="H1397" t="s">
        <v>1519</v>
      </c>
      <c r="I1397">
        <v>180</v>
      </c>
      <c r="J1397">
        <v>26</v>
      </c>
      <c r="K1397">
        <f t="shared" si="86"/>
        <v>14.444444444444443</v>
      </c>
      <c r="L1397" t="s">
        <v>1741</v>
      </c>
      <c r="M1397" t="s">
        <v>3781</v>
      </c>
      <c r="N1397" t="s">
        <v>1</v>
      </c>
      <c r="O1397">
        <v>515134</v>
      </c>
      <c r="P1397" t="s">
        <v>546</v>
      </c>
      <c r="Q1397" t="s">
        <v>1775</v>
      </c>
      <c r="S1397">
        <v>66.644999999999996</v>
      </c>
      <c r="T1397">
        <v>3</v>
      </c>
      <c r="U1397">
        <v>0.5</v>
      </c>
      <c r="V1397">
        <v>-42.652799999999999</v>
      </c>
      <c r="W1397">
        <f t="shared" si="87"/>
        <v>36.432600000000001</v>
      </c>
      <c r="X1397">
        <v>5</v>
      </c>
    </row>
    <row r="1398" spans="1:24" x14ac:dyDescent="0.3">
      <c r="A1398">
        <v>1397</v>
      </c>
      <c r="B1398" t="s">
        <v>3152</v>
      </c>
      <c r="C1398" s="6">
        <v>45593</v>
      </c>
      <c r="D1398" t="str">
        <f t="shared" si="84"/>
        <v>Oct</v>
      </c>
      <c r="E1398" t="str">
        <f t="shared" si="85"/>
        <v>2024</v>
      </c>
      <c r="F1398" t="s">
        <v>5</v>
      </c>
      <c r="G1398" t="s">
        <v>403</v>
      </c>
      <c r="H1398" t="s">
        <v>1520</v>
      </c>
      <c r="I1398">
        <v>180</v>
      </c>
      <c r="J1398">
        <v>28</v>
      </c>
      <c r="K1398">
        <f t="shared" si="86"/>
        <v>15.555555555555555</v>
      </c>
      <c r="L1398" t="s">
        <v>1736</v>
      </c>
      <c r="M1398" t="s">
        <v>3782</v>
      </c>
      <c r="N1398" t="s">
        <v>1</v>
      </c>
      <c r="O1398">
        <v>411028</v>
      </c>
      <c r="P1398" t="s">
        <v>546</v>
      </c>
      <c r="Q1398" t="s">
        <v>1756</v>
      </c>
      <c r="R1398" t="s">
        <v>2</v>
      </c>
      <c r="S1398">
        <v>17.216000000000001</v>
      </c>
      <c r="T1398">
        <v>4</v>
      </c>
      <c r="U1398">
        <v>0.2</v>
      </c>
      <c r="V1398">
        <v>6.0255999999999998</v>
      </c>
      <c r="W1398">
        <f t="shared" si="87"/>
        <v>2.7976000000000001</v>
      </c>
      <c r="X1398">
        <v>3</v>
      </c>
    </row>
    <row r="1399" spans="1:24" x14ac:dyDescent="0.3">
      <c r="A1399">
        <v>1398</v>
      </c>
      <c r="B1399" t="s">
        <v>3153</v>
      </c>
      <c r="C1399" s="6">
        <v>45594</v>
      </c>
      <c r="D1399" t="str">
        <f t="shared" si="84"/>
        <v>Oct</v>
      </c>
      <c r="E1399" t="str">
        <f t="shared" si="85"/>
        <v>2024</v>
      </c>
      <c r="F1399" t="s">
        <v>5</v>
      </c>
      <c r="G1399" t="s">
        <v>403</v>
      </c>
      <c r="H1399" t="s">
        <v>1156</v>
      </c>
      <c r="I1399">
        <v>120</v>
      </c>
      <c r="J1399">
        <v>28</v>
      </c>
      <c r="K1399">
        <f t="shared" si="86"/>
        <v>23.333333333333332</v>
      </c>
      <c r="L1399" t="s">
        <v>1744</v>
      </c>
      <c r="M1399" t="s">
        <v>3783</v>
      </c>
      <c r="N1399" t="s">
        <v>1</v>
      </c>
      <c r="O1399">
        <v>400050</v>
      </c>
      <c r="P1399" t="s">
        <v>546</v>
      </c>
      <c r="Q1399" t="s">
        <v>1759</v>
      </c>
      <c r="S1399">
        <v>11.56</v>
      </c>
      <c r="T1399">
        <v>2</v>
      </c>
      <c r="U1399">
        <v>0.1</v>
      </c>
      <c r="V1399">
        <v>5.6643999999999997</v>
      </c>
      <c r="W1399">
        <f t="shared" si="87"/>
        <v>2.9478000000000004</v>
      </c>
      <c r="X1399">
        <v>5</v>
      </c>
    </row>
    <row r="1400" spans="1:24" x14ac:dyDescent="0.3">
      <c r="A1400">
        <v>1399</v>
      </c>
      <c r="B1400" t="s">
        <v>3154</v>
      </c>
      <c r="C1400" s="6">
        <v>45595</v>
      </c>
      <c r="D1400" t="str">
        <f t="shared" si="84"/>
        <v>Oct</v>
      </c>
      <c r="E1400" t="str">
        <f t="shared" si="85"/>
        <v>2024</v>
      </c>
      <c r="F1400" t="s">
        <v>5</v>
      </c>
      <c r="G1400" t="s">
        <v>403</v>
      </c>
      <c r="H1400" t="s">
        <v>723</v>
      </c>
      <c r="I1400">
        <v>140</v>
      </c>
      <c r="J1400">
        <v>16</v>
      </c>
      <c r="K1400">
        <f t="shared" si="86"/>
        <v>11.428571428571429</v>
      </c>
      <c r="L1400" t="s">
        <v>1740</v>
      </c>
      <c r="M1400" t="s">
        <v>3784</v>
      </c>
      <c r="N1400" t="s">
        <v>1</v>
      </c>
      <c r="O1400">
        <v>110075</v>
      </c>
      <c r="P1400" t="s">
        <v>546</v>
      </c>
      <c r="Q1400" t="s">
        <v>1761</v>
      </c>
      <c r="S1400">
        <v>88.4</v>
      </c>
      <c r="T1400">
        <v>4</v>
      </c>
      <c r="U1400">
        <v>0.1</v>
      </c>
      <c r="V1400">
        <v>11.492000000000001</v>
      </c>
      <c r="W1400">
        <f t="shared" si="87"/>
        <v>19.227</v>
      </c>
      <c r="X1400">
        <v>5</v>
      </c>
    </row>
    <row r="1401" spans="1:24" x14ac:dyDescent="0.3">
      <c r="A1401">
        <v>1400</v>
      </c>
      <c r="B1401" t="s">
        <v>3155</v>
      </c>
      <c r="C1401" s="6">
        <v>45596</v>
      </c>
      <c r="D1401" t="str">
        <f t="shared" si="84"/>
        <v>Oct</v>
      </c>
      <c r="E1401" t="str">
        <f t="shared" si="85"/>
        <v>2024</v>
      </c>
      <c r="F1401" t="s">
        <v>5</v>
      </c>
      <c r="G1401" t="s">
        <v>403</v>
      </c>
      <c r="H1401" t="s">
        <v>1521</v>
      </c>
      <c r="I1401">
        <v>120</v>
      </c>
      <c r="J1401">
        <v>16</v>
      </c>
      <c r="K1401">
        <f t="shared" si="86"/>
        <v>13.333333333333334</v>
      </c>
      <c r="L1401" t="s">
        <v>1742</v>
      </c>
      <c r="M1401" t="s">
        <v>3647</v>
      </c>
      <c r="N1401" t="s">
        <v>1</v>
      </c>
      <c r="O1401">
        <v>500015</v>
      </c>
      <c r="P1401" t="s">
        <v>546</v>
      </c>
      <c r="Q1401" t="s">
        <v>1774</v>
      </c>
      <c r="R1401" t="s">
        <v>2</v>
      </c>
      <c r="S1401">
        <v>6.48</v>
      </c>
      <c r="T1401">
        <v>1</v>
      </c>
      <c r="U1401">
        <v>0.1</v>
      </c>
      <c r="V1401">
        <v>3.1103999999999998</v>
      </c>
      <c r="W1401">
        <f t="shared" si="87"/>
        <v>3.3696000000000006</v>
      </c>
      <c r="X1401">
        <v>2</v>
      </c>
    </row>
    <row r="1402" spans="1:24" x14ac:dyDescent="0.3">
      <c r="A1402">
        <v>1401</v>
      </c>
      <c r="B1402" t="s">
        <v>3156</v>
      </c>
      <c r="C1402" s="6">
        <v>45597</v>
      </c>
      <c r="D1402" t="str">
        <f t="shared" si="84"/>
        <v>Nov</v>
      </c>
      <c r="E1402" t="str">
        <f t="shared" si="85"/>
        <v>2024</v>
      </c>
      <c r="F1402" t="s">
        <v>4</v>
      </c>
      <c r="G1402" t="s">
        <v>461</v>
      </c>
      <c r="H1402" t="s">
        <v>594</v>
      </c>
      <c r="I1402">
        <v>210</v>
      </c>
      <c r="J1402">
        <v>26</v>
      </c>
      <c r="K1402">
        <f t="shared" si="86"/>
        <v>12.380952380952381</v>
      </c>
      <c r="L1402" t="s">
        <v>1739</v>
      </c>
      <c r="M1402" t="s">
        <v>3785</v>
      </c>
      <c r="N1402" t="s">
        <v>1</v>
      </c>
      <c r="O1402">
        <v>400091</v>
      </c>
      <c r="P1402" t="s">
        <v>546</v>
      </c>
      <c r="Q1402" t="s">
        <v>1755</v>
      </c>
      <c r="S1402">
        <v>21.8</v>
      </c>
      <c r="T1402">
        <v>2</v>
      </c>
      <c r="U1402">
        <v>0.1</v>
      </c>
      <c r="V1402">
        <v>6.1040000000000001</v>
      </c>
      <c r="W1402">
        <f t="shared" si="87"/>
        <v>7.8480000000000008</v>
      </c>
      <c r="X1402">
        <v>5</v>
      </c>
    </row>
    <row r="1403" spans="1:24" x14ac:dyDescent="0.3">
      <c r="A1403">
        <v>1402</v>
      </c>
      <c r="B1403" t="s">
        <v>3157</v>
      </c>
      <c r="C1403" s="6">
        <v>45598</v>
      </c>
      <c r="D1403" t="str">
        <f t="shared" si="84"/>
        <v>Nov</v>
      </c>
      <c r="E1403" t="str">
        <f t="shared" si="85"/>
        <v>2024</v>
      </c>
      <c r="F1403" t="s">
        <v>4</v>
      </c>
      <c r="G1403" t="s">
        <v>461</v>
      </c>
      <c r="H1403" t="s">
        <v>1103</v>
      </c>
      <c r="I1403">
        <v>120</v>
      </c>
      <c r="J1403">
        <v>16</v>
      </c>
      <c r="K1403">
        <f t="shared" si="86"/>
        <v>13.333333333333334</v>
      </c>
      <c r="L1403" t="s">
        <v>1738</v>
      </c>
      <c r="M1403" t="s">
        <v>3786</v>
      </c>
      <c r="O1403">
        <v>141001</v>
      </c>
      <c r="P1403" t="s">
        <v>546</v>
      </c>
      <c r="Q1403" t="s">
        <v>1775</v>
      </c>
      <c r="S1403">
        <v>251.79</v>
      </c>
      <c r="T1403">
        <v>3</v>
      </c>
      <c r="U1403">
        <v>0.1</v>
      </c>
      <c r="V1403">
        <v>118.3413</v>
      </c>
      <c r="W1403">
        <f t="shared" si="87"/>
        <v>44.482899999999994</v>
      </c>
      <c r="X1403">
        <v>5</v>
      </c>
    </row>
    <row r="1404" spans="1:24" x14ac:dyDescent="0.3">
      <c r="A1404">
        <v>1403</v>
      </c>
      <c r="B1404" t="s">
        <v>3158</v>
      </c>
      <c r="C1404" s="6">
        <v>45599</v>
      </c>
      <c r="D1404" t="str">
        <f t="shared" si="84"/>
        <v>Nov</v>
      </c>
      <c r="E1404" t="str">
        <f t="shared" si="85"/>
        <v>2024</v>
      </c>
      <c r="F1404" t="s">
        <v>4</v>
      </c>
      <c r="G1404" t="s">
        <v>46</v>
      </c>
      <c r="H1404" t="s">
        <v>1522</v>
      </c>
      <c r="I1404">
        <v>110</v>
      </c>
      <c r="J1404">
        <v>28</v>
      </c>
      <c r="K1404">
        <f t="shared" si="86"/>
        <v>25.454545454545453</v>
      </c>
      <c r="L1404" t="s">
        <v>1737</v>
      </c>
      <c r="M1404" t="s">
        <v>3787</v>
      </c>
      <c r="N1404" t="s">
        <v>1</v>
      </c>
      <c r="O1404">
        <v>394210</v>
      </c>
      <c r="P1404" t="s">
        <v>546</v>
      </c>
      <c r="Q1404" t="s">
        <v>1765</v>
      </c>
      <c r="S1404">
        <v>205.17599999999999</v>
      </c>
      <c r="T1404">
        <v>2</v>
      </c>
      <c r="U1404">
        <v>0.4</v>
      </c>
      <c r="V1404">
        <v>-58.133200000000002</v>
      </c>
      <c r="W1404">
        <f t="shared" si="87"/>
        <v>131.65459999999999</v>
      </c>
      <c r="X1404">
        <v>5</v>
      </c>
    </row>
    <row r="1405" spans="1:24" x14ac:dyDescent="0.3">
      <c r="A1405">
        <v>1404</v>
      </c>
      <c r="B1405" t="s">
        <v>3159</v>
      </c>
      <c r="C1405" s="6">
        <v>45600</v>
      </c>
      <c r="D1405" t="str">
        <f t="shared" si="84"/>
        <v>Nov</v>
      </c>
      <c r="E1405" t="str">
        <f t="shared" si="85"/>
        <v>2024</v>
      </c>
      <c r="F1405" t="s">
        <v>4</v>
      </c>
      <c r="G1405" t="s">
        <v>46</v>
      </c>
      <c r="H1405" t="s">
        <v>1523</v>
      </c>
      <c r="I1405">
        <v>230</v>
      </c>
      <c r="J1405">
        <v>26</v>
      </c>
      <c r="K1405">
        <f t="shared" si="86"/>
        <v>11.304347826086957</v>
      </c>
      <c r="L1405" t="s">
        <v>1743</v>
      </c>
      <c r="M1405" t="s">
        <v>3736</v>
      </c>
      <c r="N1405" t="s">
        <v>1</v>
      </c>
      <c r="O1405">
        <v>110091</v>
      </c>
      <c r="P1405" t="s">
        <v>546</v>
      </c>
      <c r="Q1405" t="s">
        <v>1761</v>
      </c>
      <c r="S1405">
        <v>419.4</v>
      </c>
      <c r="T1405">
        <v>5</v>
      </c>
      <c r="U1405">
        <v>0.2</v>
      </c>
      <c r="V1405">
        <v>146.79</v>
      </c>
      <c r="W1405">
        <f t="shared" si="87"/>
        <v>54.522000000000006</v>
      </c>
      <c r="X1405">
        <v>4</v>
      </c>
    </row>
    <row r="1406" spans="1:24" x14ac:dyDescent="0.3">
      <c r="A1406">
        <v>1405</v>
      </c>
      <c r="B1406" t="s">
        <v>3160</v>
      </c>
      <c r="C1406" s="6">
        <v>45601</v>
      </c>
      <c r="D1406" t="str">
        <f t="shared" si="84"/>
        <v>Nov</v>
      </c>
      <c r="E1406" t="str">
        <f t="shared" si="85"/>
        <v>2024</v>
      </c>
      <c r="F1406" t="s">
        <v>5</v>
      </c>
      <c r="G1406" t="s">
        <v>181</v>
      </c>
      <c r="H1406" t="s">
        <v>1052</v>
      </c>
      <c r="I1406">
        <v>160</v>
      </c>
      <c r="J1406">
        <v>20</v>
      </c>
      <c r="K1406">
        <f t="shared" si="86"/>
        <v>12.5</v>
      </c>
      <c r="L1406" t="s">
        <v>1738</v>
      </c>
      <c r="M1406" t="s">
        <v>3788</v>
      </c>
      <c r="O1406">
        <v>482005</v>
      </c>
      <c r="P1406" t="s">
        <v>546</v>
      </c>
      <c r="Q1406" t="s">
        <v>1760</v>
      </c>
      <c r="S1406">
        <v>10.304</v>
      </c>
      <c r="T1406">
        <v>1</v>
      </c>
      <c r="U1406">
        <v>0.2</v>
      </c>
      <c r="V1406">
        <v>-2.1896</v>
      </c>
      <c r="W1406">
        <f t="shared" si="87"/>
        <v>12.493600000000001</v>
      </c>
      <c r="X1406">
        <v>1</v>
      </c>
    </row>
    <row r="1407" spans="1:24" x14ac:dyDescent="0.3">
      <c r="A1407">
        <v>1406</v>
      </c>
      <c r="B1407" t="s">
        <v>3161</v>
      </c>
      <c r="C1407" s="6">
        <v>45602</v>
      </c>
      <c r="D1407" t="str">
        <f t="shared" si="84"/>
        <v>Nov</v>
      </c>
      <c r="E1407" t="str">
        <f t="shared" si="85"/>
        <v>2024</v>
      </c>
      <c r="F1407" t="s">
        <v>5</v>
      </c>
      <c r="G1407" t="s">
        <v>181</v>
      </c>
      <c r="H1407" t="s">
        <v>1524</v>
      </c>
      <c r="I1407">
        <v>170</v>
      </c>
      <c r="J1407">
        <v>22</v>
      </c>
      <c r="K1407">
        <f t="shared" si="86"/>
        <v>12.941176470588237</v>
      </c>
      <c r="L1407" t="s">
        <v>1739</v>
      </c>
      <c r="M1407" t="s">
        <v>3588</v>
      </c>
      <c r="N1407" t="s">
        <v>1</v>
      </c>
      <c r="O1407">
        <v>400103</v>
      </c>
      <c r="P1407" t="s">
        <v>546</v>
      </c>
      <c r="Q1407" t="s">
        <v>1763</v>
      </c>
      <c r="S1407">
        <v>154.76400000000001</v>
      </c>
      <c r="T1407">
        <v>3</v>
      </c>
      <c r="U1407">
        <v>0.4</v>
      </c>
      <c r="V1407">
        <v>-36.111600000000003</v>
      </c>
      <c r="W1407">
        <f t="shared" si="87"/>
        <v>63.625200000000007</v>
      </c>
      <c r="X1407">
        <v>2</v>
      </c>
    </row>
    <row r="1408" spans="1:24" x14ac:dyDescent="0.3">
      <c r="A1408">
        <v>1407</v>
      </c>
      <c r="B1408" t="s">
        <v>3162</v>
      </c>
      <c r="C1408" s="6">
        <v>45603</v>
      </c>
      <c r="D1408" t="str">
        <f t="shared" si="84"/>
        <v>Nov</v>
      </c>
      <c r="E1408" t="str">
        <f t="shared" si="85"/>
        <v>2024</v>
      </c>
      <c r="F1408" t="s">
        <v>5</v>
      </c>
      <c r="G1408" t="s">
        <v>181</v>
      </c>
      <c r="H1408" t="s">
        <v>718</v>
      </c>
      <c r="I1408">
        <v>230</v>
      </c>
      <c r="J1408">
        <v>14</v>
      </c>
      <c r="K1408">
        <f t="shared" si="86"/>
        <v>6.0869565217391308</v>
      </c>
      <c r="L1408" t="s">
        <v>1741</v>
      </c>
      <c r="M1408" t="s">
        <v>3789</v>
      </c>
      <c r="N1408" t="s">
        <v>1</v>
      </c>
      <c r="O1408">
        <v>110049</v>
      </c>
      <c r="P1408" t="s">
        <v>546</v>
      </c>
      <c r="Q1408" t="s">
        <v>1758</v>
      </c>
      <c r="S1408">
        <v>116.78400000000001</v>
      </c>
      <c r="T1408">
        <v>2</v>
      </c>
      <c r="U1408">
        <v>0.2</v>
      </c>
      <c r="V1408">
        <v>21.896999999999998</v>
      </c>
      <c r="W1408">
        <f t="shared" si="87"/>
        <v>47.4435</v>
      </c>
      <c r="X1408">
        <v>2</v>
      </c>
    </row>
    <row r="1409" spans="1:24" x14ac:dyDescent="0.3">
      <c r="A1409">
        <v>1408</v>
      </c>
      <c r="B1409" t="s">
        <v>3163</v>
      </c>
      <c r="C1409" s="6">
        <v>45604</v>
      </c>
      <c r="D1409" t="str">
        <f t="shared" si="84"/>
        <v>Nov</v>
      </c>
      <c r="E1409" t="str">
        <f t="shared" si="85"/>
        <v>2024</v>
      </c>
      <c r="F1409" t="s">
        <v>4</v>
      </c>
      <c r="G1409" t="s">
        <v>37</v>
      </c>
      <c r="H1409" t="s">
        <v>1525</v>
      </c>
      <c r="I1409">
        <v>150</v>
      </c>
      <c r="J1409">
        <v>22</v>
      </c>
      <c r="K1409">
        <f t="shared" si="86"/>
        <v>14.666666666666666</v>
      </c>
      <c r="L1409" t="s">
        <v>1736</v>
      </c>
      <c r="M1409" t="s">
        <v>3790</v>
      </c>
      <c r="O1409">
        <v>784001</v>
      </c>
      <c r="P1409" t="s">
        <v>546</v>
      </c>
      <c r="Q1409" t="s">
        <v>1772</v>
      </c>
      <c r="R1409" t="s">
        <v>2</v>
      </c>
      <c r="S1409">
        <v>75.48</v>
      </c>
      <c r="T1409">
        <v>2</v>
      </c>
      <c r="U1409">
        <v>0.1</v>
      </c>
      <c r="V1409">
        <v>19.6248</v>
      </c>
      <c r="W1409">
        <f t="shared" si="87"/>
        <v>27.927600000000002</v>
      </c>
      <c r="X1409">
        <v>5</v>
      </c>
    </row>
    <row r="1410" spans="1:24" x14ac:dyDescent="0.3">
      <c r="A1410">
        <v>1409</v>
      </c>
      <c r="B1410" t="s">
        <v>3164</v>
      </c>
      <c r="C1410" s="6">
        <v>45605</v>
      </c>
      <c r="D1410" t="str">
        <f t="shared" si="84"/>
        <v>Nov</v>
      </c>
      <c r="E1410" t="str">
        <f t="shared" si="85"/>
        <v>2024</v>
      </c>
      <c r="F1410" t="s">
        <v>4</v>
      </c>
      <c r="G1410" t="s">
        <v>37</v>
      </c>
      <c r="H1410" t="s">
        <v>843</v>
      </c>
      <c r="I1410">
        <v>110</v>
      </c>
      <c r="J1410">
        <v>16</v>
      </c>
      <c r="K1410">
        <f t="shared" si="86"/>
        <v>14.545454545454545</v>
      </c>
      <c r="L1410" t="s">
        <v>1744</v>
      </c>
      <c r="M1410" t="s">
        <v>3685</v>
      </c>
      <c r="N1410" t="s">
        <v>1</v>
      </c>
      <c r="O1410">
        <v>400013</v>
      </c>
      <c r="P1410" t="s">
        <v>546</v>
      </c>
      <c r="Q1410" t="s">
        <v>1755</v>
      </c>
      <c r="S1410">
        <v>39.979999999999997</v>
      </c>
      <c r="T1410">
        <v>2</v>
      </c>
      <c r="U1410">
        <v>0.1</v>
      </c>
      <c r="V1410">
        <v>9.9949999999999992</v>
      </c>
      <c r="W1410">
        <f t="shared" si="87"/>
        <v>14.9925</v>
      </c>
      <c r="X1410">
        <v>2</v>
      </c>
    </row>
    <row r="1411" spans="1:24" x14ac:dyDescent="0.3">
      <c r="A1411">
        <v>1410</v>
      </c>
      <c r="B1411" t="s">
        <v>3165</v>
      </c>
      <c r="C1411" s="6">
        <v>45606</v>
      </c>
      <c r="D1411" t="str">
        <f t="shared" ref="D1411:D1474" si="88">TEXT(C1411,"Mmm")</f>
        <v>Nov</v>
      </c>
      <c r="E1411" t="str">
        <f t="shared" ref="E1411:E1474" si="89">TEXT(C1411,"YYYY")</f>
        <v>2024</v>
      </c>
      <c r="F1411" t="s">
        <v>4</v>
      </c>
      <c r="G1411" t="s">
        <v>462</v>
      </c>
      <c r="H1411" t="s">
        <v>1283</v>
      </c>
      <c r="I1411">
        <v>110</v>
      </c>
      <c r="J1411">
        <v>12</v>
      </c>
      <c r="K1411">
        <f t="shared" ref="K1411:K1474" si="90">(J1411/I1411)*100</f>
        <v>10.909090909090908</v>
      </c>
      <c r="L1411" t="s">
        <v>1740</v>
      </c>
      <c r="M1411" t="s">
        <v>3791</v>
      </c>
      <c r="N1411" t="s">
        <v>1</v>
      </c>
      <c r="O1411">
        <v>560067</v>
      </c>
      <c r="P1411" t="s">
        <v>546</v>
      </c>
      <c r="Q1411" t="s">
        <v>1767</v>
      </c>
      <c r="R1411" t="s">
        <v>2</v>
      </c>
      <c r="S1411">
        <v>393.16500000000002</v>
      </c>
      <c r="T1411">
        <v>3</v>
      </c>
      <c r="U1411">
        <v>0.5</v>
      </c>
      <c r="V1411">
        <v>-204.44579999999999</v>
      </c>
      <c r="W1411">
        <f t="shared" ref="W1411:W1474" si="91">(S1411-V1411)/T1411</f>
        <v>199.20360000000002</v>
      </c>
      <c r="X1411">
        <v>3</v>
      </c>
    </row>
    <row r="1412" spans="1:24" x14ac:dyDescent="0.3">
      <c r="A1412">
        <v>1411</v>
      </c>
      <c r="B1412" t="s">
        <v>3166</v>
      </c>
      <c r="C1412" s="6">
        <v>45607</v>
      </c>
      <c r="D1412" t="str">
        <f t="shared" si="88"/>
        <v>Nov</v>
      </c>
      <c r="E1412" t="str">
        <f t="shared" si="89"/>
        <v>2024</v>
      </c>
      <c r="F1412" t="s">
        <v>4</v>
      </c>
      <c r="G1412" t="s">
        <v>456</v>
      </c>
      <c r="H1412" t="s">
        <v>976</v>
      </c>
      <c r="I1412">
        <v>150</v>
      </c>
      <c r="J1412">
        <v>12</v>
      </c>
      <c r="K1412">
        <f t="shared" si="90"/>
        <v>8</v>
      </c>
      <c r="L1412" t="s">
        <v>1742</v>
      </c>
      <c r="M1412" t="s">
        <v>3696</v>
      </c>
      <c r="O1412">
        <v>390025</v>
      </c>
      <c r="P1412" t="s">
        <v>546</v>
      </c>
      <c r="Q1412" t="s">
        <v>1763</v>
      </c>
      <c r="S1412">
        <v>23.68</v>
      </c>
      <c r="T1412">
        <v>2</v>
      </c>
      <c r="U1412">
        <v>0.2</v>
      </c>
      <c r="V1412">
        <v>8.8800000000000008</v>
      </c>
      <c r="W1412">
        <f t="shared" si="91"/>
        <v>7.3999999999999995</v>
      </c>
      <c r="X1412">
        <v>4</v>
      </c>
    </row>
    <row r="1413" spans="1:24" x14ac:dyDescent="0.3">
      <c r="A1413">
        <v>1412</v>
      </c>
      <c r="B1413" t="s">
        <v>3167</v>
      </c>
      <c r="C1413" s="6">
        <v>45608</v>
      </c>
      <c r="D1413" t="str">
        <f t="shared" si="88"/>
        <v>Nov</v>
      </c>
      <c r="E1413" t="str">
        <f t="shared" si="89"/>
        <v>2024</v>
      </c>
      <c r="F1413" t="s">
        <v>4</v>
      </c>
      <c r="G1413" t="s">
        <v>70</v>
      </c>
      <c r="H1413" t="s">
        <v>1176</v>
      </c>
      <c r="I1413">
        <v>210</v>
      </c>
      <c r="J1413">
        <v>6</v>
      </c>
      <c r="K1413">
        <f t="shared" si="90"/>
        <v>2.8571428571428572</v>
      </c>
      <c r="L1413" t="s">
        <v>1739</v>
      </c>
      <c r="M1413" t="s">
        <v>3697</v>
      </c>
      <c r="N1413" t="s">
        <v>1</v>
      </c>
      <c r="O1413">
        <v>491001</v>
      </c>
      <c r="P1413" t="s">
        <v>546</v>
      </c>
      <c r="Q1413" t="s">
        <v>1774</v>
      </c>
      <c r="S1413">
        <v>408.00599999999997</v>
      </c>
      <c r="T1413">
        <v>2</v>
      </c>
      <c r="U1413">
        <v>0.11</v>
      </c>
      <c r="V1413">
        <v>72.534400000000005</v>
      </c>
      <c r="W1413">
        <f t="shared" si="91"/>
        <v>167.73579999999998</v>
      </c>
      <c r="X1413">
        <v>5</v>
      </c>
    </row>
    <row r="1414" spans="1:24" x14ac:dyDescent="0.3">
      <c r="A1414">
        <v>1413</v>
      </c>
      <c r="B1414" t="s">
        <v>3168</v>
      </c>
      <c r="C1414" s="6">
        <v>45609</v>
      </c>
      <c r="D1414" t="str">
        <f t="shared" si="88"/>
        <v>Nov</v>
      </c>
      <c r="E1414" t="str">
        <f t="shared" si="89"/>
        <v>2024</v>
      </c>
      <c r="F1414" t="s">
        <v>4</v>
      </c>
      <c r="G1414" t="s">
        <v>70</v>
      </c>
      <c r="H1414" t="s">
        <v>1026</v>
      </c>
      <c r="I1414">
        <v>230</v>
      </c>
      <c r="J1414">
        <v>14</v>
      </c>
      <c r="K1414">
        <f t="shared" si="90"/>
        <v>6.0869565217391308</v>
      </c>
      <c r="L1414" t="s">
        <v>1738</v>
      </c>
      <c r="M1414" t="s">
        <v>3792</v>
      </c>
      <c r="N1414" t="s">
        <v>1</v>
      </c>
      <c r="O1414">
        <v>110060</v>
      </c>
      <c r="P1414" t="s">
        <v>546</v>
      </c>
      <c r="Q1414" t="s">
        <v>1767</v>
      </c>
      <c r="S1414">
        <v>165.28</v>
      </c>
      <c r="T1414">
        <v>4</v>
      </c>
      <c r="U1414">
        <v>0.1</v>
      </c>
      <c r="V1414">
        <v>14.8752</v>
      </c>
      <c r="W1414">
        <f t="shared" si="91"/>
        <v>37.601199999999999</v>
      </c>
      <c r="X1414">
        <v>1</v>
      </c>
    </row>
    <row r="1415" spans="1:24" x14ac:dyDescent="0.3">
      <c r="A1415">
        <v>1414</v>
      </c>
      <c r="B1415" t="s">
        <v>3169</v>
      </c>
      <c r="C1415" s="6">
        <v>45610</v>
      </c>
      <c r="D1415" t="str">
        <f t="shared" si="88"/>
        <v>Nov</v>
      </c>
      <c r="E1415" t="str">
        <f t="shared" si="89"/>
        <v>2024</v>
      </c>
      <c r="F1415" t="s">
        <v>4</v>
      </c>
      <c r="G1415" t="s">
        <v>463</v>
      </c>
      <c r="H1415" t="s">
        <v>1526</v>
      </c>
      <c r="I1415">
        <v>160</v>
      </c>
      <c r="J1415">
        <v>6</v>
      </c>
      <c r="K1415">
        <f t="shared" si="90"/>
        <v>3.75</v>
      </c>
      <c r="L1415" t="s">
        <v>1737</v>
      </c>
      <c r="M1415" t="s">
        <v>3793</v>
      </c>
      <c r="N1415" t="s">
        <v>1</v>
      </c>
      <c r="O1415">
        <v>627003</v>
      </c>
      <c r="P1415" t="s">
        <v>546</v>
      </c>
      <c r="Q1415" t="s">
        <v>1776</v>
      </c>
      <c r="R1415" t="s">
        <v>2</v>
      </c>
      <c r="S1415">
        <v>334.76799999999997</v>
      </c>
      <c r="T1415">
        <v>7</v>
      </c>
      <c r="U1415">
        <v>0.2</v>
      </c>
      <c r="V1415">
        <v>108.7996</v>
      </c>
      <c r="W1415">
        <f t="shared" si="91"/>
        <v>32.281199999999998</v>
      </c>
      <c r="X1415">
        <v>3</v>
      </c>
    </row>
    <row r="1416" spans="1:24" x14ac:dyDescent="0.3">
      <c r="A1416">
        <v>1415</v>
      </c>
      <c r="B1416" t="s">
        <v>3170</v>
      </c>
      <c r="C1416" s="6">
        <v>45611</v>
      </c>
      <c r="D1416" t="str">
        <f t="shared" si="88"/>
        <v>Nov</v>
      </c>
      <c r="E1416" t="str">
        <f t="shared" si="89"/>
        <v>2024</v>
      </c>
      <c r="F1416" t="s">
        <v>3</v>
      </c>
      <c r="G1416" t="s">
        <v>464</v>
      </c>
      <c r="H1416" t="s">
        <v>1461</v>
      </c>
      <c r="I1416">
        <v>180</v>
      </c>
      <c r="J1416">
        <v>30</v>
      </c>
      <c r="K1416">
        <f t="shared" si="90"/>
        <v>16.666666666666664</v>
      </c>
      <c r="L1416" t="s">
        <v>1743</v>
      </c>
      <c r="M1416" t="s">
        <v>3794</v>
      </c>
      <c r="N1416" t="s">
        <v>1</v>
      </c>
      <c r="O1416">
        <v>600082</v>
      </c>
      <c r="P1416" t="s">
        <v>546</v>
      </c>
      <c r="Q1416" t="s">
        <v>1759</v>
      </c>
      <c r="R1416" t="s">
        <v>2</v>
      </c>
      <c r="S1416">
        <v>239.97</v>
      </c>
      <c r="T1416">
        <v>3</v>
      </c>
      <c r="U1416">
        <v>0.1</v>
      </c>
      <c r="V1416">
        <v>26.396699999999999</v>
      </c>
      <c r="W1416">
        <f t="shared" si="91"/>
        <v>71.191099999999992</v>
      </c>
      <c r="X1416">
        <v>1</v>
      </c>
    </row>
    <row r="1417" spans="1:24" x14ac:dyDescent="0.3">
      <c r="A1417">
        <v>1416</v>
      </c>
      <c r="B1417" t="s">
        <v>3171</v>
      </c>
      <c r="C1417" s="6">
        <v>45612</v>
      </c>
      <c r="D1417" t="str">
        <f t="shared" si="88"/>
        <v>Nov</v>
      </c>
      <c r="E1417" t="str">
        <f t="shared" si="89"/>
        <v>2024</v>
      </c>
      <c r="F1417" t="s">
        <v>3</v>
      </c>
      <c r="G1417" t="s">
        <v>464</v>
      </c>
      <c r="H1417" t="s">
        <v>1527</v>
      </c>
      <c r="I1417">
        <v>250</v>
      </c>
      <c r="J1417">
        <v>30</v>
      </c>
      <c r="K1417">
        <f t="shared" si="90"/>
        <v>12</v>
      </c>
      <c r="L1417" t="s">
        <v>1738</v>
      </c>
      <c r="M1417" t="s">
        <v>3795</v>
      </c>
      <c r="N1417" t="s">
        <v>1</v>
      </c>
      <c r="O1417">
        <v>680027</v>
      </c>
      <c r="P1417" t="s">
        <v>546</v>
      </c>
      <c r="Q1417" t="s">
        <v>1755</v>
      </c>
      <c r="S1417">
        <v>37.74</v>
      </c>
      <c r="T1417">
        <v>3</v>
      </c>
      <c r="U1417">
        <v>0.1</v>
      </c>
      <c r="V1417">
        <v>12.8316</v>
      </c>
      <c r="W1417">
        <f t="shared" si="91"/>
        <v>8.3027999999999995</v>
      </c>
      <c r="X1417">
        <v>2</v>
      </c>
    </row>
    <row r="1418" spans="1:24" x14ac:dyDescent="0.3">
      <c r="A1418">
        <v>1417</v>
      </c>
      <c r="B1418" t="s">
        <v>3172</v>
      </c>
      <c r="C1418" s="6">
        <v>45613</v>
      </c>
      <c r="D1418" t="str">
        <f t="shared" si="88"/>
        <v>Nov</v>
      </c>
      <c r="E1418" t="str">
        <f t="shared" si="89"/>
        <v>2024</v>
      </c>
      <c r="F1418" t="s">
        <v>5</v>
      </c>
      <c r="G1418" t="s">
        <v>465</v>
      </c>
      <c r="H1418" t="s">
        <v>1528</v>
      </c>
      <c r="I1418">
        <v>200</v>
      </c>
      <c r="J1418">
        <v>28</v>
      </c>
      <c r="K1418">
        <f t="shared" si="90"/>
        <v>14.000000000000002</v>
      </c>
      <c r="L1418" t="s">
        <v>1739</v>
      </c>
      <c r="M1418" t="s">
        <v>3594</v>
      </c>
      <c r="N1418" t="s">
        <v>1</v>
      </c>
      <c r="O1418">
        <v>680027</v>
      </c>
      <c r="P1418" t="s">
        <v>546</v>
      </c>
      <c r="Q1418" t="s">
        <v>1765</v>
      </c>
      <c r="S1418">
        <v>946.34400000000005</v>
      </c>
      <c r="T1418">
        <v>7</v>
      </c>
      <c r="U1418">
        <v>0.2</v>
      </c>
      <c r="V1418">
        <v>118.29300000000001</v>
      </c>
      <c r="W1418">
        <f t="shared" si="91"/>
        <v>118.29300000000001</v>
      </c>
      <c r="X1418">
        <v>4</v>
      </c>
    </row>
    <row r="1419" spans="1:24" x14ac:dyDescent="0.3">
      <c r="A1419">
        <v>1418</v>
      </c>
      <c r="B1419" t="s">
        <v>3173</v>
      </c>
      <c r="C1419" s="6">
        <v>45614</v>
      </c>
      <c r="D1419" t="str">
        <f t="shared" si="88"/>
        <v>Nov</v>
      </c>
      <c r="E1419" t="str">
        <f t="shared" si="89"/>
        <v>2024</v>
      </c>
      <c r="F1419" t="s">
        <v>5</v>
      </c>
      <c r="G1419" t="s">
        <v>465</v>
      </c>
      <c r="H1419" t="s">
        <v>1272</v>
      </c>
      <c r="I1419">
        <v>210</v>
      </c>
      <c r="J1419">
        <v>26</v>
      </c>
      <c r="K1419">
        <f t="shared" si="90"/>
        <v>12.380952380952381</v>
      </c>
      <c r="L1419" t="s">
        <v>1741</v>
      </c>
      <c r="M1419" t="s">
        <v>3796</v>
      </c>
      <c r="N1419" t="s">
        <v>1</v>
      </c>
      <c r="O1419">
        <v>834001</v>
      </c>
      <c r="P1419" t="s">
        <v>546</v>
      </c>
      <c r="Q1419" t="s">
        <v>1772</v>
      </c>
      <c r="R1419" t="s">
        <v>2</v>
      </c>
      <c r="S1419">
        <v>151.19999999999999</v>
      </c>
      <c r="T1419">
        <v>3</v>
      </c>
      <c r="U1419">
        <v>0.2</v>
      </c>
      <c r="V1419">
        <v>32.130000000000003</v>
      </c>
      <c r="W1419">
        <f t="shared" si="91"/>
        <v>39.69</v>
      </c>
      <c r="X1419">
        <v>1</v>
      </c>
    </row>
    <row r="1420" spans="1:24" x14ac:dyDescent="0.3">
      <c r="A1420">
        <v>1419</v>
      </c>
      <c r="B1420" t="s">
        <v>3174</v>
      </c>
      <c r="C1420" s="6">
        <v>45615</v>
      </c>
      <c r="D1420" t="str">
        <f t="shared" si="88"/>
        <v>Nov</v>
      </c>
      <c r="E1420" t="str">
        <f t="shared" si="89"/>
        <v>2024</v>
      </c>
      <c r="F1420" t="s">
        <v>5</v>
      </c>
      <c r="G1420" t="s">
        <v>465</v>
      </c>
      <c r="H1420" t="s">
        <v>597</v>
      </c>
      <c r="I1420">
        <v>170</v>
      </c>
      <c r="J1420">
        <v>30</v>
      </c>
      <c r="K1420">
        <f t="shared" si="90"/>
        <v>17.647058823529413</v>
      </c>
      <c r="L1420" t="s">
        <v>1736</v>
      </c>
      <c r="M1420" t="s">
        <v>3797</v>
      </c>
      <c r="N1420" t="s">
        <v>1</v>
      </c>
      <c r="O1420">
        <v>144001</v>
      </c>
      <c r="P1420" t="s">
        <v>546</v>
      </c>
      <c r="Q1420" t="s">
        <v>1767</v>
      </c>
      <c r="S1420">
        <v>4.9279999999999999</v>
      </c>
      <c r="T1420">
        <v>4</v>
      </c>
      <c r="U1420">
        <v>0.6</v>
      </c>
      <c r="V1420">
        <v>-1.4783999999999999</v>
      </c>
      <c r="W1420">
        <f t="shared" si="91"/>
        <v>1.6015999999999999</v>
      </c>
      <c r="X1420">
        <v>3</v>
      </c>
    </row>
    <row r="1421" spans="1:24" x14ac:dyDescent="0.3">
      <c r="A1421">
        <v>1420</v>
      </c>
      <c r="B1421" t="s">
        <v>3175</v>
      </c>
      <c r="C1421" s="6">
        <v>45616</v>
      </c>
      <c r="D1421" t="str">
        <f t="shared" si="88"/>
        <v>Nov</v>
      </c>
      <c r="E1421" t="str">
        <f t="shared" si="89"/>
        <v>2024</v>
      </c>
      <c r="F1421" t="s">
        <v>4</v>
      </c>
      <c r="G1421" t="s">
        <v>466</v>
      </c>
      <c r="H1421" t="s">
        <v>1529</v>
      </c>
      <c r="I1421">
        <v>150</v>
      </c>
      <c r="J1421">
        <v>22</v>
      </c>
      <c r="K1421">
        <f t="shared" si="90"/>
        <v>14.666666666666666</v>
      </c>
      <c r="L1421" t="s">
        <v>1744</v>
      </c>
      <c r="M1421" t="s">
        <v>3798</v>
      </c>
      <c r="N1421" t="s">
        <v>1</v>
      </c>
      <c r="O1421">
        <v>560102</v>
      </c>
      <c r="P1421" t="s">
        <v>546</v>
      </c>
      <c r="Q1421" t="s">
        <v>1773</v>
      </c>
      <c r="S1421">
        <v>86.272000000000006</v>
      </c>
      <c r="T1421">
        <v>4</v>
      </c>
      <c r="U1421">
        <v>0.2</v>
      </c>
      <c r="V1421">
        <v>31.273599999999998</v>
      </c>
      <c r="W1421">
        <f t="shared" si="91"/>
        <v>13.749600000000001</v>
      </c>
      <c r="X1421">
        <v>4</v>
      </c>
    </row>
    <row r="1422" spans="1:24" x14ac:dyDescent="0.3">
      <c r="A1422">
        <v>1421</v>
      </c>
      <c r="B1422" t="s">
        <v>3176</v>
      </c>
      <c r="C1422" s="6">
        <v>45617</v>
      </c>
      <c r="D1422" t="str">
        <f t="shared" si="88"/>
        <v>Nov</v>
      </c>
      <c r="E1422" t="str">
        <f t="shared" si="89"/>
        <v>2024</v>
      </c>
      <c r="F1422" t="s">
        <v>4</v>
      </c>
      <c r="G1422" t="s">
        <v>466</v>
      </c>
      <c r="H1422" t="s">
        <v>808</v>
      </c>
      <c r="I1422">
        <v>250</v>
      </c>
      <c r="J1422">
        <v>10</v>
      </c>
      <c r="K1422">
        <f t="shared" si="90"/>
        <v>4</v>
      </c>
      <c r="L1422" t="s">
        <v>1740</v>
      </c>
      <c r="M1422" t="s">
        <v>3799</v>
      </c>
      <c r="N1422" t="s">
        <v>1</v>
      </c>
      <c r="O1422">
        <v>226010</v>
      </c>
      <c r="P1422" t="s">
        <v>546</v>
      </c>
      <c r="Q1422" t="s">
        <v>1761</v>
      </c>
      <c r="S1422">
        <v>72.587999999999994</v>
      </c>
      <c r="T1422">
        <v>2</v>
      </c>
      <c r="U1422">
        <v>0.7</v>
      </c>
      <c r="V1422">
        <v>-48.392000000000003</v>
      </c>
      <c r="W1422">
        <f t="shared" si="91"/>
        <v>60.489999999999995</v>
      </c>
      <c r="X1422">
        <v>5</v>
      </c>
    </row>
    <row r="1423" spans="1:24" x14ac:dyDescent="0.3">
      <c r="A1423">
        <v>1422</v>
      </c>
      <c r="B1423" t="s">
        <v>3177</v>
      </c>
      <c r="C1423" s="6">
        <v>45618</v>
      </c>
      <c r="D1423" t="str">
        <f t="shared" si="88"/>
        <v>Nov</v>
      </c>
      <c r="E1423" t="str">
        <f t="shared" si="89"/>
        <v>2024</v>
      </c>
      <c r="F1423" t="s">
        <v>4</v>
      </c>
      <c r="G1423" t="s">
        <v>466</v>
      </c>
      <c r="H1423" t="s">
        <v>1530</v>
      </c>
      <c r="I1423">
        <v>160</v>
      </c>
      <c r="J1423">
        <v>6</v>
      </c>
      <c r="K1423">
        <f t="shared" si="90"/>
        <v>3.75</v>
      </c>
      <c r="L1423" t="s">
        <v>1742</v>
      </c>
      <c r="M1423" t="s">
        <v>3800</v>
      </c>
      <c r="N1423" t="s">
        <v>1</v>
      </c>
      <c r="O1423">
        <v>411046</v>
      </c>
      <c r="P1423" t="s">
        <v>546</v>
      </c>
      <c r="Q1423" t="s">
        <v>1759</v>
      </c>
      <c r="S1423">
        <v>60.671999999999997</v>
      </c>
      <c r="T1423">
        <v>2</v>
      </c>
      <c r="U1423">
        <v>0.2</v>
      </c>
      <c r="V1423">
        <v>14.409599999999999</v>
      </c>
      <c r="W1423">
        <f t="shared" si="91"/>
        <v>23.1312</v>
      </c>
      <c r="X1423">
        <v>1</v>
      </c>
    </row>
    <row r="1424" spans="1:24" x14ac:dyDescent="0.3">
      <c r="A1424">
        <v>1423</v>
      </c>
      <c r="B1424" t="s">
        <v>3178</v>
      </c>
      <c r="C1424" s="6">
        <v>45619</v>
      </c>
      <c r="D1424" t="str">
        <f t="shared" si="88"/>
        <v>Nov</v>
      </c>
      <c r="E1424" t="str">
        <f t="shared" si="89"/>
        <v>2024</v>
      </c>
      <c r="F1424" t="s">
        <v>4</v>
      </c>
      <c r="G1424" t="s">
        <v>466</v>
      </c>
      <c r="H1424" t="s">
        <v>1244</v>
      </c>
      <c r="I1424">
        <v>140</v>
      </c>
      <c r="J1424">
        <v>12</v>
      </c>
      <c r="K1424">
        <f t="shared" si="90"/>
        <v>8.5714285714285712</v>
      </c>
      <c r="L1424" t="s">
        <v>1739</v>
      </c>
      <c r="M1424" t="s">
        <v>3623</v>
      </c>
      <c r="N1424" t="s">
        <v>1</v>
      </c>
      <c r="O1424">
        <v>682020</v>
      </c>
      <c r="P1424" t="s">
        <v>546</v>
      </c>
      <c r="Q1424" t="s">
        <v>1755</v>
      </c>
      <c r="S1424">
        <v>77.031000000000006</v>
      </c>
      <c r="T1424">
        <v>9</v>
      </c>
      <c r="U1424">
        <v>0.7</v>
      </c>
      <c r="V1424">
        <v>-59.057099999999998</v>
      </c>
      <c r="W1424">
        <f t="shared" si="91"/>
        <v>15.120899999999999</v>
      </c>
      <c r="X1424">
        <v>1</v>
      </c>
    </row>
    <row r="1425" spans="1:24" x14ac:dyDescent="0.3">
      <c r="A1425">
        <v>1424</v>
      </c>
      <c r="B1425" t="s">
        <v>3179</v>
      </c>
      <c r="C1425" s="6">
        <v>45620</v>
      </c>
      <c r="D1425" t="str">
        <f t="shared" si="88"/>
        <v>Nov</v>
      </c>
      <c r="E1425" t="str">
        <f t="shared" si="89"/>
        <v>2024</v>
      </c>
      <c r="F1425" t="s">
        <v>4</v>
      </c>
      <c r="G1425" t="s">
        <v>466</v>
      </c>
      <c r="H1425" t="s">
        <v>899</v>
      </c>
      <c r="I1425">
        <v>150</v>
      </c>
      <c r="J1425">
        <v>10</v>
      </c>
      <c r="K1425">
        <f t="shared" si="90"/>
        <v>6.666666666666667</v>
      </c>
      <c r="L1425" t="s">
        <v>1738</v>
      </c>
      <c r="M1425" t="s">
        <v>3801</v>
      </c>
      <c r="O1425">
        <v>110003</v>
      </c>
      <c r="P1425" t="s">
        <v>546</v>
      </c>
      <c r="Q1425" t="s">
        <v>1754</v>
      </c>
      <c r="S1425">
        <v>119.904</v>
      </c>
      <c r="T1425">
        <v>6</v>
      </c>
      <c r="U1425">
        <v>0.2</v>
      </c>
      <c r="V1425">
        <v>-1.4987999999999999</v>
      </c>
      <c r="W1425">
        <f t="shared" si="91"/>
        <v>20.233799999999999</v>
      </c>
      <c r="X1425">
        <v>1</v>
      </c>
    </row>
    <row r="1426" spans="1:24" x14ac:dyDescent="0.3">
      <c r="A1426">
        <v>1425</v>
      </c>
      <c r="B1426" t="s">
        <v>3180</v>
      </c>
      <c r="C1426" s="6">
        <v>45621</v>
      </c>
      <c r="D1426" t="str">
        <f t="shared" si="88"/>
        <v>Nov</v>
      </c>
      <c r="E1426" t="str">
        <f t="shared" si="89"/>
        <v>2024</v>
      </c>
      <c r="F1426" t="s">
        <v>4</v>
      </c>
      <c r="G1426" t="s">
        <v>466</v>
      </c>
      <c r="H1426" t="s">
        <v>1531</v>
      </c>
      <c r="I1426">
        <v>170</v>
      </c>
      <c r="J1426">
        <v>10</v>
      </c>
      <c r="K1426">
        <f t="shared" si="90"/>
        <v>5.8823529411764701</v>
      </c>
      <c r="L1426" t="s">
        <v>1737</v>
      </c>
      <c r="M1426" t="s">
        <v>3802</v>
      </c>
      <c r="N1426" t="s">
        <v>1</v>
      </c>
      <c r="O1426">
        <v>711101</v>
      </c>
      <c r="P1426" t="s">
        <v>546</v>
      </c>
      <c r="Q1426" t="s">
        <v>1768</v>
      </c>
      <c r="S1426">
        <v>263.95999999999998</v>
      </c>
      <c r="T1426">
        <v>5</v>
      </c>
      <c r="U1426">
        <v>0.2</v>
      </c>
      <c r="V1426">
        <v>23.096499999999999</v>
      </c>
      <c r="W1426">
        <f t="shared" si="91"/>
        <v>48.172699999999999</v>
      </c>
      <c r="X1426">
        <v>1</v>
      </c>
    </row>
    <row r="1427" spans="1:24" x14ac:dyDescent="0.3">
      <c r="A1427">
        <v>1426</v>
      </c>
      <c r="B1427" t="s">
        <v>3181</v>
      </c>
      <c r="C1427" s="6">
        <v>45622</v>
      </c>
      <c r="D1427" t="str">
        <f t="shared" si="88"/>
        <v>Nov</v>
      </c>
      <c r="E1427" t="str">
        <f t="shared" si="89"/>
        <v>2024</v>
      </c>
      <c r="F1427" t="s">
        <v>4</v>
      </c>
      <c r="G1427" t="s">
        <v>466</v>
      </c>
      <c r="H1427" t="s">
        <v>965</v>
      </c>
      <c r="I1427">
        <v>160</v>
      </c>
      <c r="J1427">
        <v>24</v>
      </c>
      <c r="K1427">
        <f t="shared" si="90"/>
        <v>15</v>
      </c>
      <c r="L1427" t="s">
        <v>1743</v>
      </c>
      <c r="M1427" t="s">
        <v>3803</v>
      </c>
      <c r="N1427" t="s">
        <v>1</v>
      </c>
      <c r="O1427">
        <v>246149</v>
      </c>
      <c r="P1427" t="s">
        <v>546</v>
      </c>
      <c r="Q1427" t="s">
        <v>1756</v>
      </c>
      <c r="S1427">
        <v>363.64800000000002</v>
      </c>
      <c r="T1427">
        <v>4</v>
      </c>
      <c r="U1427">
        <v>0.2</v>
      </c>
      <c r="V1427">
        <v>-86.366399999999999</v>
      </c>
      <c r="W1427">
        <f t="shared" si="91"/>
        <v>112.50360000000001</v>
      </c>
      <c r="X1427">
        <v>3</v>
      </c>
    </row>
    <row r="1428" spans="1:24" x14ac:dyDescent="0.3">
      <c r="A1428">
        <v>1427</v>
      </c>
      <c r="B1428" t="s">
        <v>3182</v>
      </c>
      <c r="C1428" s="6">
        <v>45623</v>
      </c>
      <c r="D1428" t="str">
        <f t="shared" si="88"/>
        <v>Nov</v>
      </c>
      <c r="E1428" t="str">
        <f t="shared" si="89"/>
        <v>2024</v>
      </c>
      <c r="F1428" t="s">
        <v>3</v>
      </c>
      <c r="G1428" t="s">
        <v>467</v>
      </c>
      <c r="H1428" t="s">
        <v>1072</v>
      </c>
      <c r="I1428">
        <v>250</v>
      </c>
      <c r="J1428">
        <v>20</v>
      </c>
      <c r="K1428">
        <f t="shared" si="90"/>
        <v>8</v>
      </c>
      <c r="L1428" t="s">
        <v>1738</v>
      </c>
      <c r="M1428" t="s">
        <v>3804</v>
      </c>
      <c r="N1428" t="s">
        <v>1</v>
      </c>
      <c r="O1428">
        <v>502032</v>
      </c>
      <c r="P1428" t="s">
        <v>546</v>
      </c>
      <c r="Q1428" t="s">
        <v>1755</v>
      </c>
      <c r="S1428">
        <v>9.7279999999999998</v>
      </c>
      <c r="T1428">
        <v>2</v>
      </c>
      <c r="U1428">
        <v>0.2</v>
      </c>
      <c r="V1428">
        <v>3.2831999999999999</v>
      </c>
      <c r="W1428">
        <f t="shared" si="91"/>
        <v>3.2223999999999999</v>
      </c>
      <c r="X1428">
        <v>3</v>
      </c>
    </row>
    <row r="1429" spans="1:24" x14ac:dyDescent="0.3">
      <c r="A1429">
        <v>1428</v>
      </c>
      <c r="B1429" t="s">
        <v>3183</v>
      </c>
      <c r="C1429" s="6">
        <v>45624</v>
      </c>
      <c r="D1429" t="str">
        <f t="shared" si="88"/>
        <v>Nov</v>
      </c>
      <c r="E1429" t="str">
        <f t="shared" si="89"/>
        <v>2024</v>
      </c>
      <c r="F1429" t="s">
        <v>3</v>
      </c>
      <c r="G1429" t="s">
        <v>467</v>
      </c>
      <c r="H1429" t="s">
        <v>658</v>
      </c>
      <c r="I1429">
        <v>100</v>
      </c>
      <c r="J1429">
        <v>14</v>
      </c>
      <c r="K1429">
        <f t="shared" si="90"/>
        <v>14.000000000000002</v>
      </c>
      <c r="L1429" t="s">
        <v>1739</v>
      </c>
      <c r="M1429" t="s">
        <v>3600</v>
      </c>
      <c r="N1429" t="s">
        <v>1</v>
      </c>
      <c r="O1429">
        <v>335001</v>
      </c>
      <c r="P1429" t="s">
        <v>546</v>
      </c>
      <c r="Q1429" t="s">
        <v>1759</v>
      </c>
      <c r="S1429">
        <v>14.75</v>
      </c>
      <c r="T1429">
        <v>5</v>
      </c>
      <c r="U1429">
        <v>0.1</v>
      </c>
      <c r="V1429">
        <v>7.08</v>
      </c>
      <c r="W1429">
        <f t="shared" si="91"/>
        <v>1.534</v>
      </c>
      <c r="X1429">
        <v>4</v>
      </c>
    </row>
    <row r="1430" spans="1:24" x14ac:dyDescent="0.3">
      <c r="A1430">
        <v>1429</v>
      </c>
      <c r="B1430" t="s">
        <v>3184</v>
      </c>
      <c r="C1430" s="6">
        <v>45625</v>
      </c>
      <c r="D1430" t="str">
        <f t="shared" si="88"/>
        <v>Nov</v>
      </c>
      <c r="E1430" t="str">
        <f t="shared" si="89"/>
        <v>2024</v>
      </c>
      <c r="F1430" t="s">
        <v>3</v>
      </c>
      <c r="G1430" t="s">
        <v>467</v>
      </c>
      <c r="H1430" t="s">
        <v>1532</v>
      </c>
      <c r="I1430">
        <v>180</v>
      </c>
      <c r="J1430">
        <v>22</v>
      </c>
      <c r="K1430">
        <f t="shared" si="90"/>
        <v>12.222222222222221</v>
      </c>
      <c r="L1430" t="s">
        <v>1741</v>
      </c>
      <c r="M1430" t="s">
        <v>3805</v>
      </c>
      <c r="N1430" t="s">
        <v>1</v>
      </c>
      <c r="O1430">
        <v>474009</v>
      </c>
      <c r="P1430" t="s">
        <v>546</v>
      </c>
      <c r="Q1430" t="s">
        <v>1775</v>
      </c>
      <c r="R1430" t="s">
        <v>2</v>
      </c>
      <c r="S1430">
        <v>29.8</v>
      </c>
      <c r="T1430">
        <v>5</v>
      </c>
      <c r="U1430">
        <v>0.2</v>
      </c>
      <c r="V1430">
        <v>9.3125</v>
      </c>
      <c r="W1430">
        <f t="shared" si="91"/>
        <v>4.0975000000000001</v>
      </c>
      <c r="X1430">
        <v>3</v>
      </c>
    </row>
    <row r="1431" spans="1:24" x14ac:dyDescent="0.3">
      <c r="A1431">
        <v>1430</v>
      </c>
      <c r="B1431" t="s">
        <v>3185</v>
      </c>
      <c r="C1431" s="6">
        <v>45626</v>
      </c>
      <c r="D1431" t="str">
        <f t="shared" si="88"/>
        <v>Nov</v>
      </c>
      <c r="E1431" t="str">
        <f t="shared" si="89"/>
        <v>2024</v>
      </c>
      <c r="F1431" t="s">
        <v>3</v>
      </c>
      <c r="G1431" t="s">
        <v>467</v>
      </c>
      <c r="H1431" t="s">
        <v>1127</v>
      </c>
      <c r="I1431">
        <v>230</v>
      </c>
      <c r="J1431">
        <v>14</v>
      </c>
      <c r="K1431">
        <f t="shared" si="90"/>
        <v>6.0869565217391308</v>
      </c>
      <c r="L1431" t="s">
        <v>1736</v>
      </c>
      <c r="M1431" t="s">
        <v>3644</v>
      </c>
      <c r="N1431" t="s">
        <v>1</v>
      </c>
      <c r="O1431">
        <v>600026</v>
      </c>
      <c r="P1431" t="s">
        <v>546</v>
      </c>
      <c r="Q1431" t="s">
        <v>1763</v>
      </c>
      <c r="S1431">
        <v>427.42</v>
      </c>
      <c r="T1431">
        <v>14</v>
      </c>
      <c r="U1431">
        <v>0.1</v>
      </c>
      <c r="V1431">
        <v>196.61320000000001</v>
      </c>
      <c r="W1431">
        <f t="shared" si="91"/>
        <v>16.4862</v>
      </c>
      <c r="X1431">
        <v>1</v>
      </c>
    </row>
    <row r="1432" spans="1:24" x14ac:dyDescent="0.3">
      <c r="A1432">
        <v>1431</v>
      </c>
      <c r="B1432" t="s">
        <v>3186</v>
      </c>
      <c r="C1432" s="6">
        <v>45627</v>
      </c>
      <c r="D1432" t="str">
        <f t="shared" si="88"/>
        <v>Dec</v>
      </c>
      <c r="E1432" t="str">
        <f t="shared" si="89"/>
        <v>2024</v>
      </c>
      <c r="F1432" t="s">
        <v>4</v>
      </c>
      <c r="G1432" t="s">
        <v>306</v>
      </c>
      <c r="H1432" t="s">
        <v>1068</v>
      </c>
      <c r="I1432">
        <v>100</v>
      </c>
      <c r="J1432">
        <v>20</v>
      </c>
      <c r="K1432">
        <f t="shared" si="90"/>
        <v>20</v>
      </c>
      <c r="L1432" t="s">
        <v>1744</v>
      </c>
      <c r="M1432" t="s">
        <v>3806</v>
      </c>
      <c r="N1432" t="s">
        <v>1</v>
      </c>
      <c r="O1432">
        <v>302029</v>
      </c>
      <c r="P1432" t="s">
        <v>546</v>
      </c>
      <c r="Q1432" t="s">
        <v>1760</v>
      </c>
      <c r="R1432" t="s">
        <v>2</v>
      </c>
      <c r="S1432">
        <v>220.75200000000001</v>
      </c>
      <c r="T1432">
        <v>8</v>
      </c>
      <c r="U1432">
        <v>0.4</v>
      </c>
      <c r="V1432">
        <v>-40.471200000000003</v>
      </c>
      <c r="W1432">
        <f t="shared" si="91"/>
        <v>32.652900000000002</v>
      </c>
      <c r="X1432">
        <v>5</v>
      </c>
    </row>
    <row r="1433" spans="1:24" x14ac:dyDescent="0.3">
      <c r="A1433">
        <v>1432</v>
      </c>
      <c r="B1433" t="s">
        <v>3187</v>
      </c>
      <c r="C1433" s="6">
        <v>45628</v>
      </c>
      <c r="D1433" t="str">
        <f t="shared" si="88"/>
        <v>Dec</v>
      </c>
      <c r="E1433" t="str">
        <f t="shared" si="89"/>
        <v>2024</v>
      </c>
      <c r="F1433" t="s">
        <v>3</v>
      </c>
      <c r="G1433" t="s">
        <v>12</v>
      </c>
      <c r="H1433" t="s">
        <v>1533</v>
      </c>
      <c r="I1433">
        <v>140</v>
      </c>
      <c r="J1433">
        <v>6</v>
      </c>
      <c r="K1433">
        <f t="shared" si="90"/>
        <v>4.2857142857142856</v>
      </c>
      <c r="L1433" t="s">
        <v>1740</v>
      </c>
      <c r="M1433" t="s">
        <v>3586</v>
      </c>
      <c r="N1433" t="s">
        <v>1</v>
      </c>
      <c r="O1433">
        <v>422002</v>
      </c>
      <c r="P1433" t="s">
        <v>546</v>
      </c>
      <c r="Q1433" t="s">
        <v>1774</v>
      </c>
      <c r="R1433" t="s">
        <v>2</v>
      </c>
      <c r="S1433">
        <v>152.76</v>
      </c>
      <c r="T1433">
        <v>6</v>
      </c>
      <c r="U1433">
        <v>0.1</v>
      </c>
      <c r="V1433">
        <v>74.852400000000003</v>
      </c>
      <c r="W1433">
        <f t="shared" si="91"/>
        <v>12.984599999999999</v>
      </c>
      <c r="X1433">
        <v>5</v>
      </c>
    </row>
    <row r="1434" spans="1:24" x14ac:dyDescent="0.3">
      <c r="A1434">
        <v>1433</v>
      </c>
      <c r="B1434" t="s">
        <v>3188</v>
      </c>
      <c r="C1434" s="6">
        <v>45629</v>
      </c>
      <c r="D1434" t="str">
        <f t="shared" si="88"/>
        <v>Dec</v>
      </c>
      <c r="E1434" t="str">
        <f t="shared" si="89"/>
        <v>2024</v>
      </c>
      <c r="F1434" t="s">
        <v>3</v>
      </c>
      <c r="G1434" t="s">
        <v>12</v>
      </c>
      <c r="H1434" t="s">
        <v>1062</v>
      </c>
      <c r="I1434">
        <v>250</v>
      </c>
      <c r="J1434">
        <v>20</v>
      </c>
      <c r="K1434">
        <f t="shared" si="90"/>
        <v>8</v>
      </c>
      <c r="L1434" t="s">
        <v>1742</v>
      </c>
      <c r="M1434" t="s">
        <v>3676</v>
      </c>
      <c r="N1434" t="s">
        <v>1</v>
      </c>
      <c r="O1434">
        <v>422002</v>
      </c>
      <c r="P1434" t="s">
        <v>546</v>
      </c>
      <c r="Q1434" t="s">
        <v>1756</v>
      </c>
      <c r="S1434">
        <v>7.27</v>
      </c>
      <c r="T1434">
        <v>1</v>
      </c>
      <c r="U1434">
        <v>0.1</v>
      </c>
      <c r="V1434">
        <v>1.9629000000000001</v>
      </c>
      <c r="W1434">
        <f t="shared" si="91"/>
        <v>5.3070999999999993</v>
      </c>
      <c r="X1434">
        <v>1</v>
      </c>
    </row>
    <row r="1435" spans="1:24" x14ac:dyDescent="0.3">
      <c r="A1435">
        <v>1434</v>
      </c>
      <c r="B1435" t="s">
        <v>3189</v>
      </c>
      <c r="C1435" s="6">
        <v>45630</v>
      </c>
      <c r="D1435" t="str">
        <f t="shared" si="88"/>
        <v>Dec</v>
      </c>
      <c r="E1435" t="str">
        <f t="shared" si="89"/>
        <v>2024</v>
      </c>
      <c r="F1435" t="s">
        <v>3</v>
      </c>
      <c r="G1435" t="s">
        <v>12</v>
      </c>
      <c r="H1435" t="s">
        <v>617</v>
      </c>
      <c r="I1435">
        <v>190</v>
      </c>
      <c r="J1435">
        <v>10</v>
      </c>
      <c r="K1435">
        <f t="shared" si="90"/>
        <v>5.2631578947368416</v>
      </c>
      <c r="L1435" t="s">
        <v>1739</v>
      </c>
      <c r="M1435" t="s">
        <v>3747</v>
      </c>
      <c r="N1435" t="s">
        <v>1</v>
      </c>
      <c r="O1435">
        <v>641604</v>
      </c>
      <c r="P1435" t="s">
        <v>546</v>
      </c>
      <c r="Q1435" t="s">
        <v>1764</v>
      </c>
      <c r="R1435" t="s">
        <v>2</v>
      </c>
      <c r="S1435">
        <v>1819.86</v>
      </c>
      <c r="T1435">
        <v>14</v>
      </c>
      <c r="U1435">
        <v>0.1</v>
      </c>
      <c r="V1435">
        <v>163.78739999999999</v>
      </c>
      <c r="W1435">
        <f t="shared" si="91"/>
        <v>118.29089999999999</v>
      </c>
      <c r="X1435">
        <v>2</v>
      </c>
    </row>
    <row r="1436" spans="1:24" x14ac:dyDescent="0.3">
      <c r="A1436">
        <v>1435</v>
      </c>
      <c r="B1436" t="s">
        <v>3190</v>
      </c>
      <c r="C1436" s="6">
        <v>45631</v>
      </c>
      <c r="D1436" t="str">
        <f t="shared" si="88"/>
        <v>Dec</v>
      </c>
      <c r="E1436" t="str">
        <f t="shared" si="89"/>
        <v>2024</v>
      </c>
      <c r="F1436" t="s">
        <v>4</v>
      </c>
      <c r="G1436" t="s">
        <v>231</v>
      </c>
      <c r="H1436" t="s">
        <v>1534</v>
      </c>
      <c r="I1436">
        <v>230</v>
      </c>
      <c r="J1436">
        <v>6</v>
      </c>
      <c r="K1436">
        <f t="shared" si="90"/>
        <v>2.6086956521739131</v>
      </c>
      <c r="L1436" t="s">
        <v>1738</v>
      </c>
      <c r="M1436" t="s">
        <v>3807</v>
      </c>
      <c r="N1436" t="s">
        <v>1</v>
      </c>
      <c r="O1436">
        <v>400706</v>
      </c>
      <c r="P1436" t="s">
        <v>546</v>
      </c>
      <c r="Q1436" t="s">
        <v>1755</v>
      </c>
      <c r="R1436" t="s">
        <v>2</v>
      </c>
      <c r="S1436">
        <v>33.9</v>
      </c>
      <c r="T1436">
        <v>5</v>
      </c>
      <c r="U1436">
        <v>0.1</v>
      </c>
      <c r="V1436">
        <v>15.593999999999999</v>
      </c>
      <c r="W1436">
        <f t="shared" si="91"/>
        <v>3.6611999999999996</v>
      </c>
      <c r="X1436">
        <v>3</v>
      </c>
    </row>
    <row r="1437" spans="1:24" x14ac:dyDescent="0.3">
      <c r="A1437">
        <v>1436</v>
      </c>
      <c r="B1437" t="s">
        <v>3191</v>
      </c>
      <c r="C1437" s="6">
        <v>45632</v>
      </c>
      <c r="D1437" t="str">
        <f t="shared" si="88"/>
        <v>Dec</v>
      </c>
      <c r="E1437" t="str">
        <f t="shared" si="89"/>
        <v>2024</v>
      </c>
      <c r="F1437" t="s">
        <v>4</v>
      </c>
      <c r="G1437" t="s">
        <v>468</v>
      </c>
      <c r="H1437" t="s">
        <v>1535</v>
      </c>
      <c r="I1437">
        <v>250</v>
      </c>
      <c r="J1437">
        <v>10</v>
      </c>
      <c r="K1437">
        <f t="shared" si="90"/>
        <v>4</v>
      </c>
      <c r="L1437" t="s">
        <v>1737</v>
      </c>
      <c r="M1437" t="s">
        <v>3808</v>
      </c>
      <c r="N1437" t="s">
        <v>1</v>
      </c>
      <c r="O1437">
        <v>500098</v>
      </c>
      <c r="P1437" t="s">
        <v>546</v>
      </c>
      <c r="Q1437" t="s">
        <v>1754</v>
      </c>
      <c r="S1437">
        <v>31.103999999999999</v>
      </c>
      <c r="T1437">
        <v>6</v>
      </c>
      <c r="U1437">
        <v>0.2</v>
      </c>
      <c r="V1437">
        <v>10.8864</v>
      </c>
      <c r="W1437">
        <f t="shared" si="91"/>
        <v>3.3695999999999997</v>
      </c>
      <c r="X1437">
        <v>4</v>
      </c>
    </row>
    <row r="1438" spans="1:24" x14ac:dyDescent="0.3">
      <c r="A1438">
        <v>1437</v>
      </c>
      <c r="B1438" t="s">
        <v>3192</v>
      </c>
      <c r="C1438" s="6">
        <v>45633</v>
      </c>
      <c r="D1438" t="str">
        <f t="shared" si="88"/>
        <v>Dec</v>
      </c>
      <c r="E1438" t="str">
        <f t="shared" si="89"/>
        <v>2024</v>
      </c>
      <c r="F1438" t="s">
        <v>4</v>
      </c>
      <c r="G1438" t="s">
        <v>468</v>
      </c>
      <c r="H1438" t="s">
        <v>1497</v>
      </c>
      <c r="I1438">
        <v>190</v>
      </c>
      <c r="J1438">
        <v>20</v>
      </c>
      <c r="K1438">
        <f t="shared" si="90"/>
        <v>10.526315789473683</v>
      </c>
      <c r="L1438" t="s">
        <v>1743</v>
      </c>
      <c r="M1438" t="s">
        <v>3809</v>
      </c>
      <c r="N1438" t="s">
        <v>1</v>
      </c>
      <c r="O1438">
        <v>797001</v>
      </c>
      <c r="P1438" t="s">
        <v>546</v>
      </c>
      <c r="Q1438" t="s">
        <v>1775</v>
      </c>
      <c r="S1438">
        <v>5.2480000000000002</v>
      </c>
      <c r="T1438">
        <v>2</v>
      </c>
      <c r="U1438">
        <v>0.2</v>
      </c>
      <c r="V1438">
        <v>0.59040000000000004</v>
      </c>
      <c r="W1438">
        <f t="shared" si="91"/>
        <v>2.3288000000000002</v>
      </c>
      <c r="X1438">
        <v>3</v>
      </c>
    </row>
    <row r="1439" spans="1:24" x14ac:dyDescent="0.3">
      <c r="A1439">
        <v>1438</v>
      </c>
      <c r="B1439" t="s">
        <v>3193</v>
      </c>
      <c r="C1439" s="6">
        <v>45634</v>
      </c>
      <c r="D1439" t="str">
        <f t="shared" si="88"/>
        <v>Dec</v>
      </c>
      <c r="E1439" t="str">
        <f t="shared" si="89"/>
        <v>2024</v>
      </c>
      <c r="F1439" t="s">
        <v>6</v>
      </c>
      <c r="G1439" t="s">
        <v>39</v>
      </c>
      <c r="H1439" t="s">
        <v>1536</v>
      </c>
      <c r="I1439">
        <v>110</v>
      </c>
      <c r="J1439">
        <v>18</v>
      </c>
      <c r="K1439">
        <f t="shared" si="90"/>
        <v>16.363636363636363</v>
      </c>
      <c r="L1439" t="s">
        <v>1738</v>
      </c>
      <c r="M1439" t="s">
        <v>3681</v>
      </c>
      <c r="N1439" t="s">
        <v>1</v>
      </c>
      <c r="O1439">
        <v>201010</v>
      </c>
      <c r="P1439" t="s">
        <v>546</v>
      </c>
      <c r="Q1439" t="s">
        <v>1765</v>
      </c>
      <c r="S1439">
        <v>263.88</v>
      </c>
      <c r="T1439">
        <v>3</v>
      </c>
      <c r="U1439">
        <v>0.2</v>
      </c>
      <c r="V1439">
        <v>42.880499999999998</v>
      </c>
      <c r="W1439">
        <f t="shared" si="91"/>
        <v>73.666499999999999</v>
      </c>
      <c r="X1439">
        <v>3</v>
      </c>
    </row>
    <row r="1440" spans="1:24" x14ac:dyDescent="0.3">
      <c r="A1440">
        <v>1439</v>
      </c>
      <c r="B1440" t="s">
        <v>3194</v>
      </c>
      <c r="C1440" s="6">
        <v>45635</v>
      </c>
      <c r="D1440" t="str">
        <f t="shared" si="88"/>
        <v>Dec</v>
      </c>
      <c r="E1440" t="str">
        <f t="shared" si="89"/>
        <v>2024</v>
      </c>
      <c r="F1440" t="s">
        <v>6</v>
      </c>
      <c r="G1440" t="s">
        <v>39</v>
      </c>
      <c r="H1440" t="s">
        <v>1030</v>
      </c>
      <c r="I1440">
        <v>140</v>
      </c>
      <c r="J1440">
        <v>28</v>
      </c>
      <c r="K1440">
        <f t="shared" si="90"/>
        <v>20</v>
      </c>
      <c r="L1440" t="s">
        <v>1739</v>
      </c>
      <c r="M1440" t="s">
        <v>3682</v>
      </c>
      <c r="N1440" t="s">
        <v>1</v>
      </c>
      <c r="O1440">
        <v>574104</v>
      </c>
      <c r="P1440" t="s">
        <v>546</v>
      </c>
      <c r="Q1440" t="s">
        <v>1758</v>
      </c>
      <c r="S1440">
        <v>2453.4299999999998</v>
      </c>
      <c r="T1440">
        <v>5</v>
      </c>
      <c r="U1440">
        <v>0.3</v>
      </c>
      <c r="V1440">
        <v>-350.49</v>
      </c>
      <c r="W1440">
        <f t="shared" si="91"/>
        <v>560.78399999999999</v>
      </c>
      <c r="X1440">
        <v>1</v>
      </c>
    </row>
    <row r="1441" spans="1:24" x14ac:dyDescent="0.3">
      <c r="A1441">
        <v>1440</v>
      </c>
      <c r="B1441" t="s">
        <v>3195</v>
      </c>
      <c r="C1441" s="6">
        <v>45636</v>
      </c>
      <c r="D1441" t="str">
        <f t="shared" si="88"/>
        <v>Dec</v>
      </c>
      <c r="E1441" t="str">
        <f t="shared" si="89"/>
        <v>2024</v>
      </c>
      <c r="F1441" t="s">
        <v>3</v>
      </c>
      <c r="G1441" t="s">
        <v>224</v>
      </c>
      <c r="H1441" t="s">
        <v>1537</v>
      </c>
      <c r="I1441">
        <v>240</v>
      </c>
      <c r="J1441">
        <v>30</v>
      </c>
      <c r="K1441">
        <f t="shared" si="90"/>
        <v>12.5</v>
      </c>
      <c r="L1441" t="s">
        <v>1741</v>
      </c>
      <c r="M1441" t="s">
        <v>3810</v>
      </c>
      <c r="N1441" t="s">
        <v>1</v>
      </c>
      <c r="O1441">
        <v>562122</v>
      </c>
      <c r="P1441" t="s">
        <v>546</v>
      </c>
      <c r="Q1441" t="s">
        <v>1770</v>
      </c>
      <c r="S1441">
        <v>29.7</v>
      </c>
      <c r="T1441">
        <v>5</v>
      </c>
      <c r="U1441">
        <v>0.1</v>
      </c>
      <c r="V1441">
        <v>13.365</v>
      </c>
      <c r="W1441">
        <f t="shared" si="91"/>
        <v>3.2670000000000003</v>
      </c>
      <c r="X1441">
        <v>3</v>
      </c>
    </row>
    <row r="1442" spans="1:24" x14ac:dyDescent="0.3">
      <c r="A1442">
        <v>1441</v>
      </c>
      <c r="B1442" t="s">
        <v>3196</v>
      </c>
      <c r="C1442" s="6">
        <v>45637</v>
      </c>
      <c r="D1442" t="str">
        <f t="shared" si="88"/>
        <v>Dec</v>
      </c>
      <c r="E1442" t="str">
        <f t="shared" si="89"/>
        <v>2024</v>
      </c>
      <c r="F1442" t="s">
        <v>3</v>
      </c>
      <c r="G1442" t="s">
        <v>224</v>
      </c>
      <c r="H1442" t="s">
        <v>1538</v>
      </c>
      <c r="I1442">
        <v>120</v>
      </c>
      <c r="J1442">
        <v>24</v>
      </c>
      <c r="K1442">
        <f t="shared" si="90"/>
        <v>20</v>
      </c>
      <c r="L1442" t="s">
        <v>1736</v>
      </c>
      <c r="M1442" t="s">
        <v>3673</v>
      </c>
      <c r="N1442" t="s">
        <v>1</v>
      </c>
      <c r="O1442">
        <v>400093</v>
      </c>
      <c r="P1442" t="s">
        <v>546</v>
      </c>
      <c r="Q1442" t="s">
        <v>1767</v>
      </c>
      <c r="S1442">
        <v>39.96</v>
      </c>
      <c r="T1442">
        <v>4</v>
      </c>
      <c r="U1442">
        <v>0.1</v>
      </c>
      <c r="V1442">
        <v>17.981999999999999</v>
      </c>
      <c r="W1442">
        <f t="shared" si="91"/>
        <v>5.4945000000000004</v>
      </c>
      <c r="X1442">
        <v>5</v>
      </c>
    </row>
    <row r="1443" spans="1:24" x14ac:dyDescent="0.3">
      <c r="A1443">
        <v>1442</v>
      </c>
      <c r="B1443" t="s">
        <v>3197</v>
      </c>
      <c r="C1443" s="6">
        <v>45638</v>
      </c>
      <c r="D1443" t="str">
        <f t="shared" si="88"/>
        <v>Dec</v>
      </c>
      <c r="E1443" t="str">
        <f t="shared" si="89"/>
        <v>2024</v>
      </c>
      <c r="F1443" t="s">
        <v>3</v>
      </c>
      <c r="G1443" t="s">
        <v>469</v>
      </c>
      <c r="H1443" t="s">
        <v>1257</v>
      </c>
      <c r="I1443">
        <v>130</v>
      </c>
      <c r="J1443">
        <v>18</v>
      </c>
      <c r="K1443">
        <f t="shared" si="90"/>
        <v>13.846153846153847</v>
      </c>
      <c r="L1443" t="s">
        <v>1744</v>
      </c>
      <c r="M1443" t="s">
        <v>3746</v>
      </c>
      <c r="O1443">
        <v>474009</v>
      </c>
      <c r="P1443" t="s">
        <v>546</v>
      </c>
      <c r="Q1443" t="s">
        <v>1766</v>
      </c>
      <c r="R1443" t="s">
        <v>2</v>
      </c>
      <c r="S1443">
        <v>36.671999999999997</v>
      </c>
      <c r="T1443">
        <v>2</v>
      </c>
      <c r="U1443">
        <v>0.2</v>
      </c>
      <c r="V1443">
        <v>11.46</v>
      </c>
      <c r="W1443">
        <f t="shared" si="91"/>
        <v>12.605999999999998</v>
      </c>
      <c r="X1443">
        <v>3</v>
      </c>
    </row>
    <row r="1444" spans="1:24" x14ac:dyDescent="0.3">
      <c r="A1444">
        <v>1443</v>
      </c>
      <c r="B1444" t="s">
        <v>3198</v>
      </c>
      <c r="C1444" s="6">
        <v>45639</v>
      </c>
      <c r="D1444" t="str">
        <f t="shared" si="88"/>
        <v>Dec</v>
      </c>
      <c r="E1444" t="str">
        <f t="shared" si="89"/>
        <v>2024</v>
      </c>
      <c r="F1444" t="s">
        <v>5</v>
      </c>
      <c r="G1444" t="s">
        <v>470</v>
      </c>
      <c r="H1444" t="s">
        <v>867</v>
      </c>
      <c r="I1444">
        <v>190</v>
      </c>
      <c r="J1444">
        <v>30</v>
      </c>
      <c r="K1444">
        <f t="shared" si="90"/>
        <v>15.789473684210526</v>
      </c>
      <c r="L1444" t="s">
        <v>1740</v>
      </c>
      <c r="M1444" t="s">
        <v>3811</v>
      </c>
      <c r="N1444" t="s">
        <v>1</v>
      </c>
      <c r="O1444">
        <v>411046</v>
      </c>
      <c r="P1444" t="s">
        <v>546</v>
      </c>
      <c r="Q1444" t="s">
        <v>1761</v>
      </c>
      <c r="R1444" t="s">
        <v>2</v>
      </c>
      <c r="S1444">
        <v>13.76</v>
      </c>
      <c r="T1444">
        <v>2</v>
      </c>
      <c r="U1444">
        <v>0.1</v>
      </c>
      <c r="V1444">
        <v>6.3296000000000001</v>
      </c>
      <c r="W1444">
        <f t="shared" si="91"/>
        <v>3.7151999999999998</v>
      </c>
      <c r="X1444">
        <v>2</v>
      </c>
    </row>
    <row r="1445" spans="1:24" x14ac:dyDescent="0.3">
      <c r="A1445">
        <v>1444</v>
      </c>
      <c r="B1445" t="s">
        <v>3199</v>
      </c>
      <c r="C1445" s="6">
        <v>45640</v>
      </c>
      <c r="D1445" t="str">
        <f t="shared" si="88"/>
        <v>Dec</v>
      </c>
      <c r="E1445" t="str">
        <f t="shared" si="89"/>
        <v>2024</v>
      </c>
      <c r="F1445" t="s">
        <v>4</v>
      </c>
      <c r="G1445" t="s">
        <v>471</v>
      </c>
      <c r="H1445" t="s">
        <v>670</v>
      </c>
      <c r="I1445">
        <v>140</v>
      </c>
      <c r="J1445">
        <v>6</v>
      </c>
      <c r="K1445">
        <f t="shared" si="90"/>
        <v>4.2857142857142856</v>
      </c>
      <c r="L1445" t="s">
        <v>1742</v>
      </c>
      <c r="M1445" t="s">
        <v>3656</v>
      </c>
      <c r="N1445" t="s">
        <v>1</v>
      </c>
      <c r="O1445">
        <v>462001</v>
      </c>
      <c r="P1445" t="s">
        <v>546</v>
      </c>
      <c r="Q1445" t="s">
        <v>1766</v>
      </c>
      <c r="S1445">
        <v>139.42400000000001</v>
      </c>
      <c r="T1445">
        <v>4</v>
      </c>
      <c r="U1445">
        <v>0.2</v>
      </c>
      <c r="V1445">
        <v>17.428000000000001</v>
      </c>
      <c r="W1445">
        <f t="shared" si="91"/>
        <v>30.499000000000002</v>
      </c>
      <c r="X1445">
        <v>1</v>
      </c>
    </row>
    <row r="1446" spans="1:24" x14ac:dyDescent="0.3">
      <c r="A1446">
        <v>1445</v>
      </c>
      <c r="B1446" t="s">
        <v>3200</v>
      </c>
      <c r="C1446" s="6">
        <v>45641</v>
      </c>
      <c r="D1446" t="str">
        <f t="shared" si="88"/>
        <v>Dec</v>
      </c>
      <c r="E1446" t="str">
        <f t="shared" si="89"/>
        <v>2024</v>
      </c>
      <c r="F1446" t="s">
        <v>4</v>
      </c>
      <c r="G1446" t="s">
        <v>114</v>
      </c>
      <c r="H1446" t="s">
        <v>1450</v>
      </c>
      <c r="I1446">
        <v>150</v>
      </c>
      <c r="J1446">
        <v>30</v>
      </c>
      <c r="K1446">
        <f t="shared" si="90"/>
        <v>20</v>
      </c>
      <c r="L1446" t="s">
        <v>1739</v>
      </c>
      <c r="M1446" t="s">
        <v>3637</v>
      </c>
      <c r="N1446" t="s">
        <v>1</v>
      </c>
      <c r="O1446">
        <v>786602</v>
      </c>
      <c r="P1446" t="s">
        <v>546</v>
      </c>
      <c r="Q1446" t="s">
        <v>1772</v>
      </c>
      <c r="R1446" t="s">
        <v>2</v>
      </c>
      <c r="S1446">
        <v>1979.9280000000001</v>
      </c>
      <c r="T1446">
        <v>9</v>
      </c>
      <c r="U1446">
        <v>0.2</v>
      </c>
      <c r="V1446">
        <v>148.49459999999999</v>
      </c>
      <c r="W1446">
        <f t="shared" si="91"/>
        <v>203.49260000000001</v>
      </c>
      <c r="X1446">
        <v>3</v>
      </c>
    </row>
    <row r="1447" spans="1:24" x14ac:dyDescent="0.3">
      <c r="A1447">
        <v>1446</v>
      </c>
      <c r="B1447" t="s">
        <v>3201</v>
      </c>
      <c r="C1447" s="6">
        <v>45642</v>
      </c>
      <c r="D1447" t="str">
        <f t="shared" si="88"/>
        <v>Dec</v>
      </c>
      <c r="E1447" t="str">
        <f t="shared" si="89"/>
        <v>2024</v>
      </c>
      <c r="F1447" t="s">
        <v>5</v>
      </c>
      <c r="G1447" t="s">
        <v>181</v>
      </c>
      <c r="H1447" t="s">
        <v>779</v>
      </c>
      <c r="I1447">
        <v>130</v>
      </c>
      <c r="J1447">
        <v>26</v>
      </c>
      <c r="K1447">
        <f t="shared" si="90"/>
        <v>20</v>
      </c>
      <c r="L1447" t="s">
        <v>1738</v>
      </c>
      <c r="M1447" t="s">
        <v>3812</v>
      </c>
      <c r="N1447" t="s">
        <v>1</v>
      </c>
      <c r="O1447">
        <v>600044</v>
      </c>
      <c r="P1447" t="s">
        <v>546</v>
      </c>
      <c r="Q1447" t="s">
        <v>1761</v>
      </c>
      <c r="S1447">
        <v>164.73599999999999</v>
      </c>
      <c r="T1447">
        <v>4</v>
      </c>
      <c r="U1447">
        <v>0.2</v>
      </c>
      <c r="V1447">
        <v>-39.1248</v>
      </c>
      <c r="W1447">
        <f t="shared" si="91"/>
        <v>50.965199999999996</v>
      </c>
      <c r="X1447">
        <v>1</v>
      </c>
    </row>
    <row r="1448" spans="1:24" x14ac:dyDescent="0.3">
      <c r="A1448">
        <v>1447</v>
      </c>
      <c r="B1448" t="s">
        <v>3202</v>
      </c>
      <c r="C1448" s="6">
        <v>45643</v>
      </c>
      <c r="D1448" t="str">
        <f t="shared" si="88"/>
        <v>Dec</v>
      </c>
      <c r="E1448" t="str">
        <f t="shared" si="89"/>
        <v>2024</v>
      </c>
      <c r="F1448" t="s">
        <v>5</v>
      </c>
      <c r="G1448" t="s">
        <v>181</v>
      </c>
      <c r="H1448" t="s">
        <v>1539</v>
      </c>
      <c r="I1448">
        <v>230</v>
      </c>
      <c r="J1448">
        <v>10</v>
      </c>
      <c r="K1448">
        <f t="shared" si="90"/>
        <v>4.3478260869565215</v>
      </c>
      <c r="L1448" t="s">
        <v>1737</v>
      </c>
      <c r="M1448" t="s">
        <v>3813</v>
      </c>
      <c r="O1448">
        <v>400093</v>
      </c>
      <c r="P1448" t="s">
        <v>546</v>
      </c>
      <c r="Q1448" t="s">
        <v>1758</v>
      </c>
      <c r="R1448" t="s">
        <v>2</v>
      </c>
      <c r="S1448">
        <v>470.30200000000002</v>
      </c>
      <c r="T1448">
        <v>7</v>
      </c>
      <c r="U1448">
        <v>0.3</v>
      </c>
      <c r="V1448">
        <v>-87.341800000000006</v>
      </c>
      <c r="W1448">
        <f t="shared" si="91"/>
        <v>79.66340000000001</v>
      </c>
      <c r="X1448">
        <v>2</v>
      </c>
    </row>
    <row r="1449" spans="1:24" x14ac:dyDescent="0.3">
      <c r="A1449">
        <v>1448</v>
      </c>
      <c r="B1449" t="s">
        <v>3203</v>
      </c>
      <c r="C1449" s="6">
        <v>45644</v>
      </c>
      <c r="D1449" t="str">
        <f t="shared" si="88"/>
        <v>Dec</v>
      </c>
      <c r="E1449" t="str">
        <f t="shared" si="89"/>
        <v>2024</v>
      </c>
      <c r="F1449" t="s">
        <v>5</v>
      </c>
      <c r="G1449" t="s">
        <v>181</v>
      </c>
      <c r="H1449" t="s">
        <v>1540</v>
      </c>
      <c r="I1449">
        <v>140</v>
      </c>
      <c r="J1449">
        <v>16</v>
      </c>
      <c r="K1449">
        <f t="shared" si="90"/>
        <v>11.428571428571429</v>
      </c>
      <c r="L1449" t="s">
        <v>1743</v>
      </c>
      <c r="M1449" t="s">
        <v>3610</v>
      </c>
      <c r="N1449" t="s">
        <v>1</v>
      </c>
      <c r="O1449">
        <v>560077</v>
      </c>
      <c r="P1449" t="s">
        <v>546</v>
      </c>
      <c r="Q1449" t="s">
        <v>1755</v>
      </c>
      <c r="S1449">
        <v>47.984000000000002</v>
      </c>
      <c r="T1449">
        <v>2</v>
      </c>
      <c r="U1449">
        <v>0.2</v>
      </c>
      <c r="V1449">
        <v>5.9980000000000002</v>
      </c>
      <c r="W1449">
        <f t="shared" si="91"/>
        <v>20.993000000000002</v>
      </c>
      <c r="X1449">
        <v>5</v>
      </c>
    </row>
    <row r="1450" spans="1:24" x14ac:dyDescent="0.3">
      <c r="A1450">
        <v>1449</v>
      </c>
      <c r="B1450" t="s">
        <v>3204</v>
      </c>
      <c r="C1450" s="6">
        <v>45645</v>
      </c>
      <c r="D1450" t="str">
        <f t="shared" si="88"/>
        <v>Dec</v>
      </c>
      <c r="E1450" t="str">
        <f t="shared" si="89"/>
        <v>2024</v>
      </c>
      <c r="F1450" t="s">
        <v>5</v>
      </c>
      <c r="G1450" t="s">
        <v>385</v>
      </c>
      <c r="H1450" t="s">
        <v>1541</v>
      </c>
      <c r="I1450">
        <v>230</v>
      </c>
      <c r="J1450">
        <v>16</v>
      </c>
      <c r="K1450">
        <f t="shared" si="90"/>
        <v>6.9565217391304346</v>
      </c>
      <c r="L1450" t="s">
        <v>1738</v>
      </c>
      <c r="M1450" t="s">
        <v>3814</v>
      </c>
      <c r="N1450" t="s">
        <v>1</v>
      </c>
      <c r="O1450">
        <v>400059</v>
      </c>
      <c r="P1450" t="s">
        <v>546</v>
      </c>
      <c r="Q1450" t="s">
        <v>1764</v>
      </c>
      <c r="S1450">
        <v>2.5019999999999998</v>
      </c>
      <c r="T1450">
        <v>3</v>
      </c>
      <c r="U1450">
        <v>0.7</v>
      </c>
      <c r="V1450">
        <v>-1.7514000000000001</v>
      </c>
      <c r="W1450">
        <f t="shared" si="91"/>
        <v>1.4177999999999999</v>
      </c>
      <c r="X1450">
        <v>3</v>
      </c>
    </row>
    <row r="1451" spans="1:24" x14ac:dyDescent="0.3">
      <c r="A1451">
        <v>1450</v>
      </c>
      <c r="B1451" t="s">
        <v>3205</v>
      </c>
      <c r="C1451" s="6">
        <v>45646</v>
      </c>
      <c r="D1451" t="str">
        <f t="shared" si="88"/>
        <v>Dec</v>
      </c>
      <c r="E1451" t="str">
        <f t="shared" si="89"/>
        <v>2024</v>
      </c>
      <c r="F1451" t="s">
        <v>4</v>
      </c>
      <c r="G1451" t="s">
        <v>87</v>
      </c>
      <c r="H1451" t="s">
        <v>1542</v>
      </c>
      <c r="I1451">
        <v>250</v>
      </c>
      <c r="J1451">
        <v>22</v>
      </c>
      <c r="K1451">
        <f t="shared" si="90"/>
        <v>8.7999999999999989</v>
      </c>
      <c r="L1451" t="s">
        <v>1739</v>
      </c>
      <c r="M1451" t="s">
        <v>3707</v>
      </c>
      <c r="N1451" t="s">
        <v>1</v>
      </c>
      <c r="O1451">
        <v>121004</v>
      </c>
      <c r="P1451" t="s">
        <v>546</v>
      </c>
      <c r="Q1451" t="s">
        <v>1776</v>
      </c>
      <c r="S1451">
        <v>88.751999999999995</v>
      </c>
      <c r="T1451">
        <v>3</v>
      </c>
      <c r="U1451">
        <v>0.2</v>
      </c>
      <c r="V1451">
        <v>11.093999999999999</v>
      </c>
      <c r="W1451">
        <f t="shared" si="91"/>
        <v>25.885999999999999</v>
      </c>
      <c r="X1451">
        <v>2</v>
      </c>
    </row>
    <row r="1452" spans="1:24" x14ac:dyDescent="0.3">
      <c r="A1452">
        <v>1451</v>
      </c>
      <c r="B1452" t="s">
        <v>3206</v>
      </c>
      <c r="C1452" s="6">
        <v>45647</v>
      </c>
      <c r="D1452" t="str">
        <f t="shared" si="88"/>
        <v>Dec</v>
      </c>
      <c r="E1452" t="str">
        <f t="shared" si="89"/>
        <v>2024</v>
      </c>
      <c r="F1452" t="s">
        <v>5</v>
      </c>
      <c r="G1452" t="s">
        <v>472</v>
      </c>
      <c r="H1452" t="s">
        <v>1543</v>
      </c>
      <c r="I1452">
        <v>150</v>
      </c>
      <c r="J1452">
        <v>6</v>
      </c>
      <c r="K1452">
        <f t="shared" si="90"/>
        <v>4</v>
      </c>
      <c r="L1452" t="s">
        <v>1741</v>
      </c>
      <c r="M1452" t="s">
        <v>3815</v>
      </c>
      <c r="N1452" t="s">
        <v>1</v>
      </c>
      <c r="O1452">
        <v>614904</v>
      </c>
      <c r="P1452" t="s">
        <v>546</v>
      </c>
      <c r="Q1452" t="s">
        <v>1759</v>
      </c>
      <c r="S1452">
        <v>2.0249999999999999</v>
      </c>
      <c r="T1452">
        <v>1</v>
      </c>
      <c r="U1452">
        <v>0.7</v>
      </c>
      <c r="V1452">
        <v>-1.35</v>
      </c>
      <c r="W1452">
        <f t="shared" si="91"/>
        <v>3.375</v>
      </c>
      <c r="X1452">
        <v>1</v>
      </c>
    </row>
    <row r="1453" spans="1:24" x14ac:dyDescent="0.3">
      <c r="A1453">
        <v>1452</v>
      </c>
      <c r="B1453" t="s">
        <v>3207</v>
      </c>
      <c r="C1453" s="6">
        <v>45648</v>
      </c>
      <c r="D1453" t="str">
        <f t="shared" si="88"/>
        <v>Dec</v>
      </c>
      <c r="E1453" t="str">
        <f t="shared" si="89"/>
        <v>2024</v>
      </c>
      <c r="F1453" t="s">
        <v>5</v>
      </c>
      <c r="G1453" t="s">
        <v>473</v>
      </c>
      <c r="H1453" t="s">
        <v>1432</v>
      </c>
      <c r="I1453">
        <v>100</v>
      </c>
      <c r="J1453">
        <v>8</v>
      </c>
      <c r="K1453">
        <f t="shared" si="90"/>
        <v>8</v>
      </c>
      <c r="L1453" t="s">
        <v>1736</v>
      </c>
      <c r="M1453" t="s">
        <v>3653</v>
      </c>
      <c r="N1453" t="s">
        <v>1</v>
      </c>
      <c r="O1453">
        <v>360311</v>
      </c>
      <c r="P1453" t="s">
        <v>546</v>
      </c>
      <c r="Q1453" t="s">
        <v>1760</v>
      </c>
      <c r="S1453">
        <v>70.98</v>
      </c>
      <c r="T1453">
        <v>7</v>
      </c>
      <c r="U1453">
        <v>0.1</v>
      </c>
      <c r="V1453">
        <v>34.780200000000001</v>
      </c>
      <c r="W1453">
        <f t="shared" si="91"/>
        <v>5.1714000000000002</v>
      </c>
      <c r="X1453">
        <v>4</v>
      </c>
    </row>
    <row r="1454" spans="1:24" x14ac:dyDescent="0.3">
      <c r="A1454">
        <v>1453</v>
      </c>
      <c r="B1454" t="s">
        <v>3208</v>
      </c>
      <c r="C1454" s="6">
        <v>45649</v>
      </c>
      <c r="D1454" t="str">
        <f t="shared" si="88"/>
        <v>Dec</v>
      </c>
      <c r="E1454" t="str">
        <f t="shared" si="89"/>
        <v>2024</v>
      </c>
      <c r="F1454" t="s">
        <v>5</v>
      </c>
      <c r="G1454" t="s">
        <v>473</v>
      </c>
      <c r="H1454" t="s">
        <v>1544</v>
      </c>
      <c r="I1454">
        <v>130</v>
      </c>
      <c r="J1454">
        <v>18</v>
      </c>
      <c r="K1454">
        <f t="shared" si="90"/>
        <v>13.846153846153847</v>
      </c>
      <c r="L1454" t="s">
        <v>1744</v>
      </c>
      <c r="M1454" t="s">
        <v>3585</v>
      </c>
      <c r="N1454" t="s">
        <v>1</v>
      </c>
      <c r="O1454">
        <v>273008</v>
      </c>
      <c r="P1454" t="s">
        <v>546</v>
      </c>
      <c r="Q1454" t="s">
        <v>1775</v>
      </c>
      <c r="S1454">
        <v>91.68</v>
      </c>
      <c r="T1454">
        <v>3</v>
      </c>
      <c r="U1454">
        <v>0.1</v>
      </c>
      <c r="V1454">
        <v>45.84</v>
      </c>
      <c r="W1454">
        <f t="shared" si="91"/>
        <v>15.280000000000001</v>
      </c>
      <c r="X1454">
        <v>1</v>
      </c>
    </row>
    <row r="1455" spans="1:24" x14ac:dyDescent="0.3">
      <c r="A1455">
        <v>1454</v>
      </c>
      <c r="B1455" t="s">
        <v>3209</v>
      </c>
      <c r="C1455" s="6">
        <v>45650</v>
      </c>
      <c r="D1455" t="str">
        <f t="shared" si="88"/>
        <v>Dec</v>
      </c>
      <c r="E1455" t="str">
        <f t="shared" si="89"/>
        <v>2024</v>
      </c>
      <c r="F1455" t="s">
        <v>5</v>
      </c>
      <c r="G1455" t="s">
        <v>473</v>
      </c>
      <c r="H1455" t="s">
        <v>1543</v>
      </c>
      <c r="I1455">
        <v>210</v>
      </c>
      <c r="J1455">
        <v>30</v>
      </c>
      <c r="K1455">
        <f t="shared" si="90"/>
        <v>14.285714285714285</v>
      </c>
      <c r="L1455" t="s">
        <v>1740</v>
      </c>
      <c r="M1455" t="s">
        <v>3714</v>
      </c>
      <c r="N1455" t="s">
        <v>1</v>
      </c>
      <c r="O1455">
        <v>500032</v>
      </c>
      <c r="P1455" t="s">
        <v>546</v>
      </c>
      <c r="Q1455" t="s">
        <v>1772</v>
      </c>
      <c r="S1455">
        <v>33.75</v>
      </c>
      <c r="T1455">
        <v>5</v>
      </c>
      <c r="U1455">
        <v>0.1</v>
      </c>
      <c r="V1455">
        <v>16.875</v>
      </c>
      <c r="W1455">
        <f t="shared" si="91"/>
        <v>3.375</v>
      </c>
      <c r="X1455">
        <v>5</v>
      </c>
    </row>
    <row r="1456" spans="1:24" x14ac:dyDescent="0.3">
      <c r="A1456">
        <v>1455</v>
      </c>
      <c r="B1456" t="s">
        <v>3210</v>
      </c>
      <c r="C1456" s="6">
        <v>45651</v>
      </c>
      <c r="D1456" t="str">
        <f t="shared" si="88"/>
        <v>Dec</v>
      </c>
      <c r="E1456" t="str">
        <f t="shared" si="89"/>
        <v>2024</v>
      </c>
      <c r="F1456" t="s">
        <v>5</v>
      </c>
      <c r="G1456" t="s">
        <v>473</v>
      </c>
      <c r="H1456" t="s">
        <v>1545</v>
      </c>
      <c r="I1456">
        <v>170</v>
      </c>
      <c r="J1456">
        <v>10</v>
      </c>
      <c r="K1456">
        <f t="shared" si="90"/>
        <v>5.8823529411764701</v>
      </c>
      <c r="L1456" t="s">
        <v>1742</v>
      </c>
      <c r="M1456" t="s">
        <v>3816</v>
      </c>
      <c r="N1456" t="s">
        <v>1</v>
      </c>
      <c r="O1456">
        <v>411015</v>
      </c>
      <c r="P1456" t="s">
        <v>546</v>
      </c>
      <c r="Q1456" t="s">
        <v>1773</v>
      </c>
      <c r="S1456">
        <v>3040</v>
      </c>
      <c r="T1456">
        <v>8</v>
      </c>
      <c r="U1456">
        <v>0.1</v>
      </c>
      <c r="V1456">
        <v>1459.2</v>
      </c>
      <c r="W1456">
        <f t="shared" si="91"/>
        <v>197.6</v>
      </c>
      <c r="X1456">
        <v>2</v>
      </c>
    </row>
    <row r="1457" spans="1:24" x14ac:dyDescent="0.3">
      <c r="A1457">
        <v>1456</v>
      </c>
      <c r="B1457" t="s">
        <v>3211</v>
      </c>
      <c r="C1457" s="6">
        <v>45652</v>
      </c>
      <c r="D1457" t="str">
        <f t="shared" si="88"/>
        <v>Dec</v>
      </c>
      <c r="E1457" t="str">
        <f t="shared" si="89"/>
        <v>2024</v>
      </c>
      <c r="F1457" t="s">
        <v>4</v>
      </c>
      <c r="G1457" t="s">
        <v>474</v>
      </c>
      <c r="H1457" t="s">
        <v>1546</v>
      </c>
      <c r="I1457">
        <v>220</v>
      </c>
      <c r="J1457">
        <v>24</v>
      </c>
      <c r="K1457">
        <f t="shared" si="90"/>
        <v>10.909090909090908</v>
      </c>
      <c r="L1457" t="s">
        <v>1739</v>
      </c>
      <c r="M1457" t="s">
        <v>3657</v>
      </c>
      <c r="N1457" t="s">
        <v>1</v>
      </c>
      <c r="O1457">
        <v>560004</v>
      </c>
      <c r="P1457" t="s">
        <v>546</v>
      </c>
      <c r="Q1457" t="s">
        <v>1759</v>
      </c>
      <c r="S1457">
        <v>91.2</v>
      </c>
      <c r="T1457">
        <v>3</v>
      </c>
      <c r="U1457">
        <v>0.1</v>
      </c>
      <c r="V1457">
        <v>41.951999999999998</v>
      </c>
      <c r="W1457">
        <f t="shared" si="91"/>
        <v>16.416</v>
      </c>
      <c r="X1457">
        <v>5</v>
      </c>
    </row>
    <row r="1458" spans="1:24" x14ac:dyDescent="0.3">
      <c r="A1458">
        <v>1457</v>
      </c>
      <c r="B1458" t="s">
        <v>3212</v>
      </c>
      <c r="C1458" s="6">
        <v>45653</v>
      </c>
      <c r="D1458" t="str">
        <f t="shared" si="88"/>
        <v>Dec</v>
      </c>
      <c r="E1458" t="str">
        <f t="shared" si="89"/>
        <v>2024</v>
      </c>
      <c r="F1458" t="s">
        <v>4</v>
      </c>
      <c r="G1458" t="s">
        <v>474</v>
      </c>
      <c r="H1458" t="s">
        <v>1547</v>
      </c>
      <c r="I1458">
        <v>180</v>
      </c>
      <c r="J1458">
        <v>18</v>
      </c>
      <c r="K1458">
        <f t="shared" si="90"/>
        <v>10</v>
      </c>
      <c r="L1458" t="s">
        <v>1738</v>
      </c>
      <c r="M1458" t="s">
        <v>3817</v>
      </c>
      <c r="N1458" t="s">
        <v>1</v>
      </c>
      <c r="O1458">
        <v>390020</v>
      </c>
      <c r="P1458" t="s">
        <v>546</v>
      </c>
      <c r="Q1458" t="s">
        <v>1759</v>
      </c>
      <c r="R1458" t="s">
        <v>2</v>
      </c>
      <c r="S1458">
        <v>452.94</v>
      </c>
      <c r="T1458">
        <v>3</v>
      </c>
      <c r="U1458">
        <v>0.1</v>
      </c>
      <c r="V1458">
        <v>67.941000000000003</v>
      </c>
      <c r="W1458">
        <f t="shared" si="91"/>
        <v>128.333</v>
      </c>
      <c r="X1458">
        <v>4</v>
      </c>
    </row>
    <row r="1459" spans="1:24" x14ac:dyDescent="0.3">
      <c r="A1459">
        <v>1458</v>
      </c>
      <c r="B1459" t="s">
        <v>1849</v>
      </c>
      <c r="C1459" s="6">
        <v>45654</v>
      </c>
      <c r="D1459" t="str">
        <f t="shared" si="88"/>
        <v>Dec</v>
      </c>
      <c r="E1459" t="str">
        <f t="shared" si="89"/>
        <v>2024</v>
      </c>
      <c r="F1459" t="s">
        <v>4</v>
      </c>
      <c r="G1459" t="s">
        <v>471</v>
      </c>
      <c r="H1459" t="s">
        <v>873</v>
      </c>
      <c r="I1459">
        <v>180</v>
      </c>
      <c r="J1459">
        <v>26</v>
      </c>
      <c r="K1459">
        <f t="shared" si="90"/>
        <v>14.444444444444443</v>
      </c>
      <c r="L1459" t="s">
        <v>1737</v>
      </c>
      <c r="M1459" t="s">
        <v>3880</v>
      </c>
      <c r="O1459">
        <v>500097</v>
      </c>
      <c r="P1459" t="s">
        <v>546</v>
      </c>
      <c r="Q1459" t="s">
        <v>1768</v>
      </c>
      <c r="R1459" t="s">
        <v>2</v>
      </c>
      <c r="S1459">
        <v>52.2</v>
      </c>
      <c r="T1459">
        <v>9</v>
      </c>
      <c r="U1459">
        <v>0.1</v>
      </c>
      <c r="V1459">
        <v>23.49</v>
      </c>
      <c r="W1459">
        <f t="shared" si="91"/>
        <v>3.1900000000000004</v>
      </c>
      <c r="X1459">
        <v>3</v>
      </c>
    </row>
    <row r="1460" spans="1:24" x14ac:dyDescent="0.3">
      <c r="A1460">
        <v>1459</v>
      </c>
      <c r="B1460" t="s">
        <v>3213</v>
      </c>
      <c r="C1460" s="6">
        <v>45655</v>
      </c>
      <c r="D1460" t="str">
        <f t="shared" si="88"/>
        <v>Dec</v>
      </c>
      <c r="E1460" t="str">
        <f t="shared" si="89"/>
        <v>2024</v>
      </c>
      <c r="F1460" t="s">
        <v>4</v>
      </c>
      <c r="G1460" t="s">
        <v>475</v>
      </c>
      <c r="H1460" t="s">
        <v>1186</v>
      </c>
      <c r="I1460">
        <v>240</v>
      </c>
      <c r="J1460">
        <v>18</v>
      </c>
      <c r="K1460">
        <f t="shared" si="90"/>
        <v>7.5</v>
      </c>
      <c r="L1460" t="s">
        <v>1743</v>
      </c>
      <c r="M1460" t="s">
        <v>3881</v>
      </c>
      <c r="N1460" t="s">
        <v>1</v>
      </c>
      <c r="O1460">
        <v>226022</v>
      </c>
      <c r="P1460" t="s">
        <v>546</v>
      </c>
      <c r="Q1460" t="s">
        <v>1760</v>
      </c>
      <c r="R1460" t="s">
        <v>2</v>
      </c>
      <c r="S1460">
        <v>15.936</v>
      </c>
      <c r="T1460">
        <v>4</v>
      </c>
      <c r="U1460">
        <v>0.2</v>
      </c>
      <c r="V1460">
        <v>5.1791999999999998</v>
      </c>
      <c r="W1460">
        <f t="shared" si="91"/>
        <v>2.6892</v>
      </c>
      <c r="X1460">
        <v>2</v>
      </c>
    </row>
    <row r="1461" spans="1:24" x14ac:dyDescent="0.3">
      <c r="A1461">
        <v>1460</v>
      </c>
      <c r="B1461" t="s">
        <v>3214</v>
      </c>
      <c r="C1461" s="6">
        <v>45656</v>
      </c>
      <c r="D1461" t="str">
        <f t="shared" si="88"/>
        <v>Dec</v>
      </c>
      <c r="E1461" t="str">
        <f t="shared" si="89"/>
        <v>2024</v>
      </c>
      <c r="F1461" t="s">
        <v>6</v>
      </c>
      <c r="G1461" t="s">
        <v>11</v>
      </c>
      <c r="H1461" t="s">
        <v>1548</v>
      </c>
      <c r="I1461">
        <v>250</v>
      </c>
      <c r="J1461">
        <v>22</v>
      </c>
      <c r="K1461">
        <f t="shared" si="90"/>
        <v>8.7999999999999989</v>
      </c>
      <c r="L1461" t="s">
        <v>1738</v>
      </c>
      <c r="M1461" t="s">
        <v>3882</v>
      </c>
      <c r="N1461" t="s">
        <v>1</v>
      </c>
      <c r="O1461">
        <v>226022</v>
      </c>
      <c r="P1461" t="s">
        <v>546</v>
      </c>
      <c r="Q1461" t="s">
        <v>1774</v>
      </c>
      <c r="S1461">
        <v>27.46</v>
      </c>
      <c r="T1461">
        <v>2</v>
      </c>
      <c r="U1461">
        <v>0.1</v>
      </c>
      <c r="V1461">
        <v>9.8856000000000002</v>
      </c>
      <c r="W1461">
        <f t="shared" si="91"/>
        <v>8.7872000000000003</v>
      </c>
      <c r="X1461">
        <v>1</v>
      </c>
    </row>
    <row r="1462" spans="1:24" x14ac:dyDescent="0.3">
      <c r="A1462">
        <v>1461</v>
      </c>
      <c r="B1462" t="s">
        <v>3215</v>
      </c>
      <c r="C1462" s="6">
        <v>45657</v>
      </c>
      <c r="D1462" t="str">
        <f t="shared" si="88"/>
        <v>Dec</v>
      </c>
      <c r="E1462" t="str">
        <f t="shared" si="89"/>
        <v>2024</v>
      </c>
      <c r="F1462" t="s">
        <v>4</v>
      </c>
      <c r="G1462" t="s">
        <v>102</v>
      </c>
      <c r="H1462" t="s">
        <v>1549</v>
      </c>
      <c r="I1462">
        <v>120</v>
      </c>
      <c r="J1462">
        <v>22</v>
      </c>
      <c r="K1462">
        <f t="shared" si="90"/>
        <v>18.333333333333332</v>
      </c>
      <c r="L1462" t="s">
        <v>1739</v>
      </c>
      <c r="M1462" t="s">
        <v>3883</v>
      </c>
      <c r="N1462" t="s">
        <v>1</v>
      </c>
      <c r="O1462">
        <v>226022</v>
      </c>
      <c r="P1462" t="s">
        <v>546</v>
      </c>
      <c r="Q1462" t="s">
        <v>1764</v>
      </c>
      <c r="S1462">
        <v>55.423999999999999</v>
      </c>
      <c r="T1462">
        <v>2</v>
      </c>
      <c r="U1462">
        <v>0.2</v>
      </c>
      <c r="V1462">
        <v>19.398399999999999</v>
      </c>
      <c r="W1462">
        <f t="shared" si="91"/>
        <v>18.012799999999999</v>
      </c>
      <c r="X1462">
        <v>1</v>
      </c>
    </row>
    <row r="1463" spans="1:24" x14ac:dyDescent="0.3">
      <c r="A1463">
        <v>1462</v>
      </c>
      <c r="B1463" t="s">
        <v>3216</v>
      </c>
      <c r="C1463" s="6">
        <v>45658</v>
      </c>
      <c r="D1463" t="str">
        <f t="shared" si="88"/>
        <v>Jan</v>
      </c>
      <c r="E1463" t="str">
        <f t="shared" si="89"/>
        <v>2025</v>
      </c>
      <c r="F1463" t="s">
        <v>4</v>
      </c>
      <c r="G1463" t="s">
        <v>476</v>
      </c>
      <c r="H1463" t="s">
        <v>1163</v>
      </c>
      <c r="I1463">
        <v>220</v>
      </c>
      <c r="J1463">
        <v>6</v>
      </c>
      <c r="K1463">
        <f t="shared" si="90"/>
        <v>2.7272727272727271</v>
      </c>
      <c r="L1463" t="s">
        <v>1741</v>
      </c>
      <c r="M1463" t="s">
        <v>3884</v>
      </c>
      <c r="N1463" t="s">
        <v>1</v>
      </c>
      <c r="O1463">
        <v>226022</v>
      </c>
      <c r="P1463" t="s">
        <v>546</v>
      </c>
      <c r="Q1463" t="s">
        <v>1763</v>
      </c>
      <c r="S1463">
        <v>244.006</v>
      </c>
      <c r="T1463">
        <v>2</v>
      </c>
      <c r="U1463">
        <v>0.3</v>
      </c>
      <c r="V1463">
        <v>-31.372199999999999</v>
      </c>
      <c r="W1463">
        <f t="shared" si="91"/>
        <v>137.6891</v>
      </c>
      <c r="X1463">
        <v>5</v>
      </c>
    </row>
    <row r="1464" spans="1:24" x14ac:dyDescent="0.3">
      <c r="A1464">
        <v>1463</v>
      </c>
      <c r="B1464" t="s">
        <v>3217</v>
      </c>
      <c r="C1464" s="6">
        <v>45659</v>
      </c>
      <c r="D1464" t="str">
        <f t="shared" si="88"/>
        <v>Jan</v>
      </c>
      <c r="E1464" t="str">
        <f t="shared" si="89"/>
        <v>2025</v>
      </c>
      <c r="F1464" t="s">
        <v>5</v>
      </c>
      <c r="G1464" t="s">
        <v>25</v>
      </c>
      <c r="H1464" t="s">
        <v>956</v>
      </c>
      <c r="I1464">
        <v>240</v>
      </c>
      <c r="J1464">
        <v>14</v>
      </c>
      <c r="K1464">
        <f t="shared" si="90"/>
        <v>5.833333333333333</v>
      </c>
      <c r="L1464" t="s">
        <v>1736</v>
      </c>
      <c r="M1464" t="s">
        <v>3885</v>
      </c>
      <c r="N1464" t="s">
        <v>1</v>
      </c>
      <c r="O1464">
        <v>226022</v>
      </c>
      <c r="P1464" t="s">
        <v>546</v>
      </c>
      <c r="Q1464" t="s">
        <v>1775</v>
      </c>
      <c r="S1464">
        <v>159.98400000000001</v>
      </c>
      <c r="T1464">
        <v>2</v>
      </c>
      <c r="U1464">
        <v>0.2</v>
      </c>
      <c r="V1464">
        <v>43.995600000000003</v>
      </c>
      <c r="W1464">
        <f t="shared" si="91"/>
        <v>57.994200000000006</v>
      </c>
      <c r="X1464">
        <v>2</v>
      </c>
    </row>
    <row r="1465" spans="1:24" x14ac:dyDescent="0.3">
      <c r="A1465">
        <v>1464</v>
      </c>
      <c r="B1465" t="s">
        <v>3218</v>
      </c>
      <c r="C1465" s="6">
        <v>45660</v>
      </c>
      <c r="D1465" t="str">
        <f t="shared" si="88"/>
        <v>Jan</v>
      </c>
      <c r="E1465" t="str">
        <f t="shared" si="89"/>
        <v>2025</v>
      </c>
      <c r="F1465" t="s">
        <v>5</v>
      </c>
      <c r="G1465" t="s">
        <v>25</v>
      </c>
      <c r="H1465" t="s">
        <v>1403</v>
      </c>
      <c r="I1465">
        <v>160</v>
      </c>
      <c r="J1465">
        <v>22</v>
      </c>
      <c r="K1465">
        <f t="shared" si="90"/>
        <v>13.750000000000002</v>
      </c>
      <c r="L1465" t="s">
        <v>1744</v>
      </c>
      <c r="M1465" t="s">
        <v>3886</v>
      </c>
      <c r="N1465" t="s">
        <v>1</v>
      </c>
      <c r="O1465">
        <v>753001</v>
      </c>
      <c r="P1465" t="s">
        <v>546</v>
      </c>
      <c r="Q1465" t="s">
        <v>1758</v>
      </c>
      <c r="S1465">
        <v>1024.7159999999999</v>
      </c>
      <c r="T1465">
        <v>6</v>
      </c>
      <c r="U1465">
        <v>0.3</v>
      </c>
      <c r="V1465">
        <v>-29.2776</v>
      </c>
      <c r="W1465">
        <f t="shared" si="91"/>
        <v>175.66559999999996</v>
      </c>
      <c r="X1465">
        <v>5</v>
      </c>
    </row>
    <row r="1466" spans="1:24" x14ac:dyDescent="0.3">
      <c r="A1466">
        <v>1465</v>
      </c>
      <c r="B1466" t="s">
        <v>3219</v>
      </c>
      <c r="C1466" s="6">
        <v>45661</v>
      </c>
      <c r="D1466" t="str">
        <f t="shared" si="88"/>
        <v>Jan</v>
      </c>
      <c r="E1466" t="str">
        <f t="shared" si="89"/>
        <v>2025</v>
      </c>
      <c r="F1466" t="s">
        <v>5</v>
      </c>
      <c r="G1466" t="s">
        <v>477</v>
      </c>
      <c r="H1466" t="s">
        <v>1348</v>
      </c>
      <c r="I1466">
        <v>130</v>
      </c>
      <c r="J1466">
        <v>24</v>
      </c>
      <c r="K1466">
        <f t="shared" si="90"/>
        <v>18.461538461538463</v>
      </c>
      <c r="L1466" t="s">
        <v>1740</v>
      </c>
      <c r="M1466" t="s">
        <v>3887</v>
      </c>
      <c r="N1466" t="s">
        <v>1</v>
      </c>
      <c r="O1466">
        <v>695543</v>
      </c>
      <c r="P1466" t="s">
        <v>546</v>
      </c>
      <c r="Q1466" t="s">
        <v>1763</v>
      </c>
      <c r="S1466">
        <v>3.68</v>
      </c>
      <c r="T1466">
        <v>2</v>
      </c>
      <c r="U1466">
        <v>0.1</v>
      </c>
      <c r="V1466">
        <v>1.8031999999999999</v>
      </c>
      <c r="W1466">
        <f t="shared" si="91"/>
        <v>0.93840000000000012</v>
      </c>
      <c r="X1466">
        <v>3</v>
      </c>
    </row>
    <row r="1467" spans="1:24" x14ac:dyDescent="0.3">
      <c r="A1467">
        <v>1466</v>
      </c>
      <c r="B1467" t="s">
        <v>3220</v>
      </c>
      <c r="C1467" s="6">
        <v>45662</v>
      </c>
      <c r="D1467" t="str">
        <f t="shared" si="88"/>
        <v>Jan</v>
      </c>
      <c r="E1467" t="str">
        <f t="shared" si="89"/>
        <v>2025</v>
      </c>
      <c r="F1467" t="s">
        <v>4</v>
      </c>
      <c r="G1467" t="s">
        <v>100</v>
      </c>
      <c r="H1467" t="s">
        <v>1314</v>
      </c>
      <c r="I1467">
        <v>250</v>
      </c>
      <c r="J1467">
        <v>22</v>
      </c>
      <c r="K1467">
        <f t="shared" si="90"/>
        <v>8.7999999999999989</v>
      </c>
      <c r="L1467" t="s">
        <v>1742</v>
      </c>
      <c r="M1467" t="s">
        <v>3888</v>
      </c>
      <c r="N1467" t="s">
        <v>1</v>
      </c>
      <c r="O1467">
        <v>515004</v>
      </c>
      <c r="P1467" t="s">
        <v>546</v>
      </c>
      <c r="Q1467" t="s">
        <v>1756</v>
      </c>
      <c r="R1467" t="s">
        <v>2</v>
      </c>
      <c r="S1467">
        <v>121.376</v>
      </c>
      <c r="T1467">
        <v>4</v>
      </c>
      <c r="U1467">
        <v>0.2</v>
      </c>
      <c r="V1467">
        <v>-3.0344000000000002</v>
      </c>
      <c r="W1467">
        <f t="shared" si="91"/>
        <v>31.102600000000002</v>
      </c>
      <c r="X1467">
        <v>2</v>
      </c>
    </row>
    <row r="1468" spans="1:24" x14ac:dyDescent="0.3">
      <c r="A1468">
        <v>1467</v>
      </c>
      <c r="B1468" t="s">
        <v>3221</v>
      </c>
      <c r="C1468" s="6">
        <v>45663</v>
      </c>
      <c r="D1468" t="str">
        <f t="shared" si="88"/>
        <v>Jan</v>
      </c>
      <c r="E1468" t="str">
        <f t="shared" si="89"/>
        <v>2025</v>
      </c>
      <c r="F1468" t="s">
        <v>4</v>
      </c>
      <c r="G1468" t="s">
        <v>100</v>
      </c>
      <c r="H1468" t="s">
        <v>644</v>
      </c>
      <c r="I1468">
        <v>150</v>
      </c>
      <c r="J1468">
        <v>8</v>
      </c>
      <c r="K1468">
        <f t="shared" si="90"/>
        <v>5.3333333333333339</v>
      </c>
      <c r="L1468" t="s">
        <v>1739</v>
      </c>
      <c r="M1468" t="s">
        <v>3889</v>
      </c>
      <c r="N1468" t="s">
        <v>1</v>
      </c>
      <c r="O1468">
        <v>462016</v>
      </c>
      <c r="P1468" t="s">
        <v>546</v>
      </c>
      <c r="Q1468" t="s">
        <v>1759</v>
      </c>
      <c r="S1468">
        <v>95.975999999999999</v>
      </c>
      <c r="T1468">
        <v>3</v>
      </c>
      <c r="U1468">
        <v>0.2</v>
      </c>
      <c r="V1468">
        <v>-10.7973</v>
      </c>
      <c r="W1468">
        <f t="shared" si="91"/>
        <v>35.591100000000004</v>
      </c>
      <c r="X1468">
        <v>5</v>
      </c>
    </row>
    <row r="1469" spans="1:24" x14ac:dyDescent="0.3">
      <c r="A1469">
        <v>1468</v>
      </c>
      <c r="B1469" t="s">
        <v>3222</v>
      </c>
      <c r="C1469" s="6">
        <v>45664</v>
      </c>
      <c r="D1469" t="str">
        <f t="shared" si="88"/>
        <v>Jan</v>
      </c>
      <c r="E1469" t="str">
        <f t="shared" si="89"/>
        <v>2025</v>
      </c>
      <c r="F1469" t="s">
        <v>6</v>
      </c>
      <c r="G1469" t="s">
        <v>281</v>
      </c>
      <c r="H1469" t="s">
        <v>1204</v>
      </c>
      <c r="I1469">
        <v>170</v>
      </c>
      <c r="J1469">
        <v>12</v>
      </c>
      <c r="K1469">
        <f t="shared" si="90"/>
        <v>7.0588235294117645</v>
      </c>
      <c r="L1469" t="s">
        <v>1738</v>
      </c>
      <c r="M1469" t="s">
        <v>3890</v>
      </c>
      <c r="N1469" t="s">
        <v>1</v>
      </c>
      <c r="O1469">
        <v>700133</v>
      </c>
      <c r="P1469" t="s">
        <v>546</v>
      </c>
      <c r="Q1469" t="s">
        <v>1776</v>
      </c>
      <c r="S1469">
        <v>255.96799999999999</v>
      </c>
      <c r="T1469">
        <v>4</v>
      </c>
      <c r="U1469">
        <v>0.2</v>
      </c>
      <c r="V1469">
        <v>31.995999999999999</v>
      </c>
      <c r="W1469">
        <f t="shared" si="91"/>
        <v>55.992999999999995</v>
      </c>
      <c r="X1469">
        <v>2</v>
      </c>
    </row>
    <row r="1470" spans="1:24" x14ac:dyDescent="0.3">
      <c r="A1470">
        <v>1469</v>
      </c>
      <c r="B1470" t="s">
        <v>3223</v>
      </c>
      <c r="C1470" s="6">
        <v>45665</v>
      </c>
      <c r="D1470" t="str">
        <f t="shared" si="88"/>
        <v>Jan</v>
      </c>
      <c r="E1470" t="str">
        <f t="shared" si="89"/>
        <v>2025</v>
      </c>
      <c r="F1470" t="s">
        <v>4</v>
      </c>
      <c r="G1470" t="s">
        <v>467</v>
      </c>
      <c r="H1470" t="s">
        <v>1550</v>
      </c>
      <c r="I1470">
        <v>230</v>
      </c>
      <c r="J1470">
        <v>26</v>
      </c>
      <c r="K1470">
        <f t="shared" si="90"/>
        <v>11.304347826086957</v>
      </c>
      <c r="L1470" t="s">
        <v>1743</v>
      </c>
      <c r="M1470" t="s">
        <v>3891</v>
      </c>
      <c r="N1470" t="s">
        <v>1</v>
      </c>
      <c r="O1470">
        <v>574231</v>
      </c>
      <c r="P1470" t="s">
        <v>546</v>
      </c>
      <c r="Q1470" t="s">
        <v>1766</v>
      </c>
      <c r="R1470" t="s">
        <v>2</v>
      </c>
      <c r="S1470">
        <v>872.94</v>
      </c>
      <c r="T1470">
        <v>3</v>
      </c>
      <c r="U1470">
        <v>0.1</v>
      </c>
      <c r="V1470">
        <v>226.96440000000001</v>
      </c>
      <c r="W1470">
        <f t="shared" si="91"/>
        <v>215.3252</v>
      </c>
      <c r="X1470">
        <v>2</v>
      </c>
    </row>
    <row r="1471" spans="1:24" x14ac:dyDescent="0.3">
      <c r="A1471">
        <v>1470</v>
      </c>
      <c r="B1471" t="s">
        <v>3224</v>
      </c>
      <c r="C1471" s="6">
        <v>45666</v>
      </c>
      <c r="D1471" t="str">
        <f t="shared" si="88"/>
        <v>Jan</v>
      </c>
      <c r="E1471" t="str">
        <f t="shared" si="89"/>
        <v>2025</v>
      </c>
      <c r="F1471" t="s">
        <v>4</v>
      </c>
      <c r="G1471" t="s">
        <v>467</v>
      </c>
      <c r="H1471" t="s">
        <v>897</v>
      </c>
      <c r="I1471">
        <v>250</v>
      </c>
      <c r="J1471">
        <v>22</v>
      </c>
      <c r="K1471">
        <f t="shared" si="90"/>
        <v>8.7999999999999989</v>
      </c>
      <c r="L1471" t="s">
        <v>1737</v>
      </c>
      <c r="M1471" t="s">
        <v>3892</v>
      </c>
      <c r="N1471" t="s">
        <v>1</v>
      </c>
      <c r="O1471">
        <v>415523</v>
      </c>
      <c r="P1471" t="s">
        <v>546</v>
      </c>
      <c r="Q1471" t="s">
        <v>1754</v>
      </c>
      <c r="S1471">
        <v>41.54</v>
      </c>
      <c r="T1471">
        <v>2</v>
      </c>
      <c r="U1471">
        <v>0.1</v>
      </c>
      <c r="V1471">
        <v>19.523800000000001</v>
      </c>
      <c r="W1471">
        <f t="shared" si="91"/>
        <v>11.008099999999999</v>
      </c>
      <c r="X1471">
        <v>3</v>
      </c>
    </row>
    <row r="1472" spans="1:24" x14ac:dyDescent="0.3">
      <c r="A1472">
        <v>1471</v>
      </c>
      <c r="B1472" t="s">
        <v>3225</v>
      </c>
      <c r="C1472" s="6">
        <v>45667</v>
      </c>
      <c r="D1472" t="str">
        <f t="shared" si="88"/>
        <v>Jan</v>
      </c>
      <c r="E1472" t="str">
        <f t="shared" si="89"/>
        <v>2025</v>
      </c>
      <c r="F1472" t="s">
        <v>4</v>
      </c>
      <c r="G1472" t="s">
        <v>467</v>
      </c>
      <c r="H1472" t="s">
        <v>1551</v>
      </c>
      <c r="I1472">
        <v>150</v>
      </c>
      <c r="J1472">
        <v>20</v>
      </c>
      <c r="K1472">
        <f t="shared" si="90"/>
        <v>13.333333333333334</v>
      </c>
      <c r="L1472" t="s">
        <v>1741</v>
      </c>
      <c r="M1472" t="s">
        <v>3893</v>
      </c>
      <c r="N1472" t="s">
        <v>1</v>
      </c>
      <c r="O1472">
        <v>500050</v>
      </c>
      <c r="P1472" t="s">
        <v>546</v>
      </c>
      <c r="Q1472" t="s">
        <v>1758</v>
      </c>
      <c r="S1472">
        <v>12.96</v>
      </c>
      <c r="T1472">
        <v>2</v>
      </c>
      <c r="U1472">
        <v>0.1</v>
      </c>
      <c r="V1472">
        <v>6.2207999999999997</v>
      </c>
      <c r="W1472">
        <f t="shared" si="91"/>
        <v>3.3696000000000006</v>
      </c>
      <c r="X1472">
        <v>3</v>
      </c>
    </row>
    <row r="1473" spans="1:24" x14ac:dyDescent="0.3">
      <c r="A1473">
        <v>1472</v>
      </c>
      <c r="B1473" t="s">
        <v>3226</v>
      </c>
      <c r="C1473" s="6">
        <v>45668</v>
      </c>
      <c r="D1473" t="str">
        <f t="shared" si="88"/>
        <v>Jan</v>
      </c>
      <c r="E1473" t="str">
        <f t="shared" si="89"/>
        <v>2025</v>
      </c>
      <c r="F1473" t="s">
        <v>3</v>
      </c>
      <c r="G1473" t="s">
        <v>28</v>
      </c>
      <c r="H1473" t="s">
        <v>1552</v>
      </c>
      <c r="I1473">
        <v>160</v>
      </c>
      <c r="J1473">
        <v>24</v>
      </c>
      <c r="K1473">
        <f t="shared" si="90"/>
        <v>15</v>
      </c>
      <c r="L1473" t="s">
        <v>1736</v>
      </c>
      <c r="M1473" t="s">
        <v>3894</v>
      </c>
      <c r="N1473" t="s">
        <v>1</v>
      </c>
      <c r="O1473">
        <v>534447</v>
      </c>
      <c r="P1473" t="s">
        <v>546</v>
      </c>
      <c r="Q1473" t="s">
        <v>1776</v>
      </c>
      <c r="R1473" t="s">
        <v>2</v>
      </c>
      <c r="S1473">
        <v>6.8479999999999999</v>
      </c>
      <c r="T1473">
        <v>2</v>
      </c>
      <c r="U1473">
        <v>0.2</v>
      </c>
      <c r="V1473">
        <v>0.59919999999999995</v>
      </c>
      <c r="W1473">
        <f t="shared" si="91"/>
        <v>3.1244000000000001</v>
      </c>
      <c r="X1473">
        <v>1</v>
      </c>
    </row>
    <row r="1474" spans="1:24" x14ac:dyDescent="0.3">
      <c r="A1474">
        <v>1473</v>
      </c>
      <c r="B1474" t="s">
        <v>3227</v>
      </c>
      <c r="C1474" s="6">
        <v>45669</v>
      </c>
      <c r="D1474" t="str">
        <f t="shared" si="88"/>
        <v>Jan</v>
      </c>
      <c r="E1474" t="str">
        <f t="shared" si="89"/>
        <v>2025</v>
      </c>
      <c r="F1474" t="s">
        <v>4</v>
      </c>
      <c r="G1474" t="s">
        <v>478</v>
      </c>
      <c r="H1474" t="s">
        <v>1235</v>
      </c>
      <c r="I1474">
        <v>180</v>
      </c>
      <c r="J1474">
        <v>22</v>
      </c>
      <c r="K1474">
        <f t="shared" si="90"/>
        <v>12.222222222222221</v>
      </c>
      <c r="L1474" t="s">
        <v>1744</v>
      </c>
      <c r="M1474" t="s">
        <v>3895</v>
      </c>
      <c r="N1474" t="s">
        <v>1</v>
      </c>
      <c r="O1474">
        <v>400067</v>
      </c>
      <c r="P1474" t="s">
        <v>546</v>
      </c>
      <c r="Q1474" t="s">
        <v>1765</v>
      </c>
      <c r="S1474">
        <v>8.67</v>
      </c>
      <c r="T1474">
        <v>3</v>
      </c>
      <c r="U1474">
        <v>0.1</v>
      </c>
      <c r="V1474">
        <v>4.0749000000000004</v>
      </c>
      <c r="W1474">
        <f t="shared" si="91"/>
        <v>1.5316999999999998</v>
      </c>
      <c r="X1474">
        <v>5</v>
      </c>
    </row>
    <row r="1475" spans="1:24" x14ac:dyDescent="0.3">
      <c r="A1475">
        <v>1474</v>
      </c>
      <c r="B1475" t="s">
        <v>3228</v>
      </c>
      <c r="C1475" s="6">
        <v>45670</v>
      </c>
      <c r="D1475" t="str">
        <f t="shared" ref="D1475:D1538" si="92">TEXT(C1475,"Mmm")</f>
        <v>Jan</v>
      </c>
      <c r="E1475" t="str">
        <f t="shared" ref="E1475:E1538" si="93">TEXT(C1475,"YYYY")</f>
        <v>2025</v>
      </c>
      <c r="F1475" t="s">
        <v>6</v>
      </c>
      <c r="G1475" t="s">
        <v>399</v>
      </c>
      <c r="H1475" t="s">
        <v>1553</v>
      </c>
      <c r="I1475">
        <v>150</v>
      </c>
      <c r="J1475">
        <v>28</v>
      </c>
      <c r="K1475">
        <f t="shared" ref="K1475:K1538" si="94">(J1475/I1475)*100</f>
        <v>18.666666666666668</v>
      </c>
      <c r="L1475" t="s">
        <v>1740</v>
      </c>
      <c r="M1475" t="s">
        <v>3896</v>
      </c>
      <c r="N1475" t="s">
        <v>1</v>
      </c>
      <c r="O1475">
        <v>400037</v>
      </c>
      <c r="P1475" t="s">
        <v>546</v>
      </c>
      <c r="Q1475" t="s">
        <v>1760</v>
      </c>
      <c r="R1475" t="s">
        <v>2</v>
      </c>
      <c r="S1475">
        <v>6.6879999999999997</v>
      </c>
      <c r="T1475">
        <v>4</v>
      </c>
      <c r="U1475">
        <v>0.6</v>
      </c>
      <c r="V1475">
        <v>-4.0128000000000004</v>
      </c>
      <c r="W1475">
        <f t="shared" ref="W1475:W1538" si="95">(S1475-V1475)/T1475</f>
        <v>2.6752000000000002</v>
      </c>
      <c r="X1475">
        <v>3</v>
      </c>
    </row>
    <row r="1476" spans="1:24" x14ac:dyDescent="0.3">
      <c r="A1476">
        <v>1475</v>
      </c>
      <c r="B1476" t="s">
        <v>3229</v>
      </c>
      <c r="C1476" s="6">
        <v>45671</v>
      </c>
      <c r="D1476" t="str">
        <f t="shared" si="92"/>
        <v>Jan</v>
      </c>
      <c r="E1476" t="str">
        <f t="shared" si="93"/>
        <v>2025</v>
      </c>
      <c r="F1476" t="s">
        <v>4</v>
      </c>
      <c r="G1476" t="s">
        <v>479</v>
      </c>
      <c r="H1476" t="s">
        <v>1554</v>
      </c>
      <c r="I1476">
        <v>150</v>
      </c>
      <c r="J1476">
        <v>24</v>
      </c>
      <c r="K1476">
        <f t="shared" si="94"/>
        <v>16</v>
      </c>
      <c r="L1476" t="s">
        <v>1742</v>
      </c>
      <c r="M1476" t="s">
        <v>3706</v>
      </c>
      <c r="N1476" t="s">
        <v>1</v>
      </c>
      <c r="O1476">
        <v>110058</v>
      </c>
      <c r="P1476" t="s">
        <v>546</v>
      </c>
      <c r="Q1476" t="s">
        <v>1770</v>
      </c>
      <c r="R1476" t="s">
        <v>2</v>
      </c>
      <c r="S1476">
        <v>17.28</v>
      </c>
      <c r="T1476">
        <v>6</v>
      </c>
      <c r="U1476">
        <v>0.1</v>
      </c>
      <c r="V1476">
        <v>5.0111999999999997</v>
      </c>
      <c r="W1476">
        <f t="shared" si="95"/>
        <v>2.0448000000000004</v>
      </c>
      <c r="X1476">
        <v>5</v>
      </c>
    </row>
    <row r="1477" spans="1:24" x14ac:dyDescent="0.3">
      <c r="A1477">
        <v>1476</v>
      </c>
      <c r="B1477" t="s">
        <v>3230</v>
      </c>
      <c r="C1477" s="6">
        <v>45672</v>
      </c>
      <c r="D1477" t="str">
        <f t="shared" si="92"/>
        <v>Jan</v>
      </c>
      <c r="E1477" t="str">
        <f t="shared" si="93"/>
        <v>2025</v>
      </c>
      <c r="F1477" t="s">
        <v>4</v>
      </c>
      <c r="G1477" t="s">
        <v>479</v>
      </c>
      <c r="H1477" t="s">
        <v>1324</v>
      </c>
      <c r="I1477">
        <v>230</v>
      </c>
      <c r="J1477">
        <v>24</v>
      </c>
      <c r="K1477">
        <f t="shared" si="94"/>
        <v>10.434782608695652</v>
      </c>
      <c r="L1477" t="s">
        <v>1739</v>
      </c>
      <c r="M1477" t="s">
        <v>3897</v>
      </c>
      <c r="N1477" t="s">
        <v>1</v>
      </c>
      <c r="O1477">
        <v>560076</v>
      </c>
      <c r="P1477" t="s">
        <v>546</v>
      </c>
      <c r="Q1477" t="s">
        <v>1765</v>
      </c>
      <c r="R1477" t="s">
        <v>2</v>
      </c>
      <c r="S1477">
        <v>17.712</v>
      </c>
      <c r="T1477">
        <v>3</v>
      </c>
      <c r="U1477">
        <v>0.2</v>
      </c>
      <c r="V1477">
        <v>6.4206000000000003</v>
      </c>
      <c r="W1477">
        <f t="shared" si="95"/>
        <v>3.7637999999999998</v>
      </c>
      <c r="X1477">
        <v>3</v>
      </c>
    </row>
    <row r="1478" spans="1:24" x14ac:dyDescent="0.3">
      <c r="A1478">
        <v>1477</v>
      </c>
      <c r="B1478" t="s">
        <v>3231</v>
      </c>
      <c r="C1478" s="6">
        <v>45673</v>
      </c>
      <c r="D1478" t="str">
        <f t="shared" si="92"/>
        <v>Jan</v>
      </c>
      <c r="E1478" t="str">
        <f t="shared" si="93"/>
        <v>2025</v>
      </c>
      <c r="F1478" t="s">
        <v>4</v>
      </c>
      <c r="G1478" t="s">
        <v>351</v>
      </c>
      <c r="H1478" t="s">
        <v>1555</v>
      </c>
      <c r="I1478">
        <v>190</v>
      </c>
      <c r="J1478">
        <v>22</v>
      </c>
      <c r="K1478">
        <f t="shared" si="94"/>
        <v>11.578947368421053</v>
      </c>
      <c r="L1478" t="s">
        <v>1738</v>
      </c>
      <c r="M1478" t="s">
        <v>3786</v>
      </c>
      <c r="O1478">
        <v>121002</v>
      </c>
      <c r="P1478" t="s">
        <v>546</v>
      </c>
      <c r="Q1478" t="s">
        <v>1772</v>
      </c>
      <c r="S1478">
        <v>28.91</v>
      </c>
      <c r="T1478">
        <v>7</v>
      </c>
      <c r="U1478">
        <v>0.1</v>
      </c>
      <c r="V1478">
        <v>13.2986</v>
      </c>
      <c r="W1478">
        <f t="shared" si="95"/>
        <v>2.2302</v>
      </c>
      <c r="X1478">
        <v>1</v>
      </c>
    </row>
    <row r="1479" spans="1:24" x14ac:dyDescent="0.3">
      <c r="A1479">
        <v>1478</v>
      </c>
      <c r="B1479" t="s">
        <v>3232</v>
      </c>
      <c r="C1479" s="6">
        <v>45674</v>
      </c>
      <c r="D1479" t="str">
        <f t="shared" si="92"/>
        <v>Jan</v>
      </c>
      <c r="E1479" t="str">
        <f t="shared" si="93"/>
        <v>2025</v>
      </c>
      <c r="F1479" t="s">
        <v>4</v>
      </c>
      <c r="G1479" t="s">
        <v>480</v>
      </c>
      <c r="H1479" t="s">
        <v>1207</v>
      </c>
      <c r="I1479">
        <v>170</v>
      </c>
      <c r="J1479">
        <v>30</v>
      </c>
      <c r="K1479">
        <f t="shared" si="94"/>
        <v>17.647058823529413</v>
      </c>
      <c r="L1479" t="s">
        <v>1737</v>
      </c>
      <c r="M1479" t="s">
        <v>3898</v>
      </c>
      <c r="N1479" t="s">
        <v>1</v>
      </c>
      <c r="O1479">
        <v>495454</v>
      </c>
      <c r="P1479" t="s">
        <v>546</v>
      </c>
      <c r="Q1479" t="s">
        <v>1766</v>
      </c>
      <c r="R1479" t="s">
        <v>2</v>
      </c>
      <c r="S1479">
        <v>52.136000000000003</v>
      </c>
      <c r="T1479">
        <v>7</v>
      </c>
      <c r="U1479">
        <v>0.2</v>
      </c>
      <c r="V1479">
        <v>5.8653000000000004</v>
      </c>
      <c r="W1479">
        <f t="shared" si="95"/>
        <v>6.610100000000001</v>
      </c>
      <c r="X1479">
        <v>1</v>
      </c>
    </row>
    <row r="1480" spans="1:24" x14ac:dyDescent="0.3">
      <c r="A1480">
        <v>1479</v>
      </c>
      <c r="B1480" t="s">
        <v>3233</v>
      </c>
      <c r="C1480" s="6">
        <v>45675</v>
      </c>
      <c r="D1480" t="str">
        <f t="shared" si="92"/>
        <v>Jan</v>
      </c>
      <c r="E1480" t="str">
        <f t="shared" si="93"/>
        <v>2025</v>
      </c>
      <c r="F1480" t="s">
        <v>5</v>
      </c>
      <c r="G1480" t="s">
        <v>51</v>
      </c>
      <c r="H1480" t="s">
        <v>980</v>
      </c>
      <c r="I1480">
        <v>230</v>
      </c>
      <c r="J1480">
        <v>20</v>
      </c>
      <c r="K1480">
        <f t="shared" si="94"/>
        <v>8.695652173913043</v>
      </c>
      <c r="L1480" t="s">
        <v>1743</v>
      </c>
      <c r="M1480" t="s">
        <v>3899</v>
      </c>
      <c r="N1480" t="s">
        <v>1</v>
      </c>
      <c r="O1480">
        <v>400080</v>
      </c>
      <c r="P1480" t="s">
        <v>546</v>
      </c>
      <c r="Q1480" t="s">
        <v>1770</v>
      </c>
      <c r="R1480" t="s">
        <v>2</v>
      </c>
      <c r="S1480">
        <v>31.968</v>
      </c>
      <c r="T1480">
        <v>4</v>
      </c>
      <c r="U1480">
        <v>0.2</v>
      </c>
      <c r="V1480">
        <v>2.3976000000000002</v>
      </c>
      <c r="W1480">
        <f t="shared" si="95"/>
        <v>7.3925999999999998</v>
      </c>
      <c r="X1480">
        <v>5</v>
      </c>
    </row>
    <row r="1481" spans="1:24" x14ac:dyDescent="0.3">
      <c r="A1481">
        <v>1480</v>
      </c>
      <c r="B1481" t="s">
        <v>3234</v>
      </c>
      <c r="C1481" s="6">
        <v>45676</v>
      </c>
      <c r="D1481" t="str">
        <f t="shared" si="92"/>
        <v>Jan</v>
      </c>
      <c r="E1481" t="str">
        <f t="shared" si="93"/>
        <v>2025</v>
      </c>
      <c r="F1481" t="s">
        <v>4</v>
      </c>
      <c r="G1481" t="s">
        <v>184</v>
      </c>
      <c r="H1481" t="s">
        <v>1556</v>
      </c>
      <c r="I1481">
        <v>240</v>
      </c>
      <c r="J1481">
        <v>8</v>
      </c>
      <c r="K1481">
        <f t="shared" si="94"/>
        <v>3.3333333333333335</v>
      </c>
      <c r="L1481" t="s">
        <v>1738</v>
      </c>
      <c r="M1481" t="s">
        <v>3788</v>
      </c>
      <c r="N1481" t="s">
        <v>1</v>
      </c>
      <c r="O1481">
        <v>110001</v>
      </c>
      <c r="P1481" t="s">
        <v>546</v>
      </c>
      <c r="Q1481" t="s">
        <v>1774</v>
      </c>
      <c r="S1481">
        <v>25.92</v>
      </c>
      <c r="T1481">
        <v>4</v>
      </c>
      <c r="U1481">
        <v>0.1</v>
      </c>
      <c r="V1481">
        <v>12.441599999999999</v>
      </c>
      <c r="W1481">
        <f t="shared" si="95"/>
        <v>3.3696000000000006</v>
      </c>
      <c r="X1481">
        <v>3</v>
      </c>
    </row>
    <row r="1482" spans="1:24" x14ac:dyDescent="0.3">
      <c r="A1482">
        <v>1481</v>
      </c>
      <c r="B1482" t="s">
        <v>3235</v>
      </c>
      <c r="C1482" s="6">
        <v>45677</v>
      </c>
      <c r="D1482" t="str">
        <f t="shared" si="92"/>
        <v>Jan</v>
      </c>
      <c r="E1482" t="str">
        <f t="shared" si="93"/>
        <v>2025</v>
      </c>
      <c r="F1482" t="s">
        <v>4</v>
      </c>
      <c r="G1482" t="s">
        <v>184</v>
      </c>
      <c r="H1482" t="s">
        <v>1557</v>
      </c>
      <c r="I1482">
        <v>230</v>
      </c>
      <c r="J1482">
        <v>18</v>
      </c>
      <c r="K1482">
        <f t="shared" si="94"/>
        <v>7.8260869565217401</v>
      </c>
      <c r="L1482" t="s">
        <v>1739</v>
      </c>
      <c r="M1482" t="s">
        <v>3900</v>
      </c>
      <c r="O1482">
        <v>110031</v>
      </c>
      <c r="P1482" t="s">
        <v>546</v>
      </c>
      <c r="Q1482" t="s">
        <v>1770</v>
      </c>
      <c r="R1482" t="s">
        <v>2</v>
      </c>
      <c r="S1482">
        <v>40.46</v>
      </c>
      <c r="T1482">
        <v>7</v>
      </c>
      <c r="U1482">
        <v>0.1</v>
      </c>
      <c r="V1482">
        <v>19.825399999999998</v>
      </c>
      <c r="W1482">
        <f t="shared" si="95"/>
        <v>2.9478000000000004</v>
      </c>
      <c r="X1482">
        <v>5</v>
      </c>
    </row>
    <row r="1483" spans="1:24" x14ac:dyDescent="0.3">
      <c r="A1483">
        <v>1482</v>
      </c>
      <c r="B1483" t="s">
        <v>3236</v>
      </c>
      <c r="C1483" s="6">
        <v>45678</v>
      </c>
      <c r="D1483" t="str">
        <f t="shared" si="92"/>
        <v>Jan</v>
      </c>
      <c r="E1483" t="str">
        <f t="shared" si="93"/>
        <v>2025</v>
      </c>
      <c r="F1483" t="s">
        <v>4</v>
      </c>
      <c r="G1483" t="s">
        <v>184</v>
      </c>
      <c r="H1483" t="s">
        <v>1558</v>
      </c>
      <c r="I1483">
        <v>170</v>
      </c>
      <c r="J1483">
        <v>8</v>
      </c>
      <c r="K1483">
        <f t="shared" si="94"/>
        <v>4.7058823529411766</v>
      </c>
      <c r="L1483" t="s">
        <v>1741</v>
      </c>
      <c r="M1483" t="s">
        <v>3901</v>
      </c>
      <c r="N1483" t="s">
        <v>1</v>
      </c>
      <c r="O1483">
        <v>440006</v>
      </c>
      <c r="P1483" t="s">
        <v>546</v>
      </c>
      <c r="Q1483" t="s">
        <v>1756</v>
      </c>
      <c r="S1483">
        <v>33.869999999999997</v>
      </c>
      <c r="T1483">
        <v>3</v>
      </c>
      <c r="U1483">
        <v>0.1</v>
      </c>
      <c r="V1483">
        <v>8.8062000000000005</v>
      </c>
      <c r="W1483">
        <f t="shared" si="95"/>
        <v>8.3545999999999996</v>
      </c>
      <c r="X1483">
        <v>2</v>
      </c>
    </row>
    <row r="1484" spans="1:24" x14ac:dyDescent="0.3">
      <c r="A1484">
        <v>1483</v>
      </c>
      <c r="B1484" t="s">
        <v>3237</v>
      </c>
      <c r="C1484" s="6">
        <v>45679</v>
      </c>
      <c r="D1484" t="str">
        <f t="shared" si="92"/>
        <v>Jan</v>
      </c>
      <c r="E1484" t="str">
        <f t="shared" si="93"/>
        <v>2025</v>
      </c>
      <c r="F1484" t="s">
        <v>3</v>
      </c>
      <c r="G1484" t="s">
        <v>393</v>
      </c>
      <c r="H1484" t="s">
        <v>1034</v>
      </c>
      <c r="I1484">
        <v>200</v>
      </c>
      <c r="J1484">
        <v>30</v>
      </c>
      <c r="K1484">
        <f t="shared" si="94"/>
        <v>15</v>
      </c>
      <c r="L1484" t="s">
        <v>1736</v>
      </c>
      <c r="M1484" t="s">
        <v>3902</v>
      </c>
      <c r="N1484" t="s">
        <v>1</v>
      </c>
      <c r="O1484">
        <v>628002</v>
      </c>
      <c r="P1484" t="s">
        <v>546</v>
      </c>
      <c r="Q1484" t="s">
        <v>1760</v>
      </c>
      <c r="S1484">
        <v>9.7279999999999998</v>
      </c>
      <c r="T1484">
        <v>2</v>
      </c>
      <c r="U1484">
        <v>0.2</v>
      </c>
      <c r="V1484">
        <v>1.7023999999999999</v>
      </c>
      <c r="W1484">
        <f t="shared" si="95"/>
        <v>4.0128000000000004</v>
      </c>
      <c r="X1484">
        <v>1</v>
      </c>
    </row>
    <row r="1485" spans="1:24" x14ac:dyDescent="0.3">
      <c r="A1485">
        <v>1484</v>
      </c>
      <c r="B1485" t="s">
        <v>3238</v>
      </c>
      <c r="C1485" s="6">
        <v>45680</v>
      </c>
      <c r="D1485" t="str">
        <f t="shared" si="92"/>
        <v>Jan</v>
      </c>
      <c r="E1485" t="str">
        <f t="shared" si="93"/>
        <v>2025</v>
      </c>
      <c r="F1485" t="s">
        <v>3</v>
      </c>
      <c r="G1485" t="s">
        <v>393</v>
      </c>
      <c r="H1485" t="s">
        <v>1559</v>
      </c>
      <c r="I1485">
        <v>230</v>
      </c>
      <c r="J1485">
        <v>12</v>
      </c>
      <c r="K1485">
        <f t="shared" si="94"/>
        <v>5.2173913043478262</v>
      </c>
      <c r="L1485" t="s">
        <v>1744</v>
      </c>
      <c r="M1485" t="s">
        <v>3903</v>
      </c>
      <c r="N1485" t="s">
        <v>1</v>
      </c>
      <c r="O1485">
        <v>440009</v>
      </c>
      <c r="P1485" t="s">
        <v>546</v>
      </c>
      <c r="Q1485" t="s">
        <v>1761</v>
      </c>
      <c r="S1485">
        <v>3.4239999999999999</v>
      </c>
      <c r="T1485">
        <v>1</v>
      </c>
      <c r="U1485">
        <v>0.2</v>
      </c>
      <c r="V1485">
        <v>1.07</v>
      </c>
      <c r="W1485">
        <f t="shared" si="95"/>
        <v>2.3540000000000001</v>
      </c>
      <c r="X1485">
        <v>1</v>
      </c>
    </row>
    <row r="1486" spans="1:24" x14ac:dyDescent="0.3">
      <c r="A1486">
        <v>1485</v>
      </c>
      <c r="B1486" t="s">
        <v>3239</v>
      </c>
      <c r="C1486" s="6">
        <v>45681</v>
      </c>
      <c r="D1486" t="str">
        <f t="shared" si="92"/>
        <v>Jan</v>
      </c>
      <c r="E1486" t="str">
        <f t="shared" si="93"/>
        <v>2025</v>
      </c>
      <c r="F1486" t="s">
        <v>4</v>
      </c>
      <c r="G1486" t="s">
        <v>298</v>
      </c>
      <c r="H1486" t="s">
        <v>1560</v>
      </c>
      <c r="I1486">
        <v>230</v>
      </c>
      <c r="J1486">
        <v>28</v>
      </c>
      <c r="K1486">
        <f t="shared" si="94"/>
        <v>12.173913043478262</v>
      </c>
      <c r="L1486" t="s">
        <v>1740</v>
      </c>
      <c r="M1486" t="s">
        <v>3904</v>
      </c>
      <c r="N1486" t="s">
        <v>1</v>
      </c>
      <c r="O1486">
        <v>110075</v>
      </c>
      <c r="P1486" t="s">
        <v>546</v>
      </c>
      <c r="Q1486" t="s">
        <v>1761</v>
      </c>
      <c r="S1486">
        <v>177</v>
      </c>
      <c r="T1486">
        <v>3</v>
      </c>
      <c r="U1486">
        <v>0.1</v>
      </c>
      <c r="V1486">
        <v>30.09</v>
      </c>
      <c r="W1486">
        <f t="shared" si="95"/>
        <v>48.97</v>
      </c>
      <c r="X1486">
        <v>2</v>
      </c>
    </row>
    <row r="1487" spans="1:24" x14ac:dyDescent="0.3">
      <c r="A1487">
        <v>1486</v>
      </c>
      <c r="B1487" t="s">
        <v>3240</v>
      </c>
      <c r="C1487" s="6">
        <v>45682</v>
      </c>
      <c r="D1487" t="str">
        <f t="shared" si="92"/>
        <v>Jan</v>
      </c>
      <c r="E1487" t="str">
        <f t="shared" si="93"/>
        <v>2025</v>
      </c>
      <c r="F1487" t="s">
        <v>4</v>
      </c>
      <c r="G1487" t="s">
        <v>481</v>
      </c>
      <c r="H1487" t="s">
        <v>1561</v>
      </c>
      <c r="I1487">
        <v>240</v>
      </c>
      <c r="J1487">
        <v>10</v>
      </c>
      <c r="K1487">
        <f t="shared" si="94"/>
        <v>4.1666666666666661</v>
      </c>
      <c r="L1487" t="s">
        <v>1742</v>
      </c>
      <c r="M1487" t="s">
        <v>3647</v>
      </c>
      <c r="N1487" t="s">
        <v>1</v>
      </c>
      <c r="O1487">
        <v>560085</v>
      </c>
      <c r="P1487" t="s">
        <v>546</v>
      </c>
      <c r="Q1487" t="s">
        <v>1772</v>
      </c>
      <c r="R1487" t="s">
        <v>2</v>
      </c>
      <c r="S1487">
        <v>3.76</v>
      </c>
      <c r="T1487">
        <v>2</v>
      </c>
      <c r="U1487">
        <v>0.1</v>
      </c>
      <c r="V1487">
        <v>1.3160000000000001</v>
      </c>
      <c r="W1487">
        <f t="shared" si="95"/>
        <v>1.222</v>
      </c>
      <c r="X1487">
        <v>4</v>
      </c>
    </row>
    <row r="1488" spans="1:24" x14ac:dyDescent="0.3">
      <c r="A1488">
        <v>1487</v>
      </c>
      <c r="B1488" t="s">
        <v>3241</v>
      </c>
      <c r="C1488" s="6">
        <v>45683</v>
      </c>
      <c r="D1488" t="str">
        <f t="shared" si="92"/>
        <v>Jan</v>
      </c>
      <c r="E1488" t="str">
        <f t="shared" si="93"/>
        <v>2025</v>
      </c>
      <c r="F1488" t="s">
        <v>4</v>
      </c>
      <c r="G1488" t="s">
        <v>482</v>
      </c>
      <c r="H1488" t="s">
        <v>1562</v>
      </c>
      <c r="I1488">
        <v>210</v>
      </c>
      <c r="J1488">
        <v>16</v>
      </c>
      <c r="K1488">
        <f t="shared" si="94"/>
        <v>7.6190476190476195</v>
      </c>
      <c r="L1488" t="s">
        <v>1739</v>
      </c>
      <c r="M1488" t="s">
        <v>3905</v>
      </c>
      <c r="N1488" t="s">
        <v>1</v>
      </c>
      <c r="O1488">
        <v>560085</v>
      </c>
      <c r="P1488" t="s">
        <v>546</v>
      </c>
      <c r="Q1488" t="s">
        <v>1764</v>
      </c>
      <c r="R1488" t="s">
        <v>2</v>
      </c>
      <c r="S1488">
        <v>1212.848</v>
      </c>
      <c r="T1488">
        <v>7</v>
      </c>
      <c r="U1488">
        <v>0.2</v>
      </c>
      <c r="V1488">
        <v>106.1242</v>
      </c>
      <c r="W1488">
        <f t="shared" si="95"/>
        <v>158.10339999999999</v>
      </c>
      <c r="X1488">
        <v>2</v>
      </c>
    </row>
    <row r="1489" spans="1:24" x14ac:dyDescent="0.3">
      <c r="A1489">
        <v>1488</v>
      </c>
      <c r="B1489" t="s">
        <v>3242</v>
      </c>
      <c r="C1489" s="6">
        <v>45684</v>
      </c>
      <c r="D1489" t="str">
        <f t="shared" si="92"/>
        <v>Jan</v>
      </c>
      <c r="E1489" t="str">
        <f t="shared" si="93"/>
        <v>2025</v>
      </c>
      <c r="F1489" t="s">
        <v>4</v>
      </c>
      <c r="G1489" t="s">
        <v>482</v>
      </c>
      <c r="H1489" t="s">
        <v>1563</v>
      </c>
      <c r="I1489">
        <v>180</v>
      </c>
      <c r="J1489">
        <v>14</v>
      </c>
      <c r="K1489">
        <f t="shared" si="94"/>
        <v>7.7777777777777777</v>
      </c>
      <c r="L1489" t="s">
        <v>1738</v>
      </c>
      <c r="M1489" t="s">
        <v>3778</v>
      </c>
      <c r="N1489" t="s">
        <v>1</v>
      </c>
      <c r="O1489">
        <v>800001</v>
      </c>
      <c r="P1489" t="s">
        <v>546</v>
      </c>
      <c r="Q1489" t="s">
        <v>1755</v>
      </c>
      <c r="S1489">
        <v>89.97</v>
      </c>
      <c r="T1489">
        <v>3</v>
      </c>
      <c r="U1489">
        <v>0.1</v>
      </c>
      <c r="V1489">
        <v>37.787399999999998</v>
      </c>
      <c r="W1489">
        <f t="shared" si="95"/>
        <v>17.394200000000001</v>
      </c>
      <c r="X1489">
        <v>5</v>
      </c>
    </row>
    <row r="1490" spans="1:24" x14ac:dyDescent="0.3">
      <c r="A1490">
        <v>1489</v>
      </c>
      <c r="B1490" t="s">
        <v>3243</v>
      </c>
      <c r="C1490" s="6">
        <v>45685</v>
      </c>
      <c r="D1490" t="str">
        <f t="shared" si="92"/>
        <v>Jan</v>
      </c>
      <c r="E1490" t="str">
        <f t="shared" si="93"/>
        <v>2025</v>
      </c>
      <c r="F1490" t="s">
        <v>4</v>
      </c>
      <c r="G1490" t="s">
        <v>482</v>
      </c>
      <c r="H1490" t="s">
        <v>925</v>
      </c>
      <c r="I1490">
        <v>100</v>
      </c>
      <c r="J1490">
        <v>20</v>
      </c>
      <c r="K1490">
        <f t="shared" si="94"/>
        <v>20</v>
      </c>
      <c r="L1490" t="s">
        <v>1743</v>
      </c>
      <c r="M1490" t="s">
        <v>3906</v>
      </c>
      <c r="N1490" t="s">
        <v>1</v>
      </c>
      <c r="O1490">
        <v>121008</v>
      </c>
      <c r="P1490" t="s">
        <v>546</v>
      </c>
      <c r="Q1490" t="s">
        <v>1763</v>
      </c>
      <c r="S1490">
        <v>42.6</v>
      </c>
      <c r="T1490">
        <v>3</v>
      </c>
      <c r="U1490">
        <v>0.1</v>
      </c>
      <c r="V1490">
        <v>16.614000000000001</v>
      </c>
      <c r="W1490">
        <f t="shared" si="95"/>
        <v>8.6620000000000008</v>
      </c>
      <c r="X1490">
        <v>4</v>
      </c>
    </row>
    <row r="1491" spans="1:24" x14ac:dyDescent="0.3">
      <c r="A1491">
        <v>1490</v>
      </c>
      <c r="B1491" t="s">
        <v>3244</v>
      </c>
      <c r="C1491" s="6">
        <v>45686</v>
      </c>
      <c r="D1491" t="str">
        <f t="shared" si="92"/>
        <v>Jan</v>
      </c>
      <c r="E1491" t="str">
        <f t="shared" si="93"/>
        <v>2025</v>
      </c>
      <c r="F1491" t="s">
        <v>4</v>
      </c>
      <c r="G1491" t="s">
        <v>483</v>
      </c>
      <c r="H1491" t="s">
        <v>1363</v>
      </c>
      <c r="I1491">
        <v>200</v>
      </c>
      <c r="J1491">
        <v>6</v>
      </c>
      <c r="K1491">
        <f t="shared" si="94"/>
        <v>3</v>
      </c>
      <c r="L1491" t="s">
        <v>1737</v>
      </c>
      <c r="M1491" t="s">
        <v>3907</v>
      </c>
      <c r="N1491" t="s">
        <v>1</v>
      </c>
      <c r="O1491">
        <v>400614</v>
      </c>
      <c r="P1491" t="s">
        <v>546</v>
      </c>
      <c r="Q1491" t="s">
        <v>1756</v>
      </c>
      <c r="R1491" t="s">
        <v>2</v>
      </c>
      <c r="S1491">
        <v>5.04</v>
      </c>
      <c r="T1491">
        <v>2</v>
      </c>
      <c r="U1491">
        <v>0.2</v>
      </c>
      <c r="V1491">
        <v>1.764</v>
      </c>
      <c r="W1491">
        <f t="shared" si="95"/>
        <v>1.6379999999999999</v>
      </c>
      <c r="X1491">
        <v>5</v>
      </c>
    </row>
    <row r="1492" spans="1:24" x14ac:dyDescent="0.3">
      <c r="A1492">
        <v>1491</v>
      </c>
      <c r="B1492" t="s">
        <v>3245</v>
      </c>
      <c r="C1492" s="6">
        <v>45687</v>
      </c>
      <c r="D1492" t="str">
        <f t="shared" si="92"/>
        <v>Jan</v>
      </c>
      <c r="E1492" t="str">
        <f t="shared" si="93"/>
        <v>2025</v>
      </c>
      <c r="F1492" t="s">
        <v>3</v>
      </c>
      <c r="G1492" t="s">
        <v>400</v>
      </c>
      <c r="H1492" t="s">
        <v>583</v>
      </c>
      <c r="I1492">
        <v>250</v>
      </c>
      <c r="J1492">
        <v>24</v>
      </c>
      <c r="K1492">
        <f t="shared" si="94"/>
        <v>9.6</v>
      </c>
      <c r="L1492" t="s">
        <v>1741</v>
      </c>
      <c r="M1492" t="s">
        <v>3908</v>
      </c>
      <c r="O1492">
        <v>500049</v>
      </c>
      <c r="P1492" t="s">
        <v>546</v>
      </c>
      <c r="Q1492" t="s">
        <v>1765</v>
      </c>
      <c r="S1492">
        <v>62.96</v>
      </c>
      <c r="T1492">
        <v>4</v>
      </c>
      <c r="U1492">
        <v>0.1</v>
      </c>
      <c r="V1492">
        <v>28.332000000000001</v>
      </c>
      <c r="W1492">
        <f t="shared" si="95"/>
        <v>8.657</v>
      </c>
      <c r="X1492">
        <v>3</v>
      </c>
    </row>
    <row r="1493" spans="1:24" x14ac:dyDescent="0.3">
      <c r="A1493">
        <v>1492</v>
      </c>
      <c r="B1493" t="s">
        <v>3246</v>
      </c>
      <c r="C1493" s="6">
        <v>45688</v>
      </c>
      <c r="D1493" t="str">
        <f t="shared" si="92"/>
        <v>Jan</v>
      </c>
      <c r="E1493" t="str">
        <f t="shared" si="93"/>
        <v>2025</v>
      </c>
      <c r="F1493" t="s">
        <v>4</v>
      </c>
      <c r="G1493" t="s">
        <v>484</v>
      </c>
      <c r="H1493" t="s">
        <v>1564</v>
      </c>
      <c r="I1493">
        <v>120</v>
      </c>
      <c r="J1493">
        <v>26</v>
      </c>
      <c r="K1493">
        <f t="shared" si="94"/>
        <v>21.666666666666668</v>
      </c>
      <c r="L1493" t="s">
        <v>1736</v>
      </c>
      <c r="M1493" t="s">
        <v>3909</v>
      </c>
      <c r="N1493" t="s">
        <v>1</v>
      </c>
      <c r="O1493">
        <v>132117</v>
      </c>
      <c r="P1493" t="s">
        <v>546</v>
      </c>
      <c r="Q1493" t="s">
        <v>1754</v>
      </c>
      <c r="S1493">
        <v>5.88</v>
      </c>
      <c r="T1493">
        <v>1</v>
      </c>
      <c r="U1493">
        <v>0.1</v>
      </c>
      <c r="V1493">
        <v>2.8812000000000002</v>
      </c>
      <c r="W1493">
        <f t="shared" si="95"/>
        <v>2.9987999999999997</v>
      </c>
      <c r="X1493">
        <v>4</v>
      </c>
    </row>
    <row r="1494" spans="1:24" x14ac:dyDescent="0.3">
      <c r="A1494">
        <v>1493</v>
      </c>
      <c r="B1494" t="s">
        <v>3247</v>
      </c>
      <c r="C1494" s="6">
        <v>45689</v>
      </c>
      <c r="D1494" t="str">
        <f t="shared" si="92"/>
        <v>Feb</v>
      </c>
      <c r="E1494" t="str">
        <f t="shared" si="93"/>
        <v>2025</v>
      </c>
      <c r="F1494" t="s">
        <v>4</v>
      </c>
      <c r="G1494" t="s">
        <v>484</v>
      </c>
      <c r="H1494" t="s">
        <v>870</v>
      </c>
      <c r="I1494">
        <v>230</v>
      </c>
      <c r="J1494">
        <v>8</v>
      </c>
      <c r="K1494">
        <f t="shared" si="94"/>
        <v>3.4782608695652173</v>
      </c>
      <c r="L1494" t="s">
        <v>1744</v>
      </c>
      <c r="M1494" t="s">
        <v>3585</v>
      </c>
      <c r="N1494" t="s">
        <v>1</v>
      </c>
      <c r="O1494">
        <v>400066</v>
      </c>
      <c r="P1494" t="s">
        <v>546</v>
      </c>
      <c r="Q1494" t="s">
        <v>1755</v>
      </c>
      <c r="R1494" t="s">
        <v>2</v>
      </c>
      <c r="S1494">
        <v>977.29200000000003</v>
      </c>
      <c r="T1494">
        <v>6</v>
      </c>
      <c r="U1494">
        <v>0.11</v>
      </c>
      <c r="V1494">
        <v>173.74080000000001</v>
      </c>
      <c r="W1494">
        <f t="shared" si="95"/>
        <v>133.92519999999999</v>
      </c>
      <c r="X1494">
        <v>4</v>
      </c>
    </row>
    <row r="1495" spans="1:24" x14ac:dyDescent="0.3">
      <c r="A1495">
        <v>1494</v>
      </c>
      <c r="B1495" t="s">
        <v>3248</v>
      </c>
      <c r="C1495" s="6">
        <v>45690</v>
      </c>
      <c r="D1495" t="str">
        <f t="shared" si="92"/>
        <v>Feb</v>
      </c>
      <c r="E1495" t="str">
        <f t="shared" si="93"/>
        <v>2025</v>
      </c>
      <c r="F1495" t="s">
        <v>4</v>
      </c>
      <c r="G1495" t="s">
        <v>485</v>
      </c>
      <c r="H1495" t="s">
        <v>1310</v>
      </c>
      <c r="I1495">
        <v>130</v>
      </c>
      <c r="J1495">
        <v>8</v>
      </c>
      <c r="K1495">
        <f t="shared" si="94"/>
        <v>6.1538461538461542</v>
      </c>
      <c r="L1495" t="s">
        <v>1740</v>
      </c>
      <c r="M1495" t="s">
        <v>3733</v>
      </c>
      <c r="N1495" t="s">
        <v>1</v>
      </c>
      <c r="O1495">
        <v>110059</v>
      </c>
      <c r="P1495" t="s">
        <v>546</v>
      </c>
      <c r="Q1495" t="s">
        <v>1773</v>
      </c>
      <c r="S1495">
        <v>9.64</v>
      </c>
      <c r="T1495">
        <v>2</v>
      </c>
      <c r="U1495">
        <v>0.1</v>
      </c>
      <c r="V1495">
        <v>3.6631999999999998</v>
      </c>
      <c r="W1495">
        <f t="shared" si="95"/>
        <v>2.9884000000000004</v>
      </c>
      <c r="X1495">
        <v>3</v>
      </c>
    </row>
    <row r="1496" spans="1:24" x14ac:dyDescent="0.3">
      <c r="A1496">
        <v>1495</v>
      </c>
      <c r="B1496" t="s">
        <v>3249</v>
      </c>
      <c r="C1496" s="6">
        <v>45691</v>
      </c>
      <c r="D1496" t="str">
        <f t="shared" si="92"/>
        <v>Feb</v>
      </c>
      <c r="E1496" t="str">
        <f t="shared" si="93"/>
        <v>2025</v>
      </c>
      <c r="F1496" t="s">
        <v>3</v>
      </c>
      <c r="G1496" t="s">
        <v>174</v>
      </c>
      <c r="H1496" t="s">
        <v>1365</v>
      </c>
      <c r="I1496">
        <v>160</v>
      </c>
      <c r="J1496">
        <v>6</v>
      </c>
      <c r="K1496">
        <f t="shared" si="94"/>
        <v>3.75</v>
      </c>
      <c r="L1496" t="s">
        <v>1742</v>
      </c>
      <c r="M1496" t="s">
        <v>3910</v>
      </c>
      <c r="N1496" t="s">
        <v>1</v>
      </c>
      <c r="O1496">
        <v>560011</v>
      </c>
      <c r="P1496" t="s">
        <v>546</v>
      </c>
      <c r="Q1496" t="s">
        <v>1754</v>
      </c>
      <c r="S1496">
        <v>40.049999999999997</v>
      </c>
      <c r="T1496">
        <v>3</v>
      </c>
      <c r="U1496">
        <v>0.1</v>
      </c>
      <c r="V1496">
        <v>11.214</v>
      </c>
      <c r="W1496">
        <f t="shared" si="95"/>
        <v>9.6120000000000001</v>
      </c>
      <c r="X1496">
        <v>1</v>
      </c>
    </row>
    <row r="1497" spans="1:24" x14ac:dyDescent="0.3">
      <c r="A1497">
        <v>1496</v>
      </c>
      <c r="B1497" t="s">
        <v>3250</v>
      </c>
      <c r="C1497" s="6">
        <v>45692</v>
      </c>
      <c r="D1497" t="str">
        <f t="shared" si="92"/>
        <v>Feb</v>
      </c>
      <c r="E1497" t="str">
        <f t="shared" si="93"/>
        <v>2025</v>
      </c>
      <c r="F1497" t="s">
        <v>4</v>
      </c>
      <c r="G1497" t="s">
        <v>486</v>
      </c>
      <c r="H1497" t="s">
        <v>1400</v>
      </c>
      <c r="I1497">
        <v>230</v>
      </c>
      <c r="J1497">
        <v>22</v>
      </c>
      <c r="K1497">
        <f t="shared" si="94"/>
        <v>9.5652173913043477</v>
      </c>
      <c r="L1497" t="s">
        <v>1739</v>
      </c>
      <c r="M1497" t="s">
        <v>3657</v>
      </c>
      <c r="N1497" t="s">
        <v>1</v>
      </c>
      <c r="O1497">
        <v>110063</v>
      </c>
      <c r="P1497" t="s">
        <v>546</v>
      </c>
      <c r="Q1497" t="s">
        <v>1755</v>
      </c>
      <c r="S1497">
        <v>10.192</v>
      </c>
      <c r="T1497">
        <v>7</v>
      </c>
      <c r="U1497">
        <v>0.2</v>
      </c>
      <c r="V1497">
        <v>3.1850000000000001</v>
      </c>
      <c r="W1497">
        <f t="shared" si="95"/>
        <v>1.0009999999999999</v>
      </c>
      <c r="X1497">
        <v>5</v>
      </c>
    </row>
    <row r="1498" spans="1:24" x14ac:dyDescent="0.3">
      <c r="A1498">
        <v>1497</v>
      </c>
      <c r="B1498" t="s">
        <v>3251</v>
      </c>
      <c r="C1498" s="6">
        <v>45693</v>
      </c>
      <c r="D1498" t="str">
        <f t="shared" si="92"/>
        <v>Feb</v>
      </c>
      <c r="E1498" t="str">
        <f t="shared" si="93"/>
        <v>2025</v>
      </c>
      <c r="F1498" t="s">
        <v>4</v>
      </c>
      <c r="G1498" t="s">
        <v>486</v>
      </c>
      <c r="H1498" t="s">
        <v>1565</v>
      </c>
      <c r="I1498">
        <v>180</v>
      </c>
      <c r="J1498">
        <v>18</v>
      </c>
      <c r="K1498">
        <f t="shared" si="94"/>
        <v>10</v>
      </c>
      <c r="L1498" t="s">
        <v>1738</v>
      </c>
      <c r="M1498" t="s">
        <v>3817</v>
      </c>
      <c r="N1498" t="s">
        <v>1</v>
      </c>
      <c r="O1498">
        <v>679303</v>
      </c>
      <c r="P1498" t="s">
        <v>546</v>
      </c>
      <c r="Q1498" t="s">
        <v>1765</v>
      </c>
      <c r="S1498">
        <v>16.783999999999999</v>
      </c>
      <c r="T1498">
        <v>1</v>
      </c>
      <c r="U1498">
        <v>0.2</v>
      </c>
      <c r="V1498">
        <v>-0.20979999999999999</v>
      </c>
      <c r="W1498">
        <f t="shared" si="95"/>
        <v>16.9938</v>
      </c>
      <c r="X1498">
        <v>5</v>
      </c>
    </row>
    <row r="1499" spans="1:24" x14ac:dyDescent="0.3">
      <c r="A1499">
        <v>1498</v>
      </c>
      <c r="B1499" t="s">
        <v>3252</v>
      </c>
      <c r="C1499" s="6">
        <v>45694</v>
      </c>
      <c r="D1499" t="str">
        <f t="shared" si="92"/>
        <v>Feb</v>
      </c>
      <c r="E1499" t="str">
        <f t="shared" si="93"/>
        <v>2025</v>
      </c>
      <c r="F1499" t="s">
        <v>4</v>
      </c>
      <c r="G1499" t="s">
        <v>486</v>
      </c>
      <c r="H1499" t="s">
        <v>716</v>
      </c>
      <c r="I1499">
        <v>130</v>
      </c>
      <c r="J1499">
        <v>10</v>
      </c>
      <c r="K1499">
        <f t="shared" si="94"/>
        <v>7.6923076923076925</v>
      </c>
      <c r="L1499" t="s">
        <v>1737</v>
      </c>
      <c r="M1499" t="s">
        <v>3911</v>
      </c>
      <c r="N1499" t="s">
        <v>1</v>
      </c>
      <c r="O1499">
        <v>500090</v>
      </c>
      <c r="P1499" t="s">
        <v>546</v>
      </c>
      <c r="Q1499" t="s">
        <v>1756</v>
      </c>
      <c r="S1499">
        <v>13.12</v>
      </c>
      <c r="T1499">
        <v>5</v>
      </c>
      <c r="U1499">
        <v>0.2</v>
      </c>
      <c r="V1499">
        <v>3.7719999999999998</v>
      </c>
      <c r="W1499">
        <f t="shared" si="95"/>
        <v>1.8695999999999997</v>
      </c>
      <c r="X1499">
        <v>4</v>
      </c>
    </row>
    <row r="1500" spans="1:24" x14ac:dyDescent="0.3">
      <c r="A1500">
        <v>1499</v>
      </c>
      <c r="B1500" t="s">
        <v>3253</v>
      </c>
      <c r="C1500" s="6">
        <v>45695</v>
      </c>
      <c r="D1500" t="str">
        <f t="shared" si="92"/>
        <v>Feb</v>
      </c>
      <c r="E1500" t="str">
        <f t="shared" si="93"/>
        <v>2025</v>
      </c>
      <c r="F1500" t="s">
        <v>5</v>
      </c>
      <c r="G1500" t="s">
        <v>78</v>
      </c>
      <c r="H1500" t="s">
        <v>656</v>
      </c>
      <c r="I1500">
        <v>150</v>
      </c>
      <c r="J1500">
        <v>10</v>
      </c>
      <c r="K1500">
        <f t="shared" si="94"/>
        <v>6.666666666666667</v>
      </c>
      <c r="L1500" t="s">
        <v>1743</v>
      </c>
      <c r="M1500" t="s">
        <v>3912</v>
      </c>
      <c r="N1500" t="s">
        <v>1</v>
      </c>
      <c r="O1500">
        <v>600085</v>
      </c>
      <c r="P1500" t="s">
        <v>546</v>
      </c>
      <c r="Q1500" t="s">
        <v>1754</v>
      </c>
      <c r="S1500">
        <v>18.16</v>
      </c>
      <c r="T1500">
        <v>5</v>
      </c>
      <c r="U1500">
        <v>0.2</v>
      </c>
      <c r="V1500">
        <v>6.5830000000000002</v>
      </c>
      <c r="W1500">
        <f t="shared" si="95"/>
        <v>2.3153999999999999</v>
      </c>
      <c r="X1500">
        <v>3</v>
      </c>
    </row>
    <row r="1501" spans="1:24" x14ac:dyDescent="0.3">
      <c r="A1501">
        <v>1500</v>
      </c>
      <c r="B1501" t="s">
        <v>3254</v>
      </c>
      <c r="C1501" s="6">
        <v>45696</v>
      </c>
      <c r="D1501" t="str">
        <f t="shared" si="92"/>
        <v>Feb</v>
      </c>
      <c r="E1501" t="str">
        <f t="shared" si="93"/>
        <v>2025</v>
      </c>
      <c r="F1501" t="s">
        <v>4</v>
      </c>
      <c r="G1501" t="s">
        <v>166</v>
      </c>
      <c r="H1501" t="s">
        <v>733</v>
      </c>
      <c r="I1501">
        <v>120</v>
      </c>
      <c r="J1501">
        <v>14</v>
      </c>
      <c r="K1501">
        <f t="shared" si="94"/>
        <v>11.666666666666666</v>
      </c>
      <c r="L1501" t="s">
        <v>1738</v>
      </c>
      <c r="M1501" t="s">
        <v>3662</v>
      </c>
      <c r="N1501" t="s">
        <v>1</v>
      </c>
      <c r="O1501">
        <v>110031</v>
      </c>
      <c r="P1501" t="s">
        <v>546</v>
      </c>
      <c r="Q1501" t="s">
        <v>1767</v>
      </c>
      <c r="R1501" t="s">
        <v>2</v>
      </c>
      <c r="S1501">
        <v>16.056000000000001</v>
      </c>
      <c r="T1501">
        <v>3</v>
      </c>
      <c r="U1501">
        <v>0.2</v>
      </c>
      <c r="V1501">
        <v>5.8202999999999996</v>
      </c>
      <c r="W1501">
        <f t="shared" si="95"/>
        <v>3.4119000000000006</v>
      </c>
      <c r="X1501">
        <v>4</v>
      </c>
    </row>
    <row r="1502" spans="1:24" x14ac:dyDescent="0.3">
      <c r="A1502">
        <v>1501</v>
      </c>
      <c r="B1502" t="s">
        <v>3255</v>
      </c>
      <c r="C1502" s="6">
        <v>45697</v>
      </c>
      <c r="D1502" t="str">
        <f t="shared" si="92"/>
        <v>Feb</v>
      </c>
      <c r="E1502" t="str">
        <f t="shared" si="93"/>
        <v>2025</v>
      </c>
      <c r="F1502" t="s">
        <v>4</v>
      </c>
      <c r="G1502" t="s">
        <v>166</v>
      </c>
      <c r="H1502" t="s">
        <v>1566</v>
      </c>
      <c r="I1502">
        <v>130</v>
      </c>
      <c r="J1502">
        <v>16</v>
      </c>
      <c r="K1502">
        <f t="shared" si="94"/>
        <v>12.307692307692308</v>
      </c>
      <c r="L1502" t="s">
        <v>1739</v>
      </c>
      <c r="M1502" t="s">
        <v>3617</v>
      </c>
      <c r="N1502" t="s">
        <v>1</v>
      </c>
      <c r="O1502">
        <v>201009</v>
      </c>
      <c r="P1502" t="s">
        <v>546</v>
      </c>
      <c r="Q1502" t="s">
        <v>1759</v>
      </c>
      <c r="S1502">
        <v>223.05600000000001</v>
      </c>
      <c r="T1502">
        <v>9</v>
      </c>
      <c r="U1502">
        <v>0.2</v>
      </c>
      <c r="V1502">
        <v>69.704999999999998</v>
      </c>
      <c r="W1502">
        <f t="shared" si="95"/>
        <v>17.039000000000001</v>
      </c>
      <c r="X1502">
        <v>1</v>
      </c>
    </row>
    <row r="1503" spans="1:24" x14ac:dyDescent="0.3">
      <c r="A1503">
        <v>1502</v>
      </c>
      <c r="B1503" t="s">
        <v>3256</v>
      </c>
      <c r="C1503" s="6">
        <v>45698</v>
      </c>
      <c r="D1503" t="str">
        <f t="shared" si="92"/>
        <v>Feb</v>
      </c>
      <c r="E1503" t="str">
        <f t="shared" si="93"/>
        <v>2025</v>
      </c>
      <c r="F1503" t="s">
        <v>4</v>
      </c>
      <c r="G1503" t="s">
        <v>166</v>
      </c>
      <c r="H1503" t="s">
        <v>1453</v>
      </c>
      <c r="I1503">
        <v>150</v>
      </c>
      <c r="J1503">
        <v>12</v>
      </c>
      <c r="K1503">
        <f t="shared" si="94"/>
        <v>8</v>
      </c>
      <c r="L1503" t="s">
        <v>1741</v>
      </c>
      <c r="M1503" t="s">
        <v>3820</v>
      </c>
      <c r="N1503" t="s">
        <v>1</v>
      </c>
      <c r="O1503">
        <v>400101</v>
      </c>
      <c r="P1503" t="s">
        <v>546</v>
      </c>
      <c r="Q1503" t="s">
        <v>1776</v>
      </c>
      <c r="S1503">
        <v>540.048</v>
      </c>
      <c r="T1503">
        <v>3</v>
      </c>
      <c r="U1503">
        <v>0.2</v>
      </c>
      <c r="V1503">
        <v>-47.254199999999997</v>
      </c>
      <c r="W1503">
        <f t="shared" si="95"/>
        <v>195.76739999999998</v>
      </c>
      <c r="X1503">
        <v>2</v>
      </c>
    </row>
    <row r="1504" spans="1:24" x14ac:dyDescent="0.3">
      <c r="A1504">
        <v>1503</v>
      </c>
      <c r="B1504" t="s">
        <v>3257</v>
      </c>
      <c r="C1504" s="6">
        <v>45699</v>
      </c>
      <c r="D1504" t="str">
        <f t="shared" si="92"/>
        <v>Feb</v>
      </c>
      <c r="E1504" t="str">
        <f t="shared" si="93"/>
        <v>2025</v>
      </c>
      <c r="F1504" t="s">
        <v>4</v>
      </c>
      <c r="G1504" t="s">
        <v>408</v>
      </c>
      <c r="H1504" t="s">
        <v>1567</v>
      </c>
      <c r="I1504">
        <v>160</v>
      </c>
      <c r="J1504">
        <v>10</v>
      </c>
      <c r="K1504">
        <f t="shared" si="94"/>
        <v>6.25</v>
      </c>
      <c r="L1504" t="s">
        <v>1736</v>
      </c>
      <c r="M1504" t="s">
        <v>3821</v>
      </c>
      <c r="N1504" t="s">
        <v>1</v>
      </c>
      <c r="O1504">
        <v>834005</v>
      </c>
      <c r="P1504" t="s">
        <v>546</v>
      </c>
      <c r="Q1504" t="s">
        <v>1767</v>
      </c>
      <c r="S1504">
        <v>33.520000000000003</v>
      </c>
      <c r="T1504">
        <v>2</v>
      </c>
      <c r="U1504">
        <v>0.2</v>
      </c>
      <c r="V1504">
        <v>3.3519999999999999</v>
      </c>
      <c r="W1504">
        <f t="shared" si="95"/>
        <v>15.084000000000001</v>
      </c>
      <c r="X1504">
        <v>5</v>
      </c>
    </row>
    <row r="1505" spans="1:24" x14ac:dyDescent="0.3">
      <c r="A1505">
        <v>1504</v>
      </c>
      <c r="B1505" t="s">
        <v>3258</v>
      </c>
      <c r="C1505" s="6">
        <v>45700</v>
      </c>
      <c r="D1505" t="str">
        <f t="shared" si="92"/>
        <v>Feb</v>
      </c>
      <c r="E1505" t="str">
        <f t="shared" si="93"/>
        <v>2025</v>
      </c>
      <c r="F1505" t="s">
        <v>4</v>
      </c>
      <c r="G1505" t="s">
        <v>408</v>
      </c>
      <c r="H1505" t="s">
        <v>1074</v>
      </c>
      <c r="I1505">
        <v>250</v>
      </c>
      <c r="J1505">
        <v>28</v>
      </c>
      <c r="K1505">
        <f t="shared" si="94"/>
        <v>11.200000000000001</v>
      </c>
      <c r="L1505" t="s">
        <v>1744</v>
      </c>
      <c r="M1505" t="s">
        <v>3822</v>
      </c>
      <c r="N1505" t="s">
        <v>1</v>
      </c>
      <c r="O1505">
        <v>691602</v>
      </c>
      <c r="P1505" t="s">
        <v>546</v>
      </c>
      <c r="Q1505" t="s">
        <v>1776</v>
      </c>
      <c r="S1505">
        <v>9.94</v>
      </c>
      <c r="T1505">
        <v>2</v>
      </c>
      <c r="U1505">
        <v>0.1</v>
      </c>
      <c r="V1505">
        <v>3.0813999999999999</v>
      </c>
      <c r="W1505">
        <f t="shared" si="95"/>
        <v>3.4292999999999996</v>
      </c>
      <c r="X1505">
        <v>3</v>
      </c>
    </row>
    <row r="1506" spans="1:24" x14ac:dyDescent="0.3">
      <c r="A1506">
        <v>1505</v>
      </c>
      <c r="B1506" t="s">
        <v>3259</v>
      </c>
      <c r="C1506" s="6">
        <v>45701</v>
      </c>
      <c r="D1506" t="str">
        <f t="shared" si="92"/>
        <v>Feb</v>
      </c>
      <c r="E1506" t="str">
        <f t="shared" si="93"/>
        <v>2025</v>
      </c>
      <c r="F1506" t="s">
        <v>4</v>
      </c>
      <c r="G1506" t="s">
        <v>487</v>
      </c>
      <c r="H1506" t="s">
        <v>606</v>
      </c>
      <c r="I1506">
        <v>200</v>
      </c>
      <c r="J1506">
        <v>24</v>
      </c>
      <c r="K1506">
        <f t="shared" si="94"/>
        <v>12</v>
      </c>
      <c r="L1506" t="s">
        <v>1740</v>
      </c>
      <c r="M1506" t="s">
        <v>3823</v>
      </c>
      <c r="N1506" t="s">
        <v>1</v>
      </c>
      <c r="O1506">
        <v>327001</v>
      </c>
      <c r="P1506" t="s">
        <v>546</v>
      </c>
      <c r="Q1506" t="s">
        <v>1759</v>
      </c>
      <c r="R1506" t="s">
        <v>2</v>
      </c>
      <c r="S1506">
        <v>6.72</v>
      </c>
      <c r="T1506">
        <v>4</v>
      </c>
      <c r="U1506">
        <v>0.1</v>
      </c>
      <c r="V1506">
        <v>3.36</v>
      </c>
      <c r="W1506">
        <f t="shared" si="95"/>
        <v>0.84</v>
      </c>
      <c r="X1506">
        <v>3</v>
      </c>
    </row>
    <row r="1507" spans="1:24" x14ac:dyDescent="0.3">
      <c r="A1507">
        <v>1506</v>
      </c>
      <c r="B1507" t="s">
        <v>3260</v>
      </c>
      <c r="C1507" s="6">
        <v>45702</v>
      </c>
      <c r="D1507" t="str">
        <f t="shared" si="92"/>
        <v>Feb</v>
      </c>
      <c r="E1507" t="str">
        <f t="shared" si="93"/>
        <v>2025</v>
      </c>
      <c r="F1507" t="s">
        <v>4</v>
      </c>
      <c r="G1507" t="s">
        <v>487</v>
      </c>
      <c r="H1507" t="s">
        <v>1568</v>
      </c>
      <c r="I1507">
        <v>160</v>
      </c>
      <c r="J1507">
        <v>6</v>
      </c>
      <c r="K1507">
        <f t="shared" si="94"/>
        <v>3.75</v>
      </c>
      <c r="L1507" t="s">
        <v>1742</v>
      </c>
      <c r="M1507" t="s">
        <v>3687</v>
      </c>
      <c r="N1507" t="s">
        <v>1</v>
      </c>
      <c r="O1507">
        <v>700016</v>
      </c>
      <c r="P1507" t="s">
        <v>546</v>
      </c>
      <c r="Q1507" t="s">
        <v>1766</v>
      </c>
      <c r="R1507" t="s">
        <v>2</v>
      </c>
      <c r="S1507">
        <v>1004.976</v>
      </c>
      <c r="T1507">
        <v>6</v>
      </c>
      <c r="U1507">
        <v>0.2</v>
      </c>
      <c r="V1507">
        <v>-175.8708</v>
      </c>
      <c r="W1507">
        <f t="shared" si="95"/>
        <v>196.80780000000001</v>
      </c>
      <c r="X1507">
        <v>3</v>
      </c>
    </row>
    <row r="1508" spans="1:24" x14ac:dyDescent="0.3">
      <c r="A1508">
        <v>1507</v>
      </c>
      <c r="B1508" t="s">
        <v>3261</v>
      </c>
      <c r="C1508" s="6">
        <v>45703</v>
      </c>
      <c r="D1508" t="str">
        <f t="shared" si="92"/>
        <v>Feb</v>
      </c>
      <c r="E1508" t="str">
        <f t="shared" si="93"/>
        <v>2025</v>
      </c>
      <c r="F1508" t="s">
        <v>4</v>
      </c>
      <c r="G1508" t="s">
        <v>488</v>
      </c>
      <c r="H1508" t="s">
        <v>1532</v>
      </c>
      <c r="I1508">
        <v>130</v>
      </c>
      <c r="J1508">
        <v>18</v>
      </c>
      <c r="K1508">
        <f t="shared" si="94"/>
        <v>13.846153846153847</v>
      </c>
      <c r="L1508" t="s">
        <v>1739</v>
      </c>
      <c r="M1508" t="s">
        <v>3608</v>
      </c>
      <c r="N1508" t="s">
        <v>1</v>
      </c>
      <c r="O1508">
        <v>700016</v>
      </c>
      <c r="P1508" t="s">
        <v>546</v>
      </c>
      <c r="Q1508" t="s">
        <v>1772</v>
      </c>
      <c r="S1508">
        <v>17.88</v>
      </c>
      <c r="T1508">
        <v>3</v>
      </c>
      <c r="U1508">
        <v>0.2</v>
      </c>
      <c r="V1508">
        <v>5.5875000000000004</v>
      </c>
      <c r="W1508">
        <f t="shared" si="95"/>
        <v>4.0974999999999993</v>
      </c>
      <c r="X1508">
        <v>5</v>
      </c>
    </row>
    <row r="1509" spans="1:24" x14ac:dyDescent="0.3">
      <c r="A1509">
        <v>1508</v>
      </c>
      <c r="B1509" t="s">
        <v>3262</v>
      </c>
      <c r="C1509" s="6">
        <v>45704</v>
      </c>
      <c r="D1509" t="str">
        <f t="shared" si="92"/>
        <v>Feb</v>
      </c>
      <c r="E1509" t="str">
        <f t="shared" si="93"/>
        <v>2025</v>
      </c>
      <c r="F1509" t="s">
        <v>4</v>
      </c>
      <c r="G1509" t="s">
        <v>480</v>
      </c>
      <c r="H1509" t="s">
        <v>1569</v>
      </c>
      <c r="I1509">
        <v>230</v>
      </c>
      <c r="J1509">
        <v>24</v>
      </c>
      <c r="K1509">
        <f t="shared" si="94"/>
        <v>10.434782608695652</v>
      </c>
      <c r="L1509" t="s">
        <v>1738</v>
      </c>
      <c r="M1509" t="s">
        <v>3786</v>
      </c>
      <c r="N1509" t="s">
        <v>1</v>
      </c>
      <c r="O1509">
        <v>394101</v>
      </c>
      <c r="P1509" t="s">
        <v>546</v>
      </c>
      <c r="Q1509" t="s">
        <v>1767</v>
      </c>
      <c r="S1509">
        <v>396</v>
      </c>
      <c r="T1509">
        <v>4</v>
      </c>
      <c r="U1509">
        <v>0.1</v>
      </c>
      <c r="V1509">
        <v>190.08</v>
      </c>
      <c r="W1509">
        <f t="shared" si="95"/>
        <v>51.48</v>
      </c>
      <c r="X1509">
        <v>2</v>
      </c>
    </row>
    <row r="1510" spans="1:24" x14ac:dyDescent="0.3">
      <c r="A1510">
        <v>1509</v>
      </c>
      <c r="B1510" t="s">
        <v>3263</v>
      </c>
      <c r="C1510" s="6">
        <v>45705</v>
      </c>
      <c r="D1510" t="str">
        <f t="shared" si="92"/>
        <v>Feb</v>
      </c>
      <c r="E1510" t="str">
        <f t="shared" si="93"/>
        <v>2025</v>
      </c>
      <c r="F1510" t="s">
        <v>6</v>
      </c>
      <c r="G1510" t="s">
        <v>67</v>
      </c>
      <c r="H1510" t="s">
        <v>1570</v>
      </c>
      <c r="I1510">
        <v>240</v>
      </c>
      <c r="J1510">
        <v>14</v>
      </c>
      <c r="K1510">
        <f t="shared" si="94"/>
        <v>5.833333333333333</v>
      </c>
      <c r="L1510" t="s">
        <v>1743</v>
      </c>
      <c r="M1510" t="s">
        <v>3690</v>
      </c>
      <c r="N1510" t="s">
        <v>1</v>
      </c>
      <c r="O1510">
        <v>394101</v>
      </c>
      <c r="P1510" t="s">
        <v>546</v>
      </c>
      <c r="Q1510" t="s">
        <v>1772</v>
      </c>
      <c r="R1510" t="s">
        <v>2</v>
      </c>
      <c r="S1510">
        <v>34.5</v>
      </c>
      <c r="T1510">
        <v>3</v>
      </c>
      <c r="U1510">
        <v>0.1</v>
      </c>
      <c r="V1510">
        <v>15.525</v>
      </c>
      <c r="W1510">
        <f t="shared" si="95"/>
        <v>6.3250000000000002</v>
      </c>
      <c r="X1510">
        <v>4</v>
      </c>
    </row>
    <row r="1511" spans="1:24" x14ac:dyDescent="0.3">
      <c r="A1511">
        <v>1510</v>
      </c>
      <c r="B1511" t="s">
        <v>3264</v>
      </c>
      <c r="C1511" s="6">
        <v>45706</v>
      </c>
      <c r="D1511" t="str">
        <f t="shared" si="92"/>
        <v>Feb</v>
      </c>
      <c r="E1511" t="str">
        <f t="shared" si="93"/>
        <v>2025</v>
      </c>
      <c r="F1511" t="s">
        <v>5</v>
      </c>
      <c r="G1511" t="s">
        <v>348</v>
      </c>
      <c r="H1511" t="s">
        <v>1553</v>
      </c>
      <c r="I1511">
        <v>150</v>
      </c>
      <c r="J1511">
        <v>20</v>
      </c>
      <c r="K1511">
        <f t="shared" si="94"/>
        <v>13.333333333333334</v>
      </c>
      <c r="L1511" t="s">
        <v>1737</v>
      </c>
      <c r="M1511" t="s">
        <v>3824</v>
      </c>
      <c r="N1511" t="s">
        <v>1</v>
      </c>
      <c r="O1511">
        <v>500075</v>
      </c>
      <c r="P1511" t="s">
        <v>546</v>
      </c>
      <c r="Q1511" t="s">
        <v>1767</v>
      </c>
      <c r="S1511">
        <v>8.36</v>
      </c>
      <c r="T1511">
        <v>2</v>
      </c>
      <c r="U1511">
        <v>0.1</v>
      </c>
      <c r="V1511">
        <v>3.0095999999999998</v>
      </c>
      <c r="W1511">
        <f t="shared" si="95"/>
        <v>2.6751999999999998</v>
      </c>
      <c r="X1511">
        <v>2</v>
      </c>
    </row>
    <row r="1512" spans="1:24" x14ac:dyDescent="0.3">
      <c r="A1512">
        <v>1511</v>
      </c>
      <c r="B1512" t="s">
        <v>3265</v>
      </c>
      <c r="C1512" s="6">
        <v>45707</v>
      </c>
      <c r="D1512" t="str">
        <f t="shared" si="92"/>
        <v>Feb</v>
      </c>
      <c r="E1512" t="str">
        <f t="shared" si="93"/>
        <v>2025</v>
      </c>
      <c r="F1512" t="s">
        <v>4</v>
      </c>
      <c r="G1512" t="s">
        <v>475</v>
      </c>
      <c r="H1512" t="s">
        <v>828</v>
      </c>
      <c r="I1512">
        <v>110</v>
      </c>
      <c r="J1512">
        <v>30</v>
      </c>
      <c r="K1512">
        <f t="shared" si="94"/>
        <v>27.27272727272727</v>
      </c>
      <c r="L1512" t="s">
        <v>1741</v>
      </c>
      <c r="M1512" t="s">
        <v>3825</v>
      </c>
      <c r="O1512">
        <v>201012</v>
      </c>
      <c r="P1512" t="s">
        <v>546</v>
      </c>
      <c r="Q1512" t="s">
        <v>1754</v>
      </c>
      <c r="S1512">
        <v>385.6</v>
      </c>
      <c r="T1512">
        <v>8</v>
      </c>
      <c r="U1512">
        <v>0.1</v>
      </c>
      <c r="V1512">
        <v>111.824</v>
      </c>
      <c r="W1512">
        <f t="shared" si="95"/>
        <v>34.222000000000001</v>
      </c>
      <c r="X1512">
        <v>5</v>
      </c>
    </row>
    <row r="1513" spans="1:24" x14ac:dyDescent="0.3">
      <c r="A1513">
        <v>1512</v>
      </c>
      <c r="B1513" t="s">
        <v>3266</v>
      </c>
      <c r="C1513" s="6">
        <v>45708</v>
      </c>
      <c r="D1513" t="str">
        <f t="shared" si="92"/>
        <v>Feb</v>
      </c>
      <c r="E1513" t="str">
        <f t="shared" si="93"/>
        <v>2025</v>
      </c>
      <c r="F1513" t="s">
        <v>4</v>
      </c>
      <c r="G1513" t="s">
        <v>475</v>
      </c>
      <c r="H1513" t="s">
        <v>728</v>
      </c>
      <c r="I1513">
        <v>160</v>
      </c>
      <c r="J1513">
        <v>8</v>
      </c>
      <c r="K1513">
        <f t="shared" si="94"/>
        <v>5</v>
      </c>
      <c r="L1513" t="s">
        <v>1736</v>
      </c>
      <c r="M1513" t="s">
        <v>3644</v>
      </c>
      <c r="N1513" t="s">
        <v>1</v>
      </c>
      <c r="O1513">
        <v>560098</v>
      </c>
      <c r="P1513" t="s">
        <v>546</v>
      </c>
      <c r="Q1513" t="s">
        <v>1760</v>
      </c>
      <c r="S1513">
        <v>35.82</v>
      </c>
      <c r="T1513">
        <v>9</v>
      </c>
      <c r="U1513">
        <v>0.1</v>
      </c>
      <c r="V1513">
        <v>11.820600000000001</v>
      </c>
      <c r="W1513">
        <f t="shared" si="95"/>
        <v>2.6666000000000003</v>
      </c>
      <c r="X1513">
        <v>4</v>
      </c>
    </row>
    <row r="1514" spans="1:24" x14ac:dyDescent="0.3">
      <c r="A1514">
        <v>1513</v>
      </c>
      <c r="B1514" t="s">
        <v>3267</v>
      </c>
      <c r="C1514" s="6">
        <v>45709</v>
      </c>
      <c r="D1514" t="str">
        <f t="shared" si="92"/>
        <v>Feb</v>
      </c>
      <c r="E1514" t="str">
        <f t="shared" si="93"/>
        <v>2025</v>
      </c>
      <c r="F1514" t="s">
        <v>4</v>
      </c>
      <c r="G1514" t="s">
        <v>161</v>
      </c>
      <c r="H1514" t="s">
        <v>772</v>
      </c>
      <c r="I1514">
        <v>120</v>
      </c>
      <c r="J1514">
        <v>12</v>
      </c>
      <c r="K1514">
        <f t="shared" si="94"/>
        <v>10</v>
      </c>
      <c r="L1514" t="s">
        <v>1744</v>
      </c>
      <c r="M1514" t="s">
        <v>3826</v>
      </c>
      <c r="N1514" t="s">
        <v>1</v>
      </c>
      <c r="O1514">
        <v>360006</v>
      </c>
      <c r="P1514" t="s">
        <v>546</v>
      </c>
      <c r="Q1514" t="s">
        <v>1774</v>
      </c>
      <c r="S1514">
        <v>200.06399999999999</v>
      </c>
      <c r="T1514">
        <v>3</v>
      </c>
      <c r="U1514">
        <v>0.2</v>
      </c>
      <c r="V1514">
        <v>12.504</v>
      </c>
      <c r="W1514">
        <f t="shared" si="95"/>
        <v>62.52</v>
      </c>
      <c r="X1514">
        <v>1</v>
      </c>
    </row>
    <row r="1515" spans="1:24" x14ac:dyDescent="0.3">
      <c r="A1515">
        <v>1514</v>
      </c>
      <c r="B1515" t="s">
        <v>3268</v>
      </c>
      <c r="C1515" s="6">
        <v>45710</v>
      </c>
      <c r="D1515" t="str">
        <f t="shared" si="92"/>
        <v>Feb</v>
      </c>
      <c r="E1515" t="str">
        <f t="shared" si="93"/>
        <v>2025</v>
      </c>
      <c r="F1515" t="s">
        <v>4</v>
      </c>
      <c r="G1515" t="s">
        <v>161</v>
      </c>
      <c r="H1515" t="s">
        <v>957</v>
      </c>
      <c r="I1515">
        <v>180</v>
      </c>
      <c r="J1515">
        <v>26</v>
      </c>
      <c r="K1515">
        <f t="shared" si="94"/>
        <v>14.444444444444443</v>
      </c>
      <c r="L1515" t="s">
        <v>1740</v>
      </c>
      <c r="M1515" t="s">
        <v>3827</v>
      </c>
      <c r="N1515" t="s">
        <v>1</v>
      </c>
      <c r="O1515">
        <v>600096</v>
      </c>
      <c r="P1515" t="s">
        <v>546</v>
      </c>
      <c r="Q1515" t="s">
        <v>1763</v>
      </c>
      <c r="R1515" t="s">
        <v>2</v>
      </c>
      <c r="S1515">
        <v>21.38</v>
      </c>
      <c r="T1515">
        <v>5</v>
      </c>
      <c r="U1515">
        <v>0.8</v>
      </c>
      <c r="V1515">
        <v>-33.139000000000003</v>
      </c>
      <c r="W1515">
        <f t="shared" si="95"/>
        <v>10.9038</v>
      </c>
      <c r="X1515">
        <v>1</v>
      </c>
    </row>
    <row r="1516" spans="1:24" x14ac:dyDescent="0.3">
      <c r="A1516">
        <v>1515</v>
      </c>
      <c r="B1516" t="s">
        <v>3269</v>
      </c>
      <c r="C1516" s="6">
        <v>45711</v>
      </c>
      <c r="D1516" t="str">
        <f t="shared" si="92"/>
        <v>Feb</v>
      </c>
      <c r="E1516" t="str">
        <f t="shared" si="93"/>
        <v>2025</v>
      </c>
      <c r="F1516" t="s">
        <v>4</v>
      </c>
      <c r="G1516" t="s">
        <v>161</v>
      </c>
      <c r="H1516" t="s">
        <v>1221</v>
      </c>
      <c r="I1516">
        <v>150</v>
      </c>
      <c r="J1516">
        <v>22</v>
      </c>
      <c r="K1516">
        <f t="shared" si="94"/>
        <v>14.666666666666666</v>
      </c>
      <c r="L1516" t="s">
        <v>1742</v>
      </c>
      <c r="M1516" t="s">
        <v>3656</v>
      </c>
      <c r="N1516" t="s">
        <v>1</v>
      </c>
      <c r="O1516">
        <v>415712</v>
      </c>
      <c r="P1516" t="s">
        <v>546</v>
      </c>
      <c r="Q1516" t="s">
        <v>1776</v>
      </c>
      <c r="S1516">
        <v>6.7439999999999998</v>
      </c>
      <c r="T1516">
        <v>4</v>
      </c>
      <c r="U1516">
        <v>0.8</v>
      </c>
      <c r="V1516">
        <v>-11.4648</v>
      </c>
      <c r="W1516">
        <f t="shared" si="95"/>
        <v>4.5522</v>
      </c>
      <c r="X1516">
        <v>5</v>
      </c>
    </row>
    <row r="1517" spans="1:24" x14ac:dyDescent="0.3">
      <c r="A1517">
        <v>1516</v>
      </c>
      <c r="B1517" t="s">
        <v>3270</v>
      </c>
      <c r="C1517" s="6">
        <v>45712</v>
      </c>
      <c r="D1517" t="str">
        <f t="shared" si="92"/>
        <v>Feb</v>
      </c>
      <c r="E1517" t="str">
        <f t="shared" si="93"/>
        <v>2025</v>
      </c>
      <c r="F1517" t="s">
        <v>4</v>
      </c>
      <c r="G1517" t="s">
        <v>489</v>
      </c>
      <c r="H1517" t="s">
        <v>1502</v>
      </c>
      <c r="I1517">
        <v>210</v>
      </c>
      <c r="J1517">
        <v>28</v>
      </c>
      <c r="K1517">
        <f t="shared" si="94"/>
        <v>13.333333333333334</v>
      </c>
      <c r="L1517" t="s">
        <v>1739</v>
      </c>
      <c r="M1517" t="s">
        <v>3657</v>
      </c>
      <c r="N1517" t="s">
        <v>1</v>
      </c>
      <c r="O1517">
        <v>202001</v>
      </c>
      <c r="P1517" t="s">
        <v>546</v>
      </c>
      <c r="Q1517" t="s">
        <v>1774</v>
      </c>
      <c r="S1517">
        <v>63.686</v>
      </c>
      <c r="T1517">
        <v>1</v>
      </c>
      <c r="U1517">
        <v>0.3</v>
      </c>
      <c r="V1517">
        <v>-9.0980000000000008</v>
      </c>
      <c r="W1517">
        <f t="shared" si="95"/>
        <v>72.784000000000006</v>
      </c>
      <c r="X1517">
        <v>4</v>
      </c>
    </row>
    <row r="1518" spans="1:24" x14ac:dyDescent="0.3">
      <c r="A1518">
        <v>1517</v>
      </c>
      <c r="B1518" t="s">
        <v>3271</v>
      </c>
      <c r="C1518" s="6">
        <v>45713</v>
      </c>
      <c r="D1518" t="str">
        <f t="shared" si="92"/>
        <v>Feb</v>
      </c>
      <c r="E1518" t="str">
        <f t="shared" si="93"/>
        <v>2025</v>
      </c>
      <c r="F1518" t="s">
        <v>3</v>
      </c>
      <c r="G1518" t="s">
        <v>273</v>
      </c>
      <c r="H1518" t="s">
        <v>1036</v>
      </c>
      <c r="I1518">
        <v>190</v>
      </c>
      <c r="J1518">
        <v>18</v>
      </c>
      <c r="K1518">
        <f t="shared" si="94"/>
        <v>9.4736842105263168</v>
      </c>
      <c r="L1518" t="s">
        <v>1738</v>
      </c>
      <c r="M1518" t="s">
        <v>3778</v>
      </c>
      <c r="N1518" t="s">
        <v>1</v>
      </c>
      <c r="O1518">
        <v>400059</v>
      </c>
      <c r="P1518" t="s">
        <v>546</v>
      </c>
      <c r="Q1518" t="s">
        <v>1763</v>
      </c>
      <c r="S1518">
        <v>1669.6</v>
      </c>
      <c r="T1518">
        <v>4</v>
      </c>
      <c r="U1518">
        <v>0.1</v>
      </c>
      <c r="V1518">
        <v>116.872</v>
      </c>
      <c r="W1518">
        <f t="shared" si="95"/>
        <v>388.18199999999996</v>
      </c>
      <c r="X1518">
        <v>3</v>
      </c>
    </row>
    <row r="1519" spans="1:24" x14ac:dyDescent="0.3">
      <c r="A1519">
        <v>1518</v>
      </c>
      <c r="B1519" t="s">
        <v>3272</v>
      </c>
      <c r="C1519" s="6">
        <v>45714</v>
      </c>
      <c r="D1519" t="str">
        <f t="shared" si="92"/>
        <v>Feb</v>
      </c>
      <c r="E1519" t="str">
        <f t="shared" si="93"/>
        <v>2025</v>
      </c>
      <c r="F1519" t="s">
        <v>3</v>
      </c>
      <c r="G1519" t="s">
        <v>490</v>
      </c>
      <c r="H1519" t="s">
        <v>817</v>
      </c>
      <c r="I1519">
        <v>150</v>
      </c>
      <c r="J1519">
        <v>22</v>
      </c>
      <c r="K1519">
        <f t="shared" si="94"/>
        <v>14.666666666666666</v>
      </c>
      <c r="L1519" t="s">
        <v>1737</v>
      </c>
      <c r="M1519" t="s">
        <v>3828</v>
      </c>
      <c r="N1519" t="s">
        <v>1</v>
      </c>
      <c r="O1519">
        <v>201308</v>
      </c>
      <c r="P1519" t="s">
        <v>546</v>
      </c>
      <c r="Q1519" t="s">
        <v>1764</v>
      </c>
      <c r="S1519">
        <v>83.84</v>
      </c>
      <c r="T1519">
        <v>2</v>
      </c>
      <c r="U1519">
        <v>0.2</v>
      </c>
      <c r="V1519">
        <v>27.248000000000001</v>
      </c>
      <c r="W1519">
        <f t="shared" si="95"/>
        <v>28.295999999999999</v>
      </c>
      <c r="X1519">
        <v>4</v>
      </c>
    </row>
    <row r="1520" spans="1:24" x14ac:dyDescent="0.3">
      <c r="A1520">
        <v>1519</v>
      </c>
      <c r="B1520" t="s">
        <v>3273</v>
      </c>
      <c r="C1520" s="6">
        <v>45715</v>
      </c>
      <c r="D1520" t="str">
        <f t="shared" si="92"/>
        <v>Feb</v>
      </c>
      <c r="E1520" t="str">
        <f t="shared" si="93"/>
        <v>2025</v>
      </c>
      <c r="F1520" t="s">
        <v>3</v>
      </c>
      <c r="G1520" t="s">
        <v>490</v>
      </c>
      <c r="H1520" t="s">
        <v>1102</v>
      </c>
      <c r="I1520">
        <v>120</v>
      </c>
      <c r="J1520">
        <v>16</v>
      </c>
      <c r="K1520">
        <f t="shared" si="94"/>
        <v>13.333333333333334</v>
      </c>
      <c r="L1520" t="s">
        <v>1743</v>
      </c>
      <c r="M1520" t="s">
        <v>3829</v>
      </c>
      <c r="N1520" t="s">
        <v>1</v>
      </c>
      <c r="O1520">
        <v>201308</v>
      </c>
      <c r="P1520" t="s">
        <v>546</v>
      </c>
      <c r="Q1520" t="s">
        <v>1766</v>
      </c>
      <c r="S1520">
        <v>13.272</v>
      </c>
      <c r="T1520">
        <v>3</v>
      </c>
      <c r="U1520">
        <v>0.2</v>
      </c>
      <c r="V1520">
        <v>4.3133999999999997</v>
      </c>
      <c r="W1520">
        <f t="shared" si="95"/>
        <v>2.9862000000000002</v>
      </c>
      <c r="X1520">
        <v>5</v>
      </c>
    </row>
    <row r="1521" spans="1:24" x14ac:dyDescent="0.3">
      <c r="A1521">
        <v>1520</v>
      </c>
      <c r="B1521" t="s">
        <v>3274</v>
      </c>
      <c r="C1521" s="6">
        <v>45716</v>
      </c>
      <c r="D1521" t="str">
        <f t="shared" si="92"/>
        <v>Feb</v>
      </c>
      <c r="E1521" t="str">
        <f t="shared" si="93"/>
        <v>2025</v>
      </c>
      <c r="F1521" t="s">
        <v>3</v>
      </c>
      <c r="G1521" t="s">
        <v>107</v>
      </c>
      <c r="H1521" t="s">
        <v>1280</v>
      </c>
      <c r="I1521">
        <v>190</v>
      </c>
      <c r="J1521">
        <v>12</v>
      </c>
      <c r="K1521">
        <f t="shared" si="94"/>
        <v>6.3157894736842106</v>
      </c>
      <c r="L1521" t="s">
        <v>1738</v>
      </c>
      <c r="M1521" t="s">
        <v>3788</v>
      </c>
      <c r="N1521" t="s">
        <v>1</v>
      </c>
      <c r="O1521">
        <v>201308</v>
      </c>
      <c r="P1521" t="s">
        <v>546</v>
      </c>
      <c r="Q1521" t="s">
        <v>1767</v>
      </c>
      <c r="S1521">
        <v>21.335999999999999</v>
      </c>
      <c r="T1521">
        <v>7</v>
      </c>
      <c r="U1521">
        <v>0.2</v>
      </c>
      <c r="V1521">
        <v>7.7343000000000002</v>
      </c>
      <c r="W1521">
        <f t="shared" si="95"/>
        <v>1.9430999999999996</v>
      </c>
      <c r="X1521">
        <v>4</v>
      </c>
    </row>
    <row r="1522" spans="1:24" x14ac:dyDescent="0.3">
      <c r="A1522">
        <v>1521</v>
      </c>
      <c r="B1522" t="s">
        <v>3275</v>
      </c>
      <c r="C1522" s="6">
        <v>45717</v>
      </c>
      <c r="D1522" t="str">
        <f t="shared" si="92"/>
        <v>Mar</v>
      </c>
      <c r="E1522" t="str">
        <f t="shared" si="93"/>
        <v>2025</v>
      </c>
      <c r="F1522" t="s">
        <v>4</v>
      </c>
      <c r="G1522" t="s">
        <v>491</v>
      </c>
      <c r="H1522" t="s">
        <v>1571</v>
      </c>
      <c r="I1522">
        <v>120</v>
      </c>
      <c r="J1522">
        <v>24</v>
      </c>
      <c r="K1522">
        <f t="shared" si="94"/>
        <v>20</v>
      </c>
      <c r="L1522" t="s">
        <v>1739</v>
      </c>
      <c r="M1522" t="s">
        <v>3721</v>
      </c>
      <c r="N1522" t="s">
        <v>1</v>
      </c>
      <c r="O1522">
        <v>201308</v>
      </c>
      <c r="P1522" t="s">
        <v>546</v>
      </c>
      <c r="Q1522" t="s">
        <v>1759</v>
      </c>
      <c r="S1522">
        <v>16.52</v>
      </c>
      <c r="T1522">
        <v>5</v>
      </c>
      <c r="U1522">
        <v>0.2</v>
      </c>
      <c r="V1522">
        <v>2.0649999999999999</v>
      </c>
      <c r="W1522">
        <f t="shared" si="95"/>
        <v>2.891</v>
      </c>
      <c r="X1522">
        <v>5</v>
      </c>
    </row>
    <row r="1523" spans="1:24" x14ac:dyDescent="0.3">
      <c r="A1523">
        <v>1522</v>
      </c>
      <c r="B1523" t="s">
        <v>3276</v>
      </c>
      <c r="C1523" s="6">
        <v>45718</v>
      </c>
      <c r="D1523" t="str">
        <f t="shared" si="92"/>
        <v>Mar</v>
      </c>
      <c r="E1523" t="str">
        <f t="shared" si="93"/>
        <v>2025</v>
      </c>
      <c r="F1523" t="s">
        <v>4</v>
      </c>
      <c r="G1523" t="s">
        <v>492</v>
      </c>
      <c r="H1523" t="s">
        <v>1139</v>
      </c>
      <c r="I1523">
        <v>150</v>
      </c>
      <c r="J1523">
        <v>16</v>
      </c>
      <c r="K1523">
        <f t="shared" si="94"/>
        <v>10.666666666666668</v>
      </c>
      <c r="L1523" t="s">
        <v>1741</v>
      </c>
      <c r="M1523" t="s">
        <v>3781</v>
      </c>
      <c r="N1523" t="s">
        <v>1</v>
      </c>
      <c r="O1523">
        <v>201308</v>
      </c>
      <c r="P1523" t="s">
        <v>546</v>
      </c>
      <c r="Q1523" t="s">
        <v>1775</v>
      </c>
      <c r="S1523">
        <v>206.11199999999999</v>
      </c>
      <c r="T1523">
        <v>6</v>
      </c>
      <c r="U1523">
        <v>0.2</v>
      </c>
      <c r="V1523">
        <v>48.951599999999999</v>
      </c>
      <c r="W1523">
        <f t="shared" si="95"/>
        <v>26.193399999999997</v>
      </c>
      <c r="X1523">
        <v>5</v>
      </c>
    </row>
    <row r="1524" spans="1:24" x14ac:dyDescent="0.3">
      <c r="A1524">
        <v>1523</v>
      </c>
      <c r="B1524" t="s">
        <v>3277</v>
      </c>
      <c r="C1524" s="6">
        <v>45719</v>
      </c>
      <c r="D1524" t="str">
        <f t="shared" si="92"/>
        <v>Mar</v>
      </c>
      <c r="E1524" t="str">
        <f t="shared" si="93"/>
        <v>2025</v>
      </c>
      <c r="F1524" t="s">
        <v>4</v>
      </c>
      <c r="G1524" t="s">
        <v>492</v>
      </c>
      <c r="H1524" t="s">
        <v>1572</v>
      </c>
      <c r="I1524">
        <v>170</v>
      </c>
      <c r="J1524">
        <v>26</v>
      </c>
      <c r="K1524">
        <f t="shared" si="94"/>
        <v>15.294117647058824</v>
      </c>
      <c r="L1524" t="s">
        <v>1736</v>
      </c>
      <c r="M1524" t="s">
        <v>3673</v>
      </c>
      <c r="N1524" t="s">
        <v>1</v>
      </c>
      <c r="O1524">
        <v>201308</v>
      </c>
      <c r="P1524" t="s">
        <v>546</v>
      </c>
      <c r="Q1524" t="s">
        <v>1773</v>
      </c>
      <c r="R1524" t="s">
        <v>2</v>
      </c>
      <c r="S1524">
        <v>19.920000000000002</v>
      </c>
      <c r="T1524">
        <v>5</v>
      </c>
      <c r="U1524">
        <v>0.2</v>
      </c>
      <c r="V1524">
        <v>6.7229999999999999</v>
      </c>
      <c r="W1524">
        <f t="shared" si="95"/>
        <v>2.6394000000000006</v>
      </c>
      <c r="X1524">
        <v>2</v>
      </c>
    </row>
    <row r="1525" spans="1:24" x14ac:dyDescent="0.3">
      <c r="A1525">
        <v>1524</v>
      </c>
      <c r="B1525" t="s">
        <v>3278</v>
      </c>
      <c r="C1525" s="6">
        <v>45720</v>
      </c>
      <c r="D1525" t="str">
        <f t="shared" si="92"/>
        <v>Mar</v>
      </c>
      <c r="E1525" t="str">
        <f t="shared" si="93"/>
        <v>2025</v>
      </c>
      <c r="F1525" t="s">
        <v>4</v>
      </c>
      <c r="G1525" t="s">
        <v>492</v>
      </c>
      <c r="H1525" t="s">
        <v>881</v>
      </c>
      <c r="I1525">
        <v>250</v>
      </c>
      <c r="J1525">
        <v>26</v>
      </c>
      <c r="K1525">
        <f t="shared" si="94"/>
        <v>10.4</v>
      </c>
      <c r="L1525" t="s">
        <v>1744</v>
      </c>
      <c r="M1525" t="s">
        <v>3585</v>
      </c>
      <c r="N1525" t="s">
        <v>1</v>
      </c>
      <c r="O1525">
        <v>201308</v>
      </c>
      <c r="P1525" t="s">
        <v>546</v>
      </c>
      <c r="Q1525" t="s">
        <v>1775</v>
      </c>
      <c r="R1525" t="s">
        <v>2</v>
      </c>
      <c r="S1525">
        <v>198.27199999999999</v>
      </c>
      <c r="T1525">
        <v>8</v>
      </c>
      <c r="U1525">
        <v>0.2</v>
      </c>
      <c r="V1525">
        <v>61.96</v>
      </c>
      <c r="W1525">
        <f t="shared" si="95"/>
        <v>17.038999999999998</v>
      </c>
      <c r="X1525">
        <v>4</v>
      </c>
    </row>
    <row r="1526" spans="1:24" x14ac:dyDescent="0.3">
      <c r="A1526">
        <v>1525</v>
      </c>
      <c r="B1526" t="s">
        <v>3279</v>
      </c>
      <c r="C1526" s="6">
        <v>45721</v>
      </c>
      <c r="D1526" t="str">
        <f t="shared" si="92"/>
        <v>Mar</v>
      </c>
      <c r="E1526" t="str">
        <f t="shared" si="93"/>
        <v>2025</v>
      </c>
      <c r="F1526" t="s">
        <v>4</v>
      </c>
      <c r="G1526" t="s">
        <v>492</v>
      </c>
      <c r="H1526" t="s">
        <v>779</v>
      </c>
      <c r="I1526">
        <v>130</v>
      </c>
      <c r="J1526">
        <v>8</v>
      </c>
      <c r="K1526">
        <f t="shared" si="94"/>
        <v>6.1538461538461542</v>
      </c>
      <c r="L1526" t="s">
        <v>1740</v>
      </c>
      <c r="M1526" t="s">
        <v>3830</v>
      </c>
      <c r="N1526" t="s">
        <v>1</v>
      </c>
      <c r="O1526">
        <v>201308</v>
      </c>
      <c r="P1526" t="s">
        <v>546</v>
      </c>
      <c r="Q1526" t="s">
        <v>1755</v>
      </c>
      <c r="R1526" t="s">
        <v>2</v>
      </c>
      <c r="S1526">
        <v>247.10400000000001</v>
      </c>
      <c r="T1526">
        <v>6</v>
      </c>
      <c r="U1526">
        <v>0.2</v>
      </c>
      <c r="V1526">
        <v>-58.687199999999997</v>
      </c>
      <c r="W1526">
        <f t="shared" si="95"/>
        <v>50.965200000000003</v>
      </c>
      <c r="X1526">
        <v>4</v>
      </c>
    </row>
    <row r="1527" spans="1:24" x14ac:dyDescent="0.3">
      <c r="A1527">
        <v>1526</v>
      </c>
      <c r="B1527" t="s">
        <v>3280</v>
      </c>
      <c r="C1527" s="6">
        <v>45722</v>
      </c>
      <c r="D1527" t="str">
        <f t="shared" si="92"/>
        <v>Mar</v>
      </c>
      <c r="E1527" t="str">
        <f t="shared" si="93"/>
        <v>2025</v>
      </c>
      <c r="F1527" t="s">
        <v>4</v>
      </c>
      <c r="G1527" t="s">
        <v>492</v>
      </c>
      <c r="H1527" t="s">
        <v>577</v>
      </c>
      <c r="I1527">
        <v>230</v>
      </c>
      <c r="J1527">
        <v>24</v>
      </c>
      <c r="K1527">
        <f t="shared" si="94"/>
        <v>10.434782608695652</v>
      </c>
      <c r="L1527" t="s">
        <v>1742</v>
      </c>
      <c r="M1527" t="s">
        <v>3696</v>
      </c>
      <c r="N1527" t="s">
        <v>1</v>
      </c>
      <c r="O1527">
        <v>201308</v>
      </c>
      <c r="P1527" t="s">
        <v>546</v>
      </c>
      <c r="Q1527" t="s">
        <v>1755</v>
      </c>
      <c r="R1527" t="s">
        <v>2</v>
      </c>
      <c r="S1527">
        <v>86.304000000000002</v>
      </c>
      <c r="T1527">
        <v>6</v>
      </c>
      <c r="U1527">
        <v>0.2</v>
      </c>
      <c r="V1527">
        <v>9.7091999999999992</v>
      </c>
      <c r="W1527">
        <f t="shared" si="95"/>
        <v>12.7658</v>
      </c>
      <c r="X1527">
        <v>5</v>
      </c>
    </row>
    <row r="1528" spans="1:24" x14ac:dyDescent="0.3">
      <c r="A1528">
        <v>1527</v>
      </c>
      <c r="B1528" t="s">
        <v>3281</v>
      </c>
      <c r="C1528" s="6">
        <v>45723</v>
      </c>
      <c r="D1528" t="str">
        <f t="shared" si="92"/>
        <v>Mar</v>
      </c>
      <c r="E1528" t="str">
        <f t="shared" si="93"/>
        <v>2025</v>
      </c>
      <c r="F1528" t="s">
        <v>4</v>
      </c>
      <c r="G1528" t="s">
        <v>177</v>
      </c>
      <c r="H1528" t="s">
        <v>1573</v>
      </c>
      <c r="I1528">
        <v>120</v>
      </c>
      <c r="J1528">
        <v>30</v>
      </c>
      <c r="K1528">
        <f t="shared" si="94"/>
        <v>25</v>
      </c>
      <c r="L1528" t="s">
        <v>1739</v>
      </c>
      <c r="M1528" t="s">
        <v>3668</v>
      </c>
      <c r="N1528" t="s">
        <v>1</v>
      </c>
      <c r="O1528">
        <v>201308</v>
      </c>
      <c r="P1528" t="s">
        <v>546</v>
      </c>
      <c r="Q1528" t="s">
        <v>1769</v>
      </c>
      <c r="R1528" t="s">
        <v>2</v>
      </c>
      <c r="S1528">
        <v>4.16</v>
      </c>
      <c r="T1528">
        <v>2</v>
      </c>
      <c r="U1528">
        <v>0.2</v>
      </c>
      <c r="V1528">
        <v>0.36399999999999999</v>
      </c>
      <c r="W1528">
        <f t="shared" si="95"/>
        <v>1.8980000000000001</v>
      </c>
      <c r="X1528">
        <v>5</v>
      </c>
    </row>
    <row r="1529" spans="1:24" x14ac:dyDescent="0.3">
      <c r="A1529">
        <v>1528</v>
      </c>
      <c r="B1529" t="s">
        <v>3282</v>
      </c>
      <c r="C1529" s="6">
        <v>45724</v>
      </c>
      <c r="D1529" t="str">
        <f t="shared" si="92"/>
        <v>Mar</v>
      </c>
      <c r="E1529" t="str">
        <f t="shared" si="93"/>
        <v>2025</v>
      </c>
      <c r="F1529" t="s">
        <v>4</v>
      </c>
      <c r="G1529" t="s">
        <v>177</v>
      </c>
      <c r="H1529" t="s">
        <v>1574</v>
      </c>
      <c r="I1529">
        <v>100</v>
      </c>
      <c r="J1529">
        <v>12</v>
      </c>
      <c r="K1529">
        <f t="shared" si="94"/>
        <v>12</v>
      </c>
      <c r="L1529" t="s">
        <v>1738</v>
      </c>
      <c r="M1529" t="s">
        <v>3812</v>
      </c>
      <c r="N1529" t="s">
        <v>1</v>
      </c>
      <c r="O1529">
        <v>208001</v>
      </c>
      <c r="P1529" t="s">
        <v>546</v>
      </c>
      <c r="Q1529" t="s">
        <v>1755</v>
      </c>
      <c r="R1529" t="s">
        <v>2</v>
      </c>
      <c r="S1529">
        <v>11.648</v>
      </c>
      <c r="T1529">
        <v>2</v>
      </c>
      <c r="U1529">
        <v>0.2</v>
      </c>
      <c r="V1529">
        <v>3.3488000000000002</v>
      </c>
      <c r="W1529">
        <f t="shared" si="95"/>
        <v>4.1495999999999995</v>
      </c>
      <c r="X1529">
        <v>3</v>
      </c>
    </row>
    <row r="1530" spans="1:24" x14ac:dyDescent="0.3">
      <c r="A1530">
        <v>1529</v>
      </c>
      <c r="B1530" t="s">
        <v>3283</v>
      </c>
      <c r="C1530" s="6">
        <v>45725</v>
      </c>
      <c r="D1530" t="str">
        <f t="shared" si="92"/>
        <v>Mar</v>
      </c>
      <c r="E1530" t="str">
        <f t="shared" si="93"/>
        <v>2025</v>
      </c>
      <c r="F1530" t="s">
        <v>3</v>
      </c>
      <c r="G1530" t="s">
        <v>312</v>
      </c>
      <c r="H1530" t="s">
        <v>1575</v>
      </c>
      <c r="I1530">
        <v>190</v>
      </c>
      <c r="J1530">
        <v>10</v>
      </c>
      <c r="K1530">
        <f t="shared" si="94"/>
        <v>5.2631578947368416</v>
      </c>
      <c r="L1530" t="s">
        <v>1743</v>
      </c>
      <c r="M1530" t="s">
        <v>3831</v>
      </c>
      <c r="N1530" t="s">
        <v>1</v>
      </c>
      <c r="O1530">
        <v>400604</v>
      </c>
      <c r="P1530" t="s">
        <v>546</v>
      </c>
      <c r="Q1530" t="s">
        <v>1772</v>
      </c>
      <c r="R1530" t="s">
        <v>2</v>
      </c>
      <c r="S1530">
        <v>26.18</v>
      </c>
      <c r="T1530">
        <v>7</v>
      </c>
      <c r="U1530">
        <v>0.1</v>
      </c>
      <c r="V1530">
        <v>0.52359999999999995</v>
      </c>
      <c r="W1530">
        <f t="shared" si="95"/>
        <v>3.6652</v>
      </c>
      <c r="X1530">
        <v>5</v>
      </c>
    </row>
    <row r="1531" spans="1:24" x14ac:dyDescent="0.3">
      <c r="A1531">
        <v>1530</v>
      </c>
      <c r="B1531" t="s">
        <v>3284</v>
      </c>
      <c r="C1531" s="6">
        <v>45726</v>
      </c>
      <c r="D1531" t="str">
        <f t="shared" si="92"/>
        <v>Mar</v>
      </c>
      <c r="E1531" t="str">
        <f t="shared" si="93"/>
        <v>2025</v>
      </c>
      <c r="F1531" t="s">
        <v>3</v>
      </c>
      <c r="G1531" t="s">
        <v>312</v>
      </c>
      <c r="H1531" t="s">
        <v>1576</v>
      </c>
      <c r="I1531">
        <v>210</v>
      </c>
      <c r="J1531">
        <v>10</v>
      </c>
      <c r="K1531">
        <f t="shared" si="94"/>
        <v>4.7619047619047619</v>
      </c>
      <c r="L1531" t="s">
        <v>1737</v>
      </c>
      <c r="M1531" t="s">
        <v>3802</v>
      </c>
      <c r="N1531" t="s">
        <v>1</v>
      </c>
      <c r="O1531">
        <v>122001</v>
      </c>
      <c r="P1531" t="s">
        <v>546</v>
      </c>
      <c r="Q1531" t="s">
        <v>1763</v>
      </c>
      <c r="R1531" t="s">
        <v>2</v>
      </c>
      <c r="S1531">
        <v>7.3</v>
      </c>
      <c r="T1531">
        <v>2</v>
      </c>
      <c r="U1531">
        <v>0.1</v>
      </c>
      <c r="V1531">
        <v>3.431</v>
      </c>
      <c r="W1531">
        <f t="shared" si="95"/>
        <v>1.9344999999999999</v>
      </c>
      <c r="X1531">
        <v>2</v>
      </c>
    </row>
    <row r="1532" spans="1:24" x14ac:dyDescent="0.3">
      <c r="A1532">
        <v>1531</v>
      </c>
      <c r="B1532" t="s">
        <v>3285</v>
      </c>
      <c r="C1532" s="6">
        <v>45727</v>
      </c>
      <c r="D1532" t="str">
        <f t="shared" si="92"/>
        <v>Mar</v>
      </c>
      <c r="E1532" t="str">
        <f t="shared" si="93"/>
        <v>2025</v>
      </c>
      <c r="F1532" t="s">
        <v>4</v>
      </c>
      <c r="G1532" t="s">
        <v>303</v>
      </c>
      <c r="H1532" t="s">
        <v>1577</v>
      </c>
      <c r="I1532">
        <v>130</v>
      </c>
      <c r="J1532">
        <v>22</v>
      </c>
      <c r="K1532">
        <f t="shared" si="94"/>
        <v>16.923076923076923</v>
      </c>
      <c r="L1532" t="s">
        <v>1741</v>
      </c>
      <c r="M1532" t="s">
        <v>3815</v>
      </c>
      <c r="N1532" t="s">
        <v>1</v>
      </c>
      <c r="O1532">
        <v>110092</v>
      </c>
      <c r="P1532" t="s">
        <v>546</v>
      </c>
      <c r="Q1532" t="s">
        <v>1759</v>
      </c>
      <c r="S1532">
        <v>74.352000000000004</v>
      </c>
      <c r="T1532">
        <v>3</v>
      </c>
      <c r="U1532">
        <v>0.2</v>
      </c>
      <c r="V1532">
        <v>23.234999999999999</v>
      </c>
      <c r="W1532">
        <f t="shared" si="95"/>
        <v>17.039000000000001</v>
      </c>
      <c r="X1532">
        <v>1</v>
      </c>
    </row>
    <row r="1533" spans="1:24" x14ac:dyDescent="0.3">
      <c r="A1533">
        <v>1532</v>
      </c>
      <c r="B1533" t="s">
        <v>3286</v>
      </c>
      <c r="C1533" s="6">
        <v>45728</v>
      </c>
      <c r="D1533" t="str">
        <f t="shared" si="92"/>
        <v>Mar</v>
      </c>
      <c r="E1533" t="str">
        <f t="shared" si="93"/>
        <v>2025</v>
      </c>
      <c r="F1533" t="s">
        <v>4</v>
      </c>
      <c r="G1533" t="s">
        <v>230</v>
      </c>
      <c r="H1533" t="s">
        <v>1578</v>
      </c>
      <c r="I1533">
        <v>240</v>
      </c>
      <c r="J1533">
        <v>8</v>
      </c>
      <c r="K1533">
        <f t="shared" si="94"/>
        <v>3.3333333333333335</v>
      </c>
      <c r="L1533" t="s">
        <v>1736</v>
      </c>
      <c r="M1533" t="s">
        <v>3653</v>
      </c>
      <c r="N1533" t="s">
        <v>1</v>
      </c>
      <c r="O1533">
        <v>110092</v>
      </c>
      <c r="P1533" t="s">
        <v>546</v>
      </c>
      <c r="Q1533" t="s">
        <v>1766</v>
      </c>
      <c r="S1533">
        <v>10.744</v>
      </c>
      <c r="T1533">
        <v>1</v>
      </c>
      <c r="U1533">
        <v>0.2</v>
      </c>
      <c r="V1533">
        <v>0.80579999999999996</v>
      </c>
      <c r="W1533">
        <f t="shared" si="95"/>
        <v>9.9382000000000001</v>
      </c>
      <c r="X1533">
        <v>3</v>
      </c>
    </row>
    <row r="1534" spans="1:24" x14ac:dyDescent="0.3">
      <c r="A1534">
        <v>1533</v>
      </c>
      <c r="B1534" t="s">
        <v>3287</v>
      </c>
      <c r="C1534" s="6">
        <v>45729</v>
      </c>
      <c r="D1534" t="str">
        <f t="shared" si="92"/>
        <v>Mar</v>
      </c>
      <c r="E1534" t="str">
        <f t="shared" si="93"/>
        <v>2025</v>
      </c>
      <c r="F1534" t="s">
        <v>4</v>
      </c>
      <c r="G1534" t="s">
        <v>230</v>
      </c>
      <c r="H1534" t="s">
        <v>750</v>
      </c>
      <c r="I1534">
        <v>150</v>
      </c>
      <c r="J1534">
        <v>22</v>
      </c>
      <c r="K1534">
        <f t="shared" si="94"/>
        <v>14.666666666666666</v>
      </c>
      <c r="L1534" t="s">
        <v>1744</v>
      </c>
      <c r="M1534" t="s">
        <v>3832</v>
      </c>
      <c r="N1534" t="s">
        <v>1</v>
      </c>
      <c r="O1534">
        <v>583104</v>
      </c>
      <c r="P1534" t="s">
        <v>546</v>
      </c>
      <c r="Q1534" t="s">
        <v>1756</v>
      </c>
      <c r="S1534">
        <v>8.3759999999999994</v>
      </c>
      <c r="T1534">
        <v>3</v>
      </c>
      <c r="U1534">
        <v>0.2</v>
      </c>
      <c r="V1534">
        <v>2.7222</v>
      </c>
      <c r="W1534">
        <f t="shared" si="95"/>
        <v>1.8845999999999998</v>
      </c>
      <c r="X1534">
        <v>1</v>
      </c>
    </row>
    <row r="1535" spans="1:24" x14ac:dyDescent="0.3">
      <c r="A1535">
        <v>1534</v>
      </c>
      <c r="B1535" t="s">
        <v>3288</v>
      </c>
      <c r="C1535" s="6">
        <v>45730</v>
      </c>
      <c r="D1535" t="str">
        <f t="shared" si="92"/>
        <v>Mar</v>
      </c>
      <c r="E1535" t="str">
        <f t="shared" si="93"/>
        <v>2025</v>
      </c>
      <c r="F1535" t="s">
        <v>4</v>
      </c>
      <c r="G1535" t="s">
        <v>232</v>
      </c>
      <c r="H1535" t="s">
        <v>1579</v>
      </c>
      <c r="I1535">
        <v>120</v>
      </c>
      <c r="J1535">
        <v>24</v>
      </c>
      <c r="K1535">
        <f t="shared" si="94"/>
        <v>20</v>
      </c>
      <c r="L1535" t="s">
        <v>1740</v>
      </c>
      <c r="M1535" t="s">
        <v>3733</v>
      </c>
      <c r="N1535" t="s">
        <v>1</v>
      </c>
      <c r="O1535">
        <v>400013</v>
      </c>
      <c r="P1535" t="s">
        <v>546</v>
      </c>
      <c r="Q1535" t="s">
        <v>1759</v>
      </c>
      <c r="S1535">
        <v>212.88</v>
      </c>
      <c r="T1535">
        <v>6</v>
      </c>
      <c r="U1535">
        <v>0.1</v>
      </c>
      <c r="V1535">
        <v>0.1</v>
      </c>
      <c r="W1535">
        <f t="shared" si="95"/>
        <v>35.463333333333331</v>
      </c>
      <c r="X1535">
        <v>5</v>
      </c>
    </row>
    <row r="1536" spans="1:24" x14ac:dyDescent="0.3">
      <c r="A1536">
        <v>1535</v>
      </c>
      <c r="B1536" t="s">
        <v>3289</v>
      </c>
      <c r="C1536" s="6">
        <v>45731</v>
      </c>
      <c r="D1536" t="str">
        <f t="shared" si="92"/>
        <v>Mar</v>
      </c>
      <c r="E1536" t="str">
        <f t="shared" si="93"/>
        <v>2025</v>
      </c>
      <c r="F1536" t="s">
        <v>4</v>
      </c>
      <c r="G1536" t="s">
        <v>493</v>
      </c>
      <c r="H1536" t="s">
        <v>1121</v>
      </c>
      <c r="I1536">
        <v>120</v>
      </c>
      <c r="J1536">
        <v>22</v>
      </c>
      <c r="K1536">
        <f t="shared" si="94"/>
        <v>18.333333333333332</v>
      </c>
      <c r="L1536" t="s">
        <v>1742</v>
      </c>
      <c r="M1536" t="s">
        <v>3816</v>
      </c>
      <c r="N1536" t="s">
        <v>1</v>
      </c>
      <c r="O1536">
        <v>801105</v>
      </c>
      <c r="P1536" t="s">
        <v>546</v>
      </c>
      <c r="Q1536" t="s">
        <v>1755</v>
      </c>
      <c r="S1536">
        <v>203.983</v>
      </c>
      <c r="T1536">
        <v>2</v>
      </c>
      <c r="U1536">
        <v>0.15</v>
      </c>
      <c r="V1536">
        <v>16.7986</v>
      </c>
      <c r="W1536">
        <f t="shared" si="95"/>
        <v>93.592200000000005</v>
      </c>
      <c r="X1536">
        <v>4</v>
      </c>
    </row>
    <row r="1537" spans="1:24" x14ac:dyDescent="0.3">
      <c r="A1537">
        <v>1536</v>
      </c>
      <c r="B1537" t="s">
        <v>3290</v>
      </c>
      <c r="C1537" s="6">
        <v>45732</v>
      </c>
      <c r="D1537" t="str">
        <f t="shared" si="92"/>
        <v>Mar</v>
      </c>
      <c r="E1537" t="str">
        <f t="shared" si="93"/>
        <v>2025</v>
      </c>
      <c r="F1537" t="s">
        <v>4</v>
      </c>
      <c r="G1537" t="s">
        <v>494</v>
      </c>
      <c r="H1537" t="s">
        <v>1580</v>
      </c>
      <c r="I1537">
        <v>170</v>
      </c>
      <c r="J1537">
        <v>30</v>
      </c>
      <c r="K1537">
        <f t="shared" si="94"/>
        <v>17.647058823529413</v>
      </c>
      <c r="L1537" t="s">
        <v>1739</v>
      </c>
      <c r="M1537" t="s">
        <v>3600</v>
      </c>
      <c r="N1537" t="s">
        <v>1</v>
      </c>
      <c r="O1537">
        <v>517501</v>
      </c>
      <c r="P1537" t="s">
        <v>546</v>
      </c>
      <c r="Q1537" t="s">
        <v>1767</v>
      </c>
      <c r="S1537">
        <v>40.74</v>
      </c>
      <c r="T1537">
        <v>3</v>
      </c>
      <c r="U1537">
        <v>0.1</v>
      </c>
      <c r="V1537">
        <v>0.40739999999999998</v>
      </c>
      <c r="W1537">
        <f t="shared" si="95"/>
        <v>13.4442</v>
      </c>
      <c r="X1537">
        <v>5</v>
      </c>
    </row>
    <row r="1538" spans="1:24" x14ac:dyDescent="0.3">
      <c r="A1538">
        <v>1537</v>
      </c>
      <c r="B1538" t="s">
        <v>3291</v>
      </c>
      <c r="C1538" s="6">
        <v>45733</v>
      </c>
      <c r="D1538" t="str">
        <f t="shared" si="92"/>
        <v>Mar</v>
      </c>
      <c r="E1538" t="str">
        <f t="shared" si="93"/>
        <v>2025</v>
      </c>
      <c r="F1538" t="s">
        <v>4</v>
      </c>
      <c r="G1538" t="s">
        <v>494</v>
      </c>
      <c r="H1538" t="s">
        <v>1581</v>
      </c>
      <c r="I1538">
        <v>110</v>
      </c>
      <c r="J1538">
        <v>10</v>
      </c>
      <c r="K1538">
        <f t="shared" si="94"/>
        <v>9.0909090909090917</v>
      </c>
      <c r="L1538" t="s">
        <v>1738</v>
      </c>
      <c r="M1538" t="s">
        <v>3817</v>
      </c>
      <c r="N1538" t="s">
        <v>1</v>
      </c>
      <c r="O1538">
        <v>517501</v>
      </c>
      <c r="P1538" t="s">
        <v>546</v>
      </c>
      <c r="Q1538" t="s">
        <v>1774</v>
      </c>
      <c r="S1538">
        <v>11.67</v>
      </c>
      <c r="T1538">
        <v>3</v>
      </c>
      <c r="U1538">
        <v>0.1</v>
      </c>
      <c r="V1538">
        <v>3.0341999999999998</v>
      </c>
      <c r="W1538">
        <f t="shared" si="95"/>
        <v>2.8786</v>
      </c>
      <c r="X1538">
        <v>3</v>
      </c>
    </row>
    <row r="1539" spans="1:24" x14ac:dyDescent="0.3">
      <c r="A1539">
        <v>1538</v>
      </c>
      <c r="B1539" t="s">
        <v>3292</v>
      </c>
      <c r="C1539" s="6">
        <v>45734</v>
      </c>
      <c r="D1539" t="str">
        <f t="shared" ref="D1539:D1602" si="96">TEXT(C1539,"Mmm")</f>
        <v>Mar</v>
      </c>
      <c r="E1539" t="str">
        <f t="shared" ref="E1539:E1602" si="97">TEXT(C1539,"YYYY")</f>
        <v>2025</v>
      </c>
      <c r="F1539" t="s">
        <v>3</v>
      </c>
      <c r="G1539" t="s">
        <v>495</v>
      </c>
      <c r="H1539" t="s">
        <v>1431</v>
      </c>
      <c r="I1539">
        <v>170</v>
      </c>
      <c r="J1539">
        <v>30</v>
      </c>
      <c r="K1539">
        <f t="shared" ref="K1539:K1602" si="98">(J1539/I1539)*100</f>
        <v>17.647058823529413</v>
      </c>
      <c r="L1539" t="s">
        <v>1737</v>
      </c>
      <c r="M1539" t="s">
        <v>3808</v>
      </c>
      <c r="N1539" t="s">
        <v>1</v>
      </c>
      <c r="O1539">
        <v>517501</v>
      </c>
      <c r="P1539" t="s">
        <v>546</v>
      </c>
      <c r="Q1539" t="s">
        <v>1759</v>
      </c>
      <c r="S1539">
        <v>39.99</v>
      </c>
      <c r="T1539">
        <v>1</v>
      </c>
      <c r="U1539">
        <v>0.1</v>
      </c>
      <c r="V1539">
        <v>11.597099999999999</v>
      </c>
      <c r="W1539">
        <f t="shared" ref="W1539:W1602" si="99">(S1539-V1539)/T1539</f>
        <v>28.392900000000004</v>
      </c>
      <c r="X1539">
        <v>5</v>
      </c>
    </row>
    <row r="1540" spans="1:24" x14ac:dyDescent="0.3">
      <c r="A1540">
        <v>1539</v>
      </c>
      <c r="B1540" t="s">
        <v>3293</v>
      </c>
      <c r="C1540" s="6">
        <v>45735</v>
      </c>
      <c r="D1540" t="str">
        <f t="shared" si="96"/>
        <v>Mar</v>
      </c>
      <c r="E1540" t="str">
        <f t="shared" si="97"/>
        <v>2025</v>
      </c>
      <c r="F1540" t="s">
        <v>3</v>
      </c>
      <c r="G1540" t="s">
        <v>495</v>
      </c>
      <c r="H1540" t="s">
        <v>906</v>
      </c>
      <c r="I1540">
        <v>250</v>
      </c>
      <c r="J1540">
        <v>26</v>
      </c>
      <c r="K1540">
        <f t="shared" si="98"/>
        <v>10.4</v>
      </c>
      <c r="L1540" t="s">
        <v>1743</v>
      </c>
      <c r="M1540" t="s">
        <v>3833</v>
      </c>
      <c r="N1540" t="s">
        <v>1</v>
      </c>
      <c r="O1540">
        <v>631502</v>
      </c>
      <c r="P1540" t="s">
        <v>546</v>
      </c>
      <c r="Q1540" t="s">
        <v>1761</v>
      </c>
      <c r="S1540">
        <v>16.28</v>
      </c>
      <c r="T1540">
        <v>2</v>
      </c>
      <c r="U1540">
        <v>0.1</v>
      </c>
      <c r="V1540">
        <v>6.5119999999999996</v>
      </c>
      <c r="W1540">
        <f t="shared" si="99"/>
        <v>4.8840000000000003</v>
      </c>
      <c r="X1540">
        <v>1</v>
      </c>
    </row>
    <row r="1541" spans="1:24" x14ac:dyDescent="0.3">
      <c r="A1541">
        <v>1540</v>
      </c>
      <c r="B1541" t="s">
        <v>3294</v>
      </c>
      <c r="C1541" s="6">
        <v>45736</v>
      </c>
      <c r="D1541" t="str">
        <f t="shared" si="96"/>
        <v>Mar</v>
      </c>
      <c r="E1541" t="str">
        <f t="shared" si="97"/>
        <v>2025</v>
      </c>
      <c r="F1541" t="s">
        <v>3</v>
      </c>
      <c r="G1541" t="s">
        <v>495</v>
      </c>
      <c r="H1541" t="s">
        <v>584</v>
      </c>
      <c r="I1541">
        <v>240</v>
      </c>
      <c r="J1541">
        <v>10</v>
      </c>
      <c r="K1541">
        <f t="shared" si="98"/>
        <v>4.1666666666666661</v>
      </c>
      <c r="L1541" t="s">
        <v>1738</v>
      </c>
      <c r="M1541" t="s">
        <v>3681</v>
      </c>
      <c r="N1541" t="s">
        <v>1</v>
      </c>
      <c r="O1541">
        <v>400070</v>
      </c>
      <c r="P1541" t="s">
        <v>546</v>
      </c>
      <c r="Q1541" t="s">
        <v>1754</v>
      </c>
      <c r="S1541">
        <v>782.94</v>
      </c>
      <c r="T1541">
        <v>3</v>
      </c>
      <c r="U1541">
        <v>0.1</v>
      </c>
      <c r="V1541">
        <v>203.56440000000001</v>
      </c>
      <c r="W1541">
        <f t="shared" si="99"/>
        <v>193.12520000000004</v>
      </c>
      <c r="X1541">
        <v>4</v>
      </c>
    </row>
    <row r="1542" spans="1:24" x14ac:dyDescent="0.3">
      <c r="A1542">
        <v>1541</v>
      </c>
      <c r="B1542" t="s">
        <v>3295</v>
      </c>
      <c r="C1542" s="6">
        <v>45737</v>
      </c>
      <c r="D1542" t="str">
        <f t="shared" si="96"/>
        <v>Mar</v>
      </c>
      <c r="E1542" t="str">
        <f t="shared" si="97"/>
        <v>2025</v>
      </c>
      <c r="F1542" t="s">
        <v>3</v>
      </c>
      <c r="G1542" t="s">
        <v>495</v>
      </c>
      <c r="H1542" t="s">
        <v>1549</v>
      </c>
      <c r="I1542">
        <v>150</v>
      </c>
      <c r="J1542">
        <v>22</v>
      </c>
      <c r="K1542">
        <f t="shared" si="98"/>
        <v>14.666666666666666</v>
      </c>
      <c r="L1542" t="s">
        <v>1739</v>
      </c>
      <c r="M1542" t="s">
        <v>3682</v>
      </c>
      <c r="N1542" t="s">
        <v>1</v>
      </c>
      <c r="O1542">
        <v>411014</v>
      </c>
      <c r="P1542" t="s">
        <v>546</v>
      </c>
      <c r="Q1542" t="s">
        <v>1770</v>
      </c>
      <c r="S1542">
        <v>242.48</v>
      </c>
      <c r="T1542">
        <v>7</v>
      </c>
      <c r="U1542">
        <v>0.1</v>
      </c>
      <c r="V1542">
        <v>116.3904</v>
      </c>
      <c r="W1542">
        <f t="shared" si="99"/>
        <v>18.012799999999999</v>
      </c>
      <c r="X1542">
        <v>1</v>
      </c>
    </row>
    <row r="1543" spans="1:24" x14ac:dyDescent="0.3">
      <c r="A1543">
        <v>1542</v>
      </c>
      <c r="B1543" t="s">
        <v>3296</v>
      </c>
      <c r="C1543" s="6">
        <v>45738</v>
      </c>
      <c r="D1543" t="str">
        <f t="shared" si="96"/>
        <v>Mar</v>
      </c>
      <c r="E1543" t="str">
        <f t="shared" si="97"/>
        <v>2025</v>
      </c>
      <c r="F1543" t="s">
        <v>3</v>
      </c>
      <c r="G1543" t="s">
        <v>244</v>
      </c>
      <c r="H1543" t="s">
        <v>1582</v>
      </c>
      <c r="I1543">
        <v>140</v>
      </c>
      <c r="J1543">
        <v>18</v>
      </c>
      <c r="K1543">
        <f t="shared" si="98"/>
        <v>12.857142857142856</v>
      </c>
      <c r="L1543" t="s">
        <v>1741</v>
      </c>
      <c r="M1543" t="s">
        <v>3810</v>
      </c>
      <c r="O1543">
        <v>412207</v>
      </c>
      <c r="P1543" t="s">
        <v>546</v>
      </c>
      <c r="Q1543" t="s">
        <v>1767</v>
      </c>
      <c r="R1543" t="s">
        <v>2</v>
      </c>
      <c r="S1543">
        <v>8.32</v>
      </c>
      <c r="T1543">
        <v>5</v>
      </c>
      <c r="U1543">
        <v>0.2</v>
      </c>
      <c r="V1543">
        <v>2.2879999999999998</v>
      </c>
      <c r="W1543">
        <f t="shared" si="99"/>
        <v>1.2063999999999999</v>
      </c>
      <c r="X1543">
        <v>2</v>
      </c>
    </row>
    <row r="1544" spans="1:24" x14ac:dyDescent="0.3">
      <c r="A1544">
        <v>1543</v>
      </c>
      <c r="B1544" t="s">
        <v>3297</v>
      </c>
      <c r="C1544" s="6">
        <v>45739</v>
      </c>
      <c r="D1544" t="str">
        <f t="shared" si="96"/>
        <v>Mar</v>
      </c>
      <c r="E1544" t="str">
        <f t="shared" si="97"/>
        <v>2025</v>
      </c>
      <c r="F1544" t="s">
        <v>3</v>
      </c>
      <c r="G1544" t="s">
        <v>244</v>
      </c>
      <c r="H1544" t="s">
        <v>1392</v>
      </c>
      <c r="I1544">
        <v>100</v>
      </c>
      <c r="J1544">
        <v>24</v>
      </c>
      <c r="K1544">
        <f t="shared" si="98"/>
        <v>24</v>
      </c>
      <c r="L1544" t="s">
        <v>1736</v>
      </c>
      <c r="M1544" t="s">
        <v>3693</v>
      </c>
      <c r="N1544" t="s">
        <v>1</v>
      </c>
      <c r="O1544">
        <v>600094</v>
      </c>
      <c r="P1544" t="s">
        <v>546</v>
      </c>
      <c r="Q1544" t="s">
        <v>1768</v>
      </c>
      <c r="R1544" t="s">
        <v>2</v>
      </c>
      <c r="S1544">
        <v>10.464</v>
      </c>
      <c r="T1544">
        <v>6</v>
      </c>
      <c r="U1544">
        <v>0.2</v>
      </c>
      <c r="V1544">
        <v>1.7003999999999999</v>
      </c>
      <c r="W1544">
        <f t="shared" si="99"/>
        <v>1.4606000000000001</v>
      </c>
      <c r="X1544">
        <v>3</v>
      </c>
    </row>
    <row r="1545" spans="1:24" x14ac:dyDescent="0.3">
      <c r="A1545">
        <v>1544</v>
      </c>
      <c r="B1545" t="s">
        <v>3298</v>
      </c>
      <c r="C1545" s="6">
        <v>45740</v>
      </c>
      <c r="D1545" t="str">
        <f t="shared" si="96"/>
        <v>Mar</v>
      </c>
      <c r="E1545" t="str">
        <f t="shared" si="97"/>
        <v>2025</v>
      </c>
      <c r="F1545" t="s">
        <v>4</v>
      </c>
      <c r="G1545" t="s">
        <v>496</v>
      </c>
      <c r="H1545" t="s">
        <v>1202</v>
      </c>
      <c r="I1545">
        <v>240</v>
      </c>
      <c r="J1545">
        <v>12</v>
      </c>
      <c r="K1545">
        <f t="shared" si="98"/>
        <v>5</v>
      </c>
      <c r="L1545" t="s">
        <v>1744</v>
      </c>
      <c r="M1545" t="s">
        <v>3746</v>
      </c>
      <c r="N1545" t="s">
        <v>1</v>
      </c>
      <c r="O1545">
        <v>534001</v>
      </c>
      <c r="P1545" t="s">
        <v>546</v>
      </c>
      <c r="Q1545" t="s">
        <v>1765</v>
      </c>
      <c r="R1545" t="s">
        <v>2</v>
      </c>
      <c r="S1545">
        <v>82.896000000000001</v>
      </c>
      <c r="T1545">
        <v>3</v>
      </c>
      <c r="U1545">
        <v>0.2</v>
      </c>
      <c r="V1545">
        <v>29.0136</v>
      </c>
      <c r="W1545">
        <f t="shared" si="99"/>
        <v>17.960800000000003</v>
      </c>
      <c r="X1545">
        <v>1</v>
      </c>
    </row>
    <row r="1546" spans="1:24" x14ac:dyDescent="0.3">
      <c r="A1546">
        <v>1545</v>
      </c>
      <c r="B1546" t="s">
        <v>3299</v>
      </c>
      <c r="C1546" s="6">
        <v>45741</v>
      </c>
      <c r="D1546" t="str">
        <f t="shared" si="96"/>
        <v>Mar</v>
      </c>
      <c r="E1546" t="str">
        <f t="shared" si="97"/>
        <v>2025</v>
      </c>
      <c r="F1546" t="s">
        <v>4</v>
      </c>
      <c r="G1546" t="s">
        <v>496</v>
      </c>
      <c r="H1546" t="s">
        <v>1279</v>
      </c>
      <c r="I1546">
        <v>180</v>
      </c>
      <c r="J1546">
        <v>18</v>
      </c>
      <c r="K1546">
        <f t="shared" si="98"/>
        <v>10</v>
      </c>
      <c r="L1546" t="s">
        <v>1740</v>
      </c>
      <c r="M1546" t="s">
        <v>3799</v>
      </c>
      <c r="N1546" t="s">
        <v>1</v>
      </c>
      <c r="O1546">
        <v>800001</v>
      </c>
      <c r="P1546" t="s">
        <v>546</v>
      </c>
      <c r="Q1546" t="s">
        <v>1763</v>
      </c>
      <c r="S1546">
        <v>34.24</v>
      </c>
      <c r="T1546">
        <v>4</v>
      </c>
      <c r="U1546">
        <v>0.1</v>
      </c>
      <c r="V1546">
        <v>16.0928</v>
      </c>
      <c r="W1546">
        <f t="shared" si="99"/>
        <v>4.5368000000000004</v>
      </c>
      <c r="X1546">
        <v>5</v>
      </c>
    </row>
    <row r="1547" spans="1:24" x14ac:dyDescent="0.3">
      <c r="A1547">
        <v>1546</v>
      </c>
      <c r="B1547" t="s">
        <v>3300</v>
      </c>
      <c r="C1547" s="6">
        <v>45742</v>
      </c>
      <c r="D1547" t="str">
        <f t="shared" si="96"/>
        <v>Mar</v>
      </c>
      <c r="E1547" t="str">
        <f t="shared" si="97"/>
        <v>2025</v>
      </c>
      <c r="F1547" t="s">
        <v>3</v>
      </c>
      <c r="G1547" t="s">
        <v>338</v>
      </c>
      <c r="H1547" t="s">
        <v>725</v>
      </c>
      <c r="I1547">
        <v>110</v>
      </c>
      <c r="J1547">
        <v>6</v>
      </c>
      <c r="K1547">
        <f t="shared" si="98"/>
        <v>5.4545454545454541</v>
      </c>
      <c r="L1547" t="s">
        <v>1742</v>
      </c>
      <c r="M1547" t="s">
        <v>3800</v>
      </c>
      <c r="N1547" t="s">
        <v>1</v>
      </c>
      <c r="O1547">
        <v>411014</v>
      </c>
      <c r="P1547" t="s">
        <v>546</v>
      </c>
      <c r="Q1547" t="s">
        <v>1759</v>
      </c>
      <c r="S1547">
        <v>1573.4880000000001</v>
      </c>
      <c r="T1547">
        <v>7</v>
      </c>
      <c r="U1547">
        <v>0.2</v>
      </c>
      <c r="V1547">
        <v>196.68600000000001</v>
      </c>
      <c r="W1547">
        <f t="shared" si="99"/>
        <v>196.68600000000001</v>
      </c>
      <c r="X1547">
        <v>5</v>
      </c>
    </row>
    <row r="1548" spans="1:24" x14ac:dyDescent="0.3">
      <c r="A1548">
        <v>1547</v>
      </c>
      <c r="B1548" t="s">
        <v>3301</v>
      </c>
      <c r="C1548" s="6">
        <v>45743</v>
      </c>
      <c r="D1548" t="str">
        <f t="shared" si="96"/>
        <v>Mar</v>
      </c>
      <c r="E1548" t="str">
        <f t="shared" si="97"/>
        <v>2025</v>
      </c>
      <c r="F1548" t="s">
        <v>4</v>
      </c>
      <c r="G1548" t="s">
        <v>153</v>
      </c>
      <c r="H1548" t="s">
        <v>1468</v>
      </c>
      <c r="I1548">
        <v>190</v>
      </c>
      <c r="J1548">
        <v>22</v>
      </c>
      <c r="K1548">
        <f t="shared" si="98"/>
        <v>11.578947368421053</v>
      </c>
      <c r="L1548" t="s">
        <v>1739</v>
      </c>
      <c r="M1548" t="s">
        <v>3637</v>
      </c>
      <c r="N1548" t="s">
        <v>1</v>
      </c>
      <c r="O1548">
        <v>201304</v>
      </c>
      <c r="P1548" t="s">
        <v>546</v>
      </c>
      <c r="Q1548" t="s">
        <v>1767</v>
      </c>
      <c r="R1548" t="s">
        <v>2</v>
      </c>
      <c r="S1548">
        <v>335.52</v>
      </c>
      <c r="T1548">
        <v>4</v>
      </c>
      <c r="U1548">
        <v>0.2</v>
      </c>
      <c r="V1548">
        <v>117.432</v>
      </c>
      <c r="W1548">
        <f t="shared" si="99"/>
        <v>54.521999999999991</v>
      </c>
      <c r="X1548">
        <v>3</v>
      </c>
    </row>
    <row r="1549" spans="1:24" x14ac:dyDescent="0.3">
      <c r="A1549">
        <v>1548</v>
      </c>
      <c r="B1549" t="s">
        <v>3302</v>
      </c>
      <c r="C1549" s="6">
        <v>45744</v>
      </c>
      <c r="D1549" t="str">
        <f t="shared" si="96"/>
        <v>Mar</v>
      </c>
      <c r="E1549" t="str">
        <f t="shared" si="97"/>
        <v>2025</v>
      </c>
      <c r="F1549" t="s">
        <v>4</v>
      </c>
      <c r="G1549" t="s">
        <v>153</v>
      </c>
      <c r="H1549" t="s">
        <v>1526</v>
      </c>
      <c r="I1549">
        <v>130</v>
      </c>
      <c r="J1549">
        <v>18</v>
      </c>
      <c r="K1549">
        <f t="shared" si="98"/>
        <v>13.846153846153847</v>
      </c>
      <c r="L1549" t="s">
        <v>1738</v>
      </c>
      <c r="M1549" t="s">
        <v>3814</v>
      </c>
      <c r="N1549" t="s">
        <v>1</v>
      </c>
      <c r="O1549">
        <v>600075</v>
      </c>
      <c r="P1549" t="s">
        <v>546</v>
      </c>
      <c r="Q1549" t="s">
        <v>1759</v>
      </c>
      <c r="S1549">
        <v>23.911999999999999</v>
      </c>
      <c r="T1549">
        <v>2</v>
      </c>
      <c r="U1549">
        <v>0.8</v>
      </c>
      <c r="V1549">
        <v>-40.650399999999998</v>
      </c>
      <c r="W1549">
        <f t="shared" si="99"/>
        <v>32.281199999999998</v>
      </c>
      <c r="X1549">
        <v>4</v>
      </c>
    </row>
    <row r="1550" spans="1:24" x14ac:dyDescent="0.3">
      <c r="A1550">
        <v>1549</v>
      </c>
      <c r="B1550" t="s">
        <v>3303</v>
      </c>
      <c r="C1550" s="6">
        <v>45745</v>
      </c>
      <c r="D1550" t="str">
        <f t="shared" si="96"/>
        <v>Mar</v>
      </c>
      <c r="E1550" t="str">
        <f t="shared" si="97"/>
        <v>2025</v>
      </c>
      <c r="F1550" t="s">
        <v>4</v>
      </c>
      <c r="G1550" t="s">
        <v>153</v>
      </c>
      <c r="H1550" t="s">
        <v>1583</v>
      </c>
      <c r="I1550">
        <v>120</v>
      </c>
      <c r="J1550">
        <v>26</v>
      </c>
      <c r="K1550">
        <f t="shared" si="98"/>
        <v>21.666666666666668</v>
      </c>
      <c r="L1550" t="s">
        <v>1737</v>
      </c>
      <c r="M1550" t="s">
        <v>3813</v>
      </c>
      <c r="N1550" t="s">
        <v>1</v>
      </c>
      <c r="O1550">
        <v>284003</v>
      </c>
      <c r="P1550" t="s">
        <v>546</v>
      </c>
      <c r="Q1550" t="s">
        <v>1773</v>
      </c>
      <c r="S1550">
        <v>27.056000000000001</v>
      </c>
      <c r="T1550">
        <v>2</v>
      </c>
      <c r="U1550">
        <v>0.2</v>
      </c>
      <c r="V1550">
        <v>2.3673999999999999</v>
      </c>
      <c r="W1550">
        <f t="shared" si="99"/>
        <v>12.3443</v>
      </c>
      <c r="X1550">
        <v>2</v>
      </c>
    </row>
    <row r="1551" spans="1:24" x14ac:dyDescent="0.3">
      <c r="A1551">
        <v>1550</v>
      </c>
      <c r="B1551" t="s">
        <v>3304</v>
      </c>
      <c r="C1551" s="6">
        <v>45746</v>
      </c>
      <c r="D1551" t="str">
        <f t="shared" si="96"/>
        <v>Mar</v>
      </c>
      <c r="E1551" t="str">
        <f t="shared" si="97"/>
        <v>2025</v>
      </c>
      <c r="F1551" t="s">
        <v>5</v>
      </c>
      <c r="G1551" t="s">
        <v>219</v>
      </c>
      <c r="H1551" t="s">
        <v>1437</v>
      </c>
      <c r="I1551">
        <v>210</v>
      </c>
      <c r="J1551">
        <v>28</v>
      </c>
      <c r="K1551">
        <f t="shared" si="98"/>
        <v>13.333333333333334</v>
      </c>
      <c r="L1551" t="s">
        <v>1743</v>
      </c>
      <c r="M1551" t="s">
        <v>3610</v>
      </c>
      <c r="N1551" t="s">
        <v>1</v>
      </c>
      <c r="O1551">
        <v>799001</v>
      </c>
      <c r="P1551" t="s">
        <v>546</v>
      </c>
      <c r="Q1551" t="s">
        <v>1763</v>
      </c>
      <c r="R1551" t="s">
        <v>2</v>
      </c>
      <c r="S1551">
        <v>559.99199999999996</v>
      </c>
      <c r="T1551">
        <v>1</v>
      </c>
      <c r="U1551">
        <v>0.2</v>
      </c>
      <c r="V1551">
        <v>174.9975</v>
      </c>
      <c r="W1551">
        <f t="shared" si="99"/>
        <v>384.99449999999996</v>
      </c>
      <c r="X1551">
        <v>1</v>
      </c>
    </row>
    <row r="1552" spans="1:24" x14ac:dyDescent="0.3">
      <c r="A1552">
        <v>1551</v>
      </c>
      <c r="B1552" t="s">
        <v>3305</v>
      </c>
      <c r="C1552" s="6">
        <v>45747</v>
      </c>
      <c r="D1552" t="str">
        <f t="shared" si="96"/>
        <v>Mar</v>
      </c>
      <c r="E1552" t="str">
        <f t="shared" si="97"/>
        <v>2025</v>
      </c>
      <c r="F1552" t="s">
        <v>3</v>
      </c>
      <c r="G1552" t="s">
        <v>474</v>
      </c>
      <c r="H1552" t="s">
        <v>1584</v>
      </c>
      <c r="I1552">
        <v>170</v>
      </c>
      <c r="J1552">
        <v>24</v>
      </c>
      <c r="K1552">
        <f t="shared" si="98"/>
        <v>14.117647058823529</v>
      </c>
      <c r="L1552" t="s">
        <v>1738</v>
      </c>
      <c r="M1552" t="s">
        <v>3807</v>
      </c>
      <c r="N1552" t="s">
        <v>1</v>
      </c>
      <c r="O1552">
        <v>855102</v>
      </c>
      <c r="P1552" t="s">
        <v>546</v>
      </c>
      <c r="Q1552" t="s">
        <v>1774</v>
      </c>
      <c r="R1552" t="s">
        <v>2</v>
      </c>
      <c r="S1552">
        <v>9.3239999999999998</v>
      </c>
      <c r="T1552">
        <v>6</v>
      </c>
      <c r="U1552">
        <v>0.8</v>
      </c>
      <c r="V1552">
        <v>-24.708600000000001</v>
      </c>
      <c r="W1552">
        <f t="shared" si="99"/>
        <v>5.6721000000000004</v>
      </c>
      <c r="X1552">
        <v>5</v>
      </c>
    </row>
    <row r="1553" spans="1:24" x14ac:dyDescent="0.3">
      <c r="A1553">
        <v>1552</v>
      </c>
      <c r="B1553" t="s">
        <v>3306</v>
      </c>
      <c r="C1553" s="6">
        <v>45748</v>
      </c>
      <c r="D1553" t="str">
        <f t="shared" si="96"/>
        <v>Apr</v>
      </c>
      <c r="E1553" t="str">
        <f t="shared" si="97"/>
        <v>2025</v>
      </c>
      <c r="F1553" t="s">
        <v>4</v>
      </c>
      <c r="G1553" t="s">
        <v>497</v>
      </c>
      <c r="H1553" t="s">
        <v>1511</v>
      </c>
      <c r="I1553">
        <v>130</v>
      </c>
      <c r="J1553">
        <v>30</v>
      </c>
      <c r="K1553">
        <f t="shared" si="98"/>
        <v>23.076923076923077</v>
      </c>
      <c r="L1553" t="s">
        <v>1739</v>
      </c>
      <c r="M1553" t="s">
        <v>3707</v>
      </c>
      <c r="N1553" t="s">
        <v>1</v>
      </c>
      <c r="O1553">
        <v>600047</v>
      </c>
      <c r="P1553" t="s">
        <v>546</v>
      </c>
      <c r="Q1553" t="s">
        <v>1760</v>
      </c>
      <c r="S1553">
        <v>111.96</v>
      </c>
      <c r="T1553">
        <v>2</v>
      </c>
      <c r="U1553">
        <v>0.1</v>
      </c>
      <c r="V1553">
        <v>54.860399999999998</v>
      </c>
      <c r="W1553">
        <f t="shared" si="99"/>
        <v>28.549799999999998</v>
      </c>
      <c r="X1553">
        <v>5</v>
      </c>
    </row>
    <row r="1554" spans="1:24" x14ac:dyDescent="0.3">
      <c r="A1554">
        <v>1553</v>
      </c>
      <c r="B1554" t="s">
        <v>3307</v>
      </c>
      <c r="C1554" s="6">
        <v>45749</v>
      </c>
      <c r="D1554" t="str">
        <f t="shared" si="96"/>
        <v>Apr</v>
      </c>
      <c r="E1554" t="str">
        <f t="shared" si="97"/>
        <v>2025</v>
      </c>
      <c r="F1554" t="s">
        <v>5</v>
      </c>
      <c r="G1554" t="s">
        <v>192</v>
      </c>
      <c r="H1554" t="s">
        <v>1585</v>
      </c>
      <c r="I1554">
        <v>220</v>
      </c>
      <c r="J1554">
        <v>28</v>
      </c>
      <c r="K1554">
        <f t="shared" si="98"/>
        <v>12.727272727272727</v>
      </c>
      <c r="L1554" t="s">
        <v>1741</v>
      </c>
      <c r="M1554" t="s">
        <v>3805</v>
      </c>
      <c r="N1554" t="s">
        <v>1</v>
      </c>
      <c r="O1554">
        <v>800001</v>
      </c>
      <c r="P1554" t="s">
        <v>546</v>
      </c>
      <c r="Q1554" t="s">
        <v>1759</v>
      </c>
      <c r="S1554">
        <v>21.56</v>
      </c>
      <c r="T1554">
        <v>7</v>
      </c>
      <c r="U1554">
        <v>0.1</v>
      </c>
      <c r="V1554">
        <v>10.348800000000001</v>
      </c>
      <c r="W1554">
        <f t="shared" si="99"/>
        <v>1.6015999999999997</v>
      </c>
      <c r="X1554">
        <v>1</v>
      </c>
    </row>
    <row r="1555" spans="1:24" x14ac:dyDescent="0.3">
      <c r="A1555">
        <v>1554</v>
      </c>
      <c r="B1555" t="s">
        <v>3308</v>
      </c>
      <c r="C1555" s="6">
        <v>45750</v>
      </c>
      <c r="D1555" t="str">
        <f t="shared" si="96"/>
        <v>Apr</v>
      </c>
      <c r="E1555" t="str">
        <f t="shared" si="97"/>
        <v>2025</v>
      </c>
      <c r="F1555" t="s">
        <v>4</v>
      </c>
      <c r="G1555" t="s">
        <v>498</v>
      </c>
      <c r="H1555" t="s">
        <v>1238</v>
      </c>
      <c r="I1555">
        <v>240</v>
      </c>
      <c r="J1555">
        <v>24</v>
      </c>
      <c r="K1555">
        <f t="shared" si="98"/>
        <v>10</v>
      </c>
      <c r="L1555" t="s">
        <v>1736</v>
      </c>
      <c r="M1555" t="s">
        <v>3797</v>
      </c>
      <c r="N1555" t="s">
        <v>1</v>
      </c>
      <c r="O1555">
        <v>600113</v>
      </c>
      <c r="P1555" t="s">
        <v>546</v>
      </c>
      <c r="Q1555" t="s">
        <v>1760</v>
      </c>
      <c r="S1555">
        <v>124.75</v>
      </c>
      <c r="T1555">
        <v>5</v>
      </c>
      <c r="U1555">
        <v>0.1</v>
      </c>
      <c r="V1555">
        <v>57.384999999999998</v>
      </c>
      <c r="W1555">
        <f t="shared" si="99"/>
        <v>13.473000000000003</v>
      </c>
      <c r="X1555">
        <v>2</v>
      </c>
    </row>
    <row r="1556" spans="1:24" x14ac:dyDescent="0.3">
      <c r="A1556">
        <v>1555</v>
      </c>
      <c r="B1556" t="s">
        <v>3309</v>
      </c>
      <c r="C1556" s="6">
        <v>45751</v>
      </c>
      <c r="D1556" t="str">
        <f t="shared" si="96"/>
        <v>Apr</v>
      </c>
      <c r="E1556" t="str">
        <f t="shared" si="97"/>
        <v>2025</v>
      </c>
      <c r="F1556" t="s">
        <v>4</v>
      </c>
      <c r="G1556" t="s">
        <v>107</v>
      </c>
      <c r="H1556" t="s">
        <v>1586</v>
      </c>
      <c r="I1556">
        <v>250</v>
      </c>
      <c r="J1556">
        <v>10</v>
      </c>
      <c r="K1556">
        <f t="shared" si="98"/>
        <v>4</v>
      </c>
      <c r="L1556" t="s">
        <v>1744</v>
      </c>
      <c r="M1556" t="s">
        <v>3685</v>
      </c>
      <c r="N1556" t="s">
        <v>1</v>
      </c>
      <c r="O1556">
        <v>700056</v>
      </c>
      <c r="P1556" t="s">
        <v>546</v>
      </c>
      <c r="Q1556" t="s">
        <v>1770</v>
      </c>
      <c r="S1556">
        <v>5.28</v>
      </c>
      <c r="T1556">
        <v>3</v>
      </c>
      <c r="U1556">
        <v>0.1</v>
      </c>
      <c r="V1556">
        <v>1.5311999999999999</v>
      </c>
      <c r="W1556">
        <f t="shared" si="99"/>
        <v>1.2496</v>
      </c>
      <c r="X1556">
        <v>2</v>
      </c>
    </row>
    <row r="1557" spans="1:24" x14ac:dyDescent="0.3">
      <c r="A1557">
        <v>1556</v>
      </c>
      <c r="B1557" t="s">
        <v>3310</v>
      </c>
      <c r="C1557" s="6">
        <v>45752</v>
      </c>
      <c r="D1557" t="str">
        <f t="shared" si="96"/>
        <v>Apr</v>
      </c>
      <c r="E1557" t="str">
        <f t="shared" si="97"/>
        <v>2025</v>
      </c>
      <c r="F1557" t="s">
        <v>4</v>
      </c>
      <c r="G1557" t="s">
        <v>499</v>
      </c>
      <c r="H1557" t="s">
        <v>590</v>
      </c>
      <c r="I1557">
        <v>100</v>
      </c>
      <c r="J1557">
        <v>20</v>
      </c>
      <c r="K1557">
        <f t="shared" si="98"/>
        <v>20</v>
      </c>
      <c r="L1557" t="s">
        <v>1740</v>
      </c>
      <c r="M1557" t="s">
        <v>3791</v>
      </c>
      <c r="N1557" t="s">
        <v>1</v>
      </c>
      <c r="O1557">
        <v>501301</v>
      </c>
      <c r="P1557" t="s">
        <v>546</v>
      </c>
      <c r="Q1557" t="s">
        <v>1764</v>
      </c>
      <c r="S1557">
        <v>91.96</v>
      </c>
      <c r="T1557">
        <v>4</v>
      </c>
      <c r="U1557">
        <v>0.1</v>
      </c>
      <c r="V1557">
        <v>39.5428</v>
      </c>
      <c r="W1557">
        <f t="shared" si="99"/>
        <v>13.104299999999999</v>
      </c>
      <c r="X1557">
        <v>3</v>
      </c>
    </row>
    <row r="1558" spans="1:24" x14ac:dyDescent="0.3">
      <c r="A1558">
        <v>1557</v>
      </c>
      <c r="B1558" t="s">
        <v>3311</v>
      </c>
      <c r="C1558" s="6">
        <v>45753</v>
      </c>
      <c r="D1558" t="str">
        <f t="shared" si="96"/>
        <v>Apr</v>
      </c>
      <c r="E1558" t="str">
        <f t="shared" si="97"/>
        <v>2025</v>
      </c>
      <c r="F1558" t="s">
        <v>4</v>
      </c>
      <c r="G1558" t="s">
        <v>500</v>
      </c>
      <c r="H1558" t="s">
        <v>1587</v>
      </c>
      <c r="I1558">
        <v>210</v>
      </c>
      <c r="J1558">
        <v>14</v>
      </c>
      <c r="K1558">
        <f t="shared" si="98"/>
        <v>6.666666666666667</v>
      </c>
      <c r="L1558" t="s">
        <v>1742</v>
      </c>
      <c r="M1558" t="s">
        <v>3647</v>
      </c>
      <c r="N1558" t="s">
        <v>1</v>
      </c>
      <c r="O1558">
        <v>110059</v>
      </c>
      <c r="P1558" t="s">
        <v>546</v>
      </c>
      <c r="Q1558" t="s">
        <v>1763</v>
      </c>
      <c r="R1558" t="s">
        <v>2</v>
      </c>
      <c r="S1558">
        <v>9.3439999999999994</v>
      </c>
      <c r="T1558">
        <v>1</v>
      </c>
      <c r="U1558">
        <v>0.2</v>
      </c>
      <c r="V1558">
        <v>3.504</v>
      </c>
      <c r="W1558">
        <f t="shared" si="99"/>
        <v>5.84</v>
      </c>
      <c r="X1558">
        <v>5</v>
      </c>
    </row>
    <row r="1559" spans="1:24" x14ac:dyDescent="0.3">
      <c r="A1559">
        <v>1558</v>
      </c>
      <c r="B1559" t="s">
        <v>3312</v>
      </c>
      <c r="C1559" s="6">
        <v>45754</v>
      </c>
      <c r="D1559" t="str">
        <f t="shared" si="96"/>
        <v>Apr</v>
      </c>
      <c r="E1559" t="str">
        <f t="shared" si="97"/>
        <v>2025</v>
      </c>
      <c r="F1559" t="s">
        <v>4</v>
      </c>
      <c r="G1559" t="s">
        <v>500</v>
      </c>
      <c r="H1559" t="s">
        <v>1588</v>
      </c>
      <c r="I1559">
        <v>120</v>
      </c>
      <c r="J1559">
        <v>8</v>
      </c>
      <c r="K1559">
        <f t="shared" si="98"/>
        <v>6.666666666666667</v>
      </c>
      <c r="L1559" t="s">
        <v>1739</v>
      </c>
      <c r="M1559" t="s">
        <v>3697</v>
      </c>
      <c r="N1559" t="s">
        <v>1</v>
      </c>
      <c r="O1559">
        <v>400071</v>
      </c>
      <c r="P1559" t="s">
        <v>546</v>
      </c>
      <c r="Q1559" t="s">
        <v>1774</v>
      </c>
      <c r="S1559">
        <v>79.36</v>
      </c>
      <c r="T1559">
        <v>5</v>
      </c>
      <c r="U1559">
        <v>0.2</v>
      </c>
      <c r="V1559">
        <v>9.92</v>
      </c>
      <c r="W1559">
        <f t="shared" si="99"/>
        <v>13.888</v>
      </c>
      <c r="X1559">
        <v>5</v>
      </c>
    </row>
    <row r="1560" spans="1:24" x14ac:dyDescent="0.3">
      <c r="A1560">
        <v>1559</v>
      </c>
      <c r="B1560" t="s">
        <v>3313</v>
      </c>
      <c r="C1560" s="6">
        <v>45755</v>
      </c>
      <c r="D1560" t="str">
        <f t="shared" si="96"/>
        <v>Apr</v>
      </c>
      <c r="E1560" t="str">
        <f t="shared" si="97"/>
        <v>2025</v>
      </c>
      <c r="F1560" t="s">
        <v>3</v>
      </c>
      <c r="G1560" t="s">
        <v>195</v>
      </c>
      <c r="H1560" t="s">
        <v>1524</v>
      </c>
      <c r="I1560">
        <v>110</v>
      </c>
      <c r="J1560">
        <v>24</v>
      </c>
      <c r="K1560">
        <f t="shared" si="98"/>
        <v>21.818181818181817</v>
      </c>
      <c r="L1560" t="s">
        <v>1738</v>
      </c>
      <c r="M1560" t="s">
        <v>3801</v>
      </c>
      <c r="N1560" t="s">
        <v>1</v>
      </c>
      <c r="O1560">
        <v>560049</v>
      </c>
      <c r="P1560" t="s">
        <v>546</v>
      </c>
      <c r="Q1560" t="s">
        <v>1772</v>
      </c>
      <c r="S1560">
        <v>171.96</v>
      </c>
      <c r="T1560">
        <v>2</v>
      </c>
      <c r="U1560">
        <v>0.1</v>
      </c>
      <c r="V1560">
        <v>44.709600000000002</v>
      </c>
      <c r="W1560">
        <f t="shared" si="99"/>
        <v>63.625200000000007</v>
      </c>
      <c r="X1560">
        <v>1</v>
      </c>
    </row>
    <row r="1561" spans="1:24" x14ac:dyDescent="0.3">
      <c r="A1561">
        <v>1560</v>
      </c>
      <c r="B1561" t="s">
        <v>3314</v>
      </c>
      <c r="C1561" s="6">
        <v>45756</v>
      </c>
      <c r="D1561" t="str">
        <f t="shared" si="96"/>
        <v>Apr</v>
      </c>
      <c r="E1561" t="str">
        <f t="shared" si="97"/>
        <v>2025</v>
      </c>
      <c r="F1561" t="s">
        <v>4</v>
      </c>
      <c r="G1561" t="s">
        <v>501</v>
      </c>
      <c r="H1561" t="s">
        <v>1243</v>
      </c>
      <c r="I1561">
        <v>130</v>
      </c>
      <c r="J1561">
        <v>24</v>
      </c>
      <c r="K1561">
        <f t="shared" si="98"/>
        <v>18.461538461538463</v>
      </c>
      <c r="L1561" t="s">
        <v>1737</v>
      </c>
      <c r="M1561" t="s">
        <v>3787</v>
      </c>
      <c r="N1561" t="s">
        <v>1</v>
      </c>
      <c r="O1561">
        <v>600091</v>
      </c>
      <c r="P1561" t="s">
        <v>546</v>
      </c>
      <c r="Q1561" t="s">
        <v>1772</v>
      </c>
      <c r="S1561">
        <v>35.351999999999997</v>
      </c>
      <c r="T1561">
        <v>9</v>
      </c>
      <c r="U1561">
        <v>0.2</v>
      </c>
      <c r="V1561">
        <v>12.815099999999999</v>
      </c>
      <c r="W1561">
        <f t="shared" si="99"/>
        <v>2.5040999999999993</v>
      </c>
      <c r="X1561">
        <v>2</v>
      </c>
    </row>
    <row r="1562" spans="1:24" x14ac:dyDescent="0.3">
      <c r="A1562">
        <v>1561</v>
      </c>
      <c r="B1562" t="s">
        <v>3315</v>
      </c>
      <c r="C1562" s="6">
        <v>45757</v>
      </c>
      <c r="D1562" t="str">
        <f t="shared" si="96"/>
        <v>Apr</v>
      </c>
      <c r="E1562" t="str">
        <f t="shared" si="97"/>
        <v>2025</v>
      </c>
      <c r="F1562" t="s">
        <v>4</v>
      </c>
      <c r="G1562" t="s">
        <v>331</v>
      </c>
      <c r="H1562" t="s">
        <v>1589</v>
      </c>
      <c r="I1562">
        <v>120</v>
      </c>
      <c r="J1562">
        <v>16</v>
      </c>
      <c r="K1562">
        <f t="shared" si="98"/>
        <v>13.333333333333334</v>
      </c>
      <c r="L1562" t="s">
        <v>1743</v>
      </c>
      <c r="M1562" t="s">
        <v>3736</v>
      </c>
      <c r="N1562" t="s">
        <v>1</v>
      </c>
      <c r="O1562">
        <v>141001</v>
      </c>
      <c r="P1562" t="s">
        <v>546</v>
      </c>
      <c r="Q1562" t="s">
        <v>1776</v>
      </c>
      <c r="R1562" t="s">
        <v>2</v>
      </c>
      <c r="S1562">
        <v>18.899999999999999</v>
      </c>
      <c r="T1562">
        <v>6</v>
      </c>
      <c r="U1562">
        <v>0.1</v>
      </c>
      <c r="V1562">
        <v>9.0719999999999992</v>
      </c>
      <c r="W1562">
        <f t="shared" si="99"/>
        <v>1.6379999999999999</v>
      </c>
      <c r="X1562">
        <v>1</v>
      </c>
    </row>
    <row r="1563" spans="1:24" x14ac:dyDescent="0.3">
      <c r="A1563">
        <v>1562</v>
      </c>
      <c r="B1563" t="s">
        <v>3316</v>
      </c>
      <c r="C1563" s="6">
        <v>45758</v>
      </c>
      <c r="D1563" t="str">
        <f t="shared" si="96"/>
        <v>Apr</v>
      </c>
      <c r="E1563" t="str">
        <f t="shared" si="97"/>
        <v>2025</v>
      </c>
      <c r="F1563" t="s">
        <v>5</v>
      </c>
      <c r="G1563" t="s">
        <v>44</v>
      </c>
      <c r="H1563" t="s">
        <v>871</v>
      </c>
      <c r="I1563">
        <v>220</v>
      </c>
      <c r="J1563">
        <v>30</v>
      </c>
      <c r="K1563">
        <f t="shared" si="98"/>
        <v>13.636363636363635</v>
      </c>
      <c r="L1563" t="s">
        <v>1738</v>
      </c>
      <c r="M1563" t="s">
        <v>3804</v>
      </c>
      <c r="N1563" t="s">
        <v>1</v>
      </c>
      <c r="O1563">
        <v>560067</v>
      </c>
      <c r="P1563" t="s">
        <v>546</v>
      </c>
      <c r="Q1563" t="s">
        <v>1775</v>
      </c>
      <c r="S1563">
        <v>2.78</v>
      </c>
      <c r="T1563">
        <v>1</v>
      </c>
      <c r="U1563">
        <v>0.1</v>
      </c>
      <c r="V1563">
        <v>0.7228</v>
      </c>
      <c r="W1563">
        <f t="shared" si="99"/>
        <v>2.0571999999999999</v>
      </c>
      <c r="X1563">
        <v>3</v>
      </c>
    </row>
    <row r="1564" spans="1:24" x14ac:dyDescent="0.3">
      <c r="A1564">
        <v>1563</v>
      </c>
      <c r="B1564" t="s">
        <v>3317</v>
      </c>
      <c r="C1564" s="6">
        <v>45759</v>
      </c>
      <c r="D1564" t="str">
        <f t="shared" si="96"/>
        <v>Apr</v>
      </c>
      <c r="E1564" t="str">
        <f t="shared" si="97"/>
        <v>2025</v>
      </c>
      <c r="F1564" t="s">
        <v>6</v>
      </c>
      <c r="G1564" t="s">
        <v>502</v>
      </c>
      <c r="H1564" t="s">
        <v>550</v>
      </c>
      <c r="I1564">
        <v>180</v>
      </c>
      <c r="J1564">
        <v>6</v>
      </c>
      <c r="K1564">
        <f t="shared" si="98"/>
        <v>3.3333333333333335</v>
      </c>
      <c r="L1564" t="s">
        <v>1739</v>
      </c>
      <c r="M1564" t="s">
        <v>3588</v>
      </c>
      <c r="N1564" t="s">
        <v>1</v>
      </c>
      <c r="O1564">
        <v>327001</v>
      </c>
      <c r="P1564" t="s">
        <v>546</v>
      </c>
      <c r="Q1564" t="s">
        <v>1763</v>
      </c>
      <c r="R1564" t="s">
        <v>2</v>
      </c>
      <c r="S1564">
        <v>1044.6300000000001</v>
      </c>
      <c r="T1564">
        <v>5</v>
      </c>
      <c r="U1564">
        <v>0.4</v>
      </c>
      <c r="V1564">
        <v>-295.9785</v>
      </c>
      <c r="W1564">
        <f t="shared" si="99"/>
        <v>268.12170000000003</v>
      </c>
      <c r="X1564">
        <v>2</v>
      </c>
    </row>
    <row r="1565" spans="1:24" x14ac:dyDescent="0.3">
      <c r="A1565">
        <v>1564</v>
      </c>
      <c r="B1565" t="s">
        <v>3318</v>
      </c>
      <c r="C1565" s="6">
        <v>45760</v>
      </c>
      <c r="D1565" t="str">
        <f t="shared" si="96"/>
        <v>Apr</v>
      </c>
      <c r="E1565" t="str">
        <f t="shared" si="97"/>
        <v>2025</v>
      </c>
      <c r="F1565" t="s">
        <v>6</v>
      </c>
      <c r="G1565" t="s">
        <v>503</v>
      </c>
      <c r="H1565" t="s">
        <v>751</v>
      </c>
      <c r="I1565">
        <v>250</v>
      </c>
      <c r="J1565">
        <v>26</v>
      </c>
      <c r="K1565">
        <f t="shared" si="98"/>
        <v>10.4</v>
      </c>
      <c r="L1565" t="s">
        <v>1741</v>
      </c>
      <c r="M1565" t="s">
        <v>3789</v>
      </c>
      <c r="N1565" t="s">
        <v>1</v>
      </c>
      <c r="O1565">
        <v>322201</v>
      </c>
      <c r="P1565" t="s">
        <v>546</v>
      </c>
      <c r="Q1565" t="s">
        <v>1764</v>
      </c>
      <c r="S1565">
        <v>11.352</v>
      </c>
      <c r="T1565">
        <v>3</v>
      </c>
      <c r="U1565">
        <v>0.2</v>
      </c>
      <c r="V1565">
        <v>4.1151</v>
      </c>
      <c r="W1565">
        <f t="shared" si="99"/>
        <v>2.4123000000000001</v>
      </c>
      <c r="X1565">
        <v>4</v>
      </c>
    </row>
    <row r="1566" spans="1:24" x14ac:dyDescent="0.3">
      <c r="A1566">
        <v>1565</v>
      </c>
      <c r="B1566" t="s">
        <v>3319</v>
      </c>
      <c r="C1566" s="6">
        <v>45761</v>
      </c>
      <c r="D1566" t="str">
        <f t="shared" si="96"/>
        <v>Apr</v>
      </c>
      <c r="E1566" t="str">
        <f t="shared" si="97"/>
        <v>2025</v>
      </c>
      <c r="F1566" t="s">
        <v>6</v>
      </c>
      <c r="G1566" t="s">
        <v>59</v>
      </c>
      <c r="H1566" t="s">
        <v>1590</v>
      </c>
      <c r="I1566">
        <v>230</v>
      </c>
      <c r="J1566">
        <v>30</v>
      </c>
      <c r="K1566">
        <f t="shared" si="98"/>
        <v>13.043478260869565</v>
      </c>
      <c r="L1566" t="s">
        <v>1736</v>
      </c>
      <c r="M1566" t="s">
        <v>3790</v>
      </c>
      <c r="N1566" t="s">
        <v>1</v>
      </c>
      <c r="O1566">
        <v>226010</v>
      </c>
      <c r="P1566" t="s">
        <v>546</v>
      </c>
      <c r="Q1566" t="s">
        <v>1768</v>
      </c>
      <c r="S1566">
        <v>354.9</v>
      </c>
      <c r="T1566">
        <v>5</v>
      </c>
      <c r="U1566">
        <v>0.1</v>
      </c>
      <c r="V1566">
        <v>17.745000000000001</v>
      </c>
      <c r="W1566">
        <f t="shared" si="99"/>
        <v>67.430999999999997</v>
      </c>
      <c r="X1566">
        <v>5</v>
      </c>
    </row>
    <row r="1567" spans="1:24" x14ac:dyDescent="0.3">
      <c r="A1567">
        <v>1566</v>
      </c>
      <c r="B1567" t="s">
        <v>3320</v>
      </c>
      <c r="C1567" s="6">
        <v>45762</v>
      </c>
      <c r="D1567" t="str">
        <f t="shared" si="96"/>
        <v>Apr</v>
      </c>
      <c r="E1567" t="str">
        <f t="shared" si="97"/>
        <v>2025</v>
      </c>
      <c r="F1567" t="s">
        <v>4</v>
      </c>
      <c r="G1567" t="s">
        <v>277</v>
      </c>
      <c r="H1567" t="s">
        <v>1414</v>
      </c>
      <c r="I1567">
        <v>230</v>
      </c>
      <c r="J1567">
        <v>16</v>
      </c>
      <c r="K1567">
        <f t="shared" si="98"/>
        <v>6.9565217391304346</v>
      </c>
      <c r="L1567" t="s">
        <v>1744</v>
      </c>
      <c r="M1567" t="s">
        <v>3798</v>
      </c>
      <c r="N1567" t="s">
        <v>1</v>
      </c>
      <c r="O1567">
        <v>122001</v>
      </c>
      <c r="P1567" t="s">
        <v>546</v>
      </c>
      <c r="Q1567" t="s">
        <v>1756</v>
      </c>
      <c r="R1567" t="s">
        <v>2</v>
      </c>
      <c r="S1567">
        <v>453.57600000000002</v>
      </c>
      <c r="T1567">
        <v>3</v>
      </c>
      <c r="U1567">
        <v>0.2</v>
      </c>
      <c r="V1567">
        <v>39.687899999999999</v>
      </c>
      <c r="W1567">
        <f t="shared" si="99"/>
        <v>137.96270000000001</v>
      </c>
      <c r="X1567">
        <v>3</v>
      </c>
    </row>
    <row r="1568" spans="1:24" x14ac:dyDescent="0.3">
      <c r="A1568">
        <v>1567</v>
      </c>
      <c r="B1568" t="s">
        <v>3321</v>
      </c>
      <c r="C1568" s="6">
        <v>45763</v>
      </c>
      <c r="D1568" t="str">
        <f t="shared" si="96"/>
        <v>Apr</v>
      </c>
      <c r="E1568" t="str">
        <f t="shared" si="97"/>
        <v>2025</v>
      </c>
      <c r="F1568" t="s">
        <v>5</v>
      </c>
      <c r="G1568" t="s">
        <v>504</v>
      </c>
      <c r="H1568" t="s">
        <v>1591</v>
      </c>
      <c r="I1568">
        <v>150</v>
      </c>
      <c r="J1568">
        <v>24</v>
      </c>
      <c r="K1568">
        <f t="shared" si="98"/>
        <v>16</v>
      </c>
      <c r="L1568" t="s">
        <v>1740</v>
      </c>
      <c r="M1568" t="s">
        <v>3834</v>
      </c>
      <c r="N1568" t="s">
        <v>1</v>
      </c>
      <c r="O1568">
        <v>609602</v>
      </c>
      <c r="P1568" t="s">
        <v>546</v>
      </c>
      <c r="Q1568" t="s">
        <v>1754</v>
      </c>
      <c r="R1568" t="s">
        <v>2</v>
      </c>
      <c r="S1568">
        <v>21.48</v>
      </c>
      <c r="T1568">
        <v>3</v>
      </c>
      <c r="U1568">
        <v>0.2</v>
      </c>
      <c r="V1568">
        <v>-0.26850000000000002</v>
      </c>
      <c r="W1568">
        <f t="shared" si="99"/>
        <v>7.2495000000000003</v>
      </c>
      <c r="X1568">
        <v>4</v>
      </c>
    </row>
    <row r="1569" spans="1:24" x14ac:dyDescent="0.3">
      <c r="A1569">
        <v>1568</v>
      </c>
      <c r="B1569" t="s">
        <v>3322</v>
      </c>
      <c r="C1569" s="6">
        <v>45764</v>
      </c>
      <c r="D1569" t="str">
        <f t="shared" si="96"/>
        <v>Apr</v>
      </c>
      <c r="E1569" t="str">
        <f t="shared" si="97"/>
        <v>2025</v>
      </c>
      <c r="F1569" t="s">
        <v>5</v>
      </c>
      <c r="G1569" t="s">
        <v>504</v>
      </c>
      <c r="H1569" t="s">
        <v>1592</v>
      </c>
      <c r="I1569">
        <v>200</v>
      </c>
      <c r="J1569">
        <v>24</v>
      </c>
      <c r="K1569">
        <f t="shared" si="98"/>
        <v>12</v>
      </c>
      <c r="L1569" t="s">
        <v>1742</v>
      </c>
      <c r="M1569" t="s">
        <v>3776</v>
      </c>
      <c r="N1569" t="s">
        <v>1</v>
      </c>
      <c r="O1569">
        <v>758001</v>
      </c>
      <c r="P1569" t="s">
        <v>546</v>
      </c>
      <c r="Q1569" t="s">
        <v>1754</v>
      </c>
      <c r="S1569">
        <v>8.7840000000000007</v>
      </c>
      <c r="T1569">
        <v>4</v>
      </c>
      <c r="U1569">
        <v>0.8</v>
      </c>
      <c r="V1569">
        <v>-13.6152</v>
      </c>
      <c r="W1569">
        <f t="shared" si="99"/>
        <v>5.5998000000000001</v>
      </c>
      <c r="X1569">
        <v>2</v>
      </c>
    </row>
    <row r="1570" spans="1:24" x14ac:dyDescent="0.3">
      <c r="A1570">
        <v>1569</v>
      </c>
      <c r="B1570" t="s">
        <v>3323</v>
      </c>
      <c r="C1570" s="6">
        <v>45765</v>
      </c>
      <c r="D1570" t="str">
        <f t="shared" si="96"/>
        <v>Apr</v>
      </c>
      <c r="E1570" t="str">
        <f t="shared" si="97"/>
        <v>2025</v>
      </c>
      <c r="F1570" t="s">
        <v>6</v>
      </c>
      <c r="G1570" t="s">
        <v>238</v>
      </c>
      <c r="H1570" t="s">
        <v>994</v>
      </c>
      <c r="I1570">
        <v>220</v>
      </c>
      <c r="J1570">
        <v>16</v>
      </c>
      <c r="K1570">
        <f t="shared" si="98"/>
        <v>7.2727272727272725</v>
      </c>
      <c r="L1570" t="s">
        <v>1739</v>
      </c>
      <c r="M1570" t="s">
        <v>3785</v>
      </c>
      <c r="O1570">
        <v>391740</v>
      </c>
      <c r="P1570" t="s">
        <v>546</v>
      </c>
      <c r="Q1570" t="s">
        <v>1754</v>
      </c>
      <c r="S1570">
        <v>122.97</v>
      </c>
      <c r="T1570">
        <v>3</v>
      </c>
      <c r="U1570">
        <v>0.1</v>
      </c>
      <c r="V1570">
        <v>60.255299999999998</v>
      </c>
      <c r="W1570">
        <f t="shared" si="99"/>
        <v>20.904900000000001</v>
      </c>
      <c r="X1570">
        <v>2</v>
      </c>
    </row>
    <row r="1571" spans="1:24" x14ac:dyDescent="0.3">
      <c r="A1571">
        <v>1570</v>
      </c>
      <c r="B1571" t="s">
        <v>3324</v>
      </c>
      <c r="C1571" s="6">
        <v>45766</v>
      </c>
      <c r="D1571" t="str">
        <f t="shared" si="96"/>
        <v>Apr</v>
      </c>
      <c r="E1571" t="str">
        <f t="shared" si="97"/>
        <v>2025</v>
      </c>
      <c r="F1571" t="s">
        <v>4</v>
      </c>
      <c r="G1571" t="s">
        <v>347</v>
      </c>
      <c r="H1571" t="s">
        <v>1593</v>
      </c>
      <c r="I1571">
        <v>180</v>
      </c>
      <c r="J1571">
        <v>18</v>
      </c>
      <c r="K1571">
        <f t="shared" si="98"/>
        <v>10</v>
      </c>
      <c r="L1571" t="s">
        <v>1738</v>
      </c>
      <c r="M1571" t="s">
        <v>3788</v>
      </c>
      <c r="N1571" t="s">
        <v>1</v>
      </c>
      <c r="O1571">
        <v>560103</v>
      </c>
      <c r="P1571" t="s">
        <v>546</v>
      </c>
      <c r="Q1571" t="s">
        <v>1766</v>
      </c>
      <c r="S1571">
        <v>12.84</v>
      </c>
      <c r="T1571">
        <v>3</v>
      </c>
      <c r="U1571">
        <v>0.1</v>
      </c>
      <c r="V1571">
        <v>3.7235999999999998</v>
      </c>
      <c r="W1571">
        <f t="shared" si="99"/>
        <v>3.0388000000000002</v>
      </c>
      <c r="X1571">
        <v>2</v>
      </c>
    </row>
    <row r="1572" spans="1:24" x14ac:dyDescent="0.3">
      <c r="A1572">
        <v>1571</v>
      </c>
      <c r="B1572" t="s">
        <v>3325</v>
      </c>
      <c r="C1572" s="6">
        <v>45767</v>
      </c>
      <c r="D1572" t="str">
        <f t="shared" si="96"/>
        <v>Apr</v>
      </c>
      <c r="E1572" t="str">
        <f t="shared" si="97"/>
        <v>2025</v>
      </c>
      <c r="F1572" t="s">
        <v>5</v>
      </c>
      <c r="G1572" t="s">
        <v>190</v>
      </c>
      <c r="H1572" t="s">
        <v>630</v>
      </c>
      <c r="I1572">
        <v>130</v>
      </c>
      <c r="J1572">
        <v>8</v>
      </c>
      <c r="K1572">
        <f t="shared" si="98"/>
        <v>6.1538461538461542</v>
      </c>
      <c r="L1572" t="s">
        <v>1737</v>
      </c>
      <c r="M1572" t="s">
        <v>3768</v>
      </c>
      <c r="N1572" t="s">
        <v>1</v>
      </c>
      <c r="O1572">
        <v>630211</v>
      </c>
      <c r="P1572" t="s">
        <v>546</v>
      </c>
      <c r="Q1572" t="s">
        <v>1754</v>
      </c>
      <c r="R1572" t="s">
        <v>2</v>
      </c>
      <c r="S1572">
        <v>603.91999999999996</v>
      </c>
      <c r="T1572">
        <v>5</v>
      </c>
      <c r="U1572">
        <v>0.2</v>
      </c>
      <c r="V1572">
        <v>-67.941000000000003</v>
      </c>
      <c r="W1572">
        <f t="shared" si="99"/>
        <v>134.37219999999999</v>
      </c>
      <c r="X1572">
        <v>1</v>
      </c>
    </row>
    <row r="1573" spans="1:24" x14ac:dyDescent="0.3">
      <c r="A1573">
        <v>1572</v>
      </c>
      <c r="B1573" t="s">
        <v>3326</v>
      </c>
      <c r="C1573" s="6">
        <v>45768</v>
      </c>
      <c r="D1573" t="str">
        <f t="shared" si="96"/>
        <v>Apr</v>
      </c>
      <c r="E1573" t="str">
        <f t="shared" si="97"/>
        <v>2025</v>
      </c>
      <c r="F1573" t="s">
        <v>5</v>
      </c>
      <c r="G1573" t="s">
        <v>190</v>
      </c>
      <c r="H1573" t="s">
        <v>1594</v>
      </c>
      <c r="I1573">
        <v>220</v>
      </c>
      <c r="J1573">
        <v>24</v>
      </c>
      <c r="K1573">
        <f t="shared" si="98"/>
        <v>10.909090909090908</v>
      </c>
      <c r="L1573" t="s">
        <v>1743</v>
      </c>
      <c r="M1573" t="s">
        <v>3769</v>
      </c>
      <c r="N1573" t="s">
        <v>1</v>
      </c>
      <c r="O1573">
        <v>630211</v>
      </c>
      <c r="P1573" t="s">
        <v>546</v>
      </c>
      <c r="Q1573" t="s">
        <v>1766</v>
      </c>
      <c r="R1573" t="s">
        <v>2</v>
      </c>
      <c r="S1573">
        <v>21.84</v>
      </c>
      <c r="T1573">
        <v>3</v>
      </c>
      <c r="U1573">
        <v>0.1</v>
      </c>
      <c r="V1573">
        <v>10.4832</v>
      </c>
      <c r="W1573">
        <f t="shared" si="99"/>
        <v>3.7856000000000001</v>
      </c>
      <c r="X1573">
        <v>5</v>
      </c>
    </row>
    <row r="1574" spans="1:24" x14ac:dyDescent="0.3">
      <c r="A1574">
        <v>1573</v>
      </c>
      <c r="B1574" t="s">
        <v>3327</v>
      </c>
      <c r="C1574" s="6">
        <v>45769</v>
      </c>
      <c r="D1574" t="str">
        <f t="shared" si="96"/>
        <v>Apr</v>
      </c>
      <c r="E1574" t="str">
        <f t="shared" si="97"/>
        <v>2025</v>
      </c>
      <c r="F1574" t="s">
        <v>5</v>
      </c>
      <c r="G1574" t="s">
        <v>190</v>
      </c>
      <c r="H1574" t="s">
        <v>1595</v>
      </c>
      <c r="I1574">
        <v>130</v>
      </c>
      <c r="J1574">
        <v>30</v>
      </c>
      <c r="K1574">
        <f t="shared" si="98"/>
        <v>23.076923076923077</v>
      </c>
      <c r="L1574" t="s">
        <v>1738</v>
      </c>
      <c r="M1574" t="s">
        <v>3770</v>
      </c>
      <c r="N1574" t="s">
        <v>1</v>
      </c>
      <c r="O1574">
        <v>226002</v>
      </c>
      <c r="P1574" t="s">
        <v>546</v>
      </c>
      <c r="Q1574" t="s">
        <v>1760</v>
      </c>
      <c r="S1574">
        <v>29.99</v>
      </c>
      <c r="T1574">
        <v>1</v>
      </c>
      <c r="U1574">
        <v>0.1</v>
      </c>
      <c r="V1574">
        <v>6.2979000000000003</v>
      </c>
      <c r="W1574">
        <f t="shared" si="99"/>
        <v>23.692099999999996</v>
      </c>
      <c r="X1574">
        <v>5</v>
      </c>
    </row>
    <row r="1575" spans="1:24" x14ac:dyDescent="0.3">
      <c r="A1575">
        <v>1574</v>
      </c>
      <c r="B1575" t="s">
        <v>3328</v>
      </c>
      <c r="C1575" s="6">
        <v>45770</v>
      </c>
      <c r="D1575" t="str">
        <f t="shared" si="96"/>
        <v>Apr</v>
      </c>
      <c r="E1575" t="str">
        <f t="shared" si="97"/>
        <v>2025</v>
      </c>
      <c r="F1575" t="s">
        <v>5</v>
      </c>
      <c r="G1575" t="s">
        <v>190</v>
      </c>
      <c r="H1575" t="s">
        <v>1014</v>
      </c>
      <c r="I1575">
        <v>210</v>
      </c>
      <c r="J1575">
        <v>12</v>
      </c>
      <c r="K1575">
        <f t="shared" si="98"/>
        <v>5.7142857142857144</v>
      </c>
      <c r="L1575" t="s">
        <v>1739</v>
      </c>
      <c r="M1575" t="s">
        <v>3771</v>
      </c>
      <c r="N1575" t="s">
        <v>1</v>
      </c>
      <c r="O1575">
        <v>682021</v>
      </c>
      <c r="P1575" t="s">
        <v>546</v>
      </c>
      <c r="Q1575" t="s">
        <v>1760</v>
      </c>
      <c r="S1575">
        <v>381.44</v>
      </c>
      <c r="T1575">
        <v>2</v>
      </c>
      <c r="U1575">
        <v>0.2</v>
      </c>
      <c r="V1575">
        <v>23.84</v>
      </c>
      <c r="W1575">
        <f t="shared" si="99"/>
        <v>178.8</v>
      </c>
      <c r="X1575">
        <v>4</v>
      </c>
    </row>
    <row r="1576" spans="1:24" x14ac:dyDescent="0.3">
      <c r="A1576">
        <v>1575</v>
      </c>
      <c r="B1576" t="s">
        <v>3329</v>
      </c>
      <c r="C1576" s="6">
        <v>45771</v>
      </c>
      <c r="D1576" t="str">
        <f t="shared" si="96"/>
        <v>Apr</v>
      </c>
      <c r="E1576" t="str">
        <f t="shared" si="97"/>
        <v>2025</v>
      </c>
      <c r="F1576" t="s">
        <v>5</v>
      </c>
      <c r="G1576" t="s">
        <v>505</v>
      </c>
      <c r="H1576" t="s">
        <v>1596</v>
      </c>
      <c r="I1576">
        <v>120</v>
      </c>
      <c r="J1576">
        <v>16</v>
      </c>
      <c r="K1576">
        <f t="shared" si="98"/>
        <v>13.333333333333334</v>
      </c>
      <c r="L1576" t="s">
        <v>1741</v>
      </c>
      <c r="M1576" t="s">
        <v>3796</v>
      </c>
      <c r="N1576" t="s">
        <v>1</v>
      </c>
      <c r="O1576">
        <v>800001</v>
      </c>
      <c r="P1576" t="s">
        <v>546</v>
      </c>
      <c r="Q1576" t="s">
        <v>1774</v>
      </c>
      <c r="S1576">
        <v>40.68</v>
      </c>
      <c r="T1576">
        <v>3</v>
      </c>
      <c r="U1576">
        <v>0.2</v>
      </c>
      <c r="V1576">
        <v>-9.1530000000000005</v>
      </c>
      <c r="W1576">
        <f t="shared" si="99"/>
        <v>16.611000000000001</v>
      </c>
      <c r="X1576">
        <v>4</v>
      </c>
    </row>
    <row r="1577" spans="1:24" x14ac:dyDescent="0.3">
      <c r="A1577">
        <v>1576</v>
      </c>
      <c r="B1577" t="s">
        <v>3330</v>
      </c>
      <c r="C1577" s="6">
        <v>45772</v>
      </c>
      <c r="D1577" t="str">
        <f t="shared" si="96"/>
        <v>Apr</v>
      </c>
      <c r="E1577" t="str">
        <f t="shared" si="97"/>
        <v>2025</v>
      </c>
      <c r="F1577" t="s">
        <v>5</v>
      </c>
      <c r="G1577" t="s">
        <v>505</v>
      </c>
      <c r="H1577" t="s">
        <v>1182</v>
      </c>
      <c r="I1577">
        <v>100</v>
      </c>
      <c r="J1577">
        <v>10</v>
      </c>
      <c r="K1577">
        <f t="shared" si="98"/>
        <v>10</v>
      </c>
      <c r="L1577" t="s">
        <v>1736</v>
      </c>
      <c r="M1577" t="s">
        <v>3773</v>
      </c>
      <c r="N1577" t="s">
        <v>1</v>
      </c>
      <c r="O1577">
        <v>421601</v>
      </c>
      <c r="P1577" t="s">
        <v>546</v>
      </c>
      <c r="Q1577" t="s">
        <v>1758</v>
      </c>
      <c r="S1577">
        <v>763.28</v>
      </c>
      <c r="T1577">
        <v>5</v>
      </c>
      <c r="U1577">
        <v>0.3</v>
      </c>
      <c r="V1577">
        <v>-21.808</v>
      </c>
      <c r="W1577">
        <f t="shared" si="99"/>
        <v>157.01759999999999</v>
      </c>
      <c r="X1577">
        <v>3</v>
      </c>
    </row>
    <row r="1578" spans="1:24" x14ac:dyDescent="0.3">
      <c r="A1578">
        <v>1577</v>
      </c>
      <c r="B1578" t="s">
        <v>3331</v>
      </c>
      <c r="C1578" s="6">
        <v>45773</v>
      </c>
      <c r="D1578" t="str">
        <f t="shared" si="96"/>
        <v>Apr</v>
      </c>
      <c r="E1578" t="str">
        <f t="shared" si="97"/>
        <v>2025</v>
      </c>
      <c r="F1578" t="s">
        <v>4</v>
      </c>
      <c r="G1578" t="s">
        <v>506</v>
      </c>
      <c r="H1578" t="s">
        <v>875</v>
      </c>
      <c r="I1578">
        <v>190</v>
      </c>
      <c r="J1578">
        <v>18</v>
      </c>
      <c r="K1578">
        <f t="shared" si="98"/>
        <v>9.4736842105263168</v>
      </c>
      <c r="L1578" t="s">
        <v>1744</v>
      </c>
      <c r="M1578" t="s">
        <v>3774</v>
      </c>
      <c r="N1578" t="s">
        <v>1</v>
      </c>
      <c r="O1578">
        <v>122101</v>
      </c>
      <c r="P1578" t="s">
        <v>546</v>
      </c>
      <c r="Q1578" t="s">
        <v>1759</v>
      </c>
      <c r="S1578">
        <v>23.952000000000002</v>
      </c>
      <c r="T1578">
        <v>2</v>
      </c>
      <c r="U1578">
        <v>0.2</v>
      </c>
      <c r="V1578">
        <v>2.3952</v>
      </c>
      <c r="W1578">
        <f t="shared" si="99"/>
        <v>10.778400000000001</v>
      </c>
      <c r="X1578">
        <v>2</v>
      </c>
    </row>
    <row r="1579" spans="1:24" x14ac:dyDescent="0.3">
      <c r="A1579">
        <v>1578</v>
      </c>
      <c r="B1579" t="s">
        <v>3332</v>
      </c>
      <c r="C1579" s="6">
        <v>45774</v>
      </c>
      <c r="D1579" t="str">
        <f t="shared" si="96"/>
        <v>Apr</v>
      </c>
      <c r="E1579" t="str">
        <f t="shared" si="97"/>
        <v>2025</v>
      </c>
      <c r="F1579" t="s">
        <v>4</v>
      </c>
      <c r="G1579" t="s">
        <v>406</v>
      </c>
      <c r="H1579" t="s">
        <v>1597</v>
      </c>
      <c r="I1579">
        <v>160</v>
      </c>
      <c r="J1579">
        <v>6</v>
      </c>
      <c r="K1579">
        <f t="shared" si="98"/>
        <v>3.75</v>
      </c>
      <c r="L1579" t="s">
        <v>1740</v>
      </c>
      <c r="M1579" t="s">
        <v>3775</v>
      </c>
      <c r="N1579" t="s">
        <v>1</v>
      </c>
      <c r="O1579">
        <v>302017</v>
      </c>
      <c r="P1579" t="s">
        <v>546</v>
      </c>
      <c r="Q1579" t="s">
        <v>1759</v>
      </c>
      <c r="S1579">
        <v>4.9800000000000004</v>
      </c>
      <c r="T1579">
        <v>1</v>
      </c>
      <c r="U1579">
        <v>0.1</v>
      </c>
      <c r="V1579">
        <v>2.4401999999999999</v>
      </c>
      <c r="W1579">
        <f t="shared" si="99"/>
        <v>2.5398000000000005</v>
      </c>
      <c r="X1579">
        <v>2</v>
      </c>
    </row>
    <row r="1580" spans="1:24" x14ac:dyDescent="0.3">
      <c r="A1580">
        <v>1579</v>
      </c>
      <c r="B1580" t="s">
        <v>3333</v>
      </c>
      <c r="C1580" s="6">
        <v>45775</v>
      </c>
      <c r="D1580" t="str">
        <f t="shared" si="96"/>
        <v>Apr</v>
      </c>
      <c r="E1580" t="str">
        <f t="shared" si="97"/>
        <v>2025</v>
      </c>
      <c r="F1580" t="s">
        <v>5</v>
      </c>
      <c r="G1580" t="s">
        <v>304</v>
      </c>
      <c r="H1580" t="s">
        <v>1598</v>
      </c>
      <c r="I1580">
        <v>170</v>
      </c>
      <c r="J1580">
        <v>24</v>
      </c>
      <c r="K1580">
        <f t="shared" si="98"/>
        <v>14.117647058823529</v>
      </c>
      <c r="L1580" t="s">
        <v>1742</v>
      </c>
      <c r="M1580" t="s">
        <v>3765</v>
      </c>
      <c r="N1580" t="s">
        <v>1</v>
      </c>
      <c r="O1580">
        <v>271801</v>
      </c>
      <c r="P1580" t="s">
        <v>546</v>
      </c>
      <c r="Q1580" t="s">
        <v>1776</v>
      </c>
      <c r="S1580">
        <v>170.88</v>
      </c>
      <c r="T1580">
        <v>3</v>
      </c>
      <c r="U1580">
        <v>0.1</v>
      </c>
      <c r="V1580">
        <v>49.555199999999999</v>
      </c>
      <c r="W1580">
        <f t="shared" si="99"/>
        <v>40.441600000000001</v>
      </c>
      <c r="X1580">
        <v>5</v>
      </c>
    </row>
    <row r="1581" spans="1:24" x14ac:dyDescent="0.3">
      <c r="A1581">
        <v>1580</v>
      </c>
      <c r="B1581" t="s">
        <v>3334</v>
      </c>
      <c r="C1581" s="6">
        <v>45776</v>
      </c>
      <c r="D1581" t="str">
        <f t="shared" si="96"/>
        <v>Apr</v>
      </c>
      <c r="E1581" t="str">
        <f t="shared" si="97"/>
        <v>2025</v>
      </c>
      <c r="F1581" t="s">
        <v>5</v>
      </c>
      <c r="G1581" t="s">
        <v>275</v>
      </c>
      <c r="H1581" t="s">
        <v>895</v>
      </c>
      <c r="I1581">
        <v>210</v>
      </c>
      <c r="J1581">
        <v>26</v>
      </c>
      <c r="K1581">
        <f t="shared" si="98"/>
        <v>12.380952380952381</v>
      </c>
      <c r="L1581" t="s">
        <v>1739</v>
      </c>
      <c r="M1581" t="s">
        <v>3777</v>
      </c>
      <c r="N1581" t="s">
        <v>1</v>
      </c>
      <c r="O1581">
        <v>201012</v>
      </c>
      <c r="P1581" t="s">
        <v>546</v>
      </c>
      <c r="Q1581" t="s">
        <v>1755</v>
      </c>
      <c r="S1581">
        <v>307.98</v>
      </c>
      <c r="T1581">
        <v>2</v>
      </c>
      <c r="U1581">
        <v>0.1</v>
      </c>
      <c r="V1581">
        <v>89.3142</v>
      </c>
      <c r="W1581">
        <f t="shared" si="99"/>
        <v>109.33290000000001</v>
      </c>
      <c r="X1581">
        <v>2</v>
      </c>
    </row>
    <row r="1582" spans="1:24" x14ac:dyDescent="0.3">
      <c r="A1582">
        <v>1581</v>
      </c>
      <c r="B1582" t="s">
        <v>3335</v>
      </c>
      <c r="C1582" s="6">
        <v>45777</v>
      </c>
      <c r="D1582" t="str">
        <f t="shared" si="96"/>
        <v>Apr</v>
      </c>
      <c r="E1582" t="str">
        <f t="shared" si="97"/>
        <v>2025</v>
      </c>
      <c r="F1582" t="s">
        <v>5</v>
      </c>
      <c r="G1582" t="s">
        <v>275</v>
      </c>
      <c r="H1582" t="s">
        <v>770</v>
      </c>
      <c r="I1582">
        <v>220</v>
      </c>
      <c r="J1582">
        <v>16</v>
      </c>
      <c r="K1582">
        <f t="shared" si="98"/>
        <v>7.2727272727272725</v>
      </c>
      <c r="L1582" t="s">
        <v>1738</v>
      </c>
      <c r="M1582" t="s">
        <v>3750</v>
      </c>
      <c r="O1582">
        <v>560067</v>
      </c>
      <c r="P1582" t="s">
        <v>546</v>
      </c>
      <c r="Q1582" t="s">
        <v>1759</v>
      </c>
      <c r="S1582">
        <v>382.80599999999998</v>
      </c>
      <c r="T1582">
        <v>9</v>
      </c>
      <c r="U1582">
        <v>0.4</v>
      </c>
      <c r="V1582">
        <v>-153.1224</v>
      </c>
      <c r="W1582">
        <f t="shared" si="99"/>
        <v>59.547600000000003</v>
      </c>
      <c r="X1582">
        <v>4</v>
      </c>
    </row>
    <row r="1583" spans="1:24" x14ac:dyDescent="0.3">
      <c r="A1583">
        <v>1582</v>
      </c>
      <c r="B1583" t="s">
        <v>3336</v>
      </c>
      <c r="C1583" s="6">
        <v>45778</v>
      </c>
      <c r="D1583" t="str">
        <f t="shared" si="96"/>
        <v>May</v>
      </c>
      <c r="E1583" t="str">
        <f t="shared" si="97"/>
        <v>2025</v>
      </c>
      <c r="F1583" t="s">
        <v>5</v>
      </c>
      <c r="G1583" t="s">
        <v>275</v>
      </c>
      <c r="H1583" t="s">
        <v>740</v>
      </c>
      <c r="I1583">
        <v>130</v>
      </c>
      <c r="J1583">
        <v>12</v>
      </c>
      <c r="K1583">
        <f t="shared" si="98"/>
        <v>9.2307692307692317</v>
      </c>
      <c r="L1583" t="s">
        <v>1737</v>
      </c>
      <c r="M1583" t="s">
        <v>3835</v>
      </c>
      <c r="N1583" t="s">
        <v>1</v>
      </c>
      <c r="O1583">
        <v>173211</v>
      </c>
      <c r="P1583" t="s">
        <v>546</v>
      </c>
      <c r="Q1583" t="s">
        <v>1758</v>
      </c>
      <c r="S1583">
        <v>41.96</v>
      </c>
      <c r="T1583">
        <v>2</v>
      </c>
      <c r="U1583">
        <v>0.1</v>
      </c>
      <c r="V1583">
        <v>2.9371999999999998</v>
      </c>
      <c r="W1583">
        <f t="shared" si="99"/>
        <v>19.511400000000002</v>
      </c>
      <c r="X1583">
        <v>2</v>
      </c>
    </row>
    <row r="1584" spans="1:24" x14ac:dyDescent="0.3">
      <c r="A1584">
        <v>1583</v>
      </c>
      <c r="B1584" t="s">
        <v>3337</v>
      </c>
      <c r="C1584" s="6">
        <v>45779</v>
      </c>
      <c r="D1584" t="str">
        <f t="shared" si="96"/>
        <v>May</v>
      </c>
      <c r="E1584" t="str">
        <f t="shared" si="97"/>
        <v>2025</v>
      </c>
      <c r="F1584" t="s">
        <v>5</v>
      </c>
      <c r="G1584" t="s">
        <v>275</v>
      </c>
      <c r="H1584" t="s">
        <v>1239</v>
      </c>
      <c r="I1584">
        <v>160</v>
      </c>
      <c r="J1584">
        <v>26</v>
      </c>
      <c r="K1584">
        <f t="shared" si="98"/>
        <v>16.25</v>
      </c>
      <c r="L1584" t="s">
        <v>1743</v>
      </c>
      <c r="M1584" t="s">
        <v>3836</v>
      </c>
      <c r="N1584" t="s">
        <v>1</v>
      </c>
      <c r="O1584">
        <v>500020</v>
      </c>
      <c r="P1584" t="s">
        <v>546</v>
      </c>
      <c r="Q1584" t="s">
        <v>1769</v>
      </c>
      <c r="S1584">
        <v>1217.568</v>
      </c>
      <c r="T1584">
        <v>2</v>
      </c>
      <c r="U1584">
        <v>0.2</v>
      </c>
      <c r="V1584">
        <v>456.58800000000002</v>
      </c>
      <c r="W1584">
        <f t="shared" si="99"/>
        <v>380.49</v>
      </c>
      <c r="X1584">
        <v>5</v>
      </c>
    </row>
    <row r="1585" spans="1:24" x14ac:dyDescent="0.3">
      <c r="A1585">
        <v>1584</v>
      </c>
      <c r="B1585" t="s">
        <v>3338</v>
      </c>
      <c r="C1585" s="6">
        <v>45780</v>
      </c>
      <c r="D1585" t="str">
        <f t="shared" si="96"/>
        <v>May</v>
      </c>
      <c r="E1585" t="str">
        <f t="shared" si="97"/>
        <v>2025</v>
      </c>
      <c r="F1585" t="s">
        <v>5</v>
      </c>
      <c r="G1585" t="s">
        <v>275</v>
      </c>
      <c r="H1585" t="s">
        <v>663</v>
      </c>
      <c r="I1585">
        <v>200</v>
      </c>
      <c r="J1585">
        <v>8</v>
      </c>
      <c r="K1585">
        <f t="shared" si="98"/>
        <v>4</v>
      </c>
      <c r="L1585" t="s">
        <v>1738</v>
      </c>
      <c r="M1585" t="s">
        <v>3795</v>
      </c>
      <c r="N1585" t="s">
        <v>1</v>
      </c>
      <c r="O1585">
        <v>306401</v>
      </c>
      <c r="P1585" t="s">
        <v>546</v>
      </c>
      <c r="Q1585" t="s">
        <v>1761</v>
      </c>
      <c r="S1585">
        <v>47.04</v>
      </c>
      <c r="T1585">
        <v>3</v>
      </c>
      <c r="U1585">
        <v>0.1</v>
      </c>
      <c r="V1585">
        <v>18.345600000000001</v>
      </c>
      <c r="W1585">
        <f t="shared" si="99"/>
        <v>9.5648</v>
      </c>
      <c r="X1585">
        <v>1</v>
      </c>
    </row>
    <row r="1586" spans="1:24" x14ac:dyDescent="0.3">
      <c r="A1586">
        <v>1585</v>
      </c>
      <c r="B1586" t="s">
        <v>3339</v>
      </c>
      <c r="C1586" s="6">
        <v>45781</v>
      </c>
      <c r="D1586" t="str">
        <f t="shared" si="96"/>
        <v>May</v>
      </c>
      <c r="E1586" t="str">
        <f t="shared" si="97"/>
        <v>2025</v>
      </c>
      <c r="F1586" t="s">
        <v>5</v>
      </c>
      <c r="G1586" t="s">
        <v>275</v>
      </c>
      <c r="H1586" t="s">
        <v>597</v>
      </c>
      <c r="I1586">
        <v>110</v>
      </c>
      <c r="J1586">
        <v>30</v>
      </c>
      <c r="K1586">
        <f t="shared" si="98"/>
        <v>27.27272727272727</v>
      </c>
      <c r="L1586" t="s">
        <v>1739</v>
      </c>
      <c r="M1586" t="s">
        <v>3751</v>
      </c>
      <c r="N1586" t="s">
        <v>1</v>
      </c>
      <c r="O1586">
        <v>800001</v>
      </c>
      <c r="P1586" t="s">
        <v>546</v>
      </c>
      <c r="Q1586" t="s">
        <v>1759</v>
      </c>
      <c r="S1586">
        <v>6.16</v>
      </c>
      <c r="T1586">
        <v>2</v>
      </c>
      <c r="U1586">
        <v>0.1</v>
      </c>
      <c r="V1586">
        <v>2.9567999999999999</v>
      </c>
      <c r="W1586">
        <f t="shared" si="99"/>
        <v>1.6016000000000001</v>
      </c>
      <c r="X1586">
        <v>2</v>
      </c>
    </row>
    <row r="1587" spans="1:24" x14ac:dyDescent="0.3">
      <c r="A1587">
        <v>1586</v>
      </c>
      <c r="B1587" t="s">
        <v>3340</v>
      </c>
      <c r="C1587" s="6">
        <v>45782</v>
      </c>
      <c r="D1587" t="str">
        <f t="shared" si="96"/>
        <v>May</v>
      </c>
      <c r="E1587" t="str">
        <f t="shared" si="97"/>
        <v>2025</v>
      </c>
      <c r="F1587" t="s">
        <v>5</v>
      </c>
      <c r="G1587" t="s">
        <v>275</v>
      </c>
      <c r="H1587" t="s">
        <v>1016</v>
      </c>
      <c r="I1587">
        <v>210</v>
      </c>
      <c r="J1587">
        <v>30</v>
      </c>
      <c r="K1587">
        <f t="shared" si="98"/>
        <v>14.285714285714285</v>
      </c>
      <c r="L1587" t="s">
        <v>1741</v>
      </c>
      <c r="M1587" t="s">
        <v>3752</v>
      </c>
      <c r="N1587" t="s">
        <v>1</v>
      </c>
      <c r="O1587">
        <v>534239</v>
      </c>
      <c r="P1587" t="s">
        <v>546</v>
      </c>
      <c r="Q1587" t="s">
        <v>1756</v>
      </c>
      <c r="S1587">
        <v>979.95</v>
      </c>
      <c r="T1587">
        <v>5</v>
      </c>
      <c r="U1587">
        <v>0.1</v>
      </c>
      <c r="V1587">
        <v>274.38600000000002</v>
      </c>
      <c r="W1587">
        <f t="shared" si="99"/>
        <v>141.11280000000002</v>
      </c>
      <c r="X1587">
        <v>3</v>
      </c>
    </row>
    <row r="1588" spans="1:24" x14ac:dyDescent="0.3">
      <c r="A1588">
        <v>1587</v>
      </c>
      <c r="B1588" t="s">
        <v>2995</v>
      </c>
      <c r="C1588" s="6">
        <v>45783</v>
      </c>
      <c r="D1588" t="str">
        <f t="shared" si="96"/>
        <v>May</v>
      </c>
      <c r="E1588" t="str">
        <f t="shared" si="97"/>
        <v>2025</v>
      </c>
      <c r="F1588" t="s">
        <v>5</v>
      </c>
      <c r="G1588" t="s">
        <v>275</v>
      </c>
      <c r="H1588" t="s">
        <v>1599</v>
      </c>
      <c r="I1588">
        <v>160</v>
      </c>
      <c r="J1588">
        <v>6</v>
      </c>
      <c r="K1588">
        <f t="shared" si="98"/>
        <v>3.75</v>
      </c>
      <c r="L1588" t="s">
        <v>1736</v>
      </c>
      <c r="M1588" t="s">
        <v>3753</v>
      </c>
      <c r="N1588" t="s">
        <v>1</v>
      </c>
      <c r="O1588">
        <v>411026</v>
      </c>
      <c r="P1588" t="s">
        <v>546</v>
      </c>
      <c r="Q1588" t="s">
        <v>1770</v>
      </c>
      <c r="S1588">
        <v>143.69999999999999</v>
      </c>
      <c r="T1588">
        <v>3</v>
      </c>
      <c r="U1588">
        <v>0.1</v>
      </c>
      <c r="V1588">
        <v>68.975999999999999</v>
      </c>
      <c r="W1588">
        <f t="shared" si="99"/>
        <v>24.907999999999998</v>
      </c>
      <c r="X1588">
        <v>5</v>
      </c>
    </row>
    <row r="1589" spans="1:24" x14ac:dyDescent="0.3">
      <c r="A1589">
        <v>1588</v>
      </c>
      <c r="B1589" t="s">
        <v>3341</v>
      </c>
      <c r="C1589" s="6">
        <v>45784</v>
      </c>
      <c r="D1589" t="str">
        <f t="shared" si="96"/>
        <v>May</v>
      </c>
      <c r="E1589" t="str">
        <f t="shared" si="97"/>
        <v>2025</v>
      </c>
      <c r="F1589" t="s">
        <v>5</v>
      </c>
      <c r="G1589" t="s">
        <v>275</v>
      </c>
      <c r="H1589" t="s">
        <v>1600</v>
      </c>
      <c r="I1589">
        <v>110</v>
      </c>
      <c r="J1589">
        <v>24</v>
      </c>
      <c r="K1589">
        <f t="shared" si="98"/>
        <v>21.818181818181817</v>
      </c>
      <c r="L1589" t="s">
        <v>1744</v>
      </c>
      <c r="M1589" t="s">
        <v>3754</v>
      </c>
      <c r="N1589" t="s">
        <v>1</v>
      </c>
      <c r="O1589">
        <v>226020</v>
      </c>
      <c r="P1589" t="s">
        <v>546</v>
      </c>
      <c r="Q1589" t="s">
        <v>1761</v>
      </c>
      <c r="S1589">
        <v>10.65</v>
      </c>
      <c r="T1589">
        <v>3</v>
      </c>
      <c r="U1589">
        <v>0.1</v>
      </c>
      <c r="V1589">
        <v>5.0054999999999996</v>
      </c>
      <c r="W1589">
        <f t="shared" si="99"/>
        <v>1.8815000000000002</v>
      </c>
      <c r="X1589">
        <v>5</v>
      </c>
    </row>
    <row r="1590" spans="1:24" x14ac:dyDescent="0.3">
      <c r="A1590">
        <v>1589</v>
      </c>
      <c r="B1590" t="s">
        <v>3342</v>
      </c>
      <c r="C1590" s="6">
        <v>45785</v>
      </c>
      <c r="D1590" t="str">
        <f t="shared" si="96"/>
        <v>May</v>
      </c>
      <c r="E1590" t="str">
        <f t="shared" si="97"/>
        <v>2025</v>
      </c>
      <c r="F1590" t="s">
        <v>5</v>
      </c>
      <c r="G1590" t="s">
        <v>275</v>
      </c>
      <c r="H1590" t="s">
        <v>933</v>
      </c>
      <c r="I1590">
        <v>250</v>
      </c>
      <c r="J1590">
        <v>30</v>
      </c>
      <c r="K1590">
        <f t="shared" si="98"/>
        <v>12</v>
      </c>
      <c r="L1590" t="s">
        <v>1740</v>
      </c>
      <c r="M1590" t="s">
        <v>3755</v>
      </c>
      <c r="N1590" t="s">
        <v>1</v>
      </c>
      <c r="O1590">
        <v>400053</v>
      </c>
      <c r="P1590" t="s">
        <v>546</v>
      </c>
      <c r="Q1590" t="s">
        <v>1767</v>
      </c>
      <c r="S1590">
        <v>247.8</v>
      </c>
      <c r="T1590">
        <v>4</v>
      </c>
      <c r="U1590">
        <v>0.1</v>
      </c>
      <c r="V1590">
        <v>34.692</v>
      </c>
      <c r="W1590">
        <f t="shared" si="99"/>
        <v>53.277000000000001</v>
      </c>
      <c r="X1590">
        <v>1</v>
      </c>
    </row>
    <row r="1591" spans="1:24" x14ac:dyDescent="0.3">
      <c r="A1591">
        <v>1590</v>
      </c>
      <c r="B1591" t="s">
        <v>3343</v>
      </c>
      <c r="C1591" s="6">
        <v>45786</v>
      </c>
      <c r="D1591" t="str">
        <f t="shared" si="96"/>
        <v>May</v>
      </c>
      <c r="E1591" t="str">
        <f t="shared" si="97"/>
        <v>2025</v>
      </c>
      <c r="F1591" t="s">
        <v>4</v>
      </c>
      <c r="G1591" t="s">
        <v>507</v>
      </c>
      <c r="H1591" t="s">
        <v>995</v>
      </c>
      <c r="I1591">
        <v>160</v>
      </c>
      <c r="J1591">
        <v>28</v>
      </c>
      <c r="K1591">
        <f t="shared" si="98"/>
        <v>17.5</v>
      </c>
      <c r="L1591" t="s">
        <v>1742</v>
      </c>
      <c r="M1591" t="s">
        <v>3756</v>
      </c>
      <c r="N1591" t="s">
        <v>1</v>
      </c>
      <c r="O1591">
        <v>180001</v>
      </c>
      <c r="P1591" t="s">
        <v>546</v>
      </c>
      <c r="Q1591" t="s">
        <v>1775</v>
      </c>
      <c r="S1591">
        <v>10.96</v>
      </c>
      <c r="T1591">
        <v>4</v>
      </c>
      <c r="U1591">
        <v>0.1</v>
      </c>
      <c r="V1591">
        <v>2.9592000000000001</v>
      </c>
      <c r="W1591">
        <f t="shared" si="99"/>
        <v>2.0002000000000004</v>
      </c>
      <c r="X1591">
        <v>1</v>
      </c>
    </row>
    <row r="1592" spans="1:24" x14ac:dyDescent="0.3">
      <c r="A1592">
        <v>1591</v>
      </c>
      <c r="B1592" t="s">
        <v>3344</v>
      </c>
      <c r="C1592" s="6">
        <v>45787</v>
      </c>
      <c r="D1592" t="str">
        <f t="shared" si="96"/>
        <v>May</v>
      </c>
      <c r="E1592" t="str">
        <f t="shared" si="97"/>
        <v>2025</v>
      </c>
      <c r="F1592" t="s">
        <v>4</v>
      </c>
      <c r="G1592" t="s">
        <v>508</v>
      </c>
      <c r="H1592" t="s">
        <v>1601</v>
      </c>
      <c r="I1592">
        <v>140</v>
      </c>
      <c r="J1592">
        <v>30</v>
      </c>
      <c r="K1592">
        <f t="shared" si="98"/>
        <v>21.428571428571427</v>
      </c>
      <c r="L1592" t="s">
        <v>1739</v>
      </c>
      <c r="M1592" t="s">
        <v>3757</v>
      </c>
      <c r="N1592" t="s">
        <v>1</v>
      </c>
      <c r="O1592">
        <v>560037</v>
      </c>
      <c r="P1592" t="s">
        <v>546</v>
      </c>
      <c r="Q1592" t="s">
        <v>1763</v>
      </c>
      <c r="S1592">
        <v>33.488</v>
      </c>
      <c r="T1592">
        <v>7</v>
      </c>
      <c r="U1592">
        <v>0.2</v>
      </c>
      <c r="V1592">
        <v>5.8604000000000003</v>
      </c>
      <c r="W1592">
        <f t="shared" si="99"/>
        <v>3.9468000000000001</v>
      </c>
      <c r="X1592">
        <v>4</v>
      </c>
    </row>
    <row r="1593" spans="1:24" x14ac:dyDescent="0.3">
      <c r="A1593">
        <v>1592</v>
      </c>
      <c r="B1593" t="s">
        <v>3345</v>
      </c>
      <c r="C1593" s="6">
        <v>45788</v>
      </c>
      <c r="D1593" t="str">
        <f t="shared" si="96"/>
        <v>May</v>
      </c>
      <c r="E1593" t="str">
        <f t="shared" si="97"/>
        <v>2025</v>
      </c>
      <c r="F1593" t="s">
        <v>4</v>
      </c>
      <c r="G1593" t="s">
        <v>508</v>
      </c>
      <c r="H1593" t="s">
        <v>678</v>
      </c>
      <c r="I1593">
        <v>190</v>
      </c>
      <c r="J1593">
        <v>24</v>
      </c>
      <c r="K1593">
        <f t="shared" si="98"/>
        <v>12.631578947368421</v>
      </c>
      <c r="L1593" t="s">
        <v>1738</v>
      </c>
      <c r="M1593" t="s">
        <v>3758</v>
      </c>
      <c r="N1593" t="s">
        <v>1</v>
      </c>
      <c r="O1593">
        <v>515001</v>
      </c>
      <c r="P1593" t="s">
        <v>546</v>
      </c>
      <c r="Q1593" t="s">
        <v>1769</v>
      </c>
      <c r="S1593">
        <v>8.0399999999999991</v>
      </c>
      <c r="T1593">
        <v>5</v>
      </c>
      <c r="U1593">
        <v>0.2</v>
      </c>
      <c r="V1593">
        <v>2.9144999999999999</v>
      </c>
      <c r="W1593">
        <f t="shared" si="99"/>
        <v>1.0250999999999997</v>
      </c>
      <c r="X1593">
        <v>1</v>
      </c>
    </row>
    <row r="1594" spans="1:24" x14ac:dyDescent="0.3">
      <c r="A1594">
        <v>1593</v>
      </c>
      <c r="B1594" t="s">
        <v>3346</v>
      </c>
      <c r="C1594" s="6">
        <v>45789</v>
      </c>
      <c r="D1594" t="str">
        <f t="shared" si="96"/>
        <v>May</v>
      </c>
      <c r="E1594" t="str">
        <f t="shared" si="97"/>
        <v>2025</v>
      </c>
      <c r="F1594" t="s">
        <v>3</v>
      </c>
      <c r="G1594" t="s">
        <v>509</v>
      </c>
      <c r="H1594" t="s">
        <v>1602</v>
      </c>
      <c r="I1594">
        <v>140</v>
      </c>
      <c r="J1594">
        <v>18</v>
      </c>
      <c r="K1594">
        <f t="shared" si="98"/>
        <v>12.857142857142856</v>
      </c>
      <c r="L1594" t="s">
        <v>1743</v>
      </c>
      <c r="M1594" t="s">
        <v>3759</v>
      </c>
      <c r="N1594" t="s">
        <v>1</v>
      </c>
      <c r="O1594">
        <v>440008</v>
      </c>
      <c r="P1594" t="s">
        <v>546</v>
      </c>
      <c r="Q1594" t="s">
        <v>1769</v>
      </c>
      <c r="S1594">
        <v>201.56800000000001</v>
      </c>
      <c r="T1594">
        <v>4</v>
      </c>
      <c r="U1594">
        <v>0.2</v>
      </c>
      <c r="V1594">
        <v>22.676400000000001</v>
      </c>
      <c r="W1594">
        <f t="shared" si="99"/>
        <v>44.722900000000003</v>
      </c>
      <c r="X1594">
        <v>2</v>
      </c>
    </row>
    <row r="1595" spans="1:24" x14ac:dyDescent="0.3">
      <c r="A1595">
        <v>1594</v>
      </c>
      <c r="B1595" t="s">
        <v>3347</v>
      </c>
      <c r="C1595" s="6">
        <v>45790</v>
      </c>
      <c r="D1595" t="str">
        <f t="shared" si="96"/>
        <v>May</v>
      </c>
      <c r="E1595" t="str">
        <f t="shared" si="97"/>
        <v>2025</v>
      </c>
      <c r="F1595" t="s">
        <v>6</v>
      </c>
      <c r="G1595" t="s">
        <v>230</v>
      </c>
      <c r="H1595" t="s">
        <v>1603</v>
      </c>
      <c r="I1595">
        <v>130</v>
      </c>
      <c r="J1595">
        <v>28</v>
      </c>
      <c r="K1595">
        <f t="shared" si="98"/>
        <v>21.53846153846154</v>
      </c>
      <c r="L1595" t="s">
        <v>1737</v>
      </c>
      <c r="M1595" t="s">
        <v>3760</v>
      </c>
      <c r="O1595">
        <v>180001</v>
      </c>
      <c r="P1595" t="s">
        <v>546</v>
      </c>
      <c r="Q1595" t="s">
        <v>1755</v>
      </c>
      <c r="S1595">
        <v>13.44</v>
      </c>
      <c r="T1595">
        <v>3</v>
      </c>
      <c r="U1595">
        <v>0.1</v>
      </c>
      <c r="V1595">
        <v>6.5856000000000003</v>
      </c>
      <c r="W1595">
        <f t="shared" si="99"/>
        <v>2.2847999999999997</v>
      </c>
      <c r="X1595">
        <v>4</v>
      </c>
    </row>
    <row r="1596" spans="1:24" x14ac:dyDescent="0.3">
      <c r="A1596">
        <v>1595</v>
      </c>
      <c r="B1596" t="s">
        <v>3348</v>
      </c>
      <c r="C1596" s="6">
        <v>45791</v>
      </c>
      <c r="D1596" t="str">
        <f t="shared" si="96"/>
        <v>May</v>
      </c>
      <c r="E1596" t="str">
        <f t="shared" si="97"/>
        <v>2025</v>
      </c>
      <c r="F1596" t="s">
        <v>5</v>
      </c>
      <c r="G1596" t="s">
        <v>510</v>
      </c>
      <c r="H1596" t="s">
        <v>1604</v>
      </c>
      <c r="I1596">
        <v>250</v>
      </c>
      <c r="J1596">
        <v>28</v>
      </c>
      <c r="K1596">
        <f t="shared" si="98"/>
        <v>11.200000000000001</v>
      </c>
      <c r="L1596" t="s">
        <v>1741</v>
      </c>
      <c r="M1596" t="s">
        <v>3761</v>
      </c>
      <c r="N1596" t="s">
        <v>1</v>
      </c>
      <c r="O1596">
        <v>500074</v>
      </c>
      <c r="P1596" t="s">
        <v>546</v>
      </c>
      <c r="Q1596" t="s">
        <v>1761</v>
      </c>
      <c r="S1596">
        <v>359.05799999999999</v>
      </c>
      <c r="T1596">
        <v>3</v>
      </c>
      <c r="U1596">
        <v>0.3</v>
      </c>
      <c r="V1596">
        <v>-35.905799999999999</v>
      </c>
      <c r="W1596">
        <f t="shared" si="99"/>
        <v>131.65459999999999</v>
      </c>
      <c r="X1596">
        <v>1</v>
      </c>
    </row>
    <row r="1597" spans="1:24" x14ac:dyDescent="0.3">
      <c r="A1597">
        <v>1596</v>
      </c>
      <c r="B1597" t="s">
        <v>3349</v>
      </c>
      <c r="C1597" s="6">
        <v>45792</v>
      </c>
      <c r="D1597" t="str">
        <f t="shared" si="96"/>
        <v>May</v>
      </c>
      <c r="E1597" t="str">
        <f t="shared" si="97"/>
        <v>2025</v>
      </c>
      <c r="F1597" t="s">
        <v>4</v>
      </c>
      <c r="G1597" t="s">
        <v>205</v>
      </c>
      <c r="H1597" t="s">
        <v>1424</v>
      </c>
      <c r="I1597">
        <v>170</v>
      </c>
      <c r="J1597">
        <v>12</v>
      </c>
      <c r="K1597">
        <f t="shared" si="98"/>
        <v>7.0588235294117645</v>
      </c>
      <c r="L1597" t="s">
        <v>1736</v>
      </c>
      <c r="M1597" t="s">
        <v>3762</v>
      </c>
      <c r="N1597" t="s">
        <v>1</v>
      </c>
      <c r="O1597">
        <v>500074</v>
      </c>
      <c r="P1597" t="s">
        <v>546</v>
      </c>
      <c r="Q1597" t="s">
        <v>1755</v>
      </c>
      <c r="S1597">
        <v>47.991999999999997</v>
      </c>
      <c r="T1597">
        <v>2</v>
      </c>
      <c r="U1597">
        <v>0.3</v>
      </c>
      <c r="V1597">
        <v>-2.0568</v>
      </c>
      <c r="W1597">
        <f t="shared" si="99"/>
        <v>25.0244</v>
      </c>
      <c r="X1597">
        <v>1</v>
      </c>
    </row>
    <row r="1598" spans="1:24" x14ac:dyDescent="0.3">
      <c r="A1598">
        <v>1597</v>
      </c>
      <c r="B1598" t="s">
        <v>3350</v>
      </c>
      <c r="C1598" s="6">
        <v>45793</v>
      </c>
      <c r="D1598" t="str">
        <f t="shared" si="96"/>
        <v>May</v>
      </c>
      <c r="E1598" t="str">
        <f t="shared" si="97"/>
        <v>2025</v>
      </c>
      <c r="F1598" t="s">
        <v>5</v>
      </c>
      <c r="G1598" t="s">
        <v>206</v>
      </c>
      <c r="H1598" t="s">
        <v>998</v>
      </c>
      <c r="I1598">
        <v>210</v>
      </c>
      <c r="J1598">
        <v>10</v>
      </c>
      <c r="K1598">
        <f t="shared" si="98"/>
        <v>4.7619047619047619</v>
      </c>
      <c r="L1598" t="s">
        <v>1744</v>
      </c>
      <c r="M1598" t="s">
        <v>3763</v>
      </c>
      <c r="N1598" t="s">
        <v>1</v>
      </c>
      <c r="O1598">
        <v>560077</v>
      </c>
      <c r="P1598" t="s">
        <v>546</v>
      </c>
      <c r="Q1598" t="s">
        <v>1765</v>
      </c>
      <c r="S1598">
        <v>547.29999999999995</v>
      </c>
      <c r="T1598">
        <v>13</v>
      </c>
      <c r="U1598">
        <v>0.1</v>
      </c>
      <c r="V1598">
        <v>175.136</v>
      </c>
      <c r="W1598">
        <f t="shared" si="99"/>
        <v>28.628</v>
      </c>
      <c r="X1598">
        <v>2</v>
      </c>
    </row>
    <row r="1599" spans="1:24" x14ac:dyDescent="0.3">
      <c r="A1599">
        <v>1598</v>
      </c>
      <c r="B1599" t="s">
        <v>3351</v>
      </c>
      <c r="C1599" s="6">
        <v>45794</v>
      </c>
      <c r="D1599" t="str">
        <f t="shared" si="96"/>
        <v>May</v>
      </c>
      <c r="E1599" t="str">
        <f t="shared" si="97"/>
        <v>2025</v>
      </c>
      <c r="F1599" t="s">
        <v>3</v>
      </c>
      <c r="G1599" t="s">
        <v>499</v>
      </c>
      <c r="H1599" t="s">
        <v>1605</v>
      </c>
      <c r="I1599">
        <v>250</v>
      </c>
      <c r="J1599">
        <v>16</v>
      </c>
      <c r="K1599">
        <f t="shared" si="98"/>
        <v>6.4</v>
      </c>
      <c r="L1599" t="s">
        <v>1740</v>
      </c>
      <c r="M1599" t="s">
        <v>3764</v>
      </c>
      <c r="N1599" t="s">
        <v>1</v>
      </c>
      <c r="O1599">
        <v>383001</v>
      </c>
      <c r="P1599" t="s">
        <v>546</v>
      </c>
      <c r="Q1599" t="s">
        <v>1758</v>
      </c>
      <c r="R1599" t="s">
        <v>2</v>
      </c>
      <c r="S1599">
        <v>16.896000000000001</v>
      </c>
      <c r="T1599">
        <v>4</v>
      </c>
      <c r="U1599">
        <v>0.2</v>
      </c>
      <c r="V1599">
        <v>5.28</v>
      </c>
      <c r="W1599">
        <f t="shared" si="99"/>
        <v>2.9039999999999999</v>
      </c>
      <c r="X1599">
        <v>4</v>
      </c>
    </row>
    <row r="1600" spans="1:24" x14ac:dyDescent="0.3">
      <c r="A1600">
        <v>1599</v>
      </c>
      <c r="B1600" t="s">
        <v>3352</v>
      </c>
      <c r="C1600" s="6">
        <v>45795</v>
      </c>
      <c r="D1600" t="str">
        <f t="shared" si="96"/>
        <v>May</v>
      </c>
      <c r="E1600" t="str">
        <f t="shared" si="97"/>
        <v>2025</v>
      </c>
      <c r="F1600" t="s">
        <v>3</v>
      </c>
      <c r="G1600" t="s">
        <v>499</v>
      </c>
      <c r="H1600" t="s">
        <v>1606</v>
      </c>
      <c r="I1600">
        <v>200</v>
      </c>
      <c r="J1600">
        <v>30</v>
      </c>
      <c r="K1600">
        <f t="shared" si="98"/>
        <v>15</v>
      </c>
      <c r="L1600" t="s">
        <v>1742</v>
      </c>
      <c r="M1600" t="s">
        <v>3765</v>
      </c>
      <c r="N1600" t="s">
        <v>1</v>
      </c>
      <c r="O1600">
        <v>686579</v>
      </c>
      <c r="P1600" t="s">
        <v>546</v>
      </c>
      <c r="Q1600" t="s">
        <v>1754</v>
      </c>
      <c r="S1600">
        <v>6.6719999999999997</v>
      </c>
      <c r="T1600">
        <v>1</v>
      </c>
      <c r="U1600">
        <v>0.2</v>
      </c>
      <c r="V1600">
        <v>0.50039999999999996</v>
      </c>
      <c r="W1600">
        <f t="shared" si="99"/>
        <v>6.1715999999999998</v>
      </c>
      <c r="X1600">
        <v>3</v>
      </c>
    </row>
    <row r="1601" spans="1:24" x14ac:dyDescent="0.3">
      <c r="A1601">
        <v>1600</v>
      </c>
      <c r="B1601" t="s">
        <v>3353</v>
      </c>
      <c r="C1601" s="6">
        <v>45796</v>
      </c>
      <c r="D1601" t="str">
        <f t="shared" si="96"/>
        <v>May</v>
      </c>
      <c r="E1601" t="str">
        <f t="shared" si="97"/>
        <v>2025</v>
      </c>
      <c r="F1601" t="s">
        <v>3</v>
      </c>
      <c r="G1601" t="s">
        <v>499</v>
      </c>
      <c r="H1601" t="s">
        <v>837</v>
      </c>
      <c r="I1601">
        <v>240</v>
      </c>
      <c r="J1601">
        <v>10</v>
      </c>
      <c r="K1601">
        <f t="shared" si="98"/>
        <v>4.1666666666666661</v>
      </c>
      <c r="L1601" t="s">
        <v>1739</v>
      </c>
      <c r="M1601" t="s">
        <v>3766</v>
      </c>
      <c r="N1601" t="s">
        <v>1</v>
      </c>
      <c r="O1601">
        <v>110058</v>
      </c>
      <c r="P1601" t="s">
        <v>546</v>
      </c>
      <c r="Q1601" t="s">
        <v>1775</v>
      </c>
      <c r="S1601">
        <v>99.135999999999996</v>
      </c>
      <c r="T1601">
        <v>4</v>
      </c>
      <c r="U1601">
        <v>0.2</v>
      </c>
      <c r="V1601">
        <v>8.6744000000000003</v>
      </c>
      <c r="W1601">
        <f t="shared" si="99"/>
        <v>22.615399999999998</v>
      </c>
      <c r="X1601">
        <v>1</v>
      </c>
    </row>
    <row r="1602" spans="1:24" x14ac:dyDescent="0.3">
      <c r="A1602">
        <v>1601</v>
      </c>
      <c r="B1602" t="s">
        <v>3354</v>
      </c>
      <c r="C1602" s="6">
        <v>45797</v>
      </c>
      <c r="D1602" t="str">
        <f t="shared" si="96"/>
        <v>May</v>
      </c>
      <c r="E1602" t="str">
        <f t="shared" si="97"/>
        <v>2025</v>
      </c>
      <c r="F1602" t="s">
        <v>3</v>
      </c>
      <c r="G1602" t="s">
        <v>499</v>
      </c>
      <c r="H1602" t="s">
        <v>843</v>
      </c>
      <c r="I1602">
        <v>190</v>
      </c>
      <c r="J1602">
        <v>20</v>
      </c>
      <c r="K1602">
        <f t="shared" si="98"/>
        <v>10.526315789473683</v>
      </c>
      <c r="L1602" t="s">
        <v>1738</v>
      </c>
      <c r="M1602" t="s">
        <v>3767</v>
      </c>
      <c r="N1602" t="s">
        <v>1</v>
      </c>
      <c r="O1602">
        <v>411028</v>
      </c>
      <c r="P1602" t="s">
        <v>546</v>
      </c>
      <c r="Q1602" t="s">
        <v>1759</v>
      </c>
      <c r="S1602">
        <v>15.992000000000001</v>
      </c>
      <c r="T1602">
        <v>2</v>
      </c>
      <c r="U1602">
        <v>0.6</v>
      </c>
      <c r="V1602">
        <v>-13.993</v>
      </c>
      <c r="W1602">
        <f t="shared" si="99"/>
        <v>14.9925</v>
      </c>
      <c r="X1602">
        <v>3</v>
      </c>
    </row>
    <row r="1603" spans="1:24" x14ac:dyDescent="0.3">
      <c r="A1603">
        <v>1602</v>
      </c>
      <c r="B1603" t="s">
        <v>3355</v>
      </c>
      <c r="C1603" s="6">
        <v>45798</v>
      </c>
      <c r="D1603" t="str">
        <f t="shared" ref="D1603:D1666" si="100">TEXT(C1603,"Mmm")</f>
        <v>May</v>
      </c>
      <c r="E1603" t="str">
        <f t="shared" ref="E1603:E1666" si="101">TEXT(C1603,"YYYY")</f>
        <v>2025</v>
      </c>
      <c r="F1603" t="s">
        <v>3</v>
      </c>
      <c r="G1603" t="s">
        <v>341</v>
      </c>
      <c r="H1603" t="s">
        <v>1607</v>
      </c>
      <c r="I1603">
        <v>130</v>
      </c>
      <c r="J1603">
        <v>26</v>
      </c>
      <c r="K1603">
        <f t="shared" ref="K1603:K1666" si="102">(J1603/I1603)*100</f>
        <v>20</v>
      </c>
      <c r="L1603" t="s">
        <v>1737</v>
      </c>
      <c r="M1603" t="s">
        <v>3768</v>
      </c>
      <c r="N1603" t="s">
        <v>1</v>
      </c>
      <c r="O1603">
        <v>500018</v>
      </c>
      <c r="P1603" t="s">
        <v>546</v>
      </c>
      <c r="Q1603" t="s">
        <v>1770</v>
      </c>
      <c r="R1603" t="s">
        <v>2</v>
      </c>
      <c r="S1603">
        <v>211.96</v>
      </c>
      <c r="T1603">
        <v>2</v>
      </c>
      <c r="U1603">
        <v>0.1</v>
      </c>
      <c r="V1603">
        <v>42.392000000000003</v>
      </c>
      <c r="W1603">
        <f t="shared" ref="W1603:W1666" si="103">(S1603-V1603)/T1603</f>
        <v>84.784000000000006</v>
      </c>
      <c r="X1603">
        <v>4</v>
      </c>
    </row>
    <row r="1604" spans="1:24" x14ac:dyDescent="0.3">
      <c r="A1604">
        <v>1603</v>
      </c>
      <c r="B1604" t="s">
        <v>3356</v>
      </c>
      <c r="C1604" s="6">
        <v>45799</v>
      </c>
      <c r="D1604" t="str">
        <f t="shared" si="100"/>
        <v>May</v>
      </c>
      <c r="E1604" t="str">
        <f t="shared" si="101"/>
        <v>2025</v>
      </c>
      <c r="F1604" t="s">
        <v>4</v>
      </c>
      <c r="G1604" t="s">
        <v>229</v>
      </c>
      <c r="H1604" t="s">
        <v>1608</v>
      </c>
      <c r="I1604">
        <v>220</v>
      </c>
      <c r="J1604">
        <v>10</v>
      </c>
      <c r="K1604">
        <f t="shared" si="102"/>
        <v>4.5454545454545459</v>
      </c>
      <c r="L1604" t="s">
        <v>1743</v>
      </c>
      <c r="M1604" t="s">
        <v>3769</v>
      </c>
      <c r="N1604" t="s">
        <v>1</v>
      </c>
      <c r="O1604">
        <v>534312</v>
      </c>
      <c r="P1604" t="s">
        <v>546</v>
      </c>
      <c r="Q1604" t="s">
        <v>1764</v>
      </c>
      <c r="S1604">
        <v>6.6719999999999997</v>
      </c>
      <c r="T1604">
        <v>3</v>
      </c>
      <c r="U1604">
        <v>0.2</v>
      </c>
      <c r="V1604">
        <v>1.6679999999999999</v>
      </c>
      <c r="W1604">
        <f t="shared" si="103"/>
        <v>1.6679999999999999</v>
      </c>
      <c r="X1604">
        <v>1</v>
      </c>
    </row>
    <row r="1605" spans="1:24" x14ac:dyDescent="0.3">
      <c r="A1605">
        <v>1604</v>
      </c>
      <c r="B1605" t="s">
        <v>3357</v>
      </c>
      <c r="C1605" s="6">
        <v>45800</v>
      </c>
      <c r="D1605" t="str">
        <f t="shared" si="100"/>
        <v>May</v>
      </c>
      <c r="E1605" t="str">
        <f t="shared" si="101"/>
        <v>2025</v>
      </c>
      <c r="F1605" t="s">
        <v>4</v>
      </c>
      <c r="G1605" t="s">
        <v>257</v>
      </c>
      <c r="H1605" t="s">
        <v>1609</v>
      </c>
      <c r="I1605">
        <v>240</v>
      </c>
      <c r="J1605">
        <v>16</v>
      </c>
      <c r="K1605">
        <f t="shared" si="102"/>
        <v>6.666666666666667</v>
      </c>
      <c r="L1605" t="s">
        <v>1738</v>
      </c>
      <c r="M1605" t="s">
        <v>3770</v>
      </c>
      <c r="N1605" t="s">
        <v>1</v>
      </c>
      <c r="O1605">
        <v>600100</v>
      </c>
      <c r="P1605" t="s">
        <v>546</v>
      </c>
      <c r="Q1605" t="s">
        <v>1761</v>
      </c>
      <c r="R1605" t="s">
        <v>2</v>
      </c>
      <c r="S1605">
        <v>155.94</v>
      </c>
      <c r="T1605">
        <v>6</v>
      </c>
      <c r="U1605">
        <v>0.1</v>
      </c>
      <c r="V1605">
        <v>45.2226</v>
      </c>
      <c r="W1605">
        <f t="shared" si="103"/>
        <v>18.4529</v>
      </c>
      <c r="X1605">
        <v>2</v>
      </c>
    </row>
    <row r="1606" spans="1:24" x14ac:dyDescent="0.3">
      <c r="A1606">
        <v>1605</v>
      </c>
      <c r="B1606" t="s">
        <v>3358</v>
      </c>
      <c r="C1606" s="6">
        <v>45801</v>
      </c>
      <c r="D1606" t="str">
        <f t="shared" si="100"/>
        <v>May</v>
      </c>
      <c r="E1606" t="str">
        <f t="shared" si="101"/>
        <v>2025</v>
      </c>
      <c r="F1606" t="s">
        <v>3</v>
      </c>
      <c r="G1606" t="s">
        <v>130</v>
      </c>
      <c r="H1606" t="s">
        <v>1404</v>
      </c>
      <c r="I1606">
        <v>200</v>
      </c>
      <c r="J1606">
        <v>8</v>
      </c>
      <c r="K1606">
        <f t="shared" si="102"/>
        <v>4</v>
      </c>
      <c r="L1606" t="s">
        <v>1739</v>
      </c>
      <c r="M1606" t="s">
        <v>3771</v>
      </c>
      <c r="N1606" t="s">
        <v>1</v>
      </c>
      <c r="O1606">
        <v>600100</v>
      </c>
      <c r="P1606" t="s">
        <v>546</v>
      </c>
      <c r="Q1606" t="s">
        <v>1758</v>
      </c>
      <c r="S1606">
        <v>39.96</v>
      </c>
      <c r="T1606">
        <v>5</v>
      </c>
      <c r="U1606">
        <v>0.2</v>
      </c>
      <c r="V1606">
        <v>12.987</v>
      </c>
      <c r="W1606">
        <f t="shared" si="103"/>
        <v>5.3945999999999996</v>
      </c>
      <c r="X1606">
        <v>1</v>
      </c>
    </row>
    <row r="1607" spans="1:24" x14ac:dyDescent="0.3">
      <c r="A1607">
        <v>1606</v>
      </c>
      <c r="B1607" t="s">
        <v>3359</v>
      </c>
      <c r="C1607" s="6">
        <v>45802</v>
      </c>
      <c r="D1607" t="str">
        <f t="shared" si="100"/>
        <v>May</v>
      </c>
      <c r="E1607" t="str">
        <f t="shared" si="101"/>
        <v>2025</v>
      </c>
      <c r="F1607" t="s">
        <v>3</v>
      </c>
      <c r="G1607" t="s">
        <v>130</v>
      </c>
      <c r="H1607" t="s">
        <v>1610</v>
      </c>
      <c r="I1607">
        <v>230</v>
      </c>
      <c r="J1607">
        <v>12</v>
      </c>
      <c r="K1607">
        <f t="shared" si="102"/>
        <v>5.2173913043478262</v>
      </c>
      <c r="L1607" t="s">
        <v>1741</v>
      </c>
      <c r="M1607" t="s">
        <v>3772</v>
      </c>
      <c r="N1607" t="s">
        <v>1</v>
      </c>
      <c r="O1607">
        <v>600100</v>
      </c>
      <c r="P1607" t="s">
        <v>546</v>
      </c>
      <c r="Q1607" t="s">
        <v>1776</v>
      </c>
      <c r="S1607">
        <v>5.46</v>
      </c>
      <c r="T1607">
        <v>3</v>
      </c>
      <c r="U1607">
        <v>0.1</v>
      </c>
      <c r="V1607">
        <v>1.5287999999999999</v>
      </c>
      <c r="W1607">
        <f t="shared" si="103"/>
        <v>1.3104</v>
      </c>
      <c r="X1607">
        <v>4</v>
      </c>
    </row>
    <row r="1608" spans="1:24" x14ac:dyDescent="0.3">
      <c r="A1608">
        <v>1607</v>
      </c>
      <c r="B1608" t="s">
        <v>3360</v>
      </c>
      <c r="C1608" s="6">
        <v>45803</v>
      </c>
      <c r="D1608" t="str">
        <f t="shared" si="100"/>
        <v>May</v>
      </c>
      <c r="E1608" t="str">
        <f t="shared" si="101"/>
        <v>2025</v>
      </c>
      <c r="F1608" t="s">
        <v>3</v>
      </c>
      <c r="G1608" t="s">
        <v>130</v>
      </c>
      <c r="H1608" t="s">
        <v>1611</v>
      </c>
      <c r="I1608">
        <v>160</v>
      </c>
      <c r="J1608">
        <v>18</v>
      </c>
      <c r="K1608">
        <f t="shared" si="102"/>
        <v>11.25</v>
      </c>
      <c r="L1608" t="s">
        <v>1736</v>
      </c>
      <c r="M1608" t="s">
        <v>3773</v>
      </c>
      <c r="N1608" t="s">
        <v>1</v>
      </c>
      <c r="O1608">
        <v>600016</v>
      </c>
      <c r="P1608" t="s">
        <v>546</v>
      </c>
      <c r="Q1608" t="s">
        <v>1766</v>
      </c>
      <c r="S1608">
        <v>73.2</v>
      </c>
      <c r="T1608">
        <v>5</v>
      </c>
      <c r="U1608">
        <v>0.1</v>
      </c>
      <c r="V1608">
        <v>21.228000000000002</v>
      </c>
      <c r="W1608">
        <f t="shared" si="103"/>
        <v>10.394400000000001</v>
      </c>
      <c r="X1608">
        <v>3</v>
      </c>
    </row>
    <row r="1609" spans="1:24" x14ac:dyDescent="0.3">
      <c r="A1609">
        <v>1608</v>
      </c>
      <c r="B1609" t="s">
        <v>3361</v>
      </c>
      <c r="C1609" s="6">
        <v>45804</v>
      </c>
      <c r="D1609" t="str">
        <f t="shared" si="100"/>
        <v>May</v>
      </c>
      <c r="E1609" t="str">
        <f t="shared" si="101"/>
        <v>2025</v>
      </c>
      <c r="F1609" t="s">
        <v>3</v>
      </c>
      <c r="G1609" t="s">
        <v>130</v>
      </c>
      <c r="H1609" t="s">
        <v>894</v>
      </c>
      <c r="I1609">
        <v>160</v>
      </c>
      <c r="J1609">
        <v>24</v>
      </c>
      <c r="K1609">
        <f t="shared" si="102"/>
        <v>15</v>
      </c>
      <c r="L1609" t="s">
        <v>1744</v>
      </c>
      <c r="M1609" t="s">
        <v>3774</v>
      </c>
      <c r="N1609" t="s">
        <v>1</v>
      </c>
      <c r="O1609">
        <v>600016</v>
      </c>
      <c r="P1609" t="s">
        <v>546</v>
      </c>
      <c r="Q1609" t="s">
        <v>1767</v>
      </c>
      <c r="S1609">
        <v>5.84</v>
      </c>
      <c r="T1609">
        <v>1</v>
      </c>
      <c r="U1609">
        <v>0.2</v>
      </c>
      <c r="V1609">
        <v>1.9710000000000001</v>
      </c>
      <c r="W1609">
        <f t="shared" si="103"/>
        <v>3.8689999999999998</v>
      </c>
      <c r="X1609">
        <v>1</v>
      </c>
    </row>
    <row r="1610" spans="1:24" x14ac:dyDescent="0.3">
      <c r="A1610">
        <v>1609</v>
      </c>
      <c r="B1610" t="s">
        <v>3362</v>
      </c>
      <c r="C1610" s="6">
        <v>45805</v>
      </c>
      <c r="D1610" t="str">
        <f t="shared" si="100"/>
        <v>May</v>
      </c>
      <c r="E1610" t="str">
        <f t="shared" si="101"/>
        <v>2025</v>
      </c>
      <c r="F1610" t="s">
        <v>3</v>
      </c>
      <c r="G1610" t="s">
        <v>130</v>
      </c>
      <c r="H1610" t="s">
        <v>673</v>
      </c>
      <c r="I1610">
        <v>110</v>
      </c>
      <c r="J1610">
        <v>24</v>
      </c>
      <c r="K1610">
        <f t="shared" si="102"/>
        <v>21.818181818181817</v>
      </c>
      <c r="L1610" t="s">
        <v>1740</v>
      </c>
      <c r="M1610" t="s">
        <v>3775</v>
      </c>
      <c r="N1610" t="s">
        <v>1</v>
      </c>
      <c r="O1610">
        <v>421302</v>
      </c>
      <c r="P1610" t="s">
        <v>546</v>
      </c>
      <c r="Q1610" t="s">
        <v>1763</v>
      </c>
      <c r="S1610">
        <v>22.72</v>
      </c>
      <c r="T1610">
        <v>4</v>
      </c>
      <c r="U1610">
        <v>0.1</v>
      </c>
      <c r="V1610">
        <v>10.224</v>
      </c>
      <c r="W1610">
        <f t="shared" si="103"/>
        <v>3.1239999999999997</v>
      </c>
      <c r="X1610">
        <v>4</v>
      </c>
    </row>
    <row r="1611" spans="1:24" x14ac:dyDescent="0.3">
      <c r="A1611">
        <v>1610</v>
      </c>
      <c r="B1611" t="s">
        <v>3363</v>
      </c>
      <c r="C1611" s="6">
        <v>45806</v>
      </c>
      <c r="D1611" t="str">
        <f t="shared" si="100"/>
        <v>May</v>
      </c>
      <c r="E1611" t="str">
        <f t="shared" si="101"/>
        <v>2025</v>
      </c>
      <c r="F1611" t="s">
        <v>3</v>
      </c>
      <c r="G1611" t="s">
        <v>130</v>
      </c>
      <c r="H1611" t="s">
        <v>1612</v>
      </c>
      <c r="I1611">
        <v>130</v>
      </c>
      <c r="J1611">
        <v>26</v>
      </c>
      <c r="K1611">
        <f t="shared" si="102"/>
        <v>20</v>
      </c>
      <c r="L1611" t="s">
        <v>1742</v>
      </c>
      <c r="M1611" t="s">
        <v>3776</v>
      </c>
      <c r="N1611" t="s">
        <v>1</v>
      </c>
      <c r="O1611">
        <v>248001</v>
      </c>
      <c r="P1611" t="s">
        <v>546</v>
      </c>
      <c r="Q1611" t="s">
        <v>1761</v>
      </c>
      <c r="S1611">
        <v>9.3360000000000003</v>
      </c>
      <c r="T1611">
        <v>3</v>
      </c>
      <c r="U1611">
        <v>0.2</v>
      </c>
      <c r="V1611">
        <v>3.2675999999999998</v>
      </c>
      <c r="W1611">
        <f t="shared" si="103"/>
        <v>2.0228000000000002</v>
      </c>
      <c r="X1611">
        <v>5</v>
      </c>
    </row>
    <row r="1612" spans="1:24" x14ac:dyDescent="0.3">
      <c r="A1612">
        <v>1611</v>
      </c>
      <c r="B1612" t="s">
        <v>3364</v>
      </c>
      <c r="C1612" s="6">
        <v>45807</v>
      </c>
      <c r="D1612" t="str">
        <f t="shared" si="100"/>
        <v>May</v>
      </c>
      <c r="E1612" t="str">
        <f t="shared" si="101"/>
        <v>2025</v>
      </c>
      <c r="F1612" t="s">
        <v>4</v>
      </c>
      <c r="G1612" t="s">
        <v>511</v>
      </c>
      <c r="H1612" t="s">
        <v>1604</v>
      </c>
      <c r="I1612">
        <v>120</v>
      </c>
      <c r="J1612">
        <v>6</v>
      </c>
      <c r="K1612">
        <f t="shared" si="102"/>
        <v>5</v>
      </c>
      <c r="L1612" t="s">
        <v>1739</v>
      </c>
      <c r="M1612" t="s">
        <v>3777</v>
      </c>
      <c r="N1612" t="s">
        <v>1</v>
      </c>
      <c r="O1612">
        <v>686002</v>
      </c>
      <c r="P1612" t="s">
        <v>546</v>
      </c>
      <c r="Q1612" t="s">
        <v>1775</v>
      </c>
      <c r="S1612">
        <v>290.666</v>
      </c>
      <c r="T1612">
        <v>2</v>
      </c>
      <c r="U1612">
        <v>0.15</v>
      </c>
      <c r="V1612">
        <v>27.3568</v>
      </c>
      <c r="W1612">
        <f t="shared" si="103"/>
        <v>131.65459999999999</v>
      </c>
      <c r="X1612">
        <v>3</v>
      </c>
    </row>
    <row r="1613" spans="1:24" x14ac:dyDescent="0.3">
      <c r="A1613">
        <v>1612</v>
      </c>
      <c r="B1613" t="s">
        <v>3365</v>
      </c>
      <c r="C1613" s="6">
        <v>45808</v>
      </c>
      <c r="D1613" t="str">
        <f t="shared" si="100"/>
        <v>May</v>
      </c>
      <c r="E1613" t="str">
        <f t="shared" si="101"/>
        <v>2025</v>
      </c>
      <c r="F1613" t="s">
        <v>4</v>
      </c>
      <c r="G1613" t="s">
        <v>511</v>
      </c>
      <c r="H1613" t="s">
        <v>1613</v>
      </c>
      <c r="I1613">
        <v>160</v>
      </c>
      <c r="J1613">
        <v>26</v>
      </c>
      <c r="K1613">
        <f t="shared" si="102"/>
        <v>16.25</v>
      </c>
      <c r="L1613" t="s">
        <v>1738</v>
      </c>
      <c r="M1613" t="s">
        <v>3778</v>
      </c>
      <c r="N1613" t="s">
        <v>1</v>
      </c>
      <c r="O1613">
        <v>301019</v>
      </c>
      <c r="P1613" t="s">
        <v>546</v>
      </c>
      <c r="Q1613" t="s">
        <v>1770</v>
      </c>
      <c r="S1613">
        <v>201.584</v>
      </c>
      <c r="T1613">
        <v>2</v>
      </c>
      <c r="U1613">
        <v>0.2</v>
      </c>
      <c r="V1613">
        <v>20.1584</v>
      </c>
      <c r="W1613">
        <f t="shared" si="103"/>
        <v>90.712800000000001</v>
      </c>
      <c r="X1613">
        <v>2</v>
      </c>
    </row>
    <row r="1614" spans="1:24" x14ac:dyDescent="0.3">
      <c r="A1614">
        <v>1613</v>
      </c>
      <c r="B1614" t="s">
        <v>3366</v>
      </c>
      <c r="C1614" s="6">
        <v>45809</v>
      </c>
      <c r="D1614" t="str">
        <f t="shared" si="100"/>
        <v>Jun</v>
      </c>
      <c r="E1614" t="str">
        <f t="shared" si="101"/>
        <v>2025</v>
      </c>
      <c r="F1614" t="s">
        <v>4</v>
      </c>
      <c r="G1614" t="s">
        <v>511</v>
      </c>
      <c r="H1614" t="s">
        <v>613</v>
      </c>
      <c r="I1614">
        <v>220</v>
      </c>
      <c r="J1614">
        <v>26</v>
      </c>
      <c r="K1614">
        <f t="shared" si="102"/>
        <v>11.818181818181818</v>
      </c>
      <c r="L1614" t="s">
        <v>1743</v>
      </c>
      <c r="M1614" t="s">
        <v>3779</v>
      </c>
      <c r="N1614" t="s">
        <v>1</v>
      </c>
      <c r="O1614">
        <v>560024</v>
      </c>
      <c r="P1614" t="s">
        <v>546</v>
      </c>
      <c r="Q1614" t="s">
        <v>1772</v>
      </c>
      <c r="R1614" t="s">
        <v>2</v>
      </c>
      <c r="S1614">
        <v>83.983999999999995</v>
      </c>
      <c r="T1614">
        <v>2</v>
      </c>
      <c r="U1614">
        <v>0.2</v>
      </c>
      <c r="V1614">
        <v>31.494</v>
      </c>
      <c r="W1614">
        <f t="shared" si="103"/>
        <v>26.244999999999997</v>
      </c>
      <c r="X1614">
        <v>2</v>
      </c>
    </row>
    <row r="1615" spans="1:24" x14ac:dyDescent="0.3">
      <c r="A1615">
        <v>1614</v>
      </c>
      <c r="B1615" t="s">
        <v>3367</v>
      </c>
      <c r="C1615" s="6">
        <v>45810</v>
      </c>
      <c r="D1615" t="str">
        <f t="shared" si="100"/>
        <v>Jun</v>
      </c>
      <c r="E1615" t="str">
        <f t="shared" si="101"/>
        <v>2025</v>
      </c>
      <c r="F1615" t="s">
        <v>4</v>
      </c>
      <c r="G1615" t="s">
        <v>460</v>
      </c>
      <c r="H1615" t="s">
        <v>931</v>
      </c>
      <c r="I1615">
        <v>170</v>
      </c>
      <c r="J1615">
        <v>8</v>
      </c>
      <c r="K1615">
        <f t="shared" si="102"/>
        <v>4.7058823529411766</v>
      </c>
      <c r="L1615" t="s">
        <v>1737</v>
      </c>
      <c r="M1615" t="s">
        <v>3780</v>
      </c>
      <c r="N1615" t="s">
        <v>1</v>
      </c>
      <c r="O1615">
        <v>410206</v>
      </c>
      <c r="P1615" t="s">
        <v>546</v>
      </c>
      <c r="Q1615" t="s">
        <v>1763</v>
      </c>
      <c r="S1615">
        <v>1000.02</v>
      </c>
      <c r="T1615">
        <v>7</v>
      </c>
      <c r="U1615">
        <v>0.1</v>
      </c>
      <c r="V1615">
        <v>290.00580000000002</v>
      </c>
      <c r="W1615">
        <f t="shared" si="103"/>
        <v>101.4306</v>
      </c>
      <c r="X1615">
        <v>1</v>
      </c>
    </row>
    <row r="1616" spans="1:24" x14ac:dyDescent="0.3">
      <c r="A1616">
        <v>1615</v>
      </c>
      <c r="B1616" t="s">
        <v>3368</v>
      </c>
      <c r="C1616" s="6">
        <v>45811</v>
      </c>
      <c r="D1616" t="str">
        <f t="shared" si="100"/>
        <v>Jun</v>
      </c>
      <c r="E1616" t="str">
        <f t="shared" si="101"/>
        <v>2025</v>
      </c>
      <c r="F1616" t="s">
        <v>4</v>
      </c>
      <c r="G1616" t="s">
        <v>491</v>
      </c>
      <c r="H1616" t="s">
        <v>1614</v>
      </c>
      <c r="I1616">
        <v>190</v>
      </c>
      <c r="J1616">
        <v>18</v>
      </c>
      <c r="K1616">
        <f t="shared" si="102"/>
        <v>9.4736842105263168</v>
      </c>
      <c r="L1616" t="s">
        <v>1741</v>
      </c>
      <c r="M1616" t="s">
        <v>3781</v>
      </c>
      <c r="N1616" t="s">
        <v>1</v>
      </c>
      <c r="O1616">
        <v>560066</v>
      </c>
      <c r="P1616" t="s">
        <v>546</v>
      </c>
      <c r="Q1616" t="s">
        <v>1759</v>
      </c>
      <c r="S1616">
        <v>83.975999999999999</v>
      </c>
      <c r="T1616">
        <v>3</v>
      </c>
      <c r="U1616">
        <v>0.2</v>
      </c>
      <c r="V1616">
        <v>-13.646100000000001</v>
      </c>
      <c r="W1616">
        <f t="shared" si="103"/>
        <v>32.540700000000001</v>
      </c>
      <c r="X1616">
        <v>2</v>
      </c>
    </row>
    <row r="1617" spans="1:24" x14ac:dyDescent="0.3">
      <c r="A1617">
        <v>1616</v>
      </c>
      <c r="B1617" t="s">
        <v>3369</v>
      </c>
      <c r="C1617" s="6">
        <v>45812</v>
      </c>
      <c r="D1617" t="str">
        <f t="shared" si="100"/>
        <v>Jun</v>
      </c>
      <c r="E1617" t="str">
        <f t="shared" si="101"/>
        <v>2025</v>
      </c>
      <c r="F1617" t="s">
        <v>4</v>
      </c>
      <c r="G1617" t="s">
        <v>458</v>
      </c>
      <c r="H1617" t="s">
        <v>1094</v>
      </c>
      <c r="I1617">
        <v>150</v>
      </c>
      <c r="J1617">
        <v>24</v>
      </c>
      <c r="K1617">
        <f t="shared" si="102"/>
        <v>16</v>
      </c>
      <c r="L1617" t="s">
        <v>1736</v>
      </c>
      <c r="M1617" t="s">
        <v>3782</v>
      </c>
      <c r="O1617">
        <v>412207</v>
      </c>
      <c r="P1617" t="s">
        <v>546</v>
      </c>
      <c r="Q1617" t="s">
        <v>1761</v>
      </c>
      <c r="R1617" t="s">
        <v>2</v>
      </c>
      <c r="S1617">
        <v>3.75</v>
      </c>
      <c r="T1617">
        <v>1</v>
      </c>
      <c r="U1617">
        <v>0.1</v>
      </c>
      <c r="V1617">
        <v>1.8</v>
      </c>
      <c r="W1617">
        <f t="shared" si="103"/>
        <v>1.95</v>
      </c>
      <c r="X1617">
        <v>5</v>
      </c>
    </row>
    <row r="1618" spans="1:24" x14ac:dyDescent="0.3">
      <c r="A1618">
        <v>1617</v>
      </c>
      <c r="B1618" t="s">
        <v>3370</v>
      </c>
      <c r="C1618" s="6">
        <v>45813</v>
      </c>
      <c r="D1618" t="str">
        <f t="shared" si="100"/>
        <v>Jun</v>
      </c>
      <c r="E1618" t="str">
        <f t="shared" si="101"/>
        <v>2025</v>
      </c>
      <c r="F1618" t="s">
        <v>4</v>
      </c>
      <c r="G1618" t="s">
        <v>458</v>
      </c>
      <c r="H1618" t="s">
        <v>801</v>
      </c>
      <c r="I1618">
        <v>130</v>
      </c>
      <c r="J1618">
        <v>18</v>
      </c>
      <c r="K1618">
        <f t="shared" si="102"/>
        <v>13.846153846153847</v>
      </c>
      <c r="L1618" t="s">
        <v>1744</v>
      </c>
      <c r="M1618" t="s">
        <v>3783</v>
      </c>
      <c r="N1618" t="s">
        <v>1</v>
      </c>
      <c r="O1618">
        <v>571313</v>
      </c>
      <c r="P1618" t="s">
        <v>546</v>
      </c>
      <c r="Q1618" t="s">
        <v>1761</v>
      </c>
      <c r="R1618" t="s">
        <v>2</v>
      </c>
      <c r="S1618">
        <v>41.4</v>
      </c>
      <c r="T1618">
        <v>4</v>
      </c>
      <c r="U1618">
        <v>0.1</v>
      </c>
      <c r="V1618">
        <v>19.872</v>
      </c>
      <c r="W1618">
        <f t="shared" si="103"/>
        <v>5.3819999999999997</v>
      </c>
      <c r="X1618">
        <v>5</v>
      </c>
    </row>
    <row r="1619" spans="1:24" x14ac:dyDescent="0.3">
      <c r="A1619">
        <v>1618</v>
      </c>
      <c r="B1619" t="s">
        <v>3371</v>
      </c>
      <c r="C1619" s="6">
        <v>45814</v>
      </c>
      <c r="D1619" t="str">
        <f t="shared" si="100"/>
        <v>Jun</v>
      </c>
      <c r="E1619" t="str">
        <f t="shared" si="101"/>
        <v>2025</v>
      </c>
      <c r="F1619" t="s">
        <v>4</v>
      </c>
      <c r="G1619" t="s">
        <v>458</v>
      </c>
      <c r="H1619" t="s">
        <v>1615</v>
      </c>
      <c r="I1619">
        <v>240</v>
      </c>
      <c r="J1619">
        <v>14</v>
      </c>
      <c r="K1619">
        <f t="shared" si="102"/>
        <v>5.833333333333333</v>
      </c>
      <c r="L1619" t="s">
        <v>1740</v>
      </c>
      <c r="M1619" t="s">
        <v>3784</v>
      </c>
      <c r="N1619" t="s">
        <v>1</v>
      </c>
      <c r="O1619">
        <v>400082</v>
      </c>
      <c r="P1619" t="s">
        <v>546</v>
      </c>
      <c r="Q1619" t="s">
        <v>1755</v>
      </c>
      <c r="R1619" t="s">
        <v>2</v>
      </c>
      <c r="S1619">
        <v>29.79</v>
      </c>
      <c r="T1619">
        <v>3</v>
      </c>
      <c r="U1619">
        <v>0.1</v>
      </c>
      <c r="V1619">
        <v>12.511799999999999</v>
      </c>
      <c r="W1619">
        <f t="shared" si="103"/>
        <v>5.7593999999999994</v>
      </c>
      <c r="X1619">
        <v>2</v>
      </c>
    </row>
    <row r="1620" spans="1:24" x14ac:dyDescent="0.3">
      <c r="A1620">
        <v>1619</v>
      </c>
      <c r="B1620" t="s">
        <v>3372</v>
      </c>
      <c r="C1620" s="6">
        <v>45815</v>
      </c>
      <c r="D1620" t="str">
        <f t="shared" si="100"/>
        <v>Jun</v>
      </c>
      <c r="E1620" t="str">
        <f t="shared" si="101"/>
        <v>2025</v>
      </c>
      <c r="F1620" t="s">
        <v>3</v>
      </c>
      <c r="G1620" t="s">
        <v>50</v>
      </c>
      <c r="H1620" t="s">
        <v>1616</v>
      </c>
      <c r="I1620">
        <v>210</v>
      </c>
      <c r="J1620">
        <v>14</v>
      </c>
      <c r="K1620">
        <f t="shared" si="102"/>
        <v>6.666666666666667</v>
      </c>
      <c r="L1620" t="s">
        <v>1742</v>
      </c>
      <c r="M1620" t="s">
        <v>3647</v>
      </c>
      <c r="N1620" t="s">
        <v>1</v>
      </c>
      <c r="O1620">
        <v>700052</v>
      </c>
      <c r="P1620" t="s">
        <v>546</v>
      </c>
      <c r="Q1620" t="s">
        <v>1774</v>
      </c>
      <c r="R1620" t="s">
        <v>2</v>
      </c>
      <c r="S1620">
        <v>59.48</v>
      </c>
      <c r="T1620">
        <v>2</v>
      </c>
      <c r="U1620">
        <v>0.1</v>
      </c>
      <c r="V1620">
        <v>8.9220000000000006</v>
      </c>
      <c r="W1620">
        <f t="shared" si="103"/>
        <v>25.278999999999996</v>
      </c>
      <c r="X1620">
        <v>5</v>
      </c>
    </row>
    <row r="1621" spans="1:24" x14ac:dyDescent="0.3">
      <c r="A1621">
        <v>1620</v>
      </c>
      <c r="B1621" t="s">
        <v>3373</v>
      </c>
      <c r="C1621" s="6">
        <v>45816</v>
      </c>
      <c r="D1621" t="str">
        <f t="shared" si="100"/>
        <v>Jun</v>
      </c>
      <c r="E1621" t="str">
        <f t="shared" si="101"/>
        <v>2025</v>
      </c>
      <c r="F1621" t="s">
        <v>3</v>
      </c>
      <c r="G1621" t="s">
        <v>50</v>
      </c>
      <c r="H1621" t="s">
        <v>1617</v>
      </c>
      <c r="I1621">
        <v>100</v>
      </c>
      <c r="J1621">
        <v>28</v>
      </c>
      <c r="K1621">
        <f t="shared" si="102"/>
        <v>28.000000000000004</v>
      </c>
      <c r="L1621" t="s">
        <v>1739</v>
      </c>
      <c r="M1621" t="s">
        <v>3785</v>
      </c>
      <c r="N1621" t="s">
        <v>1</v>
      </c>
      <c r="O1621">
        <v>571401</v>
      </c>
      <c r="P1621" t="s">
        <v>546</v>
      </c>
      <c r="Q1621" t="s">
        <v>1769</v>
      </c>
      <c r="S1621">
        <v>6.69</v>
      </c>
      <c r="T1621">
        <v>1</v>
      </c>
      <c r="U1621">
        <v>0.1</v>
      </c>
      <c r="V1621">
        <v>3.0773999999999999</v>
      </c>
      <c r="W1621">
        <f t="shared" si="103"/>
        <v>3.6126000000000005</v>
      </c>
      <c r="X1621">
        <v>3</v>
      </c>
    </row>
    <row r="1622" spans="1:24" x14ac:dyDescent="0.3">
      <c r="A1622">
        <v>1621</v>
      </c>
      <c r="B1622" t="s">
        <v>3374</v>
      </c>
      <c r="C1622" s="6">
        <v>45817</v>
      </c>
      <c r="D1622" t="str">
        <f t="shared" si="100"/>
        <v>Jun</v>
      </c>
      <c r="E1622" t="str">
        <f t="shared" si="101"/>
        <v>2025</v>
      </c>
      <c r="F1622" t="s">
        <v>4</v>
      </c>
      <c r="G1622" t="s">
        <v>512</v>
      </c>
      <c r="H1622" t="s">
        <v>1618</v>
      </c>
      <c r="I1622">
        <v>240</v>
      </c>
      <c r="J1622">
        <v>14</v>
      </c>
      <c r="K1622">
        <f t="shared" si="102"/>
        <v>5.833333333333333</v>
      </c>
      <c r="L1622" t="s">
        <v>1738</v>
      </c>
      <c r="M1622" t="s">
        <v>3786</v>
      </c>
      <c r="N1622" t="s">
        <v>1</v>
      </c>
      <c r="O1622">
        <v>110093</v>
      </c>
      <c r="P1622" t="s">
        <v>546</v>
      </c>
      <c r="Q1622" t="s">
        <v>1775</v>
      </c>
      <c r="S1622">
        <v>198.46</v>
      </c>
      <c r="T1622">
        <v>2</v>
      </c>
      <c r="U1622">
        <v>0.1</v>
      </c>
      <c r="V1622">
        <v>99.23</v>
      </c>
      <c r="W1622">
        <f t="shared" si="103"/>
        <v>49.615000000000002</v>
      </c>
      <c r="X1622">
        <v>4</v>
      </c>
    </row>
    <row r="1623" spans="1:24" x14ac:dyDescent="0.3">
      <c r="A1623">
        <v>1622</v>
      </c>
      <c r="B1623" t="s">
        <v>3375</v>
      </c>
      <c r="C1623" s="6">
        <v>45818</v>
      </c>
      <c r="D1623" t="str">
        <f t="shared" si="100"/>
        <v>Jun</v>
      </c>
      <c r="E1623" t="str">
        <f t="shared" si="101"/>
        <v>2025</v>
      </c>
      <c r="F1623" t="s">
        <v>4</v>
      </c>
      <c r="G1623" t="s">
        <v>512</v>
      </c>
      <c r="H1623" t="s">
        <v>1055</v>
      </c>
      <c r="I1623">
        <v>110</v>
      </c>
      <c r="J1623">
        <v>28</v>
      </c>
      <c r="K1623">
        <f t="shared" si="102"/>
        <v>25.454545454545453</v>
      </c>
      <c r="L1623" t="s">
        <v>1737</v>
      </c>
      <c r="M1623" t="s">
        <v>3787</v>
      </c>
      <c r="N1623" t="s">
        <v>1</v>
      </c>
      <c r="O1623">
        <v>734301</v>
      </c>
      <c r="P1623" t="s">
        <v>546</v>
      </c>
      <c r="Q1623" t="s">
        <v>1755</v>
      </c>
      <c r="S1623">
        <v>786.48</v>
      </c>
      <c r="T1623">
        <v>8</v>
      </c>
      <c r="U1623">
        <v>0.1</v>
      </c>
      <c r="V1623">
        <v>385.37520000000001</v>
      </c>
      <c r="W1623">
        <f t="shared" si="103"/>
        <v>50.138100000000001</v>
      </c>
      <c r="X1623">
        <v>4</v>
      </c>
    </row>
    <row r="1624" spans="1:24" x14ac:dyDescent="0.3">
      <c r="A1624">
        <v>1623</v>
      </c>
      <c r="B1624" t="s">
        <v>3376</v>
      </c>
      <c r="C1624" s="6">
        <v>45819</v>
      </c>
      <c r="D1624" t="str">
        <f t="shared" si="100"/>
        <v>Jun</v>
      </c>
      <c r="E1624" t="str">
        <f t="shared" si="101"/>
        <v>2025</v>
      </c>
      <c r="F1624" t="s">
        <v>4</v>
      </c>
      <c r="G1624" t="s">
        <v>512</v>
      </c>
      <c r="H1624" t="s">
        <v>1044</v>
      </c>
      <c r="I1624">
        <v>110</v>
      </c>
      <c r="J1624">
        <v>24</v>
      </c>
      <c r="K1624">
        <f t="shared" si="102"/>
        <v>21.818181818181817</v>
      </c>
      <c r="L1624" t="s">
        <v>1743</v>
      </c>
      <c r="M1624" t="s">
        <v>3736</v>
      </c>
      <c r="N1624" t="s">
        <v>1</v>
      </c>
      <c r="O1624">
        <v>412412</v>
      </c>
      <c r="P1624" t="s">
        <v>546</v>
      </c>
      <c r="Q1624" t="s">
        <v>1772</v>
      </c>
      <c r="S1624">
        <v>23.167999999999999</v>
      </c>
      <c r="T1624">
        <v>2</v>
      </c>
      <c r="U1624">
        <v>0.2</v>
      </c>
      <c r="V1624">
        <v>7.8192000000000004</v>
      </c>
      <c r="W1624">
        <f t="shared" si="103"/>
        <v>7.6743999999999994</v>
      </c>
      <c r="X1624">
        <v>1</v>
      </c>
    </row>
    <row r="1625" spans="1:24" x14ac:dyDescent="0.3">
      <c r="A1625">
        <v>1624</v>
      </c>
      <c r="B1625" t="s">
        <v>3377</v>
      </c>
      <c r="C1625" s="6">
        <v>45820</v>
      </c>
      <c r="D1625" t="str">
        <f t="shared" si="100"/>
        <v>Jun</v>
      </c>
      <c r="E1625" t="str">
        <f t="shared" si="101"/>
        <v>2025</v>
      </c>
      <c r="F1625" t="s">
        <v>4</v>
      </c>
      <c r="G1625" t="s">
        <v>512</v>
      </c>
      <c r="H1625" t="s">
        <v>1619</v>
      </c>
      <c r="I1625">
        <v>230</v>
      </c>
      <c r="J1625">
        <v>28</v>
      </c>
      <c r="K1625">
        <f t="shared" si="102"/>
        <v>12.173913043478262</v>
      </c>
      <c r="L1625" t="s">
        <v>1738</v>
      </c>
      <c r="M1625" t="s">
        <v>3788</v>
      </c>
      <c r="N1625" t="s">
        <v>1</v>
      </c>
      <c r="O1625">
        <v>396321</v>
      </c>
      <c r="P1625" t="s">
        <v>546</v>
      </c>
      <c r="Q1625" t="s">
        <v>1763</v>
      </c>
      <c r="S1625">
        <v>50</v>
      </c>
      <c r="T1625">
        <v>2</v>
      </c>
      <c r="U1625">
        <v>0.1</v>
      </c>
      <c r="V1625">
        <v>10.5</v>
      </c>
      <c r="W1625">
        <f t="shared" si="103"/>
        <v>19.75</v>
      </c>
      <c r="X1625">
        <v>2</v>
      </c>
    </row>
    <row r="1626" spans="1:24" x14ac:dyDescent="0.3">
      <c r="A1626">
        <v>1625</v>
      </c>
      <c r="B1626" t="s">
        <v>3378</v>
      </c>
      <c r="C1626" s="6">
        <v>45821</v>
      </c>
      <c r="D1626" t="str">
        <f t="shared" si="100"/>
        <v>Jun</v>
      </c>
      <c r="E1626" t="str">
        <f t="shared" si="101"/>
        <v>2025</v>
      </c>
      <c r="F1626" t="s">
        <v>4</v>
      </c>
      <c r="G1626" t="s">
        <v>513</v>
      </c>
      <c r="H1626" t="s">
        <v>1528</v>
      </c>
      <c r="I1626">
        <v>240</v>
      </c>
      <c r="J1626">
        <v>24</v>
      </c>
      <c r="K1626">
        <f t="shared" si="102"/>
        <v>10</v>
      </c>
      <c r="L1626" t="s">
        <v>1739</v>
      </c>
      <c r="M1626" t="s">
        <v>3588</v>
      </c>
      <c r="N1626" t="s">
        <v>1</v>
      </c>
      <c r="O1626">
        <v>110081</v>
      </c>
      <c r="P1626" t="s">
        <v>546</v>
      </c>
      <c r="Q1626" t="s">
        <v>1756</v>
      </c>
      <c r="R1626" t="s">
        <v>2</v>
      </c>
      <c r="S1626">
        <v>675.96</v>
      </c>
      <c r="T1626">
        <v>5</v>
      </c>
      <c r="U1626">
        <v>0.2</v>
      </c>
      <c r="V1626">
        <v>84.495000000000005</v>
      </c>
      <c r="W1626">
        <f t="shared" si="103"/>
        <v>118.29300000000001</v>
      </c>
      <c r="X1626">
        <v>5</v>
      </c>
    </row>
    <row r="1627" spans="1:24" x14ac:dyDescent="0.3">
      <c r="A1627">
        <v>1626</v>
      </c>
      <c r="B1627" t="s">
        <v>3379</v>
      </c>
      <c r="C1627" s="6">
        <v>45822</v>
      </c>
      <c r="D1627" t="str">
        <f t="shared" si="100"/>
        <v>Jun</v>
      </c>
      <c r="E1627" t="str">
        <f t="shared" si="101"/>
        <v>2025</v>
      </c>
      <c r="F1627" t="s">
        <v>4</v>
      </c>
      <c r="G1627" t="s">
        <v>513</v>
      </c>
      <c r="H1627" t="s">
        <v>1242</v>
      </c>
      <c r="I1627">
        <v>220</v>
      </c>
      <c r="J1627">
        <v>18</v>
      </c>
      <c r="K1627">
        <f t="shared" si="102"/>
        <v>8.1818181818181817</v>
      </c>
      <c r="L1627" t="s">
        <v>1741</v>
      </c>
      <c r="M1627" t="s">
        <v>3789</v>
      </c>
      <c r="N1627" t="s">
        <v>1</v>
      </c>
      <c r="O1627">
        <v>571313</v>
      </c>
      <c r="P1627" t="s">
        <v>546</v>
      </c>
      <c r="Q1627" t="s">
        <v>1755</v>
      </c>
      <c r="S1627">
        <v>1265.8499999999999</v>
      </c>
      <c r="T1627">
        <v>3</v>
      </c>
      <c r="U1627">
        <v>0.1</v>
      </c>
      <c r="V1627">
        <v>556.97400000000005</v>
      </c>
      <c r="W1627">
        <f t="shared" si="103"/>
        <v>236.29199999999994</v>
      </c>
      <c r="X1627">
        <v>2</v>
      </c>
    </row>
    <row r="1628" spans="1:24" x14ac:dyDescent="0.3">
      <c r="A1628">
        <v>1627</v>
      </c>
      <c r="B1628" t="s">
        <v>3380</v>
      </c>
      <c r="C1628" s="6">
        <v>45823</v>
      </c>
      <c r="D1628" t="str">
        <f t="shared" si="100"/>
        <v>Jun</v>
      </c>
      <c r="E1628" t="str">
        <f t="shared" si="101"/>
        <v>2025</v>
      </c>
      <c r="F1628" t="s">
        <v>4</v>
      </c>
      <c r="G1628" t="s">
        <v>185</v>
      </c>
      <c r="H1628" t="s">
        <v>1096</v>
      </c>
      <c r="I1628">
        <v>220</v>
      </c>
      <c r="J1628">
        <v>12</v>
      </c>
      <c r="K1628">
        <f t="shared" si="102"/>
        <v>5.4545454545454541</v>
      </c>
      <c r="L1628" t="s">
        <v>1736</v>
      </c>
      <c r="M1628" t="s">
        <v>3790</v>
      </c>
      <c r="N1628" t="s">
        <v>1</v>
      </c>
      <c r="O1628">
        <v>625512</v>
      </c>
      <c r="P1628" t="s">
        <v>546</v>
      </c>
      <c r="Q1628" t="s">
        <v>1765</v>
      </c>
      <c r="R1628" t="s">
        <v>2</v>
      </c>
      <c r="S1628">
        <v>523.25</v>
      </c>
      <c r="T1628">
        <v>5</v>
      </c>
      <c r="U1628">
        <v>0.1</v>
      </c>
      <c r="V1628">
        <v>141.2775</v>
      </c>
      <c r="W1628">
        <f t="shared" si="103"/>
        <v>76.394499999999994</v>
      </c>
      <c r="X1628">
        <v>2</v>
      </c>
    </row>
    <row r="1629" spans="1:24" x14ac:dyDescent="0.3">
      <c r="A1629">
        <v>1628</v>
      </c>
      <c r="B1629" t="s">
        <v>3381</v>
      </c>
      <c r="C1629" s="6">
        <v>45824</v>
      </c>
      <c r="D1629" t="str">
        <f t="shared" si="100"/>
        <v>Jun</v>
      </c>
      <c r="E1629" t="str">
        <f t="shared" si="101"/>
        <v>2025</v>
      </c>
      <c r="F1629" t="s">
        <v>4</v>
      </c>
      <c r="G1629" t="s">
        <v>514</v>
      </c>
      <c r="H1629" t="s">
        <v>1413</v>
      </c>
      <c r="I1629">
        <v>110</v>
      </c>
      <c r="J1629">
        <v>8</v>
      </c>
      <c r="K1629">
        <f t="shared" si="102"/>
        <v>7.2727272727272725</v>
      </c>
      <c r="L1629" t="s">
        <v>1744</v>
      </c>
      <c r="M1629" t="s">
        <v>3685</v>
      </c>
      <c r="N1629" t="s">
        <v>1</v>
      </c>
      <c r="O1629">
        <v>395007</v>
      </c>
      <c r="P1629" t="s">
        <v>546</v>
      </c>
      <c r="Q1629" t="s">
        <v>1776</v>
      </c>
      <c r="R1629" t="s">
        <v>2</v>
      </c>
      <c r="S1629">
        <v>517.5</v>
      </c>
      <c r="T1629">
        <v>6</v>
      </c>
      <c r="U1629">
        <v>0.1</v>
      </c>
      <c r="V1629">
        <v>155.25</v>
      </c>
      <c r="W1629">
        <f t="shared" si="103"/>
        <v>60.375</v>
      </c>
      <c r="X1629">
        <v>5</v>
      </c>
    </row>
    <row r="1630" spans="1:24" x14ac:dyDescent="0.3">
      <c r="A1630">
        <v>1629</v>
      </c>
      <c r="B1630" t="s">
        <v>3382</v>
      </c>
      <c r="C1630" s="6">
        <v>45825</v>
      </c>
      <c r="D1630" t="str">
        <f t="shared" si="100"/>
        <v>Jun</v>
      </c>
      <c r="E1630" t="str">
        <f t="shared" si="101"/>
        <v>2025</v>
      </c>
      <c r="F1630" t="s">
        <v>3</v>
      </c>
      <c r="G1630" t="s">
        <v>245</v>
      </c>
      <c r="H1630" t="s">
        <v>1620</v>
      </c>
      <c r="I1630">
        <v>230</v>
      </c>
      <c r="J1630">
        <v>8</v>
      </c>
      <c r="K1630">
        <f t="shared" si="102"/>
        <v>3.4782608695652173</v>
      </c>
      <c r="L1630" t="s">
        <v>1740</v>
      </c>
      <c r="M1630" t="s">
        <v>3791</v>
      </c>
      <c r="N1630" t="s">
        <v>1</v>
      </c>
      <c r="O1630">
        <v>560043</v>
      </c>
      <c r="P1630" t="s">
        <v>546</v>
      </c>
      <c r="Q1630" t="s">
        <v>1759</v>
      </c>
      <c r="S1630">
        <v>17.920000000000002</v>
      </c>
      <c r="T1630">
        <v>5</v>
      </c>
      <c r="U1630">
        <v>0.2</v>
      </c>
      <c r="V1630">
        <v>2.464</v>
      </c>
      <c r="W1630">
        <f t="shared" si="103"/>
        <v>3.0912000000000002</v>
      </c>
      <c r="X1630">
        <v>3</v>
      </c>
    </row>
    <row r="1631" spans="1:24" x14ac:dyDescent="0.3">
      <c r="A1631">
        <v>1630</v>
      </c>
      <c r="B1631" t="s">
        <v>3383</v>
      </c>
      <c r="C1631" s="6">
        <v>45826</v>
      </c>
      <c r="D1631" t="str">
        <f t="shared" si="100"/>
        <v>Jun</v>
      </c>
      <c r="E1631" t="str">
        <f t="shared" si="101"/>
        <v>2025</v>
      </c>
      <c r="F1631" t="s">
        <v>3</v>
      </c>
      <c r="G1631" t="s">
        <v>245</v>
      </c>
      <c r="H1631" t="s">
        <v>1257</v>
      </c>
      <c r="I1631">
        <v>180</v>
      </c>
      <c r="J1631">
        <v>8</v>
      </c>
      <c r="K1631">
        <f t="shared" si="102"/>
        <v>4.4444444444444446</v>
      </c>
      <c r="L1631" t="s">
        <v>1742</v>
      </c>
      <c r="M1631" t="s">
        <v>3696</v>
      </c>
      <c r="N1631" t="s">
        <v>1</v>
      </c>
      <c r="O1631">
        <v>560043</v>
      </c>
      <c r="P1631" t="s">
        <v>546</v>
      </c>
      <c r="Q1631" t="s">
        <v>1763</v>
      </c>
      <c r="S1631">
        <v>41.256</v>
      </c>
      <c r="T1631">
        <v>6</v>
      </c>
      <c r="U1631">
        <v>0.7</v>
      </c>
      <c r="V1631">
        <v>-34.380000000000003</v>
      </c>
      <c r="W1631">
        <f t="shared" si="103"/>
        <v>12.606</v>
      </c>
      <c r="X1631">
        <v>5</v>
      </c>
    </row>
    <row r="1632" spans="1:24" x14ac:dyDescent="0.3">
      <c r="A1632">
        <v>1631</v>
      </c>
      <c r="B1632" t="s">
        <v>3384</v>
      </c>
      <c r="C1632" s="6">
        <v>45827</v>
      </c>
      <c r="D1632" t="str">
        <f t="shared" si="100"/>
        <v>Jun</v>
      </c>
      <c r="E1632" t="str">
        <f t="shared" si="101"/>
        <v>2025</v>
      </c>
      <c r="F1632" t="s">
        <v>6</v>
      </c>
      <c r="G1632" t="s">
        <v>59</v>
      </c>
      <c r="H1632" t="s">
        <v>1621</v>
      </c>
      <c r="I1632">
        <v>220</v>
      </c>
      <c r="J1632">
        <v>26</v>
      </c>
      <c r="K1632">
        <f t="shared" si="102"/>
        <v>11.818181818181818</v>
      </c>
      <c r="L1632" t="s">
        <v>1739</v>
      </c>
      <c r="M1632" t="s">
        <v>3697</v>
      </c>
      <c r="N1632" t="s">
        <v>1</v>
      </c>
      <c r="O1632">
        <v>560043</v>
      </c>
      <c r="P1632" t="s">
        <v>546</v>
      </c>
      <c r="Q1632" t="s">
        <v>1769</v>
      </c>
      <c r="S1632">
        <v>1006.056</v>
      </c>
      <c r="T1632">
        <v>3</v>
      </c>
      <c r="U1632">
        <v>0.2</v>
      </c>
      <c r="V1632">
        <v>88.029899999999998</v>
      </c>
      <c r="W1632">
        <f t="shared" si="103"/>
        <v>306.00870000000003</v>
      </c>
      <c r="X1632">
        <v>1</v>
      </c>
    </row>
    <row r="1633" spans="1:24" x14ac:dyDescent="0.3">
      <c r="A1633">
        <v>1632</v>
      </c>
      <c r="B1633" t="s">
        <v>3385</v>
      </c>
      <c r="C1633" s="6">
        <v>45828</v>
      </c>
      <c r="D1633" t="str">
        <f t="shared" si="100"/>
        <v>Jun</v>
      </c>
      <c r="E1633" t="str">
        <f t="shared" si="101"/>
        <v>2025</v>
      </c>
      <c r="F1633" t="s">
        <v>6</v>
      </c>
      <c r="G1633" t="s">
        <v>59</v>
      </c>
      <c r="H1633" t="s">
        <v>1028</v>
      </c>
      <c r="I1633">
        <v>180</v>
      </c>
      <c r="J1633">
        <v>14</v>
      </c>
      <c r="K1633">
        <f t="shared" si="102"/>
        <v>7.7777777777777777</v>
      </c>
      <c r="L1633" t="s">
        <v>1738</v>
      </c>
      <c r="M1633" t="s">
        <v>3792</v>
      </c>
      <c r="N1633" t="s">
        <v>1</v>
      </c>
      <c r="O1633">
        <v>110075</v>
      </c>
      <c r="P1633" t="s">
        <v>546</v>
      </c>
      <c r="Q1633" t="s">
        <v>1755</v>
      </c>
      <c r="R1633" t="s">
        <v>2</v>
      </c>
      <c r="S1633">
        <v>10.688000000000001</v>
      </c>
      <c r="T1633">
        <v>2</v>
      </c>
      <c r="U1633">
        <v>0.2</v>
      </c>
      <c r="V1633">
        <v>3.7408000000000001</v>
      </c>
      <c r="W1633">
        <f t="shared" si="103"/>
        <v>3.4736000000000002</v>
      </c>
      <c r="X1633">
        <v>2</v>
      </c>
    </row>
    <row r="1634" spans="1:24" x14ac:dyDescent="0.3">
      <c r="A1634">
        <v>1633</v>
      </c>
      <c r="B1634" t="s">
        <v>3386</v>
      </c>
      <c r="C1634" s="6">
        <v>45829</v>
      </c>
      <c r="D1634" t="str">
        <f t="shared" si="100"/>
        <v>Jun</v>
      </c>
      <c r="E1634" t="str">
        <f t="shared" si="101"/>
        <v>2025</v>
      </c>
      <c r="F1634" t="s">
        <v>6</v>
      </c>
      <c r="G1634" t="s">
        <v>59</v>
      </c>
      <c r="H1634" t="s">
        <v>1045</v>
      </c>
      <c r="I1634">
        <v>240</v>
      </c>
      <c r="J1634">
        <v>12</v>
      </c>
      <c r="K1634">
        <f t="shared" si="102"/>
        <v>5</v>
      </c>
      <c r="L1634" t="s">
        <v>1737</v>
      </c>
      <c r="M1634" t="s">
        <v>3793</v>
      </c>
      <c r="N1634" t="s">
        <v>1</v>
      </c>
      <c r="O1634">
        <v>580020</v>
      </c>
      <c r="P1634" t="s">
        <v>546</v>
      </c>
      <c r="Q1634" t="s">
        <v>1759</v>
      </c>
      <c r="S1634">
        <v>10.368</v>
      </c>
      <c r="T1634">
        <v>2</v>
      </c>
      <c r="U1634">
        <v>0.2</v>
      </c>
      <c r="V1634">
        <v>3.6288</v>
      </c>
      <c r="W1634">
        <f t="shared" si="103"/>
        <v>3.3696000000000002</v>
      </c>
      <c r="X1634">
        <v>3</v>
      </c>
    </row>
    <row r="1635" spans="1:24" x14ac:dyDescent="0.3">
      <c r="A1635">
        <v>1634</v>
      </c>
      <c r="B1635" t="s">
        <v>3387</v>
      </c>
      <c r="C1635" s="6">
        <v>45830</v>
      </c>
      <c r="D1635" t="str">
        <f t="shared" si="100"/>
        <v>Jun</v>
      </c>
      <c r="E1635" t="str">
        <f t="shared" si="101"/>
        <v>2025</v>
      </c>
      <c r="F1635" t="s">
        <v>6</v>
      </c>
      <c r="G1635" t="s">
        <v>59</v>
      </c>
      <c r="H1635" t="s">
        <v>1500</v>
      </c>
      <c r="I1635">
        <v>170</v>
      </c>
      <c r="J1635">
        <v>14</v>
      </c>
      <c r="K1635">
        <f t="shared" si="102"/>
        <v>8.235294117647058</v>
      </c>
      <c r="L1635" t="s">
        <v>1743</v>
      </c>
      <c r="M1635" t="s">
        <v>3794</v>
      </c>
      <c r="N1635" t="s">
        <v>1</v>
      </c>
      <c r="O1635">
        <v>670581</v>
      </c>
      <c r="P1635" t="s">
        <v>546</v>
      </c>
      <c r="Q1635" t="s">
        <v>1764</v>
      </c>
      <c r="S1635">
        <v>25.12</v>
      </c>
      <c r="T1635">
        <v>2</v>
      </c>
      <c r="U1635">
        <v>0.2</v>
      </c>
      <c r="V1635">
        <v>1.57</v>
      </c>
      <c r="W1635">
        <f t="shared" si="103"/>
        <v>11.775</v>
      </c>
      <c r="X1635">
        <v>3</v>
      </c>
    </row>
    <row r="1636" spans="1:24" x14ac:dyDescent="0.3">
      <c r="A1636">
        <v>1635</v>
      </c>
      <c r="B1636" t="s">
        <v>3388</v>
      </c>
      <c r="C1636" s="6">
        <v>45831</v>
      </c>
      <c r="D1636" t="str">
        <f t="shared" si="100"/>
        <v>Jun</v>
      </c>
      <c r="E1636" t="str">
        <f t="shared" si="101"/>
        <v>2025</v>
      </c>
      <c r="F1636" t="s">
        <v>6</v>
      </c>
      <c r="G1636" t="s">
        <v>59</v>
      </c>
      <c r="H1636" t="s">
        <v>1024</v>
      </c>
      <c r="I1636">
        <v>120</v>
      </c>
      <c r="J1636">
        <v>24</v>
      </c>
      <c r="K1636">
        <f t="shared" si="102"/>
        <v>20</v>
      </c>
      <c r="L1636" t="s">
        <v>1738</v>
      </c>
      <c r="M1636" t="s">
        <v>3795</v>
      </c>
      <c r="N1636" t="s">
        <v>1</v>
      </c>
      <c r="O1636">
        <v>500049</v>
      </c>
      <c r="P1636" t="s">
        <v>546</v>
      </c>
      <c r="Q1636" t="s">
        <v>1768</v>
      </c>
      <c r="S1636">
        <v>58.112000000000002</v>
      </c>
      <c r="T1636">
        <v>2</v>
      </c>
      <c r="U1636">
        <v>0.2</v>
      </c>
      <c r="V1636">
        <v>7.2640000000000002</v>
      </c>
      <c r="W1636">
        <f t="shared" si="103"/>
        <v>25.423999999999999</v>
      </c>
      <c r="X1636">
        <v>2</v>
      </c>
    </row>
    <row r="1637" spans="1:24" x14ac:dyDescent="0.3">
      <c r="A1637">
        <v>1636</v>
      </c>
      <c r="B1637" t="s">
        <v>3389</v>
      </c>
      <c r="C1637" s="6">
        <v>45832</v>
      </c>
      <c r="D1637" t="str">
        <f t="shared" si="100"/>
        <v>Jun</v>
      </c>
      <c r="E1637" t="str">
        <f t="shared" si="101"/>
        <v>2025</v>
      </c>
      <c r="F1637" t="s">
        <v>4</v>
      </c>
      <c r="G1637" t="s">
        <v>515</v>
      </c>
      <c r="H1637" t="s">
        <v>1325</v>
      </c>
      <c r="I1637">
        <v>220</v>
      </c>
      <c r="J1637">
        <v>18</v>
      </c>
      <c r="K1637">
        <f t="shared" si="102"/>
        <v>8.1818181818181817</v>
      </c>
      <c r="L1637" t="s">
        <v>1739</v>
      </c>
      <c r="M1637" t="s">
        <v>3594</v>
      </c>
      <c r="N1637" t="s">
        <v>1</v>
      </c>
      <c r="O1637">
        <v>360002</v>
      </c>
      <c r="P1637" t="s">
        <v>546</v>
      </c>
      <c r="Q1637" t="s">
        <v>1772</v>
      </c>
      <c r="S1637">
        <v>15.552</v>
      </c>
      <c r="T1637">
        <v>3</v>
      </c>
      <c r="U1637">
        <v>0.2</v>
      </c>
      <c r="V1637">
        <v>5.4432</v>
      </c>
      <c r="W1637">
        <f t="shared" si="103"/>
        <v>3.3695999999999997</v>
      </c>
      <c r="X1637">
        <v>2</v>
      </c>
    </row>
    <row r="1638" spans="1:24" x14ac:dyDescent="0.3">
      <c r="A1638">
        <v>1637</v>
      </c>
      <c r="B1638" t="s">
        <v>3390</v>
      </c>
      <c r="C1638" s="6">
        <v>45833</v>
      </c>
      <c r="D1638" t="str">
        <f t="shared" si="100"/>
        <v>Jun</v>
      </c>
      <c r="E1638" t="str">
        <f t="shared" si="101"/>
        <v>2025</v>
      </c>
      <c r="F1638" t="s">
        <v>4</v>
      </c>
      <c r="G1638" t="s">
        <v>515</v>
      </c>
      <c r="H1638" t="s">
        <v>1296</v>
      </c>
      <c r="I1638">
        <v>100</v>
      </c>
      <c r="J1638">
        <v>26</v>
      </c>
      <c r="K1638">
        <f t="shared" si="102"/>
        <v>26</v>
      </c>
      <c r="L1638" t="s">
        <v>1741</v>
      </c>
      <c r="M1638" t="s">
        <v>3796</v>
      </c>
      <c r="N1638" t="s">
        <v>1</v>
      </c>
      <c r="O1638">
        <v>700040</v>
      </c>
      <c r="P1638" t="s">
        <v>546</v>
      </c>
      <c r="Q1638" t="s">
        <v>1769</v>
      </c>
      <c r="R1638" t="s">
        <v>2</v>
      </c>
      <c r="S1638">
        <v>669.08</v>
      </c>
      <c r="T1638">
        <v>5</v>
      </c>
      <c r="U1638">
        <v>0.2</v>
      </c>
      <c r="V1638">
        <v>-167.27</v>
      </c>
      <c r="W1638">
        <f t="shared" si="103"/>
        <v>167.27</v>
      </c>
      <c r="X1638">
        <v>2</v>
      </c>
    </row>
    <row r="1639" spans="1:24" x14ac:dyDescent="0.3">
      <c r="A1639">
        <v>1638</v>
      </c>
      <c r="B1639" t="s">
        <v>3391</v>
      </c>
      <c r="C1639" s="6">
        <v>45834</v>
      </c>
      <c r="D1639" t="str">
        <f t="shared" si="100"/>
        <v>Jun</v>
      </c>
      <c r="E1639" t="str">
        <f t="shared" si="101"/>
        <v>2025</v>
      </c>
      <c r="F1639" t="s">
        <v>4</v>
      </c>
      <c r="G1639" t="s">
        <v>515</v>
      </c>
      <c r="H1639" t="s">
        <v>1622</v>
      </c>
      <c r="I1639">
        <v>160</v>
      </c>
      <c r="J1639">
        <v>16</v>
      </c>
      <c r="K1639">
        <f t="shared" si="102"/>
        <v>10</v>
      </c>
      <c r="L1639" t="s">
        <v>1736</v>
      </c>
      <c r="M1639" t="s">
        <v>3797</v>
      </c>
      <c r="N1639" t="s">
        <v>1</v>
      </c>
      <c r="O1639">
        <v>425409</v>
      </c>
      <c r="P1639" t="s">
        <v>546</v>
      </c>
      <c r="Q1639" t="s">
        <v>1775</v>
      </c>
      <c r="S1639">
        <v>438.33600000000001</v>
      </c>
      <c r="T1639">
        <v>4</v>
      </c>
      <c r="U1639">
        <v>0.2</v>
      </c>
      <c r="V1639">
        <v>-87.667199999999994</v>
      </c>
      <c r="W1639">
        <f t="shared" si="103"/>
        <v>131.5008</v>
      </c>
      <c r="X1639">
        <v>1</v>
      </c>
    </row>
    <row r="1640" spans="1:24" x14ac:dyDescent="0.3">
      <c r="A1640">
        <v>1639</v>
      </c>
      <c r="B1640" t="s">
        <v>3392</v>
      </c>
      <c r="C1640" s="6">
        <v>45835</v>
      </c>
      <c r="D1640" t="str">
        <f t="shared" si="100"/>
        <v>Jun</v>
      </c>
      <c r="E1640" t="str">
        <f t="shared" si="101"/>
        <v>2025</v>
      </c>
      <c r="F1640" t="s">
        <v>4</v>
      </c>
      <c r="G1640" t="s">
        <v>516</v>
      </c>
      <c r="H1640" t="s">
        <v>1623</v>
      </c>
      <c r="I1640">
        <v>200</v>
      </c>
      <c r="J1640">
        <v>6</v>
      </c>
      <c r="K1640">
        <f t="shared" si="102"/>
        <v>3</v>
      </c>
      <c r="L1640" t="s">
        <v>1744</v>
      </c>
      <c r="M1640" t="s">
        <v>3798</v>
      </c>
      <c r="N1640" t="s">
        <v>1</v>
      </c>
      <c r="O1640">
        <v>533213</v>
      </c>
      <c r="P1640" t="s">
        <v>546</v>
      </c>
      <c r="Q1640" t="s">
        <v>1754</v>
      </c>
      <c r="R1640" t="s">
        <v>2</v>
      </c>
      <c r="S1640">
        <v>19.440000000000001</v>
      </c>
      <c r="T1640">
        <v>3</v>
      </c>
      <c r="U1640">
        <v>0.1</v>
      </c>
      <c r="V1640">
        <v>9.3312000000000008</v>
      </c>
      <c r="W1640">
        <f t="shared" si="103"/>
        <v>3.3696000000000002</v>
      </c>
      <c r="X1640">
        <v>5</v>
      </c>
    </row>
    <row r="1641" spans="1:24" x14ac:dyDescent="0.3">
      <c r="A1641">
        <v>1640</v>
      </c>
      <c r="B1641" t="s">
        <v>3393</v>
      </c>
      <c r="C1641" s="6">
        <v>45836</v>
      </c>
      <c r="D1641" t="str">
        <f t="shared" si="100"/>
        <v>Jun</v>
      </c>
      <c r="E1641" t="str">
        <f t="shared" si="101"/>
        <v>2025</v>
      </c>
      <c r="F1641" t="s">
        <v>4</v>
      </c>
      <c r="G1641" t="s">
        <v>516</v>
      </c>
      <c r="H1641" t="s">
        <v>1091</v>
      </c>
      <c r="I1641">
        <v>100</v>
      </c>
      <c r="J1641">
        <v>10</v>
      </c>
      <c r="K1641">
        <f t="shared" si="102"/>
        <v>10</v>
      </c>
      <c r="L1641" t="s">
        <v>1740</v>
      </c>
      <c r="M1641" t="s">
        <v>3799</v>
      </c>
      <c r="N1641" t="s">
        <v>1</v>
      </c>
      <c r="O1641">
        <v>400020</v>
      </c>
      <c r="P1641" t="s">
        <v>546</v>
      </c>
      <c r="Q1641" t="s">
        <v>1754</v>
      </c>
      <c r="R1641" t="s">
        <v>2</v>
      </c>
      <c r="S1641">
        <v>9.64</v>
      </c>
      <c r="T1641">
        <v>2</v>
      </c>
      <c r="U1641">
        <v>0.1</v>
      </c>
      <c r="V1641">
        <v>4.4344000000000001</v>
      </c>
      <c r="W1641">
        <f t="shared" si="103"/>
        <v>2.6028000000000002</v>
      </c>
      <c r="X1641">
        <v>3</v>
      </c>
    </row>
    <row r="1642" spans="1:24" x14ac:dyDescent="0.3">
      <c r="A1642">
        <v>1641</v>
      </c>
      <c r="B1642" t="s">
        <v>3394</v>
      </c>
      <c r="C1642" s="6">
        <v>45837</v>
      </c>
      <c r="D1642" t="str">
        <f t="shared" si="100"/>
        <v>Jun</v>
      </c>
      <c r="E1642" t="str">
        <f t="shared" si="101"/>
        <v>2025</v>
      </c>
      <c r="F1642" t="s">
        <v>4</v>
      </c>
      <c r="G1642" t="s">
        <v>516</v>
      </c>
      <c r="H1642" t="s">
        <v>616</v>
      </c>
      <c r="I1642">
        <v>250</v>
      </c>
      <c r="J1642">
        <v>28</v>
      </c>
      <c r="K1642">
        <f t="shared" si="102"/>
        <v>11.200000000000001</v>
      </c>
      <c r="L1642" t="s">
        <v>1742</v>
      </c>
      <c r="M1642" t="s">
        <v>3800</v>
      </c>
      <c r="N1642" t="s">
        <v>1</v>
      </c>
      <c r="O1642">
        <v>396191</v>
      </c>
      <c r="P1642" t="s">
        <v>546</v>
      </c>
      <c r="Q1642" t="s">
        <v>1766</v>
      </c>
      <c r="R1642" t="s">
        <v>2</v>
      </c>
      <c r="S1642">
        <v>12.7</v>
      </c>
      <c r="T1642">
        <v>2</v>
      </c>
      <c r="U1642">
        <v>0.1</v>
      </c>
      <c r="V1642">
        <v>5.8419999999999996</v>
      </c>
      <c r="W1642">
        <f t="shared" si="103"/>
        <v>3.4289999999999998</v>
      </c>
      <c r="X1642">
        <v>4</v>
      </c>
    </row>
    <row r="1643" spans="1:24" x14ac:dyDescent="0.3">
      <c r="A1643">
        <v>1642</v>
      </c>
      <c r="B1643" t="s">
        <v>3395</v>
      </c>
      <c r="C1643" s="6">
        <v>45838</v>
      </c>
      <c r="D1643" t="str">
        <f t="shared" si="100"/>
        <v>Jun</v>
      </c>
      <c r="E1643" t="str">
        <f t="shared" si="101"/>
        <v>2025</v>
      </c>
      <c r="F1643" t="s">
        <v>4</v>
      </c>
      <c r="G1643" t="s">
        <v>516</v>
      </c>
      <c r="H1643" t="s">
        <v>640</v>
      </c>
      <c r="I1643">
        <v>120</v>
      </c>
      <c r="J1643">
        <v>10</v>
      </c>
      <c r="K1643">
        <f t="shared" si="102"/>
        <v>8.3333333333333321</v>
      </c>
      <c r="L1643" t="s">
        <v>1739</v>
      </c>
      <c r="M1643" t="s">
        <v>3623</v>
      </c>
      <c r="N1643" t="s">
        <v>1</v>
      </c>
      <c r="O1643">
        <v>560024</v>
      </c>
      <c r="P1643" t="s">
        <v>546</v>
      </c>
      <c r="Q1643" t="s">
        <v>1775</v>
      </c>
      <c r="S1643">
        <v>41.37</v>
      </c>
      <c r="T1643">
        <v>3</v>
      </c>
      <c r="U1643">
        <v>0.1</v>
      </c>
      <c r="V1643">
        <v>17.375399999999999</v>
      </c>
      <c r="W1643">
        <f t="shared" si="103"/>
        <v>7.9981999999999998</v>
      </c>
      <c r="X1643">
        <v>1</v>
      </c>
    </row>
    <row r="1644" spans="1:24" x14ac:dyDescent="0.3">
      <c r="A1644">
        <v>1643</v>
      </c>
      <c r="B1644" t="s">
        <v>3396</v>
      </c>
      <c r="C1644" s="6">
        <v>45839</v>
      </c>
      <c r="D1644" t="str">
        <f t="shared" si="100"/>
        <v>Jul</v>
      </c>
      <c r="E1644" t="str">
        <f t="shared" si="101"/>
        <v>2025</v>
      </c>
      <c r="F1644" t="s">
        <v>4</v>
      </c>
      <c r="G1644" t="s">
        <v>517</v>
      </c>
      <c r="H1644" t="s">
        <v>1097</v>
      </c>
      <c r="I1644">
        <v>100</v>
      </c>
      <c r="J1644">
        <v>24</v>
      </c>
      <c r="K1644">
        <f t="shared" si="102"/>
        <v>24</v>
      </c>
      <c r="L1644" t="s">
        <v>1738</v>
      </c>
      <c r="M1644" t="s">
        <v>3801</v>
      </c>
      <c r="N1644" t="s">
        <v>1</v>
      </c>
      <c r="O1644">
        <v>843119</v>
      </c>
      <c r="P1644" t="s">
        <v>546</v>
      </c>
      <c r="Q1644" t="s">
        <v>1776</v>
      </c>
      <c r="S1644">
        <v>12.624000000000001</v>
      </c>
      <c r="T1644">
        <v>2</v>
      </c>
      <c r="U1644">
        <v>0.2</v>
      </c>
      <c r="V1644">
        <v>3.9449999999999998</v>
      </c>
      <c r="W1644">
        <f t="shared" si="103"/>
        <v>4.3395000000000001</v>
      </c>
      <c r="X1644">
        <v>3</v>
      </c>
    </row>
    <row r="1645" spans="1:24" x14ac:dyDescent="0.3">
      <c r="A1645">
        <v>1644</v>
      </c>
      <c r="B1645" t="s">
        <v>3397</v>
      </c>
      <c r="C1645" s="6">
        <v>45840</v>
      </c>
      <c r="D1645" t="str">
        <f t="shared" si="100"/>
        <v>Jul</v>
      </c>
      <c r="E1645" t="str">
        <f t="shared" si="101"/>
        <v>2025</v>
      </c>
      <c r="F1645" t="s">
        <v>5</v>
      </c>
      <c r="G1645" t="s">
        <v>99</v>
      </c>
      <c r="H1645" t="s">
        <v>950</v>
      </c>
      <c r="I1645">
        <v>120</v>
      </c>
      <c r="J1645">
        <v>6</v>
      </c>
      <c r="K1645">
        <f t="shared" si="102"/>
        <v>5</v>
      </c>
      <c r="L1645" t="s">
        <v>1737</v>
      </c>
      <c r="M1645" t="s">
        <v>3802</v>
      </c>
      <c r="N1645" t="s">
        <v>1</v>
      </c>
      <c r="O1645">
        <v>530047</v>
      </c>
      <c r="P1645" t="s">
        <v>546</v>
      </c>
      <c r="Q1645" t="s">
        <v>1775</v>
      </c>
      <c r="S1645">
        <v>1247.6400000000001</v>
      </c>
      <c r="T1645">
        <v>3</v>
      </c>
      <c r="U1645">
        <v>0.1</v>
      </c>
      <c r="V1645">
        <v>349.33920000000001</v>
      </c>
      <c r="W1645">
        <f t="shared" si="103"/>
        <v>299.43360000000001</v>
      </c>
      <c r="X1645">
        <v>1</v>
      </c>
    </row>
    <row r="1646" spans="1:24" x14ac:dyDescent="0.3">
      <c r="A1646">
        <v>1645</v>
      </c>
      <c r="B1646" t="s">
        <v>3398</v>
      </c>
      <c r="C1646" s="6">
        <v>45841</v>
      </c>
      <c r="D1646" t="str">
        <f t="shared" si="100"/>
        <v>Jul</v>
      </c>
      <c r="E1646" t="str">
        <f t="shared" si="101"/>
        <v>2025</v>
      </c>
      <c r="F1646" t="s">
        <v>5</v>
      </c>
      <c r="G1646" t="s">
        <v>99</v>
      </c>
      <c r="H1646" t="s">
        <v>1624</v>
      </c>
      <c r="I1646">
        <v>240</v>
      </c>
      <c r="J1646">
        <v>10</v>
      </c>
      <c r="K1646">
        <f t="shared" si="102"/>
        <v>4.1666666666666661</v>
      </c>
      <c r="L1646" t="s">
        <v>1743</v>
      </c>
      <c r="M1646" t="s">
        <v>3803</v>
      </c>
      <c r="N1646" t="s">
        <v>1</v>
      </c>
      <c r="O1646">
        <v>400706</v>
      </c>
      <c r="P1646" t="s">
        <v>546</v>
      </c>
      <c r="Q1646" t="s">
        <v>1775</v>
      </c>
      <c r="R1646" t="s">
        <v>2</v>
      </c>
      <c r="S1646">
        <v>3149.93</v>
      </c>
      <c r="T1646">
        <v>7</v>
      </c>
      <c r="U1646">
        <v>0.1</v>
      </c>
      <c r="V1646">
        <v>1480.4671000000001</v>
      </c>
      <c r="W1646">
        <f t="shared" si="103"/>
        <v>238.49469999999997</v>
      </c>
      <c r="X1646">
        <v>2</v>
      </c>
    </row>
    <row r="1647" spans="1:24" x14ac:dyDescent="0.3">
      <c r="A1647">
        <v>1646</v>
      </c>
      <c r="B1647" t="s">
        <v>3399</v>
      </c>
      <c r="C1647" s="6">
        <v>45842</v>
      </c>
      <c r="D1647" t="str">
        <f t="shared" si="100"/>
        <v>Jul</v>
      </c>
      <c r="E1647" t="str">
        <f t="shared" si="101"/>
        <v>2025</v>
      </c>
      <c r="F1647" t="s">
        <v>5</v>
      </c>
      <c r="G1647" t="s">
        <v>99</v>
      </c>
      <c r="H1647" t="s">
        <v>1625</v>
      </c>
      <c r="I1647">
        <v>160</v>
      </c>
      <c r="J1647">
        <v>22</v>
      </c>
      <c r="K1647">
        <f t="shared" si="102"/>
        <v>13.750000000000002</v>
      </c>
      <c r="L1647" t="s">
        <v>1738</v>
      </c>
      <c r="M1647" t="s">
        <v>3804</v>
      </c>
      <c r="N1647" t="s">
        <v>1</v>
      </c>
      <c r="O1647">
        <v>506252</v>
      </c>
      <c r="P1647" t="s">
        <v>546</v>
      </c>
      <c r="Q1647" t="s">
        <v>1767</v>
      </c>
      <c r="S1647">
        <v>209.7</v>
      </c>
      <c r="T1647">
        <v>2</v>
      </c>
      <c r="U1647">
        <v>0.1</v>
      </c>
      <c r="V1647">
        <v>100.65600000000001</v>
      </c>
      <c r="W1647">
        <f t="shared" si="103"/>
        <v>54.521999999999991</v>
      </c>
      <c r="X1647">
        <v>5</v>
      </c>
    </row>
    <row r="1648" spans="1:24" x14ac:dyDescent="0.3">
      <c r="A1648">
        <v>1647</v>
      </c>
      <c r="B1648" t="s">
        <v>3400</v>
      </c>
      <c r="C1648" s="6">
        <v>45843</v>
      </c>
      <c r="D1648" t="str">
        <f t="shared" si="100"/>
        <v>Jul</v>
      </c>
      <c r="E1648" t="str">
        <f t="shared" si="101"/>
        <v>2025</v>
      </c>
      <c r="F1648" t="s">
        <v>5</v>
      </c>
      <c r="G1648" t="s">
        <v>98</v>
      </c>
      <c r="H1648" t="s">
        <v>723</v>
      </c>
      <c r="I1648">
        <v>170</v>
      </c>
      <c r="J1648">
        <v>26</v>
      </c>
      <c r="K1648">
        <f t="shared" si="102"/>
        <v>15.294117647058824</v>
      </c>
      <c r="L1648" t="s">
        <v>1739</v>
      </c>
      <c r="M1648" t="s">
        <v>3600</v>
      </c>
      <c r="N1648" t="s">
        <v>1</v>
      </c>
      <c r="O1648">
        <v>712201</v>
      </c>
      <c r="P1648" t="s">
        <v>546</v>
      </c>
      <c r="Q1648" t="s">
        <v>1768</v>
      </c>
      <c r="S1648">
        <v>35.36</v>
      </c>
      <c r="T1648">
        <v>2</v>
      </c>
      <c r="U1648">
        <v>0.2</v>
      </c>
      <c r="V1648">
        <v>-3.0939999999999999</v>
      </c>
      <c r="W1648">
        <f t="shared" si="103"/>
        <v>19.227</v>
      </c>
      <c r="X1648">
        <v>5</v>
      </c>
    </row>
    <row r="1649" spans="1:24" x14ac:dyDescent="0.3">
      <c r="A1649">
        <v>1648</v>
      </c>
      <c r="B1649" t="s">
        <v>3401</v>
      </c>
      <c r="C1649" s="6">
        <v>45844</v>
      </c>
      <c r="D1649" t="str">
        <f t="shared" si="100"/>
        <v>Jul</v>
      </c>
      <c r="E1649" t="str">
        <f t="shared" si="101"/>
        <v>2025</v>
      </c>
      <c r="F1649" t="s">
        <v>5</v>
      </c>
      <c r="G1649" t="s">
        <v>98</v>
      </c>
      <c r="H1649" t="s">
        <v>1626</v>
      </c>
      <c r="I1649">
        <v>180</v>
      </c>
      <c r="J1649">
        <v>6</v>
      </c>
      <c r="K1649">
        <f t="shared" si="102"/>
        <v>3.3333333333333335</v>
      </c>
      <c r="L1649" t="s">
        <v>1741</v>
      </c>
      <c r="M1649" t="s">
        <v>3805</v>
      </c>
      <c r="N1649" t="s">
        <v>1</v>
      </c>
      <c r="O1649">
        <v>506002</v>
      </c>
      <c r="P1649" t="s">
        <v>546</v>
      </c>
      <c r="Q1649" t="s">
        <v>1759</v>
      </c>
      <c r="S1649">
        <v>3.1680000000000001</v>
      </c>
      <c r="T1649">
        <v>2</v>
      </c>
      <c r="U1649">
        <v>0.2</v>
      </c>
      <c r="V1649">
        <v>-0.71279999999999999</v>
      </c>
      <c r="W1649">
        <f t="shared" si="103"/>
        <v>1.9404000000000001</v>
      </c>
      <c r="X1649">
        <v>3</v>
      </c>
    </row>
    <row r="1650" spans="1:24" x14ac:dyDescent="0.3">
      <c r="A1650">
        <v>1649</v>
      </c>
      <c r="B1650" t="s">
        <v>3402</v>
      </c>
      <c r="C1650" s="6">
        <v>45845</v>
      </c>
      <c r="D1650" t="str">
        <f t="shared" si="100"/>
        <v>Jul</v>
      </c>
      <c r="E1650" t="str">
        <f t="shared" si="101"/>
        <v>2025</v>
      </c>
      <c r="F1650" t="s">
        <v>3</v>
      </c>
      <c r="G1650" t="s">
        <v>234</v>
      </c>
      <c r="H1650" t="s">
        <v>1627</v>
      </c>
      <c r="I1650">
        <v>120</v>
      </c>
      <c r="J1650">
        <v>28</v>
      </c>
      <c r="K1650">
        <f t="shared" si="102"/>
        <v>23.333333333333332</v>
      </c>
      <c r="L1650" t="s">
        <v>1736</v>
      </c>
      <c r="M1650" t="s">
        <v>3644</v>
      </c>
      <c r="N1650" t="s">
        <v>1</v>
      </c>
      <c r="O1650">
        <v>110046</v>
      </c>
      <c r="P1650" t="s">
        <v>546</v>
      </c>
      <c r="Q1650" t="s">
        <v>1775</v>
      </c>
      <c r="S1650">
        <v>121.104</v>
      </c>
      <c r="T1650">
        <v>6</v>
      </c>
      <c r="U1650">
        <v>0.7</v>
      </c>
      <c r="V1650">
        <v>-100.92</v>
      </c>
      <c r="W1650">
        <f t="shared" si="103"/>
        <v>37.003999999999998</v>
      </c>
      <c r="X1650">
        <v>2</v>
      </c>
    </row>
    <row r="1651" spans="1:24" x14ac:dyDescent="0.3">
      <c r="A1651">
        <v>1650</v>
      </c>
      <c r="B1651" t="s">
        <v>3403</v>
      </c>
      <c r="C1651" s="6">
        <v>45846</v>
      </c>
      <c r="D1651" t="str">
        <f t="shared" si="100"/>
        <v>Jul</v>
      </c>
      <c r="E1651" t="str">
        <f t="shared" si="101"/>
        <v>2025</v>
      </c>
      <c r="F1651" t="s">
        <v>3</v>
      </c>
      <c r="G1651" t="s">
        <v>234</v>
      </c>
      <c r="H1651" t="s">
        <v>1628</v>
      </c>
      <c r="I1651">
        <v>170</v>
      </c>
      <c r="J1651">
        <v>16</v>
      </c>
      <c r="K1651">
        <f t="shared" si="102"/>
        <v>9.4117647058823533</v>
      </c>
      <c r="L1651" t="s">
        <v>1744</v>
      </c>
      <c r="M1651" t="s">
        <v>3806</v>
      </c>
      <c r="N1651" t="s">
        <v>1</v>
      </c>
      <c r="O1651">
        <v>506002</v>
      </c>
      <c r="P1651" t="s">
        <v>546</v>
      </c>
      <c r="Q1651" t="s">
        <v>1759</v>
      </c>
      <c r="S1651">
        <v>45.893999999999998</v>
      </c>
      <c r="T1651">
        <v>1</v>
      </c>
      <c r="U1651">
        <v>0.4</v>
      </c>
      <c r="V1651">
        <v>-9.1788000000000007</v>
      </c>
      <c r="W1651">
        <f t="shared" si="103"/>
        <v>55.072800000000001</v>
      </c>
      <c r="X1651">
        <v>4</v>
      </c>
    </row>
    <row r="1652" spans="1:24" x14ac:dyDescent="0.3">
      <c r="A1652">
        <v>1651</v>
      </c>
      <c r="B1652" t="s">
        <v>3404</v>
      </c>
      <c r="C1652" s="6">
        <v>45847</v>
      </c>
      <c r="D1652" t="str">
        <f t="shared" si="100"/>
        <v>Jul</v>
      </c>
      <c r="E1652" t="str">
        <f t="shared" si="101"/>
        <v>2025</v>
      </c>
      <c r="F1652" t="s">
        <v>6</v>
      </c>
      <c r="G1652" t="s">
        <v>518</v>
      </c>
      <c r="H1652" t="s">
        <v>1629</v>
      </c>
      <c r="I1652">
        <v>120</v>
      </c>
      <c r="J1652">
        <v>30</v>
      </c>
      <c r="K1652">
        <f t="shared" si="102"/>
        <v>25</v>
      </c>
      <c r="L1652" t="s">
        <v>1740</v>
      </c>
      <c r="M1652" t="s">
        <v>3586</v>
      </c>
      <c r="N1652" t="s">
        <v>1</v>
      </c>
      <c r="O1652">
        <v>411027</v>
      </c>
      <c r="P1652" t="s">
        <v>546</v>
      </c>
      <c r="Q1652" t="s">
        <v>1774</v>
      </c>
      <c r="R1652" t="s">
        <v>2</v>
      </c>
      <c r="S1652">
        <v>109.92</v>
      </c>
      <c r="T1652">
        <v>2</v>
      </c>
      <c r="U1652">
        <v>0.1</v>
      </c>
      <c r="V1652">
        <v>53.860799999999998</v>
      </c>
      <c r="W1652">
        <f t="shared" si="103"/>
        <v>28.029600000000002</v>
      </c>
      <c r="X1652">
        <v>2</v>
      </c>
    </row>
    <row r="1653" spans="1:24" x14ac:dyDescent="0.3">
      <c r="A1653">
        <v>1652</v>
      </c>
      <c r="B1653" t="s">
        <v>3405</v>
      </c>
      <c r="C1653" s="6">
        <v>45848</v>
      </c>
      <c r="D1653" t="str">
        <f t="shared" si="100"/>
        <v>Jul</v>
      </c>
      <c r="E1653" t="str">
        <f t="shared" si="101"/>
        <v>2025</v>
      </c>
      <c r="F1653" t="s">
        <v>6</v>
      </c>
      <c r="G1653" t="s">
        <v>518</v>
      </c>
      <c r="H1653" t="s">
        <v>1630</v>
      </c>
      <c r="I1653">
        <v>180</v>
      </c>
      <c r="J1653">
        <v>16</v>
      </c>
      <c r="K1653">
        <f t="shared" si="102"/>
        <v>8.8888888888888893</v>
      </c>
      <c r="L1653" t="s">
        <v>1742</v>
      </c>
      <c r="M1653" t="s">
        <v>3676</v>
      </c>
      <c r="N1653" t="s">
        <v>1</v>
      </c>
      <c r="O1653">
        <v>411014</v>
      </c>
      <c r="P1653" t="s">
        <v>546</v>
      </c>
      <c r="Q1653" t="s">
        <v>1761</v>
      </c>
      <c r="S1653">
        <v>13.36</v>
      </c>
      <c r="T1653">
        <v>2</v>
      </c>
      <c r="U1653">
        <v>0.1</v>
      </c>
      <c r="V1653">
        <v>6.4127999999999998</v>
      </c>
      <c r="W1653">
        <f t="shared" si="103"/>
        <v>3.4735999999999998</v>
      </c>
      <c r="X1653">
        <v>3</v>
      </c>
    </row>
    <row r="1654" spans="1:24" x14ac:dyDescent="0.3">
      <c r="A1654">
        <v>1653</v>
      </c>
      <c r="B1654" t="s">
        <v>3406</v>
      </c>
      <c r="C1654" s="6">
        <v>45849</v>
      </c>
      <c r="D1654" t="str">
        <f t="shared" si="100"/>
        <v>Jul</v>
      </c>
      <c r="E1654" t="str">
        <f t="shared" si="101"/>
        <v>2025</v>
      </c>
      <c r="F1654" t="s">
        <v>5</v>
      </c>
      <c r="G1654" t="s">
        <v>519</v>
      </c>
      <c r="H1654" t="s">
        <v>633</v>
      </c>
      <c r="I1654">
        <v>130</v>
      </c>
      <c r="J1654">
        <v>18</v>
      </c>
      <c r="K1654">
        <f t="shared" si="102"/>
        <v>13.846153846153847</v>
      </c>
      <c r="L1654" t="s">
        <v>1739</v>
      </c>
      <c r="M1654" t="s">
        <v>3747</v>
      </c>
      <c r="N1654" t="s">
        <v>1</v>
      </c>
      <c r="O1654">
        <v>500074</v>
      </c>
      <c r="P1654" t="s">
        <v>546</v>
      </c>
      <c r="Q1654" t="s">
        <v>1767</v>
      </c>
      <c r="S1654">
        <v>169.68</v>
      </c>
      <c r="T1654">
        <v>6</v>
      </c>
      <c r="U1654">
        <v>0.1</v>
      </c>
      <c r="V1654">
        <v>45.813600000000001</v>
      </c>
      <c r="W1654">
        <f t="shared" si="103"/>
        <v>20.644400000000001</v>
      </c>
      <c r="X1654">
        <v>4</v>
      </c>
    </row>
    <row r="1655" spans="1:24" x14ac:dyDescent="0.3">
      <c r="A1655">
        <v>1654</v>
      </c>
      <c r="B1655" t="s">
        <v>3407</v>
      </c>
      <c r="C1655" s="6">
        <v>45850</v>
      </c>
      <c r="D1655" t="str">
        <f t="shared" si="100"/>
        <v>Jul</v>
      </c>
      <c r="E1655" t="str">
        <f t="shared" si="101"/>
        <v>2025</v>
      </c>
      <c r="F1655" t="s">
        <v>5</v>
      </c>
      <c r="G1655" t="s">
        <v>519</v>
      </c>
      <c r="H1655" t="s">
        <v>764</v>
      </c>
      <c r="I1655">
        <v>200</v>
      </c>
      <c r="J1655">
        <v>20</v>
      </c>
      <c r="K1655">
        <f t="shared" si="102"/>
        <v>10</v>
      </c>
      <c r="L1655" t="s">
        <v>1738</v>
      </c>
      <c r="M1655" t="s">
        <v>3807</v>
      </c>
      <c r="N1655" t="s">
        <v>1</v>
      </c>
      <c r="O1655">
        <v>678556</v>
      </c>
      <c r="P1655" t="s">
        <v>546</v>
      </c>
      <c r="Q1655" t="s">
        <v>1773</v>
      </c>
      <c r="S1655">
        <v>132.52000000000001</v>
      </c>
      <c r="T1655">
        <v>4</v>
      </c>
      <c r="U1655">
        <v>0.1</v>
      </c>
      <c r="V1655">
        <v>54.333199999999998</v>
      </c>
      <c r="W1655">
        <f t="shared" si="103"/>
        <v>19.546700000000001</v>
      </c>
      <c r="X1655">
        <v>5</v>
      </c>
    </row>
    <row r="1656" spans="1:24" x14ac:dyDescent="0.3">
      <c r="A1656">
        <v>1655</v>
      </c>
      <c r="B1656" t="s">
        <v>3408</v>
      </c>
      <c r="C1656" s="6">
        <v>45851</v>
      </c>
      <c r="D1656" t="str">
        <f t="shared" si="100"/>
        <v>Jul</v>
      </c>
      <c r="E1656" t="str">
        <f t="shared" si="101"/>
        <v>2025</v>
      </c>
      <c r="F1656" t="s">
        <v>5</v>
      </c>
      <c r="G1656" t="s">
        <v>519</v>
      </c>
      <c r="H1656" t="s">
        <v>1631</v>
      </c>
      <c r="I1656">
        <v>120</v>
      </c>
      <c r="J1656">
        <v>20</v>
      </c>
      <c r="K1656">
        <f t="shared" si="102"/>
        <v>16.666666666666664</v>
      </c>
      <c r="L1656" t="s">
        <v>1737</v>
      </c>
      <c r="M1656" t="s">
        <v>3808</v>
      </c>
      <c r="O1656">
        <v>110046</v>
      </c>
      <c r="P1656" t="s">
        <v>546</v>
      </c>
      <c r="Q1656" t="s">
        <v>1767</v>
      </c>
      <c r="S1656">
        <v>2.96</v>
      </c>
      <c r="T1656">
        <v>2</v>
      </c>
      <c r="U1656">
        <v>0.1</v>
      </c>
      <c r="V1656">
        <v>1.4208000000000001</v>
      </c>
      <c r="W1656">
        <f t="shared" si="103"/>
        <v>0.76959999999999995</v>
      </c>
      <c r="X1656">
        <v>5</v>
      </c>
    </row>
    <row r="1657" spans="1:24" x14ac:dyDescent="0.3">
      <c r="A1657">
        <v>1656</v>
      </c>
      <c r="B1657" t="s">
        <v>3409</v>
      </c>
      <c r="C1657" s="6">
        <v>45852</v>
      </c>
      <c r="D1657" t="str">
        <f t="shared" si="100"/>
        <v>Jul</v>
      </c>
      <c r="E1657" t="str">
        <f t="shared" si="101"/>
        <v>2025</v>
      </c>
      <c r="F1657" t="s">
        <v>5</v>
      </c>
      <c r="G1657" t="s">
        <v>519</v>
      </c>
      <c r="H1657" t="s">
        <v>1632</v>
      </c>
      <c r="I1657">
        <v>220</v>
      </c>
      <c r="J1657">
        <v>24</v>
      </c>
      <c r="K1657">
        <f t="shared" si="102"/>
        <v>10.909090909090908</v>
      </c>
      <c r="L1657" t="s">
        <v>1743</v>
      </c>
      <c r="M1657" t="s">
        <v>3809</v>
      </c>
      <c r="N1657" t="s">
        <v>1</v>
      </c>
      <c r="O1657">
        <v>413501</v>
      </c>
      <c r="P1657" t="s">
        <v>546</v>
      </c>
      <c r="Q1657" t="s">
        <v>1759</v>
      </c>
      <c r="S1657">
        <v>8.4480000000000004</v>
      </c>
      <c r="T1657">
        <v>2</v>
      </c>
      <c r="U1657">
        <v>0.2</v>
      </c>
      <c r="V1657">
        <v>2.9567999999999999</v>
      </c>
      <c r="W1657">
        <f t="shared" si="103"/>
        <v>2.7456000000000005</v>
      </c>
      <c r="X1657">
        <v>3</v>
      </c>
    </row>
    <row r="1658" spans="1:24" x14ac:dyDescent="0.3">
      <c r="A1658">
        <v>1657</v>
      </c>
      <c r="B1658" t="s">
        <v>3410</v>
      </c>
      <c r="C1658" s="6">
        <v>45853</v>
      </c>
      <c r="D1658" t="str">
        <f t="shared" si="100"/>
        <v>Jul</v>
      </c>
      <c r="E1658" t="str">
        <f t="shared" si="101"/>
        <v>2025</v>
      </c>
      <c r="F1658" t="s">
        <v>5</v>
      </c>
      <c r="G1658" t="s">
        <v>519</v>
      </c>
      <c r="H1658" t="s">
        <v>1458</v>
      </c>
      <c r="I1658">
        <v>180</v>
      </c>
      <c r="J1658">
        <v>16</v>
      </c>
      <c r="K1658">
        <f t="shared" si="102"/>
        <v>8.8888888888888893</v>
      </c>
      <c r="L1658" t="s">
        <v>1738</v>
      </c>
      <c r="M1658" t="s">
        <v>3681</v>
      </c>
      <c r="N1658" t="s">
        <v>1</v>
      </c>
      <c r="O1658">
        <v>530051</v>
      </c>
      <c r="P1658" t="s">
        <v>546</v>
      </c>
      <c r="Q1658" t="s">
        <v>1763</v>
      </c>
      <c r="S1658">
        <v>95.94</v>
      </c>
      <c r="T1658">
        <v>3</v>
      </c>
      <c r="U1658">
        <v>0.1</v>
      </c>
      <c r="V1658">
        <v>9.5939999999999994</v>
      </c>
      <c r="W1658">
        <f t="shared" si="103"/>
        <v>28.782</v>
      </c>
      <c r="X1658">
        <v>4</v>
      </c>
    </row>
    <row r="1659" spans="1:24" x14ac:dyDescent="0.3">
      <c r="A1659">
        <v>1658</v>
      </c>
      <c r="B1659" t="s">
        <v>3411</v>
      </c>
      <c r="C1659" s="6">
        <v>45854</v>
      </c>
      <c r="D1659" t="str">
        <f t="shared" si="100"/>
        <v>Jul</v>
      </c>
      <c r="E1659" t="str">
        <f t="shared" si="101"/>
        <v>2025</v>
      </c>
      <c r="F1659" t="s">
        <v>5</v>
      </c>
      <c r="G1659" t="s">
        <v>339</v>
      </c>
      <c r="H1659" t="s">
        <v>1074</v>
      </c>
      <c r="I1659">
        <v>100</v>
      </c>
      <c r="J1659">
        <v>26</v>
      </c>
      <c r="K1659">
        <f t="shared" si="102"/>
        <v>26</v>
      </c>
      <c r="L1659" t="s">
        <v>1739</v>
      </c>
      <c r="M1659" t="s">
        <v>3682</v>
      </c>
      <c r="N1659" t="s">
        <v>1</v>
      </c>
      <c r="O1659">
        <v>530051</v>
      </c>
      <c r="P1659" t="s">
        <v>546</v>
      </c>
      <c r="Q1659" t="s">
        <v>1761</v>
      </c>
      <c r="R1659" t="s">
        <v>2</v>
      </c>
      <c r="S1659">
        <v>34.79</v>
      </c>
      <c r="T1659">
        <v>7</v>
      </c>
      <c r="U1659">
        <v>0.1</v>
      </c>
      <c r="V1659">
        <v>10.7849</v>
      </c>
      <c r="W1659">
        <f t="shared" si="103"/>
        <v>3.4293</v>
      </c>
      <c r="X1659">
        <v>1</v>
      </c>
    </row>
    <row r="1660" spans="1:24" x14ac:dyDescent="0.3">
      <c r="A1660">
        <v>1659</v>
      </c>
      <c r="B1660" t="s">
        <v>3412</v>
      </c>
      <c r="C1660" s="6">
        <v>45855</v>
      </c>
      <c r="D1660" t="str">
        <f t="shared" si="100"/>
        <v>Jul</v>
      </c>
      <c r="E1660" t="str">
        <f t="shared" si="101"/>
        <v>2025</v>
      </c>
      <c r="F1660" t="s">
        <v>4</v>
      </c>
      <c r="G1660" t="s">
        <v>520</v>
      </c>
      <c r="H1660" t="s">
        <v>1633</v>
      </c>
      <c r="I1660">
        <v>210</v>
      </c>
      <c r="J1660">
        <v>20</v>
      </c>
      <c r="K1660">
        <f t="shared" si="102"/>
        <v>9.5238095238095237</v>
      </c>
      <c r="L1660" t="s">
        <v>1741</v>
      </c>
      <c r="M1660" t="s">
        <v>3810</v>
      </c>
      <c r="N1660" t="s">
        <v>1</v>
      </c>
      <c r="O1660">
        <v>600028</v>
      </c>
      <c r="P1660" t="s">
        <v>546</v>
      </c>
      <c r="Q1660" t="s">
        <v>1759</v>
      </c>
      <c r="S1660">
        <v>160.77600000000001</v>
      </c>
      <c r="T1660">
        <v>3</v>
      </c>
      <c r="U1660">
        <v>0.2</v>
      </c>
      <c r="V1660">
        <v>10.048500000000001</v>
      </c>
      <c r="W1660">
        <f t="shared" si="103"/>
        <v>50.242500000000007</v>
      </c>
      <c r="X1660">
        <v>5</v>
      </c>
    </row>
    <row r="1661" spans="1:24" x14ac:dyDescent="0.3">
      <c r="A1661">
        <v>1660</v>
      </c>
      <c r="B1661" t="s">
        <v>3413</v>
      </c>
      <c r="C1661" s="6">
        <v>45856</v>
      </c>
      <c r="D1661" t="str">
        <f t="shared" si="100"/>
        <v>Jul</v>
      </c>
      <c r="E1661" t="str">
        <f t="shared" si="101"/>
        <v>2025</v>
      </c>
      <c r="F1661" t="s">
        <v>4</v>
      </c>
      <c r="G1661" t="s">
        <v>521</v>
      </c>
      <c r="H1661" t="s">
        <v>1352</v>
      </c>
      <c r="I1661">
        <v>100</v>
      </c>
      <c r="J1661">
        <v>10</v>
      </c>
      <c r="K1661">
        <f t="shared" si="102"/>
        <v>10</v>
      </c>
      <c r="L1661" t="s">
        <v>1736</v>
      </c>
      <c r="M1661" t="s">
        <v>3673</v>
      </c>
      <c r="N1661" t="s">
        <v>1</v>
      </c>
      <c r="O1661">
        <v>600028</v>
      </c>
      <c r="P1661" t="s">
        <v>546</v>
      </c>
      <c r="Q1661" t="s">
        <v>1774</v>
      </c>
      <c r="R1661" t="s">
        <v>2</v>
      </c>
      <c r="S1661">
        <v>88.751999999999995</v>
      </c>
      <c r="T1661">
        <v>3</v>
      </c>
      <c r="U1661">
        <v>0.2</v>
      </c>
      <c r="V1661">
        <v>27.734999999999999</v>
      </c>
      <c r="W1661">
        <f t="shared" si="103"/>
        <v>20.338999999999999</v>
      </c>
      <c r="X1661">
        <v>2</v>
      </c>
    </row>
    <row r="1662" spans="1:24" x14ac:dyDescent="0.3">
      <c r="A1662">
        <v>1661</v>
      </c>
      <c r="B1662" t="s">
        <v>3414</v>
      </c>
      <c r="C1662" s="6">
        <v>45857</v>
      </c>
      <c r="D1662" t="str">
        <f t="shared" si="100"/>
        <v>Jul</v>
      </c>
      <c r="E1662" t="str">
        <f t="shared" si="101"/>
        <v>2025</v>
      </c>
      <c r="F1662" t="s">
        <v>4</v>
      </c>
      <c r="G1662" t="s">
        <v>521</v>
      </c>
      <c r="H1662" t="s">
        <v>1391</v>
      </c>
      <c r="I1662">
        <v>250</v>
      </c>
      <c r="J1662">
        <v>28</v>
      </c>
      <c r="K1662">
        <f t="shared" si="102"/>
        <v>11.200000000000001</v>
      </c>
      <c r="L1662" t="s">
        <v>1744</v>
      </c>
      <c r="M1662" t="s">
        <v>3746</v>
      </c>
      <c r="N1662" t="s">
        <v>1</v>
      </c>
      <c r="O1662">
        <v>500090</v>
      </c>
      <c r="P1662" t="s">
        <v>546</v>
      </c>
      <c r="Q1662" t="s">
        <v>1759</v>
      </c>
      <c r="S1662">
        <v>13.904</v>
      </c>
      <c r="T1662">
        <v>2</v>
      </c>
      <c r="U1662">
        <v>0.2</v>
      </c>
      <c r="V1662">
        <v>5.2140000000000004</v>
      </c>
      <c r="W1662">
        <f t="shared" si="103"/>
        <v>4.3449999999999998</v>
      </c>
      <c r="X1662">
        <v>1</v>
      </c>
    </row>
    <row r="1663" spans="1:24" x14ac:dyDescent="0.3">
      <c r="A1663">
        <v>1662</v>
      </c>
      <c r="B1663" t="s">
        <v>3415</v>
      </c>
      <c r="C1663" s="6">
        <v>45858</v>
      </c>
      <c r="D1663" t="str">
        <f t="shared" si="100"/>
        <v>Jul</v>
      </c>
      <c r="E1663" t="str">
        <f t="shared" si="101"/>
        <v>2025</v>
      </c>
      <c r="F1663" t="s">
        <v>4</v>
      </c>
      <c r="G1663" t="s">
        <v>432</v>
      </c>
      <c r="H1663" t="s">
        <v>1491</v>
      </c>
      <c r="I1663">
        <v>110</v>
      </c>
      <c r="J1663">
        <v>8</v>
      </c>
      <c r="K1663">
        <f t="shared" si="102"/>
        <v>7.2727272727272725</v>
      </c>
      <c r="L1663" t="s">
        <v>1740</v>
      </c>
      <c r="M1663" t="s">
        <v>3811</v>
      </c>
      <c r="N1663" t="s">
        <v>1</v>
      </c>
      <c r="O1663">
        <v>410210</v>
      </c>
      <c r="P1663" t="s">
        <v>546</v>
      </c>
      <c r="Q1663" t="s">
        <v>1760</v>
      </c>
      <c r="R1663" t="s">
        <v>2</v>
      </c>
      <c r="S1663">
        <v>677.58</v>
      </c>
      <c r="T1663">
        <v>5</v>
      </c>
      <c r="U1663">
        <v>0.4</v>
      </c>
      <c r="V1663">
        <v>-158.102</v>
      </c>
      <c r="W1663">
        <f t="shared" si="103"/>
        <v>167.13640000000001</v>
      </c>
      <c r="X1663">
        <v>1</v>
      </c>
    </row>
    <row r="1664" spans="1:24" x14ac:dyDescent="0.3">
      <c r="A1664">
        <v>1663</v>
      </c>
      <c r="B1664" t="s">
        <v>3416</v>
      </c>
      <c r="C1664" s="6">
        <v>45859</v>
      </c>
      <c r="D1664" t="str">
        <f t="shared" si="100"/>
        <v>Jul</v>
      </c>
      <c r="E1664" t="str">
        <f t="shared" si="101"/>
        <v>2025</v>
      </c>
      <c r="F1664" t="s">
        <v>4</v>
      </c>
      <c r="G1664" t="s">
        <v>432</v>
      </c>
      <c r="H1664" t="s">
        <v>1634</v>
      </c>
      <c r="I1664">
        <v>160</v>
      </c>
      <c r="J1664">
        <v>16</v>
      </c>
      <c r="K1664">
        <f t="shared" si="102"/>
        <v>10</v>
      </c>
      <c r="L1664" t="s">
        <v>1742</v>
      </c>
      <c r="M1664" t="s">
        <v>3656</v>
      </c>
      <c r="N1664" t="s">
        <v>1</v>
      </c>
      <c r="O1664">
        <v>425305</v>
      </c>
      <c r="P1664" t="s">
        <v>546</v>
      </c>
      <c r="Q1664" t="s">
        <v>1774</v>
      </c>
      <c r="S1664">
        <v>13.896000000000001</v>
      </c>
      <c r="T1664">
        <v>3</v>
      </c>
      <c r="U1664">
        <v>0.7</v>
      </c>
      <c r="V1664">
        <v>-9.2639999999999993</v>
      </c>
      <c r="W1664">
        <f t="shared" si="103"/>
        <v>7.72</v>
      </c>
      <c r="X1664">
        <v>2</v>
      </c>
    </row>
    <row r="1665" spans="1:24" x14ac:dyDescent="0.3">
      <c r="A1665">
        <v>1664</v>
      </c>
      <c r="B1665" t="s">
        <v>3417</v>
      </c>
      <c r="C1665" s="6">
        <v>45860</v>
      </c>
      <c r="D1665" t="str">
        <f t="shared" si="100"/>
        <v>Jul</v>
      </c>
      <c r="E1665" t="str">
        <f t="shared" si="101"/>
        <v>2025</v>
      </c>
      <c r="F1665" t="s">
        <v>3</v>
      </c>
      <c r="G1665" t="s">
        <v>522</v>
      </c>
      <c r="H1665" t="s">
        <v>1017</v>
      </c>
      <c r="I1665">
        <v>250</v>
      </c>
      <c r="J1665">
        <v>18</v>
      </c>
      <c r="K1665">
        <f t="shared" si="102"/>
        <v>7.1999999999999993</v>
      </c>
      <c r="L1665" t="s">
        <v>1739</v>
      </c>
      <c r="M1665" t="s">
        <v>3637</v>
      </c>
      <c r="N1665" t="s">
        <v>1</v>
      </c>
      <c r="O1665">
        <v>201301</v>
      </c>
      <c r="P1665" t="s">
        <v>546</v>
      </c>
      <c r="Q1665" t="s">
        <v>1767</v>
      </c>
      <c r="S1665">
        <v>41.92</v>
      </c>
      <c r="T1665">
        <v>5</v>
      </c>
      <c r="U1665">
        <v>0.2</v>
      </c>
      <c r="V1665">
        <v>3.6680000000000001</v>
      </c>
      <c r="W1665">
        <f t="shared" si="103"/>
        <v>7.6504000000000003</v>
      </c>
      <c r="X1665">
        <v>5</v>
      </c>
    </row>
    <row r="1666" spans="1:24" x14ac:dyDescent="0.3">
      <c r="A1666">
        <v>1665</v>
      </c>
      <c r="B1666" t="s">
        <v>3418</v>
      </c>
      <c r="C1666" s="6">
        <v>45861</v>
      </c>
      <c r="D1666" t="str">
        <f t="shared" si="100"/>
        <v>Jul</v>
      </c>
      <c r="E1666" t="str">
        <f t="shared" si="101"/>
        <v>2025</v>
      </c>
      <c r="F1666" t="s">
        <v>3</v>
      </c>
      <c r="G1666" t="s">
        <v>522</v>
      </c>
      <c r="H1666" t="s">
        <v>1242</v>
      </c>
      <c r="I1666">
        <v>170</v>
      </c>
      <c r="J1666">
        <v>8</v>
      </c>
      <c r="K1666">
        <f t="shared" si="102"/>
        <v>4.7058823529411766</v>
      </c>
      <c r="L1666" t="s">
        <v>1738</v>
      </c>
      <c r="M1666" t="s">
        <v>3812</v>
      </c>
      <c r="N1666" t="s">
        <v>1</v>
      </c>
      <c r="O1666">
        <v>431003</v>
      </c>
      <c r="P1666" t="s">
        <v>546</v>
      </c>
      <c r="Q1666" t="s">
        <v>1761</v>
      </c>
      <c r="R1666" t="s">
        <v>2</v>
      </c>
      <c r="S1666">
        <v>297.57600000000002</v>
      </c>
      <c r="T1666">
        <v>3</v>
      </c>
      <c r="U1666">
        <v>0.2</v>
      </c>
      <c r="V1666">
        <v>-7.4394</v>
      </c>
      <c r="W1666">
        <f t="shared" si="103"/>
        <v>101.6718</v>
      </c>
      <c r="X1666">
        <v>3</v>
      </c>
    </row>
    <row r="1667" spans="1:24" x14ac:dyDescent="0.3">
      <c r="A1667">
        <v>1666</v>
      </c>
      <c r="B1667" t="s">
        <v>3419</v>
      </c>
      <c r="C1667" s="6">
        <v>45862</v>
      </c>
      <c r="D1667" t="str">
        <f t="shared" ref="D1667:D1730" si="104">TEXT(C1667,"Mmm")</f>
        <v>Jul</v>
      </c>
      <c r="E1667" t="str">
        <f t="shared" ref="E1667:E1730" si="105">TEXT(C1667,"YYYY")</f>
        <v>2025</v>
      </c>
      <c r="F1667" t="s">
        <v>3</v>
      </c>
      <c r="G1667" t="s">
        <v>522</v>
      </c>
      <c r="H1667" t="s">
        <v>1635</v>
      </c>
      <c r="I1667">
        <v>120</v>
      </c>
      <c r="J1667">
        <v>10</v>
      </c>
      <c r="K1667">
        <f t="shared" ref="K1667:K1730" si="106">(J1667/I1667)*100</f>
        <v>8.3333333333333321</v>
      </c>
      <c r="L1667" t="s">
        <v>1737</v>
      </c>
      <c r="M1667" t="s">
        <v>3813</v>
      </c>
      <c r="N1667" t="s">
        <v>1</v>
      </c>
      <c r="O1667">
        <v>530007</v>
      </c>
      <c r="P1667" t="s">
        <v>546</v>
      </c>
      <c r="Q1667" t="s">
        <v>1759</v>
      </c>
      <c r="S1667">
        <v>4.3440000000000003</v>
      </c>
      <c r="T1667">
        <v>3</v>
      </c>
      <c r="U1667">
        <v>0.2</v>
      </c>
      <c r="V1667">
        <v>0.86880000000000002</v>
      </c>
      <c r="W1667">
        <f t="shared" ref="W1667:W1730" si="107">(S1667-V1667)/T1667</f>
        <v>1.1584000000000001</v>
      </c>
      <c r="X1667">
        <v>3</v>
      </c>
    </row>
    <row r="1668" spans="1:24" x14ac:dyDescent="0.3">
      <c r="A1668">
        <v>1667</v>
      </c>
      <c r="B1668" t="s">
        <v>3420</v>
      </c>
      <c r="C1668" s="6">
        <v>45863</v>
      </c>
      <c r="D1668" t="str">
        <f t="shared" si="104"/>
        <v>Jul</v>
      </c>
      <c r="E1668" t="str">
        <f t="shared" si="105"/>
        <v>2025</v>
      </c>
      <c r="F1668" t="s">
        <v>3</v>
      </c>
      <c r="G1668" t="s">
        <v>522</v>
      </c>
      <c r="H1668" t="s">
        <v>1636</v>
      </c>
      <c r="I1668">
        <v>180</v>
      </c>
      <c r="J1668">
        <v>28</v>
      </c>
      <c r="K1668">
        <f t="shared" si="106"/>
        <v>15.555555555555555</v>
      </c>
      <c r="L1668" t="s">
        <v>1743</v>
      </c>
      <c r="M1668" t="s">
        <v>3610</v>
      </c>
      <c r="N1668" t="s">
        <v>1</v>
      </c>
      <c r="O1668">
        <v>493118</v>
      </c>
      <c r="P1668" t="s">
        <v>546</v>
      </c>
      <c r="Q1668" t="s">
        <v>1758</v>
      </c>
      <c r="S1668">
        <v>94.992000000000004</v>
      </c>
      <c r="T1668">
        <v>2</v>
      </c>
      <c r="U1668">
        <v>0.2</v>
      </c>
      <c r="V1668">
        <v>-2.3748</v>
      </c>
      <c r="W1668">
        <f t="shared" si="107"/>
        <v>48.683399999999999</v>
      </c>
      <c r="X1668">
        <v>1</v>
      </c>
    </row>
    <row r="1669" spans="1:24" x14ac:dyDescent="0.3">
      <c r="A1669">
        <v>1668</v>
      </c>
      <c r="B1669" t="s">
        <v>3421</v>
      </c>
      <c r="C1669" s="6">
        <v>45864</v>
      </c>
      <c r="D1669" t="str">
        <f t="shared" si="104"/>
        <v>Jul</v>
      </c>
      <c r="E1669" t="str">
        <f t="shared" si="105"/>
        <v>2025</v>
      </c>
      <c r="F1669" t="s">
        <v>3</v>
      </c>
      <c r="G1669" t="s">
        <v>522</v>
      </c>
      <c r="H1669" t="s">
        <v>1637</v>
      </c>
      <c r="I1669">
        <v>200</v>
      </c>
      <c r="J1669">
        <v>6</v>
      </c>
      <c r="K1669">
        <f t="shared" si="106"/>
        <v>3</v>
      </c>
      <c r="L1669" t="s">
        <v>1738</v>
      </c>
      <c r="M1669" t="s">
        <v>3814</v>
      </c>
      <c r="N1669" t="s">
        <v>1</v>
      </c>
      <c r="O1669">
        <v>303007</v>
      </c>
      <c r="P1669" t="s">
        <v>546</v>
      </c>
      <c r="Q1669" t="s">
        <v>1761</v>
      </c>
      <c r="R1669" t="s">
        <v>2</v>
      </c>
      <c r="S1669">
        <v>74.352000000000004</v>
      </c>
      <c r="T1669">
        <v>3</v>
      </c>
      <c r="U1669">
        <v>0.2</v>
      </c>
      <c r="V1669">
        <v>23.234999999999999</v>
      </c>
      <c r="W1669">
        <f t="shared" si="107"/>
        <v>17.039000000000001</v>
      </c>
      <c r="X1669">
        <v>5</v>
      </c>
    </row>
    <row r="1670" spans="1:24" x14ac:dyDescent="0.3">
      <c r="A1670">
        <v>1669</v>
      </c>
      <c r="B1670" t="s">
        <v>3422</v>
      </c>
      <c r="C1670" s="6">
        <v>45865</v>
      </c>
      <c r="D1670" t="str">
        <f t="shared" si="104"/>
        <v>Jul</v>
      </c>
      <c r="E1670" t="str">
        <f t="shared" si="105"/>
        <v>2025</v>
      </c>
      <c r="F1670" t="s">
        <v>3</v>
      </c>
      <c r="G1670" t="s">
        <v>522</v>
      </c>
      <c r="H1670" t="s">
        <v>1175</v>
      </c>
      <c r="I1670">
        <v>200</v>
      </c>
      <c r="J1670">
        <v>18</v>
      </c>
      <c r="K1670">
        <f t="shared" si="106"/>
        <v>9</v>
      </c>
      <c r="L1670" t="s">
        <v>1737</v>
      </c>
      <c r="M1670" t="s">
        <v>3880</v>
      </c>
      <c r="N1670" t="s">
        <v>1</v>
      </c>
      <c r="O1670">
        <v>500039</v>
      </c>
      <c r="P1670" t="s">
        <v>546</v>
      </c>
      <c r="Q1670" t="s">
        <v>1767</v>
      </c>
      <c r="S1670">
        <v>14.04</v>
      </c>
      <c r="T1670">
        <v>3</v>
      </c>
      <c r="U1670">
        <v>0.2</v>
      </c>
      <c r="V1670">
        <v>1.5794999999999999</v>
      </c>
      <c r="W1670">
        <f t="shared" si="107"/>
        <v>4.1535000000000002</v>
      </c>
      <c r="X1670">
        <v>5</v>
      </c>
    </row>
    <row r="1671" spans="1:24" x14ac:dyDescent="0.3">
      <c r="A1671">
        <v>1670</v>
      </c>
      <c r="B1671" t="s">
        <v>3423</v>
      </c>
      <c r="C1671" s="6">
        <v>45866</v>
      </c>
      <c r="D1671" t="str">
        <f t="shared" si="104"/>
        <v>Jul</v>
      </c>
      <c r="E1671" t="str">
        <f t="shared" si="105"/>
        <v>2025</v>
      </c>
      <c r="F1671" t="s">
        <v>4</v>
      </c>
      <c r="G1671" t="s">
        <v>469</v>
      </c>
      <c r="H1671" t="s">
        <v>958</v>
      </c>
      <c r="I1671">
        <v>170</v>
      </c>
      <c r="J1671">
        <v>6</v>
      </c>
      <c r="K1671">
        <f t="shared" si="106"/>
        <v>3.5294117647058822</v>
      </c>
      <c r="L1671" t="s">
        <v>1743</v>
      </c>
      <c r="M1671" t="s">
        <v>3881</v>
      </c>
      <c r="N1671" t="s">
        <v>1</v>
      </c>
      <c r="O1671">
        <v>500008</v>
      </c>
      <c r="P1671" t="s">
        <v>546</v>
      </c>
      <c r="Q1671" t="s">
        <v>1763</v>
      </c>
      <c r="S1671">
        <v>1018.104</v>
      </c>
      <c r="T1671">
        <v>4</v>
      </c>
      <c r="U1671">
        <v>0.4</v>
      </c>
      <c r="V1671">
        <v>-373.3048</v>
      </c>
      <c r="W1671">
        <f t="shared" si="107"/>
        <v>347.85220000000004</v>
      </c>
      <c r="X1671">
        <v>4</v>
      </c>
    </row>
    <row r="1672" spans="1:24" x14ac:dyDescent="0.3">
      <c r="A1672">
        <v>1671</v>
      </c>
      <c r="B1672" t="s">
        <v>3424</v>
      </c>
      <c r="C1672" s="6">
        <v>45867</v>
      </c>
      <c r="D1672" t="str">
        <f t="shared" si="104"/>
        <v>Jul</v>
      </c>
      <c r="E1672" t="str">
        <f t="shared" si="105"/>
        <v>2025</v>
      </c>
      <c r="F1672" t="s">
        <v>4</v>
      </c>
      <c r="G1672" t="s">
        <v>509</v>
      </c>
      <c r="H1672" t="s">
        <v>1638</v>
      </c>
      <c r="I1672">
        <v>150</v>
      </c>
      <c r="J1672">
        <v>30</v>
      </c>
      <c r="K1672">
        <f t="shared" si="106"/>
        <v>20</v>
      </c>
      <c r="L1672" t="s">
        <v>1738</v>
      </c>
      <c r="M1672" t="s">
        <v>3882</v>
      </c>
      <c r="N1672" t="s">
        <v>1</v>
      </c>
      <c r="O1672">
        <v>689581</v>
      </c>
      <c r="P1672" t="s">
        <v>546</v>
      </c>
      <c r="Q1672" t="s">
        <v>1769</v>
      </c>
      <c r="R1672" t="s">
        <v>2</v>
      </c>
      <c r="S1672">
        <v>16.68</v>
      </c>
      <c r="T1672">
        <v>3</v>
      </c>
      <c r="U1672">
        <v>0.2</v>
      </c>
      <c r="V1672">
        <v>5.2125000000000004</v>
      </c>
      <c r="W1672">
        <f t="shared" si="107"/>
        <v>3.8224999999999998</v>
      </c>
      <c r="X1672">
        <v>3</v>
      </c>
    </row>
    <row r="1673" spans="1:24" x14ac:dyDescent="0.3">
      <c r="A1673">
        <v>1672</v>
      </c>
      <c r="B1673" t="s">
        <v>3425</v>
      </c>
      <c r="C1673" s="6">
        <v>45868</v>
      </c>
      <c r="D1673" t="str">
        <f t="shared" si="104"/>
        <v>Jul</v>
      </c>
      <c r="E1673" t="str">
        <f t="shared" si="105"/>
        <v>2025</v>
      </c>
      <c r="F1673" t="s">
        <v>5</v>
      </c>
      <c r="G1673" t="s">
        <v>523</v>
      </c>
      <c r="H1673" t="s">
        <v>1372</v>
      </c>
      <c r="I1673">
        <v>240</v>
      </c>
      <c r="J1673">
        <v>18</v>
      </c>
      <c r="K1673">
        <f t="shared" si="106"/>
        <v>7.5</v>
      </c>
      <c r="L1673" t="s">
        <v>1739</v>
      </c>
      <c r="M1673" t="s">
        <v>3883</v>
      </c>
      <c r="N1673" t="s">
        <v>1</v>
      </c>
      <c r="O1673">
        <v>425305</v>
      </c>
      <c r="P1673" t="s">
        <v>546</v>
      </c>
      <c r="Q1673" t="s">
        <v>1760</v>
      </c>
      <c r="S1673">
        <v>58.58</v>
      </c>
      <c r="T1673">
        <v>2</v>
      </c>
      <c r="U1673">
        <v>0.1</v>
      </c>
      <c r="V1673">
        <v>19.331399999999999</v>
      </c>
      <c r="W1673">
        <f t="shared" si="107"/>
        <v>19.624299999999998</v>
      </c>
      <c r="X1673">
        <v>5</v>
      </c>
    </row>
    <row r="1674" spans="1:24" x14ac:dyDescent="0.3">
      <c r="A1674">
        <v>1673</v>
      </c>
      <c r="B1674" t="s">
        <v>3426</v>
      </c>
      <c r="C1674" s="6">
        <v>45869</v>
      </c>
      <c r="D1674" t="str">
        <f t="shared" si="104"/>
        <v>Jul</v>
      </c>
      <c r="E1674" t="str">
        <f t="shared" si="105"/>
        <v>2025</v>
      </c>
      <c r="F1674" t="s">
        <v>4</v>
      </c>
      <c r="G1674" t="s">
        <v>368</v>
      </c>
      <c r="H1674" t="s">
        <v>613</v>
      </c>
      <c r="I1674">
        <v>250</v>
      </c>
      <c r="J1674">
        <v>30</v>
      </c>
      <c r="K1674">
        <f t="shared" si="106"/>
        <v>12</v>
      </c>
      <c r="L1674" t="s">
        <v>1741</v>
      </c>
      <c r="M1674" t="s">
        <v>3884</v>
      </c>
      <c r="N1674" t="s">
        <v>1</v>
      </c>
      <c r="O1674">
        <v>424001</v>
      </c>
      <c r="P1674" t="s">
        <v>546</v>
      </c>
      <c r="Q1674" t="s">
        <v>1764</v>
      </c>
      <c r="S1674">
        <v>167.96799999999999</v>
      </c>
      <c r="T1674">
        <v>4</v>
      </c>
      <c r="U1674">
        <v>0.2</v>
      </c>
      <c r="V1674">
        <v>62.988</v>
      </c>
      <c r="W1674">
        <f t="shared" si="107"/>
        <v>26.244999999999997</v>
      </c>
      <c r="X1674">
        <v>2</v>
      </c>
    </row>
    <row r="1675" spans="1:24" x14ac:dyDescent="0.3">
      <c r="A1675">
        <v>1674</v>
      </c>
      <c r="B1675" t="s">
        <v>3427</v>
      </c>
      <c r="C1675" s="6">
        <v>45870</v>
      </c>
      <c r="D1675" t="str">
        <f t="shared" si="104"/>
        <v>Aug</v>
      </c>
      <c r="E1675" t="str">
        <f t="shared" si="105"/>
        <v>2025</v>
      </c>
      <c r="F1675" t="s">
        <v>5</v>
      </c>
      <c r="G1675" t="s">
        <v>524</v>
      </c>
      <c r="H1675" t="s">
        <v>1055</v>
      </c>
      <c r="I1675">
        <v>100</v>
      </c>
      <c r="J1675">
        <v>10</v>
      </c>
      <c r="K1675">
        <f t="shared" si="106"/>
        <v>10</v>
      </c>
      <c r="L1675" t="s">
        <v>1736</v>
      </c>
      <c r="M1675" t="s">
        <v>3885</v>
      </c>
      <c r="N1675" t="s">
        <v>1</v>
      </c>
      <c r="O1675">
        <v>560068</v>
      </c>
      <c r="P1675" t="s">
        <v>546</v>
      </c>
      <c r="Q1675" t="s">
        <v>1756</v>
      </c>
      <c r="S1675">
        <v>196.62</v>
      </c>
      <c r="T1675">
        <v>2</v>
      </c>
      <c r="U1675">
        <v>0.1</v>
      </c>
      <c r="V1675">
        <v>96.343800000000002</v>
      </c>
      <c r="W1675">
        <f t="shared" si="107"/>
        <v>50.138100000000001</v>
      </c>
      <c r="X1675">
        <v>5</v>
      </c>
    </row>
    <row r="1676" spans="1:24" x14ac:dyDescent="0.3">
      <c r="A1676">
        <v>1675</v>
      </c>
      <c r="B1676" t="s">
        <v>3428</v>
      </c>
      <c r="C1676" s="6">
        <v>45871</v>
      </c>
      <c r="D1676" t="str">
        <f t="shared" si="104"/>
        <v>Aug</v>
      </c>
      <c r="E1676" t="str">
        <f t="shared" si="105"/>
        <v>2025</v>
      </c>
      <c r="F1676" t="s">
        <v>4</v>
      </c>
      <c r="G1676" t="s">
        <v>252</v>
      </c>
      <c r="H1676" t="s">
        <v>1452</v>
      </c>
      <c r="I1676">
        <v>160</v>
      </c>
      <c r="J1676">
        <v>16</v>
      </c>
      <c r="K1676">
        <f t="shared" si="106"/>
        <v>10</v>
      </c>
      <c r="L1676" t="s">
        <v>1744</v>
      </c>
      <c r="M1676" t="s">
        <v>3886</v>
      </c>
      <c r="N1676" t="s">
        <v>1</v>
      </c>
      <c r="O1676">
        <v>401105</v>
      </c>
      <c r="P1676" t="s">
        <v>546</v>
      </c>
      <c r="Q1676" t="s">
        <v>1773</v>
      </c>
      <c r="S1676">
        <v>21.936</v>
      </c>
      <c r="T1676">
        <v>2</v>
      </c>
      <c r="U1676">
        <v>0.6</v>
      </c>
      <c r="V1676">
        <v>-10.419600000000001</v>
      </c>
      <c r="W1676">
        <f t="shared" si="107"/>
        <v>16.177800000000001</v>
      </c>
      <c r="X1676">
        <v>4</v>
      </c>
    </row>
    <row r="1677" spans="1:24" x14ac:dyDescent="0.3">
      <c r="A1677">
        <v>1676</v>
      </c>
      <c r="B1677" t="s">
        <v>3429</v>
      </c>
      <c r="C1677" s="6">
        <v>45872</v>
      </c>
      <c r="D1677" t="str">
        <f t="shared" si="104"/>
        <v>Aug</v>
      </c>
      <c r="E1677" t="str">
        <f t="shared" si="105"/>
        <v>2025</v>
      </c>
      <c r="F1677" t="s">
        <v>4</v>
      </c>
      <c r="G1677" t="s">
        <v>252</v>
      </c>
      <c r="H1677" t="s">
        <v>1592</v>
      </c>
      <c r="I1677">
        <v>190</v>
      </c>
      <c r="J1677">
        <v>14</v>
      </c>
      <c r="K1677">
        <f t="shared" si="106"/>
        <v>7.3684210526315779</v>
      </c>
      <c r="L1677" t="s">
        <v>1740</v>
      </c>
      <c r="M1677" t="s">
        <v>3887</v>
      </c>
      <c r="N1677" t="s">
        <v>1</v>
      </c>
      <c r="O1677">
        <v>503224</v>
      </c>
      <c r="P1677" t="s">
        <v>546</v>
      </c>
      <c r="Q1677" t="s">
        <v>1770</v>
      </c>
      <c r="S1677">
        <v>6.5880000000000001</v>
      </c>
      <c r="T1677">
        <v>3</v>
      </c>
      <c r="U1677">
        <v>0.8</v>
      </c>
      <c r="V1677">
        <v>-10.211399999999999</v>
      </c>
      <c r="W1677">
        <f t="shared" si="107"/>
        <v>5.5997999999999992</v>
      </c>
      <c r="X1677">
        <v>2</v>
      </c>
    </row>
    <row r="1678" spans="1:24" x14ac:dyDescent="0.3">
      <c r="A1678">
        <v>1677</v>
      </c>
      <c r="B1678" t="s">
        <v>3430</v>
      </c>
      <c r="C1678" s="6">
        <v>45873</v>
      </c>
      <c r="D1678" t="str">
        <f t="shared" si="104"/>
        <v>Aug</v>
      </c>
      <c r="E1678" t="str">
        <f t="shared" si="105"/>
        <v>2025</v>
      </c>
      <c r="F1678" t="s">
        <v>4</v>
      </c>
      <c r="G1678" t="s">
        <v>525</v>
      </c>
      <c r="H1678" t="s">
        <v>601</v>
      </c>
      <c r="I1678">
        <v>150</v>
      </c>
      <c r="J1678">
        <v>12</v>
      </c>
      <c r="K1678">
        <f t="shared" si="106"/>
        <v>8</v>
      </c>
      <c r="L1678" t="s">
        <v>1742</v>
      </c>
      <c r="M1678" t="s">
        <v>3888</v>
      </c>
      <c r="N1678" t="s">
        <v>1</v>
      </c>
      <c r="O1678">
        <v>769015</v>
      </c>
      <c r="P1678" t="s">
        <v>546</v>
      </c>
      <c r="Q1678" t="s">
        <v>1754</v>
      </c>
      <c r="S1678">
        <v>104.28</v>
      </c>
      <c r="T1678">
        <v>3</v>
      </c>
      <c r="U1678">
        <v>0.1</v>
      </c>
      <c r="V1678">
        <v>26.07</v>
      </c>
      <c r="W1678">
        <f t="shared" si="107"/>
        <v>26.070000000000004</v>
      </c>
      <c r="X1678">
        <v>1</v>
      </c>
    </row>
    <row r="1679" spans="1:24" x14ac:dyDescent="0.3">
      <c r="A1679">
        <v>1678</v>
      </c>
      <c r="B1679" t="s">
        <v>3431</v>
      </c>
      <c r="C1679" s="6">
        <v>45874</v>
      </c>
      <c r="D1679" t="str">
        <f t="shared" si="104"/>
        <v>Aug</v>
      </c>
      <c r="E1679" t="str">
        <f t="shared" si="105"/>
        <v>2025</v>
      </c>
      <c r="F1679" t="s">
        <v>4</v>
      </c>
      <c r="G1679" t="s">
        <v>525</v>
      </c>
      <c r="H1679" t="s">
        <v>646</v>
      </c>
      <c r="I1679">
        <v>150</v>
      </c>
      <c r="J1679">
        <v>16</v>
      </c>
      <c r="K1679">
        <f t="shared" si="106"/>
        <v>10.666666666666668</v>
      </c>
      <c r="L1679" t="s">
        <v>1739</v>
      </c>
      <c r="M1679" t="s">
        <v>3889</v>
      </c>
      <c r="N1679" t="s">
        <v>1</v>
      </c>
      <c r="O1679">
        <v>231225</v>
      </c>
      <c r="P1679" t="s">
        <v>546</v>
      </c>
      <c r="Q1679" t="s">
        <v>1764</v>
      </c>
      <c r="S1679">
        <v>17.940000000000001</v>
      </c>
      <c r="T1679">
        <v>3</v>
      </c>
      <c r="U1679">
        <v>0.1</v>
      </c>
      <c r="V1679">
        <v>8.7905999999999995</v>
      </c>
      <c r="W1679">
        <f t="shared" si="107"/>
        <v>3.0498000000000007</v>
      </c>
      <c r="X1679">
        <v>4</v>
      </c>
    </row>
    <row r="1680" spans="1:24" x14ac:dyDescent="0.3">
      <c r="A1680">
        <v>1679</v>
      </c>
      <c r="B1680" t="s">
        <v>3432</v>
      </c>
      <c r="C1680" s="6">
        <v>45875</v>
      </c>
      <c r="D1680" t="str">
        <f t="shared" si="104"/>
        <v>Aug</v>
      </c>
      <c r="E1680" t="str">
        <f t="shared" si="105"/>
        <v>2025</v>
      </c>
      <c r="F1680" t="s">
        <v>4</v>
      </c>
      <c r="G1680" t="s">
        <v>122</v>
      </c>
      <c r="H1680" t="s">
        <v>1418</v>
      </c>
      <c r="I1680">
        <v>240</v>
      </c>
      <c r="J1680">
        <v>30</v>
      </c>
      <c r="K1680">
        <f t="shared" si="106"/>
        <v>12.5</v>
      </c>
      <c r="L1680" t="s">
        <v>1738</v>
      </c>
      <c r="M1680" t="s">
        <v>3890</v>
      </c>
      <c r="N1680" t="s">
        <v>1</v>
      </c>
      <c r="O1680">
        <v>785001</v>
      </c>
      <c r="P1680" t="s">
        <v>546</v>
      </c>
      <c r="Q1680" t="s">
        <v>1772</v>
      </c>
      <c r="S1680">
        <v>64.784000000000006</v>
      </c>
      <c r="T1680">
        <v>1</v>
      </c>
      <c r="U1680">
        <v>0.2</v>
      </c>
      <c r="V1680">
        <v>-14.5764</v>
      </c>
      <c r="W1680">
        <f t="shared" si="107"/>
        <v>79.360399999999998</v>
      </c>
      <c r="X1680">
        <v>3</v>
      </c>
    </row>
    <row r="1681" spans="1:24" x14ac:dyDescent="0.3">
      <c r="A1681">
        <v>1680</v>
      </c>
      <c r="B1681" t="s">
        <v>3433</v>
      </c>
      <c r="C1681" s="6">
        <v>45876</v>
      </c>
      <c r="D1681" t="str">
        <f t="shared" si="104"/>
        <v>Aug</v>
      </c>
      <c r="E1681" t="str">
        <f t="shared" si="105"/>
        <v>2025</v>
      </c>
      <c r="F1681" t="s">
        <v>4</v>
      </c>
      <c r="G1681" t="s">
        <v>122</v>
      </c>
      <c r="H1681" t="s">
        <v>1378</v>
      </c>
      <c r="I1681">
        <v>220</v>
      </c>
      <c r="J1681">
        <v>30</v>
      </c>
      <c r="K1681">
        <f t="shared" si="106"/>
        <v>13.636363636363635</v>
      </c>
      <c r="L1681" t="s">
        <v>1743</v>
      </c>
      <c r="M1681" t="s">
        <v>3891</v>
      </c>
      <c r="N1681" t="s">
        <v>1</v>
      </c>
      <c r="O1681">
        <v>695125</v>
      </c>
      <c r="P1681" t="s">
        <v>546</v>
      </c>
      <c r="Q1681" t="s">
        <v>1768</v>
      </c>
      <c r="R1681" t="s">
        <v>2</v>
      </c>
      <c r="S1681">
        <v>32.381999999999998</v>
      </c>
      <c r="T1681">
        <v>3</v>
      </c>
      <c r="U1681">
        <v>0.4</v>
      </c>
      <c r="V1681">
        <v>4.3175999999999997</v>
      </c>
      <c r="W1681">
        <f t="shared" si="107"/>
        <v>9.3547999999999991</v>
      </c>
      <c r="X1681">
        <v>5</v>
      </c>
    </row>
    <row r="1682" spans="1:24" x14ac:dyDescent="0.3">
      <c r="A1682">
        <v>1681</v>
      </c>
      <c r="B1682" t="s">
        <v>3434</v>
      </c>
      <c r="C1682" s="6">
        <v>45877</v>
      </c>
      <c r="D1682" t="str">
        <f t="shared" si="104"/>
        <v>Aug</v>
      </c>
      <c r="E1682" t="str">
        <f t="shared" si="105"/>
        <v>2025</v>
      </c>
      <c r="F1682" t="s">
        <v>4</v>
      </c>
      <c r="G1682" t="s">
        <v>122</v>
      </c>
      <c r="H1682" t="s">
        <v>1639</v>
      </c>
      <c r="I1682">
        <v>250</v>
      </c>
      <c r="J1682">
        <v>26</v>
      </c>
      <c r="K1682">
        <f t="shared" si="106"/>
        <v>10.4</v>
      </c>
      <c r="L1682" t="s">
        <v>1737</v>
      </c>
      <c r="M1682" t="s">
        <v>3892</v>
      </c>
      <c r="N1682" t="s">
        <v>1</v>
      </c>
      <c r="O1682">
        <v>695125</v>
      </c>
      <c r="P1682" t="s">
        <v>546</v>
      </c>
      <c r="Q1682" t="s">
        <v>1763</v>
      </c>
      <c r="R1682" t="s">
        <v>2</v>
      </c>
      <c r="S1682">
        <v>42.368000000000002</v>
      </c>
      <c r="T1682">
        <v>2</v>
      </c>
      <c r="U1682">
        <v>0.2</v>
      </c>
      <c r="V1682">
        <v>8.4735999999999994</v>
      </c>
      <c r="W1682">
        <f t="shared" si="107"/>
        <v>16.947200000000002</v>
      </c>
      <c r="X1682">
        <v>5</v>
      </c>
    </row>
    <row r="1683" spans="1:24" x14ac:dyDescent="0.3">
      <c r="A1683">
        <v>1682</v>
      </c>
      <c r="B1683" t="s">
        <v>3435</v>
      </c>
      <c r="C1683" s="6">
        <v>45878</v>
      </c>
      <c r="D1683" t="str">
        <f t="shared" si="104"/>
        <v>Aug</v>
      </c>
      <c r="E1683" t="str">
        <f t="shared" si="105"/>
        <v>2025</v>
      </c>
      <c r="F1683" t="s">
        <v>4</v>
      </c>
      <c r="G1683" t="s">
        <v>122</v>
      </c>
      <c r="H1683" t="s">
        <v>1640</v>
      </c>
      <c r="I1683">
        <v>150</v>
      </c>
      <c r="J1683">
        <v>6</v>
      </c>
      <c r="K1683">
        <f t="shared" si="106"/>
        <v>4</v>
      </c>
      <c r="L1683" t="s">
        <v>1741</v>
      </c>
      <c r="M1683" t="s">
        <v>3893</v>
      </c>
      <c r="N1683" t="s">
        <v>1</v>
      </c>
      <c r="O1683">
        <v>605012</v>
      </c>
      <c r="P1683" t="s">
        <v>546</v>
      </c>
      <c r="Q1683" t="s">
        <v>1773</v>
      </c>
      <c r="S1683">
        <v>399.54</v>
      </c>
      <c r="T1683">
        <v>4</v>
      </c>
      <c r="U1683">
        <v>0.7</v>
      </c>
      <c r="V1683">
        <v>-559.35599999999999</v>
      </c>
      <c r="W1683">
        <f t="shared" si="107"/>
        <v>239.72399999999999</v>
      </c>
      <c r="X1683">
        <v>3</v>
      </c>
    </row>
    <row r="1684" spans="1:24" x14ac:dyDescent="0.3">
      <c r="A1684">
        <v>1683</v>
      </c>
      <c r="B1684" t="s">
        <v>3436</v>
      </c>
      <c r="C1684" s="6">
        <v>45879</v>
      </c>
      <c r="D1684" t="str">
        <f t="shared" si="104"/>
        <v>Aug</v>
      </c>
      <c r="E1684" t="str">
        <f t="shared" si="105"/>
        <v>2025</v>
      </c>
      <c r="F1684" t="s">
        <v>3</v>
      </c>
      <c r="G1684" t="s">
        <v>526</v>
      </c>
      <c r="H1684" t="s">
        <v>1187</v>
      </c>
      <c r="I1684">
        <v>110</v>
      </c>
      <c r="J1684">
        <v>14</v>
      </c>
      <c r="K1684">
        <f t="shared" si="106"/>
        <v>12.727272727272727</v>
      </c>
      <c r="L1684" t="s">
        <v>1736</v>
      </c>
      <c r="M1684" t="s">
        <v>3894</v>
      </c>
      <c r="N1684" t="s">
        <v>1</v>
      </c>
      <c r="O1684">
        <v>800024</v>
      </c>
      <c r="P1684" t="s">
        <v>546</v>
      </c>
      <c r="Q1684" t="s">
        <v>1770</v>
      </c>
      <c r="S1684">
        <v>18.97</v>
      </c>
      <c r="T1684">
        <v>1</v>
      </c>
      <c r="U1684">
        <v>0.1</v>
      </c>
      <c r="V1684">
        <v>9.1056000000000008</v>
      </c>
      <c r="W1684">
        <f t="shared" si="107"/>
        <v>9.8643999999999981</v>
      </c>
      <c r="X1684">
        <v>4</v>
      </c>
    </row>
    <row r="1685" spans="1:24" x14ac:dyDescent="0.3">
      <c r="A1685">
        <v>1684</v>
      </c>
      <c r="B1685" t="s">
        <v>3437</v>
      </c>
      <c r="C1685" s="6">
        <v>45880</v>
      </c>
      <c r="D1685" t="str">
        <f t="shared" si="104"/>
        <v>Aug</v>
      </c>
      <c r="E1685" t="str">
        <f t="shared" si="105"/>
        <v>2025</v>
      </c>
      <c r="F1685" t="s">
        <v>4</v>
      </c>
      <c r="G1685" t="s">
        <v>125</v>
      </c>
      <c r="H1685" t="s">
        <v>1174</v>
      </c>
      <c r="I1685">
        <v>170</v>
      </c>
      <c r="J1685">
        <v>6</v>
      </c>
      <c r="K1685">
        <f t="shared" si="106"/>
        <v>3.5294117647058822</v>
      </c>
      <c r="L1685" t="s">
        <v>1744</v>
      </c>
      <c r="M1685" t="s">
        <v>3895</v>
      </c>
      <c r="N1685" t="s">
        <v>1</v>
      </c>
      <c r="O1685">
        <v>226016</v>
      </c>
      <c r="P1685" t="s">
        <v>546</v>
      </c>
      <c r="Q1685" t="s">
        <v>1772</v>
      </c>
      <c r="S1685">
        <v>14.82</v>
      </c>
      <c r="T1685">
        <v>3</v>
      </c>
      <c r="U1685">
        <v>0.1</v>
      </c>
      <c r="V1685">
        <v>6.2244000000000002</v>
      </c>
      <c r="W1685">
        <f t="shared" si="107"/>
        <v>2.8652000000000002</v>
      </c>
      <c r="X1685">
        <v>5</v>
      </c>
    </row>
    <row r="1686" spans="1:24" x14ac:dyDescent="0.3">
      <c r="A1686">
        <v>1685</v>
      </c>
      <c r="B1686" t="s">
        <v>3438</v>
      </c>
      <c r="C1686" s="6">
        <v>45881</v>
      </c>
      <c r="D1686" t="str">
        <f t="shared" si="104"/>
        <v>Aug</v>
      </c>
      <c r="E1686" t="str">
        <f t="shared" si="105"/>
        <v>2025</v>
      </c>
      <c r="F1686" t="s">
        <v>5</v>
      </c>
      <c r="G1686" t="s">
        <v>467</v>
      </c>
      <c r="H1686" t="s">
        <v>1641</v>
      </c>
      <c r="I1686">
        <v>140</v>
      </c>
      <c r="J1686">
        <v>6</v>
      </c>
      <c r="K1686">
        <f t="shared" si="106"/>
        <v>4.2857142857142856</v>
      </c>
      <c r="L1686" t="s">
        <v>1740</v>
      </c>
      <c r="M1686" t="s">
        <v>3896</v>
      </c>
      <c r="N1686" t="s">
        <v>1</v>
      </c>
      <c r="O1686">
        <v>641005</v>
      </c>
      <c r="P1686" t="s">
        <v>546</v>
      </c>
      <c r="Q1686" t="s">
        <v>1754</v>
      </c>
      <c r="S1686">
        <v>99.28</v>
      </c>
      <c r="T1686">
        <v>2</v>
      </c>
      <c r="U1686">
        <v>0.2</v>
      </c>
      <c r="V1686">
        <v>12.41</v>
      </c>
      <c r="W1686">
        <f t="shared" si="107"/>
        <v>43.435000000000002</v>
      </c>
      <c r="X1686">
        <v>5</v>
      </c>
    </row>
    <row r="1687" spans="1:24" x14ac:dyDescent="0.3">
      <c r="A1687">
        <v>1686</v>
      </c>
      <c r="B1687" t="s">
        <v>3439</v>
      </c>
      <c r="C1687" s="6">
        <v>45882</v>
      </c>
      <c r="D1687" t="str">
        <f t="shared" si="104"/>
        <v>Aug</v>
      </c>
      <c r="E1687" t="str">
        <f t="shared" si="105"/>
        <v>2025</v>
      </c>
      <c r="F1687" t="s">
        <v>5</v>
      </c>
      <c r="G1687" t="s">
        <v>467</v>
      </c>
      <c r="H1687" t="s">
        <v>1469</v>
      </c>
      <c r="I1687">
        <v>150</v>
      </c>
      <c r="J1687">
        <v>20</v>
      </c>
      <c r="K1687">
        <f t="shared" si="106"/>
        <v>13.333333333333334</v>
      </c>
      <c r="L1687" t="s">
        <v>1742</v>
      </c>
      <c r="M1687" t="s">
        <v>3706</v>
      </c>
      <c r="N1687" t="s">
        <v>1</v>
      </c>
      <c r="O1687">
        <v>532001</v>
      </c>
      <c r="P1687" t="s">
        <v>546</v>
      </c>
      <c r="Q1687" t="s">
        <v>1759</v>
      </c>
      <c r="S1687">
        <v>1.1879999999999999</v>
      </c>
      <c r="T1687">
        <v>2</v>
      </c>
      <c r="U1687">
        <v>0.7</v>
      </c>
      <c r="V1687">
        <v>-0.99</v>
      </c>
      <c r="W1687">
        <f t="shared" si="107"/>
        <v>1.089</v>
      </c>
      <c r="X1687">
        <v>3</v>
      </c>
    </row>
    <row r="1688" spans="1:24" x14ac:dyDescent="0.3">
      <c r="A1688">
        <v>1687</v>
      </c>
      <c r="B1688" t="s">
        <v>3440</v>
      </c>
      <c r="C1688" s="6">
        <v>45883</v>
      </c>
      <c r="D1688" t="str">
        <f t="shared" si="104"/>
        <v>Aug</v>
      </c>
      <c r="E1688" t="str">
        <f t="shared" si="105"/>
        <v>2025</v>
      </c>
      <c r="F1688" t="s">
        <v>5</v>
      </c>
      <c r="G1688" t="s">
        <v>467</v>
      </c>
      <c r="H1688" t="s">
        <v>1642</v>
      </c>
      <c r="I1688">
        <v>120</v>
      </c>
      <c r="J1688">
        <v>24</v>
      </c>
      <c r="K1688">
        <f t="shared" si="106"/>
        <v>20</v>
      </c>
      <c r="L1688" t="s">
        <v>1739</v>
      </c>
      <c r="M1688" t="s">
        <v>3897</v>
      </c>
      <c r="N1688" t="s">
        <v>1</v>
      </c>
      <c r="O1688">
        <v>600116</v>
      </c>
      <c r="P1688" t="s">
        <v>546</v>
      </c>
      <c r="Q1688" t="s">
        <v>1769</v>
      </c>
      <c r="R1688" t="s">
        <v>2</v>
      </c>
      <c r="S1688">
        <v>7.5179999999999998</v>
      </c>
      <c r="T1688">
        <v>2</v>
      </c>
      <c r="U1688">
        <v>0.7</v>
      </c>
      <c r="V1688">
        <v>-5.7637999999999998</v>
      </c>
      <c r="W1688">
        <f t="shared" si="107"/>
        <v>6.6409000000000002</v>
      </c>
      <c r="X1688">
        <v>3</v>
      </c>
    </row>
    <row r="1689" spans="1:24" x14ac:dyDescent="0.3">
      <c r="A1689">
        <v>1688</v>
      </c>
      <c r="B1689" t="s">
        <v>3441</v>
      </c>
      <c r="C1689" s="6">
        <v>45884</v>
      </c>
      <c r="D1689" t="str">
        <f t="shared" si="104"/>
        <v>Aug</v>
      </c>
      <c r="E1689" t="str">
        <f t="shared" si="105"/>
        <v>2025</v>
      </c>
      <c r="F1689" t="s">
        <v>5</v>
      </c>
      <c r="G1689" t="s">
        <v>504</v>
      </c>
      <c r="H1689" t="s">
        <v>1286</v>
      </c>
      <c r="I1689">
        <v>240</v>
      </c>
      <c r="J1689">
        <v>12</v>
      </c>
      <c r="K1689">
        <f t="shared" si="106"/>
        <v>5</v>
      </c>
      <c r="L1689" t="s">
        <v>1738</v>
      </c>
      <c r="M1689" t="s">
        <v>3786</v>
      </c>
      <c r="N1689" t="s">
        <v>1</v>
      </c>
      <c r="O1689">
        <v>751024</v>
      </c>
      <c r="P1689" t="s">
        <v>546</v>
      </c>
      <c r="Q1689" t="s">
        <v>1759</v>
      </c>
      <c r="S1689">
        <v>10.368</v>
      </c>
      <c r="T1689">
        <v>2</v>
      </c>
      <c r="U1689">
        <v>0.2</v>
      </c>
      <c r="V1689">
        <v>3.6288</v>
      </c>
      <c r="W1689">
        <f t="shared" si="107"/>
        <v>3.3696000000000002</v>
      </c>
      <c r="X1689">
        <v>4</v>
      </c>
    </row>
    <row r="1690" spans="1:24" x14ac:dyDescent="0.3">
      <c r="A1690">
        <v>1689</v>
      </c>
      <c r="B1690" t="s">
        <v>3442</v>
      </c>
      <c r="C1690" s="6">
        <v>45885</v>
      </c>
      <c r="D1690" t="str">
        <f t="shared" si="104"/>
        <v>Aug</v>
      </c>
      <c r="E1690" t="str">
        <f t="shared" si="105"/>
        <v>2025</v>
      </c>
      <c r="F1690" t="s">
        <v>5</v>
      </c>
      <c r="G1690" t="s">
        <v>504</v>
      </c>
      <c r="H1690" t="s">
        <v>1169</v>
      </c>
      <c r="I1690">
        <v>210</v>
      </c>
      <c r="J1690">
        <v>12</v>
      </c>
      <c r="K1690">
        <f t="shared" si="106"/>
        <v>5.7142857142857144</v>
      </c>
      <c r="L1690" t="s">
        <v>1737</v>
      </c>
      <c r="M1690" t="s">
        <v>3898</v>
      </c>
      <c r="N1690" t="s">
        <v>1</v>
      </c>
      <c r="O1690">
        <v>683594</v>
      </c>
      <c r="P1690" t="s">
        <v>546</v>
      </c>
      <c r="Q1690" t="s">
        <v>1766</v>
      </c>
      <c r="S1690">
        <v>310.88</v>
      </c>
      <c r="T1690">
        <v>2</v>
      </c>
      <c r="U1690">
        <v>0.2</v>
      </c>
      <c r="V1690">
        <v>23.315999999999999</v>
      </c>
      <c r="W1690">
        <f t="shared" si="107"/>
        <v>143.78200000000001</v>
      </c>
      <c r="X1690">
        <v>5</v>
      </c>
    </row>
    <row r="1691" spans="1:24" x14ac:dyDescent="0.3">
      <c r="A1691">
        <v>1690</v>
      </c>
      <c r="B1691" t="s">
        <v>3443</v>
      </c>
      <c r="C1691" s="6">
        <v>45886</v>
      </c>
      <c r="D1691" t="str">
        <f t="shared" si="104"/>
        <v>Aug</v>
      </c>
      <c r="E1691" t="str">
        <f t="shared" si="105"/>
        <v>2025</v>
      </c>
      <c r="F1691" t="s">
        <v>4</v>
      </c>
      <c r="G1691" t="s">
        <v>66</v>
      </c>
      <c r="H1691" t="s">
        <v>557</v>
      </c>
      <c r="I1691">
        <v>190</v>
      </c>
      <c r="J1691">
        <v>6</v>
      </c>
      <c r="K1691">
        <f t="shared" si="106"/>
        <v>3.1578947368421053</v>
      </c>
      <c r="L1691" t="s">
        <v>1743</v>
      </c>
      <c r="M1691" t="s">
        <v>3899</v>
      </c>
      <c r="O1691">
        <v>422207</v>
      </c>
      <c r="P1691" t="s">
        <v>546</v>
      </c>
      <c r="Q1691" t="s">
        <v>1769</v>
      </c>
      <c r="S1691">
        <v>853.09199999999998</v>
      </c>
      <c r="T1691">
        <v>6</v>
      </c>
      <c r="U1691">
        <v>0.4</v>
      </c>
      <c r="V1691">
        <v>-227.49119999999999</v>
      </c>
      <c r="W1691">
        <f t="shared" si="107"/>
        <v>180.09720000000002</v>
      </c>
      <c r="X1691">
        <v>1</v>
      </c>
    </row>
    <row r="1692" spans="1:24" x14ac:dyDescent="0.3">
      <c r="A1692">
        <v>1691</v>
      </c>
      <c r="B1692" t="s">
        <v>3444</v>
      </c>
      <c r="C1692" s="6">
        <v>45887</v>
      </c>
      <c r="D1692" t="str">
        <f t="shared" si="104"/>
        <v>Aug</v>
      </c>
      <c r="E1692" t="str">
        <f t="shared" si="105"/>
        <v>2025</v>
      </c>
      <c r="F1692" t="s">
        <v>4</v>
      </c>
      <c r="G1692" t="s">
        <v>527</v>
      </c>
      <c r="H1692" t="s">
        <v>1617</v>
      </c>
      <c r="I1692">
        <v>220</v>
      </c>
      <c r="J1692">
        <v>26</v>
      </c>
      <c r="K1692">
        <f t="shared" si="106"/>
        <v>11.818181818181818</v>
      </c>
      <c r="L1692" t="s">
        <v>1738</v>
      </c>
      <c r="M1692" t="s">
        <v>3788</v>
      </c>
      <c r="N1692" t="s">
        <v>1</v>
      </c>
      <c r="O1692">
        <v>854318</v>
      </c>
      <c r="P1692" t="s">
        <v>546</v>
      </c>
      <c r="Q1692" t="s">
        <v>1769</v>
      </c>
      <c r="S1692">
        <v>33.450000000000003</v>
      </c>
      <c r="T1692">
        <v>5</v>
      </c>
      <c r="U1692">
        <v>0.1</v>
      </c>
      <c r="V1692">
        <v>15.387</v>
      </c>
      <c r="W1692">
        <f t="shared" si="107"/>
        <v>3.6126000000000005</v>
      </c>
      <c r="X1692">
        <v>4</v>
      </c>
    </row>
    <row r="1693" spans="1:24" x14ac:dyDescent="0.3">
      <c r="A1693">
        <v>1692</v>
      </c>
      <c r="B1693" t="s">
        <v>3445</v>
      </c>
      <c r="C1693" s="6">
        <v>45888</v>
      </c>
      <c r="D1693" t="str">
        <f t="shared" si="104"/>
        <v>Aug</v>
      </c>
      <c r="E1693" t="str">
        <f t="shared" si="105"/>
        <v>2025</v>
      </c>
      <c r="F1693" t="s">
        <v>4</v>
      </c>
      <c r="G1693" t="s">
        <v>527</v>
      </c>
      <c r="H1693" t="s">
        <v>620</v>
      </c>
      <c r="I1693">
        <v>240</v>
      </c>
      <c r="J1693">
        <v>20</v>
      </c>
      <c r="K1693">
        <f t="shared" si="106"/>
        <v>8.3333333333333321</v>
      </c>
      <c r="L1693" t="s">
        <v>1739</v>
      </c>
      <c r="M1693" t="s">
        <v>3900</v>
      </c>
      <c r="N1693" t="s">
        <v>1</v>
      </c>
      <c r="O1693">
        <v>560037</v>
      </c>
      <c r="P1693" t="s">
        <v>546</v>
      </c>
      <c r="Q1693" t="s">
        <v>1768</v>
      </c>
      <c r="R1693" t="s">
        <v>2</v>
      </c>
      <c r="S1693">
        <v>10.4</v>
      </c>
      <c r="T1693">
        <v>5</v>
      </c>
      <c r="U1693">
        <v>0.1</v>
      </c>
      <c r="V1693">
        <v>5.0960000000000001</v>
      </c>
      <c r="W1693">
        <f t="shared" si="107"/>
        <v>1.0608</v>
      </c>
      <c r="X1693">
        <v>3</v>
      </c>
    </row>
    <row r="1694" spans="1:24" x14ac:dyDescent="0.3">
      <c r="A1694">
        <v>1693</v>
      </c>
      <c r="B1694" t="s">
        <v>3446</v>
      </c>
      <c r="C1694" s="6">
        <v>45889</v>
      </c>
      <c r="D1694" t="str">
        <f t="shared" si="104"/>
        <v>Aug</v>
      </c>
      <c r="E1694" t="str">
        <f t="shared" si="105"/>
        <v>2025</v>
      </c>
      <c r="F1694" t="s">
        <v>4</v>
      </c>
      <c r="G1694" t="s">
        <v>528</v>
      </c>
      <c r="H1694" t="s">
        <v>1040</v>
      </c>
      <c r="I1694">
        <v>250</v>
      </c>
      <c r="J1694">
        <v>16</v>
      </c>
      <c r="K1694">
        <f t="shared" si="106"/>
        <v>6.4</v>
      </c>
      <c r="L1694" t="s">
        <v>1741</v>
      </c>
      <c r="M1694" t="s">
        <v>3901</v>
      </c>
      <c r="O1694">
        <v>502285</v>
      </c>
      <c r="P1694" t="s">
        <v>546</v>
      </c>
      <c r="Q1694" t="s">
        <v>1772</v>
      </c>
      <c r="S1694">
        <v>21.88</v>
      </c>
      <c r="T1694">
        <v>5</v>
      </c>
      <c r="U1694">
        <v>0.2</v>
      </c>
      <c r="V1694">
        <v>6.2904999999999998</v>
      </c>
      <c r="W1694">
        <f t="shared" si="107"/>
        <v>3.1178999999999997</v>
      </c>
      <c r="X1694">
        <v>1</v>
      </c>
    </row>
    <row r="1695" spans="1:24" x14ac:dyDescent="0.3">
      <c r="A1695">
        <v>1694</v>
      </c>
      <c r="B1695" t="s">
        <v>3447</v>
      </c>
      <c r="C1695" s="6">
        <v>45890</v>
      </c>
      <c r="D1695" t="str">
        <f t="shared" si="104"/>
        <v>Aug</v>
      </c>
      <c r="E1695" t="str">
        <f t="shared" si="105"/>
        <v>2025</v>
      </c>
      <c r="F1695" t="s">
        <v>3</v>
      </c>
      <c r="G1695" t="s">
        <v>444</v>
      </c>
      <c r="H1695" t="s">
        <v>1643</v>
      </c>
      <c r="I1695">
        <v>210</v>
      </c>
      <c r="J1695">
        <v>24</v>
      </c>
      <c r="K1695">
        <f t="shared" si="106"/>
        <v>11.428571428571429</v>
      </c>
      <c r="L1695" t="s">
        <v>1736</v>
      </c>
      <c r="M1695" t="s">
        <v>3902</v>
      </c>
      <c r="N1695" t="s">
        <v>1</v>
      </c>
      <c r="O1695">
        <v>560035</v>
      </c>
      <c r="P1695" t="s">
        <v>546</v>
      </c>
      <c r="Q1695" t="s">
        <v>1776</v>
      </c>
      <c r="S1695">
        <v>13.616</v>
      </c>
      <c r="T1695">
        <v>2</v>
      </c>
      <c r="U1695">
        <v>0.2</v>
      </c>
      <c r="V1695">
        <v>3.5741999999999998</v>
      </c>
      <c r="W1695">
        <f t="shared" si="107"/>
        <v>5.0209000000000001</v>
      </c>
      <c r="X1695">
        <v>2</v>
      </c>
    </row>
    <row r="1696" spans="1:24" x14ac:dyDescent="0.3">
      <c r="A1696">
        <v>1695</v>
      </c>
      <c r="B1696" t="s">
        <v>3448</v>
      </c>
      <c r="C1696" s="6">
        <v>45891</v>
      </c>
      <c r="D1696" t="str">
        <f t="shared" si="104"/>
        <v>Aug</v>
      </c>
      <c r="E1696" t="str">
        <f t="shared" si="105"/>
        <v>2025</v>
      </c>
      <c r="F1696" t="s">
        <v>3</v>
      </c>
      <c r="G1696" t="s">
        <v>292</v>
      </c>
      <c r="H1696" t="s">
        <v>1644</v>
      </c>
      <c r="I1696">
        <v>230</v>
      </c>
      <c r="J1696">
        <v>6</v>
      </c>
      <c r="K1696">
        <f t="shared" si="106"/>
        <v>2.6086956521739131</v>
      </c>
      <c r="L1696" t="s">
        <v>1744</v>
      </c>
      <c r="M1696" t="s">
        <v>3903</v>
      </c>
      <c r="N1696" t="s">
        <v>1</v>
      </c>
      <c r="O1696">
        <v>560043</v>
      </c>
      <c r="P1696" t="s">
        <v>546</v>
      </c>
      <c r="Q1696" t="s">
        <v>1761</v>
      </c>
      <c r="S1696">
        <v>63.96</v>
      </c>
      <c r="T1696">
        <v>4</v>
      </c>
      <c r="U1696">
        <v>0.1</v>
      </c>
      <c r="V1696">
        <v>19.8276</v>
      </c>
      <c r="W1696">
        <f t="shared" si="107"/>
        <v>11.033100000000001</v>
      </c>
      <c r="X1696">
        <v>1</v>
      </c>
    </row>
    <row r="1697" spans="1:24" x14ac:dyDescent="0.3">
      <c r="A1697">
        <v>1696</v>
      </c>
      <c r="B1697" t="s">
        <v>3449</v>
      </c>
      <c r="C1697" s="6">
        <v>45892</v>
      </c>
      <c r="D1697" t="str">
        <f t="shared" si="104"/>
        <v>Aug</v>
      </c>
      <c r="E1697" t="str">
        <f t="shared" si="105"/>
        <v>2025</v>
      </c>
      <c r="F1697" t="s">
        <v>3</v>
      </c>
      <c r="G1697" t="s">
        <v>292</v>
      </c>
      <c r="H1697" t="s">
        <v>855</v>
      </c>
      <c r="I1697">
        <v>110</v>
      </c>
      <c r="J1697">
        <v>26</v>
      </c>
      <c r="K1697">
        <f t="shared" si="106"/>
        <v>23.636363636363637</v>
      </c>
      <c r="L1697" t="s">
        <v>1740</v>
      </c>
      <c r="M1697" t="s">
        <v>3904</v>
      </c>
      <c r="N1697" t="s">
        <v>1</v>
      </c>
      <c r="O1697">
        <v>393001</v>
      </c>
      <c r="P1697" t="s">
        <v>546</v>
      </c>
      <c r="Q1697" t="s">
        <v>1776</v>
      </c>
      <c r="S1697">
        <v>14.46</v>
      </c>
      <c r="T1697">
        <v>3</v>
      </c>
      <c r="U1697">
        <v>0.1</v>
      </c>
      <c r="V1697">
        <v>7.0853999999999999</v>
      </c>
      <c r="W1697">
        <f t="shared" si="107"/>
        <v>2.4582000000000002</v>
      </c>
      <c r="X1697">
        <v>4</v>
      </c>
    </row>
    <row r="1698" spans="1:24" x14ac:dyDescent="0.3">
      <c r="A1698">
        <v>1697</v>
      </c>
      <c r="B1698" t="s">
        <v>3450</v>
      </c>
      <c r="C1698" s="6">
        <v>45893</v>
      </c>
      <c r="D1698" t="str">
        <f t="shared" si="104"/>
        <v>Aug</v>
      </c>
      <c r="E1698" t="str">
        <f t="shared" si="105"/>
        <v>2025</v>
      </c>
      <c r="F1698" t="s">
        <v>3</v>
      </c>
      <c r="G1698" t="s">
        <v>292</v>
      </c>
      <c r="H1698" t="s">
        <v>613</v>
      </c>
      <c r="I1698">
        <v>250</v>
      </c>
      <c r="J1698">
        <v>12</v>
      </c>
      <c r="K1698">
        <f t="shared" si="106"/>
        <v>4.8</v>
      </c>
      <c r="L1698" t="s">
        <v>1742</v>
      </c>
      <c r="M1698" t="s">
        <v>3647</v>
      </c>
      <c r="N1698" t="s">
        <v>1</v>
      </c>
      <c r="O1698">
        <v>713206</v>
      </c>
      <c r="P1698" t="s">
        <v>546</v>
      </c>
      <c r="Q1698" t="s">
        <v>1755</v>
      </c>
      <c r="S1698">
        <v>104.98</v>
      </c>
      <c r="T1698">
        <v>2</v>
      </c>
      <c r="U1698">
        <v>0.1</v>
      </c>
      <c r="V1698">
        <v>52.49</v>
      </c>
      <c r="W1698">
        <f t="shared" si="107"/>
        <v>26.245000000000001</v>
      </c>
      <c r="X1698">
        <v>2</v>
      </c>
    </row>
    <row r="1699" spans="1:24" x14ac:dyDescent="0.3">
      <c r="A1699">
        <v>1698</v>
      </c>
      <c r="B1699" t="s">
        <v>3451</v>
      </c>
      <c r="C1699" s="6">
        <v>45894</v>
      </c>
      <c r="D1699" t="str">
        <f t="shared" si="104"/>
        <v>Aug</v>
      </c>
      <c r="E1699" t="str">
        <f t="shared" si="105"/>
        <v>2025</v>
      </c>
      <c r="F1699" t="s">
        <v>4</v>
      </c>
      <c r="G1699" t="s">
        <v>158</v>
      </c>
      <c r="H1699" t="s">
        <v>1197</v>
      </c>
      <c r="I1699">
        <v>120</v>
      </c>
      <c r="J1699">
        <v>18</v>
      </c>
      <c r="K1699">
        <f t="shared" si="106"/>
        <v>15</v>
      </c>
      <c r="L1699" t="s">
        <v>1739</v>
      </c>
      <c r="M1699" t="s">
        <v>3905</v>
      </c>
      <c r="N1699" t="s">
        <v>1</v>
      </c>
      <c r="O1699">
        <v>713206</v>
      </c>
      <c r="P1699" t="s">
        <v>546</v>
      </c>
      <c r="Q1699" t="s">
        <v>1767</v>
      </c>
      <c r="R1699" t="s">
        <v>2</v>
      </c>
      <c r="S1699">
        <v>106.96</v>
      </c>
      <c r="T1699">
        <v>2</v>
      </c>
      <c r="U1699">
        <v>0.1</v>
      </c>
      <c r="V1699">
        <v>31.0184</v>
      </c>
      <c r="W1699">
        <f t="shared" si="107"/>
        <v>37.970799999999997</v>
      </c>
      <c r="X1699">
        <v>5</v>
      </c>
    </row>
    <row r="1700" spans="1:24" x14ac:dyDescent="0.3">
      <c r="A1700">
        <v>1699</v>
      </c>
      <c r="B1700" t="s">
        <v>3452</v>
      </c>
      <c r="C1700" s="6">
        <v>45895</v>
      </c>
      <c r="D1700" t="str">
        <f t="shared" si="104"/>
        <v>Aug</v>
      </c>
      <c r="E1700" t="str">
        <f t="shared" si="105"/>
        <v>2025</v>
      </c>
      <c r="F1700" t="s">
        <v>4</v>
      </c>
      <c r="G1700" t="s">
        <v>158</v>
      </c>
      <c r="H1700" t="s">
        <v>1645</v>
      </c>
      <c r="I1700">
        <v>210</v>
      </c>
      <c r="J1700">
        <v>8</v>
      </c>
      <c r="K1700">
        <f t="shared" si="106"/>
        <v>3.8095238095238098</v>
      </c>
      <c r="L1700" t="s">
        <v>1738</v>
      </c>
      <c r="M1700" t="s">
        <v>3778</v>
      </c>
      <c r="N1700" t="s">
        <v>1</v>
      </c>
      <c r="O1700">
        <v>500026</v>
      </c>
      <c r="P1700" t="s">
        <v>546</v>
      </c>
      <c r="Q1700" t="s">
        <v>1773</v>
      </c>
      <c r="S1700">
        <v>21.56</v>
      </c>
      <c r="T1700">
        <v>7</v>
      </c>
      <c r="U1700">
        <v>0.1</v>
      </c>
      <c r="V1700">
        <v>10.348800000000001</v>
      </c>
      <c r="W1700">
        <f t="shared" si="107"/>
        <v>1.6015999999999997</v>
      </c>
      <c r="X1700">
        <v>1</v>
      </c>
    </row>
    <row r="1701" spans="1:24" x14ac:dyDescent="0.3">
      <c r="A1701">
        <v>1700</v>
      </c>
      <c r="B1701" t="s">
        <v>3453</v>
      </c>
      <c r="C1701" s="6">
        <v>45896</v>
      </c>
      <c r="D1701" t="str">
        <f t="shared" si="104"/>
        <v>Aug</v>
      </c>
      <c r="E1701" t="str">
        <f t="shared" si="105"/>
        <v>2025</v>
      </c>
      <c r="F1701" t="s">
        <v>3</v>
      </c>
      <c r="G1701" t="s">
        <v>63</v>
      </c>
      <c r="H1701" t="s">
        <v>1385</v>
      </c>
      <c r="I1701">
        <v>200</v>
      </c>
      <c r="J1701">
        <v>22</v>
      </c>
      <c r="K1701">
        <f t="shared" si="106"/>
        <v>11</v>
      </c>
      <c r="L1701" t="s">
        <v>1743</v>
      </c>
      <c r="M1701" t="s">
        <v>3906</v>
      </c>
      <c r="N1701" t="s">
        <v>1</v>
      </c>
      <c r="O1701">
        <v>500026</v>
      </c>
      <c r="P1701" t="s">
        <v>546</v>
      </c>
      <c r="Q1701" t="s">
        <v>1761</v>
      </c>
      <c r="S1701">
        <v>515.88</v>
      </c>
      <c r="T1701">
        <v>6</v>
      </c>
      <c r="U1701">
        <v>0.1</v>
      </c>
      <c r="V1701">
        <v>113.4936</v>
      </c>
      <c r="W1701">
        <f t="shared" si="107"/>
        <v>67.064399999999992</v>
      </c>
      <c r="X1701">
        <v>1</v>
      </c>
    </row>
    <row r="1702" spans="1:24" x14ac:dyDescent="0.3">
      <c r="A1702">
        <v>1701</v>
      </c>
      <c r="B1702" t="s">
        <v>3454</v>
      </c>
      <c r="C1702" s="6">
        <v>45897</v>
      </c>
      <c r="D1702" t="str">
        <f t="shared" si="104"/>
        <v>Aug</v>
      </c>
      <c r="E1702" t="str">
        <f t="shared" si="105"/>
        <v>2025</v>
      </c>
      <c r="F1702" t="s">
        <v>3</v>
      </c>
      <c r="G1702" t="s">
        <v>451</v>
      </c>
      <c r="H1702" t="s">
        <v>1324</v>
      </c>
      <c r="I1702">
        <v>150</v>
      </c>
      <c r="J1702">
        <v>22</v>
      </c>
      <c r="K1702">
        <f t="shared" si="106"/>
        <v>14.666666666666666</v>
      </c>
      <c r="L1702" t="s">
        <v>1737</v>
      </c>
      <c r="M1702" t="s">
        <v>3907</v>
      </c>
      <c r="N1702" t="s">
        <v>1</v>
      </c>
      <c r="O1702">
        <v>841438</v>
      </c>
      <c r="P1702" t="s">
        <v>546</v>
      </c>
      <c r="Q1702" t="s">
        <v>1765</v>
      </c>
      <c r="S1702">
        <v>11.808</v>
      </c>
      <c r="T1702">
        <v>2</v>
      </c>
      <c r="U1702">
        <v>0.2</v>
      </c>
      <c r="V1702">
        <v>4.2804000000000002</v>
      </c>
      <c r="W1702">
        <f t="shared" si="107"/>
        <v>3.7637999999999998</v>
      </c>
      <c r="X1702">
        <v>4</v>
      </c>
    </row>
    <row r="1703" spans="1:24" x14ac:dyDescent="0.3">
      <c r="A1703">
        <v>1702</v>
      </c>
      <c r="B1703" t="s">
        <v>3455</v>
      </c>
      <c r="C1703" s="6">
        <v>45898</v>
      </c>
      <c r="D1703" t="str">
        <f t="shared" si="104"/>
        <v>Aug</v>
      </c>
      <c r="E1703" t="str">
        <f t="shared" si="105"/>
        <v>2025</v>
      </c>
      <c r="F1703" t="s">
        <v>3</v>
      </c>
      <c r="G1703" t="s">
        <v>451</v>
      </c>
      <c r="H1703" t="s">
        <v>1014</v>
      </c>
      <c r="I1703">
        <v>110</v>
      </c>
      <c r="J1703">
        <v>16</v>
      </c>
      <c r="K1703">
        <f t="shared" si="106"/>
        <v>14.545454545454545</v>
      </c>
      <c r="L1703" t="s">
        <v>1741</v>
      </c>
      <c r="M1703" t="s">
        <v>3908</v>
      </c>
      <c r="N1703" t="s">
        <v>1</v>
      </c>
      <c r="O1703">
        <v>689121</v>
      </c>
      <c r="P1703" t="s">
        <v>546</v>
      </c>
      <c r="Q1703" t="s">
        <v>1776</v>
      </c>
      <c r="R1703" t="s">
        <v>2</v>
      </c>
      <c r="S1703">
        <v>1931.04</v>
      </c>
      <c r="T1703">
        <v>9</v>
      </c>
      <c r="U1703">
        <v>0.11</v>
      </c>
      <c r="V1703">
        <v>321.83999999999997</v>
      </c>
      <c r="W1703">
        <f t="shared" si="107"/>
        <v>178.8</v>
      </c>
      <c r="X1703">
        <v>5</v>
      </c>
    </row>
    <row r="1704" spans="1:24" x14ac:dyDescent="0.3">
      <c r="A1704">
        <v>1703</v>
      </c>
      <c r="B1704" t="s">
        <v>3456</v>
      </c>
      <c r="C1704" s="6">
        <v>45899</v>
      </c>
      <c r="D1704" t="str">
        <f t="shared" si="104"/>
        <v>Aug</v>
      </c>
      <c r="E1704" t="str">
        <f t="shared" si="105"/>
        <v>2025</v>
      </c>
      <c r="F1704" t="s">
        <v>3</v>
      </c>
      <c r="G1704" t="s">
        <v>451</v>
      </c>
      <c r="H1704" t="s">
        <v>1358</v>
      </c>
      <c r="I1704">
        <v>130</v>
      </c>
      <c r="J1704">
        <v>26</v>
      </c>
      <c r="K1704">
        <f t="shared" si="106"/>
        <v>20</v>
      </c>
      <c r="L1704" t="s">
        <v>1736</v>
      </c>
      <c r="M1704" t="s">
        <v>3909</v>
      </c>
      <c r="N1704" t="s">
        <v>1</v>
      </c>
      <c r="O1704">
        <v>670672</v>
      </c>
      <c r="P1704" t="s">
        <v>546</v>
      </c>
      <c r="Q1704" t="s">
        <v>1756</v>
      </c>
      <c r="S1704">
        <v>9.9600000000000009</v>
      </c>
      <c r="T1704">
        <v>2</v>
      </c>
      <c r="U1704">
        <v>0.1</v>
      </c>
      <c r="V1704">
        <v>4.6811999999999996</v>
      </c>
      <c r="W1704">
        <f t="shared" si="107"/>
        <v>2.6394000000000006</v>
      </c>
      <c r="X1704">
        <v>3</v>
      </c>
    </row>
    <row r="1705" spans="1:24" x14ac:dyDescent="0.3">
      <c r="A1705">
        <v>1704</v>
      </c>
      <c r="B1705" t="s">
        <v>3457</v>
      </c>
      <c r="C1705" s="6">
        <v>45900</v>
      </c>
      <c r="D1705" t="str">
        <f t="shared" si="104"/>
        <v>Aug</v>
      </c>
      <c r="E1705" t="str">
        <f t="shared" si="105"/>
        <v>2025</v>
      </c>
      <c r="F1705" t="s">
        <v>4</v>
      </c>
      <c r="G1705" t="s">
        <v>529</v>
      </c>
      <c r="H1705" t="s">
        <v>1646</v>
      </c>
      <c r="I1705">
        <v>150</v>
      </c>
      <c r="J1705">
        <v>20</v>
      </c>
      <c r="K1705">
        <f t="shared" si="106"/>
        <v>13.333333333333334</v>
      </c>
      <c r="L1705" t="s">
        <v>1744</v>
      </c>
      <c r="M1705" t="s">
        <v>3585</v>
      </c>
      <c r="N1705" t="s">
        <v>1</v>
      </c>
      <c r="O1705">
        <v>670672</v>
      </c>
      <c r="P1705" t="s">
        <v>546</v>
      </c>
      <c r="Q1705" t="s">
        <v>1764</v>
      </c>
      <c r="S1705">
        <v>12.35</v>
      </c>
      <c r="T1705">
        <v>5</v>
      </c>
      <c r="U1705">
        <v>0.1</v>
      </c>
      <c r="V1705">
        <v>5.8045</v>
      </c>
      <c r="W1705">
        <f t="shared" si="107"/>
        <v>1.3090999999999999</v>
      </c>
      <c r="X1705">
        <v>4</v>
      </c>
    </row>
    <row r="1706" spans="1:24" x14ac:dyDescent="0.3">
      <c r="A1706">
        <v>1705</v>
      </c>
      <c r="B1706" t="s">
        <v>3458</v>
      </c>
      <c r="C1706" s="6">
        <v>45901</v>
      </c>
      <c r="D1706" t="str">
        <f t="shared" si="104"/>
        <v>Sep</v>
      </c>
      <c r="E1706" t="str">
        <f t="shared" si="105"/>
        <v>2025</v>
      </c>
      <c r="F1706" t="s">
        <v>6</v>
      </c>
      <c r="G1706" t="s">
        <v>317</v>
      </c>
      <c r="H1706" t="s">
        <v>1375</v>
      </c>
      <c r="I1706">
        <v>210</v>
      </c>
      <c r="J1706">
        <v>14</v>
      </c>
      <c r="K1706">
        <f t="shared" si="106"/>
        <v>6.666666666666667</v>
      </c>
      <c r="L1706" t="s">
        <v>1740</v>
      </c>
      <c r="M1706" t="s">
        <v>3733</v>
      </c>
      <c r="N1706" t="s">
        <v>1</v>
      </c>
      <c r="O1706">
        <v>421503</v>
      </c>
      <c r="P1706" t="s">
        <v>546</v>
      </c>
      <c r="Q1706" t="s">
        <v>1761</v>
      </c>
      <c r="S1706">
        <v>9.702</v>
      </c>
      <c r="T1706">
        <v>3</v>
      </c>
      <c r="U1706">
        <v>0.7</v>
      </c>
      <c r="V1706">
        <v>-7.1147999999999998</v>
      </c>
      <c r="W1706">
        <f t="shared" si="107"/>
        <v>5.6055999999999999</v>
      </c>
      <c r="X1706">
        <v>5</v>
      </c>
    </row>
    <row r="1707" spans="1:24" x14ac:dyDescent="0.3">
      <c r="A1707">
        <v>1706</v>
      </c>
      <c r="B1707" t="s">
        <v>3459</v>
      </c>
      <c r="C1707" s="6">
        <v>45902</v>
      </c>
      <c r="D1707" t="str">
        <f t="shared" si="104"/>
        <v>Sep</v>
      </c>
      <c r="E1707" t="str">
        <f t="shared" si="105"/>
        <v>2025</v>
      </c>
      <c r="F1707" t="s">
        <v>4</v>
      </c>
      <c r="G1707" t="s">
        <v>12</v>
      </c>
      <c r="H1707" t="s">
        <v>1159</v>
      </c>
      <c r="I1707">
        <v>240</v>
      </c>
      <c r="J1707">
        <v>8</v>
      </c>
      <c r="K1707">
        <f t="shared" si="106"/>
        <v>3.3333333333333335</v>
      </c>
      <c r="L1707" t="s">
        <v>1742</v>
      </c>
      <c r="M1707" t="s">
        <v>3910</v>
      </c>
      <c r="N1707" t="s">
        <v>1</v>
      </c>
      <c r="O1707">
        <v>560048</v>
      </c>
      <c r="P1707" t="s">
        <v>546</v>
      </c>
      <c r="Q1707" t="s">
        <v>1770</v>
      </c>
      <c r="R1707" t="s">
        <v>2</v>
      </c>
      <c r="S1707">
        <v>11.61</v>
      </c>
      <c r="T1707">
        <v>2</v>
      </c>
      <c r="U1707">
        <v>0.7</v>
      </c>
      <c r="V1707">
        <v>-9.2880000000000003</v>
      </c>
      <c r="W1707">
        <f t="shared" si="107"/>
        <v>10.449</v>
      </c>
      <c r="X1707">
        <v>5</v>
      </c>
    </row>
    <row r="1708" spans="1:24" x14ac:dyDescent="0.3">
      <c r="A1708">
        <v>1707</v>
      </c>
      <c r="B1708" t="s">
        <v>3460</v>
      </c>
      <c r="C1708" s="6">
        <v>45903</v>
      </c>
      <c r="D1708" t="str">
        <f t="shared" si="104"/>
        <v>Sep</v>
      </c>
      <c r="E1708" t="str">
        <f t="shared" si="105"/>
        <v>2025</v>
      </c>
      <c r="F1708" t="s">
        <v>4</v>
      </c>
      <c r="G1708" t="s">
        <v>530</v>
      </c>
      <c r="H1708" t="s">
        <v>1647</v>
      </c>
      <c r="I1708">
        <v>170</v>
      </c>
      <c r="J1708">
        <v>10</v>
      </c>
      <c r="K1708">
        <f t="shared" si="106"/>
        <v>5.8823529411764701</v>
      </c>
      <c r="L1708" t="s">
        <v>1739</v>
      </c>
      <c r="M1708" t="s">
        <v>3657</v>
      </c>
      <c r="N1708" t="s">
        <v>1</v>
      </c>
      <c r="O1708">
        <v>276128</v>
      </c>
      <c r="P1708" t="s">
        <v>546</v>
      </c>
      <c r="Q1708" t="s">
        <v>1756</v>
      </c>
      <c r="S1708">
        <v>43.86</v>
      </c>
      <c r="T1708">
        <v>6</v>
      </c>
      <c r="U1708">
        <v>0.1</v>
      </c>
      <c r="V1708">
        <v>20.6142</v>
      </c>
      <c r="W1708">
        <f t="shared" si="107"/>
        <v>3.8742999999999999</v>
      </c>
      <c r="X1708">
        <v>4</v>
      </c>
    </row>
    <row r="1709" spans="1:24" x14ac:dyDescent="0.3">
      <c r="A1709">
        <v>1708</v>
      </c>
      <c r="B1709" t="s">
        <v>3461</v>
      </c>
      <c r="C1709" s="6">
        <v>45904</v>
      </c>
      <c r="D1709" t="str">
        <f t="shared" si="104"/>
        <v>Sep</v>
      </c>
      <c r="E1709" t="str">
        <f t="shared" si="105"/>
        <v>2025</v>
      </c>
      <c r="F1709" t="s">
        <v>4</v>
      </c>
      <c r="G1709" t="s">
        <v>530</v>
      </c>
      <c r="H1709" t="s">
        <v>1465</v>
      </c>
      <c r="I1709">
        <v>120</v>
      </c>
      <c r="J1709">
        <v>14</v>
      </c>
      <c r="K1709">
        <f t="shared" si="106"/>
        <v>11.666666666666666</v>
      </c>
      <c r="L1709" t="s">
        <v>1738</v>
      </c>
      <c r="M1709" t="s">
        <v>3817</v>
      </c>
      <c r="N1709" t="s">
        <v>1</v>
      </c>
      <c r="O1709">
        <v>560068</v>
      </c>
      <c r="P1709" t="s">
        <v>546</v>
      </c>
      <c r="Q1709" t="s">
        <v>1763</v>
      </c>
      <c r="S1709">
        <v>148.47999999999999</v>
      </c>
      <c r="T1709">
        <v>2</v>
      </c>
      <c r="U1709">
        <v>0.2</v>
      </c>
      <c r="V1709">
        <v>16.704000000000001</v>
      </c>
      <c r="W1709">
        <f t="shared" si="107"/>
        <v>65.887999999999991</v>
      </c>
      <c r="X1709">
        <v>3</v>
      </c>
    </row>
    <row r="1710" spans="1:24" x14ac:dyDescent="0.3">
      <c r="A1710">
        <v>1709</v>
      </c>
      <c r="B1710" t="s">
        <v>3462</v>
      </c>
      <c r="C1710" s="6">
        <v>45905</v>
      </c>
      <c r="D1710" t="str">
        <f t="shared" si="104"/>
        <v>Sep</v>
      </c>
      <c r="E1710" t="str">
        <f t="shared" si="105"/>
        <v>2025</v>
      </c>
      <c r="F1710" t="s">
        <v>4</v>
      </c>
      <c r="G1710" t="s">
        <v>530</v>
      </c>
      <c r="H1710" t="s">
        <v>1648</v>
      </c>
      <c r="I1710">
        <v>230</v>
      </c>
      <c r="J1710">
        <v>10</v>
      </c>
      <c r="K1710">
        <f t="shared" si="106"/>
        <v>4.3478260869565215</v>
      </c>
      <c r="L1710" t="s">
        <v>1737</v>
      </c>
      <c r="M1710" t="s">
        <v>3911</v>
      </c>
      <c r="N1710" t="s">
        <v>1</v>
      </c>
      <c r="O1710">
        <v>476337</v>
      </c>
      <c r="P1710" t="s">
        <v>546</v>
      </c>
      <c r="Q1710" t="s">
        <v>1772</v>
      </c>
      <c r="S1710">
        <v>7.42</v>
      </c>
      <c r="T1710">
        <v>2</v>
      </c>
      <c r="U1710">
        <v>0.1</v>
      </c>
      <c r="V1710">
        <v>3.71</v>
      </c>
      <c r="W1710">
        <f t="shared" si="107"/>
        <v>1.855</v>
      </c>
      <c r="X1710">
        <v>2</v>
      </c>
    </row>
    <row r="1711" spans="1:24" x14ac:dyDescent="0.3">
      <c r="A1711">
        <v>1710</v>
      </c>
      <c r="B1711" t="s">
        <v>3463</v>
      </c>
      <c r="C1711" s="6">
        <v>45906</v>
      </c>
      <c r="D1711" t="str">
        <f t="shared" si="104"/>
        <v>Sep</v>
      </c>
      <c r="E1711" t="str">
        <f t="shared" si="105"/>
        <v>2025</v>
      </c>
      <c r="F1711" t="s">
        <v>4</v>
      </c>
      <c r="G1711" t="s">
        <v>530</v>
      </c>
      <c r="H1711" t="s">
        <v>598</v>
      </c>
      <c r="I1711">
        <v>110</v>
      </c>
      <c r="J1711">
        <v>14</v>
      </c>
      <c r="K1711">
        <f t="shared" si="106"/>
        <v>12.727272727272727</v>
      </c>
      <c r="L1711" t="s">
        <v>1743</v>
      </c>
      <c r="M1711" t="s">
        <v>3912</v>
      </c>
      <c r="O1711">
        <v>226006</v>
      </c>
      <c r="P1711" t="s">
        <v>546</v>
      </c>
      <c r="Q1711" t="s">
        <v>1770</v>
      </c>
      <c r="S1711">
        <v>71.992000000000004</v>
      </c>
      <c r="T1711">
        <v>1</v>
      </c>
      <c r="U1711">
        <v>0.2</v>
      </c>
      <c r="V1711">
        <v>-0.89990000000000003</v>
      </c>
      <c r="W1711">
        <f t="shared" si="107"/>
        <v>72.891900000000007</v>
      </c>
      <c r="X1711">
        <v>1</v>
      </c>
    </row>
    <row r="1712" spans="1:24" x14ac:dyDescent="0.3">
      <c r="A1712">
        <v>1711</v>
      </c>
      <c r="B1712" t="s">
        <v>3464</v>
      </c>
      <c r="C1712" s="6">
        <v>45907</v>
      </c>
      <c r="D1712" t="str">
        <f t="shared" si="104"/>
        <v>Sep</v>
      </c>
      <c r="E1712" t="str">
        <f t="shared" si="105"/>
        <v>2025</v>
      </c>
      <c r="F1712" t="s">
        <v>4</v>
      </c>
      <c r="G1712" t="s">
        <v>530</v>
      </c>
      <c r="H1712" t="s">
        <v>728</v>
      </c>
      <c r="I1712">
        <v>250</v>
      </c>
      <c r="J1712">
        <v>12</v>
      </c>
      <c r="K1712">
        <f t="shared" si="106"/>
        <v>4.8</v>
      </c>
      <c r="L1712" t="s">
        <v>1738</v>
      </c>
      <c r="M1712" t="s">
        <v>3662</v>
      </c>
      <c r="N1712" t="s">
        <v>1</v>
      </c>
      <c r="O1712">
        <v>411041</v>
      </c>
      <c r="P1712" t="s">
        <v>546</v>
      </c>
      <c r="Q1712" t="s">
        <v>1775</v>
      </c>
      <c r="R1712" t="s">
        <v>2</v>
      </c>
      <c r="S1712">
        <v>19.899999999999999</v>
      </c>
      <c r="T1712">
        <v>5</v>
      </c>
      <c r="U1712">
        <v>0.1</v>
      </c>
      <c r="V1712">
        <v>6.5670000000000002</v>
      </c>
      <c r="W1712">
        <f t="shared" si="107"/>
        <v>2.6665999999999999</v>
      </c>
      <c r="X1712">
        <v>2</v>
      </c>
    </row>
    <row r="1713" spans="1:24" x14ac:dyDescent="0.3">
      <c r="A1713">
        <v>1712</v>
      </c>
      <c r="B1713" t="s">
        <v>3465</v>
      </c>
      <c r="C1713" s="6">
        <v>45908</v>
      </c>
      <c r="D1713" t="str">
        <f t="shared" si="104"/>
        <v>Sep</v>
      </c>
      <c r="E1713" t="str">
        <f t="shared" si="105"/>
        <v>2025</v>
      </c>
      <c r="F1713" t="s">
        <v>4</v>
      </c>
      <c r="G1713" t="s">
        <v>530</v>
      </c>
      <c r="H1713" t="s">
        <v>713</v>
      </c>
      <c r="I1713">
        <v>230</v>
      </c>
      <c r="J1713">
        <v>28</v>
      </c>
      <c r="K1713">
        <f t="shared" si="106"/>
        <v>12.173913043478262</v>
      </c>
      <c r="L1713" t="s">
        <v>1739</v>
      </c>
      <c r="M1713" t="s">
        <v>3617</v>
      </c>
      <c r="N1713" t="s">
        <v>1</v>
      </c>
      <c r="O1713">
        <v>682005</v>
      </c>
      <c r="P1713" t="s">
        <v>546</v>
      </c>
      <c r="Q1713" t="s">
        <v>1772</v>
      </c>
      <c r="S1713">
        <v>1702.12</v>
      </c>
      <c r="T1713">
        <v>14</v>
      </c>
      <c r="U1713">
        <v>0.1</v>
      </c>
      <c r="V1713">
        <v>510.63600000000002</v>
      </c>
      <c r="W1713">
        <f t="shared" si="107"/>
        <v>85.105999999999995</v>
      </c>
      <c r="X1713">
        <v>1</v>
      </c>
    </row>
    <row r="1714" spans="1:24" x14ac:dyDescent="0.3">
      <c r="A1714">
        <v>1713</v>
      </c>
      <c r="B1714" t="s">
        <v>3466</v>
      </c>
      <c r="C1714" s="6">
        <v>45909</v>
      </c>
      <c r="D1714" t="str">
        <f t="shared" si="104"/>
        <v>Sep</v>
      </c>
      <c r="E1714" t="str">
        <f t="shared" si="105"/>
        <v>2025</v>
      </c>
      <c r="F1714" t="s">
        <v>4</v>
      </c>
      <c r="G1714" t="s">
        <v>194</v>
      </c>
      <c r="H1714" t="s">
        <v>1649</v>
      </c>
      <c r="I1714">
        <v>190</v>
      </c>
      <c r="J1714">
        <v>24</v>
      </c>
      <c r="K1714">
        <f t="shared" si="106"/>
        <v>12.631578947368421</v>
      </c>
      <c r="L1714" t="s">
        <v>1741</v>
      </c>
      <c r="M1714" t="s">
        <v>3820</v>
      </c>
      <c r="N1714" t="s">
        <v>1</v>
      </c>
      <c r="O1714">
        <v>421501</v>
      </c>
      <c r="P1714" t="s">
        <v>546</v>
      </c>
      <c r="Q1714" t="s">
        <v>1768</v>
      </c>
      <c r="S1714">
        <v>14.304</v>
      </c>
      <c r="T1714">
        <v>6</v>
      </c>
      <c r="U1714">
        <v>0.2</v>
      </c>
      <c r="V1714">
        <v>5.0064000000000002</v>
      </c>
      <c r="W1714">
        <f t="shared" si="107"/>
        <v>1.5495999999999999</v>
      </c>
      <c r="X1714">
        <v>5</v>
      </c>
    </row>
    <row r="1715" spans="1:24" x14ac:dyDescent="0.3">
      <c r="A1715">
        <v>1714</v>
      </c>
      <c r="B1715" t="s">
        <v>3467</v>
      </c>
      <c r="C1715" s="6">
        <v>45910</v>
      </c>
      <c r="D1715" t="str">
        <f t="shared" si="104"/>
        <v>Sep</v>
      </c>
      <c r="E1715" t="str">
        <f t="shared" si="105"/>
        <v>2025</v>
      </c>
      <c r="F1715" t="s">
        <v>3</v>
      </c>
      <c r="G1715" t="s">
        <v>521</v>
      </c>
      <c r="H1715" t="s">
        <v>735</v>
      </c>
      <c r="I1715">
        <v>230</v>
      </c>
      <c r="J1715">
        <v>22</v>
      </c>
      <c r="K1715">
        <f t="shared" si="106"/>
        <v>9.5652173913043477</v>
      </c>
      <c r="L1715" t="s">
        <v>1736</v>
      </c>
      <c r="M1715" t="s">
        <v>3821</v>
      </c>
      <c r="N1715" t="s">
        <v>1</v>
      </c>
      <c r="O1715">
        <v>274701</v>
      </c>
      <c r="P1715" t="s">
        <v>546</v>
      </c>
      <c r="Q1715" t="s">
        <v>1759</v>
      </c>
      <c r="S1715">
        <v>765.625</v>
      </c>
      <c r="T1715">
        <v>7</v>
      </c>
      <c r="U1715">
        <v>0.5</v>
      </c>
      <c r="V1715">
        <v>-566.5625</v>
      </c>
      <c r="W1715">
        <f t="shared" si="107"/>
        <v>190.3125</v>
      </c>
      <c r="X1715">
        <v>4</v>
      </c>
    </row>
    <row r="1716" spans="1:24" x14ac:dyDescent="0.3">
      <c r="A1716">
        <v>1715</v>
      </c>
      <c r="B1716" t="s">
        <v>3468</v>
      </c>
      <c r="C1716" s="6">
        <v>45911</v>
      </c>
      <c r="D1716" t="str">
        <f t="shared" si="104"/>
        <v>Sep</v>
      </c>
      <c r="E1716" t="str">
        <f t="shared" si="105"/>
        <v>2025</v>
      </c>
      <c r="F1716" t="s">
        <v>4</v>
      </c>
      <c r="G1716" t="s">
        <v>297</v>
      </c>
      <c r="H1716" t="s">
        <v>1650</v>
      </c>
      <c r="I1716">
        <v>100</v>
      </c>
      <c r="J1716">
        <v>26</v>
      </c>
      <c r="K1716">
        <f t="shared" si="106"/>
        <v>26</v>
      </c>
      <c r="L1716" t="s">
        <v>1744</v>
      </c>
      <c r="M1716" t="s">
        <v>3822</v>
      </c>
      <c r="N1716" t="s">
        <v>1</v>
      </c>
      <c r="O1716">
        <v>570023</v>
      </c>
      <c r="P1716" t="s">
        <v>546</v>
      </c>
      <c r="Q1716" t="s">
        <v>1754</v>
      </c>
      <c r="R1716" t="s">
        <v>2</v>
      </c>
      <c r="S1716">
        <v>307.666</v>
      </c>
      <c r="T1716">
        <v>2</v>
      </c>
      <c r="U1716">
        <v>0.15</v>
      </c>
      <c r="V1716">
        <v>-14.478400000000001</v>
      </c>
      <c r="W1716">
        <f t="shared" si="107"/>
        <v>161.07220000000001</v>
      </c>
      <c r="X1716">
        <v>3</v>
      </c>
    </row>
    <row r="1717" spans="1:24" x14ac:dyDescent="0.3">
      <c r="A1717">
        <v>1716</v>
      </c>
      <c r="B1717" t="s">
        <v>3469</v>
      </c>
      <c r="C1717" s="6">
        <v>45912</v>
      </c>
      <c r="D1717" t="str">
        <f t="shared" si="104"/>
        <v>Sep</v>
      </c>
      <c r="E1717" t="str">
        <f t="shared" si="105"/>
        <v>2025</v>
      </c>
      <c r="F1717" t="s">
        <v>4</v>
      </c>
      <c r="G1717" t="s">
        <v>259</v>
      </c>
      <c r="H1717" t="s">
        <v>855</v>
      </c>
      <c r="I1717">
        <v>230</v>
      </c>
      <c r="J1717">
        <v>28</v>
      </c>
      <c r="K1717">
        <f t="shared" si="106"/>
        <v>12.173913043478262</v>
      </c>
      <c r="L1717" t="s">
        <v>1740</v>
      </c>
      <c r="M1717" t="s">
        <v>3823</v>
      </c>
      <c r="N1717" t="s">
        <v>1</v>
      </c>
      <c r="O1717">
        <v>686631</v>
      </c>
      <c r="P1717" t="s">
        <v>546</v>
      </c>
      <c r="Q1717" t="s">
        <v>1759</v>
      </c>
      <c r="S1717">
        <v>7.7119999999999997</v>
      </c>
      <c r="T1717">
        <v>2</v>
      </c>
      <c r="U1717">
        <v>0.2</v>
      </c>
      <c r="V1717">
        <v>2.7955999999999999</v>
      </c>
      <c r="W1717">
        <f t="shared" si="107"/>
        <v>2.4581999999999997</v>
      </c>
      <c r="X1717">
        <v>4</v>
      </c>
    </row>
    <row r="1718" spans="1:24" x14ac:dyDescent="0.3">
      <c r="A1718">
        <v>1717</v>
      </c>
      <c r="B1718" t="s">
        <v>3213</v>
      </c>
      <c r="C1718" s="6">
        <v>45913</v>
      </c>
      <c r="D1718" t="str">
        <f t="shared" si="104"/>
        <v>Sep</v>
      </c>
      <c r="E1718" t="str">
        <f t="shared" si="105"/>
        <v>2025</v>
      </c>
      <c r="F1718" t="s">
        <v>4</v>
      </c>
      <c r="G1718" t="s">
        <v>209</v>
      </c>
      <c r="H1718" t="s">
        <v>1082</v>
      </c>
      <c r="I1718">
        <v>120</v>
      </c>
      <c r="J1718">
        <v>20</v>
      </c>
      <c r="K1718">
        <f t="shared" si="106"/>
        <v>16.666666666666664</v>
      </c>
      <c r="L1718" t="s">
        <v>1742</v>
      </c>
      <c r="M1718" t="s">
        <v>3687</v>
      </c>
      <c r="N1718" t="s">
        <v>1</v>
      </c>
      <c r="O1718">
        <v>600095</v>
      </c>
      <c r="P1718" t="s">
        <v>546</v>
      </c>
      <c r="Q1718" t="s">
        <v>1761</v>
      </c>
      <c r="S1718">
        <v>242.9</v>
      </c>
      <c r="T1718">
        <v>5</v>
      </c>
      <c r="U1718">
        <v>0.1</v>
      </c>
      <c r="V1718">
        <v>70.441000000000003</v>
      </c>
      <c r="W1718">
        <f t="shared" si="107"/>
        <v>34.491799999999998</v>
      </c>
      <c r="X1718">
        <v>1</v>
      </c>
    </row>
    <row r="1719" spans="1:24" x14ac:dyDescent="0.3">
      <c r="A1719">
        <v>1718</v>
      </c>
      <c r="B1719" t="s">
        <v>3470</v>
      </c>
      <c r="C1719" s="6">
        <v>45914</v>
      </c>
      <c r="D1719" t="str">
        <f t="shared" si="104"/>
        <v>Sep</v>
      </c>
      <c r="E1719" t="str">
        <f t="shared" si="105"/>
        <v>2025</v>
      </c>
      <c r="F1719" t="s">
        <v>4</v>
      </c>
      <c r="G1719" t="s">
        <v>209</v>
      </c>
      <c r="H1719" t="s">
        <v>619</v>
      </c>
      <c r="I1719">
        <v>190</v>
      </c>
      <c r="J1719">
        <v>18</v>
      </c>
      <c r="K1719">
        <f t="shared" si="106"/>
        <v>9.4736842105263168</v>
      </c>
      <c r="L1719" t="s">
        <v>1739</v>
      </c>
      <c r="M1719" t="s">
        <v>3608</v>
      </c>
      <c r="N1719" t="s">
        <v>1</v>
      </c>
      <c r="O1719">
        <v>110059</v>
      </c>
      <c r="P1719" t="s">
        <v>546</v>
      </c>
      <c r="Q1719" t="s">
        <v>1776</v>
      </c>
      <c r="S1719">
        <v>454.9</v>
      </c>
      <c r="T1719">
        <v>5</v>
      </c>
      <c r="U1719">
        <v>0.1</v>
      </c>
      <c r="V1719">
        <v>0.1</v>
      </c>
      <c r="W1719">
        <f t="shared" si="107"/>
        <v>90.96</v>
      </c>
      <c r="X1719">
        <v>5</v>
      </c>
    </row>
    <row r="1720" spans="1:24" x14ac:dyDescent="0.3">
      <c r="A1720">
        <v>1719</v>
      </c>
      <c r="B1720" t="s">
        <v>3471</v>
      </c>
      <c r="C1720" s="6">
        <v>45915</v>
      </c>
      <c r="D1720" t="str">
        <f t="shared" si="104"/>
        <v>Sep</v>
      </c>
      <c r="E1720" t="str">
        <f t="shared" si="105"/>
        <v>2025</v>
      </c>
      <c r="F1720" t="s">
        <v>4</v>
      </c>
      <c r="G1720" t="s">
        <v>209</v>
      </c>
      <c r="H1720" t="s">
        <v>1651</v>
      </c>
      <c r="I1720">
        <v>130</v>
      </c>
      <c r="J1720">
        <v>14</v>
      </c>
      <c r="K1720">
        <f t="shared" si="106"/>
        <v>10.76923076923077</v>
      </c>
      <c r="L1720" t="s">
        <v>1738</v>
      </c>
      <c r="M1720" t="s">
        <v>3786</v>
      </c>
      <c r="N1720" t="s">
        <v>1</v>
      </c>
      <c r="O1720">
        <v>263139</v>
      </c>
      <c r="P1720" t="s">
        <v>546</v>
      </c>
      <c r="Q1720" t="s">
        <v>1767</v>
      </c>
      <c r="S1720">
        <v>35.92</v>
      </c>
      <c r="T1720">
        <v>4</v>
      </c>
      <c r="U1720">
        <v>0.1</v>
      </c>
      <c r="V1720">
        <v>15.086399999999999</v>
      </c>
      <c r="W1720">
        <f t="shared" si="107"/>
        <v>5.208400000000001</v>
      </c>
      <c r="X1720">
        <v>3</v>
      </c>
    </row>
    <row r="1721" spans="1:24" x14ac:dyDescent="0.3">
      <c r="A1721">
        <v>1720</v>
      </c>
      <c r="B1721" t="s">
        <v>3472</v>
      </c>
      <c r="C1721" s="6">
        <v>45916</v>
      </c>
      <c r="D1721" t="str">
        <f t="shared" si="104"/>
        <v>Sep</v>
      </c>
      <c r="E1721" t="str">
        <f t="shared" si="105"/>
        <v>2025</v>
      </c>
      <c r="F1721" t="s">
        <v>4</v>
      </c>
      <c r="G1721" t="s">
        <v>209</v>
      </c>
      <c r="H1721" t="s">
        <v>1074</v>
      </c>
      <c r="I1721">
        <v>100</v>
      </c>
      <c r="J1721">
        <v>24</v>
      </c>
      <c r="K1721">
        <f t="shared" si="106"/>
        <v>24</v>
      </c>
      <c r="L1721" t="s">
        <v>1743</v>
      </c>
      <c r="M1721" t="s">
        <v>3690</v>
      </c>
      <c r="N1721" t="s">
        <v>1</v>
      </c>
      <c r="O1721">
        <v>575029</v>
      </c>
      <c r="P1721" t="s">
        <v>546</v>
      </c>
      <c r="Q1721" t="s">
        <v>1756</v>
      </c>
      <c r="R1721" t="s">
        <v>2</v>
      </c>
      <c r="S1721">
        <v>39.76</v>
      </c>
      <c r="T1721">
        <v>8</v>
      </c>
      <c r="U1721">
        <v>0.1</v>
      </c>
      <c r="V1721">
        <v>12.3256</v>
      </c>
      <c r="W1721">
        <f t="shared" si="107"/>
        <v>3.4292999999999996</v>
      </c>
      <c r="X1721">
        <v>2</v>
      </c>
    </row>
    <row r="1722" spans="1:24" x14ac:dyDescent="0.3">
      <c r="A1722">
        <v>1721</v>
      </c>
      <c r="B1722" t="s">
        <v>3473</v>
      </c>
      <c r="C1722" s="6">
        <v>45917</v>
      </c>
      <c r="D1722" t="str">
        <f t="shared" si="104"/>
        <v>Sep</v>
      </c>
      <c r="E1722" t="str">
        <f t="shared" si="105"/>
        <v>2025</v>
      </c>
      <c r="F1722" t="s">
        <v>4</v>
      </c>
      <c r="G1722" t="s">
        <v>209</v>
      </c>
      <c r="H1722" t="s">
        <v>1075</v>
      </c>
      <c r="I1722">
        <v>170</v>
      </c>
      <c r="J1722">
        <v>10</v>
      </c>
      <c r="K1722">
        <f t="shared" si="106"/>
        <v>5.8823529411764701</v>
      </c>
      <c r="L1722" t="s">
        <v>1737</v>
      </c>
      <c r="M1722" t="s">
        <v>3824</v>
      </c>
      <c r="N1722" t="s">
        <v>1</v>
      </c>
      <c r="O1722">
        <v>201304</v>
      </c>
      <c r="P1722" t="s">
        <v>546</v>
      </c>
      <c r="Q1722" t="s">
        <v>1758</v>
      </c>
      <c r="R1722" t="s">
        <v>2</v>
      </c>
      <c r="S1722">
        <v>47.744</v>
      </c>
      <c r="T1722">
        <v>4</v>
      </c>
      <c r="U1722">
        <v>0.2</v>
      </c>
      <c r="V1722">
        <v>14.92</v>
      </c>
      <c r="W1722">
        <f t="shared" si="107"/>
        <v>8.2059999999999995</v>
      </c>
      <c r="X1722">
        <v>5</v>
      </c>
    </row>
    <row r="1723" spans="1:24" x14ac:dyDescent="0.3">
      <c r="A1723">
        <v>1722</v>
      </c>
      <c r="B1723" t="s">
        <v>3474</v>
      </c>
      <c r="C1723" s="6">
        <v>45918</v>
      </c>
      <c r="D1723" t="str">
        <f t="shared" si="104"/>
        <v>Sep</v>
      </c>
      <c r="E1723" t="str">
        <f t="shared" si="105"/>
        <v>2025</v>
      </c>
      <c r="F1723" t="s">
        <v>4</v>
      </c>
      <c r="G1723" t="s">
        <v>51</v>
      </c>
      <c r="H1723" t="s">
        <v>1382</v>
      </c>
      <c r="I1723">
        <v>240</v>
      </c>
      <c r="J1723">
        <v>12</v>
      </c>
      <c r="K1723">
        <f t="shared" si="106"/>
        <v>5</v>
      </c>
      <c r="L1723" t="s">
        <v>1741</v>
      </c>
      <c r="M1723" t="s">
        <v>3825</v>
      </c>
      <c r="N1723" t="s">
        <v>1</v>
      </c>
      <c r="O1723">
        <v>700084</v>
      </c>
      <c r="P1723" t="s">
        <v>546</v>
      </c>
      <c r="Q1723" t="s">
        <v>1768</v>
      </c>
      <c r="R1723" t="s">
        <v>2</v>
      </c>
      <c r="S1723">
        <v>159.98400000000001</v>
      </c>
      <c r="T1723">
        <v>2</v>
      </c>
      <c r="U1723">
        <v>0.2</v>
      </c>
      <c r="V1723">
        <v>11.998799999999999</v>
      </c>
      <c r="W1723">
        <f t="shared" si="107"/>
        <v>73.99260000000001</v>
      </c>
      <c r="X1723">
        <v>4</v>
      </c>
    </row>
    <row r="1724" spans="1:24" x14ac:dyDescent="0.3">
      <c r="A1724">
        <v>1723</v>
      </c>
      <c r="B1724" t="s">
        <v>3475</v>
      </c>
      <c r="C1724" s="6">
        <v>45919</v>
      </c>
      <c r="D1724" t="str">
        <f t="shared" si="104"/>
        <v>Sep</v>
      </c>
      <c r="E1724" t="str">
        <f t="shared" si="105"/>
        <v>2025</v>
      </c>
      <c r="F1724" t="s">
        <v>4</v>
      </c>
      <c r="G1724" t="s">
        <v>51</v>
      </c>
      <c r="H1724" t="s">
        <v>1652</v>
      </c>
      <c r="I1724">
        <v>210</v>
      </c>
      <c r="J1724">
        <v>6</v>
      </c>
      <c r="K1724">
        <f t="shared" si="106"/>
        <v>2.8571428571428572</v>
      </c>
      <c r="L1724" t="s">
        <v>1736</v>
      </c>
      <c r="M1724" t="s">
        <v>3644</v>
      </c>
      <c r="N1724" t="s">
        <v>1</v>
      </c>
      <c r="O1724">
        <v>600091</v>
      </c>
      <c r="P1724" t="s">
        <v>546</v>
      </c>
      <c r="Q1724" t="s">
        <v>1765</v>
      </c>
      <c r="S1724">
        <v>255.96799999999999</v>
      </c>
      <c r="T1724">
        <v>4</v>
      </c>
      <c r="U1724">
        <v>0.2</v>
      </c>
      <c r="V1724">
        <v>51.193600000000004</v>
      </c>
      <c r="W1724">
        <f t="shared" si="107"/>
        <v>51.193599999999996</v>
      </c>
      <c r="X1724">
        <v>3</v>
      </c>
    </row>
    <row r="1725" spans="1:24" x14ac:dyDescent="0.3">
      <c r="A1725">
        <v>1724</v>
      </c>
      <c r="B1725" t="s">
        <v>3476</v>
      </c>
      <c r="C1725" s="6">
        <v>45920</v>
      </c>
      <c r="D1725" t="str">
        <f t="shared" si="104"/>
        <v>Sep</v>
      </c>
      <c r="E1725" t="str">
        <f t="shared" si="105"/>
        <v>2025</v>
      </c>
      <c r="F1725" t="s">
        <v>4</v>
      </c>
      <c r="G1725" t="s">
        <v>51</v>
      </c>
      <c r="H1725" t="s">
        <v>1653</v>
      </c>
      <c r="I1725">
        <v>100</v>
      </c>
      <c r="J1725">
        <v>12</v>
      </c>
      <c r="K1725">
        <f t="shared" si="106"/>
        <v>12</v>
      </c>
      <c r="L1725" t="s">
        <v>1744</v>
      </c>
      <c r="M1725" t="s">
        <v>3826</v>
      </c>
      <c r="O1725">
        <v>600091</v>
      </c>
      <c r="P1725" t="s">
        <v>546</v>
      </c>
      <c r="Q1725" t="s">
        <v>1772</v>
      </c>
      <c r="S1725">
        <v>359.05799999999999</v>
      </c>
      <c r="T1725">
        <v>3</v>
      </c>
      <c r="U1725">
        <v>0.3</v>
      </c>
      <c r="V1725">
        <v>-71.811599999999999</v>
      </c>
      <c r="W1725">
        <f t="shared" si="107"/>
        <v>143.6232</v>
      </c>
      <c r="X1725">
        <v>5</v>
      </c>
    </row>
    <row r="1726" spans="1:24" x14ac:dyDescent="0.3">
      <c r="A1726">
        <v>1725</v>
      </c>
      <c r="B1726" t="s">
        <v>3477</v>
      </c>
      <c r="C1726" s="6">
        <v>45921</v>
      </c>
      <c r="D1726" t="str">
        <f t="shared" si="104"/>
        <v>Sep</v>
      </c>
      <c r="E1726" t="str">
        <f t="shared" si="105"/>
        <v>2025</v>
      </c>
      <c r="F1726" t="s">
        <v>5</v>
      </c>
      <c r="G1726" t="s">
        <v>278</v>
      </c>
      <c r="H1726" t="s">
        <v>1654</v>
      </c>
      <c r="I1726">
        <v>200</v>
      </c>
      <c r="J1726">
        <v>24</v>
      </c>
      <c r="K1726">
        <f t="shared" si="106"/>
        <v>12</v>
      </c>
      <c r="L1726" t="s">
        <v>1740</v>
      </c>
      <c r="M1726" t="s">
        <v>3827</v>
      </c>
      <c r="N1726" t="s">
        <v>1</v>
      </c>
      <c r="O1726">
        <v>522007</v>
      </c>
      <c r="P1726" t="s">
        <v>546</v>
      </c>
      <c r="Q1726" t="s">
        <v>1763</v>
      </c>
      <c r="S1726">
        <v>434.35199999999998</v>
      </c>
      <c r="T1726">
        <v>3</v>
      </c>
      <c r="U1726">
        <v>0.2</v>
      </c>
      <c r="V1726">
        <v>43.435200000000002</v>
      </c>
      <c r="W1726">
        <f t="shared" si="107"/>
        <v>130.3056</v>
      </c>
      <c r="X1726">
        <v>1</v>
      </c>
    </row>
    <row r="1727" spans="1:24" x14ac:dyDescent="0.3">
      <c r="A1727">
        <v>1726</v>
      </c>
      <c r="B1727" t="s">
        <v>3478</v>
      </c>
      <c r="C1727" s="6">
        <v>45922</v>
      </c>
      <c r="D1727" t="str">
        <f t="shared" si="104"/>
        <v>Sep</v>
      </c>
      <c r="E1727" t="str">
        <f t="shared" si="105"/>
        <v>2025</v>
      </c>
      <c r="F1727" t="s">
        <v>5</v>
      </c>
      <c r="G1727" t="s">
        <v>278</v>
      </c>
      <c r="H1727" t="s">
        <v>1655</v>
      </c>
      <c r="I1727">
        <v>210</v>
      </c>
      <c r="J1727">
        <v>14</v>
      </c>
      <c r="K1727">
        <f t="shared" si="106"/>
        <v>6.666666666666667</v>
      </c>
      <c r="L1727" t="s">
        <v>1742</v>
      </c>
      <c r="M1727" t="s">
        <v>3656</v>
      </c>
      <c r="N1727" t="s">
        <v>1</v>
      </c>
      <c r="O1727">
        <v>522007</v>
      </c>
      <c r="P1727" t="s">
        <v>546</v>
      </c>
      <c r="Q1727" t="s">
        <v>1764</v>
      </c>
      <c r="S1727">
        <v>3.552</v>
      </c>
      <c r="T1727">
        <v>2</v>
      </c>
      <c r="U1727">
        <v>0.2</v>
      </c>
      <c r="V1727">
        <v>0.44400000000000001</v>
      </c>
      <c r="W1727">
        <f t="shared" si="107"/>
        <v>1.554</v>
      </c>
      <c r="X1727">
        <v>1</v>
      </c>
    </row>
    <row r="1728" spans="1:24" x14ac:dyDescent="0.3">
      <c r="A1728">
        <v>1727</v>
      </c>
      <c r="B1728" t="s">
        <v>3479</v>
      </c>
      <c r="C1728" s="6">
        <v>45923</v>
      </c>
      <c r="D1728" t="str">
        <f t="shared" si="104"/>
        <v>Sep</v>
      </c>
      <c r="E1728" t="str">
        <f t="shared" si="105"/>
        <v>2025</v>
      </c>
      <c r="F1728" t="s">
        <v>5</v>
      </c>
      <c r="G1728" t="s">
        <v>278</v>
      </c>
      <c r="H1728" t="s">
        <v>1656</v>
      </c>
      <c r="I1728">
        <v>240</v>
      </c>
      <c r="J1728">
        <v>22</v>
      </c>
      <c r="K1728">
        <f t="shared" si="106"/>
        <v>9.1666666666666661</v>
      </c>
      <c r="L1728" t="s">
        <v>1739</v>
      </c>
      <c r="M1728" t="s">
        <v>3657</v>
      </c>
      <c r="N1728" t="s">
        <v>1</v>
      </c>
      <c r="O1728">
        <v>515001</v>
      </c>
      <c r="P1728" t="s">
        <v>546</v>
      </c>
      <c r="Q1728" t="s">
        <v>1763</v>
      </c>
      <c r="S1728">
        <v>88.831999999999994</v>
      </c>
      <c r="T1728">
        <v>4</v>
      </c>
      <c r="U1728">
        <v>0.2</v>
      </c>
      <c r="V1728">
        <v>7.7728000000000002</v>
      </c>
      <c r="W1728">
        <f t="shared" si="107"/>
        <v>20.264799999999997</v>
      </c>
      <c r="X1728">
        <v>5</v>
      </c>
    </row>
    <row r="1729" spans="1:24" x14ac:dyDescent="0.3">
      <c r="A1729">
        <v>1728</v>
      </c>
      <c r="B1729" t="s">
        <v>3480</v>
      </c>
      <c r="C1729" s="6">
        <v>45924</v>
      </c>
      <c r="D1729" t="str">
        <f t="shared" si="104"/>
        <v>Sep</v>
      </c>
      <c r="E1729" t="str">
        <f t="shared" si="105"/>
        <v>2025</v>
      </c>
      <c r="F1729" t="s">
        <v>3</v>
      </c>
      <c r="G1729" t="s">
        <v>531</v>
      </c>
      <c r="H1729" t="s">
        <v>1657</v>
      </c>
      <c r="I1729">
        <v>210</v>
      </c>
      <c r="J1729">
        <v>12</v>
      </c>
      <c r="K1729">
        <f t="shared" si="106"/>
        <v>5.7142857142857144</v>
      </c>
      <c r="L1729" t="s">
        <v>1738</v>
      </c>
      <c r="M1729" t="s">
        <v>3778</v>
      </c>
      <c r="N1729" t="s">
        <v>1</v>
      </c>
      <c r="O1729">
        <v>560016</v>
      </c>
      <c r="P1729" t="s">
        <v>546</v>
      </c>
      <c r="Q1729" t="s">
        <v>1774</v>
      </c>
      <c r="S1729">
        <v>1048.3499999999999</v>
      </c>
      <c r="T1729">
        <v>5</v>
      </c>
      <c r="U1729">
        <v>0.4</v>
      </c>
      <c r="V1729">
        <v>-69.89</v>
      </c>
      <c r="W1729">
        <f t="shared" si="107"/>
        <v>223.648</v>
      </c>
      <c r="X1729">
        <v>3</v>
      </c>
    </row>
    <row r="1730" spans="1:24" x14ac:dyDescent="0.3">
      <c r="A1730">
        <v>1729</v>
      </c>
      <c r="B1730" t="s">
        <v>3481</v>
      </c>
      <c r="C1730" s="6">
        <v>45925</v>
      </c>
      <c r="D1730" t="str">
        <f t="shared" si="104"/>
        <v>Sep</v>
      </c>
      <c r="E1730" t="str">
        <f t="shared" si="105"/>
        <v>2025</v>
      </c>
      <c r="F1730" t="s">
        <v>6</v>
      </c>
      <c r="G1730" t="s">
        <v>251</v>
      </c>
      <c r="H1730" t="s">
        <v>1619</v>
      </c>
      <c r="I1730">
        <v>180</v>
      </c>
      <c r="J1730">
        <v>14</v>
      </c>
      <c r="K1730">
        <f t="shared" si="106"/>
        <v>7.7777777777777777</v>
      </c>
      <c r="L1730" t="s">
        <v>1737</v>
      </c>
      <c r="M1730" t="s">
        <v>3828</v>
      </c>
      <c r="N1730" t="s">
        <v>1</v>
      </c>
      <c r="O1730">
        <v>201306</v>
      </c>
      <c r="P1730" t="s">
        <v>546</v>
      </c>
      <c r="Q1730" t="s">
        <v>1761</v>
      </c>
      <c r="R1730" t="s">
        <v>2</v>
      </c>
      <c r="S1730">
        <v>100</v>
      </c>
      <c r="T1730">
        <v>4</v>
      </c>
      <c r="U1730">
        <v>0.1</v>
      </c>
      <c r="V1730">
        <v>21</v>
      </c>
      <c r="W1730">
        <f t="shared" si="107"/>
        <v>19.75</v>
      </c>
      <c r="X1730">
        <v>4</v>
      </c>
    </row>
    <row r="1731" spans="1:24" x14ac:dyDescent="0.3">
      <c r="A1731">
        <v>1730</v>
      </c>
      <c r="B1731" t="s">
        <v>3482</v>
      </c>
      <c r="C1731" s="6">
        <v>45926</v>
      </c>
      <c r="D1731" t="str">
        <f t="shared" ref="D1731:D1794" si="108">TEXT(C1731,"Mmm")</f>
        <v>Sep</v>
      </c>
      <c r="E1731" t="str">
        <f t="shared" ref="E1731:E1794" si="109">TEXT(C1731,"YYYY")</f>
        <v>2025</v>
      </c>
      <c r="F1731" t="s">
        <v>6</v>
      </c>
      <c r="G1731" t="s">
        <v>251</v>
      </c>
      <c r="H1731" t="s">
        <v>1256</v>
      </c>
      <c r="I1731">
        <v>170</v>
      </c>
      <c r="J1731">
        <v>18</v>
      </c>
      <c r="K1731">
        <f t="shared" ref="K1731:K1794" si="110">(J1731/I1731)*100</f>
        <v>10.588235294117647</v>
      </c>
      <c r="L1731" t="s">
        <v>1743</v>
      </c>
      <c r="M1731" t="s">
        <v>3829</v>
      </c>
      <c r="N1731" t="s">
        <v>1</v>
      </c>
      <c r="O1731">
        <v>122503</v>
      </c>
      <c r="P1731" t="s">
        <v>546</v>
      </c>
      <c r="Q1731" t="s">
        <v>1760</v>
      </c>
      <c r="S1731">
        <v>7.83</v>
      </c>
      <c r="T1731">
        <v>3</v>
      </c>
      <c r="U1731">
        <v>0.1</v>
      </c>
      <c r="V1731">
        <v>3.6017999999999999</v>
      </c>
      <c r="W1731">
        <f t="shared" ref="W1731:W1794" si="111">(S1731-V1731)/T1731</f>
        <v>1.4094</v>
      </c>
      <c r="X1731">
        <v>1</v>
      </c>
    </row>
    <row r="1732" spans="1:24" x14ac:dyDescent="0.3">
      <c r="A1732">
        <v>1731</v>
      </c>
      <c r="B1732" t="s">
        <v>3483</v>
      </c>
      <c r="C1732" s="6">
        <v>45927</v>
      </c>
      <c r="D1732" t="str">
        <f t="shared" si="108"/>
        <v>Sep</v>
      </c>
      <c r="E1732" t="str">
        <f t="shared" si="109"/>
        <v>2025</v>
      </c>
      <c r="F1732" t="s">
        <v>4</v>
      </c>
      <c r="G1732" t="s">
        <v>477</v>
      </c>
      <c r="H1732" t="s">
        <v>1658</v>
      </c>
      <c r="I1732">
        <v>110</v>
      </c>
      <c r="J1732">
        <v>12</v>
      </c>
      <c r="K1732">
        <f t="shared" si="110"/>
        <v>10.909090909090908</v>
      </c>
      <c r="L1732" t="s">
        <v>1738</v>
      </c>
      <c r="M1732" t="s">
        <v>3788</v>
      </c>
      <c r="N1732" t="s">
        <v>1</v>
      </c>
      <c r="O1732">
        <v>190012</v>
      </c>
      <c r="P1732" t="s">
        <v>546</v>
      </c>
      <c r="Q1732" t="s">
        <v>1776</v>
      </c>
      <c r="S1732">
        <v>96.256</v>
      </c>
      <c r="T1732">
        <v>8</v>
      </c>
      <c r="U1732">
        <v>0.2</v>
      </c>
      <c r="V1732">
        <v>31.283200000000001</v>
      </c>
      <c r="W1732">
        <f t="shared" si="111"/>
        <v>8.1216000000000008</v>
      </c>
      <c r="X1732">
        <v>1</v>
      </c>
    </row>
    <row r="1733" spans="1:24" x14ac:dyDescent="0.3">
      <c r="A1733">
        <v>1732</v>
      </c>
      <c r="B1733" t="s">
        <v>3484</v>
      </c>
      <c r="C1733" s="6">
        <v>45928</v>
      </c>
      <c r="D1733" t="str">
        <f t="shared" si="108"/>
        <v>Sep</v>
      </c>
      <c r="E1733" t="str">
        <f t="shared" si="109"/>
        <v>2025</v>
      </c>
      <c r="F1733" t="s">
        <v>4</v>
      </c>
      <c r="G1733" t="s">
        <v>477</v>
      </c>
      <c r="H1733" t="s">
        <v>675</v>
      </c>
      <c r="I1733">
        <v>200</v>
      </c>
      <c r="J1733">
        <v>14</v>
      </c>
      <c r="K1733">
        <f t="shared" si="110"/>
        <v>7.0000000000000009</v>
      </c>
      <c r="L1733" t="s">
        <v>1739</v>
      </c>
      <c r="M1733" t="s">
        <v>3721</v>
      </c>
      <c r="N1733" t="s">
        <v>1</v>
      </c>
      <c r="O1733">
        <v>390007</v>
      </c>
      <c r="P1733" t="s">
        <v>546</v>
      </c>
      <c r="Q1733" t="s">
        <v>1769</v>
      </c>
      <c r="S1733">
        <v>10.688000000000001</v>
      </c>
      <c r="T1733">
        <v>2</v>
      </c>
      <c r="U1733">
        <v>0.2</v>
      </c>
      <c r="V1733">
        <v>3.7408000000000001</v>
      </c>
      <c r="W1733">
        <f t="shared" si="111"/>
        <v>3.4736000000000002</v>
      </c>
      <c r="X1733">
        <v>4</v>
      </c>
    </row>
    <row r="1734" spans="1:24" x14ac:dyDescent="0.3">
      <c r="A1734">
        <v>1733</v>
      </c>
      <c r="B1734" t="s">
        <v>3485</v>
      </c>
      <c r="C1734" s="6">
        <v>45929</v>
      </c>
      <c r="D1734" t="str">
        <f t="shared" si="108"/>
        <v>Sep</v>
      </c>
      <c r="E1734" t="str">
        <f t="shared" si="109"/>
        <v>2025</v>
      </c>
      <c r="F1734" t="s">
        <v>4</v>
      </c>
      <c r="G1734" t="s">
        <v>116</v>
      </c>
      <c r="H1734" t="s">
        <v>973</v>
      </c>
      <c r="I1734">
        <v>110</v>
      </c>
      <c r="J1734">
        <v>22</v>
      </c>
      <c r="K1734">
        <f t="shared" si="110"/>
        <v>20</v>
      </c>
      <c r="L1734" t="s">
        <v>1741</v>
      </c>
      <c r="M1734" t="s">
        <v>3781</v>
      </c>
      <c r="N1734" t="s">
        <v>1</v>
      </c>
      <c r="O1734">
        <v>721657</v>
      </c>
      <c r="P1734" t="s">
        <v>546</v>
      </c>
      <c r="Q1734" t="s">
        <v>1775</v>
      </c>
      <c r="R1734" t="s">
        <v>2</v>
      </c>
      <c r="S1734">
        <v>338.04</v>
      </c>
      <c r="T1734">
        <v>3</v>
      </c>
      <c r="U1734">
        <v>0.2</v>
      </c>
      <c r="V1734">
        <v>-33.804000000000002</v>
      </c>
      <c r="W1734">
        <f t="shared" si="111"/>
        <v>123.94800000000002</v>
      </c>
      <c r="X1734">
        <v>2</v>
      </c>
    </row>
    <row r="1735" spans="1:24" x14ac:dyDescent="0.3">
      <c r="A1735">
        <v>1734</v>
      </c>
      <c r="B1735" t="s">
        <v>3486</v>
      </c>
      <c r="C1735" s="6">
        <v>45930</v>
      </c>
      <c r="D1735" t="str">
        <f t="shared" si="108"/>
        <v>Sep</v>
      </c>
      <c r="E1735" t="str">
        <f t="shared" si="109"/>
        <v>2025</v>
      </c>
      <c r="F1735" t="s">
        <v>4</v>
      </c>
      <c r="G1735" t="s">
        <v>116</v>
      </c>
      <c r="H1735" t="s">
        <v>828</v>
      </c>
      <c r="I1735">
        <v>110</v>
      </c>
      <c r="J1735">
        <v>20</v>
      </c>
      <c r="K1735">
        <f t="shared" si="110"/>
        <v>18.181818181818183</v>
      </c>
      <c r="L1735" t="s">
        <v>1736</v>
      </c>
      <c r="M1735" t="s">
        <v>3673</v>
      </c>
      <c r="N1735" t="s">
        <v>1</v>
      </c>
      <c r="O1735">
        <v>400063</v>
      </c>
      <c r="P1735" t="s">
        <v>546</v>
      </c>
      <c r="Q1735" t="s">
        <v>1770</v>
      </c>
      <c r="S1735">
        <v>154.24</v>
      </c>
      <c r="T1735">
        <v>4</v>
      </c>
      <c r="U1735">
        <v>0.2</v>
      </c>
      <c r="V1735">
        <v>17.352</v>
      </c>
      <c r="W1735">
        <f t="shared" si="111"/>
        <v>34.222000000000001</v>
      </c>
      <c r="X1735">
        <v>2</v>
      </c>
    </row>
    <row r="1736" spans="1:24" x14ac:dyDescent="0.3">
      <c r="A1736">
        <v>1735</v>
      </c>
      <c r="B1736" t="s">
        <v>3487</v>
      </c>
      <c r="C1736" s="6">
        <v>45931</v>
      </c>
      <c r="D1736" t="str">
        <f t="shared" si="108"/>
        <v>Oct</v>
      </c>
      <c r="E1736" t="str">
        <f t="shared" si="109"/>
        <v>2025</v>
      </c>
      <c r="F1736" t="s">
        <v>3</v>
      </c>
      <c r="G1736" t="s">
        <v>172</v>
      </c>
      <c r="H1736" t="s">
        <v>1659</v>
      </c>
      <c r="I1736">
        <v>190</v>
      </c>
      <c r="J1736">
        <v>26</v>
      </c>
      <c r="K1736">
        <f t="shared" si="110"/>
        <v>13.684210526315791</v>
      </c>
      <c r="L1736" t="s">
        <v>1744</v>
      </c>
      <c r="M1736" t="s">
        <v>3585</v>
      </c>
      <c r="O1736">
        <v>670672</v>
      </c>
      <c r="P1736" t="s">
        <v>546</v>
      </c>
      <c r="Q1736" t="s">
        <v>1761</v>
      </c>
      <c r="S1736">
        <v>34.847999999999999</v>
      </c>
      <c r="T1736">
        <v>2</v>
      </c>
      <c r="U1736">
        <v>0.2</v>
      </c>
      <c r="V1736">
        <v>6.5339999999999998</v>
      </c>
      <c r="W1736">
        <f t="shared" si="111"/>
        <v>14.157</v>
      </c>
      <c r="X1736">
        <v>2</v>
      </c>
    </row>
    <row r="1737" spans="1:24" x14ac:dyDescent="0.3">
      <c r="A1737">
        <v>1736</v>
      </c>
      <c r="B1737" t="s">
        <v>3488</v>
      </c>
      <c r="C1737" s="6">
        <v>45932</v>
      </c>
      <c r="D1737" t="str">
        <f t="shared" si="108"/>
        <v>Oct</v>
      </c>
      <c r="E1737" t="str">
        <f t="shared" si="109"/>
        <v>2025</v>
      </c>
      <c r="F1737" t="s">
        <v>3</v>
      </c>
      <c r="G1737" t="s">
        <v>172</v>
      </c>
      <c r="H1737" t="s">
        <v>1442</v>
      </c>
      <c r="I1737">
        <v>230</v>
      </c>
      <c r="J1737">
        <v>14</v>
      </c>
      <c r="K1737">
        <f t="shared" si="110"/>
        <v>6.0869565217391308</v>
      </c>
      <c r="L1737" t="s">
        <v>1740</v>
      </c>
      <c r="M1737" t="s">
        <v>3830</v>
      </c>
      <c r="N1737" t="s">
        <v>1</v>
      </c>
      <c r="O1737">
        <v>411015</v>
      </c>
      <c r="P1737" t="s">
        <v>546</v>
      </c>
      <c r="Q1737" t="s">
        <v>1761</v>
      </c>
      <c r="R1737" t="s">
        <v>2</v>
      </c>
      <c r="S1737">
        <v>22</v>
      </c>
      <c r="T1737">
        <v>5</v>
      </c>
      <c r="U1737">
        <v>0.2</v>
      </c>
      <c r="V1737">
        <v>1.375</v>
      </c>
      <c r="W1737">
        <f t="shared" si="111"/>
        <v>4.125</v>
      </c>
      <c r="X1737">
        <v>5</v>
      </c>
    </row>
    <row r="1738" spans="1:24" x14ac:dyDescent="0.3">
      <c r="A1738">
        <v>1737</v>
      </c>
      <c r="B1738" t="s">
        <v>3489</v>
      </c>
      <c r="C1738" s="6">
        <v>45933</v>
      </c>
      <c r="D1738" t="str">
        <f t="shared" si="108"/>
        <v>Oct</v>
      </c>
      <c r="E1738" t="str">
        <f t="shared" si="109"/>
        <v>2025</v>
      </c>
      <c r="F1738" t="s">
        <v>3</v>
      </c>
      <c r="G1738" t="s">
        <v>172</v>
      </c>
      <c r="H1738" t="s">
        <v>553</v>
      </c>
      <c r="I1738">
        <v>250</v>
      </c>
      <c r="J1738">
        <v>8</v>
      </c>
      <c r="K1738">
        <f t="shared" si="110"/>
        <v>3.2</v>
      </c>
      <c r="L1738" t="s">
        <v>1742</v>
      </c>
      <c r="M1738" t="s">
        <v>3696</v>
      </c>
      <c r="N1738" t="s">
        <v>1</v>
      </c>
      <c r="O1738">
        <v>577205</v>
      </c>
      <c r="P1738" t="s">
        <v>546</v>
      </c>
      <c r="Q1738" t="s">
        <v>1774</v>
      </c>
      <c r="R1738" t="s">
        <v>2</v>
      </c>
      <c r="S1738">
        <v>4.3680000000000003</v>
      </c>
      <c r="T1738">
        <v>3</v>
      </c>
      <c r="U1738">
        <v>0.2</v>
      </c>
      <c r="V1738">
        <v>0.38219999999999998</v>
      </c>
      <c r="W1738">
        <f t="shared" si="111"/>
        <v>1.3286</v>
      </c>
      <c r="X1738">
        <v>1</v>
      </c>
    </row>
    <row r="1739" spans="1:24" x14ac:dyDescent="0.3">
      <c r="A1739">
        <v>1738</v>
      </c>
      <c r="B1739" t="s">
        <v>3490</v>
      </c>
      <c r="C1739" s="6">
        <v>45934</v>
      </c>
      <c r="D1739" t="str">
        <f t="shared" si="108"/>
        <v>Oct</v>
      </c>
      <c r="E1739" t="str">
        <f t="shared" si="109"/>
        <v>2025</v>
      </c>
      <c r="F1739" t="s">
        <v>4</v>
      </c>
      <c r="G1739" t="s">
        <v>113</v>
      </c>
      <c r="H1739" t="s">
        <v>1017</v>
      </c>
      <c r="I1739">
        <v>180</v>
      </c>
      <c r="J1739">
        <v>12</v>
      </c>
      <c r="K1739">
        <f t="shared" si="110"/>
        <v>6.666666666666667</v>
      </c>
      <c r="L1739" t="s">
        <v>1739</v>
      </c>
      <c r="M1739" t="s">
        <v>3668</v>
      </c>
      <c r="N1739" t="s">
        <v>1</v>
      </c>
      <c r="O1739">
        <v>228001</v>
      </c>
      <c r="P1739" t="s">
        <v>546</v>
      </c>
      <c r="Q1739" t="s">
        <v>1775</v>
      </c>
      <c r="S1739">
        <v>31.44</v>
      </c>
      <c r="T1739">
        <v>3</v>
      </c>
      <c r="U1739">
        <v>0.1</v>
      </c>
      <c r="V1739">
        <v>8.4887999999999995</v>
      </c>
      <c r="W1739">
        <f t="shared" si="111"/>
        <v>7.6504000000000003</v>
      </c>
      <c r="X1739">
        <v>5</v>
      </c>
    </row>
    <row r="1740" spans="1:24" x14ac:dyDescent="0.3">
      <c r="A1740">
        <v>1739</v>
      </c>
      <c r="B1740" t="s">
        <v>3491</v>
      </c>
      <c r="C1740" s="6">
        <v>45935</v>
      </c>
      <c r="D1740" t="str">
        <f t="shared" si="108"/>
        <v>Oct</v>
      </c>
      <c r="E1740" t="str">
        <f t="shared" si="109"/>
        <v>2025</v>
      </c>
      <c r="F1740" t="s">
        <v>4</v>
      </c>
      <c r="G1740" t="s">
        <v>113</v>
      </c>
      <c r="H1740" t="s">
        <v>1591</v>
      </c>
      <c r="I1740">
        <v>200</v>
      </c>
      <c r="J1740">
        <v>24</v>
      </c>
      <c r="K1740">
        <f t="shared" si="110"/>
        <v>12</v>
      </c>
      <c r="L1740" t="s">
        <v>1738</v>
      </c>
      <c r="M1740" t="s">
        <v>3812</v>
      </c>
      <c r="N1740" t="s">
        <v>1</v>
      </c>
      <c r="O1740">
        <v>700028</v>
      </c>
      <c r="P1740" t="s">
        <v>546</v>
      </c>
      <c r="Q1740" t="s">
        <v>1775</v>
      </c>
      <c r="R1740" t="s">
        <v>2</v>
      </c>
      <c r="S1740">
        <v>17.899999999999999</v>
      </c>
      <c r="T1740">
        <v>2</v>
      </c>
      <c r="U1740">
        <v>0.1</v>
      </c>
      <c r="V1740">
        <v>3.4009999999999998</v>
      </c>
      <c r="W1740">
        <f t="shared" si="111"/>
        <v>7.2494999999999994</v>
      </c>
      <c r="X1740">
        <v>5</v>
      </c>
    </row>
    <row r="1741" spans="1:24" x14ac:dyDescent="0.3">
      <c r="A1741">
        <v>1740</v>
      </c>
      <c r="B1741" t="s">
        <v>3492</v>
      </c>
      <c r="C1741" s="6">
        <v>45936</v>
      </c>
      <c r="D1741" t="str">
        <f t="shared" si="108"/>
        <v>Oct</v>
      </c>
      <c r="E1741" t="str">
        <f t="shared" si="109"/>
        <v>2025</v>
      </c>
      <c r="F1741" t="s">
        <v>4</v>
      </c>
      <c r="G1741" t="s">
        <v>113</v>
      </c>
      <c r="H1741" t="s">
        <v>1660</v>
      </c>
      <c r="I1741">
        <v>140</v>
      </c>
      <c r="J1741">
        <v>20</v>
      </c>
      <c r="K1741">
        <f t="shared" si="110"/>
        <v>14.285714285714285</v>
      </c>
      <c r="L1741" t="s">
        <v>1743</v>
      </c>
      <c r="M1741" t="s">
        <v>3831</v>
      </c>
      <c r="N1741" t="s">
        <v>1</v>
      </c>
      <c r="O1741">
        <v>700028</v>
      </c>
      <c r="P1741" t="s">
        <v>546</v>
      </c>
      <c r="Q1741" t="s">
        <v>1775</v>
      </c>
      <c r="S1741">
        <v>129.44999999999999</v>
      </c>
      <c r="T1741">
        <v>5</v>
      </c>
      <c r="U1741">
        <v>0.1</v>
      </c>
      <c r="V1741">
        <v>46.601999999999997</v>
      </c>
      <c r="W1741">
        <f t="shared" si="111"/>
        <v>16.569599999999998</v>
      </c>
      <c r="X1741">
        <v>4</v>
      </c>
    </row>
    <row r="1742" spans="1:24" x14ac:dyDescent="0.3">
      <c r="A1742">
        <v>1741</v>
      </c>
      <c r="B1742" t="s">
        <v>3493</v>
      </c>
      <c r="C1742" s="6">
        <v>45937</v>
      </c>
      <c r="D1742" t="str">
        <f t="shared" si="108"/>
        <v>Oct</v>
      </c>
      <c r="E1742" t="str">
        <f t="shared" si="109"/>
        <v>2025</v>
      </c>
      <c r="F1742" t="s">
        <v>4</v>
      </c>
      <c r="G1742" t="s">
        <v>532</v>
      </c>
      <c r="H1742" t="s">
        <v>1495</v>
      </c>
      <c r="I1742">
        <v>130</v>
      </c>
      <c r="J1742">
        <v>18</v>
      </c>
      <c r="K1742">
        <f t="shared" si="110"/>
        <v>13.846153846153847</v>
      </c>
      <c r="L1742" t="s">
        <v>1737</v>
      </c>
      <c r="M1742" t="s">
        <v>3802</v>
      </c>
      <c r="N1742" t="s">
        <v>1</v>
      </c>
      <c r="O1742">
        <v>517123</v>
      </c>
      <c r="P1742" t="s">
        <v>546</v>
      </c>
      <c r="Q1742" t="s">
        <v>1758</v>
      </c>
      <c r="S1742">
        <v>20.88</v>
      </c>
      <c r="T1742">
        <v>8</v>
      </c>
      <c r="U1742">
        <v>0.1</v>
      </c>
      <c r="V1742">
        <v>9.6047999999999991</v>
      </c>
      <c r="W1742">
        <f t="shared" si="111"/>
        <v>1.4094</v>
      </c>
      <c r="X1742">
        <v>4</v>
      </c>
    </row>
    <row r="1743" spans="1:24" x14ac:dyDescent="0.3">
      <c r="A1743">
        <v>1742</v>
      </c>
      <c r="B1743" t="s">
        <v>3494</v>
      </c>
      <c r="C1743" s="6">
        <v>45938</v>
      </c>
      <c r="D1743" t="str">
        <f t="shared" si="108"/>
        <v>Oct</v>
      </c>
      <c r="E1743" t="str">
        <f t="shared" si="109"/>
        <v>2025</v>
      </c>
      <c r="F1743" t="s">
        <v>4</v>
      </c>
      <c r="G1743" t="s">
        <v>505</v>
      </c>
      <c r="H1743" t="s">
        <v>1661</v>
      </c>
      <c r="I1743">
        <v>220</v>
      </c>
      <c r="J1743">
        <v>14</v>
      </c>
      <c r="K1743">
        <f t="shared" si="110"/>
        <v>6.3636363636363633</v>
      </c>
      <c r="L1743" t="s">
        <v>1741</v>
      </c>
      <c r="M1743" t="s">
        <v>3815</v>
      </c>
      <c r="N1743" t="s">
        <v>1</v>
      </c>
      <c r="O1743">
        <v>603103</v>
      </c>
      <c r="P1743" t="s">
        <v>546</v>
      </c>
      <c r="Q1743" t="s">
        <v>1765</v>
      </c>
      <c r="S1743">
        <v>20.736000000000001</v>
      </c>
      <c r="T1743">
        <v>4</v>
      </c>
      <c r="U1743">
        <v>0.2</v>
      </c>
      <c r="V1743">
        <v>7.2576000000000001</v>
      </c>
      <c r="W1743">
        <f t="shared" si="111"/>
        <v>3.3696000000000002</v>
      </c>
      <c r="X1743">
        <v>5</v>
      </c>
    </row>
    <row r="1744" spans="1:24" x14ac:dyDescent="0.3">
      <c r="A1744">
        <v>1743</v>
      </c>
      <c r="B1744" t="s">
        <v>3495</v>
      </c>
      <c r="C1744" s="6">
        <v>45939</v>
      </c>
      <c r="D1744" t="str">
        <f t="shared" si="108"/>
        <v>Oct</v>
      </c>
      <c r="E1744" t="str">
        <f t="shared" si="109"/>
        <v>2025</v>
      </c>
      <c r="F1744" t="s">
        <v>4</v>
      </c>
      <c r="G1744" t="s">
        <v>505</v>
      </c>
      <c r="H1744" t="s">
        <v>1620</v>
      </c>
      <c r="I1744">
        <v>190</v>
      </c>
      <c r="J1744">
        <v>22</v>
      </c>
      <c r="K1744">
        <f t="shared" si="110"/>
        <v>11.578947368421053</v>
      </c>
      <c r="L1744" t="s">
        <v>1736</v>
      </c>
      <c r="M1744" t="s">
        <v>3653</v>
      </c>
      <c r="N1744" t="s">
        <v>1</v>
      </c>
      <c r="O1744">
        <v>682039</v>
      </c>
      <c r="P1744" t="s">
        <v>546</v>
      </c>
      <c r="Q1744" t="s">
        <v>1774</v>
      </c>
      <c r="S1744">
        <v>7.1680000000000001</v>
      </c>
      <c r="T1744">
        <v>2</v>
      </c>
      <c r="U1744">
        <v>0.2</v>
      </c>
      <c r="V1744">
        <v>0.98560000000000003</v>
      </c>
      <c r="W1744">
        <f t="shared" si="111"/>
        <v>3.0912000000000002</v>
      </c>
      <c r="X1744">
        <v>1</v>
      </c>
    </row>
    <row r="1745" spans="1:24" x14ac:dyDescent="0.3">
      <c r="A1745">
        <v>1744</v>
      </c>
      <c r="B1745" t="s">
        <v>3496</v>
      </c>
      <c r="C1745" s="6">
        <v>45940</v>
      </c>
      <c r="D1745" t="str">
        <f t="shared" si="108"/>
        <v>Oct</v>
      </c>
      <c r="E1745" t="str">
        <f t="shared" si="109"/>
        <v>2025</v>
      </c>
      <c r="F1745" t="s">
        <v>4</v>
      </c>
      <c r="G1745" t="s">
        <v>505</v>
      </c>
      <c r="H1745" t="s">
        <v>1247</v>
      </c>
      <c r="I1745">
        <v>160</v>
      </c>
      <c r="J1745">
        <v>16</v>
      </c>
      <c r="K1745">
        <f t="shared" si="110"/>
        <v>10</v>
      </c>
      <c r="L1745" t="s">
        <v>1744</v>
      </c>
      <c r="M1745" t="s">
        <v>3832</v>
      </c>
      <c r="N1745" t="s">
        <v>1</v>
      </c>
      <c r="O1745">
        <v>560079</v>
      </c>
      <c r="P1745" t="s">
        <v>546</v>
      </c>
      <c r="Q1745" t="s">
        <v>1769</v>
      </c>
      <c r="R1745" t="s">
        <v>2</v>
      </c>
      <c r="S1745">
        <v>11.167999999999999</v>
      </c>
      <c r="T1745">
        <v>2</v>
      </c>
      <c r="U1745">
        <v>0.2</v>
      </c>
      <c r="V1745">
        <v>-2.5127999999999999</v>
      </c>
      <c r="W1745">
        <f t="shared" si="111"/>
        <v>6.8403999999999998</v>
      </c>
      <c r="X1745">
        <v>4</v>
      </c>
    </row>
    <row r="1746" spans="1:24" x14ac:dyDescent="0.3">
      <c r="A1746">
        <v>1745</v>
      </c>
      <c r="B1746" t="s">
        <v>3497</v>
      </c>
      <c r="C1746" s="6">
        <v>45941</v>
      </c>
      <c r="D1746" t="str">
        <f t="shared" si="108"/>
        <v>Oct</v>
      </c>
      <c r="E1746" t="str">
        <f t="shared" si="109"/>
        <v>2025</v>
      </c>
      <c r="F1746" t="s">
        <v>4</v>
      </c>
      <c r="G1746" t="s">
        <v>505</v>
      </c>
      <c r="H1746" t="s">
        <v>1099</v>
      </c>
      <c r="I1746">
        <v>170</v>
      </c>
      <c r="J1746">
        <v>14</v>
      </c>
      <c r="K1746">
        <f t="shared" si="110"/>
        <v>8.235294117647058</v>
      </c>
      <c r="L1746" t="s">
        <v>1740</v>
      </c>
      <c r="M1746" t="s">
        <v>3733</v>
      </c>
      <c r="N1746" t="s">
        <v>1</v>
      </c>
      <c r="O1746">
        <v>560079</v>
      </c>
      <c r="P1746" t="s">
        <v>546</v>
      </c>
      <c r="Q1746" t="s">
        <v>1764</v>
      </c>
      <c r="S1746">
        <v>442.4</v>
      </c>
      <c r="T1746">
        <v>7</v>
      </c>
      <c r="U1746">
        <v>0.2</v>
      </c>
      <c r="V1746">
        <v>-55.3</v>
      </c>
      <c r="W1746">
        <f t="shared" si="111"/>
        <v>71.099999999999994</v>
      </c>
      <c r="X1746">
        <v>1</v>
      </c>
    </row>
    <row r="1747" spans="1:24" x14ac:dyDescent="0.3">
      <c r="A1747">
        <v>1746</v>
      </c>
      <c r="B1747" t="s">
        <v>3498</v>
      </c>
      <c r="C1747" s="6">
        <v>45942</v>
      </c>
      <c r="D1747" t="str">
        <f t="shared" si="108"/>
        <v>Oct</v>
      </c>
      <c r="E1747" t="str">
        <f t="shared" si="109"/>
        <v>2025</v>
      </c>
      <c r="F1747" t="s">
        <v>5</v>
      </c>
      <c r="G1747" t="s">
        <v>305</v>
      </c>
      <c r="H1747" t="s">
        <v>705</v>
      </c>
      <c r="I1747">
        <v>120</v>
      </c>
      <c r="J1747">
        <v>12</v>
      </c>
      <c r="K1747">
        <f t="shared" si="110"/>
        <v>10</v>
      </c>
      <c r="L1747" t="s">
        <v>1742</v>
      </c>
      <c r="M1747" t="s">
        <v>3816</v>
      </c>
      <c r="N1747" t="s">
        <v>1</v>
      </c>
      <c r="O1747">
        <v>202001</v>
      </c>
      <c r="P1747" t="s">
        <v>546</v>
      </c>
      <c r="Q1747" t="s">
        <v>1766</v>
      </c>
      <c r="R1747" t="s">
        <v>2</v>
      </c>
      <c r="S1747">
        <v>13.36</v>
      </c>
      <c r="T1747">
        <v>2</v>
      </c>
      <c r="U1747">
        <v>0.1</v>
      </c>
      <c r="V1747">
        <v>4.9432</v>
      </c>
      <c r="W1747">
        <f t="shared" si="111"/>
        <v>4.2083999999999993</v>
      </c>
      <c r="X1747">
        <v>3</v>
      </c>
    </row>
    <row r="1748" spans="1:24" x14ac:dyDescent="0.3">
      <c r="A1748">
        <v>1747</v>
      </c>
      <c r="B1748" t="s">
        <v>3499</v>
      </c>
      <c r="C1748" s="6">
        <v>45943</v>
      </c>
      <c r="D1748" t="str">
        <f t="shared" si="108"/>
        <v>Oct</v>
      </c>
      <c r="E1748" t="str">
        <f t="shared" si="109"/>
        <v>2025</v>
      </c>
      <c r="F1748" t="s">
        <v>3</v>
      </c>
      <c r="G1748" t="s">
        <v>198</v>
      </c>
      <c r="H1748" t="s">
        <v>1152</v>
      </c>
      <c r="I1748">
        <v>170</v>
      </c>
      <c r="J1748">
        <v>24</v>
      </c>
      <c r="K1748">
        <f t="shared" si="110"/>
        <v>14.117647058823529</v>
      </c>
      <c r="L1748" t="s">
        <v>1739</v>
      </c>
      <c r="M1748" t="s">
        <v>3600</v>
      </c>
      <c r="N1748" t="s">
        <v>1</v>
      </c>
      <c r="O1748">
        <v>202001</v>
      </c>
      <c r="P1748" t="s">
        <v>546</v>
      </c>
      <c r="Q1748" t="s">
        <v>1772</v>
      </c>
      <c r="R1748" t="s">
        <v>2</v>
      </c>
      <c r="S1748">
        <v>11.231999999999999</v>
      </c>
      <c r="T1748">
        <v>8</v>
      </c>
      <c r="U1748">
        <v>0.7</v>
      </c>
      <c r="V1748">
        <v>-8.2368000000000006</v>
      </c>
      <c r="W1748">
        <f t="shared" si="111"/>
        <v>2.4336000000000002</v>
      </c>
      <c r="X1748">
        <v>2</v>
      </c>
    </row>
    <row r="1749" spans="1:24" x14ac:dyDescent="0.3">
      <c r="A1749">
        <v>1748</v>
      </c>
      <c r="B1749" t="s">
        <v>3500</v>
      </c>
      <c r="C1749" s="6">
        <v>45944</v>
      </c>
      <c r="D1749" t="str">
        <f t="shared" si="108"/>
        <v>Oct</v>
      </c>
      <c r="E1749" t="str">
        <f t="shared" si="109"/>
        <v>2025</v>
      </c>
      <c r="F1749" t="s">
        <v>3</v>
      </c>
      <c r="G1749" t="s">
        <v>198</v>
      </c>
      <c r="H1749" t="s">
        <v>1662</v>
      </c>
      <c r="I1749">
        <v>240</v>
      </c>
      <c r="J1749">
        <v>12</v>
      </c>
      <c r="K1749">
        <f t="shared" si="110"/>
        <v>5</v>
      </c>
      <c r="L1749" t="s">
        <v>1738</v>
      </c>
      <c r="M1749" t="s">
        <v>3817</v>
      </c>
      <c r="N1749" t="s">
        <v>1</v>
      </c>
      <c r="O1749">
        <v>380015</v>
      </c>
      <c r="P1749" t="s">
        <v>546</v>
      </c>
      <c r="Q1749" t="s">
        <v>1759</v>
      </c>
      <c r="R1749" t="s">
        <v>2</v>
      </c>
      <c r="S1749">
        <v>10.272</v>
      </c>
      <c r="T1749">
        <v>3</v>
      </c>
      <c r="U1749">
        <v>0.2</v>
      </c>
      <c r="V1749">
        <v>3.21</v>
      </c>
      <c r="W1749">
        <f t="shared" si="111"/>
        <v>2.3540000000000001</v>
      </c>
      <c r="X1749">
        <v>1</v>
      </c>
    </row>
    <row r="1750" spans="1:24" x14ac:dyDescent="0.3">
      <c r="A1750">
        <v>1749</v>
      </c>
      <c r="B1750" t="s">
        <v>3501</v>
      </c>
      <c r="C1750" s="6">
        <v>45945</v>
      </c>
      <c r="D1750" t="str">
        <f t="shared" si="108"/>
        <v>Oct</v>
      </c>
      <c r="E1750" t="str">
        <f t="shared" si="109"/>
        <v>2025</v>
      </c>
      <c r="F1750" t="s">
        <v>4</v>
      </c>
      <c r="G1750" t="s">
        <v>533</v>
      </c>
      <c r="H1750" t="s">
        <v>1271</v>
      </c>
      <c r="I1750">
        <v>190</v>
      </c>
      <c r="J1750">
        <v>6</v>
      </c>
      <c r="K1750">
        <f t="shared" si="110"/>
        <v>3.1578947368421053</v>
      </c>
      <c r="L1750" t="s">
        <v>1737</v>
      </c>
      <c r="M1750" t="s">
        <v>3808</v>
      </c>
      <c r="N1750" t="s">
        <v>1</v>
      </c>
      <c r="O1750">
        <v>380015</v>
      </c>
      <c r="P1750" t="s">
        <v>546</v>
      </c>
      <c r="Q1750" t="s">
        <v>1767</v>
      </c>
      <c r="S1750">
        <v>10.368</v>
      </c>
      <c r="T1750">
        <v>2</v>
      </c>
      <c r="U1750">
        <v>0.2</v>
      </c>
      <c r="V1750">
        <v>3.6288</v>
      </c>
      <c r="W1750">
        <f t="shared" si="111"/>
        <v>3.3696000000000002</v>
      </c>
      <c r="X1750">
        <v>2</v>
      </c>
    </row>
    <row r="1751" spans="1:24" x14ac:dyDescent="0.3">
      <c r="A1751">
        <v>1750</v>
      </c>
      <c r="B1751" t="s">
        <v>3502</v>
      </c>
      <c r="C1751" s="6">
        <v>45946</v>
      </c>
      <c r="D1751" t="str">
        <f t="shared" si="108"/>
        <v>Oct</v>
      </c>
      <c r="E1751" t="str">
        <f t="shared" si="109"/>
        <v>2025</v>
      </c>
      <c r="F1751" t="s">
        <v>4</v>
      </c>
      <c r="G1751" t="s">
        <v>533</v>
      </c>
      <c r="H1751" t="s">
        <v>1573</v>
      </c>
      <c r="I1751">
        <v>240</v>
      </c>
      <c r="J1751">
        <v>12</v>
      </c>
      <c r="K1751">
        <f t="shared" si="110"/>
        <v>5</v>
      </c>
      <c r="L1751" t="s">
        <v>1743</v>
      </c>
      <c r="M1751" t="s">
        <v>3833</v>
      </c>
      <c r="N1751" t="s">
        <v>1</v>
      </c>
      <c r="O1751">
        <v>380015</v>
      </c>
      <c r="P1751" t="s">
        <v>546</v>
      </c>
      <c r="Q1751" t="s">
        <v>1774</v>
      </c>
      <c r="S1751">
        <v>6.24</v>
      </c>
      <c r="T1751">
        <v>3</v>
      </c>
      <c r="U1751">
        <v>0.2</v>
      </c>
      <c r="V1751">
        <v>0.54600000000000004</v>
      </c>
      <c r="W1751">
        <f t="shared" si="111"/>
        <v>1.8979999999999999</v>
      </c>
      <c r="X1751">
        <v>5</v>
      </c>
    </row>
    <row r="1752" spans="1:24" x14ac:dyDescent="0.3">
      <c r="A1752">
        <v>1751</v>
      </c>
      <c r="B1752" t="s">
        <v>3503</v>
      </c>
      <c r="C1752" s="6">
        <v>45947</v>
      </c>
      <c r="D1752" t="str">
        <f t="shared" si="108"/>
        <v>Oct</v>
      </c>
      <c r="E1752" t="str">
        <f t="shared" si="109"/>
        <v>2025</v>
      </c>
      <c r="F1752" t="s">
        <v>4</v>
      </c>
      <c r="G1752" t="s">
        <v>253</v>
      </c>
      <c r="H1752" t="s">
        <v>1663</v>
      </c>
      <c r="I1752">
        <v>120</v>
      </c>
      <c r="J1752">
        <v>30</v>
      </c>
      <c r="K1752">
        <f t="shared" si="110"/>
        <v>25</v>
      </c>
      <c r="L1752" t="s">
        <v>1738</v>
      </c>
      <c r="M1752" t="s">
        <v>3681</v>
      </c>
      <c r="N1752" t="s">
        <v>1</v>
      </c>
      <c r="O1752">
        <v>380015</v>
      </c>
      <c r="P1752" t="s">
        <v>546</v>
      </c>
      <c r="Q1752" t="s">
        <v>1760</v>
      </c>
      <c r="S1752">
        <v>206.96199999999999</v>
      </c>
      <c r="T1752">
        <v>2</v>
      </c>
      <c r="U1752">
        <v>0.3</v>
      </c>
      <c r="V1752">
        <v>-32.522599999999997</v>
      </c>
      <c r="W1752">
        <f t="shared" si="111"/>
        <v>119.7423</v>
      </c>
      <c r="X1752">
        <v>4</v>
      </c>
    </row>
    <row r="1753" spans="1:24" x14ac:dyDescent="0.3">
      <c r="A1753">
        <v>1752</v>
      </c>
      <c r="B1753" t="s">
        <v>3504</v>
      </c>
      <c r="C1753" s="6">
        <v>45948</v>
      </c>
      <c r="D1753" t="str">
        <f t="shared" si="108"/>
        <v>Oct</v>
      </c>
      <c r="E1753" t="str">
        <f t="shared" si="109"/>
        <v>2025</v>
      </c>
      <c r="F1753" t="s">
        <v>5</v>
      </c>
      <c r="G1753" t="s">
        <v>534</v>
      </c>
      <c r="H1753" t="s">
        <v>830</v>
      </c>
      <c r="I1753">
        <v>220</v>
      </c>
      <c r="J1753">
        <v>30</v>
      </c>
      <c r="K1753">
        <f t="shared" si="110"/>
        <v>13.636363636363635</v>
      </c>
      <c r="L1753" t="s">
        <v>1739</v>
      </c>
      <c r="M1753" t="s">
        <v>3682</v>
      </c>
      <c r="N1753" t="s">
        <v>1</v>
      </c>
      <c r="O1753">
        <v>560043</v>
      </c>
      <c r="P1753" t="s">
        <v>546</v>
      </c>
      <c r="Q1753" t="s">
        <v>1763</v>
      </c>
      <c r="S1753">
        <v>9.4600000000000009</v>
      </c>
      <c r="T1753">
        <v>2</v>
      </c>
      <c r="U1753">
        <v>0.1</v>
      </c>
      <c r="V1753">
        <v>3.6894</v>
      </c>
      <c r="W1753">
        <f t="shared" si="111"/>
        <v>2.8853000000000004</v>
      </c>
      <c r="X1753">
        <v>2</v>
      </c>
    </row>
    <row r="1754" spans="1:24" x14ac:dyDescent="0.3">
      <c r="A1754">
        <v>1753</v>
      </c>
      <c r="B1754" t="s">
        <v>3505</v>
      </c>
      <c r="C1754" s="6">
        <v>45949</v>
      </c>
      <c r="D1754" t="str">
        <f t="shared" si="108"/>
        <v>Oct</v>
      </c>
      <c r="E1754" t="str">
        <f t="shared" si="109"/>
        <v>2025</v>
      </c>
      <c r="F1754" t="s">
        <v>5</v>
      </c>
      <c r="G1754" t="s">
        <v>107</v>
      </c>
      <c r="H1754" t="s">
        <v>1368</v>
      </c>
      <c r="I1754">
        <v>220</v>
      </c>
      <c r="J1754">
        <v>20</v>
      </c>
      <c r="K1754">
        <f t="shared" si="110"/>
        <v>9.0909090909090917</v>
      </c>
      <c r="L1754" t="s">
        <v>1741</v>
      </c>
      <c r="M1754" t="s">
        <v>3810</v>
      </c>
      <c r="N1754" t="s">
        <v>1</v>
      </c>
      <c r="O1754">
        <v>844114</v>
      </c>
      <c r="P1754" t="s">
        <v>546</v>
      </c>
      <c r="Q1754" t="s">
        <v>1758</v>
      </c>
      <c r="S1754">
        <v>559.62</v>
      </c>
      <c r="T1754">
        <v>9</v>
      </c>
      <c r="U1754">
        <v>0.1</v>
      </c>
      <c r="V1754">
        <v>151.09739999999999</v>
      </c>
      <c r="W1754">
        <f t="shared" si="111"/>
        <v>45.391400000000004</v>
      </c>
      <c r="X1754">
        <v>3</v>
      </c>
    </row>
    <row r="1755" spans="1:24" x14ac:dyDescent="0.3">
      <c r="A1755">
        <v>1754</v>
      </c>
      <c r="B1755" t="s">
        <v>3506</v>
      </c>
      <c r="C1755" s="6">
        <v>45950</v>
      </c>
      <c r="D1755" t="str">
        <f t="shared" si="108"/>
        <v>Oct</v>
      </c>
      <c r="E1755" t="str">
        <f t="shared" si="109"/>
        <v>2025</v>
      </c>
      <c r="F1755" t="s">
        <v>5</v>
      </c>
      <c r="G1755" t="s">
        <v>107</v>
      </c>
      <c r="H1755" t="s">
        <v>1629</v>
      </c>
      <c r="I1755">
        <v>240</v>
      </c>
      <c r="J1755">
        <v>22</v>
      </c>
      <c r="K1755">
        <f t="shared" si="110"/>
        <v>9.1666666666666661</v>
      </c>
      <c r="L1755" t="s">
        <v>1736</v>
      </c>
      <c r="M1755" t="s">
        <v>3693</v>
      </c>
      <c r="N1755" t="s">
        <v>1</v>
      </c>
      <c r="O1755">
        <v>700028</v>
      </c>
      <c r="P1755" t="s">
        <v>546</v>
      </c>
      <c r="Q1755" t="s">
        <v>1774</v>
      </c>
      <c r="S1755">
        <v>109.92</v>
      </c>
      <c r="T1755">
        <v>2</v>
      </c>
      <c r="U1755">
        <v>0.1</v>
      </c>
      <c r="V1755">
        <v>53.860799999999998</v>
      </c>
      <c r="W1755">
        <f t="shared" si="111"/>
        <v>28.029600000000002</v>
      </c>
      <c r="X1755">
        <v>3</v>
      </c>
    </row>
    <row r="1756" spans="1:24" x14ac:dyDescent="0.3">
      <c r="A1756">
        <v>1755</v>
      </c>
      <c r="B1756" t="s">
        <v>3507</v>
      </c>
      <c r="C1756" s="6">
        <v>45951</v>
      </c>
      <c r="D1756" t="str">
        <f t="shared" si="108"/>
        <v>Oct</v>
      </c>
      <c r="E1756" t="str">
        <f t="shared" si="109"/>
        <v>2025</v>
      </c>
      <c r="F1756" t="s">
        <v>5</v>
      </c>
      <c r="G1756" t="s">
        <v>107</v>
      </c>
      <c r="H1756" t="s">
        <v>1664</v>
      </c>
      <c r="I1756">
        <v>220</v>
      </c>
      <c r="J1756">
        <v>28</v>
      </c>
      <c r="K1756">
        <f t="shared" si="110"/>
        <v>12.727272727272727</v>
      </c>
      <c r="L1756" t="s">
        <v>1744</v>
      </c>
      <c r="M1756" t="s">
        <v>3746</v>
      </c>
      <c r="N1756" t="s">
        <v>1</v>
      </c>
      <c r="O1756">
        <v>500072</v>
      </c>
      <c r="P1756" t="s">
        <v>546</v>
      </c>
      <c r="Q1756" t="s">
        <v>1773</v>
      </c>
      <c r="S1756">
        <v>8.56</v>
      </c>
      <c r="T1756">
        <v>2</v>
      </c>
      <c r="U1756">
        <v>0.1</v>
      </c>
      <c r="V1756">
        <v>3.8519999999999999</v>
      </c>
      <c r="W1756">
        <f t="shared" si="111"/>
        <v>2.3540000000000001</v>
      </c>
      <c r="X1756">
        <v>1</v>
      </c>
    </row>
    <row r="1757" spans="1:24" x14ac:dyDescent="0.3">
      <c r="A1757">
        <v>1756</v>
      </c>
      <c r="B1757" t="s">
        <v>3508</v>
      </c>
      <c r="C1757" s="6">
        <v>45952</v>
      </c>
      <c r="D1757" t="str">
        <f t="shared" si="108"/>
        <v>Oct</v>
      </c>
      <c r="E1757" t="str">
        <f t="shared" si="109"/>
        <v>2025</v>
      </c>
      <c r="F1757" t="s">
        <v>3</v>
      </c>
      <c r="G1757" t="s">
        <v>506</v>
      </c>
      <c r="H1757" t="s">
        <v>1386</v>
      </c>
      <c r="I1757">
        <v>190</v>
      </c>
      <c r="J1757">
        <v>14</v>
      </c>
      <c r="K1757">
        <f t="shared" si="110"/>
        <v>7.3684210526315779</v>
      </c>
      <c r="L1757" t="s">
        <v>1740</v>
      </c>
      <c r="M1757" t="s">
        <v>3799</v>
      </c>
      <c r="N1757" t="s">
        <v>1</v>
      </c>
      <c r="O1757">
        <v>500072</v>
      </c>
      <c r="P1757" t="s">
        <v>546</v>
      </c>
      <c r="Q1757" t="s">
        <v>1761</v>
      </c>
      <c r="R1757" t="s">
        <v>2</v>
      </c>
      <c r="S1757">
        <v>360.71199999999999</v>
      </c>
      <c r="T1757">
        <v>11</v>
      </c>
      <c r="U1757">
        <v>0.2</v>
      </c>
      <c r="V1757">
        <v>130.75810000000001</v>
      </c>
      <c r="W1757">
        <f t="shared" si="111"/>
        <v>20.904899999999998</v>
      </c>
      <c r="X1757">
        <v>1</v>
      </c>
    </row>
    <row r="1758" spans="1:24" x14ac:dyDescent="0.3">
      <c r="A1758">
        <v>1757</v>
      </c>
      <c r="B1758" t="s">
        <v>3509</v>
      </c>
      <c r="C1758" s="6">
        <v>45953</v>
      </c>
      <c r="D1758" t="str">
        <f t="shared" si="108"/>
        <v>Oct</v>
      </c>
      <c r="E1758" t="str">
        <f t="shared" si="109"/>
        <v>2025</v>
      </c>
      <c r="F1758" t="s">
        <v>3</v>
      </c>
      <c r="G1758" t="s">
        <v>506</v>
      </c>
      <c r="H1758" t="s">
        <v>1665</v>
      </c>
      <c r="I1758">
        <v>100</v>
      </c>
      <c r="J1758">
        <v>12</v>
      </c>
      <c r="K1758">
        <f t="shared" si="110"/>
        <v>12</v>
      </c>
      <c r="L1758" t="s">
        <v>1742</v>
      </c>
      <c r="M1758" t="s">
        <v>3800</v>
      </c>
      <c r="N1758" t="s">
        <v>1</v>
      </c>
      <c r="O1758">
        <v>560048</v>
      </c>
      <c r="P1758" t="s">
        <v>546</v>
      </c>
      <c r="Q1758" t="s">
        <v>1754</v>
      </c>
      <c r="S1758">
        <v>1718.4</v>
      </c>
      <c r="T1758">
        <v>6</v>
      </c>
      <c r="U1758">
        <v>0.2</v>
      </c>
      <c r="V1758">
        <v>150.36000000000001</v>
      </c>
      <c r="W1758">
        <f t="shared" si="111"/>
        <v>261.33999999999997</v>
      </c>
      <c r="X1758">
        <v>3</v>
      </c>
    </row>
    <row r="1759" spans="1:24" x14ac:dyDescent="0.3">
      <c r="A1759">
        <v>1758</v>
      </c>
      <c r="B1759" t="s">
        <v>3510</v>
      </c>
      <c r="C1759" s="6">
        <v>45954</v>
      </c>
      <c r="D1759" t="str">
        <f t="shared" si="108"/>
        <v>Oct</v>
      </c>
      <c r="E1759" t="str">
        <f t="shared" si="109"/>
        <v>2025</v>
      </c>
      <c r="F1759" t="s">
        <v>5</v>
      </c>
      <c r="G1759" t="s">
        <v>366</v>
      </c>
      <c r="H1759" t="s">
        <v>1549</v>
      </c>
      <c r="I1759">
        <v>110</v>
      </c>
      <c r="J1759">
        <v>20</v>
      </c>
      <c r="K1759">
        <f t="shared" si="110"/>
        <v>18.181818181818183</v>
      </c>
      <c r="L1759" t="s">
        <v>1739</v>
      </c>
      <c r="M1759" t="s">
        <v>3637</v>
      </c>
      <c r="N1759" t="s">
        <v>1</v>
      </c>
      <c r="O1759">
        <v>411014</v>
      </c>
      <c r="P1759" t="s">
        <v>546</v>
      </c>
      <c r="Q1759" t="s">
        <v>1756</v>
      </c>
      <c r="S1759">
        <v>41.567999999999998</v>
      </c>
      <c r="T1759">
        <v>6</v>
      </c>
      <c r="U1759">
        <v>0.8</v>
      </c>
      <c r="V1759">
        <v>-66.508799999999994</v>
      </c>
      <c r="W1759">
        <f t="shared" si="111"/>
        <v>18.012799999999999</v>
      </c>
      <c r="X1759">
        <v>4</v>
      </c>
    </row>
    <row r="1760" spans="1:24" x14ac:dyDescent="0.3">
      <c r="A1760">
        <v>1759</v>
      </c>
      <c r="B1760" t="s">
        <v>3511</v>
      </c>
      <c r="C1760" s="6">
        <v>45955</v>
      </c>
      <c r="D1760" t="str">
        <f t="shared" si="108"/>
        <v>Oct</v>
      </c>
      <c r="E1760" t="str">
        <f t="shared" si="109"/>
        <v>2025</v>
      </c>
      <c r="F1760" t="s">
        <v>4</v>
      </c>
      <c r="G1760" t="s">
        <v>535</v>
      </c>
      <c r="H1760" t="s">
        <v>1372</v>
      </c>
      <c r="I1760">
        <v>100</v>
      </c>
      <c r="J1760">
        <v>26</v>
      </c>
      <c r="K1760">
        <f t="shared" si="110"/>
        <v>26</v>
      </c>
      <c r="L1760" t="s">
        <v>1738</v>
      </c>
      <c r="M1760" t="s">
        <v>3814</v>
      </c>
      <c r="N1760" t="s">
        <v>1</v>
      </c>
      <c r="O1760">
        <v>226012</v>
      </c>
      <c r="P1760" t="s">
        <v>546</v>
      </c>
      <c r="Q1760" t="s">
        <v>1763</v>
      </c>
      <c r="S1760">
        <v>46.863999999999997</v>
      </c>
      <c r="T1760">
        <v>2</v>
      </c>
      <c r="U1760">
        <v>0.2</v>
      </c>
      <c r="V1760">
        <v>7.6154000000000002</v>
      </c>
      <c r="W1760">
        <f t="shared" si="111"/>
        <v>19.624299999999998</v>
      </c>
      <c r="X1760">
        <v>5</v>
      </c>
    </row>
    <row r="1761" spans="1:24" x14ac:dyDescent="0.3">
      <c r="A1761">
        <v>1760</v>
      </c>
      <c r="B1761" t="s">
        <v>3512</v>
      </c>
      <c r="C1761" s="6">
        <v>45956</v>
      </c>
      <c r="D1761" t="str">
        <f t="shared" si="108"/>
        <v>Oct</v>
      </c>
      <c r="E1761" t="str">
        <f t="shared" si="109"/>
        <v>2025</v>
      </c>
      <c r="F1761" t="s">
        <v>4</v>
      </c>
      <c r="G1761" t="s">
        <v>476</v>
      </c>
      <c r="H1761" t="s">
        <v>906</v>
      </c>
      <c r="I1761">
        <v>220</v>
      </c>
      <c r="J1761">
        <v>14</v>
      </c>
      <c r="K1761">
        <f t="shared" si="110"/>
        <v>6.3636363636363633</v>
      </c>
      <c r="L1761" t="s">
        <v>1737</v>
      </c>
      <c r="M1761" t="s">
        <v>3813</v>
      </c>
      <c r="N1761" t="s">
        <v>1</v>
      </c>
      <c r="O1761">
        <v>700053</v>
      </c>
      <c r="P1761" t="s">
        <v>546</v>
      </c>
      <c r="Q1761" t="s">
        <v>1774</v>
      </c>
      <c r="R1761" t="s">
        <v>2</v>
      </c>
      <c r="S1761">
        <v>19.536000000000001</v>
      </c>
      <c r="T1761">
        <v>3</v>
      </c>
      <c r="U1761">
        <v>0.2</v>
      </c>
      <c r="V1761">
        <v>4.8840000000000003</v>
      </c>
      <c r="W1761">
        <f t="shared" si="111"/>
        <v>4.8840000000000003</v>
      </c>
      <c r="X1761">
        <v>3</v>
      </c>
    </row>
    <row r="1762" spans="1:24" x14ac:dyDescent="0.3">
      <c r="A1762">
        <v>1761</v>
      </c>
      <c r="B1762" t="s">
        <v>3513</v>
      </c>
      <c r="C1762" s="6">
        <v>45957</v>
      </c>
      <c r="D1762" t="str">
        <f t="shared" si="108"/>
        <v>Oct</v>
      </c>
      <c r="E1762" t="str">
        <f t="shared" si="109"/>
        <v>2025</v>
      </c>
      <c r="F1762" t="s">
        <v>4</v>
      </c>
      <c r="G1762" t="s">
        <v>158</v>
      </c>
      <c r="H1762" t="s">
        <v>1666</v>
      </c>
      <c r="I1762">
        <v>190</v>
      </c>
      <c r="J1762">
        <v>20</v>
      </c>
      <c r="K1762">
        <f t="shared" si="110"/>
        <v>10.526315789473683</v>
      </c>
      <c r="L1762" t="s">
        <v>1743</v>
      </c>
      <c r="M1762" t="s">
        <v>3610</v>
      </c>
      <c r="N1762" t="s">
        <v>1</v>
      </c>
      <c r="O1762">
        <v>416008</v>
      </c>
      <c r="P1762" t="s">
        <v>546</v>
      </c>
      <c r="Q1762" t="s">
        <v>1756</v>
      </c>
      <c r="S1762">
        <v>411.33199999999999</v>
      </c>
      <c r="T1762">
        <v>4</v>
      </c>
      <c r="U1762">
        <v>0.15</v>
      </c>
      <c r="V1762">
        <v>-4.8391999999999999</v>
      </c>
      <c r="W1762">
        <f t="shared" si="111"/>
        <v>104.0428</v>
      </c>
      <c r="X1762">
        <v>1</v>
      </c>
    </row>
    <row r="1763" spans="1:24" x14ac:dyDescent="0.3">
      <c r="A1763">
        <v>1762</v>
      </c>
      <c r="B1763" t="s">
        <v>3514</v>
      </c>
      <c r="C1763" s="6">
        <v>45958</v>
      </c>
      <c r="D1763" t="str">
        <f t="shared" si="108"/>
        <v>Oct</v>
      </c>
      <c r="E1763" t="str">
        <f t="shared" si="109"/>
        <v>2025</v>
      </c>
      <c r="F1763" t="s">
        <v>4</v>
      </c>
      <c r="G1763" t="s">
        <v>158</v>
      </c>
      <c r="H1763" t="s">
        <v>1667</v>
      </c>
      <c r="I1763">
        <v>210</v>
      </c>
      <c r="J1763">
        <v>8</v>
      </c>
      <c r="K1763">
        <f t="shared" si="110"/>
        <v>3.8095238095238098</v>
      </c>
      <c r="L1763" t="s">
        <v>1738</v>
      </c>
      <c r="M1763" t="s">
        <v>3807</v>
      </c>
      <c r="N1763" t="s">
        <v>1</v>
      </c>
      <c r="O1763">
        <v>110065</v>
      </c>
      <c r="P1763" t="s">
        <v>546</v>
      </c>
      <c r="Q1763" t="s">
        <v>1763</v>
      </c>
      <c r="R1763" t="s">
        <v>2</v>
      </c>
      <c r="S1763">
        <v>28.751999999999999</v>
      </c>
      <c r="T1763">
        <v>6</v>
      </c>
      <c r="U1763">
        <v>0.2</v>
      </c>
      <c r="V1763">
        <v>9.7037999999999993</v>
      </c>
      <c r="W1763">
        <f t="shared" si="111"/>
        <v>3.1747000000000001</v>
      </c>
      <c r="X1763">
        <v>3</v>
      </c>
    </row>
    <row r="1764" spans="1:24" x14ac:dyDescent="0.3">
      <c r="A1764">
        <v>1763</v>
      </c>
      <c r="B1764" t="s">
        <v>3285</v>
      </c>
      <c r="C1764" s="6">
        <v>45959</v>
      </c>
      <c r="D1764" t="str">
        <f t="shared" si="108"/>
        <v>Oct</v>
      </c>
      <c r="E1764" t="str">
        <f t="shared" si="109"/>
        <v>2025</v>
      </c>
      <c r="F1764" t="s">
        <v>4</v>
      </c>
      <c r="G1764" t="s">
        <v>158</v>
      </c>
      <c r="H1764" t="s">
        <v>1668</v>
      </c>
      <c r="I1764">
        <v>140</v>
      </c>
      <c r="J1764">
        <v>30</v>
      </c>
      <c r="K1764">
        <f t="shared" si="110"/>
        <v>21.428571428571427</v>
      </c>
      <c r="L1764" t="s">
        <v>1739</v>
      </c>
      <c r="M1764" t="s">
        <v>3707</v>
      </c>
      <c r="N1764" t="s">
        <v>1</v>
      </c>
      <c r="O1764">
        <v>700023</v>
      </c>
      <c r="P1764" t="s">
        <v>546</v>
      </c>
      <c r="Q1764" t="s">
        <v>1768</v>
      </c>
      <c r="R1764" t="s">
        <v>2</v>
      </c>
      <c r="S1764">
        <v>293.19900000000001</v>
      </c>
      <c r="T1764">
        <v>3</v>
      </c>
      <c r="U1764">
        <v>0.15</v>
      </c>
      <c r="V1764">
        <v>-20.696400000000001</v>
      </c>
      <c r="W1764">
        <f t="shared" si="111"/>
        <v>104.6318</v>
      </c>
      <c r="X1764">
        <v>5</v>
      </c>
    </row>
    <row r="1765" spans="1:24" x14ac:dyDescent="0.3">
      <c r="A1765">
        <v>1764</v>
      </c>
      <c r="B1765" t="s">
        <v>3515</v>
      </c>
      <c r="C1765" s="6">
        <v>45960</v>
      </c>
      <c r="D1765" t="str">
        <f t="shared" si="108"/>
        <v>Oct</v>
      </c>
      <c r="E1765" t="str">
        <f t="shared" si="109"/>
        <v>2025</v>
      </c>
      <c r="F1765" t="s">
        <v>4</v>
      </c>
      <c r="G1765" t="s">
        <v>536</v>
      </c>
      <c r="H1765" t="s">
        <v>901</v>
      </c>
      <c r="I1765">
        <v>150</v>
      </c>
      <c r="J1765">
        <v>14</v>
      </c>
      <c r="K1765">
        <f t="shared" si="110"/>
        <v>9.3333333333333339</v>
      </c>
      <c r="L1765" t="s">
        <v>1741</v>
      </c>
      <c r="M1765" t="s">
        <v>3805</v>
      </c>
      <c r="N1765" t="s">
        <v>1</v>
      </c>
      <c r="O1765">
        <v>226002</v>
      </c>
      <c r="P1765" t="s">
        <v>546</v>
      </c>
      <c r="Q1765" t="s">
        <v>1761</v>
      </c>
      <c r="S1765">
        <v>35.06</v>
      </c>
      <c r="T1765">
        <v>2</v>
      </c>
      <c r="U1765">
        <v>0.1</v>
      </c>
      <c r="V1765">
        <v>10.518000000000001</v>
      </c>
      <c r="W1765">
        <f t="shared" si="111"/>
        <v>12.271000000000001</v>
      </c>
      <c r="X1765">
        <v>1</v>
      </c>
    </row>
    <row r="1766" spans="1:24" x14ac:dyDescent="0.3">
      <c r="A1766">
        <v>1765</v>
      </c>
      <c r="B1766" t="s">
        <v>3516</v>
      </c>
      <c r="C1766" s="6">
        <v>45961</v>
      </c>
      <c r="D1766" t="str">
        <f t="shared" si="108"/>
        <v>Oct</v>
      </c>
      <c r="E1766" t="str">
        <f t="shared" si="109"/>
        <v>2025</v>
      </c>
      <c r="F1766" t="s">
        <v>4</v>
      </c>
      <c r="G1766" t="s">
        <v>536</v>
      </c>
      <c r="H1766" t="s">
        <v>1164</v>
      </c>
      <c r="I1766">
        <v>170</v>
      </c>
      <c r="J1766">
        <v>12</v>
      </c>
      <c r="K1766">
        <f t="shared" si="110"/>
        <v>7.0588235294117645</v>
      </c>
      <c r="L1766" t="s">
        <v>1736</v>
      </c>
      <c r="M1766" t="s">
        <v>3797</v>
      </c>
      <c r="N1766" t="s">
        <v>1</v>
      </c>
      <c r="O1766">
        <v>412101</v>
      </c>
      <c r="P1766" t="s">
        <v>546</v>
      </c>
      <c r="Q1766" t="s">
        <v>1761</v>
      </c>
      <c r="S1766">
        <v>4.13</v>
      </c>
      <c r="T1766">
        <v>1</v>
      </c>
      <c r="U1766">
        <v>0.1</v>
      </c>
      <c r="V1766">
        <v>1.8997999999999999</v>
      </c>
      <c r="W1766">
        <f t="shared" si="111"/>
        <v>2.2302</v>
      </c>
      <c r="X1766">
        <v>5</v>
      </c>
    </row>
    <row r="1767" spans="1:24" x14ac:dyDescent="0.3">
      <c r="A1767">
        <v>1766</v>
      </c>
      <c r="B1767" t="s">
        <v>3517</v>
      </c>
      <c r="C1767" s="6">
        <v>45962</v>
      </c>
      <c r="D1767" t="str">
        <f t="shared" si="108"/>
        <v>Nov</v>
      </c>
      <c r="E1767" t="str">
        <f t="shared" si="109"/>
        <v>2025</v>
      </c>
      <c r="F1767" t="s">
        <v>4</v>
      </c>
      <c r="G1767" t="s">
        <v>536</v>
      </c>
      <c r="H1767" t="s">
        <v>1669</v>
      </c>
      <c r="I1767">
        <v>210</v>
      </c>
      <c r="J1767">
        <v>22</v>
      </c>
      <c r="K1767">
        <f t="shared" si="110"/>
        <v>10.476190476190476</v>
      </c>
      <c r="L1767" t="s">
        <v>1744</v>
      </c>
      <c r="M1767" t="s">
        <v>3685</v>
      </c>
      <c r="N1767" t="s">
        <v>1</v>
      </c>
      <c r="O1767">
        <v>411033</v>
      </c>
      <c r="P1767" t="s">
        <v>546</v>
      </c>
      <c r="Q1767" t="s">
        <v>1764</v>
      </c>
      <c r="S1767">
        <v>109.8</v>
      </c>
      <c r="T1767">
        <v>9</v>
      </c>
      <c r="U1767">
        <v>0.1</v>
      </c>
      <c r="V1767">
        <v>46.116</v>
      </c>
      <c r="W1767">
        <f t="shared" si="111"/>
        <v>7.0759999999999996</v>
      </c>
      <c r="X1767">
        <v>4</v>
      </c>
    </row>
    <row r="1768" spans="1:24" x14ac:dyDescent="0.3">
      <c r="A1768">
        <v>1767</v>
      </c>
      <c r="B1768" t="s">
        <v>3518</v>
      </c>
      <c r="C1768" s="6">
        <v>45963</v>
      </c>
      <c r="D1768" t="str">
        <f t="shared" si="108"/>
        <v>Nov</v>
      </c>
      <c r="E1768" t="str">
        <f t="shared" si="109"/>
        <v>2025</v>
      </c>
      <c r="F1768" t="s">
        <v>4</v>
      </c>
      <c r="G1768" t="s">
        <v>536</v>
      </c>
      <c r="H1768" t="s">
        <v>1670</v>
      </c>
      <c r="I1768">
        <v>170</v>
      </c>
      <c r="J1768">
        <v>8</v>
      </c>
      <c r="K1768">
        <f t="shared" si="110"/>
        <v>4.7058823529411766</v>
      </c>
      <c r="L1768" t="s">
        <v>1740</v>
      </c>
      <c r="M1768" t="s">
        <v>3791</v>
      </c>
      <c r="N1768" t="s">
        <v>1</v>
      </c>
      <c r="O1768">
        <v>474006</v>
      </c>
      <c r="P1768" t="s">
        <v>546</v>
      </c>
      <c r="Q1768" t="s">
        <v>1759</v>
      </c>
      <c r="R1768" t="s">
        <v>2</v>
      </c>
      <c r="S1768">
        <v>9.82</v>
      </c>
      <c r="T1768">
        <v>2</v>
      </c>
      <c r="U1768">
        <v>0.1</v>
      </c>
      <c r="V1768">
        <v>4.8117999999999999</v>
      </c>
      <c r="W1768">
        <f t="shared" si="111"/>
        <v>2.5041000000000002</v>
      </c>
      <c r="X1768">
        <v>3</v>
      </c>
    </row>
    <row r="1769" spans="1:24" x14ac:dyDescent="0.3">
      <c r="A1769">
        <v>1768</v>
      </c>
      <c r="B1769" t="s">
        <v>3519</v>
      </c>
      <c r="C1769" s="6">
        <v>45964</v>
      </c>
      <c r="D1769" t="str">
        <f t="shared" si="108"/>
        <v>Nov</v>
      </c>
      <c r="E1769" t="str">
        <f t="shared" si="109"/>
        <v>2025</v>
      </c>
      <c r="F1769" t="s">
        <v>4</v>
      </c>
      <c r="G1769" t="s">
        <v>537</v>
      </c>
      <c r="H1769" t="s">
        <v>595</v>
      </c>
      <c r="I1769">
        <v>180</v>
      </c>
      <c r="J1769">
        <v>8</v>
      </c>
      <c r="K1769">
        <f t="shared" si="110"/>
        <v>4.4444444444444446</v>
      </c>
      <c r="L1769" t="s">
        <v>1742</v>
      </c>
      <c r="M1769" t="s">
        <v>3647</v>
      </c>
      <c r="N1769" t="s">
        <v>1</v>
      </c>
      <c r="O1769">
        <v>411033</v>
      </c>
      <c r="P1769" t="s">
        <v>546</v>
      </c>
      <c r="Q1769" t="s">
        <v>1772</v>
      </c>
      <c r="S1769">
        <v>7.6440000000000001</v>
      </c>
      <c r="T1769">
        <v>4</v>
      </c>
      <c r="U1769">
        <v>0.7</v>
      </c>
      <c r="V1769">
        <v>-5.8604000000000003</v>
      </c>
      <c r="W1769">
        <f t="shared" si="111"/>
        <v>3.3761000000000001</v>
      </c>
      <c r="X1769">
        <v>3</v>
      </c>
    </row>
    <row r="1770" spans="1:24" x14ac:dyDescent="0.3">
      <c r="A1770">
        <v>1769</v>
      </c>
      <c r="B1770" t="s">
        <v>3520</v>
      </c>
      <c r="C1770" s="6">
        <v>45965</v>
      </c>
      <c r="D1770" t="str">
        <f t="shared" si="108"/>
        <v>Nov</v>
      </c>
      <c r="E1770" t="str">
        <f t="shared" si="109"/>
        <v>2025</v>
      </c>
      <c r="F1770" t="s">
        <v>4</v>
      </c>
      <c r="G1770" t="s">
        <v>537</v>
      </c>
      <c r="H1770" t="s">
        <v>688</v>
      </c>
      <c r="I1770">
        <v>140</v>
      </c>
      <c r="J1770">
        <v>6</v>
      </c>
      <c r="K1770">
        <f t="shared" si="110"/>
        <v>4.2857142857142856</v>
      </c>
      <c r="L1770" t="s">
        <v>1739</v>
      </c>
      <c r="M1770" t="s">
        <v>3697</v>
      </c>
      <c r="N1770" t="s">
        <v>1</v>
      </c>
      <c r="O1770">
        <v>590016</v>
      </c>
      <c r="P1770" t="s">
        <v>546</v>
      </c>
      <c r="Q1770" t="s">
        <v>1767</v>
      </c>
      <c r="S1770">
        <v>51.465000000000003</v>
      </c>
      <c r="T1770">
        <v>5</v>
      </c>
      <c r="U1770">
        <v>0.7</v>
      </c>
      <c r="V1770">
        <v>-39.456499999999998</v>
      </c>
      <c r="W1770">
        <f t="shared" si="111"/>
        <v>18.1843</v>
      </c>
      <c r="X1770">
        <v>5</v>
      </c>
    </row>
    <row r="1771" spans="1:24" x14ac:dyDescent="0.3">
      <c r="A1771">
        <v>1770</v>
      </c>
      <c r="B1771" t="s">
        <v>3521</v>
      </c>
      <c r="C1771" s="6">
        <v>45966</v>
      </c>
      <c r="D1771" t="str">
        <f t="shared" si="108"/>
        <v>Nov</v>
      </c>
      <c r="E1771" t="str">
        <f t="shared" si="109"/>
        <v>2025</v>
      </c>
      <c r="F1771" t="s">
        <v>4</v>
      </c>
      <c r="G1771" t="s">
        <v>41</v>
      </c>
      <c r="H1771" t="s">
        <v>1029</v>
      </c>
      <c r="I1771">
        <v>170</v>
      </c>
      <c r="J1771">
        <v>20</v>
      </c>
      <c r="K1771">
        <f t="shared" si="110"/>
        <v>11.76470588235294</v>
      </c>
      <c r="L1771" t="s">
        <v>1738</v>
      </c>
      <c r="M1771" t="s">
        <v>3801</v>
      </c>
      <c r="N1771" t="s">
        <v>1</v>
      </c>
      <c r="O1771">
        <v>700028</v>
      </c>
      <c r="P1771" t="s">
        <v>546</v>
      </c>
      <c r="Q1771" t="s">
        <v>1761</v>
      </c>
      <c r="S1771">
        <v>6.976</v>
      </c>
      <c r="T1771">
        <v>4</v>
      </c>
      <c r="U1771">
        <v>0.2</v>
      </c>
      <c r="V1771">
        <v>-1.3952</v>
      </c>
      <c r="W1771">
        <f t="shared" si="111"/>
        <v>2.0928</v>
      </c>
      <c r="X1771">
        <v>3</v>
      </c>
    </row>
    <row r="1772" spans="1:24" x14ac:dyDescent="0.3">
      <c r="A1772">
        <v>1771</v>
      </c>
      <c r="B1772" t="s">
        <v>3522</v>
      </c>
      <c r="C1772" s="6">
        <v>45967</v>
      </c>
      <c r="D1772" t="str">
        <f t="shared" si="108"/>
        <v>Nov</v>
      </c>
      <c r="E1772" t="str">
        <f t="shared" si="109"/>
        <v>2025</v>
      </c>
      <c r="F1772" t="s">
        <v>4</v>
      </c>
      <c r="G1772" t="s">
        <v>41</v>
      </c>
      <c r="H1772" t="s">
        <v>591</v>
      </c>
      <c r="I1772">
        <v>180</v>
      </c>
      <c r="J1772">
        <v>28</v>
      </c>
      <c r="K1772">
        <f t="shared" si="110"/>
        <v>15.555555555555555</v>
      </c>
      <c r="L1772" t="s">
        <v>1737</v>
      </c>
      <c r="M1772" t="s">
        <v>3787</v>
      </c>
      <c r="N1772" t="s">
        <v>1</v>
      </c>
      <c r="O1772">
        <v>700028</v>
      </c>
      <c r="P1772" t="s">
        <v>546</v>
      </c>
      <c r="Q1772" t="s">
        <v>1763</v>
      </c>
      <c r="R1772" t="s">
        <v>2</v>
      </c>
      <c r="S1772">
        <v>12.222</v>
      </c>
      <c r="T1772">
        <v>7</v>
      </c>
      <c r="U1772">
        <v>0.8</v>
      </c>
      <c r="V1772">
        <v>-20.1663</v>
      </c>
      <c r="W1772">
        <f t="shared" si="111"/>
        <v>4.6269</v>
      </c>
      <c r="X1772">
        <v>1</v>
      </c>
    </row>
    <row r="1773" spans="1:24" x14ac:dyDescent="0.3">
      <c r="A1773">
        <v>1772</v>
      </c>
      <c r="B1773" t="s">
        <v>3523</v>
      </c>
      <c r="C1773" s="6">
        <v>45968</v>
      </c>
      <c r="D1773" t="str">
        <f t="shared" si="108"/>
        <v>Nov</v>
      </c>
      <c r="E1773" t="str">
        <f t="shared" si="109"/>
        <v>2025</v>
      </c>
      <c r="F1773" t="s">
        <v>3</v>
      </c>
      <c r="G1773" t="s">
        <v>62</v>
      </c>
      <c r="H1773" t="s">
        <v>1401</v>
      </c>
      <c r="I1773">
        <v>120</v>
      </c>
      <c r="J1773">
        <v>10</v>
      </c>
      <c r="K1773">
        <f t="shared" si="110"/>
        <v>8.3333333333333321</v>
      </c>
      <c r="L1773" t="s">
        <v>1743</v>
      </c>
      <c r="M1773" t="s">
        <v>3736</v>
      </c>
      <c r="N1773" t="s">
        <v>1</v>
      </c>
      <c r="O1773">
        <v>401107</v>
      </c>
      <c r="P1773" t="s">
        <v>546</v>
      </c>
      <c r="Q1773" t="s">
        <v>1768</v>
      </c>
      <c r="S1773">
        <v>97.983999999999995</v>
      </c>
      <c r="T1773">
        <v>2</v>
      </c>
      <c r="U1773">
        <v>0.2</v>
      </c>
      <c r="V1773">
        <v>-24.495999999999999</v>
      </c>
      <c r="W1773">
        <f t="shared" si="111"/>
        <v>61.239999999999995</v>
      </c>
      <c r="X1773">
        <v>5</v>
      </c>
    </row>
    <row r="1774" spans="1:24" x14ac:dyDescent="0.3">
      <c r="A1774">
        <v>1773</v>
      </c>
      <c r="B1774" t="s">
        <v>3524</v>
      </c>
      <c r="C1774" s="6">
        <v>45969</v>
      </c>
      <c r="D1774" t="str">
        <f t="shared" si="108"/>
        <v>Nov</v>
      </c>
      <c r="E1774" t="str">
        <f t="shared" si="109"/>
        <v>2025</v>
      </c>
      <c r="F1774" t="s">
        <v>3</v>
      </c>
      <c r="G1774" t="s">
        <v>62</v>
      </c>
      <c r="H1774" t="s">
        <v>744</v>
      </c>
      <c r="I1774">
        <v>220</v>
      </c>
      <c r="J1774">
        <v>6</v>
      </c>
      <c r="K1774">
        <f t="shared" si="110"/>
        <v>2.7272727272727271</v>
      </c>
      <c r="L1774" t="s">
        <v>1738</v>
      </c>
      <c r="M1774" t="s">
        <v>3804</v>
      </c>
      <c r="N1774" t="s">
        <v>1</v>
      </c>
      <c r="O1774">
        <v>532001</v>
      </c>
      <c r="P1774" t="s">
        <v>546</v>
      </c>
      <c r="Q1774" t="s">
        <v>1767</v>
      </c>
      <c r="S1774">
        <v>62.4</v>
      </c>
      <c r="T1774">
        <v>6</v>
      </c>
      <c r="U1774">
        <v>0.2</v>
      </c>
      <c r="V1774">
        <v>19.5</v>
      </c>
      <c r="W1774">
        <f t="shared" si="111"/>
        <v>7.1499999999999995</v>
      </c>
      <c r="X1774">
        <v>3</v>
      </c>
    </row>
    <row r="1775" spans="1:24" x14ac:dyDescent="0.3">
      <c r="A1775">
        <v>1774</v>
      </c>
      <c r="B1775" t="s">
        <v>3525</v>
      </c>
      <c r="C1775" s="6">
        <v>45970</v>
      </c>
      <c r="D1775" t="str">
        <f t="shared" si="108"/>
        <v>Nov</v>
      </c>
      <c r="E1775" t="str">
        <f t="shared" si="109"/>
        <v>2025</v>
      </c>
      <c r="F1775" t="s">
        <v>4</v>
      </c>
      <c r="G1775" t="s">
        <v>508</v>
      </c>
      <c r="H1775" t="s">
        <v>1671</v>
      </c>
      <c r="I1775">
        <v>220</v>
      </c>
      <c r="J1775">
        <v>8</v>
      </c>
      <c r="K1775">
        <f t="shared" si="110"/>
        <v>3.6363636363636362</v>
      </c>
      <c r="L1775" t="s">
        <v>1739</v>
      </c>
      <c r="M1775" t="s">
        <v>3588</v>
      </c>
      <c r="N1775" t="s">
        <v>1</v>
      </c>
      <c r="O1775">
        <v>400614</v>
      </c>
      <c r="P1775" t="s">
        <v>546</v>
      </c>
      <c r="Q1775" t="s">
        <v>1768</v>
      </c>
      <c r="S1775">
        <v>20.86</v>
      </c>
      <c r="T1775">
        <v>2</v>
      </c>
      <c r="U1775">
        <v>0.1</v>
      </c>
      <c r="V1775">
        <v>9.3870000000000005</v>
      </c>
      <c r="W1775">
        <f t="shared" si="111"/>
        <v>5.7364999999999995</v>
      </c>
      <c r="X1775">
        <v>4</v>
      </c>
    </row>
    <row r="1776" spans="1:24" x14ac:dyDescent="0.3">
      <c r="A1776">
        <v>1775</v>
      </c>
      <c r="B1776" t="s">
        <v>3526</v>
      </c>
      <c r="C1776" s="6">
        <v>45971</v>
      </c>
      <c r="D1776" t="str">
        <f t="shared" si="108"/>
        <v>Nov</v>
      </c>
      <c r="E1776" t="str">
        <f t="shared" si="109"/>
        <v>2025</v>
      </c>
      <c r="F1776" t="s">
        <v>4</v>
      </c>
      <c r="G1776" t="s">
        <v>508</v>
      </c>
      <c r="H1776" t="s">
        <v>1672</v>
      </c>
      <c r="I1776">
        <v>230</v>
      </c>
      <c r="J1776">
        <v>6</v>
      </c>
      <c r="K1776">
        <f t="shared" si="110"/>
        <v>2.6086956521739131</v>
      </c>
      <c r="L1776" t="s">
        <v>1741</v>
      </c>
      <c r="M1776" t="s">
        <v>3789</v>
      </c>
      <c r="N1776" t="s">
        <v>1</v>
      </c>
      <c r="O1776">
        <v>641025</v>
      </c>
      <c r="P1776" t="s">
        <v>546</v>
      </c>
      <c r="Q1776" t="s">
        <v>1761</v>
      </c>
      <c r="S1776">
        <v>497.61</v>
      </c>
      <c r="T1776">
        <v>9</v>
      </c>
      <c r="U1776">
        <v>0.1</v>
      </c>
      <c r="V1776">
        <v>129.37860000000001</v>
      </c>
      <c r="W1776">
        <f t="shared" si="111"/>
        <v>40.9146</v>
      </c>
      <c r="X1776">
        <v>2</v>
      </c>
    </row>
    <row r="1777" spans="1:24" x14ac:dyDescent="0.3">
      <c r="A1777">
        <v>1776</v>
      </c>
      <c r="B1777" t="s">
        <v>3527</v>
      </c>
      <c r="C1777" s="6">
        <v>45972</v>
      </c>
      <c r="D1777" t="str">
        <f t="shared" si="108"/>
        <v>Nov</v>
      </c>
      <c r="E1777" t="str">
        <f t="shared" si="109"/>
        <v>2025</v>
      </c>
      <c r="F1777" t="s">
        <v>4</v>
      </c>
      <c r="G1777" t="s">
        <v>508</v>
      </c>
      <c r="H1777" t="s">
        <v>1673</v>
      </c>
      <c r="I1777">
        <v>170</v>
      </c>
      <c r="J1777">
        <v>6</v>
      </c>
      <c r="K1777">
        <f t="shared" si="110"/>
        <v>3.5294117647058822</v>
      </c>
      <c r="L1777" t="s">
        <v>1736</v>
      </c>
      <c r="M1777" t="s">
        <v>3790</v>
      </c>
      <c r="N1777" t="s">
        <v>1</v>
      </c>
      <c r="O1777">
        <v>570017</v>
      </c>
      <c r="P1777" t="s">
        <v>546</v>
      </c>
      <c r="Q1777" t="s">
        <v>1761</v>
      </c>
      <c r="S1777">
        <v>5.34</v>
      </c>
      <c r="T1777">
        <v>2</v>
      </c>
      <c r="U1777">
        <v>0.1</v>
      </c>
      <c r="V1777">
        <v>1.4952000000000001</v>
      </c>
      <c r="W1777">
        <f t="shared" si="111"/>
        <v>1.9223999999999999</v>
      </c>
      <c r="X1777">
        <v>1</v>
      </c>
    </row>
    <row r="1778" spans="1:24" x14ac:dyDescent="0.3">
      <c r="A1778">
        <v>1777</v>
      </c>
      <c r="B1778" t="s">
        <v>3528</v>
      </c>
      <c r="C1778" s="6">
        <v>45973</v>
      </c>
      <c r="D1778" t="str">
        <f t="shared" si="108"/>
        <v>Nov</v>
      </c>
      <c r="E1778" t="str">
        <f t="shared" si="109"/>
        <v>2025</v>
      </c>
      <c r="F1778" t="s">
        <v>4</v>
      </c>
      <c r="G1778" t="s">
        <v>508</v>
      </c>
      <c r="H1778" t="s">
        <v>1363</v>
      </c>
      <c r="I1778">
        <v>210</v>
      </c>
      <c r="J1778">
        <v>30</v>
      </c>
      <c r="K1778">
        <f t="shared" si="110"/>
        <v>14.285714285714285</v>
      </c>
      <c r="L1778" t="s">
        <v>1744</v>
      </c>
      <c r="M1778" t="s">
        <v>3798</v>
      </c>
      <c r="N1778" t="s">
        <v>1</v>
      </c>
      <c r="O1778">
        <v>570017</v>
      </c>
      <c r="P1778" t="s">
        <v>546</v>
      </c>
      <c r="Q1778" t="s">
        <v>1763</v>
      </c>
      <c r="R1778" t="s">
        <v>2</v>
      </c>
      <c r="S1778">
        <v>3.15</v>
      </c>
      <c r="T1778">
        <v>1</v>
      </c>
      <c r="U1778">
        <v>0.1</v>
      </c>
      <c r="V1778">
        <v>1.512</v>
      </c>
      <c r="W1778">
        <f t="shared" si="111"/>
        <v>1.6379999999999999</v>
      </c>
      <c r="X1778">
        <v>4</v>
      </c>
    </row>
    <row r="1779" spans="1:24" x14ac:dyDescent="0.3">
      <c r="A1779">
        <v>1778</v>
      </c>
      <c r="B1779" t="s">
        <v>3529</v>
      </c>
      <c r="C1779" s="6">
        <v>45974</v>
      </c>
      <c r="D1779" t="str">
        <f t="shared" si="108"/>
        <v>Nov</v>
      </c>
      <c r="E1779" t="str">
        <f t="shared" si="109"/>
        <v>2025</v>
      </c>
      <c r="F1779" t="s">
        <v>4</v>
      </c>
      <c r="G1779" t="s">
        <v>31</v>
      </c>
      <c r="H1779" t="s">
        <v>1674</v>
      </c>
      <c r="I1779">
        <v>170</v>
      </c>
      <c r="J1779">
        <v>10</v>
      </c>
      <c r="K1779">
        <f t="shared" si="110"/>
        <v>5.8823529411764701</v>
      </c>
      <c r="L1779" t="s">
        <v>1740</v>
      </c>
      <c r="M1779" t="s">
        <v>3834</v>
      </c>
      <c r="N1779" t="s">
        <v>1</v>
      </c>
      <c r="O1779">
        <v>411001</v>
      </c>
      <c r="P1779" t="s">
        <v>546</v>
      </c>
      <c r="Q1779" t="s">
        <v>1759</v>
      </c>
      <c r="R1779" t="s">
        <v>2</v>
      </c>
      <c r="S1779">
        <v>368.91</v>
      </c>
      <c r="T1779">
        <v>9</v>
      </c>
      <c r="U1779">
        <v>0.1</v>
      </c>
      <c r="V1779">
        <v>180.76589999999999</v>
      </c>
      <c r="W1779">
        <f t="shared" si="111"/>
        <v>20.904900000000005</v>
      </c>
      <c r="X1779">
        <v>3</v>
      </c>
    </row>
    <row r="1780" spans="1:24" x14ac:dyDescent="0.3">
      <c r="A1780">
        <v>1779</v>
      </c>
      <c r="B1780" t="s">
        <v>3530</v>
      </c>
      <c r="C1780" s="6">
        <v>45975</v>
      </c>
      <c r="D1780" t="str">
        <f t="shared" si="108"/>
        <v>Nov</v>
      </c>
      <c r="E1780" t="str">
        <f t="shared" si="109"/>
        <v>2025</v>
      </c>
      <c r="F1780" t="s">
        <v>4</v>
      </c>
      <c r="G1780" t="s">
        <v>31</v>
      </c>
      <c r="H1780" t="s">
        <v>972</v>
      </c>
      <c r="I1780">
        <v>240</v>
      </c>
      <c r="J1780">
        <v>14</v>
      </c>
      <c r="K1780">
        <f t="shared" si="110"/>
        <v>5.833333333333333</v>
      </c>
      <c r="L1780" t="s">
        <v>1742</v>
      </c>
      <c r="M1780" t="s">
        <v>3776</v>
      </c>
      <c r="N1780" t="s">
        <v>1</v>
      </c>
      <c r="O1780">
        <v>411001</v>
      </c>
      <c r="P1780" t="s">
        <v>546</v>
      </c>
      <c r="Q1780" t="s">
        <v>1769</v>
      </c>
      <c r="R1780" t="s">
        <v>2</v>
      </c>
      <c r="S1780">
        <v>14.7</v>
      </c>
      <c r="T1780">
        <v>5</v>
      </c>
      <c r="U1780">
        <v>0.1</v>
      </c>
      <c r="V1780">
        <v>6.6150000000000002</v>
      </c>
      <c r="W1780">
        <f t="shared" si="111"/>
        <v>1.6169999999999998</v>
      </c>
      <c r="X1780">
        <v>3</v>
      </c>
    </row>
    <row r="1781" spans="1:24" x14ac:dyDescent="0.3">
      <c r="A1781">
        <v>1780</v>
      </c>
      <c r="B1781" t="s">
        <v>3531</v>
      </c>
      <c r="C1781" s="6">
        <v>45976</v>
      </c>
      <c r="D1781" t="str">
        <f t="shared" si="108"/>
        <v>Nov</v>
      </c>
      <c r="E1781" t="str">
        <f t="shared" si="109"/>
        <v>2025</v>
      </c>
      <c r="F1781" t="s">
        <v>4</v>
      </c>
      <c r="G1781" t="s">
        <v>427</v>
      </c>
      <c r="H1781" t="s">
        <v>1355</v>
      </c>
      <c r="I1781">
        <v>150</v>
      </c>
      <c r="J1781">
        <v>20</v>
      </c>
      <c r="K1781">
        <f t="shared" si="110"/>
        <v>13.333333333333334</v>
      </c>
      <c r="L1781" t="s">
        <v>1739</v>
      </c>
      <c r="M1781" t="s">
        <v>3785</v>
      </c>
      <c r="N1781" t="s">
        <v>1</v>
      </c>
      <c r="O1781">
        <v>560015</v>
      </c>
      <c r="P1781" t="s">
        <v>546</v>
      </c>
      <c r="Q1781" t="s">
        <v>1770</v>
      </c>
      <c r="S1781">
        <v>59.97</v>
      </c>
      <c r="T1781">
        <v>3</v>
      </c>
      <c r="U1781">
        <v>0.1</v>
      </c>
      <c r="V1781">
        <v>14.9925</v>
      </c>
      <c r="W1781">
        <f t="shared" si="111"/>
        <v>14.9925</v>
      </c>
      <c r="X1781">
        <v>2</v>
      </c>
    </row>
    <row r="1782" spans="1:24" x14ac:dyDescent="0.3">
      <c r="A1782">
        <v>1781</v>
      </c>
      <c r="B1782" t="s">
        <v>3532</v>
      </c>
      <c r="C1782" s="6">
        <v>45977</v>
      </c>
      <c r="D1782" t="str">
        <f t="shared" si="108"/>
        <v>Nov</v>
      </c>
      <c r="E1782" t="str">
        <f t="shared" si="109"/>
        <v>2025</v>
      </c>
      <c r="F1782" t="s">
        <v>4</v>
      </c>
      <c r="G1782" t="s">
        <v>427</v>
      </c>
      <c r="H1782" t="s">
        <v>772</v>
      </c>
      <c r="I1782">
        <v>250</v>
      </c>
      <c r="J1782">
        <v>26</v>
      </c>
      <c r="K1782">
        <f t="shared" si="110"/>
        <v>10.4</v>
      </c>
      <c r="L1782" t="s">
        <v>1738</v>
      </c>
      <c r="M1782" t="s">
        <v>3788</v>
      </c>
      <c r="N1782" t="s">
        <v>1</v>
      </c>
      <c r="O1782">
        <v>632014</v>
      </c>
      <c r="P1782" t="s">
        <v>546</v>
      </c>
      <c r="Q1782" t="s">
        <v>1768</v>
      </c>
      <c r="R1782" t="s">
        <v>2</v>
      </c>
      <c r="S1782">
        <v>83.36</v>
      </c>
      <c r="T1782">
        <v>1</v>
      </c>
      <c r="U1782">
        <v>0.1</v>
      </c>
      <c r="V1782">
        <v>20.84</v>
      </c>
      <c r="W1782">
        <f t="shared" si="111"/>
        <v>62.519999999999996</v>
      </c>
      <c r="X1782">
        <v>3</v>
      </c>
    </row>
    <row r="1783" spans="1:24" x14ac:dyDescent="0.3">
      <c r="A1783">
        <v>1782</v>
      </c>
      <c r="B1783" t="s">
        <v>3533</v>
      </c>
      <c r="C1783" s="6">
        <v>45978</v>
      </c>
      <c r="D1783" t="str">
        <f t="shared" si="108"/>
        <v>Nov</v>
      </c>
      <c r="E1783" t="str">
        <f t="shared" si="109"/>
        <v>2025</v>
      </c>
      <c r="F1783" t="s">
        <v>4</v>
      </c>
      <c r="G1783" t="s">
        <v>125</v>
      </c>
      <c r="H1783" t="s">
        <v>1675</v>
      </c>
      <c r="I1783">
        <v>150</v>
      </c>
      <c r="J1783">
        <v>18</v>
      </c>
      <c r="K1783">
        <f t="shared" si="110"/>
        <v>12</v>
      </c>
      <c r="L1783" t="s">
        <v>1737</v>
      </c>
      <c r="M1783" t="s">
        <v>3768</v>
      </c>
      <c r="N1783" t="s">
        <v>1</v>
      </c>
      <c r="O1783">
        <v>744101</v>
      </c>
      <c r="P1783" t="s">
        <v>546</v>
      </c>
      <c r="Q1783" t="s">
        <v>1772</v>
      </c>
      <c r="S1783">
        <v>6.58</v>
      </c>
      <c r="T1783">
        <v>2</v>
      </c>
      <c r="U1783">
        <v>0.1</v>
      </c>
      <c r="V1783">
        <v>3.0268000000000002</v>
      </c>
      <c r="W1783">
        <f t="shared" si="111"/>
        <v>1.7766</v>
      </c>
      <c r="X1783">
        <v>5</v>
      </c>
    </row>
    <row r="1784" spans="1:24" x14ac:dyDescent="0.3">
      <c r="A1784">
        <v>1783</v>
      </c>
      <c r="B1784" t="s">
        <v>3534</v>
      </c>
      <c r="C1784" s="6">
        <v>45979</v>
      </c>
      <c r="D1784" t="str">
        <f t="shared" si="108"/>
        <v>Nov</v>
      </c>
      <c r="E1784" t="str">
        <f t="shared" si="109"/>
        <v>2025</v>
      </c>
      <c r="F1784" t="s">
        <v>4</v>
      </c>
      <c r="G1784" t="s">
        <v>125</v>
      </c>
      <c r="H1784" t="s">
        <v>1347</v>
      </c>
      <c r="I1784">
        <v>160</v>
      </c>
      <c r="J1784">
        <v>10</v>
      </c>
      <c r="K1784">
        <f t="shared" si="110"/>
        <v>6.25</v>
      </c>
      <c r="L1784" t="s">
        <v>1743</v>
      </c>
      <c r="M1784" t="s">
        <v>3769</v>
      </c>
      <c r="N1784" t="s">
        <v>1</v>
      </c>
      <c r="O1784">
        <v>712104</v>
      </c>
      <c r="P1784" t="s">
        <v>546</v>
      </c>
      <c r="Q1784" t="s">
        <v>1758</v>
      </c>
      <c r="R1784" t="s">
        <v>2</v>
      </c>
      <c r="S1784">
        <v>122.94</v>
      </c>
      <c r="T1784">
        <v>3</v>
      </c>
      <c r="U1784">
        <v>0.1</v>
      </c>
      <c r="V1784">
        <v>59.011200000000002</v>
      </c>
      <c r="W1784">
        <f t="shared" si="111"/>
        <v>21.3096</v>
      </c>
      <c r="X1784">
        <v>5</v>
      </c>
    </row>
    <row r="1785" spans="1:24" x14ac:dyDescent="0.3">
      <c r="A1785">
        <v>1784</v>
      </c>
      <c r="B1785" t="s">
        <v>3535</v>
      </c>
      <c r="C1785" s="6">
        <v>45980</v>
      </c>
      <c r="D1785" t="str">
        <f t="shared" si="108"/>
        <v>Nov</v>
      </c>
      <c r="E1785" t="str">
        <f t="shared" si="109"/>
        <v>2025</v>
      </c>
      <c r="F1785" t="s">
        <v>4</v>
      </c>
      <c r="G1785" t="s">
        <v>538</v>
      </c>
      <c r="H1785" t="s">
        <v>1629</v>
      </c>
      <c r="I1785">
        <v>210</v>
      </c>
      <c r="J1785">
        <v>8</v>
      </c>
      <c r="K1785">
        <f t="shared" si="110"/>
        <v>3.8095238095238098</v>
      </c>
      <c r="L1785" t="s">
        <v>1738</v>
      </c>
      <c r="M1785" t="s">
        <v>3770</v>
      </c>
      <c r="N1785" t="s">
        <v>1</v>
      </c>
      <c r="O1785">
        <v>630709</v>
      </c>
      <c r="P1785" t="s">
        <v>546</v>
      </c>
      <c r="Q1785" t="s">
        <v>1772</v>
      </c>
      <c r="S1785">
        <v>219.84</v>
      </c>
      <c r="T1785">
        <v>4</v>
      </c>
      <c r="U1785">
        <v>0.1</v>
      </c>
      <c r="V1785">
        <v>107.7216</v>
      </c>
      <c r="W1785">
        <f t="shared" si="111"/>
        <v>28.029600000000002</v>
      </c>
      <c r="X1785">
        <v>3</v>
      </c>
    </row>
    <row r="1786" spans="1:24" x14ac:dyDescent="0.3">
      <c r="A1786">
        <v>1785</v>
      </c>
      <c r="B1786" t="s">
        <v>3536</v>
      </c>
      <c r="C1786" s="6">
        <v>45981</v>
      </c>
      <c r="D1786" t="str">
        <f t="shared" si="108"/>
        <v>Nov</v>
      </c>
      <c r="E1786" t="str">
        <f t="shared" si="109"/>
        <v>2025</v>
      </c>
      <c r="F1786" t="s">
        <v>4</v>
      </c>
      <c r="G1786" t="s">
        <v>538</v>
      </c>
      <c r="H1786" t="s">
        <v>1507</v>
      </c>
      <c r="I1786">
        <v>240</v>
      </c>
      <c r="J1786">
        <v>22</v>
      </c>
      <c r="K1786">
        <f t="shared" si="110"/>
        <v>9.1666666666666661</v>
      </c>
      <c r="L1786" t="s">
        <v>1739</v>
      </c>
      <c r="M1786" t="s">
        <v>3771</v>
      </c>
      <c r="N1786" t="s">
        <v>1</v>
      </c>
      <c r="O1786">
        <v>700114</v>
      </c>
      <c r="P1786" t="s">
        <v>546</v>
      </c>
      <c r="Q1786" t="s">
        <v>1766</v>
      </c>
      <c r="S1786">
        <v>98.16</v>
      </c>
      <c r="T1786">
        <v>6</v>
      </c>
      <c r="U1786">
        <v>0.1</v>
      </c>
      <c r="V1786">
        <v>9.8160000000000007</v>
      </c>
      <c r="W1786">
        <f t="shared" si="111"/>
        <v>14.723999999999998</v>
      </c>
      <c r="X1786">
        <v>2</v>
      </c>
    </row>
    <row r="1787" spans="1:24" x14ac:dyDescent="0.3">
      <c r="A1787">
        <v>1786</v>
      </c>
      <c r="B1787" t="s">
        <v>3537</v>
      </c>
      <c r="C1787" s="6">
        <v>45982</v>
      </c>
      <c r="D1787" t="str">
        <f t="shared" si="108"/>
        <v>Nov</v>
      </c>
      <c r="E1787" t="str">
        <f t="shared" si="109"/>
        <v>2025</v>
      </c>
      <c r="F1787" t="s">
        <v>4</v>
      </c>
      <c r="G1787" t="s">
        <v>538</v>
      </c>
      <c r="H1787" t="s">
        <v>1410</v>
      </c>
      <c r="I1787">
        <v>160</v>
      </c>
      <c r="J1787">
        <v>28</v>
      </c>
      <c r="K1787">
        <f t="shared" si="110"/>
        <v>17.5</v>
      </c>
      <c r="L1787" t="s">
        <v>1741</v>
      </c>
      <c r="M1787" t="s">
        <v>3796</v>
      </c>
      <c r="N1787" t="s">
        <v>1</v>
      </c>
      <c r="O1787">
        <v>560092</v>
      </c>
      <c r="P1787" t="s">
        <v>546</v>
      </c>
      <c r="Q1787" t="s">
        <v>1758</v>
      </c>
      <c r="R1787" t="s">
        <v>2</v>
      </c>
      <c r="S1787">
        <v>33.04</v>
      </c>
      <c r="T1787">
        <v>8</v>
      </c>
      <c r="U1787">
        <v>0.1</v>
      </c>
      <c r="V1787">
        <v>15.5288</v>
      </c>
      <c r="W1787">
        <f t="shared" si="111"/>
        <v>2.1888999999999998</v>
      </c>
      <c r="X1787">
        <v>2</v>
      </c>
    </row>
    <row r="1788" spans="1:24" x14ac:dyDescent="0.3">
      <c r="A1788">
        <v>1787</v>
      </c>
      <c r="B1788" t="s">
        <v>3538</v>
      </c>
      <c r="C1788" s="6">
        <v>45983</v>
      </c>
      <c r="D1788" t="str">
        <f t="shared" si="108"/>
        <v>Nov</v>
      </c>
      <c r="E1788" t="str">
        <f t="shared" si="109"/>
        <v>2025</v>
      </c>
      <c r="F1788" t="s">
        <v>4</v>
      </c>
      <c r="G1788" t="s">
        <v>538</v>
      </c>
      <c r="H1788" t="s">
        <v>1676</v>
      </c>
      <c r="I1788">
        <v>120</v>
      </c>
      <c r="J1788">
        <v>28</v>
      </c>
      <c r="K1788">
        <f t="shared" si="110"/>
        <v>23.333333333333332</v>
      </c>
      <c r="L1788" t="s">
        <v>1736</v>
      </c>
      <c r="M1788" t="s">
        <v>3773</v>
      </c>
      <c r="N1788" t="s">
        <v>1</v>
      </c>
      <c r="O1788">
        <v>243601</v>
      </c>
      <c r="P1788" t="s">
        <v>546</v>
      </c>
      <c r="Q1788" t="s">
        <v>1767</v>
      </c>
      <c r="S1788">
        <v>86.97</v>
      </c>
      <c r="T1788">
        <v>3</v>
      </c>
      <c r="U1788">
        <v>0.1</v>
      </c>
      <c r="V1788">
        <v>25.221299999999999</v>
      </c>
      <c r="W1788">
        <f t="shared" si="111"/>
        <v>20.582899999999999</v>
      </c>
      <c r="X1788">
        <v>1</v>
      </c>
    </row>
    <row r="1789" spans="1:24" x14ac:dyDescent="0.3">
      <c r="A1789">
        <v>1788</v>
      </c>
      <c r="B1789" t="s">
        <v>3539</v>
      </c>
      <c r="C1789" s="6">
        <v>45984</v>
      </c>
      <c r="D1789" t="str">
        <f t="shared" si="108"/>
        <v>Nov</v>
      </c>
      <c r="E1789" t="str">
        <f t="shared" si="109"/>
        <v>2025</v>
      </c>
      <c r="F1789" t="s">
        <v>4</v>
      </c>
      <c r="G1789" t="s">
        <v>539</v>
      </c>
      <c r="H1789" t="s">
        <v>1364</v>
      </c>
      <c r="I1789">
        <v>170</v>
      </c>
      <c r="J1789">
        <v>24</v>
      </c>
      <c r="K1789">
        <f t="shared" si="110"/>
        <v>14.117647058823529</v>
      </c>
      <c r="L1789" t="s">
        <v>1744</v>
      </c>
      <c r="M1789" t="s">
        <v>3774</v>
      </c>
      <c r="N1789" t="s">
        <v>1</v>
      </c>
      <c r="O1789">
        <v>680555</v>
      </c>
      <c r="P1789" t="s">
        <v>546</v>
      </c>
      <c r="Q1789" t="s">
        <v>1776</v>
      </c>
      <c r="R1789" t="s">
        <v>2</v>
      </c>
      <c r="S1789">
        <v>134.97</v>
      </c>
      <c r="T1789">
        <v>3</v>
      </c>
      <c r="U1789">
        <v>0.1</v>
      </c>
      <c r="V1789">
        <v>64.785600000000002</v>
      </c>
      <c r="W1789">
        <f t="shared" si="111"/>
        <v>23.3948</v>
      </c>
      <c r="X1789">
        <v>5</v>
      </c>
    </row>
    <row r="1790" spans="1:24" x14ac:dyDescent="0.3">
      <c r="A1790">
        <v>1789</v>
      </c>
      <c r="B1790" t="s">
        <v>3540</v>
      </c>
      <c r="C1790" s="6">
        <v>45985</v>
      </c>
      <c r="D1790" t="str">
        <f t="shared" si="108"/>
        <v>Nov</v>
      </c>
      <c r="E1790" t="str">
        <f t="shared" si="109"/>
        <v>2025</v>
      </c>
      <c r="F1790" t="s">
        <v>4</v>
      </c>
      <c r="G1790" t="s">
        <v>539</v>
      </c>
      <c r="H1790" t="s">
        <v>1301</v>
      </c>
      <c r="I1790">
        <v>190</v>
      </c>
      <c r="J1790">
        <v>22</v>
      </c>
      <c r="K1790">
        <f t="shared" si="110"/>
        <v>11.578947368421053</v>
      </c>
      <c r="L1790" t="s">
        <v>1740</v>
      </c>
      <c r="M1790" t="s">
        <v>3775</v>
      </c>
      <c r="N1790" t="s">
        <v>1</v>
      </c>
      <c r="O1790">
        <v>695003</v>
      </c>
      <c r="P1790" t="s">
        <v>546</v>
      </c>
      <c r="Q1790" t="s">
        <v>1755</v>
      </c>
      <c r="S1790">
        <v>699.98</v>
      </c>
      <c r="T1790">
        <v>2</v>
      </c>
      <c r="U1790">
        <v>0.1</v>
      </c>
      <c r="V1790">
        <v>195.99440000000001</v>
      </c>
      <c r="W1790">
        <f t="shared" si="111"/>
        <v>251.99279999999999</v>
      </c>
      <c r="X1790">
        <v>4</v>
      </c>
    </row>
    <row r="1791" spans="1:24" x14ac:dyDescent="0.3">
      <c r="A1791">
        <v>1790</v>
      </c>
      <c r="B1791" t="s">
        <v>3541</v>
      </c>
      <c r="C1791" s="6">
        <v>45986</v>
      </c>
      <c r="D1791" t="str">
        <f t="shared" si="108"/>
        <v>Nov</v>
      </c>
      <c r="E1791" t="str">
        <f t="shared" si="109"/>
        <v>2025</v>
      </c>
      <c r="F1791" t="s">
        <v>4</v>
      </c>
      <c r="G1791" t="s">
        <v>539</v>
      </c>
      <c r="H1791" t="s">
        <v>1677</v>
      </c>
      <c r="I1791">
        <v>220</v>
      </c>
      <c r="J1791">
        <v>16</v>
      </c>
      <c r="K1791">
        <f t="shared" si="110"/>
        <v>7.2727272727272725</v>
      </c>
      <c r="L1791" t="s">
        <v>1742</v>
      </c>
      <c r="M1791" t="s">
        <v>3765</v>
      </c>
      <c r="N1791" t="s">
        <v>1</v>
      </c>
      <c r="O1791">
        <v>500038</v>
      </c>
      <c r="P1791" t="s">
        <v>546</v>
      </c>
      <c r="Q1791" t="s">
        <v>1773</v>
      </c>
      <c r="R1791" t="s">
        <v>2</v>
      </c>
      <c r="S1791">
        <v>139.94999999999999</v>
      </c>
      <c r="T1791">
        <v>5</v>
      </c>
      <c r="U1791">
        <v>0.1</v>
      </c>
      <c r="V1791">
        <v>26.590499999999999</v>
      </c>
      <c r="W1791">
        <f t="shared" si="111"/>
        <v>22.671900000000001</v>
      </c>
      <c r="X1791">
        <v>1</v>
      </c>
    </row>
    <row r="1792" spans="1:24" x14ac:dyDescent="0.3">
      <c r="A1792">
        <v>1791</v>
      </c>
      <c r="B1792" t="s">
        <v>3542</v>
      </c>
      <c r="C1792" s="6">
        <v>45987</v>
      </c>
      <c r="D1792" t="str">
        <f t="shared" si="108"/>
        <v>Nov</v>
      </c>
      <c r="E1792" t="str">
        <f t="shared" si="109"/>
        <v>2025</v>
      </c>
      <c r="F1792" t="s">
        <v>4</v>
      </c>
      <c r="G1792" t="s">
        <v>161</v>
      </c>
      <c r="H1792" t="s">
        <v>1140</v>
      </c>
      <c r="I1792">
        <v>140</v>
      </c>
      <c r="J1792">
        <v>18</v>
      </c>
      <c r="K1792">
        <f t="shared" si="110"/>
        <v>12.857142857142856</v>
      </c>
      <c r="L1792" t="s">
        <v>1739</v>
      </c>
      <c r="M1792" t="s">
        <v>3777</v>
      </c>
      <c r="N1792" t="s">
        <v>1</v>
      </c>
      <c r="O1792">
        <v>384001</v>
      </c>
      <c r="P1792" t="s">
        <v>546</v>
      </c>
      <c r="Q1792" t="s">
        <v>1766</v>
      </c>
      <c r="S1792">
        <v>48.94</v>
      </c>
      <c r="T1792">
        <v>1</v>
      </c>
      <c r="U1792">
        <v>0.1</v>
      </c>
      <c r="V1792">
        <v>24.47</v>
      </c>
      <c r="W1792">
        <f t="shared" si="111"/>
        <v>24.47</v>
      </c>
      <c r="X1792">
        <v>2</v>
      </c>
    </row>
    <row r="1793" spans="1:24" x14ac:dyDescent="0.3">
      <c r="A1793">
        <v>1792</v>
      </c>
      <c r="B1793" t="s">
        <v>3543</v>
      </c>
      <c r="C1793" s="6">
        <v>45988</v>
      </c>
      <c r="D1793" t="str">
        <f t="shared" si="108"/>
        <v>Nov</v>
      </c>
      <c r="E1793" t="str">
        <f t="shared" si="109"/>
        <v>2025</v>
      </c>
      <c r="F1793" t="s">
        <v>5</v>
      </c>
      <c r="G1793" t="s">
        <v>268</v>
      </c>
      <c r="H1793" t="s">
        <v>1678</v>
      </c>
      <c r="I1793">
        <v>150</v>
      </c>
      <c r="J1793">
        <v>6</v>
      </c>
      <c r="K1793">
        <f t="shared" si="110"/>
        <v>4</v>
      </c>
      <c r="L1793" t="s">
        <v>1738</v>
      </c>
      <c r="M1793" t="s">
        <v>3750</v>
      </c>
      <c r="N1793" t="s">
        <v>1</v>
      </c>
      <c r="O1793">
        <v>533101</v>
      </c>
      <c r="P1793" t="s">
        <v>546</v>
      </c>
      <c r="Q1793" t="s">
        <v>1755</v>
      </c>
      <c r="R1793" t="s">
        <v>2</v>
      </c>
      <c r="S1793">
        <v>2807.84</v>
      </c>
      <c r="T1793">
        <v>8</v>
      </c>
      <c r="U1793">
        <v>0.1</v>
      </c>
      <c r="V1793">
        <v>673.88160000000005</v>
      </c>
      <c r="W1793">
        <f t="shared" si="111"/>
        <v>266.7448</v>
      </c>
      <c r="X1793">
        <v>3</v>
      </c>
    </row>
    <row r="1794" spans="1:24" x14ac:dyDescent="0.3">
      <c r="A1794">
        <v>1793</v>
      </c>
      <c r="B1794" t="s">
        <v>3544</v>
      </c>
      <c r="C1794" s="6">
        <v>45989</v>
      </c>
      <c r="D1794" t="str">
        <f t="shared" si="108"/>
        <v>Nov</v>
      </c>
      <c r="E1794" t="str">
        <f t="shared" si="109"/>
        <v>2025</v>
      </c>
      <c r="F1794" t="s">
        <v>5</v>
      </c>
      <c r="G1794" t="s">
        <v>268</v>
      </c>
      <c r="H1794" t="s">
        <v>1679</v>
      </c>
      <c r="I1794">
        <v>100</v>
      </c>
      <c r="J1794">
        <v>12</v>
      </c>
      <c r="K1794">
        <f t="shared" si="110"/>
        <v>12</v>
      </c>
      <c r="L1794" t="s">
        <v>1737</v>
      </c>
      <c r="M1794" t="s">
        <v>3835</v>
      </c>
      <c r="N1794" t="s">
        <v>1</v>
      </c>
      <c r="O1794">
        <v>440016</v>
      </c>
      <c r="P1794" t="s">
        <v>546</v>
      </c>
      <c r="Q1794" t="s">
        <v>1774</v>
      </c>
      <c r="R1794" t="s">
        <v>2</v>
      </c>
      <c r="S1794">
        <v>46.64</v>
      </c>
      <c r="T1794">
        <v>4</v>
      </c>
      <c r="U1794">
        <v>0.1</v>
      </c>
      <c r="V1794">
        <v>12.5928</v>
      </c>
      <c r="W1794">
        <f t="shared" si="111"/>
        <v>8.5118000000000009</v>
      </c>
      <c r="X1794">
        <v>4</v>
      </c>
    </row>
    <row r="1795" spans="1:24" x14ac:dyDescent="0.3">
      <c r="A1795">
        <v>1794</v>
      </c>
      <c r="B1795" t="s">
        <v>3545</v>
      </c>
      <c r="C1795" s="6">
        <v>45990</v>
      </c>
      <c r="D1795" t="str">
        <f t="shared" ref="D1795:D1827" si="112">TEXT(C1795,"Mmm")</f>
        <v>Nov</v>
      </c>
      <c r="E1795" t="str">
        <f t="shared" ref="E1795:E1827" si="113">TEXT(C1795,"YYYY")</f>
        <v>2025</v>
      </c>
      <c r="F1795" t="s">
        <v>4</v>
      </c>
      <c r="G1795" t="s">
        <v>540</v>
      </c>
      <c r="H1795" t="s">
        <v>664</v>
      </c>
      <c r="I1795">
        <v>210</v>
      </c>
      <c r="J1795">
        <v>16</v>
      </c>
      <c r="K1795">
        <f t="shared" ref="K1795:K1827" si="114">(J1795/I1795)*100</f>
        <v>7.6190476190476195</v>
      </c>
      <c r="L1795" t="s">
        <v>1743</v>
      </c>
      <c r="M1795" t="s">
        <v>3836</v>
      </c>
      <c r="N1795" t="s">
        <v>1</v>
      </c>
      <c r="O1795">
        <v>751024</v>
      </c>
      <c r="P1795" t="s">
        <v>546</v>
      </c>
      <c r="Q1795" t="s">
        <v>1772</v>
      </c>
      <c r="R1795" t="s">
        <v>2</v>
      </c>
      <c r="S1795">
        <v>60.415999999999997</v>
      </c>
      <c r="T1795">
        <v>2</v>
      </c>
      <c r="U1795">
        <v>0.2</v>
      </c>
      <c r="V1795">
        <v>6.0415999999999999</v>
      </c>
      <c r="W1795">
        <f t="shared" ref="W1795:W1827" si="115">(S1795-V1795)/T1795</f>
        <v>27.187199999999997</v>
      </c>
      <c r="X1795">
        <v>1</v>
      </c>
    </row>
    <row r="1796" spans="1:24" x14ac:dyDescent="0.3">
      <c r="A1796">
        <v>1795</v>
      </c>
      <c r="B1796" t="s">
        <v>3546</v>
      </c>
      <c r="C1796" s="6">
        <v>45991</v>
      </c>
      <c r="D1796" t="str">
        <f t="shared" si="112"/>
        <v>Nov</v>
      </c>
      <c r="E1796" t="str">
        <f t="shared" si="113"/>
        <v>2025</v>
      </c>
      <c r="F1796" t="s">
        <v>4</v>
      </c>
      <c r="G1796" t="s">
        <v>541</v>
      </c>
      <c r="H1796" t="s">
        <v>1462</v>
      </c>
      <c r="I1796">
        <v>200</v>
      </c>
      <c r="J1796">
        <v>12</v>
      </c>
      <c r="K1796">
        <f t="shared" si="114"/>
        <v>6</v>
      </c>
      <c r="L1796" t="s">
        <v>1738</v>
      </c>
      <c r="M1796" t="s">
        <v>3795</v>
      </c>
      <c r="N1796" t="s">
        <v>1</v>
      </c>
      <c r="O1796">
        <v>560043</v>
      </c>
      <c r="P1796" t="s">
        <v>546</v>
      </c>
      <c r="Q1796" t="s">
        <v>1770</v>
      </c>
      <c r="R1796" t="s">
        <v>2</v>
      </c>
      <c r="S1796">
        <v>107.94</v>
      </c>
      <c r="T1796">
        <v>3</v>
      </c>
      <c r="U1796">
        <v>0.1</v>
      </c>
      <c r="V1796">
        <v>26.984999999999999</v>
      </c>
      <c r="W1796">
        <f t="shared" si="115"/>
        <v>26.984999999999999</v>
      </c>
      <c r="X1796">
        <v>5</v>
      </c>
    </row>
    <row r="1797" spans="1:24" x14ac:dyDescent="0.3">
      <c r="A1797">
        <v>1796</v>
      </c>
      <c r="B1797" t="s">
        <v>3547</v>
      </c>
      <c r="C1797" s="6">
        <v>45992</v>
      </c>
      <c r="D1797" t="str">
        <f t="shared" si="112"/>
        <v>Dec</v>
      </c>
      <c r="E1797" t="str">
        <f t="shared" si="113"/>
        <v>2025</v>
      </c>
      <c r="F1797" t="s">
        <v>5</v>
      </c>
      <c r="G1797" t="s">
        <v>287</v>
      </c>
      <c r="H1797" t="s">
        <v>1408</v>
      </c>
      <c r="I1797">
        <v>140</v>
      </c>
      <c r="J1797">
        <v>28</v>
      </c>
      <c r="K1797">
        <f t="shared" si="114"/>
        <v>20</v>
      </c>
      <c r="L1797" t="s">
        <v>1739</v>
      </c>
      <c r="M1797" t="s">
        <v>3751</v>
      </c>
      <c r="N1797" t="s">
        <v>1</v>
      </c>
      <c r="O1797">
        <v>382355</v>
      </c>
      <c r="P1797" t="s">
        <v>546</v>
      </c>
      <c r="Q1797" t="s">
        <v>1761</v>
      </c>
      <c r="R1797" t="s">
        <v>2</v>
      </c>
      <c r="S1797">
        <v>63.84</v>
      </c>
      <c r="T1797">
        <v>8</v>
      </c>
      <c r="U1797">
        <v>0.1</v>
      </c>
      <c r="V1797">
        <v>16.598400000000002</v>
      </c>
      <c r="W1797">
        <f t="shared" si="115"/>
        <v>5.9052000000000007</v>
      </c>
      <c r="X1797">
        <v>1</v>
      </c>
    </row>
    <row r="1798" spans="1:24" x14ac:dyDescent="0.3">
      <c r="A1798">
        <v>1797</v>
      </c>
      <c r="B1798" t="s">
        <v>3548</v>
      </c>
      <c r="C1798" s="6">
        <v>45993</v>
      </c>
      <c r="D1798" t="str">
        <f t="shared" si="112"/>
        <v>Dec</v>
      </c>
      <c r="E1798" t="str">
        <f t="shared" si="113"/>
        <v>2025</v>
      </c>
      <c r="F1798" t="s">
        <v>5</v>
      </c>
      <c r="G1798" t="s">
        <v>287</v>
      </c>
      <c r="H1798" t="s">
        <v>1680</v>
      </c>
      <c r="I1798">
        <v>100</v>
      </c>
      <c r="J1798">
        <v>6</v>
      </c>
      <c r="K1798">
        <f t="shared" si="114"/>
        <v>6</v>
      </c>
      <c r="L1798" t="s">
        <v>1741</v>
      </c>
      <c r="M1798" t="s">
        <v>3752</v>
      </c>
      <c r="N1798" t="s">
        <v>1</v>
      </c>
      <c r="O1798">
        <v>110096</v>
      </c>
      <c r="P1798" t="s">
        <v>546</v>
      </c>
      <c r="Q1798" t="s">
        <v>1767</v>
      </c>
      <c r="S1798">
        <v>347.97</v>
      </c>
      <c r="T1798">
        <v>3</v>
      </c>
      <c r="U1798">
        <v>0.1</v>
      </c>
      <c r="V1798">
        <v>100.9113</v>
      </c>
      <c r="W1798">
        <f t="shared" si="115"/>
        <v>82.35290000000002</v>
      </c>
      <c r="X1798">
        <v>5</v>
      </c>
    </row>
    <row r="1799" spans="1:24" x14ac:dyDescent="0.3">
      <c r="A1799">
        <v>1798</v>
      </c>
      <c r="B1799" t="s">
        <v>3549</v>
      </c>
      <c r="C1799" s="6">
        <v>45994</v>
      </c>
      <c r="D1799" t="str">
        <f t="shared" si="112"/>
        <v>Dec</v>
      </c>
      <c r="E1799" t="str">
        <f t="shared" si="113"/>
        <v>2025</v>
      </c>
      <c r="F1799" t="s">
        <v>5</v>
      </c>
      <c r="G1799" t="s">
        <v>287</v>
      </c>
      <c r="H1799" t="s">
        <v>555</v>
      </c>
      <c r="I1799">
        <v>100</v>
      </c>
      <c r="J1799">
        <v>18</v>
      </c>
      <c r="K1799">
        <f t="shared" si="114"/>
        <v>18</v>
      </c>
      <c r="L1799" t="s">
        <v>1736</v>
      </c>
      <c r="M1799" t="s">
        <v>3753</v>
      </c>
      <c r="N1799" t="s">
        <v>1</v>
      </c>
      <c r="O1799">
        <v>400098</v>
      </c>
      <c r="P1799" t="s">
        <v>546</v>
      </c>
      <c r="Q1799" t="s">
        <v>1758</v>
      </c>
      <c r="R1799" t="s">
        <v>2</v>
      </c>
      <c r="S1799">
        <v>37.008000000000003</v>
      </c>
      <c r="T1799">
        <v>6</v>
      </c>
      <c r="U1799">
        <v>0.2</v>
      </c>
      <c r="V1799">
        <v>11.565</v>
      </c>
      <c r="W1799">
        <f t="shared" si="115"/>
        <v>4.2405000000000008</v>
      </c>
      <c r="X1799">
        <v>3</v>
      </c>
    </row>
    <row r="1800" spans="1:24" x14ac:dyDescent="0.3">
      <c r="A1800">
        <v>1799</v>
      </c>
      <c r="B1800" t="s">
        <v>3550</v>
      </c>
      <c r="C1800" s="6">
        <v>45995</v>
      </c>
      <c r="D1800" t="str">
        <f t="shared" si="112"/>
        <v>Dec</v>
      </c>
      <c r="E1800" t="str">
        <f t="shared" si="113"/>
        <v>2025</v>
      </c>
      <c r="F1800" t="s">
        <v>4</v>
      </c>
      <c r="G1800" t="s">
        <v>535</v>
      </c>
      <c r="H1800" t="s">
        <v>1031</v>
      </c>
      <c r="I1800">
        <v>250</v>
      </c>
      <c r="J1800">
        <v>8</v>
      </c>
      <c r="K1800">
        <f t="shared" si="114"/>
        <v>3.2</v>
      </c>
      <c r="L1800" t="s">
        <v>1744</v>
      </c>
      <c r="M1800" t="s">
        <v>3754</v>
      </c>
      <c r="N1800" t="s">
        <v>1</v>
      </c>
      <c r="O1800">
        <v>500039</v>
      </c>
      <c r="P1800" t="s">
        <v>546</v>
      </c>
      <c r="Q1800" t="s">
        <v>1759</v>
      </c>
      <c r="R1800" t="s">
        <v>2</v>
      </c>
      <c r="S1800">
        <v>215.65</v>
      </c>
      <c r="T1800">
        <v>5</v>
      </c>
      <c r="U1800">
        <v>0.1</v>
      </c>
      <c r="V1800">
        <v>73.320999999999998</v>
      </c>
      <c r="W1800">
        <f t="shared" si="115"/>
        <v>28.465800000000002</v>
      </c>
      <c r="X1800">
        <v>3</v>
      </c>
    </row>
    <row r="1801" spans="1:24" x14ac:dyDescent="0.3">
      <c r="A1801">
        <v>1800</v>
      </c>
      <c r="B1801" t="s">
        <v>3551</v>
      </c>
      <c r="C1801" s="6">
        <v>45996</v>
      </c>
      <c r="D1801" t="str">
        <f t="shared" si="112"/>
        <v>Dec</v>
      </c>
      <c r="E1801" t="str">
        <f t="shared" si="113"/>
        <v>2025</v>
      </c>
      <c r="F1801" t="s">
        <v>3</v>
      </c>
      <c r="G1801" t="s">
        <v>542</v>
      </c>
      <c r="H1801" t="s">
        <v>750</v>
      </c>
      <c r="I1801">
        <v>130</v>
      </c>
      <c r="J1801">
        <v>20</v>
      </c>
      <c r="K1801">
        <f t="shared" si="114"/>
        <v>15.384615384615385</v>
      </c>
      <c r="L1801" t="s">
        <v>1740</v>
      </c>
      <c r="M1801" t="s">
        <v>3755</v>
      </c>
      <c r="N1801" t="s">
        <v>1</v>
      </c>
      <c r="O1801">
        <v>425001</v>
      </c>
      <c r="P1801" t="s">
        <v>546</v>
      </c>
      <c r="Q1801" t="s">
        <v>1772</v>
      </c>
      <c r="S1801">
        <v>11.167999999999999</v>
      </c>
      <c r="T1801">
        <v>4</v>
      </c>
      <c r="U1801">
        <v>0.2</v>
      </c>
      <c r="V1801">
        <v>3.6295999999999999</v>
      </c>
      <c r="W1801">
        <f t="shared" si="115"/>
        <v>1.8845999999999998</v>
      </c>
      <c r="X1801">
        <v>2</v>
      </c>
    </row>
    <row r="1802" spans="1:24" x14ac:dyDescent="0.3">
      <c r="A1802">
        <v>1801</v>
      </c>
      <c r="B1802" t="s">
        <v>3552</v>
      </c>
      <c r="C1802" s="6">
        <v>45997</v>
      </c>
      <c r="D1802" t="str">
        <f t="shared" si="112"/>
        <v>Dec</v>
      </c>
      <c r="E1802" t="str">
        <f t="shared" si="113"/>
        <v>2025</v>
      </c>
      <c r="F1802" t="s">
        <v>3</v>
      </c>
      <c r="G1802" t="s">
        <v>542</v>
      </c>
      <c r="H1802" t="s">
        <v>1681</v>
      </c>
      <c r="I1802">
        <v>120</v>
      </c>
      <c r="J1802">
        <v>6</v>
      </c>
      <c r="K1802">
        <f t="shared" si="114"/>
        <v>5</v>
      </c>
      <c r="L1802" t="s">
        <v>1742</v>
      </c>
      <c r="M1802" t="s">
        <v>3756</v>
      </c>
      <c r="N1802" t="s">
        <v>1</v>
      </c>
      <c r="O1802">
        <v>560073</v>
      </c>
      <c r="P1802" t="s">
        <v>546</v>
      </c>
      <c r="Q1802" t="s">
        <v>1772</v>
      </c>
      <c r="S1802">
        <v>53.951999999999998</v>
      </c>
      <c r="T1802">
        <v>3</v>
      </c>
      <c r="U1802">
        <v>0.2</v>
      </c>
      <c r="V1802">
        <v>17.534400000000002</v>
      </c>
      <c r="W1802">
        <f t="shared" si="115"/>
        <v>12.139199999999997</v>
      </c>
      <c r="X1802">
        <v>5</v>
      </c>
    </row>
    <row r="1803" spans="1:24" x14ac:dyDescent="0.3">
      <c r="A1803">
        <v>1802</v>
      </c>
      <c r="B1803" t="s">
        <v>3553</v>
      </c>
      <c r="C1803" s="6">
        <v>45998</v>
      </c>
      <c r="D1803" t="str">
        <f t="shared" si="112"/>
        <v>Dec</v>
      </c>
      <c r="E1803" t="str">
        <f t="shared" si="113"/>
        <v>2025</v>
      </c>
      <c r="F1803" t="s">
        <v>4</v>
      </c>
      <c r="G1803" t="s">
        <v>223</v>
      </c>
      <c r="H1803" t="s">
        <v>1553</v>
      </c>
      <c r="I1803">
        <v>170</v>
      </c>
      <c r="J1803">
        <v>12</v>
      </c>
      <c r="K1803">
        <f t="shared" si="114"/>
        <v>7.0588235294117645</v>
      </c>
      <c r="L1803" t="s">
        <v>1739</v>
      </c>
      <c r="M1803" t="s">
        <v>3757</v>
      </c>
      <c r="N1803" t="s">
        <v>1</v>
      </c>
      <c r="O1803">
        <v>560073</v>
      </c>
      <c r="P1803" t="s">
        <v>546</v>
      </c>
      <c r="Q1803" t="s">
        <v>1772</v>
      </c>
      <c r="S1803">
        <v>4.18</v>
      </c>
      <c r="T1803">
        <v>1</v>
      </c>
      <c r="U1803">
        <v>0.1</v>
      </c>
      <c r="V1803">
        <v>1.5047999999999999</v>
      </c>
      <c r="W1803">
        <f t="shared" si="115"/>
        <v>2.6751999999999998</v>
      </c>
      <c r="X1803">
        <v>5</v>
      </c>
    </row>
    <row r="1804" spans="1:24" x14ac:dyDescent="0.3">
      <c r="A1804">
        <v>1803</v>
      </c>
      <c r="B1804" t="s">
        <v>3554</v>
      </c>
      <c r="C1804" s="6">
        <v>45999</v>
      </c>
      <c r="D1804" t="str">
        <f t="shared" si="112"/>
        <v>Dec</v>
      </c>
      <c r="E1804" t="str">
        <f t="shared" si="113"/>
        <v>2025</v>
      </c>
      <c r="F1804" t="s">
        <v>3</v>
      </c>
      <c r="G1804" t="s">
        <v>357</v>
      </c>
      <c r="H1804" t="s">
        <v>987</v>
      </c>
      <c r="I1804">
        <v>100</v>
      </c>
      <c r="J1804">
        <v>20</v>
      </c>
      <c r="K1804">
        <f t="shared" si="114"/>
        <v>20</v>
      </c>
      <c r="L1804" t="s">
        <v>1738</v>
      </c>
      <c r="M1804" t="s">
        <v>3758</v>
      </c>
      <c r="N1804" t="s">
        <v>1</v>
      </c>
      <c r="O1804">
        <v>441111</v>
      </c>
      <c r="P1804" t="s">
        <v>546</v>
      </c>
      <c r="Q1804" t="s">
        <v>1766</v>
      </c>
      <c r="S1804">
        <v>5.6070000000000002</v>
      </c>
      <c r="T1804">
        <v>1</v>
      </c>
      <c r="U1804">
        <v>0.7</v>
      </c>
      <c r="V1804">
        <v>-4.2987000000000002</v>
      </c>
      <c r="W1804">
        <f t="shared" si="115"/>
        <v>9.9056999999999995</v>
      </c>
      <c r="X1804">
        <v>4</v>
      </c>
    </row>
    <row r="1805" spans="1:24" x14ac:dyDescent="0.3">
      <c r="A1805">
        <v>1804</v>
      </c>
      <c r="B1805" t="s">
        <v>3555</v>
      </c>
      <c r="C1805" s="6">
        <v>46000</v>
      </c>
      <c r="D1805" t="str">
        <f t="shared" si="112"/>
        <v>Dec</v>
      </c>
      <c r="E1805" t="str">
        <f t="shared" si="113"/>
        <v>2025</v>
      </c>
      <c r="F1805" t="s">
        <v>3</v>
      </c>
      <c r="G1805" t="s">
        <v>357</v>
      </c>
      <c r="H1805" t="s">
        <v>1012</v>
      </c>
      <c r="I1805">
        <v>130</v>
      </c>
      <c r="J1805">
        <v>20</v>
      </c>
      <c r="K1805">
        <f t="shared" si="114"/>
        <v>15.384615384615385</v>
      </c>
      <c r="L1805" t="s">
        <v>1743</v>
      </c>
      <c r="M1805" t="s">
        <v>3759</v>
      </c>
      <c r="N1805" t="s">
        <v>1</v>
      </c>
      <c r="O1805">
        <v>631502</v>
      </c>
      <c r="P1805" t="s">
        <v>546</v>
      </c>
      <c r="Q1805" t="s">
        <v>1770</v>
      </c>
      <c r="R1805" t="s">
        <v>2</v>
      </c>
      <c r="S1805">
        <v>4663.7359999999999</v>
      </c>
      <c r="T1805">
        <v>7</v>
      </c>
      <c r="U1805">
        <v>0.2</v>
      </c>
      <c r="V1805">
        <v>-1049.3406</v>
      </c>
      <c r="W1805">
        <f t="shared" si="115"/>
        <v>816.15380000000005</v>
      </c>
      <c r="X1805">
        <v>3</v>
      </c>
    </row>
    <row r="1806" spans="1:24" x14ac:dyDescent="0.3">
      <c r="A1806">
        <v>1805</v>
      </c>
      <c r="B1806" t="s">
        <v>3556</v>
      </c>
      <c r="C1806" s="6">
        <v>46001</v>
      </c>
      <c r="D1806" t="str">
        <f t="shared" si="112"/>
        <v>Dec</v>
      </c>
      <c r="E1806" t="str">
        <f t="shared" si="113"/>
        <v>2025</v>
      </c>
      <c r="F1806" t="s">
        <v>3</v>
      </c>
      <c r="G1806" t="s">
        <v>357</v>
      </c>
      <c r="H1806" t="s">
        <v>1682</v>
      </c>
      <c r="I1806">
        <v>120</v>
      </c>
      <c r="J1806">
        <v>18</v>
      </c>
      <c r="K1806">
        <f t="shared" si="114"/>
        <v>15</v>
      </c>
      <c r="L1806" t="s">
        <v>1737</v>
      </c>
      <c r="M1806" t="s">
        <v>3760</v>
      </c>
      <c r="N1806" t="s">
        <v>1</v>
      </c>
      <c r="O1806">
        <v>110081</v>
      </c>
      <c r="P1806" t="s">
        <v>546</v>
      </c>
      <c r="Q1806" t="s">
        <v>1763</v>
      </c>
      <c r="S1806">
        <v>79.983999999999995</v>
      </c>
      <c r="T1806">
        <v>2</v>
      </c>
      <c r="U1806">
        <v>0.2</v>
      </c>
      <c r="V1806">
        <v>22.9954</v>
      </c>
      <c r="W1806">
        <f t="shared" si="115"/>
        <v>28.494299999999996</v>
      </c>
      <c r="X1806">
        <v>5</v>
      </c>
    </row>
    <row r="1807" spans="1:24" x14ac:dyDescent="0.3">
      <c r="A1807">
        <v>1806</v>
      </c>
      <c r="B1807" t="s">
        <v>3557</v>
      </c>
      <c r="C1807" s="6">
        <v>46002</v>
      </c>
      <c r="D1807" t="str">
        <f t="shared" si="112"/>
        <v>Dec</v>
      </c>
      <c r="E1807" t="str">
        <f t="shared" si="113"/>
        <v>2025</v>
      </c>
      <c r="F1807" t="s">
        <v>5</v>
      </c>
      <c r="G1807" t="s">
        <v>143</v>
      </c>
      <c r="H1807" t="s">
        <v>1430</v>
      </c>
      <c r="I1807">
        <v>120</v>
      </c>
      <c r="J1807">
        <v>18</v>
      </c>
      <c r="K1807">
        <f t="shared" si="114"/>
        <v>15</v>
      </c>
      <c r="L1807" t="s">
        <v>1741</v>
      </c>
      <c r="M1807" t="s">
        <v>3761</v>
      </c>
      <c r="N1807" t="s">
        <v>1</v>
      </c>
      <c r="O1807">
        <v>400601</v>
      </c>
      <c r="P1807" t="s">
        <v>546</v>
      </c>
      <c r="Q1807" t="s">
        <v>1763</v>
      </c>
      <c r="S1807">
        <v>2575.944</v>
      </c>
      <c r="T1807">
        <v>7</v>
      </c>
      <c r="U1807">
        <v>0.2</v>
      </c>
      <c r="V1807">
        <v>257.59440000000001</v>
      </c>
      <c r="W1807">
        <f t="shared" si="115"/>
        <v>331.19279999999998</v>
      </c>
      <c r="X1807">
        <v>1</v>
      </c>
    </row>
    <row r="1808" spans="1:24" x14ac:dyDescent="0.3">
      <c r="A1808">
        <v>1807</v>
      </c>
      <c r="B1808" t="s">
        <v>3558</v>
      </c>
      <c r="C1808" s="6">
        <v>46003</v>
      </c>
      <c r="D1808" t="str">
        <f t="shared" si="112"/>
        <v>Dec</v>
      </c>
      <c r="E1808" t="str">
        <f t="shared" si="113"/>
        <v>2025</v>
      </c>
      <c r="F1808" t="s">
        <v>5</v>
      </c>
      <c r="G1808" t="s">
        <v>143</v>
      </c>
      <c r="H1808" t="s">
        <v>1057</v>
      </c>
      <c r="I1808">
        <v>240</v>
      </c>
      <c r="J1808">
        <v>22</v>
      </c>
      <c r="K1808">
        <f t="shared" si="114"/>
        <v>9.1666666666666661</v>
      </c>
      <c r="L1808" t="s">
        <v>1736</v>
      </c>
      <c r="M1808" t="s">
        <v>3762</v>
      </c>
      <c r="N1808" t="s">
        <v>1</v>
      </c>
      <c r="O1808">
        <v>201017</v>
      </c>
      <c r="P1808" t="s">
        <v>546</v>
      </c>
      <c r="Q1808" t="s">
        <v>1763</v>
      </c>
      <c r="S1808">
        <v>45.36</v>
      </c>
      <c r="T1808">
        <v>7</v>
      </c>
      <c r="U1808">
        <v>0.1</v>
      </c>
      <c r="V1808">
        <v>21.7728</v>
      </c>
      <c r="W1808">
        <f t="shared" si="115"/>
        <v>3.3695999999999997</v>
      </c>
      <c r="X1808">
        <v>4</v>
      </c>
    </row>
    <row r="1809" spans="1:24" x14ac:dyDescent="0.3">
      <c r="A1809">
        <v>1808</v>
      </c>
      <c r="B1809" t="s">
        <v>3559</v>
      </c>
      <c r="C1809" s="6">
        <v>46004</v>
      </c>
      <c r="D1809" t="str">
        <f t="shared" si="112"/>
        <v>Dec</v>
      </c>
      <c r="E1809" t="str">
        <f t="shared" si="113"/>
        <v>2025</v>
      </c>
      <c r="F1809" t="s">
        <v>5</v>
      </c>
      <c r="G1809" t="s">
        <v>143</v>
      </c>
      <c r="H1809" t="s">
        <v>1024</v>
      </c>
      <c r="I1809">
        <v>190</v>
      </c>
      <c r="J1809">
        <v>20</v>
      </c>
      <c r="K1809">
        <f t="shared" si="114"/>
        <v>10.526315789473683</v>
      </c>
      <c r="L1809" t="s">
        <v>1744</v>
      </c>
      <c r="M1809" t="s">
        <v>3763</v>
      </c>
      <c r="N1809" t="s">
        <v>1</v>
      </c>
      <c r="O1809">
        <v>625601</v>
      </c>
      <c r="P1809" t="s">
        <v>546</v>
      </c>
      <c r="Q1809" t="s">
        <v>1761</v>
      </c>
      <c r="S1809">
        <v>254.24</v>
      </c>
      <c r="T1809">
        <v>7</v>
      </c>
      <c r="U1809">
        <v>0.1</v>
      </c>
      <c r="V1809">
        <v>76.272000000000006</v>
      </c>
      <c r="W1809">
        <f t="shared" si="115"/>
        <v>25.424000000000003</v>
      </c>
      <c r="X1809">
        <v>5</v>
      </c>
    </row>
    <row r="1810" spans="1:24" x14ac:dyDescent="0.3">
      <c r="A1810">
        <v>1809</v>
      </c>
      <c r="B1810" t="s">
        <v>3560</v>
      </c>
      <c r="C1810" s="6">
        <v>46005</v>
      </c>
      <c r="D1810" t="str">
        <f t="shared" si="112"/>
        <v>Dec</v>
      </c>
      <c r="E1810" t="str">
        <f t="shared" si="113"/>
        <v>2025</v>
      </c>
      <c r="F1810" t="s">
        <v>5</v>
      </c>
      <c r="G1810" t="s">
        <v>543</v>
      </c>
      <c r="H1810" t="s">
        <v>1683</v>
      </c>
      <c r="I1810">
        <v>230</v>
      </c>
      <c r="J1810">
        <v>18</v>
      </c>
      <c r="K1810">
        <f t="shared" si="114"/>
        <v>7.8260869565217401</v>
      </c>
      <c r="L1810" t="s">
        <v>1740</v>
      </c>
      <c r="M1810" t="s">
        <v>3764</v>
      </c>
      <c r="N1810" t="s">
        <v>1</v>
      </c>
      <c r="O1810">
        <v>532127</v>
      </c>
      <c r="P1810" t="s">
        <v>546</v>
      </c>
      <c r="Q1810" t="s">
        <v>1763</v>
      </c>
      <c r="S1810">
        <v>69.930000000000007</v>
      </c>
      <c r="T1810">
        <v>7</v>
      </c>
      <c r="U1810">
        <v>0.1</v>
      </c>
      <c r="V1810">
        <v>0.69930000000000003</v>
      </c>
      <c r="W1810">
        <f t="shared" si="115"/>
        <v>9.8901000000000021</v>
      </c>
      <c r="X1810">
        <v>4</v>
      </c>
    </row>
    <row r="1811" spans="1:24" x14ac:dyDescent="0.3">
      <c r="A1811">
        <v>1810</v>
      </c>
      <c r="B1811" t="s">
        <v>3561</v>
      </c>
      <c r="C1811" s="6">
        <v>46006</v>
      </c>
      <c r="D1811" t="str">
        <f t="shared" si="112"/>
        <v>Dec</v>
      </c>
      <c r="E1811" t="str">
        <f t="shared" si="113"/>
        <v>2025</v>
      </c>
      <c r="F1811" t="s">
        <v>4</v>
      </c>
      <c r="G1811" t="s">
        <v>103</v>
      </c>
      <c r="H1811" t="s">
        <v>1684</v>
      </c>
      <c r="I1811">
        <v>200</v>
      </c>
      <c r="J1811">
        <v>24</v>
      </c>
      <c r="K1811">
        <f t="shared" si="114"/>
        <v>12</v>
      </c>
      <c r="L1811" t="s">
        <v>1742</v>
      </c>
      <c r="M1811" t="s">
        <v>3765</v>
      </c>
      <c r="N1811" t="s">
        <v>1</v>
      </c>
      <c r="O1811">
        <v>845305</v>
      </c>
      <c r="P1811" t="s">
        <v>546</v>
      </c>
      <c r="Q1811" t="s">
        <v>1756</v>
      </c>
      <c r="S1811">
        <v>16.155999999999999</v>
      </c>
      <c r="T1811">
        <v>7</v>
      </c>
      <c r="U1811">
        <v>0.6</v>
      </c>
      <c r="V1811">
        <v>-12.117000000000001</v>
      </c>
      <c r="W1811">
        <f t="shared" si="115"/>
        <v>4.0389999999999997</v>
      </c>
      <c r="X1811">
        <v>1</v>
      </c>
    </row>
    <row r="1812" spans="1:24" x14ac:dyDescent="0.3">
      <c r="A1812">
        <v>1811</v>
      </c>
      <c r="B1812" t="s">
        <v>3562</v>
      </c>
      <c r="C1812" s="6">
        <v>46007</v>
      </c>
      <c r="D1812" t="str">
        <f t="shared" si="112"/>
        <v>Dec</v>
      </c>
      <c r="E1812" t="str">
        <f t="shared" si="113"/>
        <v>2025</v>
      </c>
      <c r="F1812" t="s">
        <v>4</v>
      </c>
      <c r="G1812" t="s">
        <v>103</v>
      </c>
      <c r="H1812" t="s">
        <v>1685</v>
      </c>
      <c r="I1812">
        <v>160</v>
      </c>
      <c r="J1812">
        <v>24</v>
      </c>
      <c r="K1812">
        <f t="shared" si="114"/>
        <v>15</v>
      </c>
      <c r="L1812" t="s">
        <v>1739</v>
      </c>
      <c r="M1812" t="s">
        <v>3766</v>
      </c>
      <c r="N1812" t="s">
        <v>1</v>
      </c>
      <c r="O1812">
        <v>122011</v>
      </c>
      <c r="P1812" t="s">
        <v>546</v>
      </c>
      <c r="Q1812" t="s">
        <v>1767</v>
      </c>
      <c r="S1812">
        <v>54.816000000000003</v>
      </c>
      <c r="T1812">
        <v>3</v>
      </c>
      <c r="U1812">
        <v>0.2</v>
      </c>
      <c r="V1812">
        <v>17.815200000000001</v>
      </c>
      <c r="W1812">
        <f t="shared" si="115"/>
        <v>12.333599999999999</v>
      </c>
      <c r="X1812">
        <v>5</v>
      </c>
    </row>
    <row r="1813" spans="1:24" x14ac:dyDescent="0.3">
      <c r="A1813">
        <v>1812</v>
      </c>
      <c r="B1813" t="s">
        <v>3563</v>
      </c>
      <c r="C1813" s="6">
        <v>46008</v>
      </c>
      <c r="D1813" t="str">
        <f t="shared" si="112"/>
        <v>Dec</v>
      </c>
      <c r="E1813" t="str">
        <f t="shared" si="113"/>
        <v>2025</v>
      </c>
      <c r="F1813" t="s">
        <v>3</v>
      </c>
      <c r="G1813" t="s">
        <v>390</v>
      </c>
      <c r="H1813" t="s">
        <v>668</v>
      </c>
      <c r="I1813">
        <v>100</v>
      </c>
      <c r="J1813">
        <v>24</v>
      </c>
      <c r="K1813">
        <f t="shared" si="114"/>
        <v>24</v>
      </c>
      <c r="L1813" t="s">
        <v>1738</v>
      </c>
      <c r="M1813" t="s">
        <v>3767</v>
      </c>
      <c r="N1813" t="s">
        <v>1</v>
      </c>
      <c r="O1813">
        <v>600044</v>
      </c>
      <c r="P1813" t="s">
        <v>546</v>
      </c>
      <c r="Q1813" t="s">
        <v>1770</v>
      </c>
      <c r="S1813">
        <v>1441.3</v>
      </c>
      <c r="T1813">
        <v>7</v>
      </c>
      <c r="U1813">
        <v>0.1</v>
      </c>
      <c r="V1813">
        <v>245.02099999999999</v>
      </c>
      <c r="W1813">
        <f t="shared" si="115"/>
        <v>170.89699999999999</v>
      </c>
      <c r="X1813">
        <v>2</v>
      </c>
    </row>
    <row r="1814" spans="1:24" x14ac:dyDescent="0.3">
      <c r="A1814">
        <v>1813</v>
      </c>
      <c r="B1814" t="s">
        <v>3564</v>
      </c>
      <c r="C1814" s="6">
        <v>46009</v>
      </c>
      <c r="D1814" t="str">
        <f t="shared" si="112"/>
        <v>Dec</v>
      </c>
      <c r="E1814" t="str">
        <f t="shared" si="113"/>
        <v>2025</v>
      </c>
      <c r="F1814" t="s">
        <v>4</v>
      </c>
      <c r="G1814" t="s">
        <v>544</v>
      </c>
      <c r="H1814" t="s">
        <v>822</v>
      </c>
      <c r="I1814">
        <v>240</v>
      </c>
      <c r="J1814">
        <v>12</v>
      </c>
      <c r="K1814">
        <f t="shared" si="114"/>
        <v>5</v>
      </c>
      <c r="L1814" t="s">
        <v>1737</v>
      </c>
      <c r="M1814" t="s">
        <v>3768</v>
      </c>
      <c r="N1814" t="s">
        <v>1</v>
      </c>
      <c r="O1814">
        <v>800025</v>
      </c>
      <c r="P1814" t="s">
        <v>546</v>
      </c>
      <c r="Q1814" t="s">
        <v>1755</v>
      </c>
      <c r="S1814">
        <v>77.599999999999994</v>
      </c>
      <c r="T1814">
        <v>5</v>
      </c>
      <c r="U1814">
        <v>0.2</v>
      </c>
      <c r="V1814">
        <v>28.13</v>
      </c>
      <c r="W1814">
        <f t="shared" si="115"/>
        <v>9.8940000000000001</v>
      </c>
      <c r="X1814">
        <v>1</v>
      </c>
    </row>
    <row r="1815" spans="1:24" x14ac:dyDescent="0.3">
      <c r="A1815">
        <v>1814</v>
      </c>
      <c r="B1815" t="s">
        <v>3565</v>
      </c>
      <c r="C1815" s="6">
        <v>46010</v>
      </c>
      <c r="D1815" t="str">
        <f t="shared" si="112"/>
        <v>Dec</v>
      </c>
      <c r="E1815" t="str">
        <f t="shared" si="113"/>
        <v>2025</v>
      </c>
      <c r="F1815" t="s">
        <v>4</v>
      </c>
      <c r="G1815" t="s">
        <v>544</v>
      </c>
      <c r="H1815" t="s">
        <v>943</v>
      </c>
      <c r="I1815">
        <v>190</v>
      </c>
      <c r="J1815">
        <v>24</v>
      </c>
      <c r="K1815">
        <f t="shared" si="114"/>
        <v>12.631578947368421</v>
      </c>
      <c r="L1815" t="s">
        <v>1743</v>
      </c>
      <c r="M1815" t="s">
        <v>3769</v>
      </c>
      <c r="N1815" t="s">
        <v>1</v>
      </c>
      <c r="O1815">
        <v>500055</v>
      </c>
      <c r="P1815" t="s">
        <v>546</v>
      </c>
      <c r="Q1815" t="s">
        <v>1770</v>
      </c>
      <c r="R1815" t="s">
        <v>2</v>
      </c>
      <c r="S1815">
        <v>4.6559999999999997</v>
      </c>
      <c r="T1815">
        <v>2</v>
      </c>
      <c r="U1815">
        <v>0.2</v>
      </c>
      <c r="V1815">
        <v>1.5713999999999999</v>
      </c>
      <c r="W1815">
        <f t="shared" si="115"/>
        <v>1.5423</v>
      </c>
      <c r="X1815">
        <v>2</v>
      </c>
    </row>
    <row r="1816" spans="1:24" x14ac:dyDescent="0.3">
      <c r="A1816">
        <v>1815</v>
      </c>
      <c r="B1816" t="s">
        <v>3566</v>
      </c>
      <c r="C1816" s="6">
        <v>46011</v>
      </c>
      <c r="D1816" t="str">
        <f t="shared" si="112"/>
        <v>Dec</v>
      </c>
      <c r="E1816" t="str">
        <f t="shared" si="113"/>
        <v>2025</v>
      </c>
      <c r="F1816" t="s">
        <v>4</v>
      </c>
      <c r="G1816" t="s">
        <v>414</v>
      </c>
      <c r="H1816" t="s">
        <v>770</v>
      </c>
      <c r="I1816">
        <v>180</v>
      </c>
      <c r="J1816">
        <v>18</v>
      </c>
      <c r="K1816">
        <f t="shared" si="114"/>
        <v>10</v>
      </c>
      <c r="L1816" t="s">
        <v>1738</v>
      </c>
      <c r="M1816" t="s">
        <v>3770</v>
      </c>
      <c r="N1816" t="s">
        <v>1</v>
      </c>
      <c r="O1816">
        <v>784510</v>
      </c>
      <c r="P1816" t="s">
        <v>546</v>
      </c>
      <c r="Q1816" t="s">
        <v>1755</v>
      </c>
      <c r="S1816">
        <v>170.136</v>
      </c>
      <c r="T1816">
        <v>3</v>
      </c>
      <c r="U1816">
        <v>0.2</v>
      </c>
      <c r="V1816">
        <v>-8.5068000000000001</v>
      </c>
      <c r="W1816">
        <f t="shared" si="115"/>
        <v>59.547599999999996</v>
      </c>
      <c r="X1816">
        <v>4</v>
      </c>
    </row>
    <row r="1817" spans="1:24" x14ac:dyDescent="0.3">
      <c r="A1817">
        <v>1816</v>
      </c>
      <c r="B1817" t="s">
        <v>3567</v>
      </c>
      <c r="C1817" s="6">
        <v>46012</v>
      </c>
      <c r="D1817" t="str">
        <f t="shared" si="112"/>
        <v>Dec</v>
      </c>
      <c r="E1817" t="str">
        <f t="shared" si="113"/>
        <v>2025</v>
      </c>
      <c r="F1817" t="s">
        <v>6</v>
      </c>
      <c r="G1817" t="s">
        <v>335</v>
      </c>
      <c r="H1817" t="s">
        <v>1686</v>
      </c>
      <c r="I1817">
        <v>190</v>
      </c>
      <c r="J1817">
        <v>30</v>
      </c>
      <c r="K1817">
        <f t="shared" si="114"/>
        <v>15.789473684210526</v>
      </c>
      <c r="L1817" t="s">
        <v>1739</v>
      </c>
      <c r="M1817" t="s">
        <v>3771</v>
      </c>
      <c r="N1817" t="s">
        <v>1</v>
      </c>
      <c r="O1817">
        <v>110021</v>
      </c>
      <c r="P1817" t="s">
        <v>546</v>
      </c>
      <c r="Q1817" t="s">
        <v>1764</v>
      </c>
      <c r="S1817">
        <v>7.38</v>
      </c>
      <c r="T1817">
        <v>2</v>
      </c>
      <c r="U1817">
        <v>0.1</v>
      </c>
      <c r="V1817">
        <v>3.4685999999999999</v>
      </c>
      <c r="W1817">
        <f t="shared" si="115"/>
        <v>1.9557</v>
      </c>
      <c r="X1817">
        <v>2</v>
      </c>
    </row>
    <row r="1818" spans="1:24" x14ac:dyDescent="0.3">
      <c r="A1818">
        <v>1817</v>
      </c>
      <c r="B1818" t="s">
        <v>3568</v>
      </c>
      <c r="C1818" s="6">
        <v>46013</v>
      </c>
      <c r="D1818" t="str">
        <f t="shared" si="112"/>
        <v>Dec</v>
      </c>
      <c r="E1818" t="str">
        <f t="shared" si="113"/>
        <v>2025</v>
      </c>
      <c r="F1818" t="s">
        <v>6</v>
      </c>
      <c r="G1818" t="s">
        <v>335</v>
      </c>
      <c r="H1818" t="s">
        <v>729</v>
      </c>
      <c r="I1818">
        <v>150</v>
      </c>
      <c r="J1818">
        <v>16</v>
      </c>
      <c r="K1818">
        <f t="shared" si="114"/>
        <v>10.666666666666668</v>
      </c>
      <c r="L1818" t="s">
        <v>1741</v>
      </c>
      <c r="M1818" t="s">
        <v>3772</v>
      </c>
      <c r="N1818" t="s">
        <v>1</v>
      </c>
      <c r="O1818">
        <v>380054</v>
      </c>
      <c r="P1818" t="s">
        <v>546</v>
      </c>
      <c r="Q1818" t="s">
        <v>1774</v>
      </c>
      <c r="S1818">
        <v>9.26</v>
      </c>
      <c r="T1818">
        <v>2</v>
      </c>
      <c r="U1818">
        <v>0.1</v>
      </c>
      <c r="V1818">
        <v>3.0558000000000001</v>
      </c>
      <c r="W1818">
        <f t="shared" si="115"/>
        <v>3.1021000000000001</v>
      </c>
      <c r="X1818">
        <v>1</v>
      </c>
    </row>
    <row r="1819" spans="1:24" x14ac:dyDescent="0.3">
      <c r="A1819">
        <v>1818</v>
      </c>
      <c r="B1819" t="s">
        <v>3569</v>
      </c>
      <c r="C1819" s="6">
        <v>46014</v>
      </c>
      <c r="D1819" t="str">
        <f t="shared" si="112"/>
        <v>Dec</v>
      </c>
      <c r="E1819" t="str">
        <f t="shared" si="113"/>
        <v>2025</v>
      </c>
      <c r="F1819" t="s">
        <v>3</v>
      </c>
      <c r="G1819" t="s">
        <v>437</v>
      </c>
      <c r="H1819" t="s">
        <v>1687</v>
      </c>
      <c r="I1819">
        <v>250</v>
      </c>
      <c r="J1819">
        <v>12</v>
      </c>
      <c r="K1819">
        <f t="shared" si="114"/>
        <v>4.8</v>
      </c>
      <c r="L1819" t="s">
        <v>1736</v>
      </c>
      <c r="M1819" t="s">
        <v>3773</v>
      </c>
      <c r="N1819" t="s">
        <v>1</v>
      </c>
      <c r="O1819">
        <v>208002</v>
      </c>
      <c r="P1819" t="s">
        <v>546</v>
      </c>
      <c r="Q1819" t="s">
        <v>1765</v>
      </c>
      <c r="R1819" t="s">
        <v>2</v>
      </c>
      <c r="S1819">
        <v>9.9600000000000009</v>
      </c>
      <c r="T1819">
        <v>2</v>
      </c>
      <c r="U1819">
        <v>0.1</v>
      </c>
      <c r="V1819">
        <v>4.5815999999999999</v>
      </c>
      <c r="W1819">
        <f t="shared" si="115"/>
        <v>2.6892000000000005</v>
      </c>
      <c r="X1819">
        <v>1</v>
      </c>
    </row>
    <row r="1820" spans="1:24" x14ac:dyDescent="0.3">
      <c r="A1820">
        <v>1819</v>
      </c>
      <c r="B1820" t="s">
        <v>3570</v>
      </c>
      <c r="C1820" s="6">
        <v>46015</v>
      </c>
      <c r="D1820" t="str">
        <f t="shared" si="112"/>
        <v>Dec</v>
      </c>
      <c r="E1820" t="str">
        <f t="shared" si="113"/>
        <v>2025</v>
      </c>
      <c r="F1820" t="s">
        <v>4</v>
      </c>
      <c r="G1820" t="s">
        <v>545</v>
      </c>
      <c r="H1820" t="s">
        <v>1688</v>
      </c>
      <c r="I1820">
        <v>210</v>
      </c>
      <c r="J1820">
        <v>30</v>
      </c>
      <c r="K1820">
        <f t="shared" si="114"/>
        <v>14.285714285714285</v>
      </c>
      <c r="L1820" t="s">
        <v>1744</v>
      </c>
      <c r="M1820" t="s">
        <v>3774</v>
      </c>
      <c r="N1820" t="s">
        <v>1</v>
      </c>
      <c r="O1820">
        <v>421004</v>
      </c>
      <c r="P1820" t="s">
        <v>546</v>
      </c>
      <c r="Q1820" t="s">
        <v>1763</v>
      </c>
      <c r="R1820" t="s">
        <v>2</v>
      </c>
      <c r="S1820">
        <v>75.599999999999994</v>
      </c>
      <c r="T1820">
        <v>2</v>
      </c>
      <c r="U1820">
        <v>0.8</v>
      </c>
      <c r="V1820">
        <v>-166.32</v>
      </c>
      <c r="W1820">
        <f t="shared" si="115"/>
        <v>120.96</v>
      </c>
      <c r="X1820">
        <v>4</v>
      </c>
    </row>
    <row r="1821" spans="1:24" x14ac:dyDescent="0.3">
      <c r="A1821">
        <v>1820</v>
      </c>
      <c r="B1821" t="s">
        <v>3571</v>
      </c>
      <c r="C1821" s="6">
        <v>46016</v>
      </c>
      <c r="D1821" t="str">
        <f t="shared" si="112"/>
        <v>Dec</v>
      </c>
      <c r="E1821" t="str">
        <f t="shared" si="113"/>
        <v>2025</v>
      </c>
      <c r="F1821" t="s">
        <v>4</v>
      </c>
      <c r="G1821" t="s">
        <v>545</v>
      </c>
      <c r="H1821" t="s">
        <v>1689</v>
      </c>
      <c r="I1821">
        <v>210</v>
      </c>
      <c r="J1821">
        <v>6</v>
      </c>
      <c r="K1821">
        <f t="shared" si="114"/>
        <v>2.8571428571428572</v>
      </c>
      <c r="L1821" t="s">
        <v>1740</v>
      </c>
      <c r="M1821" t="s">
        <v>3775</v>
      </c>
      <c r="N1821" t="s">
        <v>1</v>
      </c>
      <c r="O1821">
        <v>124105</v>
      </c>
      <c r="P1821" t="s">
        <v>546</v>
      </c>
      <c r="Q1821" t="s">
        <v>1775</v>
      </c>
      <c r="S1821">
        <v>29.32</v>
      </c>
      <c r="T1821">
        <v>2</v>
      </c>
      <c r="U1821">
        <v>0.6</v>
      </c>
      <c r="V1821">
        <v>-24.189</v>
      </c>
      <c r="W1821">
        <f t="shared" si="115"/>
        <v>26.7545</v>
      </c>
      <c r="X1821">
        <v>2</v>
      </c>
    </row>
    <row r="1822" spans="1:24" x14ac:dyDescent="0.3">
      <c r="A1822">
        <v>1821</v>
      </c>
      <c r="B1822" t="s">
        <v>3572</v>
      </c>
      <c r="C1822" s="6">
        <v>46017</v>
      </c>
      <c r="D1822" t="str">
        <f t="shared" si="112"/>
        <v>Dec</v>
      </c>
      <c r="E1822" t="str">
        <f t="shared" si="113"/>
        <v>2025</v>
      </c>
      <c r="F1822" t="s">
        <v>4</v>
      </c>
      <c r="G1822" t="s">
        <v>112</v>
      </c>
      <c r="H1822" t="s">
        <v>1690</v>
      </c>
      <c r="I1822">
        <v>190</v>
      </c>
      <c r="J1822">
        <v>26</v>
      </c>
      <c r="K1822">
        <f t="shared" si="114"/>
        <v>13.684210526315791</v>
      </c>
      <c r="L1822" t="s">
        <v>1742</v>
      </c>
      <c r="M1822" t="s">
        <v>3776</v>
      </c>
      <c r="N1822" t="s">
        <v>1</v>
      </c>
      <c r="O1822">
        <v>500059</v>
      </c>
      <c r="P1822" t="s">
        <v>546</v>
      </c>
      <c r="Q1822" t="s">
        <v>1763</v>
      </c>
      <c r="S1822">
        <v>92.063999999999993</v>
      </c>
      <c r="T1822">
        <v>6</v>
      </c>
      <c r="U1822">
        <v>0.8</v>
      </c>
      <c r="V1822">
        <v>-225.55680000000001</v>
      </c>
      <c r="W1822">
        <f t="shared" si="115"/>
        <v>52.936800000000005</v>
      </c>
      <c r="X1822">
        <v>4</v>
      </c>
    </row>
    <row r="1823" spans="1:24" x14ac:dyDescent="0.3">
      <c r="A1823">
        <v>1822</v>
      </c>
      <c r="B1823" t="s">
        <v>3573</v>
      </c>
      <c r="C1823" s="6">
        <v>46018</v>
      </c>
      <c r="D1823" t="str">
        <f t="shared" si="112"/>
        <v>Dec</v>
      </c>
      <c r="E1823" t="str">
        <f t="shared" si="113"/>
        <v>2025</v>
      </c>
      <c r="F1823" t="s">
        <v>4</v>
      </c>
      <c r="G1823" t="s">
        <v>112</v>
      </c>
      <c r="H1823" t="s">
        <v>599</v>
      </c>
      <c r="I1823">
        <v>170</v>
      </c>
      <c r="J1823">
        <v>24</v>
      </c>
      <c r="K1823">
        <f t="shared" si="114"/>
        <v>14.117647058823529</v>
      </c>
      <c r="L1823" t="s">
        <v>1739</v>
      </c>
      <c r="M1823" t="s">
        <v>3777</v>
      </c>
      <c r="N1823" t="s">
        <v>1</v>
      </c>
      <c r="O1823">
        <v>560048</v>
      </c>
      <c r="P1823" t="s">
        <v>546</v>
      </c>
      <c r="Q1823" t="s">
        <v>1761</v>
      </c>
      <c r="S1823">
        <v>6.976</v>
      </c>
      <c r="T1823">
        <v>4</v>
      </c>
      <c r="U1823">
        <v>0.2</v>
      </c>
      <c r="V1823">
        <v>1.8311999999999999</v>
      </c>
      <c r="W1823">
        <f t="shared" si="115"/>
        <v>1.2862</v>
      </c>
      <c r="X1823">
        <v>5</v>
      </c>
    </row>
    <row r="1824" spans="1:24" x14ac:dyDescent="0.3">
      <c r="A1824">
        <v>1823</v>
      </c>
      <c r="B1824" t="s">
        <v>3574</v>
      </c>
      <c r="C1824" s="6">
        <v>46019</v>
      </c>
      <c r="D1824" t="str">
        <f t="shared" si="112"/>
        <v>Dec</v>
      </c>
      <c r="E1824" t="str">
        <f t="shared" si="113"/>
        <v>2025</v>
      </c>
      <c r="F1824" t="s">
        <v>4</v>
      </c>
      <c r="G1824" t="s">
        <v>112</v>
      </c>
      <c r="H1824" t="s">
        <v>1691</v>
      </c>
      <c r="I1824">
        <v>110</v>
      </c>
      <c r="J1824">
        <v>8</v>
      </c>
      <c r="K1824">
        <f t="shared" si="114"/>
        <v>7.2727272727272725</v>
      </c>
      <c r="L1824" t="s">
        <v>1738</v>
      </c>
      <c r="M1824" t="s">
        <v>3778</v>
      </c>
      <c r="N1824" t="s">
        <v>1</v>
      </c>
      <c r="O1824">
        <v>122001</v>
      </c>
      <c r="P1824" t="s">
        <v>546</v>
      </c>
      <c r="Q1824" t="s">
        <v>1758</v>
      </c>
      <c r="S1824">
        <v>62.957999999999998</v>
      </c>
      <c r="T1824">
        <v>3</v>
      </c>
      <c r="U1824">
        <v>0.3</v>
      </c>
      <c r="V1824">
        <v>-2.6981999999999999</v>
      </c>
      <c r="W1824">
        <f t="shared" si="115"/>
        <v>21.885400000000001</v>
      </c>
      <c r="X1824">
        <v>4</v>
      </c>
    </row>
    <row r="1825" spans="1:24" x14ac:dyDescent="0.3">
      <c r="A1825">
        <v>1824</v>
      </c>
      <c r="B1825" t="s">
        <v>3575</v>
      </c>
      <c r="C1825" s="6">
        <v>46020</v>
      </c>
      <c r="D1825" t="str">
        <f t="shared" si="112"/>
        <v>Dec</v>
      </c>
      <c r="E1825" t="str">
        <f t="shared" si="113"/>
        <v>2025</v>
      </c>
      <c r="F1825" t="s">
        <v>4</v>
      </c>
      <c r="G1825" t="s">
        <v>112</v>
      </c>
      <c r="H1825" t="s">
        <v>1692</v>
      </c>
      <c r="I1825">
        <v>140</v>
      </c>
      <c r="J1825">
        <v>28</v>
      </c>
      <c r="K1825">
        <f t="shared" si="114"/>
        <v>20</v>
      </c>
      <c r="L1825" t="s">
        <v>1743</v>
      </c>
      <c r="M1825" t="s">
        <v>3779</v>
      </c>
      <c r="N1825" t="s">
        <v>1</v>
      </c>
      <c r="O1825">
        <v>400081</v>
      </c>
      <c r="P1825" t="s">
        <v>546</v>
      </c>
      <c r="Q1825" t="s">
        <v>1772</v>
      </c>
      <c r="S1825">
        <v>5.1840000000000002</v>
      </c>
      <c r="T1825">
        <v>1</v>
      </c>
      <c r="U1825">
        <v>0.2</v>
      </c>
      <c r="V1825">
        <v>1.8144</v>
      </c>
      <c r="W1825">
        <f t="shared" si="115"/>
        <v>3.3696000000000002</v>
      </c>
      <c r="X1825">
        <v>3</v>
      </c>
    </row>
    <row r="1826" spans="1:24" x14ac:dyDescent="0.3">
      <c r="A1826">
        <v>1825</v>
      </c>
      <c r="B1826" t="s">
        <v>3576</v>
      </c>
      <c r="C1826" s="6">
        <v>46021</v>
      </c>
      <c r="D1826" t="str">
        <f t="shared" si="112"/>
        <v>Dec</v>
      </c>
      <c r="E1826" t="str">
        <f t="shared" si="113"/>
        <v>2025</v>
      </c>
      <c r="F1826" t="s">
        <v>4</v>
      </c>
      <c r="G1826" t="s">
        <v>200</v>
      </c>
      <c r="H1826" t="s">
        <v>1411</v>
      </c>
      <c r="I1826">
        <v>180</v>
      </c>
      <c r="J1826">
        <v>18</v>
      </c>
      <c r="K1826">
        <f t="shared" si="114"/>
        <v>10</v>
      </c>
      <c r="L1826" t="s">
        <v>1737</v>
      </c>
      <c r="M1826" t="s">
        <v>3780</v>
      </c>
      <c r="N1826" t="s">
        <v>1</v>
      </c>
      <c r="O1826">
        <v>380061</v>
      </c>
      <c r="P1826" t="s">
        <v>546</v>
      </c>
      <c r="Q1826" t="s">
        <v>1770</v>
      </c>
      <c r="S1826">
        <v>31.32</v>
      </c>
      <c r="T1826">
        <v>10</v>
      </c>
      <c r="U1826">
        <v>0.7</v>
      </c>
      <c r="V1826">
        <v>-25.056000000000001</v>
      </c>
      <c r="W1826">
        <f t="shared" si="115"/>
        <v>5.6376000000000008</v>
      </c>
      <c r="X1826">
        <v>1</v>
      </c>
    </row>
    <row r="1827" spans="1:24" x14ac:dyDescent="0.3">
      <c r="A1827">
        <v>1826</v>
      </c>
      <c r="B1827" t="s">
        <v>3577</v>
      </c>
      <c r="C1827" s="6">
        <v>46022</v>
      </c>
      <c r="D1827" t="str">
        <f t="shared" si="112"/>
        <v>Dec</v>
      </c>
      <c r="E1827" t="str">
        <f t="shared" si="113"/>
        <v>2025</v>
      </c>
      <c r="F1827" t="s">
        <v>4</v>
      </c>
      <c r="G1827" t="s">
        <v>200</v>
      </c>
      <c r="H1827" t="s">
        <v>892</v>
      </c>
      <c r="I1827">
        <v>100</v>
      </c>
      <c r="J1827">
        <v>22</v>
      </c>
      <c r="K1827">
        <f t="shared" si="114"/>
        <v>22</v>
      </c>
      <c r="L1827" t="s">
        <v>1741</v>
      </c>
      <c r="M1827" t="s">
        <v>3781</v>
      </c>
      <c r="N1827" t="s">
        <v>1</v>
      </c>
      <c r="O1827">
        <v>380061</v>
      </c>
      <c r="P1827" t="s">
        <v>546</v>
      </c>
      <c r="Q1827" t="s">
        <v>1763</v>
      </c>
      <c r="S1827">
        <v>11.84</v>
      </c>
      <c r="T1827">
        <v>4</v>
      </c>
      <c r="U1827">
        <v>0.2</v>
      </c>
      <c r="V1827">
        <v>3.1080000000000001</v>
      </c>
      <c r="W1827">
        <f t="shared" si="115"/>
        <v>2.1829999999999998</v>
      </c>
      <c r="X1827">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5EDDE-0EE1-4764-AFF7-295D6D4D7FA3}">
  <dimension ref="B1:T156"/>
  <sheetViews>
    <sheetView topLeftCell="F4" workbookViewId="0">
      <selection activeCell="S21" sqref="S21:T21"/>
    </sheetView>
  </sheetViews>
  <sheetFormatPr defaultRowHeight="14.4" x14ac:dyDescent="0.3"/>
  <cols>
    <col min="3" max="3" width="14" bestFit="1" customWidth="1"/>
    <col min="7" max="7" width="13.88671875" bestFit="1" customWidth="1"/>
    <col min="13" max="14" width="13.88671875" bestFit="1" customWidth="1"/>
    <col min="19" max="19" width="13.88671875" bestFit="1" customWidth="1"/>
    <col min="20" max="20" width="13.21875" bestFit="1" customWidth="1"/>
  </cols>
  <sheetData>
    <row r="1" spans="2:20" x14ac:dyDescent="0.3">
      <c r="G1" t="s">
        <v>1699</v>
      </c>
      <c r="M1" t="s">
        <v>1699</v>
      </c>
      <c r="N1" t="s">
        <v>1753</v>
      </c>
    </row>
    <row r="2" spans="2:20" x14ac:dyDescent="0.3">
      <c r="D2" t="s">
        <v>3915</v>
      </c>
      <c r="G2" t="s">
        <v>1737</v>
      </c>
      <c r="H2" t="str">
        <f>IF(COUNTIF(G2:G156, G1)&gt;1, "Duplicate", "Unique")</f>
        <v>Unique</v>
      </c>
      <c r="M2" t="s">
        <v>1739</v>
      </c>
      <c r="N2" t="s">
        <v>1773</v>
      </c>
      <c r="O2" t="str">
        <f>IF(COUNTIFS($M:$M,M2,$N:$N,N2)&gt;1,"Duplicate","")</f>
        <v>Duplicate</v>
      </c>
    </row>
    <row r="3" spans="2:20" x14ac:dyDescent="0.3">
      <c r="B3" t="s">
        <v>3913</v>
      </c>
      <c r="C3" t="s">
        <v>3914</v>
      </c>
      <c r="D3">
        <v>4</v>
      </c>
      <c r="G3" t="s">
        <v>1743</v>
      </c>
      <c r="H3" t="str">
        <f t="shared" ref="H3:H66" si="0">IF(COUNTIF(G3:G157, G2)&gt;1, "Duplicate", "Unique")</f>
        <v>Duplicate</v>
      </c>
      <c r="M3" t="s">
        <v>1741</v>
      </c>
      <c r="N3" t="s">
        <v>1769</v>
      </c>
      <c r="O3" t="str">
        <f t="shared" ref="O3:O66" si="1">IF(COUNTIFS($M:$M,M3,$N:$N,N3)&gt;1,"Duplicate","")</f>
        <v/>
      </c>
      <c r="S3" t="s">
        <v>3918</v>
      </c>
      <c r="T3">
        <v>9</v>
      </c>
    </row>
    <row r="4" spans="2:20" x14ac:dyDescent="0.3">
      <c r="C4" t="s">
        <v>3916</v>
      </c>
      <c r="D4">
        <v>7</v>
      </c>
      <c r="G4" t="s">
        <v>1739</v>
      </c>
      <c r="H4" t="str">
        <f t="shared" si="0"/>
        <v>Duplicate</v>
      </c>
      <c r="M4" t="s">
        <v>1736</v>
      </c>
      <c r="N4" t="s">
        <v>1759</v>
      </c>
      <c r="O4" t="str">
        <f t="shared" si="1"/>
        <v>Duplicate</v>
      </c>
      <c r="S4" t="s">
        <v>3919</v>
      </c>
      <c r="T4">
        <v>23</v>
      </c>
    </row>
    <row r="5" spans="2:20" x14ac:dyDescent="0.3">
      <c r="C5" t="s">
        <v>3917</v>
      </c>
      <c r="D5">
        <v>1</v>
      </c>
      <c r="G5" t="s">
        <v>1736</v>
      </c>
      <c r="H5" t="str">
        <f t="shared" si="0"/>
        <v>Duplicate</v>
      </c>
      <c r="M5" t="s">
        <v>1744</v>
      </c>
      <c r="N5" t="s">
        <v>1770</v>
      </c>
      <c r="O5" t="str">
        <f t="shared" si="1"/>
        <v/>
      </c>
    </row>
    <row r="6" spans="2:20" x14ac:dyDescent="0.3">
      <c r="G6" t="s">
        <v>1738</v>
      </c>
      <c r="H6" t="str">
        <f t="shared" si="0"/>
        <v>Duplicate</v>
      </c>
      <c r="M6" t="s">
        <v>1740</v>
      </c>
      <c r="N6" t="s">
        <v>1776</v>
      </c>
      <c r="O6" t="str">
        <f t="shared" si="1"/>
        <v/>
      </c>
    </row>
    <row r="7" spans="2:20" x14ac:dyDescent="0.3">
      <c r="G7" t="s">
        <v>1741</v>
      </c>
      <c r="H7" t="str">
        <f t="shared" si="0"/>
        <v>Duplicate</v>
      </c>
      <c r="M7" t="s">
        <v>1742</v>
      </c>
      <c r="N7" t="s">
        <v>1763</v>
      </c>
      <c r="O7" t="str">
        <f t="shared" si="1"/>
        <v/>
      </c>
    </row>
    <row r="8" spans="2:20" x14ac:dyDescent="0.3">
      <c r="G8" t="s">
        <v>1744</v>
      </c>
      <c r="H8" t="str">
        <f t="shared" si="0"/>
        <v>Duplicate</v>
      </c>
      <c r="M8" t="s">
        <v>1739</v>
      </c>
      <c r="N8" t="s">
        <v>1761</v>
      </c>
      <c r="O8" t="str">
        <f t="shared" si="1"/>
        <v>Duplicate</v>
      </c>
      <c r="S8" s="3" t="s">
        <v>1717</v>
      </c>
      <c r="T8" t="s">
        <v>3920</v>
      </c>
    </row>
    <row r="9" spans="2:20" x14ac:dyDescent="0.3">
      <c r="G9" t="s">
        <v>1740</v>
      </c>
      <c r="H9" t="str">
        <f t="shared" si="0"/>
        <v>Duplicate</v>
      </c>
      <c r="M9" t="s">
        <v>1738</v>
      </c>
      <c r="N9" t="s">
        <v>1763</v>
      </c>
      <c r="O9" t="str">
        <f t="shared" si="1"/>
        <v/>
      </c>
      <c r="S9" s="4" t="s">
        <v>1773</v>
      </c>
      <c r="T9">
        <v>55</v>
      </c>
    </row>
    <row r="10" spans="2:20" x14ac:dyDescent="0.3">
      <c r="G10" t="s">
        <v>1742</v>
      </c>
      <c r="H10" t="str">
        <f t="shared" si="0"/>
        <v>Duplicate</v>
      </c>
      <c r="M10" t="s">
        <v>1737</v>
      </c>
      <c r="N10" t="s">
        <v>1756</v>
      </c>
      <c r="O10" t="str">
        <f t="shared" si="1"/>
        <v>Duplicate</v>
      </c>
      <c r="S10" s="4" t="s">
        <v>1769</v>
      </c>
      <c r="T10">
        <v>59</v>
      </c>
    </row>
    <row r="11" spans="2:20" x14ac:dyDescent="0.3">
      <c r="G11" t="s">
        <v>1739</v>
      </c>
      <c r="H11" t="str">
        <f t="shared" si="0"/>
        <v>Duplicate</v>
      </c>
      <c r="M11" t="s">
        <v>1743</v>
      </c>
      <c r="N11" t="s">
        <v>1759</v>
      </c>
      <c r="O11" t="str">
        <f t="shared" si="1"/>
        <v/>
      </c>
      <c r="S11" s="4" t="s">
        <v>1764</v>
      </c>
      <c r="T11">
        <v>62</v>
      </c>
    </row>
    <row r="12" spans="2:20" x14ac:dyDescent="0.3">
      <c r="G12" t="s">
        <v>1738</v>
      </c>
      <c r="H12" t="str">
        <f t="shared" si="0"/>
        <v>Duplicate</v>
      </c>
      <c r="M12" t="s">
        <v>1738</v>
      </c>
      <c r="N12" t="s">
        <v>1775</v>
      </c>
      <c r="O12" t="str">
        <f t="shared" si="1"/>
        <v>Duplicate</v>
      </c>
      <c r="S12" s="4" t="s">
        <v>1776</v>
      </c>
      <c r="T12">
        <v>62</v>
      </c>
    </row>
    <row r="13" spans="2:20" x14ac:dyDescent="0.3">
      <c r="G13" t="s">
        <v>1743</v>
      </c>
      <c r="H13" t="str">
        <f t="shared" si="0"/>
        <v>Duplicate</v>
      </c>
      <c r="M13" t="s">
        <v>1739</v>
      </c>
      <c r="N13" t="s">
        <v>1768</v>
      </c>
      <c r="O13" t="str">
        <f t="shared" si="1"/>
        <v>Duplicate</v>
      </c>
      <c r="S13" s="4" t="s">
        <v>1760</v>
      </c>
      <c r="T13">
        <v>65</v>
      </c>
    </row>
    <row r="14" spans="2:20" x14ac:dyDescent="0.3">
      <c r="G14" t="s">
        <v>1741</v>
      </c>
      <c r="H14" t="str">
        <f t="shared" si="0"/>
        <v>Duplicate</v>
      </c>
      <c r="M14" t="s">
        <v>1741</v>
      </c>
      <c r="N14" t="s">
        <v>1775</v>
      </c>
      <c r="O14" t="str">
        <f t="shared" si="1"/>
        <v/>
      </c>
      <c r="S14" s="4" t="s">
        <v>1754</v>
      </c>
      <c r="T14">
        <v>67</v>
      </c>
    </row>
    <row r="15" spans="2:20" x14ac:dyDescent="0.3">
      <c r="G15" t="s">
        <v>1737</v>
      </c>
      <c r="H15" t="str">
        <f t="shared" si="0"/>
        <v>Duplicate</v>
      </c>
      <c r="M15" t="s">
        <v>1736</v>
      </c>
      <c r="N15" t="s">
        <v>1765</v>
      </c>
      <c r="O15" t="str">
        <f t="shared" si="1"/>
        <v>Duplicate</v>
      </c>
      <c r="S15" s="4" t="s">
        <v>1758</v>
      </c>
      <c r="T15">
        <v>67</v>
      </c>
    </row>
    <row r="16" spans="2:20" x14ac:dyDescent="0.3">
      <c r="G16" t="s">
        <v>1736</v>
      </c>
      <c r="H16" t="str">
        <f t="shared" si="0"/>
        <v>Duplicate</v>
      </c>
      <c r="M16" t="s">
        <v>1744</v>
      </c>
      <c r="N16" t="s">
        <v>1767</v>
      </c>
      <c r="O16" t="str">
        <f t="shared" si="1"/>
        <v>Duplicate</v>
      </c>
      <c r="S16" s="4" t="s">
        <v>1770</v>
      </c>
      <c r="T16">
        <v>71</v>
      </c>
    </row>
    <row r="17" spans="7:20" x14ac:dyDescent="0.3">
      <c r="G17" t="s">
        <v>1739</v>
      </c>
      <c r="H17" t="str">
        <f t="shared" si="0"/>
        <v>Duplicate</v>
      </c>
      <c r="M17" t="s">
        <v>1740</v>
      </c>
      <c r="N17" t="s">
        <v>1761</v>
      </c>
      <c r="O17" t="str">
        <f t="shared" si="1"/>
        <v>Duplicate</v>
      </c>
      <c r="S17" s="4" t="s">
        <v>1756</v>
      </c>
      <c r="T17">
        <v>71</v>
      </c>
    </row>
    <row r="18" spans="7:20" x14ac:dyDescent="0.3">
      <c r="G18" t="s">
        <v>1738</v>
      </c>
      <c r="H18" t="str">
        <f t="shared" si="0"/>
        <v>Duplicate</v>
      </c>
      <c r="M18" t="s">
        <v>1742</v>
      </c>
      <c r="N18" t="s">
        <v>1776</v>
      </c>
      <c r="O18" t="str">
        <f t="shared" si="1"/>
        <v/>
      </c>
      <c r="S18" s="4" t="s">
        <v>1768</v>
      </c>
      <c r="T18">
        <v>72</v>
      </c>
    </row>
    <row r="19" spans="7:20" x14ac:dyDescent="0.3">
      <c r="G19" t="s">
        <v>1744</v>
      </c>
      <c r="H19" t="str">
        <f t="shared" si="0"/>
        <v>Duplicate</v>
      </c>
      <c r="M19" t="s">
        <v>1739</v>
      </c>
      <c r="N19" t="s">
        <v>1768</v>
      </c>
      <c r="O19" t="str">
        <f t="shared" si="1"/>
        <v>Duplicate</v>
      </c>
      <c r="S19" s="4" t="s">
        <v>1766</v>
      </c>
      <c r="T19">
        <v>72</v>
      </c>
    </row>
    <row r="20" spans="7:20" x14ac:dyDescent="0.3">
      <c r="G20" t="s">
        <v>1740</v>
      </c>
      <c r="H20" t="str">
        <f t="shared" si="0"/>
        <v>Duplicate</v>
      </c>
      <c r="M20" t="s">
        <v>1738</v>
      </c>
      <c r="N20" t="s">
        <v>1766</v>
      </c>
      <c r="O20" t="str">
        <f t="shared" si="1"/>
        <v>Duplicate</v>
      </c>
      <c r="S20" s="4" t="s">
        <v>1775</v>
      </c>
      <c r="T20">
        <v>72</v>
      </c>
    </row>
    <row r="21" spans="7:20" x14ac:dyDescent="0.3">
      <c r="G21" t="s">
        <v>1742</v>
      </c>
      <c r="H21" t="str">
        <f t="shared" si="0"/>
        <v>Duplicate</v>
      </c>
      <c r="M21" t="s">
        <v>1737</v>
      </c>
      <c r="N21" t="s">
        <v>1771</v>
      </c>
      <c r="O21" t="str">
        <f t="shared" si="1"/>
        <v>Duplicate</v>
      </c>
      <c r="S21" s="4" t="s">
        <v>1765</v>
      </c>
      <c r="T21">
        <v>77</v>
      </c>
    </row>
    <row r="22" spans="7:20" x14ac:dyDescent="0.3">
      <c r="G22" t="s">
        <v>1738</v>
      </c>
      <c r="H22" t="str">
        <f t="shared" si="0"/>
        <v>Duplicate</v>
      </c>
      <c r="M22" t="s">
        <v>1743</v>
      </c>
      <c r="N22" t="s">
        <v>1768</v>
      </c>
      <c r="O22" t="str">
        <f t="shared" si="1"/>
        <v>Duplicate</v>
      </c>
      <c r="S22" s="4" t="s">
        <v>1774</v>
      </c>
      <c r="T22">
        <v>81</v>
      </c>
    </row>
    <row r="23" spans="7:20" x14ac:dyDescent="0.3">
      <c r="G23" t="s">
        <v>1739</v>
      </c>
      <c r="H23" t="str">
        <f t="shared" si="0"/>
        <v>Duplicate</v>
      </c>
      <c r="M23" t="s">
        <v>1738</v>
      </c>
      <c r="N23" t="s">
        <v>1762</v>
      </c>
      <c r="O23" t="str">
        <f t="shared" si="1"/>
        <v>Duplicate</v>
      </c>
      <c r="S23" s="4" t="s">
        <v>1767</v>
      </c>
      <c r="T23">
        <v>111</v>
      </c>
    </row>
    <row r="24" spans="7:20" x14ac:dyDescent="0.3">
      <c r="G24" t="s">
        <v>1743</v>
      </c>
      <c r="H24" t="str">
        <f t="shared" si="0"/>
        <v>Duplicate</v>
      </c>
      <c r="M24" t="s">
        <v>1739</v>
      </c>
      <c r="N24" t="s">
        <v>1765</v>
      </c>
      <c r="O24" t="str">
        <f t="shared" si="1"/>
        <v/>
      </c>
      <c r="S24" s="4" t="s">
        <v>1772</v>
      </c>
      <c r="T24">
        <v>118</v>
      </c>
    </row>
    <row r="25" spans="7:20" x14ac:dyDescent="0.3">
      <c r="G25" t="s">
        <v>1737</v>
      </c>
      <c r="H25" t="str">
        <f t="shared" si="0"/>
        <v>Duplicate</v>
      </c>
      <c r="M25" t="s">
        <v>1741</v>
      </c>
      <c r="N25" t="s">
        <v>1761</v>
      </c>
      <c r="O25" t="str">
        <f t="shared" si="1"/>
        <v/>
      </c>
      <c r="S25" s="4" t="s">
        <v>1755</v>
      </c>
      <c r="T25">
        <v>126</v>
      </c>
    </row>
    <row r="26" spans="7:20" x14ac:dyDescent="0.3">
      <c r="G26" t="s">
        <v>1741</v>
      </c>
      <c r="H26" t="str">
        <f t="shared" si="0"/>
        <v>Duplicate</v>
      </c>
      <c r="M26" t="s">
        <v>1736</v>
      </c>
      <c r="N26" t="s">
        <v>1770</v>
      </c>
      <c r="O26" t="str">
        <f t="shared" si="1"/>
        <v/>
      </c>
      <c r="S26" s="4" t="s">
        <v>1763</v>
      </c>
      <c r="T26">
        <v>131</v>
      </c>
    </row>
    <row r="27" spans="7:20" x14ac:dyDescent="0.3">
      <c r="G27" t="s">
        <v>1736</v>
      </c>
      <c r="H27" t="str">
        <f t="shared" si="0"/>
        <v>Duplicate</v>
      </c>
      <c r="M27" t="s">
        <v>1744</v>
      </c>
      <c r="N27" t="s">
        <v>1756</v>
      </c>
      <c r="O27" t="str">
        <f t="shared" si="1"/>
        <v/>
      </c>
      <c r="S27" s="4" t="s">
        <v>1761</v>
      </c>
      <c r="T27">
        <v>178</v>
      </c>
    </row>
    <row r="28" spans="7:20" x14ac:dyDescent="0.3">
      <c r="G28" t="s">
        <v>1744</v>
      </c>
      <c r="H28" t="str">
        <f t="shared" si="0"/>
        <v>Duplicate</v>
      </c>
      <c r="M28" t="s">
        <v>1740</v>
      </c>
      <c r="N28" t="s">
        <v>1768</v>
      </c>
      <c r="O28" t="str">
        <f t="shared" si="1"/>
        <v/>
      </c>
      <c r="S28" s="4" t="s">
        <v>1759</v>
      </c>
      <c r="T28">
        <v>209</v>
      </c>
    </row>
    <row r="29" spans="7:20" x14ac:dyDescent="0.3">
      <c r="G29" t="s">
        <v>1740</v>
      </c>
      <c r="H29" t="str">
        <f t="shared" si="0"/>
        <v>Duplicate</v>
      </c>
      <c r="M29" t="s">
        <v>1742</v>
      </c>
      <c r="N29" t="s">
        <v>1764</v>
      </c>
      <c r="O29" t="str">
        <f t="shared" si="1"/>
        <v/>
      </c>
      <c r="S29" s="4" t="s">
        <v>1718</v>
      </c>
      <c r="T29">
        <v>1826</v>
      </c>
    </row>
    <row r="30" spans="7:20" x14ac:dyDescent="0.3">
      <c r="G30" t="s">
        <v>1742</v>
      </c>
      <c r="H30" t="str">
        <f t="shared" si="0"/>
        <v>Duplicate</v>
      </c>
      <c r="M30" t="s">
        <v>1739</v>
      </c>
      <c r="N30" t="s">
        <v>1770</v>
      </c>
      <c r="O30" t="str">
        <f t="shared" si="1"/>
        <v>Duplicate</v>
      </c>
    </row>
    <row r="31" spans="7:20" x14ac:dyDescent="0.3">
      <c r="G31" t="s">
        <v>1739</v>
      </c>
      <c r="H31" t="str">
        <f t="shared" si="0"/>
        <v>Duplicate</v>
      </c>
      <c r="M31" t="s">
        <v>1738</v>
      </c>
      <c r="N31" t="s">
        <v>1762</v>
      </c>
      <c r="O31" t="str">
        <f t="shared" si="1"/>
        <v>Duplicate</v>
      </c>
    </row>
    <row r="32" spans="7:20" x14ac:dyDescent="0.3">
      <c r="G32" t="s">
        <v>1738</v>
      </c>
      <c r="H32" t="str">
        <f t="shared" si="0"/>
        <v>Duplicate</v>
      </c>
      <c r="M32" t="s">
        <v>1737</v>
      </c>
      <c r="N32" t="s">
        <v>1769</v>
      </c>
      <c r="O32" t="str">
        <f t="shared" si="1"/>
        <v/>
      </c>
    </row>
    <row r="33" spans="7:15" x14ac:dyDescent="0.3">
      <c r="G33" t="s">
        <v>1743</v>
      </c>
      <c r="H33" t="str">
        <f t="shared" si="0"/>
        <v>Duplicate</v>
      </c>
      <c r="M33" t="s">
        <v>1739</v>
      </c>
      <c r="N33" t="s">
        <v>1761</v>
      </c>
      <c r="O33" t="str">
        <f t="shared" si="1"/>
        <v>Duplicate</v>
      </c>
    </row>
    <row r="34" spans="7:15" x14ac:dyDescent="0.3">
      <c r="G34" t="s">
        <v>1738</v>
      </c>
      <c r="H34" t="str">
        <f t="shared" si="0"/>
        <v>Duplicate</v>
      </c>
      <c r="M34" t="s">
        <v>1738</v>
      </c>
      <c r="N34" t="s">
        <v>1761</v>
      </c>
      <c r="O34" t="str">
        <f t="shared" si="1"/>
        <v>Duplicate</v>
      </c>
    </row>
    <row r="35" spans="7:15" x14ac:dyDescent="0.3">
      <c r="G35" t="s">
        <v>1739</v>
      </c>
      <c r="H35" t="str">
        <f t="shared" si="0"/>
        <v>Duplicate</v>
      </c>
      <c r="M35" t="s">
        <v>1737</v>
      </c>
      <c r="N35" t="s">
        <v>1770</v>
      </c>
      <c r="O35" t="str">
        <f t="shared" si="1"/>
        <v>Duplicate</v>
      </c>
    </row>
    <row r="36" spans="7:15" x14ac:dyDescent="0.3">
      <c r="G36" t="s">
        <v>1741</v>
      </c>
      <c r="H36" t="str">
        <f t="shared" si="0"/>
        <v>Duplicate</v>
      </c>
      <c r="M36" t="s">
        <v>1743</v>
      </c>
      <c r="N36" t="s">
        <v>1768</v>
      </c>
      <c r="O36" t="str">
        <f t="shared" si="1"/>
        <v>Duplicate</v>
      </c>
    </row>
    <row r="37" spans="7:15" x14ac:dyDescent="0.3">
      <c r="G37" t="s">
        <v>1736</v>
      </c>
      <c r="H37" t="str">
        <f t="shared" si="0"/>
        <v>Duplicate</v>
      </c>
      <c r="M37" t="s">
        <v>1738</v>
      </c>
      <c r="N37" t="s">
        <v>1765</v>
      </c>
      <c r="O37" t="str">
        <f t="shared" si="1"/>
        <v>Duplicate</v>
      </c>
    </row>
    <row r="38" spans="7:15" x14ac:dyDescent="0.3">
      <c r="G38" t="s">
        <v>1744</v>
      </c>
      <c r="H38" t="str">
        <f t="shared" si="0"/>
        <v>Duplicate</v>
      </c>
      <c r="M38" t="s">
        <v>1739</v>
      </c>
      <c r="N38" t="s">
        <v>1776</v>
      </c>
      <c r="O38" t="str">
        <f t="shared" si="1"/>
        <v>Duplicate</v>
      </c>
    </row>
    <row r="39" spans="7:15" x14ac:dyDescent="0.3">
      <c r="G39" t="s">
        <v>1740</v>
      </c>
      <c r="H39" t="str">
        <f t="shared" si="0"/>
        <v>Duplicate</v>
      </c>
      <c r="M39" t="s">
        <v>1741</v>
      </c>
      <c r="N39" t="s">
        <v>1755</v>
      </c>
      <c r="O39" t="str">
        <f t="shared" si="1"/>
        <v/>
      </c>
    </row>
    <row r="40" spans="7:15" x14ac:dyDescent="0.3">
      <c r="G40" t="s">
        <v>1742</v>
      </c>
      <c r="H40" t="str">
        <f t="shared" si="0"/>
        <v>Duplicate</v>
      </c>
      <c r="M40" t="s">
        <v>1736</v>
      </c>
      <c r="N40" t="s">
        <v>1759</v>
      </c>
      <c r="O40" t="str">
        <f t="shared" si="1"/>
        <v>Duplicate</v>
      </c>
    </row>
    <row r="41" spans="7:15" x14ac:dyDescent="0.3">
      <c r="G41" t="s">
        <v>1739</v>
      </c>
      <c r="H41" t="str">
        <f t="shared" si="0"/>
        <v>Duplicate</v>
      </c>
      <c r="M41" t="s">
        <v>1744</v>
      </c>
      <c r="N41" t="s">
        <v>1765</v>
      </c>
      <c r="O41" t="str">
        <f t="shared" si="1"/>
        <v/>
      </c>
    </row>
    <row r="42" spans="7:15" x14ac:dyDescent="0.3">
      <c r="G42" t="s">
        <v>1738</v>
      </c>
      <c r="H42" t="str">
        <f t="shared" si="0"/>
        <v>Duplicate</v>
      </c>
      <c r="M42" t="s">
        <v>1740</v>
      </c>
      <c r="N42" t="s">
        <v>1755</v>
      </c>
      <c r="O42" t="str">
        <f t="shared" si="1"/>
        <v/>
      </c>
    </row>
    <row r="43" spans="7:15" x14ac:dyDescent="0.3">
      <c r="G43" t="s">
        <v>1737</v>
      </c>
      <c r="H43" t="str">
        <f t="shared" si="0"/>
        <v>Duplicate</v>
      </c>
      <c r="M43" t="s">
        <v>1742</v>
      </c>
      <c r="N43" t="s">
        <v>1769</v>
      </c>
      <c r="O43" t="str">
        <f t="shared" si="1"/>
        <v>Duplicate</v>
      </c>
    </row>
    <row r="44" spans="7:15" x14ac:dyDescent="0.3">
      <c r="G44" t="s">
        <v>1743</v>
      </c>
      <c r="H44" t="str">
        <f t="shared" si="0"/>
        <v>Duplicate</v>
      </c>
      <c r="M44" t="s">
        <v>1739</v>
      </c>
      <c r="N44" t="s">
        <v>1776</v>
      </c>
      <c r="O44" t="str">
        <f t="shared" si="1"/>
        <v>Duplicate</v>
      </c>
    </row>
    <row r="45" spans="7:15" x14ac:dyDescent="0.3">
      <c r="G45" t="s">
        <v>1738</v>
      </c>
      <c r="H45" t="str">
        <f t="shared" si="0"/>
        <v>Duplicate</v>
      </c>
      <c r="M45" t="s">
        <v>1738</v>
      </c>
      <c r="N45" t="s">
        <v>1756</v>
      </c>
      <c r="O45" t="str">
        <f t="shared" si="1"/>
        <v>Duplicate</v>
      </c>
    </row>
    <row r="46" spans="7:15" x14ac:dyDescent="0.3">
      <c r="G46" t="s">
        <v>1739</v>
      </c>
      <c r="H46" t="str">
        <f t="shared" si="0"/>
        <v>Duplicate</v>
      </c>
      <c r="M46" t="s">
        <v>1737</v>
      </c>
      <c r="N46" t="s">
        <v>1762</v>
      </c>
      <c r="O46" t="str">
        <f t="shared" si="1"/>
        <v/>
      </c>
    </row>
    <row r="47" spans="7:15" x14ac:dyDescent="0.3">
      <c r="G47" t="s">
        <v>1741</v>
      </c>
      <c r="H47" t="str">
        <f t="shared" si="0"/>
        <v>Duplicate</v>
      </c>
      <c r="M47" t="s">
        <v>1743</v>
      </c>
      <c r="N47" t="s">
        <v>1761</v>
      </c>
      <c r="O47" t="str">
        <f t="shared" si="1"/>
        <v/>
      </c>
    </row>
    <row r="48" spans="7:15" x14ac:dyDescent="0.3">
      <c r="G48" t="s">
        <v>1736</v>
      </c>
      <c r="H48" t="str">
        <f t="shared" si="0"/>
        <v>Duplicate</v>
      </c>
      <c r="M48" t="s">
        <v>1738</v>
      </c>
      <c r="N48" t="s">
        <v>1756</v>
      </c>
      <c r="O48" t="str">
        <f t="shared" si="1"/>
        <v>Duplicate</v>
      </c>
    </row>
    <row r="49" spans="7:15" x14ac:dyDescent="0.3">
      <c r="G49" t="s">
        <v>1744</v>
      </c>
      <c r="H49" t="str">
        <f t="shared" si="0"/>
        <v>Duplicate</v>
      </c>
      <c r="M49" t="s">
        <v>1739</v>
      </c>
      <c r="N49" t="s">
        <v>1770</v>
      </c>
      <c r="O49" t="str">
        <f t="shared" si="1"/>
        <v>Duplicate</v>
      </c>
    </row>
    <row r="50" spans="7:15" x14ac:dyDescent="0.3">
      <c r="G50" t="s">
        <v>1740</v>
      </c>
      <c r="H50" t="str">
        <f t="shared" si="0"/>
        <v>Duplicate</v>
      </c>
      <c r="M50" t="s">
        <v>1741</v>
      </c>
      <c r="N50" t="s">
        <v>1760</v>
      </c>
      <c r="O50" t="str">
        <f t="shared" si="1"/>
        <v>Duplicate</v>
      </c>
    </row>
    <row r="51" spans="7:15" x14ac:dyDescent="0.3">
      <c r="G51" t="s">
        <v>1742</v>
      </c>
      <c r="H51" t="str">
        <f t="shared" si="0"/>
        <v>Duplicate</v>
      </c>
      <c r="M51" t="s">
        <v>1736</v>
      </c>
      <c r="N51" t="s">
        <v>1771</v>
      </c>
      <c r="O51" t="str">
        <f t="shared" si="1"/>
        <v>Duplicate</v>
      </c>
    </row>
    <row r="52" spans="7:15" x14ac:dyDescent="0.3">
      <c r="G52" t="s">
        <v>1739</v>
      </c>
      <c r="H52" t="str">
        <f t="shared" si="0"/>
        <v>Duplicate</v>
      </c>
      <c r="M52" t="s">
        <v>1744</v>
      </c>
      <c r="N52" t="s">
        <v>1761</v>
      </c>
      <c r="O52" t="str">
        <f t="shared" si="1"/>
        <v>Duplicate</v>
      </c>
    </row>
    <row r="53" spans="7:15" x14ac:dyDescent="0.3">
      <c r="G53" t="s">
        <v>1738</v>
      </c>
      <c r="H53" t="str">
        <f t="shared" si="0"/>
        <v>Duplicate</v>
      </c>
      <c r="M53" t="s">
        <v>1740</v>
      </c>
      <c r="N53" t="s">
        <v>1766</v>
      </c>
      <c r="O53" t="str">
        <f t="shared" si="1"/>
        <v/>
      </c>
    </row>
    <row r="54" spans="7:15" x14ac:dyDescent="0.3">
      <c r="G54" t="s">
        <v>1743</v>
      </c>
      <c r="H54" t="str">
        <f t="shared" si="0"/>
        <v>Duplicate</v>
      </c>
      <c r="M54" t="s">
        <v>1742</v>
      </c>
      <c r="N54" t="s">
        <v>1762</v>
      </c>
      <c r="O54" t="str">
        <f t="shared" si="1"/>
        <v>Duplicate</v>
      </c>
    </row>
    <row r="55" spans="7:15" x14ac:dyDescent="0.3">
      <c r="G55" t="s">
        <v>1737</v>
      </c>
      <c r="H55" t="str">
        <f t="shared" si="0"/>
        <v>Duplicate</v>
      </c>
      <c r="M55" t="s">
        <v>1739</v>
      </c>
      <c r="N55" t="s">
        <v>1762</v>
      </c>
      <c r="O55" t="str">
        <f t="shared" si="1"/>
        <v/>
      </c>
    </row>
    <row r="56" spans="7:15" x14ac:dyDescent="0.3">
      <c r="G56" t="s">
        <v>1741</v>
      </c>
      <c r="H56" t="str">
        <f t="shared" si="0"/>
        <v>Duplicate</v>
      </c>
      <c r="M56" t="s">
        <v>1738</v>
      </c>
      <c r="N56" t="s">
        <v>1775</v>
      </c>
      <c r="O56" t="str">
        <f t="shared" si="1"/>
        <v>Duplicate</v>
      </c>
    </row>
    <row r="57" spans="7:15" x14ac:dyDescent="0.3">
      <c r="G57" t="s">
        <v>1736</v>
      </c>
      <c r="H57" t="str">
        <f t="shared" si="0"/>
        <v>Duplicate</v>
      </c>
      <c r="M57" t="s">
        <v>1737</v>
      </c>
      <c r="N57" t="s">
        <v>1773</v>
      </c>
      <c r="O57" t="str">
        <f t="shared" si="1"/>
        <v/>
      </c>
    </row>
    <row r="58" spans="7:15" x14ac:dyDescent="0.3">
      <c r="G58" t="s">
        <v>1744</v>
      </c>
      <c r="H58" t="str">
        <f t="shared" si="0"/>
        <v>Duplicate</v>
      </c>
      <c r="M58" t="s">
        <v>1743</v>
      </c>
      <c r="N58" t="s">
        <v>1773</v>
      </c>
      <c r="O58" t="str">
        <f t="shared" si="1"/>
        <v/>
      </c>
    </row>
    <row r="59" spans="7:15" x14ac:dyDescent="0.3">
      <c r="G59" t="s">
        <v>1740</v>
      </c>
      <c r="H59" t="str">
        <f t="shared" si="0"/>
        <v>Duplicate</v>
      </c>
      <c r="M59" t="s">
        <v>1738</v>
      </c>
      <c r="N59" t="s">
        <v>1759</v>
      </c>
      <c r="O59" t="str">
        <f t="shared" si="1"/>
        <v>Duplicate</v>
      </c>
    </row>
    <row r="60" spans="7:15" x14ac:dyDescent="0.3">
      <c r="G60" t="s">
        <v>1742</v>
      </c>
      <c r="H60" t="str">
        <f t="shared" si="0"/>
        <v>Duplicate</v>
      </c>
      <c r="M60" t="s">
        <v>1739</v>
      </c>
      <c r="N60" t="s">
        <v>1764</v>
      </c>
      <c r="O60" t="str">
        <f t="shared" si="1"/>
        <v>Duplicate</v>
      </c>
    </row>
    <row r="61" spans="7:15" x14ac:dyDescent="0.3">
      <c r="G61" t="s">
        <v>1739</v>
      </c>
      <c r="H61" t="str">
        <f t="shared" si="0"/>
        <v>Duplicate</v>
      </c>
      <c r="M61" t="s">
        <v>1741</v>
      </c>
      <c r="N61" t="s">
        <v>1762</v>
      </c>
      <c r="O61" t="str">
        <f t="shared" si="1"/>
        <v/>
      </c>
    </row>
    <row r="62" spans="7:15" x14ac:dyDescent="0.3">
      <c r="G62" t="s">
        <v>1738</v>
      </c>
      <c r="H62" t="str">
        <f t="shared" si="0"/>
        <v>Duplicate</v>
      </c>
      <c r="M62" t="s">
        <v>1736</v>
      </c>
      <c r="N62" t="s">
        <v>1759</v>
      </c>
      <c r="O62" t="str">
        <f t="shared" si="1"/>
        <v>Duplicate</v>
      </c>
    </row>
    <row r="63" spans="7:15" x14ac:dyDescent="0.3">
      <c r="G63" t="s">
        <v>1737</v>
      </c>
      <c r="H63" t="str">
        <f t="shared" si="0"/>
        <v>Duplicate</v>
      </c>
      <c r="M63" t="s">
        <v>1744</v>
      </c>
      <c r="N63" t="s">
        <v>1767</v>
      </c>
      <c r="O63" t="str">
        <f t="shared" si="1"/>
        <v>Duplicate</v>
      </c>
    </row>
    <row r="64" spans="7:15" x14ac:dyDescent="0.3">
      <c r="G64" t="s">
        <v>1740</v>
      </c>
      <c r="H64" t="str">
        <f t="shared" si="0"/>
        <v>Duplicate</v>
      </c>
      <c r="M64" t="s">
        <v>1736</v>
      </c>
      <c r="N64" t="s">
        <v>1774</v>
      </c>
      <c r="O64" t="str">
        <f t="shared" si="1"/>
        <v/>
      </c>
    </row>
    <row r="65" spans="7:15" x14ac:dyDescent="0.3">
      <c r="G65" t="s">
        <v>1742</v>
      </c>
      <c r="H65" t="str">
        <f t="shared" si="0"/>
        <v>Duplicate</v>
      </c>
      <c r="M65" t="s">
        <v>1744</v>
      </c>
      <c r="N65" t="s">
        <v>1771</v>
      </c>
      <c r="O65" t="str">
        <f t="shared" si="1"/>
        <v/>
      </c>
    </row>
    <row r="66" spans="7:15" x14ac:dyDescent="0.3">
      <c r="G66" t="s">
        <v>1739</v>
      </c>
      <c r="H66" t="str">
        <f t="shared" si="0"/>
        <v>Duplicate</v>
      </c>
      <c r="M66" t="s">
        <v>1740</v>
      </c>
      <c r="N66" t="s">
        <v>1761</v>
      </c>
      <c r="O66" t="str">
        <f t="shared" si="1"/>
        <v>Duplicate</v>
      </c>
    </row>
    <row r="67" spans="7:15" x14ac:dyDescent="0.3">
      <c r="G67" t="s">
        <v>1738</v>
      </c>
      <c r="H67" t="str">
        <f t="shared" ref="H67:H130" si="2">IF(COUNTIF(G67:G221, G66)&gt;1, "Duplicate", "Unique")</f>
        <v>Duplicate</v>
      </c>
      <c r="M67" t="s">
        <v>1742</v>
      </c>
      <c r="N67" t="s">
        <v>1769</v>
      </c>
      <c r="O67" t="str">
        <f t="shared" ref="O67:O130" si="3">IF(COUNTIFS($M:$M,M67,$N:$N,N67)&gt;1,"Duplicate","")</f>
        <v>Duplicate</v>
      </c>
    </row>
    <row r="68" spans="7:15" x14ac:dyDescent="0.3">
      <c r="G68" t="s">
        <v>1737</v>
      </c>
      <c r="H68" t="str">
        <f t="shared" si="2"/>
        <v>Duplicate</v>
      </c>
      <c r="M68" t="s">
        <v>1739</v>
      </c>
      <c r="N68" t="s">
        <v>1758</v>
      </c>
      <c r="O68" t="str">
        <f t="shared" si="3"/>
        <v>Duplicate</v>
      </c>
    </row>
    <row r="69" spans="7:15" x14ac:dyDescent="0.3">
      <c r="G69" t="s">
        <v>1743</v>
      </c>
      <c r="H69" t="str">
        <f t="shared" si="2"/>
        <v>Duplicate</v>
      </c>
      <c r="M69" t="s">
        <v>1738</v>
      </c>
      <c r="N69" t="s">
        <v>1765</v>
      </c>
      <c r="O69" t="str">
        <f t="shared" si="3"/>
        <v>Duplicate</v>
      </c>
    </row>
    <row r="70" spans="7:15" x14ac:dyDescent="0.3">
      <c r="G70" t="s">
        <v>1738</v>
      </c>
      <c r="H70" t="str">
        <f t="shared" si="2"/>
        <v>Duplicate</v>
      </c>
      <c r="M70" t="s">
        <v>1743</v>
      </c>
      <c r="N70" t="s">
        <v>1768</v>
      </c>
      <c r="O70" t="str">
        <f t="shared" si="3"/>
        <v>Duplicate</v>
      </c>
    </row>
    <row r="71" spans="7:15" x14ac:dyDescent="0.3">
      <c r="G71" t="s">
        <v>1739</v>
      </c>
      <c r="H71" t="str">
        <f t="shared" si="2"/>
        <v>Duplicate</v>
      </c>
      <c r="M71" t="s">
        <v>1737</v>
      </c>
      <c r="N71" t="s">
        <v>1756</v>
      </c>
      <c r="O71" t="str">
        <f t="shared" si="3"/>
        <v>Duplicate</v>
      </c>
    </row>
    <row r="72" spans="7:15" x14ac:dyDescent="0.3">
      <c r="G72" t="s">
        <v>1741</v>
      </c>
      <c r="H72" t="str">
        <f t="shared" si="2"/>
        <v>Duplicate</v>
      </c>
      <c r="M72" t="s">
        <v>1741</v>
      </c>
      <c r="N72" t="s">
        <v>1768</v>
      </c>
      <c r="O72" t="str">
        <f t="shared" si="3"/>
        <v/>
      </c>
    </row>
    <row r="73" spans="7:15" x14ac:dyDescent="0.3">
      <c r="G73" t="s">
        <v>1736</v>
      </c>
      <c r="H73" t="str">
        <f t="shared" si="2"/>
        <v>Duplicate</v>
      </c>
      <c r="M73" t="s">
        <v>1736</v>
      </c>
      <c r="N73" t="s">
        <v>1775</v>
      </c>
      <c r="O73" t="str">
        <f t="shared" si="3"/>
        <v/>
      </c>
    </row>
    <row r="74" spans="7:15" x14ac:dyDescent="0.3">
      <c r="G74" t="s">
        <v>1744</v>
      </c>
      <c r="H74" t="str">
        <f t="shared" si="2"/>
        <v>Duplicate</v>
      </c>
      <c r="M74" t="s">
        <v>1744</v>
      </c>
      <c r="N74" t="s">
        <v>1768</v>
      </c>
      <c r="O74" t="str">
        <f t="shared" si="3"/>
        <v/>
      </c>
    </row>
    <row r="75" spans="7:15" x14ac:dyDescent="0.3">
      <c r="G75" t="s">
        <v>1740</v>
      </c>
      <c r="H75" t="str">
        <f t="shared" si="2"/>
        <v>Duplicate</v>
      </c>
      <c r="M75" t="s">
        <v>1740</v>
      </c>
      <c r="N75" t="s">
        <v>1772</v>
      </c>
      <c r="O75" t="str">
        <f t="shared" si="3"/>
        <v/>
      </c>
    </row>
    <row r="76" spans="7:15" x14ac:dyDescent="0.3">
      <c r="G76" t="s">
        <v>1742</v>
      </c>
      <c r="H76" t="str">
        <f t="shared" si="2"/>
        <v>Duplicate</v>
      </c>
      <c r="M76" t="s">
        <v>1742</v>
      </c>
      <c r="N76" t="s">
        <v>1759</v>
      </c>
      <c r="O76" t="str">
        <f t="shared" si="3"/>
        <v/>
      </c>
    </row>
    <row r="77" spans="7:15" x14ac:dyDescent="0.3">
      <c r="G77" t="s">
        <v>1739</v>
      </c>
      <c r="H77" t="str">
        <f t="shared" si="2"/>
        <v>Duplicate</v>
      </c>
      <c r="M77" t="s">
        <v>1739</v>
      </c>
      <c r="N77" t="s">
        <v>1773</v>
      </c>
      <c r="O77" t="str">
        <f t="shared" si="3"/>
        <v>Duplicate</v>
      </c>
    </row>
    <row r="78" spans="7:15" x14ac:dyDescent="0.3">
      <c r="G78" t="s">
        <v>1738</v>
      </c>
      <c r="H78" t="str">
        <f t="shared" si="2"/>
        <v>Duplicate</v>
      </c>
      <c r="M78" t="s">
        <v>1738</v>
      </c>
      <c r="N78" t="s">
        <v>1775</v>
      </c>
      <c r="O78" t="str">
        <f t="shared" si="3"/>
        <v>Duplicate</v>
      </c>
    </row>
    <row r="79" spans="7:15" x14ac:dyDescent="0.3">
      <c r="G79" t="s">
        <v>1737</v>
      </c>
      <c r="H79" t="str">
        <f t="shared" si="2"/>
        <v>Duplicate</v>
      </c>
      <c r="M79" t="s">
        <v>1737</v>
      </c>
      <c r="N79" t="s">
        <v>1760</v>
      </c>
      <c r="O79" t="str">
        <f t="shared" si="3"/>
        <v>Duplicate</v>
      </c>
    </row>
    <row r="80" spans="7:15" x14ac:dyDescent="0.3">
      <c r="G80" t="s">
        <v>1743</v>
      </c>
      <c r="H80" t="str">
        <f t="shared" si="2"/>
        <v>Duplicate</v>
      </c>
      <c r="M80" t="s">
        <v>1743</v>
      </c>
      <c r="N80" t="s">
        <v>1767</v>
      </c>
      <c r="O80" t="str">
        <f t="shared" si="3"/>
        <v/>
      </c>
    </row>
    <row r="81" spans="7:15" x14ac:dyDescent="0.3">
      <c r="G81" t="s">
        <v>1738</v>
      </c>
      <c r="H81" t="str">
        <f t="shared" si="2"/>
        <v>Duplicate</v>
      </c>
      <c r="M81" t="s">
        <v>1738</v>
      </c>
      <c r="N81" t="s">
        <v>1759</v>
      </c>
      <c r="O81" t="str">
        <f t="shared" si="3"/>
        <v>Duplicate</v>
      </c>
    </row>
    <row r="82" spans="7:15" x14ac:dyDescent="0.3">
      <c r="G82" t="s">
        <v>1739</v>
      </c>
      <c r="H82" t="str">
        <f t="shared" si="2"/>
        <v>Duplicate</v>
      </c>
      <c r="M82" t="s">
        <v>1739</v>
      </c>
      <c r="N82" t="s">
        <v>1769</v>
      </c>
      <c r="O82" t="str">
        <f t="shared" si="3"/>
        <v/>
      </c>
    </row>
    <row r="83" spans="7:15" x14ac:dyDescent="0.3">
      <c r="G83" t="s">
        <v>1741</v>
      </c>
      <c r="H83" t="str">
        <f t="shared" si="2"/>
        <v>Duplicate</v>
      </c>
      <c r="M83" t="s">
        <v>1741</v>
      </c>
      <c r="N83" t="s">
        <v>1760</v>
      </c>
      <c r="O83" t="str">
        <f t="shared" si="3"/>
        <v>Duplicate</v>
      </c>
    </row>
    <row r="84" spans="7:15" x14ac:dyDescent="0.3">
      <c r="G84" t="s">
        <v>1736</v>
      </c>
      <c r="H84" t="str">
        <f t="shared" si="2"/>
        <v>Duplicate</v>
      </c>
      <c r="M84" t="s">
        <v>1736</v>
      </c>
      <c r="N84" t="s">
        <v>1768</v>
      </c>
      <c r="O84" t="str">
        <f t="shared" si="3"/>
        <v/>
      </c>
    </row>
    <row r="85" spans="7:15" x14ac:dyDescent="0.3">
      <c r="G85" t="s">
        <v>1744</v>
      </c>
      <c r="H85" t="str">
        <f t="shared" si="2"/>
        <v>Duplicate</v>
      </c>
      <c r="M85" t="s">
        <v>1744</v>
      </c>
      <c r="N85" t="s">
        <v>1754</v>
      </c>
      <c r="O85" t="str">
        <f t="shared" si="3"/>
        <v/>
      </c>
    </row>
    <row r="86" spans="7:15" x14ac:dyDescent="0.3">
      <c r="G86" t="s">
        <v>1740</v>
      </c>
      <c r="H86" t="str">
        <f t="shared" si="2"/>
        <v>Duplicate</v>
      </c>
      <c r="M86" t="s">
        <v>1740</v>
      </c>
      <c r="N86" t="s">
        <v>1769</v>
      </c>
      <c r="O86" t="str">
        <f t="shared" si="3"/>
        <v/>
      </c>
    </row>
    <row r="87" spans="7:15" x14ac:dyDescent="0.3">
      <c r="G87" t="s">
        <v>1742</v>
      </c>
      <c r="H87" t="str">
        <f t="shared" si="2"/>
        <v>Duplicate</v>
      </c>
      <c r="M87" t="s">
        <v>1742</v>
      </c>
      <c r="N87" t="s">
        <v>1772</v>
      </c>
      <c r="O87" t="str">
        <f t="shared" si="3"/>
        <v/>
      </c>
    </row>
    <row r="88" spans="7:15" x14ac:dyDescent="0.3">
      <c r="G88" t="s">
        <v>1739</v>
      </c>
      <c r="H88" t="str">
        <f t="shared" si="2"/>
        <v>Duplicate</v>
      </c>
      <c r="M88" t="s">
        <v>1739</v>
      </c>
      <c r="N88" t="s">
        <v>1755</v>
      </c>
      <c r="O88" t="str">
        <f t="shared" si="3"/>
        <v/>
      </c>
    </row>
    <row r="89" spans="7:15" x14ac:dyDescent="0.3">
      <c r="G89" t="s">
        <v>1738</v>
      </c>
      <c r="H89" t="str">
        <f t="shared" si="2"/>
        <v>Duplicate</v>
      </c>
      <c r="M89" t="s">
        <v>1738</v>
      </c>
      <c r="N89" t="s">
        <v>1776</v>
      </c>
      <c r="O89" t="str">
        <f t="shared" si="3"/>
        <v/>
      </c>
    </row>
    <row r="90" spans="7:15" x14ac:dyDescent="0.3">
      <c r="G90" t="s">
        <v>1743</v>
      </c>
      <c r="H90" t="str">
        <f t="shared" si="2"/>
        <v>Duplicate</v>
      </c>
      <c r="M90" t="s">
        <v>1743</v>
      </c>
      <c r="N90" t="s">
        <v>1774</v>
      </c>
      <c r="O90" t="str">
        <f t="shared" si="3"/>
        <v/>
      </c>
    </row>
    <row r="91" spans="7:15" x14ac:dyDescent="0.3">
      <c r="G91" t="s">
        <v>1737</v>
      </c>
      <c r="H91" t="str">
        <f t="shared" si="2"/>
        <v>Duplicate</v>
      </c>
      <c r="M91" t="s">
        <v>1737</v>
      </c>
      <c r="N91" t="s">
        <v>1760</v>
      </c>
      <c r="O91" t="str">
        <f t="shared" si="3"/>
        <v>Duplicate</v>
      </c>
    </row>
    <row r="92" spans="7:15" x14ac:dyDescent="0.3">
      <c r="G92" t="s">
        <v>1741</v>
      </c>
      <c r="H92" t="str">
        <f t="shared" si="2"/>
        <v>Duplicate</v>
      </c>
      <c r="M92" t="s">
        <v>1741</v>
      </c>
      <c r="N92" t="s">
        <v>1770</v>
      </c>
      <c r="O92" t="str">
        <f t="shared" si="3"/>
        <v>Duplicate</v>
      </c>
    </row>
    <row r="93" spans="7:15" x14ac:dyDescent="0.3">
      <c r="G93" t="s">
        <v>1736</v>
      </c>
      <c r="H93" t="str">
        <f t="shared" si="2"/>
        <v>Duplicate</v>
      </c>
      <c r="M93" t="s">
        <v>1736</v>
      </c>
      <c r="N93" t="s">
        <v>1771</v>
      </c>
      <c r="O93" t="str">
        <f t="shared" si="3"/>
        <v>Duplicate</v>
      </c>
    </row>
    <row r="94" spans="7:15" x14ac:dyDescent="0.3">
      <c r="G94" t="s">
        <v>1744</v>
      </c>
      <c r="H94" t="str">
        <f t="shared" si="2"/>
        <v>Duplicate</v>
      </c>
      <c r="M94" t="s">
        <v>1744</v>
      </c>
      <c r="N94" t="s">
        <v>1761</v>
      </c>
      <c r="O94" t="str">
        <f t="shared" si="3"/>
        <v>Duplicate</v>
      </c>
    </row>
    <row r="95" spans="7:15" x14ac:dyDescent="0.3">
      <c r="G95" t="s">
        <v>1740</v>
      </c>
      <c r="H95" t="str">
        <f t="shared" si="2"/>
        <v>Duplicate</v>
      </c>
      <c r="M95" t="s">
        <v>1744</v>
      </c>
      <c r="N95" t="s">
        <v>1760</v>
      </c>
      <c r="O95" t="str">
        <f t="shared" si="3"/>
        <v/>
      </c>
    </row>
    <row r="96" spans="7:15" x14ac:dyDescent="0.3">
      <c r="G96" t="s">
        <v>1742</v>
      </c>
      <c r="H96" t="str">
        <f t="shared" si="2"/>
        <v>Duplicate</v>
      </c>
      <c r="M96" t="s">
        <v>1740</v>
      </c>
      <c r="N96" t="s">
        <v>1774</v>
      </c>
      <c r="O96" t="str">
        <f t="shared" si="3"/>
        <v/>
      </c>
    </row>
    <row r="97" spans="7:15" x14ac:dyDescent="0.3">
      <c r="G97" t="s">
        <v>1739</v>
      </c>
      <c r="H97" t="str">
        <f t="shared" si="2"/>
        <v>Duplicate</v>
      </c>
      <c r="M97" t="s">
        <v>1742</v>
      </c>
      <c r="N97" t="s">
        <v>1756</v>
      </c>
      <c r="O97" t="str">
        <f t="shared" si="3"/>
        <v>Duplicate</v>
      </c>
    </row>
    <row r="98" spans="7:15" x14ac:dyDescent="0.3">
      <c r="G98" t="s">
        <v>1738</v>
      </c>
      <c r="H98" t="str">
        <f t="shared" si="2"/>
        <v>Duplicate</v>
      </c>
      <c r="M98" t="s">
        <v>1739</v>
      </c>
      <c r="N98" t="s">
        <v>1764</v>
      </c>
      <c r="O98" t="str">
        <f t="shared" si="3"/>
        <v>Duplicate</v>
      </c>
    </row>
    <row r="99" spans="7:15" x14ac:dyDescent="0.3">
      <c r="G99" t="s">
        <v>1737</v>
      </c>
      <c r="H99" t="str">
        <f t="shared" si="2"/>
        <v>Duplicate</v>
      </c>
      <c r="M99" t="s">
        <v>1738</v>
      </c>
      <c r="N99" t="s">
        <v>1761</v>
      </c>
      <c r="O99" t="str">
        <f t="shared" si="3"/>
        <v>Duplicate</v>
      </c>
    </row>
    <row r="100" spans="7:15" x14ac:dyDescent="0.3">
      <c r="G100" t="s">
        <v>1743</v>
      </c>
      <c r="H100" t="str">
        <f t="shared" si="2"/>
        <v>Duplicate</v>
      </c>
      <c r="M100" t="s">
        <v>1737</v>
      </c>
      <c r="N100" t="s">
        <v>1754</v>
      </c>
      <c r="O100" t="str">
        <f t="shared" si="3"/>
        <v/>
      </c>
    </row>
    <row r="101" spans="7:15" x14ac:dyDescent="0.3">
      <c r="G101" t="s">
        <v>1738</v>
      </c>
      <c r="H101" t="str">
        <f t="shared" si="2"/>
        <v>Duplicate</v>
      </c>
      <c r="M101" t="s">
        <v>1743</v>
      </c>
      <c r="N101" t="s">
        <v>1775</v>
      </c>
      <c r="O101" t="str">
        <f t="shared" si="3"/>
        <v/>
      </c>
    </row>
    <row r="102" spans="7:15" x14ac:dyDescent="0.3">
      <c r="G102" t="s">
        <v>1739</v>
      </c>
      <c r="H102" t="str">
        <f t="shared" si="2"/>
        <v>Duplicate</v>
      </c>
      <c r="M102" t="s">
        <v>1738</v>
      </c>
      <c r="N102" t="s">
        <v>1765</v>
      </c>
      <c r="O102" t="str">
        <f t="shared" si="3"/>
        <v>Duplicate</v>
      </c>
    </row>
    <row r="103" spans="7:15" x14ac:dyDescent="0.3">
      <c r="G103" t="s">
        <v>1741</v>
      </c>
      <c r="H103" t="str">
        <f t="shared" si="2"/>
        <v>Duplicate</v>
      </c>
      <c r="M103" t="s">
        <v>1739</v>
      </c>
      <c r="N103" t="s">
        <v>1758</v>
      </c>
      <c r="O103" t="str">
        <f t="shared" si="3"/>
        <v>Duplicate</v>
      </c>
    </row>
    <row r="104" spans="7:15" x14ac:dyDescent="0.3">
      <c r="G104" t="s">
        <v>1736</v>
      </c>
      <c r="H104" t="str">
        <f t="shared" si="2"/>
        <v>Duplicate</v>
      </c>
      <c r="M104" t="s">
        <v>1741</v>
      </c>
      <c r="N104" t="s">
        <v>1770</v>
      </c>
      <c r="O104" t="str">
        <f t="shared" si="3"/>
        <v>Duplicate</v>
      </c>
    </row>
    <row r="105" spans="7:15" x14ac:dyDescent="0.3">
      <c r="G105" t="s">
        <v>1744</v>
      </c>
      <c r="H105" t="str">
        <f t="shared" si="2"/>
        <v>Duplicate</v>
      </c>
      <c r="M105" t="s">
        <v>1736</v>
      </c>
      <c r="N105" t="s">
        <v>1767</v>
      </c>
      <c r="O105" t="str">
        <f t="shared" si="3"/>
        <v/>
      </c>
    </row>
    <row r="106" spans="7:15" x14ac:dyDescent="0.3">
      <c r="G106" t="s">
        <v>1740</v>
      </c>
      <c r="H106" t="str">
        <f t="shared" si="2"/>
        <v>Duplicate</v>
      </c>
      <c r="M106" t="s">
        <v>1744</v>
      </c>
      <c r="N106" t="s">
        <v>1766</v>
      </c>
      <c r="O106" t="str">
        <f t="shared" si="3"/>
        <v/>
      </c>
    </row>
    <row r="107" spans="7:15" x14ac:dyDescent="0.3">
      <c r="G107" t="s">
        <v>1742</v>
      </c>
      <c r="H107" t="str">
        <f t="shared" si="2"/>
        <v>Duplicate</v>
      </c>
      <c r="M107" t="s">
        <v>1740</v>
      </c>
      <c r="N107" t="s">
        <v>1761</v>
      </c>
      <c r="O107" t="str">
        <f t="shared" si="3"/>
        <v>Duplicate</v>
      </c>
    </row>
    <row r="108" spans="7:15" x14ac:dyDescent="0.3">
      <c r="G108" t="s">
        <v>1739</v>
      </c>
      <c r="H108" t="str">
        <f t="shared" si="2"/>
        <v>Duplicate</v>
      </c>
      <c r="M108" t="s">
        <v>1742</v>
      </c>
      <c r="N108" t="s">
        <v>1766</v>
      </c>
      <c r="O108" t="str">
        <f t="shared" si="3"/>
        <v/>
      </c>
    </row>
    <row r="109" spans="7:15" x14ac:dyDescent="0.3">
      <c r="G109" t="s">
        <v>1738</v>
      </c>
      <c r="H109" t="str">
        <f t="shared" si="2"/>
        <v>Duplicate</v>
      </c>
      <c r="M109" t="s">
        <v>1739</v>
      </c>
      <c r="N109" t="s">
        <v>1772</v>
      </c>
      <c r="O109" t="str">
        <f t="shared" si="3"/>
        <v>Duplicate</v>
      </c>
    </row>
    <row r="110" spans="7:15" x14ac:dyDescent="0.3">
      <c r="G110" t="s">
        <v>1737</v>
      </c>
      <c r="H110" t="str">
        <f t="shared" si="2"/>
        <v>Duplicate</v>
      </c>
      <c r="M110" t="s">
        <v>1738</v>
      </c>
      <c r="N110" t="s">
        <v>1761</v>
      </c>
      <c r="O110" t="str">
        <f t="shared" si="3"/>
        <v>Duplicate</v>
      </c>
    </row>
    <row r="111" spans="7:15" x14ac:dyDescent="0.3">
      <c r="G111" t="s">
        <v>1743</v>
      </c>
      <c r="H111" t="str">
        <f t="shared" si="2"/>
        <v>Duplicate</v>
      </c>
      <c r="M111" t="s">
        <v>1737</v>
      </c>
      <c r="N111" t="s">
        <v>1758</v>
      </c>
      <c r="O111" t="str">
        <f t="shared" si="3"/>
        <v/>
      </c>
    </row>
    <row r="112" spans="7:15" x14ac:dyDescent="0.3">
      <c r="G112" t="s">
        <v>1738</v>
      </c>
      <c r="H112" t="str">
        <f t="shared" si="2"/>
        <v>Duplicate</v>
      </c>
      <c r="M112" t="s">
        <v>1743</v>
      </c>
      <c r="N112" t="s">
        <v>1771</v>
      </c>
      <c r="O112" t="str">
        <f t="shared" si="3"/>
        <v/>
      </c>
    </row>
    <row r="113" spans="7:15" x14ac:dyDescent="0.3">
      <c r="G113" t="s">
        <v>1739</v>
      </c>
      <c r="H113" t="str">
        <f t="shared" si="2"/>
        <v>Duplicate</v>
      </c>
      <c r="M113" t="s">
        <v>1738</v>
      </c>
      <c r="N113" t="s">
        <v>1772</v>
      </c>
      <c r="O113" t="str">
        <f t="shared" si="3"/>
        <v/>
      </c>
    </row>
    <row r="114" spans="7:15" x14ac:dyDescent="0.3">
      <c r="G114" t="s">
        <v>1741</v>
      </c>
      <c r="H114" t="str">
        <f t="shared" si="2"/>
        <v>Duplicate</v>
      </c>
      <c r="M114" t="s">
        <v>1739</v>
      </c>
      <c r="N114" t="s">
        <v>1776</v>
      </c>
      <c r="O114" t="str">
        <f t="shared" si="3"/>
        <v>Duplicate</v>
      </c>
    </row>
    <row r="115" spans="7:15" x14ac:dyDescent="0.3">
      <c r="G115" t="s">
        <v>1736</v>
      </c>
      <c r="H115" t="str">
        <f t="shared" si="2"/>
        <v>Duplicate</v>
      </c>
      <c r="M115" t="s">
        <v>1741</v>
      </c>
      <c r="N115" t="s">
        <v>1759</v>
      </c>
      <c r="O115" t="str">
        <f t="shared" si="3"/>
        <v/>
      </c>
    </row>
    <row r="116" spans="7:15" x14ac:dyDescent="0.3">
      <c r="G116" t="s">
        <v>1744</v>
      </c>
      <c r="H116" t="str">
        <f t="shared" si="2"/>
        <v>Duplicate</v>
      </c>
      <c r="M116" t="s">
        <v>1736</v>
      </c>
      <c r="N116" t="s">
        <v>1759</v>
      </c>
      <c r="O116" t="str">
        <f t="shared" si="3"/>
        <v>Duplicate</v>
      </c>
    </row>
    <row r="117" spans="7:15" x14ac:dyDescent="0.3">
      <c r="G117" t="s">
        <v>1740</v>
      </c>
      <c r="H117" t="str">
        <f t="shared" si="2"/>
        <v>Duplicate</v>
      </c>
      <c r="M117" t="s">
        <v>1744</v>
      </c>
      <c r="N117" t="s">
        <v>1775</v>
      </c>
      <c r="O117" t="str">
        <f t="shared" si="3"/>
        <v/>
      </c>
    </row>
    <row r="118" spans="7:15" x14ac:dyDescent="0.3">
      <c r="G118" t="s">
        <v>1742</v>
      </c>
      <c r="H118" t="str">
        <f t="shared" si="2"/>
        <v>Duplicate</v>
      </c>
      <c r="M118" t="s">
        <v>1740</v>
      </c>
      <c r="N118" t="s">
        <v>1762</v>
      </c>
      <c r="O118" t="str">
        <f t="shared" si="3"/>
        <v>Duplicate</v>
      </c>
    </row>
    <row r="119" spans="7:15" x14ac:dyDescent="0.3">
      <c r="G119" t="s">
        <v>1739</v>
      </c>
      <c r="H119" t="str">
        <f t="shared" si="2"/>
        <v>Duplicate</v>
      </c>
      <c r="M119" t="s">
        <v>1742</v>
      </c>
      <c r="N119" t="s">
        <v>1773</v>
      </c>
      <c r="O119" t="str">
        <f t="shared" si="3"/>
        <v/>
      </c>
    </row>
    <row r="120" spans="7:15" x14ac:dyDescent="0.3">
      <c r="G120" t="s">
        <v>1738</v>
      </c>
      <c r="H120" t="str">
        <f t="shared" si="2"/>
        <v>Duplicate</v>
      </c>
      <c r="M120" t="s">
        <v>1739</v>
      </c>
      <c r="N120" t="s">
        <v>1759</v>
      </c>
      <c r="O120" t="str">
        <f t="shared" si="3"/>
        <v/>
      </c>
    </row>
    <row r="121" spans="7:15" x14ac:dyDescent="0.3">
      <c r="G121" t="s">
        <v>1737</v>
      </c>
      <c r="H121" t="str">
        <f t="shared" si="2"/>
        <v>Duplicate</v>
      </c>
      <c r="M121" t="s">
        <v>1738</v>
      </c>
      <c r="N121" t="s">
        <v>1759</v>
      </c>
      <c r="O121" t="str">
        <f t="shared" si="3"/>
        <v>Duplicate</v>
      </c>
    </row>
    <row r="122" spans="7:15" x14ac:dyDescent="0.3">
      <c r="G122" t="s">
        <v>1743</v>
      </c>
      <c r="H122" t="str">
        <f t="shared" si="2"/>
        <v>Duplicate</v>
      </c>
      <c r="M122" t="s">
        <v>1737</v>
      </c>
      <c r="N122" t="s">
        <v>1768</v>
      </c>
      <c r="O122" t="str">
        <f t="shared" si="3"/>
        <v/>
      </c>
    </row>
    <row r="123" spans="7:15" x14ac:dyDescent="0.3">
      <c r="G123" t="s">
        <v>1738</v>
      </c>
      <c r="H123" t="str">
        <f t="shared" si="2"/>
        <v>Duplicate</v>
      </c>
      <c r="M123" t="s">
        <v>1743</v>
      </c>
      <c r="N123" t="s">
        <v>1760</v>
      </c>
      <c r="O123" t="str">
        <f t="shared" si="3"/>
        <v/>
      </c>
    </row>
    <row r="124" spans="7:15" x14ac:dyDescent="0.3">
      <c r="G124" t="s">
        <v>1739</v>
      </c>
      <c r="H124" t="str">
        <f t="shared" si="2"/>
        <v>Duplicate</v>
      </c>
      <c r="M124" t="s">
        <v>1738</v>
      </c>
      <c r="N124" t="s">
        <v>1774</v>
      </c>
      <c r="O124" t="str">
        <f t="shared" si="3"/>
        <v/>
      </c>
    </row>
    <row r="125" spans="7:15" x14ac:dyDescent="0.3">
      <c r="G125" t="s">
        <v>1741</v>
      </c>
      <c r="H125" t="str">
        <f t="shared" si="2"/>
        <v>Duplicate</v>
      </c>
      <c r="M125" t="s">
        <v>1739</v>
      </c>
      <c r="N125" t="s">
        <v>1764</v>
      </c>
      <c r="O125" t="str">
        <f t="shared" si="3"/>
        <v>Duplicate</v>
      </c>
    </row>
    <row r="126" spans="7:15" x14ac:dyDescent="0.3">
      <c r="G126" t="s">
        <v>1741</v>
      </c>
      <c r="H126" t="str">
        <f t="shared" si="2"/>
        <v>Duplicate</v>
      </c>
      <c r="M126" t="s">
        <v>1739</v>
      </c>
      <c r="N126" t="s">
        <v>1761</v>
      </c>
      <c r="O126" t="str">
        <f t="shared" si="3"/>
        <v>Duplicate</v>
      </c>
    </row>
    <row r="127" spans="7:15" x14ac:dyDescent="0.3">
      <c r="G127" t="s">
        <v>1736</v>
      </c>
      <c r="H127" t="str">
        <f t="shared" si="2"/>
        <v>Duplicate</v>
      </c>
      <c r="M127" t="s">
        <v>1741</v>
      </c>
      <c r="N127" t="s">
        <v>1767</v>
      </c>
      <c r="O127" t="str">
        <f t="shared" si="3"/>
        <v/>
      </c>
    </row>
    <row r="128" spans="7:15" x14ac:dyDescent="0.3">
      <c r="G128" t="s">
        <v>1744</v>
      </c>
      <c r="H128" t="str">
        <f t="shared" si="2"/>
        <v>Duplicate</v>
      </c>
      <c r="M128" t="s">
        <v>1736</v>
      </c>
      <c r="N128" t="s">
        <v>1758</v>
      </c>
      <c r="O128" t="str">
        <f t="shared" si="3"/>
        <v/>
      </c>
    </row>
    <row r="129" spans="7:15" x14ac:dyDescent="0.3">
      <c r="G129" t="s">
        <v>1740</v>
      </c>
      <c r="H129" t="str">
        <f t="shared" si="2"/>
        <v>Duplicate</v>
      </c>
      <c r="M129" t="s">
        <v>1744</v>
      </c>
      <c r="N129" t="s">
        <v>1759</v>
      </c>
      <c r="O129" t="str">
        <f t="shared" si="3"/>
        <v/>
      </c>
    </row>
    <row r="130" spans="7:15" x14ac:dyDescent="0.3">
      <c r="G130" t="s">
        <v>1742</v>
      </c>
      <c r="H130" t="str">
        <f t="shared" si="2"/>
        <v>Duplicate</v>
      </c>
      <c r="M130" t="s">
        <v>1740</v>
      </c>
      <c r="N130" t="s">
        <v>1762</v>
      </c>
      <c r="O130" t="str">
        <f t="shared" si="3"/>
        <v>Duplicate</v>
      </c>
    </row>
    <row r="131" spans="7:15" x14ac:dyDescent="0.3">
      <c r="G131" t="s">
        <v>1739</v>
      </c>
      <c r="H131" t="str">
        <f t="shared" ref="H131:H156" si="4">IF(COUNTIF(G131:G285, G130)&gt;1, "Duplicate", "Unique")</f>
        <v>Duplicate</v>
      </c>
      <c r="M131" t="s">
        <v>1742</v>
      </c>
      <c r="N131" t="s">
        <v>1762</v>
      </c>
      <c r="O131" t="str">
        <f t="shared" ref="O131:O156" si="5">IF(COUNTIFS($M:$M,M131,$N:$N,N131)&gt;1,"Duplicate","")</f>
        <v>Duplicate</v>
      </c>
    </row>
    <row r="132" spans="7:15" x14ac:dyDescent="0.3">
      <c r="G132" t="s">
        <v>1738</v>
      </c>
      <c r="H132" t="str">
        <f t="shared" si="4"/>
        <v>Duplicate</v>
      </c>
      <c r="M132" t="s">
        <v>1739</v>
      </c>
      <c r="N132" t="s">
        <v>1772</v>
      </c>
      <c r="O132" t="str">
        <f t="shared" si="5"/>
        <v>Duplicate</v>
      </c>
    </row>
    <row r="133" spans="7:15" x14ac:dyDescent="0.3">
      <c r="G133" t="s">
        <v>1743</v>
      </c>
      <c r="H133" t="str">
        <f t="shared" si="4"/>
        <v>Duplicate</v>
      </c>
      <c r="M133" t="s">
        <v>1738</v>
      </c>
      <c r="N133" t="s">
        <v>1766</v>
      </c>
      <c r="O133" t="str">
        <f t="shared" si="5"/>
        <v>Duplicate</v>
      </c>
    </row>
    <row r="134" spans="7:15" x14ac:dyDescent="0.3">
      <c r="G134" t="s">
        <v>1737</v>
      </c>
      <c r="H134" t="str">
        <f t="shared" si="4"/>
        <v>Duplicate</v>
      </c>
      <c r="M134" t="s">
        <v>1743</v>
      </c>
      <c r="N134" t="s">
        <v>1770</v>
      </c>
      <c r="O134" t="str">
        <f t="shared" si="5"/>
        <v>Duplicate</v>
      </c>
    </row>
    <row r="135" spans="7:15" x14ac:dyDescent="0.3">
      <c r="G135" t="s">
        <v>1741</v>
      </c>
      <c r="H135" t="str">
        <f t="shared" si="4"/>
        <v>Duplicate</v>
      </c>
      <c r="M135" t="s">
        <v>1737</v>
      </c>
      <c r="N135" t="s">
        <v>1771</v>
      </c>
      <c r="O135" t="str">
        <f t="shared" si="5"/>
        <v>Duplicate</v>
      </c>
    </row>
    <row r="136" spans="7:15" x14ac:dyDescent="0.3">
      <c r="G136" t="s">
        <v>1736</v>
      </c>
      <c r="H136" t="str">
        <f t="shared" si="4"/>
        <v>Duplicate</v>
      </c>
      <c r="M136" t="s">
        <v>1741</v>
      </c>
      <c r="N136" t="s">
        <v>1763</v>
      </c>
      <c r="O136" t="str">
        <f t="shared" si="5"/>
        <v>Duplicate</v>
      </c>
    </row>
    <row r="137" spans="7:15" x14ac:dyDescent="0.3">
      <c r="G137" t="s">
        <v>1744</v>
      </c>
      <c r="H137" t="str">
        <f t="shared" si="4"/>
        <v>Duplicate</v>
      </c>
      <c r="M137" t="s">
        <v>1736</v>
      </c>
      <c r="N137" t="s">
        <v>1759</v>
      </c>
      <c r="O137" t="str">
        <f t="shared" si="5"/>
        <v>Duplicate</v>
      </c>
    </row>
    <row r="138" spans="7:15" x14ac:dyDescent="0.3">
      <c r="G138" t="s">
        <v>1740</v>
      </c>
      <c r="H138" t="str">
        <f t="shared" si="4"/>
        <v>Unique</v>
      </c>
      <c r="M138" t="s">
        <v>1744</v>
      </c>
      <c r="N138" t="s">
        <v>1761</v>
      </c>
      <c r="O138" t="str">
        <f t="shared" si="5"/>
        <v>Duplicate</v>
      </c>
    </row>
    <row r="139" spans="7:15" x14ac:dyDescent="0.3">
      <c r="G139" t="s">
        <v>1742</v>
      </c>
      <c r="H139" t="str">
        <f t="shared" si="4"/>
        <v>Unique</v>
      </c>
      <c r="M139" t="s">
        <v>1740</v>
      </c>
      <c r="N139" t="s">
        <v>1763</v>
      </c>
      <c r="O139" t="str">
        <f t="shared" si="5"/>
        <v/>
      </c>
    </row>
    <row r="140" spans="7:15" x14ac:dyDescent="0.3">
      <c r="G140" t="s">
        <v>1739</v>
      </c>
      <c r="H140" t="str">
        <f t="shared" si="4"/>
        <v>Unique</v>
      </c>
      <c r="M140" t="s">
        <v>1742</v>
      </c>
      <c r="N140" t="s">
        <v>1756</v>
      </c>
      <c r="O140" t="str">
        <f t="shared" si="5"/>
        <v>Duplicate</v>
      </c>
    </row>
    <row r="141" spans="7:15" x14ac:dyDescent="0.3">
      <c r="G141" t="s">
        <v>1738</v>
      </c>
      <c r="H141" t="str">
        <f t="shared" si="4"/>
        <v>Duplicate</v>
      </c>
      <c r="M141" t="s">
        <v>1739</v>
      </c>
      <c r="N141" t="s">
        <v>1767</v>
      </c>
      <c r="O141" t="str">
        <f t="shared" si="5"/>
        <v/>
      </c>
    </row>
    <row r="142" spans="7:15" x14ac:dyDescent="0.3">
      <c r="G142" t="s">
        <v>1737</v>
      </c>
      <c r="H142" t="str">
        <f t="shared" si="4"/>
        <v>Duplicate</v>
      </c>
      <c r="M142" t="s">
        <v>1738</v>
      </c>
      <c r="N142" t="s">
        <v>1770</v>
      </c>
      <c r="O142" t="str">
        <f t="shared" si="5"/>
        <v/>
      </c>
    </row>
    <row r="143" spans="7:15" x14ac:dyDescent="0.3">
      <c r="G143" t="s">
        <v>1743</v>
      </c>
      <c r="H143" t="str">
        <f t="shared" si="4"/>
        <v>Unique</v>
      </c>
      <c r="M143" t="s">
        <v>1737</v>
      </c>
      <c r="N143" t="s">
        <v>1756</v>
      </c>
      <c r="O143" t="str">
        <f t="shared" si="5"/>
        <v>Duplicate</v>
      </c>
    </row>
    <row r="144" spans="7:15" x14ac:dyDescent="0.3">
      <c r="G144" t="s">
        <v>1738</v>
      </c>
      <c r="H144" t="str">
        <f t="shared" si="4"/>
        <v>Unique</v>
      </c>
      <c r="M144" t="s">
        <v>1743</v>
      </c>
      <c r="N144" t="s">
        <v>1770</v>
      </c>
      <c r="O144" t="str">
        <f t="shared" si="5"/>
        <v>Duplicate</v>
      </c>
    </row>
    <row r="145" spans="7:15" x14ac:dyDescent="0.3">
      <c r="G145" t="s">
        <v>1739</v>
      </c>
      <c r="H145" t="str">
        <f t="shared" si="4"/>
        <v>Unique</v>
      </c>
      <c r="M145" t="s">
        <v>1738</v>
      </c>
      <c r="N145" t="s">
        <v>1759</v>
      </c>
      <c r="O145" t="str">
        <f t="shared" si="5"/>
        <v>Duplicate</v>
      </c>
    </row>
    <row r="146" spans="7:15" x14ac:dyDescent="0.3">
      <c r="G146" t="s">
        <v>1741</v>
      </c>
      <c r="H146" t="str">
        <f t="shared" si="4"/>
        <v>Unique</v>
      </c>
      <c r="M146" t="s">
        <v>1739</v>
      </c>
      <c r="N146" t="s">
        <v>1764</v>
      </c>
      <c r="O146" t="str">
        <f t="shared" si="5"/>
        <v>Duplicate</v>
      </c>
    </row>
    <row r="147" spans="7:15" x14ac:dyDescent="0.3">
      <c r="G147" t="s">
        <v>1736</v>
      </c>
      <c r="H147" t="str">
        <f t="shared" si="4"/>
        <v>Unique</v>
      </c>
      <c r="M147" t="s">
        <v>1741</v>
      </c>
      <c r="N147" t="s">
        <v>1774</v>
      </c>
      <c r="O147" t="str">
        <f t="shared" si="5"/>
        <v/>
      </c>
    </row>
    <row r="148" spans="7:15" x14ac:dyDescent="0.3">
      <c r="G148" t="s">
        <v>1744</v>
      </c>
      <c r="H148" t="str">
        <f t="shared" si="4"/>
        <v>Unique</v>
      </c>
      <c r="M148" t="s">
        <v>1736</v>
      </c>
      <c r="N148" t="s">
        <v>1765</v>
      </c>
      <c r="O148" t="str">
        <f t="shared" si="5"/>
        <v>Duplicate</v>
      </c>
    </row>
    <row r="149" spans="7:15" x14ac:dyDescent="0.3">
      <c r="G149" t="s">
        <v>1740</v>
      </c>
      <c r="H149" t="str">
        <f t="shared" si="4"/>
        <v>Unique</v>
      </c>
      <c r="M149" t="s">
        <v>1744</v>
      </c>
      <c r="N149" t="s">
        <v>1763</v>
      </c>
      <c r="O149" t="str">
        <f t="shared" si="5"/>
        <v/>
      </c>
    </row>
    <row r="150" spans="7:15" x14ac:dyDescent="0.3">
      <c r="G150" t="s">
        <v>1742</v>
      </c>
      <c r="H150" t="str">
        <f t="shared" si="4"/>
        <v>Unique</v>
      </c>
      <c r="M150" t="s">
        <v>1740</v>
      </c>
      <c r="N150" t="s">
        <v>1775</v>
      </c>
      <c r="O150" t="str">
        <f t="shared" si="5"/>
        <v/>
      </c>
    </row>
    <row r="151" spans="7:15" x14ac:dyDescent="0.3">
      <c r="G151" t="s">
        <v>1739</v>
      </c>
      <c r="H151" t="str">
        <f t="shared" si="4"/>
        <v>Unique</v>
      </c>
      <c r="M151" t="s">
        <v>1742</v>
      </c>
      <c r="N151" t="s">
        <v>1757</v>
      </c>
      <c r="O151" t="str">
        <f t="shared" si="5"/>
        <v/>
      </c>
    </row>
    <row r="152" spans="7:15" x14ac:dyDescent="0.3">
      <c r="G152" t="s">
        <v>1738</v>
      </c>
      <c r="H152" t="str">
        <f t="shared" si="4"/>
        <v>Unique</v>
      </c>
      <c r="M152" t="s">
        <v>1739</v>
      </c>
      <c r="N152" t="s">
        <v>1761</v>
      </c>
      <c r="O152" t="str">
        <f t="shared" si="5"/>
        <v>Duplicate</v>
      </c>
    </row>
    <row r="153" spans="7:15" x14ac:dyDescent="0.3">
      <c r="G153" t="s">
        <v>1743</v>
      </c>
      <c r="H153" t="str">
        <f t="shared" si="4"/>
        <v>Unique</v>
      </c>
      <c r="M153" t="s">
        <v>1738</v>
      </c>
      <c r="N153" t="s">
        <v>1769</v>
      </c>
      <c r="O153" t="str">
        <f t="shared" si="5"/>
        <v/>
      </c>
    </row>
    <row r="154" spans="7:15" x14ac:dyDescent="0.3">
      <c r="G154" t="s">
        <v>1737</v>
      </c>
      <c r="H154" t="str">
        <f t="shared" si="4"/>
        <v>Unique</v>
      </c>
      <c r="M154" t="s">
        <v>1743</v>
      </c>
      <c r="N154" t="s">
        <v>1762</v>
      </c>
      <c r="O154" t="str">
        <f t="shared" si="5"/>
        <v/>
      </c>
    </row>
    <row r="155" spans="7:15" x14ac:dyDescent="0.3">
      <c r="G155" t="s">
        <v>1741</v>
      </c>
      <c r="H155" t="str">
        <f t="shared" si="4"/>
        <v>Unique</v>
      </c>
      <c r="M155" t="s">
        <v>1737</v>
      </c>
      <c r="N155" t="s">
        <v>1770</v>
      </c>
      <c r="O155" t="str">
        <f t="shared" si="5"/>
        <v>Duplicate</v>
      </c>
    </row>
    <row r="156" spans="7:15" x14ac:dyDescent="0.3">
      <c r="G156" t="s">
        <v>1736</v>
      </c>
      <c r="H156" t="str">
        <f t="shared" si="4"/>
        <v>Unique</v>
      </c>
      <c r="M156" t="s">
        <v>1741</v>
      </c>
      <c r="N156" t="s">
        <v>1763</v>
      </c>
      <c r="O156" t="str">
        <f t="shared" si="5"/>
        <v>Duplicate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3011-3085-4BD6-903B-DE4F88A6C6B5}">
  <dimension ref="A1:X1827"/>
  <sheetViews>
    <sheetView workbookViewId="0">
      <selection activeCell="D18" sqref="D18"/>
    </sheetView>
  </sheetViews>
  <sheetFormatPr defaultRowHeight="14.4" x14ac:dyDescent="0.3"/>
  <cols>
    <col min="2" max="2" width="19.5546875" bestFit="1" customWidth="1"/>
    <col min="3" max="3" width="10.33203125" bestFit="1" customWidth="1"/>
    <col min="6" max="6" width="13.109375" bestFit="1" customWidth="1"/>
    <col min="7" max="7" width="14.109375" customWidth="1"/>
    <col min="8" max="8" width="16.33203125" bestFit="1" customWidth="1"/>
    <col min="9" max="9" width="12.6640625" customWidth="1"/>
    <col min="12" max="12" width="13.88671875" bestFit="1" customWidth="1"/>
    <col min="13" max="13" width="24.44140625" bestFit="1" customWidth="1"/>
    <col min="14" max="14" width="12.109375" customWidth="1"/>
    <col min="15" max="15" width="14.33203125" customWidth="1"/>
    <col min="16" max="16" width="15.21875" customWidth="1"/>
    <col min="17" max="17" width="13.88671875" bestFit="1" customWidth="1"/>
    <col min="18" max="18" width="11.21875" customWidth="1"/>
    <col min="20" max="20" width="11.109375" customWidth="1"/>
    <col min="21" max="21" width="11.5546875" customWidth="1"/>
    <col min="24" max="24" width="10.21875" customWidth="1"/>
    <col min="25" max="33" width="10.109375" customWidth="1"/>
    <col min="34" max="123" width="11.109375" customWidth="1"/>
    <col min="124" max="1023" width="12.109375" customWidth="1"/>
    <col min="1024" max="10023" width="13.109375" customWidth="1"/>
    <col min="10024" max="16384" width="14.109375" customWidth="1"/>
  </cols>
  <sheetData>
    <row r="1" spans="1:24" ht="16.5" customHeight="1" x14ac:dyDescent="0.3">
      <c r="A1" t="s">
        <v>1693</v>
      </c>
      <c r="B1" t="s">
        <v>1694</v>
      </c>
      <c r="C1" t="s">
        <v>1695</v>
      </c>
      <c r="D1" t="s">
        <v>3578</v>
      </c>
      <c r="E1" t="s">
        <v>1708</v>
      </c>
      <c r="F1" t="s">
        <v>1696</v>
      </c>
      <c r="G1" t="s">
        <v>1697</v>
      </c>
      <c r="H1" t="s">
        <v>1698</v>
      </c>
      <c r="I1" t="s">
        <v>1749</v>
      </c>
      <c r="J1" t="s">
        <v>1750</v>
      </c>
      <c r="K1" t="s">
        <v>1751</v>
      </c>
      <c r="L1" t="s">
        <v>1699</v>
      </c>
      <c r="M1" t="s">
        <v>1700</v>
      </c>
      <c r="N1" t="s">
        <v>1701</v>
      </c>
      <c r="O1" t="s">
        <v>1707</v>
      </c>
      <c r="P1" t="s">
        <v>1702</v>
      </c>
      <c r="Q1" t="s">
        <v>1753</v>
      </c>
      <c r="R1" t="s">
        <v>0</v>
      </c>
      <c r="S1" t="s">
        <v>1703</v>
      </c>
      <c r="T1" t="s">
        <v>1704</v>
      </c>
      <c r="U1" t="s">
        <v>1705</v>
      </c>
      <c r="V1" t="s">
        <v>1706</v>
      </c>
      <c r="W1" t="s">
        <v>1734</v>
      </c>
      <c r="X1" t="s">
        <v>1735</v>
      </c>
    </row>
    <row r="2" spans="1:24" x14ac:dyDescent="0.3">
      <c r="A2">
        <v>1</v>
      </c>
      <c r="B2" t="s">
        <v>1777</v>
      </c>
      <c r="C2" s="6">
        <v>44197</v>
      </c>
      <c r="D2" t="str">
        <f>TEXT(C2,"Mmm")</f>
        <v>Jan</v>
      </c>
      <c r="E2" t="str">
        <f>TEXT(C2,"YYYY")</f>
        <v>2021</v>
      </c>
      <c r="F2" t="s">
        <v>3</v>
      </c>
      <c r="G2" t="s">
        <v>7</v>
      </c>
      <c r="H2" t="s">
        <v>547</v>
      </c>
      <c r="I2">
        <v>190</v>
      </c>
      <c r="J2">
        <v>22</v>
      </c>
      <c r="K2">
        <f>(J2/I2)*100</f>
        <v>11.578947368421053</v>
      </c>
      <c r="L2" t="s">
        <v>1737</v>
      </c>
      <c r="M2" t="s">
        <v>3579</v>
      </c>
      <c r="N2" t="s">
        <v>1</v>
      </c>
      <c r="O2">
        <v>600091</v>
      </c>
      <c r="P2" t="s">
        <v>546</v>
      </c>
      <c r="Q2" t="s">
        <v>1761</v>
      </c>
      <c r="S2">
        <v>261.95999999999998</v>
      </c>
      <c r="T2">
        <v>2</v>
      </c>
      <c r="U2">
        <v>0</v>
      </c>
      <c r="V2">
        <v>41.913600000000002</v>
      </c>
      <c r="W2">
        <f>(S2-V2)/T2</f>
        <v>110.02319999999999</v>
      </c>
      <c r="X2">
        <v>5</v>
      </c>
    </row>
    <row r="3" spans="1:24" x14ac:dyDescent="0.3">
      <c r="A3">
        <v>2</v>
      </c>
      <c r="B3" t="s">
        <v>1778</v>
      </c>
      <c r="C3" s="6">
        <v>44198</v>
      </c>
      <c r="D3" t="str">
        <f t="shared" ref="D3:D66" si="0">TEXT(C3,"Mmm")</f>
        <v>Jan</v>
      </c>
      <c r="E3" t="str">
        <f t="shared" ref="E3:E66" si="1">TEXT(C3,"YYYY")</f>
        <v>2021</v>
      </c>
      <c r="F3" t="s">
        <v>3</v>
      </c>
      <c r="G3" t="s">
        <v>7</v>
      </c>
      <c r="H3" t="s">
        <v>548</v>
      </c>
      <c r="I3">
        <v>100</v>
      </c>
      <c r="J3">
        <v>26</v>
      </c>
      <c r="K3">
        <f t="shared" ref="K3:K66" si="2">(J3/I3)*100</f>
        <v>26</v>
      </c>
      <c r="L3" t="s">
        <v>1743</v>
      </c>
      <c r="M3" t="s">
        <v>3580</v>
      </c>
      <c r="N3" t="s">
        <v>1</v>
      </c>
      <c r="O3">
        <v>831005</v>
      </c>
      <c r="P3" t="s">
        <v>546</v>
      </c>
      <c r="Q3" t="s">
        <v>1755</v>
      </c>
      <c r="S3">
        <v>731.94</v>
      </c>
      <c r="T3">
        <v>3</v>
      </c>
      <c r="U3">
        <v>0</v>
      </c>
      <c r="V3">
        <v>219.58199999999999</v>
      </c>
      <c r="W3">
        <f t="shared" ref="W3:W66" si="3">(S3-V3)/T3</f>
        <v>170.78600000000003</v>
      </c>
      <c r="X3">
        <v>4</v>
      </c>
    </row>
    <row r="4" spans="1:24" x14ac:dyDescent="0.3">
      <c r="A4">
        <v>3</v>
      </c>
      <c r="B4" t="s">
        <v>1779</v>
      </c>
      <c r="C4" s="6">
        <v>44199</v>
      </c>
      <c r="D4" t="str">
        <f t="shared" si="0"/>
        <v>Jan</v>
      </c>
      <c r="E4" t="str">
        <f t="shared" si="1"/>
        <v>2021</v>
      </c>
      <c r="F4" t="s">
        <v>3</v>
      </c>
      <c r="G4" t="s">
        <v>8</v>
      </c>
      <c r="H4" t="s">
        <v>549</v>
      </c>
      <c r="I4">
        <v>110</v>
      </c>
      <c r="J4">
        <v>28</v>
      </c>
      <c r="K4">
        <f t="shared" si="2"/>
        <v>25.454545454545453</v>
      </c>
      <c r="L4" t="s">
        <v>1739</v>
      </c>
      <c r="M4" t="s">
        <v>3581</v>
      </c>
      <c r="N4" t="s">
        <v>1</v>
      </c>
      <c r="O4">
        <v>440024</v>
      </c>
      <c r="P4" t="s">
        <v>546</v>
      </c>
      <c r="Q4" t="s">
        <v>1773</v>
      </c>
      <c r="R4" t="s">
        <v>2</v>
      </c>
      <c r="S4">
        <v>14.62</v>
      </c>
      <c r="T4">
        <v>2</v>
      </c>
      <c r="U4">
        <v>0</v>
      </c>
      <c r="V4">
        <v>6.8714000000000004</v>
      </c>
      <c r="W4">
        <f t="shared" si="3"/>
        <v>3.8742999999999994</v>
      </c>
      <c r="X4">
        <v>3</v>
      </c>
    </row>
    <row r="5" spans="1:24" x14ac:dyDescent="0.3">
      <c r="A5">
        <v>4</v>
      </c>
      <c r="B5" t="s">
        <v>1780</v>
      </c>
      <c r="C5" s="6">
        <v>44200</v>
      </c>
      <c r="D5" t="str">
        <f t="shared" si="0"/>
        <v>Jan</v>
      </c>
      <c r="E5" t="str">
        <f t="shared" si="1"/>
        <v>2021</v>
      </c>
      <c r="F5" t="s">
        <v>4</v>
      </c>
      <c r="G5" t="s">
        <v>9</v>
      </c>
      <c r="H5" t="s">
        <v>550</v>
      </c>
      <c r="I5">
        <v>220</v>
      </c>
      <c r="J5">
        <v>28</v>
      </c>
      <c r="K5">
        <f t="shared" si="2"/>
        <v>12.727272727272727</v>
      </c>
      <c r="L5" t="s">
        <v>1736</v>
      </c>
      <c r="M5" t="s">
        <v>3582</v>
      </c>
      <c r="N5" t="s">
        <v>1</v>
      </c>
      <c r="O5">
        <v>201309</v>
      </c>
      <c r="P5" t="s">
        <v>546</v>
      </c>
      <c r="Q5" t="s">
        <v>1759</v>
      </c>
      <c r="S5">
        <v>957.57749999999999</v>
      </c>
      <c r="T5">
        <v>5</v>
      </c>
      <c r="U5">
        <v>0.45</v>
      </c>
      <c r="V5">
        <v>-383.03100000000001</v>
      </c>
      <c r="W5">
        <f t="shared" si="3"/>
        <v>268.12170000000003</v>
      </c>
      <c r="X5">
        <v>3</v>
      </c>
    </row>
    <row r="6" spans="1:24" x14ac:dyDescent="0.3">
      <c r="A6">
        <v>5</v>
      </c>
      <c r="B6" t="s">
        <v>1781</v>
      </c>
      <c r="C6" s="6">
        <v>44201</v>
      </c>
      <c r="D6" t="str">
        <f t="shared" si="0"/>
        <v>Jan</v>
      </c>
      <c r="E6" t="str">
        <f t="shared" si="1"/>
        <v>2021</v>
      </c>
      <c r="F6" t="s">
        <v>4</v>
      </c>
      <c r="G6" t="s">
        <v>9</v>
      </c>
      <c r="H6" t="s">
        <v>551</v>
      </c>
      <c r="I6">
        <v>150</v>
      </c>
      <c r="J6">
        <v>6</v>
      </c>
      <c r="K6">
        <f t="shared" si="2"/>
        <v>4</v>
      </c>
      <c r="L6" t="s">
        <v>1738</v>
      </c>
      <c r="M6" t="s">
        <v>3583</v>
      </c>
      <c r="N6" t="s">
        <v>1</v>
      </c>
      <c r="O6">
        <v>302018</v>
      </c>
      <c r="P6" t="s">
        <v>546</v>
      </c>
      <c r="Q6" t="s">
        <v>1762</v>
      </c>
      <c r="S6">
        <v>22.367999999999999</v>
      </c>
      <c r="T6">
        <v>2</v>
      </c>
      <c r="U6">
        <v>0.2</v>
      </c>
      <c r="V6">
        <v>2.5164</v>
      </c>
      <c r="W6">
        <f t="shared" si="3"/>
        <v>9.9257999999999988</v>
      </c>
      <c r="X6">
        <v>4</v>
      </c>
    </row>
    <row r="7" spans="1:24" x14ac:dyDescent="0.3">
      <c r="A7">
        <v>6</v>
      </c>
      <c r="B7" t="s">
        <v>1782</v>
      </c>
      <c r="C7" s="6">
        <v>44202</v>
      </c>
      <c r="D7" t="str">
        <f t="shared" si="0"/>
        <v>Jan</v>
      </c>
      <c r="E7" t="str">
        <f t="shared" si="1"/>
        <v>2021</v>
      </c>
      <c r="F7" t="s">
        <v>4</v>
      </c>
      <c r="G7" t="s">
        <v>10</v>
      </c>
      <c r="H7" t="s">
        <v>552</v>
      </c>
      <c r="I7">
        <v>190</v>
      </c>
      <c r="J7">
        <v>14</v>
      </c>
      <c r="K7">
        <f t="shared" si="2"/>
        <v>7.3684210526315779</v>
      </c>
      <c r="L7" t="s">
        <v>1741</v>
      </c>
      <c r="M7" t="s">
        <v>3584</v>
      </c>
      <c r="N7" t="s">
        <v>1</v>
      </c>
      <c r="O7">
        <v>517002</v>
      </c>
      <c r="P7" t="s">
        <v>546</v>
      </c>
      <c r="Q7" t="s">
        <v>1775</v>
      </c>
      <c r="S7">
        <v>48.86</v>
      </c>
      <c r="T7">
        <v>7</v>
      </c>
      <c r="U7">
        <v>0</v>
      </c>
      <c r="V7">
        <v>14.1694</v>
      </c>
      <c r="W7">
        <f t="shared" si="3"/>
        <v>4.9558000000000009</v>
      </c>
      <c r="X7">
        <v>5</v>
      </c>
    </row>
    <row r="8" spans="1:24" x14ac:dyDescent="0.3">
      <c r="A8">
        <v>7</v>
      </c>
      <c r="B8" t="s">
        <v>1783</v>
      </c>
      <c r="C8" s="6">
        <v>44203</v>
      </c>
      <c r="D8" t="str">
        <f t="shared" si="0"/>
        <v>Jan</v>
      </c>
      <c r="E8" t="str">
        <f t="shared" si="1"/>
        <v>2021</v>
      </c>
      <c r="F8" t="s">
        <v>4</v>
      </c>
      <c r="G8" t="s">
        <v>10</v>
      </c>
      <c r="H8" t="s">
        <v>553</v>
      </c>
      <c r="I8">
        <v>120</v>
      </c>
      <c r="J8">
        <v>24</v>
      </c>
      <c r="K8">
        <f t="shared" si="2"/>
        <v>20</v>
      </c>
      <c r="L8" t="s">
        <v>1744</v>
      </c>
      <c r="M8" t="s">
        <v>3585</v>
      </c>
      <c r="N8" t="s">
        <v>1</v>
      </c>
      <c r="O8">
        <v>411014</v>
      </c>
      <c r="P8" t="s">
        <v>546</v>
      </c>
      <c r="Q8" t="s">
        <v>1773</v>
      </c>
      <c r="S8">
        <v>7.28</v>
      </c>
      <c r="T8">
        <v>4</v>
      </c>
      <c r="U8">
        <v>0</v>
      </c>
      <c r="V8">
        <v>1.9656</v>
      </c>
      <c r="W8">
        <f t="shared" si="3"/>
        <v>1.3286</v>
      </c>
      <c r="X8">
        <v>4</v>
      </c>
    </row>
    <row r="9" spans="1:24" x14ac:dyDescent="0.3">
      <c r="A9">
        <v>8</v>
      </c>
      <c r="B9" t="s">
        <v>1784</v>
      </c>
      <c r="C9" s="6">
        <v>44204</v>
      </c>
      <c r="D9" t="str">
        <f t="shared" si="0"/>
        <v>Jan</v>
      </c>
      <c r="E9" t="str">
        <f t="shared" si="1"/>
        <v>2021</v>
      </c>
      <c r="F9" t="s">
        <v>4</v>
      </c>
      <c r="G9" t="s">
        <v>10</v>
      </c>
      <c r="H9" t="s">
        <v>554</v>
      </c>
      <c r="I9">
        <v>100</v>
      </c>
      <c r="J9">
        <v>6</v>
      </c>
      <c r="K9">
        <f t="shared" si="2"/>
        <v>6</v>
      </c>
      <c r="L9" t="s">
        <v>1740</v>
      </c>
      <c r="M9" t="s">
        <v>3586</v>
      </c>
      <c r="N9" t="s">
        <v>1</v>
      </c>
      <c r="O9">
        <v>560094</v>
      </c>
      <c r="P9" t="s">
        <v>546</v>
      </c>
      <c r="Q9" t="s">
        <v>1774</v>
      </c>
      <c r="S9">
        <v>907.15200000000004</v>
      </c>
      <c r="T9">
        <v>6</v>
      </c>
      <c r="U9">
        <v>0.2</v>
      </c>
      <c r="V9">
        <v>90.715199999999996</v>
      </c>
      <c r="W9">
        <f t="shared" si="3"/>
        <v>136.0728</v>
      </c>
      <c r="X9">
        <v>4</v>
      </c>
    </row>
    <row r="10" spans="1:24" x14ac:dyDescent="0.3">
      <c r="A10">
        <v>9</v>
      </c>
      <c r="B10" t="s">
        <v>1785</v>
      </c>
      <c r="C10" s="6">
        <v>44205</v>
      </c>
      <c r="D10" t="str">
        <f t="shared" si="0"/>
        <v>Jan</v>
      </c>
      <c r="E10" t="str">
        <f t="shared" si="1"/>
        <v>2021</v>
      </c>
      <c r="F10" t="s">
        <v>4</v>
      </c>
      <c r="G10" t="s">
        <v>10</v>
      </c>
      <c r="H10" t="s">
        <v>555</v>
      </c>
      <c r="I10">
        <v>100</v>
      </c>
      <c r="J10">
        <v>12</v>
      </c>
      <c r="K10">
        <f t="shared" si="2"/>
        <v>12</v>
      </c>
      <c r="L10" t="s">
        <v>1742</v>
      </c>
      <c r="M10" t="s">
        <v>3587</v>
      </c>
      <c r="N10" t="s">
        <v>1</v>
      </c>
      <c r="O10">
        <v>800013</v>
      </c>
      <c r="P10" t="s">
        <v>546</v>
      </c>
      <c r="Q10" t="s">
        <v>1761</v>
      </c>
      <c r="R10" t="s">
        <v>2</v>
      </c>
      <c r="S10">
        <v>18.504000000000001</v>
      </c>
      <c r="T10">
        <v>3</v>
      </c>
      <c r="U10">
        <v>0.2</v>
      </c>
      <c r="V10">
        <v>5.7824999999999998</v>
      </c>
      <c r="W10">
        <f t="shared" si="3"/>
        <v>4.2405000000000008</v>
      </c>
      <c r="X10">
        <v>3</v>
      </c>
    </row>
    <row r="11" spans="1:24" x14ac:dyDescent="0.3">
      <c r="A11">
        <v>10</v>
      </c>
      <c r="B11" t="s">
        <v>1786</v>
      </c>
      <c r="C11" s="6">
        <v>44206</v>
      </c>
      <c r="D11" t="str">
        <f t="shared" si="0"/>
        <v>Jan</v>
      </c>
      <c r="E11" t="str">
        <f t="shared" si="1"/>
        <v>2021</v>
      </c>
      <c r="F11" t="s">
        <v>4</v>
      </c>
      <c r="G11" t="s">
        <v>10</v>
      </c>
      <c r="H11" t="s">
        <v>556</v>
      </c>
      <c r="I11">
        <v>210</v>
      </c>
      <c r="J11">
        <v>10</v>
      </c>
      <c r="K11">
        <f t="shared" si="2"/>
        <v>4.7619047619047619</v>
      </c>
      <c r="L11" t="s">
        <v>1739</v>
      </c>
      <c r="M11" t="s">
        <v>3588</v>
      </c>
      <c r="N11" t="s">
        <v>1</v>
      </c>
      <c r="O11">
        <v>700010</v>
      </c>
      <c r="P11" t="s">
        <v>546</v>
      </c>
      <c r="Q11" t="s">
        <v>1761</v>
      </c>
      <c r="R11" t="s">
        <v>2</v>
      </c>
      <c r="S11">
        <v>114.9</v>
      </c>
      <c r="T11">
        <v>5</v>
      </c>
      <c r="U11">
        <v>0</v>
      </c>
      <c r="V11">
        <v>34.47</v>
      </c>
      <c r="W11">
        <f t="shared" si="3"/>
        <v>16.086000000000002</v>
      </c>
      <c r="X11">
        <v>1</v>
      </c>
    </row>
    <row r="12" spans="1:24" x14ac:dyDescent="0.3">
      <c r="A12">
        <v>11</v>
      </c>
      <c r="B12" t="s">
        <v>1787</v>
      </c>
      <c r="C12" s="6">
        <v>44207</v>
      </c>
      <c r="D12" t="str">
        <f t="shared" si="0"/>
        <v>Jan</v>
      </c>
      <c r="E12" t="str">
        <f t="shared" si="1"/>
        <v>2021</v>
      </c>
      <c r="F12" t="s">
        <v>4</v>
      </c>
      <c r="G12" t="s">
        <v>10</v>
      </c>
      <c r="H12" t="s">
        <v>557</v>
      </c>
      <c r="I12">
        <v>190</v>
      </c>
      <c r="J12">
        <v>26</v>
      </c>
      <c r="K12">
        <f t="shared" si="2"/>
        <v>13.684210526315791</v>
      </c>
      <c r="L12" t="s">
        <v>1738</v>
      </c>
      <c r="M12" t="s">
        <v>3589</v>
      </c>
      <c r="O12">
        <v>400601</v>
      </c>
      <c r="P12" t="s">
        <v>546</v>
      </c>
      <c r="Q12" t="s">
        <v>1768</v>
      </c>
      <c r="R12" t="s">
        <v>2</v>
      </c>
      <c r="S12">
        <v>1706.184</v>
      </c>
      <c r="T12">
        <v>9</v>
      </c>
      <c r="U12">
        <v>0.2</v>
      </c>
      <c r="V12">
        <v>85.309200000000004</v>
      </c>
      <c r="W12">
        <f t="shared" si="3"/>
        <v>180.09720000000002</v>
      </c>
      <c r="X12">
        <v>1</v>
      </c>
    </row>
    <row r="13" spans="1:24" x14ac:dyDescent="0.3">
      <c r="A13">
        <v>12</v>
      </c>
      <c r="B13" t="s">
        <v>1788</v>
      </c>
      <c r="C13" s="6">
        <v>44208</v>
      </c>
      <c r="D13" t="str">
        <f t="shared" si="0"/>
        <v>Jan</v>
      </c>
      <c r="E13" t="str">
        <f t="shared" si="1"/>
        <v>2021</v>
      </c>
      <c r="F13" t="s">
        <v>4</v>
      </c>
      <c r="G13" t="s">
        <v>10</v>
      </c>
      <c r="H13" t="s">
        <v>558</v>
      </c>
      <c r="I13">
        <v>130</v>
      </c>
      <c r="J13">
        <v>12</v>
      </c>
      <c r="K13">
        <f t="shared" si="2"/>
        <v>9.2307692307692317</v>
      </c>
      <c r="L13" t="s">
        <v>1743</v>
      </c>
      <c r="M13" t="s">
        <v>3590</v>
      </c>
      <c r="N13" t="s">
        <v>1</v>
      </c>
      <c r="O13">
        <v>410405</v>
      </c>
      <c r="P13" t="s">
        <v>546</v>
      </c>
      <c r="Q13" t="s">
        <v>1759</v>
      </c>
      <c r="S13">
        <v>911.42399999999998</v>
      </c>
      <c r="T13">
        <v>4</v>
      </c>
      <c r="U13">
        <v>0.2</v>
      </c>
      <c r="V13">
        <v>68.356800000000007</v>
      </c>
      <c r="W13">
        <f t="shared" si="3"/>
        <v>210.76679999999999</v>
      </c>
      <c r="X13">
        <v>3</v>
      </c>
    </row>
    <row r="14" spans="1:24" x14ac:dyDescent="0.3">
      <c r="A14">
        <v>13</v>
      </c>
      <c r="B14" t="s">
        <v>1789</v>
      </c>
      <c r="C14" s="6">
        <v>44209</v>
      </c>
      <c r="D14" t="str">
        <f t="shared" si="0"/>
        <v>Jan</v>
      </c>
      <c r="E14" t="str">
        <f t="shared" si="1"/>
        <v>2021</v>
      </c>
      <c r="F14" t="s">
        <v>4</v>
      </c>
      <c r="G14" t="s">
        <v>11</v>
      </c>
      <c r="H14" t="s">
        <v>559</v>
      </c>
      <c r="I14">
        <v>160</v>
      </c>
      <c r="J14">
        <v>24</v>
      </c>
      <c r="K14">
        <f t="shared" si="2"/>
        <v>15</v>
      </c>
      <c r="L14" t="s">
        <v>1741</v>
      </c>
      <c r="M14" t="s">
        <v>3591</v>
      </c>
      <c r="N14" t="s">
        <v>1</v>
      </c>
      <c r="O14">
        <v>274001</v>
      </c>
      <c r="P14" t="s">
        <v>546</v>
      </c>
      <c r="Q14" t="s">
        <v>1776</v>
      </c>
      <c r="R14" t="s">
        <v>2</v>
      </c>
      <c r="S14">
        <v>15.552</v>
      </c>
      <c r="T14">
        <v>3</v>
      </c>
      <c r="U14">
        <v>0.2</v>
      </c>
      <c r="V14">
        <v>5.4432</v>
      </c>
      <c r="W14">
        <f t="shared" si="3"/>
        <v>3.3695999999999997</v>
      </c>
      <c r="X14">
        <v>3</v>
      </c>
    </row>
    <row r="15" spans="1:24" x14ac:dyDescent="0.3">
      <c r="A15">
        <v>14</v>
      </c>
      <c r="B15" t="s">
        <v>1790</v>
      </c>
      <c r="C15" s="6">
        <v>44210</v>
      </c>
      <c r="D15" t="str">
        <f t="shared" si="0"/>
        <v>Jan</v>
      </c>
      <c r="E15" t="str">
        <f t="shared" si="1"/>
        <v>2021</v>
      </c>
      <c r="F15" t="s">
        <v>4</v>
      </c>
      <c r="G15" t="s">
        <v>12</v>
      </c>
      <c r="H15" t="s">
        <v>560</v>
      </c>
      <c r="I15">
        <v>230</v>
      </c>
      <c r="J15">
        <v>18</v>
      </c>
      <c r="K15">
        <f t="shared" si="2"/>
        <v>7.8260869565217401</v>
      </c>
      <c r="L15" t="s">
        <v>1737</v>
      </c>
      <c r="M15" t="s">
        <v>3592</v>
      </c>
      <c r="N15" t="s">
        <v>1</v>
      </c>
      <c r="O15">
        <v>600083</v>
      </c>
      <c r="P15" t="s">
        <v>546</v>
      </c>
      <c r="Q15" t="s">
        <v>1765</v>
      </c>
      <c r="S15">
        <v>407.976</v>
      </c>
      <c r="T15">
        <v>3</v>
      </c>
      <c r="U15">
        <v>0.2</v>
      </c>
      <c r="V15">
        <v>132.59219999999999</v>
      </c>
      <c r="W15">
        <f t="shared" si="3"/>
        <v>91.794600000000003</v>
      </c>
      <c r="X15">
        <v>4</v>
      </c>
    </row>
    <row r="16" spans="1:24" x14ac:dyDescent="0.3">
      <c r="A16">
        <v>15</v>
      </c>
      <c r="B16" t="s">
        <v>1791</v>
      </c>
      <c r="C16" s="6">
        <v>44211</v>
      </c>
      <c r="D16" t="str">
        <f t="shared" si="0"/>
        <v>Jan</v>
      </c>
      <c r="E16" t="str">
        <f t="shared" si="1"/>
        <v>2021</v>
      </c>
      <c r="F16" t="s">
        <v>4</v>
      </c>
      <c r="G16" t="s">
        <v>13</v>
      </c>
      <c r="H16" t="s">
        <v>561</v>
      </c>
      <c r="I16">
        <v>230</v>
      </c>
      <c r="J16">
        <v>18</v>
      </c>
      <c r="K16">
        <f t="shared" si="2"/>
        <v>7.8260869565217401</v>
      </c>
      <c r="L16" t="s">
        <v>1736</v>
      </c>
      <c r="M16" t="s">
        <v>3593</v>
      </c>
      <c r="N16" t="s">
        <v>1</v>
      </c>
      <c r="O16">
        <v>400017</v>
      </c>
      <c r="P16" t="s">
        <v>546</v>
      </c>
      <c r="Q16" t="s">
        <v>1761</v>
      </c>
      <c r="R16" t="s">
        <v>2</v>
      </c>
      <c r="S16">
        <v>68.81</v>
      </c>
      <c r="T16">
        <v>5</v>
      </c>
      <c r="U16">
        <v>0.8</v>
      </c>
      <c r="V16">
        <v>-123.858</v>
      </c>
      <c r="W16">
        <f>(S16-V16)/T16</f>
        <v>38.5336</v>
      </c>
      <c r="X16">
        <v>2</v>
      </c>
    </row>
    <row r="17" spans="1:24" x14ac:dyDescent="0.3">
      <c r="A17">
        <v>16</v>
      </c>
      <c r="B17" t="s">
        <v>1792</v>
      </c>
      <c r="C17" s="6">
        <v>44212</v>
      </c>
      <c r="D17" t="str">
        <f t="shared" si="0"/>
        <v>Jan</v>
      </c>
      <c r="E17" t="str">
        <f t="shared" si="1"/>
        <v>2021</v>
      </c>
      <c r="F17" t="s">
        <v>4</v>
      </c>
      <c r="G17" t="s">
        <v>13</v>
      </c>
      <c r="H17" t="s">
        <v>562</v>
      </c>
      <c r="I17">
        <v>180</v>
      </c>
      <c r="J17">
        <v>28</v>
      </c>
      <c r="K17">
        <f t="shared" si="2"/>
        <v>15.555555555555555</v>
      </c>
      <c r="L17" t="s">
        <v>1739</v>
      </c>
      <c r="M17" t="s">
        <v>3594</v>
      </c>
      <c r="N17" t="s">
        <v>1</v>
      </c>
      <c r="O17">
        <v>695004</v>
      </c>
      <c r="P17" t="s">
        <v>546</v>
      </c>
      <c r="Q17" t="s">
        <v>1759</v>
      </c>
      <c r="S17">
        <v>2.544</v>
      </c>
      <c r="T17">
        <v>3</v>
      </c>
      <c r="U17">
        <v>0.8</v>
      </c>
      <c r="V17">
        <v>-3.8159999999999998</v>
      </c>
      <c r="W17">
        <f t="shared" si="3"/>
        <v>2.1199999999999997</v>
      </c>
      <c r="X17">
        <v>1</v>
      </c>
    </row>
    <row r="18" spans="1:24" x14ac:dyDescent="0.3">
      <c r="A18">
        <v>17</v>
      </c>
      <c r="B18" t="s">
        <v>1793</v>
      </c>
      <c r="C18" s="6">
        <v>44213</v>
      </c>
      <c r="D18" t="str">
        <f t="shared" si="0"/>
        <v>Jan</v>
      </c>
      <c r="E18" t="str">
        <f t="shared" si="1"/>
        <v>2021</v>
      </c>
      <c r="F18" t="s">
        <v>4</v>
      </c>
      <c r="G18" t="s">
        <v>14</v>
      </c>
      <c r="H18" t="s">
        <v>563</v>
      </c>
      <c r="I18">
        <v>150</v>
      </c>
      <c r="J18">
        <v>22</v>
      </c>
      <c r="K18">
        <f t="shared" si="2"/>
        <v>14.666666666666666</v>
      </c>
      <c r="L18" t="s">
        <v>1738</v>
      </c>
      <c r="M18" t="s">
        <v>3595</v>
      </c>
      <c r="O18">
        <v>301019</v>
      </c>
      <c r="P18" t="s">
        <v>546</v>
      </c>
      <c r="Q18" t="s">
        <v>1775</v>
      </c>
      <c r="S18">
        <v>665.88</v>
      </c>
      <c r="T18">
        <v>6</v>
      </c>
      <c r="U18">
        <v>0</v>
      </c>
      <c r="V18">
        <v>13.317600000000001</v>
      </c>
      <c r="W18">
        <f t="shared" si="3"/>
        <v>108.7604</v>
      </c>
      <c r="X18">
        <v>2</v>
      </c>
    </row>
    <row r="19" spans="1:24" x14ac:dyDescent="0.3">
      <c r="A19">
        <v>18</v>
      </c>
      <c r="B19" t="s">
        <v>1794</v>
      </c>
      <c r="C19" s="6">
        <v>44214</v>
      </c>
      <c r="D19" t="str">
        <f t="shared" si="0"/>
        <v>Jan</v>
      </c>
      <c r="E19" t="str">
        <f t="shared" si="1"/>
        <v>2021</v>
      </c>
      <c r="F19" t="s">
        <v>3</v>
      </c>
      <c r="G19" t="s">
        <v>15</v>
      </c>
      <c r="H19" t="s">
        <v>564</v>
      </c>
      <c r="I19">
        <v>110</v>
      </c>
      <c r="J19">
        <v>16</v>
      </c>
      <c r="K19">
        <f t="shared" si="2"/>
        <v>14.545454545454545</v>
      </c>
      <c r="L19" t="s">
        <v>1744</v>
      </c>
      <c r="M19" t="s">
        <v>3596</v>
      </c>
      <c r="N19" t="s">
        <v>1</v>
      </c>
      <c r="O19">
        <v>421202</v>
      </c>
      <c r="P19" t="s">
        <v>546</v>
      </c>
      <c r="Q19" t="s">
        <v>1767</v>
      </c>
      <c r="S19">
        <v>55.5</v>
      </c>
      <c r="T19">
        <v>2</v>
      </c>
      <c r="U19">
        <v>0</v>
      </c>
      <c r="V19">
        <v>9.99</v>
      </c>
      <c r="W19">
        <f t="shared" si="3"/>
        <v>22.754999999999999</v>
      </c>
      <c r="X19">
        <v>5</v>
      </c>
    </row>
    <row r="20" spans="1:24" x14ac:dyDescent="0.3">
      <c r="A20">
        <v>19</v>
      </c>
      <c r="B20" t="s">
        <v>1795</v>
      </c>
      <c r="C20" s="6">
        <v>44215</v>
      </c>
      <c r="D20" t="str">
        <f t="shared" si="0"/>
        <v>Jan</v>
      </c>
      <c r="E20" t="str">
        <f t="shared" si="1"/>
        <v>2021</v>
      </c>
      <c r="F20" t="s">
        <v>3</v>
      </c>
      <c r="G20" t="s">
        <v>16</v>
      </c>
      <c r="H20" t="s">
        <v>565</v>
      </c>
      <c r="I20">
        <v>220</v>
      </c>
      <c r="J20">
        <v>10</v>
      </c>
      <c r="K20">
        <f t="shared" si="2"/>
        <v>4.5454545454545459</v>
      </c>
      <c r="L20" t="s">
        <v>1740</v>
      </c>
      <c r="M20" t="s">
        <v>3597</v>
      </c>
      <c r="N20" t="s">
        <v>1</v>
      </c>
      <c r="O20">
        <v>516309</v>
      </c>
      <c r="P20" t="s">
        <v>546</v>
      </c>
      <c r="Q20" t="s">
        <v>1759</v>
      </c>
      <c r="S20">
        <v>8.56</v>
      </c>
      <c r="T20">
        <v>2</v>
      </c>
      <c r="U20">
        <v>0</v>
      </c>
      <c r="V20">
        <v>2.4824000000000002</v>
      </c>
      <c r="W20">
        <f t="shared" si="3"/>
        <v>3.0388000000000002</v>
      </c>
      <c r="X20">
        <v>2</v>
      </c>
    </row>
    <row r="21" spans="1:24" x14ac:dyDescent="0.3">
      <c r="A21">
        <v>20</v>
      </c>
      <c r="B21" t="s">
        <v>1796</v>
      </c>
      <c r="C21" s="6">
        <v>44216</v>
      </c>
      <c r="D21" t="str">
        <f t="shared" si="0"/>
        <v>Jan</v>
      </c>
      <c r="E21" t="str">
        <f t="shared" si="1"/>
        <v>2021</v>
      </c>
      <c r="F21" t="s">
        <v>3</v>
      </c>
      <c r="G21" t="s">
        <v>16</v>
      </c>
      <c r="H21" t="s">
        <v>566</v>
      </c>
      <c r="I21">
        <v>210</v>
      </c>
      <c r="J21">
        <v>18</v>
      </c>
      <c r="K21">
        <f t="shared" si="2"/>
        <v>8.5714285714285712</v>
      </c>
      <c r="L21" t="s">
        <v>1742</v>
      </c>
      <c r="M21" t="s">
        <v>3598</v>
      </c>
      <c r="N21" t="s">
        <v>1</v>
      </c>
      <c r="O21">
        <v>121010</v>
      </c>
      <c r="P21" t="s">
        <v>546</v>
      </c>
      <c r="Q21" t="s">
        <v>1767</v>
      </c>
      <c r="S21">
        <v>213.48</v>
      </c>
      <c r="T21">
        <v>3</v>
      </c>
      <c r="U21">
        <v>0.2</v>
      </c>
      <c r="V21">
        <v>16.010999999999999</v>
      </c>
      <c r="W21">
        <f t="shared" si="3"/>
        <v>65.822999999999993</v>
      </c>
      <c r="X21">
        <v>5</v>
      </c>
    </row>
    <row r="22" spans="1:24" x14ac:dyDescent="0.3">
      <c r="A22">
        <v>21</v>
      </c>
      <c r="B22" t="s">
        <v>1797</v>
      </c>
      <c r="C22" s="6">
        <v>44217</v>
      </c>
      <c r="D22" t="str">
        <f t="shared" si="0"/>
        <v>Jan</v>
      </c>
      <c r="E22" t="str">
        <f t="shared" si="1"/>
        <v>2021</v>
      </c>
      <c r="F22" t="s">
        <v>3</v>
      </c>
      <c r="G22" t="s">
        <v>16</v>
      </c>
      <c r="H22" t="s">
        <v>567</v>
      </c>
      <c r="I22">
        <v>110</v>
      </c>
      <c r="J22">
        <v>14</v>
      </c>
      <c r="K22">
        <f t="shared" si="2"/>
        <v>12.727272727272727</v>
      </c>
      <c r="L22" t="s">
        <v>1738</v>
      </c>
      <c r="M22" t="s">
        <v>3599</v>
      </c>
      <c r="N22" t="s">
        <v>1</v>
      </c>
      <c r="O22">
        <v>110054</v>
      </c>
      <c r="P22" t="s">
        <v>546</v>
      </c>
      <c r="Q22" t="s">
        <v>1759</v>
      </c>
      <c r="S22">
        <v>22.72</v>
      </c>
      <c r="T22">
        <v>4</v>
      </c>
      <c r="U22">
        <v>0.2</v>
      </c>
      <c r="V22">
        <v>7.3840000000000003</v>
      </c>
      <c r="W22">
        <f t="shared" si="3"/>
        <v>3.8339999999999996</v>
      </c>
      <c r="X22">
        <v>4</v>
      </c>
    </row>
    <row r="23" spans="1:24" x14ac:dyDescent="0.3">
      <c r="A23">
        <v>22</v>
      </c>
      <c r="B23" t="s">
        <v>1798</v>
      </c>
      <c r="C23" s="6">
        <v>44218</v>
      </c>
      <c r="D23" t="str">
        <f t="shared" si="0"/>
        <v>Jan</v>
      </c>
      <c r="E23" t="str">
        <f t="shared" si="1"/>
        <v>2021</v>
      </c>
      <c r="F23" t="s">
        <v>4</v>
      </c>
      <c r="G23" t="s">
        <v>17</v>
      </c>
      <c r="H23" t="s">
        <v>568</v>
      </c>
      <c r="I23">
        <v>150</v>
      </c>
      <c r="J23">
        <v>30</v>
      </c>
      <c r="K23">
        <f t="shared" si="2"/>
        <v>20</v>
      </c>
      <c r="L23" t="s">
        <v>1739</v>
      </c>
      <c r="M23" t="s">
        <v>3600</v>
      </c>
      <c r="O23">
        <v>400017</v>
      </c>
      <c r="P23" t="s">
        <v>546</v>
      </c>
      <c r="Q23" t="s">
        <v>1762</v>
      </c>
      <c r="S23">
        <v>19.46</v>
      </c>
      <c r="T23">
        <v>7</v>
      </c>
      <c r="U23">
        <v>0</v>
      </c>
      <c r="V23">
        <v>5.0595999999999997</v>
      </c>
      <c r="W23">
        <f t="shared" si="3"/>
        <v>2.0572000000000004</v>
      </c>
      <c r="X23">
        <v>3</v>
      </c>
    </row>
    <row r="24" spans="1:24" x14ac:dyDescent="0.3">
      <c r="A24">
        <v>23</v>
      </c>
      <c r="B24" t="s">
        <v>1799</v>
      </c>
      <c r="C24" s="6">
        <v>44219</v>
      </c>
      <c r="D24" t="str">
        <f t="shared" si="0"/>
        <v>Jan</v>
      </c>
      <c r="E24" t="str">
        <f t="shared" si="1"/>
        <v>2021</v>
      </c>
      <c r="F24" t="s">
        <v>4</v>
      </c>
      <c r="G24" t="s">
        <v>17</v>
      </c>
      <c r="H24" t="s">
        <v>569</v>
      </c>
      <c r="I24">
        <v>110</v>
      </c>
      <c r="J24">
        <v>10</v>
      </c>
      <c r="K24">
        <f t="shared" si="2"/>
        <v>9.0909090909090917</v>
      </c>
      <c r="L24" t="s">
        <v>1743</v>
      </c>
      <c r="M24" t="s">
        <v>3601</v>
      </c>
      <c r="N24" t="s">
        <v>1</v>
      </c>
      <c r="O24">
        <v>400068</v>
      </c>
      <c r="P24" t="s">
        <v>546</v>
      </c>
      <c r="Q24" t="s">
        <v>1769</v>
      </c>
      <c r="S24">
        <v>60.34</v>
      </c>
      <c r="T24">
        <v>7</v>
      </c>
      <c r="U24">
        <v>0</v>
      </c>
      <c r="V24">
        <v>15.6884</v>
      </c>
      <c r="W24">
        <f t="shared" si="3"/>
        <v>6.3788</v>
      </c>
      <c r="X24">
        <v>3</v>
      </c>
    </row>
    <row r="25" spans="1:24" x14ac:dyDescent="0.3">
      <c r="A25">
        <v>24</v>
      </c>
      <c r="B25" t="s">
        <v>1800</v>
      </c>
      <c r="C25" s="6">
        <v>44220</v>
      </c>
      <c r="D25" t="str">
        <f t="shared" si="0"/>
        <v>Jan</v>
      </c>
      <c r="E25" t="str">
        <f t="shared" si="1"/>
        <v>2021</v>
      </c>
      <c r="F25" t="s">
        <v>3</v>
      </c>
      <c r="G25" t="s">
        <v>18</v>
      </c>
      <c r="H25" t="s">
        <v>570</v>
      </c>
      <c r="I25">
        <v>190</v>
      </c>
      <c r="J25">
        <v>14</v>
      </c>
      <c r="K25">
        <f t="shared" si="2"/>
        <v>7.3684210526315779</v>
      </c>
      <c r="L25" t="s">
        <v>1737</v>
      </c>
      <c r="M25" t="s">
        <v>3602</v>
      </c>
      <c r="N25" t="s">
        <v>1</v>
      </c>
      <c r="O25">
        <v>175008</v>
      </c>
      <c r="P25" t="s">
        <v>546</v>
      </c>
      <c r="Q25" t="s">
        <v>1759</v>
      </c>
      <c r="S25">
        <v>71.372</v>
      </c>
      <c r="T25">
        <v>2</v>
      </c>
      <c r="U25">
        <v>0.3</v>
      </c>
      <c r="V25">
        <v>-1.0196000000000001</v>
      </c>
      <c r="W25">
        <f t="shared" si="3"/>
        <v>36.195799999999998</v>
      </c>
      <c r="X25">
        <v>4</v>
      </c>
    </row>
    <row r="26" spans="1:24" x14ac:dyDescent="0.3">
      <c r="A26">
        <v>25</v>
      </c>
      <c r="B26" t="s">
        <v>1801</v>
      </c>
      <c r="C26" s="6">
        <v>44221</v>
      </c>
      <c r="D26" t="str">
        <f t="shared" si="0"/>
        <v>Jan</v>
      </c>
      <c r="E26" t="str">
        <f t="shared" si="1"/>
        <v>2021</v>
      </c>
      <c r="F26" t="s">
        <v>4</v>
      </c>
      <c r="G26" t="s">
        <v>19</v>
      </c>
      <c r="H26" t="s">
        <v>550</v>
      </c>
      <c r="I26">
        <v>160</v>
      </c>
      <c r="J26">
        <v>22</v>
      </c>
      <c r="K26">
        <f t="shared" si="2"/>
        <v>13.750000000000002</v>
      </c>
      <c r="L26" t="s">
        <v>1741</v>
      </c>
      <c r="M26" t="s">
        <v>3603</v>
      </c>
      <c r="O26">
        <v>380022</v>
      </c>
      <c r="P26" t="s">
        <v>546</v>
      </c>
      <c r="Q26" t="s">
        <v>1768</v>
      </c>
      <c r="S26">
        <v>1044.6300000000001</v>
      </c>
      <c r="T26">
        <v>3</v>
      </c>
      <c r="U26">
        <v>0</v>
      </c>
      <c r="V26">
        <v>240.26490000000001</v>
      </c>
      <c r="W26">
        <f t="shared" si="3"/>
        <v>268.12170000000003</v>
      </c>
      <c r="X26">
        <v>1</v>
      </c>
    </row>
    <row r="27" spans="1:24" x14ac:dyDescent="0.3">
      <c r="A27">
        <v>26</v>
      </c>
      <c r="B27" t="s">
        <v>1802</v>
      </c>
      <c r="C27" s="6">
        <v>44222</v>
      </c>
      <c r="D27" t="str">
        <f t="shared" si="0"/>
        <v>Jan</v>
      </c>
      <c r="E27" t="str">
        <f t="shared" si="1"/>
        <v>2021</v>
      </c>
      <c r="F27" t="s">
        <v>3</v>
      </c>
      <c r="G27" t="s">
        <v>20</v>
      </c>
      <c r="H27" t="s">
        <v>571</v>
      </c>
      <c r="I27">
        <v>130</v>
      </c>
      <c r="J27">
        <v>18</v>
      </c>
      <c r="K27">
        <f t="shared" si="2"/>
        <v>13.846153846153847</v>
      </c>
      <c r="L27" t="s">
        <v>1736</v>
      </c>
      <c r="M27" t="s">
        <v>3604</v>
      </c>
      <c r="N27" t="s">
        <v>1</v>
      </c>
      <c r="O27">
        <v>342001</v>
      </c>
      <c r="P27" t="s">
        <v>546</v>
      </c>
      <c r="Q27" t="s">
        <v>1755</v>
      </c>
      <c r="S27">
        <v>11.648</v>
      </c>
      <c r="T27">
        <v>2</v>
      </c>
      <c r="U27">
        <v>0.2</v>
      </c>
      <c r="V27">
        <v>4.2224000000000004</v>
      </c>
      <c r="W27">
        <f t="shared" si="3"/>
        <v>3.7127999999999997</v>
      </c>
      <c r="X27">
        <v>1</v>
      </c>
    </row>
    <row r="28" spans="1:24" x14ac:dyDescent="0.3">
      <c r="A28">
        <v>27</v>
      </c>
      <c r="B28" t="s">
        <v>1803</v>
      </c>
      <c r="C28" s="6">
        <v>44223</v>
      </c>
      <c r="D28" t="str">
        <f t="shared" si="0"/>
        <v>Jan</v>
      </c>
      <c r="E28" t="str">
        <f t="shared" si="1"/>
        <v>2021</v>
      </c>
      <c r="F28" t="s">
        <v>3</v>
      </c>
      <c r="G28" t="s">
        <v>20</v>
      </c>
      <c r="H28" t="s">
        <v>572</v>
      </c>
      <c r="I28">
        <v>170</v>
      </c>
      <c r="J28">
        <v>26</v>
      </c>
      <c r="K28">
        <f t="shared" si="2"/>
        <v>15.294117647058824</v>
      </c>
      <c r="L28" t="s">
        <v>1744</v>
      </c>
      <c r="M28" t="s">
        <v>3605</v>
      </c>
      <c r="N28" t="s">
        <v>1</v>
      </c>
      <c r="O28">
        <v>602105</v>
      </c>
      <c r="P28" t="s">
        <v>546</v>
      </c>
      <c r="Q28" t="s">
        <v>1760</v>
      </c>
      <c r="S28">
        <v>90.57</v>
      </c>
      <c r="T28">
        <v>3</v>
      </c>
      <c r="U28">
        <v>0</v>
      </c>
      <c r="V28">
        <v>11.774100000000001</v>
      </c>
      <c r="W28">
        <f t="shared" si="3"/>
        <v>26.265299999999996</v>
      </c>
      <c r="X28">
        <v>3</v>
      </c>
    </row>
    <row r="29" spans="1:24" x14ac:dyDescent="0.3">
      <c r="A29">
        <v>28</v>
      </c>
      <c r="B29" t="s">
        <v>1804</v>
      </c>
      <c r="C29" s="6">
        <v>44224</v>
      </c>
      <c r="D29" t="str">
        <f t="shared" si="0"/>
        <v>Jan</v>
      </c>
      <c r="E29" t="str">
        <f t="shared" si="1"/>
        <v>2021</v>
      </c>
      <c r="F29" t="s">
        <v>4</v>
      </c>
      <c r="G29" t="s">
        <v>21</v>
      </c>
      <c r="H29" t="s">
        <v>573</v>
      </c>
      <c r="I29">
        <v>120</v>
      </c>
      <c r="J29">
        <v>10</v>
      </c>
      <c r="K29">
        <f t="shared" si="2"/>
        <v>8.3333333333333321</v>
      </c>
      <c r="L29" t="s">
        <v>1740</v>
      </c>
      <c r="M29" t="s">
        <v>3606</v>
      </c>
      <c r="N29" t="s">
        <v>1</v>
      </c>
      <c r="O29">
        <v>560068</v>
      </c>
      <c r="P29" t="s">
        <v>546</v>
      </c>
      <c r="Q29" t="s">
        <v>1754</v>
      </c>
      <c r="S29">
        <v>3083.43</v>
      </c>
      <c r="T29">
        <v>7</v>
      </c>
      <c r="U29">
        <v>0.5</v>
      </c>
      <c r="V29">
        <v>-1665.0522000000001</v>
      </c>
      <c r="W29">
        <f t="shared" si="3"/>
        <v>678.3546</v>
      </c>
      <c r="X29">
        <v>3</v>
      </c>
    </row>
    <row r="30" spans="1:24" x14ac:dyDescent="0.3">
      <c r="A30">
        <v>29</v>
      </c>
      <c r="B30" t="s">
        <v>1805</v>
      </c>
      <c r="C30" s="6">
        <v>44225</v>
      </c>
      <c r="D30" t="str">
        <f t="shared" si="0"/>
        <v>Jan</v>
      </c>
      <c r="E30" t="str">
        <f t="shared" si="1"/>
        <v>2021</v>
      </c>
      <c r="F30" t="s">
        <v>4</v>
      </c>
      <c r="G30" t="s">
        <v>21</v>
      </c>
      <c r="H30" t="s">
        <v>574</v>
      </c>
      <c r="I30">
        <v>180</v>
      </c>
      <c r="J30">
        <v>20</v>
      </c>
      <c r="K30">
        <f t="shared" si="2"/>
        <v>11.111111111111111</v>
      </c>
      <c r="L30" t="s">
        <v>1742</v>
      </c>
      <c r="M30" t="s">
        <v>3607</v>
      </c>
      <c r="N30" t="s">
        <v>1</v>
      </c>
      <c r="O30">
        <v>226016</v>
      </c>
      <c r="P30" t="s">
        <v>546</v>
      </c>
      <c r="Q30" t="s">
        <v>1771</v>
      </c>
      <c r="S30">
        <v>9.6180000000000003</v>
      </c>
      <c r="T30">
        <v>2</v>
      </c>
      <c r="U30">
        <v>0.7</v>
      </c>
      <c r="V30">
        <v>-7.0532000000000004</v>
      </c>
      <c r="W30">
        <f t="shared" si="3"/>
        <v>8.3355999999999995</v>
      </c>
      <c r="X30">
        <v>3</v>
      </c>
    </row>
    <row r="31" spans="1:24" x14ac:dyDescent="0.3">
      <c r="A31">
        <v>30</v>
      </c>
      <c r="B31" t="s">
        <v>1806</v>
      </c>
      <c r="C31" s="6">
        <v>44226</v>
      </c>
      <c r="D31" t="str">
        <f t="shared" si="0"/>
        <v>Jan</v>
      </c>
      <c r="E31" t="str">
        <f t="shared" si="1"/>
        <v>2021</v>
      </c>
      <c r="F31" t="s">
        <v>4</v>
      </c>
      <c r="G31" t="s">
        <v>21</v>
      </c>
      <c r="H31" t="s">
        <v>575</v>
      </c>
      <c r="I31">
        <v>200</v>
      </c>
      <c r="J31">
        <v>10</v>
      </c>
      <c r="K31">
        <f t="shared" si="2"/>
        <v>5</v>
      </c>
      <c r="L31" t="s">
        <v>1739</v>
      </c>
      <c r="M31" t="s">
        <v>3608</v>
      </c>
      <c r="N31" t="s">
        <v>1</v>
      </c>
      <c r="O31">
        <v>411028</v>
      </c>
      <c r="P31" t="s">
        <v>546</v>
      </c>
      <c r="Q31" t="s">
        <v>1758</v>
      </c>
      <c r="S31">
        <v>124.2</v>
      </c>
      <c r="T31">
        <v>3</v>
      </c>
      <c r="U31">
        <v>0.2</v>
      </c>
      <c r="V31">
        <v>15.525</v>
      </c>
      <c r="W31">
        <f t="shared" si="3"/>
        <v>36.225000000000001</v>
      </c>
      <c r="X31">
        <v>1</v>
      </c>
    </row>
    <row r="32" spans="1:24" x14ac:dyDescent="0.3">
      <c r="A32">
        <v>31</v>
      </c>
      <c r="B32" t="s">
        <v>1807</v>
      </c>
      <c r="C32" s="6">
        <v>44227</v>
      </c>
      <c r="D32" t="str">
        <f t="shared" si="0"/>
        <v>Jan</v>
      </c>
      <c r="E32" t="str">
        <f t="shared" si="1"/>
        <v>2021</v>
      </c>
      <c r="F32" t="s">
        <v>4</v>
      </c>
      <c r="G32" t="s">
        <v>21</v>
      </c>
      <c r="H32" t="s">
        <v>576</v>
      </c>
      <c r="I32">
        <v>110</v>
      </c>
      <c r="J32">
        <v>24</v>
      </c>
      <c r="K32">
        <f t="shared" si="2"/>
        <v>21.818181818181817</v>
      </c>
      <c r="L32" t="s">
        <v>1738</v>
      </c>
      <c r="M32" t="s">
        <v>3609</v>
      </c>
      <c r="N32" t="s">
        <v>1</v>
      </c>
      <c r="O32">
        <v>411028</v>
      </c>
      <c r="P32" t="s">
        <v>546</v>
      </c>
      <c r="Q32" t="s">
        <v>1759</v>
      </c>
      <c r="S32">
        <v>3.2639999999999998</v>
      </c>
      <c r="T32">
        <v>2</v>
      </c>
      <c r="U32">
        <v>0.2</v>
      </c>
      <c r="V32">
        <v>1.1015999999999999</v>
      </c>
      <c r="W32">
        <f t="shared" si="3"/>
        <v>1.0811999999999999</v>
      </c>
      <c r="X32">
        <v>3</v>
      </c>
    </row>
    <row r="33" spans="1:24" x14ac:dyDescent="0.3">
      <c r="A33">
        <v>32</v>
      </c>
      <c r="B33" t="s">
        <v>1808</v>
      </c>
      <c r="C33" s="6">
        <v>44228</v>
      </c>
      <c r="D33" t="str">
        <f t="shared" si="0"/>
        <v>Feb</v>
      </c>
      <c r="E33" t="str">
        <f t="shared" si="1"/>
        <v>2021</v>
      </c>
      <c r="F33" t="s">
        <v>4</v>
      </c>
      <c r="G33" t="s">
        <v>21</v>
      </c>
      <c r="H33" t="s">
        <v>577</v>
      </c>
      <c r="I33">
        <v>150</v>
      </c>
      <c r="J33">
        <v>6</v>
      </c>
      <c r="K33">
        <f t="shared" si="2"/>
        <v>4</v>
      </c>
      <c r="L33" t="s">
        <v>1743</v>
      </c>
      <c r="M33" t="s">
        <v>3610</v>
      </c>
      <c r="N33" t="s">
        <v>1</v>
      </c>
      <c r="O33">
        <v>500034</v>
      </c>
      <c r="P33" t="s">
        <v>546</v>
      </c>
      <c r="Q33" t="s">
        <v>1764</v>
      </c>
      <c r="S33">
        <v>86.304000000000002</v>
      </c>
      <c r="T33">
        <v>6</v>
      </c>
      <c r="U33">
        <v>0.2</v>
      </c>
      <c r="V33">
        <v>9.7091999999999992</v>
      </c>
      <c r="W33">
        <f t="shared" si="3"/>
        <v>12.7658</v>
      </c>
      <c r="X33">
        <v>4</v>
      </c>
    </row>
    <row r="34" spans="1:24" x14ac:dyDescent="0.3">
      <c r="A34">
        <v>33</v>
      </c>
      <c r="B34" t="s">
        <v>1809</v>
      </c>
      <c r="C34" s="6">
        <v>44229</v>
      </c>
      <c r="D34" t="str">
        <f t="shared" si="0"/>
        <v>Feb</v>
      </c>
      <c r="E34" t="str">
        <f t="shared" si="1"/>
        <v>2021</v>
      </c>
      <c r="F34" t="s">
        <v>4</v>
      </c>
      <c r="G34" t="s">
        <v>21</v>
      </c>
      <c r="H34" t="s">
        <v>578</v>
      </c>
      <c r="I34">
        <v>150</v>
      </c>
      <c r="J34">
        <v>10</v>
      </c>
      <c r="K34">
        <f t="shared" si="2"/>
        <v>6.666666666666667</v>
      </c>
      <c r="L34" t="s">
        <v>1737</v>
      </c>
      <c r="M34" t="s">
        <v>3611</v>
      </c>
      <c r="N34" t="s">
        <v>1</v>
      </c>
      <c r="O34">
        <v>560100</v>
      </c>
      <c r="P34" t="s">
        <v>546</v>
      </c>
      <c r="Q34" t="s">
        <v>1766</v>
      </c>
      <c r="S34">
        <v>6.8579999999999997</v>
      </c>
      <c r="T34">
        <v>6</v>
      </c>
      <c r="U34">
        <v>0.7</v>
      </c>
      <c r="V34">
        <v>-5.7149999999999999</v>
      </c>
      <c r="W34">
        <f t="shared" si="3"/>
        <v>2.0954999999999999</v>
      </c>
      <c r="X34">
        <v>3</v>
      </c>
    </row>
    <row r="35" spans="1:24" x14ac:dyDescent="0.3">
      <c r="A35">
        <v>34</v>
      </c>
      <c r="B35" t="s">
        <v>1810</v>
      </c>
      <c r="C35" s="6">
        <v>44230</v>
      </c>
      <c r="D35" t="str">
        <f t="shared" si="0"/>
        <v>Feb</v>
      </c>
      <c r="E35" t="str">
        <f t="shared" si="1"/>
        <v>2021</v>
      </c>
      <c r="F35" t="s">
        <v>4</v>
      </c>
      <c r="G35" t="s">
        <v>21</v>
      </c>
      <c r="H35" t="s">
        <v>579</v>
      </c>
      <c r="I35">
        <v>190</v>
      </c>
      <c r="J35">
        <v>16</v>
      </c>
      <c r="K35">
        <f t="shared" si="2"/>
        <v>8.4210526315789469</v>
      </c>
      <c r="L35" t="s">
        <v>1741</v>
      </c>
      <c r="M35" t="s">
        <v>3612</v>
      </c>
      <c r="N35" t="s">
        <v>1</v>
      </c>
      <c r="O35">
        <v>422009</v>
      </c>
      <c r="P35" t="s">
        <v>546</v>
      </c>
      <c r="Q35" t="s">
        <v>1770</v>
      </c>
      <c r="S35">
        <v>15.76</v>
      </c>
      <c r="T35">
        <v>2</v>
      </c>
      <c r="U35">
        <v>0.2</v>
      </c>
      <c r="V35">
        <v>3.5459999999999998</v>
      </c>
      <c r="W35">
        <f t="shared" si="3"/>
        <v>6.1070000000000002</v>
      </c>
      <c r="X35">
        <v>2</v>
      </c>
    </row>
    <row r="36" spans="1:24" x14ac:dyDescent="0.3">
      <c r="A36">
        <v>35</v>
      </c>
      <c r="B36" t="s">
        <v>1811</v>
      </c>
      <c r="C36" s="6">
        <v>44231</v>
      </c>
      <c r="D36" t="str">
        <f t="shared" si="0"/>
        <v>Feb</v>
      </c>
      <c r="E36" t="str">
        <f t="shared" si="1"/>
        <v>2021</v>
      </c>
      <c r="F36" t="s">
        <v>3</v>
      </c>
      <c r="G36" t="s">
        <v>22</v>
      </c>
      <c r="H36" t="s">
        <v>580</v>
      </c>
      <c r="I36">
        <v>220</v>
      </c>
      <c r="J36">
        <v>26</v>
      </c>
      <c r="K36">
        <f t="shared" si="2"/>
        <v>11.818181818181818</v>
      </c>
      <c r="L36" t="s">
        <v>1736</v>
      </c>
      <c r="M36" t="s">
        <v>3613</v>
      </c>
      <c r="N36" t="s">
        <v>1</v>
      </c>
      <c r="O36">
        <v>560028</v>
      </c>
      <c r="P36" t="s">
        <v>546</v>
      </c>
      <c r="Q36" t="s">
        <v>1764</v>
      </c>
      <c r="S36">
        <v>29.472000000000001</v>
      </c>
      <c r="T36">
        <v>3</v>
      </c>
      <c r="U36">
        <v>0.2</v>
      </c>
      <c r="V36">
        <v>9.9467999999999996</v>
      </c>
      <c r="W36">
        <f t="shared" si="3"/>
        <v>6.5084000000000009</v>
      </c>
      <c r="X36">
        <v>2</v>
      </c>
    </row>
    <row r="37" spans="1:24" x14ac:dyDescent="0.3">
      <c r="A37">
        <v>36</v>
      </c>
      <c r="B37" t="s">
        <v>1812</v>
      </c>
      <c r="C37" s="6">
        <v>44232</v>
      </c>
      <c r="D37" t="str">
        <f t="shared" si="0"/>
        <v>Feb</v>
      </c>
      <c r="E37" t="str">
        <f t="shared" si="1"/>
        <v>2021</v>
      </c>
      <c r="F37" t="s">
        <v>5</v>
      </c>
      <c r="G37" t="s">
        <v>23</v>
      </c>
      <c r="H37" t="s">
        <v>581</v>
      </c>
      <c r="I37">
        <v>250</v>
      </c>
      <c r="J37">
        <v>10</v>
      </c>
      <c r="K37">
        <f t="shared" si="2"/>
        <v>4</v>
      </c>
      <c r="L37" t="s">
        <v>1744</v>
      </c>
      <c r="M37" t="s">
        <v>3614</v>
      </c>
      <c r="N37" t="s">
        <v>1</v>
      </c>
      <c r="O37">
        <v>400089</v>
      </c>
      <c r="P37" t="s">
        <v>546</v>
      </c>
      <c r="Q37" t="s">
        <v>1764</v>
      </c>
      <c r="S37">
        <v>1097.5440000000001</v>
      </c>
      <c r="T37">
        <v>7</v>
      </c>
      <c r="U37">
        <v>0.2</v>
      </c>
      <c r="V37">
        <v>123.47369999999999</v>
      </c>
      <c r="W37">
        <f t="shared" si="3"/>
        <v>139.15290000000002</v>
      </c>
      <c r="X37">
        <v>1</v>
      </c>
    </row>
    <row r="38" spans="1:24" x14ac:dyDescent="0.3">
      <c r="A38">
        <v>37</v>
      </c>
      <c r="B38" t="s">
        <v>1813</v>
      </c>
      <c r="C38" s="6">
        <v>44233</v>
      </c>
      <c r="D38" t="str">
        <f t="shared" si="0"/>
        <v>Feb</v>
      </c>
      <c r="E38" t="str">
        <f t="shared" si="1"/>
        <v>2021</v>
      </c>
      <c r="F38" t="s">
        <v>5</v>
      </c>
      <c r="G38" t="s">
        <v>23</v>
      </c>
      <c r="H38" t="s">
        <v>582</v>
      </c>
      <c r="I38">
        <v>200</v>
      </c>
      <c r="J38">
        <v>30</v>
      </c>
      <c r="K38">
        <f t="shared" si="2"/>
        <v>15</v>
      </c>
      <c r="L38" t="s">
        <v>1740</v>
      </c>
      <c r="M38" t="s">
        <v>3615</v>
      </c>
      <c r="N38" t="s">
        <v>1</v>
      </c>
      <c r="O38">
        <v>580023</v>
      </c>
      <c r="P38" t="s">
        <v>546</v>
      </c>
      <c r="Q38" t="s">
        <v>1757</v>
      </c>
      <c r="S38">
        <v>190.92</v>
      </c>
      <c r="T38">
        <v>5</v>
      </c>
      <c r="U38">
        <v>0.6</v>
      </c>
      <c r="V38">
        <v>-147.96299999999999</v>
      </c>
      <c r="W38">
        <f t="shared" si="3"/>
        <v>67.776600000000002</v>
      </c>
      <c r="X38">
        <v>3</v>
      </c>
    </row>
    <row r="39" spans="1:24" x14ac:dyDescent="0.3">
      <c r="A39">
        <v>38</v>
      </c>
      <c r="B39" t="s">
        <v>1814</v>
      </c>
      <c r="C39" s="6">
        <v>44234</v>
      </c>
      <c r="D39" t="str">
        <f t="shared" si="0"/>
        <v>Feb</v>
      </c>
      <c r="E39" t="str">
        <f t="shared" si="1"/>
        <v>2021</v>
      </c>
      <c r="F39" t="s">
        <v>4</v>
      </c>
      <c r="G39" t="s">
        <v>24</v>
      </c>
      <c r="H39" t="s">
        <v>583</v>
      </c>
      <c r="I39">
        <v>140</v>
      </c>
      <c r="J39">
        <v>18</v>
      </c>
      <c r="K39">
        <f t="shared" si="2"/>
        <v>12.857142857142856</v>
      </c>
      <c r="L39" t="s">
        <v>1742</v>
      </c>
      <c r="M39" t="s">
        <v>3616</v>
      </c>
      <c r="N39" t="s">
        <v>1</v>
      </c>
      <c r="O39">
        <v>110058</v>
      </c>
      <c r="P39" t="s">
        <v>546</v>
      </c>
      <c r="Q39" t="s">
        <v>1764</v>
      </c>
      <c r="S39">
        <v>113.328</v>
      </c>
      <c r="T39">
        <v>9</v>
      </c>
      <c r="U39">
        <v>0.2</v>
      </c>
      <c r="V39">
        <v>35.414999999999999</v>
      </c>
      <c r="W39">
        <f t="shared" si="3"/>
        <v>8.6570000000000018</v>
      </c>
      <c r="X39">
        <v>4</v>
      </c>
    </row>
    <row r="40" spans="1:24" x14ac:dyDescent="0.3">
      <c r="A40">
        <v>39</v>
      </c>
      <c r="B40" t="s">
        <v>1815</v>
      </c>
      <c r="C40" s="6">
        <v>44235</v>
      </c>
      <c r="D40" t="str">
        <f t="shared" si="0"/>
        <v>Feb</v>
      </c>
      <c r="E40" t="str">
        <f t="shared" si="1"/>
        <v>2021</v>
      </c>
      <c r="F40" t="s">
        <v>4</v>
      </c>
      <c r="G40" t="s">
        <v>24</v>
      </c>
      <c r="H40" t="s">
        <v>584</v>
      </c>
      <c r="I40">
        <v>200</v>
      </c>
      <c r="J40">
        <v>30</v>
      </c>
      <c r="K40">
        <f t="shared" si="2"/>
        <v>15</v>
      </c>
      <c r="L40" t="s">
        <v>1739</v>
      </c>
      <c r="M40" t="s">
        <v>3617</v>
      </c>
      <c r="N40" t="s">
        <v>1</v>
      </c>
      <c r="O40">
        <v>560059</v>
      </c>
      <c r="P40" t="s">
        <v>546</v>
      </c>
      <c r="Q40" t="s">
        <v>1775</v>
      </c>
      <c r="R40" t="s">
        <v>2</v>
      </c>
      <c r="S40">
        <v>532.39919999999995</v>
      </c>
      <c r="T40">
        <v>3</v>
      </c>
      <c r="U40">
        <v>0.32</v>
      </c>
      <c r="V40">
        <v>-46.976399999999998</v>
      </c>
      <c r="W40">
        <f t="shared" si="3"/>
        <v>193.12519999999998</v>
      </c>
      <c r="X40">
        <v>5</v>
      </c>
    </row>
    <row r="41" spans="1:24" x14ac:dyDescent="0.3">
      <c r="A41">
        <v>40</v>
      </c>
      <c r="B41" t="s">
        <v>1816</v>
      </c>
      <c r="C41" s="6">
        <v>44236</v>
      </c>
      <c r="D41" t="str">
        <f t="shared" si="0"/>
        <v>Feb</v>
      </c>
      <c r="E41" t="str">
        <f t="shared" si="1"/>
        <v>2021</v>
      </c>
      <c r="F41" t="s">
        <v>4</v>
      </c>
      <c r="G41" t="s">
        <v>24</v>
      </c>
      <c r="H41" t="s">
        <v>585</v>
      </c>
      <c r="I41">
        <v>130</v>
      </c>
      <c r="J41">
        <v>30</v>
      </c>
      <c r="K41">
        <f t="shared" si="2"/>
        <v>23.076923076923077</v>
      </c>
      <c r="L41" t="s">
        <v>1738</v>
      </c>
      <c r="M41" t="s">
        <v>3618</v>
      </c>
      <c r="N41" t="s">
        <v>1</v>
      </c>
      <c r="O41">
        <v>799250</v>
      </c>
      <c r="P41" t="s">
        <v>546</v>
      </c>
      <c r="Q41" t="s">
        <v>1755</v>
      </c>
      <c r="S41">
        <v>212.05799999999999</v>
      </c>
      <c r="T41">
        <v>3</v>
      </c>
      <c r="U41">
        <v>0.3</v>
      </c>
      <c r="V41">
        <v>-15.147</v>
      </c>
      <c r="W41">
        <f t="shared" si="3"/>
        <v>75.734999999999999</v>
      </c>
      <c r="X41">
        <v>5</v>
      </c>
    </row>
    <row r="42" spans="1:24" x14ac:dyDescent="0.3">
      <c r="A42">
        <v>41</v>
      </c>
      <c r="B42" t="s">
        <v>1817</v>
      </c>
      <c r="C42" s="6">
        <v>44237</v>
      </c>
      <c r="D42" t="str">
        <f t="shared" si="0"/>
        <v>Feb</v>
      </c>
      <c r="E42" t="str">
        <f t="shared" si="1"/>
        <v>2021</v>
      </c>
      <c r="F42" t="s">
        <v>4</v>
      </c>
      <c r="G42" t="s">
        <v>24</v>
      </c>
      <c r="H42" t="s">
        <v>586</v>
      </c>
      <c r="I42">
        <v>180</v>
      </c>
      <c r="J42">
        <v>6</v>
      </c>
      <c r="K42">
        <f t="shared" si="2"/>
        <v>3.3333333333333335</v>
      </c>
      <c r="L42" t="s">
        <v>1741</v>
      </c>
      <c r="M42" t="s">
        <v>3619</v>
      </c>
      <c r="N42" t="s">
        <v>1</v>
      </c>
      <c r="O42">
        <v>695009</v>
      </c>
      <c r="P42" t="s">
        <v>546</v>
      </c>
      <c r="Q42" t="s">
        <v>1756</v>
      </c>
      <c r="S42">
        <v>371.16800000000001</v>
      </c>
      <c r="T42">
        <v>4</v>
      </c>
      <c r="U42">
        <v>0.2</v>
      </c>
      <c r="V42">
        <v>41.756399999999999</v>
      </c>
      <c r="W42">
        <f t="shared" si="3"/>
        <v>82.352900000000005</v>
      </c>
      <c r="X42">
        <v>2</v>
      </c>
    </row>
    <row r="43" spans="1:24" x14ac:dyDescent="0.3">
      <c r="A43">
        <v>42</v>
      </c>
      <c r="B43" t="s">
        <v>1818</v>
      </c>
      <c r="C43" s="6">
        <v>44238</v>
      </c>
      <c r="D43" t="str">
        <f t="shared" si="0"/>
        <v>Feb</v>
      </c>
      <c r="E43" t="str">
        <f t="shared" si="1"/>
        <v>2021</v>
      </c>
      <c r="F43" t="s">
        <v>4</v>
      </c>
      <c r="G43" t="s">
        <v>25</v>
      </c>
      <c r="H43" t="s">
        <v>587</v>
      </c>
      <c r="I43">
        <v>140</v>
      </c>
      <c r="J43">
        <v>10</v>
      </c>
      <c r="K43">
        <f t="shared" si="2"/>
        <v>7.1428571428571423</v>
      </c>
      <c r="L43" t="s">
        <v>1737</v>
      </c>
      <c r="M43" t="s">
        <v>3620</v>
      </c>
      <c r="N43" t="s">
        <v>1</v>
      </c>
      <c r="O43">
        <v>201005</v>
      </c>
      <c r="P43" t="s">
        <v>546</v>
      </c>
      <c r="Q43" t="s">
        <v>1766</v>
      </c>
      <c r="S43">
        <v>147.16800000000001</v>
      </c>
      <c r="T43">
        <v>4</v>
      </c>
      <c r="U43">
        <v>0.2</v>
      </c>
      <c r="V43">
        <v>16.5564</v>
      </c>
      <c r="W43">
        <f t="shared" si="3"/>
        <v>32.652900000000002</v>
      </c>
      <c r="X43">
        <v>1</v>
      </c>
    </row>
    <row r="44" spans="1:24" x14ac:dyDescent="0.3">
      <c r="A44">
        <v>43</v>
      </c>
      <c r="B44" t="s">
        <v>1819</v>
      </c>
      <c r="C44" s="6">
        <v>44239</v>
      </c>
      <c r="D44" t="str">
        <f t="shared" si="0"/>
        <v>Feb</v>
      </c>
      <c r="E44" t="str">
        <f t="shared" si="1"/>
        <v>2021</v>
      </c>
      <c r="F44" t="s">
        <v>4</v>
      </c>
      <c r="G44" t="s">
        <v>26</v>
      </c>
      <c r="H44" t="s">
        <v>588</v>
      </c>
      <c r="I44">
        <v>170</v>
      </c>
      <c r="J44">
        <v>26</v>
      </c>
      <c r="K44">
        <f t="shared" si="2"/>
        <v>15.294117647058824</v>
      </c>
      <c r="L44" t="s">
        <v>1743</v>
      </c>
      <c r="M44" t="s">
        <v>3621</v>
      </c>
      <c r="N44" t="s">
        <v>1</v>
      </c>
      <c r="O44">
        <v>395007</v>
      </c>
      <c r="P44" t="s">
        <v>546</v>
      </c>
      <c r="Q44" t="s">
        <v>1766</v>
      </c>
      <c r="R44" t="s">
        <v>2</v>
      </c>
      <c r="S44">
        <v>77.88</v>
      </c>
      <c r="T44">
        <v>2</v>
      </c>
      <c r="U44">
        <v>0</v>
      </c>
      <c r="V44">
        <v>3.8940000000000001</v>
      </c>
      <c r="W44">
        <f t="shared" si="3"/>
        <v>36.992999999999995</v>
      </c>
      <c r="X44">
        <v>1</v>
      </c>
    </row>
    <row r="45" spans="1:24" x14ac:dyDescent="0.3">
      <c r="A45">
        <v>44</v>
      </c>
      <c r="B45" t="s">
        <v>1820</v>
      </c>
      <c r="C45" s="6">
        <v>44240</v>
      </c>
      <c r="D45" t="str">
        <f t="shared" si="0"/>
        <v>Feb</v>
      </c>
      <c r="E45" t="str">
        <f t="shared" si="1"/>
        <v>2021</v>
      </c>
      <c r="F45" t="s">
        <v>4</v>
      </c>
      <c r="G45" t="s">
        <v>27</v>
      </c>
      <c r="H45" t="s">
        <v>589</v>
      </c>
      <c r="I45">
        <v>180</v>
      </c>
      <c r="J45">
        <v>8</v>
      </c>
      <c r="K45">
        <f t="shared" si="2"/>
        <v>4.4444444444444446</v>
      </c>
      <c r="L45" t="s">
        <v>1738</v>
      </c>
      <c r="M45" t="s">
        <v>3622</v>
      </c>
      <c r="N45" t="s">
        <v>1</v>
      </c>
      <c r="O45">
        <v>560008</v>
      </c>
      <c r="P45" t="s">
        <v>546</v>
      </c>
      <c r="Q45" t="s">
        <v>1761</v>
      </c>
      <c r="S45">
        <v>95.616</v>
      </c>
      <c r="T45">
        <v>2</v>
      </c>
      <c r="U45">
        <v>0.2</v>
      </c>
      <c r="V45">
        <v>9.5616000000000003</v>
      </c>
      <c r="W45">
        <f t="shared" si="3"/>
        <v>43.027200000000001</v>
      </c>
      <c r="X45">
        <v>3</v>
      </c>
    </row>
    <row r="46" spans="1:24" x14ac:dyDescent="0.3">
      <c r="A46">
        <v>45</v>
      </c>
      <c r="B46" t="s">
        <v>1821</v>
      </c>
      <c r="C46" s="6">
        <v>44241</v>
      </c>
      <c r="D46" t="str">
        <f t="shared" si="0"/>
        <v>Feb</v>
      </c>
      <c r="E46" t="str">
        <f t="shared" si="1"/>
        <v>2021</v>
      </c>
      <c r="F46" t="s">
        <v>5</v>
      </c>
      <c r="G46" t="s">
        <v>28</v>
      </c>
      <c r="H46" t="s">
        <v>590</v>
      </c>
      <c r="I46">
        <v>170</v>
      </c>
      <c r="J46">
        <v>16</v>
      </c>
      <c r="K46">
        <f t="shared" si="2"/>
        <v>9.4117647058823533</v>
      </c>
      <c r="L46" t="s">
        <v>1739</v>
      </c>
      <c r="M46" t="s">
        <v>3623</v>
      </c>
      <c r="N46" t="s">
        <v>1</v>
      </c>
      <c r="O46">
        <v>560024</v>
      </c>
      <c r="P46" t="s">
        <v>546</v>
      </c>
      <c r="Q46" t="s">
        <v>1757</v>
      </c>
      <c r="S46">
        <v>45.98</v>
      </c>
      <c r="T46">
        <v>2</v>
      </c>
      <c r="U46">
        <v>0</v>
      </c>
      <c r="V46">
        <v>19.7714</v>
      </c>
      <c r="W46">
        <f t="shared" si="3"/>
        <v>13.104299999999999</v>
      </c>
      <c r="X46">
        <v>4</v>
      </c>
    </row>
    <row r="47" spans="1:24" x14ac:dyDescent="0.3">
      <c r="A47">
        <v>46</v>
      </c>
      <c r="B47" t="s">
        <v>1822</v>
      </c>
      <c r="C47" s="6">
        <v>44242</v>
      </c>
      <c r="D47" t="str">
        <f t="shared" si="0"/>
        <v>Feb</v>
      </c>
      <c r="E47" t="str">
        <f t="shared" si="1"/>
        <v>2021</v>
      </c>
      <c r="F47" t="s">
        <v>5</v>
      </c>
      <c r="G47" t="s">
        <v>28</v>
      </c>
      <c r="H47" t="s">
        <v>591</v>
      </c>
      <c r="I47">
        <v>230</v>
      </c>
      <c r="J47">
        <v>28</v>
      </c>
      <c r="K47">
        <f t="shared" si="2"/>
        <v>12.173913043478262</v>
      </c>
      <c r="L47" t="s">
        <v>1736</v>
      </c>
      <c r="M47" t="s">
        <v>3624</v>
      </c>
      <c r="N47" t="s">
        <v>1</v>
      </c>
      <c r="O47">
        <v>500084</v>
      </c>
      <c r="P47" t="s">
        <v>546</v>
      </c>
      <c r="Q47" t="s">
        <v>1761</v>
      </c>
      <c r="R47" t="s">
        <v>2</v>
      </c>
      <c r="S47">
        <v>17.46</v>
      </c>
      <c r="T47">
        <v>2</v>
      </c>
      <c r="U47">
        <v>0</v>
      </c>
      <c r="V47">
        <v>8.2062000000000008</v>
      </c>
      <c r="W47">
        <f t="shared" si="3"/>
        <v>4.6269</v>
      </c>
      <c r="X47">
        <v>1</v>
      </c>
    </row>
    <row r="48" spans="1:24" x14ac:dyDescent="0.3">
      <c r="A48">
        <v>47</v>
      </c>
      <c r="B48" t="s">
        <v>1823</v>
      </c>
      <c r="C48" s="6">
        <v>44243</v>
      </c>
      <c r="D48" t="str">
        <f t="shared" si="0"/>
        <v>Feb</v>
      </c>
      <c r="E48" t="str">
        <f t="shared" si="1"/>
        <v>2021</v>
      </c>
      <c r="F48" t="s">
        <v>3</v>
      </c>
      <c r="G48" t="s">
        <v>29</v>
      </c>
      <c r="H48" t="s">
        <v>592</v>
      </c>
      <c r="I48">
        <v>220</v>
      </c>
      <c r="J48">
        <v>8</v>
      </c>
      <c r="K48">
        <f t="shared" si="2"/>
        <v>3.6363636363636362</v>
      </c>
      <c r="L48" t="s">
        <v>1744</v>
      </c>
      <c r="M48" t="s">
        <v>3625</v>
      </c>
      <c r="N48" t="s">
        <v>1</v>
      </c>
      <c r="O48">
        <v>485001</v>
      </c>
      <c r="P48" t="s">
        <v>546</v>
      </c>
      <c r="Q48" t="s">
        <v>1759</v>
      </c>
      <c r="S48">
        <v>211.96</v>
      </c>
      <c r="T48">
        <v>4</v>
      </c>
      <c r="U48">
        <v>0</v>
      </c>
      <c r="V48">
        <v>8.4784000000000006</v>
      </c>
      <c r="W48">
        <f t="shared" si="3"/>
        <v>50.870400000000004</v>
      </c>
      <c r="X48">
        <v>4</v>
      </c>
    </row>
    <row r="49" spans="1:24" x14ac:dyDescent="0.3">
      <c r="A49">
        <v>48</v>
      </c>
      <c r="B49" t="s">
        <v>1824</v>
      </c>
      <c r="C49" s="6">
        <v>44244</v>
      </c>
      <c r="D49" t="str">
        <f t="shared" si="0"/>
        <v>Feb</v>
      </c>
      <c r="E49" t="str">
        <f t="shared" si="1"/>
        <v>2021</v>
      </c>
      <c r="F49" t="s">
        <v>4</v>
      </c>
      <c r="G49" t="s">
        <v>30</v>
      </c>
      <c r="H49" t="s">
        <v>593</v>
      </c>
      <c r="I49">
        <v>130</v>
      </c>
      <c r="J49">
        <v>20</v>
      </c>
      <c r="K49">
        <f t="shared" si="2"/>
        <v>15.384615384615385</v>
      </c>
      <c r="L49" t="s">
        <v>1740</v>
      </c>
      <c r="M49" t="s">
        <v>3626</v>
      </c>
      <c r="N49" t="s">
        <v>1</v>
      </c>
      <c r="O49">
        <v>575001</v>
      </c>
      <c r="P49" t="s">
        <v>546</v>
      </c>
      <c r="Q49" t="s">
        <v>1762</v>
      </c>
      <c r="S49">
        <v>45</v>
      </c>
      <c r="T49">
        <v>3</v>
      </c>
      <c r="U49">
        <v>0</v>
      </c>
      <c r="V49">
        <v>4.95</v>
      </c>
      <c r="W49">
        <f t="shared" si="3"/>
        <v>13.35</v>
      </c>
      <c r="X49">
        <v>3</v>
      </c>
    </row>
    <row r="50" spans="1:24" x14ac:dyDescent="0.3">
      <c r="A50">
        <v>49</v>
      </c>
      <c r="B50" t="s">
        <v>1825</v>
      </c>
      <c r="C50" s="6">
        <v>44245</v>
      </c>
      <c r="D50" t="str">
        <f t="shared" si="0"/>
        <v>Feb</v>
      </c>
      <c r="E50" t="str">
        <f t="shared" si="1"/>
        <v>2021</v>
      </c>
      <c r="F50" t="s">
        <v>4</v>
      </c>
      <c r="G50" t="s">
        <v>30</v>
      </c>
      <c r="H50" t="s">
        <v>594</v>
      </c>
      <c r="I50">
        <v>100</v>
      </c>
      <c r="J50">
        <v>18</v>
      </c>
      <c r="K50">
        <f t="shared" si="2"/>
        <v>18</v>
      </c>
      <c r="L50" t="s">
        <v>1742</v>
      </c>
      <c r="M50" t="s">
        <v>3627</v>
      </c>
      <c r="N50" t="s">
        <v>1</v>
      </c>
      <c r="O50">
        <v>486661</v>
      </c>
      <c r="P50" t="s">
        <v>546</v>
      </c>
      <c r="Q50" t="s">
        <v>1761</v>
      </c>
      <c r="S50">
        <v>21.8</v>
      </c>
      <c r="T50">
        <v>2</v>
      </c>
      <c r="U50">
        <v>0</v>
      </c>
      <c r="V50">
        <v>6.1040000000000001</v>
      </c>
      <c r="W50">
        <f t="shared" si="3"/>
        <v>7.8480000000000008</v>
      </c>
      <c r="X50">
        <v>5</v>
      </c>
    </row>
    <row r="51" spans="1:24" x14ac:dyDescent="0.3">
      <c r="A51">
        <v>50</v>
      </c>
      <c r="B51" t="s">
        <v>1826</v>
      </c>
      <c r="C51" s="6">
        <v>44246</v>
      </c>
      <c r="D51" t="str">
        <f t="shared" si="0"/>
        <v>Feb</v>
      </c>
      <c r="E51" t="str">
        <f t="shared" si="1"/>
        <v>2021</v>
      </c>
      <c r="F51" t="s">
        <v>4</v>
      </c>
      <c r="G51" t="s">
        <v>31</v>
      </c>
      <c r="H51" t="s">
        <v>595</v>
      </c>
      <c r="I51">
        <v>170</v>
      </c>
      <c r="J51">
        <v>18</v>
      </c>
      <c r="K51">
        <f t="shared" si="2"/>
        <v>10.588235294117647</v>
      </c>
      <c r="L51" t="s">
        <v>1739</v>
      </c>
      <c r="M51" t="s">
        <v>3628</v>
      </c>
      <c r="N51" t="s">
        <v>1</v>
      </c>
      <c r="O51">
        <v>560084</v>
      </c>
      <c r="P51" t="s">
        <v>546</v>
      </c>
      <c r="Q51" t="s">
        <v>1767</v>
      </c>
      <c r="S51">
        <v>38.22</v>
      </c>
      <c r="T51">
        <v>6</v>
      </c>
      <c r="U51">
        <v>0</v>
      </c>
      <c r="V51">
        <v>17.9634</v>
      </c>
      <c r="W51">
        <f t="shared" si="3"/>
        <v>3.3760999999999997</v>
      </c>
      <c r="X51">
        <v>1</v>
      </c>
    </row>
    <row r="52" spans="1:24" x14ac:dyDescent="0.3">
      <c r="A52">
        <v>51</v>
      </c>
      <c r="B52" t="s">
        <v>1827</v>
      </c>
      <c r="C52" s="6">
        <v>44247</v>
      </c>
      <c r="D52" t="str">
        <f t="shared" si="0"/>
        <v>Feb</v>
      </c>
      <c r="E52" t="str">
        <f t="shared" si="1"/>
        <v>2021</v>
      </c>
      <c r="F52" t="s">
        <v>4</v>
      </c>
      <c r="G52" t="s">
        <v>31</v>
      </c>
      <c r="H52" t="s">
        <v>596</v>
      </c>
      <c r="I52">
        <v>240</v>
      </c>
      <c r="J52">
        <v>8</v>
      </c>
      <c r="K52">
        <f t="shared" si="2"/>
        <v>3.3333333333333335</v>
      </c>
      <c r="L52" t="s">
        <v>1738</v>
      </c>
      <c r="M52" t="s">
        <v>3629</v>
      </c>
      <c r="N52" t="s">
        <v>1</v>
      </c>
      <c r="O52">
        <v>411036</v>
      </c>
      <c r="P52" t="s">
        <v>546</v>
      </c>
      <c r="Q52" t="s">
        <v>1775</v>
      </c>
      <c r="S52">
        <v>75.180000000000007</v>
      </c>
      <c r="T52">
        <v>6</v>
      </c>
      <c r="U52">
        <v>0</v>
      </c>
      <c r="V52">
        <v>35.334600000000002</v>
      </c>
      <c r="W52">
        <f t="shared" si="3"/>
        <v>6.6409000000000011</v>
      </c>
      <c r="X52">
        <v>3</v>
      </c>
    </row>
    <row r="53" spans="1:24" x14ac:dyDescent="0.3">
      <c r="A53">
        <v>52</v>
      </c>
      <c r="B53" t="s">
        <v>1828</v>
      </c>
      <c r="C53" s="6">
        <v>44248</v>
      </c>
      <c r="D53" t="str">
        <f t="shared" si="0"/>
        <v>Feb</v>
      </c>
      <c r="E53" t="str">
        <f t="shared" si="1"/>
        <v>2021</v>
      </c>
      <c r="F53" t="s">
        <v>4</v>
      </c>
      <c r="G53" t="s">
        <v>31</v>
      </c>
      <c r="H53" t="s">
        <v>597</v>
      </c>
      <c r="I53">
        <v>190</v>
      </c>
      <c r="J53">
        <v>26</v>
      </c>
      <c r="K53">
        <f t="shared" si="2"/>
        <v>13.684210526315791</v>
      </c>
      <c r="L53" t="s">
        <v>1743</v>
      </c>
      <c r="M53" t="s">
        <v>3630</v>
      </c>
      <c r="N53" t="s">
        <v>1</v>
      </c>
      <c r="O53">
        <v>400102</v>
      </c>
      <c r="P53" t="s">
        <v>546</v>
      </c>
      <c r="Q53" t="s">
        <v>1760</v>
      </c>
      <c r="S53">
        <v>6.16</v>
      </c>
      <c r="T53">
        <v>2</v>
      </c>
      <c r="U53">
        <v>0</v>
      </c>
      <c r="V53">
        <v>2.9567999999999999</v>
      </c>
      <c r="W53">
        <f t="shared" si="3"/>
        <v>1.6016000000000001</v>
      </c>
      <c r="X53">
        <v>1</v>
      </c>
    </row>
    <row r="54" spans="1:24" x14ac:dyDescent="0.3">
      <c r="A54">
        <v>53</v>
      </c>
      <c r="B54" t="s">
        <v>1829</v>
      </c>
      <c r="C54" s="6">
        <v>44249</v>
      </c>
      <c r="D54" t="str">
        <f t="shared" si="0"/>
        <v>Feb</v>
      </c>
      <c r="E54" t="str">
        <f t="shared" si="1"/>
        <v>2021</v>
      </c>
      <c r="F54" t="s">
        <v>4</v>
      </c>
      <c r="G54" t="s">
        <v>31</v>
      </c>
      <c r="H54" t="s">
        <v>598</v>
      </c>
      <c r="I54">
        <v>230</v>
      </c>
      <c r="J54">
        <v>20</v>
      </c>
      <c r="K54">
        <f t="shared" si="2"/>
        <v>8.695652173913043</v>
      </c>
      <c r="L54" t="s">
        <v>1737</v>
      </c>
      <c r="M54" t="s">
        <v>3631</v>
      </c>
      <c r="N54" t="s">
        <v>1</v>
      </c>
      <c r="O54">
        <v>600003</v>
      </c>
      <c r="P54" t="s">
        <v>546</v>
      </c>
      <c r="Q54" t="s">
        <v>1764</v>
      </c>
      <c r="S54">
        <v>89.99</v>
      </c>
      <c r="T54">
        <v>1</v>
      </c>
      <c r="U54">
        <v>0</v>
      </c>
      <c r="V54">
        <v>17.098099999999999</v>
      </c>
      <c r="W54">
        <f t="shared" si="3"/>
        <v>72.891899999999993</v>
      </c>
      <c r="X54">
        <v>3</v>
      </c>
    </row>
    <row r="55" spans="1:24" x14ac:dyDescent="0.3">
      <c r="A55">
        <v>54</v>
      </c>
      <c r="B55" t="s">
        <v>1830</v>
      </c>
      <c r="C55" s="6">
        <v>44250</v>
      </c>
      <c r="D55" t="str">
        <f t="shared" si="0"/>
        <v>Feb</v>
      </c>
      <c r="E55" t="str">
        <f t="shared" si="1"/>
        <v>2021</v>
      </c>
      <c r="F55" t="s">
        <v>4</v>
      </c>
      <c r="G55" t="s">
        <v>32</v>
      </c>
      <c r="H55" t="s">
        <v>599</v>
      </c>
      <c r="I55">
        <v>200</v>
      </c>
      <c r="J55">
        <v>28</v>
      </c>
      <c r="K55">
        <f t="shared" si="2"/>
        <v>14.000000000000002</v>
      </c>
      <c r="L55" t="s">
        <v>1741</v>
      </c>
      <c r="M55" t="s">
        <v>3632</v>
      </c>
      <c r="N55" t="s">
        <v>1</v>
      </c>
      <c r="O55">
        <v>799003</v>
      </c>
      <c r="P55" t="s">
        <v>546</v>
      </c>
      <c r="Q55" t="s">
        <v>1762</v>
      </c>
      <c r="S55">
        <v>15.26</v>
      </c>
      <c r="T55">
        <v>7</v>
      </c>
      <c r="U55">
        <v>0</v>
      </c>
      <c r="V55">
        <v>6.2565999999999997</v>
      </c>
      <c r="W55">
        <f t="shared" si="3"/>
        <v>1.2861999999999998</v>
      </c>
      <c r="X55">
        <v>4</v>
      </c>
    </row>
    <row r="56" spans="1:24" x14ac:dyDescent="0.3">
      <c r="A56">
        <v>55</v>
      </c>
      <c r="B56" t="s">
        <v>1831</v>
      </c>
      <c r="C56" s="6">
        <v>44251</v>
      </c>
      <c r="D56" t="str">
        <f t="shared" si="0"/>
        <v>Feb</v>
      </c>
      <c r="E56" t="str">
        <f t="shared" si="1"/>
        <v>2021</v>
      </c>
      <c r="F56" t="s">
        <v>4</v>
      </c>
      <c r="G56" t="s">
        <v>32</v>
      </c>
      <c r="H56" t="s">
        <v>600</v>
      </c>
      <c r="I56">
        <v>220</v>
      </c>
      <c r="J56">
        <v>28</v>
      </c>
      <c r="K56">
        <f t="shared" si="2"/>
        <v>12.727272727272727</v>
      </c>
      <c r="L56" t="s">
        <v>1736</v>
      </c>
      <c r="M56" t="s">
        <v>3633</v>
      </c>
      <c r="N56" t="s">
        <v>1</v>
      </c>
      <c r="O56">
        <v>175008</v>
      </c>
      <c r="P56" t="s">
        <v>546</v>
      </c>
      <c r="Q56" t="s">
        <v>1766</v>
      </c>
      <c r="S56">
        <v>1029.95</v>
      </c>
      <c r="T56">
        <v>5</v>
      </c>
      <c r="U56">
        <v>0</v>
      </c>
      <c r="V56">
        <v>298.68549999999999</v>
      </c>
      <c r="W56">
        <f t="shared" si="3"/>
        <v>146.25290000000001</v>
      </c>
      <c r="X56">
        <v>5</v>
      </c>
    </row>
    <row r="57" spans="1:24" x14ac:dyDescent="0.3">
      <c r="A57">
        <v>56</v>
      </c>
      <c r="B57" t="s">
        <v>1832</v>
      </c>
      <c r="C57" s="6">
        <v>44252</v>
      </c>
      <c r="D57" t="str">
        <f t="shared" si="0"/>
        <v>Feb</v>
      </c>
      <c r="E57" t="str">
        <f t="shared" si="1"/>
        <v>2021</v>
      </c>
      <c r="F57" t="s">
        <v>5</v>
      </c>
      <c r="G57" t="s">
        <v>33</v>
      </c>
      <c r="H57" t="s">
        <v>601</v>
      </c>
      <c r="I57">
        <v>180</v>
      </c>
      <c r="J57">
        <v>16</v>
      </c>
      <c r="K57">
        <f t="shared" si="2"/>
        <v>8.8888888888888893</v>
      </c>
      <c r="L57" t="s">
        <v>1744</v>
      </c>
      <c r="M57" t="s">
        <v>3634</v>
      </c>
      <c r="N57" t="s">
        <v>1</v>
      </c>
      <c r="O57">
        <v>122001</v>
      </c>
      <c r="P57" t="s">
        <v>546</v>
      </c>
      <c r="Q57" t="s">
        <v>1768</v>
      </c>
      <c r="S57">
        <v>208.56</v>
      </c>
      <c r="T57">
        <v>6</v>
      </c>
      <c r="U57">
        <v>0</v>
      </c>
      <c r="V57">
        <v>52.14</v>
      </c>
      <c r="W57">
        <f t="shared" si="3"/>
        <v>26.070000000000004</v>
      </c>
      <c r="X57">
        <v>1</v>
      </c>
    </row>
    <row r="58" spans="1:24" x14ac:dyDescent="0.3">
      <c r="A58">
        <v>57</v>
      </c>
      <c r="B58" t="s">
        <v>1833</v>
      </c>
      <c r="C58" s="6">
        <v>44253</v>
      </c>
      <c r="D58" t="str">
        <f t="shared" si="0"/>
        <v>Feb</v>
      </c>
      <c r="E58" t="str">
        <f t="shared" si="1"/>
        <v>2021</v>
      </c>
      <c r="F58" t="s">
        <v>5</v>
      </c>
      <c r="G58" t="s">
        <v>33</v>
      </c>
      <c r="H58" t="s">
        <v>602</v>
      </c>
      <c r="I58">
        <v>170</v>
      </c>
      <c r="J58">
        <v>6</v>
      </c>
      <c r="K58">
        <f t="shared" si="2"/>
        <v>3.5294117647058822</v>
      </c>
      <c r="L58" t="s">
        <v>1740</v>
      </c>
      <c r="M58" t="s">
        <v>3635</v>
      </c>
      <c r="N58" t="s">
        <v>1</v>
      </c>
      <c r="O58">
        <v>390019</v>
      </c>
      <c r="P58" t="s">
        <v>546</v>
      </c>
      <c r="Q58" t="s">
        <v>1759</v>
      </c>
      <c r="S58">
        <v>32.4</v>
      </c>
      <c r="T58">
        <v>5</v>
      </c>
      <c r="U58">
        <v>0</v>
      </c>
      <c r="V58">
        <v>15.552</v>
      </c>
      <c r="W58">
        <f t="shared" si="3"/>
        <v>3.3695999999999997</v>
      </c>
      <c r="X58">
        <v>3</v>
      </c>
    </row>
    <row r="59" spans="1:24" x14ac:dyDescent="0.3">
      <c r="A59">
        <v>58</v>
      </c>
      <c r="B59" t="s">
        <v>1834</v>
      </c>
      <c r="C59" s="6">
        <v>44254</v>
      </c>
      <c r="D59" t="str">
        <f t="shared" si="0"/>
        <v>Feb</v>
      </c>
      <c r="E59" t="str">
        <f t="shared" si="1"/>
        <v>2021</v>
      </c>
      <c r="F59" t="s">
        <v>5</v>
      </c>
      <c r="G59" t="s">
        <v>33</v>
      </c>
      <c r="H59" t="s">
        <v>603</v>
      </c>
      <c r="I59">
        <v>140</v>
      </c>
      <c r="J59">
        <v>14</v>
      </c>
      <c r="K59">
        <f t="shared" si="2"/>
        <v>10</v>
      </c>
      <c r="L59" t="s">
        <v>1742</v>
      </c>
      <c r="M59" t="s">
        <v>3636</v>
      </c>
      <c r="N59" t="s">
        <v>1</v>
      </c>
      <c r="O59">
        <v>700048</v>
      </c>
      <c r="P59" t="s">
        <v>546</v>
      </c>
      <c r="Q59" t="s">
        <v>1758</v>
      </c>
      <c r="S59">
        <v>319.41000000000003</v>
      </c>
      <c r="T59">
        <v>5</v>
      </c>
      <c r="U59">
        <v>0.1</v>
      </c>
      <c r="V59">
        <v>7.0979999999999999</v>
      </c>
      <c r="W59">
        <f t="shared" si="3"/>
        <v>62.462400000000002</v>
      </c>
      <c r="X59">
        <v>4</v>
      </c>
    </row>
    <row r="60" spans="1:24" x14ac:dyDescent="0.3">
      <c r="A60">
        <v>59</v>
      </c>
      <c r="B60" t="s">
        <v>1835</v>
      </c>
      <c r="C60" s="6">
        <v>44255</v>
      </c>
      <c r="D60" t="str">
        <f t="shared" si="0"/>
        <v>Feb</v>
      </c>
      <c r="E60" t="str">
        <f t="shared" si="1"/>
        <v>2021</v>
      </c>
      <c r="F60" t="s">
        <v>5</v>
      </c>
      <c r="G60" t="s">
        <v>33</v>
      </c>
      <c r="H60" t="s">
        <v>604</v>
      </c>
      <c r="I60">
        <v>210</v>
      </c>
      <c r="J60">
        <v>14</v>
      </c>
      <c r="K60">
        <f t="shared" si="2"/>
        <v>6.666666666666667</v>
      </c>
      <c r="L60" t="s">
        <v>1739</v>
      </c>
      <c r="M60" t="s">
        <v>3637</v>
      </c>
      <c r="N60" t="s">
        <v>1</v>
      </c>
      <c r="O60">
        <v>700049</v>
      </c>
      <c r="P60" t="s">
        <v>546</v>
      </c>
      <c r="Q60" t="s">
        <v>1761</v>
      </c>
      <c r="R60" t="s">
        <v>2</v>
      </c>
      <c r="S60">
        <v>14.56</v>
      </c>
      <c r="T60">
        <v>2</v>
      </c>
      <c r="U60">
        <v>0</v>
      </c>
      <c r="V60">
        <v>6.9888000000000003</v>
      </c>
      <c r="W60">
        <f t="shared" si="3"/>
        <v>3.7856000000000001</v>
      </c>
      <c r="X60">
        <v>5</v>
      </c>
    </row>
    <row r="61" spans="1:24" x14ac:dyDescent="0.3">
      <c r="A61">
        <v>60</v>
      </c>
      <c r="B61" t="s">
        <v>1836</v>
      </c>
      <c r="C61" s="6">
        <v>44256</v>
      </c>
      <c r="D61" t="str">
        <f t="shared" si="0"/>
        <v>Mar</v>
      </c>
      <c r="E61" t="str">
        <f t="shared" si="1"/>
        <v>2021</v>
      </c>
      <c r="F61" t="s">
        <v>5</v>
      </c>
      <c r="G61" t="s">
        <v>33</v>
      </c>
      <c r="H61" t="s">
        <v>593</v>
      </c>
      <c r="I61">
        <v>220</v>
      </c>
      <c r="J61">
        <v>10</v>
      </c>
      <c r="K61">
        <f t="shared" si="2"/>
        <v>4.5454545454545459</v>
      </c>
      <c r="L61" t="s">
        <v>1738</v>
      </c>
      <c r="M61" t="s">
        <v>3638</v>
      </c>
      <c r="N61" t="s">
        <v>1</v>
      </c>
      <c r="O61">
        <v>491001</v>
      </c>
      <c r="P61" t="s">
        <v>546</v>
      </c>
      <c r="Q61" t="s">
        <v>1771</v>
      </c>
      <c r="S61">
        <v>30</v>
      </c>
      <c r="T61">
        <v>2</v>
      </c>
      <c r="U61">
        <v>0</v>
      </c>
      <c r="V61">
        <v>3.3</v>
      </c>
      <c r="W61">
        <f t="shared" si="3"/>
        <v>13.35</v>
      </c>
      <c r="X61">
        <v>2</v>
      </c>
    </row>
    <row r="62" spans="1:24" x14ac:dyDescent="0.3">
      <c r="A62">
        <v>61</v>
      </c>
      <c r="B62" t="s">
        <v>1837</v>
      </c>
      <c r="C62" s="6">
        <v>44257</v>
      </c>
      <c r="D62" t="str">
        <f t="shared" si="0"/>
        <v>Mar</v>
      </c>
      <c r="E62" t="str">
        <f t="shared" si="1"/>
        <v>2021</v>
      </c>
      <c r="F62" t="s">
        <v>5</v>
      </c>
      <c r="G62" t="s">
        <v>33</v>
      </c>
      <c r="H62" t="s">
        <v>605</v>
      </c>
      <c r="I62">
        <v>210</v>
      </c>
      <c r="J62">
        <v>10</v>
      </c>
      <c r="K62">
        <f t="shared" si="2"/>
        <v>4.7619047619047619</v>
      </c>
      <c r="L62" t="s">
        <v>1737</v>
      </c>
      <c r="M62" t="s">
        <v>3639</v>
      </c>
      <c r="N62" t="s">
        <v>1</v>
      </c>
      <c r="O62">
        <v>491001</v>
      </c>
      <c r="P62" t="s">
        <v>546</v>
      </c>
      <c r="Q62" t="s">
        <v>1757</v>
      </c>
      <c r="S62">
        <v>48.48</v>
      </c>
      <c r="T62">
        <v>4</v>
      </c>
      <c r="U62">
        <v>0.2</v>
      </c>
      <c r="V62">
        <v>16.361999999999998</v>
      </c>
      <c r="W62">
        <f t="shared" si="3"/>
        <v>8.0294999999999987</v>
      </c>
      <c r="X62">
        <v>4</v>
      </c>
    </row>
    <row r="63" spans="1:24" x14ac:dyDescent="0.3">
      <c r="A63">
        <v>62</v>
      </c>
      <c r="B63" t="s">
        <v>1838</v>
      </c>
      <c r="C63" s="6">
        <v>44258</v>
      </c>
      <c r="D63" t="str">
        <f t="shared" si="0"/>
        <v>Mar</v>
      </c>
      <c r="E63" t="str">
        <f t="shared" si="1"/>
        <v>2021</v>
      </c>
      <c r="F63" t="s">
        <v>5</v>
      </c>
      <c r="G63" t="s">
        <v>33</v>
      </c>
      <c r="H63" t="s">
        <v>606</v>
      </c>
      <c r="I63">
        <v>100</v>
      </c>
      <c r="J63">
        <v>6</v>
      </c>
      <c r="K63">
        <f t="shared" si="2"/>
        <v>6</v>
      </c>
      <c r="L63" t="s">
        <v>1743</v>
      </c>
      <c r="M63" t="s">
        <v>3640</v>
      </c>
      <c r="N63" t="s">
        <v>1</v>
      </c>
      <c r="O63">
        <v>273001</v>
      </c>
      <c r="P63" t="s">
        <v>546</v>
      </c>
      <c r="Q63" t="s">
        <v>1761</v>
      </c>
      <c r="S63">
        <v>1.68</v>
      </c>
      <c r="T63">
        <v>1</v>
      </c>
      <c r="U63">
        <v>0</v>
      </c>
      <c r="V63">
        <v>0.84</v>
      </c>
      <c r="W63">
        <f t="shared" si="3"/>
        <v>0.84</v>
      </c>
      <c r="X63">
        <v>3</v>
      </c>
    </row>
    <row r="64" spans="1:24" x14ac:dyDescent="0.3">
      <c r="A64">
        <v>63</v>
      </c>
      <c r="B64" t="s">
        <v>1839</v>
      </c>
      <c r="C64" s="6">
        <v>44259</v>
      </c>
      <c r="D64" t="str">
        <f t="shared" si="0"/>
        <v>Mar</v>
      </c>
      <c r="E64" t="str">
        <f t="shared" si="1"/>
        <v>2021</v>
      </c>
      <c r="F64" t="s">
        <v>4</v>
      </c>
      <c r="G64" t="s">
        <v>34</v>
      </c>
      <c r="H64" t="s">
        <v>607</v>
      </c>
      <c r="I64">
        <v>130</v>
      </c>
      <c r="J64">
        <v>20</v>
      </c>
      <c r="K64">
        <f t="shared" si="2"/>
        <v>15.384615384615385</v>
      </c>
      <c r="L64" t="s">
        <v>1738</v>
      </c>
      <c r="M64" t="s">
        <v>3641</v>
      </c>
      <c r="O64">
        <v>741152</v>
      </c>
      <c r="P64" t="s">
        <v>546</v>
      </c>
      <c r="Q64" t="s">
        <v>1767</v>
      </c>
      <c r="S64">
        <v>13.98</v>
      </c>
      <c r="T64">
        <v>2</v>
      </c>
      <c r="U64">
        <v>0</v>
      </c>
      <c r="V64">
        <v>6.1512000000000002</v>
      </c>
      <c r="W64">
        <f t="shared" si="3"/>
        <v>3.9144000000000001</v>
      </c>
      <c r="X64">
        <v>2</v>
      </c>
    </row>
    <row r="65" spans="1:24" x14ac:dyDescent="0.3">
      <c r="A65">
        <v>64</v>
      </c>
      <c r="B65" t="s">
        <v>1840</v>
      </c>
      <c r="C65" s="6">
        <v>44260</v>
      </c>
      <c r="D65" t="str">
        <f t="shared" si="0"/>
        <v>Mar</v>
      </c>
      <c r="E65" t="str">
        <f t="shared" si="1"/>
        <v>2021</v>
      </c>
      <c r="F65" t="s">
        <v>4</v>
      </c>
      <c r="G65" t="s">
        <v>34</v>
      </c>
      <c r="H65" t="s">
        <v>608</v>
      </c>
      <c r="I65">
        <v>250</v>
      </c>
      <c r="J65">
        <v>30</v>
      </c>
      <c r="K65">
        <f t="shared" si="2"/>
        <v>12</v>
      </c>
      <c r="L65" t="s">
        <v>1739</v>
      </c>
      <c r="M65" t="s">
        <v>3642</v>
      </c>
      <c r="N65" t="s">
        <v>1</v>
      </c>
      <c r="O65">
        <v>133103</v>
      </c>
      <c r="P65" t="s">
        <v>546</v>
      </c>
      <c r="Q65" t="s">
        <v>1761</v>
      </c>
      <c r="S65">
        <v>25.824000000000002</v>
      </c>
      <c r="T65">
        <v>6</v>
      </c>
      <c r="U65">
        <v>0.2</v>
      </c>
      <c r="V65">
        <v>9.3612000000000002</v>
      </c>
      <c r="W65">
        <f t="shared" si="3"/>
        <v>2.7438000000000002</v>
      </c>
      <c r="X65">
        <v>4</v>
      </c>
    </row>
    <row r="66" spans="1:24" x14ac:dyDescent="0.3">
      <c r="A66">
        <v>65</v>
      </c>
      <c r="B66" t="s">
        <v>1841</v>
      </c>
      <c r="C66" s="6">
        <v>44261</v>
      </c>
      <c r="D66" t="str">
        <f t="shared" si="0"/>
        <v>Mar</v>
      </c>
      <c r="E66" t="str">
        <f t="shared" si="1"/>
        <v>2021</v>
      </c>
      <c r="F66" t="s">
        <v>4</v>
      </c>
      <c r="G66" t="s">
        <v>34</v>
      </c>
      <c r="H66" t="s">
        <v>609</v>
      </c>
      <c r="I66">
        <v>230</v>
      </c>
      <c r="J66">
        <v>24</v>
      </c>
      <c r="K66">
        <f t="shared" si="2"/>
        <v>10.434782608695652</v>
      </c>
      <c r="L66" t="s">
        <v>1741</v>
      </c>
      <c r="M66" t="s">
        <v>3643</v>
      </c>
      <c r="N66" t="s">
        <v>1</v>
      </c>
      <c r="O66">
        <v>799006</v>
      </c>
      <c r="P66" t="s">
        <v>546</v>
      </c>
      <c r="Q66" t="s">
        <v>1774</v>
      </c>
      <c r="R66" t="s">
        <v>2</v>
      </c>
      <c r="S66">
        <v>146.72999999999999</v>
      </c>
      <c r="T66">
        <v>3</v>
      </c>
      <c r="U66">
        <v>0</v>
      </c>
      <c r="V66">
        <v>68.963099999999997</v>
      </c>
      <c r="W66">
        <f t="shared" si="3"/>
        <v>25.922299999999996</v>
      </c>
      <c r="X66">
        <v>5</v>
      </c>
    </row>
    <row r="67" spans="1:24" x14ac:dyDescent="0.3">
      <c r="A67">
        <v>66</v>
      </c>
      <c r="B67" t="s">
        <v>1842</v>
      </c>
      <c r="C67" s="6">
        <v>44262</v>
      </c>
      <c r="D67" t="str">
        <f t="shared" ref="D67:D130" si="4">TEXT(C67,"Mmm")</f>
        <v>Mar</v>
      </c>
      <c r="E67" t="str">
        <f t="shared" ref="E67:E130" si="5">TEXT(C67,"YYYY")</f>
        <v>2021</v>
      </c>
      <c r="F67" t="s">
        <v>4</v>
      </c>
      <c r="G67" t="s">
        <v>34</v>
      </c>
      <c r="H67" t="s">
        <v>610</v>
      </c>
      <c r="I67">
        <v>150</v>
      </c>
      <c r="J67">
        <v>30</v>
      </c>
      <c r="K67">
        <f t="shared" ref="K67:K130" si="6">(J67/I67)*100</f>
        <v>20</v>
      </c>
      <c r="L67" t="s">
        <v>1736</v>
      </c>
      <c r="M67" t="s">
        <v>3644</v>
      </c>
      <c r="O67">
        <v>670612</v>
      </c>
      <c r="P67" t="s">
        <v>546</v>
      </c>
      <c r="Q67" t="s">
        <v>1766</v>
      </c>
      <c r="S67">
        <v>79.760000000000005</v>
      </c>
      <c r="T67">
        <v>4</v>
      </c>
      <c r="U67">
        <v>0</v>
      </c>
      <c r="V67">
        <v>22.332799999999999</v>
      </c>
      <c r="W67">
        <f t="shared" ref="W67:W130" si="7">(S67-V67)/T67</f>
        <v>14.356800000000002</v>
      </c>
      <c r="X67">
        <v>1</v>
      </c>
    </row>
    <row r="68" spans="1:24" x14ac:dyDescent="0.3">
      <c r="A68">
        <v>67</v>
      </c>
      <c r="B68" t="s">
        <v>1843</v>
      </c>
      <c r="C68" s="6">
        <v>44263</v>
      </c>
      <c r="D68" t="str">
        <f t="shared" si="4"/>
        <v>Mar</v>
      </c>
      <c r="E68" t="str">
        <f t="shared" si="5"/>
        <v>2021</v>
      </c>
      <c r="F68" t="s">
        <v>4</v>
      </c>
      <c r="G68" t="s">
        <v>35</v>
      </c>
      <c r="H68" t="s">
        <v>611</v>
      </c>
      <c r="I68">
        <v>250</v>
      </c>
      <c r="J68">
        <v>14</v>
      </c>
      <c r="K68">
        <f t="shared" si="6"/>
        <v>5.6000000000000005</v>
      </c>
      <c r="L68" t="s">
        <v>1744</v>
      </c>
      <c r="M68" t="s">
        <v>3645</v>
      </c>
      <c r="N68" t="s">
        <v>1</v>
      </c>
      <c r="O68">
        <v>682017</v>
      </c>
      <c r="P68" t="s">
        <v>546</v>
      </c>
      <c r="Q68" t="s">
        <v>1757</v>
      </c>
      <c r="R68" t="s">
        <v>2</v>
      </c>
      <c r="S68">
        <v>213.11500000000001</v>
      </c>
      <c r="T68">
        <v>5</v>
      </c>
      <c r="U68">
        <v>0.3</v>
      </c>
      <c r="V68">
        <v>-15.2225</v>
      </c>
      <c r="W68">
        <f t="shared" si="7"/>
        <v>45.667500000000004</v>
      </c>
      <c r="X68">
        <v>4</v>
      </c>
    </row>
    <row r="69" spans="1:24" x14ac:dyDescent="0.3">
      <c r="A69">
        <v>68</v>
      </c>
      <c r="B69" t="s">
        <v>1844</v>
      </c>
      <c r="C69" s="6">
        <v>44264</v>
      </c>
      <c r="D69" t="str">
        <f t="shared" si="4"/>
        <v>Mar</v>
      </c>
      <c r="E69" t="str">
        <f t="shared" si="5"/>
        <v>2021</v>
      </c>
      <c r="F69" t="s">
        <v>4</v>
      </c>
      <c r="G69" t="s">
        <v>36</v>
      </c>
      <c r="H69" t="s">
        <v>612</v>
      </c>
      <c r="I69">
        <v>100</v>
      </c>
      <c r="J69">
        <v>18</v>
      </c>
      <c r="K69">
        <f t="shared" si="6"/>
        <v>18</v>
      </c>
      <c r="L69" t="s">
        <v>1740</v>
      </c>
      <c r="M69" t="s">
        <v>3646</v>
      </c>
      <c r="N69" t="s">
        <v>1</v>
      </c>
      <c r="O69">
        <v>673601</v>
      </c>
      <c r="P69" t="s">
        <v>546</v>
      </c>
      <c r="Q69" t="s">
        <v>1765</v>
      </c>
      <c r="S69">
        <v>1113.0239999999999</v>
      </c>
      <c r="T69">
        <v>8</v>
      </c>
      <c r="U69">
        <v>0.2</v>
      </c>
      <c r="V69">
        <v>111.30240000000001</v>
      </c>
      <c r="W69">
        <f t="shared" si="7"/>
        <v>125.21519999999998</v>
      </c>
      <c r="X69">
        <v>4</v>
      </c>
    </row>
    <row r="70" spans="1:24" x14ac:dyDescent="0.3">
      <c r="A70">
        <v>69</v>
      </c>
      <c r="B70" t="s">
        <v>1845</v>
      </c>
      <c r="C70" s="6">
        <v>44265</v>
      </c>
      <c r="D70" t="str">
        <f t="shared" si="4"/>
        <v>Mar</v>
      </c>
      <c r="E70" t="str">
        <f t="shared" si="5"/>
        <v>2021</v>
      </c>
      <c r="F70" t="s">
        <v>4</v>
      </c>
      <c r="G70" t="s">
        <v>36</v>
      </c>
      <c r="H70" t="s">
        <v>613</v>
      </c>
      <c r="I70">
        <v>120</v>
      </c>
      <c r="J70">
        <v>22</v>
      </c>
      <c r="K70">
        <f t="shared" si="6"/>
        <v>18.333333333333332</v>
      </c>
      <c r="L70" t="s">
        <v>1742</v>
      </c>
      <c r="M70" t="s">
        <v>3647</v>
      </c>
      <c r="N70" t="s">
        <v>1</v>
      </c>
      <c r="O70">
        <v>122001</v>
      </c>
      <c r="P70" t="s">
        <v>546</v>
      </c>
      <c r="Q70" t="s">
        <v>1767</v>
      </c>
      <c r="R70" t="s">
        <v>2</v>
      </c>
      <c r="S70">
        <v>167.96799999999999</v>
      </c>
      <c r="T70">
        <v>4</v>
      </c>
      <c r="U70">
        <v>0.2</v>
      </c>
      <c r="V70">
        <v>62.988</v>
      </c>
      <c r="W70">
        <f t="shared" si="7"/>
        <v>26.244999999999997</v>
      </c>
      <c r="X70">
        <v>1</v>
      </c>
    </row>
    <row r="71" spans="1:24" x14ac:dyDescent="0.3">
      <c r="A71">
        <v>70</v>
      </c>
      <c r="B71" t="s">
        <v>1846</v>
      </c>
      <c r="C71" s="6">
        <v>44266</v>
      </c>
      <c r="D71" t="str">
        <f t="shared" si="4"/>
        <v>Mar</v>
      </c>
      <c r="E71" t="str">
        <f t="shared" si="5"/>
        <v>2021</v>
      </c>
      <c r="F71" t="s">
        <v>5</v>
      </c>
      <c r="G71" t="s">
        <v>37</v>
      </c>
      <c r="H71" t="s">
        <v>614</v>
      </c>
      <c r="I71">
        <v>240</v>
      </c>
      <c r="J71">
        <v>14</v>
      </c>
      <c r="K71">
        <f t="shared" si="6"/>
        <v>5.833333333333333</v>
      </c>
      <c r="L71" t="s">
        <v>1739</v>
      </c>
      <c r="M71" t="s">
        <v>3648</v>
      </c>
      <c r="N71" t="s">
        <v>1</v>
      </c>
      <c r="O71">
        <v>332001</v>
      </c>
      <c r="P71" t="s">
        <v>546</v>
      </c>
      <c r="Q71" t="s">
        <v>1757</v>
      </c>
      <c r="R71" t="s">
        <v>2</v>
      </c>
      <c r="S71">
        <v>75.88</v>
      </c>
      <c r="T71">
        <v>2</v>
      </c>
      <c r="U71">
        <v>0</v>
      </c>
      <c r="V71">
        <v>35.663600000000002</v>
      </c>
      <c r="W71">
        <f t="shared" si="7"/>
        <v>20.108199999999997</v>
      </c>
      <c r="X71">
        <v>4</v>
      </c>
    </row>
    <row r="72" spans="1:24" x14ac:dyDescent="0.3">
      <c r="A72">
        <v>71</v>
      </c>
      <c r="B72" t="s">
        <v>1847</v>
      </c>
      <c r="C72" s="6">
        <v>44267</v>
      </c>
      <c r="D72" t="str">
        <f t="shared" si="4"/>
        <v>Mar</v>
      </c>
      <c r="E72" t="str">
        <f t="shared" si="5"/>
        <v>2021</v>
      </c>
      <c r="F72" t="s">
        <v>4</v>
      </c>
      <c r="G72" t="s">
        <v>38</v>
      </c>
      <c r="H72" t="s">
        <v>615</v>
      </c>
      <c r="I72">
        <v>170</v>
      </c>
      <c r="J72">
        <v>30</v>
      </c>
      <c r="K72">
        <f t="shared" si="6"/>
        <v>17.647058823529413</v>
      </c>
      <c r="L72" t="s">
        <v>1738</v>
      </c>
      <c r="M72" t="s">
        <v>3649</v>
      </c>
      <c r="N72" t="s">
        <v>1</v>
      </c>
      <c r="O72">
        <v>560100</v>
      </c>
      <c r="P72" t="s">
        <v>546</v>
      </c>
      <c r="Q72" t="s">
        <v>1761</v>
      </c>
      <c r="S72">
        <v>4.6159999999999997</v>
      </c>
      <c r="T72">
        <v>1</v>
      </c>
      <c r="U72">
        <v>0.2</v>
      </c>
      <c r="V72">
        <v>1.7310000000000001</v>
      </c>
      <c r="W72">
        <f t="shared" si="7"/>
        <v>2.8849999999999998</v>
      </c>
      <c r="X72">
        <v>3</v>
      </c>
    </row>
    <row r="73" spans="1:24" x14ac:dyDescent="0.3">
      <c r="A73">
        <v>72</v>
      </c>
      <c r="B73" t="s">
        <v>1848</v>
      </c>
      <c r="C73" s="6">
        <v>44268</v>
      </c>
      <c r="D73" t="str">
        <f t="shared" si="4"/>
        <v>Mar</v>
      </c>
      <c r="E73" t="str">
        <f t="shared" si="5"/>
        <v>2021</v>
      </c>
      <c r="F73" t="s">
        <v>3</v>
      </c>
      <c r="G73" t="s">
        <v>21</v>
      </c>
      <c r="H73" t="s">
        <v>616</v>
      </c>
      <c r="I73">
        <v>130</v>
      </c>
      <c r="J73">
        <v>16</v>
      </c>
      <c r="K73">
        <f t="shared" si="6"/>
        <v>12.307692307692308</v>
      </c>
      <c r="L73" t="s">
        <v>1743</v>
      </c>
      <c r="M73" t="s">
        <v>3650</v>
      </c>
      <c r="N73" t="s">
        <v>1</v>
      </c>
      <c r="O73">
        <v>422101</v>
      </c>
      <c r="P73" t="s">
        <v>546</v>
      </c>
      <c r="Q73" t="s">
        <v>1773</v>
      </c>
      <c r="S73">
        <v>19.05</v>
      </c>
      <c r="T73">
        <v>3</v>
      </c>
      <c r="U73">
        <v>0</v>
      </c>
      <c r="V73">
        <v>8.7629999999999999</v>
      </c>
      <c r="W73">
        <f t="shared" si="7"/>
        <v>3.4290000000000003</v>
      </c>
      <c r="X73">
        <v>2</v>
      </c>
    </row>
    <row r="74" spans="1:24" x14ac:dyDescent="0.3">
      <c r="A74">
        <v>73</v>
      </c>
      <c r="B74" t="s">
        <v>1849</v>
      </c>
      <c r="C74" s="6">
        <v>44269</v>
      </c>
      <c r="D74" t="str">
        <f t="shared" si="4"/>
        <v>Mar</v>
      </c>
      <c r="E74" t="str">
        <f t="shared" si="5"/>
        <v>2021</v>
      </c>
      <c r="F74" t="s">
        <v>4</v>
      </c>
      <c r="G74" t="s">
        <v>39</v>
      </c>
      <c r="H74" t="s">
        <v>617</v>
      </c>
      <c r="I74">
        <v>150</v>
      </c>
      <c r="J74">
        <v>14</v>
      </c>
      <c r="K74">
        <f t="shared" si="6"/>
        <v>9.3333333333333339</v>
      </c>
      <c r="L74" t="s">
        <v>1737</v>
      </c>
      <c r="M74" t="s">
        <v>3651</v>
      </c>
      <c r="N74" t="s">
        <v>1</v>
      </c>
      <c r="O74">
        <v>122017</v>
      </c>
      <c r="P74" t="s">
        <v>546</v>
      </c>
      <c r="Q74" t="s">
        <v>1760</v>
      </c>
      <c r="R74" t="s">
        <v>2</v>
      </c>
      <c r="S74">
        <v>831.93600000000004</v>
      </c>
      <c r="T74">
        <v>8</v>
      </c>
      <c r="U74">
        <v>0.2</v>
      </c>
      <c r="V74">
        <v>-114.3912</v>
      </c>
      <c r="W74">
        <f t="shared" si="7"/>
        <v>118.29090000000001</v>
      </c>
      <c r="X74">
        <v>1</v>
      </c>
    </row>
    <row r="75" spans="1:24" x14ac:dyDescent="0.3">
      <c r="A75">
        <v>74</v>
      </c>
      <c r="B75" t="s">
        <v>1850</v>
      </c>
      <c r="C75" s="6">
        <v>44270</v>
      </c>
      <c r="D75" t="str">
        <f t="shared" si="4"/>
        <v>Mar</v>
      </c>
      <c r="E75" t="str">
        <f t="shared" si="5"/>
        <v>2021</v>
      </c>
      <c r="F75" t="s">
        <v>4</v>
      </c>
      <c r="G75" t="s">
        <v>39</v>
      </c>
      <c r="H75" t="s">
        <v>618</v>
      </c>
      <c r="I75">
        <v>240</v>
      </c>
      <c r="J75">
        <v>16</v>
      </c>
      <c r="K75">
        <f t="shared" si="6"/>
        <v>6.666666666666667</v>
      </c>
      <c r="L75" t="s">
        <v>1741</v>
      </c>
      <c r="M75" t="s">
        <v>3652</v>
      </c>
      <c r="N75" t="s">
        <v>1</v>
      </c>
      <c r="O75">
        <v>201308</v>
      </c>
      <c r="P75" t="s">
        <v>546</v>
      </c>
      <c r="Q75" t="s">
        <v>1766</v>
      </c>
      <c r="R75" t="s">
        <v>2</v>
      </c>
      <c r="S75">
        <v>97.04</v>
      </c>
      <c r="T75">
        <v>2</v>
      </c>
      <c r="U75">
        <v>0.2</v>
      </c>
      <c r="V75">
        <v>1.2130000000000001</v>
      </c>
      <c r="W75">
        <f t="shared" si="7"/>
        <v>47.913500000000006</v>
      </c>
      <c r="X75">
        <v>1</v>
      </c>
    </row>
    <row r="76" spans="1:24" x14ac:dyDescent="0.3">
      <c r="A76">
        <v>75</v>
      </c>
      <c r="B76" t="s">
        <v>1851</v>
      </c>
      <c r="C76" s="6">
        <v>44271</v>
      </c>
      <c r="D76" t="str">
        <f t="shared" si="4"/>
        <v>Mar</v>
      </c>
      <c r="E76" t="str">
        <f t="shared" si="5"/>
        <v>2021</v>
      </c>
      <c r="F76" t="s">
        <v>4</v>
      </c>
      <c r="G76" t="s">
        <v>39</v>
      </c>
      <c r="H76" t="s">
        <v>619</v>
      </c>
      <c r="I76">
        <v>150</v>
      </c>
      <c r="J76">
        <v>18</v>
      </c>
      <c r="K76">
        <f t="shared" si="6"/>
        <v>12</v>
      </c>
      <c r="L76" t="s">
        <v>1736</v>
      </c>
      <c r="M76" t="s">
        <v>3653</v>
      </c>
      <c r="N76" t="s">
        <v>1</v>
      </c>
      <c r="O76">
        <v>474001</v>
      </c>
      <c r="P76" t="s">
        <v>546</v>
      </c>
      <c r="Q76" t="s">
        <v>1776</v>
      </c>
      <c r="S76">
        <v>72.784000000000006</v>
      </c>
      <c r="T76">
        <v>1</v>
      </c>
      <c r="U76">
        <v>0.2</v>
      </c>
      <c r="V76">
        <v>-18.196000000000002</v>
      </c>
      <c r="W76">
        <f t="shared" si="7"/>
        <v>90.98</v>
      </c>
      <c r="X76">
        <v>3</v>
      </c>
    </row>
    <row r="77" spans="1:24" x14ac:dyDescent="0.3">
      <c r="A77">
        <v>76</v>
      </c>
      <c r="B77" t="s">
        <v>1852</v>
      </c>
      <c r="C77" s="6">
        <v>44272</v>
      </c>
      <c r="D77" t="str">
        <f t="shared" si="4"/>
        <v>Mar</v>
      </c>
      <c r="E77" t="str">
        <f t="shared" si="5"/>
        <v>2021</v>
      </c>
      <c r="F77" t="s">
        <v>5</v>
      </c>
      <c r="G77" t="s">
        <v>40</v>
      </c>
      <c r="H77" t="s">
        <v>620</v>
      </c>
      <c r="I77">
        <v>170</v>
      </c>
      <c r="J77">
        <v>18</v>
      </c>
      <c r="K77">
        <f t="shared" si="6"/>
        <v>10.588235294117647</v>
      </c>
      <c r="L77" t="s">
        <v>1744</v>
      </c>
      <c r="M77" t="s">
        <v>3654</v>
      </c>
      <c r="N77" t="s">
        <v>1</v>
      </c>
      <c r="O77">
        <v>110023</v>
      </c>
      <c r="P77" t="s">
        <v>546</v>
      </c>
      <c r="Q77" t="s">
        <v>1774</v>
      </c>
      <c r="S77">
        <v>1.248</v>
      </c>
      <c r="T77">
        <v>3</v>
      </c>
      <c r="U77">
        <v>0.8</v>
      </c>
      <c r="V77">
        <v>-1.9343999999999999</v>
      </c>
      <c r="W77">
        <f t="shared" si="7"/>
        <v>1.0608</v>
      </c>
      <c r="X77">
        <v>4</v>
      </c>
    </row>
    <row r="78" spans="1:24" x14ac:dyDescent="0.3">
      <c r="A78">
        <v>77</v>
      </c>
      <c r="B78" t="s">
        <v>1853</v>
      </c>
      <c r="C78" s="6">
        <v>44273</v>
      </c>
      <c r="D78" t="str">
        <f t="shared" si="4"/>
        <v>Mar</v>
      </c>
      <c r="E78" t="str">
        <f t="shared" si="5"/>
        <v>2021</v>
      </c>
      <c r="F78" t="s">
        <v>5</v>
      </c>
      <c r="G78" t="s">
        <v>40</v>
      </c>
      <c r="H78" t="s">
        <v>621</v>
      </c>
      <c r="I78">
        <v>220</v>
      </c>
      <c r="J78">
        <v>18</v>
      </c>
      <c r="K78">
        <f t="shared" si="6"/>
        <v>8.1818181818181817</v>
      </c>
      <c r="L78" t="s">
        <v>1740</v>
      </c>
      <c r="M78" t="s">
        <v>3655</v>
      </c>
      <c r="N78" t="s">
        <v>1</v>
      </c>
      <c r="O78">
        <v>110023</v>
      </c>
      <c r="P78" t="s">
        <v>546</v>
      </c>
      <c r="Q78" t="s">
        <v>1774</v>
      </c>
      <c r="S78">
        <v>9.7080000000000002</v>
      </c>
      <c r="T78">
        <v>3</v>
      </c>
      <c r="U78">
        <v>0.6</v>
      </c>
      <c r="V78">
        <v>-5.8247999999999998</v>
      </c>
      <c r="W78">
        <f t="shared" si="7"/>
        <v>5.1776</v>
      </c>
      <c r="X78">
        <v>5</v>
      </c>
    </row>
    <row r="79" spans="1:24" x14ac:dyDescent="0.3">
      <c r="A79">
        <v>78</v>
      </c>
      <c r="B79" t="s">
        <v>1854</v>
      </c>
      <c r="C79" s="6">
        <v>44274</v>
      </c>
      <c r="D79" t="str">
        <f t="shared" si="4"/>
        <v>Mar</v>
      </c>
      <c r="E79" t="str">
        <f t="shared" si="5"/>
        <v>2021</v>
      </c>
      <c r="F79" t="s">
        <v>5</v>
      </c>
      <c r="G79" t="s">
        <v>40</v>
      </c>
      <c r="H79" t="s">
        <v>622</v>
      </c>
      <c r="I79">
        <v>130</v>
      </c>
      <c r="J79">
        <v>6</v>
      </c>
      <c r="K79">
        <f t="shared" si="6"/>
        <v>4.6153846153846159</v>
      </c>
      <c r="L79" t="s">
        <v>1742</v>
      </c>
      <c r="M79" t="s">
        <v>3656</v>
      </c>
      <c r="N79" t="s">
        <v>1</v>
      </c>
      <c r="O79">
        <v>800003</v>
      </c>
      <c r="P79" t="s">
        <v>546</v>
      </c>
      <c r="Q79" t="s">
        <v>1766</v>
      </c>
      <c r="S79">
        <v>27.24</v>
      </c>
      <c r="T79">
        <v>3</v>
      </c>
      <c r="U79">
        <v>0.2</v>
      </c>
      <c r="V79">
        <v>2.7240000000000002</v>
      </c>
      <c r="W79">
        <f t="shared" si="7"/>
        <v>8.1719999999999988</v>
      </c>
      <c r="X79">
        <v>5</v>
      </c>
    </row>
    <row r="80" spans="1:24" x14ac:dyDescent="0.3">
      <c r="A80">
        <v>79</v>
      </c>
      <c r="B80" t="s">
        <v>1855</v>
      </c>
      <c r="C80" s="6">
        <v>44275</v>
      </c>
      <c r="D80" t="str">
        <f t="shared" si="4"/>
        <v>Mar</v>
      </c>
      <c r="E80" t="str">
        <f t="shared" si="5"/>
        <v>2021</v>
      </c>
      <c r="F80" t="s">
        <v>3</v>
      </c>
      <c r="G80" t="s">
        <v>39</v>
      </c>
      <c r="H80" t="s">
        <v>623</v>
      </c>
      <c r="I80">
        <v>120</v>
      </c>
      <c r="J80">
        <v>26</v>
      </c>
      <c r="K80">
        <f t="shared" si="6"/>
        <v>21.666666666666668</v>
      </c>
      <c r="L80" t="s">
        <v>1739</v>
      </c>
      <c r="M80" t="s">
        <v>3657</v>
      </c>
      <c r="N80" t="s">
        <v>1</v>
      </c>
      <c r="O80">
        <v>834002</v>
      </c>
      <c r="P80" t="s">
        <v>546</v>
      </c>
      <c r="Q80" t="s">
        <v>1774</v>
      </c>
      <c r="S80">
        <v>19.3</v>
      </c>
      <c r="T80">
        <v>5</v>
      </c>
      <c r="U80">
        <v>0.6</v>
      </c>
      <c r="V80">
        <v>-14.475</v>
      </c>
      <c r="W80">
        <f t="shared" si="7"/>
        <v>6.7549999999999999</v>
      </c>
      <c r="X80">
        <v>5</v>
      </c>
    </row>
    <row r="81" spans="1:24" x14ac:dyDescent="0.3">
      <c r="A81">
        <v>80</v>
      </c>
      <c r="B81" t="s">
        <v>1856</v>
      </c>
      <c r="C81" s="6">
        <v>44276</v>
      </c>
      <c r="D81" t="str">
        <f t="shared" si="4"/>
        <v>Mar</v>
      </c>
      <c r="E81" t="str">
        <f t="shared" si="5"/>
        <v>2021</v>
      </c>
      <c r="F81" t="s">
        <v>5</v>
      </c>
      <c r="G81" t="s">
        <v>41</v>
      </c>
      <c r="H81" t="s">
        <v>624</v>
      </c>
      <c r="I81">
        <v>140</v>
      </c>
      <c r="J81">
        <v>8</v>
      </c>
      <c r="K81">
        <f t="shared" si="6"/>
        <v>5.7142857142857144</v>
      </c>
      <c r="L81" t="s">
        <v>1738</v>
      </c>
      <c r="M81" t="s">
        <v>3658</v>
      </c>
      <c r="O81">
        <v>400601</v>
      </c>
      <c r="P81" t="s">
        <v>546</v>
      </c>
      <c r="Q81" t="s">
        <v>1762</v>
      </c>
      <c r="R81" t="s">
        <v>2</v>
      </c>
      <c r="S81">
        <v>208.16</v>
      </c>
      <c r="T81">
        <v>1</v>
      </c>
      <c r="U81">
        <v>0</v>
      </c>
      <c r="V81">
        <v>56.203200000000002</v>
      </c>
      <c r="W81">
        <f t="shared" si="7"/>
        <v>151.95679999999999</v>
      </c>
      <c r="X81">
        <v>3</v>
      </c>
    </row>
    <row r="82" spans="1:24" x14ac:dyDescent="0.3">
      <c r="A82">
        <v>81</v>
      </c>
      <c r="B82" t="s">
        <v>1857</v>
      </c>
      <c r="C82" s="6">
        <v>44277</v>
      </c>
      <c r="D82" t="str">
        <f t="shared" si="4"/>
        <v>Mar</v>
      </c>
      <c r="E82" t="str">
        <f t="shared" si="5"/>
        <v>2021</v>
      </c>
      <c r="F82" t="s">
        <v>5</v>
      </c>
      <c r="G82" t="s">
        <v>41</v>
      </c>
      <c r="H82" t="s">
        <v>625</v>
      </c>
      <c r="I82">
        <v>250</v>
      </c>
      <c r="J82">
        <v>12</v>
      </c>
      <c r="K82">
        <f t="shared" si="6"/>
        <v>4.8</v>
      </c>
      <c r="L82" t="s">
        <v>1741</v>
      </c>
      <c r="M82" t="s">
        <v>3659</v>
      </c>
      <c r="N82" t="s">
        <v>1</v>
      </c>
      <c r="O82">
        <v>560046</v>
      </c>
      <c r="P82" t="s">
        <v>546</v>
      </c>
      <c r="Q82" t="s">
        <v>1765</v>
      </c>
      <c r="S82">
        <v>16.739999999999998</v>
      </c>
      <c r="T82">
        <v>3</v>
      </c>
      <c r="U82">
        <v>0</v>
      </c>
      <c r="V82">
        <v>8.0351999999999997</v>
      </c>
      <c r="W82">
        <f t="shared" si="7"/>
        <v>2.9015999999999997</v>
      </c>
      <c r="X82">
        <v>4</v>
      </c>
    </row>
    <row r="83" spans="1:24" x14ac:dyDescent="0.3">
      <c r="A83">
        <v>82</v>
      </c>
      <c r="B83" t="s">
        <v>1858</v>
      </c>
      <c r="C83" s="6">
        <v>44278</v>
      </c>
      <c r="D83" t="str">
        <f t="shared" si="4"/>
        <v>Mar</v>
      </c>
      <c r="E83" t="str">
        <f t="shared" si="5"/>
        <v>2021</v>
      </c>
      <c r="F83" t="s">
        <v>4</v>
      </c>
      <c r="G83" t="s">
        <v>42</v>
      </c>
      <c r="H83" t="s">
        <v>626</v>
      </c>
      <c r="I83">
        <v>240</v>
      </c>
      <c r="J83">
        <v>24</v>
      </c>
      <c r="K83">
        <f t="shared" si="6"/>
        <v>10</v>
      </c>
      <c r="L83" t="s">
        <v>1737</v>
      </c>
      <c r="M83" t="s">
        <v>3660</v>
      </c>
      <c r="N83" t="s">
        <v>1</v>
      </c>
      <c r="O83">
        <v>474011</v>
      </c>
      <c r="P83" t="s">
        <v>546</v>
      </c>
      <c r="Q83" t="s">
        <v>1765</v>
      </c>
      <c r="S83">
        <v>14.9</v>
      </c>
      <c r="T83">
        <v>5</v>
      </c>
      <c r="U83">
        <v>0</v>
      </c>
      <c r="V83">
        <v>4.1719999999999997</v>
      </c>
      <c r="W83">
        <f t="shared" si="7"/>
        <v>2.1456000000000004</v>
      </c>
      <c r="X83">
        <v>2</v>
      </c>
    </row>
    <row r="84" spans="1:24" x14ac:dyDescent="0.3">
      <c r="A84">
        <v>83</v>
      </c>
      <c r="B84" t="s">
        <v>1859</v>
      </c>
      <c r="C84" s="6">
        <v>44279</v>
      </c>
      <c r="D84" t="str">
        <f t="shared" si="4"/>
        <v>Mar</v>
      </c>
      <c r="E84" t="str">
        <f t="shared" si="5"/>
        <v>2021</v>
      </c>
      <c r="F84" t="s">
        <v>4</v>
      </c>
      <c r="G84" t="s">
        <v>42</v>
      </c>
      <c r="H84" t="s">
        <v>627</v>
      </c>
      <c r="I84">
        <v>100</v>
      </c>
      <c r="J84">
        <v>18</v>
      </c>
      <c r="K84">
        <f t="shared" si="6"/>
        <v>18</v>
      </c>
      <c r="L84" t="s">
        <v>1743</v>
      </c>
      <c r="M84" t="s">
        <v>3661</v>
      </c>
      <c r="N84" t="s">
        <v>1</v>
      </c>
      <c r="O84">
        <v>400101</v>
      </c>
      <c r="P84" t="s">
        <v>546</v>
      </c>
      <c r="Q84" t="s">
        <v>1761</v>
      </c>
      <c r="S84">
        <v>21.39</v>
      </c>
      <c r="T84">
        <v>1</v>
      </c>
      <c r="U84">
        <v>0</v>
      </c>
      <c r="V84">
        <v>6.2031000000000001</v>
      </c>
      <c r="W84">
        <f t="shared" si="7"/>
        <v>15.186900000000001</v>
      </c>
      <c r="X84">
        <v>2</v>
      </c>
    </row>
    <row r="85" spans="1:24" x14ac:dyDescent="0.3">
      <c r="A85">
        <v>84</v>
      </c>
      <c r="B85" t="s">
        <v>1860</v>
      </c>
      <c r="C85" s="6">
        <v>44280</v>
      </c>
      <c r="D85" t="str">
        <f t="shared" si="4"/>
        <v>Mar</v>
      </c>
      <c r="E85" t="str">
        <f t="shared" si="5"/>
        <v>2021</v>
      </c>
      <c r="F85" t="s">
        <v>4</v>
      </c>
      <c r="G85" t="s">
        <v>43</v>
      </c>
      <c r="H85" t="s">
        <v>628</v>
      </c>
      <c r="I85">
        <v>130</v>
      </c>
      <c r="J85">
        <v>28</v>
      </c>
      <c r="K85">
        <f t="shared" si="6"/>
        <v>21.53846153846154</v>
      </c>
      <c r="L85" t="s">
        <v>1738</v>
      </c>
      <c r="M85" t="s">
        <v>3662</v>
      </c>
      <c r="N85" t="s">
        <v>1</v>
      </c>
      <c r="O85">
        <v>201306</v>
      </c>
      <c r="P85" t="s">
        <v>546</v>
      </c>
      <c r="Q85" t="s">
        <v>1759</v>
      </c>
      <c r="S85">
        <v>200.98400000000001</v>
      </c>
      <c r="T85">
        <v>7</v>
      </c>
      <c r="U85">
        <v>0.2</v>
      </c>
      <c r="V85">
        <v>62.807499999999997</v>
      </c>
      <c r="W85">
        <f t="shared" si="7"/>
        <v>19.7395</v>
      </c>
      <c r="X85">
        <v>2</v>
      </c>
    </row>
    <row r="86" spans="1:24" x14ac:dyDescent="0.3">
      <c r="A86">
        <v>85</v>
      </c>
      <c r="B86" t="s">
        <v>1861</v>
      </c>
      <c r="C86" s="6">
        <v>44281</v>
      </c>
      <c r="D86" t="str">
        <f t="shared" si="4"/>
        <v>Mar</v>
      </c>
      <c r="E86" t="str">
        <f t="shared" si="5"/>
        <v>2021</v>
      </c>
      <c r="F86" t="s">
        <v>5</v>
      </c>
      <c r="G86" t="s">
        <v>44</v>
      </c>
      <c r="H86" t="s">
        <v>629</v>
      </c>
      <c r="I86">
        <v>200</v>
      </c>
      <c r="J86">
        <v>8</v>
      </c>
      <c r="K86">
        <f t="shared" si="6"/>
        <v>4</v>
      </c>
      <c r="L86" t="s">
        <v>1739</v>
      </c>
      <c r="M86" t="s">
        <v>3663</v>
      </c>
      <c r="N86" t="s">
        <v>1</v>
      </c>
      <c r="O86">
        <v>323022</v>
      </c>
      <c r="P86" t="s">
        <v>546</v>
      </c>
      <c r="Q86" t="s">
        <v>1761</v>
      </c>
      <c r="S86">
        <v>230.376</v>
      </c>
      <c r="T86">
        <v>3</v>
      </c>
      <c r="U86">
        <v>0.2</v>
      </c>
      <c r="V86">
        <v>-48.954900000000002</v>
      </c>
      <c r="W86">
        <f t="shared" si="7"/>
        <v>93.110299999999995</v>
      </c>
      <c r="X86">
        <v>5</v>
      </c>
    </row>
    <row r="87" spans="1:24" x14ac:dyDescent="0.3">
      <c r="A87">
        <v>86</v>
      </c>
      <c r="B87" t="s">
        <v>1862</v>
      </c>
      <c r="C87" s="6">
        <v>44282</v>
      </c>
      <c r="D87" t="str">
        <f t="shared" si="4"/>
        <v>Mar</v>
      </c>
      <c r="E87" t="str">
        <f t="shared" si="5"/>
        <v>2021</v>
      </c>
      <c r="F87" t="s">
        <v>3</v>
      </c>
      <c r="G87" t="s">
        <v>29</v>
      </c>
      <c r="H87" t="s">
        <v>630</v>
      </c>
      <c r="I87">
        <v>170</v>
      </c>
      <c r="J87">
        <v>24</v>
      </c>
      <c r="K87">
        <f t="shared" si="6"/>
        <v>14.117647058823529</v>
      </c>
      <c r="L87" t="s">
        <v>1736</v>
      </c>
      <c r="M87" t="s">
        <v>3664</v>
      </c>
      <c r="O87">
        <v>474001</v>
      </c>
      <c r="P87" t="s">
        <v>546</v>
      </c>
      <c r="Q87" t="s">
        <v>1756</v>
      </c>
      <c r="S87">
        <v>301.95999999999998</v>
      </c>
      <c r="T87">
        <v>2</v>
      </c>
      <c r="U87">
        <v>0</v>
      </c>
      <c r="V87">
        <v>33.215600000000002</v>
      </c>
      <c r="W87">
        <f t="shared" si="7"/>
        <v>134.37219999999999</v>
      </c>
      <c r="X87">
        <v>4</v>
      </c>
    </row>
    <row r="88" spans="1:24" x14ac:dyDescent="0.3">
      <c r="A88">
        <v>87</v>
      </c>
      <c r="B88" t="s">
        <v>1863</v>
      </c>
      <c r="C88" s="6">
        <v>44283</v>
      </c>
      <c r="D88" t="str">
        <f t="shared" si="4"/>
        <v>Mar</v>
      </c>
      <c r="E88" t="str">
        <f t="shared" si="5"/>
        <v>2021</v>
      </c>
      <c r="F88" t="s">
        <v>4</v>
      </c>
      <c r="G88" t="s">
        <v>45</v>
      </c>
      <c r="H88" t="s">
        <v>631</v>
      </c>
      <c r="I88">
        <v>200</v>
      </c>
      <c r="J88">
        <v>18</v>
      </c>
      <c r="K88">
        <f t="shared" si="6"/>
        <v>9</v>
      </c>
      <c r="L88" t="s">
        <v>1744</v>
      </c>
      <c r="M88" t="s">
        <v>3665</v>
      </c>
      <c r="N88" t="s">
        <v>1</v>
      </c>
      <c r="O88">
        <v>201310</v>
      </c>
      <c r="P88" t="s">
        <v>546</v>
      </c>
      <c r="Q88" t="s">
        <v>1758</v>
      </c>
      <c r="S88">
        <v>19.989999999999998</v>
      </c>
      <c r="T88">
        <v>1</v>
      </c>
      <c r="U88">
        <v>0</v>
      </c>
      <c r="V88">
        <v>6.7965999999999998</v>
      </c>
      <c r="W88">
        <f t="shared" si="7"/>
        <v>13.193399999999999</v>
      </c>
      <c r="X88">
        <v>4</v>
      </c>
    </row>
    <row r="89" spans="1:24" x14ac:dyDescent="0.3">
      <c r="A89">
        <v>88</v>
      </c>
      <c r="B89" t="s">
        <v>1864</v>
      </c>
      <c r="C89" s="6">
        <v>44284</v>
      </c>
      <c r="D89" t="str">
        <f t="shared" si="4"/>
        <v>Mar</v>
      </c>
      <c r="E89" t="str">
        <f t="shared" si="5"/>
        <v>2021</v>
      </c>
      <c r="F89" t="s">
        <v>4</v>
      </c>
      <c r="G89" t="s">
        <v>45</v>
      </c>
      <c r="H89" t="s">
        <v>632</v>
      </c>
      <c r="I89">
        <v>150</v>
      </c>
      <c r="J89">
        <v>22</v>
      </c>
      <c r="K89">
        <f t="shared" si="6"/>
        <v>14.666666666666666</v>
      </c>
      <c r="L89" t="s">
        <v>1740</v>
      </c>
      <c r="M89" t="s">
        <v>3666</v>
      </c>
      <c r="N89" t="s">
        <v>1</v>
      </c>
      <c r="O89">
        <v>201304</v>
      </c>
      <c r="P89" t="s">
        <v>546</v>
      </c>
      <c r="Q89" t="s">
        <v>1756</v>
      </c>
      <c r="S89">
        <v>6.16</v>
      </c>
      <c r="T89">
        <v>2</v>
      </c>
      <c r="U89">
        <v>0</v>
      </c>
      <c r="V89">
        <v>2.9567999999999999</v>
      </c>
      <c r="W89">
        <f t="shared" si="7"/>
        <v>1.6016000000000001</v>
      </c>
      <c r="X89">
        <v>1</v>
      </c>
    </row>
    <row r="90" spans="1:24" x14ac:dyDescent="0.3">
      <c r="A90">
        <v>89</v>
      </c>
      <c r="B90" t="s">
        <v>1865</v>
      </c>
      <c r="C90" s="6">
        <v>44285</v>
      </c>
      <c r="D90" t="str">
        <f t="shared" si="4"/>
        <v>Mar</v>
      </c>
      <c r="E90" t="str">
        <f t="shared" si="5"/>
        <v>2021</v>
      </c>
      <c r="F90" t="s">
        <v>3</v>
      </c>
      <c r="G90" t="s">
        <v>46</v>
      </c>
      <c r="H90" t="s">
        <v>633</v>
      </c>
      <c r="I90">
        <v>140</v>
      </c>
      <c r="J90">
        <v>20</v>
      </c>
      <c r="K90">
        <f t="shared" si="6"/>
        <v>14.285714285714285</v>
      </c>
      <c r="L90" t="s">
        <v>1742</v>
      </c>
      <c r="M90" t="s">
        <v>3667</v>
      </c>
      <c r="N90" t="s">
        <v>1</v>
      </c>
      <c r="O90">
        <v>560059</v>
      </c>
      <c r="P90" t="s">
        <v>546</v>
      </c>
      <c r="Q90" t="s">
        <v>1770</v>
      </c>
      <c r="R90" t="s">
        <v>2</v>
      </c>
      <c r="S90">
        <v>158.36799999999999</v>
      </c>
      <c r="T90">
        <v>7</v>
      </c>
      <c r="U90">
        <v>0.2</v>
      </c>
      <c r="V90">
        <v>13.857200000000001</v>
      </c>
      <c r="W90">
        <f t="shared" si="7"/>
        <v>20.644399999999997</v>
      </c>
      <c r="X90">
        <v>5</v>
      </c>
    </row>
    <row r="91" spans="1:24" x14ac:dyDescent="0.3">
      <c r="A91">
        <v>90</v>
      </c>
      <c r="B91" t="s">
        <v>1866</v>
      </c>
      <c r="C91" s="6">
        <v>44286</v>
      </c>
      <c r="D91" t="str">
        <f t="shared" si="4"/>
        <v>Mar</v>
      </c>
      <c r="E91" t="str">
        <f t="shared" si="5"/>
        <v>2021</v>
      </c>
      <c r="F91" t="s">
        <v>4</v>
      </c>
      <c r="G91" t="s">
        <v>47</v>
      </c>
      <c r="H91" t="s">
        <v>634</v>
      </c>
      <c r="I91">
        <v>230</v>
      </c>
      <c r="J91">
        <v>28</v>
      </c>
      <c r="K91">
        <f t="shared" si="6"/>
        <v>12.173913043478262</v>
      </c>
      <c r="L91" t="s">
        <v>1739</v>
      </c>
      <c r="M91" t="s">
        <v>3668</v>
      </c>
      <c r="N91" t="s">
        <v>1</v>
      </c>
      <c r="O91">
        <v>560059</v>
      </c>
      <c r="P91" t="s">
        <v>546</v>
      </c>
      <c r="Q91" t="s">
        <v>1767</v>
      </c>
      <c r="R91" t="s">
        <v>2</v>
      </c>
      <c r="S91">
        <v>20.100000000000001</v>
      </c>
      <c r="T91">
        <v>3</v>
      </c>
      <c r="U91">
        <v>0</v>
      </c>
      <c r="V91">
        <v>6.633</v>
      </c>
      <c r="W91">
        <f t="shared" si="7"/>
        <v>4.4890000000000008</v>
      </c>
      <c r="X91">
        <v>2</v>
      </c>
    </row>
    <row r="92" spans="1:24" x14ac:dyDescent="0.3">
      <c r="A92">
        <v>91</v>
      </c>
      <c r="B92" t="s">
        <v>1867</v>
      </c>
      <c r="C92" s="6">
        <v>44287</v>
      </c>
      <c r="D92" t="str">
        <f t="shared" si="4"/>
        <v>Apr</v>
      </c>
      <c r="E92" t="str">
        <f t="shared" si="5"/>
        <v>2021</v>
      </c>
      <c r="F92" t="s">
        <v>4</v>
      </c>
      <c r="G92" t="s">
        <v>47</v>
      </c>
      <c r="H92" t="s">
        <v>587</v>
      </c>
      <c r="I92">
        <v>150</v>
      </c>
      <c r="J92">
        <v>14</v>
      </c>
      <c r="K92">
        <f t="shared" si="6"/>
        <v>9.3333333333333339</v>
      </c>
      <c r="L92" t="s">
        <v>1738</v>
      </c>
      <c r="M92" t="s">
        <v>3669</v>
      </c>
      <c r="N92" t="s">
        <v>1</v>
      </c>
      <c r="O92">
        <v>804421</v>
      </c>
      <c r="P92" t="s">
        <v>546</v>
      </c>
      <c r="Q92" t="s">
        <v>1759</v>
      </c>
      <c r="S92">
        <v>73.584000000000003</v>
      </c>
      <c r="T92">
        <v>2</v>
      </c>
      <c r="U92">
        <v>0.2</v>
      </c>
      <c r="V92">
        <v>8.2782</v>
      </c>
      <c r="W92">
        <f t="shared" si="7"/>
        <v>32.652900000000002</v>
      </c>
      <c r="X92">
        <v>2</v>
      </c>
    </row>
    <row r="93" spans="1:24" x14ac:dyDescent="0.3">
      <c r="A93">
        <v>92</v>
      </c>
      <c r="B93" t="s">
        <v>1868</v>
      </c>
      <c r="C93" s="6">
        <v>44288</v>
      </c>
      <c r="D93" t="str">
        <f t="shared" si="4"/>
        <v>Apr</v>
      </c>
      <c r="E93" t="str">
        <f t="shared" si="5"/>
        <v>2021</v>
      </c>
      <c r="F93" t="s">
        <v>4</v>
      </c>
      <c r="G93" t="s">
        <v>47</v>
      </c>
      <c r="H93" t="s">
        <v>635</v>
      </c>
      <c r="I93">
        <v>120</v>
      </c>
      <c r="J93">
        <v>16</v>
      </c>
      <c r="K93">
        <f t="shared" si="6"/>
        <v>13.333333333333334</v>
      </c>
      <c r="L93" t="s">
        <v>1743</v>
      </c>
      <c r="M93" t="s">
        <v>3670</v>
      </c>
      <c r="N93" t="s">
        <v>1</v>
      </c>
      <c r="O93">
        <v>401107</v>
      </c>
      <c r="P93" t="s">
        <v>546</v>
      </c>
      <c r="Q93" t="s">
        <v>1770</v>
      </c>
      <c r="S93">
        <v>6.48</v>
      </c>
      <c r="T93">
        <v>1</v>
      </c>
      <c r="U93">
        <v>0</v>
      </c>
      <c r="V93">
        <v>3.1103999999999998</v>
      </c>
      <c r="W93">
        <f t="shared" si="7"/>
        <v>3.3696000000000006</v>
      </c>
      <c r="X93">
        <v>5</v>
      </c>
    </row>
    <row r="94" spans="1:24" x14ac:dyDescent="0.3">
      <c r="A94">
        <v>93</v>
      </c>
      <c r="B94" t="s">
        <v>1869</v>
      </c>
      <c r="C94" s="6">
        <v>44289</v>
      </c>
      <c r="D94" t="str">
        <f t="shared" si="4"/>
        <v>Apr</v>
      </c>
      <c r="E94" t="str">
        <f t="shared" si="5"/>
        <v>2021</v>
      </c>
      <c r="F94" t="s">
        <v>3</v>
      </c>
      <c r="G94" t="s">
        <v>48</v>
      </c>
      <c r="H94" t="s">
        <v>636</v>
      </c>
      <c r="I94">
        <v>220</v>
      </c>
      <c r="J94">
        <v>22</v>
      </c>
      <c r="K94">
        <f t="shared" si="6"/>
        <v>10</v>
      </c>
      <c r="L94" t="s">
        <v>1737</v>
      </c>
      <c r="M94" t="s">
        <v>3671</v>
      </c>
      <c r="N94" t="s">
        <v>1</v>
      </c>
      <c r="O94">
        <v>695009</v>
      </c>
      <c r="P94" t="s">
        <v>546</v>
      </c>
      <c r="Q94" t="s">
        <v>1759</v>
      </c>
      <c r="S94">
        <v>12.96</v>
      </c>
      <c r="T94">
        <v>2</v>
      </c>
      <c r="U94">
        <v>0</v>
      </c>
      <c r="V94">
        <v>6.2207999999999997</v>
      </c>
      <c r="W94">
        <f t="shared" si="7"/>
        <v>3.3696000000000006</v>
      </c>
      <c r="X94">
        <v>2</v>
      </c>
    </row>
    <row r="95" spans="1:24" x14ac:dyDescent="0.3">
      <c r="A95">
        <v>94</v>
      </c>
      <c r="B95" t="s">
        <v>1870</v>
      </c>
      <c r="C95" s="6">
        <v>44290</v>
      </c>
      <c r="D95" t="str">
        <f t="shared" si="4"/>
        <v>Apr</v>
      </c>
      <c r="E95" t="str">
        <f t="shared" si="5"/>
        <v>2021</v>
      </c>
      <c r="F95" t="s">
        <v>3</v>
      </c>
      <c r="G95" t="s">
        <v>48</v>
      </c>
      <c r="H95" t="s">
        <v>637</v>
      </c>
      <c r="I95">
        <v>160</v>
      </c>
      <c r="J95">
        <v>14</v>
      </c>
      <c r="K95">
        <f t="shared" si="6"/>
        <v>8.75</v>
      </c>
      <c r="L95" t="s">
        <v>1741</v>
      </c>
      <c r="M95" t="s">
        <v>3672</v>
      </c>
      <c r="O95">
        <v>816107</v>
      </c>
      <c r="P95" t="s">
        <v>546</v>
      </c>
      <c r="Q95" t="s">
        <v>1759</v>
      </c>
      <c r="S95">
        <v>53.34</v>
      </c>
      <c r="T95">
        <v>3</v>
      </c>
      <c r="U95">
        <v>0</v>
      </c>
      <c r="V95">
        <v>16.535399999999999</v>
      </c>
      <c r="W95">
        <f t="shared" si="7"/>
        <v>12.268200000000002</v>
      </c>
      <c r="X95">
        <v>2</v>
      </c>
    </row>
    <row r="96" spans="1:24" x14ac:dyDescent="0.3">
      <c r="A96">
        <v>95</v>
      </c>
      <c r="B96" t="s">
        <v>1871</v>
      </c>
      <c r="C96" s="6">
        <v>44291</v>
      </c>
      <c r="D96" t="str">
        <f t="shared" si="4"/>
        <v>Apr</v>
      </c>
      <c r="E96" t="str">
        <f t="shared" si="5"/>
        <v>2021</v>
      </c>
      <c r="F96" t="s">
        <v>3</v>
      </c>
      <c r="G96" t="s">
        <v>48</v>
      </c>
      <c r="H96" t="s">
        <v>638</v>
      </c>
      <c r="I96">
        <v>110</v>
      </c>
      <c r="J96">
        <v>20</v>
      </c>
      <c r="K96">
        <f t="shared" si="6"/>
        <v>18.181818181818183</v>
      </c>
      <c r="L96" t="s">
        <v>1736</v>
      </c>
      <c r="M96" t="s">
        <v>3673</v>
      </c>
      <c r="N96" t="s">
        <v>1</v>
      </c>
      <c r="O96">
        <v>686664</v>
      </c>
      <c r="P96" t="s">
        <v>546</v>
      </c>
      <c r="Q96" t="s">
        <v>1765</v>
      </c>
      <c r="R96" t="s">
        <v>2</v>
      </c>
      <c r="S96">
        <v>32.96</v>
      </c>
      <c r="T96">
        <v>2</v>
      </c>
      <c r="U96">
        <v>0</v>
      </c>
      <c r="V96">
        <v>16.150400000000001</v>
      </c>
      <c r="W96">
        <f t="shared" si="7"/>
        <v>8.4047999999999998</v>
      </c>
      <c r="X96">
        <v>1</v>
      </c>
    </row>
    <row r="97" spans="1:24" x14ac:dyDescent="0.3">
      <c r="A97">
        <v>96</v>
      </c>
      <c r="B97" t="s">
        <v>1872</v>
      </c>
      <c r="C97" s="6">
        <v>44292</v>
      </c>
      <c r="D97" t="str">
        <f t="shared" si="4"/>
        <v>Apr</v>
      </c>
      <c r="E97" t="str">
        <f t="shared" si="5"/>
        <v>2021</v>
      </c>
      <c r="F97" t="s">
        <v>4</v>
      </c>
      <c r="G97" t="s">
        <v>49</v>
      </c>
      <c r="H97" t="s">
        <v>639</v>
      </c>
      <c r="I97">
        <v>250</v>
      </c>
      <c r="J97">
        <v>18</v>
      </c>
      <c r="K97">
        <f t="shared" si="6"/>
        <v>7.1999999999999993</v>
      </c>
      <c r="L97" t="s">
        <v>1744</v>
      </c>
      <c r="M97" t="s">
        <v>3674</v>
      </c>
      <c r="N97" t="s">
        <v>1</v>
      </c>
      <c r="O97">
        <v>641041</v>
      </c>
      <c r="P97" t="s">
        <v>546</v>
      </c>
      <c r="Q97" t="s">
        <v>1759</v>
      </c>
      <c r="S97">
        <v>5.6820000000000004</v>
      </c>
      <c r="T97">
        <v>1</v>
      </c>
      <c r="U97">
        <v>0.7</v>
      </c>
      <c r="V97">
        <v>-3.7879999999999998</v>
      </c>
      <c r="W97">
        <f t="shared" si="7"/>
        <v>9.4700000000000006</v>
      </c>
      <c r="X97">
        <v>4</v>
      </c>
    </row>
    <row r="98" spans="1:24" x14ac:dyDescent="0.3">
      <c r="A98">
        <v>97</v>
      </c>
      <c r="B98" t="s">
        <v>1873</v>
      </c>
      <c r="C98" s="6">
        <v>44293</v>
      </c>
      <c r="D98" t="str">
        <f t="shared" si="4"/>
        <v>Apr</v>
      </c>
      <c r="E98" t="str">
        <f t="shared" si="5"/>
        <v>2021</v>
      </c>
      <c r="F98" t="s">
        <v>3</v>
      </c>
      <c r="G98" t="s">
        <v>50</v>
      </c>
      <c r="H98" t="s">
        <v>640</v>
      </c>
      <c r="I98">
        <v>100</v>
      </c>
      <c r="J98">
        <v>16</v>
      </c>
      <c r="K98">
        <f t="shared" si="6"/>
        <v>16</v>
      </c>
      <c r="L98" t="s">
        <v>1740</v>
      </c>
      <c r="M98" t="s">
        <v>3675</v>
      </c>
      <c r="N98" t="s">
        <v>1</v>
      </c>
      <c r="O98">
        <v>500080</v>
      </c>
      <c r="P98" t="s">
        <v>546</v>
      </c>
      <c r="Q98" t="s">
        <v>1760</v>
      </c>
      <c r="R98" t="s">
        <v>2</v>
      </c>
      <c r="S98">
        <v>96.53</v>
      </c>
      <c r="T98">
        <v>7</v>
      </c>
      <c r="U98">
        <v>0</v>
      </c>
      <c r="V98">
        <v>40.5426</v>
      </c>
      <c r="W98">
        <f t="shared" si="7"/>
        <v>7.9981999999999998</v>
      </c>
      <c r="X98">
        <v>2</v>
      </c>
    </row>
    <row r="99" spans="1:24" x14ac:dyDescent="0.3">
      <c r="A99">
        <v>98</v>
      </c>
      <c r="B99" t="s">
        <v>1874</v>
      </c>
      <c r="C99" s="6">
        <v>44294</v>
      </c>
      <c r="D99" t="str">
        <f t="shared" si="4"/>
        <v>Apr</v>
      </c>
      <c r="E99" t="str">
        <f t="shared" si="5"/>
        <v>2021</v>
      </c>
      <c r="F99" t="s">
        <v>5</v>
      </c>
      <c r="G99" t="s">
        <v>51</v>
      </c>
      <c r="H99" t="s">
        <v>641</v>
      </c>
      <c r="I99">
        <v>180</v>
      </c>
      <c r="J99">
        <v>24</v>
      </c>
      <c r="K99">
        <f t="shared" si="6"/>
        <v>13.333333333333334</v>
      </c>
      <c r="L99" t="s">
        <v>1742</v>
      </c>
      <c r="M99" t="s">
        <v>3676</v>
      </c>
      <c r="N99" t="s">
        <v>1</v>
      </c>
      <c r="O99">
        <v>500080</v>
      </c>
      <c r="P99" t="s">
        <v>546</v>
      </c>
      <c r="Q99" t="s">
        <v>1770</v>
      </c>
      <c r="R99" t="s">
        <v>2</v>
      </c>
      <c r="S99">
        <v>51.311999999999998</v>
      </c>
      <c r="T99">
        <v>3</v>
      </c>
      <c r="U99">
        <v>0.2</v>
      </c>
      <c r="V99">
        <v>17.959199999999999</v>
      </c>
      <c r="W99">
        <f t="shared" si="7"/>
        <v>11.117600000000001</v>
      </c>
      <c r="X99">
        <v>4</v>
      </c>
    </row>
    <row r="100" spans="1:24" x14ac:dyDescent="0.3">
      <c r="A100">
        <v>99</v>
      </c>
      <c r="B100" t="s">
        <v>1875</v>
      </c>
      <c r="C100" s="6">
        <v>44295</v>
      </c>
      <c r="D100" t="str">
        <f t="shared" si="4"/>
        <v>Apr</v>
      </c>
      <c r="E100" t="str">
        <f t="shared" si="5"/>
        <v>2021</v>
      </c>
      <c r="F100" t="s">
        <v>4</v>
      </c>
      <c r="G100" t="s">
        <v>52</v>
      </c>
      <c r="H100" t="s">
        <v>642</v>
      </c>
      <c r="I100">
        <v>250</v>
      </c>
      <c r="J100">
        <v>16</v>
      </c>
      <c r="K100">
        <f t="shared" si="6"/>
        <v>6.4</v>
      </c>
      <c r="L100" t="s">
        <v>1739</v>
      </c>
      <c r="M100" t="s">
        <v>3677</v>
      </c>
      <c r="N100" t="s">
        <v>1</v>
      </c>
      <c r="O100">
        <v>500080</v>
      </c>
      <c r="P100" t="s">
        <v>546</v>
      </c>
      <c r="Q100" t="s">
        <v>1759</v>
      </c>
      <c r="S100">
        <v>77.88</v>
      </c>
      <c r="T100">
        <v>6</v>
      </c>
      <c r="U100">
        <v>0</v>
      </c>
      <c r="V100">
        <v>22.5852</v>
      </c>
      <c r="W100">
        <f t="shared" si="7"/>
        <v>9.2157999999999998</v>
      </c>
      <c r="X100">
        <v>1</v>
      </c>
    </row>
    <row r="101" spans="1:24" x14ac:dyDescent="0.3">
      <c r="A101">
        <v>100</v>
      </c>
      <c r="B101" t="s">
        <v>1876</v>
      </c>
      <c r="C101" s="6">
        <v>44296</v>
      </c>
      <c r="D101" t="str">
        <f t="shared" si="4"/>
        <v>Apr</v>
      </c>
      <c r="E101" t="str">
        <f t="shared" si="5"/>
        <v>2021</v>
      </c>
      <c r="F101" t="s">
        <v>4</v>
      </c>
      <c r="G101" t="s">
        <v>53</v>
      </c>
      <c r="H101" t="s">
        <v>643</v>
      </c>
      <c r="I101">
        <v>190</v>
      </c>
      <c r="J101">
        <v>24</v>
      </c>
      <c r="K101">
        <f t="shared" si="6"/>
        <v>12.631578947368421</v>
      </c>
      <c r="L101" t="s">
        <v>1738</v>
      </c>
      <c r="M101" t="s">
        <v>3678</v>
      </c>
      <c r="N101" t="s">
        <v>1</v>
      </c>
      <c r="O101">
        <v>522529</v>
      </c>
      <c r="P101" t="s">
        <v>546</v>
      </c>
      <c r="Q101" t="s">
        <v>1771</v>
      </c>
      <c r="R101" t="s">
        <v>2</v>
      </c>
      <c r="S101">
        <v>64.623999999999995</v>
      </c>
      <c r="T101">
        <v>7</v>
      </c>
      <c r="U101">
        <v>0.2</v>
      </c>
      <c r="V101">
        <v>22.618400000000001</v>
      </c>
      <c r="W101">
        <f t="shared" si="7"/>
        <v>6.000799999999999</v>
      </c>
      <c r="X101">
        <v>3</v>
      </c>
    </row>
    <row r="102" spans="1:24" x14ac:dyDescent="0.3">
      <c r="A102">
        <v>101</v>
      </c>
      <c r="B102" t="s">
        <v>1877</v>
      </c>
      <c r="C102" s="6">
        <v>44297</v>
      </c>
      <c r="D102" t="str">
        <f t="shared" si="4"/>
        <v>Apr</v>
      </c>
      <c r="E102" t="str">
        <f t="shared" si="5"/>
        <v>2021</v>
      </c>
      <c r="F102" t="s">
        <v>4</v>
      </c>
      <c r="G102" t="s">
        <v>53</v>
      </c>
      <c r="H102" t="s">
        <v>644</v>
      </c>
      <c r="I102">
        <v>220</v>
      </c>
      <c r="J102">
        <v>16</v>
      </c>
      <c r="K102">
        <f t="shared" si="6"/>
        <v>7.2727272727272725</v>
      </c>
      <c r="L102" t="s">
        <v>1737</v>
      </c>
      <c r="M102" t="s">
        <v>3679</v>
      </c>
      <c r="N102" t="s">
        <v>1</v>
      </c>
      <c r="O102">
        <v>411037</v>
      </c>
      <c r="P102" t="s">
        <v>546</v>
      </c>
      <c r="Q102" t="s">
        <v>1761</v>
      </c>
      <c r="R102" t="s">
        <v>2</v>
      </c>
      <c r="S102">
        <v>95.975999999999999</v>
      </c>
      <c r="T102">
        <v>3</v>
      </c>
      <c r="U102">
        <v>0.2</v>
      </c>
      <c r="V102">
        <v>-10.7973</v>
      </c>
      <c r="W102">
        <f t="shared" si="7"/>
        <v>35.591100000000004</v>
      </c>
      <c r="X102">
        <v>1</v>
      </c>
    </row>
    <row r="103" spans="1:24" x14ac:dyDescent="0.3">
      <c r="A103">
        <v>102</v>
      </c>
      <c r="B103" t="s">
        <v>1878</v>
      </c>
      <c r="C103" s="6">
        <v>44298</v>
      </c>
      <c r="D103" t="str">
        <f t="shared" si="4"/>
        <v>Apr</v>
      </c>
      <c r="E103" t="str">
        <f t="shared" si="5"/>
        <v>2021</v>
      </c>
      <c r="F103" t="s">
        <v>4</v>
      </c>
      <c r="G103" t="s">
        <v>53</v>
      </c>
      <c r="H103" t="s">
        <v>645</v>
      </c>
      <c r="I103">
        <v>170</v>
      </c>
      <c r="J103">
        <v>10</v>
      </c>
      <c r="K103">
        <f t="shared" si="6"/>
        <v>5.8823529411764701</v>
      </c>
      <c r="L103" t="s">
        <v>1743</v>
      </c>
      <c r="M103" t="s">
        <v>3680</v>
      </c>
      <c r="N103" t="s">
        <v>1</v>
      </c>
      <c r="O103">
        <v>826001</v>
      </c>
      <c r="P103" t="s">
        <v>546</v>
      </c>
      <c r="Q103" t="s">
        <v>1757</v>
      </c>
      <c r="R103" t="s">
        <v>2</v>
      </c>
      <c r="S103">
        <v>1.788</v>
      </c>
      <c r="T103">
        <v>3</v>
      </c>
      <c r="U103">
        <v>0.8</v>
      </c>
      <c r="V103">
        <v>-3.0396000000000001</v>
      </c>
      <c r="W103">
        <f t="shared" si="7"/>
        <v>1.6092000000000002</v>
      </c>
      <c r="X103">
        <v>4</v>
      </c>
    </row>
    <row r="104" spans="1:24" x14ac:dyDescent="0.3">
      <c r="A104">
        <v>103</v>
      </c>
      <c r="B104" t="s">
        <v>1879</v>
      </c>
      <c r="C104" s="6">
        <v>44299</v>
      </c>
      <c r="D104" t="str">
        <f t="shared" si="4"/>
        <v>Apr</v>
      </c>
      <c r="E104" t="str">
        <f t="shared" si="5"/>
        <v>2021</v>
      </c>
      <c r="F104" t="s">
        <v>3</v>
      </c>
      <c r="G104" t="s">
        <v>54</v>
      </c>
      <c r="H104" t="s">
        <v>646</v>
      </c>
      <c r="I104">
        <v>220</v>
      </c>
      <c r="J104">
        <v>22</v>
      </c>
      <c r="K104">
        <f t="shared" si="6"/>
        <v>10</v>
      </c>
      <c r="L104" t="s">
        <v>1738</v>
      </c>
      <c r="M104" t="s">
        <v>3681</v>
      </c>
      <c r="N104" t="s">
        <v>1</v>
      </c>
      <c r="O104">
        <v>700059</v>
      </c>
      <c r="P104" t="s">
        <v>546</v>
      </c>
      <c r="Q104" t="s">
        <v>1775</v>
      </c>
      <c r="S104">
        <v>23.92</v>
      </c>
      <c r="T104">
        <v>4</v>
      </c>
      <c r="U104">
        <v>0</v>
      </c>
      <c r="V104">
        <v>11.720800000000001</v>
      </c>
      <c r="W104">
        <f t="shared" si="7"/>
        <v>3.0498000000000003</v>
      </c>
      <c r="X104">
        <v>3</v>
      </c>
    </row>
    <row r="105" spans="1:24" x14ac:dyDescent="0.3">
      <c r="A105">
        <v>104</v>
      </c>
      <c r="B105" t="s">
        <v>1880</v>
      </c>
      <c r="C105" s="6">
        <v>44300</v>
      </c>
      <c r="D105" t="str">
        <f t="shared" si="4"/>
        <v>Apr</v>
      </c>
      <c r="E105" t="str">
        <f t="shared" si="5"/>
        <v>2021</v>
      </c>
      <c r="F105" t="s">
        <v>4</v>
      </c>
      <c r="G105" t="s">
        <v>55</v>
      </c>
      <c r="H105" t="s">
        <v>647</v>
      </c>
      <c r="I105">
        <v>200</v>
      </c>
      <c r="J105">
        <v>28</v>
      </c>
      <c r="K105">
        <f t="shared" si="6"/>
        <v>14.000000000000002</v>
      </c>
      <c r="L105" t="s">
        <v>1739</v>
      </c>
      <c r="M105" t="s">
        <v>3682</v>
      </c>
      <c r="N105" t="s">
        <v>1</v>
      </c>
      <c r="O105">
        <v>560100</v>
      </c>
      <c r="P105" t="s">
        <v>546</v>
      </c>
      <c r="Q105" t="s">
        <v>1770</v>
      </c>
      <c r="S105">
        <v>238.89599999999999</v>
      </c>
      <c r="T105">
        <v>6</v>
      </c>
      <c r="U105">
        <v>0.2</v>
      </c>
      <c r="V105">
        <v>-26.875800000000002</v>
      </c>
      <c r="W105">
        <f t="shared" si="7"/>
        <v>44.295299999999997</v>
      </c>
      <c r="X105">
        <v>2</v>
      </c>
    </row>
    <row r="106" spans="1:24" x14ac:dyDescent="0.3">
      <c r="A106">
        <v>105</v>
      </c>
      <c r="B106" t="s">
        <v>1881</v>
      </c>
      <c r="C106" s="6">
        <v>44301</v>
      </c>
      <c r="D106" t="str">
        <f t="shared" si="4"/>
        <v>Apr</v>
      </c>
      <c r="E106" t="str">
        <f t="shared" si="5"/>
        <v>2021</v>
      </c>
      <c r="F106" t="s">
        <v>4</v>
      </c>
      <c r="G106" t="s">
        <v>55</v>
      </c>
      <c r="H106" t="s">
        <v>648</v>
      </c>
      <c r="I106">
        <v>150</v>
      </c>
      <c r="J106">
        <v>10</v>
      </c>
      <c r="K106">
        <f t="shared" si="6"/>
        <v>6.666666666666667</v>
      </c>
      <c r="L106" t="s">
        <v>1741</v>
      </c>
      <c r="M106" t="s">
        <v>3683</v>
      </c>
      <c r="N106" t="s">
        <v>1</v>
      </c>
      <c r="O106">
        <v>302004</v>
      </c>
      <c r="P106" t="s">
        <v>546</v>
      </c>
      <c r="Q106" t="s">
        <v>1759</v>
      </c>
      <c r="S106">
        <v>102.36</v>
      </c>
      <c r="T106">
        <v>3</v>
      </c>
      <c r="U106">
        <v>0.2</v>
      </c>
      <c r="V106">
        <v>-3.8384999999999998</v>
      </c>
      <c r="W106">
        <f t="shared" si="7"/>
        <v>35.399499999999996</v>
      </c>
      <c r="X106">
        <v>4</v>
      </c>
    </row>
    <row r="107" spans="1:24" x14ac:dyDescent="0.3">
      <c r="A107">
        <v>106</v>
      </c>
      <c r="B107" t="s">
        <v>1882</v>
      </c>
      <c r="C107" s="6">
        <v>44302</v>
      </c>
      <c r="D107" t="str">
        <f t="shared" si="4"/>
        <v>Apr</v>
      </c>
      <c r="E107" t="str">
        <f t="shared" si="5"/>
        <v>2021</v>
      </c>
      <c r="F107" t="s">
        <v>4</v>
      </c>
      <c r="G107" t="s">
        <v>55</v>
      </c>
      <c r="H107" t="s">
        <v>649</v>
      </c>
      <c r="I107">
        <v>150</v>
      </c>
      <c r="J107">
        <v>30</v>
      </c>
      <c r="K107">
        <f t="shared" si="6"/>
        <v>20</v>
      </c>
      <c r="L107" t="s">
        <v>1736</v>
      </c>
      <c r="M107" t="s">
        <v>3684</v>
      </c>
      <c r="N107" t="s">
        <v>1</v>
      </c>
      <c r="O107">
        <v>400063</v>
      </c>
      <c r="P107" t="s">
        <v>546</v>
      </c>
      <c r="Q107" t="s">
        <v>1769</v>
      </c>
      <c r="S107">
        <v>36.881999999999998</v>
      </c>
      <c r="T107">
        <v>3</v>
      </c>
      <c r="U107">
        <v>0.7</v>
      </c>
      <c r="V107">
        <v>-25.817399999999999</v>
      </c>
      <c r="W107">
        <f t="shared" si="7"/>
        <v>20.899799999999999</v>
      </c>
      <c r="X107">
        <v>4</v>
      </c>
    </row>
    <row r="108" spans="1:24" x14ac:dyDescent="0.3">
      <c r="A108">
        <v>107</v>
      </c>
      <c r="B108" t="s">
        <v>1883</v>
      </c>
      <c r="C108" s="6">
        <v>44303</v>
      </c>
      <c r="D108" t="str">
        <f t="shared" si="4"/>
        <v>Apr</v>
      </c>
      <c r="E108" t="str">
        <f t="shared" si="5"/>
        <v>2021</v>
      </c>
      <c r="F108" t="s">
        <v>4</v>
      </c>
      <c r="G108" t="s">
        <v>56</v>
      </c>
      <c r="H108" t="s">
        <v>650</v>
      </c>
      <c r="I108">
        <v>240</v>
      </c>
      <c r="J108">
        <v>22</v>
      </c>
      <c r="K108">
        <f t="shared" si="6"/>
        <v>9.1666666666666661</v>
      </c>
      <c r="L108" t="s">
        <v>1744</v>
      </c>
      <c r="M108" t="s">
        <v>3685</v>
      </c>
      <c r="N108" t="s">
        <v>1</v>
      </c>
      <c r="O108">
        <v>500072</v>
      </c>
      <c r="P108" t="s">
        <v>546</v>
      </c>
      <c r="Q108" t="s">
        <v>1769</v>
      </c>
      <c r="S108">
        <v>74.111999999999995</v>
      </c>
      <c r="T108">
        <v>8</v>
      </c>
      <c r="U108">
        <v>0.2</v>
      </c>
      <c r="V108">
        <v>17.601600000000001</v>
      </c>
      <c r="W108">
        <f t="shared" si="7"/>
        <v>7.0637999999999987</v>
      </c>
      <c r="X108">
        <v>5</v>
      </c>
    </row>
    <row r="109" spans="1:24" x14ac:dyDescent="0.3">
      <c r="A109">
        <v>108</v>
      </c>
      <c r="B109" t="s">
        <v>1884</v>
      </c>
      <c r="C109" s="6">
        <v>44304</v>
      </c>
      <c r="D109" t="str">
        <f t="shared" si="4"/>
        <v>Apr</v>
      </c>
      <c r="E109" t="str">
        <f t="shared" si="5"/>
        <v>2021</v>
      </c>
      <c r="F109" t="s">
        <v>4</v>
      </c>
      <c r="G109" t="s">
        <v>56</v>
      </c>
      <c r="H109" t="s">
        <v>651</v>
      </c>
      <c r="I109">
        <v>190</v>
      </c>
      <c r="J109">
        <v>14</v>
      </c>
      <c r="K109">
        <f t="shared" si="6"/>
        <v>7.3684210526315779</v>
      </c>
      <c r="L109" t="s">
        <v>1740</v>
      </c>
      <c r="M109" t="s">
        <v>3686</v>
      </c>
      <c r="N109" t="s">
        <v>1</v>
      </c>
      <c r="O109">
        <v>600004</v>
      </c>
      <c r="P109" t="s">
        <v>546</v>
      </c>
      <c r="Q109" t="s">
        <v>1761</v>
      </c>
      <c r="S109">
        <v>27.992000000000001</v>
      </c>
      <c r="T109">
        <v>1</v>
      </c>
      <c r="U109">
        <v>0.2</v>
      </c>
      <c r="V109">
        <v>2.0994000000000002</v>
      </c>
      <c r="W109">
        <f t="shared" si="7"/>
        <v>25.892600000000002</v>
      </c>
      <c r="X109">
        <v>3</v>
      </c>
    </row>
    <row r="110" spans="1:24" x14ac:dyDescent="0.3">
      <c r="A110">
        <v>109</v>
      </c>
      <c r="B110" t="s">
        <v>1885</v>
      </c>
      <c r="C110" s="6">
        <v>44305</v>
      </c>
      <c r="D110" t="str">
        <f t="shared" si="4"/>
        <v>Apr</v>
      </c>
      <c r="E110" t="str">
        <f t="shared" si="5"/>
        <v>2021</v>
      </c>
      <c r="F110" t="s">
        <v>4</v>
      </c>
      <c r="G110" t="s">
        <v>56</v>
      </c>
      <c r="H110" t="s">
        <v>652</v>
      </c>
      <c r="I110">
        <v>220</v>
      </c>
      <c r="J110">
        <v>10</v>
      </c>
      <c r="K110">
        <f t="shared" si="6"/>
        <v>4.5454545454545459</v>
      </c>
      <c r="L110" t="s">
        <v>1742</v>
      </c>
      <c r="M110" t="s">
        <v>3687</v>
      </c>
      <c r="N110" t="s">
        <v>1</v>
      </c>
      <c r="O110">
        <v>638459</v>
      </c>
      <c r="P110" t="s">
        <v>546</v>
      </c>
      <c r="Q110" t="s">
        <v>1754</v>
      </c>
      <c r="S110">
        <v>3.3039999999999998</v>
      </c>
      <c r="T110">
        <v>1</v>
      </c>
      <c r="U110">
        <v>0.2</v>
      </c>
      <c r="V110">
        <v>1.0738000000000001</v>
      </c>
      <c r="W110">
        <f t="shared" si="7"/>
        <v>2.2302</v>
      </c>
      <c r="X110">
        <v>4</v>
      </c>
    </row>
    <row r="111" spans="1:24" x14ac:dyDescent="0.3">
      <c r="A111">
        <v>110</v>
      </c>
      <c r="B111" t="s">
        <v>1886</v>
      </c>
      <c r="C111" s="6">
        <v>44306</v>
      </c>
      <c r="D111" t="str">
        <f t="shared" si="4"/>
        <v>Apr</v>
      </c>
      <c r="E111" t="str">
        <f t="shared" si="5"/>
        <v>2021</v>
      </c>
      <c r="F111" t="s">
        <v>4</v>
      </c>
      <c r="G111" t="s">
        <v>57</v>
      </c>
      <c r="H111" t="s">
        <v>653</v>
      </c>
      <c r="I111">
        <v>200</v>
      </c>
      <c r="J111">
        <v>6</v>
      </c>
      <c r="K111">
        <f t="shared" si="6"/>
        <v>3</v>
      </c>
      <c r="L111" t="s">
        <v>1739</v>
      </c>
      <c r="M111" t="s">
        <v>3688</v>
      </c>
      <c r="N111" t="s">
        <v>1</v>
      </c>
      <c r="O111">
        <v>560093</v>
      </c>
      <c r="P111" t="s">
        <v>546</v>
      </c>
      <c r="Q111" t="s">
        <v>1767</v>
      </c>
      <c r="R111" t="s">
        <v>2</v>
      </c>
      <c r="S111">
        <v>339.96</v>
      </c>
      <c r="T111">
        <v>5</v>
      </c>
      <c r="U111">
        <v>0.2</v>
      </c>
      <c r="V111">
        <v>67.992000000000004</v>
      </c>
      <c r="W111">
        <f t="shared" si="7"/>
        <v>54.393599999999992</v>
      </c>
      <c r="X111">
        <v>1</v>
      </c>
    </row>
    <row r="112" spans="1:24" x14ac:dyDescent="0.3">
      <c r="A112">
        <v>111</v>
      </c>
      <c r="B112" t="s">
        <v>1887</v>
      </c>
      <c r="C112" s="6">
        <v>44307</v>
      </c>
      <c r="D112" t="str">
        <f t="shared" si="4"/>
        <v>Apr</v>
      </c>
      <c r="E112" t="str">
        <f t="shared" si="5"/>
        <v>2021</v>
      </c>
      <c r="F112" t="s">
        <v>4</v>
      </c>
      <c r="G112" t="s">
        <v>58</v>
      </c>
      <c r="H112" t="s">
        <v>654</v>
      </c>
      <c r="I112">
        <v>250</v>
      </c>
      <c r="J112">
        <v>18</v>
      </c>
      <c r="K112">
        <f t="shared" si="6"/>
        <v>7.1999999999999993</v>
      </c>
      <c r="L112" t="s">
        <v>1738</v>
      </c>
      <c r="M112" t="s">
        <v>3689</v>
      </c>
      <c r="N112" t="s">
        <v>1</v>
      </c>
      <c r="O112">
        <v>560086</v>
      </c>
      <c r="P112" t="s">
        <v>546</v>
      </c>
      <c r="Q112" t="s">
        <v>1754</v>
      </c>
      <c r="S112">
        <v>41.96</v>
      </c>
      <c r="T112">
        <v>2</v>
      </c>
      <c r="U112">
        <v>0</v>
      </c>
      <c r="V112">
        <v>10.909599999999999</v>
      </c>
      <c r="W112">
        <f t="shared" si="7"/>
        <v>15.525200000000002</v>
      </c>
      <c r="X112">
        <v>2</v>
      </c>
    </row>
    <row r="113" spans="1:24" x14ac:dyDescent="0.3">
      <c r="A113">
        <v>112</v>
      </c>
      <c r="B113" t="s">
        <v>1888</v>
      </c>
      <c r="C113" s="6">
        <v>44308</v>
      </c>
      <c r="D113" t="str">
        <f t="shared" si="4"/>
        <v>Apr</v>
      </c>
      <c r="E113" t="str">
        <f t="shared" si="5"/>
        <v>2021</v>
      </c>
      <c r="F113" t="s">
        <v>4</v>
      </c>
      <c r="G113" t="s">
        <v>59</v>
      </c>
      <c r="H113" t="s">
        <v>655</v>
      </c>
      <c r="I113">
        <v>210</v>
      </c>
      <c r="J113">
        <v>22</v>
      </c>
      <c r="K113">
        <f t="shared" si="6"/>
        <v>10.476190476190476</v>
      </c>
      <c r="L113" t="s">
        <v>1743</v>
      </c>
      <c r="M113" t="s">
        <v>3690</v>
      </c>
      <c r="O113">
        <v>636121</v>
      </c>
      <c r="P113" t="s">
        <v>546</v>
      </c>
      <c r="Q113" t="s">
        <v>1762</v>
      </c>
      <c r="S113">
        <v>75.959999999999994</v>
      </c>
      <c r="T113">
        <v>2</v>
      </c>
      <c r="U113">
        <v>0</v>
      </c>
      <c r="V113">
        <v>22.788</v>
      </c>
      <c r="W113">
        <f t="shared" si="7"/>
        <v>26.585999999999999</v>
      </c>
      <c r="X113">
        <v>2</v>
      </c>
    </row>
    <row r="114" spans="1:24" x14ac:dyDescent="0.3">
      <c r="A114">
        <v>113</v>
      </c>
      <c r="B114" t="s">
        <v>1889</v>
      </c>
      <c r="C114" s="6">
        <v>44309</v>
      </c>
      <c r="D114" t="str">
        <f t="shared" si="4"/>
        <v>Apr</v>
      </c>
      <c r="E114" t="str">
        <f t="shared" si="5"/>
        <v>2021</v>
      </c>
      <c r="F114" t="s">
        <v>4</v>
      </c>
      <c r="G114" t="s">
        <v>59</v>
      </c>
      <c r="H114" t="s">
        <v>656</v>
      </c>
      <c r="I114">
        <v>110</v>
      </c>
      <c r="J114">
        <v>14</v>
      </c>
      <c r="K114">
        <f t="shared" si="6"/>
        <v>12.727272727272727</v>
      </c>
      <c r="L114" t="s">
        <v>1737</v>
      </c>
      <c r="M114" t="s">
        <v>3691</v>
      </c>
      <c r="N114" t="s">
        <v>1</v>
      </c>
      <c r="O114">
        <v>600077</v>
      </c>
      <c r="P114" t="s">
        <v>546</v>
      </c>
      <c r="Q114" t="s">
        <v>1763</v>
      </c>
      <c r="S114">
        <v>27.24</v>
      </c>
      <c r="T114">
        <v>6</v>
      </c>
      <c r="U114">
        <v>0</v>
      </c>
      <c r="V114">
        <v>13.3476</v>
      </c>
      <c r="W114">
        <f t="shared" si="7"/>
        <v>2.3153999999999999</v>
      </c>
      <c r="X114">
        <v>3</v>
      </c>
    </row>
    <row r="115" spans="1:24" x14ac:dyDescent="0.3">
      <c r="A115">
        <v>114</v>
      </c>
      <c r="B115" t="s">
        <v>1890</v>
      </c>
      <c r="C115" s="6">
        <v>44310</v>
      </c>
      <c r="D115" t="str">
        <f t="shared" si="4"/>
        <v>Apr</v>
      </c>
      <c r="E115" t="str">
        <f t="shared" si="5"/>
        <v>2021</v>
      </c>
      <c r="F115" t="s">
        <v>3</v>
      </c>
      <c r="G115" t="s">
        <v>60</v>
      </c>
      <c r="H115" t="s">
        <v>657</v>
      </c>
      <c r="I115">
        <v>230</v>
      </c>
      <c r="J115">
        <v>20</v>
      </c>
      <c r="K115">
        <f t="shared" si="6"/>
        <v>8.695652173913043</v>
      </c>
      <c r="L115" t="s">
        <v>1741</v>
      </c>
      <c r="M115" t="s">
        <v>3692</v>
      </c>
      <c r="N115" t="s">
        <v>1</v>
      </c>
      <c r="O115">
        <v>713101</v>
      </c>
      <c r="P115" t="s">
        <v>546</v>
      </c>
      <c r="Q115" t="s">
        <v>1767</v>
      </c>
      <c r="S115">
        <v>40.095999999999997</v>
      </c>
      <c r="T115">
        <v>14</v>
      </c>
      <c r="U115">
        <v>0.2</v>
      </c>
      <c r="V115">
        <v>14.534800000000001</v>
      </c>
      <c r="W115">
        <f t="shared" si="7"/>
        <v>1.8257999999999996</v>
      </c>
      <c r="X115">
        <v>1</v>
      </c>
    </row>
    <row r="116" spans="1:24" x14ac:dyDescent="0.3">
      <c r="A116">
        <v>115</v>
      </c>
      <c r="B116" t="s">
        <v>1891</v>
      </c>
      <c r="C116" s="6">
        <v>44311</v>
      </c>
      <c r="D116" t="str">
        <f t="shared" si="4"/>
        <v>Apr</v>
      </c>
      <c r="E116" t="str">
        <f t="shared" si="5"/>
        <v>2021</v>
      </c>
      <c r="F116" t="s">
        <v>3</v>
      </c>
      <c r="G116" t="s">
        <v>60</v>
      </c>
      <c r="H116" t="s">
        <v>658</v>
      </c>
      <c r="I116">
        <v>170</v>
      </c>
      <c r="J116">
        <v>30</v>
      </c>
      <c r="K116">
        <f t="shared" si="6"/>
        <v>17.647058823529413</v>
      </c>
      <c r="L116" t="s">
        <v>1736</v>
      </c>
      <c r="M116" t="s">
        <v>3693</v>
      </c>
      <c r="N116" t="s">
        <v>1</v>
      </c>
      <c r="O116">
        <v>560093</v>
      </c>
      <c r="P116" t="s">
        <v>546</v>
      </c>
      <c r="Q116" t="s">
        <v>1759</v>
      </c>
      <c r="S116">
        <v>4.72</v>
      </c>
      <c r="T116">
        <v>2</v>
      </c>
      <c r="U116">
        <v>0.2</v>
      </c>
      <c r="V116">
        <v>1.6519999999999999</v>
      </c>
      <c r="W116">
        <f t="shared" si="7"/>
        <v>1.5339999999999998</v>
      </c>
      <c r="X116">
        <v>2</v>
      </c>
    </row>
    <row r="117" spans="1:24" x14ac:dyDescent="0.3">
      <c r="A117">
        <v>116</v>
      </c>
      <c r="B117" t="s">
        <v>1892</v>
      </c>
      <c r="C117" s="6">
        <v>44312</v>
      </c>
      <c r="D117" t="str">
        <f t="shared" si="4"/>
        <v>Apr</v>
      </c>
      <c r="E117" t="str">
        <f t="shared" si="5"/>
        <v>2021</v>
      </c>
      <c r="F117" t="s">
        <v>3</v>
      </c>
      <c r="G117" t="s">
        <v>60</v>
      </c>
      <c r="H117" t="s">
        <v>659</v>
      </c>
      <c r="I117">
        <v>160</v>
      </c>
      <c r="J117">
        <v>22</v>
      </c>
      <c r="K117">
        <f t="shared" si="6"/>
        <v>13.750000000000002</v>
      </c>
      <c r="L117" t="s">
        <v>1744</v>
      </c>
      <c r="M117" t="s">
        <v>3694</v>
      </c>
      <c r="N117" t="s">
        <v>1</v>
      </c>
      <c r="O117">
        <v>400072</v>
      </c>
      <c r="P117" t="s">
        <v>546</v>
      </c>
      <c r="Q117" t="s">
        <v>1775</v>
      </c>
      <c r="S117">
        <v>23.975999999999999</v>
      </c>
      <c r="T117">
        <v>3</v>
      </c>
      <c r="U117">
        <v>0.2</v>
      </c>
      <c r="V117">
        <v>7.4924999999999997</v>
      </c>
      <c r="W117">
        <f t="shared" si="7"/>
        <v>5.4944999999999995</v>
      </c>
      <c r="X117">
        <v>3</v>
      </c>
    </row>
    <row r="118" spans="1:24" x14ac:dyDescent="0.3">
      <c r="A118">
        <v>117</v>
      </c>
      <c r="B118" t="s">
        <v>1893</v>
      </c>
      <c r="C118" s="6">
        <v>44313</v>
      </c>
      <c r="D118" t="str">
        <f t="shared" si="4"/>
        <v>Apr</v>
      </c>
      <c r="E118" t="str">
        <f t="shared" si="5"/>
        <v>2021</v>
      </c>
      <c r="F118" t="s">
        <v>3</v>
      </c>
      <c r="G118" t="s">
        <v>60</v>
      </c>
      <c r="H118" t="s">
        <v>660</v>
      </c>
      <c r="I118">
        <v>190</v>
      </c>
      <c r="J118">
        <v>8</v>
      </c>
      <c r="K118">
        <f t="shared" si="6"/>
        <v>4.2105263157894735</v>
      </c>
      <c r="L118" t="s">
        <v>1740</v>
      </c>
      <c r="M118" t="s">
        <v>3695</v>
      </c>
      <c r="N118" t="s">
        <v>1</v>
      </c>
      <c r="O118">
        <v>700024</v>
      </c>
      <c r="P118" t="s">
        <v>546</v>
      </c>
      <c r="Q118" t="s">
        <v>1765</v>
      </c>
      <c r="R118" t="s">
        <v>2</v>
      </c>
      <c r="S118">
        <v>130.464</v>
      </c>
      <c r="T118">
        <v>6</v>
      </c>
      <c r="U118">
        <v>0.2</v>
      </c>
      <c r="V118">
        <v>44.031599999999997</v>
      </c>
      <c r="W118">
        <f t="shared" si="7"/>
        <v>14.4054</v>
      </c>
      <c r="X118">
        <v>5</v>
      </c>
    </row>
    <row r="119" spans="1:24" x14ac:dyDescent="0.3">
      <c r="A119">
        <v>118</v>
      </c>
      <c r="B119" t="s">
        <v>1894</v>
      </c>
      <c r="C119" s="6">
        <v>44314</v>
      </c>
      <c r="D119" t="str">
        <f t="shared" si="4"/>
        <v>Apr</v>
      </c>
      <c r="E119" t="str">
        <f t="shared" si="5"/>
        <v>2021</v>
      </c>
      <c r="F119" t="s">
        <v>4</v>
      </c>
      <c r="G119" t="s">
        <v>61</v>
      </c>
      <c r="H119" t="s">
        <v>661</v>
      </c>
      <c r="I119">
        <v>180</v>
      </c>
      <c r="J119">
        <v>28</v>
      </c>
      <c r="K119">
        <f t="shared" si="6"/>
        <v>15.555555555555555</v>
      </c>
      <c r="L119" t="s">
        <v>1742</v>
      </c>
      <c r="M119" t="s">
        <v>3696</v>
      </c>
      <c r="N119" t="s">
        <v>1</v>
      </c>
      <c r="O119">
        <v>516001</v>
      </c>
      <c r="P119" t="s">
        <v>546</v>
      </c>
      <c r="Q119" t="s">
        <v>1756</v>
      </c>
      <c r="R119" t="s">
        <v>2</v>
      </c>
      <c r="S119">
        <v>787.53</v>
      </c>
      <c r="T119">
        <v>3</v>
      </c>
      <c r="U119">
        <v>0</v>
      </c>
      <c r="V119">
        <v>165.38130000000001</v>
      </c>
      <c r="W119">
        <f t="shared" si="7"/>
        <v>207.38289999999998</v>
      </c>
      <c r="X119">
        <v>3</v>
      </c>
    </row>
    <row r="120" spans="1:24" x14ac:dyDescent="0.3">
      <c r="A120">
        <v>119</v>
      </c>
      <c r="B120" t="s">
        <v>1895</v>
      </c>
      <c r="C120" s="6">
        <v>44315</v>
      </c>
      <c r="D120" t="str">
        <f t="shared" si="4"/>
        <v>Apr</v>
      </c>
      <c r="E120" t="str">
        <f t="shared" si="5"/>
        <v>2021</v>
      </c>
      <c r="F120" t="s">
        <v>4</v>
      </c>
      <c r="G120" t="s">
        <v>62</v>
      </c>
      <c r="H120" t="s">
        <v>662</v>
      </c>
      <c r="I120">
        <v>190</v>
      </c>
      <c r="J120">
        <v>8</v>
      </c>
      <c r="K120">
        <f t="shared" si="6"/>
        <v>4.2105263157894735</v>
      </c>
      <c r="L120" t="s">
        <v>1739</v>
      </c>
      <c r="M120" t="s">
        <v>3697</v>
      </c>
      <c r="N120" t="s">
        <v>1</v>
      </c>
      <c r="O120">
        <v>500050</v>
      </c>
      <c r="P120" t="s">
        <v>546</v>
      </c>
      <c r="Q120" t="s">
        <v>1761</v>
      </c>
      <c r="S120">
        <v>157.79400000000001</v>
      </c>
      <c r="T120">
        <v>1</v>
      </c>
      <c r="U120">
        <v>0.7</v>
      </c>
      <c r="V120">
        <v>-115.71559999999999</v>
      </c>
      <c r="W120">
        <f t="shared" si="7"/>
        <v>273.50959999999998</v>
      </c>
      <c r="X120">
        <v>3</v>
      </c>
    </row>
    <row r="121" spans="1:24" x14ac:dyDescent="0.3">
      <c r="A121">
        <v>120</v>
      </c>
      <c r="B121" t="s">
        <v>1896</v>
      </c>
      <c r="C121" s="6">
        <v>44316</v>
      </c>
      <c r="D121" t="str">
        <f t="shared" si="4"/>
        <v>Apr</v>
      </c>
      <c r="E121" t="str">
        <f t="shared" si="5"/>
        <v>2021</v>
      </c>
      <c r="F121" t="s">
        <v>5</v>
      </c>
      <c r="G121" t="s">
        <v>63</v>
      </c>
      <c r="H121" t="s">
        <v>663</v>
      </c>
      <c r="I121">
        <v>180</v>
      </c>
      <c r="J121">
        <v>14</v>
      </c>
      <c r="K121">
        <f t="shared" si="6"/>
        <v>7.7777777777777777</v>
      </c>
      <c r="L121" t="s">
        <v>1738</v>
      </c>
      <c r="M121" t="s">
        <v>3698</v>
      </c>
      <c r="N121" t="s">
        <v>1</v>
      </c>
      <c r="O121">
        <v>400093</v>
      </c>
      <c r="P121" t="s">
        <v>546</v>
      </c>
      <c r="Q121" t="s">
        <v>1754</v>
      </c>
      <c r="S121">
        <v>47.04</v>
      </c>
      <c r="T121">
        <v>3</v>
      </c>
      <c r="U121">
        <v>0</v>
      </c>
      <c r="V121">
        <v>18.345600000000001</v>
      </c>
      <c r="W121">
        <f t="shared" si="7"/>
        <v>9.5648</v>
      </c>
      <c r="X121">
        <v>2</v>
      </c>
    </row>
    <row r="122" spans="1:24" x14ac:dyDescent="0.3">
      <c r="A122">
        <v>121</v>
      </c>
      <c r="B122" t="s">
        <v>1897</v>
      </c>
      <c r="C122" s="6">
        <v>44317</v>
      </c>
      <c r="D122" t="str">
        <f t="shared" si="4"/>
        <v>May</v>
      </c>
      <c r="E122" t="str">
        <f t="shared" si="5"/>
        <v>2021</v>
      </c>
      <c r="F122" t="s">
        <v>5</v>
      </c>
      <c r="G122" t="s">
        <v>63</v>
      </c>
      <c r="H122" t="s">
        <v>555</v>
      </c>
      <c r="I122">
        <v>170</v>
      </c>
      <c r="J122">
        <v>10</v>
      </c>
      <c r="K122">
        <f t="shared" si="6"/>
        <v>5.8823529411764701</v>
      </c>
      <c r="L122" t="s">
        <v>1737</v>
      </c>
      <c r="M122" t="s">
        <v>3699</v>
      </c>
      <c r="O122">
        <v>500050</v>
      </c>
      <c r="P122" t="s">
        <v>546</v>
      </c>
      <c r="Q122" t="s">
        <v>1757</v>
      </c>
      <c r="S122">
        <v>30.84</v>
      </c>
      <c r="T122">
        <v>4</v>
      </c>
      <c r="U122">
        <v>0</v>
      </c>
      <c r="V122">
        <v>13.878</v>
      </c>
      <c r="W122">
        <f t="shared" si="7"/>
        <v>4.2404999999999999</v>
      </c>
      <c r="X122">
        <v>4</v>
      </c>
    </row>
    <row r="123" spans="1:24" x14ac:dyDescent="0.3">
      <c r="A123">
        <v>122</v>
      </c>
      <c r="B123" t="s">
        <v>1898</v>
      </c>
      <c r="C123" s="6">
        <v>44318</v>
      </c>
      <c r="D123" t="str">
        <f t="shared" si="4"/>
        <v>May</v>
      </c>
      <c r="E123" t="str">
        <f t="shared" si="5"/>
        <v>2021</v>
      </c>
      <c r="F123" t="s">
        <v>5</v>
      </c>
      <c r="G123" t="s">
        <v>63</v>
      </c>
      <c r="H123" t="s">
        <v>664</v>
      </c>
      <c r="I123">
        <v>210</v>
      </c>
      <c r="J123">
        <v>10</v>
      </c>
      <c r="K123">
        <f t="shared" si="6"/>
        <v>4.7619047619047619</v>
      </c>
      <c r="L123" t="s">
        <v>1743</v>
      </c>
      <c r="M123" t="s">
        <v>3700</v>
      </c>
      <c r="N123" t="s">
        <v>1</v>
      </c>
      <c r="O123">
        <v>222125</v>
      </c>
      <c r="P123" t="s">
        <v>546</v>
      </c>
      <c r="Q123" t="s">
        <v>1774</v>
      </c>
      <c r="R123" t="s">
        <v>2</v>
      </c>
      <c r="S123">
        <v>226.56</v>
      </c>
      <c r="T123">
        <v>6</v>
      </c>
      <c r="U123">
        <v>0</v>
      </c>
      <c r="V123">
        <v>63.436799999999998</v>
      </c>
      <c r="W123">
        <f t="shared" si="7"/>
        <v>27.187200000000001</v>
      </c>
      <c r="X123">
        <v>1</v>
      </c>
    </row>
    <row r="124" spans="1:24" x14ac:dyDescent="0.3">
      <c r="A124">
        <v>123</v>
      </c>
      <c r="B124" t="s">
        <v>1899</v>
      </c>
      <c r="C124" s="6">
        <v>44319</v>
      </c>
      <c r="D124" t="str">
        <f t="shared" si="4"/>
        <v>May</v>
      </c>
      <c r="E124" t="str">
        <f t="shared" si="5"/>
        <v>2021</v>
      </c>
      <c r="F124" t="s">
        <v>5</v>
      </c>
      <c r="G124" t="s">
        <v>63</v>
      </c>
      <c r="H124" t="s">
        <v>665</v>
      </c>
      <c r="I124">
        <v>210</v>
      </c>
      <c r="J124">
        <v>26</v>
      </c>
      <c r="K124">
        <f t="shared" si="6"/>
        <v>12.380952380952381</v>
      </c>
      <c r="L124" t="s">
        <v>1738</v>
      </c>
      <c r="M124" t="s">
        <v>3701</v>
      </c>
      <c r="N124" t="s">
        <v>1</v>
      </c>
      <c r="O124">
        <v>500083</v>
      </c>
      <c r="P124" t="s">
        <v>546</v>
      </c>
      <c r="Q124" t="s">
        <v>1766</v>
      </c>
      <c r="S124">
        <v>115.02</v>
      </c>
      <c r="T124">
        <v>9</v>
      </c>
      <c r="U124">
        <v>0</v>
      </c>
      <c r="V124">
        <v>51.759</v>
      </c>
      <c r="W124">
        <f t="shared" si="7"/>
        <v>7.0289999999999999</v>
      </c>
      <c r="X124">
        <v>4</v>
      </c>
    </row>
    <row r="125" spans="1:24" x14ac:dyDescent="0.3">
      <c r="A125">
        <v>124</v>
      </c>
      <c r="B125" t="s">
        <v>1900</v>
      </c>
      <c r="C125" s="6">
        <v>44320</v>
      </c>
      <c r="D125" t="str">
        <f t="shared" si="4"/>
        <v>May</v>
      </c>
      <c r="E125" t="str">
        <f t="shared" si="5"/>
        <v>2021</v>
      </c>
      <c r="F125" t="s">
        <v>5</v>
      </c>
      <c r="G125" t="s">
        <v>63</v>
      </c>
      <c r="H125" t="s">
        <v>666</v>
      </c>
      <c r="I125">
        <v>230</v>
      </c>
      <c r="J125">
        <v>24</v>
      </c>
      <c r="K125">
        <f t="shared" si="6"/>
        <v>10.434782608695652</v>
      </c>
      <c r="L125" t="s">
        <v>1739</v>
      </c>
      <c r="M125" t="s">
        <v>3617</v>
      </c>
      <c r="N125" t="s">
        <v>1</v>
      </c>
      <c r="O125">
        <v>302006</v>
      </c>
      <c r="P125" t="s">
        <v>546</v>
      </c>
      <c r="Q125" t="s">
        <v>1754</v>
      </c>
      <c r="R125" t="s">
        <v>2</v>
      </c>
      <c r="S125">
        <v>68.040000000000006</v>
      </c>
      <c r="T125">
        <v>7</v>
      </c>
      <c r="U125">
        <v>0</v>
      </c>
      <c r="V125">
        <v>19.7316</v>
      </c>
      <c r="W125">
        <f t="shared" si="7"/>
        <v>6.9012000000000011</v>
      </c>
      <c r="X125">
        <v>3</v>
      </c>
    </row>
    <row r="126" spans="1:24" x14ac:dyDescent="0.3">
      <c r="A126">
        <v>125</v>
      </c>
      <c r="B126" t="s">
        <v>1901</v>
      </c>
      <c r="C126" s="6">
        <v>44321</v>
      </c>
      <c r="D126" t="str">
        <f t="shared" si="4"/>
        <v>May</v>
      </c>
      <c r="E126" t="str">
        <f t="shared" si="5"/>
        <v>2021</v>
      </c>
      <c r="F126" t="s">
        <v>3</v>
      </c>
      <c r="G126" t="s">
        <v>64</v>
      </c>
      <c r="H126" t="s">
        <v>667</v>
      </c>
      <c r="I126">
        <v>150</v>
      </c>
      <c r="J126">
        <v>14</v>
      </c>
      <c r="K126">
        <f t="shared" si="6"/>
        <v>9.3333333333333339</v>
      </c>
      <c r="L126" t="s">
        <v>1741</v>
      </c>
      <c r="M126" t="s">
        <v>3702</v>
      </c>
      <c r="N126" t="s">
        <v>1</v>
      </c>
      <c r="O126">
        <v>313002</v>
      </c>
      <c r="P126" t="s">
        <v>546</v>
      </c>
      <c r="Q126" t="s">
        <v>1767</v>
      </c>
      <c r="S126">
        <v>600.55799999999999</v>
      </c>
      <c r="T126">
        <v>3</v>
      </c>
      <c r="U126">
        <v>0.3</v>
      </c>
      <c r="V126">
        <v>-8.5793999999999997</v>
      </c>
      <c r="W126">
        <f t="shared" si="7"/>
        <v>203.04579999999999</v>
      </c>
      <c r="X126">
        <v>4</v>
      </c>
    </row>
    <row r="127" spans="1:24" x14ac:dyDescent="0.3">
      <c r="A127">
        <v>126</v>
      </c>
      <c r="B127" t="s">
        <v>1902</v>
      </c>
      <c r="C127" s="6">
        <v>44322</v>
      </c>
      <c r="D127" t="str">
        <f t="shared" si="4"/>
        <v>May</v>
      </c>
      <c r="E127" t="str">
        <f t="shared" si="5"/>
        <v>2021</v>
      </c>
      <c r="F127" t="s">
        <v>4</v>
      </c>
      <c r="G127" t="s">
        <v>65</v>
      </c>
      <c r="H127" t="s">
        <v>668</v>
      </c>
      <c r="I127">
        <v>240</v>
      </c>
      <c r="J127">
        <v>14</v>
      </c>
      <c r="K127">
        <f t="shared" si="6"/>
        <v>5.833333333333333</v>
      </c>
      <c r="L127" t="s">
        <v>1736</v>
      </c>
      <c r="M127" t="s">
        <v>3703</v>
      </c>
      <c r="N127" t="s">
        <v>1</v>
      </c>
      <c r="O127">
        <v>560004</v>
      </c>
      <c r="P127" t="s">
        <v>546</v>
      </c>
      <c r="Q127" t="s">
        <v>1757</v>
      </c>
      <c r="S127">
        <v>617.70000000000005</v>
      </c>
      <c r="T127">
        <v>6</v>
      </c>
      <c r="U127">
        <v>0.5</v>
      </c>
      <c r="V127">
        <v>-407.68200000000002</v>
      </c>
      <c r="W127">
        <f t="shared" si="7"/>
        <v>170.89700000000002</v>
      </c>
      <c r="X127">
        <v>3</v>
      </c>
    </row>
    <row r="128" spans="1:24" x14ac:dyDescent="0.3">
      <c r="A128">
        <v>127</v>
      </c>
      <c r="B128" t="s">
        <v>1903</v>
      </c>
      <c r="C128" s="6">
        <v>44323</v>
      </c>
      <c r="D128" t="str">
        <f t="shared" si="4"/>
        <v>May</v>
      </c>
      <c r="E128" t="str">
        <f t="shared" si="5"/>
        <v>2021</v>
      </c>
      <c r="F128" t="s">
        <v>4</v>
      </c>
      <c r="G128" t="s">
        <v>66</v>
      </c>
      <c r="H128" t="s">
        <v>669</v>
      </c>
      <c r="I128">
        <v>110</v>
      </c>
      <c r="J128">
        <v>16</v>
      </c>
      <c r="K128">
        <f t="shared" si="6"/>
        <v>14.545454545454545</v>
      </c>
      <c r="L128" t="s">
        <v>1744</v>
      </c>
      <c r="M128" t="s">
        <v>3704</v>
      </c>
      <c r="N128" t="s">
        <v>1</v>
      </c>
      <c r="O128">
        <v>144102</v>
      </c>
      <c r="P128" t="s">
        <v>546</v>
      </c>
      <c r="Q128" t="s">
        <v>1769</v>
      </c>
      <c r="S128">
        <v>2.3879999999999999</v>
      </c>
      <c r="T128">
        <v>2</v>
      </c>
      <c r="U128">
        <v>0.7</v>
      </c>
      <c r="V128">
        <v>-1.8308</v>
      </c>
      <c r="W128">
        <f t="shared" si="7"/>
        <v>2.1093999999999999</v>
      </c>
      <c r="X128">
        <v>2</v>
      </c>
    </row>
    <row r="129" spans="1:24" x14ac:dyDescent="0.3">
      <c r="A129">
        <v>128</v>
      </c>
      <c r="B129" t="s">
        <v>1904</v>
      </c>
      <c r="C129" s="6">
        <v>44324</v>
      </c>
      <c r="D129" t="str">
        <f t="shared" si="4"/>
        <v>May</v>
      </c>
      <c r="E129" t="str">
        <f t="shared" si="5"/>
        <v>2021</v>
      </c>
      <c r="F129" t="s">
        <v>4</v>
      </c>
      <c r="G129" t="s">
        <v>66</v>
      </c>
      <c r="H129" t="s">
        <v>670</v>
      </c>
      <c r="I129">
        <v>230</v>
      </c>
      <c r="J129">
        <v>14</v>
      </c>
      <c r="K129">
        <f t="shared" si="6"/>
        <v>6.0869565217391308</v>
      </c>
      <c r="L129" t="s">
        <v>1740</v>
      </c>
      <c r="M129" t="s">
        <v>3705</v>
      </c>
      <c r="O129">
        <v>507303</v>
      </c>
      <c r="P129" t="s">
        <v>546</v>
      </c>
      <c r="Q129" t="s">
        <v>1756</v>
      </c>
      <c r="S129">
        <v>243.99199999999999</v>
      </c>
      <c r="T129">
        <v>7</v>
      </c>
      <c r="U129">
        <v>0.2</v>
      </c>
      <c r="V129">
        <v>30.498999999999999</v>
      </c>
      <c r="W129">
        <f t="shared" si="7"/>
        <v>30.498999999999999</v>
      </c>
      <c r="X129">
        <v>3</v>
      </c>
    </row>
    <row r="130" spans="1:24" x14ac:dyDescent="0.3">
      <c r="A130">
        <v>129</v>
      </c>
      <c r="B130" t="s">
        <v>1905</v>
      </c>
      <c r="C130" s="6">
        <v>44325</v>
      </c>
      <c r="D130" t="str">
        <f t="shared" si="4"/>
        <v>May</v>
      </c>
      <c r="E130" t="str">
        <f t="shared" si="5"/>
        <v>2021</v>
      </c>
      <c r="F130" t="s">
        <v>3</v>
      </c>
      <c r="G130" t="s">
        <v>67</v>
      </c>
      <c r="H130" t="s">
        <v>611</v>
      </c>
      <c r="I130">
        <v>210</v>
      </c>
      <c r="J130">
        <v>18</v>
      </c>
      <c r="K130">
        <f t="shared" si="6"/>
        <v>8.5714285714285712</v>
      </c>
      <c r="L130" t="s">
        <v>1742</v>
      </c>
      <c r="M130" t="s">
        <v>3706</v>
      </c>
      <c r="N130" t="s">
        <v>1</v>
      </c>
      <c r="O130">
        <v>751021</v>
      </c>
      <c r="P130" t="s">
        <v>546</v>
      </c>
      <c r="Q130" t="s">
        <v>1765</v>
      </c>
      <c r="S130">
        <v>81.424000000000007</v>
      </c>
      <c r="T130">
        <v>2</v>
      </c>
      <c r="U130">
        <v>0.2</v>
      </c>
      <c r="V130">
        <v>-9.1601999999999997</v>
      </c>
      <c r="W130">
        <f t="shared" si="7"/>
        <v>45.292100000000005</v>
      </c>
      <c r="X130">
        <v>4</v>
      </c>
    </row>
    <row r="131" spans="1:24" x14ac:dyDescent="0.3">
      <c r="A131">
        <v>130</v>
      </c>
      <c r="B131" t="s">
        <v>1906</v>
      </c>
      <c r="C131" s="6">
        <v>44326</v>
      </c>
      <c r="D131" t="str">
        <f t="shared" ref="D131:D194" si="8">TEXT(C131,"Mmm")</f>
        <v>May</v>
      </c>
      <c r="E131" t="str">
        <f t="shared" ref="E131:E194" si="9">TEXT(C131,"YYYY")</f>
        <v>2021</v>
      </c>
      <c r="F131" t="s">
        <v>3</v>
      </c>
      <c r="G131" t="s">
        <v>67</v>
      </c>
      <c r="H131" t="s">
        <v>671</v>
      </c>
      <c r="I131">
        <v>110</v>
      </c>
      <c r="J131">
        <v>26</v>
      </c>
      <c r="K131">
        <f t="shared" ref="K131:K194" si="10">(J131/I131)*100</f>
        <v>23.636363636363637</v>
      </c>
      <c r="L131" t="s">
        <v>1739</v>
      </c>
      <c r="M131" t="s">
        <v>3707</v>
      </c>
      <c r="N131" t="s">
        <v>1</v>
      </c>
      <c r="O131">
        <v>571127</v>
      </c>
      <c r="P131" t="s">
        <v>546</v>
      </c>
      <c r="Q131" t="s">
        <v>1774</v>
      </c>
      <c r="S131">
        <v>238.56</v>
      </c>
      <c r="T131">
        <v>3</v>
      </c>
      <c r="U131">
        <v>0</v>
      </c>
      <c r="V131">
        <v>26.241599999999998</v>
      </c>
      <c r="W131">
        <f t="shared" ref="W131:W194" si="11">(S131-V131)/T131</f>
        <v>70.772800000000004</v>
      </c>
      <c r="X131">
        <v>2</v>
      </c>
    </row>
    <row r="132" spans="1:24" x14ac:dyDescent="0.3">
      <c r="A132">
        <v>131</v>
      </c>
      <c r="B132" t="s">
        <v>1907</v>
      </c>
      <c r="C132" s="6">
        <v>44327</v>
      </c>
      <c r="D132" t="str">
        <f t="shared" si="8"/>
        <v>May</v>
      </c>
      <c r="E132" t="str">
        <f t="shared" si="9"/>
        <v>2021</v>
      </c>
      <c r="F132" t="s">
        <v>5</v>
      </c>
      <c r="G132" t="s">
        <v>68</v>
      </c>
      <c r="H132" t="s">
        <v>672</v>
      </c>
      <c r="I132">
        <v>220</v>
      </c>
      <c r="J132">
        <v>24</v>
      </c>
      <c r="K132">
        <f t="shared" si="10"/>
        <v>10.909090909090908</v>
      </c>
      <c r="L132" t="s">
        <v>1738</v>
      </c>
      <c r="M132" t="s">
        <v>3708</v>
      </c>
      <c r="N132" t="s">
        <v>1</v>
      </c>
      <c r="O132">
        <v>635103</v>
      </c>
      <c r="P132" t="s">
        <v>546</v>
      </c>
      <c r="Q132" t="s">
        <v>1760</v>
      </c>
      <c r="R132" t="s">
        <v>2</v>
      </c>
      <c r="S132">
        <v>59.97</v>
      </c>
      <c r="T132">
        <v>5</v>
      </c>
      <c r="U132">
        <v>0.4</v>
      </c>
      <c r="V132">
        <v>-11.994</v>
      </c>
      <c r="W132">
        <f t="shared" si="11"/>
        <v>14.392799999999999</v>
      </c>
      <c r="X132">
        <v>4</v>
      </c>
    </row>
    <row r="133" spans="1:24" x14ac:dyDescent="0.3">
      <c r="A133">
        <v>132</v>
      </c>
      <c r="B133" t="s">
        <v>1908</v>
      </c>
      <c r="C133" s="6">
        <v>44328</v>
      </c>
      <c r="D133" t="str">
        <f t="shared" si="8"/>
        <v>May</v>
      </c>
      <c r="E133" t="str">
        <f t="shared" si="9"/>
        <v>2021</v>
      </c>
      <c r="F133" t="s">
        <v>5</v>
      </c>
      <c r="G133" t="s">
        <v>68</v>
      </c>
      <c r="H133" t="s">
        <v>673</v>
      </c>
      <c r="I133">
        <v>220</v>
      </c>
      <c r="J133">
        <v>28</v>
      </c>
      <c r="K133">
        <f t="shared" si="10"/>
        <v>12.727272727272727</v>
      </c>
      <c r="L133" t="s">
        <v>1743</v>
      </c>
      <c r="M133" t="s">
        <v>3709</v>
      </c>
      <c r="N133" t="s">
        <v>1</v>
      </c>
      <c r="O133">
        <v>572102</v>
      </c>
      <c r="P133" t="s">
        <v>546</v>
      </c>
      <c r="Q133" t="s">
        <v>1759</v>
      </c>
      <c r="S133">
        <v>78.304000000000002</v>
      </c>
      <c r="T133">
        <v>2</v>
      </c>
      <c r="U133">
        <v>0.2</v>
      </c>
      <c r="V133">
        <v>29.364000000000001</v>
      </c>
      <c r="W133">
        <f t="shared" si="11"/>
        <v>24.47</v>
      </c>
      <c r="X133">
        <v>5</v>
      </c>
    </row>
    <row r="134" spans="1:24" x14ac:dyDescent="0.3">
      <c r="A134">
        <v>133</v>
      </c>
      <c r="B134" t="s">
        <v>1909</v>
      </c>
      <c r="C134" s="6">
        <v>44329</v>
      </c>
      <c r="D134" t="str">
        <f t="shared" si="8"/>
        <v>May</v>
      </c>
      <c r="E134" t="str">
        <f t="shared" si="9"/>
        <v>2021</v>
      </c>
      <c r="F134" t="s">
        <v>5</v>
      </c>
      <c r="G134" t="s">
        <v>68</v>
      </c>
      <c r="H134" t="s">
        <v>674</v>
      </c>
      <c r="I134">
        <v>220</v>
      </c>
      <c r="J134">
        <v>26</v>
      </c>
      <c r="K134">
        <f t="shared" si="10"/>
        <v>11.818181818181818</v>
      </c>
      <c r="L134" t="s">
        <v>1737</v>
      </c>
      <c r="M134" t="s">
        <v>3710</v>
      </c>
      <c r="N134" t="s">
        <v>1</v>
      </c>
      <c r="O134">
        <v>700017</v>
      </c>
      <c r="P134" t="s">
        <v>546</v>
      </c>
      <c r="Q134" t="s">
        <v>1765</v>
      </c>
      <c r="S134">
        <v>21.456</v>
      </c>
      <c r="T134">
        <v>9</v>
      </c>
      <c r="U134">
        <v>0.2</v>
      </c>
      <c r="V134">
        <v>6.9732000000000003</v>
      </c>
      <c r="W134">
        <f t="shared" si="11"/>
        <v>1.6092</v>
      </c>
      <c r="X134">
        <v>1</v>
      </c>
    </row>
    <row r="135" spans="1:24" x14ac:dyDescent="0.3">
      <c r="A135">
        <v>134</v>
      </c>
      <c r="B135" t="s">
        <v>1910</v>
      </c>
      <c r="C135" s="6">
        <v>44330</v>
      </c>
      <c r="D135" t="str">
        <f t="shared" si="8"/>
        <v>May</v>
      </c>
      <c r="E135" t="str">
        <f t="shared" si="9"/>
        <v>2021</v>
      </c>
      <c r="F135" t="s">
        <v>4</v>
      </c>
      <c r="G135" t="s">
        <v>69</v>
      </c>
      <c r="H135" t="s">
        <v>675</v>
      </c>
      <c r="I135">
        <v>230</v>
      </c>
      <c r="J135">
        <v>24</v>
      </c>
      <c r="K135">
        <f t="shared" si="10"/>
        <v>10.434782608695652</v>
      </c>
      <c r="L135" t="s">
        <v>1741</v>
      </c>
      <c r="M135" t="s">
        <v>3711</v>
      </c>
      <c r="N135" t="s">
        <v>1</v>
      </c>
      <c r="O135">
        <v>380015</v>
      </c>
      <c r="P135" t="s">
        <v>546</v>
      </c>
      <c r="Q135" t="s">
        <v>1756</v>
      </c>
      <c r="S135">
        <v>20.04</v>
      </c>
      <c r="T135">
        <v>3</v>
      </c>
      <c r="U135">
        <v>0</v>
      </c>
      <c r="V135">
        <v>9.6191999999999993</v>
      </c>
      <c r="W135">
        <f t="shared" si="11"/>
        <v>3.4735999999999998</v>
      </c>
      <c r="X135">
        <v>1</v>
      </c>
    </row>
    <row r="136" spans="1:24" x14ac:dyDescent="0.3">
      <c r="A136">
        <v>135</v>
      </c>
      <c r="B136" t="s">
        <v>1911</v>
      </c>
      <c r="C136" s="6">
        <v>44331</v>
      </c>
      <c r="D136" t="str">
        <f t="shared" si="8"/>
        <v>May</v>
      </c>
      <c r="E136" t="str">
        <f t="shared" si="9"/>
        <v>2021</v>
      </c>
      <c r="F136" t="s">
        <v>4</v>
      </c>
      <c r="G136" t="s">
        <v>69</v>
      </c>
      <c r="H136" t="s">
        <v>676</v>
      </c>
      <c r="I136">
        <v>130</v>
      </c>
      <c r="J136">
        <v>24</v>
      </c>
      <c r="K136">
        <f t="shared" si="10"/>
        <v>18.461538461538463</v>
      </c>
      <c r="L136" t="s">
        <v>1736</v>
      </c>
      <c r="M136" t="s">
        <v>3712</v>
      </c>
      <c r="N136" t="s">
        <v>1</v>
      </c>
      <c r="O136">
        <v>122002</v>
      </c>
      <c r="P136" t="s">
        <v>546</v>
      </c>
      <c r="Q136" t="s">
        <v>1761</v>
      </c>
      <c r="S136">
        <v>35.44</v>
      </c>
      <c r="T136">
        <v>1</v>
      </c>
      <c r="U136">
        <v>0</v>
      </c>
      <c r="V136">
        <v>16.6568</v>
      </c>
      <c r="W136">
        <f t="shared" si="11"/>
        <v>18.783199999999997</v>
      </c>
      <c r="X136">
        <v>4</v>
      </c>
    </row>
    <row r="137" spans="1:24" x14ac:dyDescent="0.3">
      <c r="A137">
        <v>136</v>
      </c>
      <c r="B137" t="s">
        <v>1912</v>
      </c>
      <c r="C137" s="6">
        <v>44332</v>
      </c>
      <c r="D137" t="str">
        <f t="shared" si="8"/>
        <v>May</v>
      </c>
      <c r="E137" t="str">
        <f t="shared" si="9"/>
        <v>2021</v>
      </c>
      <c r="F137" t="s">
        <v>4</v>
      </c>
      <c r="G137" t="s">
        <v>69</v>
      </c>
      <c r="H137" t="s">
        <v>677</v>
      </c>
      <c r="I137">
        <v>170</v>
      </c>
      <c r="J137">
        <v>24</v>
      </c>
      <c r="K137">
        <f t="shared" si="10"/>
        <v>14.117647058823529</v>
      </c>
      <c r="L137" t="s">
        <v>1744</v>
      </c>
      <c r="M137" t="s">
        <v>3713</v>
      </c>
      <c r="N137" t="s">
        <v>1</v>
      </c>
      <c r="O137">
        <v>751012</v>
      </c>
      <c r="P137" t="s">
        <v>546</v>
      </c>
      <c r="Q137" t="s">
        <v>1761</v>
      </c>
      <c r="S137">
        <v>11.52</v>
      </c>
      <c r="T137">
        <v>4</v>
      </c>
      <c r="U137">
        <v>0</v>
      </c>
      <c r="V137">
        <v>3.456</v>
      </c>
      <c r="W137">
        <f t="shared" si="11"/>
        <v>2.016</v>
      </c>
      <c r="X137">
        <v>5</v>
      </c>
    </row>
    <row r="138" spans="1:24" x14ac:dyDescent="0.3">
      <c r="A138">
        <v>137</v>
      </c>
      <c r="B138" t="s">
        <v>1913</v>
      </c>
      <c r="C138" s="6">
        <v>44333</v>
      </c>
      <c r="D138" t="str">
        <f t="shared" si="8"/>
        <v>May</v>
      </c>
      <c r="E138" t="str">
        <f t="shared" si="9"/>
        <v>2021</v>
      </c>
      <c r="F138" t="s">
        <v>4</v>
      </c>
      <c r="G138" t="s">
        <v>69</v>
      </c>
      <c r="H138" t="s">
        <v>678</v>
      </c>
      <c r="I138">
        <v>220</v>
      </c>
      <c r="J138">
        <v>28</v>
      </c>
      <c r="K138">
        <f t="shared" si="10"/>
        <v>12.727272727272727</v>
      </c>
      <c r="L138" t="s">
        <v>1740</v>
      </c>
      <c r="M138" t="s">
        <v>3714</v>
      </c>
      <c r="N138" t="s">
        <v>1</v>
      </c>
      <c r="O138">
        <v>110075</v>
      </c>
      <c r="P138" t="s">
        <v>546</v>
      </c>
      <c r="Q138" t="s">
        <v>1761</v>
      </c>
      <c r="S138">
        <v>4.0199999999999996</v>
      </c>
      <c r="T138">
        <v>2</v>
      </c>
      <c r="U138">
        <v>0</v>
      </c>
      <c r="V138">
        <v>1.9698</v>
      </c>
      <c r="W138">
        <f t="shared" si="11"/>
        <v>1.0250999999999997</v>
      </c>
      <c r="X138">
        <v>2</v>
      </c>
    </row>
    <row r="139" spans="1:24" x14ac:dyDescent="0.3">
      <c r="A139">
        <v>138</v>
      </c>
      <c r="B139" t="s">
        <v>1914</v>
      </c>
      <c r="C139" s="6">
        <v>44334</v>
      </c>
      <c r="D139" t="str">
        <f t="shared" si="8"/>
        <v>May</v>
      </c>
      <c r="E139" t="str">
        <f t="shared" si="9"/>
        <v>2021</v>
      </c>
      <c r="F139" t="s">
        <v>4</v>
      </c>
      <c r="G139" t="s">
        <v>69</v>
      </c>
      <c r="H139" t="s">
        <v>679</v>
      </c>
      <c r="I139">
        <v>170</v>
      </c>
      <c r="J139">
        <v>30</v>
      </c>
      <c r="K139">
        <f t="shared" si="10"/>
        <v>17.647058823529413</v>
      </c>
      <c r="L139" t="s">
        <v>1742</v>
      </c>
      <c r="M139" t="s">
        <v>3715</v>
      </c>
      <c r="N139" t="s">
        <v>1</v>
      </c>
      <c r="O139">
        <v>201301</v>
      </c>
      <c r="P139" t="s">
        <v>546</v>
      </c>
      <c r="Q139" t="s">
        <v>1766</v>
      </c>
      <c r="S139">
        <v>76.176000000000002</v>
      </c>
      <c r="T139">
        <v>3</v>
      </c>
      <c r="U139">
        <v>0.2</v>
      </c>
      <c r="V139">
        <v>26.6616</v>
      </c>
      <c r="W139">
        <f t="shared" si="11"/>
        <v>16.504799999999999</v>
      </c>
      <c r="X139">
        <v>5</v>
      </c>
    </row>
    <row r="140" spans="1:24" x14ac:dyDescent="0.3">
      <c r="A140">
        <v>139</v>
      </c>
      <c r="B140" t="s">
        <v>1915</v>
      </c>
      <c r="C140" s="6">
        <v>44335</v>
      </c>
      <c r="D140" t="str">
        <f t="shared" si="8"/>
        <v>May</v>
      </c>
      <c r="E140" t="str">
        <f t="shared" si="9"/>
        <v>2021</v>
      </c>
      <c r="F140" t="s">
        <v>4</v>
      </c>
      <c r="G140" t="s">
        <v>69</v>
      </c>
      <c r="H140" t="s">
        <v>680</v>
      </c>
      <c r="I140">
        <v>230</v>
      </c>
      <c r="J140">
        <v>22</v>
      </c>
      <c r="K140">
        <f t="shared" si="10"/>
        <v>9.5652173913043477</v>
      </c>
      <c r="L140" t="s">
        <v>1739</v>
      </c>
      <c r="M140" t="s">
        <v>3600</v>
      </c>
      <c r="O140">
        <v>500083</v>
      </c>
      <c r="P140" t="s">
        <v>546</v>
      </c>
      <c r="Q140" t="s">
        <v>1760</v>
      </c>
      <c r="S140">
        <v>65.88</v>
      </c>
      <c r="T140">
        <v>6</v>
      </c>
      <c r="U140">
        <v>0</v>
      </c>
      <c r="V140">
        <v>18.446400000000001</v>
      </c>
      <c r="W140">
        <f t="shared" si="11"/>
        <v>7.9055999999999997</v>
      </c>
      <c r="X140">
        <v>5</v>
      </c>
    </row>
    <row r="141" spans="1:24" x14ac:dyDescent="0.3">
      <c r="A141">
        <v>140</v>
      </c>
      <c r="B141" t="s">
        <v>1916</v>
      </c>
      <c r="C141" s="6">
        <v>44336</v>
      </c>
      <c r="D141" t="str">
        <f t="shared" si="8"/>
        <v>May</v>
      </c>
      <c r="E141" t="str">
        <f t="shared" si="9"/>
        <v>2021</v>
      </c>
      <c r="F141" t="s">
        <v>4</v>
      </c>
      <c r="G141" t="s">
        <v>69</v>
      </c>
      <c r="H141" t="s">
        <v>597</v>
      </c>
      <c r="I141">
        <v>200</v>
      </c>
      <c r="J141">
        <v>20</v>
      </c>
      <c r="K141">
        <f t="shared" si="10"/>
        <v>10</v>
      </c>
      <c r="L141" t="s">
        <v>1738</v>
      </c>
      <c r="M141" t="s">
        <v>3716</v>
      </c>
      <c r="N141" t="s">
        <v>1</v>
      </c>
      <c r="O141">
        <v>122101</v>
      </c>
      <c r="P141" t="s">
        <v>546</v>
      </c>
      <c r="Q141" t="s">
        <v>1760</v>
      </c>
      <c r="S141">
        <v>43.12</v>
      </c>
      <c r="T141">
        <v>14</v>
      </c>
      <c r="U141">
        <v>0</v>
      </c>
      <c r="V141">
        <v>20.697600000000001</v>
      </c>
      <c r="W141">
        <f t="shared" si="11"/>
        <v>1.6015999999999997</v>
      </c>
      <c r="X141">
        <v>5</v>
      </c>
    </row>
    <row r="142" spans="1:24" x14ac:dyDescent="0.3">
      <c r="A142">
        <v>141</v>
      </c>
      <c r="B142" t="s">
        <v>1917</v>
      </c>
      <c r="C142" s="6">
        <v>44337</v>
      </c>
      <c r="D142" t="str">
        <f t="shared" si="8"/>
        <v>May</v>
      </c>
      <c r="E142" t="str">
        <f t="shared" si="9"/>
        <v>2021</v>
      </c>
      <c r="F142" t="s">
        <v>3</v>
      </c>
      <c r="G142" t="s">
        <v>70</v>
      </c>
      <c r="H142" t="s">
        <v>575</v>
      </c>
      <c r="I142">
        <v>220</v>
      </c>
      <c r="J142">
        <v>6</v>
      </c>
      <c r="K142">
        <f t="shared" si="10"/>
        <v>2.7272727272727271</v>
      </c>
      <c r="L142" t="s">
        <v>1741</v>
      </c>
      <c r="M142" t="s">
        <v>3717</v>
      </c>
      <c r="N142" t="s">
        <v>1</v>
      </c>
      <c r="O142">
        <v>411042</v>
      </c>
      <c r="P142" t="s">
        <v>546</v>
      </c>
      <c r="Q142" t="s">
        <v>1768</v>
      </c>
      <c r="S142">
        <v>82.8</v>
      </c>
      <c r="T142">
        <v>2</v>
      </c>
      <c r="U142">
        <v>0.2</v>
      </c>
      <c r="V142">
        <v>10.35</v>
      </c>
      <c r="W142">
        <f t="shared" si="11"/>
        <v>36.225000000000001</v>
      </c>
      <c r="X142">
        <v>1</v>
      </c>
    </row>
    <row r="143" spans="1:24" x14ac:dyDescent="0.3">
      <c r="A143">
        <v>142</v>
      </c>
      <c r="B143" t="s">
        <v>1918</v>
      </c>
      <c r="C143" s="6">
        <v>44338</v>
      </c>
      <c r="D143" t="str">
        <f t="shared" si="8"/>
        <v>May</v>
      </c>
      <c r="E143" t="str">
        <f t="shared" si="9"/>
        <v>2021</v>
      </c>
      <c r="F143" t="s">
        <v>4</v>
      </c>
      <c r="G143" t="s">
        <v>71</v>
      </c>
      <c r="H143" t="s">
        <v>681</v>
      </c>
      <c r="I143">
        <v>250</v>
      </c>
      <c r="J143">
        <v>24</v>
      </c>
      <c r="K143">
        <f t="shared" si="10"/>
        <v>9.6</v>
      </c>
      <c r="L143" t="s">
        <v>1737</v>
      </c>
      <c r="M143" t="s">
        <v>3718</v>
      </c>
      <c r="N143" t="s">
        <v>1</v>
      </c>
      <c r="O143">
        <v>683102</v>
      </c>
      <c r="P143" t="s">
        <v>546</v>
      </c>
      <c r="Q143" t="s">
        <v>1767</v>
      </c>
      <c r="S143">
        <v>8.82</v>
      </c>
      <c r="T143">
        <v>3</v>
      </c>
      <c r="U143">
        <v>0</v>
      </c>
      <c r="V143">
        <v>2.3814000000000002</v>
      </c>
      <c r="W143">
        <f t="shared" si="11"/>
        <v>2.1461999999999999</v>
      </c>
      <c r="X143">
        <v>1</v>
      </c>
    </row>
    <row r="144" spans="1:24" x14ac:dyDescent="0.3">
      <c r="A144">
        <v>143</v>
      </c>
      <c r="B144" t="s">
        <v>1919</v>
      </c>
      <c r="C144" s="6">
        <v>44339</v>
      </c>
      <c r="D144" t="str">
        <f t="shared" si="8"/>
        <v>May</v>
      </c>
      <c r="E144" t="str">
        <f t="shared" si="9"/>
        <v>2021</v>
      </c>
      <c r="F144" t="s">
        <v>4</v>
      </c>
      <c r="G144" t="s">
        <v>71</v>
      </c>
      <c r="H144" t="s">
        <v>682</v>
      </c>
      <c r="I144">
        <v>170</v>
      </c>
      <c r="J144">
        <v>10</v>
      </c>
      <c r="K144">
        <f t="shared" si="10"/>
        <v>5.8823529411764701</v>
      </c>
      <c r="L144" t="s">
        <v>1743</v>
      </c>
      <c r="M144" t="s">
        <v>3719</v>
      </c>
      <c r="N144" t="s">
        <v>1</v>
      </c>
      <c r="O144">
        <v>141003</v>
      </c>
      <c r="P144" t="s">
        <v>546</v>
      </c>
      <c r="Q144" t="s">
        <v>1760</v>
      </c>
      <c r="S144">
        <v>10.86</v>
      </c>
      <c r="T144">
        <v>3</v>
      </c>
      <c r="U144">
        <v>0</v>
      </c>
      <c r="V144">
        <v>5.1041999999999996</v>
      </c>
      <c r="W144">
        <f t="shared" si="11"/>
        <v>1.9185999999999999</v>
      </c>
      <c r="X144">
        <v>1</v>
      </c>
    </row>
    <row r="145" spans="1:24" x14ac:dyDescent="0.3">
      <c r="A145">
        <v>144</v>
      </c>
      <c r="B145" t="s">
        <v>1920</v>
      </c>
      <c r="C145" s="6">
        <v>44340</v>
      </c>
      <c r="D145" t="str">
        <f t="shared" si="8"/>
        <v>May</v>
      </c>
      <c r="E145" t="str">
        <f t="shared" si="9"/>
        <v>2021</v>
      </c>
      <c r="F145" t="s">
        <v>4</v>
      </c>
      <c r="G145" t="s">
        <v>71</v>
      </c>
      <c r="H145" t="s">
        <v>683</v>
      </c>
      <c r="I145">
        <v>180</v>
      </c>
      <c r="J145">
        <v>10</v>
      </c>
      <c r="K145">
        <f t="shared" si="10"/>
        <v>5.5555555555555554</v>
      </c>
      <c r="L145" t="s">
        <v>1738</v>
      </c>
      <c r="M145" t="s">
        <v>3720</v>
      </c>
      <c r="O145">
        <v>670612</v>
      </c>
      <c r="P145" t="s">
        <v>546</v>
      </c>
      <c r="Q145" t="s">
        <v>1772</v>
      </c>
      <c r="S145">
        <v>143.69999999999999</v>
      </c>
      <c r="T145">
        <v>3</v>
      </c>
      <c r="U145">
        <v>0</v>
      </c>
      <c r="V145">
        <v>68.975999999999999</v>
      </c>
      <c r="W145">
        <f t="shared" si="11"/>
        <v>24.907999999999998</v>
      </c>
      <c r="X145">
        <v>3</v>
      </c>
    </row>
    <row r="146" spans="1:24" x14ac:dyDescent="0.3">
      <c r="A146">
        <v>145</v>
      </c>
      <c r="B146" t="s">
        <v>1921</v>
      </c>
      <c r="C146" s="6">
        <v>44341</v>
      </c>
      <c r="D146" t="str">
        <f t="shared" si="8"/>
        <v>May</v>
      </c>
      <c r="E146" t="str">
        <f t="shared" si="9"/>
        <v>2021</v>
      </c>
      <c r="F146" t="s">
        <v>4</v>
      </c>
      <c r="G146" t="s">
        <v>72</v>
      </c>
      <c r="H146" t="s">
        <v>684</v>
      </c>
      <c r="I146">
        <v>170</v>
      </c>
      <c r="J146">
        <v>24</v>
      </c>
      <c r="K146">
        <f t="shared" si="10"/>
        <v>14.117647058823529</v>
      </c>
      <c r="L146" t="s">
        <v>1739</v>
      </c>
      <c r="M146" t="s">
        <v>3721</v>
      </c>
      <c r="N146" t="s">
        <v>1</v>
      </c>
      <c r="O146">
        <v>411060</v>
      </c>
      <c r="P146" t="s">
        <v>546</v>
      </c>
      <c r="Q146" t="s">
        <v>1767</v>
      </c>
      <c r="R146" t="s">
        <v>2</v>
      </c>
      <c r="S146">
        <v>839.43</v>
      </c>
      <c r="T146">
        <v>3</v>
      </c>
      <c r="U146">
        <v>0</v>
      </c>
      <c r="V146">
        <v>218.2518</v>
      </c>
      <c r="W146">
        <f t="shared" si="11"/>
        <v>207.05939999999998</v>
      </c>
      <c r="X146">
        <v>5</v>
      </c>
    </row>
    <row r="147" spans="1:24" x14ac:dyDescent="0.3">
      <c r="A147">
        <v>146</v>
      </c>
      <c r="B147" t="s">
        <v>1922</v>
      </c>
      <c r="C147" s="6">
        <v>44342</v>
      </c>
      <c r="D147" t="str">
        <f t="shared" si="8"/>
        <v>May</v>
      </c>
      <c r="E147" t="str">
        <f t="shared" si="9"/>
        <v>2021</v>
      </c>
      <c r="F147" t="s">
        <v>4</v>
      </c>
      <c r="G147" t="s">
        <v>73</v>
      </c>
      <c r="H147" t="s">
        <v>629</v>
      </c>
      <c r="I147">
        <v>240</v>
      </c>
      <c r="J147">
        <v>6</v>
      </c>
      <c r="K147">
        <f t="shared" si="10"/>
        <v>2.5</v>
      </c>
      <c r="L147" t="s">
        <v>1736</v>
      </c>
      <c r="M147" t="s">
        <v>3722</v>
      </c>
      <c r="N147" t="s">
        <v>1</v>
      </c>
      <c r="O147">
        <v>209863</v>
      </c>
      <c r="P147" t="s">
        <v>546</v>
      </c>
      <c r="Q147" t="s">
        <v>1756</v>
      </c>
      <c r="S147">
        <v>671.93</v>
      </c>
      <c r="T147">
        <v>7</v>
      </c>
      <c r="U147">
        <v>0</v>
      </c>
      <c r="V147">
        <v>20.157900000000001</v>
      </c>
      <c r="W147">
        <f t="shared" si="11"/>
        <v>93.110299999999981</v>
      </c>
      <c r="X147">
        <v>1</v>
      </c>
    </row>
    <row r="148" spans="1:24" x14ac:dyDescent="0.3">
      <c r="A148">
        <v>147</v>
      </c>
      <c r="B148" t="s">
        <v>1923</v>
      </c>
      <c r="C148" s="6">
        <v>44343</v>
      </c>
      <c r="D148" t="str">
        <f t="shared" si="8"/>
        <v>May</v>
      </c>
      <c r="E148" t="str">
        <f t="shared" si="9"/>
        <v>2021</v>
      </c>
      <c r="F148" t="s">
        <v>4</v>
      </c>
      <c r="G148" t="s">
        <v>74</v>
      </c>
      <c r="H148" t="s">
        <v>685</v>
      </c>
      <c r="I148">
        <v>170</v>
      </c>
      <c r="J148">
        <v>14</v>
      </c>
      <c r="K148">
        <f t="shared" si="10"/>
        <v>8.235294117647058</v>
      </c>
      <c r="L148" t="s">
        <v>1744</v>
      </c>
      <c r="M148" t="s">
        <v>3723</v>
      </c>
      <c r="N148" t="s">
        <v>1</v>
      </c>
      <c r="O148">
        <v>600113</v>
      </c>
      <c r="P148" t="s">
        <v>546</v>
      </c>
      <c r="Q148" t="s">
        <v>1768</v>
      </c>
      <c r="S148">
        <v>93.888000000000005</v>
      </c>
      <c r="T148">
        <v>4</v>
      </c>
      <c r="U148">
        <v>0.2</v>
      </c>
      <c r="V148">
        <v>12.909599999999999</v>
      </c>
      <c r="W148">
        <f t="shared" si="11"/>
        <v>20.244600000000002</v>
      </c>
      <c r="X148">
        <v>3</v>
      </c>
    </row>
    <row r="149" spans="1:24" x14ac:dyDescent="0.3">
      <c r="A149">
        <v>148</v>
      </c>
      <c r="B149" t="s">
        <v>1924</v>
      </c>
      <c r="C149" s="6">
        <v>44344</v>
      </c>
      <c r="D149" t="str">
        <f t="shared" si="8"/>
        <v>May</v>
      </c>
      <c r="E149" t="str">
        <f t="shared" si="9"/>
        <v>2021</v>
      </c>
      <c r="F149" t="s">
        <v>4</v>
      </c>
      <c r="G149" t="s">
        <v>75</v>
      </c>
      <c r="H149" t="s">
        <v>686</v>
      </c>
      <c r="I149">
        <v>240</v>
      </c>
      <c r="J149">
        <v>18</v>
      </c>
      <c r="K149">
        <f t="shared" si="10"/>
        <v>7.5</v>
      </c>
      <c r="L149" t="s">
        <v>1740</v>
      </c>
      <c r="M149" t="s">
        <v>3724</v>
      </c>
      <c r="N149" t="s">
        <v>1</v>
      </c>
      <c r="O149">
        <v>600113</v>
      </c>
      <c r="P149" t="s">
        <v>546</v>
      </c>
      <c r="Q149" t="s">
        <v>1771</v>
      </c>
      <c r="S149">
        <v>384.45</v>
      </c>
      <c r="T149">
        <v>11</v>
      </c>
      <c r="U149">
        <v>0</v>
      </c>
      <c r="V149">
        <v>103.8015</v>
      </c>
      <c r="W149">
        <f t="shared" si="11"/>
        <v>25.513500000000001</v>
      </c>
      <c r="X149">
        <v>2</v>
      </c>
    </row>
    <row r="150" spans="1:24" x14ac:dyDescent="0.3">
      <c r="A150">
        <v>149</v>
      </c>
      <c r="B150" t="s">
        <v>1925</v>
      </c>
      <c r="C150" s="6">
        <v>44345</v>
      </c>
      <c r="D150" t="str">
        <f t="shared" si="8"/>
        <v>May</v>
      </c>
      <c r="E150" t="str">
        <f t="shared" si="9"/>
        <v>2021</v>
      </c>
      <c r="F150" t="s">
        <v>4</v>
      </c>
      <c r="G150" t="s">
        <v>75</v>
      </c>
      <c r="H150" t="s">
        <v>687</v>
      </c>
      <c r="I150">
        <v>130</v>
      </c>
      <c r="J150">
        <v>10</v>
      </c>
      <c r="K150">
        <f t="shared" si="10"/>
        <v>7.6923076923076925</v>
      </c>
      <c r="L150" t="s">
        <v>1742</v>
      </c>
      <c r="M150" t="s">
        <v>3725</v>
      </c>
      <c r="N150" t="s">
        <v>1</v>
      </c>
      <c r="O150">
        <v>500068</v>
      </c>
      <c r="P150" t="s">
        <v>546</v>
      </c>
      <c r="Q150" t="s">
        <v>1755</v>
      </c>
      <c r="R150" t="s">
        <v>2</v>
      </c>
      <c r="S150">
        <v>149.97</v>
      </c>
      <c r="T150">
        <v>3</v>
      </c>
      <c r="U150">
        <v>0</v>
      </c>
      <c r="V150">
        <v>5.9988000000000001</v>
      </c>
      <c r="W150">
        <f t="shared" si="11"/>
        <v>47.990400000000001</v>
      </c>
      <c r="X150">
        <v>3</v>
      </c>
    </row>
    <row r="151" spans="1:24" x14ac:dyDescent="0.3">
      <c r="A151">
        <v>150</v>
      </c>
      <c r="B151" t="s">
        <v>1926</v>
      </c>
      <c r="C151" s="6">
        <v>44346</v>
      </c>
      <c r="D151" t="str">
        <f t="shared" si="8"/>
        <v>May</v>
      </c>
      <c r="E151" t="str">
        <f t="shared" si="9"/>
        <v>2021</v>
      </c>
      <c r="F151" t="s">
        <v>4</v>
      </c>
      <c r="G151" t="s">
        <v>75</v>
      </c>
      <c r="H151" t="s">
        <v>548</v>
      </c>
      <c r="I151">
        <v>200</v>
      </c>
      <c r="J151">
        <v>10</v>
      </c>
      <c r="K151">
        <f t="shared" si="10"/>
        <v>5</v>
      </c>
      <c r="L151" t="s">
        <v>1739</v>
      </c>
      <c r="M151" t="s">
        <v>3726</v>
      </c>
      <c r="N151" t="s">
        <v>1</v>
      </c>
      <c r="O151">
        <v>500089</v>
      </c>
      <c r="P151" t="s">
        <v>546</v>
      </c>
      <c r="Q151" t="s">
        <v>1761</v>
      </c>
      <c r="S151">
        <v>1951.84</v>
      </c>
      <c r="T151">
        <v>8</v>
      </c>
      <c r="U151">
        <v>0</v>
      </c>
      <c r="V151">
        <v>585.55200000000002</v>
      </c>
      <c r="W151">
        <f t="shared" si="11"/>
        <v>170.786</v>
      </c>
      <c r="X151">
        <v>4</v>
      </c>
    </row>
    <row r="152" spans="1:24" x14ac:dyDescent="0.3">
      <c r="A152">
        <v>151</v>
      </c>
      <c r="B152" t="s">
        <v>1927</v>
      </c>
      <c r="C152" s="6">
        <v>44347</v>
      </c>
      <c r="D152" t="str">
        <f t="shared" si="8"/>
        <v>May</v>
      </c>
      <c r="E152" t="str">
        <f t="shared" si="9"/>
        <v>2021</v>
      </c>
      <c r="F152" t="s">
        <v>4</v>
      </c>
      <c r="G152" t="s">
        <v>75</v>
      </c>
      <c r="H152" t="s">
        <v>688</v>
      </c>
      <c r="I152">
        <v>100</v>
      </c>
      <c r="J152">
        <v>18</v>
      </c>
      <c r="K152">
        <f t="shared" si="10"/>
        <v>18</v>
      </c>
      <c r="L152" t="s">
        <v>1738</v>
      </c>
      <c r="M152" t="s">
        <v>3727</v>
      </c>
      <c r="N152" t="s">
        <v>1</v>
      </c>
      <c r="O152">
        <v>560075</v>
      </c>
      <c r="P152" t="s">
        <v>546</v>
      </c>
      <c r="Q152" t="s">
        <v>1775</v>
      </c>
      <c r="S152">
        <v>171.55</v>
      </c>
      <c r="T152">
        <v>5</v>
      </c>
      <c r="U152">
        <v>0</v>
      </c>
      <c r="V152">
        <v>80.628500000000003</v>
      </c>
      <c r="W152">
        <f t="shared" si="11"/>
        <v>18.1843</v>
      </c>
      <c r="X152">
        <v>1</v>
      </c>
    </row>
    <row r="153" spans="1:24" x14ac:dyDescent="0.3">
      <c r="A153">
        <v>152</v>
      </c>
      <c r="B153" t="s">
        <v>1928</v>
      </c>
      <c r="C153" s="6">
        <v>44348</v>
      </c>
      <c r="D153" t="str">
        <f t="shared" si="8"/>
        <v>Jun</v>
      </c>
      <c r="E153" t="str">
        <f t="shared" si="9"/>
        <v>2021</v>
      </c>
      <c r="F153" t="s">
        <v>5</v>
      </c>
      <c r="G153" t="s">
        <v>76</v>
      </c>
      <c r="H153" t="s">
        <v>689</v>
      </c>
      <c r="I153">
        <v>160</v>
      </c>
      <c r="J153">
        <v>24</v>
      </c>
      <c r="K153">
        <f t="shared" si="10"/>
        <v>15</v>
      </c>
      <c r="L153" t="s">
        <v>1743</v>
      </c>
      <c r="M153" t="s">
        <v>3728</v>
      </c>
      <c r="O153">
        <v>600054</v>
      </c>
      <c r="P153" t="s">
        <v>546</v>
      </c>
      <c r="Q153" t="s">
        <v>1766</v>
      </c>
      <c r="S153">
        <v>157.91999999999999</v>
      </c>
      <c r="T153">
        <v>5</v>
      </c>
      <c r="U153">
        <v>0.2</v>
      </c>
      <c r="V153">
        <v>17.765999999999998</v>
      </c>
      <c r="W153">
        <f t="shared" si="11"/>
        <v>28.030799999999999</v>
      </c>
      <c r="X153">
        <v>3</v>
      </c>
    </row>
    <row r="154" spans="1:24" x14ac:dyDescent="0.3">
      <c r="A154">
        <v>153</v>
      </c>
      <c r="B154" t="s">
        <v>1929</v>
      </c>
      <c r="C154" s="6">
        <v>44349</v>
      </c>
      <c r="D154" t="str">
        <f t="shared" si="8"/>
        <v>Jun</v>
      </c>
      <c r="E154" t="str">
        <f t="shared" si="9"/>
        <v>2021</v>
      </c>
      <c r="F154" t="s">
        <v>5</v>
      </c>
      <c r="G154" t="s">
        <v>76</v>
      </c>
      <c r="H154" t="s">
        <v>690</v>
      </c>
      <c r="I154">
        <v>160</v>
      </c>
      <c r="J154">
        <v>16</v>
      </c>
      <c r="K154">
        <f t="shared" si="10"/>
        <v>10</v>
      </c>
      <c r="L154" t="s">
        <v>1737</v>
      </c>
      <c r="M154" t="s">
        <v>3729</v>
      </c>
      <c r="N154" t="s">
        <v>1</v>
      </c>
      <c r="O154">
        <v>695011</v>
      </c>
      <c r="P154" t="s">
        <v>546</v>
      </c>
      <c r="Q154" t="s">
        <v>1758</v>
      </c>
      <c r="S154">
        <v>203.184</v>
      </c>
      <c r="T154">
        <v>2</v>
      </c>
      <c r="U154">
        <v>0.2</v>
      </c>
      <c r="V154">
        <v>15.238799999999999</v>
      </c>
      <c r="W154">
        <f t="shared" si="11"/>
        <v>93.9726</v>
      </c>
      <c r="X154">
        <v>5</v>
      </c>
    </row>
    <row r="155" spans="1:24" x14ac:dyDescent="0.3">
      <c r="A155">
        <v>154</v>
      </c>
      <c r="B155" t="s">
        <v>1930</v>
      </c>
      <c r="C155" s="6">
        <v>44350</v>
      </c>
      <c r="D155" t="str">
        <f t="shared" si="8"/>
        <v>Jun</v>
      </c>
      <c r="E155" t="str">
        <f t="shared" si="9"/>
        <v>2021</v>
      </c>
      <c r="F155" t="s">
        <v>5</v>
      </c>
      <c r="G155" t="s">
        <v>77</v>
      </c>
      <c r="H155" t="s">
        <v>691</v>
      </c>
      <c r="I155">
        <v>130</v>
      </c>
      <c r="J155">
        <v>14</v>
      </c>
      <c r="K155">
        <f t="shared" si="10"/>
        <v>10.76923076923077</v>
      </c>
      <c r="L155" t="s">
        <v>1741</v>
      </c>
      <c r="M155" t="s">
        <v>3730</v>
      </c>
      <c r="N155" t="s">
        <v>1</v>
      </c>
      <c r="O155">
        <v>491995</v>
      </c>
      <c r="P155" t="s">
        <v>546</v>
      </c>
      <c r="Q155" t="s">
        <v>1762</v>
      </c>
      <c r="R155" t="s">
        <v>2</v>
      </c>
      <c r="S155">
        <v>58.38</v>
      </c>
      <c r="T155">
        <v>7</v>
      </c>
      <c r="U155">
        <v>0</v>
      </c>
      <c r="V155">
        <v>26.271000000000001</v>
      </c>
      <c r="W155">
        <f t="shared" si="11"/>
        <v>4.5870000000000006</v>
      </c>
      <c r="X155">
        <v>1</v>
      </c>
    </row>
    <row r="156" spans="1:24" x14ac:dyDescent="0.3">
      <c r="A156">
        <v>155</v>
      </c>
      <c r="B156" t="s">
        <v>1931</v>
      </c>
      <c r="C156" s="6">
        <v>44351</v>
      </c>
      <c r="D156" t="str">
        <f t="shared" si="8"/>
        <v>Jun</v>
      </c>
      <c r="E156" t="str">
        <f t="shared" si="9"/>
        <v>2021</v>
      </c>
      <c r="F156" t="s">
        <v>5</v>
      </c>
      <c r="G156" t="s">
        <v>77</v>
      </c>
      <c r="H156" t="s">
        <v>692</v>
      </c>
      <c r="I156">
        <v>240</v>
      </c>
      <c r="J156">
        <v>16</v>
      </c>
      <c r="K156">
        <f t="shared" si="10"/>
        <v>6.666666666666667</v>
      </c>
      <c r="L156" t="s">
        <v>1736</v>
      </c>
      <c r="M156" t="s">
        <v>3731</v>
      </c>
      <c r="O156">
        <v>700017</v>
      </c>
      <c r="P156" t="s">
        <v>546</v>
      </c>
      <c r="Q156" t="s">
        <v>1759</v>
      </c>
      <c r="S156">
        <v>105.52</v>
      </c>
      <c r="T156">
        <v>4</v>
      </c>
      <c r="U156">
        <v>0</v>
      </c>
      <c r="V156">
        <v>48.539200000000001</v>
      </c>
      <c r="W156">
        <f t="shared" si="11"/>
        <v>14.245199999999999</v>
      </c>
      <c r="X156">
        <v>1</v>
      </c>
    </row>
    <row r="157" spans="1:24" x14ac:dyDescent="0.3">
      <c r="A157">
        <v>156</v>
      </c>
      <c r="B157" t="s">
        <v>1932</v>
      </c>
      <c r="C157" s="6">
        <v>44352</v>
      </c>
      <c r="D157" t="str">
        <f t="shared" si="8"/>
        <v>Jun</v>
      </c>
      <c r="E157" t="str">
        <f t="shared" si="9"/>
        <v>2021</v>
      </c>
      <c r="F157" t="s">
        <v>5</v>
      </c>
      <c r="G157" t="s">
        <v>77</v>
      </c>
      <c r="H157" t="s">
        <v>693</v>
      </c>
      <c r="I157">
        <v>180</v>
      </c>
      <c r="J157">
        <v>20</v>
      </c>
      <c r="K157">
        <f t="shared" si="10"/>
        <v>11.111111111111111</v>
      </c>
      <c r="L157" t="s">
        <v>1744</v>
      </c>
      <c r="M157" t="s">
        <v>3732</v>
      </c>
      <c r="N157" t="s">
        <v>1</v>
      </c>
      <c r="O157">
        <v>226022</v>
      </c>
      <c r="P157" t="s">
        <v>546</v>
      </c>
      <c r="Q157" t="s">
        <v>1759</v>
      </c>
      <c r="R157" t="s">
        <v>2</v>
      </c>
      <c r="S157">
        <v>80.88</v>
      </c>
      <c r="T157">
        <v>6</v>
      </c>
      <c r="U157">
        <v>0</v>
      </c>
      <c r="V157">
        <v>21.0288</v>
      </c>
      <c r="W157">
        <f t="shared" si="11"/>
        <v>9.9751999999999992</v>
      </c>
      <c r="X157">
        <v>1</v>
      </c>
    </row>
    <row r="158" spans="1:24" x14ac:dyDescent="0.3">
      <c r="A158">
        <v>157</v>
      </c>
      <c r="B158" t="s">
        <v>1933</v>
      </c>
      <c r="C158" s="6">
        <v>44353</v>
      </c>
      <c r="D158" t="str">
        <f t="shared" si="8"/>
        <v>Jun</v>
      </c>
      <c r="E158" t="str">
        <f t="shared" si="9"/>
        <v>2021</v>
      </c>
      <c r="F158" t="s">
        <v>4</v>
      </c>
      <c r="G158" t="s">
        <v>78</v>
      </c>
      <c r="H158" t="s">
        <v>694</v>
      </c>
      <c r="I158">
        <v>250</v>
      </c>
      <c r="J158">
        <v>16</v>
      </c>
      <c r="K158">
        <f t="shared" si="10"/>
        <v>6.4</v>
      </c>
      <c r="L158" t="s">
        <v>1740</v>
      </c>
      <c r="M158" t="s">
        <v>3733</v>
      </c>
      <c r="N158" t="s">
        <v>1</v>
      </c>
      <c r="O158">
        <v>390009</v>
      </c>
      <c r="P158" t="s">
        <v>546</v>
      </c>
      <c r="Q158" t="s">
        <v>1771</v>
      </c>
      <c r="S158">
        <v>6.63</v>
      </c>
      <c r="T158">
        <v>3</v>
      </c>
      <c r="U158">
        <v>0</v>
      </c>
      <c r="V158">
        <v>1.7901</v>
      </c>
      <c r="W158">
        <f t="shared" si="11"/>
        <v>1.6133</v>
      </c>
      <c r="X158">
        <v>2</v>
      </c>
    </row>
    <row r="159" spans="1:24" x14ac:dyDescent="0.3">
      <c r="A159">
        <v>158</v>
      </c>
      <c r="B159" t="s">
        <v>1934</v>
      </c>
      <c r="C159" s="6">
        <v>44354</v>
      </c>
      <c r="D159" t="str">
        <f t="shared" si="8"/>
        <v>Jun</v>
      </c>
      <c r="E159" t="str">
        <f t="shared" si="9"/>
        <v>2021</v>
      </c>
      <c r="F159" t="s">
        <v>3</v>
      </c>
      <c r="G159" t="s">
        <v>79</v>
      </c>
      <c r="H159" t="s">
        <v>667</v>
      </c>
      <c r="I159">
        <v>180</v>
      </c>
      <c r="J159">
        <v>26</v>
      </c>
      <c r="K159">
        <f t="shared" si="10"/>
        <v>14.444444444444443</v>
      </c>
      <c r="L159" t="s">
        <v>1742</v>
      </c>
      <c r="M159" t="s">
        <v>3734</v>
      </c>
      <c r="N159" t="s">
        <v>1</v>
      </c>
      <c r="O159">
        <v>441904</v>
      </c>
      <c r="P159" t="s">
        <v>546</v>
      </c>
      <c r="Q159" t="s">
        <v>1757</v>
      </c>
      <c r="S159">
        <v>457.56799999999998</v>
      </c>
      <c r="T159">
        <v>2</v>
      </c>
      <c r="U159">
        <v>0.2</v>
      </c>
      <c r="V159">
        <v>51.476399999999998</v>
      </c>
      <c r="W159">
        <f t="shared" si="11"/>
        <v>203.04579999999999</v>
      </c>
      <c r="X159">
        <v>4</v>
      </c>
    </row>
    <row r="160" spans="1:24" x14ac:dyDescent="0.3">
      <c r="A160">
        <v>159</v>
      </c>
      <c r="B160" t="s">
        <v>1935</v>
      </c>
      <c r="C160" s="6">
        <v>44355</v>
      </c>
      <c r="D160" t="str">
        <f t="shared" si="8"/>
        <v>Jun</v>
      </c>
      <c r="E160" t="str">
        <f t="shared" si="9"/>
        <v>2021</v>
      </c>
      <c r="F160" t="s">
        <v>4</v>
      </c>
      <c r="G160" t="s">
        <v>80</v>
      </c>
      <c r="H160" t="s">
        <v>695</v>
      </c>
      <c r="I160">
        <v>240</v>
      </c>
      <c r="J160">
        <v>22</v>
      </c>
      <c r="K160">
        <f t="shared" si="10"/>
        <v>9.1666666666666661</v>
      </c>
      <c r="L160" t="s">
        <v>1739</v>
      </c>
      <c r="M160" t="s">
        <v>3628</v>
      </c>
      <c r="N160" t="s">
        <v>1</v>
      </c>
      <c r="O160">
        <v>560068</v>
      </c>
      <c r="P160" t="s">
        <v>546</v>
      </c>
      <c r="Q160" t="s">
        <v>1767</v>
      </c>
      <c r="R160" t="s">
        <v>2</v>
      </c>
      <c r="S160">
        <v>14.62</v>
      </c>
      <c r="T160">
        <v>2</v>
      </c>
      <c r="U160">
        <v>0</v>
      </c>
      <c r="V160">
        <v>6.8714000000000004</v>
      </c>
      <c r="W160">
        <f t="shared" si="11"/>
        <v>3.8742999999999994</v>
      </c>
      <c r="X160">
        <v>1</v>
      </c>
    </row>
    <row r="161" spans="1:24" x14ac:dyDescent="0.3">
      <c r="A161">
        <v>160</v>
      </c>
      <c r="B161" t="s">
        <v>1936</v>
      </c>
      <c r="C161" s="6">
        <v>44356</v>
      </c>
      <c r="D161" t="str">
        <f t="shared" si="8"/>
        <v>Jun</v>
      </c>
      <c r="E161" t="str">
        <f t="shared" si="9"/>
        <v>2021</v>
      </c>
      <c r="F161" t="s">
        <v>4</v>
      </c>
      <c r="G161" t="s">
        <v>80</v>
      </c>
      <c r="H161" t="s">
        <v>696</v>
      </c>
      <c r="I161">
        <v>110</v>
      </c>
      <c r="J161">
        <v>20</v>
      </c>
      <c r="K161">
        <f t="shared" si="10"/>
        <v>18.181818181818183</v>
      </c>
      <c r="L161" t="s">
        <v>1738</v>
      </c>
      <c r="M161" t="s">
        <v>3629</v>
      </c>
      <c r="N161" t="s">
        <v>1</v>
      </c>
      <c r="O161">
        <v>380015</v>
      </c>
      <c r="P161" t="s">
        <v>546</v>
      </c>
      <c r="Q161" t="s">
        <v>1775</v>
      </c>
      <c r="R161" t="s">
        <v>2</v>
      </c>
      <c r="S161">
        <v>944.93</v>
      </c>
      <c r="T161">
        <v>7</v>
      </c>
      <c r="U161">
        <v>0</v>
      </c>
      <c r="V161">
        <v>236.23249999999999</v>
      </c>
      <c r="W161">
        <f t="shared" si="11"/>
        <v>101.24249999999999</v>
      </c>
      <c r="X161">
        <v>2</v>
      </c>
    </row>
    <row r="162" spans="1:24" x14ac:dyDescent="0.3">
      <c r="A162">
        <v>161</v>
      </c>
      <c r="B162" t="s">
        <v>1937</v>
      </c>
      <c r="C162" s="6">
        <v>44357</v>
      </c>
      <c r="D162" t="str">
        <f t="shared" si="8"/>
        <v>Jun</v>
      </c>
      <c r="E162" t="str">
        <f t="shared" si="9"/>
        <v>2021</v>
      </c>
      <c r="F162" t="s">
        <v>5</v>
      </c>
      <c r="G162" t="s">
        <v>81</v>
      </c>
      <c r="H162" t="s">
        <v>697</v>
      </c>
      <c r="I162">
        <v>200</v>
      </c>
      <c r="J162">
        <v>14</v>
      </c>
      <c r="K162">
        <f t="shared" si="10"/>
        <v>7.0000000000000009</v>
      </c>
      <c r="L162" t="s">
        <v>1737</v>
      </c>
      <c r="M162" t="s">
        <v>3735</v>
      </c>
      <c r="N162" t="s">
        <v>1</v>
      </c>
      <c r="O162">
        <v>380015</v>
      </c>
      <c r="P162" t="s">
        <v>546</v>
      </c>
      <c r="Q162" t="s">
        <v>1774</v>
      </c>
      <c r="R162" t="s">
        <v>2</v>
      </c>
      <c r="S162">
        <v>5.98</v>
      </c>
      <c r="T162">
        <v>1</v>
      </c>
      <c r="U162">
        <v>0</v>
      </c>
      <c r="V162">
        <v>2.6909999999999998</v>
      </c>
      <c r="W162">
        <f t="shared" si="11"/>
        <v>3.2890000000000006</v>
      </c>
      <c r="X162">
        <v>2</v>
      </c>
    </row>
    <row r="163" spans="1:24" x14ac:dyDescent="0.3">
      <c r="A163">
        <v>162</v>
      </c>
      <c r="B163" t="s">
        <v>1938</v>
      </c>
      <c r="C163" s="6">
        <v>44358</v>
      </c>
      <c r="D163" t="str">
        <f t="shared" si="8"/>
        <v>Jun</v>
      </c>
      <c r="E163" t="str">
        <f t="shared" si="9"/>
        <v>2021</v>
      </c>
      <c r="F163" t="s">
        <v>3</v>
      </c>
      <c r="G163" t="s">
        <v>82</v>
      </c>
      <c r="H163" t="s">
        <v>698</v>
      </c>
      <c r="I163">
        <v>130</v>
      </c>
      <c r="J163">
        <v>24</v>
      </c>
      <c r="K163">
        <f t="shared" si="10"/>
        <v>18.461538461538463</v>
      </c>
      <c r="L163" t="s">
        <v>1743</v>
      </c>
      <c r="M163" t="s">
        <v>3736</v>
      </c>
      <c r="N163" t="s">
        <v>1</v>
      </c>
      <c r="O163">
        <v>380015</v>
      </c>
      <c r="P163" t="s">
        <v>546</v>
      </c>
      <c r="Q163" t="s">
        <v>1760</v>
      </c>
      <c r="R163" t="s">
        <v>2</v>
      </c>
      <c r="S163">
        <v>54.384</v>
      </c>
      <c r="T163">
        <v>2</v>
      </c>
      <c r="U163">
        <v>0.2</v>
      </c>
      <c r="V163">
        <v>1.3595999999999999</v>
      </c>
      <c r="W163">
        <f t="shared" si="11"/>
        <v>26.5122</v>
      </c>
      <c r="X163">
        <v>3</v>
      </c>
    </row>
    <row r="164" spans="1:24" x14ac:dyDescent="0.3">
      <c r="A164">
        <v>163</v>
      </c>
      <c r="B164" t="s">
        <v>1939</v>
      </c>
      <c r="C164" s="6">
        <v>44359</v>
      </c>
      <c r="D164" t="str">
        <f t="shared" si="8"/>
        <v>Jun</v>
      </c>
      <c r="E164" t="str">
        <f t="shared" si="9"/>
        <v>2021</v>
      </c>
      <c r="F164" t="s">
        <v>4</v>
      </c>
      <c r="G164" t="s">
        <v>83</v>
      </c>
      <c r="H164" t="s">
        <v>699</v>
      </c>
      <c r="I164">
        <v>240</v>
      </c>
      <c r="J164">
        <v>28</v>
      </c>
      <c r="K164">
        <f t="shared" si="10"/>
        <v>11.666666666666666</v>
      </c>
      <c r="L164" t="s">
        <v>1738</v>
      </c>
      <c r="M164" t="s">
        <v>3737</v>
      </c>
      <c r="N164" t="s">
        <v>1</v>
      </c>
      <c r="O164">
        <v>122017</v>
      </c>
      <c r="P164" t="s">
        <v>546</v>
      </c>
      <c r="Q164" t="s">
        <v>1776</v>
      </c>
      <c r="S164">
        <v>28.4</v>
      </c>
      <c r="T164">
        <v>5</v>
      </c>
      <c r="U164">
        <v>0</v>
      </c>
      <c r="V164">
        <v>13.348000000000001</v>
      </c>
      <c r="W164">
        <f t="shared" si="11"/>
        <v>3.0103999999999997</v>
      </c>
      <c r="X164">
        <v>5</v>
      </c>
    </row>
    <row r="165" spans="1:24" x14ac:dyDescent="0.3">
      <c r="A165">
        <v>164</v>
      </c>
      <c r="B165" t="s">
        <v>1940</v>
      </c>
      <c r="C165" s="6">
        <v>44360</v>
      </c>
      <c r="D165" t="str">
        <f t="shared" si="8"/>
        <v>Jun</v>
      </c>
      <c r="E165" t="str">
        <f t="shared" si="9"/>
        <v>2021</v>
      </c>
      <c r="F165" t="s">
        <v>4</v>
      </c>
      <c r="G165" t="s">
        <v>84</v>
      </c>
      <c r="H165" t="s">
        <v>700</v>
      </c>
      <c r="I165">
        <v>200</v>
      </c>
      <c r="J165">
        <v>6</v>
      </c>
      <c r="K165">
        <f t="shared" si="10"/>
        <v>3</v>
      </c>
      <c r="L165" t="s">
        <v>1739</v>
      </c>
      <c r="M165" t="s">
        <v>3682</v>
      </c>
      <c r="N165" t="s">
        <v>1</v>
      </c>
      <c r="O165">
        <v>560068</v>
      </c>
      <c r="P165" t="s">
        <v>546</v>
      </c>
      <c r="Q165" t="s">
        <v>1759</v>
      </c>
      <c r="R165" t="s">
        <v>2</v>
      </c>
      <c r="S165">
        <v>27.68</v>
      </c>
      <c r="T165">
        <v>2</v>
      </c>
      <c r="U165">
        <v>0.2</v>
      </c>
      <c r="V165">
        <v>9.6880000000000006</v>
      </c>
      <c r="W165">
        <f t="shared" si="11"/>
        <v>8.9959999999999987</v>
      </c>
      <c r="X165">
        <v>4</v>
      </c>
    </row>
    <row r="166" spans="1:24" x14ac:dyDescent="0.3">
      <c r="A166">
        <v>165</v>
      </c>
      <c r="B166" t="s">
        <v>1941</v>
      </c>
      <c r="C166" s="6">
        <v>44361</v>
      </c>
      <c r="D166" t="str">
        <f t="shared" si="8"/>
        <v>Jun</v>
      </c>
      <c r="E166" t="str">
        <f t="shared" si="9"/>
        <v>2021</v>
      </c>
      <c r="F166" t="s">
        <v>4</v>
      </c>
      <c r="G166" t="s">
        <v>85</v>
      </c>
      <c r="H166" t="s">
        <v>701</v>
      </c>
      <c r="I166">
        <v>190</v>
      </c>
      <c r="J166">
        <v>12</v>
      </c>
      <c r="K166">
        <f t="shared" si="10"/>
        <v>6.3157894736842106</v>
      </c>
      <c r="L166" t="s">
        <v>1741</v>
      </c>
      <c r="M166" t="s">
        <v>3738</v>
      </c>
      <c r="N166" t="s">
        <v>1</v>
      </c>
      <c r="O166">
        <v>500100</v>
      </c>
      <c r="P166" t="s">
        <v>546</v>
      </c>
      <c r="Q166" t="s">
        <v>1764</v>
      </c>
      <c r="S166">
        <v>9.9359999999999999</v>
      </c>
      <c r="T166">
        <v>3</v>
      </c>
      <c r="U166">
        <v>0.2</v>
      </c>
      <c r="V166">
        <v>2.7324000000000002</v>
      </c>
      <c r="W166">
        <f t="shared" si="11"/>
        <v>2.4011999999999998</v>
      </c>
      <c r="X166">
        <v>5</v>
      </c>
    </row>
    <row r="167" spans="1:24" x14ac:dyDescent="0.3">
      <c r="A167">
        <v>166</v>
      </c>
      <c r="B167" t="s">
        <v>1942</v>
      </c>
      <c r="C167" s="6">
        <v>44362</v>
      </c>
      <c r="D167" t="str">
        <f t="shared" si="8"/>
        <v>Jun</v>
      </c>
      <c r="E167" t="str">
        <f t="shared" si="9"/>
        <v>2021</v>
      </c>
      <c r="F167" t="s">
        <v>4</v>
      </c>
      <c r="G167" t="s">
        <v>85</v>
      </c>
      <c r="H167" t="s">
        <v>702</v>
      </c>
      <c r="I167">
        <v>100</v>
      </c>
      <c r="J167">
        <v>8</v>
      </c>
      <c r="K167">
        <f t="shared" si="10"/>
        <v>8</v>
      </c>
      <c r="L167" t="s">
        <v>1736</v>
      </c>
      <c r="M167" t="s">
        <v>3739</v>
      </c>
      <c r="N167" t="s">
        <v>1</v>
      </c>
      <c r="O167">
        <v>781006</v>
      </c>
      <c r="P167" t="s">
        <v>546</v>
      </c>
      <c r="Q167" t="s">
        <v>1767</v>
      </c>
      <c r="R167" t="s">
        <v>2</v>
      </c>
      <c r="S167">
        <v>8159.9520000000002</v>
      </c>
      <c r="T167">
        <v>8</v>
      </c>
      <c r="U167">
        <v>0.4</v>
      </c>
      <c r="V167">
        <v>-1359.992</v>
      </c>
      <c r="W167">
        <f t="shared" si="11"/>
        <v>1189.9929999999999</v>
      </c>
      <c r="X167">
        <v>5</v>
      </c>
    </row>
    <row r="168" spans="1:24" x14ac:dyDescent="0.3">
      <c r="A168">
        <v>167</v>
      </c>
      <c r="B168" t="s">
        <v>1943</v>
      </c>
      <c r="C168" s="6">
        <v>44363</v>
      </c>
      <c r="D168" t="str">
        <f t="shared" si="8"/>
        <v>Jun</v>
      </c>
      <c r="E168" t="str">
        <f t="shared" si="9"/>
        <v>2021</v>
      </c>
      <c r="F168" t="s">
        <v>4</v>
      </c>
      <c r="G168" t="s">
        <v>85</v>
      </c>
      <c r="H168" t="s">
        <v>703</v>
      </c>
      <c r="I168">
        <v>250</v>
      </c>
      <c r="J168">
        <v>16</v>
      </c>
      <c r="K168">
        <f t="shared" si="10"/>
        <v>6.4</v>
      </c>
      <c r="L168" t="s">
        <v>1744</v>
      </c>
      <c r="M168" t="s">
        <v>3585</v>
      </c>
      <c r="N168" t="s">
        <v>1</v>
      </c>
      <c r="O168">
        <v>431113</v>
      </c>
      <c r="P168" t="s">
        <v>546</v>
      </c>
      <c r="Q168" t="s">
        <v>1759</v>
      </c>
      <c r="S168">
        <v>275.928</v>
      </c>
      <c r="T168">
        <v>3</v>
      </c>
      <c r="U168">
        <v>0.2</v>
      </c>
      <c r="V168">
        <v>-58.634700000000002</v>
      </c>
      <c r="W168">
        <f t="shared" si="11"/>
        <v>111.5209</v>
      </c>
      <c r="X168">
        <v>1</v>
      </c>
    </row>
    <row r="169" spans="1:24" x14ac:dyDescent="0.3">
      <c r="A169">
        <v>168</v>
      </c>
      <c r="B169" t="s">
        <v>1944</v>
      </c>
      <c r="C169" s="6">
        <v>44364</v>
      </c>
      <c r="D169" t="str">
        <f t="shared" si="8"/>
        <v>Jun</v>
      </c>
      <c r="E169" t="str">
        <f t="shared" si="9"/>
        <v>2021</v>
      </c>
      <c r="F169" t="s">
        <v>4</v>
      </c>
      <c r="G169" t="s">
        <v>85</v>
      </c>
      <c r="H169" t="s">
        <v>704</v>
      </c>
      <c r="I169">
        <v>180</v>
      </c>
      <c r="J169">
        <v>20</v>
      </c>
      <c r="K169">
        <f t="shared" si="10"/>
        <v>11.111111111111111</v>
      </c>
      <c r="L169" t="s">
        <v>1740</v>
      </c>
      <c r="M169" t="s">
        <v>3740</v>
      </c>
      <c r="O169">
        <v>110092</v>
      </c>
      <c r="P169" t="s">
        <v>546</v>
      </c>
      <c r="Q169" t="s">
        <v>1769</v>
      </c>
      <c r="S169">
        <v>1740.06</v>
      </c>
      <c r="T169">
        <v>9</v>
      </c>
      <c r="U169">
        <v>0.3</v>
      </c>
      <c r="V169">
        <v>-24.858000000000001</v>
      </c>
      <c r="W169">
        <f t="shared" si="11"/>
        <v>196.10199999999998</v>
      </c>
      <c r="X169">
        <v>3</v>
      </c>
    </row>
    <row r="170" spans="1:24" x14ac:dyDescent="0.3">
      <c r="A170">
        <v>169</v>
      </c>
      <c r="B170" t="s">
        <v>1945</v>
      </c>
      <c r="C170" s="6">
        <v>44365</v>
      </c>
      <c r="D170" t="str">
        <f t="shared" si="8"/>
        <v>Jun</v>
      </c>
      <c r="E170" t="str">
        <f t="shared" si="9"/>
        <v>2021</v>
      </c>
      <c r="F170" t="s">
        <v>4</v>
      </c>
      <c r="G170" t="s">
        <v>85</v>
      </c>
      <c r="H170" t="s">
        <v>705</v>
      </c>
      <c r="I170">
        <v>190</v>
      </c>
      <c r="J170">
        <v>6</v>
      </c>
      <c r="K170">
        <f t="shared" si="10"/>
        <v>3.1578947368421053</v>
      </c>
      <c r="L170" t="s">
        <v>1742</v>
      </c>
      <c r="M170" t="s">
        <v>3741</v>
      </c>
      <c r="N170" t="s">
        <v>1</v>
      </c>
      <c r="O170">
        <v>500096</v>
      </c>
      <c r="P170" t="s">
        <v>546</v>
      </c>
      <c r="Q170" t="s">
        <v>1763</v>
      </c>
      <c r="S170">
        <v>32.064</v>
      </c>
      <c r="T170">
        <v>6</v>
      </c>
      <c r="U170">
        <v>0.2</v>
      </c>
      <c r="V170">
        <v>6.8136000000000001</v>
      </c>
      <c r="W170">
        <f t="shared" si="11"/>
        <v>4.2084000000000001</v>
      </c>
      <c r="X170">
        <v>4</v>
      </c>
    </row>
    <row r="171" spans="1:24" x14ac:dyDescent="0.3">
      <c r="A171">
        <v>170</v>
      </c>
      <c r="B171" t="s">
        <v>1946</v>
      </c>
      <c r="C171" s="6">
        <v>44366</v>
      </c>
      <c r="D171" t="str">
        <f t="shared" si="8"/>
        <v>Jun</v>
      </c>
      <c r="E171" t="str">
        <f t="shared" si="9"/>
        <v>2021</v>
      </c>
      <c r="F171" t="s">
        <v>4</v>
      </c>
      <c r="G171" t="s">
        <v>85</v>
      </c>
      <c r="H171" t="s">
        <v>706</v>
      </c>
      <c r="I171">
        <v>250</v>
      </c>
      <c r="J171">
        <v>12</v>
      </c>
      <c r="K171">
        <f t="shared" si="10"/>
        <v>4.8</v>
      </c>
      <c r="L171" t="s">
        <v>1739</v>
      </c>
      <c r="M171" t="s">
        <v>3588</v>
      </c>
      <c r="N171" t="s">
        <v>1</v>
      </c>
      <c r="O171">
        <v>403401</v>
      </c>
      <c r="P171" t="s">
        <v>546</v>
      </c>
      <c r="Q171" t="s">
        <v>1767</v>
      </c>
      <c r="S171">
        <v>177.98</v>
      </c>
      <c r="T171">
        <v>5</v>
      </c>
      <c r="U171">
        <v>0.8</v>
      </c>
      <c r="V171">
        <v>-453.84899999999999</v>
      </c>
      <c r="W171">
        <f t="shared" si="11"/>
        <v>126.36579999999999</v>
      </c>
      <c r="X171">
        <v>4</v>
      </c>
    </row>
    <row r="172" spans="1:24" x14ac:dyDescent="0.3">
      <c r="A172">
        <v>171</v>
      </c>
      <c r="B172" t="s">
        <v>1947</v>
      </c>
      <c r="C172" s="6">
        <v>44367</v>
      </c>
      <c r="D172" t="str">
        <f t="shared" si="8"/>
        <v>Jun</v>
      </c>
      <c r="E172" t="str">
        <f t="shared" si="9"/>
        <v>2021</v>
      </c>
      <c r="F172" t="s">
        <v>4</v>
      </c>
      <c r="G172" t="s">
        <v>85</v>
      </c>
      <c r="H172" t="s">
        <v>707</v>
      </c>
      <c r="I172">
        <v>220</v>
      </c>
      <c r="J172">
        <v>18</v>
      </c>
      <c r="K172">
        <f t="shared" si="10"/>
        <v>8.1818181818181817</v>
      </c>
      <c r="L172" t="s">
        <v>1738</v>
      </c>
      <c r="M172" t="s">
        <v>3638</v>
      </c>
      <c r="N172" t="s">
        <v>1</v>
      </c>
      <c r="O172">
        <v>311001</v>
      </c>
      <c r="P172" t="s">
        <v>546</v>
      </c>
      <c r="Q172" t="s">
        <v>1771</v>
      </c>
      <c r="S172">
        <v>143.976</v>
      </c>
      <c r="T172">
        <v>3</v>
      </c>
      <c r="U172">
        <v>0.2</v>
      </c>
      <c r="V172">
        <v>8.9984999999999999</v>
      </c>
      <c r="W172">
        <f t="shared" si="11"/>
        <v>44.9925</v>
      </c>
      <c r="X172">
        <v>3</v>
      </c>
    </row>
    <row r="173" spans="1:24" x14ac:dyDescent="0.3">
      <c r="A173">
        <v>172</v>
      </c>
      <c r="B173" t="s">
        <v>1948</v>
      </c>
      <c r="C173" s="6">
        <v>44368</v>
      </c>
      <c r="D173" t="str">
        <f t="shared" si="8"/>
        <v>Jun</v>
      </c>
      <c r="E173" t="str">
        <f t="shared" si="9"/>
        <v>2021</v>
      </c>
      <c r="F173" t="s">
        <v>4</v>
      </c>
      <c r="G173" t="s">
        <v>86</v>
      </c>
      <c r="H173" t="s">
        <v>708</v>
      </c>
      <c r="I173">
        <v>110</v>
      </c>
      <c r="J173">
        <v>22</v>
      </c>
      <c r="K173">
        <f t="shared" si="10"/>
        <v>20</v>
      </c>
      <c r="L173" t="s">
        <v>1743</v>
      </c>
      <c r="M173" t="s">
        <v>3742</v>
      </c>
      <c r="N173" t="s">
        <v>1</v>
      </c>
      <c r="O173">
        <v>781006</v>
      </c>
      <c r="P173" t="s">
        <v>546</v>
      </c>
      <c r="Q173" t="s">
        <v>1755</v>
      </c>
      <c r="S173">
        <v>20.94</v>
      </c>
      <c r="T173">
        <v>3</v>
      </c>
      <c r="U173">
        <v>0</v>
      </c>
      <c r="V173">
        <v>9.8417999999999992</v>
      </c>
      <c r="W173">
        <f t="shared" si="11"/>
        <v>3.6994000000000007</v>
      </c>
      <c r="X173">
        <v>2</v>
      </c>
    </row>
    <row r="174" spans="1:24" x14ac:dyDescent="0.3">
      <c r="A174">
        <v>173</v>
      </c>
      <c r="B174" t="s">
        <v>1949</v>
      </c>
      <c r="C174" s="6">
        <v>44369</v>
      </c>
      <c r="D174" t="str">
        <f t="shared" si="8"/>
        <v>Jun</v>
      </c>
      <c r="E174" t="str">
        <f t="shared" si="9"/>
        <v>2021</v>
      </c>
      <c r="F174" t="s">
        <v>4</v>
      </c>
      <c r="G174" t="s">
        <v>86</v>
      </c>
      <c r="H174" t="s">
        <v>709</v>
      </c>
      <c r="I174">
        <v>220</v>
      </c>
      <c r="J174">
        <v>22</v>
      </c>
      <c r="K174">
        <f t="shared" si="10"/>
        <v>10</v>
      </c>
      <c r="L174" t="s">
        <v>1737</v>
      </c>
      <c r="M174" t="s">
        <v>3743</v>
      </c>
      <c r="N174" t="s">
        <v>1</v>
      </c>
      <c r="O174">
        <v>380015</v>
      </c>
      <c r="P174" t="s">
        <v>546</v>
      </c>
      <c r="Q174" t="s">
        <v>1770</v>
      </c>
      <c r="S174">
        <v>110.96</v>
      </c>
      <c r="T174">
        <v>2</v>
      </c>
      <c r="U174">
        <v>0</v>
      </c>
      <c r="V174">
        <v>53.260800000000003</v>
      </c>
      <c r="W174">
        <f t="shared" si="11"/>
        <v>28.849599999999995</v>
      </c>
      <c r="X174">
        <v>1</v>
      </c>
    </row>
    <row r="175" spans="1:24" x14ac:dyDescent="0.3">
      <c r="A175">
        <v>174</v>
      </c>
      <c r="B175" t="s">
        <v>1950</v>
      </c>
      <c r="C175" s="6">
        <v>44370</v>
      </c>
      <c r="D175" t="str">
        <f t="shared" si="8"/>
        <v>Jun</v>
      </c>
      <c r="E175" t="str">
        <f t="shared" si="9"/>
        <v>2021</v>
      </c>
      <c r="F175" t="s">
        <v>4</v>
      </c>
      <c r="G175" t="s">
        <v>86</v>
      </c>
      <c r="H175" t="s">
        <v>710</v>
      </c>
      <c r="I175">
        <v>230</v>
      </c>
      <c r="J175">
        <v>22</v>
      </c>
      <c r="K175">
        <f t="shared" si="10"/>
        <v>9.5652173913043477</v>
      </c>
      <c r="L175" t="s">
        <v>1741</v>
      </c>
      <c r="M175" t="s">
        <v>3744</v>
      </c>
      <c r="N175" t="s">
        <v>1</v>
      </c>
      <c r="O175">
        <v>400610</v>
      </c>
      <c r="P175" t="s">
        <v>546</v>
      </c>
      <c r="Q175" t="s">
        <v>1755</v>
      </c>
      <c r="R175" t="s">
        <v>2</v>
      </c>
      <c r="S175">
        <v>340.14400000000001</v>
      </c>
      <c r="T175">
        <v>7</v>
      </c>
      <c r="U175">
        <v>0.2</v>
      </c>
      <c r="V175">
        <v>21.259</v>
      </c>
      <c r="W175">
        <f t="shared" si="11"/>
        <v>45.555</v>
      </c>
      <c r="X175">
        <v>2</v>
      </c>
    </row>
    <row r="176" spans="1:24" x14ac:dyDescent="0.3">
      <c r="A176">
        <v>175</v>
      </c>
      <c r="B176" t="s">
        <v>1951</v>
      </c>
      <c r="C176" s="6">
        <v>44371</v>
      </c>
      <c r="D176" t="str">
        <f t="shared" si="8"/>
        <v>Jun</v>
      </c>
      <c r="E176" t="str">
        <f t="shared" si="9"/>
        <v>2021</v>
      </c>
      <c r="F176" t="s">
        <v>4</v>
      </c>
      <c r="G176" t="s">
        <v>87</v>
      </c>
      <c r="H176" t="s">
        <v>711</v>
      </c>
      <c r="I176">
        <v>240</v>
      </c>
      <c r="J176">
        <v>14</v>
      </c>
      <c r="K176">
        <f t="shared" si="10"/>
        <v>5.833333333333333</v>
      </c>
      <c r="L176" t="s">
        <v>1736</v>
      </c>
      <c r="M176" t="s">
        <v>3745</v>
      </c>
      <c r="N176" t="s">
        <v>1</v>
      </c>
      <c r="O176">
        <v>440022</v>
      </c>
      <c r="P176" t="s">
        <v>546</v>
      </c>
      <c r="Q176" t="s">
        <v>1755</v>
      </c>
      <c r="R176" t="s">
        <v>2</v>
      </c>
      <c r="S176">
        <v>52.448</v>
      </c>
      <c r="T176">
        <v>2</v>
      </c>
      <c r="U176">
        <v>0.8</v>
      </c>
      <c r="V176">
        <v>-131.12</v>
      </c>
      <c r="W176">
        <f t="shared" si="11"/>
        <v>91.784000000000006</v>
      </c>
      <c r="X176">
        <v>5</v>
      </c>
    </row>
    <row r="177" spans="1:24" x14ac:dyDescent="0.3">
      <c r="A177">
        <v>176</v>
      </c>
      <c r="B177" t="s">
        <v>1952</v>
      </c>
      <c r="C177" s="6">
        <v>44372</v>
      </c>
      <c r="D177" t="str">
        <f t="shared" si="8"/>
        <v>Jun</v>
      </c>
      <c r="E177" t="str">
        <f t="shared" si="9"/>
        <v>2021</v>
      </c>
      <c r="F177" t="s">
        <v>4</v>
      </c>
      <c r="G177" t="s">
        <v>87</v>
      </c>
      <c r="H177" t="s">
        <v>712</v>
      </c>
      <c r="I177">
        <v>130</v>
      </c>
      <c r="J177">
        <v>20</v>
      </c>
      <c r="K177">
        <f t="shared" si="10"/>
        <v>15.384615384615385</v>
      </c>
      <c r="L177" t="s">
        <v>1744</v>
      </c>
      <c r="M177" t="s">
        <v>3746</v>
      </c>
      <c r="N177" t="s">
        <v>1</v>
      </c>
      <c r="O177">
        <v>380054</v>
      </c>
      <c r="P177" t="s">
        <v>546</v>
      </c>
      <c r="Q177" t="s">
        <v>1773</v>
      </c>
      <c r="S177">
        <v>20.16</v>
      </c>
      <c r="T177">
        <v>4</v>
      </c>
      <c r="U177">
        <v>0.2</v>
      </c>
      <c r="V177">
        <v>6.5519999999999996</v>
      </c>
      <c r="W177">
        <f t="shared" si="11"/>
        <v>3.4020000000000001</v>
      </c>
      <c r="X177">
        <v>3</v>
      </c>
    </row>
    <row r="178" spans="1:24" x14ac:dyDescent="0.3">
      <c r="A178">
        <v>177</v>
      </c>
      <c r="B178" t="s">
        <v>1953</v>
      </c>
      <c r="C178" s="6">
        <v>44373</v>
      </c>
      <c r="D178" t="str">
        <f t="shared" si="8"/>
        <v>Jun</v>
      </c>
      <c r="E178" t="str">
        <f t="shared" si="9"/>
        <v>2021</v>
      </c>
      <c r="F178" t="s">
        <v>3</v>
      </c>
      <c r="G178" t="s">
        <v>88</v>
      </c>
      <c r="H178" t="s">
        <v>713</v>
      </c>
      <c r="I178">
        <v>190</v>
      </c>
      <c r="J178">
        <v>28</v>
      </c>
      <c r="K178">
        <f t="shared" si="10"/>
        <v>14.736842105263156</v>
      </c>
      <c r="L178" t="s">
        <v>1740</v>
      </c>
      <c r="M178" t="s">
        <v>3586</v>
      </c>
      <c r="N178" t="s">
        <v>1</v>
      </c>
      <c r="O178">
        <v>201309</v>
      </c>
      <c r="P178" t="s">
        <v>546</v>
      </c>
      <c r="Q178" t="s">
        <v>1759</v>
      </c>
      <c r="S178">
        <v>97.263999999999996</v>
      </c>
      <c r="T178">
        <v>4</v>
      </c>
      <c r="U178">
        <v>0.8</v>
      </c>
      <c r="V178">
        <v>-243.16</v>
      </c>
      <c r="W178">
        <f t="shared" si="11"/>
        <v>85.105999999999995</v>
      </c>
      <c r="X178">
        <v>5</v>
      </c>
    </row>
    <row r="179" spans="1:24" x14ac:dyDescent="0.3">
      <c r="A179">
        <v>178</v>
      </c>
      <c r="B179" t="s">
        <v>1954</v>
      </c>
      <c r="C179" s="6">
        <v>44374</v>
      </c>
      <c r="D179" t="str">
        <f t="shared" si="8"/>
        <v>Jun</v>
      </c>
      <c r="E179" t="str">
        <f t="shared" si="9"/>
        <v>2021</v>
      </c>
      <c r="F179" t="s">
        <v>3</v>
      </c>
      <c r="G179" t="s">
        <v>39</v>
      </c>
      <c r="H179" t="s">
        <v>714</v>
      </c>
      <c r="I179">
        <v>240</v>
      </c>
      <c r="J179">
        <v>24</v>
      </c>
      <c r="K179">
        <f t="shared" si="10"/>
        <v>10</v>
      </c>
      <c r="L179" t="s">
        <v>1742</v>
      </c>
      <c r="M179" t="s">
        <v>3676</v>
      </c>
      <c r="N179" t="s">
        <v>1</v>
      </c>
      <c r="O179">
        <v>411048</v>
      </c>
      <c r="P179" t="s">
        <v>546</v>
      </c>
      <c r="Q179" t="s">
        <v>1768</v>
      </c>
      <c r="R179" t="s">
        <v>2</v>
      </c>
      <c r="S179">
        <v>396.80200000000002</v>
      </c>
      <c r="T179">
        <v>7</v>
      </c>
      <c r="U179">
        <v>0.3</v>
      </c>
      <c r="V179">
        <v>-11.337199999999999</v>
      </c>
      <c r="W179">
        <f t="shared" si="11"/>
        <v>58.305600000000005</v>
      </c>
      <c r="X179">
        <v>3</v>
      </c>
    </row>
    <row r="180" spans="1:24" x14ac:dyDescent="0.3">
      <c r="A180">
        <v>179</v>
      </c>
      <c r="B180" t="s">
        <v>1955</v>
      </c>
      <c r="C180" s="6">
        <v>44375</v>
      </c>
      <c r="D180" t="str">
        <f t="shared" si="8"/>
        <v>Jun</v>
      </c>
      <c r="E180" t="str">
        <f t="shared" si="9"/>
        <v>2021</v>
      </c>
      <c r="F180" t="s">
        <v>3</v>
      </c>
      <c r="G180" t="s">
        <v>39</v>
      </c>
      <c r="H180" t="s">
        <v>715</v>
      </c>
      <c r="I180">
        <v>150</v>
      </c>
      <c r="J180">
        <v>26</v>
      </c>
      <c r="K180">
        <f t="shared" si="10"/>
        <v>17.333333333333336</v>
      </c>
      <c r="L180" t="s">
        <v>1739</v>
      </c>
      <c r="M180" t="s">
        <v>3657</v>
      </c>
      <c r="O180">
        <v>122102</v>
      </c>
      <c r="P180" t="s">
        <v>546</v>
      </c>
      <c r="Q180" t="s">
        <v>1761</v>
      </c>
      <c r="S180">
        <v>15.88</v>
      </c>
      <c r="T180">
        <v>5</v>
      </c>
      <c r="U180">
        <v>0.2</v>
      </c>
      <c r="V180">
        <v>-3.7715000000000001</v>
      </c>
      <c r="W180">
        <f t="shared" si="11"/>
        <v>3.9303000000000003</v>
      </c>
      <c r="X180">
        <v>1</v>
      </c>
    </row>
    <row r="181" spans="1:24" x14ac:dyDescent="0.3">
      <c r="A181">
        <v>180</v>
      </c>
      <c r="B181" t="s">
        <v>1956</v>
      </c>
      <c r="C181" s="6">
        <v>44376</v>
      </c>
      <c r="D181" t="str">
        <f t="shared" si="8"/>
        <v>Jun</v>
      </c>
      <c r="E181" t="str">
        <f t="shared" si="9"/>
        <v>2021</v>
      </c>
      <c r="F181" t="s">
        <v>4</v>
      </c>
      <c r="G181" t="s">
        <v>89</v>
      </c>
      <c r="H181" t="s">
        <v>716</v>
      </c>
      <c r="I181">
        <v>200</v>
      </c>
      <c r="J181">
        <v>30</v>
      </c>
      <c r="K181">
        <f t="shared" si="10"/>
        <v>15</v>
      </c>
      <c r="L181" t="s">
        <v>1738</v>
      </c>
      <c r="M181" t="s">
        <v>3618</v>
      </c>
      <c r="N181" t="s">
        <v>1</v>
      </c>
      <c r="O181">
        <v>560077</v>
      </c>
      <c r="P181" t="s">
        <v>546</v>
      </c>
      <c r="Q181" t="s">
        <v>1761</v>
      </c>
      <c r="S181">
        <v>3.28</v>
      </c>
      <c r="T181">
        <v>1</v>
      </c>
      <c r="U181">
        <v>0</v>
      </c>
      <c r="V181">
        <v>1.4104000000000001</v>
      </c>
      <c r="W181">
        <f t="shared" si="11"/>
        <v>1.8695999999999997</v>
      </c>
      <c r="X181">
        <v>3</v>
      </c>
    </row>
    <row r="182" spans="1:24" x14ac:dyDescent="0.3">
      <c r="A182">
        <v>181</v>
      </c>
      <c r="B182" t="s">
        <v>1957</v>
      </c>
      <c r="C182" s="6">
        <v>44377</v>
      </c>
      <c r="D182" t="str">
        <f t="shared" si="8"/>
        <v>Jun</v>
      </c>
      <c r="E182" t="str">
        <f t="shared" si="9"/>
        <v>2021</v>
      </c>
      <c r="F182" t="s">
        <v>3</v>
      </c>
      <c r="G182" t="s">
        <v>90</v>
      </c>
      <c r="H182" t="s">
        <v>717</v>
      </c>
      <c r="I182">
        <v>160</v>
      </c>
      <c r="J182">
        <v>24</v>
      </c>
      <c r="K182">
        <f t="shared" si="10"/>
        <v>15</v>
      </c>
      <c r="L182" t="s">
        <v>1737</v>
      </c>
      <c r="M182" t="s">
        <v>3579</v>
      </c>
      <c r="N182" t="s">
        <v>1</v>
      </c>
      <c r="O182">
        <v>560075</v>
      </c>
      <c r="P182" t="s">
        <v>546</v>
      </c>
      <c r="Q182" t="s">
        <v>1771</v>
      </c>
      <c r="S182">
        <v>24.815999999999999</v>
      </c>
      <c r="T182">
        <v>2</v>
      </c>
      <c r="U182">
        <v>0.2</v>
      </c>
      <c r="V182">
        <v>1.8612</v>
      </c>
      <c r="W182">
        <f t="shared" si="11"/>
        <v>11.477399999999999</v>
      </c>
      <c r="X182">
        <v>1</v>
      </c>
    </row>
    <row r="183" spans="1:24" x14ac:dyDescent="0.3">
      <c r="A183">
        <v>182</v>
      </c>
      <c r="B183" t="s">
        <v>1958</v>
      </c>
      <c r="C183" s="6">
        <v>44378</v>
      </c>
      <c r="D183" t="str">
        <f t="shared" si="8"/>
        <v>Jul</v>
      </c>
      <c r="E183" t="str">
        <f t="shared" si="9"/>
        <v>2021</v>
      </c>
      <c r="F183" t="s">
        <v>3</v>
      </c>
      <c r="G183" t="s">
        <v>90</v>
      </c>
      <c r="H183" t="s">
        <v>718</v>
      </c>
      <c r="I183">
        <v>170</v>
      </c>
      <c r="J183">
        <v>8</v>
      </c>
      <c r="K183">
        <f t="shared" si="10"/>
        <v>4.7058823529411766</v>
      </c>
      <c r="L183" t="s">
        <v>1743</v>
      </c>
      <c r="M183" t="s">
        <v>3580</v>
      </c>
      <c r="N183" t="s">
        <v>1</v>
      </c>
      <c r="O183">
        <v>690109</v>
      </c>
      <c r="P183" t="s">
        <v>546</v>
      </c>
      <c r="Q183" t="s">
        <v>1762</v>
      </c>
      <c r="S183">
        <v>408.74400000000003</v>
      </c>
      <c r="T183">
        <v>7</v>
      </c>
      <c r="U183">
        <v>0.2</v>
      </c>
      <c r="V183">
        <v>76.639499999999998</v>
      </c>
      <c r="W183">
        <f t="shared" si="11"/>
        <v>47.443500000000007</v>
      </c>
      <c r="X183">
        <v>2</v>
      </c>
    </row>
    <row r="184" spans="1:24" x14ac:dyDescent="0.3">
      <c r="A184">
        <v>183</v>
      </c>
      <c r="B184" t="s">
        <v>1959</v>
      </c>
      <c r="C184" s="6">
        <v>44379</v>
      </c>
      <c r="D184" t="str">
        <f t="shared" si="8"/>
        <v>Jul</v>
      </c>
      <c r="E184" t="str">
        <f t="shared" si="9"/>
        <v>2021</v>
      </c>
      <c r="F184" t="s">
        <v>3</v>
      </c>
      <c r="G184" t="s">
        <v>91</v>
      </c>
      <c r="H184" t="s">
        <v>719</v>
      </c>
      <c r="I184">
        <v>230</v>
      </c>
      <c r="J184">
        <v>6</v>
      </c>
      <c r="K184">
        <f t="shared" si="10"/>
        <v>2.6086956521739131</v>
      </c>
      <c r="L184" t="s">
        <v>1739</v>
      </c>
      <c r="M184" t="s">
        <v>3581</v>
      </c>
      <c r="N184" t="s">
        <v>1</v>
      </c>
      <c r="O184">
        <v>224001</v>
      </c>
      <c r="P184" t="s">
        <v>546</v>
      </c>
      <c r="Q184" t="s">
        <v>1769</v>
      </c>
      <c r="S184">
        <v>503.96</v>
      </c>
      <c r="T184">
        <v>4</v>
      </c>
      <c r="U184">
        <v>0</v>
      </c>
      <c r="V184">
        <v>131.02959999999999</v>
      </c>
      <c r="W184">
        <f t="shared" si="11"/>
        <v>93.232599999999991</v>
      </c>
      <c r="X184">
        <v>3</v>
      </c>
    </row>
    <row r="185" spans="1:24" x14ac:dyDescent="0.3">
      <c r="A185">
        <v>184</v>
      </c>
      <c r="B185" t="s">
        <v>1960</v>
      </c>
      <c r="C185" s="6">
        <v>44380</v>
      </c>
      <c r="D185" t="str">
        <f t="shared" si="8"/>
        <v>Jul</v>
      </c>
      <c r="E185" t="str">
        <f t="shared" si="9"/>
        <v>2021</v>
      </c>
      <c r="F185" t="s">
        <v>3</v>
      </c>
      <c r="G185" t="s">
        <v>91</v>
      </c>
      <c r="H185" t="s">
        <v>720</v>
      </c>
      <c r="I185">
        <v>170</v>
      </c>
      <c r="J185">
        <v>20</v>
      </c>
      <c r="K185">
        <f t="shared" si="10"/>
        <v>11.76470588235294</v>
      </c>
      <c r="L185" t="s">
        <v>1736</v>
      </c>
      <c r="M185" t="s">
        <v>3582</v>
      </c>
      <c r="N185" t="s">
        <v>1</v>
      </c>
      <c r="O185">
        <v>600115</v>
      </c>
      <c r="P185" t="s">
        <v>546</v>
      </c>
      <c r="Q185" t="s">
        <v>1767</v>
      </c>
      <c r="R185" t="s">
        <v>2</v>
      </c>
      <c r="S185">
        <v>149.94999999999999</v>
      </c>
      <c r="T185">
        <v>5</v>
      </c>
      <c r="U185">
        <v>0</v>
      </c>
      <c r="V185">
        <v>41.985999999999997</v>
      </c>
      <c r="W185">
        <f t="shared" si="11"/>
        <v>21.5928</v>
      </c>
      <c r="X185">
        <v>3</v>
      </c>
    </row>
    <row r="186" spans="1:24" x14ac:dyDescent="0.3">
      <c r="A186">
        <v>185</v>
      </c>
      <c r="B186" t="s">
        <v>1961</v>
      </c>
      <c r="C186" s="6">
        <v>44381</v>
      </c>
      <c r="D186" t="str">
        <f t="shared" si="8"/>
        <v>Jul</v>
      </c>
      <c r="E186" t="str">
        <f t="shared" si="9"/>
        <v>2021</v>
      </c>
      <c r="F186" t="s">
        <v>3</v>
      </c>
      <c r="G186" t="s">
        <v>91</v>
      </c>
      <c r="H186" t="s">
        <v>721</v>
      </c>
      <c r="I186">
        <v>240</v>
      </c>
      <c r="J186">
        <v>18</v>
      </c>
      <c r="K186">
        <f t="shared" si="10"/>
        <v>7.5</v>
      </c>
      <c r="L186" t="s">
        <v>1738</v>
      </c>
      <c r="M186" t="s">
        <v>3583</v>
      </c>
      <c r="N186" t="s">
        <v>1</v>
      </c>
      <c r="O186">
        <v>686006</v>
      </c>
      <c r="P186" t="s">
        <v>546</v>
      </c>
      <c r="Q186" t="s">
        <v>1759</v>
      </c>
      <c r="S186">
        <v>29</v>
      </c>
      <c r="T186">
        <v>2</v>
      </c>
      <c r="U186">
        <v>0</v>
      </c>
      <c r="V186">
        <v>7.25</v>
      </c>
      <c r="W186">
        <f t="shared" si="11"/>
        <v>10.875</v>
      </c>
      <c r="X186">
        <v>5</v>
      </c>
    </row>
    <row r="187" spans="1:24" x14ac:dyDescent="0.3">
      <c r="A187">
        <v>186</v>
      </c>
      <c r="B187" t="s">
        <v>1962</v>
      </c>
      <c r="C187" s="6">
        <v>44382</v>
      </c>
      <c r="D187" t="str">
        <f t="shared" si="8"/>
        <v>Jul</v>
      </c>
      <c r="E187" t="str">
        <f t="shared" si="9"/>
        <v>2021</v>
      </c>
      <c r="F187" t="s">
        <v>4</v>
      </c>
      <c r="G187" t="s">
        <v>92</v>
      </c>
      <c r="H187" t="s">
        <v>722</v>
      </c>
      <c r="I187">
        <v>210</v>
      </c>
      <c r="J187">
        <v>20</v>
      </c>
      <c r="K187">
        <f t="shared" si="10"/>
        <v>9.5238095238095237</v>
      </c>
      <c r="L187" t="s">
        <v>1741</v>
      </c>
      <c r="M187" t="s">
        <v>3584</v>
      </c>
      <c r="N187" t="s">
        <v>1</v>
      </c>
      <c r="O187">
        <v>400018</v>
      </c>
      <c r="P187" t="s">
        <v>546</v>
      </c>
      <c r="Q187" t="s">
        <v>1759</v>
      </c>
      <c r="S187">
        <v>7.16</v>
      </c>
      <c r="T187">
        <v>2</v>
      </c>
      <c r="U187">
        <v>0</v>
      </c>
      <c r="V187">
        <v>3.4367999999999999</v>
      </c>
      <c r="W187">
        <f t="shared" si="11"/>
        <v>1.8616000000000001</v>
      </c>
      <c r="X187">
        <v>2</v>
      </c>
    </row>
    <row r="188" spans="1:24" x14ac:dyDescent="0.3">
      <c r="A188">
        <v>187</v>
      </c>
      <c r="B188" t="s">
        <v>1963</v>
      </c>
      <c r="C188" s="6">
        <v>44383</v>
      </c>
      <c r="D188" t="str">
        <f t="shared" si="8"/>
        <v>Jul</v>
      </c>
      <c r="E188" t="str">
        <f t="shared" si="9"/>
        <v>2021</v>
      </c>
      <c r="F188" t="s">
        <v>4</v>
      </c>
      <c r="G188" t="s">
        <v>93</v>
      </c>
      <c r="H188" t="s">
        <v>723</v>
      </c>
      <c r="I188">
        <v>200</v>
      </c>
      <c r="J188">
        <v>22</v>
      </c>
      <c r="K188">
        <f t="shared" si="10"/>
        <v>11</v>
      </c>
      <c r="L188" t="s">
        <v>1744</v>
      </c>
      <c r="M188" t="s">
        <v>3585</v>
      </c>
      <c r="O188">
        <v>500010</v>
      </c>
      <c r="P188" t="s">
        <v>546</v>
      </c>
      <c r="Q188" t="s">
        <v>1763</v>
      </c>
      <c r="S188">
        <v>176.8</v>
      </c>
      <c r="T188">
        <v>8</v>
      </c>
      <c r="U188">
        <v>0</v>
      </c>
      <c r="V188">
        <v>22.984000000000002</v>
      </c>
      <c r="W188">
        <f t="shared" si="11"/>
        <v>19.227</v>
      </c>
      <c r="X188">
        <v>1</v>
      </c>
    </row>
    <row r="189" spans="1:24" x14ac:dyDescent="0.3">
      <c r="A189">
        <v>188</v>
      </c>
      <c r="B189" t="s">
        <v>1964</v>
      </c>
      <c r="C189" s="6">
        <v>44384</v>
      </c>
      <c r="D189" t="str">
        <f t="shared" si="8"/>
        <v>Jul</v>
      </c>
      <c r="E189" t="str">
        <f t="shared" si="9"/>
        <v>2021</v>
      </c>
      <c r="F189" t="s">
        <v>4</v>
      </c>
      <c r="G189" t="s">
        <v>94</v>
      </c>
      <c r="H189" t="s">
        <v>724</v>
      </c>
      <c r="I189">
        <v>160</v>
      </c>
      <c r="J189">
        <v>28</v>
      </c>
      <c r="K189">
        <f t="shared" si="10"/>
        <v>17.5</v>
      </c>
      <c r="L189" t="s">
        <v>1740</v>
      </c>
      <c r="M189" t="s">
        <v>3586</v>
      </c>
      <c r="O189">
        <v>445202</v>
      </c>
      <c r="P189" t="s">
        <v>546</v>
      </c>
      <c r="Q189" t="s">
        <v>1773</v>
      </c>
      <c r="S189">
        <v>37.223999999999997</v>
      </c>
      <c r="T189">
        <v>3</v>
      </c>
      <c r="U189">
        <v>0.2</v>
      </c>
      <c r="V189">
        <v>3.7223999999999999</v>
      </c>
      <c r="W189">
        <f t="shared" si="11"/>
        <v>11.167199999999999</v>
      </c>
      <c r="X189">
        <v>3</v>
      </c>
    </row>
    <row r="190" spans="1:24" x14ac:dyDescent="0.3">
      <c r="A190">
        <v>189</v>
      </c>
      <c r="B190" t="s">
        <v>1965</v>
      </c>
      <c r="C190" s="6">
        <v>44385</v>
      </c>
      <c r="D190" t="str">
        <f t="shared" si="8"/>
        <v>Jul</v>
      </c>
      <c r="E190" t="str">
        <f t="shared" si="9"/>
        <v>2021</v>
      </c>
      <c r="F190" t="s">
        <v>4</v>
      </c>
      <c r="G190" t="s">
        <v>94</v>
      </c>
      <c r="H190" t="s">
        <v>691</v>
      </c>
      <c r="I190">
        <v>230</v>
      </c>
      <c r="J190">
        <v>16</v>
      </c>
      <c r="K190">
        <f t="shared" si="10"/>
        <v>6.9565217391304346</v>
      </c>
      <c r="L190" t="s">
        <v>1742</v>
      </c>
      <c r="M190" t="s">
        <v>3587</v>
      </c>
      <c r="N190" t="s">
        <v>1</v>
      </c>
      <c r="O190">
        <v>445202</v>
      </c>
      <c r="P190" t="s">
        <v>546</v>
      </c>
      <c r="Q190" t="s">
        <v>1770</v>
      </c>
      <c r="R190" t="s">
        <v>2</v>
      </c>
      <c r="S190">
        <v>20.015999999999998</v>
      </c>
      <c r="T190">
        <v>3</v>
      </c>
      <c r="U190">
        <v>0.2</v>
      </c>
      <c r="V190">
        <v>6.2549999999999999</v>
      </c>
      <c r="W190">
        <f t="shared" si="11"/>
        <v>4.5869999999999997</v>
      </c>
      <c r="X190">
        <v>5</v>
      </c>
    </row>
    <row r="191" spans="1:24" x14ac:dyDescent="0.3">
      <c r="A191">
        <v>190</v>
      </c>
      <c r="B191" t="s">
        <v>1966</v>
      </c>
      <c r="C191" s="6">
        <v>44386</v>
      </c>
      <c r="D191" t="str">
        <f t="shared" si="8"/>
        <v>Jul</v>
      </c>
      <c r="E191" t="str">
        <f t="shared" si="9"/>
        <v>2021</v>
      </c>
      <c r="F191" t="s">
        <v>5</v>
      </c>
      <c r="G191" t="s">
        <v>95</v>
      </c>
      <c r="H191" t="s">
        <v>725</v>
      </c>
      <c r="I191">
        <v>130</v>
      </c>
      <c r="J191">
        <v>8</v>
      </c>
      <c r="K191">
        <f t="shared" si="10"/>
        <v>6.1538461538461542</v>
      </c>
      <c r="L191" t="s">
        <v>1739</v>
      </c>
      <c r="M191" t="s">
        <v>3588</v>
      </c>
      <c r="N191" t="s">
        <v>1</v>
      </c>
      <c r="O191">
        <v>500035</v>
      </c>
      <c r="P191" t="s">
        <v>546</v>
      </c>
      <c r="Q191" t="s">
        <v>1755</v>
      </c>
      <c r="S191">
        <v>899.13599999999997</v>
      </c>
      <c r="T191">
        <v>4</v>
      </c>
      <c r="U191">
        <v>0.2</v>
      </c>
      <c r="V191">
        <v>112.392</v>
      </c>
      <c r="W191">
        <f t="shared" si="11"/>
        <v>196.68599999999998</v>
      </c>
      <c r="X191">
        <v>2</v>
      </c>
    </row>
    <row r="192" spans="1:24" x14ac:dyDescent="0.3">
      <c r="A192">
        <v>191</v>
      </c>
      <c r="B192" t="s">
        <v>1967</v>
      </c>
      <c r="C192" s="6">
        <v>44387</v>
      </c>
      <c r="D192" t="str">
        <f t="shared" si="8"/>
        <v>Jul</v>
      </c>
      <c r="E192" t="str">
        <f t="shared" si="9"/>
        <v>2021</v>
      </c>
      <c r="F192" t="s">
        <v>5</v>
      </c>
      <c r="G192" t="s">
        <v>95</v>
      </c>
      <c r="H192" t="s">
        <v>726</v>
      </c>
      <c r="I192">
        <v>190</v>
      </c>
      <c r="J192">
        <v>26</v>
      </c>
      <c r="K192">
        <f t="shared" si="10"/>
        <v>13.684210526315791</v>
      </c>
      <c r="L192" t="s">
        <v>1738</v>
      </c>
      <c r="M192" t="s">
        <v>3589</v>
      </c>
      <c r="N192" t="s">
        <v>1</v>
      </c>
      <c r="O192">
        <v>422009</v>
      </c>
      <c r="P192" t="s">
        <v>546</v>
      </c>
      <c r="Q192" t="s">
        <v>1761</v>
      </c>
      <c r="S192">
        <v>71.760000000000005</v>
      </c>
      <c r="T192">
        <v>6</v>
      </c>
      <c r="U192">
        <v>0</v>
      </c>
      <c r="V192">
        <v>20.0928</v>
      </c>
      <c r="W192">
        <f t="shared" si="11"/>
        <v>8.611200000000002</v>
      </c>
      <c r="X192">
        <v>3</v>
      </c>
    </row>
    <row r="193" spans="1:24" x14ac:dyDescent="0.3">
      <c r="A193">
        <v>192</v>
      </c>
      <c r="B193" t="s">
        <v>1968</v>
      </c>
      <c r="C193" s="6">
        <v>44388</v>
      </c>
      <c r="D193" t="str">
        <f t="shared" si="8"/>
        <v>Jul</v>
      </c>
      <c r="E193" t="str">
        <f t="shared" si="9"/>
        <v>2021</v>
      </c>
      <c r="F193" t="s">
        <v>5</v>
      </c>
      <c r="G193" t="s">
        <v>95</v>
      </c>
      <c r="H193" t="s">
        <v>727</v>
      </c>
      <c r="I193">
        <v>200</v>
      </c>
      <c r="J193">
        <v>6</v>
      </c>
      <c r="K193">
        <f t="shared" si="10"/>
        <v>3</v>
      </c>
      <c r="L193" t="s">
        <v>1743</v>
      </c>
      <c r="M193" t="s">
        <v>3590</v>
      </c>
      <c r="O193">
        <v>560037</v>
      </c>
      <c r="P193" t="s">
        <v>546</v>
      </c>
      <c r="Q193" t="s">
        <v>1761</v>
      </c>
      <c r="S193">
        <v>51.84</v>
      </c>
      <c r="T193">
        <v>8</v>
      </c>
      <c r="U193">
        <v>0</v>
      </c>
      <c r="V193">
        <v>24.883199999999999</v>
      </c>
      <c r="W193">
        <f t="shared" si="11"/>
        <v>3.3696000000000006</v>
      </c>
      <c r="X193">
        <v>3</v>
      </c>
    </row>
    <row r="194" spans="1:24" x14ac:dyDescent="0.3">
      <c r="A194">
        <v>193</v>
      </c>
      <c r="B194" t="s">
        <v>1969</v>
      </c>
      <c r="C194" s="6">
        <v>44389</v>
      </c>
      <c r="D194" t="str">
        <f t="shared" si="8"/>
        <v>Jul</v>
      </c>
      <c r="E194" t="str">
        <f t="shared" si="9"/>
        <v>2021</v>
      </c>
      <c r="F194" t="s">
        <v>5</v>
      </c>
      <c r="G194" t="s">
        <v>95</v>
      </c>
      <c r="H194" t="s">
        <v>584</v>
      </c>
      <c r="I194">
        <v>160</v>
      </c>
      <c r="J194">
        <v>24</v>
      </c>
      <c r="K194">
        <f t="shared" si="10"/>
        <v>15</v>
      </c>
      <c r="L194" t="s">
        <v>1741</v>
      </c>
      <c r="M194" t="s">
        <v>3591</v>
      </c>
      <c r="N194" t="s">
        <v>1</v>
      </c>
      <c r="O194">
        <v>600010</v>
      </c>
      <c r="P194" t="s">
        <v>546</v>
      </c>
      <c r="Q194" t="s">
        <v>1760</v>
      </c>
      <c r="S194">
        <v>626.35199999999998</v>
      </c>
      <c r="T194">
        <v>3</v>
      </c>
      <c r="U194">
        <v>0.2</v>
      </c>
      <c r="V194">
        <v>46.976399999999998</v>
      </c>
      <c r="W194">
        <f t="shared" si="11"/>
        <v>193.12519999999998</v>
      </c>
      <c r="X194">
        <v>2</v>
      </c>
    </row>
    <row r="195" spans="1:24" x14ac:dyDescent="0.3">
      <c r="A195">
        <v>194</v>
      </c>
      <c r="B195" t="s">
        <v>1970</v>
      </c>
      <c r="C195" s="6">
        <v>44390</v>
      </c>
      <c r="D195" t="str">
        <f t="shared" ref="D195:D258" si="12">TEXT(C195,"Mmm")</f>
        <v>Jul</v>
      </c>
      <c r="E195" t="str">
        <f t="shared" ref="E195:E258" si="13">TEXT(C195,"YYYY")</f>
        <v>2021</v>
      </c>
      <c r="F195" t="s">
        <v>5</v>
      </c>
      <c r="G195" t="s">
        <v>95</v>
      </c>
      <c r="H195" t="s">
        <v>728</v>
      </c>
      <c r="I195">
        <v>220</v>
      </c>
      <c r="J195">
        <v>18</v>
      </c>
      <c r="K195">
        <f t="shared" ref="K195:K258" si="14">(J195/I195)*100</f>
        <v>8.1818181818181817</v>
      </c>
      <c r="L195" t="s">
        <v>1737</v>
      </c>
      <c r="M195" t="s">
        <v>3592</v>
      </c>
      <c r="N195" t="s">
        <v>1</v>
      </c>
      <c r="O195">
        <v>382007</v>
      </c>
      <c r="P195" t="s">
        <v>546</v>
      </c>
      <c r="Q195" t="s">
        <v>1758</v>
      </c>
      <c r="S195">
        <v>19.899999999999999</v>
      </c>
      <c r="T195">
        <v>5</v>
      </c>
      <c r="U195">
        <v>0</v>
      </c>
      <c r="V195">
        <v>6.5670000000000002</v>
      </c>
      <c r="W195">
        <f t="shared" ref="W195:W258" si="15">(S195-V195)/T195</f>
        <v>2.6665999999999999</v>
      </c>
      <c r="X195">
        <v>5</v>
      </c>
    </row>
    <row r="196" spans="1:24" x14ac:dyDescent="0.3">
      <c r="A196">
        <v>195</v>
      </c>
      <c r="B196" t="s">
        <v>1971</v>
      </c>
      <c r="C196" s="6">
        <v>44391</v>
      </c>
      <c r="D196" t="str">
        <f t="shared" si="12"/>
        <v>Jul</v>
      </c>
      <c r="E196" t="str">
        <f t="shared" si="13"/>
        <v>2021</v>
      </c>
      <c r="F196" t="s">
        <v>4</v>
      </c>
      <c r="G196" t="s">
        <v>96</v>
      </c>
      <c r="H196" t="s">
        <v>576</v>
      </c>
      <c r="I196">
        <v>190</v>
      </c>
      <c r="J196">
        <v>10</v>
      </c>
      <c r="K196">
        <f t="shared" si="14"/>
        <v>5.2631578947368416</v>
      </c>
      <c r="L196" t="s">
        <v>1736</v>
      </c>
      <c r="M196" t="s">
        <v>3593</v>
      </c>
      <c r="N196" t="s">
        <v>1</v>
      </c>
      <c r="O196">
        <v>411005</v>
      </c>
      <c r="P196" t="s">
        <v>546</v>
      </c>
      <c r="Q196" t="s">
        <v>1774</v>
      </c>
      <c r="S196">
        <v>14.28</v>
      </c>
      <c r="T196">
        <v>7</v>
      </c>
      <c r="U196">
        <v>0</v>
      </c>
      <c r="V196">
        <v>6.7115999999999998</v>
      </c>
      <c r="W196">
        <f t="shared" si="15"/>
        <v>1.0811999999999999</v>
      </c>
      <c r="X196">
        <v>2</v>
      </c>
    </row>
    <row r="197" spans="1:24" x14ac:dyDescent="0.3">
      <c r="A197">
        <v>196</v>
      </c>
      <c r="B197" t="s">
        <v>1972</v>
      </c>
      <c r="C197" s="6">
        <v>44392</v>
      </c>
      <c r="D197" t="str">
        <f t="shared" si="12"/>
        <v>Jul</v>
      </c>
      <c r="E197" t="str">
        <f t="shared" si="13"/>
        <v>2021</v>
      </c>
      <c r="F197" t="s">
        <v>4</v>
      </c>
      <c r="G197" t="s">
        <v>97</v>
      </c>
      <c r="H197" t="s">
        <v>729</v>
      </c>
      <c r="I197">
        <v>250</v>
      </c>
      <c r="J197">
        <v>10</v>
      </c>
      <c r="K197">
        <f t="shared" si="14"/>
        <v>4</v>
      </c>
      <c r="L197" t="s">
        <v>1739</v>
      </c>
      <c r="M197" t="s">
        <v>3594</v>
      </c>
      <c r="N197" t="s">
        <v>1</v>
      </c>
      <c r="O197">
        <v>121008</v>
      </c>
      <c r="P197" t="s">
        <v>546</v>
      </c>
      <c r="Q197" t="s">
        <v>1767</v>
      </c>
      <c r="S197">
        <v>7.4080000000000004</v>
      </c>
      <c r="T197">
        <v>2</v>
      </c>
      <c r="U197">
        <v>0.2</v>
      </c>
      <c r="V197">
        <v>1.2038</v>
      </c>
      <c r="W197">
        <f t="shared" si="15"/>
        <v>3.1021000000000001</v>
      </c>
      <c r="X197">
        <v>1</v>
      </c>
    </row>
    <row r="198" spans="1:24" x14ac:dyDescent="0.3">
      <c r="A198">
        <v>197</v>
      </c>
      <c r="B198" t="s">
        <v>1973</v>
      </c>
      <c r="C198" s="6">
        <v>44393</v>
      </c>
      <c r="D198" t="str">
        <f t="shared" si="12"/>
        <v>Jul</v>
      </c>
      <c r="E198" t="str">
        <f t="shared" si="13"/>
        <v>2021</v>
      </c>
      <c r="F198" t="s">
        <v>4</v>
      </c>
      <c r="G198" t="s">
        <v>97</v>
      </c>
      <c r="H198" t="s">
        <v>730</v>
      </c>
      <c r="I198">
        <v>130</v>
      </c>
      <c r="J198">
        <v>22</v>
      </c>
      <c r="K198">
        <f t="shared" si="14"/>
        <v>16.923076923076923</v>
      </c>
      <c r="L198" t="s">
        <v>1738</v>
      </c>
      <c r="M198" t="s">
        <v>3595</v>
      </c>
      <c r="N198" t="s">
        <v>1</v>
      </c>
      <c r="O198">
        <v>734101</v>
      </c>
      <c r="P198" t="s">
        <v>546</v>
      </c>
      <c r="Q198" t="s">
        <v>1764</v>
      </c>
      <c r="S198">
        <v>6.048</v>
      </c>
      <c r="T198">
        <v>3</v>
      </c>
      <c r="U198">
        <v>0.2</v>
      </c>
      <c r="V198">
        <v>1.5875999999999999</v>
      </c>
      <c r="W198">
        <f t="shared" si="15"/>
        <v>1.4867999999999999</v>
      </c>
      <c r="X198">
        <v>4</v>
      </c>
    </row>
    <row r="199" spans="1:24" x14ac:dyDescent="0.3">
      <c r="A199">
        <v>198</v>
      </c>
      <c r="B199" t="s">
        <v>1974</v>
      </c>
      <c r="C199" s="6">
        <v>44394</v>
      </c>
      <c r="D199" t="str">
        <f t="shared" si="12"/>
        <v>Jul</v>
      </c>
      <c r="E199" t="str">
        <f t="shared" si="13"/>
        <v>2021</v>
      </c>
      <c r="F199" t="s">
        <v>4</v>
      </c>
      <c r="G199" t="s">
        <v>98</v>
      </c>
      <c r="H199" t="s">
        <v>731</v>
      </c>
      <c r="I199">
        <v>250</v>
      </c>
      <c r="J199">
        <v>20</v>
      </c>
      <c r="K199">
        <f t="shared" si="14"/>
        <v>8</v>
      </c>
      <c r="L199" t="s">
        <v>1744</v>
      </c>
      <c r="M199" t="s">
        <v>3596</v>
      </c>
      <c r="N199" t="s">
        <v>1</v>
      </c>
      <c r="O199">
        <v>560037</v>
      </c>
      <c r="P199" t="s">
        <v>546</v>
      </c>
      <c r="Q199" t="s">
        <v>1767</v>
      </c>
      <c r="S199">
        <v>46.26</v>
      </c>
      <c r="T199">
        <v>3</v>
      </c>
      <c r="U199">
        <v>0</v>
      </c>
      <c r="V199">
        <v>12.0276</v>
      </c>
      <c r="W199">
        <f t="shared" si="15"/>
        <v>11.4108</v>
      </c>
      <c r="X199">
        <v>1</v>
      </c>
    </row>
    <row r="200" spans="1:24" x14ac:dyDescent="0.3">
      <c r="A200">
        <v>199</v>
      </c>
      <c r="B200" t="s">
        <v>1975</v>
      </c>
      <c r="C200" s="6">
        <v>44395</v>
      </c>
      <c r="D200" t="str">
        <f t="shared" si="12"/>
        <v>Jul</v>
      </c>
      <c r="E200" t="str">
        <f t="shared" si="13"/>
        <v>2021</v>
      </c>
      <c r="F200" t="s">
        <v>4</v>
      </c>
      <c r="G200" t="s">
        <v>99</v>
      </c>
      <c r="H200" t="s">
        <v>732</v>
      </c>
      <c r="I200">
        <v>200</v>
      </c>
      <c r="J200">
        <v>6</v>
      </c>
      <c r="K200">
        <f t="shared" si="14"/>
        <v>3</v>
      </c>
      <c r="L200" t="s">
        <v>1740</v>
      </c>
      <c r="M200" t="s">
        <v>3597</v>
      </c>
      <c r="N200" t="s">
        <v>1</v>
      </c>
      <c r="O200">
        <v>380052</v>
      </c>
      <c r="P200" t="s">
        <v>546</v>
      </c>
      <c r="Q200" t="s">
        <v>1757</v>
      </c>
      <c r="S200">
        <v>2.9460000000000002</v>
      </c>
      <c r="T200">
        <v>2</v>
      </c>
      <c r="U200">
        <v>0.7</v>
      </c>
      <c r="V200">
        <v>-2.2585999999999999</v>
      </c>
      <c r="W200">
        <f t="shared" si="15"/>
        <v>2.6023000000000001</v>
      </c>
      <c r="X200">
        <v>2</v>
      </c>
    </row>
    <row r="201" spans="1:24" x14ac:dyDescent="0.3">
      <c r="A201">
        <v>200</v>
      </c>
      <c r="B201" t="s">
        <v>1976</v>
      </c>
      <c r="C201" s="6">
        <v>44396</v>
      </c>
      <c r="D201" t="str">
        <f t="shared" si="12"/>
        <v>Jul</v>
      </c>
      <c r="E201" t="str">
        <f t="shared" si="13"/>
        <v>2021</v>
      </c>
      <c r="F201" t="s">
        <v>4</v>
      </c>
      <c r="G201" t="s">
        <v>99</v>
      </c>
      <c r="H201" t="s">
        <v>733</v>
      </c>
      <c r="I201">
        <v>250</v>
      </c>
      <c r="J201">
        <v>6</v>
      </c>
      <c r="K201">
        <f t="shared" si="14"/>
        <v>2.4</v>
      </c>
      <c r="L201" t="s">
        <v>1742</v>
      </c>
      <c r="M201" t="s">
        <v>3598</v>
      </c>
      <c r="O201">
        <v>382007</v>
      </c>
      <c r="P201" t="s">
        <v>546</v>
      </c>
      <c r="Q201" t="s">
        <v>1765</v>
      </c>
      <c r="S201">
        <v>16.056000000000001</v>
      </c>
      <c r="T201">
        <v>3</v>
      </c>
      <c r="U201">
        <v>0.2</v>
      </c>
      <c r="V201">
        <v>5.8202999999999996</v>
      </c>
      <c r="W201">
        <f t="shared" si="15"/>
        <v>3.4119000000000006</v>
      </c>
      <c r="X201">
        <v>3</v>
      </c>
    </row>
    <row r="202" spans="1:24" x14ac:dyDescent="0.3">
      <c r="A202">
        <v>201</v>
      </c>
      <c r="B202" t="s">
        <v>1977</v>
      </c>
      <c r="C202" s="6">
        <v>44397</v>
      </c>
      <c r="D202" t="str">
        <f t="shared" si="12"/>
        <v>Jul</v>
      </c>
      <c r="E202" t="str">
        <f t="shared" si="13"/>
        <v>2021</v>
      </c>
      <c r="F202" t="s">
        <v>4</v>
      </c>
      <c r="G202" t="s">
        <v>100</v>
      </c>
      <c r="H202" t="s">
        <v>734</v>
      </c>
      <c r="I202">
        <v>200</v>
      </c>
      <c r="J202">
        <v>28</v>
      </c>
      <c r="K202">
        <f t="shared" si="14"/>
        <v>14.000000000000002</v>
      </c>
      <c r="L202" t="s">
        <v>1739</v>
      </c>
      <c r="M202" t="s">
        <v>3747</v>
      </c>
      <c r="N202" t="s">
        <v>1</v>
      </c>
      <c r="O202">
        <v>122006</v>
      </c>
      <c r="P202" t="s">
        <v>546</v>
      </c>
      <c r="Q202" t="s">
        <v>1776</v>
      </c>
      <c r="S202">
        <v>21.744</v>
      </c>
      <c r="T202">
        <v>3</v>
      </c>
      <c r="U202">
        <v>0.2</v>
      </c>
      <c r="V202">
        <v>6.7949999999999999</v>
      </c>
      <c r="W202">
        <f t="shared" si="15"/>
        <v>4.9829999999999997</v>
      </c>
      <c r="X202">
        <v>5</v>
      </c>
    </row>
    <row r="203" spans="1:24" x14ac:dyDescent="0.3">
      <c r="A203">
        <v>202</v>
      </c>
      <c r="B203" t="s">
        <v>1978</v>
      </c>
      <c r="C203" s="6">
        <v>44398</v>
      </c>
      <c r="D203" t="str">
        <f t="shared" si="12"/>
        <v>Jul</v>
      </c>
      <c r="E203" t="str">
        <f t="shared" si="13"/>
        <v>2021</v>
      </c>
      <c r="F203" t="s">
        <v>5</v>
      </c>
      <c r="G203" t="s">
        <v>101</v>
      </c>
      <c r="H203" t="s">
        <v>735</v>
      </c>
      <c r="I203">
        <v>140</v>
      </c>
      <c r="J203">
        <v>10</v>
      </c>
      <c r="K203">
        <f t="shared" si="14"/>
        <v>7.1428571428571423</v>
      </c>
      <c r="L203" t="s">
        <v>1738</v>
      </c>
      <c r="M203" t="s">
        <v>3599</v>
      </c>
      <c r="N203" t="s">
        <v>1</v>
      </c>
      <c r="O203">
        <v>676107</v>
      </c>
      <c r="P203" t="s">
        <v>546</v>
      </c>
      <c r="Q203" t="s">
        <v>1755</v>
      </c>
      <c r="S203">
        <v>218.75</v>
      </c>
      <c r="T203">
        <v>2</v>
      </c>
      <c r="U203">
        <v>0.5</v>
      </c>
      <c r="V203">
        <v>-161.875</v>
      </c>
      <c r="W203">
        <f t="shared" si="15"/>
        <v>190.3125</v>
      </c>
      <c r="X203">
        <v>5</v>
      </c>
    </row>
    <row r="204" spans="1:24" x14ac:dyDescent="0.3">
      <c r="A204">
        <v>203</v>
      </c>
      <c r="B204" t="s">
        <v>1979</v>
      </c>
      <c r="C204" s="6">
        <v>44399</v>
      </c>
      <c r="D204" t="str">
        <f t="shared" si="12"/>
        <v>Jul</v>
      </c>
      <c r="E204" t="str">
        <f t="shared" si="13"/>
        <v>2021</v>
      </c>
      <c r="F204" t="s">
        <v>5</v>
      </c>
      <c r="G204" t="s">
        <v>101</v>
      </c>
      <c r="H204" t="s">
        <v>736</v>
      </c>
      <c r="I204">
        <v>180</v>
      </c>
      <c r="J204">
        <v>14</v>
      </c>
      <c r="K204">
        <f t="shared" si="14"/>
        <v>7.7777777777777777</v>
      </c>
      <c r="L204" t="s">
        <v>1743</v>
      </c>
      <c r="M204" t="s">
        <v>3601</v>
      </c>
      <c r="N204" t="s">
        <v>1</v>
      </c>
      <c r="O204">
        <v>600110</v>
      </c>
      <c r="P204" t="s">
        <v>546</v>
      </c>
      <c r="Q204" t="s">
        <v>1759</v>
      </c>
      <c r="R204" t="s">
        <v>2</v>
      </c>
      <c r="S204">
        <v>2.6</v>
      </c>
      <c r="T204">
        <v>1</v>
      </c>
      <c r="U204">
        <v>0.2</v>
      </c>
      <c r="V204">
        <v>0.29249999999999998</v>
      </c>
      <c r="W204">
        <f t="shared" si="15"/>
        <v>2.3075000000000001</v>
      </c>
      <c r="X204">
        <v>3</v>
      </c>
    </row>
    <row r="205" spans="1:24" x14ac:dyDescent="0.3">
      <c r="A205">
        <v>204</v>
      </c>
      <c r="B205" t="s">
        <v>1980</v>
      </c>
      <c r="C205" s="6">
        <v>44400</v>
      </c>
      <c r="D205" t="str">
        <f t="shared" si="12"/>
        <v>Jul</v>
      </c>
      <c r="E205" t="str">
        <f t="shared" si="13"/>
        <v>2021</v>
      </c>
      <c r="F205" t="s">
        <v>3</v>
      </c>
      <c r="G205" t="s">
        <v>102</v>
      </c>
      <c r="H205" t="s">
        <v>737</v>
      </c>
      <c r="I205">
        <v>200</v>
      </c>
      <c r="J205">
        <v>30</v>
      </c>
      <c r="K205">
        <f t="shared" si="14"/>
        <v>15</v>
      </c>
      <c r="L205" t="s">
        <v>1737</v>
      </c>
      <c r="M205" t="s">
        <v>3602</v>
      </c>
      <c r="N205" t="s">
        <v>1</v>
      </c>
      <c r="O205">
        <v>560001</v>
      </c>
      <c r="P205" t="s">
        <v>546</v>
      </c>
      <c r="Q205" t="s">
        <v>1766</v>
      </c>
      <c r="S205">
        <v>66.284000000000006</v>
      </c>
      <c r="T205">
        <v>2</v>
      </c>
      <c r="U205">
        <v>0.8</v>
      </c>
      <c r="V205">
        <v>-178.96680000000001</v>
      </c>
      <c r="W205">
        <f t="shared" si="15"/>
        <v>122.62540000000001</v>
      </c>
      <c r="X205">
        <v>1</v>
      </c>
    </row>
    <row r="206" spans="1:24" x14ac:dyDescent="0.3">
      <c r="A206">
        <v>205</v>
      </c>
      <c r="B206" t="s">
        <v>1981</v>
      </c>
      <c r="C206" s="6">
        <v>44401</v>
      </c>
      <c r="D206" t="str">
        <f t="shared" si="12"/>
        <v>Jul</v>
      </c>
      <c r="E206" t="str">
        <f t="shared" si="13"/>
        <v>2021</v>
      </c>
      <c r="F206" t="s">
        <v>4</v>
      </c>
      <c r="G206" t="s">
        <v>103</v>
      </c>
      <c r="H206" t="s">
        <v>738</v>
      </c>
      <c r="I206">
        <v>230</v>
      </c>
      <c r="J206">
        <v>24</v>
      </c>
      <c r="K206">
        <f t="shared" si="14"/>
        <v>10.434782608695652</v>
      </c>
      <c r="L206" t="s">
        <v>1741</v>
      </c>
      <c r="M206" t="s">
        <v>3603</v>
      </c>
      <c r="N206" t="s">
        <v>1</v>
      </c>
      <c r="O206">
        <v>560085</v>
      </c>
      <c r="P206" t="s">
        <v>546</v>
      </c>
      <c r="Q206" t="s">
        <v>1772</v>
      </c>
      <c r="S206">
        <v>35.167999999999999</v>
      </c>
      <c r="T206">
        <v>7</v>
      </c>
      <c r="U206">
        <v>0.2</v>
      </c>
      <c r="V206">
        <v>9.6712000000000007</v>
      </c>
      <c r="W206">
        <f t="shared" si="15"/>
        <v>3.6423999999999999</v>
      </c>
      <c r="X206">
        <v>4</v>
      </c>
    </row>
    <row r="207" spans="1:24" x14ac:dyDescent="0.3">
      <c r="A207">
        <v>206</v>
      </c>
      <c r="B207" t="s">
        <v>1982</v>
      </c>
      <c r="C207" s="6">
        <v>44402</v>
      </c>
      <c r="D207" t="str">
        <f t="shared" si="12"/>
        <v>Jul</v>
      </c>
      <c r="E207" t="str">
        <f t="shared" si="13"/>
        <v>2021</v>
      </c>
      <c r="F207" t="s">
        <v>4</v>
      </c>
      <c r="G207" t="s">
        <v>104</v>
      </c>
      <c r="H207" t="s">
        <v>739</v>
      </c>
      <c r="I207">
        <v>220</v>
      </c>
      <c r="J207">
        <v>20</v>
      </c>
      <c r="K207">
        <f t="shared" si="14"/>
        <v>9.0909090909090917</v>
      </c>
      <c r="L207" t="s">
        <v>1736</v>
      </c>
      <c r="M207" t="s">
        <v>3604</v>
      </c>
      <c r="N207" t="s">
        <v>1</v>
      </c>
      <c r="O207">
        <v>560085</v>
      </c>
      <c r="P207" t="s">
        <v>546</v>
      </c>
      <c r="Q207" t="s">
        <v>1762</v>
      </c>
      <c r="S207">
        <v>444.76799999999997</v>
      </c>
      <c r="T207">
        <v>4</v>
      </c>
      <c r="U207">
        <v>0.2</v>
      </c>
      <c r="V207">
        <v>44.476799999999997</v>
      </c>
      <c r="W207">
        <f t="shared" si="15"/>
        <v>100.0728</v>
      </c>
      <c r="X207">
        <v>1</v>
      </c>
    </row>
    <row r="208" spans="1:24" x14ac:dyDescent="0.3">
      <c r="A208">
        <v>207</v>
      </c>
      <c r="B208" t="s">
        <v>1983</v>
      </c>
      <c r="C208" s="6">
        <v>44403</v>
      </c>
      <c r="D208" t="str">
        <f t="shared" si="12"/>
        <v>Jul</v>
      </c>
      <c r="E208" t="str">
        <f t="shared" si="13"/>
        <v>2021</v>
      </c>
      <c r="F208" t="s">
        <v>4</v>
      </c>
      <c r="G208" t="s">
        <v>105</v>
      </c>
      <c r="H208" t="s">
        <v>740</v>
      </c>
      <c r="I208">
        <v>100</v>
      </c>
      <c r="J208">
        <v>20</v>
      </c>
      <c r="K208">
        <f t="shared" si="14"/>
        <v>20</v>
      </c>
      <c r="L208" t="s">
        <v>1744</v>
      </c>
      <c r="M208" t="s">
        <v>3605</v>
      </c>
      <c r="N208" t="s">
        <v>1</v>
      </c>
      <c r="O208">
        <v>160022</v>
      </c>
      <c r="P208" t="s">
        <v>546</v>
      </c>
      <c r="Q208" t="s">
        <v>1759</v>
      </c>
      <c r="R208" t="s">
        <v>2</v>
      </c>
      <c r="S208">
        <v>83.92</v>
      </c>
      <c r="T208">
        <v>4</v>
      </c>
      <c r="U208">
        <v>0</v>
      </c>
      <c r="V208">
        <v>5.8743999999999996</v>
      </c>
      <c r="W208">
        <f t="shared" si="15"/>
        <v>19.511400000000002</v>
      </c>
      <c r="X208">
        <v>4</v>
      </c>
    </row>
    <row r="209" spans="1:24" x14ac:dyDescent="0.3">
      <c r="A209">
        <v>208</v>
      </c>
      <c r="B209" t="s">
        <v>1984</v>
      </c>
      <c r="C209" s="6">
        <v>44404</v>
      </c>
      <c r="D209" t="str">
        <f t="shared" si="12"/>
        <v>Jul</v>
      </c>
      <c r="E209" t="str">
        <f t="shared" si="13"/>
        <v>2021</v>
      </c>
      <c r="F209" t="s">
        <v>4</v>
      </c>
      <c r="G209" t="s">
        <v>105</v>
      </c>
      <c r="H209" t="s">
        <v>741</v>
      </c>
      <c r="I209">
        <v>190</v>
      </c>
      <c r="J209">
        <v>20</v>
      </c>
      <c r="K209">
        <f t="shared" si="14"/>
        <v>10.526315789473683</v>
      </c>
      <c r="L209" t="s">
        <v>1740</v>
      </c>
      <c r="M209" t="s">
        <v>3606</v>
      </c>
      <c r="N209" t="s">
        <v>1</v>
      </c>
      <c r="O209">
        <v>834008</v>
      </c>
      <c r="P209" t="s">
        <v>546</v>
      </c>
      <c r="Q209" t="s">
        <v>1766</v>
      </c>
      <c r="S209">
        <v>131.97999999999999</v>
      </c>
      <c r="T209">
        <v>2</v>
      </c>
      <c r="U209">
        <v>0</v>
      </c>
      <c r="V209">
        <v>35.634599999999999</v>
      </c>
      <c r="W209">
        <f t="shared" si="15"/>
        <v>48.172699999999992</v>
      </c>
      <c r="X209">
        <v>5</v>
      </c>
    </row>
    <row r="210" spans="1:24" x14ac:dyDescent="0.3">
      <c r="A210">
        <v>209</v>
      </c>
      <c r="B210" t="s">
        <v>1985</v>
      </c>
      <c r="C210" s="6">
        <v>44405</v>
      </c>
      <c r="D210" t="str">
        <f t="shared" si="12"/>
        <v>Jul</v>
      </c>
      <c r="E210" t="str">
        <f t="shared" si="13"/>
        <v>2021</v>
      </c>
      <c r="F210" t="s">
        <v>4</v>
      </c>
      <c r="G210" t="s">
        <v>105</v>
      </c>
      <c r="H210" t="s">
        <v>669</v>
      </c>
      <c r="I210">
        <v>170</v>
      </c>
      <c r="J210">
        <v>12</v>
      </c>
      <c r="K210">
        <f t="shared" si="14"/>
        <v>7.0588235294117645</v>
      </c>
      <c r="L210" t="s">
        <v>1742</v>
      </c>
      <c r="M210" t="s">
        <v>3607</v>
      </c>
      <c r="N210" t="s">
        <v>1</v>
      </c>
      <c r="O210">
        <v>636701</v>
      </c>
      <c r="P210" t="s">
        <v>546</v>
      </c>
      <c r="Q210" t="s">
        <v>1765</v>
      </c>
      <c r="S210">
        <v>15.92</v>
      </c>
      <c r="T210">
        <v>4</v>
      </c>
      <c r="U210">
        <v>0</v>
      </c>
      <c r="V210">
        <v>7.4824000000000002</v>
      </c>
      <c r="W210">
        <f t="shared" si="15"/>
        <v>2.1093999999999999</v>
      </c>
      <c r="X210">
        <v>5</v>
      </c>
    </row>
    <row r="211" spans="1:24" x14ac:dyDescent="0.3">
      <c r="A211">
        <v>210</v>
      </c>
      <c r="B211" t="s">
        <v>1986</v>
      </c>
      <c r="C211" s="6">
        <v>44406</v>
      </c>
      <c r="D211" t="str">
        <f t="shared" si="12"/>
        <v>Jul</v>
      </c>
      <c r="E211" t="str">
        <f t="shared" si="13"/>
        <v>2021</v>
      </c>
      <c r="F211" t="s">
        <v>4</v>
      </c>
      <c r="G211" t="s">
        <v>105</v>
      </c>
      <c r="H211" t="s">
        <v>742</v>
      </c>
      <c r="I211">
        <v>120</v>
      </c>
      <c r="J211">
        <v>6</v>
      </c>
      <c r="K211">
        <f t="shared" si="14"/>
        <v>5</v>
      </c>
      <c r="L211" t="s">
        <v>1739</v>
      </c>
      <c r="M211" t="s">
        <v>3600</v>
      </c>
      <c r="N211" t="s">
        <v>1</v>
      </c>
      <c r="O211">
        <v>122001</v>
      </c>
      <c r="P211" t="s">
        <v>546</v>
      </c>
      <c r="Q211" t="s">
        <v>1756</v>
      </c>
      <c r="R211" t="s">
        <v>2</v>
      </c>
      <c r="S211">
        <v>52.29</v>
      </c>
      <c r="T211">
        <v>9</v>
      </c>
      <c r="U211">
        <v>0</v>
      </c>
      <c r="V211">
        <v>16.209900000000001</v>
      </c>
      <c r="W211">
        <f t="shared" si="15"/>
        <v>4.0089000000000006</v>
      </c>
      <c r="X211">
        <v>3</v>
      </c>
    </row>
    <row r="212" spans="1:24" x14ac:dyDescent="0.3">
      <c r="A212">
        <v>211</v>
      </c>
      <c r="B212" t="s">
        <v>1987</v>
      </c>
      <c r="C212" s="6">
        <v>44407</v>
      </c>
      <c r="D212" t="str">
        <f t="shared" si="12"/>
        <v>Jul</v>
      </c>
      <c r="E212" t="str">
        <f t="shared" si="13"/>
        <v>2021</v>
      </c>
      <c r="F212" t="s">
        <v>4</v>
      </c>
      <c r="G212" t="s">
        <v>105</v>
      </c>
      <c r="H212" t="s">
        <v>743</v>
      </c>
      <c r="I212">
        <v>110</v>
      </c>
      <c r="J212">
        <v>30</v>
      </c>
      <c r="K212">
        <f t="shared" si="14"/>
        <v>27.27272727272727</v>
      </c>
      <c r="L212" t="s">
        <v>1738</v>
      </c>
      <c r="M212" t="s">
        <v>3609</v>
      </c>
      <c r="N212" t="s">
        <v>1</v>
      </c>
      <c r="O212">
        <v>742101</v>
      </c>
      <c r="P212" t="s">
        <v>546</v>
      </c>
      <c r="Q212" t="s">
        <v>1758</v>
      </c>
      <c r="S212">
        <v>91.99</v>
      </c>
      <c r="T212">
        <v>1</v>
      </c>
      <c r="U212">
        <v>0</v>
      </c>
      <c r="V212">
        <v>3.6796000000000002</v>
      </c>
      <c r="W212">
        <f t="shared" si="15"/>
        <v>88.310400000000001</v>
      </c>
      <c r="X212">
        <v>1</v>
      </c>
    </row>
    <row r="213" spans="1:24" x14ac:dyDescent="0.3">
      <c r="A213">
        <v>212</v>
      </c>
      <c r="B213" t="s">
        <v>1988</v>
      </c>
      <c r="C213" s="6">
        <v>44408</v>
      </c>
      <c r="D213" t="str">
        <f t="shared" si="12"/>
        <v>Jul</v>
      </c>
      <c r="E213" t="str">
        <f t="shared" si="13"/>
        <v>2021</v>
      </c>
      <c r="F213" t="s">
        <v>3</v>
      </c>
      <c r="G213" t="s">
        <v>106</v>
      </c>
      <c r="H213" t="s">
        <v>744</v>
      </c>
      <c r="I213">
        <v>170</v>
      </c>
      <c r="J213">
        <v>20</v>
      </c>
      <c r="K213">
        <f t="shared" si="14"/>
        <v>11.76470588235294</v>
      </c>
      <c r="L213" t="s">
        <v>1743</v>
      </c>
      <c r="M213" t="s">
        <v>3610</v>
      </c>
      <c r="N213" t="s">
        <v>1</v>
      </c>
      <c r="O213">
        <v>440009</v>
      </c>
      <c r="P213" t="s">
        <v>546</v>
      </c>
      <c r="Q213" t="s">
        <v>1759</v>
      </c>
      <c r="R213" t="s">
        <v>2</v>
      </c>
      <c r="S213">
        <v>20.8</v>
      </c>
      <c r="T213">
        <v>2</v>
      </c>
      <c r="U213">
        <v>0.2</v>
      </c>
      <c r="V213">
        <v>6.5</v>
      </c>
      <c r="W213">
        <f t="shared" si="15"/>
        <v>7.15</v>
      </c>
      <c r="X213">
        <v>5</v>
      </c>
    </row>
    <row r="214" spans="1:24" x14ac:dyDescent="0.3">
      <c r="A214">
        <v>213</v>
      </c>
      <c r="B214" t="s">
        <v>1989</v>
      </c>
      <c r="C214" s="6">
        <v>44409</v>
      </c>
      <c r="D214" t="str">
        <f t="shared" si="12"/>
        <v>Aug</v>
      </c>
      <c r="E214" t="str">
        <f t="shared" si="13"/>
        <v>2021</v>
      </c>
      <c r="F214" t="s">
        <v>4</v>
      </c>
      <c r="G214" t="s">
        <v>107</v>
      </c>
      <c r="H214" t="s">
        <v>745</v>
      </c>
      <c r="I214">
        <v>220</v>
      </c>
      <c r="J214">
        <v>8</v>
      </c>
      <c r="K214">
        <f t="shared" si="14"/>
        <v>3.6363636363636362</v>
      </c>
      <c r="L214" t="s">
        <v>1737</v>
      </c>
      <c r="M214" t="s">
        <v>3611</v>
      </c>
      <c r="N214" t="s">
        <v>1</v>
      </c>
      <c r="O214">
        <v>683110</v>
      </c>
      <c r="P214" t="s">
        <v>546</v>
      </c>
      <c r="Q214" t="s">
        <v>1774</v>
      </c>
      <c r="S214">
        <v>23.68</v>
      </c>
      <c r="T214">
        <v>2</v>
      </c>
      <c r="U214">
        <v>0.2</v>
      </c>
      <c r="V214">
        <v>8.8800000000000008</v>
      </c>
      <c r="W214">
        <f t="shared" si="15"/>
        <v>7.3999999999999995</v>
      </c>
      <c r="X214">
        <v>3</v>
      </c>
    </row>
    <row r="215" spans="1:24" x14ac:dyDescent="0.3">
      <c r="A215">
        <v>214</v>
      </c>
      <c r="B215" t="s">
        <v>1990</v>
      </c>
      <c r="C215" s="6">
        <v>44410</v>
      </c>
      <c r="D215" t="str">
        <f t="shared" si="12"/>
        <v>Aug</v>
      </c>
      <c r="E215" t="str">
        <f t="shared" si="13"/>
        <v>2021</v>
      </c>
      <c r="F215" t="s">
        <v>4</v>
      </c>
      <c r="G215" t="s">
        <v>107</v>
      </c>
      <c r="H215" t="s">
        <v>746</v>
      </c>
      <c r="I215">
        <v>200</v>
      </c>
      <c r="J215">
        <v>12</v>
      </c>
      <c r="K215">
        <f t="shared" si="14"/>
        <v>6</v>
      </c>
      <c r="L215" t="s">
        <v>1741</v>
      </c>
      <c r="M215" t="s">
        <v>3612</v>
      </c>
      <c r="N215" t="s">
        <v>1</v>
      </c>
      <c r="O215">
        <v>400078</v>
      </c>
      <c r="P215" t="s">
        <v>546</v>
      </c>
      <c r="Q215" t="s">
        <v>1775</v>
      </c>
      <c r="S215">
        <v>452.45</v>
      </c>
      <c r="T215">
        <v>5</v>
      </c>
      <c r="U215">
        <v>0.5</v>
      </c>
      <c r="V215">
        <v>-244.32300000000001</v>
      </c>
      <c r="W215">
        <f t="shared" si="15"/>
        <v>139.3546</v>
      </c>
      <c r="X215">
        <v>3</v>
      </c>
    </row>
    <row r="216" spans="1:24" x14ac:dyDescent="0.3">
      <c r="A216">
        <v>215</v>
      </c>
      <c r="B216" t="s">
        <v>1991</v>
      </c>
      <c r="C216" s="6">
        <v>44411</v>
      </c>
      <c r="D216" t="str">
        <f t="shared" si="12"/>
        <v>Aug</v>
      </c>
      <c r="E216" t="str">
        <f t="shared" si="13"/>
        <v>2021</v>
      </c>
      <c r="F216" t="s">
        <v>4</v>
      </c>
      <c r="G216" t="s">
        <v>107</v>
      </c>
      <c r="H216" t="s">
        <v>651</v>
      </c>
      <c r="I216">
        <v>200</v>
      </c>
      <c r="J216">
        <v>8</v>
      </c>
      <c r="K216">
        <f t="shared" si="14"/>
        <v>4</v>
      </c>
      <c r="L216" t="s">
        <v>1736</v>
      </c>
      <c r="M216" t="s">
        <v>3613</v>
      </c>
      <c r="N216" t="s">
        <v>1</v>
      </c>
      <c r="O216">
        <v>400050</v>
      </c>
      <c r="P216" t="s">
        <v>546</v>
      </c>
      <c r="Q216" t="s">
        <v>1756</v>
      </c>
      <c r="R216" t="s">
        <v>2</v>
      </c>
      <c r="S216">
        <v>62.981999999999999</v>
      </c>
      <c r="T216">
        <v>3</v>
      </c>
      <c r="U216">
        <v>0.4</v>
      </c>
      <c r="V216">
        <v>-14.6958</v>
      </c>
      <c r="W216">
        <f t="shared" si="15"/>
        <v>25.892600000000002</v>
      </c>
      <c r="X216">
        <v>2</v>
      </c>
    </row>
    <row r="217" spans="1:24" x14ac:dyDescent="0.3">
      <c r="A217">
        <v>216</v>
      </c>
      <c r="B217" t="s">
        <v>1992</v>
      </c>
      <c r="C217" s="6">
        <v>44412</v>
      </c>
      <c r="D217" t="str">
        <f t="shared" si="12"/>
        <v>Aug</v>
      </c>
      <c r="E217" t="str">
        <f t="shared" si="13"/>
        <v>2021</v>
      </c>
      <c r="F217" t="s">
        <v>4</v>
      </c>
      <c r="G217" t="s">
        <v>107</v>
      </c>
      <c r="H217" t="s">
        <v>747</v>
      </c>
      <c r="I217">
        <v>180</v>
      </c>
      <c r="J217">
        <v>10</v>
      </c>
      <c r="K217">
        <f t="shared" si="14"/>
        <v>5.5555555555555554</v>
      </c>
      <c r="L217" t="s">
        <v>1744</v>
      </c>
      <c r="M217" t="s">
        <v>3614</v>
      </c>
      <c r="N217" t="s">
        <v>1</v>
      </c>
      <c r="O217">
        <v>524003</v>
      </c>
      <c r="P217" t="s">
        <v>546</v>
      </c>
      <c r="Q217" t="s">
        <v>1761</v>
      </c>
      <c r="S217">
        <v>1188</v>
      </c>
      <c r="T217">
        <v>9</v>
      </c>
      <c r="U217">
        <v>0.7</v>
      </c>
      <c r="V217">
        <v>-950.4</v>
      </c>
      <c r="W217">
        <f t="shared" si="15"/>
        <v>237.60000000000002</v>
      </c>
      <c r="X217">
        <v>5</v>
      </c>
    </row>
    <row r="218" spans="1:24" x14ac:dyDescent="0.3">
      <c r="A218">
        <v>217</v>
      </c>
      <c r="B218" t="s">
        <v>1993</v>
      </c>
      <c r="C218" s="6">
        <v>44413</v>
      </c>
      <c r="D218" t="str">
        <f t="shared" si="12"/>
        <v>Aug</v>
      </c>
      <c r="E218" t="str">
        <f t="shared" si="13"/>
        <v>2021</v>
      </c>
      <c r="F218" t="s">
        <v>4</v>
      </c>
      <c r="G218" t="s">
        <v>107</v>
      </c>
      <c r="H218" t="s">
        <v>748</v>
      </c>
      <c r="I218">
        <v>150</v>
      </c>
      <c r="J218">
        <v>18</v>
      </c>
      <c r="K218">
        <f t="shared" si="14"/>
        <v>12</v>
      </c>
      <c r="L218" t="s">
        <v>1740</v>
      </c>
      <c r="M218" t="s">
        <v>3615</v>
      </c>
      <c r="N218" t="s">
        <v>1</v>
      </c>
      <c r="O218">
        <v>801503</v>
      </c>
      <c r="P218" t="s">
        <v>546</v>
      </c>
      <c r="Q218" t="s">
        <v>1765</v>
      </c>
      <c r="S218">
        <v>89.584000000000003</v>
      </c>
      <c r="T218">
        <v>2</v>
      </c>
      <c r="U218">
        <v>0.2</v>
      </c>
      <c r="V218">
        <v>4.4791999999999996</v>
      </c>
      <c r="W218">
        <f t="shared" si="15"/>
        <v>42.552399999999999</v>
      </c>
      <c r="X218">
        <v>2</v>
      </c>
    </row>
    <row r="219" spans="1:24" x14ac:dyDescent="0.3">
      <c r="A219">
        <v>218</v>
      </c>
      <c r="B219" t="s">
        <v>1994</v>
      </c>
      <c r="C219" s="6">
        <v>44414</v>
      </c>
      <c r="D219" t="str">
        <f t="shared" si="12"/>
        <v>Aug</v>
      </c>
      <c r="E219" t="str">
        <f t="shared" si="13"/>
        <v>2021</v>
      </c>
      <c r="F219" t="s">
        <v>4</v>
      </c>
      <c r="G219" t="s">
        <v>108</v>
      </c>
      <c r="H219" t="s">
        <v>724</v>
      </c>
      <c r="I219">
        <v>160</v>
      </c>
      <c r="J219">
        <v>24</v>
      </c>
      <c r="K219">
        <f t="shared" si="14"/>
        <v>15</v>
      </c>
      <c r="L219" t="s">
        <v>1742</v>
      </c>
      <c r="M219" t="s">
        <v>3616</v>
      </c>
      <c r="N219" t="s">
        <v>1</v>
      </c>
      <c r="O219">
        <v>631502</v>
      </c>
      <c r="P219" t="s">
        <v>546</v>
      </c>
      <c r="Q219" t="s">
        <v>1763</v>
      </c>
      <c r="S219">
        <v>93.06</v>
      </c>
      <c r="T219">
        <v>6</v>
      </c>
      <c r="U219">
        <v>0</v>
      </c>
      <c r="V219">
        <v>26.056799999999999</v>
      </c>
      <c r="W219">
        <f t="shared" si="15"/>
        <v>11.167200000000001</v>
      </c>
      <c r="X219">
        <v>2</v>
      </c>
    </row>
    <row r="220" spans="1:24" x14ac:dyDescent="0.3">
      <c r="A220">
        <v>219</v>
      </c>
      <c r="B220" t="s">
        <v>1995</v>
      </c>
      <c r="C220" s="6">
        <v>44415</v>
      </c>
      <c r="D220" t="str">
        <f t="shared" si="12"/>
        <v>Aug</v>
      </c>
      <c r="E220" t="str">
        <f t="shared" si="13"/>
        <v>2021</v>
      </c>
      <c r="F220" t="s">
        <v>4</v>
      </c>
      <c r="G220" t="s">
        <v>108</v>
      </c>
      <c r="H220" t="s">
        <v>749</v>
      </c>
      <c r="I220">
        <v>120</v>
      </c>
      <c r="J220">
        <v>16</v>
      </c>
      <c r="K220">
        <f t="shared" si="14"/>
        <v>13.333333333333334</v>
      </c>
      <c r="L220" t="s">
        <v>1739</v>
      </c>
      <c r="M220" t="s">
        <v>3617</v>
      </c>
      <c r="N220" t="s">
        <v>1</v>
      </c>
      <c r="O220">
        <v>800001</v>
      </c>
      <c r="P220" t="s">
        <v>546</v>
      </c>
      <c r="Q220" t="s">
        <v>1771</v>
      </c>
      <c r="R220" t="s">
        <v>2</v>
      </c>
      <c r="S220">
        <v>302.37599999999998</v>
      </c>
      <c r="T220">
        <v>3</v>
      </c>
      <c r="U220">
        <v>0.2</v>
      </c>
      <c r="V220">
        <v>22.6782</v>
      </c>
      <c r="W220">
        <f t="shared" si="15"/>
        <v>93.232599999999991</v>
      </c>
      <c r="X220">
        <v>1</v>
      </c>
    </row>
    <row r="221" spans="1:24" x14ac:dyDescent="0.3">
      <c r="A221">
        <v>220</v>
      </c>
      <c r="B221" t="s">
        <v>1996</v>
      </c>
      <c r="C221" s="6">
        <v>44416</v>
      </c>
      <c r="D221" t="str">
        <f t="shared" si="12"/>
        <v>Aug</v>
      </c>
      <c r="E221" t="str">
        <f t="shared" si="13"/>
        <v>2021</v>
      </c>
      <c r="F221" t="s">
        <v>5</v>
      </c>
      <c r="G221" t="s">
        <v>109</v>
      </c>
      <c r="H221" t="s">
        <v>750</v>
      </c>
      <c r="I221">
        <v>210</v>
      </c>
      <c r="J221">
        <v>16</v>
      </c>
      <c r="K221">
        <f t="shared" si="14"/>
        <v>7.6190476190476195</v>
      </c>
      <c r="L221" t="s">
        <v>1738</v>
      </c>
      <c r="M221" t="s">
        <v>3618</v>
      </c>
      <c r="N221" t="s">
        <v>1</v>
      </c>
      <c r="O221">
        <v>600096</v>
      </c>
      <c r="P221" t="s">
        <v>546</v>
      </c>
      <c r="Q221" t="s">
        <v>1773</v>
      </c>
      <c r="S221">
        <v>5.5839999999999996</v>
      </c>
      <c r="T221">
        <v>2</v>
      </c>
      <c r="U221">
        <v>0.2</v>
      </c>
      <c r="V221">
        <v>1.8148</v>
      </c>
      <c r="W221">
        <f t="shared" si="15"/>
        <v>1.8845999999999998</v>
      </c>
      <c r="X221">
        <v>2</v>
      </c>
    </row>
    <row r="222" spans="1:24" x14ac:dyDescent="0.3">
      <c r="A222">
        <v>221</v>
      </c>
      <c r="B222" t="s">
        <v>1997</v>
      </c>
      <c r="C222" s="6">
        <v>44417</v>
      </c>
      <c r="D222" t="str">
        <f t="shared" si="12"/>
        <v>Aug</v>
      </c>
      <c r="E222" t="str">
        <f t="shared" si="13"/>
        <v>2021</v>
      </c>
      <c r="F222" t="s">
        <v>5</v>
      </c>
      <c r="G222" t="s">
        <v>109</v>
      </c>
      <c r="H222" t="s">
        <v>751</v>
      </c>
      <c r="I222">
        <v>110</v>
      </c>
      <c r="J222">
        <v>24</v>
      </c>
      <c r="K222">
        <f t="shared" si="14"/>
        <v>21.818181818181817</v>
      </c>
      <c r="L222" t="s">
        <v>1741</v>
      </c>
      <c r="M222" t="s">
        <v>3619</v>
      </c>
      <c r="N222" t="s">
        <v>1</v>
      </c>
      <c r="O222">
        <v>600096</v>
      </c>
      <c r="P222" t="s">
        <v>546</v>
      </c>
      <c r="Q222" t="s">
        <v>1759</v>
      </c>
      <c r="R222" t="s">
        <v>2</v>
      </c>
      <c r="S222">
        <v>22.704000000000001</v>
      </c>
      <c r="T222">
        <v>6</v>
      </c>
      <c r="U222">
        <v>0.2</v>
      </c>
      <c r="V222">
        <v>8.2302</v>
      </c>
      <c r="W222">
        <f t="shared" si="15"/>
        <v>2.4123000000000001</v>
      </c>
      <c r="X222">
        <v>5</v>
      </c>
    </row>
    <row r="223" spans="1:24" x14ac:dyDescent="0.3">
      <c r="A223">
        <v>222</v>
      </c>
      <c r="B223" t="s">
        <v>1998</v>
      </c>
      <c r="C223" s="6">
        <v>44418</v>
      </c>
      <c r="D223" t="str">
        <f t="shared" si="12"/>
        <v>Aug</v>
      </c>
      <c r="E223" t="str">
        <f t="shared" si="13"/>
        <v>2021</v>
      </c>
      <c r="F223" t="s">
        <v>5</v>
      </c>
      <c r="G223" t="s">
        <v>109</v>
      </c>
      <c r="H223" t="s">
        <v>638</v>
      </c>
      <c r="I223">
        <v>160</v>
      </c>
      <c r="J223">
        <v>8</v>
      </c>
      <c r="K223">
        <f t="shared" si="14"/>
        <v>5</v>
      </c>
      <c r="L223" t="s">
        <v>1737</v>
      </c>
      <c r="M223" t="s">
        <v>3620</v>
      </c>
      <c r="N223" t="s">
        <v>1</v>
      </c>
      <c r="O223">
        <v>695009</v>
      </c>
      <c r="P223" t="s">
        <v>546</v>
      </c>
      <c r="Q223" t="s">
        <v>1759</v>
      </c>
      <c r="R223" t="s">
        <v>2</v>
      </c>
      <c r="S223">
        <v>19.776</v>
      </c>
      <c r="T223">
        <v>4</v>
      </c>
      <c r="U223">
        <v>0.7</v>
      </c>
      <c r="V223">
        <v>-13.8432</v>
      </c>
      <c r="W223">
        <f t="shared" si="15"/>
        <v>8.4047999999999998</v>
      </c>
      <c r="X223">
        <v>1</v>
      </c>
    </row>
    <row r="224" spans="1:24" x14ac:dyDescent="0.3">
      <c r="A224">
        <v>223</v>
      </c>
      <c r="B224" t="s">
        <v>1999</v>
      </c>
      <c r="C224" s="6">
        <v>44419</v>
      </c>
      <c r="D224" t="str">
        <f t="shared" si="12"/>
        <v>Aug</v>
      </c>
      <c r="E224" t="str">
        <f t="shared" si="13"/>
        <v>2021</v>
      </c>
      <c r="F224" t="s">
        <v>5</v>
      </c>
      <c r="G224" t="s">
        <v>109</v>
      </c>
      <c r="H224" t="s">
        <v>752</v>
      </c>
      <c r="I224">
        <v>130</v>
      </c>
      <c r="J224">
        <v>6</v>
      </c>
      <c r="K224">
        <f t="shared" si="14"/>
        <v>4.6153846153846159</v>
      </c>
      <c r="L224" t="s">
        <v>1743</v>
      </c>
      <c r="M224" t="s">
        <v>3621</v>
      </c>
      <c r="O224">
        <v>201309</v>
      </c>
      <c r="P224" t="s">
        <v>546</v>
      </c>
      <c r="Q224" t="s">
        <v>1766</v>
      </c>
      <c r="S224">
        <v>72.703999999999994</v>
      </c>
      <c r="T224">
        <v>4</v>
      </c>
      <c r="U224">
        <v>0.2</v>
      </c>
      <c r="V224">
        <v>19.084800000000001</v>
      </c>
      <c r="W224">
        <f t="shared" si="15"/>
        <v>13.404799999999998</v>
      </c>
      <c r="X224">
        <v>2</v>
      </c>
    </row>
    <row r="225" spans="1:24" x14ac:dyDescent="0.3">
      <c r="A225">
        <v>224</v>
      </c>
      <c r="B225" t="s">
        <v>2000</v>
      </c>
      <c r="C225" s="6">
        <v>44420</v>
      </c>
      <c r="D225" t="str">
        <f t="shared" si="12"/>
        <v>Aug</v>
      </c>
      <c r="E225" t="str">
        <f t="shared" si="13"/>
        <v>2021</v>
      </c>
      <c r="F225" t="s">
        <v>5</v>
      </c>
      <c r="G225" t="s">
        <v>109</v>
      </c>
      <c r="H225" t="s">
        <v>753</v>
      </c>
      <c r="I225">
        <v>130</v>
      </c>
      <c r="J225">
        <v>8</v>
      </c>
      <c r="K225">
        <f t="shared" si="14"/>
        <v>6.1538461538461542</v>
      </c>
      <c r="L225" t="s">
        <v>1738</v>
      </c>
      <c r="M225" t="s">
        <v>3622</v>
      </c>
      <c r="N225" t="s">
        <v>1</v>
      </c>
      <c r="O225">
        <v>500097</v>
      </c>
      <c r="P225" t="s">
        <v>546</v>
      </c>
      <c r="Q225" t="s">
        <v>1766</v>
      </c>
      <c r="S225">
        <v>479.988</v>
      </c>
      <c r="T225">
        <v>4</v>
      </c>
      <c r="U225">
        <v>0.7</v>
      </c>
      <c r="V225">
        <v>-383.99040000000002</v>
      </c>
      <c r="W225">
        <f t="shared" si="15"/>
        <v>215.99459999999999</v>
      </c>
      <c r="X225">
        <v>2</v>
      </c>
    </row>
    <row r="226" spans="1:24" x14ac:dyDescent="0.3">
      <c r="A226">
        <v>225</v>
      </c>
      <c r="B226" t="s">
        <v>2001</v>
      </c>
      <c r="C226" s="6">
        <v>44421</v>
      </c>
      <c r="D226" t="str">
        <f t="shared" si="12"/>
        <v>Aug</v>
      </c>
      <c r="E226" t="str">
        <f t="shared" si="13"/>
        <v>2021</v>
      </c>
      <c r="F226" t="s">
        <v>5</v>
      </c>
      <c r="G226" t="s">
        <v>109</v>
      </c>
      <c r="H226" t="s">
        <v>754</v>
      </c>
      <c r="I226">
        <v>150</v>
      </c>
      <c r="J226">
        <v>26</v>
      </c>
      <c r="K226">
        <f t="shared" si="14"/>
        <v>17.333333333333336</v>
      </c>
      <c r="L226" t="s">
        <v>1739</v>
      </c>
      <c r="M226" t="s">
        <v>3623</v>
      </c>
      <c r="N226" t="s">
        <v>1</v>
      </c>
      <c r="O226">
        <v>450001</v>
      </c>
      <c r="P226" t="s">
        <v>546</v>
      </c>
      <c r="Q226" t="s">
        <v>1758</v>
      </c>
      <c r="S226">
        <v>27.167999999999999</v>
      </c>
      <c r="T226">
        <v>2</v>
      </c>
      <c r="U226">
        <v>0.2</v>
      </c>
      <c r="V226">
        <v>2.7168000000000001</v>
      </c>
      <c r="W226">
        <f t="shared" si="15"/>
        <v>12.2256</v>
      </c>
      <c r="X226">
        <v>3</v>
      </c>
    </row>
    <row r="227" spans="1:24" x14ac:dyDescent="0.3">
      <c r="A227">
        <v>226</v>
      </c>
      <c r="B227" t="s">
        <v>2002</v>
      </c>
      <c r="C227" s="6">
        <v>44422</v>
      </c>
      <c r="D227" t="str">
        <f t="shared" si="12"/>
        <v>Aug</v>
      </c>
      <c r="E227" t="str">
        <f t="shared" si="13"/>
        <v>2021</v>
      </c>
      <c r="F227" t="s">
        <v>4</v>
      </c>
      <c r="G227" t="s">
        <v>110</v>
      </c>
      <c r="H227" t="s">
        <v>755</v>
      </c>
      <c r="I227">
        <v>220</v>
      </c>
      <c r="J227">
        <v>8</v>
      </c>
      <c r="K227">
        <f t="shared" si="14"/>
        <v>3.6363636363636362</v>
      </c>
      <c r="L227" t="s">
        <v>1736</v>
      </c>
      <c r="M227" t="s">
        <v>3624</v>
      </c>
      <c r="N227" t="s">
        <v>1</v>
      </c>
      <c r="O227">
        <v>575006</v>
      </c>
      <c r="P227" t="s">
        <v>546</v>
      </c>
      <c r="Q227" t="s">
        <v>1776</v>
      </c>
      <c r="R227" t="s">
        <v>2</v>
      </c>
      <c r="S227">
        <v>2.2000000000000002</v>
      </c>
      <c r="T227">
        <v>1</v>
      </c>
      <c r="U227">
        <v>0</v>
      </c>
      <c r="V227">
        <v>0.96799999999999997</v>
      </c>
      <c r="W227">
        <f t="shared" si="15"/>
        <v>1.2320000000000002</v>
      </c>
      <c r="X227">
        <v>2</v>
      </c>
    </row>
    <row r="228" spans="1:24" x14ac:dyDescent="0.3">
      <c r="A228">
        <v>227</v>
      </c>
      <c r="B228" t="s">
        <v>2003</v>
      </c>
      <c r="C228" s="6">
        <v>44423</v>
      </c>
      <c r="D228" t="str">
        <f t="shared" si="12"/>
        <v>Aug</v>
      </c>
      <c r="E228" t="str">
        <f t="shared" si="13"/>
        <v>2021</v>
      </c>
      <c r="F228" t="s">
        <v>4</v>
      </c>
      <c r="G228" t="s">
        <v>110</v>
      </c>
      <c r="H228" t="s">
        <v>756</v>
      </c>
      <c r="I228">
        <v>140</v>
      </c>
      <c r="J228">
        <v>14</v>
      </c>
      <c r="K228">
        <f t="shared" si="14"/>
        <v>10</v>
      </c>
      <c r="L228" t="s">
        <v>1744</v>
      </c>
      <c r="M228" t="s">
        <v>3625</v>
      </c>
      <c r="N228" t="s">
        <v>1</v>
      </c>
      <c r="O228">
        <v>391101</v>
      </c>
      <c r="P228" t="s">
        <v>546</v>
      </c>
      <c r="Q228" t="s">
        <v>1761</v>
      </c>
      <c r="S228">
        <v>622.45000000000005</v>
      </c>
      <c r="T228">
        <v>5</v>
      </c>
      <c r="U228">
        <v>0</v>
      </c>
      <c r="V228">
        <v>136.93899999999999</v>
      </c>
      <c r="W228">
        <f t="shared" si="15"/>
        <v>97.102200000000011</v>
      </c>
      <c r="X228">
        <v>4</v>
      </c>
    </row>
    <row r="229" spans="1:24" x14ac:dyDescent="0.3">
      <c r="A229">
        <v>228</v>
      </c>
      <c r="B229" t="s">
        <v>2004</v>
      </c>
      <c r="C229" s="6">
        <v>44424</v>
      </c>
      <c r="D229" t="str">
        <f t="shared" si="12"/>
        <v>Aug</v>
      </c>
      <c r="E229" t="str">
        <f t="shared" si="13"/>
        <v>2021</v>
      </c>
      <c r="F229" t="s">
        <v>4</v>
      </c>
      <c r="G229" t="s">
        <v>110</v>
      </c>
      <c r="H229" t="s">
        <v>757</v>
      </c>
      <c r="I229">
        <v>130</v>
      </c>
      <c r="J229">
        <v>12</v>
      </c>
      <c r="K229">
        <f t="shared" si="14"/>
        <v>9.2307692307692317</v>
      </c>
      <c r="L229" t="s">
        <v>1740</v>
      </c>
      <c r="M229" t="s">
        <v>3626</v>
      </c>
      <c r="N229" t="s">
        <v>1</v>
      </c>
      <c r="O229">
        <v>483504</v>
      </c>
      <c r="P229" t="s">
        <v>546</v>
      </c>
      <c r="Q229" t="s">
        <v>1773</v>
      </c>
      <c r="S229">
        <v>21.98</v>
      </c>
      <c r="T229">
        <v>1</v>
      </c>
      <c r="U229">
        <v>0</v>
      </c>
      <c r="V229">
        <v>0.2198</v>
      </c>
      <c r="W229">
        <f t="shared" si="15"/>
        <v>21.760200000000001</v>
      </c>
      <c r="X229">
        <v>4</v>
      </c>
    </row>
    <row r="230" spans="1:24" x14ac:dyDescent="0.3">
      <c r="A230">
        <v>229</v>
      </c>
      <c r="B230" t="s">
        <v>2005</v>
      </c>
      <c r="C230" s="6">
        <v>44425</v>
      </c>
      <c r="D230" t="str">
        <f t="shared" si="12"/>
        <v>Aug</v>
      </c>
      <c r="E230" t="str">
        <f t="shared" si="13"/>
        <v>2021</v>
      </c>
      <c r="F230" t="s">
        <v>4</v>
      </c>
      <c r="G230" t="s">
        <v>111</v>
      </c>
      <c r="H230" t="s">
        <v>758</v>
      </c>
      <c r="I230">
        <v>180</v>
      </c>
      <c r="J230">
        <v>28</v>
      </c>
      <c r="K230">
        <f t="shared" si="14"/>
        <v>15.555555555555555</v>
      </c>
      <c r="L230" t="s">
        <v>1742</v>
      </c>
      <c r="M230" t="s">
        <v>3627</v>
      </c>
      <c r="N230" t="s">
        <v>1</v>
      </c>
      <c r="O230">
        <v>768002</v>
      </c>
      <c r="P230" t="s">
        <v>546</v>
      </c>
      <c r="Q230" t="s">
        <v>1754</v>
      </c>
      <c r="S230">
        <v>161.56800000000001</v>
      </c>
      <c r="T230">
        <v>2</v>
      </c>
      <c r="U230">
        <v>0.2</v>
      </c>
      <c r="V230">
        <v>-28.2744</v>
      </c>
      <c r="W230">
        <f t="shared" si="15"/>
        <v>94.921199999999999</v>
      </c>
      <c r="X230">
        <v>2</v>
      </c>
    </row>
    <row r="231" spans="1:24" x14ac:dyDescent="0.3">
      <c r="A231">
        <v>230</v>
      </c>
      <c r="B231" t="s">
        <v>2006</v>
      </c>
      <c r="C231" s="6">
        <v>44426</v>
      </c>
      <c r="D231" t="str">
        <f t="shared" si="12"/>
        <v>Aug</v>
      </c>
      <c r="E231" t="str">
        <f t="shared" si="13"/>
        <v>2021</v>
      </c>
      <c r="F231" t="s">
        <v>4</v>
      </c>
      <c r="G231" t="s">
        <v>111</v>
      </c>
      <c r="H231" t="s">
        <v>759</v>
      </c>
      <c r="I231">
        <v>190</v>
      </c>
      <c r="J231">
        <v>16</v>
      </c>
      <c r="K231">
        <f t="shared" si="14"/>
        <v>8.4210526315789469</v>
      </c>
      <c r="L231" t="s">
        <v>1739</v>
      </c>
      <c r="M231" t="s">
        <v>3628</v>
      </c>
      <c r="N231" t="s">
        <v>1</v>
      </c>
      <c r="O231">
        <v>500089</v>
      </c>
      <c r="P231" t="s">
        <v>546</v>
      </c>
      <c r="Q231" t="s">
        <v>1772</v>
      </c>
      <c r="S231">
        <v>389.69600000000003</v>
      </c>
      <c r="T231">
        <v>8</v>
      </c>
      <c r="U231">
        <v>0.2</v>
      </c>
      <c r="V231">
        <v>43.840800000000002</v>
      </c>
      <c r="W231">
        <f t="shared" si="15"/>
        <v>43.231900000000003</v>
      </c>
      <c r="X231">
        <v>5</v>
      </c>
    </row>
    <row r="232" spans="1:24" x14ac:dyDescent="0.3">
      <c r="A232">
        <v>231</v>
      </c>
      <c r="B232" t="s">
        <v>1873</v>
      </c>
      <c r="C232" s="6">
        <v>44427</v>
      </c>
      <c r="D232" t="str">
        <f t="shared" si="12"/>
        <v>Aug</v>
      </c>
      <c r="E232" t="str">
        <f t="shared" si="13"/>
        <v>2021</v>
      </c>
      <c r="F232" t="s">
        <v>4</v>
      </c>
      <c r="G232" t="s">
        <v>112</v>
      </c>
      <c r="H232" t="s">
        <v>760</v>
      </c>
      <c r="I232">
        <v>150</v>
      </c>
      <c r="J232">
        <v>26</v>
      </c>
      <c r="K232">
        <f t="shared" si="14"/>
        <v>17.333333333333336</v>
      </c>
      <c r="L232" t="s">
        <v>1738</v>
      </c>
      <c r="M232" t="s">
        <v>3629</v>
      </c>
      <c r="N232" t="s">
        <v>1</v>
      </c>
      <c r="O232">
        <v>845454</v>
      </c>
      <c r="P232" t="s">
        <v>546</v>
      </c>
      <c r="Q232" t="s">
        <v>1762</v>
      </c>
      <c r="S232">
        <v>18.648</v>
      </c>
      <c r="T232">
        <v>7</v>
      </c>
      <c r="U232">
        <v>0.7</v>
      </c>
      <c r="V232">
        <v>-12.432</v>
      </c>
      <c r="W232">
        <f t="shared" si="15"/>
        <v>4.4399999999999995</v>
      </c>
      <c r="X232">
        <v>2</v>
      </c>
    </row>
    <row r="233" spans="1:24" x14ac:dyDescent="0.3">
      <c r="A233">
        <v>232</v>
      </c>
      <c r="B233" t="s">
        <v>2007</v>
      </c>
      <c r="C233" s="6">
        <v>44428</v>
      </c>
      <c r="D233" t="str">
        <f t="shared" si="12"/>
        <v>Aug</v>
      </c>
      <c r="E233" t="str">
        <f t="shared" si="13"/>
        <v>2021</v>
      </c>
      <c r="F233" t="s">
        <v>4</v>
      </c>
      <c r="G233" t="s">
        <v>44</v>
      </c>
      <c r="H233" t="s">
        <v>761</v>
      </c>
      <c r="I233">
        <v>220</v>
      </c>
      <c r="J233">
        <v>22</v>
      </c>
      <c r="K233">
        <f t="shared" si="14"/>
        <v>10</v>
      </c>
      <c r="L233" t="s">
        <v>1743</v>
      </c>
      <c r="M233" t="s">
        <v>3630</v>
      </c>
      <c r="N233" t="s">
        <v>1</v>
      </c>
      <c r="O233">
        <v>474001</v>
      </c>
      <c r="P233" t="s">
        <v>546</v>
      </c>
      <c r="Q233" t="s">
        <v>1774</v>
      </c>
      <c r="S233">
        <v>233.86</v>
      </c>
      <c r="T233">
        <v>2</v>
      </c>
      <c r="U233">
        <v>0.45</v>
      </c>
      <c r="V233">
        <v>-102.048</v>
      </c>
      <c r="W233">
        <f t="shared" si="15"/>
        <v>167.95400000000001</v>
      </c>
      <c r="X233">
        <v>4</v>
      </c>
    </row>
    <row r="234" spans="1:24" x14ac:dyDescent="0.3">
      <c r="A234">
        <v>233</v>
      </c>
      <c r="B234" t="s">
        <v>2008</v>
      </c>
      <c r="C234" s="6">
        <v>44429</v>
      </c>
      <c r="D234" t="str">
        <f t="shared" si="12"/>
        <v>Aug</v>
      </c>
      <c r="E234" t="str">
        <f t="shared" si="13"/>
        <v>2021</v>
      </c>
      <c r="F234" t="s">
        <v>4</v>
      </c>
      <c r="G234" t="s">
        <v>44</v>
      </c>
      <c r="H234" t="s">
        <v>762</v>
      </c>
      <c r="I234">
        <v>220</v>
      </c>
      <c r="J234">
        <v>30</v>
      </c>
      <c r="K234">
        <f t="shared" si="14"/>
        <v>13.636363636363635</v>
      </c>
      <c r="L234" t="s">
        <v>1737</v>
      </c>
      <c r="M234" t="s">
        <v>3631</v>
      </c>
      <c r="N234" t="s">
        <v>1</v>
      </c>
      <c r="O234">
        <v>396210</v>
      </c>
      <c r="P234" t="s">
        <v>546</v>
      </c>
      <c r="Q234" t="s">
        <v>1776</v>
      </c>
      <c r="S234">
        <v>620.61450000000002</v>
      </c>
      <c r="T234">
        <v>3</v>
      </c>
      <c r="U234">
        <v>0.45</v>
      </c>
      <c r="V234">
        <v>-248.2458</v>
      </c>
      <c r="W234">
        <f t="shared" si="15"/>
        <v>289.62010000000004</v>
      </c>
      <c r="X234">
        <v>2</v>
      </c>
    </row>
    <row r="235" spans="1:24" x14ac:dyDescent="0.3">
      <c r="A235">
        <v>234</v>
      </c>
      <c r="B235" t="s">
        <v>2009</v>
      </c>
      <c r="C235" s="6">
        <v>44430</v>
      </c>
      <c r="D235" t="str">
        <f t="shared" si="12"/>
        <v>Aug</v>
      </c>
      <c r="E235" t="str">
        <f t="shared" si="13"/>
        <v>2021</v>
      </c>
      <c r="F235" t="s">
        <v>4</v>
      </c>
      <c r="G235" t="s">
        <v>44</v>
      </c>
      <c r="H235" t="s">
        <v>760</v>
      </c>
      <c r="I235">
        <v>130</v>
      </c>
      <c r="J235">
        <v>16</v>
      </c>
      <c r="K235">
        <f t="shared" si="14"/>
        <v>12.307692307692308</v>
      </c>
      <c r="L235" t="s">
        <v>1741</v>
      </c>
      <c r="M235" t="s">
        <v>3632</v>
      </c>
      <c r="N235" t="s">
        <v>1</v>
      </c>
      <c r="O235">
        <v>641105</v>
      </c>
      <c r="P235" t="s">
        <v>546</v>
      </c>
      <c r="Q235" t="s">
        <v>1755</v>
      </c>
      <c r="S235">
        <v>5.3280000000000003</v>
      </c>
      <c r="T235">
        <v>2</v>
      </c>
      <c r="U235">
        <v>0.7</v>
      </c>
      <c r="V235">
        <v>-3.552</v>
      </c>
      <c r="W235">
        <f t="shared" si="15"/>
        <v>4.4400000000000004</v>
      </c>
      <c r="X235">
        <v>4</v>
      </c>
    </row>
    <row r="236" spans="1:24" x14ac:dyDescent="0.3">
      <c r="A236">
        <v>235</v>
      </c>
      <c r="B236" t="s">
        <v>2010</v>
      </c>
      <c r="C236" s="6">
        <v>44431</v>
      </c>
      <c r="D236" t="str">
        <f t="shared" si="12"/>
        <v>Aug</v>
      </c>
      <c r="E236" t="str">
        <f t="shared" si="13"/>
        <v>2021</v>
      </c>
      <c r="F236" t="s">
        <v>4</v>
      </c>
      <c r="G236" t="s">
        <v>44</v>
      </c>
      <c r="H236" t="s">
        <v>763</v>
      </c>
      <c r="I236">
        <v>190</v>
      </c>
      <c r="J236">
        <v>18</v>
      </c>
      <c r="K236">
        <f t="shared" si="14"/>
        <v>9.4736842105263168</v>
      </c>
      <c r="L236" t="s">
        <v>1736</v>
      </c>
      <c r="M236" t="s">
        <v>3633</v>
      </c>
      <c r="N236" t="s">
        <v>1</v>
      </c>
      <c r="O236">
        <v>690573</v>
      </c>
      <c r="P236" t="s">
        <v>546</v>
      </c>
      <c r="Q236" t="s">
        <v>1768</v>
      </c>
      <c r="S236">
        <v>258.072</v>
      </c>
      <c r="T236">
        <v>3</v>
      </c>
      <c r="U236">
        <v>0.2</v>
      </c>
      <c r="V236">
        <v>0</v>
      </c>
      <c r="W236">
        <f t="shared" si="15"/>
        <v>86.024000000000001</v>
      </c>
      <c r="X236">
        <v>1</v>
      </c>
    </row>
    <row r="237" spans="1:24" x14ac:dyDescent="0.3">
      <c r="A237">
        <v>236</v>
      </c>
      <c r="B237" t="s">
        <v>2011</v>
      </c>
      <c r="C237" s="6">
        <v>44432</v>
      </c>
      <c r="D237" t="str">
        <f t="shared" si="12"/>
        <v>Aug</v>
      </c>
      <c r="E237" t="str">
        <f t="shared" si="13"/>
        <v>2021</v>
      </c>
      <c r="F237" t="s">
        <v>4</v>
      </c>
      <c r="G237" t="s">
        <v>44</v>
      </c>
      <c r="H237" t="s">
        <v>764</v>
      </c>
      <c r="I237">
        <v>190</v>
      </c>
      <c r="J237">
        <v>24</v>
      </c>
      <c r="K237">
        <f t="shared" si="14"/>
        <v>12.631578947368421</v>
      </c>
      <c r="L237" t="s">
        <v>1744</v>
      </c>
      <c r="M237" t="s">
        <v>3634</v>
      </c>
      <c r="N237" t="s">
        <v>1</v>
      </c>
      <c r="O237">
        <v>690573</v>
      </c>
      <c r="P237" t="s">
        <v>546</v>
      </c>
      <c r="Q237" t="s">
        <v>1766</v>
      </c>
      <c r="S237">
        <v>617.976</v>
      </c>
      <c r="T237">
        <v>3</v>
      </c>
      <c r="U237">
        <v>0.2</v>
      </c>
      <c r="V237">
        <v>-7.7247000000000003</v>
      </c>
      <c r="W237">
        <f t="shared" si="15"/>
        <v>208.5669</v>
      </c>
      <c r="X237">
        <v>2</v>
      </c>
    </row>
    <row r="238" spans="1:24" x14ac:dyDescent="0.3">
      <c r="A238">
        <v>237</v>
      </c>
      <c r="B238" t="s">
        <v>2012</v>
      </c>
      <c r="C238" s="6">
        <v>44433</v>
      </c>
      <c r="D238" t="str">
        <f t="shared" si="12"/>
        <v>Aug</v>
      </c>
      <c r="E238" t="str">
        <f t="shared" si="13"/>
        <v>2021</v>
      </c>
      <c r="F238" t="s">
        <v>4</v>
      </c>
      <c r="G238" t="s">
        <v>113</v>
      </c>
      <c r="H238" t="s">
        <v>765</v>
      </c>
      <c r="I238">
        <v>180</v>
      </c>
      <c r="J238">
        <v>26</v>
      </c>
      <c r="K238">
        <f t="shared" si="14"/>
        <v>14.444444444444443</v>
      </c>
      <c r="L238" t="s">
        <v>1740</v>
      </c>
      <c r="M238" t="s">
        <v>3635</v>
      </c>
      <c r="N238" t="s">
        <v>1</v>
      </c>
      <c r="O238">
        <v>400705</v>
      </c>
      <c r="P238" t="s">
        <v>546</v>
      </c>
      <c r="Q238" t="s">
        <v>1761</v>
      </c>
      <c r="S238">
        <v>10.56</v>
      </c>
      <c r="T238">
        <v>2</v>
      </c>
      <c r="U238">
        <v>0</v>
      </c>
      <c r="V238">
        <v>4.7519999999999998</v>
      </c>
      <c r="W238">
        <f t="shared" si="15"/>
        <v>2.9040000000000004</v>
      </c>
      <c r="X238">
        <v>1</v>
      </c>
    </row>
    <row r="239" spans="1:24" x14ac:dyDescent="0.3">
      <c r="A239">
        <v>238</v>
      </c>
      <c r="B239" t="s">
        <v>2013</v>
      </c>
      <c r="C239" s="6">
        <v>44434</v>
      </c>
      <c r="D239" t="str">
        <f t="shared" si="12"/>
        <v>Aug</v>
      </c>
      <c r="E239" t="str">
        <f t="shared" si="13"/>
        <v>2021</v>
      </c>
      <c r="F239" t="s">
        <v>3</v>
      </c>
      <c r="G239" t="s">
        <v>114</v>
      </c>
      <c r="H239" t="s">
        <v>766</v>
      </c>
      <c r="I239">
        <v>240</v>
      </c>
      <c r="J239">
        <v>24</v>
      </c>
      <c r="K239">
        <f t="shared" si="14"/>
        <v>10</v>
      </c>
      <c r="L239" t="s">
        <v>1742</v>
      </c>
      <c r="M239" t="s">
        <v>3636</v>
      </c>
      <c r="N239" t="s">
        <v>1</v>
      </c>
      <c r="O239">
        <v>600033</v>
      </c>
      <c r="P239" t="s">
        <v>546</v>
      </c>
      <c r="Q239" t="s">
        <v>1768</v>
      </c>
      <c r="S239">
        <v>25.92</v>
      </c>
      <c r="T239">
        <v>5</v>
      </c>
      <c r="U239">
        <v>0.2</v>
      </c>
      <c r="V239">
        <v>9.3960000000000008</v>
      </c>
      <c r="W239">
        <f t="shared" si="15"/>
        <v>3.3048000000000002</v>
      </c>
      <c r="X239">
        <v>1</v>
      </c>
    </row>
    <row r="240" spans="1:24" x14ac:dyDescent="0.3">
      <c r="A240">
        <v>239</v>
      </c>
      <c r="B240" t="s">
        <v>2014</v>
      </c>
      <c r="C240" s="6">
        <v>44435</v>
      </c>
      <c r="D240" t="str">
        <f t="shared" si="12"/>
        <v>Aug</v>
      </c>
      <c r="E240" t="str">
        <f t="shared" si="13"/>
        <v>2021</v>
      </c>
      <c r="F240" t="s">
        <v>3</v>
      </c>
      <c r="G240" t="s">
        <v>114</v>
      </c>
      <c r="H240" t="s">
        <v>767</v>
      </c>
      <c r="I240">
        <v>160</v>
      </c>
      <c r="J240">
        <v>28</v>
      </c>
      <c r="K240">
        <f t="shared" si="14"/>
        <v>17.5</v>
      </c>
      <c r="L240" t="s">
        <v>1739</v>
      </c>
      <c r="M240" t="s">
        <v>3637</v>
      </c>
      <c r="N240" t="s">
        <v>1</v>
      </c>
      <c r="O240">
        <v>600033</v>
      </c>
      <c r="P240" t="s">
        <v>546</v>
      </c>
      <c r="Q240" t="s">
        <v>1764</v>
      </c>
      <c r="S240">
        <v>419.68</v>
      </c>
      <c r="T240">
        <v>5</v>
      </c>
      <c r="U240">
        <v>0.6</v>
      </c>
      <c r="V240">
        <v>-356.72800000000001</v>
      </c>
      <c r="W240">
        <f t="shared" si="15"/>
        <v>155.2816</v>
      </c>
      <c r="X240">
        <v>5</v>
      </c>
    </row>
    <row r="241" spans="1:24" x14ac:dyDescent="0.3">
      <c r="A241">
        <v>240</v>
      </c>
      <c r="B241" t="s">
        <v>2015</v>
      </c>
      <c r="C241" s="6">
        <v>44436</v>
      </c>
      <c r="D241" t="str">
        <f t="shared" si="12"/>
        <v>Aug</v>
      </c>
      <c r="E241" t="str">
        <f t="shared" si="13"/>
        <v>2021</v>
      </c>
      <c r="F241" t="s">
        <v>3</v>
      </c>
      <c r="G241" t="s">
        <v>114</v>
      </c>
      <c r="H241" t="s">
        <v>768</v>
      </c>
      <c r="I241">
        <v>110</v>
      </c>
      <c r="J241">
        <v>8</v>
      </c>
      <c r="K241">
        <f t="shared" si="14"/>
        <v>7.2727272727272725</v>
      </c>
      <c r="L241" t="s">
        <v>1738</v>
      </c>
      <c r="M241" t="s">
        <v>3638</v>
      </c>
      <c r="N241" t="s">
        <v>1</v>
      </c>
      <c r="O241">
        <v>500029</v>
      </c>
      <c r="P241" t="s">
        <v>546</v>
      </c>
      <c r="Q241" t="s">
        <v>1767</v>
      </c>
      <c r="S241">
        <v>11.688000000000001</v>
      </c>
      <c r="T241">
        <v>3</v>
      </c>
      <c r="U241">
        <v>0.6</v>
      </c>
      <c r="V241">
        <v>-4.6752000000000002</v>
      </c>
      <c r="W241">
        <f t="shared" si="15"/>
        <v>5.4543999999999997</v>
      </c>
      <c r="X241">
        <v>3</v>
      </c>
    </row>
    <row r="242" spans="1:24" x14ac:dyDescent="0.3">
      <c r="A242">
        <v>241</v>
      </c>
      <c r="B242" t="s">
        <v>2016</v>
      </c>
      <c r="C242" s="6">
        <v>44437</v>
      </c>
      <c r="D242" t="str">
        <f t="shared" si="12"/>
        <v>Aug</v>
      </c>
      <c r="E242" t="str">
        <f t="shared" si="13"/>
        <v>2021</v>
      </c>
      <c r="F242" t="s">
        <v>3</v>
      </c>
      <c r="G242" t="s">
        <v>114</v>
      </c>
      <c r="H242" t="s">
        <v>769</v>
      </c>
      <c r="I242">
        <v>230</v>
      </c>
      <c r="J242">
        <v>20</v>
      </c>
      <c r="K242">
        <f t="shared" si="14"/>
        <v>8.695652173913043</v>
      </c>
      <c r="L242" t="s">
        <v>1737</v>
      </c>
      <c r="M242" t="s">
        <v>3639</v>
      </c>
      <c r="N242" t="s">
        <v>1</v>
      </c>
      <c r="O242">
        <v>226018</v>
      </c>
      <c r="P242" t="s">
        <v>546</v>
      </c>
      <c r="Q242" t="s">
        <v>1759</v>
      </c>
      <c r="S242">
        <v>31.984000000000002</v>
      </c>
      <c r="T242">
        <v>2</v>
      </c>
      <c r="U242">
        <v>0.2</v>
      </c>
      <c r="V242">
        <v>11.1944</v>
      </c>
      <c r="W242">
        <f t="shared" si="15"/>
        <v>10.3948</v>
      </c>
      <c r="X242">
        <v>4</v>
      </c>
    </row>
    <row r="243" spans="1:24" x14ac:dyDescent="0.3">
      <c r="A243">
        <v>242</v>
      </c>
      <c r="B243" t="s">
        <v>2017</v>
      </c>
      <c r="C243" s="6">
        <v>44438</v>
      </c>
      <c r="D243" t="str">
        <f t="shared" si="12"/>
        <v>Aug</v>
      </c>
      <c r="E243" t="str">
        <f t="shared" si="13"/>
        <v>2021</v>
      </c>
      <c r="F243" t="s">
        <v>3</v>
      </c>
      <c r="G243" t="s">
        <v>114</v>
      </c>
      <c r="H243" t="s">
        <v>770</v>
      </c>
      <c r="I243">
        <v>230</v>
      </c>
      <c r="J243">
        <v>8</v>
      </c>
      <c r="K243">
        <f t="shared" si="14"/>
        <v>3.4782608695652173</v>
      </c>
      <c r="L243" t="s">
        <v>1743</v>
      </c>
      <c r="M243" t="s">
        <v>3640</v>
      </c>
      <c r="N243" t="s">
        <v>1</v>
      </c>
      <c r="O243">
        <v>421301</v>
      </c>
      <c r="P243" t="s">
        <v>546</v>
      </c>
      <c r="Q243" t="s">
        <v>1756</v>
      </c>
      <c r="S243">
        <v>177.22499999999999</v>
      </c>
      <c r="T243">
        <v>5</v>
      </c>
      <c r="U243">
        <v>0.5</v>
      </c>
      <c r="V243">
        <v>-120.51300000000001</v>
      </c>
      <c r="W243">
        <f t="shared" si="15"/>
        <v>59.547600000000003</v>
      </c>
      <c r="X243">
        <v>5</v>
      </c>
    </row>
    <row r="244" spans="1:24" x14ac:dyDescent="0.3">
      <c r="A244">
        <v>243</v>
      </c>
      <c r="B244" t="s">
        <v>2018</v>
      </c>
      <c r="C244" s="6">
        <v>44439</v>
      </c>
      <c r="D244" t="str">
        <f t="shared" si="12"/>
        <v>Aug</v>
      </c>
      <c r="E244" t="str">
        <f t="shared" si="13"/>
        <v>2021</v>
      </c>
      <c r="F244" t="s">
        <v>3</v>
      </c>
      <c r="G244" t="s">
        <v>114</v>
      </c>
      <c r="H244" t="s">
        <v>771</v>
      </c>
      <c r="I244">
        <v>240</v>
      </c>
      <c r="J244">
        <v>18</v>
      </c>
      <c r="K244">
        <f t="shared" si="14"/>
        <v>7.5</v>
      </c>
      <c r="L244" t="s">
        <v>1738</v>
      </c>
      <c r="M244" t="s">
        <v>3641</v>
      </c>
      <c r="N244" t="s">
        <v>1</v>
      </c>
      <c r="O244">
        <v>560076</v>
      </c>
      <c r="P244" t="s">
        <v>546</v>
      </c>
      <c r="Q244" t="s">
        <v>1762</v>
      </c>
      <c r="S244">
        <v>4.0439999999999996</v>
      </c>
      <c r="T244">
        <v>3</v>
      </c>
      <c r="U244">
        <v>0.6</v>
      </c>
      <c r="V244">
        <v>-2.8308</v>
      </c>
      <c r="W244">
        <f t="shared" si="15"/>
        <v>2.2915999999999999</v>
      </c>
      <c r="X244">
        <v>4</v>
      </c>
    </row>
    <row r="245" spans="1:24" x14ac:dyDescent="0.3">
      <c r="A245">
        <v>244</v>
      </c>
      <c r="B245" t="s">
        <v>2019</v>
      </c>
      <c r="C245" s="6">
        <v>44440</v>
      </c>
      <c r="D245" t="str">
        <f t="shared" si="12"/>
        <v>Sep</v>
      </c>
      <c r="E245" t="str">
        <f t="shared" si="13"/>
        <v>2021</v>
      </c>
      <c r="F245" t="s">
        <v>3</v>
      </c>
      <c r="G245" t="s">
        <v>114</v>
      </c>
      <c r="H245" t="s">
        <v>729</v>
      </c>
      <c r="I245">
        <v>180</v>
      </c>
      <c r="J245">
        <v>18</v>
      </c>
      <c r="K245">
        <f t="shared" si="14"/>
        <v>10</v>
      </c>
      <c r="L245" t="s">
        <v>1739</v>
      </c>
      <c r="M245" t="s">
        <v>3642</v>
      </c>
      <c r="N245" t="s">
        <v>1</v>
      </c>
      <c r="O245">
        <v>700032</v>
      </c>
      <c r="P245" t="s">
        <v>546</v>
      </c>
      <c r="Q245" t="s">
        <v>1768</v>
      </c>
      <c r="S245">
        <v>7.4080000000000004</v>
      </c>
      <c r="T245">
        <v>2</v>
      </c>
      <c r="U245">
        <v>0.2</v>
      </c>
      <c r="V245">
        <v>1.2038</v>
      </c>
      <c r="W245">
        <f t="shared" si="15"/>
        <v>3.1021000000000001</v>
      </c>
      <c r="X245">
        <v>1</v>
      </c>
    </row>
    <row r="246" spans="1:24" x14ac:dyDescent="0.3">
      <c r="A246">
        <v>245</v>
      </c>
      <c r="B246" t="s">
        <v>2020</v>
      </c>
      <c r="C246" s="6">
        <v>44441</v>
      </c>
      <c r="D246" t="str">
        <f t="shared" si="12"/>
        <v>Sep</v>
      </c>
      <c r="E246" t="str">
        <f t="shared" si="13"/>
        <v>2021</v>
      </c>
      <c r="F246" t="s">
        <v>3</v>
      </c>
      <c r="G246" t="s">
        <v>115</v>
      </c>
      <c r="H246" t="s">
        <v>667</v>
      </c>
      <c r="I246">
        <v>170</v>
      </c>
      <c r="J246">
        <v>22</v>
      </c>
      <c r="K246">
        <f t="shared" si="14"/>
        <v>12.941176470588237</v>
      </c>
      <c r="L246" t="s">
        <v>1741</v>
      </c>
      <c r="M246" t="s">
        <v>3643</v>
      </c>
      <c r="N246" t="s">
        <v>1</v>
      </c>
      <c r="O246">
        <v>110033</v>
      </c>
      <c r="P246" t="s">
        <v>546</v>
      </c>
      <c r="Q246" t="s">
        <v>1757</v>
      </c>
      <c r="S246">
        <v>2001.86</v>
      </c>
      <c r="T246">
        <v>7</v>
      </c>
      <c r="U246">
        <v>0</v>
      </c>
      <c r="V246">
        <v>580.5394</v>
      </c>
      <c r="W246">
        <f t="shared" si="15"/>
        <v>203.04580000000001</v>
      </c>
      <c r="X246">
        <v>2</v>
      </c>
    </row>
    <row r="247" spans="1:24" x14ac:dyDescent="0.3">
      <c r="A247">
        <v>246</v>
      </c>
      <c r="B247" t="s">
        <v>2021</v>
      </c>
      <c r="C247" s="6">
        <v>44442</v>
      </c>
      <c r="D247" t="str">
        <f t="shared" si="12"/>
        <v>Sep</v>
      </c>
      <c r="E247" t="str">
        <f t="shared" si="13"/>
        <v>2021</v>
      </c>
      <c r="F247" t="s">
        <v>3</v>
      </c>
      <c r="G247" t="s">
        <v>115</v>
      </c>
      <c r="H247" t="s">
        <v>772</v>
      </c>
      <c r="I247">
        <v>130</v>
      </c>
      <c r="J247">
        <v>10</v>
      </c>
      <c r="K247">
        <f t="shared" si="14"/>
        <v>7.6923076923076925</v>
      </c>
      <c r="L247" t="s">
        <v>1736</v>
      </c>
      <c r="M247" t="s">
        <v>3644</v>
      </c>
      <c r="N247" t="s">
        <v>1</v>
      </c>
      <c r="O247">
        <v>415301</v>
      </c>
      <c r="P247" t="s">
        <v>546</v>
      </c>
      <c r="Q247" t="s">
        <v>1761</v>
      </c>
      <c r="S247">
        <v>166.72</v>
      </c>
      <c r="T247">
        <v>2</v>
      </c>
      <c r="U247">
        <v>0</v>
      </c>
      <c r="V247">
        <v>41.68</v>
      </c>
      <c r="W247">
        <f t="shared" si="15"/>
        <v>62.519999999999996</v>
      </c>
      <c r="X247">
        <v>4</v>
      </c>
    </row>
    <row r="248" spans="1:24" x14ac:dyDescent="0.3">
      <c r="A248">
        <v>247</v>
      </c>
      <c r="B248" t="s">
        <v>2022</v>
      </c>
      <c r="C248" s="6">
        <v>44443</v>
      </c>
      <c r="D248" t="str">
        <f t="shared" si="12"/>
        <v>Sep</v>
      </c>
      <c r="E248" t="str">
        <f t="shared" si="13"/>
        <v>2021</v>
      </c>
      <c r="F248" t="s">
        <v>3</v>
      </c>
      <c r="G248" t="s">
        <v>115</v>
      </c>
      <c r="H248" t="s">
        <v>773</v>
      </c>
      <c r="I248">
        <v>140</v>
      </c>
      <c r="J248">
        <v>10</v>
      </c>
      <c r="K248">
        <f t="shared" si="14"/>
        <v>7.1428571428571423</v>
      </c>
      <c r="L248" t="s">
        <v>1744</v>
      </c>
      <c r="M248" t="s">
        <v>3645</v>
      </c>
      <c r="N248" t="s">
        <v>1</v>
      </c>
      <c r="O248">
        <v>712249</v>
      </c>
      <c r="P248" t="s">
        <v>546</v>
      </c>
      <c r="Q248" t="s">
        <v>1773</v>
      </c>
      <c r="R248" t="s">
        <v>2</v>
      </c>
      <c r="S248">
        <v>47.88</v>
      </c>
      <c r="T248">
        <v>6</v>
      </c>
      <c r="U248">
        <v>0</v>
      </c>
      <c r="V248">
        <v>23.94</v>
      </c>
      <c r="W248">
        <f t="shared" si="15"/>
        <v>3.99</v>
      </c>
      <c r="X248">
        <v>4</v>
      </c>
    </row>
    <row r="249" spans="1:24" x14ac:dyDescent="0.3">
      <c r="A249">
        <v>248</v>
      </c>
      <c r="B249" t="s">
        <v>2023</v>
      </c>
      <c r="C249" s="6">
        <v>44444</v>
      </c>
      <c r="D249" t="str">
        <f t="shared" si="12"/>
        <v>Sep</v>
      </c>
      <c r="E249" t="str">
        <f t="shared" si="13"/>
        <v>2021</v>
      </c>
      <c r="F249" t="s">
        <v>3</v>
      </c>
      <c r="G249" t="s">
        <v>115</v>
      </c>
      <c r="H249" t="s">
        <v>774</v>
      </c>
      <c r="I249">
        <v>200</v>
      </c>
      <c r="J249">
        <v>24</v>
      </c>
      <c r="K249">
        <f t="shared" si="14"/>
        <v>12</v>
      </c>
      <c r="L249" t="s">
        <v>1740</v>
      </c>
      <c r="M249" t="s">
        <v>3646</v>
      </c>
      <c r="N249" t="s">
        <v>1</v>
      </c>
      <c r="O249">
        <v>560040</v>
      </c>
      <c r="P249" t="s">
        <v>546</v>
      </c>
      <c r="Q249" t="s">
        <v>1776</v>
      </c>
      <c r="S249">
        <v>1503.25</v>
      </c>
      <c r="T249">
        <v>5</v>
      </c>
      <c r="U249">
        <v>0</v>
      </c>
      <c r="V249">
        <v>496.07249999999999</v>
      </c>
      <c r="W249">
        <f t="shared" si="15"/>
        <v>201.43549999999999</v>
      </c>
      <c r="X249">
        <v>5</v>
      </c>
    </row>
    <row r="250" spans="1:24" x14ac:dyDescent="0.3">
      <c r="A250">
        <v>249</v>
      </c>
      <c r="B250" t="s">
        <v>2024</v>
      </c>
      <c r="C250" s="6">
        <v>44445</v>
      </c>
      <c r="D250" t="str">
        <f t="shared" si="12"/>
        <v>Sep</v>
      </c>
      <c r="E250" t="str">
        <f t="shared" si="13"/>
        <v>2021</v>
      </c>
      <c r="F250" t="s">
        <v>3</v>
      </c>
      <c r="G250" t="s">
        <v>115</v>
      </c>
      <c r="H250" t="s">
        <v>727</v>
      </c>
      <c r="I250">
        <v>180</v>
      </c>
      <c r="J250">
        <v>30</v>
      </c>
      <c r="K250">
        <f t="shared" si="14"/>
        <v>16.666666666666664</v>
      </c>
      <c r="L250" t="s">
        <v>1742</v>
      </c>
      <c r="M250" t="s">
        <v>3647</v>
      </c>
      <c r="N250" t="s">
        <v>1</v>
      </c>
      <c r="O250">
        <v>431003</v>
      </c>
      <c r="P250" t="s">
        <v>546</v>
      </c>
      <c r="Q250" t="s">
        <v>1761</v>
      </c>
      <c r="R250" t="s">
        <v>2</v>
      </c>
      <c r="S250">
        <v>25.92</v>
      </c>
      <c r="T250">
        <v>4</v>
      </c>
      <c r="U250">
        <v>0</v>
      </c>
      <c r="V250">
        <v>12.441599999999999</v>
      </c>
      <c r="W250">
        <f t="shared" si="15"/>
        <v>3.3696000000000006</v>
      </c>
      <c r="X250">
        <v>3</v>
      </c>
    </row>
    <row r="251" spans="1:24" x14ac:dyDescent="0.3">
      <c r="A251">
        <v>250</v>
      </c>
      <c r="B251" t="s">
        <v>2025</v>
      </c>
      <c r="C251" s="6">
        <v>44446</v>
      </c>
      <c r="D251" t="str">
        <f t="shared" si="12"/>
        <v>Sep</v>
      </c>
      <c r="E251" t="str">
        <f t="shared" si="13"/>
        <v>2021</v>
      </c>
      <c r="F251" t="s">
        <v>3</v>
      </c>
      <c r="G251" t="s">
        <v>116</v>
      </c>
      <c r="H251" t="s">
        <v>775</v>
      </c>
      <c r="I251">
        <v>240</v>
      </c>
      <c r="J251">
        <v>16</v>
      </c>
      <c r="K251">
        <f t="shared" si="14"/>
        <v>6.666666666666667</v>
      </c>
      <c r="L251" t="s">
        <v>1739</v>
      </c>
      <c r="M251" t="s">
        <v>3648</v>
      </c>
      <c r="N251" t="s">
        <v>1</v>
      </c>
      <c r="O251">
        <v>560099</v>
      </c>
      <c r="P251" t="s">
        <v>546</v>
      </c>
      <c r="Q251" t="s">
        <v>1770</v>
      </c>
      <c r="S251">
        <v>321.56799999999998</v>
      </c>
      <c r="T251">
        <v>2</v>
      </c>
      <c r="U251">
        <v>0.2</v>
      </c>
      <c r="V251">
        <v>28.1372</v>
      </c>
      <c r="W251">
        <f t="shared" si="15"/>
        <v>146.71539999999999</v>
      </c>
      <c r="X251">
        <v>1</v>
      </c>
    </row>
    <row r="252" spans="1:24" x14ac:dyDescent="0.3">
      <c r="A252">
        <v>251</v>
      </c>
      <c r="B252" t="s">
        <v>2026</v>
      </c>
      <c r="C252" s="6">
        <v>44447</v>
      </c>
      <c r="D252" t="str">
        <f t="shared" si="12"/>
        <v>Sep</v>
      </c>
      <c r="E252" t="str">
        <f t="shared" si="13"/>
        <v>2021</v>
      </c>
      <c r="F252" t="s">
        <v>4</v>
      </c>
      <c r="G252" t="s">
        <v>117</v>
      </c>
      <c r="H252" t="s">
        <v>776</v>
      </c>
      <c r="I252">
        <v>220</v>
      </c>
      <c r="J252">
        <v>20</v>
      </c>
      <c r="K252">
        <f t="shared" si="14"/>
        <v>9.0909090909090917</v>
      </c>
      <c r="L252" t="s">
        <v>1738</v>
      </c>
      <c r="M252" t="s">
        <v>3649</v>
      </c>
      <c r="N252" t="s">
        <v>1</v>
      </c>
      <c r="O252">
        <v>560077</v>
      </c>
      <c r="P252" t="s">
        <v>546</v>
      </c>
      <c r="Q252" t="s">
        <v>1761</v>
      </c>
      <c r="S252">
        <v>7.61</v>
      </c>
      <c r="T252">
        <v>1</v>
      </c>
      <c r="U252">
        <v>0</v>
      </c>
      <c r="V252">
        <v>3.5767000000000002</v>
      </c>
      <c r="W252">
        <f t="shared" si="15"/>
        <v>4.0333000000000006</v>
      </c>
      <c r="X252">
        <v>3</v>
      </c>
    </row>
    <row r="253" spans="1:24" x14ac:dyDescent="0.3">
      <c r="A253">
        <v>252</v>
      </c>
      <c r="B253" t="s">
        <v>2027</v>
      </c>
      <c r="C253" s="6">
        <v>44448</v>
      </c>
      <c r="D253" t="str">
        <f t="shared" si="12"/>
        <v>Sep</v>
      </c>
      <c r="E253" t="str">
        <f t="shared" si="13"/>
        <v>2021</v>
      </c>
      <c r="F253" t="s">
        <v>4</v>
      </c>
      <c r="G253" t="s">
        <v>117</v>
      </c>
      <c r="H253" t="s">
        <v>764</v>
      </c>
      <c r="I253">
        <v>110</v>
      </c>
      <c r="J253">
        <v>26</v>
      </c>
      <c r="K253">
        <f t="shared" si="14"/>
        <v>23.636363636363637</v>
      </c>
      <c r="L253" t="s">
        <v>1743</v>
      </c>
      <c r="M253" t="s">
        <v>3650</v>
      </c>
      <c r="N253" t="s">
        <v>1</v>
      </c>
      <c r="O253">
        <v>560077</v>
      </c>
      <c r="P253" t="s">
        <v>546</v>
      </c>
      <c r="Q253" t="s">
        <v>1759</v>
      </c>
      <c r="S253">
        <v>3347.37</v>
      </c>
      <c r="T253">
        <v>13</v>
      </c>
      <c r="U253">
        <v>0</v>
      </c>
      <c r="V253">
        <v>636.00030000000004</v>
      </c>
      <c r="W253">
        <f t="shared" si="15"/>
        <v>208.56689999999998</v>
      </c>
      <c r="X253">
        <v>4</v>
      </c>
    </row>
    <row r="254" spans="1:24" x14ac:dyDescent="0.3">
      <c r="A254">
        <v>253</v>
      </c>
      <c r="B254" t="s">
        <v>2028</v>
      </c>
      <c r="C254" s="6">
        <v>44449</v>
      </c>
      <c r="D254" t="str">
        <f t="shared" si="12"/>
        <v>Sep</v>
      </c>
      <c r="E254" t="str">
        <f t="shared" si="13"/>
        <v>2021</v>
      </c>
      <c r="F254" t="s">
        <v>5</v>
      </c>
      <c r="G254" t="s">
        <v>118</v>
      </c>
      <c r="H254" t="s">
        <v>777</v>
      </c>
      <c r="I254">
        <v>150</v>
      </c>
      <c r="J254">
        <v>26</v>
      </c>
      <c r="K254">
        <f t="shared" si="14"/>
        <v>17.333333333333336</v>
      </c>
      <c r="L254" t="s">
        <v>1737</v>
      </c>
      <c r="M254" t="s">
        <v>3651</v>
      </c>
      <c r="N254" t="s">
        <v>1</v>
      </c>
      <c r="O254">
        <v>400097</v>
      </c>
      <c r="P254" t="s">
        <v>546</v>
      </c>
      <c r="Q254" t="s">
        <v>1759</v>
      </c>
      <c r="S254">
        <v>80.58</v>
      </c>
      <c r="T254">
        <v>6</v>
      </c>
      <c r="U254">
        <v>0</v>
      </c>
      <c r="V254">
        <v>22.5624</v>
      </c>
      <c r="W254">
        <f t="shared" si="15"/>
        <v>9.6696000000000009</v>
      </c>
      <c r="X254">
        <v>2</v>
      </c>
    </row>
    <row r="255" spans="1:24" x14ac:dyDescent="0.3">
      <c r="A255">
        <v>254</v>
      </c>
      <c r="B255" t="s">
        <v>2029</v>
      </c>
      <c r="C255" s="6">
        <v>44450</v>
      </c>
      <c r="D255" t="str">
        <f t="shared" si="12"/>
        <v>Sep</v>
      </c>
      <c r="E255" t="str">
        <f t="shared" si="13"/>
        <v>2021</v>
      </c>
      <c r="F255" t="s">
        <v>5</v>
      </c>
      <c r="G255" t="s">
        <v>118</v>
      </c>
      <c r="H255" t="s">
        <v>778</v>
      </c>
      <c r="I255">
        <v>200</v>
      </c>
      <c r="J255">
        <v>16</v>
      </c>
      <c r="K255">
        <f t="shared" si="14"/>
        <v>8</v>
      </c>
      <c r="L255" t="s">
        <v>1741</v>
      </c>
      <c r="M255" t="s">
        <v>3652</v>
      </c>
      <c r="N255" t="s">
        <v>1</v>
      </c>
      <c r="O255">
        <v>600058</v>
      </c>
      <c r="P255" t="s">
        <v>546</v>
      </c>
      <c r="Q255" t="s">
        <v>1775</v>
      </c>
      <c r="R255" t="s">
        <v>2</v>
      </c>
      <c r="S255">
        <v>361.92</v>
      </c>
      <c r="T255">
        <v>4</v>
      </c>
      <c r="U255">
        <v>0</v>
      </c>
      <c r="V255">
        <v>162.864</v>
      </c>
      <c r="W255">
        <f t="shared" si="15"/>
        <v>49.764000000000003</v>
      </c>
      <c r="X255">
        <v>2</v>
      </c>
    </row>
    <row r="256" spans="1:24" x14ac:dyDescent="0.3">
      <c r="A256">
        <v>255</v>
      </c>
      <c r="B256" t="s">
        <v>2030</v>
      </c>
      <c r="C256" s="6">
        <v>44451</v>
      </c>
      <c r="D256" t="str">
        <f t="shared" si="12"/>
        <v>Sep</v>
      </c>
      <c r="E256" t="str">
        <f t="shared" si="13"/>
        <v>2021</v>
      </c>
      <c r="F256" t="s">
        <v>4</v>
      </c>
      <c r="G256" t="s">
        <v>119</v>
      </c>
      <c r="H256" t="s">
        <v>771</v>
      </c>
      <c r="I256">
        <v>230</v>
      </c>
      <c r="J256">
        <v>28</v>
      </c>
      <c r="K256">
        <f t="shared" si="14"/>
        <v>12.173913043478262</v>
      </c>
      <c r="L256" t="s">
        <v>1736</v>
      </c>
      <c r="M256" t="s">
        <v>3653</v>
      </c>
      <c r="N256" t="s">
        <v>1</v>
      </c>
      <c r="O256">
        <v>500084</v>
      </c>
      <c r="P256" t="s">
        <v>546</v>
      </c>
      <c r="Q256" t="s">
        <v>1759</v>
      </c>
      <c r="R256" t="s">
        <v>2</v>
      </c>
      <c r="S256">
        <v>12.132</v>
      </c>
      <c r="T256">
        <v>9</v>
      </c>
      <c r="U256">
        <v>0.6</v>
      </c>
      <c r="V256">
        <v>-8.4923999999999999</v>
      </c>
      <c r="W256">
        <f t="shared" si="15"/>
        <v>2.2916000000000003</v>
      </c>
      <c r="X256">
        <v>2</v>
      </c>
    </row>
    <row r="257" spans="1:24" x14ac:dyDescent="0.3">
      <c r="A257">
        <v>256</v>
      </c>
      <c r="B257" t="s">
        <v>2031</v>
      </c>
      <c r="C257" s="6">
        <v>44452</v>
      </c>
      <c r="D257" t="str">
        <f t="shared" si="12"/>
        <v>Sep</v>
      </c>
      <c r="E257" t="str">
        <f t="shared" si="13"/>
        <v>2021</v>
      </c>
      <c r="F257" t="s">
        <v>4</v>
      </c>
      <c r="G257" t="s">
        <v>119</v>
      </c>
      <c r="H257" t="s">
        <v>779</v>
      </c>
      <c r="I257">
        <v>230</v>
      </c>
      <c r="J257">
        <v>30</v>
      </c>
      <c r="K257">
        <f t="shared" si="14"/>
        <v>13.043478260869565</v>
      </c>
      <c r="L257" t="s">
        <v>1744</v>
      </c>
      <c r="M257" t="s">
        <v>3654</v>
      </c>
      <c r="N257" t="s">
        <v>1</v>
      </c>
      <c r="O257">
        <v>500084</v>
      </c>
      <c r="P257" t="s">
        <v>546</v>
      </c>
      <c r="Q257" t="s">
        <v>1774</v>
      </c>
      <c r="R257" t="s">
        <v>2</v>
      </c>
      <c r="S257">
        <v>82.367999999999995</v>
      </c>
      <c r="T257">
        <v>2</v>
      </c>
      <c r="U257">
        <v>0.2</v>
      </c>
      <c r="V257">
        <v>-19.5624</v>
      </c>
      <c r="W257">
        <f t="shared" si="15"/>
        <v>50.965199999999996</v>
      </c>
      <c r="X257">
        <v>3</v>
      </c>
    </row>
    <row r="258" spans="1:24" x14ac:dyDescent="0.3">
      <c r="A258">
        <v>257</v>
      </c>
      <c r="B258" t="s">
        <v>2032</v>
      </c>
      <c r="C258" s="6">
        <v>44453</v>
      </c>
      <c r="D258" t="str">
        <f t="shared" si="12"/>
        <v>Sep</v>
      </c>
      <c r="E258" t="str">
        <f t="shared" si="13"/>
        <v>2021</v>
      </c>
      <c r="F258" t="s">
        <v>4</v>
      </c>
      <c r="G258" t="s">
        <v>119</v>
      </c>
      <c r="H258" t="s">
        <v>693</v>
      </c>
      <c r="I258">
        <v>190</v>
      </c>
      <c r="J258">
        <v>12</v>
      </c>
      <c r="K258">
        <f t="shared" si="14"/>
        <v>6.3157894736842106</v>
      </c>
      <c r="L258" t="s">
        <v>1740</v>
      </c>
      <c r="M258" t="s">
        <v>3655</v>
      </c>
      <c r="N258" t="s">
        <v>1</v>
      </c>
      <c r="O258">
        <v>760001</v>
      </c>
      <c r="P258" t="s">
        <v>546</v>
      </c>
      <c r="Q258" t="s">
        <v>1775</v>
      </c>
      <c r="S258">
        <v>53.92</v>
      </c>
      <c r="T258">
        <v>5</v>
      </c>
      <c r="U258">
        <v>0.2</v>
      </c>
      <c r="V258">
        <v>4.0439999999999996</v>
      </c>
      <c r="W258">
        <f t="shared" si="15"/>
        <v>9.975200000000001</v>
      </c>
      <c r="X258">
        <v>2</v>
      </c>
    </row>
    <row r="259" spans="1:24" x14ac:dyDescent="0.3">
      <c r="A259">
        <v>258</v>
      </c>
      <c r="B259" t="s">
        <v>2033</v>
      </c>
      <c r="C259" s="6">
        <v>44454</v>
      </c>
      <c r="D259" t="str">
        <f t="shared" ref="D259:D322" si="16">TEXT(C259,"Mmm")</f>
        <v>Sep</v>
      </c>
      <c r="E259" t="str">
        <f t="shared" ref="E259:E322" si="17">TEXT(C259,"YYYY")</f>
        <v>2021</v>
      </c>
      <c r="F259" t="s">
        <v>4</v>
      </c>
      <c r="G259" t="s">
        <v>119</v>
      </c>
      <c r="H259" t="s">
        <v>780</v>
      </c>
      <c r="I259">
        <v>190</v>
      </c>
      <c r="J259">
        <v>16</v>
      </c>
      <c r="K259">
        <f t="shared" ref="K259:K322" si="18">(J259/I259)*100</f>
        <v>8.4210526315789469</v>
      </c>
      <c r="L259" t="s">
        <v>1742</v>
      </c>
      <c r="M259" t="s">
        <v>3656</v>
      </c>
      <c r="N259" t="s">
        <v>1</v>
      </c>
      <c r="O259">
        <v>760001</v>
      </c>
      <c r="P259" t="s">
        <v>546</v>
      </c>
      <c r="Q259" t="s">
        <v>1755</v>
      </c>
      <c r="S259">
        <v>647.904</v>
      </c>
      <c r="T259">
        <v>6</v>
      </c>
      <c r="U259">
        <v>0.2</v>
      </c>
      <c r="V259">
        <v>56.691600000000001</v>
      </c>
      <c r="W259">
        <f t="shared" ref="W259:W322" si="19">(S259-V259)/T259</f>
        <v>98.535399999999996</v>
      </c>
      <c r="X259">
        <v>2</v>
      </c>
    </row>
    <row r="260" spans="1:24" x14ac:dyDescent="0.3">
      <c r="A260">
        <v>259</v>
      </c>
      <c r="B260" t="s">
        <v>2034</v>
      </c>
      <c r="C260" s="6">
        <v>44455</v>
      </c>
      <c r="D260" t="str">
        <f t="shared" si="16"/>
        <v>Sep</v>
      </c>
      <c r="E260" t="str">
        <f t="shared" si="17"/>
        <v>2021</v>
      </c>
      <c r="F260" t="s">
        <v>3</v>
      </c>
      <c r="G260" t="s">
        <v>120</v>
      </c>
      <c r="H260" t="s">
        <v>781</v>
      </c>
      <c r="I260">
        <v>140</v>
      </c>
      <c r="J260">
        <v>22</v>
      </c>
      <c r="K260">
        <f t="shared" si="18"/>
        <v>15.714285714285714</v>
      </c>
      <c r="L260" t="s">
        <v>1739</v>
      </c>
      <c r="M260" t="s">
        <v>3657</v>
      </c>
      <c r="N260" t="s">
        <v>1</v>
      </c>
      <c r="O260">
        <v>760001</v>
      </c>
      <c r="P260" t="s">
        <v>546</v>
      </c>
      <c r="Q260" t="s">
        <v>1756</v>
      </c>
      <c r="R260" t="s">
        <v>2</v>
      </c>
      <c r="S260">
        <v>20.37</v>
      </c>
      <c r="T260">
        <v>3</v>
      </c>
      <c r="U260">
        <v>0</v>
      </c>
      <c r="V260">
        <v>6.9257999999999997</v>
      </c>
      <c r="W260">
        <f t="shared" si="19"/>
        <v>4.4814000000000007</v>
      </c>
      <c r="X260">
        <v>1</v>
      </c>
    </row>
    <row r="261" spans="1:24" x14ac:dyDescent="0.3">
      <c r="A261">
        <v>260</v>
      </c>
      <c r="B261" t="s">
        <v>2035</v>
      </c>
      <c r="C261" s="6">
        <v>44456</v>
      </c>
      <c r="D261" t="str">
        <f t="shared" si="16"/>
        <v>Sep</v>
      </c>
      <c r="E261" t="str">
        <f t="shared" si="17"/>
        <v>2021</v>
      </c>
      <c r="F261" t="s">
        <v>3</v>
      </c>
      <c r="G261" t="s">
        <v>120</v>
      </c>
      <c r="H261" t="s">
        <v>782</v>
      </c>
      <c r="I261">
        <v>180</v>
      </c>
      <c r="J261">
        <v>20</v>
      </c>
      <c r="K261">
        <f t="shared" si="18"/>
        <v>11.111111111111111</v>
      </c>
      <c r="L261" t="s">
        <v>1738</v>
      </c>
      <c r="M261" t="s">
        <v>3658</v>
      </c>
      <c r="N261" t="s">
        <v>1</v>
      </c>
      <c r="O261">
        <v>411008</v>
      </c>
      <c r="P261" t="s">
        <v>546</v>
      </c>
      <c r="Q261" t="s">
        <v>1761</v>
      </c>
      <c r="S261">
        <v>221.55</v>
      </c>
      <c r="T261">
        <v>3</v>
      </c>
      <c r="U261">
        <v>0</v>
      </c>
      <c r="V261">
        <v>6.6464999999999996</v>
      </c>
      <c r="W261">
        <f t="shared" si="19"/>
        <v>71.634500000000003</v>
      </c>
      <c r="X261">
        <v>4</v>
      </c>
    </row>
    <row r="262" spans="1:24" x14ac:dyDescent="0.3">
      <c r="A262">
        <v>261</v>
      </c>
      <c r="B262" t="s">
        <v>2036</v>
      </c>
      <c r="C262" s="6">
        <v>44457</v>
      </c>
      <c r="D262" t="str">
        <f t="shared" si="16"/>
        <v>Sep</v>
      </c>
      <c r="E262" t="str">
        <f t="shared" si="17"/>
        <v>2021</v>
      </c>
      <c r="F262" t="s">
        <v>3</v>
      </c>
      <c r="G262" t="s">
        <v>120</v>
      </c>
      <c r="H262" t="s">
        <v>783</v>
      </c>
      <c r="I262">
        <v>210</v>
      </c>
      <c r="J262">
        <v>10</v>
      </c>
      <c r="K262">
        <f t="shared" si="18"/>
        <v>4.7619047619047619</v>
      </c>
      <c r="L262" t="s">
        <v>1741</v>
      </c>
      <c r="M262" t="s">
        <v>3659</v>
      </c>
      <c r="N262" t="s">
        <v>1</v>
      </c>
      <c r="O262">
        <v>411007</v>
      </c>
      <c r="P262" t="s">
        <v>546</v>
      </c>
      <c r="Q262" t="s">
        <v>1766</v>
      </c>
      <c r="R262" t="s">
        <v>2</v>
      </c>
      <c r="S262">
        <v>17.52</v>
      </c>
      <c r="T262">
        <v>5</v>
      </c>
      <c r="U262">
        <v>0.2</v>
      </c>
      <c r="V262">
        <v>6.1319999999999997</v>
      </c>
      <c r="W262">
        <f t="shared" si="19"/>
        <v>2.2776000000000001</v>
      </c>
      <c r="X262">
        <v>2</v>
      </c>
    </row>
    <row r="263" spans="1:24" x14ac:dyDescent="0.3">
      <c r="A263">
        <v>262</v>
      </c>
      <c r="B263" t="s">
        <v>2037</v>
      </c>
      <c r="C263" s="6">
        <v>44458</v>
      </c>
      <c r="D263" t="str">
        <f t="shared" si="16"/>
        <v>Sep</v>
      </c>
      <c r="E263" t="str">
        <f t="shared" si="17"/>
        <v>2021</v>
      </c>
      <c r="F263" t="s">
        <v>4</v>
      </c>
      <c r="G263" t="s">
        <v>121</v>
      </c>
      <c r="H263" t="s">
        <v>784</v>
      </c>
      <c r="I263">
        <v>180</v>
      </c>
      <c r="J263">
        <v>10</v>
      </c>
      <c r="K263">
        <f t="shared" si="18"/>
        <v>5.5555555555555554</v>
      </c>
      <c r="L263" t="s">
        <v>1737</v>
      </c>
      <c r="M263" t="s">
        <v>3660</v>
      </c>
      <c r="N263" t="s">
        <v>1</v>
      </c>
      <c r="O263">
        <v>411007</v>
      </c>
      <c r="P263" t="s">
        <v>546</v>
      </c>
      <c r="Q263" t="s">
        <v>1771</v>
      </c>
      <c r="R263" t="s">
        <v>2</v>
      </c>
      <c r="S263">
        <v>1.6240000000000001</v>
      </c>
      <c r="T263">
        <v>2</v>
      </c>
      <c r="U263">
        <v>0.8</v>
      </c>
      <c r="V263">
        <v>-4.4660000000000002</v>
      </c>
      <c r="W263">
        <f t="shared" si="19"/>
        <v>3.0449999999999999</v>
      </c>
      <c r="X263">
        <v>5</v>
      </c>
    </row>
    <row r="264" spans="1:24" x14ac:dyDescent="0.3">
      <c r="A264">
        <v>263</v>
      </c>
      <c r="B264" t="s">
        <v>2038</v>
      </c>
      <c r="C264" s="6">
        <v>44459</v>
      </c>
      <c r="D264" t="str">
        <f t="shared" si="16"/>
        <v>Sep</v>
      </c>
      <c r="E264" t="str">
        <f t="shared" si="17"/>
        <v>2021</v>
      </c>
      <c r="F264" t="s">
        <v>3</v>
      </c>
      <c r="G264" t="s">
        <v>122</v>
      </c>
      <c r="H264" t="s">
        <v>702</v>
      </c>
      <c r="I264">
        <v>110</v>
      </c>
      <c r="J264">
        <v>22</v>
      </c>
      <c r="K264">
        <f t="shared" si="18"/>
        <v>20</v>
      </c>
      <c r="L264" t="s">
        <v>1743</v>
      </c>
      <c r="M264" t="s">
        <v>3661</v>
      </c>
      <c r="O264">
        <v>502319</v>
      </c>
      <c r="P264" t="s">
        <v>546</v>
      </c>
      <c r="Q264" t="s">
        <v>1762</v>
      </c>
      <c r="S264">
        <v>3059.982</v>
      </c>
      <c r="T264">
        <v>3</v>
      </c>
      <c r="U264">
        <v>0.4</v>
      </c>
      <c r="V264">
        <v>-509.99700000000001</v>
      </c>
      <c r="W264">
        <f t="shared" si="19"/>
        <v>1189.9929999999999</v>
      </c>
      <c r="X264">
        <v>5</v>
      </c>
    </row>
    <row r="265" spans="1:24" x14ac:dyDescent="0.3">
      <c r="A265">
        <v>264</v>
      </c>
      <c r="B265" t="s">
        <v>2039</v>
      </c>
      <c r="C265" s="6">
        <v>44460</v>
      </c>
      <c r="D265" t="str">
        <f t="shared" si="16"/>
        <v>Sep</v>
      </c>
      <c r="E265" t="str">
        <f t="shared" si="17"/>
        <v>2021</v>
      </c>
      <c r="F265" t="s">
        <v>3</v>
      </c>
      <c r="G265" t="s">
        <v>122</v>
      </c>
      <c r="H265" t="s">
        <v>785</v>
      </c>
      <c r="I265">
        <v>160</v>
      </c>
      <c r="J265">
        <v>18</v>
      </c>
      <c r="K265">
        <f t="shared" si="18"/>
        <v>11.25</v>
      </c>
      <c r="L265" t="s">
        <v>1738</v>
      </c>
      <c r="M265" t="s">
        <v>3662</v>
      </c>
      <c r="N265" t="s">
        <v>1</v>
      </c>
      <c r="O265">
        <v>122505</v>
      </c>
      <c r="P265" t="s">
        <v>546</v>
      </c>
      <c r="Q265" t="s">
        <v>1768</v>
      </c>
      <c r="S265">
        <v>2519.9580000000001</v>
      </c>
      <c r="T265">
        <v>7</v>
      </c>
      <c r="U265">
        <v>0.4</v>
      </c>
      <c r="V265">
        <v>-251.9958</v>
      </c>
      <c r="W265">
        <f t="shared" si="19"/>
        <v>395.99340000000001</v>
      </c>
      <c r="X265">
        <v>3</v>
      </c>
    </row>
    <row r="266" spans="1:24" x14ac:dyDescent="0.3">
      <c r="A266">
        <v>265</v>
      </c>
      <c r="B266" t="s">
        <v>2040</v>
      </c>
      <c r="C266" s="6">
        <v>44461</v>
      </c>
      <c r="D266" t="str">
        <f t="shared" si="16"/>
        <v>Sep</v>
      </c>
      <c r="E266" t="str">
        <f t="shared" si="17"/>
        <v>2021</v>
      </c>
      <c r="F266" t="s">
        <v>4</v>
      </c>
      <c r="G266" t="s">
        <v>123</v>
      </c>
      <c r="H266" t="s">
        <v>786</v>
      </c>
      <c r="I266">
        <v>130</v>
      </c>
      <c r="J266">
        <v>20</v>
      </c>
      <c r="K266">
        <f t="shared" si="18"/>
        <v>15.384615384615385</v>
      </c>
      <c r="L266" t="s">
        <v>1739</v>
      </c>
      <c r="M266" t="s">
        <v>3663</v>
      </c>
      <c r="N266" t="s">
        <v>1</v>
      </c>
      <c r="O266">
        <v>440027</v>
      </c>
      <c r="P266" t="s">
        <v>546</v>
      </c>
      <c r="Q266" t="s">
        <v>1755</v>
      </c>
      <c r="S266">
        <v>328.22399999999999</v>
      </c>
      <c r="T266">
        <v>4</v>
      </c>
      <c r="U266">
        <v>0.2</v>
      </c>
      <c r="V266">
        <v>28.7196</v>
      </c>
      <c r="W266">
        <f t="shared" si="19"/>
        <v>74.876099999999994</v>
      </c>
      <c r="X266">
        <v>1</v>
      </c>
    </row>
    <row r="267" spans="1:24" x14ac:dyDescent="0.3">
      <c r="A267">
        <v>266</v>
      </c>
      <c r="B267" t="s">
        <v>2041</v>
      </c>
      <c r="C267" s="6">
        <v>44462</v>
      </c>
      <c r="D267" t="str">
        <f t="shared" si="16"/>
        <v>Sep</v>
      </c>
      <c r="E267" t="str">
        <f t="shared" si="17"/>
        <v>2021</v>
      </c>
      <c r="F267" t="s">
        <v>4</v>
      </c>
      <c r="G267" t="s">
        <v>124</v>
      </c>
      <c r="H267" t="s">
        <v>787</v>
      </c>
      <c r="I267">
        <v>100</v>
      </c>
      <c r="J267">
        <v>18</v>
      </c>
      <c r="K267">
        <f t="shared" si="18"/>
        <v>18</v>
      </c>
      <c r="L267" t="s">
        <v>1736</v>
      </c>
      <c r="M267" t="s">
        <v>3664</v>
      </c>
      <c r="N267" t="s">
        <v>1</v>
      </c>
      <c r="O267">
        <v>781036</v>
      </c>
      <c r="P267" t="s">
        <v>546</v>
      </c>
      <c r="Q267" t="s">
        <v>1763</v>
      </c>
      <c r="S267">
        <v>79.900000000000006</v>
      </c>
      <c r="T267">
        <v>2</v>
      </c>
      <c r="U267">
        <v>0</v>
      </c>
      <c r="V267">
        <v>35.155999999999999</v>
      </c>
      <c r="W267">
        <f t="shared" si="19"/>
        <v>22.372000000000003</v>
      </c>
      <c r="X267">
        <v>4</v>
      </c>
    </row>
    <row r="268" spans="1:24" x14ac:dyDescent="0.3">
      <c r="A268">
        <v>267</v>
      </c>
      <c r="B268" t="s">
        <v>2042</v>
      </c>
      <c r="C268" s="6">
        <v>44463</v>
      </c>
      <c r="D268" t="str">
        <f t="shared" si="16"/>
        <v>Sep</v>
      </c>
      <c r="E268" t="str">
        <f t="shared" si="17"/>
        <v>2021</v>
      </c>
      <c r="F268" t="s">
        <v>4</v>
      </c>
      <c r="G268" t="s">
        <v>125</v>
      </c>
      <c r="H268" t="s">
        <v>788</v>
      </c>
      <c r="I268">
        <v>130</v>
      </c>
      <c r="J268">
        <v>30</v>
      </c>
      <c r="K268">
        <f t="shared" si="18"/>
        <v>23.076923076923077</v>
      </c>
      <c r="L268" t="s">
        <v>1744</v>
      </c>
      <c r="M268" t="s">
        <v>3665</v>
      </c>
      <c r="N268" t="s">
        <v>1</v>
      </c>
      <c r="O268">
        <v>110078</v>
      </c>
      <c r="P268" t="s">
        <v>546</v>
      </c>
      <c r="Q268" t="s">
        <v>1757</v>
      </c>
      <c r="S268">
        <v>14.016</v>
      </c>
      <c r="T268">
        <v>3</v>
      </c>
      <c r="U268">
        <v>0.2</v>
      </c>
      <c r="V268">
        <v>4.7304000000000004</v>
      </c>
      <c r="W268">
        <f t="shared" si="19"/>
        <v>3.0951999999999997</v>
      </c>
      <c r="X268">
        <v>1</v>
      </c>
    </row>
    <row r="269" spans="1:24" x14ac:dyDescent="0.3">
      <c r="A269">
        <v>268</v>
      </c>
      <c r="B269" t="s">
        <v>2043</v>
      </c>
      <c r="C269" s="6">
        <v>44464</v>
      </c>
      <c r="D269" t="str">
        <f t="shared" si="16"/>
        <v>Sep</v>
      </c>
      <c r="E269" t="str">
        <f t="shared" si="17"/>
        <v>2021</v>
      </c>
      <c r="F269" t="s">
        <v>4</v>
      </c>
      <c r="G269" t="s">
        <v>45</v>
      </c>
      <c r="H269" t="s">
        <v>789</v>
      </c>
      <c r="I269">
        <v>110</v>
      </c>
      <c r="J269">
        <v>24</v>
      </c>
      <c r="K269">
        <f t="shared" si="18"/>
        <v>21.818181818181817</v>
      </c>
      <c r="L269" t="s">
        <v>1740</v>
      </c>
      <c r="M269" t="s">
        <v>3666</v>
      </c>
      <c r="N269" t="s">
        <v>1</v>
      </c>
      <c r="O269">
        <v>560043</v>
      </c>
      <c r="P269" t="s">
        <v>546</v>
      </c>
      <c r="Q269" t="s">
        <v>1774</v>
      </c>
      <c r="S269">
        <v>7.56</v>
      </c>
      <c r="T269">
        <v>6</v>
      </c>
      <c r="U269">
        <v>0</v>
      </c>
      <c r="V269">
        <v>0.3024</v>
      </c>
      <c r="W269">
        <f t="shared" si="19"/>
        <v>1.2096</v>
      </c>
      <c r="X269">
        <v>3</v>
      </c>
    </row>
    <row r="270" spans="1:24" x14ac:dyDescent="0.3">
      <c r="A270">
        <v>269</v>
      </c>
      <c r="B270" t="s">
        <v>2044</v>
      </c>
      <c r="C270" s="6">
        <v>44465</v>
      </c>
      <c r="D270" t="str">
        <f t="shared" si="16"/>
        <v>Sep</v>
      </c>
      <c r="E270" t="str">
        <f t="shared" si="17"/>
        <v>2021</v>
      </c>
      <c r="F270" t="s">
        <v>4</v>
      </c>
      <c r="G270" t="s">
        <v>126</v>
      </c>
      <c r="H270" t="s">
        <v>790</v>
      </c>
      <c r="I270">
        <v>120</v>
      </c>
      <c r="J270">
        <v>16</v>
      </c>
      <c r="K270">
        <f t="shared" si="18"/>
        <v>13.333333333333334</v>
      </c>
      <c r="L270" t="s">
        <v>1742</v>
      </c>
      <c r="M270" t="s">
        <v>3667</v>
      </c>
      <c r="N270" t="s">
        <v>1</v>
      </c>
      <c r="O270">
        <v>500006</v>
      </c>
      <c r="P270" t="s">
        <v>546</v>
      </c>
      <c r="Q270" t="s">
        <v>1772</v>
      </c>
      <c r="S270">
        <v>37.207999999999998</v>
      </c>
      <c r="T270">
        <v>1</v>
      </c>
      <c r="U270">
        <v>0.2</v>
      </c>
      <c r="V270">
        <v>-7.4416000000000002</v>
      </c>
      <c r="W270">
        <f t="shared" si="19"/>
        <v>44.6496</v>
      </c>
      <c r="X270">
        <v>4</v>
      </c>
    </row>
    <row r="271" spans="1:24" x14ac:dyDescent="0.3">
      <c r="A271">
        <v>270</v>
      </c>
      <c r="B271" t="s">
        <v>2045</v>
      </c>
      <c r="C271" s="6">
        <v>44466</v>
      </c>
      <c r="D271" t="str">
        <f t="shared" si="16"/>
        <v>Sep</v>
      </c>
      <c r="E271" t="str">
        <f t="shared" si="17"/>
        <v>2021</v>
      </c>
      <c r="F271" t="s">
        <v>4</v>
      </c>
      <c r="G271" t="s">
        <v>126</v>
      </c>
      <c r="H271" t="s">
        <v>791</v>
      </c>
      <c r="I271">
        <v>130</v>
      </c>
      <c r="J271">
        <v>28</v>
      </c>
      <c r="K271">
        <f t="shared" si="18"/>
        <v>21.53846153846154</v>
      </c>
      <c r="L271" t="s">
        <v>1739</v>
      </c>
      <c r="M271" t="s">
        <v>3668</v>
      </c>
      <c r="N271" t="s">
        <v>1</v>
      </c>
      <c r="O271">
        <v>560055</v>
      </c>
      <c r="P271" t="s">
        <v>546</v>
      </c>
      <c r="Q271" t="s">
        <v>1761</v>
      </c>
      <c r="S271">
        <v>57.576000000000001</v>
      </c>
      <c r="T271">
        <v>3</v>
      </c>
      <c r="U271">
        <v>0.2</v>
      </c>
      <c r="V271">
        <v>21.591000000000001</v>
      </c>
      <c r="W271">
        <f t="shared" si="19"/>
        <v>11.994999999999999</v>
      </c>
      <c r="X271">
        <v>2</v>
      </c>
    </row>
    <row r="272" spans="1:24" x14ac:dyDescent="0.3">
      <c r="A272">
        <v>271</v>
      </c>
      <c r="B272" t="s">
        <v>2046</v>
      </c>
      <c r="C272" s="6">
        <v>44467</v>
      </c>
      <c r="D272" t="str">
        <f t="shared" si="16"/>
        <v>Sep</v>
      </c>
      <c r="E272" t="str">
        <f t="shared" si="17"/>
        <v>2021</v>
      </c>
      <c r="F272" t="s">
        <v>3</v>
      </c>
      <c r="G272" t="s">
        <v>127</v>
      </c>
      <c r="H272" t="s">
        <v>792</v>
      </c>
      <c r="I272">
        <v>250</v>
      </c>
      <c r="J272">
        <v>6</v>
      </c>
      <c r="K272">
        <f t="shared" si="18"/>
        <v>2.4</v>
      </c>
      <c r="L272" t="s">
        <v>1738</v>
      </c>
      <c r="M272" t="s">
        <v>3669</v>
      </c>
      <c r="N272" t="s">
        <v>1</v>
      </c>
      <c r="O272">
        <v>751024</v>
      </c>
      <c r="P272" t="s">
        <v>546</v>
      </c>
      <c r="Q272" t="s">
        <v>1761</v>
      </c>
      <c r="S272">
        <v>725.84</v>
      </c>
      <c r="T272">
        <v>4</v>
      </c>
      <c r="U272">
        <v>0</v>
      </c>
      <c r="V272">
        <v>210.49359999999999</v>
      </c>
      <c r="W272">
        <f t="shared" si="19"/>
        <v>128.8366</v>
      </c>
      <c r="X272">
        <v>3</v>
      </c>
    </row>
    <row r="273" spans="1:24" x14ac:dyDescent="0.3">
      <c r="A273">
        <v>272</v>
      </c>
      <c r="B273" t="s">
        <v>2047</v>
      </c>
      <c r="C273" s="6">
        <v>44468</v>
      </c>
      <c r="D273" t="str">
        <f t="shared" si="16"/>
        <v>Sep</v>
      </c>
      <c r="E273" t="str">
        <f t="shared" si="17"/>
        <v>2021</v>
      </c>
      <c r="F273" t="s">
        <v>5</v>
      </c>
      <c r="G273" t="s">
        <v>73</v>
      </c>
      <c r="H273" t="s">
        <v>793</v>
      </c>
      <c r="I273">
        <v>200</v>
      </c>
      <c r="J273">
        <v>26</v>
      </c>
      <c r="K273">
        <f t="shared" si="18"/>
        <v>13</v>
      </c>
      <c r="L273" t="s">
        <v>1743</v>
      </c>
      <c r="M273" t="s">
        <v>3670</v>
      </c>
      <c r="N273" t="s">
        <v>1</v>
      </c>
      <c r="O273">
        <v>110024</v>
      </c>
      <c r="P273" t="s">
        <v>546</v>
      </c>
      <c r="Q273" t="s">
        <v>1755</v>
      </c>
      <c r="R273" t="s">
        <v>2</v>
      </c>
      <c r="S273">
        <v>209.93</v>
      </c>
      <c r="T273">
        <v>7</v>
      </c>
      <c r="U273">
        <v>0</v>
      </c>
      <c r="V273">
        <v>92.369200000000006</v>
      </c>
      <c r="W273">
        <f t="shared" si="19"/>
        <v>16.7944</v>
      </c>
      <c r="X273">
        <v>1</v>
      </c>
    </row>
    <row r="274" spans="1:24" x14ac:dyDescent="0.3">
      <c r="A274">
        <v>273</v>
      </c>
      <c r="B274" t="s">
        <v>2048</v>
      </c>
      <c r="C274" s="6">
        <v>44469</v>
      </c>
      <c r="D274" t="str">
        <f t="shared" si="16"/>
        <v>Sep</v>
      </c>
      <c r="E274" t="str">
        <f t="shared" si="17"/>
        <v>2021</v>
      </c>
      <c r="F274" t="s">
        <v>5</v>
      </c>
      <c r="G274" t="s">
        <v>73</v>
      </c>
      <c r="H274" t="s">
        <v>794</v>
      </c>
      <c r="I274">
        <v>200</v>
      </c>
      <c r="J274">
        <v>20</v>
      </c>
      <c r="K274">
        <f t="shared" si="18"/>
        <v>10</v>
      </c>
      <c r="L274" t="s">
        <v>1737</v>
      </c>
      <c r="M274" t="s">
        <v>3671</v>
      </c>
      <c r="N274" t="s">
        <v>1</v>
      </c>
      <c r="O274">
        <v>574224</v>
      </c>
      <c r="P274" t="s">
        <v>546</v>
      </c>
      <c r="Q274" t="s">
        <v>1772</v>
      </c>
      <c r="S274">
        <v>5.28</v>
      </c>
      <c r="T274">
        <v>3</v>
      </c>
      <c r="U274">
        <v>0</v>
      </c>
      <c r="V274">
        <v>2.3231999999999999</v>
      </c>
      <c r="W274">
        <f t="shared" si="19"/>
        <v>0.98560000000000014</v>
      </c>
      <c r="X274">
        <v>3</v>
      </c>
    </row>
    <row r="275" spans="1:24" x14ac:dyDescent="0.3">
      <c r="A275">
        <v>274</v>
      </c>
      <c r="B275" t="s">
        <v>2049</v>
      </c>
      <c r="C275" s="6">
        <v>44470</v>
      </c>
      <c r="D275" t="str">
        <f t="shared" si="16"/>
        <v>Oct</v>
      </c>
      <c r="E275" t="str">
        <f t="shared" si="17"/>
        <v>2021</v>
      </c>
      <c r="F275" t="s">
        <v>5</v>
      </c>
      <c r="G275" t="s">
        <v>73</v>
      </c>
      <c r="H275" t="s">
        <v>795</v>
      </c>
      <c r="I275">
        <v>150</v>
      </c>
      <c r="J275">
        <v>16</v>
      </c>
      <c r="K275">
        <f t="shared" si="18"/>
        <v>10.666666666666668</v>
      </c>
      <c r="L275" t="s">
        <v>1741</v>
      </c>
      <c r="M275" t="s">
        <v>3672</v>
      </c>
      <c r="N275" t="s">
        <v>1</v>
      </c>
      <c r="O275">
        <v>560103</v>
      </c>
      <c r="P275" t="s">
        <v>546</v>
      </c>
      <c r="Q275" t="s">
        <v>1761</v>
      </c>
      <c r="S275">
        <v>10.92</v>
      </c>
      <c r="T275">
        <v>3</v>
      </c>
      <c r="U275">
        <v>0.2</v>
      </c>
      <c r="V275">
        <v>4.0949999999999998</v>
      </c>
      <c r="W275">
        <f t="shared" si="19"/>
        <v>2.2749999999999999</v>
      </c>
      <c r="X275">
        <v>1</v>
      </c>
    </row>
    <row r="276" spans="1:24" x14ac:dyDescent="0.3">
      <c r="A276">
        <v>275</v>
      </c>
      <c r="B276" t="s">
        <v>2050</v>
      </c>
      <c r="C276" s="6">
        <v>44471</v>
      </c>
      <c r="D276" t="str">
        <f t="shared" si="16"/>
        <v>Oct</v>
      </c>
      <c r="E276" t="str">
        <f t="shared" si="17"/>
        <v>2021</v>
      </c>
      <c r="F276" t="s">
        <v>5</v>
      </c>
      <c r="G276" t="s">
        <v>128</v>
      </c>
      <c r="H276" t="s">
        <v>796</v>
      </c>
      <c r="I276">
        <v>150</v>
      </c>
      <c r="J276">
        <v>20</v>
      </c>
      <c r="K276">
        <f t="shared" si="18"/>
        <v>13.333333333333334</v>
      </c>
      <c r="L276" t="s">
        <v>1736</v>
      </c>
      <c r="M276" t="s">
        <v>3673</v>
      </c>
      <c r="N276" t="s">
        <v>1</v>
      </c>
      <c r="O276">
        <v>534204</v>
      </c>
      <c r="P276" t="s">
        <v>546</v>
      </c>
      <c r="Q276" t="s">
        <v>1774</v>
      </c>
      <c r="S276">
        <v>8.82</v>
      </c>
      <c r="T276">
        <v>2</v>
      </c>
      <c r="U276">
        <v>0</v>
      </c>
      <c r="V276">
        <v>4.0571999999999999</v>
      </c>
      <c r="W276">
        <f t="shared" si="19"/>
        <v>2.3814000000000002</v>
      </c>
      <c r="X276">
        <v>4</v>
      </c>
    </row>
    <row r="277" spans="1:24" x14ac:dyDescent="0.3">
      <c r="A277">
        <v>276</v>
      </c>
      <c r="B277" t="s">
        <v>2051</v>
      </c>
      <c r="C277" s="6">
        <v>44472</v>
      </c>
      <c r="D277" t="str">
        <f t="shared" si="16"/>
        <v>Oct</v>
      </c>
      <c r="E277" t="str">
        <f t="shared" si="17"/>
        <v>2021</v>
      </c>
      <c r="F277" t="s">
        <v>5</v>
      </c>
      <c r="G277" t="s">
        <v>128</v>
      </c>
      <c r="H277" t="s">
        <v>797</v>
      </c>
      <c r="I277">
        <v>160</v>
      </c>
      <c r="J277">
        <v>26</v>
      </c>
      <c r="K277">
        <f t="shared" si="18"/>
        <v>16.25</v>
      </c>
      <c r="L277" t="s">
        <v>1744</v>
      </c>
      <c r="M277" t="s">
        <v>3674</v>
      </c>
      <c r="N277" t="s">
        <v>1</v>
      </c>
      <c r="O277">
        <v>522006</v>
      </c>
      <c r="P277" t="s">
        <v>546</v>
      </c>
      <c r="Q277" t="s">
        <v>1770</v>
      </c>
      <c r="S277">
        <v>5.98</v>
      </c>
      <c r="T277">
        <v>1</v>
      </c>
      <c r="U277">
        <v>0</v>
      </c>
      <c r="V277">
        <v>1.5548</v>
      </c>
      <c r="W277">
        <f t="shared" si="19"/>
        <v>4.4252000000000002</v>
      </c>
      <c r="X277">
        <v>2</v>
      </c>
    </row>
    <row r="278" spans="1:24" x14ac:dyDescent="0.3">
      <c r="A278">
        <v>277</v>
      </c>
      <c r="B278" t="s">
        <v>2052</v>
      </c>
      <c r="C278" s="6">
        <v>44473</v>
      </c>
      <c r="D278" t="str">
        <f t="shared" si="16"/>
        <v>Oct</v>
      </c>
      <c r="E278" t="str">
        <f t="shared" si="17"/>
        <v>2021</v>
      </c>
      <c r="F278" t="s">
        <v>4</v>
      </c>
      <c r="G278" t="s">
        <v>129</v>
      </c>
      <c r="H278" t="s">
        <v>798</v>
      </c>
      <c r="I278">
        <v>120</v>
      </c>
      <c r="J278">
        <v>26</v>
      </c>
      <c r="K278">
        <f t="shared" si="18"/>
        <v>21.666666666666668</v>
      </c>
      <c r="L278" t="s">
        <v>1740</v>
      </c>
      <c r="M278" t="s">
        <v>3675</v>
      </c>
      <c r="N278" t="s">
        <v>1</v>
      </c>
      <c r="O278">
        <v>201002</v>
      </c>
      <c r="P278" t="s">
        <v>546</v>
      </c>
      <c r="Q278" t="s">
        <v>1758</v>
      </c>
      <c r="S278">
        <v>11.648</v>
      </c>
      <c r="T278">
        <v>2</v>
      </c>
      <c r="U278">
        <v>0.2</v>
      </c>
      <c r="V278">
        <v>4.0768000000000004</v>
      </c>
      <c r="W278">
        <f t="shared" si="19"/>
        <v>3.7855999999999996</v>
      </c>
      <c r="X278">
        <v>2</v>
      </c>
    </row>
    <row r="279" spans="1:24" x14ac:dyDescent="0.3">
      <c r="A279">
        <v>278</v>
      </c>
      <c r="B279" t="s">
        <v>2053</v>
      </c>
      <c r="C279" s="6">
        <v>44474</v>
      </c>
      <c r="D279" t="str">
        <f t="shared" si="16"/>
        <v>Oct</v>
      </c>
      <c r="E279" t="str">
        <f t="shared" si="17"/>
        <v>2021</v>
      </c>
      <c r="F279" t="s">
        <v>4</v>
      </c>
      <c r="G279" t="s">
        <v>129</v>
      </c>
      <c r="H279" t="s">
        <v>799</v>
      </c>
      <c r="I279">
        <v>180</v>
      </c>
      <c r="J279">
        <v>12</v>
      </c>
      <c r="K279">
        <f t="shared" si="18"/>
        <v>6.666666666666667</v>
      </c>
      <c r="L279" t="s">
        <v>1742</v>
      </c>
      <c r="M279" t="s">
        <v>3676</v>
      </c>
      <c r="N279" t="s">
        <v>1</v>
      </c>
      <c r="O279">
        <v>516356</v>
      </c>
      <c r="P279" t="s">
        <v>546</v>
      </c>
      <c r="Q279" t="s">
        <v>1773</v>
      </c>
      <c r="S279">
        <v>18.175999999999998</v>
      </c>
      <c r="T279">
        <v>4</v>
      </c>
      <c r="U279">
        <v>0.2</v>
      </c>
      <c r="V279">
        <v>5.9071999999999996</v>
      </c>
      <c r="W279">
        <f t="shared" si="19"/>
        <v>3.0671999999999997</v>
      </c>
      <c r="X279">
        <v>4</v>
      </c>
    </row>
    <row r="280" spans="1:24" x14ac:dyDescent="0.3">
      <c r="A280">
        <v>279</v>
      </c>
      <c r="B280" t="s">
        <v>2054</v>
      </c>
      <c r="C280" s="6">
        <v>44475</v>
      </c>
      <c r="D280" t="str">
        <f t="shared" si="16"/>
        <v>Oct</v>
      </c>
      <c r="E280" t="str">
        <f t="shared" si="17"/>
        <v>2021</v>
      </c>
      <c r="F280" t="s">
        <v>4</v>
      </c>
      <c r="G280" t="s">
        <v>129</v>
      </c>
      <c r="H280" t="s">
        <v>800</v>
      </c>
      <c r="I280">
        <v>230</v>
      </c>
      <c r="J280">
        <v>26</v>
      </c>
      <c r="K280">
        <f t="shared" si="18"/>
        <v>11.304347826086957</v>
      </c>
      <c r="L280" t="s">
        <v>1739</v>
      </c>
      <c r="M280" t="s">
        <v>3677</v>
      </c>
      <c r="N280" t="s">
        <v>1</v>
      </c>
      <c r="O280">
        <v>516356</v>
      </c>
      <c r="P280" t="s">
        <v>546</v>
      </c>
      <c r="Q280" t="s">
        <v>1761</v>
      </c>
      <c r="R280" t="s">
        <v>2</v>
      </c>
      <c r="S280">
        <v>59.712000000000003</v>
      </c>
      <c r="T280">
        <v>6</v>
      </c>
      <c r="U280">
        <v>0.2</v>
      </c>
      <c r="V280">
        <v>5.9711999999999996</v>
      </c>
      <c r="W280">
        <f t="shared" si="19"/>
        <v>8.9568000000000012</v>
      </c>
      <c r="X280">
        <v>5</v>
      </c>
    </row>
    <row r="281" spans="1:24" x14ac:dyDescent="0.3">
      <c r="A281">
        <v>280</v>
      </c>
      <c r="B281" t="s">
        <v>2055</v>
      </c>
      <c r="C281" s="6">
        <v>44476</v>
      </c>
      <c r="D281" t="str">
        <f t="shared" si="16"/>
        <v>Oct</v>
      </c>
      <c r="E281" t="str">
        <f t="shared" si="17"/>
        <v>2021</v>
      </c>
      <c r="F281" t="s">
        <v>4</v>
      </c>
      <c r="G281" t="s">
        <v>129</v>
      </c>
      <c r="H281" t="s">
        <v>801</v>
      </c>
      <c r="I281">
        <v>180</v>
      </c>
      <c r="J281">
        <v>12</v>
      </c>
      <c r="K281">
        <f t="shared" si="18"/>
        <v>6.666666666666667</v>
      </c>
      <c r="L281" t="s">
        <v>1738</v>
      </c>
      <c r="M281" t="s">
        <v>3678</v>
      </c>
      <c r="N281" t="s">
        <v>1</v>
      </c>
      <c r="O281">
        <v>686006</v>
      </c>
      <c r="P281" t="s">
        <v>546</v>
      </c>
      <c r="Q281" t="s">
        <v>1762</v>
      </c>
      <c r="R281" t="s">
        <v>2</v>
      </c>
      <c r="S281">
        <v>24.84</v>
      </c>
      <c r="T281">
        <v>3</v>
      </c>
      <c r="U281">
        <v>0.2</v>
      </c>
      <c r="V281">
        <v>8.6940000000000008</v>
      </c>
      <c r="W281">
        <f t="shared" si="19"/>
        <v>5.3820000000000006</v>
      </c>
      <c r="X281">
        <v>5</v>
      </c>
    </row>
    <row r="282" spans="1:24" x14ac:dyDescent="0.3">
      <c r="A282">
        <v>281</v>
      </c>
      <c r="B282" t="s">
        <v>2056</v>
      </c>
      <c r="C282" s="6">
        <v>44477</v>
      </c>
      <c r="D282" t="str">
        <f t="shared" si="16"/>
        <v>Oct</v>
      </c>
      <c r="E282" t="str">
        <f t="shared" si="17"/>
        <v>2021</v>
      </c>
      <c r="F282" t="s">
        <v>3</v>
      </c>
      <c r="G282" t="s">
        <v>63</v>
      </c>
      <c r="H282" t="s">
        <v>802</v>
      </c>
      <c r="I282">
        <v>170</v>
      </c>
      <c r="J282">
        <v>18</v>
      </c>
      <c r="K282">
        <f t="shared" si="18"/>
        <v>10.588235294117647</v>
      </c>
      <c r="L282" t="s">
        <v>1737</v>
      </c>
      <c r="M282" t="s">
        <v>3748</v>
      </c>
      <c r="N282" t="s">
        <v>1</v>
      </c>
      <c r="O282">
        <v>431009</v>
      </c>
      <c r="P282" t="s">
        <v>546</v>
      </c>
      <c r="Q282" t="s">
        <v>1756</v>
      </c>
      <c r="S282">
        <v>2.08</v>
      </c>
      <c r="T282">
        <v>5</v>
      </c>
      <c r="U282">
        <v>0.8</v>
      </c>
      <c r="V282">
        <v>-3.4319999999999999</v>
      </c>
      <c r="W282">
        <f t="shared" si="19"/>
        <v>1.1024</v>
      </c>
      <c r="X282">
        <v>4</v>
      </c>
    </row>
    <row r="283" spans="1:24" x14ac:dyDescent="0.3">
      <c r="A283">
        <v>282</v>
      </c>
      <c r="B283" t="s">
        <v>2057</v>
      </c>
      <c r="C283" s="6">
        <v>44478</v>
      </c>
      <c r="D283" t="str">
        <f t="shared" si="16"/>
        <v>Oct</v>
      </c>
      <c r="E283" t="str">
        <f t="shared" si="17"/>
        <v>2021</v>
      </c>
      <c r="F283" t="s">
        <v>3</v>
      </c>
      <c r="G283" t="s">
        <v>63</v>
      </c>
      <c r="H283" t="s">
        <v>803</v>
      </c>
      <c r="I283">
        <v>240</v>
      </c>
      <c r="J283">
        <v>18</v>
      </c>
      <c r="K283">
        <f t="shared" si="18"/>
        <v>7.5</v>
      </c>
      <c r="L283" t="s">
        <v>1743</v>
      </c>
      <c r="M283" t="s">
        <v>3749</v>
      </c>
      <c r="N283" t="s">
        <v>1</v>
      </c>
      <c r="O283">
        <v>562114</v>
      </c>
      <c r="P283" t="s">
        <v>546</v>
      </c>
      <c r="Q283" t="s">
        <v>1754</v>
      </c>
      <c r="S283">
        <v>1114.4000000000001</v>
      </c>
      <c r="T283">
        <v>7</v>
      </c>
      <c r="U283">
        <v>0.2</v>
      </c>
      <c r="V283">
        <v>376.11</v>
      </c>
      <c r="W283">
        <f t="shared" si="19"/>
        <v>105.47000000000001</v>
      </c>
      <c r="X283">
        <v>2</v>
      </c>
    </row>
    <row r="284" spans="1:24" x14ac:dyDescent="0.3">
      <c r="A284">
        <v>283</v>
      </c>
      <c r="B284" t="s">
        <v>2058</v>
      </c>
      <c r="C284" s="6">
        <v>44479</v>
      </c>
      <c r="D284" t="str">
        <f t="shared" si="16"/>
        <v>Oct</v>
      </c>
      <c r="E284" t="str">
        <f t="shared" si="17"/>
        <v>2021</v>
      </c>
      <c r="F284" t="s">
        <v>4</v>
      </c>
      <c r="G284" t="s">
        <v>130</v>
      </c>
      <c r="H284" t="s">
        <v>804</v>
      </c>
      <c r="I284">
        <v>150</v>
      </c>
      <c r="J284">
        <v>30</v>
      </c>
      <c r="K284">
        <f t="shared" si="18"/>
        <v>20</v>
      </c>
      <c r="L284" t="s">
        <v>1738</v>
      </c>
      <c r="M284" t="s">
        <v>3750</v>
      </c>
      <c r="N284" t="s">
        <v>1</v>
      </c>
      <c r="O284">
        <v>560102</v>
      </c>
      <c r="P284" t="s">
        <v>546</v>
      </c>
      <c r="Q284" t="s">
        <v>1757</v>
      </c>
      <c r="S284">
        <v>1038.8399999999999</v>
      </c>
      <c r="T284">
        <v>5</v>
      </c>
      <c r="U284">
        <v>0.2</v>
      </c>
      <c r="V284">
        <v>51.942</v>
      </c>
      <c r="W284">
        <f t="shared" si="19"/>
        <v>197.37959999999998</v>
      </c>
      <c r="X284">
        <v>5</v>
      </c>
    </row>
    <row r="285" spans="1:24" x14ac:dyDescent="0.3">
      <c r="A285">
        <v>284</v>
      </c>
      <c r="B285" t="s">
        <v>2059</v>
      </c>
      <c r="C285" s="6">
        <v>44480</v>
      </c>
      <c r="D285" t="str">
        <f t="shared" si="16"/>
        <v>Oct</v>
      </c>
      <c r="E285" t="str">
        <f t="shared" si="17"/>
        <v>2021</v>
      </c>
      <c r="F285" t="s">
        <v>4</v>
      </c>
      <c r="G285" t="s">
        <v>21</v>
      </c>
      <c r="H285" t="s">
        <v>805</v>
      </c>
      <c r="I285">
        <v>180</v>
      </c>
      <c r="J285">
        <v>16</v>
      </c>
      <c r="K285">
        <f t="shared" si="18"/>
        <v>8.8888888888888893</v>
      </c>
      <c r="L285" t="s">
        <v>1739</v>
      </c>
      <c r="M285" t="s">
        <v>3751</v>
      </c>
      <c r="N285" t="s">
        <v>1</v>
      </c>
      <c r="O285">
        <v>560049</v>
      </c>
      <c r="P285" t="s">
        <v>546</v>
      </c>
      <c r="Q285" t="s">
        <v>1759</v>
      </c>
      <c r="S285">
        <v>141.76</v>
      </c>
      <c r="T285">
        <v>5</v>
      </c>
      <c r="U285">
        <v>0.2</v>
      </c>
      <c r="V285">
        <v>47.844000000000001</v>
      </c>
      <c r="W285">
        <f t="shared" si="19"/>
        <v>18.783200000000001</v>
      </c>
      <c r="X285">
        <v>1</v>
      </c>
    </row>
    <row r="286" spans="1:24" x14ac:dyDescent="0.3">
      <c r="A286">
        <v>285</v>
      </c>
      <c r="B286" t="s">
        <v>2060</v>
      </c>
      <c r="C286" s="6">
        <v>44481</v>
      </c>
      <c r="D286" t="str">
        <f t="shared" si="16"/>
        <v>Oct</v>
      </c>
      <c r="E286" t="str">
        <f t="shared" si="17"/>
        <v>2021</v>
      </c>
      <c r="F286" t="s">
        <v>4</v>
      </c>
      <c r="G286" t="s">
        <v>21</v>
      </c>
      <c r="H286" t="s">
        <v>806</v>
      </c>
      <c r="I286">
        <v>250</v>
      </c>
      <c r="J286">
        <v>26</v>
      </c>
      <c r="K286">
        <f t="shared" si="18"/>
        <v>10.4</v>
      </c>
      <c r="L286" t="s">
        <v>1741</v>
      </c>
      <c r="M286" t="s">
        <v>3752</v>
      </c>
      <c r="N286" t="s">
        <v>1</v>
      </c>
      <c r="O286">
        <v>560068</v>
      </c>
      <c r="P286" t="s">
        <v>546</v>
      </c>
      <c r="Q286" t="s">
        <v>1756</v>
      </c>
      <c r="S286">
        <v>239.8</v>
      </c>
      <c r="T286">
        <v>5</v>
      </c>
      <c r="U286">
        <v>0.2</v>
      </c>
      <c r="V286">
        <v>47.96</v>
      </c>
      <c r="W286">
        <f t="shared" si="19"/>
        <v>38.368000000000002</v>
      </c>
      <c r="X286">
        <v>5</v>
      </c>
    </row>
    <row r="287" spans="1:24" x14ac:dyDescent="0.3">
      <c r="A287">
        <v>286</v>
      </c>
      <c r="B287" t="s">
        <v>2061</v>
      </c>
      <c r="C287" s="6">
        <v>44482</v>
      </c>
      <c r="D287" t="str">
        <f t="shared" si="16"/>
        <v>Oct</v>
      </c>
      <c r="E287" t="str">
        <f t="shared" si="17"/>
        <v>2021</v>
      </c>
      <c r="F287" t="s">
        <v>4</v>
      </c>
      <c r="G287" t="s">
        <v>21</v>
      </c>
      <c r="H287" t="s">
        <v>807</v>
      </c>
      <c r="I287">
        <v>210</v>
      </c>
      <c r="J287">
        <v>26</v>
      </c>
      <c r="K287">
        <f t="shared" si="18"/>
        <v>12.380952380952381</v>
      </c>
      <c r="L287" t="s">
        <v>1736</v>
      </c>
      <c r="M287" t="s">
        <v>3753</v>
      </c>
      <c r="N287" t="s">
        <v>1</v>
      </c>
      <c r="O287">
        <v>560036</v>
      </c>
      <c r="P287" t="s">
        <v>546</v>
      </c>
      <c r="Q287" t="s">
        <v>1759</v>
      </c>
      <c r="S287">
        <v>31.103999999999999</v>
      </c>
      <c r="T287">
        <v>6</v>
      </c>
      <c r="U287">
        <v>0.2</v>
      </c>
      <c r="V287">
        <v>10.8864</v>
      </c>
      <c r="W287">
        <f t="shared" si="19"/>
        <v>3.3695999999999997</v>
      </c>
      <c r="X287">
        <v>5</v>
      </c>
    </row>
    <row r="288" spans="1:24" x14ac:dyDescent="0.3">
      <c r="A288">
        <v>287</v>
      </c>
      <c r="B288" t="s">
        <v>2062</v>
      </c>
      <c r="C288" s="6">
        <v>44483</v>
      </c>
      <c r="D288" t="str">
        <f t="shared" si="16"/>
        <v>Oct</v>
      </c>
      <c r="E288" t="str">
        <f t="shared" si="17"/>
        <v>2021</v>
      </c>
      <c r="F288" t="s">
        <v>3</v>
      </c>
      <c r="G288" t="s">
        <v>131</v>
      </c>
      <c r="H288" t="s">
        <v>808</v>
      </c>
      <c r="I288">
        <v>180</v>
      </c>
      <c r="J288">
        <v>12</v>
      </c>
      <c r="K288">
        <f t="shared" si="18"/>
        <v>6.666666666666667</v>
      </c>
      <c r="L288" t="s">
        <v>1744</v>
      </c>
      <c r="M288" t="s">
        <v>3754</v>
      </c>
      <c r="N288" t="s">
        <v>1</v>
      </c>
      <c r="O288">
        <v>231223</v>
      </c>
      <c r="P288" t="s">
        <v>546</v>
      </c>
      <c r="Q288" t="s">
        <v>1756</v>
      </c>
      <c r="S288">
        <v>254.05799999999999</v>
      </c>
      <c r="T288">
        <v>7</v>
      </c>
      <c r="U288">
        <v>0.7</v>
      </c>
      <c r="V288">
        <v>-169.37200000000001</v>
      </c>
      <c r="W288">
        <f t="shared" si="19"/>
        <v>60.49</v>
      </c>
      <c r="X288">
        <v>3</v>
      </c>
    </row>
    <row r="289" spans="1:24" x14ac:dyDescent="0.3">
      <c r="A289">
        <v>288</v>
      </c>
      <c r="B289" t="s">
        <v>2063</v>
      </c>
      <c r="C289" s="6">
        <v>44484</v>
      </c>
      <c r="D289" t="str">
        <f t="shared" si="16"/>
        <v>Oct</v>
      </c>
      <c r="E289" t="str">
        <f t="shared" si="17"/>
        <v>2021</v>
      </c>
      <c r="F289" t="s">
        <v>3</v>
      </c>
      <c r="G289" t="s">
        <v>131</v>
      </c>
      <c r="H289" t="s">
        <v>713</v>
      </c>
      <c r="I289">
        <v>180</v>
      </c>
      <c r="J289">
        <v>26</v>
      </c>
      <c r="K289">
        <f t="shared" si="18"/>
        <v>14.444444444444443</v>
      </c>
      <c r="L289" t="s">
        <v>1740</v>
      </c>
      <c r="M289" t="s">
        <v>3755</v>
      </c>
      <c r="N289" t="s">
        <v>1</v>
      </c>
      <c r="O289">
        <v>800007</v>
      </c>
      <c r="P289" t="s">
        <v>546</v>
      </c>
      <c r="Q289" t="s">
        <v>1761</v>
      </c>
      <c r="R289" t="s">
        <v>2</v>
      </c>
      <c r="S289">
        <v>194.52799999999999</v>
      </c>
      <c r="T289">
        <v>2</v>
      </c>
      <c r="U289">
        <v>0.2</v>
      </c>
      <c r="V289">
        <v>24.315999999999999</v>
      </c>
      <c r="W289">
        <f t="shared" si="19"/>
        <v>85.105999999999995</v>
      </c>
      <c r="X289">
        <v>4</v>
      </c>
    </row>
    <row r="290" spans="1:24" x14ac:dyDescent="0.3">
      <c r="A290">
        <v>289</v>
      </c>
      <c r="B290" t="s">
        <v>2064</v>
      </c>
      <c r="C290" s="6">
        <v>44485</v>
      </c>
      <c r="D290" t="str">
        <f t="shared" si="16"/>
        <v>Oct</v>
      </c>
      <c r="E290" t="str">
        <f t="shared" si="17"/>
        <v>2021</v>
      </c>
      <c r="F290" t="s">
        <v>3</v>
      </c>
      <c r="G290" t="s">
        <v>131</v>
      </c>
      <c r="H290" t="s">
        <v>809</v>
      </c>
      <c r="I290">
        <v>130</v>
      </c>
      <c r="J290">
        <v>28</v>
      </c>
      <c r="K290">
        <f t="shared" si="18"/>
        <v>21.53846153846154</v>
      </c>
      <c r="L290" t="s">
        <v>1742</v>
      </c>
      <c r="M290" t="s">
        <v>3756</v>
      </c>
      <c r="N290" t="s">
        <v>1</v>
      </c>
      <c r="O290">
        <v>442001</v>
      </c>
      <c r="P290" t="s">
        <v>546</v>
      </c>
      <c r="Q290" t="s">
        <v>1771</v>
      </c>
      <c r="S290">
        <v>961.48</v>
      </c>
      <c r="T290">
        <v>5</v>
      </c>
      <c r="U290">
        <v>0.2</v>
      </c>
      <c r="V290">
        <v>-204.31450000000001</v>
      </c>
      <c r="W290">
        <f t="shared" si="19"/>
        <v>233.15889999999999</v>
      </c>
      <c r="X290">
        <v>4</v>
      </c>
    </row>
    <row r="291" spans="1:24" x14ac:dyDescent="0.3">
      <c r="A291">
        <v>290</v>
      </c>
      <c r="B291" t="s">
        <v>2065</v>
      </c>
      <c r="C291" s="6">
        <v>44486</v>
      </c>
      <c r="D291" t="str">
        <f t="shared" si="16"/>
        <v>Oct</v>
      </c>
      <c r="E291" t="str">
        <f t="shared" si="17"/>
        <v>2021</v>
      </c>
      <c r="F291" t="s">
        <v>3</v>
      </c>
      <c r="G291" t="s">
        <v>132</v>
      </c>
      <c r="H291" t="s">
        <v>810</v>
      </c>
      <c r="I291">
        <v>180</v>
      </c>
      <c r="J291">
        <v>8</v>
      </c>
      <c r="K291">
        <f t="shared" si="18"/>
        <v>4.4444444444444446</v>
      </c>
      <c r="L291" t="s">
        <v>1739</v>
      </c>
      <c r="M291" t="s">
        <v>3757</v>
      </c>
      <c r="N291" t="s">
        <v>1</v>
      </c>
      <c r="O291">
        <v>122009</v>
      </c>
      <c r="P291" t="s">
        <v>546</v>
      </c>
      <c r="Q291" t="s">
        <v>1765</v>
      </c>
      <c r="S291">
        <v>19.096</v>
      </c>
      <c r="T291">
        <v>7</v>
      </c>
      <c r="U291">
        <v>0.2</v>
      </c>
      <c r="V291">
        <v>6.6836000000000002</v>
      </c>
      <c r="W291">
        <f t="shared" si="19"/>
        <v>1.7731999999999999</v>
      </c>
      <c r="X291">
        <v>2</v>
      </c>
    </row>
    <row r="292" spans="1:24" x14ac:dyDescent="0.3">
      <c r="A292">
        <v>291</v>
      </c>
      <c r="B292" t="s">
        <v>2066</v>
      </c>
      <c r="C292" s="6">
        <v>44487</v>
      </c>
      <c r="D292" t="str">
        <f t="shared" si="16"/>
        <v>Oct</v>
      </c>
      <c r="E292" t="str">
        <f t="shared" si="17"/>
        <v>2021</v>
      </c>
      <c r="F292" t="s">
        <v>3</v>
      </c>
      <c r="G292" t="s">
        <v>132</v>
      </c>
      <c r="H292" t="s">
        <v>811</v>
      </c>
      <c r="I292">
        <v>130</v>
      </c>
      <c r="J292">
        <v>14</v>
      </c>
      <c r="K292">
        <f t="shared" si="18"/>
        <v>10.76923076923077</v>
      </c>
      <c r="L292" t="s">
        <v>1738</v>
      </c>
      <c r="M292" t="s">
        <v>3758</v>
      </c>
      <c r="N292" t="s">
        <v>1</v>
      </c>
      <c r="O292">
        <v>125050</v>
      </c>
      <c r="P292" t="s">
        <v>546</v>
      </c>
      <c r="Q292" t="s">
        <v>1765</v>
      </c>
      <c r="S292">
        <v>18.495999999999999</v>
      </c>
      <c r="T292">
        <v>8</v>
      </c>
      <c r="U292">
        <v>0.2</v>
      </c>
      <c r="V292">
        <v>6.2423999999999999</v>
      </c>
      <c r="W292">
        <f t="shared" si="19"/>
        <v>1.5316999999999998</v>
      </c>
      <c r="X292">
        <v>1</v>
      </c>
    </row>
    <row r="293" spans="1:24" x14ac:dyDescent="0.3">
      <c r="A293">
        <v>292</v>
      </c>
      <c r="B293" t="s">
        <v>2067</v>
      </c>
      <c r="C293" s="6">
        <v>44488</v>
      </c>
      <c r="D293" t="str">
        <f t="shared" si="16"/>
        <v>Oct</v>
      </c>
      <c r="E293" t="str">
        <f t="shared" si="17"/>
        <v>2021</v>
      </c>
      <c r="F293" t="s">
        <v>3</v>
      </c>
      <c r="G293" t="s">
        <v>132</v>
      </c>
      <c r="H293" t="s">
        <v>812</v>
      </c>
      <c r="I293">
        <v>240</v>
      </c>
      <c r="J293">
        <v>8</v>
      </c>
      <c r="K293">
        <f t="shared" si="18"/>
        <v>3.3333333333333335</v>
      </c>
      <c r="L293" t="s">
        <v>1743</v>
      </c>
      <c r="M293" t="s">
        <v>3759</v>
      </c>
      <c r="N293" t="s">
        <v>1</v>
      </c>
      <c r="O293">
        <v>125050</v>
      </c>
      <c r="P293" t="s">
        <v>546</v>
      </c>
      <c r="Q293" t="s">
        <v>1761</v>
      </c>
      <c r="S293">
        <v>255.98400000000001</v>
      </c>
      <c r="T293">
        <v>2</v>
      </c>
      <c r="U293">
        <v>0.2</v>
      </c>
      <c r="V293">
        <v>54.396599999999999</v>
      </c>
      <c r="W293">
        <f t="shared" si="19"/>
        <v>100.7937</v>
      </c>
      <c r="X293">
        <v>5</v>
      </c>
    </row>
    <row r="294" spans="1:24" x14ac:dyDescent="0.3">
      <c r="A294">
        <v>293</v>
      </c>
      <c r="B294" t="s">
        <v>2068</v>
      </c>
      <c r="C294" s="6">
        <v>44489</v>
      </c>
      <c r="D294" t="str">
        <f t="shared" si="16"/>
        <v>Oct</v>
      </c>
      <c r="E294" t="str">
        <f t="shared" si="17"/>
        <v>2021</v>
      </c>
      <c r="F294" t="s">
        <v>3</v>
      </c>
      <c r="G294" t="s">
        <v>132</v>
      </c>
      <c r="H294" t="s">
        <v>813</v>
      </c>
      <c r="I294">
        <v>150</v>
      </c>
      <c r="J294">
        <v>16</v>
      </c>
      <c r="K294">
        <f t="shared" si="18"/>
        <v>10.666666666666668</v>
      </c>
      <c r="L294" t="s">
        <v>1737</v>
      </c>
      <c r="M294" t="s">
        <v>3760</v>
      </c>
      <c r="N294" t="s">
        <v>1</v>
      </c>
      <c r="O294">
        <v>125050</v>
      </c>
      <c r="P294" t="s">
        <v>546</v>
      </c>
      <c r="Q294" t="s">
        <v>1766</v>
      </c>
      <c r="S294">
        <v>86.97</v>
      </c>
      <c r="T294">
        <v>3</v>
      </c>
      <c r="U294">
        <v>0.5</v>
      </c>
      <c r="V294">
        <v>-48.703200000000002</v>
      </c>
      <c r="W294">
        <f t="shared" si="19"/>
        <v>45.224400000000003</v>
      </c>
      <c r="X294">
        <v>2</v>
      </c>
    </row>
    <row r="295" spans="1:24" x14ac:dyDescent="0.3">
      <c r="A295">
        <v>294</v>
      </c>
      <c r="B295" t="s">
        <v>2069</v>
      </c>
      <c r="C295" s="6">
        <v>44490</v>
      </c>
      <c r="D295" t="str">
        <f t="shared" si="16"/>
        <v>Oct</v>
      </c>
      <c r="E295" t="str">
        <f t="shared" si="17"/>
        <v>2021</v>
      </c>
      <c r="F295" t="s">
        <v>5</v>
      </c>
      <c r="G295" t="s">
        <v>133</v>
      </c>
      <c r="H295" t="s">
        <v>814</v>
      </c>
      <c r="I295">
        <v>240</v>
      </c>
      <c r="J295">
        <v>20</v>
      </c>
      <c r="K295">
        <f t="shared" si="18"/>
        <v>8.3333333333333321</v>
      </c>
      <c r="L295" t="s">
        <v>1741</v>
      </c>
      <c r="M295" t="s">
        <v>3761</v>
      </c>
      <c r="N295" t="s">
        <v>1</v>
      </c>
      <c r="O295">
        <v>125050</v>
      </c>
      <c r="P295" t="s">
        <v>546</v>
      </c>
      <c r="Q295" t="s">
        <v>1756</v>
      </c>
      <c r="S295">
        <v>300.416</v>
      </c>
      <c r="T295">
        <v>8</v>
      </c>
      <c r="U295">
        <v>0.2</v>
      </c>
      <c r="V295">
        <v>78.859200000000001</v>
      </c>
      <c r="W295">
        <f t="shared" si="19"/>
        <v>27.694600000000001</v>
      </c>
      <c r="X295">
        <v>5</v>
      </c>
    </row>
    <row r="296" spans="1:24" x14ac:dyDescent="0.3">
      <c r="A296">
        <v>295</v>
      </c>
      <c r="B296" t="s">
        <v>2070</v>
      </c>
      <c r="C296" s="6">
        <v>44491</v>
      </c>
      <c r="D296" t="str">
        <f t="shared" si="16"/>
        <v>Oct</v>
      </c>
      <c r="E296" t="str">
        <f t="shared" si="17"/>
        <v>2021</v>
      </c>
      <c r="F296" t="s">
        <v>5</v>
      </c>
      <c r="G296" t="s">
        <v>133</v>
      </c>
      <c r="H296" t="s">
        <v>815</v>
      </c>
      <c r="I296">
        <v>190</v>
      </c>
      <c r="J296">
        <v>12</v>
      </c>
      <c r="K296">
        <f t="shared" si="18"/>
        <v>6.3157894736842106</v>
      </c>
      <c r="L296" t="s">
        <v>1736</v>
      </c>
      <c r="M296" t="s">
        <v>3762</v>
      </c>
      <c r="N296" t="s">
        <v>1</v>
      </c>
      <c r="O296">
        <v>125050</v>
      </c>
      <c r="P296" t="s">
        <v>546</v>
      </c>
      <c r="Q296" t="s">
        <v>1769</v>
      </c>
      <c r="R296" t="s">
        <v>2</v>
      </c>
      <c r="S296">
        <v>230.352</v>
      </c>
      <c r="T296">
        <v>3</v>
      </c>
      <c r="U296">
        <v>0.2</v>
      </c>
      <c r="V296">
        <v>20.155799999999999</v>
      </c>
      <c r="W296">
        <f t="shared" si="19"/>
        <v>70.065399999999997</v>
      </c>
      <c r="X296">
        <v>4</v>
      </c>
    </row>
    <row r="297" spans="1:24" x14ac:dyDescent="0.3">
      <c r="A297">
        <v>296</v>
      </c>
      <c r="B297" t="s">
        <v>2071</v>
      </c>
      <c r="C297" s="6">
        <v>44492</v>
      </c>
      <c r="D297" t="str">
        <f t="shared" si="16"/>
        <v>Oct</v>
      </c>
      <c r="E297" t="str">
        <f t="shared" si="17"/>
        <v>2021</v>
      </c>
      <c r="F297" t="s">
        <v>5</v>
      </c>
      <c r="G297" t="s">
        <v>133</v>
      </c>
      <c r="H297" t="s">
        <v>816</v>
      </c>
      <c r="I297">
        <v>170</v>
      </c>
      <c r="J297">
        <v>30</v>
      </c>
      <c r="K297">
        <f t="shared" si="18"/>
        <v>17.647058823529413</v>
      </c>
      <c r="L297" t="s">
        <v>1744</v>
      </c>
      <c r="M297" t="s">
        <v>3763</v>
      </c>
      <c r="N297" t="s">
        <v>1</v>
      </c>
      <c r="O297">
        <v>827013</v>
      </c>
      <c r="P297" t="s">
        <v>546</v>
      </c>
      <c r="Q297" t="s">
        <v>1761</v>
      </c>
      <c r="S297">
        <v>218.352</v>
      </c>
      <c r="T297">
        <v>3</v>
      </c>
      <c r="U297">
        <v>0.2</v>
      </c>
      <c r="V297">
        <v>-24.564599999999999</v>
      </c>
      <c r="W297">
        <f t="shared" si="19"/>
        <v>80.972200000000001</v>
      </c>
      <c r="X297">
        <v>1</v>
      </c>
    </row>
    <row r="298" spans="1:24" x14ac:dyDescent="0.3">
      <c r="A298">
        <v>297</v>
      </c>
      <c r="B298" t="s">
        <v>2072</v>
      </c>
      <c r="C298" s="6">
        <v>44493</v>
      </c>
      <c r="D298" t="str">
        <f t="shared" si="16"/>
        <v>Oct</v>
      </c>
      <c r="E298" t="str">
        <f t="shared" si="17"/>
        <v>2021</v>
      </c>
      <c r="F298" t="s">
        <v>5</v>
      </c>
      <c r="G298" t="s">
        <v>133</v>
      </c>
      <c r="H298" t="s">
        <v>817</v>
      </c>
      <c r="I298">
        <v>180</v>
      </c>
      <c r="J298">
        <v>20</v>
      </c>
      <c r="K298">
        <f t="shared" si="18"/>
        <v>11.111111111111111</v>
      </c>
      <c r="L298" t="s">
        <v>1740</v>
      </c>
      <c r="M298" t="s">
        <v>3764</v>
      </c>
      <c r="N298" t="s">
        <v>1</v>
      </c>
      <c r="O298">
        <v>411006</v>
      </c>
      <c r="P298" t="s">
        <v>546</v>
      </c>
      <c r="Q298" t="s">
        <v>1767</v>
      </c>
      <c r="S298">
        <v>78.599999999999994</v>
      </c>
      <c r="T298">
        <v>5</v>
      </c>
      <c r="U298">
        <v>0.7</v>
      </c>
      <c r="V298">
        <v>-62.88</v>
      </c>
      <c r="W298">
        <f t="shared" si="19"/>
        <v>28.295999999999999</v>
      </c>
      <c r="X298">
        <v>2</v>
      </c>
    </row>
    <row r="299" spans="1:24" x14ac:dyDescent="0.3">
      <c r="A299">
        <v>298</v>
      </c>
      <c r="B299" t="s">
        <v>2073</v>
      </c>
      <c r="C299" s="6">
        <v>44494</v>
      </c>
      <c r="D299" t="str">
        <f t="shared" si="16"/>
        <v>Oct</v>
      </c>
      <c r="E299" t="str">
        <f t="shared" si="17"/>
        <v>2021</v>
      </c>
      <c r="F299" t="s">
        <v>5</v>
      </c>
      <c r="G299" t="s">
        <v>133</v>
      </c>
      <c r="H299" t="s">
        <v>818</v>
      </c>
      <c r="I299">
        <v>130</v>
      </c>
      <c r="J299">
        <v>30</v>
      </c>
      <c r="K299">
        <f t="shared" si="18"/>
        <v>23.076923076923077</v>
      </c>
      <c r="L299" t="s">
        <v>1742</v>
      </c>
      <c r="M299" t="s">
        <v>3765</v>
      </c>
      <c r="N299" t="s">
        <v>1</v>
      </c>
      <c r="O299">
        <v>411006</v>
      </c>
      <c r="P299" t="s">
        <v>546</v>
      </c>
      <c r="Q299" t="s">
        <v>1768</v>
      </c>
      <c r="S299">
        <v>27.552</v>
      </c>
      <c r="T299">
        <v>3</v>
      </c>
      <c r="U299">
        <v>0.2</v>
      </c>
      <c r="V299">
        <v>9.2988</v>
      </c>
      <c r="W299">
        <f t="shared" si="19"/>
        <v>6.0843999999999996</v>
      </c>
      <c r="X299">
        <v>3</v>
      </c>
    </row>
    <row r="300" spans="1:24" x14ac:dyDescent="0.3">
      <c r="A300">
        <v>299</v>
      </c>
      <c r="B300" t="s">
        <v>2074</v>
      </c>
      <c r="C300" s="6">
        <v>44495</v>
      </c>
      <c r="D300" t="str">
        <f t="shared" si="16"/>
        <v>Oct</v>
      </c>
      <c r="E300" t="str">
        <f t="shared" si="17"/>
        <v>2021</v>
      </c>
      <c r="F300" t="s">
        <v>4</v>
      </c>
      <c r="G300" t="s">
        <v>70</v>
      </c>
      <c r="H300" t="s">
        <v>819</v>
      </c>
      <c r="I300">
        <v>110</v>
      </c>
      <c r="J300">
        <v>14</v>
      </c>
      <c r="K300">
        <f t="shared" si="18"/>
        <v>12.727272727272727</v>
      </c>
      <c r="L300" t="s">
        <v>1739</v>
      </c>
      <c r="M300" t="s">
        <v>3766</v>
      </c>
      <c r="N300" t="s">
        <v>1</v>
      </c>
      <c r="O300">
        <v>411006</v>
      </c>
      <c r="P300" t="s">
        <v>546</v>
      </c>
      <c r="Q300" t="s">
        <v>1759</v>
      </c>
      <c r="R300" t="s">
        <v>2</v>
      </c>
      <c r="S300">
        <v>32.4</v>
      </c>
      <c r="T300">
        <v>5</v>
      </c>
      <c r="U300">
        <v>0</v>
      </c>
      <c r="V300">
        <v>15.552</v>
      </c>
      <c r="W300">
        <f t="shared" si="19"/>
        <v>3.3695999999999997</v>
      </c>
      <c r="X300">
        <v>4</v>
      </c>
    </row>
    <row r="301" spans="1:24" x14ac:dyDescent="0.3">
      <c r="A301">
        <v>300</v>
      </c>
      <c r="B301" t="s">
        <v>2075</v>
      </c>
      <c r="C301" s="6">
        <v>44496</v>
      </c>
      <c r="D301" t="str">
        <f t="shared" si="16"/>
        <v>Oct</v>
      </c>
      <c r="E301" t="str">
        <f t="shared" si="17"/>
        <v>2021</v>
      </c>
      <c r="F301" t="s">
        <v>4</v>
      </c>
      <c r="G301" t="s">
        <v>70</v>
      </c>
      <c r="H301" t="s">
        <v>820</v>
      </c>
      <c r="I301">
        <v>110</v>
      </c>
      <c r="J301">
        <v>10</v>
      </c>
      <c r="K301">
        <f t="shared" si="18"/>
        <v>9.0909090909090917</v>
      </c>
      <c r="L301" t="s">
        <v>1738</v>
      </c>
      <c r="M301" t="s">
        <v>3767</v>
      </c>
      <c r="N301" t="s">
        <v>1</v>
      </c>
      <c r="O301">
        <v>600074</v>
      </c>
      <c r="P301" t="s">
        <v>546</v>
      </c>
      <c r="Q301" t="s">
        <v>1767</v>
      </c>
      <c r="S301">
        <v>1082.48</v>
      </c>
      <c r="T301">
        <v>8</v>
      </c>
      <c r="U301">
        <v>0</v>
      </c>
      <c r="V301">
        <v>10.8248</v>
      </c>
      <c r="W301">
        <f t="shared" si="19"/>
        <v>133.95689999999999</v>
      </c>
      <c r="X301">
        <v>1</v>
      </c>
    </row>
    <row r="302" spans="1:24" x14ac:dyDescent="0.3">
      <c r="A302">
        <v>301</v>
      </c>
      <c r="B302" t="s">
        <v>2076</v>
      </c>
      <c r="C302" s="6">
        <v>44497</v>
      </c>
      <c r="D302" t="str">
        <f t="shared" si="16"/>
        <v>Oct</v>
      </c>
      <c r="E302" t="str">
        <f t="shared" si="17"/>
        <v>2021</v>
      </c>
      <c r="F302" t="s">
        <v>4</v>
      </c>
      <c r="G302" t="s">
        <v>70</v>
      </c>
      <c r="H302" t="s">
        <v>821</v>
      </c>
      <c r="I302">
        <v>170</v>
      </c>
      <c r="J302">
        <v>26</v>
      </c>
      <c r="K302">
        <f t="shared" si="18"/>
        <v>15.294117647058824</v>
      </c>
      <c r="L302" t="s">
        <v>1737</v>
      </c>
      <c r="M302" t="s">
        <v>3768</v>
      </c>
      <c r="N302" t="s">
        <v>1</v>
      </c>
      <c r="O302">
        <v>500010</v>
      </c>
      <c r="P302" t="s">
        <v>546</v>
      </c>
      <c r="Q302" t="s">
        <v>1768</v>
      </c>
      <c r="S302">
        <v>56.91</v>
      </c>
      <c r="T302">
        <v>3</v>
      </c>
      <c r="U302">
        <v>0</v>
      </c>
      <c r="V302">
        <v>27.316800000000001</v>
      </c>
      <c r="W302">
        <f t="shared" si="19"/>
        <v>9.8643999999999981</v>
      </c>
      <c r="X302">
        <v>2</v>
      </c>
    </row>
    <row r="303" spans="1:24" x14ac:dyDescent="0.3">
      <c r="A303">
        <v>302</v>
      </c>
      <c r="B303" t="s">
        <v>2077</v>
      </c>
      <c r="C303" s="6">
        <v>44498</v>
      </c>
      <c r="D303" t="str">
        <f t="shared" si="16"/>
        <v>Oct</v>
      </c>
      <c r="E303" t="str">
        <f t="shared" si="17"/>
        <v>2021</v>
      </c>
      <c r="F303" t="s">
        <v>4</v>
      </c>
      <c r="G303" t="s">
        <v>70</v>
      </c>
      <c r="H303" t="s">
        <v>822</v>
      </c>
      <c r="I303">
        <v>230</v>
      </c>
      <c r="J303">
        <v>18</v>
      </c>
      <c r="K303">
        <f t="shared" si="18"/>
        <v>7.8260869565217401</v>
      </c>
      <c r="L303" t="s">
        <v>1743</v>
      </c>
      <c r="M303" t="s">
        <v>3769</v>
      </c>
      <c r="N303" t="s">
        <v>1</v>
      </c>
      <c r="O303">
        <v>400066</v>
      </c>
      <c r="P303" t="s">
        <v>546</v>
      </c>
      <c r="Q303" t="s">
        <v>1759</v>
      </c>
      <c r="S303">
        <v>77.599999999999994</v>
      </c>
      <c r="T303">
        <v>4</v>
      </c>
      <c r="U303">
        <v>0</v>
      </c>
      <c r="V303">
        <v>38.024000000000001</v>
      </c>
      <c r="W303">
        <f t="shared" si="19"/>
        <v>9.8939999999999984</v>
      </c>
      <c r="X303">
        <v>1</v>
      </c>
    </row>
    <row r="304" spans="1:24" x14ac:dyDescent="0.3">
      <c r="A304">
        <v>303</v>
      </c>
      <c r="B304" t="s">
        <v>2078</v>
      </c>
      <c r="C304" s="6">
        <v>44499</v>
      </c>
      <c r="D304" t="str">
        <f t="shared" si="16"/>
        <v>Oct</v>
      </c>
      <c r="E304" t="str">
        <f t="shared" si="17"/>
        <v>2021</v>
      </c>
      <c r="F304" t="s">
        <v>4</v>
      </c>
      <c r="G304" t="s">
        <v>70</v>
      </c>
      <c r="H304" t="s">
        <v>823</v>
      </c>
      <c r="I304">
        <v>240</v>
      </c>
      <c r="J304">
        <v>18</v>
      </c>
      <c r="K304">
        <f t="shared" si="18"/>
        <v>7.5</v>
      </c>
      <c r="L304" t="s">
        <v>1738</v>
      </c>
      <c r="M304" t="s">
        <v>3770</v>
      </c>
      <c r="N304" t="s">
        <v>1</v>
      </c>
      <c r="O304">
        <v>415304</v>
      </c>
      <c r="P304" t="s">
        <v>546</v>
      </c>
      <c r="Q304" t="s">
        <v>1775</v>
      </c>
      <c r="S304">
        <v>14.28</v>
      </c>
      <c r="T304">
        <v>1</v>
      </c>
      <c r="U304">
        <v>0</v>
      </c>
      <c r="V304">
        <v>6.5688000000000004</v>
      </c>
      <c r="W304">
        <f t="shared" si="19"/>
        <v>7.7111999999999989</v>
      </c>
      <c r="X304">
        <v>3</v>
      </c>
    </row>
    <row r="305" spans="1:24" x14ac:dyDescent="0.3">
      <c r="A305">
        <v>304</v>
      </c>
      <c r="B305" t="s">
        <v>2079</v>
      </c>
      <c r="C305" s="6">
        <v>44500</v>
      </c>
      <c r="D305" t="str">
        <f t="shared" si="16"/>
        <v>Oct</v>
      </c>
      <c r="E305" t="str">
        <f t="shared" si="17"/>
        <v>2021</v>
      </c>
      <c r="F305" t="s">
        <v>4</v>
      </c>
      <c r="G305" t="s">
        <v>108</v>
      </c>
      <c r="H305" t="s">
        <v>824</v>
      </c>
      <c r="I305">
        <v>130</v>
      </c>
      <c r="J305">
        <v>26</v>
      </c>
      <c r="K305">
        <f t="shared" si="18"/>
        <v>20</v>
      </c>
      <c r="L305" t="s">
        <v>1739</v>
      </c>
      <c r="M305" t="s">
        <v>3771</v>
      </c>
      <c r="N305" t="s">
        <v>1</v>
      </c>
      <c r="O305">
        <v>171005</v>
      </c>
      <c r="P305" t="s">
        <v>546</v>
      </c>
      <c r="Q305" t="s">
        <v>1773</v>
      </c>
      <c r="S305">
        <v>219.07499999999999</v>
      </c>
      <c r="T305">
        <v>3</v>
      </c>
      <c r="U305">
        <v>0.5</v>
      </c>
      <c r="V305">
        <v>-131.44499999999999</v>
      </c>
      <c r="W305">
        <f t="shared" si="19"/>
        <v>116.83999999999999</v>
      </c>
      <c r="X305">
        <v>2</v>
      </c>
    </row>
    <row r="306" spans="1:24" x14ac:dyDescent="0.3">
      <c r="A306">
        <v>305</v>
      </c>
      <c r="B306" t="s">
        <v>2080</v>
      </c>
      <c r="C306" s="6">
        <v>44501</v>
      </c>
      <c r="D306" t="str">
        <f t="shared" si="16"/>
        <v>Nov</v>
      </c>
      <c r="E306" t="str">
        <f t="shared" si="17"/>
        <v>2021</v>
      </c>
      <c r="F306" t="s">
        <v>3</v>
      </c>
      <c r="G306" t="s">
        <v>134</v>
      </c>
      <c r="H306" t="s">
        <v>825</v>
      </c>
      <c r="I306">
        <v>150</v>
      </c>
      <c r="J306">
        <v>16</v>
      </c>
      <c r="K306">
        <f t="shared" si="18"/>
        <v>10.666666666666668</v>
      </c>
      <c r="L306" t="s">
        <v>1741</v>
      </c>
      <c r="M306" t="s">
        <v>3772</v>
      </c>
      <c r="N306" t="s">
        <v>1</v>
      </c>
      <c r="O306">
        <v>440015</v>
      </c>
      <c r="P306" t="s">
        <v>546</v>
      </c>
      <c r="Q306" t="s">
        <v>1776</v>
      </c>
      <c r="S306">
        <v>26.8</v>
      </c>
      <c r="T306">
        <v>2</v>
      </c>
      <c r="U306">
        <v>0</v>
      </c>
      <c r="V306">
        <v>12.864000000000001</v>
      </c>
      <c r="W306">
        <f t="shared" si="19"/>
        <v>6.968</v>
      </c>
      <c r="X306">
        <v>4</v>
      </c>
    </row>
    <row r="307" spans="1:24" x14ac:dyDescent="0.3">
      <c r="A307">
        <v>306</v>
      </c>
      <c r="B307" t="s">
        <v>2081</v>
      </c>
      <c r="C307" s="6">
        <v>44502</v>
      </c>
      <c r="D307" t="str">
        <f t="shared" si="16"/>
        <v>Nov</v>
      </c>
      <c r="E307" t="str">
        <f t="shared" si="17"/>
        <v>2021</v>
      </c>
      <c r="F307" t="s">
        <v>4</v>
      </c>
      <c r="G307" t="s">
        <v>40</v>
      </c>
      <c r="H307" t="s">
        <v>826</v>
      </c>
      <c r="I307">
        <v>150</v>
      </c>
      <c r="J307">
        <v>30</v>
      </c>
      <c r="K307">
        <f t="shared" si="18"/>
        <v>20</v>
      </c>
      <c r="L307" t="s">
        <v>1736</v>
      </c>
      <c r="M307" t="s">
        <v>3773</v>
      </c>
      <c r="N307" t="s">
        <v>1</v>
      </c>
      <c r="O307">
        <v>500064</v>
      </c>
      <c r="P307" t="s">
        <v>546</v>
      </c>
      <c r="Q307" t="s">
        <v>1759</v>
      </c>
      <c r="S307">
        <v>9.84</v>
      </c>
      <c r="T307">
        <v>3</v>
      </c>
      <c r="U307">
        <v>0</v>
      </c>
      <c r="V307">
        <v>2.8536000000000001</v>
      </c>
      <c r="W307">
        <f t="shared" si="19"/>
        <v>2.3287999999999998</v>
      </c>
      <c r="X307">
        <v>4</v>
      </c>
    </row>
    <row r="308" spans="1:24" x14ac:dyDescent="0.3">
      <c r="A308">
        <v>307</v>
      </c>
      <c r="B308" t="s">
        <v>2082</v>
      </c>
      <c r="C308" s="6">
        <v>44503</v>
      </c>
      <c r="D308" t="str">
        <f t="shared" si="16"/>
        <v>Nov</v>
      </c>
      <c r="E308" t="str">
        <f t="shared" si="17"/>
        <v>2021</v>
      </c>
      <c r="F308" t="s">
        <v>4</v>
      </c>
      <c r="G308" t="s">
        <v>135</v>
      </c>
      <c r="H308" t="s">
        <v>827</v>
      </c>
      <c r="I308">
        <v>180</v>
      </c>
      <c r="J308">
        <v>8</v>
      </c>
      <c r="K308">
        <f t="shared" si="18"/>
        <v>4.4444444444444446</v>
      </c>
      <c r="L308" t="s">
        <v>1744</v>
      </c>
      <c r="M308" t="s">
        <v>3774</v>
      </c>
      <c r="N308" t="s">
        <v>1</v>
      </c>
      <c r="O308">
        <v>411028</v>
      </c>
      <c r="P308" t="s">
        <v>546</v>
      </c>
      <c r="Q308" t="s">
        <v>1763</v>
      </c>
      <c r="R308" t="s">
        <v>2</v>
      </c>
      <c r="S308">
        <v>45.48</v>
      </c>
      <c r="T308">
        <v>3</v>
      </c>
      <c r="U308">
        <v>0</v>
      </c>
      <c r="V308">
        <v>20.9208</v>
      </c>
      <c r="W308">
        <f t="shared" si="19"/>
        <v>8.186399999999999</v>
      </c>
      <c r="X308">
        <v>4</v>
      </c>
    </row>
    <row r="309" spans="1:24" x14ac:dyDescent="0.3">
      <c r="A309">
        <v>308</v>
      </c>
      <c r="B309" t="s">
        <v>2083</v>
      </c>
      <c r="C309" s="6">
        <v>44504</v>
      </c>
      <c r="D309" t="str">
        <f t="shared" si="16"/>
        <v>Nov</v>
      </c>
      <c r="E309" t="str">
        <f t="shared" si="17"/>
        <v>2021</v>
      </c>
      <c r="F309" t="s">
        <v>4</v>
      </c>
      <c r="G309" t="s">
        <v>135</v>
      </c>
      <c r="H309" t="s">
        <v>828</v>
      </c>
      <c r="I309">
        <v>160</v>
      </c>
      <c r="J309">
        <v>24</v>
      </c>
      <c r="K309">
        <f t="shared" si="18"/>
        <v>15</v>
      </c>
      <c r="L309" t="s">
        <v>1740</v>
      </c>
      <c r="M309" t="s">
        <v>3775</v>
      </c>
      <c r="N309" t="s">
        <v>1</v>
      </c>
      <c r="O309">
        <v>781028</v>
      </c>
      <c r="P309" t="s">
        <v>546</v>
      </c>
      <c r="Q309" t="s">
        <v>1775</v>
      </c>
      <c r="S309">
        <v>289.2</v>
      </c>
      <c r="T309">
        <v>6</v>
      </c>
      <c r="U309">
        <v>0</v>
      </c>
      <c r="V309">
        <v>83.867999999999995</v>
      </c>
      <c r="W309">
        <f t="shared" si="19"/>
        <v>34.222000000000001</v>
      </c>
      <c r="X309">
        <v>2</v>
      </c>
    </row>
    <row r="310" spans="1:24" x14ac:dyDescent="0.3">
      <c r="A310">
        <v>309</v>
      </c>
      <c r="B310" t="s">
        <v>2084</v>
      </c>
      <c r="C310" s="6">
        <v>44505</v>
      </c>
      <c r="D310" t="str">
        <f t="shared" si="16"/>
        <v>Nov</v>
      </c>
      <c r="E310" t="str">
        <f t="shared" si="17"/>
        <v>2021</v>
      </c>
      <c r="F310" t="s">
        <v>5</v>
      </c>
      <c r="G310" t="s">
        <v>136</v>
      </c>
      <c r="H310" t="s">
        <v>829</v>
      </c>
      <c r="I310">
        <v>210</v>
      </c>
      <c r="J310">
        <v>10</v>
      </c>
      <c r="K310">
        <f t="shared" si="18"/>
        <v>4.7619047619047619</v>
      </c>
      <c r="L310" t="s">
        <v>1742</v>
      </c>
      <c r="M310" t="s">
        <v>3776</v>
      </c>
      <c r="N310" t="s">
        <v>1</v>
      </c>
      <c r="O310">
        <v>781028</v>
      </c>
      <c r="P310" t="s">
        <v>546</v>
      </c>
      <c r="Q310" t="s">
        <v>1769</v>
      </c>
      <c r="S310">
        <v>4.8899999999999997</v>
      </c>
      <c r="T310">
        <v>1</v>
      </c>
      <c r="U310">
        <v>0</v>
      </c>
      <c r="V310">
        <v>2.0049000000000001</v>
      </c>
      <c r="W310">
        <f t="shared" si="19"/>
        <v>2.8850999999999996</v>
      </c>
      <c r="X310">
        <v>3</v>
      </c>
    </row>
    <row r="311" spans="1:24" x14ac:dyDescent="0.3">
      <c r="A311">
        <v>310</v>
      </c>
      <c r="B311" t="s">
        <v>2085</v>
      </c>
      <c r="C311" s="6">
        <v>44506</v>
      </c>
      <c r="D311" t="str">
        <f t="shared" si="16"/>
        <v>Nov</v>
      </c>
      <c r="E311" t="str">
        <f t="shared" si="17"/>
        <v>2021</v>
      </c>
      <c r="F311" t="s">
        <v>3</v>
      </c>
      <c r="G311" t="s">
        <v>137</v>
      </c>
      <c r="H311" t="s">
        <v>830</v>
      </c>
      <c r="I311">
        <v>230</v>
      </c>
      <c r="J311">
        <v>14</v>
      </c>
      <c r="K311">
        <f t="shared" si="18"/>
        <v>6.0869565217391308</v>
      </c>
      <c r="L311" t="s">
        <v>1739</v>
      </c>
      <c r="M311" t="s">
        <v>3777</v>
      </c>
      <c r="N311" t="s">
        <v>1</v>
      </c>
      <c r="O311">
        <v>712235</v>
      </c>
      <c r="P311" t="s">
        <v>546</v>
      </c>
      <c r="Q311" t="s">
        <v>1760</v>
      </c>
      <c r="S311">
        <v>15.135999999999999</v>
      </c>
      <c r="T311">
        <v>4</v>
      </c>
      <c r="U311">
        <v>0.2</v>
      </c>
      <c r="V311">
        <v>3.5948000000000002</v>
      </c>
      <c r="W311">
        <f t="shared" si="19"/>
        <v>2.8853</v>
      </c>
      <c r="X311">
        <v>5</v>
      </c>
    </row>
    <row r="312" spans="1:24" x14ac:dyDescent="0.3">
      <c r="A312">
        <v>311</v>
      </c>
      <c r="B312" t="s">
        <v>2086</v>
      </c>
      <c r="C312" s="6">
        <v>44507</v>
      </c>
      <c r="D312" t="str">
        <f t="shared" si="16"/>
        <v>Nov</v>
      </c>
      <c r="E312" t="str">
        <f t="shared" si="17"/>
        <v>2021</v>
      </c>
      <c r="F312" t="s">
        <v>3</v>
      </c>
      <c r="G312" t="s">
        <v>137</v>
      </c>
      <c r="H312" t="s">
        <v>831</v>
      </c>
      <c r="I312">
        <v>130</v>
      </c>
      <c r="J312">
        <v>14</v>
      </c>
      <c r="K312">
        <f t="shared" si="18"/>
        <v>10.76923076923077</v>
      </c>
      <c r="L312" t="s">
        <v>1738</v>
      </c>
      <c r="M312" t="s">
        <v>3778</v>
      </c>
      <c r="N312" t="s">
        <v>1</v>
      </c>
      <c r="O312">
        <v>400706</v>
      </c>
      <c r="P312" t="s">
        <v>546</v>
      </c>
      <c r="Q312" t="s">
        <v>1772</v>
      </c>
      <c r="S312">
        <v>466.76799999999997</v>
      </c>
      <c r="T312">
        <v>2</v>
      </c>
      <c r="U312">
        <v>0.2</v>
      </c>
      <c r="V312">
        <v>52.511400000000002</v>
      </c>
      <c r="W312">
        <f t="shared" si="19"/>
        <v>207.1283</v>
      </c>
      <c r="X312">
        <v>1</v>
      </c>
    </row>
    <row r="313" spans="1:24" x14ac:dyDescent="0.3">
      <c r="A313">
        <v>312</v>
      </c>
      <c r="B313" t="s">
        <v>2087</v>
      </c>
      <c r="C313" s="6">
        <v>44508</v>
      </c>
      <c r="D313" t="str">
        <f t="shared" si="16"/>
        <v>Nov</v>
      </c>
      <c r="E313" t="str">
        <f t="shared" si="17"/>
        <v>2021</v>
      </c>
      <c r="F313" t="s">
        <v>3</v>
      </c>
      <c r="G313" t="s">
        <v>137</v>
      </c>
      <c r="H313" t="s">
        <v>832</v>
      </c>
      <c r="I313">
        <v>190</v>
      </c>
      <c r="J313">
        <v>12</v>
      </c>
      <c r="K313">
        <f t="shared" si="18"/>
        <v>6.3157894736842106</v>
      </c>
      <c r="L313" t="s">
        <v>1743</v>
      </c>
      <c r="M313" t="s">
        <v>3779</v>
      </c>
      <c r="O313">
        <v>682314</v>
      </c>
      <c r="P313" t="s">
        <v>546</v>
      </c>
      <c r="Q313" t="s">
        <v>1762</v>
      </c>
      <c r="S313">
        <v>15.231999999999999</v>
      </c>
      <c r="T313">
        <v>1</v>
      </c>
      <c r="U313">
        <v>0.2</v>
      </c>
      <c r="V313">
        <v>1.7136</v>
      </c>
      <c r="W313">
        <f t="shared" si="19"/>
        <v>13.5184</v>
      </c>
      <c r="X313">
        <v>2</v>
      </c>
    </row>
    <row r="314" spans="1:24" x14ac:dyDescent="0.3">
      <c r="A314">
        <v>313</v>
      </c>
      <c r="B314" t="s">
        <v>2088</v>
      </c>
      <c r="C314" s="6">
        <v>44509</v>
      </c>
      <c r="D314" t="str">
        <f t="shared" si="16"/>
        <v>Nov</v>
      </c>
      <c r="E314" t="str">
        <f t="shared" si="17"/>
        <v>2021</v>
      </c>
      <c r="F314" t="s">
        <v>3</v>
      </c>
      <c r="G314" t="s">
        <v>137</v>
      </c>
      <c r="H314" t="s">
        <v>833</v>
      </c>
      <c r="I314">
        <v>150</v>
      </c>
      <c r="J314">
        <v>10</v>
      </c>
      <c r="K314">
        <f t="shared" si="18"/>
        <v>6.666666666666667</v>
      </c>
      <c r="L314" t="s">
        <v>1737</v>
      </c>
      <c r="M314" t="s">
        <v>3780</v>
      </c>
      <c r="N314" t="s">
        <v>1</v>
      </c>
      <c r="O314">
        <v>110034</v>
      </c>
      <c r="P314" t="s">
        <v>546</v>
      </c>
      <c r="Q314" t="s">
        <v>1767</v>
      </c>
      <c r="S314">
        <v>6.2640000000000002</v>
      </c>
      <c r="T314">
        <v>3</v>
      </c>
      <c r="U314">
        <v>0.2</v>
      </c>
      <c r="V314">
        <v>2.0358000000000001</v>
      </c>
      <c r="W314">
        <f t="shared" si="19"/>
        <v>1.4094</v>
      </c>
      <c r="X314">
        <v>1</v>
      </c>
    </row>
    <row r="315" spans="1:24" x14ac:dyDescent="0.3">
      <c r="A315">
        <v>314</v>
      </c>
      <c r="B315" t="s">
        <v>2089</v>
      </c>
      <c r="C315" s="6">
        <v>44510</v>
      </c>
      <c r="D315" t="str">
        <f t="shared" si="16"/>
        <v>Nov</v>
      </c>
      <c r="E315" t="str">
        <f t="shared" si="17"/>
        <v>2021</v>
      </c>
      <c r="F315" t="s">
        <v>4</v>
      </c>
      <c r="G315" t="s">
        <v>138</v>
      </c>
      <c r="H315" t="s">
        <v>834</v>
      </c>
      <c r="I315">
        <v>140</v>
      </c>
      <c r="J315">
        <v>12</v>
      </c>
      <c r="K315">
        <f t="shared" si="18"/>
        <v>8.5714285714285712</v>
      </c>
      <c r="L315" t="s">
        <v>1741</v>
      </c>
      <c r="M315" t="s">
        <v>3781</v>
      </c>
      <c r="N315" t="s">
        <v>1</v>
      </c>
      <c r="O315">
        <v>500061</v>
      </c>
      <c r="P315" t="s">
        <v>546</v>
      </c>
      <c r="Q315" t="s">
        <v>1754</v>
      </c>
      <c r="S315">
        <v>87.54</v>
      </c>
      <c r="T315">
        <v>3</v>
      </c>
      <c r="U315">
        <v>0</v>
      </c>
      <c r="V315">
        <v>37.642200000000003</v>
      </c>
      <c r="W315">
        <f t="shared" si="19"/>
        <v>16.6326</v>
      </c>
      <c r="X315">
        <v>2</v>
      </c>
    </row>
    <row r="316" spans="1:24" x14ac:dyDescent="0.3">
      <c r="A316">
        <v>315</v>
      </c>
      <c r="B316" t="s">
        <v>2090</v>
      </c>
      <c r="C316" s="6">
        <v>44511</v>
      </c>
      <c r="D316" t="str">
        <f t="shared" si="16"/>
        <v>Nov</v>
      </c>
      <c r="E316" t="str">
        <f t="shared" si="17"/>
        <v>2021</v>
      </c>
      <c r="F316" t="s">
        <v>4</v>
      </c>
      <c r="G316" t="s">
        <v>139</v>
      </c>
      <c r="H316" t="s">
        <v>835</v>
      </c>
      <c r="I316">
        <v>120</v>
      </c>
      <c r="J316">
        <v>20</v>
      </c>
      <c r="K316">
        <f t="shared" si="18"/>
        <v>16.666666666666664</v>
      </c>
      <c r="L316" t="s">
        <v>1736</v>
      </c>
      <c r="M316" t="s">
        <v>3782</v>
      </c>
      <c r="N316" t="s">
        <v>1</v>
      </c>
      <c r="O316">
        <v>560024</v>
      </c>
      <c r="P316" t="s">
        <v>546</v>
      </c>
      <c r="Q316" t="s">
        <v>1757</v>
      </c>
      <c r="S316">
        <v>178.38399999999999</v>
      </c>
      <c r="T316">
        <v>2</v>
      </c>
      <c r="U316">
        <v>0.2</v>
      </c>
      <c r="V316">
        <v>22.297999999999998</v>
      </c>
      <c r="W316">
        <f t="shared" si="19"/>
        <v>78.042999999999992</v>
      </c>
      <c r="X316">
        <v>3</v>
      </c>
    </row>
    <row r="317" spans="1:24" x14ac:dyDescent="0.3">
      <c r="A317">
        <v>316</v>
      </c>
      <c r="B317" t="s">
        <v>2091</v>
      </c>
      <c r="C317" s="6">
        <v>44512</v>
      </c>
      <c r="D317" t="str">
        <f t="shared" si="16"/>
        <v>Nov</v>
      </c>
      <c r="E317" t="str">
        <f t="shared" si="17"/>
        <v>2021</v>
      </c>
      <c r="F317" t="s">
        <v>4</v>
      </c>
      <c r="G317" t="s">
        <v>139</v>
      </c>
      <c r="H317" t="s">
        <v>836</v>
      </c>
      <c r="I317">
        <v>160</v>
      </c>
      <c r="J317">
        <v>18</v>
      </c>
      <c r="K317">
        <f t="shared" si="18"/>
        <v>11.25</v>
      </c>
      <c r="L317" t="s">
        <v>1744</v>
      </c>
      <c r="M317" t="s">
        <v>3783</v>
      </c>
      <c r="O317">
        <v>171011</v>
      </c>
      <c r="P317" t="s">
        <v>546</v>
      </c>
      <c r="Q317" t="s">
        <v>1758</v>
      </c>
      <c r="S317">
        <v>15.552</v>
      </c>
      <c r="T317">
        <v>3</v>
      </c>
      <c r="U317">
        <v>0.2</v>
      </c>
      <c r="V317">
        <v>5.4432</v>
      </c>
      <c r="W317">
        <f t="shared" si="19"/>
        <v>3.3695999999999997</v>
      </c>
      <c r="X317">
        <v>5</v>
      </c>
    </row>
    <row r="318" spans="1:24" x14ac:dyDescent="0.3">
      <c r="A318">
        <v>317</v>
      </c>
      <c r="B318" t="s">
        <v>2092</v>
      </c>
      <c r="C318" s="6">
        <v>44513</v>
      </c>
      <c r="D318" t="str">
        <f t="shared" si="16"/>
        <v>Nov</v>
      </c>
      <c r="E318" t="str">
        <f t="shared" si="17"/>
        <v>2021</v>
      </c>
      <c r="F318" t="s">
        <v>5</v>
      </c>
      <c r="G318" t="s">
        <v>140</v>
      </c>
      <c r="H318" t="s">
        <v>837</v>
      </c>
      <c r="I318">
        <v>190</v>
      </c>
      <c r="J318">
        <v>6</v>
      </c>
      <c r="K318">
        <f t="shared" si="18"/>
        <v>3.1578947368421053</v>
      </c>
      <c r="L318" t="s">
        <v>1740</v>
      </c>
      <c r="M318" t="s">
        <v>3784</v>
      </c>
      <c r="N318" t="s">
        <v>1</v>
      </c>
      <c r="O318">
        <v>671319</v>
      </c>
      <c r="P318" t="s">
        <v>546</v>
      </c>
      <c r="Q318" t="s">
        <v>1757</v>
      </c>
      <c r="R318" t="s">
        <v>2</v>
      </c>
      <c r="S318">
        <v>99.135999999999996</v>
      </c>
      <c r="T318">
        <v>4</v>
      </c>
      <c r="U318">
        <v>0.2</v>
      </c>
      <c r="V318">
        <v>8.6744000000000003</v>
      </c>
      <c r="W318">
        <f t="shared" si="19"/>
        <v>22.615399999999998</v>
      </c>
      <c r="X318">
        <v>3</v>
      </c>
    </row>
    <row r="319" spans="1:24" x14ac:dyDescent="0.3">
      <c r="A319">
        <v>318</v>
      </c>
      <c r="B319" t="s">
        <v>2093</v>
      </c>
      <c r="C319" s="6">
        <v>44514</v>
      </c>
      <c r="D319" t="str">
        <f t="shared" si="16"/>
        <v>Nov</v>
      </c>
      <c r="E319" t="str">
        <f t="shared" si="17"/>
        <v>2021</v>
      </c>
      <c r="F319" t="s">
        <v>4</v>
      </c>
      <c r="G319" t="s">
        <v>141</v>
      </c>
      <c r="H319" t="s">
        <v>838</v>
      </c>
      <c r="I319">
        <v>240</v>
      </c>
      <c r="J319">
        <v>24</v>
      </c>
      <c r="K319">
        <f t="shared" si="18"/>
        <v>10</v>
      </c>
      <c r="L319" t="s">
        <v>1742</v>
      </c>
      <c r="M319" t="s">
        <v>3647</v>
      </c>
      <c r="N319" t="s">
        <v>1</v>
      </c>
      <c r="O319">
        <v>524004</v>
      </c>
      <c r="P319" t="s">
        <v>546</v>
      </c>
      <c r="Q319" t="s">
        <v>1762</v>
      </c>
      <c r="S319">
        <v>135.88200000000001</v>
      </c>
      <c r="T319">
        <v>1</v>
      </c>
      <c r="U319">
        <v>0.1</v>
      </c>
      <c r="V319">
        <v>24.1568</v>
      </c>
      <c r="W319">
        <f t="shared" si="19"/>
        <v>111.7252</v>
      </c>
      <c r="X319">
        <v>2</v>
      </c>
    </row>
    <row r="320" spans="1:24" x14ac:dyDescent="0.3">
      <c r="A320">
        <v>319</v>
      </c>
      <c r="B320" t="s">
        <v>2094</v>
      </c>
      <c r="C320" s="6">
        <v>44515</v>
      </c>
      <c r="D320" t="str">
        <f t="shared" si="16"/>
        <v>Nov</v>
      </c>
      <c r="E320" t="str">
        <f t="shared" si="17"/>
        <v>2021</v>
      </c>
      <c r="F320" t="s">
        <v>4</v>
      </c>
      <c r="G320" t="s">
        <v>141</v>
      </c>
      <c r="H320" t="s">
        <v>839</v>
      </c>
      <c r="I320">
        <v>220</v>
      </c>
      <c r="J320">
        <v>18</v>
      </c>
      <c r="K320">
        <f t="shared" si="18"/>
        <v>8.1818181818181817</v>
      </c>
      <c r="L320" t="s">
        <v>1739</v>
      </c>
      <c r="M320" t="s">
        <v>3785</v>
      </c>
      <c r="N320" t="s">
        <v>1</v>
      </c>
      <c r="O320">
        <v>627764</v>
      </c>
      <c r="P320" t="s">
        <v>546</v>
      </c>
      <c r="Q320" t="s">
        <v>1772</v>
      </c>
      <c r="S320">
        <v>3991.98</v>
      </c>
      <c r="T320">
        <v>2</v>
      </c>
      <c r="U320">
        <v>0</v>
      </c>
      <c r="V320">
        <v>1995.99</v>
      </c>
      <c r="W320">
        <f t="shared" si="19"/>
        <v>997.995</v>
      </c>
      <c r="X320">
        <v>1</v>
      </c>
    </row>
    <row r="321" spans="1:24" x14ac:dyDescent="0.3">
      <c r="A321">
        <v>320</v>
      </c>
      <c r="B321" t="s">
        <v>2095</v>
      </c>
      <c r="C321" s="6">
        <v>44516</v>
      </c>
      <c r="D321" t="str">
        <f t="shared" si="16"/>
        <v>Nov</v>
      </c>
      <c r="E321" t="str">
        <f t="shared" si="17"/>
        <v>2021</v>
      </c>
      <c r="F321" t="s">
        <v>4</v>
      </c>
      <c r="G321" t="s">
        <v>141</v>
      </c>
      <c r="H321" t="s">
        <v>587</v>
      </c>
      <c r="I321">
        <v>160</v>
      </c>
      <c r="J321">
        <v>16</v>
      </c>
      <c r="K321">
        <f t="shared" si="18"/>
        <v>10</v>
      </c>
      <c r="L321" t="s">
        <v>1738</v>
      </c>
      <c r="M321" t="s">
        <v>3786</v>
      </c>
      <c r="N321" t="s">
        <v>1</v>
      </c>
      <c r="O321">
        <v>171102</v>
      </c>
      <c r="P321" t="s">
        <v>546</v>
      </c>
      <c r="Q321" t="s">
        <v>1754</v>
      </c>
      <c r="S321">
        <v>275.94</v>
      </c>
      <c r="T321">
        <v>6</v>
      </c>
      <c r="U321">
        <v>0</v>
      </c>
      <c r="V321">
        <v>80.022599999999997</v>
      </c>
      <c r="W321">
        <f t="shared" si="19"/>
        <v>32.652899999999995</v>
      </c>
      <c r="X321">
        <v>2</v>
      </c>
    </row>
    <row r="322" spans="1:24" x14ac:dyDescent="0.3">
      <c r="A322">
        <v>321</v>
      </c>
      <c r="B322" t="s">
        <v>2096</v>
      </c>
      <c r="C322" s="6">
        <v>44517</v>
      </c>
      <c r="D322" t="str">
        <f t="shared" si="16"/>
        <v>Nov</v>
      </c>
      <c r="E322" t="str">
        <f t="shared" si="17"/>
        <v>2021</v>
      </c>
      <c r="F322" t="s">
        <v>4</v>
      </c>
      <c r="G322" t="s">
        <v>141</v>
      </c>
      <c r="H322" t="s">
        <v>840</v>
      </c>
      <c r="I322">
        <v>200</v>
      </c>
      <c r="J322">
        <v>14</v>
      </c>
      <c r="K322">
        <f t="shared" si="18"/>
        <v>7.0000000000000009</v>
      </c>
      <c r="L322" t="s">
        <v>1737</v>
      </c>
      <c r="M322" t="s">
        <v>3787</v>
      </c>
      <c r="N322" t="s">
        <v>1</v>
      </c>
      <c r="O322">
        <v>110021</v>
      </c>
      <c r="P322" t="s">
        <v>546</v>
      </c>
      <c r="Q322" t="s">
        <v>1772</v>
      </c>
      <c r="S322">
        <v>360</v>
      </c>
      <c r="T322">
        <v>4</v>
      </c>
      <c r="U322">
        <v>0</v>
      </c>
      <c r="V322">
        <v>129.6</v>
      </c>
      <c r="W322">
        <f t="shared" si="19"/>
        <v>57.6</v>
      </c>
      <c r="X322">
        <v>2</v>
      </c>
    </row>
    <row r="323" spans="1:24" x14ac:dyDescent="0.3">
      <c r="A323">
        <v>322</v>
      </c>
      <c r="B323" t="s">
        <v>2097</v>
      </c>
      <c r="C323" s="6">
        <v>44518</v>
      </c>
      <c r="D323" t="str">
        <f t="shared" ref="D323:D386" si="20">TEXT(C323,"Mmm")</f>
        <v>Nov</v>
      </c>
      <c r="E323" t="str">
        <f t="shared" ref="E323:E386" si="21">TEXT(C323,"YYYY")</f>
        <v>2021</v>
      </c>
      <c r="F323" t="s">
        <v>4</v>
      </c>
      <c r="G323" t="s">
        <v>141</v>
      </c>
      <c r="H323" t="s">
        <v>670</v>
      </c>
      <c r="I323">
        <v>130</v>
      </c>
      <c r="J323">
        <v>20</v>
      </c>
      <c r="K323">
        <f t="shared" ref="K323:K386" si="22">(J323/I323)*100</f>
        <v>15.384615384615385</v>
      </c>
      <c r="L323" t="s">
        <v>1743</v>
      </c>
      <c r="M323" t="s">
        <v>3736</v>
      </c>
      <c r="N323" t="s">
        <v>1</v>
      </c>
      <c r="O323">
        <v>502032</v>
      </c>
      <c r="P323" t="s">
        <v>546</v>
      </c>
      <c r="Q323" t="s">
        <v>1764</v>
      </c>
      <c r="S323">
        <v>43.57</v>
      </c>
      <c r="T323">
        <v>1</v>
      </c>
      <c r="U323">
        <v>0</v>
      </c>
      <c r="V323">
        <v>13.071</v>
      </c>
      <c r="W323">
        <f t="shared" ref="W323:W386" si="23">(S323-V323)/T323</f>
        <v>30.499000000000002</v>
      </c>
      <c r="X323">
        <v>2</v>
      </c>
    </row>
    <row r="324" spans="1:24" x14ac:dyDescent="0.3">
      <c r="A324">
        <v>323</v>
      </c>
      <c r="B324" t="s">
        <v>2098</v>
      </c>
      <c r="C324" s="6">
        <v>44519</v>
      </c>
      <c r="D324" t="str">
        <f t="shared" si="20"/>
        <v>Nov</v>
      </c>
      <c r="E324" t="str">
        <f t="shared" si="21"/>
        <v>2021</v>
      </c>
      <c r="F324" t="s">
        <v>4</v>
      </c>
      <c r="G324" t="s">
        <v>142</v>
      </c>
      <c r="H324" t="s">
        <v>841</v>
      </c>
      <c r="I324">
        <v>220</v>
      </c>
      <c r="J324">
        <v>8</v>
      </c>
      <c r="K324">
        <f t="shared" si="22"/>
        <v>3.6363636363636362</v>
      </c>
      <c r="L324" t="s">
        <v>1738</v>
      </c>
      <c r="M324" t="s">
        <v>3788</v>
      </c>
      <c r="N324" t="s">
        <v>1</v>
      </c>
      <c r="O324">
        <v>700053</v>
      </c>
      <c r="P324" t="s">
        <v>546</v>
      </c>
      <c r="Q324" t="s">
        <v>1763</v>
      </c>
      <c r="R324" t="s">
        <v>2</v>
      </c>
      <c r="S324">
        <v>7.16</v>
      </c>
      <c r="T324">
        <v>2</v>
      </c>
      <c r="U324">
        <v>0</v>
      </c>
      <c r="V324">
        <v>3.58</v>
      </c>
      <c r="W324">
        <f t="shared" si="23"/>
        <v>1.79</v>
      </c>
      <c r="X324">
        <v>4</v>
      </c>
    </row>
    <row r="325" spans="1:24" x14ac:dyDescent="0.3">
      <c r="A325">
        <v>324</v>
      </c>
      <c r="B325" t="s">
        <v>2099</v>
      </c>
      <c r="C325" s="6">
        <v>44520</v>
      </c>
      <c r="D325" t="str">
        <f t="shared" si="20"/>
        <v>Nov</v>
      </c>
      <c r="E325" t="str">
        <f t="shared" si="21"/>
        <v>2021</v>
      </c>
      <c r="F325" t="s">
        <v>4</v>
      </c>
      <c r="G325" t="s">
        <v>143</v>
      </c>
      <c r="H325" t="s">
        <v>817</v>
      </c>
      <c r="I325">
        <v>140</v>
      </c>
      <c r="J325">
        <v>10</v>
      </c>
      <c r="K325">
        <f t="shared" si="22"/>
        <v>7.1428571428571423</v>
      </c>
      <c r="L325" t="s">
        <v>1739</v>
      </c>
      <c r="M325" t="s">
        <v>3588</v>
      </c>
      <c r="N325" t="s">
        <v>1</v>
      </c>
      <c r="O325">
        <v>396445</v>
      </c>
      <c r="P325" t="s">
        <v>546</v>
      </c>
      <c r="Q325" t="s">
        <v>1765</v>
      </c>
      <c r="R325" t="s">
        <v>2</v>
      </c>
      <c r="S325">
        <v>251.52</v>
      </c>
      <c r="T325">
        <v>6</v>
      </c>
      <c r="U325">
        <v>0.2</v>
      </c>
      <c r="V325">
        <v>81.744</v>
      </c>
      <c r="W325">
        <f t="shared" si="23"/>
        <v>28.296000000000003</v>
      </c>
      <c r="X325">
        <v>1</v>
      </c>
    </row>
    <row r="326" spans="1:24" x14ac:dyDescent="0.3">
      <c r="A326">
        <v>325</v>
      </c>
      <c r="B326" t="s">
        <v>2100</v>
      </c>
      <c r="C326" s="6">
        <v>44521</v>
      </c>
      <c r="D326" t="str">
        <f t="shared" si="20"/>
        <v>Nov</v>
      </c>
      <c r="E326" t="str">
        <f t="shared" si="21"/>
        <v>2021</v>
      </c>
      <c r="F326" t="s">
        <v>4</v>
      </c>
      <c r="G326" t="s">
        <v>143</v>
      </c>
      <c r="H326" t="s">
        <v>842</v>
      </c>
      <c r="I326">
        <v>170</v>
      </c>
      <c r="J326">
        <v>16</v>
      </c>
      <c r="K326">
        <f t="shared" si="22"/>
        <v>9.4117647058823533</v>
      </c>
      <c r="L326" t="s">
        <v>1741</v>
      </c>
      <c r="M326" t="s">
        <v>3789</v>
      </c>
      <c r="N326" t="s">
        <v>1</v>
      </c>
      <c r="O326">
        <v>560016</v>
      </c>
      <c r="P326" t="s">
        <v>546</v>
      </c>
      <c r="Q326" t="s">
        <v>1761</v>
      </c>
      <c r="S326">
        <v>99.99</v>
      </c>
      <c r="T326">
        <v>1</v>
      </c>
      <c r="U326">
        <v>0</v>
      </c>
      <c r="V326">
        <v>34.996499999999997</v>
      </c>
      <c r="W326">
        <f t="shared" si="23"/>
        <v>64.993499999999997</v>
      </c>
      <c r="X326">
        <v>1</v>
      </c>
    </row>
    <row r="327" spans="1:24" x14ac:dyDescent="0.3">
      <c r="A327">
        <v>326</v>
      </c>
      <c r="B327" t="s">
        <v>2101</v>
      </c>
      <c r="C327" s="6">
        <v>44522</v>
      </c>
      <c r="D327" t="str">
        <f t="shared" si="20"/>
        <v>Nov</v>
      </c>
      <c r="E327" t="str">
        <f t="shared" si="21"/>
        <v>2021</v>
      </c>
      <c r="F327" t="s">
        <v>3</v>
      </c>
      <c r="G327" t="s">
        <v>144</v>
      </c>
      <c r="H327" t="s">
        <v>843</v>
      </c>
      <c r="I327">
        <v>130</v>
      </c>
      <c r="J327">
        <v>28</v>
      </c>
      <c r="K327">
        <f t="shared" si="22"/>
        <v>21.53846153846154</v>
      </c>
      <c r="L327" t="s">
        <v>1736</v>
      </c>
      <c r="M327" t="s">
        <v>3790</v>
      </c>
      <c r="N327" t="s">
        <v>1</v>
      </c>
      <c r="O327">
        <v>148109</v>
      </c>
      <c r="P327" t="s">
        <v>546</v>
      </c>
      <c r="Q327" t="s">
        <v>1767</v>
      </c>
      <c r="S327">
        <v>15.992000000000001</v>
      </c>
      <c r="T327">
        <v>1</v>
      </c>
      <c r="U327">
        <v>0.2</v>
      </c>
      <c r="V327">
        <v>0.99950000000000006</v>
      </c>
      <c r="W327">
        <f t="shared" si="23"/>
        <v>14.992500000000001</v>
      </c>
      <c r="X327">
        <v>2</v>
      </c>
    </row>
    <row r="328" spans="1:24" x14ac:dyDescent="0.3">
      <c r="A328">
        <v>327</v>
      </c>
      <c r="B328" t="s">
        <v>2102</v>
      </c>
      <c r="C328" s="6">
        <v>44523</v>
      </c>
      <c r="D328" t="str">
        <f t="shared" si="20"/>
        <v>Nov</v>
      </c>
      <c r="E328" t="str">
        <f t="shared" si="21"/>
        <v>2021</v>
      </c>
      <c r="F328" t="s">
        <v>5</v>
      </c>
      <c r="G328" t="s">
        <v>145</v>
      </c>
      <c r="H328" t="s">
        <v>844</v>
      </c>
      <c r="I328">
        <v>190</v>
      </c>
      <c r="J328">
        <v>18</v>
      </c>
      <c r="K328">
        <f t="shared" si="22"/>
        <v>9.4736842105263168</v>
      </c>
      <c r="L328" t="s">
        <v>1744</v>
      </c>
      <c r="M328" t="s">
        <v>3685</v>
      </c>
      <c r="N328" t="s">
        <v>1</v>
      </c>
      <c r="O328">
        <v>222001</v>
      </c>
      <c r="P328" t="s">
        <v>546</v>
      </c>
      <c r="Q328" t="s">
        <v>1760</v>
      </c>
      <c r="S328">
        <v>290.89800000000002</v>
      </c>
      <c r="T328">
        <v>3</v>
      </c>
      <c r="U328">
        <v>0.4</v>
      </c>
      <c r="V328">
        <v>-67.876199999999997</v>
      </c>
      <c r="W328">
        <f t="shared" si="23"/>
        <v>119.59140000000001</v>
      </c>
      <c r="X328">
        <v>4</v>
      </c>
    </row>
    <row r="329" spans="1:24" x14ac:dyDescent="0.3">
      <c r="A329">
        <v>328</v>
      </c>
      <c r="B329" t="s">
        <v>2103</v>
      </c>
      <c r="C329" s="6">
        <v>44524</v>
      </c>
      <c r="D329" t="str">
        <f t="shared" si="20"/>
        <v>Nov</v>
      </c>
      <c r="E329" t="str">
        <f t="shared" si="21"/>
        <v>2021</v>
      </c>
      <c r="F329" t="s">
        <v>5</v>
      </c>
      <c r="G329" t="s">
        <v>145</v>
      </c>
      <c r="H329" t="s">
        <v>845</v>
      </c>
      <c r="I329">
        <v>150</v>
      </c>
      <c r="J329">
        <v>20</v>
      </c>
      <c r="K329">
        <f t="shared" si="22"/>
        <v>13.333333333333334</v>
      </c>
      <c r="L329" t="s">
        <v>1740</v>
      </c>
      <c r="M329" t="s">
        <v>3791</v>
      </c>
      <c r="N329" t="s">
        <v>1</v>
      </c>
      <c r="O329">
        <v>380054</v>
      </c>
      <c r="P329" t="s">
        <v>546</v>
      </c>
      <c r="Q329" t="s">
        <v>1761</v>
      </c>
      <c r="S329">
        <v>54.223999999999997</v>
      </c>
      <c r="T329">
        <v>2</v>
      </c>
      <c r="U329">
        <v>0.2</v>
      </c>
      <c r="V329">
        <v>3.3889999999999998</v>
      </c>
      <c r="W329">
        <f t="shared" si="23"/>
        <v>25.417499999999997</v>
      </c>
      <c r="X329">
        <v>4</v>
      </c>
    </row>
    <row r="330" spans="1:24" x14ac:dyDescent="0.3">
      <c r="A330">
        <v>329</v>
      </c>
      <c r="B330" t="s">
        <v>2104</v>
      </c>
      <c r="C330" s="6">
        <v>44525</v>
      </c>
      <c r="D330" t="str">
        <f t="shared" si="20"/>
        <v>Nov</v>
      </c>
      <c r="E330" t="str">
        <f t="shared" si="21"/>
        <v>2021</v>
      </c>
      <c r="F330" t="s">
        <v>5</v>
      </c>
      <c r="G330" t="s">
        <v>145</v>
      </c>
      <c r="H330" t="s">
        <v>846</v>
      </c>
      <c r="I330">
        <v>220</v>
      </c>
      <c r="J330">
        <v>28</v>
      </c>
      <c r="K330">
        <f t="shared" si="22"/>
        <v>12.727272727272727</v>
      </c>
      <c r="L330" t="s">
        <v>1742</v>
      </c>
      <c r="M330" t="s">
        <v>3696</v>
      </c>
      <c r="N330" t="s">
        <v>1</v>
      </c>
      <c r="O330">
        <v>571401</v>
      </c>
      <c r="P330" t="s">
        <v>546</v>
      </c>
      <c r="Q330" t="s">
        <v>1763</v>
      </c>
      <c r="S330">
        <v>786.74400000000003</v>
      </c>
      <c r="T330">
        <v>4</v>
      </c>
      <c r="U330">
        <v>0.3</v>
      </c>
      <c r="V330">
        <v>-258.5016</v>
      </c>
      <c r="W330">
        <f t="shared" si="23"/>
        <v>261.31139999999999</v>
      </c>
      <c r="X330">
        <v>5</v>
      </c>
    </row>
    <row r="331" spans="1:24" x14ac:dyDescent="0.3">
      <c r="A331">
        <v>330</v>
      </c>
      <c r="B331" t="s">
        <v>2105</v>
      </c>
      <c r="C331" s="6">
        <v>44526</v>
      </c>
      <c r="D331" t="str">
        <f t="shared" si="20"/>
        <v>Nov</v>
      </c>
      <c r="E331" t="str">
        <f t="shared" si="21"/>
        <v>2021</v>
      </c>
      <c r="F331" t="s">
        <v>5</v>
      </c>
      <c r="G331" t="s">
        <v>145</v>
      </c>
      <c r="H331" t="s">
        <v>847</v>
      </c>
      <c r="I331">
        <v>120</v>
      </c>
      <c r="J331">
        <v>22</v>
      </c>
      <c r="K331">
        <f t="shared" si="22"/>
        <v>18.333333333333332</v>
      </c>
      <c r="L331" t="s">
        <v>1739</v>
      </c>
      <c r="M331" t="s">
        <v>3697</v>
      </c>
      <c r="N331" t="s">
        <v>1</v>
      </c>
      <c r="O331">
        <v>444101</v>
      </c>
      <c r="P331" t="s">
        <v>546</v>
      </c>
      <c r="Q331" t="s">
        <v>1755</v>
      </c>
      <c r="S331">
        <v>100.24</v>
      </c>
      <c r="T331">
        <v>10</v>
      </c>
      <c r="U331">
        <v>0.2</v>
      </c>
      <c r="V331">
        <v>33.831000000000003</v>
      </c>
      <c r="W331">
        <f t="shared" si="23"/>
        <v>6.6408999999999994</v>
      </c>
      <c r="X331">
        <v>4</v>
      </c>
    </row>
    <row r="332" spans="1:24" x14ac:dyDescent="0.3">
      <c r="A332">
        <v>331</v>
      </c>
      <c r="B332" t="s">
        <v>2106</v>
      </c>
      <c r="C332" s="6">
        <v>44527</v>
      </c>
      <c r="D332" t="str">
        <f t="shared" si="20"/>
        <v>Nov</v>
      </c>
      <c r="E332" t="str">
        <f t="shared" si="21"/>
        <v>2021</v>
      </c>
      <c r="F332" t="s">
        <v>5</v>
      </c>
      <c r="G332" t="s">
        <v>145</v>
      </c>
      <c r="H332" t="s">
        <v>848</v>
      </c>
      <c r="I332">
        <v>100</v>
      </c>
      <c r="J332">
        <v>24</v>
      </c>
      <c r="K332">
        <f t="shared" si="22"/>
        <v>24</v>
      </c>
      <c r="L332" t="s">
        <v>1738</v>
      </c>
      <c r="M332" t="s">
        <v>3792</v>
      </c>
      <c r="N332" t="s">
        <v>1</v>
      </c>
      <c r="O332">
        <v>500083</v>
      </c>
      <c r="P332" t="s">
        <v>546</v>
      </c>
      <c r="Q332" t="s">
        <v>1774</v>
      </c>
      <c r="S332">
        <v>37.764000000000003</v>
      </c>
      <c r="T332">
        <v>6</v>
      </c>
      <c r="U332">
        <v>0.7</v>
      </c>
      <c r="V332">
        <v>-27.6936</v>
      </c>
      <c r="W332">
        <f t="shared" si="23"/>
        <v>10.909599999999999</v>
      </c>
      <c r="X332">
        <v>5</v>
      </c>
    </row>
    <row r="333" spans="1:24" x14ac:dyDescent="0.3">
      <c r="A333">
        <v>332</v>
      </c>
      <c r="B333" t="s">
        <v>2107</v>
      </c>
      <c r="C333" s="6">
        <v>44528</v>
      </c>
      <c r="D333" t="str">
        <f t="shared" si="20"/>
        <v>Nov</v>
      </c>
      <c r="E333" t="str">
        <f t="shared" si="21"/>
        <v>2021</v>
      </c>
      <c r="F333" t="s">
        <v>3</v>
      </c>
      <c r="G333" t="s">
        <v>146</v>
      </c>
      <c r="H333" t="s">
        <v>849</v>
      </c>
      <c r="I333">
        <v>240</v>
      </c>
      <c r="J333">
        <v>22</v>
      </c>
      <c r="K333">
        <f t="shared" si="22"/>
        <v>9.1666666666666661</v>
      </c>
      <c r="L333" t="s">
        <v>1737</v>
      </c>
      <c r="M333" t="s">
        <v>3793</v>
      </c>
      <c r="N333" t="s">
        <v>1</v>
      </c>
      <c r="O333">
        <v>500079</v>
      </c>
      <c r="P333" t="s">
        <v>546</v>
      </c>
      <c r="Q333" t="s">
        <v>1759</v>
      </c>
      <c r="S333">
        <v>82.8</v>
      </c>
      <c r="T333">
        <v>2</v>
      </c>
      <c r="U333">
        <v>0.4</v>
      </c>
      <c r="V333">
        <v>-20.7</v>
      </c>
      <c r="W333">
        <f t="shared" si="23"/>
        <v>51.75</v>
      </c>
      <c r="X333">
        <v>4</v>
      </c>
    </row>
    <row r="334" spans="1:24" x14ac:dyDescent="0.3">
      <c r="A334">
        <v>333</v>
      </c>
      <c r="B334" t="s">
        <v>2108</v>
      </c>
      <c r="C334" s="6">
        <v>44529</v>
      </c>
      <c r="D334" t="str">
        <f t="shared" si="20"/>
        <v>Nov</v>
      </c>
      <c r="E334" t="str">
        <f t="shared" si="21"/>
        <v>2021</v>
      </c>
      <c r="F334" t="s">
        <v>3</v>
      </c>
      <c r="G334" t="s">
        <v>146</v>
      </c>
      <c r="H334" t="s">
        <v>850</v>
      </c>
      <c r="I334">
        <v>170</v>
      </c>
      <c r="J334">
        <v>20</v>
      </c>
      <c r="K334">
        <f t="shared" si="22"/>
        <v>11.76470588235294</v>
      </c>
      <c r="L334" t="s">
        <v>1743</v>
      </c>
      <c r="M334" t="s">
        <v>3794</v>
      </c>
      <c r="N334" t="s">
        <v>1</v>
      </c>
      <c r="O334">
        <v>700092</v>
      </c>
      <c r="P334" t="s">
        <v>546</v>
      </c>
      <c r="Q334" t="s">
        <v>1763</v>
      </c>
      <c r="S334">
        <v>20.724</v>
      </c>
      <c r="T334">
        <v>2</v>
      </c>
      <c r="U334">
        <v>0.7</v>
      </c>
      <c r="V334">
        <v>-13.816000000000001</v>
      </c>
      <c r="W334">
        <f t="shared" si="23"/>
        <v>17.27</v>
      </c>
      <c r="X334">
        <v>4</v>
      </c>
    </row>
    <row r="335" spans="1:24" x14ac:dyDescent="0.3">
      <c r="A335">
        <v>334</v>
      </c>
      <c r="B335" t="s">
        <v>2109</v>
      </c>
      <c r="C335" s="6">
        <v>44530</v>
      </c>
      <c r="D335" t="str">
        <f t="shared" si="20"/>
        <v>Nov</v>
      </c>
      <c r="E335" t="str">
        <f t="shared" si="21"/>
        <v>2021</v>
      </c>
      <c r="F335" t="s">
        <v>3</v>
      </c>
      <c r="G335" t="s">
        <v>146</v>
      </c>
      <c r="H335" t="s">
        <v>851</v>
      </c>
      <c r="I335">
        <v>220</v>
      </c>
      <c r="J335">
        <v>20</v>
      </c>
      <c r="K335">
        <f t="shared" si="22"/>
        <v>9.0909090909090917</v>
      </c>
      <c r="L335" t="s">
        <v>1738</v>
      </c>
      <c r="M335" t="s">
        <v>3795</v>
      </c>
      <c r="N335" t="s">
        <v>1</v>
      </c>
      <c r="O335">
        <v>421203</v>
      </c>
      <c r="P335" t="s">
        <v>546</v>
      </c>
      <c r="Q335" t="s">
        <v>1774</v>
      </c>
      <c r="S335">
        <v>4.8959999999999999</v>
      </c>
      <c r="T335">
        <v>3</v>
      </c>
      <c r="U335">
        <v>0.7</v>
      </c>
      <c r="V335">
        <v>-3.4272</v>
      </c>
      <c r="W335">
        <f t="shared" si="23"/>
        <v>2.7744</v>
      </c>
      <c r="X335">
        <v>4</v>
      </c>
    </row>
    <row r="336" spans="1:24" x14ac:dyDescent="0.3">
      <c r="A336">
        <v>335</v>
      </c>
      <c r="B336" t="s">
        <v>2110</v>
      </c>
      <c r="C336" s="6">
        <v>44531</v>
      </c>
      <c r="D336" t="str">
        <f t="shared" si="20"/>
        <v>Dec</v>
      </c>
      <c r="E336" t="str">
        <f t="shared" si="21"/>
        <v>2021</v>
      </c>
      <c r="F336" t="s">
        <v>3</v>
      </c>
      <c r="G336" t="s">
        <v>147</v>
      </c>
      <c r="H336" t="s">
        <v>852</v>
      </c>
      <c r="I336">
        <v>230</v>
      </c>
      <c r="J336">
        <v>16</v>
      </c>
      <c r="K336">
        <f t="shared" si="22"/>
        <v>6.9565217391304346</v>
      </c>
      <c r="L336" t="s">
        <v>1739</v>
      </c>
      <c r="M336" t="s">
        <v>3594</v>
      </c>
      <c r="N336" t="s">
        <v>1</v>
      </c>
      <c r="O336">
        <v>474020</v>
      </c>
      <c r="P336" t="s">
        <v>546</v>
      </c>
      <c r="Q336" t="s">
        <v>1773</v>
      </c>
      <c r="S336">
        <v>4.7519999999999998</v>
      </c>
      <c r="T336">
        <v>1</v>
      </c>
      <c r="U336">
        <v>0.2</v>
      </c>
      <c r="V336">
        <v>1.6037999999999999</v>
      </c>
      <c r="W336">
        <f t="shared" si="23"/>
        <v>3.1482000000000001</v>
      </c>
      <c r="X336">
        <v>3</v>
      </c>
    </row>
    <row r="337" spans="1:24" x14ac:dyDescent="0.3">
      <c r="A337">
        <v>336</v>
      </c>
      <c r="B337" t="s">
        <v>2111</v>
      </c>
      <c r="C337" s="6">
        <v>44532</v>
      </c>
      <c r="D337" t="str">
        <f t="shared" si="20"/>
        <v>Dec</v>
      </c>
      <c r="E337" t="str">
        <f t="shared" si="21"/>
        <v>2021</v>
      </c>
      <c r="F337" t="s">
        <v>3</v>
      </c>
      <c r="G337" t="s">
        <v>147</v>
      </c>
      <c r="H337" t="s">
        <v>853</v>
      </c>
      <c r="I337">
        <v>150</v>
      </c>
      <c r="J337">
        <v>24</v>
      </c>
      <c r="K337">
        <f t="shared" si="22"/>
        <v>16</v>
      </c>
      <c r="L337" t="s">
        <v>1741</v>
      </c>
      <c r="M337" t="s">
        <v>3796</v>
      </c>
      <c r="N337" t="s">
        <v>1</v>
      </c>
      <c r="O337">
        <v>474020</v>
      </c>
      <c r="P337" t="s">
        <v>546</v>
      </c>
      <c r="Q337" t="s">
        <v>1769</v>
      </c>
      <c r="R337" t="s">
        <v>2</v>
      </c>
      <c r="S337">
        <v>959.98400000000004</v>
      </c>
      <c r="T337">
        <v>2</v>
      </c>
      <c r="U337">
        <v>0.2</v>
      </c>
      <c r="V337">
        <v>335.99439999999998</v>
      </c>
      <c r="W337">
        <f t="shared" si="23"/>
        <v>311.99480000000005</v>
      </c>
      <c r="X337">
        <v>1</v>
      </c>
    </row>
    <row r="338" spans="1:24" x14ac:dyDescent="0.3">
      <c r="A338">
        <v>337</v>
      </c>
      <c r="B338" t="s">
        <v>2112</v>
      </c>
      <c r="C338" s="6">
        <v>44533</v>
      </c>
      <c r="D338" t="str">
        <f t="shared" si="20"/>
        <v>Dec</v>
      </c>
      <c r="E338" t="str">
        <f t="shared" si="21"/>
        <v>2021</v>
      </c>
      <c r="F338" t="s">
        <v>3</v>
      </c>
      <c r="G338" t="s">
        <v>147</v>
      </c>
      <c r="H338" t="s">
        <v>854</v>
      </c>
      <c r="I338">
        <v>210</v>
      </c>
      <c r="J338">
        <v>20</v>
      </c>
      <c r="K338">
        <f t="shared" si="22"/>
        <v>9.5238095238095237</v>
      </c>
      <c r="L338" t="s">
        <v>1736</v>
      </c>
      <c r="M338" t="s">
        <v>3797</v>
      </c>
      <c r="N338" t="s">
        <v>1</v>
      </c>
      <c r="O338">
        <v>411041</v>
      </c>
      <c r="P338" t="s">
        <v>546</v>
      </c>
      <c r="Q338" t="s">
        <v>1759</v>
      </c>
      <c r="R338" t="s">
        <v>2</v>
      </c>
      <c r="S338">
        <v>14.368</v>
      </c>
      <c r="T338">
        <v>4</v>
      </c>
      <c r="U338">
        <v>0.2</v>
      </c>
      <c r="V338">
        <v>4.49</v>
      </c>
      <c r="W338">
        <f t="shared" si="23"/>
        <v>2.4695</v>
      </c>
      <c r="X338">
        <v>5</v>
      </c>
    </row>
    <row r="339" spans="1:24" x14ac:dyDescent="0.3">
      <c r="A339">
        <v>338</v>
      </c>
      <c r="B339" t="s">
        <v>2113</v>
      </c>
      <c r="C339" s="6">
        <v>44534</v>
      </c>
      <c r="D339" t="str">
        <f t="shared" si="20"/>
        <v>Dec</v>
      </c>
      <c r="E339" t="str">
        <f t="shared" si="21"/>
        <v>2021</v>
      </c>
      <c r="F339" t="s">
        <v>4</v>
      </c>
      <c r="G339" t="s">
        <v>148</v>
      </c>
      <c r="H339" t="s">
        <v>855</v>
      </c>
      <c r="I339">
        <v>100</v>
      </c>
      <c r="J339">
        <v>6</v>
      </c>
      <c r="K339">
        <f t="shared" si="22"/>
        <v>6</v>
      </c>
      <c r="L339" t="s">
        <v>1744</v>
      </c>
      <c r="M339" t="s">
        <v>3798</v>
      </c>
      <c r="N339" t="s">
        <v>1</v>
      </c>
      <c r="O339">
        <v>410210</v>
      </c>
      <c r="P339" t="s">
        <v>546</v>
      </c>
      <c r="Q339" t="s">
        <v>1770</v>
      </c>
      <c r="S339">
        <v>7.7119999999999997</v>
      </c>
      <c r="T339">
        <v>2</v>
      </c>
      <c r="U339">
        <v>0.2</v>
      </c>
      <c r="V339">
        <v>2.7955999999999999</v>
      </c>
      <c r="W339">
        <f t="shared" si="23"/>
        <v>2.4581999999999997</v>
      </c>
      <c r="X339">
        <v>5</v>
      </c>
    </row>
    <row r="340" spans="1:24" x14ac:dyDescent="0.3">
      <c r="A340">
        <v>339</v>
      </c>
      <c r="B340" t="s">
        <v>2114</v>
      </c>
      <c r="C340" s="6">
        <v>44535</v>
      </c>
      <c r="D340" t="str">
        <f t="shared" si="20"/>
        <v>Dec</v>
      </c>
      <c r="E340" t="str">
        <f t="shared" si="21"/>
        <v>2021</v>
      </c>
      <c r="F340" t="s">
        <v>4</v>
      </c>
      <c r="G340" t="s">
        <v>148</v>
      </c>
      <c r="H340" t="s">
        <v>856</v>
      </c>
      <c r="I340">
        <v>160</v>
      </c>
      <c r="J340">
        <v>8</v>
      </c>
      <c r="K340">
        <f t="shared" si="22"/>
        <v>5</v>
      </c>
      <c r="L340" t="s">
        <v>1740</v>
      </c>
      <c r="M340" t="s">
        <v>3799</v>
      </c>
      <c r="N340" t="s">
        <v>1</v>
      </c>
      <c r="O340">
        <v>600059</v>
      </c>
      <c r="P340" t="s">
        <v>546</v>
      </c>
      <c r="Q340" t="s">
        <v>1776</v>
      </c>
      <c r="R340" t="s">
        <v>2</v>
      </c>
      <c r="S340">
        <v>698.35199999999998</v>
      </c>
      <c r="T340">
        <v>3</v>
      </c>
      <c r="U340">
        <v>0.2</v>
      </c>
      <c r="V340">
        <v>-17.4588</v>
      </c>
      <c r="W340">
        <f t="shared" si="23"/>
        <v>238.6036</v>
      </c>
      <c r="X340">
        <v>3</v>
      </c>
    </row>
    <row r="341" spans="1:24" x14ac:dyDescent="0.3">
      <c r="A341">
        <v>340</v>
      </c>
      <c r="B341" t="s">
        <v>2115</v>
      </c>
      <c r="C341" s="6">
        <v>44536</v>
      </c>
      <c r="D341" t="str">
        <f t="shared" si="20"/>
        <v>Dec</v>
      </c>
      <c r="E341" t="str">
        <f t="shared" si="21"/>
        <v>2021</v>
      </c>
      <c r="F341" t="s">
        <v>3</v>
      </c>
      <c r="G341" t="s">
        <v>114</v>
      </c>
      <c r="H341" t="s">
        <v>857</v>
      </c>
      <c r="I341">
        <v>130</v>
      </c>
      <c r="J341">
        <v>12</v>
      </c>
      <c r="K341">
        <f t="shared" si="22"/>
        <v>9.2307692307692317</v>
      </c>
      <c r="L341" t="s">
        <v>1742</v>
      </c>
      <c r="M341" t="s">
        <v>3800</v>
      </c>
      <c r="N341" t="s">
        <v>1</v>
      </c>
      <c r="O341">
        <v>670571</v>
      </c>
      <c r="P341" t="s">
        <v>546</v>
      </c>
      <c r="Q341" t="s">
        <v>1763</v>
      </c>
      <c r="R341" t="s">
        <v>2</v>
      </c>
      <c r="S341">
        <v>4.96</v>
      </c>
      <c r="T341">
        <v>4</v>
      </c>
      <c r="U341">
        <v>0</v>
      </c>
      <c r="V341">
        <v>2.3311999999999999</v>
      </c>
      <c r="W341">
        <f t="shared" si="23"/>
        <v>0.65720000000000001</v>
      </c>
      <c r="X341">
        <v>1</v>
      </c>
    </row>
    <row r="342" spans="1:24" x14ac:dyDescent="0.3">
      <c r="A342">
        <v>341</v>
      </c>
      <c r="B342" t="s">
        <v>2116</v>
      </c>
      <c r="C342" s="6">
        <v>44537</v>
      </c>
      <c r="D342" t="str">
        <f t="shared" si="20"/>
        <v>Dec</v>
      </c>
      <c r="E342" t="str">
        <f t="shared" si="21"/>
        <v>2021</v>
      </c>
      <c r="F342" t="s">
        <v>3</v>
      </c>
      <c r="G342" t="s">
        <v>70</v>
      </c>
      <c r="H342" t="s">
        <v>858</v>
      </c>
      <c r="I342">
        <v>230</v>
      </c>
      <c r="J342">
        <v>14</v>
      </c>
      <c r="K342">
        <f t="shared" si="22"/>
        <v>6.0869565217391308</v>
      </c>
      <c r="L342" t="s">
        <v>1739</v>
      </c>
      <c r="M342" t="s">
        <v>3623</v>
      </c>
      <c r="N342" t="s">
        <v>1</v>
      </c>
      <c r="O342">
        <v>502319</v>
      </c>
      <c r="P342" t="s">
        <v>546</v>
      </c>
      <c r="Q342" t="s">
        <v>1761</v>
      </c>
      <c r="S342">
        <v>17.856000000000002</v>
      </c>
      <c r="T342">
        <v>4</v>
      </c>
      <c r="U342">
        <v>0.2</v>
      </c>
      <c r="V342">
        <v>1.1160000000000001</v>
      </c>
      <c r="W342">
        <f t="shared" si="23"/>
        <v>4.1850000000000005</v>
      </c>
      <c r="X342">
        <v>2</v>
      </c>
    </row>
    <row r="343" spans="1:24" x14ac:dyDescent="0.3">
      <c r="A343">
        <v>342</v>
      </c>
      <c r="B343" t="s">
        <v>2117</v>
      </c>
      <c r="C343" s="6">
        <v>44538</v>
      </c>
      <c r="D343" t="str">
        <f t="shared" si="20"/>
        <v>Dec</v>
      </c>
      <c r="E343" t="str">
        <f t="shared" si="21"/>
        <v>2021</v>
      </c>
      <c r="F343" t="s">
        <v>3</v>
      </c>
      <c r="G343" t="s">
        <v>70</v>
      </c>
      <c r="H343" t="s">
        <v>560</v>
      </c>
      <c r="I343">
        <v>150</v>
      </c>
      <c r="J343">
        <v>24</v>
      </c>
      <c r="K343">
        <f t="shared" si="22"/>
        <v>16</v>
      </c>
      <c r="L343" t="s">
        <v>1738</v>
      </c>
      <c r="M343" t="s">
        <v>3801</v>
      </c>
      <c r="N343" t="s">
        <v>1</v>
      </c>
      <c r="O343">
        <v>700102</v>
      </c>
      <c r="P343" t="s">
        <v>546</v>
      </c>
      <c r="Q343" t="s">
        <v>1763</v>
      </c>
      <c r="S343">
        <v>509.97</v>
      </c>
      <c r="T343">
        <v>10</v>
      </c>
      <c r="U343">
        <v>0.7</v>
      </c>
      <c r="V343">
        <v>-407.976</v>
      </c>
      <c r="W343">
        <f t="shared" si="23"/>
        <v>91.794600000000003</v>
      </c>
      <c r="X343">
        <v>2</v>
      </c>
    </row>
    <row r="344" spans="1:24" x14ac:dyDescent="0.3">
      <c r="A344">
        <v>343</v>
      </c>
      <c r="B344" t="s">
        <v>2118</v>
      </c>
      <c r="C344" s="6">
        <v>44539</v>
      </c>
      <c r="D344" t="str">
        <f t="shared" si="20"/>
        <v>Dec</v>
      </c>
      <c r="E344" t="str">
        <f t="shared" si="21"/>
        <v>2021</v>
      </c>
      <c r="F344" t="s">
        <v>3</v>
      </c>
      <c r="G344" t="s">
        <v>70</v>
      </c>
      <c r="H344" t="s">
        <v>674</v>
      </c>
      <c r="I344">
        <v>150</v>
      </c>
      <c r="J344">
        <v>10</v>
      </c>
      <c r="K344">
        <f t="shared" si="22"/>
        <v>6.666666666666667</v>
      </c>
      <c r="L344" t="s">
        <v>1737</v>
      </c>
      <c r="M344" t="s">
        <v>3802</v>
      </c>
      <c r="N344" t="s">
        <v>1</v>
      </c>
      <c r="O344">
        <v>560084</v>
      </c>
      <c r="P344" t="s">
        <v>546</v>
      </c>
      <c r="Q344" t="s">
        <v>1756</v>
      </c>
      <c r="S344">
        <v>30.992000000000001</v>
      </c>
      <c r="T344">
        <v>13</v>
      </c>
      <c r="U344">
        <v>0.2</v>
      </c>
      <c r="V344">
        <v>10.0724</v>
      </c>
      <c r="W344">
        <f t="shared" si="23"/>
        <v>1.6092000000000002</v>
      </c>
      <c r="X344">
        <v>5</v>
      </c>
    </row>
    <row r="345" spans="1:24" x14ac:dyDescent="0.3">
      <c r="A345">
        <v>344</v>
      </c>
      <c r="B345" t="s">
        <v>2119</v>
      </c>
      <c r="C345" s="6">
        <v>44540</v>
      </c>
      <c r="D345" t="str">
        <f t="shared" si="20"/>
        <v>Dec</v>
      </c>
      <c r="E345" t="str">
        <f t="shared" si="21"/>
        <v>2021</v>
      </c>
      <c r="F345" t="s">
        <v>3</v>
      </c>
      <c r="G345" t="s">
        <v>70</v>
      </c>
      <c r="H345" t="s">
        <v>859</v>
      </c>
      <c r="I345">
        <v>170</v>
      </c>
      <c r="J345">
        <v>8</v>
      </c>
      <c r="K345">
        <f t="shared" si="22"/>
        <v>4.7058823529411766</v>
      </c>
      <c r="L345" t="s">
        <v>1743</v>
      </c>
      <c r="M345" t="s">
        <v>3803</v>
      </c>
      <c r="N345" t="s">
        <v>1</v>
      </c>
      <c r="O345">
        <v>400095</v>
      </c>
      <c r="P345" t="s">
        <v>546</v>
      </c>
      <c r="Q345" t="s">
        <v>1759</v>
      </c>
      <c r="S345">
        <v>71.927999999999997</v>
      </c>
      <c r="T345">
        <v>12</v>
      </c>
      <c r="U345">
        <v>0.4</v>
      </c>
      <c r="V345">
        <v>8.3916000000000004</v>
      </c>
      <c r="W345">
        <f t="shared" si="23"/>
        <v>5.2946999999999997</v>
      </c>
      <c r="X345">
        <v>1</v>
      </c>
    </row>
    <row r="346" spans="1:24" x14ac:dyDescent="0.3">
      <c r="A346">
        <v>345</v>
      </c>
      <c r="B346" t="s">
        <v>2120</v>
      </c>
      <c r="C346" s="6">
        <v>44541</v>
      </c>
      <c r="D346" t="str">
        <f t="shared" si="20"/>
        <v>Dec</v>
      </c>
      <c r="E346" t="str">
        <f t="shared" si="21"/>
        <v>2021</v>
      </c>
      <c r="F346" t="s">
        <v>4</v>
      </c>
      <c r="G346" t="s">
        <v>86</v>
      </c>
      <c r="H346" t="s">
        <v>564</v>
      </c>
      <c r="I346">
        <v>100</v>
      </c>
      <c r="J346">
        <v>24</v>
      </c>
      <c r="K346">
        <f t="shared" si="22"/>
        <v>24</v>
      </c>
      <c r="L346" t="s">
        <v>1738</v>
      </c>
      <c r="M346" t="s">
        <v>3804</v>
      </c>
      <c r="N346" t="s">
        <v>1</v>
      </c>
      <c r="O346">
        <v>827012</v>
      </c>
      <c r="P346" t="s">
        <v>546</v>
      </c>
      <c r="Q346" t="s">
        <v>1775</v>
      </c>
      <c r="S346">
        <v>88.8</v>
      </c>
      <c r="T346">
        <v>4</v>
      </c>
      <c r="U346">
        <v>0.2</v>
      </c>
      <c r="V346">
        <v>-2.2200000000000002</v>
      </c>
      <c r="W346">
        <f t="shared" si="23"/>
        <v>22.754999999999999</v>
      </c>
      <c r="X346">
        <v>4</v>
      </c>
    </row>
    <row r="347" spans="1:24" x14ac:dyDescent="0.3">
      <c r="A347">
        <v>346</v>
      </c>
      <c r="B347" t="s">
        <v>2121</v>
      </c>
      <c r="C347" s="6">
        <v>44542</v>
      </c>
      <c r="D347" t="str">
        <f t="shared" si="20"/>
        <v>Dec</v>
      </c>
      <c r="E347" t="str">
        <f t="shared" si="21"/>
        <v>2021</v>
      </c>
      <c r="F347" t="s">
        <v>4</v>
      </c>
      <c r="G347" t="s">
        <v>149</v>
      </c>
      <c r="H347" t="s">
        <v>672</v>
      </c>
      <c r="I347">
        <v>170</v>
      </c>
      <c r="J347">
        <v>22</v>
      </c>
      <c r="K347">
        <f t="shared" si="22"/>
        <v>12.941176470588237</v>
      </c>
      <c r="L347" t="s">
        <v>1739</v>
      </c>
      <c r="M347" t="s">
        <v>3600</v>
      </c>
      <c r="N347" t="s">
        <v>1</v>
      </c>
      <c r="O347">
        <v>392020</v>
      </c>
      <c r="P347" t="s">
        <v>546</v>
      </c>
      <c r="Q347" t="s">
        <v>1768</v>
      </c>
      <c r="R347" t="s">
        <v>2</v>
      </c>
      <c r="S347">
        <v>47.975999999999999</v>
      </c>
      <c r="T347">
        <v>3</v>
      </c>
      <c r="U347">
        <v>0.2</v>
      </c>
      <c r="V347">
        <v>4.7976000000000001</v>
      </c>
      <c r="W347">
        <f t="shared" si="23"/>
        <v>14.392799999999999</v>
      </c>
      <c r="X347">
        <v>2</v>
      </c>
    </row>
    <row r="348" spans="1:24" x14ac:dyDescent="0.3">
      <c r="A348">
        <v>347</v>
      </c>
      <c r="B348" t="s">
        <v>2122</v>
      </c>
      <c r="C348" s="6">
        <v>44543</v>
      </c>
      <c r="D348" t="str">
        <f t="shared" si="20"/>
        <v>Dec</v>
      </c>
      <c r="E348" t="str">
        <f t="shared" si="21"/>
        <v>2021</v>
      </c>
      <c r="F348" t="s">
        <v>4</v>
      </c>
      <c r="G348" t="s">
        <v>150</v>
      </c>
      <c r="H348" t="s">
        <v>730</v>
      </c>
      <c r="I348">
        <v>180</v>
      </c>
      <c r="J348">
        <v>22</v>
      </c>
      <c r="K348">
        <f t="shared" si="22"/>
        <v>12.222222222222221</v>
      </c>
      <c r="L348" t="s">
        <v>1741</v>
      </c>
      <c r="M348" t="s">
        <v>3805</v>
      </c>
      <c r="N348" t="s">
        <v>1</v>
      </c>
      <c r="O348">
        <v>392020</v>
      </c>
      <c r="P348" t="s">
        <v>546</v>
      </c>
      <c r="Q348" t="s">
        <v>1775</v>
      </c>
      <c r="S348">
        <v>7.56</v>
      </c>
      <c r="T348">
        <v>3</v>
      </c>
      <c r="U348">
        <v>0</v>
      </c>
      <c r="V348">
        <v>3.0996000000000001</v>
      </c>
      <c r="W348">
        <f t="shared" si="23"/>
        <v>1.4867999999999999</v>
      </c>
      <c r="X348">
        <v>3</v>
      </c>
    </row>
    <row r="349" spans="1:24" x14ac:dyDescent="0.3">
      <c r="A349">
        <v>348</v>
      </c>
      <c r="B349" t="s">
        <v>2123</v>
      </c>
      <c r="C349" s="6">
        <v>44544</v>
      </c>
      <c r="D349" t="str">
        <f t="shared" si="20"/>
        <v>Dec</v>
      </c>
      <c r="E349" t="str">
        <f t="shared" si="21"/>
        <v>2021</v>
      </c>
      <c r="F349" t="s">
        <v>4</v>
      </c>
      <c r="G349" t="s">
        <v>150</v>
      </c>
      <c r="H349" t="s">
        <v>580</v>
      </c>
      <c r="I349">
        <v>160</v>
      </c>
      <c r="J349">
        <v>8</v>
      </c>
      <c r="K349">
        <f t="shared" si="22"/>
        <v>5</v>
      </c>
      <c r="L349" t="s">
        <v>1736</v>
      </c>
      <c r="M349" t="s">
        <v>3644</v>
      </c>
      <c r="N349" t="s">
        <v>1</v>
      </c>
      <c r="O349">
        <v>392020</v>
      </c>
      <c r="P349" t="s">
        <v>546</v>
      </c>
      <c r="Q349" t="s">
        <v>1765</v>
      </c>
      <c r="S349">
        <v>24.56</v>
      </c>
      <c r="T349">
        <v>2</v>
      </c>
      <c r="U349">
        <v>0</v>
      </c>
      <c r="V349">
        <v>11.543200000000001</v>
      </c>
      <c r="W349">
        <f t="shared" si="23"/>
        <v>6.5083999999999991</v>
      </c>
      <c r="X349">
        <v>1</v>
      </c>
    </row>
    <row r="350" spans="1:24" x14ac:dyDescent="0.3">
      <c r="A350">
        <v>349</v>
      </c>
      <c r="B350" t="s">
        <v>2124</v>
      </c>
      <c r="C350" s="6">
        <v>44545</v>
      </c>
      <c r="D350" t="str">
        <f t="shared" si="20"/>
        <v>Dec</v>
      </c>
      <c r="E350" t="str">
        <f t="shared" si="21"/>
        <v>2021</v>
      </c>
      <c r="F350" t="s">
        <v>4</v>
      </c>
      <c r="G350" t="s">
        <v>150</v>
      </c>
      <c r="H350" t="s">
        <v>860</v>
      </c>
      <c r="I350">
        <v>240</v>
      </c>
      <c r="J350">
        <v>14</v>
      </c>
      <c r="K350">
        <f t="shared" si="22"/>
        <v>5.833333333333333</v>
      </c>
      <c r="L350" t="s">
        <v>1744</v>
      </c>
      <c r="M350" t="s">
        <v>3806</v>
      </c>
      <c r="N350" t="s">
        <v>1</v>
      </c>
      <c r="O350">
        <v>507002</v>
      </c>
      <c r="P350" t="s">
        <v>546</v>
      </c>
      <c r="Q350" t="s">
        <v>1767</v>
      </c>
      <c r="S350">
        <v>12.96</v>
      </c>
      <c r="T350">
        <v>2</v>
      </c>
      <c r="U350">
        <v>0</v>
      </c>
      <c r="V350">
        <v>4.1471999999999998</v>
      </c>
      <c r="W350">
        <f t="shared" si="23"/>
        <v>4.4064000000000005</v>
      </c>
      <c r="X350">
        <v>4</v>
      </c>
    </row>
    <row r="351" spans="1:24" x14ac:dyDescent="0.3">
      <c r="A351">
        <v>350</v>
      </c>
      <c r="B351" t="s">
        <v>2125</v>
      </c>
      <c r="C351" s="6">
        <v>44546</v>
      </c>
      <c r="D351" t="str">
        <f t="shared" si="20"/>
        <v>Dec</v>
      </c>
      <c r="E351" t="str">
        <f t="shared" si="21"/>
        <v>2021</v>
      </c>
      <c r="F351" t="s">
        <v>5</v>
      </c>
      <c r="G351" t="s">
        <v>151</v>
      </c>
      <c r="H351" t="s">
        <v>781</v>
      </c>
      <c r="I351">
        <v>200</v>
      </c>
      <c r="J351">
        <v>16</v>
      </c>
      <c r="K351">
        <f t="shared" si="22"/>
        <v>8</v>
      </c>
      <c r="L351" t="s">
        <v>1740</v>
      </c>
      <c r="M351" t="s">
        <v>3586</v>
      </c>
      <c r="N351" t="s">
        <v>1</v>
      </c>
      <c r="O351">
        <v>575003</v>
      </c>
      <c r="P351" t="s">
        <v>546</v>
      </c>
      <c r="Q351" t="s">
        <v>1761</v>
      </c>
      <c r="S351">
        <v>6.79</v>
      </c>
      <c r="T351">
        <v>1</v>
      </c>
      <c r="U351">
        <v>0</v>
      </c>
      <c r="V351">
        <v>2.3086000000000002</v>
      </c>
      <c r="W351">
        <f t="shared" si="23"/>
        <v>4.4813999999999998</v>
      </c>
      <c r="X351">
        <v>2</v>
      </c>
    </row>
    <row r="352" spans="1:24" x14ac:dyDescent="0.3">
      <c r="A352">
        <v>351</v>
      </c>
      <c r="B352" t="s">
        <v>2126</v>
      </c>
      <c r="C352" s="6">
        <v>44547</v>
      </c>
      <c r="D352" t="str">
        <f t="shared" si="20"/>
        <v>Dec</v>
      </c>
      <c r="E352" t="str">
        <f t="shared" si="21"/>
        <v>2021</v>
      </c>
      <c r="F352" t="s">
        <v>5</v>
      </c>
      <c r="G352" t="s">
        <v>151</v>
      </c>
      <c r="H352" t="s">
        <v>861</v>
      </c>
      <c r="I352">
        <v>150</v>
      </c>
      <c r="J352">
        <v>8</v>
      </c>
      <c r="K352">
        <f t="shared" si="22"/>
        <v>5.3333333333333339</v>
      </c>
      <c r="L352" t="s">
        <v>1742</v>
      </c>
      <c r="M352" t="s">
        <v>3676</v>
      </c>
      <c r="N352" t="s">
        <v>1</v>
      </c>
      <c r="O352">
        <v>500083</v>
      </c>
      <c r="P352" t="s">
        <v>546</v>
      </c>
      <c r="Q352" t="s">
        <v>1776</v>
      </c>
      <c r="S352">
        <v>24.56</v>
      </c>
      <c r="T352">
        <v>2</v>
      </c>
      <c r="U352">
        <v>0</v>
      </c>
      <c r="V352">
        <v>11.543200000000001</v>
      </c>
      <c r="W352">
        <f t="shared" si="23"/>
        <v>6.5083999999999991</v>
      </c>
      <c r="X352">
        <v>2</v>
      </c>
    </row>
    <row r="353" spans="1:24" x14ac:dyDescent="0.3">
      <c r="A353">
        <v>352</v>
      </c>
      <c r="B353" t="s">
        <v>2127</v>
      </c>
      <c r="C353" s="6">
        <v>44548</v>
      </c>
      <c r="D353" t="str">
        <f t="shared" si="20"/>
        <v>Dec</v>
      </c>
      <c r="E353" t="str">
        <f t="shared" si="21"/>
        <v>2021</v>
      </c>
      <c r="F353" t="s">
        <v>5</v>
      </c>
      <c r="G353" t="s">
        <v>151</v>
      </c>
      <c r="H353" t="s">
        <v>862</v>
      </c>
      <c r="I353">
        <v>140</v>
      </c>
      <c r="J353">
        <v>24</v>
      </c>
      <c r="K353">
        <f t="shared" si="22"/>
        <v>17.142857142857142</v>
      </c>
      <c r="L353" t="s">
        <v>1739</v>
      </c>
      <c r="M353" t="s">
        <v>3747</v>
      </c>
      <c r="N353" t="s">
        <v>1</v>
      </c>
      <c r="O353">
        <v>560036</v>
      </c>
      <c r="P353" t="s">
        <v>546</v>
      </c>
      <c r="Q353" t="s">
        <v>1768</v>
      </c>
      <c r="S353">
        <v>3.048</v>
      </c>
      <c r="T353">
        <v>1</v>
      </c>
      <c r="U353">
        <v>0.2</v>
      </c>
      <c r="V353">
        <v>1.0668</v>
      </c>
      <c r="W353">
        <f t="shared" si="23"/>
        <v>1.9812000000000001</v>
      </c>
      <c r="X353">
        <v>3</v>
      </c>
    </row>
    <row r="354" spans="1:24" x14ac:dyDescent="0.3">
      <c r="A354">
        <v>353</v>
      </c>
      <c r="B354" t="s">
        <v>2128</v>
      </c>
      <c r="C354" s="6">
        <v>44549</v>
      </c>
      <c r="D354" t="str">
        <f t="shared" si="20"/>
        <v>Dec</v>
      </c>
      <c r="E354" t="str">
        <f t="shared" si="21"/>
        <v>2021</v>
      </c>
      <c r="F354" t="s">
        <v>5</v>
      </c>
      <c r="G354" t="s">
        <v>151</v>
      </c>
      <c r="H354" t="s">
        <v>861</v>
      </c>
      <c r="I354">
        <v>170</v>
      </c>
      <c r="J354">
        <v>30</v>
      </c>
      <c r="K354">
        <f t="shared" si="22"/>
        <v>17.647058823529413</v>
      </c>
      <c r="L354" t="s">
        <v>1738</v>
      </c>
      <c r="M354" t="s">
        <v>3807</v>
      </c>
      <c r="N354" t="s">
        <v>1</v>
      </c>
      <c r="O354">
        <v>122001</v>
      </c>
      <c r="P354" t="s">
        <v>546</v>
      </c>
      <c r="Q354" t="s">
        <v>1766</v>
      </c>
      <c r="S354">
        <v>49.12</v>
      </c>
      <c r="T354">
        <v>4</v>
      </c>
      <c r="U354">
        <v>0</v>
      </c>
      <c r="V354">
        <v>23.086400000000001</v>
      </c>
      <c r="W354">
        <f t="shared" si="23"/>
        <v>6.5083999999999991</v>
      </c>
      <c r="X354">
        <v>4</v>
      </c>
    </row>
    <row r="355" spans="1:24" x14ac:dyDescent="0.3">
      <c r="A355">
        <v>354</v>
      </c>
      <c r="B355" t="s">
        <v>2129</v>
      </c>
      <c r="C355" s="6">
        <v>44550</v>
      </c>
      <c r="D355" t="str">
        <f t="shared" si="20"/>
        <v>Dec</v>
      </c>
      <c r="E355" t="str">
        <f t="shared" si="21"/>
        <v>2021</v>
      </c>
      <c r="F355" t="s">
        <v>5</v>
      </c>
      <c r="G355" t="s">
        <v>151</v>
      </c>
      <c r="H355" t="s">
        <v>863</v>
      </c>
      <c r="I355">
        <v>150</v>
      </c>
      <c r="J355">
        <v>16</v>
      </c>
      <c r="K355">
        <f t="shared" si="22"/>
        <v>10.666666666666668</v>
      </c>
      <c r="L355" t="s">
        <v>1737</v>
      </c>
      <c r="M355" t="s">
        <v>3808</v>
      </c>
      <c r="N355" t="s">
        <v>1</v>
      </c>
      <c r="O355">
        <v>638052</v>
      </c>
      <c r="P355" t="s">
        <v>546</v>
      </c>
      <c r="Q355" t="s">
        <v>1771</v>
      </c>
      <c r="S355">
        <v>4355.1679999999997</v>
      </c>
      <c r="T355">
        <v>4</v>
      </c>
      <c r="U355">
        <v>0.2</v>
      </c>
      <c r="V355">
        <v>1415.4295999999999</v>
      </c>
      <c r="W355">
        <f t="shared" si="23"/>
        <v>734.93459999999993</v>
      </c>
      <c r="X355">
        <v>2</v>
      </c>
    </row>
    <row r="356" spans="1:24" x14ac:dyDescent="0.3">
      <c r="A356">
        <v>355</v>
      </c>
      <c r="B356" t="s">
        <v>2130</v>
      </c>
      <c r="C356" s="6">
        <v>44551</v>
      </c>
      <c r="D356" t="str">
        <f t="shared" si="20"/>
        <v>Dec</v>
      </c>
      <c r="E356" t="str">
        <f t="shared" si="21"/>
        <v>2021</v>
      </c>
      <c r="F356" t="s">
        <v>4</v>
      </c>
      <c r="G356" t="s">
        <v>152</v>
      </c>
      <c r="H356" t="s">
        <v>864</v>
      </c>
      <c r="I356">
        <v>160</v>
      </c>
      <c r="J356">
        <v>28</v>
      </c>
      <c r="K356">
        <f t="shared" si="22"/>
        <v>17.5</v>
      </c>
      <c r="L356" t="s">
        <v>1743</v>
      </c>
      <c r="M356" t="s">
        <v>3809</v>
      </c>
      <c r="N356" t="s">
        <v>1</v>
      </c>
      <c r="O356">
        <v>700084</v>
      </c>
      <c r="P356" t="s">
        <v>546</v>
      </c>
      <c r="Q356" t="s">
        <v>1768</v>
      </c>
      <c r="S356">
        <v>388.70400000000001</v>
      </c>
      <c r="T356">
        <v>6</v>
      </c>
      <c r="U356">
        <v>0.2</v>
      </c>
      <c r="V356">
        <v>-4.8587999999999996</v>
      </c>
      <c r="W356">
        <f t="shared" si="23"/>
        <v>65.593800000000002</v>
      </c>
      <c r="X356">
        <v>2</v>
      </c>
    </row>
    <row r="357" spans="1:24" x14ac:dyDescent="0.3">
      <c r="A357">
        <v>356</v>
      </c>
      <c r="B357" t="s">
        <v>2131</v>
      </c>
      <c r="C357" s="6">
        <v>44552</v>
      </c>
      <c r="D357" t="str">
        <f t="shared" si="20"/>
        <v>Dec</v>
      </c>
      <c r="E357" t="str">
        <f t="shared" si="21"/>
        <v>2021</v>
      </c>
      <c r="F357" t="s">
        <v>4</v>
      </c>
      <c r="G357" t="s">
        <v>152</v>
      </c>
      <c r="H357" t="s">
        <v>865</v>
      </c>
      <c r="I357">
        <v>140</v>
      </c>
      <c r="J357">
        <v>30</v>
      </c>
      <c r="K357">
        <f t="shared" si="22"/>
        <v>21.428571428571427</v>
      </c>
      <c r="L357" t="s">
        <v>1738</v>
      </c>
      <c r="M357" t="s">
        <v>3681</v>
      </c>
      <c r="N357" t="s">
        <v>1</v>
      </c>
      <c r="O357">
        <v>411038</v>
      </c>
      <c r="P357" t="s">
        <v>546</v>
      </c>
      <c r="Q357" t="s">
        <v>1762</v>
      </c>
      <c r="S357">
        <v>8.26</v>
      </c>
      <c r="T357">
        <v>2</v>
      </c>
      <c r="U357">
        <v>0</v>
      </c>
      <c r="V357">
        <v>3.7995999999999999</v>
      </c>
      <c r="W357">
        <f t="shared" si="23"/>
        <v>2.2302</v>
      </c>
      <c r="X357">
        <v>2</v>
      </c>
    </row>
    <row r="358" spans="1:24" x14ac:dyDescent="0.3">
      <c r="A358">
        <v>357</v>
      </c>
      <c r="B358" t="s">
        <v>2132</v>
      </c>
      <c r="C358" s="6">
        <v>44553</v>
      </c>
      <c r="D358" t="str">
        <f t="shared" si="20"/>
        <v>Dec</v>
      </c>
      <c r="E358" t="str">
        <f t="shared" si="21"/>
        <v>2021</v>
      </c>
      <c r="F358" t="s">
        <v>4</v>
      </c>
      <c r="G358" t="s">
        <v>152</v>
      </c>
      <c r="H358" t="s">
        <v>866</v>
      </c>
      <c r="I358">
        <v>240</v>
      </c>
      <c r="J358">
        <v>26</v>
      </c>
      <c r="K358">
        <f t="shared" si="22"/>
        <v>10.833333333333334</v>
      </c>
      <c r="L358" t="s">
        <v>1739</v>
      </c>
      <c r="M358" t="s">
        <v>3682</v>
      </c>
      <c r="N358" t="s">
        <v>1</v>
      </c>
      <c r="O358">
        <v>603209</v>
      </c>
      <c r="P358" t="s">
        <v>546</v>
      </c>
      <c r="Q358" t="s">
        <v>1765</v>
      </c>
      <c r="R358" t="s">
        <v>2</v>
      </c>
      <c r="S358">
        <v>17.04</v>
      </c>
      <c r="T358">
        <v>4</v>
      </c>
      <c r="U358">
        <v>0</v>
      </c>
      <c r="V358">
        <v>6.9863999999999997</v>
      </c>
      <c r="W358">
        <f t="shared" si="23"/>
        <v>2.5133999999999999</v>
      </c>
      <c r="X358">
        <v>4</v>
      </c>
    </row>
    <row r="359" spans="1:24" x14ac:dyDescent="0.3">
      <c r="A359">
        <v>358</v>
      </c>
      <c r="B359" t="s">
        <v>2133</v>
      </c>
      <c r="C359" s="6">
        <v>44554</v>
      </c>
      <c r="D359" t="str">
        <f t="shared" si="20"/>
        <v>Dec</v>
      </c>
      <c r="E359" t="str">
        <f t="shared" si="21"/>
        <v>2021</v>
      </c>
      <c r="F359" t="s">
        <v>4</v>
      </c>
      <c r="G359" t="s">
        <v>152</v>
      </c>
      <c r="H359" t="s">
        <v>867</v>
      </c>
      <c r="I359">
        <v>230</v>
      </c>
      <c r="J359">
        <v>10</v>
      </c>
      <c r="K359">
        <f t="shared" si="22"/>
        <v>4.3478260869565215</v>
      </c>
      <c r="L359" t="s">
        <v>1741</v>
      </c>
      <c r="M359" t="s">
        <v>3810</v>
      </c>
      <c r="N359" t="s">
        <v>1</v>
      </c>
      <c r="O359">
        <v>400081</v>
      </c>
      <c r="P359" t="s">
        <v>546</v>
      </c>
      <c r="Q359" t="s">
        <v>1761</v>
      </c>
      <c r="S359">
        <v>34.4</v>
      </c>
      <c r="T359">
        <v>5</v>
      </c>
      <c r="U359">
        <v>0</v>
      </c>
      <c r="V359">
        <v>15.824</v>
      </c>
      <c r="W359">
        <f t="shared" si="23"/>
        <v>3.7152000000000003</v>
      </c>
      <c r="X359">
        <v>2</v>
      </c>
    </row>
    <row r="360" spans="1:24" x14ac:dyDescent="0.3">
      <c r="A360">
        <v>359</v>
      </c>
      <c r="B360" t="s">
        <v>2134</v>
      </c>
      <c r="C360" s="6">
        <v>44555</v>
      </c>
      <c r="D360" t="str">
        <f t="shared" si="20"/>
        <v>Dec</v>
      </c>
      <c r="E360" t="str">
        <f t="shared" si="21"/>
        <v>2021</v>
      </c>
      <c r="F360" t="s">
        <v>4</v>
      </c>
      <c r="G360" t="s">
        <v>103</v>
      </c>
      <c r="H360" t="s">
        <v>734</v>
      </c>
      <c r="I360">
        <v>190</v>
      </c>
      <c r="J360">
        <v>20</v>
      </c>
      <c r="K360">
        <f t="shared" si="22"/>
        <v>10.526315789473683</v>
      </c>
      <c r="L360" t="s">
        <v>1736</v>
      </c>
      <c r="M360" t="s">
        <v>3673</v>
      </c>
      <c r="N360" t="s">
        <v>1</v>
      </c>
      <c r="O360">
        <v>682021</v>
      </c>
      <c r="P360" t="s">
        <v>546</v>
      </c>
      <c r="Q360" t="s">
        <v>1770</v>
      </c>
      <c r="R360" t="s">
        <v>2</v>
      </c>
      <c r="S360">
        <v>36.24</v>
      </c>
      <c r="T360">
        <v>5</v>
      </c>
      <c r="U360">
        <v>0.2</v>
      </c>
      <c r="V360">
        <v>11.324999999999999</v>
      </c>
      <c r="W360">
        <f t="shared" si="23"/>
        <v>4.9830000000000005</v>
      </c>
      <c r="X360">
        <v>2</v>
      </c>
    </row>
    <row r="361" spans="1:24" x14ac:dyDescent="0.3">
      <c r="A361">
        <v>360</v>
      </c>
      <c r="B361" t="s">
        <v>2135</v>
      </c>
      <c r="C361" s="6">
        <v>44556</v>
      </c>
      <c r="D361" t="str">
        <f t="shared" si="20"/>
        <v>Dec</v>
      </c>
      <c r="E361" t="str">
        <f t="shared" si="21"/>
        <v>2021</v>
      </c>
      <c r="F361" t="s">
        <v>5</v>
      </c>
      <c r="G361" t="s">
        <v>153</v>
      </c>
      <c r="H361" t="s">
        <v>868</v>
      </c>
      <c r="I361">
        <v>170</v>
      </c>
      <c r="J361">
        <v>12</v>
      </c>
      <c r="K361">
        <f t="shared" si="22"/>
        <v>7.0588235294117645</v>
      </c>
      <c r="L361" t="s">
        <v>1744</v>
      </c>
      <c r="M361" t="s">
        <v>3746</v>
      </c>
      <c r="N361" t="s">
        <v>1</v>
      </c>
      <c r="O361">
        <v>570017</v>
      </c>
      <c r="P361" t="s">
        <v>546</v>
      </c>
      <c r="Q361" t="s">
        <v>1756</v>
      </c>
      <c r="S361">
        <v>647.84</v>
      </c>
      <c r="T361">
        <v>8</v>
      </c>
      <c r="U361">
        <v>0</v>
      </c>
      <c r="V361">
        <v>168.4384</v>
      </c>
      <c r="W361">
        <f t="shared" si="23"/>
        <v>59.925200000000004</v>
      </c>
      <c r="X361">
        <v>2</v>
      </c>
    </row>
    <row r="362" spans="1:24" x14ac:dyDescent="0.3">
      <c r="A362">
        <v>361</v>
      </c>
      <c r="B362" t="s">
        <v>2136</v>
      </c>
      <c r="C362" s="6">
        <v>44557</v>
      </c>
      <c r="D362" t="str">
        <f t="shared" si="20"/>
        <v>Dec</v>
      </c>
      <c r="E362" t="str">
        <f t="shared" si="21"/>
        <v>2021</v>
      </c>
      <c r="F362" t="s">
        <v>5</v>
      </c>
      <c r="G362" t="s">
        <v>153</v>
      </c>
      <c r="H362" t="s">
        <v>869</v>
      </c>
      <c r="I362">
        <v>240</v>
      </c>
      <c r="J362">
        <v>30</v>
      </c>
      <c r="K362">
        <f t="shared" si="22"/>
        <v>12.5</v>
      </c>
      <c r="L362" t="s">
        <v>1740</v>
      </c>
      <c r="M362" t="s">
        <v>3811</v>
      </c>
      <c r="N362" t="s">
        <v>1</v>
      </c>
      <c r="O362">
        <v>560068</v>
      </c>
      <c r="P362" t="s">
        <v>546</v>
      </c>
      <c r="Q362" t="s">
        <v>1768</v>
      </c>
      <c r="S362">
        <v>20.7</v>
      </c>
      <c r="T362">
        <v>2</v>
      </c>
      <c r="U362">
        <v>0</v>
      </c>
      <c r="V362">
        <v>9.9359999999999999</v>
      </c>
      <c r="W362">
        <f t="shared" si="23"/>
        <v>5.3819999999999997</v>
      </c>
      <c r="X362">
        <v>2</v>
      </c>
    </row>
    <row r="363" spans="1:24" x14ac:dyDescent="0.3">
      <c r="A363">
        <v>362</v>
      </c>
      <c r="B363" t="s">
        <v>2137</v>
      </c>
      <c r="C363" s="6">
        <v>44558</v>
      </c>
      <c r="D363" t="str">
        <f t="shared" si="20"/>
        <v>Dec</v>
      </c>
      <c r="E363" t="str">
        <f t="shared" si="21"/>
        <v>2021</v>
      </c>
      <c r="F363" t="s">
        <v>4</v>
      </c>
      <c r="G363" t="s">
        <v>154</v>
      </c>
      <c r="H363" t="s">
        <v>869</v>
      </c>
      <c r="I363">
        <v>200</v>
      </c>
      <c r="J363">
        <v>18</v>
      </c>
      <c r="K363">
        <f t="shared" si="22"/>
        <v>9</v>
      </c>
      <c r="L363" t="s">
        <v>1742</v>
      </c>
      <c r="M363" t="s">
        <v>3656</v>
      </c>
      <c r="N363" t="s">
        <v>1</v>
      </c>
      <c r="O363">
        <v>855115</v>
      </c>
      <c r="P363" t="s">
        <v>546</v>
      </c>
      <c r="Q363" t="s">
        <v>1764</v>
      </c>
      <c r="S363">
        <v>20.7</v>
      </c>
      <c r="T363">
        <v>2</v>
      </c>
      <c r="U363">
        <v>0</v>
      </c>
      <c r="V363">
        <v>9.9359999999999999</v>
      </c>
      <c r="W363">
        <f t="shared" si="23"/>
        <v>5.3819999999999997</v>
      </c>
      <c r="X363">
        <v>5</v>
      </c>
    </row>
    <row r="364" spans="1:24" x14ac:dyDescent="0.3">
      <c r="A364">
        <v>363</v>
      </c>
      <c r="B364" t="s">
        <v>2138</v>
      </c>
      <c r="C364" s="6">
        <v>44559</v>
      </c>
      <c r="D364" t="str">
        <f t="shared" si="20"/>
        <v>Dec</v>
      </c>
      <c r="E364" t="str">
        <f t="shared" si="21"/>
        <v>2021</v>
      </c>
      <c r="F364" t="s">
        <v>4</v>
      </c>
      <c r="G364" t="s">
        <v>154</v>
      </c>
      <c r="H364" t="s">
        <v>870</v>
      </c>
      <c r="I364">
        <v>100</v>
      </c>
      <c r="J364">
        <v>10</v>
      </c>
      <c r="K364">
        <f t="shared" si="22"/>
        <v>10</v>
      </c>
      <c r="L364" t="s">
        <v>1739</v>
      </c>
      <c r="M364" t="s">
        <v>3637</v>
      </c>
      <c r="N364" t="s">
        <v>1</v>
      </c>
      <c r="O364">
        <v>500089</v>
      </c>
      <c r="P364" t="s">
        <v>546</v>
      </c>
      <c r="Q364" t="s">
        <v>1770</v>
      </c>
      <c r="S364">
        <v>488.64600000000002</v>
      </c>
      <c r="T364">
        <v>3</v>
      </c>
      <c r="U364">
        <v>0.1</v>
      </c>
      <c r="V364">
        <v>86.870400000000004</v>
      </c>
      <c r="W364">
        <f t="shared" si="23"/>
        <v>133.92519999999999</v>
      </c>
      <c r="X364">
        <v>4</v>
      </c>
    </row>
    <row r="365" spans="1:24" x14ac:dyDescent="0.3">
      <c r="A365">
        <v>364</v>
      </c>
      <c r="B365" t="s">
        <v>2139</v>
      </c>
      <c r="C365" s="6">
        <v>44560</v>
      </c>
      <c r="D365" t="str">
        <f t="shared" si="20"/>
        <v>Dec</v>
      </c>
      <c r="E365" t="str">
        <f t="shared" si="21"/>
        <v>2021</v>
      </c>
      <c r="F365" t="s">
        <v>4</v>
      </c>
      <c r="G365" t="s">
        <v>154</v>
      </c>
      <c r="H365" t="s">
        <v>871</v>
      </c>
      <c r="I365">
        <v>250</v>
      </c>
      <c r="J365">
        <v>10</v>
      </c>
      <c r="K365">
        <f t="shared" si="22"/>
        <v>4</v>
      </c>
      <c r="L365" t="s">
        <v>1738</v>
      </c>
      <c r="M365" t="s">
        <v>3812</v>
      </c>
      <c r="N365" t="s">
        <v>1</v>
      </c>
      <c r="O365">
        <v>695581</v>
      </c>
      <c r="P365" t="s">
        <v>546</v>
      </c>
      <c r="Q365" t="s">
        <v>1762</v>
      </c>
      <c r="S365">
        <v>5.56</v>
      </c>
      <c r="T365">
        <v>2</v>
      </c>
      <c r="U365">
        <v>0</v>
      </c>
      <c r="V365">
        <v>1.4456</v>
      </c>
      <c r="W365">
        <f t="shared" si="23"/>
        <v>2.0571999999999999</v>
      </c>
      <c r="X365">
        <v>5</v>
      </c>
    </row>
    <row r="366" spans="1:24" x14ac:dyDescent="0.3">
      <c r="A366">
        <v>365</v>
      </c>
      <c r="B366" t="s">
        <v>2140</v>
      </c>
      <c r="C366" s="6">
        <v>44561</v>
      </c>
      <c r="D366" t="str">
        <f t="shared" si="20"/>
        <v>Dec</v>
      </c>
      <c r="E366" t="str">
        <f t="shared" si="21"/>
        <v>2021</v>
      </c>
      <c r="F366" t="s">
        <v>4</v>
      </c>
      <c r="G366" t="s">
        <v>154</v>
      </c>
      <c r="H366" t="s">
        <v>872</v>
      </c>
      <c r="I366">
        <v>170</v>
      </c>
      <c r="J366">
        <v>16</v>
      </c>
      <c r="K366">
        <f t="shared" si="22"/>
        <v>9.4117647058823533</v>
      </c>
      <c r="L366" t="s">
        <v>1737</v>
      </c>
      <c r="M366" t="s">
        <v>3813</v>
      </c>
      <c r="N366" t="s">
        <v>1</v>
      </c>
      <c r="O366">
        <v>845438</v>
      </c>
      <c r="P366" t="s">
        <v>546</v>
      </c>
      <c r="Q366" t="s">
        <v>1769</v>
      </c>
      <c r="S366">
        <v>47.12</v>
      </c>
      <c r="T366">
        <v>8</v>
      </c>
      <c r="U366">
        <v>0</v>
      </c>
      <c r="V366">
        <v>20.732800000000001</v>
      </c>
      <c r="W366">
        <f t="shared" si="23"/>
        <v>3.2983999999999996</v>
      </c>
      <c r="X366">
        <v>3</v>
      </c>
    </row>
    <row r="367" spans="1:24" x14ac:dyDescent="0.3">
      <c r="A367">
        <v>366</v>
      </c>
      <c r="B367" t="s">
        <v>2141</v>
      </c>
      <c r="C367" s="6">
        <v>44562</v>
      </c>
      <c r="D367" t="str">
        <f t="shared" si="20"/>
        <v>Jan</v>
      </c>
      <c r="E367" t="str">
        <f t="shared" si="21"/>
        <v>2022</v>
      </c>
      <c r="F367" t="s">
        <v>4</v>
      </c>
      <c r="G367" t="s">
        <v>155</v>
      </c>
      <c r="H367" t="s">
        <v>592</v>
      </c>
      <c r="I367">
        <v>130</v>
      </c>
      <c r="J367">
        <v>12</v>
      </c>
      <c r="K367">
        <f t="shared" si="22"/>
        <v>9.2307692307692317</v>
      </c>
      <c r="L367" t="s">
        <v>1743</v>
      </c>
      <c r="M367" t="s">
        <v>3610</v>
      </c>
      <c r="N367" t="s">
        <v>1</v>
      </c>
      <c r="O367">
        <v>380015</v>
      </c>
      <c r="P367" t="s">
        <v>546</v>
      </c>
      <c r="Q367" t="s">
        <v>1776</v>
      </c>
      <c r="R367" t="s">
        <v>2</v>
      </c>
      <c r="S367">
        <v>211.96</v>
      </c>
      <c r="T367">
        <v>4</v>
      </c>
      <c r="U367">
        <v>0</v>
      </c>
      <c r="V367">
        <v>8.4784000000000006</v>
      </c>
      <c r="W367">
        <f t="shared" si="23"/>
        <v>50.870400000000004</v>
      </c>
      <c r="X367">
        <v>4</v>
      </c>
    </row>
    <row r="368" spans="1:24" x14ac:dyDescent="0.3">
      <c r="A368">
        <v>367</v>
      </c>
      <c r="B368" t="s">
        <v>2142</v>
      </c>
      <c r="C368" s="6">
        <v>44563</v>
      </c>
      <c r="D368" t="str">
        <f t="shared" si="20"/>
        <v>Jan</v>
      </c>
      <c r="E368" t="str">
        <f t="shared" si="21"/>
        <v>2022</v>
      </c>
      <c r="F368" t="s">
        <v>6</v>
      </c>
      <c r="G368" t="s">
        <v>156</v>
      </c>
      <c r="H368" t="s">
        <v>873</v>
      </c>
      <c r="I368">
        <v>240</v>
      </c>
      <c r="J368">
        <v>28</v>
      </c>
      <c r="K368">
        <f t="shared" si="22"/>
        <v>11.666666666666666</v>
      </c>
      <c r="L368" t="s">
        <v>1738</v>
      </c>
      <c r="M368" t="s">
        <v>3814</v>
      </c>
      <c r="N368" t="s">
        <v>1</v>
      </c>
      <c r="O368">
        <v>380015</v>
      </c>
      <c r="P368" t="s">
        <v>546</v>
      </c>
      <c r="Q368" t="s">
        <v>1759</v>
      </c>
      <c r="S368">
        <v>23.2</v>
      </c>
      <c r="T368">
        <v>4</v>
      </c>
      <c r="U368">
        <v>0</v>
      </c>
      <c r="V368">
        <v>10.44</v>
      </c>
      <c r="W368">
        <f t="shared" si="23"/>
        <v>3.19</v>
      </c>
      <c r="X368">
        <v>1</v>
      </c>
    </row>
    <row r="369" spans="1:24" x14ac:dyDescent="0.3">
      <c r="A369">
        <v>368</v>
      </c>
      <c r="B369" t="s">
        <v>2143</v>
      </c>
      <c r="C369" s="6">
        <v>44564</v>
      </c>
      <c r="D369" t="str">
        <f t="shared" si="20"/>
        <v>Jan</v>
      </c>
      <c r="E369" t="str">
        <f t="shared" si="21"/>
        <v>2022</v>
      </c>
      <c r="F369" t="s">
        <v>6</v>
      </c>
      <c r="G369" t="s">
        <v>156</v>
      </c>
      <c r="H369" t="s">
        <v>874</v>
      </c>
      <c r="I369">
        <v>130</v>
      </c>
      <c r="J369">
        <v>14</v>
      </c>
      <c r="K369">
        <f t="shared" si="22"/>
        <v>10.76923076923077</v>
      </c>
      <c r="L369" t="s">
        <v>1739</v>
      </c>
      <c r="M369" t="s">
        <v>3707</v>
      </c>
      <c r="N369" t="s">
        <v>1</v>
      </c>
      <c r="O369">
        <v>122017</v>
      </c>
      <c r="P369" t="s">
        <v>546</v>
      </c>
      <c r="Q369" t="s">
        <v>1758</v>
      </c>
      <c r="S369">
        <v>7.36</v>
      </c>
      <c r="T369">
        <v>2</v>
      </c>
      <c r="U369">
        <v>0</v>
      </c>
      <c r="V369">
        <v>0.1472</v>
      </c>
      <c r="W369">
        <f t="shared" si="23"/>
        <v>3.6064000000000003</v>
      </c>
      <c r="X369">
        <v>3</v>
      </c>
    </row>
    <row r="370" spans="1:24" x14ac:dyDescent="0.3">
      <c r="A370">
        <v>369</v>
      </c>
      <c r="B370" t="s">
        <v>2144</v>
      </c>
      <c r="C370" s="6">
        <v>44565</v>
      </c>
      <c r="D370" t="str">
        <f t="shared" si="20"/>
        <v>Jan</v>
      </c>
      <c r="E370" t="str">
        <f t="shared" si="21"/>
        <v>2022</v>
      </c>
      <c r="F370" t="s">
        <v>6</v>
      </c>
      <c r="G370" t="s">
        <v>156</v>
      </c>
      <c r="H370" t="s">
        <v>875</v>
      </c>
      <c r="I370">
        <v>170</v>
      </c>
      <c r="J370">
        <v>26</v>
      </c>
      <c r="K370">
        <f t="shared" si="22"/>
        <v>15.294117647058824</v>
      </c>
      <c r="L370" t="s">
        <v>1741</v>
      </c>
      <c r="M370" t="s">
        <v>3815</v>
      </c>
      <c r="N370" t="s">
        <v>1</v>
      </c>
      <c r="O370">
        <v>560083</v>
      </c>
      <c r="P370" t="s">
        <v>546</v>
      </c>
      <c r="Q370" t="s">
        <v>1759</v>
      </c>
      <c r="S370">
        <v>104.79</v>
      </c>
      <c r="T370">
        <v>7</v>
      </c>
      <c r="U370">
        <v>0</v>
      </c>
      <c r="V370">
        <v>29.341200000000001</v>
      </c>
      <c r="W370">
        <f t="shared" si="23"/>
        <v>10.778400000000001</v>
      </c>
      <c r="X370">
        <v>5</v>
      </c>
    </row>
    <row r="371" spans="1:24" x14ac:dyDescent="0.3">
      <c r="A371">
        <v>370</v>
      </c>
      <c r="B371" t="s">
        <v>2145</v>
      </c>
      <c r="C371" s="6">
        <v>44566</v>
      </c>
      <c r="D371" t="str">
        <f t="shared" si="20"/>
        <v>Jan</v>
      </c>
      <c r="E371" t="str">
        <f t="shared" si="21"/>
        <v>2022</v>
      </c>
      <c r="F371" t="s">
        <v>6</v>
      </c>
      <c r="G371" t="s">
        <v>156</v>
      </c>
      <c r="H371" t="s">
        <v>584</v>
      </c>
      <c r="I371">
        <v>130</v>
      </c>
      <c r="J371">
        <v>6</v>
      </c>
      <c r="K371">
        <f t="shared" si="22"/>
        <v>4.6153846153846159</v>
      </c>
      <c r="L371" t="s">
        <v>1736</v>
      </c>
      <c r="M371" t="s">
        <v>3653</v>
      </c>
      <c r="N371" t="s">
        <v>1</v>
      </c>
      <c r="O371">
        <v>735214</v>
      </c>
      <c r="P371" t="s">
        <v>546</v>
      </c>
      <c r="Q371" t="s">
        <v>1756</v>
      </c>
      <c r="S371">
        <v>1043.92</v>
      </c>
      <c r="T371">
        <v>4</v>
      </c>
      <c r="U371">
        <v>0</v>
      </c>
      <c r="V371">
        <v>271.41919999999999</v>
      </c>
      <c r="W371">
        <f t="shared" si="23"/>
        <v>193.12520000000001</v>
      </c>
      <c r="X371">
        <v>2</v>
      </c>
    </row>
    <row r="372" spans="1:24" x14ac:dyDescent="0.3">
      <c r="A372">
        <v>371</v>
      </c>
      <c r="B372" t="s">
        <v>2146</v>
      </c>
      <c r="C372" s="6">
        <v>44567</v>
      </c>
      <c r="D372" t="str">
        <f t="shared" si="20"/>
        <v>Jan</v>
      </c>
      <c r="E372" t="str">
        <f t="shared" si="21"/>
        <v>2022</v>
      </c>
      <c r="F372" t="s">
        <v>4</v>
      </c>
      <c r="G372" t="s">
        <v>157</v>
      </c>
      <c r="H372" t="s">
        <v>876</v>
      </c>
      <c r="I372">
        <v>110</v>
      </c>
      <c r="J372">
        <v>18</v>
      </c>
      <c r="K372">
        <f t="shared" si="22"/>
        <v>16.363636363636363</v>
      </c>
      <c r="L372" t="s">
        <v>1744</v>
      </c>
      <c r="M372" t="s">
        <v>3585</v>
      </c>
      <c r="N372" t="s">
        <v>1</v>
      </c>
      <c r="O372">
        <v>494441</v>
      </c>
      <c r="P372" t="s">
        <v>546</v>
      </c>
      <c r="Q372" t="s">
        <v>1767</v>
      </c>
      <c r="S372">
        <v>25.92</v>
      </c>
      <c r="T372">
        <v>5</v>
      </c>
      <c r="U372">
        <v>0.2</v>
      </c>
      <c r="V372">
        <v>9.3960000000000008</v>
      </c>
      <c r="W372">
        <f t="shared" si="23"/>
        <v>3.3048000000000002</v>
      </c>
      <c r="X372">
        <v>1</v>
      </c>
    </row>
    <row r="373" spans="1:24" x14ac:dyDescent="0.3">
      <c r="A373">
        <v>372</v>
      </c>
      <c r="B373" t="s">
        <v>2147</v>
      </c>
      <c r="C373" s="6">
        <v>44568</v>
      </c>
      <c r="D373" t="str">
        <f t="shared" si="20"/>
        <v>Jan</v>
      </c>
      <c r="E373" t="str">
        <f t="shared" si="21"/>
        <v>2022</v>
      </c>
      <c r="F373" t="s">
        <v>4</v>
      </c>
      <c r="G373" t="s">
        <v>157</v>
      </c>
      <c r="H373" t="s">
        <v>877</v>
      </c>
      <c r="I373">
        <v>100</v>
      </c>
      <c r="J373">
        <v>6</v>
      </c>
      <c r="K373">
        <f t="shared" si="22"/>
        <v>6</v>
      </c>
      <c r="L373" t="s">
        <v>1740</v>
      </c>
      <c r="M373" t="s">
        <v>3714</v>
      </c>
      <c r="N373" t="s">
        <v>1</v>
      </c>
      <c r="O373">
        <v>602117</v>
      </c>
      <c r="P373" t="s">
        <v>546</v>
      </c>
      <c r="Q373" t="s">
        <v>1760</v>
      </c>
      <c r="R373" t="s">
        <v>2</v>
      </c>
      <c r="S373">
        <v>53.423999999999999</v>
      </c>
      <c r="T373">
        <v>3</v>
      </c>
      <c r="U373">
        <v>0.2</v>
      </c>
      <c r="V373">
        <v>4.6745999999999999</v>
      </c>
      <c r="W373">
        <f t="shared" si="23"/>
        <v>16.2498</v>
      </c>
      <c r="X373">
        <v>5</v>
      </c>
    </row>
    <row r="374" spans="1:24" x14ac:dyDescent="0.3">
      <c r="A374">
        <v>373</v>
      </c>
      <c r="B374" t="s">
        <v>2148</v>
      </c>
      <c r="C374" s="6">
        <v>44569</v>
      </c>
      <c r="D374" t="str">
        <f t="shared" si="20"/>
        <v>Jan</v>
      </c>
      <c r="E374" t="str">
        <f t="shared" si="21"/>
        <v>2022</v>
      </c>
      <c r="F374" t="s">
        <v>4</v>
      </c>
      <c r="G374" t="s">
        <v>158</v>
      </c>
      <c r="H374" t="s">
        <v>851</v>
      </c>
      <c r="I374">
        <v>210</v>
      </c>
      <c r="J374">
        <v>18</v>
      </c>
      <c r="K374">
        <f t="shared" si="22"/>
        <v>8.5714285714285712</v>
      </c>
      <c r="L374" t="s">
        <v>1742</v>
      </c>
      <c r="M374" t="s">
        <v>3816</v>
      </c>
      <c r="N374" t="s">
        <v>1</v>
      </c>
      <c r="O374">
        <v>691583</v>
      </c>
      <c r="P374" t="s">
        <v>546</v>
      </c>
      <c r="Q374" t="s">
        <v>1761</v>
      </c>
      <c r="R374" t="s">
        <v>2</v>
      </c>
      <c r="S374">
        <v>8.16</v>
      </c>
      <c r="T374">
        <v>5</v>
      </c>
      <c r="U374">
        <v>0.7</v>
      </c>
      <c r="V374">
        <v>-5.7119999999999997</v>
      </c>
      <c r="W374">
        <f t="shared" si="23"/>
        <v>2.7744</v>
      </c>
      <c r="X374">
        <v>1</v>
      </c>
    </row>
    <row r="375" spans="1:24" x14ac:dyDescent="0.3">
      <c r="A375">
        <v>374</v>
      </c>
      <c r="B375" t="s">
        <v>2149</v>
      </c>
      <c r="C375" s="6">
        <v>44570</v>
      </c>
      <c r="D375" t="str">
        <f t="shared" si="20"/>
        <v>Jan</v>
      </c>
      <c r="E375" t="str">
        <f t="shared" si="21"/>
        <v>2022</v>
      </c>
      <c r="F375" t="s">
        <v>4</v>
      </c>
      <c r="G375" t="s">
        <v>158</v>
      </c>
      <c r="H375" t="s">
        <v>878</v>
      </c>
      <c r="I375">
        <v>210</v>
      </c>
      <c r="J375">
        <v>6</v>
      </c>
      <c r="K375">
        <f t="shared" si="22"/>
        <v>2.8571428571428572</v>
      </c>
      <c r="L375" t="s">
        <v>1739</v>
      </c>
      <c r="M375" t="s">
        <v>3657</v>
      </c>
      <c r="N375" t="s">
        <v>1</v>
      </c>
      <c r="O375">
        <v>691583</v>
      </c>
      <c r="P375" t="s">
        <v>546</v>
      </c>
      <c r="Q375" t="s">
        <v>1776</v>
      </c>
      <c r="S375">
        <v>1023.936</v>
      </c>
      <c r="T375">
        <v>8</v>
      </c>
      <c r="U375">
        <v>0.2</v>
      </c>
      <c r="V375">
        <v>179.18879999999999</v>
      </c>
      <c r="W375">
        <f t="shared" si="23"/>
        <v>105.5934</v>
      </c>
      <c r="X375">
        <v>5</v>
      </c>
    </row>
    <row r="376" spans="1:24" x14ac:dyDescent="0.3">
      <c r="A376">
        <v>375</v>
      </c>
      <c r="B376" t="s">
        <v>2150</v>
      </c>
      <c r="C376" s="6">
        <v>44571</v>
      </c>
      <c r="D376" t="str">
        <f t="shared" si="20"/>
        <v>Jan</v>
      </c>
      <c r="E376" t="str">
        <f t="shared" si="21"/>
        <v>2022</v>
      </c>
      <c r="F376" t="s">
        <v>4</v>
      </c>
      <c r="G376" t="s">
        <v>158</v>
      </c>
      <c r="H376" t="s">
        <v>879</v>
      </c>
      <c r="I376">
        <v>210</v>
      </c>
      <c r="J376">
        <v>14</v>
      </c>
      <c r="K376">
        <f t="shared" si="22"/>
        <v>6.666666666666667</v>
      </c>
      <c r="L376" t="s">
        <v>1738</v>
      </c>
      <c r="M376" t="s">
        <v>3817</v>
      </c>
      <c r="N376" t="s">
        <v>1</v>
      </c>
      <c r="O376">
        <v>492112</v>
      </c>
      <c r="P376" t="s">
        <v>546</v>
      </c>
      <c r="Q376" t="s">
        <v>1765</v>
      </c>
      <c r="R376" t="s">
        <v>2</v>
      </c>
      <c r="S376">
        <v>9.24</v>
      </c>
      <c r="T376">
        <v>1</v>
      </c>
      <c r="U376">
        <v>0.2</v>
      </c>
      <c r="V376">
        <v>0.92400000000000004</v>
      </c>
      <c r="W376">
        <f t="shared" si="23"/>
        <v>8.3160000000000007</v>
      </c>
      <c r="X376">
        <v>3</v>
      </c>
    </row>
    <row r="377" spans="1:24" x14ac:dyDescent="0.3">
      <c r="A377">
        <v>376</v>
      </c>
      <c r="B377" t="s">
        <v>2151</v>
      </c>
      <c r="C377" s="6">
        <v>44572</v>
      </c>
      <c r="D377" t="str">
        <f t="shared" si="20"/>
        <v>Jan</v>
      </c>
      <c r="E377" t="str">
        <f t="shared" si="21"/>
        <v>2022</v>
      </c>
      <c r="F377" t="s">
        <v>4</v>
      </c>
      <c r="G377" t="s">
        <v>158</v>
      </c>
      <c r="H377" t="s">
        <v>880</v>
      </c>
      <c r="I377">
        <v>150</v>
      </c>
      <c r="J377">
        <v>24</v>
      </c>
      <c r="K377">
        <f t="shared" si="22"/>
        <v>16</v>
      </c>
      <c r="L377" t="s">
        <v>1737</v>
      </c>
      <c r="M377" t="s">
        <v>3818</v>
      </c>
      <c r="N377" t="s">
        <v>1</v>
      </c>
      <c r="O377">
        <v>600117</v>
      </c>
      <c r="P377" t="s">
        <v>546</v>
      </c>
      <c r="Q377" t="s">
        <v>1772</v>
      </c>
      <c r="R377" t="s">
        <v>2</v>
      </c>
      <c r="S377">
        <v>479.04</v>
      </c>
      <c r="T377">
        <v>10</v>
      </c>
      <c r="U377">
        <v>0.2</v>
      </c>
      <c r="V377">
        <v>-29.94</v>
      </c>
      <c r="W377">
        <f t="shared" si="23"/>
        <v>50.898000000000003</v>
      </c>
      <c r="X377">
        <v>2</v>
      </c>
    </row>
    <row r="378" spans="1:24" x14ac:dyDescent="0.3">
      <c r="A378">
        <v>377</v>
      </c>
      <c r="B378" t="s">
        <v>2152</v>
      </c>
      <c r="C378" s="6">
        <v>44573</v>
      </c>
      <c r="D378" t="str">
        <f t="shared" si="20"/>
        <v>Jan</v>
      </c>
      <c r="E378" t="str">
        <f t="shared" si="21"/>
        <v>2022</v>
      </c>
      <c r="F378" t="s">
        <v>5</v>
      </c>
      <c r="G378" t="s">
        <v>159</v>
      </c>
      <c r="H378" t="s">
        <v>881</v>
      </c>
      <c r="I378">
        <v>170</v>
      </c>
      <c r="J378">
        <v>16</v>
      </c>
      <c r="K378">
        <f t="shared" si="22"/>
        <v>9.4117647058823533</v>
      </c>
      <c r="L378" t="s">
        <v>1743</v>
      </c>
      <c r="M378" t="s">
        <v>3819</v>
      </c>
      <c r="N378" t="s">
        <v>1</v>
      </c>
      <c r="O378">
        <v>500005</v>
      </c>
      <c r="P378" t="s">
        <v>546</v>
      </c>
      <c r="Q378" t="s">
        <v>1776</v>
      </c>
      <c r="S378">
        <v>99.135999999999996</v>
      </c>
      <c r="T378">
        <v>4</v>
      </c>
      <c r="U378">
        <v>0.2</v>
      </c>
      <c r="V378">
        <v>30.98</v>
      </c>
      <c r="W378">
        <f t="shared" si="23"/>
        <v>17.038999999999998</v>
      </c>
      <c r="X378">
        <v>2</v>
      </c>
    </row>
    <row r="379" spans="1:24" x14ac:dyDescent="0.3">
      <c r="A379">
        <v>378</v>
      </c>
      <c r="B379" t="s">
        <v>2153</v>
      </c>
      <c r="C379" s="6">
        <v>44574</v>
      </c>
      <c r="D379" t="str">
        <f t="shared" si="20"/>
        <v>Jan</v>
      </c>
      <c r="E379" t="str">
        <f t="shared" si="21"/>
        <v>2022</v>
      </c>
      <c r="F379" t="s">
        <v>4</v>
      </c>
      <c r="G379" t="s">
        <v>160</v>
      </c>
      <c r="H379" t="s">
        <v>882</v>
      </c>
      <c r="I379">
        <v>140</v>
      </c>
      <c r="J379">
        <v>22</v>
      </c>
      <c r="K379">
        <f t="shared" si="22"/>
        <v>15.714285714285714</v>
      </c>
      <c r="L379" t="s">
        <v>1738</v>
      </c>
      <c r="M379" t="s">
        <v>3662</v>
      </c>
      <c r="N379" t="s">
        <v>1</v>
      </c>
      <c r="O379">
        <v>560076</v>
      </c>
      <c r="P379" t="s">
        <v>546</v>
      </c>
      <c r="Q379" t="s">
        <v>1776</v>
      </c>
      <c r="R379" t="s">
        <v>2</v>
      </c>
      <c r="S379">
        <v>1488.424</v>
      </c>
      <c r="T379">
        <v>7</v>
      </c>
      <c r="U379">
        <v>0.3</v>
      </c>
      <c r="V379">
        <v>-297.6848</v>
      </c>
      <c r="W379">
        <f t="shared" si="23"/>
        <v>255.1584</v>
      </c>
      <c r="X379">
        <v>5</v>
      </c>
    </row>
    <row r="380" spans="1:24" x14ac:dyDescent="0.3">
      <c r="A380">
        <v>379</v>
      </c>
      <c r="B380" t="s">
        <v>2154</v>
      </c>
      <c r="C380" s="6">
        <v>44575</v>
      </c>
      <c r="D380" t="str">
        <f t="shared" si="20"/>
        <v>Jan</v>
      </c>
      <c r="E380" t="str">
        <f t="shared" si="21"/>
        <v>2022</v>
      </c>
      <c r="F380" t="s">
        <v>4</v>
      </c>
      <c r="G380" t="s">
        <v>161</v>
      </c>
      <c r="H380" t="s">
        <v>883</v>
      </c>
      <c r="I380">
        <v>150</v>
      </c>
      <c r="J380">
        <v>18</v>
      </c>
      <c r="K380">
        <f t="shared" si="22"/>
        <v>12</v>
      </c>
      <c r="L380" t="s">
        <v>1739</v>
      </c>
      <c r="M380" t="s">
        <v>3617</v>
      </c>
      <c r="N380" t="s">
        <v>1</v>
      </c>
      <c r="O380">
        <v>737126</v>
      </c>
      <c r="P380" t="s">
        <v>546</v>
      </c>
      <c r="Q380" t="s">
        <v>1759</v>
      </c>
      <c r="S380">
        <v>8.6519999999999992</v>
      </c>
      <c r="T380">
        <v>3</v>
      </c>
      <c r="U380">
        <v>0.8</v>
      </c>
      <c r="V380">
        <v>-20.3322</v>
      </c>
      <c r="W380">
        <f t="shared" si="23"/>
        <v>9.6614000000000004</v>
      </c>
      <c r="X380">
        <v>3</v>
      </c>
    </row>
    <row r="381" spans="1:24" x14ac:dyDescent="0.3">
      <c r="A381">
        <v>380</v>
      </c>
      <c r="B381" t="s">
        <v>2155</v>
      </c>
      <c r="C381" s="6">
        <v>44576</v>
      </c>
      <c r="D381" t="str">
        <f t="shared" si="20"/>
        <v>Jan</v>
      </c>
      <c r="E381" t="str">
        <f t="shared" si="21"/>
        <v>2022</v>
      </c>
      <c r="F381" t="s">
        <v>4</v>
      </c>
      <c r="G381" t="s">
        <v>161</v>
      </c>
      <c r="H381" t="s">
        <v>884</v>
      </c>
      <c r="I381">
        <v>150</v>
      </c>
      <c r="J381">
        <v>6</v>
      </c>
      <c r="K381">
        <f t="shared" si="22"/>
        <v>4</v>
      </c>
      <c r="L381" t="s">
        <v>1741</v>
      </c>
      <c r="M381" t="s">
        <v>3820</v>
      </c>
      <c r="O381">
        <v>737126</v>
      </c>
      <c r="P381" t="s">
        <v>546</v>
      </c>
      <c r="Q381" t="s">
        <v>1754</v>
      </c>
      <c r="S381">
        <v>23.832000000000001</v>
      </c>
      <c r="T381">
        <v>3</v>
      </c>
      <c r="U381">
        <v>0.2</v>
      </c>
      <c r="V381">
        <v>2.6810999999999998</v>
      </c>
      <c r="W381">
        <f t="shared" si="23"/>
        <v>7.0503</v>
      </c>
      <c r="X381">
        <v>2</v>
      </c>
    </row>
    <row r="382" spans="1:24" x14ac:dyDescent="0.3">
      <c r="A382">
        <v>381</v>
      </c>
      <c r="B382" t="s">
        <v>2156</v>
      </c>
      <c r="C382" s="6">
        <v>44577</v>
      </c>
      <c r="D382" t="str">
        <f t="shared" si="20"/>
        <v>Jan</v>
      </c>
      <c r="E382" t="str">
        <f t="shared" si="21"/>
        <v>2022</v>
      </c>
      <c r="F382" t="s">
        <v>4</v>
      </c>
      <c r="G382" t="s">
        <v>161</v>
      </c>
      <c r="H382" t="s">
        <v>885</v>
      </c>
      <c r="I382">
        <v>250</v>
      </c>
      <c r="J382">
        <v>14</v>
      </c>
      <c r="K382">
        <f t="shared" si="22"/>
        <v>5.6000000000000005</v>
      </c>
      <c r="L382" t="s">
        <v>1736</v>
      </c>
      <c r="M382" t="s">
        <v>3821</v>
      </c>
      <c r="N382" t="s">
        <v>1</v>
      </c>
      <c r="O382">
        <v>380058</v>
      </c>
      <c r="P382" t="s">
        <v>546</v>
      </c>
      <c r="Q382" t="s">
        <v>1763</v>
      </c>
      <c r="R382" t="s">
        <v>2</v>
      </c>
      <c r="S382">
        <v>12.176</v>
      </c>
      <c r="T382">
        <v>4</v>
      </c>
      <c r="U382">
        <v>0.8</v>
      </c>
      <c r="V382">
        <v>-18.872800000000002</v>
      </c>
      <c r="W382">
        <f t="shared" si="23"/>
        <v>7.7622</v>
      </c>
      <c r="X382">
        <v>3</v>
      </c>
    </row>
    <row r="383" spans="1:24" x14ac:dyDescent="0.3">
      <c r="A383">
        <v>382</v>
      </c>
      <c r="B383" t="s">
        <v>2157</v>
      </c>
      <c r="C383" s="6">
        <v>44578</v>
      </c>
      <c r="D383" t="str">
        <f t="shared" si="20"/>
        <v>Jan</v>
      </c>
      <c r="E383" t="str">
        <f t="shared" si="21"/>
        <v>2022</v>
      </c>
      <c r="F383" t="s">
        <v>5</v>
      </c>
      <c r="G383" t="s">
        <v>162</v>
      </c>
      <c r="H383" t="s">
        <v>886</v>
      </c>
      <c r="I383">
        <v>120</v>
      </c>
      <c r="J383">
        <v>30</v>
      </c>
      <c r="K383">
        <f t="shared" si="22"/>
        <v>25</v>
      </c>
      <c r="L383" t="s">
        <v>1744</v>
      </c>
      <c r="M383" t="s">
        <v>3822</v>
      </c>
      <c r="N383" t="s">
        <v>1</v>
      </c>
      <c r="O383">
        <v>249403</v>
      </c>
      <c r="P383" t="s">
        <v>546</v>
      </c>
      <c r="Q383" t="s">
        <v>1767</v>
      </c>
      <c r="S383">
        <v>50.96</v>
      </c>
      <c r="T383">
        <v>7</v>
      </c>
      <c r="U383">
        <v>0</v>
      </c>
      <c r="V383">
        <v>25.48</v>
      </c>
      <c r="W383">
        <f t="shared" si="23"/>
        <v>3.64</v>
      </c>
      <c r="X383">
        <v>5</v>
      </c>
    </row>
    <row r="384" spans="1:24" x14ac:dyDescent="0.3">
      <c r="A384">
        <v>383</v>
      </c>
      <c r="B384" t="s">
        <v>2158</v>
      </c>
      <c r="C384" s="6">
        <v>44579</v>
      </c>
      <c r="D384" t="str">
        <f t="shared" si="20"/>
        <v>Jan</v>
      </c>
      <c r="E384" t="str">
        <f t="shared" si="21"/>
        <v>2022</v>
      </c>
      <c r="F384" t="s">
        <v>5</v>
      </c>
      <c r="G384" t="s">
        <v>162</v>
      </c>
      <c r="H384" t="s">
        <v>887</v>
      </c>
      <c r="I384">
        <v>160</v>
      </c>
      <c r="J384">
        <v>16</v>
      </c>
      <c r="K384">
        <f t="shared" si="22"/>
        <v>10</v>
      </c>
      <c r="L384" t="s">
        <v>1740</v>
      </c>
      <c r="M384" t="s">
        <v>3823</v>
      </c>
      <c r="N384" t="s">
        <v>1</v>
      </c>
      <c r="O384">
        <v>400074</v>
      </c>
      <c r="P384" t="s">
        <v>546</v>
      </c>
      <c r="Q384" t="s">
        <v>1761</v>
      </c>
      <c r="R384" t="s">
        <v>2</v>
      </c>
      <c r="S384">
        <v>49.536000000000001</v>
      </c>
      <c r="T384">
        <v>3</v>
      </c>
      <c r="U384">
        <v>0.2</v>
      </c>
      <c r="V384">
        <v>17.337599999999998</v>
      </c>
      <c r="W384">
        <f t="shared" si="23"/>
        <v>10.732800000000003</v>
      </c>
      <c r="X384">
        <v>2</v>
      </c>
    </row>
    <row r="385" spans="1:24" x14ac:dyDescent="0.3">
      <c r="A385">
        <v>384</v>
      </c>
      <c r="B385" t="s">
        <v>2159</v>
      </c>
      <c r="C385" s="6">
        <v>44580</v>
      </c>
      <c r="D385" t="str">
        <f t="shared" si="20"/>
        <v>Jan</v>
      </c>
      <c r="E385" t="str">
        <f t="shared" si="21"/>
        <v>2022</v>
      </c>
      <c r="F385" t="s">
        <v>3</v>
      </c>
      <c r="G385" t="s">
        <v>163</v>
      </c>
      <c r="H385" t="s">
        <v>888</v>
      </c>
      <c r="I385">
        <v>100</v>
      </c>
      <c r="J385">
        <v>26</v>
      </c>
      <c r="K385">
        <f t="shared" si="22"/>
        <v>26</v>
      </c>
      <c r="L385" t="s">
        <v>1742</v>
      </c>
      <c r="M385" t="s">
        <v>3687</v>
      </c>
      <c r="N385" t="s">
        <v>1</v>
      </c>
      <c r="O385">
        <v>400074</v>
      </c>
      <c r="P385" t="s">
        <v>546</v>
      </c>
      <c r="Q385" t="s">
        <v>1759</v>
      </c>
      <c r="R385" t="s">
        <v>2</v>
      </c>
      <c r="S385">
        <v>41.9</v>
      </c>
      <c r="T385">
        <v>2</v>
      </c>
      <c r="U385">
        <v>0</v>
      </c>
      <c r="V385">
        <v>8.7989999999999995</v>
      </c>
      <c r="W385">
        <f t="shared" si="23"/>
        <v>16.5505</v>
      </c>
      <c r="X385">
        <v>5</v>
      </c>
    </row>
    <row r="386" spans="1:24" x14ac:dyDescent="0.3">
      <c r="A386">
        <v>385</v>
      </c>
      <c r="B386" t="s">
        <v>2160</v>
      </c>
      <c r="C386" s="6">
        <v>44581</v>
      </c>
      <c r="D386" t="str">
        <f t="shared" si="20"/>
        <v>Jan</v>
      </c>
      <c r="E386" t="str">
        <f t="shared" si="21"/>
        <v>2022</v>
      </c>
      <c r="F386" t="s">
        <v>4</v>
      </c>
      <c r="G386" t="s">
        <v>164</v>
      </c>
      <c r="H386" t="s">
        <v>889</v>
      </c>
      <c r="I386">
        <v>230</v>
      </c>
      <c r="J386">
        <v>18</v>
      </c>
      <c r="K386">
        <f t="shared" si="22"/>
        <v>7.8260869565217401</v>
      </c>
      <c r="L386" t="s">
        <v>1739</v>
      </c>
      <c r="M386" t="s">
        <v>3608</v>
      </c>
      <c r="N386" t="s">
        <v>1</v>
      </c>
      <c r="O386">
        <v>400074</v>
      </c>
      <c r="P386" t="s">
        <v>546</v>
      </c>
      <c r="Q386" t="s">
        <v>1768</v>
      </c>
      <c r="R386" t="s">
        <v>2</v>
      </c>
      <c r="S386">
        <v>375.45749999999998</v>
      </c>
      <c r="T386">
        <v>3</v>
      </c>
      <c r="U386">
        <v>0.45</v>
      </c>
      <c r="V386">
        <v>-157.0095</v>
      </c>
      <c r="W386">
        <f t="shared" si="23"/>
        <v>177.489</v>
      </c>
      <c r="X386">
        <v>5</v>
      </c>
    </row>
    <row r="387" spans="1:24" x14ac:dyDescent="0.3">
      <c r="A387">
        <v>386</v>
      </c>
      <c r="B387" t="s">
        <v>2161</v>
      </c>
      <c r="C387" s="6">
        <v>44582</v>
      </c>
      <c r="D387" t="str">
        <f t="shared" ref="D387:D450" si="24">TEXT(C387,"Mmm")</f>
        <v>Jan</v>
      </c>
      <c r="E387" t="str">
        <f t="shared" ref="E387:E450" si="25">TEXT(C387,"YYYY")</f>
        <v>2022</v>
      </c>
      <c r="F387" t="s">
        <v>4</v>
      </c>
      <c r="G387" t="s">
        <v>164</v>
      </c>
      <c r="H387" t="s">
        <v>890</v>
      </c>
      <c r="I387">
        <v>110</v>
      </c>
      <c r="J387">
        <v>18</v>
      </c>
      <c r="K387">
        <f t="shared" ref="K387:K450" si="26">(J387/I387)*100</f>
        <v>16.363636363636363</v>
      </c>
      <c r="L387" t="s">
        <v>1738</v>
      </c>
      <c r="M387" t="s">
        <v>3786</v>
      </c>
      <c r="N387" t="s">
        <v>1</v>
      </c>
      <c r="O387">
        <v>600083</v>
      </c>
      <c r="P387" t="s">
        <v>546</v>
      </c>
      <c r="Q387" t="s">
        <v>1757</v>
      </c>
      <c r="S387">
        <v>83.975999999999999</v>
      </c>
      <c r="T387">
        <v>3</v>
      </c>
      <c r="U387">
        <v>0.2</v>
      </c>
      <c r="V387">
        <v>-1.0497000000000001</v>
      </c>
      <c r="W387">
        <f t="shared" ref="W387:W450" si="27">(S387-V387)/T387</f>
        <v>28.341899999999999</v>
      </c>
      <c r="X387">
        <v>2</v>
      </c>
    </row>
    <row r="388" spans="1:24" x14ac:dyDescent="0.3">
      <c r="A388">
        <v>387</v>
      </c>
      <c r="B388" t="s">
        <v>2162</v>
      </c>
      <c r="C388" s="6">
        <v>44583</v>
      </c>
      <c r="D388" t="str">
        <f t="shared" si="24"/>
        <v>Jan</v>
      </c>
      <c r="E388" t="str">
        <f t="shared" si="25"/>
        <v>2022</v>
      </c>
      <c r="F388" t="s">
        <v>4</v>
      </c>
      <c r="G388" t="s">
        <v>165</v>
      </c>
      <c r="H388" t="s">
        <v>891</v>
      </c>
      <c r="I388">
        <v>150</v>
      </c>
      <c r="J388">
        <v>22</v>
      </c>
      <c r="K388">
        <f t="shared" si="26"/>
        <v>14.666666666666666</v>
      </c>
      <c r="L388" t="s">
        <v>1743</v>
      </c>
      <c r="M388" t="s">
        <v>3690</v>
      </c>
      <c r="N388" t="s">
        <v>1</v>
      </c>
      <c r="O388">
        <v>401501</v>
      </c>
      <c r="P388" t="s">
        <v>546</v>
      </c>
      <c r="Q388" t="s">
        <v>1759</v>
      </c>
      <c r="R388" t="s">
        <v>2</v>
      </c>
      <c r="S388">
        <v>482.34</v>
      </c>
      <c r="T388">
        <v>4</v>
      </c>
      <c r="U388">
        <v>0.7</v>
      </c>
      <c r="V388">
        <v>-337.63799999999998</v>
      </c>
      <c r="W388">
        <f t="shared" si="27"/>
        <v>204.99449999999999</v>
      </c>
      <c r="X388">
        <v>1</v>
      </c>
    </row>
    <row r="389" spans="1:24" x14ac:dyDescent="0.3">
      <c r="A389">
        <v>388</v>
      </c>
      <c r="B389" t="s">
        <v>2163</v>
      </c>
      <c r="C389" s="6">
        <v>44584</v>
      </c>
      <c r="D389" t="str">
        <f t="shared" si="24"/>
        <v>Jan</v>
      </c>
      <c r="E389" t="str">
        <f t="shared" si="25"/>
        <v>2022</v>
      </c>
      <c r="F389" t="s">
        <v>4</v>
      </c>
      <c r="G389" t="s">
        <v>165</v>
      </c>
      <c r="H389" t="s">
        <v>892</v>
      </c>
      <c r="I389">
        <v>130</v>
      </c>
      <c r="J389">
        <v>18</v>
      </c>
      <c r="K389">
        <f t="shared" si="26"/>
        <v>13.846153846153847</v>
      </c>
      <c r="L389" t="s">
        <v>1737</v>
      </c>
      <c r="M389" t="s">
        <v>3824</v>
      </c>
      <c r="N389" t="s">
        <v>1</v>
      </c>
      <c r="O389">
        <v>570004</v>
      </c>
      <c r="P389" t="s">
        <v>546</v>
      </c>
      <c r="Q389" t="s">
        <v>1767</v>
      </c>
      <c r="S389">
        <v>2.96</v>
      </c>
      <c r="T389">
        <v>1</v>
      </c>
      <c r="U389">
        <v>0.2</v>
      </c>
      <c r="V389">
        <v>0.77700000000000002</v>
      </c>
      <c r="W389">
        <f t="shared" si="27"/>
        <v>2.1829999999999998</v>
      </c>
      <c r="X389">
        <v>3</v>
      </c>
    </row>
    <row r="390" spans="1:24" x14ac:dyDescent="0.3">
      <c r="A390">
        <v>389</v>
      </c>
      <c r="B390" t="s">
        <v>2164</v>
      </c>
      <c r="C390" s="6">
        <v>44585</v>
      </c>
      <c r="D390" t="str">
        <f t="shared" si="24"/>
        <v>Jan</v>
      </c>
      <c r="E390" t="str">
        <f t="shared" si="25"/>
        <v>2022</v>
      </c>
      <c r="F390" t="s">
        <v>5</v>
      </c>
      <c r="G390" t="s">
        <v>166</v>
      </c>
      <c r="H390" t="s">
        <v>893</v>
      </c>
      <c r="I390">
        <v>110</v>
      </c>
      <c r="J390">
        <v>14</v>
      </c>
      <c r="K390">
        <f t="shared" si="26"/>
        <v>12.727272727272727</v>
      </c>
      <c r="L390" t="s">
        <v>1741</v>
      </c>
      <c r="M390" t="s">
        <v>3825</v>
      </c>
      <c r="N390" t="s">
        <v>1</v>
      </c>
      <c r="O390">
        <v>685595</v>
      </c>
      <c r="P390" t="s">
        <v>546</v>
      </c>
      <c r="Q390" t="s">
        <v>1767</v>
      </c>
      <c r="R390" t="s">
        <v>2</v>
      </c>
      <c r="S390">
        <v>2.6240000000000001</v>
      </c>
      <c r="T390">
        <v>1</v>
      </c>
      <c r="U390">
        <v>0.2</v>
      </c>
      <c r="V390">
        <v>0.4264</v>
      </c>
      <c r="W390">
        <f t="shared" si="27"/>
        <v>2.1976</v>
      </c>
      <c r="X390">
        <v>5</v>
      </c>
    </row>
    <row r="391" spans="1:24" x14ac:dyDescent="0.3">
      <c r="A391">
        <v>390</v>
      </c>
      <c r="B391" t="s">
        <v>2165</v>
      </c>
      <c r="C391" s="6">
        <v>44586</v>
      </c>
      <c r="D391" t="str">
        <f t="shared" si="24"/>
        <v>Jan</v>
      </c>
      <c r="E391" t="str">
        <f t="shared" si="25"/>
        <v>2022</v>
      </c>
      <c r="F391" t="s">
        <v>4</v>
      </c>
      <c r="G391" t="s">
        <v>167</v>
      </c>
      <c r="H391" t="s">
        <v>894</v>
      </c>
      <c r="I391">
        <v>210</v>
      </c>
      <c r="J391">
        <v>26</v>
      </c>
      <c r="K391">
        <f t="shared" si="26"/>
        <v>12.380952380952381</v>
      </c>
      <c r="L391" t="s">
        <v>1736</v>
      </c>
      <c r="M391" t="s">
        <v>3644</v>
      </c>
      <c r="N391" t="s">
        <v>1</v>
      </c>
      <c r="O391">
        <v>122001</v>
      </c>
      <c r="P391" t="s">
        <v>546</v>
      </c>
      <c r="Q391" t="s">
        <v>1769</v>
      </c>
      <c r="S391">
        <v>23.36</v>
      </c>
      <c r="T391">
        <v>4</v>
      </c>
      <c r="U391">
        <v>0.2</v>
      </c>
      <c r="V391">
        <v>7.8840000000000003</v>
      </c>
      <c r="W391">
        <f t="shared" si="27"/>
        <v>3.8689999999999998</v>
      </c>
      <c r="X391">
        <v>5</v>
      </c>
    </row>
    <row r="392" spans="1:24" x14ac:dyDescent="0.3">
      <c r="A392">
        <v>391</v>
      </c>
      <c r="B392" t="s">
        <v>2166</v>
      </c>
      <c r="C392" s="6">
        <v>44587</v>
      </c>
      <c r="D392" t="str">
        <f t="shared" si="24"/>
        <v>Jan</v>
      </c>
      <c r="E392" t="str">
        <f t="shared" si="25"/>
        <v>2022</v>
      </c>
      <c r="F392" t="s">
        <v>4</v>
      </c>
      <c r="G392" t="s">
        <v>167</v>
      </c>
      <c r="H392" t="s">
        <v>631</v>
      </c>
      <c r="I392">
        <v>210</v>
      </c>
      <c r="J392">
        <v>10</v>
      </c>
      <c r="K392">
        <f t="shared" si="26"/>
        <v>4.7619047619047619</v>
      </c>
      <c r="L392" t="s">
        <v>1744</v>
      </c>
      <c r="M392" t="s">
        <v>3826</v>
      </c>
      <c r="N392" t="s">
        <v>1</v>
      </c>
      <c r="O392">
        <v>612104</v>
      </c>
      <c r="P392" t="s">
        <v>546</v>
      </c>
      <c r="Q392" t="s">
        <v>1755</v>
      </c>
      <c r="R392" t="s">
        <v>2</v>
      </c>
      <c r="S392">
        <v>39.979999999999997</v>
      </c>
      <c r="T392">
        <v>2</v>
      </c>
      <c r="U392">
        <v>0</v>
      </c>
      <c r="V392">
        <v>13.5932</v>
      </c>
      <c r="W392">
        <f t="shared" si="27"/>
        <v>13.193399999999999</v>
      </c>
      <c r="X392">
        <v>2</v>
      </c>
    </row>
    <row r="393" spans="1:24" x14ac:dyDescent="0.3">
      <c r="A393">
        <v>392</v>
      </c>
      <c r="B393" t="s">
        <v>2167</v>
      </c>
      <c r="C393" s="6">
        <v>44588</v>
      </c>
      <c r="D393" t="str">
        <f t="shared" si="24"/>
        <v>Jan</v>
      </c>
      <c r="E393" t="str">
        <f t="shared" si="25"/>
        <v>2022</v>
      </c>
      <c r="F393" t="s">
        <v>3</v>
      </c>
      <c r="G393" t="s">
        <v>168</v>
      </c>
      <c r="H393" t="s">
        <v>895</v>
      </c>
      <c r="I393">
        <v>160</v>
      </c>
      <c r="J393">
        <v>14</v>
      </c>
      <c r="K393">
        <f t="shared" si="26"/>
        <v>8.75</v>
      </c>
      <c r="L393" t="s">
        <v>1740</v>
      </c>
      <c r="M393" t="s">
        <v>3827</v>
      </c>
      <c r="N393" t="s">
        <v>1</v>
      </c>
      <c r="O393">
        <v>400605</v>
      </c>
      <c r="P393" t="s">
        <v>546</v>
      </c>
      <c r="Q393" t="s">
        <v>1768</v>
      </c>
      <c r="S393">
        <v>246.38399999999999</v>
      </c>
      <c r="T393">
        <v>2</v>
      </c>
      <c r="U393">
        <v>0.2</v>
      </c>
      <c r="V393">
        <v>27.7182</v>
      </c>
      <c r="W393">
        <f t="shared" si="27"/>
        <v>109.3329</v>
      </c>
      <c r="X393">
        <v>2</v>
      </c>
    </row>
    <row r="394" spans="1:24" x14ac:dyDescent="0.3">
      <c r="A394">
        <v>393</v>
      </c>
      <c r="B394" t="s">
        <v>2168</v>
      </c>
      <c r="C394" s="6">
        <v>44589</v>
      </c>
      <c r="D394" t="str">
        <f t="shared" si="24"/>
        <v>Jan</v>
      </c>
      <c r="E394" t="str">
        <f t="shared" si="25"/>
        <v>2022</v>
      </c>
      <c r="F394" t="s">
        <v>3</v>
      </c>
      <c r="G394" t="s">
        <v>168</v>
      </c>
      <c r="H394" t="s">
        <v>896</v>
      </c>
      <c r="I394">
        <v>180</v>
      </c>
      <c r="J394">
        <v>8</v>
      </c>
      <c r="K394">
        <f t="shared" si="26"/>
        <v>4.4444444444444446</v>
      </c>
      <c r="L394" t="s">
        <v>1742</v>
      </c>
      <c r="M394" t="s">
        <v>3656</v>
      </c>
      <c r="N394" t="s">
        <v>1</v>
      </c>
      <c r="O394">
        <v>560100</v>
      </c>
      <c r="P394" t="s">
        <v>546</v>
      </c>
      <c r="Q394" t="s">
        <v>1774</v>
      </c>
      <c r="S394">
        <v>1799.97</v>
      </c>
      <c r="T394">
        <v>3</v>
      </c>
      <c r="U394">
        <v>0</v>
      </c>
      <c r="V394">
        <v>701.98829999999998</v>
      </c>
      <c r="W394">
        <f t="shared" si="27"/>
        <v>365.9939</v>
      </c>
      <c r="X394">
        <v>2</v>
      </c>
    </row>
    <row r="395" spans="1:24" x14ac:dyDescent="0.3">
      <c r="A395">
        <v>394</v>
      </c>
      <c r="B395" t="s">
        <v>2169</v>
      </c>
      <c r="C395" s="6">
        <v>44590</v>
      </c>
      <c r="D395" t="str">
        <f t="shared" si="24"/>
        <v>Jan</v>
      </c>
      <c r="E395" t="str">
        <f t="shared" si="25"/>
        <v>2022</v>
      </c>
      <c r="F395" t="s">
        <v>3</v>
      </c>
      <c r="G395" t="s">
        <v>169</v>
      </c>
      <c r="H395" t="s">
        <v>897</v>
      </c>
      <c r="I395">
        <v>250</v>
      </c>
      <c r="J395">
        <v>12</v>
      </c>
      <c r="K395">
        <f t="shared" si="26"/>
        <v>4.8</v>
      </c>
      <c r="L395" t="s">
        <v>1739</v>
      </c>
      <c r="M395" t="s">
        <v>3657</v>
      </c>
      <c r="N395" t="s">
        <v>1</v>
      </c>
      <c r="O395">
        <v>400605</v>
      </c>
      <c r="P395" t="s">
        <v>546</v>
      </c>
      <c r="Q395" t="s">
        <v>1772</v>
      </c>
      <c r="S395">
        <v>12.462</v>
      </c>
      <c r="T395">
        <v>3</v>
      </c>
      <c r="U395">
        <v>0.8</v>
      </c>
      <c r="V395">
        <v>-20.5623</v>
      </c>
      <c r="W395">
        <f t="shared" si="27"/>
        <v>11.008099999999999</v>
      </c>
      <c r="X395">
        <v>5</v>
      </c>
    </row>
    <row r="396" spans="1:24" x14ac:dyDescent="0.3">
      <c r="A396">
        <v>395</v>
      </c>
      <c r="B396" t="s">
        <v>2170</v>
      </c>
      <c r="C396" s="6">
        <v>44591</v>
      </c>
      <c r="D396" t="str">
        <f t="shared" si="24"/>
        <v>Jan</v>
      </c>
      <c r="E396" t="str">
        <f t="shared" si="25"/>
        <v>2022</v>
      </c>
      <c r="F396" t="s">
        <v>4</v>
      </c>
      <c r="G396" t="s">
        <v>170</v>
      </c>
      <c r="H396" t="s">
        <v>898</v>
      </c>
      <c r="I396">
        <v>220</v>
      </c>
      <c r="J396">
        <v>30</v>
      </c>
      <c r="K396">
        <f t="shared" si="26"/>
        <v>13.636363636363635</v>
      </c>
      <c r="L396" t="s">
        <v>1738</v>
      </c>
      <c r="M396" t="s">
        <v>3778</v>
      </c>
      <c r="N396" t="s">
        <v>1</v>
      </c>
      <c r="O396">
        <v>180007</v>
      </c>
      <c r="P396" t="s">
        <v>546</v>
      </c>
      <c r="Q396" t="s">
        <v>1760</v>
      </c>
      <c r="S396">
        <v>75.792000000000002</v>
      </c>
      <c r="T396">
        <v>3</v>
      </c>
      <c r="U396">
        <v>0.2</v>
      </c>
      <c r="V396">
        <v>25.579799999999999</v>
      </c>
      <c r="W396">
        <f t="shared" si="27"/>
        <v>16.737400000000001</v>
      </c>
      <c r="X396">
        <v>1</v>
      </c>
    </row>
    <row r="397" spans="1:24" x14ac:dyDescent="0.3">
      <c r="A397">
        <v>396</v>
      </c>
      <c r="B397" t="s">
        <v>2171</v>
      </c>
      <c r="C397" s="6">
        <v>44592</v>
      </c>
      <c r="D397" t="str">
        <f t="shared" si="24"/>
        <v>Jan</v>
      </c>
      <c r="E397" t="str">
        <f t="shared" si="25"/>
        <v>2022</v>
      </c>
      <c r="F397" t="s">
        <v>3</v>
      </c>
      <c r="G397" t="s">
        <v>171</v>
      </c>
      <c r="H397" t="s">
        <v>899</v>
      </c>
      <c r="I397">
        <v>170</v>
      </c>
      <c r="J397">
        <v>22</v>
      </c>
      <c r="K397">
        <f t="shared" si="26"/>
        <v>12.941176470588237</v>
      </c>
      <c r="L397" t="s">
        <v>1737</v>
      </c>
      <c r="M397" t="s">
        <v>3828</v>
      </c>
      <c r="N397" t="s">
        <v>1</v>
      </c>
      <c r="O397">
        <v>401107</v>
      </c>
      <c r="P397" t="s">
        <v>546</v>
      </c>
      <c r="Q397" t="s">
        <v>1760</v>
      </c>
      <c r="S397">
        <v>49.96</v>
      </c>
      <c r="T397">
        <v>2</v>
      </c>
      <c r="U397">
        <v>0</v>
      </c>
      <c r="V397">
        <v>9.4923999999999999</v>
      </c>
      <c r="W397">
        <f t="shared" si="27"/>
        <v>20.233800000000002</v>
      </c>
      <c r="X397">
        <v>2</v>
      </c>
    </row>
    <row r="398" spans="1:24" x14ac:dyDescent="0.3">
      <c r="A398">
        <v>397</v>
      </c>
      <c r="B398" t="s">
        <v>2172</v>
      </c>
      <c r="C398" s="6">
        <v>44593</v>
      </c>
      <c r="D398" t="str">
        <f t="shared" si="24"/>
        <v>Feb</v>
      </c>
      <c r="E398" t="str">
        <f t="shared" si="25"/>
        <v>2022</v>
      </c>
      <c r="F398" t="s">
        <v>3</v>
      </c>
      <c r="G398" t="s">
        <v>171</v>
      </c>
      <c r="H398" t="s">
        <v>900</v>
      </c>
      <c r="I398">
        <v>250</v>
      </c>
      <c r="J398">
        <v>14</v>
      </c>
      <c r="K398">
        <f t="shared" si="26"/>
        <v>5.6000000000000005</v>
      </c>
      <c r="L398" t="s">
        <v>1743</v>
      </c>
      <c r="M398" t="s">
        <v>3829</v>
      </c>
      <c r="N398" t="s">
        <v>1</v>
      </c>
      <c r="O398">
        <v>825409</v>
      </c>
      <c r="P398" t="s">
        <v>546</v>
      </c>
      <c r="Q398" t="s">
        <v>1759</v>
      </c>
      <c r="S398">
        <v>12.96</v>
      </c>
      <c r="T398">
        <v>2</v>
      </c>
      <c r="U398">
        <v>0</v>
      </c>
      <c r="V398">
        <v>6.2207999999999997</v>
      </c>
      <c r="W398">
        <f t="shared" si="27"/>
        <v>3.3696000000000006</v>
      </c>
      <c r="X398">
        <v>3</v>
      </c>
    </row>
    <row r="399" spans="1:24" x14ac:dyDescent="0.3">
      <c r="A399">
        <v>398</v>
      </c>
      <c r="B399" t="s">
        <v>2173</v>
      </c>
      <c r="C399" s="6">
        <v>44594</v>
      </c>
      <c r="D399" t="str">
        <f t="shared" si="24"/>
        <v>Feb</v>
      </c>
      <c r="E399" t="str">
        <f t="shared" si="25"/>
        <v>2022</v>
      </c>
      <c r="F399" t="s">
        <v>4</v>
      </c>
      <c r="G399" t="s">
        <v>13</v>
      </c>
      <c r="H399" t="s">
        <v>901</v>
      </c>
      <c r="I399">
        <v>100</v>
      </c>
      <c r="J399">
        <v>28</v>
      </c>
      <c r="K399">
        <f t="shared" si="26"/>
        <v>28.000000000000004</v>
      </c>
      <c r="L399" t="s">
        <v>1738</v>
      </c>
      <c r="M399" t="s">
        <v>3788</v>
      </c>
      <c r="N399" t="s">
        <v>1</v>
      </c>
      <c r="O399">
        <v>401107</v>
      </c>
      <c r="P399" t="s">
        <v>546</v>
      </c>
      <c r="Q399" t="s">
        <v>1761</v>
      </c>
      <c r="S399">
        <v>70.12</v>
      </c>
      <c r="T399">
        <v>4</v>
      </c>
      <c r="U399">
        <v>0</v>
      </c>
      <c r="V399">
        <v>21.036000000000001</v>
      </c>
      <c r="W399">
        <f t="shared" si="27"/>
        <v>12.271000000000001</v>
      </c>
      <c r="X399">
        <v>2</v>
      </c>
    </row>
    <row r="400" spans="1:24" x14ac:dyDescent="0.3">
      <c r="A400">
        <v>399</v>
      </c>
      <c r="B400" t="s">
        <v>2174</v>
      </c>
      <c r="C400" s="6">
        <v>44595</v>
      </c>
      <c r="D400" t="str">
        <f t="shared" si="24"/>
        <v>Feb</v>
      </c>
      <c r="E400" t="str">
        <f t="shared" si="25"/>
        <v>2022</v>
      </c>
      <c r="F400" t="s">
        <v>3</v>
      </c>
      <c r="G400" t="s">
        <v>172</v>
      </c>
      <c r="H400" t="s">
        <v>902</v>
      </c>
      <c r="I400">
        <v>120</v>
      </c>
      <c r="J400">
        <v>8</v>
      </c>
      <c r="K400">
        <f t="shared" si="26"/>
        <v>6.666666666666667</v>
      </c>
      <c r="L400" t="s">
        <v>1739</v>
      </c>
      <c r="M400" t="s">
        <v>3721</v>
      </c>
      <c r="N400" t="s">
        <v>1</v>
      </c>
      <c r="O400">
        <v>194101</v>
      </c>
      <c r="P400" t="s">
        <v>546</v>
      </c>
      <c r="Q400" t="s">
        <v>1769</v>
      </c>
      <c r="R400" t="s">
        <v>2</v>
      </c>
      <c r="S400">
        <v>35.951999999999998</v>
      </c>
      <c r="T400">
        <v>3</v>
      </c>
      <c r="U400">
        <v>0.2</v>
      </c>
      <c r="V400">
        <v>3.5952000000000002</v>
      </c>
      <c r="W400">
        <f t="shared" si="27"/>
        <v>10.785600000000001</v>
      </c>
      <c r="X400">
        <v>4</v>
      </c>
    </row>
    <row r="401" spans="1:24" x14ac:dyDescent="0.3">
      <c r="A401">
        <v>400</v>
      </c>
      <c r="B401" t="s">
        <v>2175</v>
      </c>
      <c r="C401" s="6">
        <v>44596</v>
      </c>
      <c r="D401" t="str">
        <f t="shared" si="24"/>
        <v>Feb</v>
      </c>
      <c r="E401" t="str">
        <f t="shared" si="25"/>
        <v>2022</v>
      </c>
      <c r="F401" t="s">
        <v>3</v>
      </c>
      <c r="G401" t="s">
        <v>172</v>
      </c>
      <c r="H401" t="s">
        <v>573</v>
      </c>
      <c r="I401">
        <v>150</v>
      </c>
      <c r="J401">
        <v>16</v>
      </c>
      <c r="K401">
        <f t="shared" si="26"/>
        <v>10.666666666666668</v>
      </c>
      <c r="L401" t="s">
        <v>1741</v>
      </c>
      <c r="M401" t="s">
        <v>3781</v>
      </c>
      <c r="N401" t="s">
        <v>1</v>
      </c>
      <c r="O401">
        <v>713206</v>
      </c>
      <c r="P401" t="s">
        <v>546</v>
      </c>
      <c r="Q401" t="s">
        <v>1773</v>
      </c>
      <c r="S401">
        <v>2396.2656000000002</v>
      </c>
      <c r="T401">
        <v>4</v>
      </c>
      <c r="U401">
        <v>0.32</v>
      </c>
      <c r="V401">
        <v>-317.15280000000001</v>
      </c>
      <c r="W401">
        <f t="shared" si="27"/>
        <v>678.3546</v>
      </c>
      <c r="X401">
        <v>5</v>
      </c>
    </row>
    <row r="402" spans="1:24" x14ac:dyDescent="0.3">
      <c r="A402">
        <v>401</v>
      </c>
      <c r="B402" t="s">
        <v>2176</v>
      </c>
      <c r="C402" s="6">
        <v>44597</v>
      </c>
      <c r="D402" t="str">
        <f t="shared" si="24"/>
        <v>Feb</v>
      </c>
      <c r="E402" t="str">
        <f t="shared" si="25"/>
        <v>2022</v>
      </c>
      <c r="F402" t="s">
        <v>3</v>
      </c>
      <c r="G402" t="s">
        <v>172</v>
      </c>
      <c r="H402" t="s">
        <v>903</v>
      </c>
      <c r="I402">
        <v>210</v>
      </c>
      <c r="J402">
        <v>24</v>
      </c>
      <c r="K402">
        <f t="shared" si="26"/>
        <v>11.428571428571429</v>
      </c>
      <c r="L402" t="s">
        <v>1736</v>
      </c>
      <c r="M402" t="s">
        <v>3673</v>
      </c>
      <c r="N402" t="s">
        <v>1</v>
      </c>
      <c r="O402">
        <v>831017</v>
      </c>
      <c r="P402" t="s">
        <v>546</v>
      </c>
      <c r="Q402" t="s">
        <v>1775</v>
      </c>
      <c r="S402">
        <v>131.136</v>
      </c>
      <c r="T402">
        <v>4</v>
      </c>
      <c r="U402">
        <v>0.2</v>
      </c>
      <c r="V402">
        <v>-32.783999999999999</v>
      </c>
      <c r="W402">
        <f t="shared" si="27"/>
        <v>40.98</v>
      </c>
      <c r="X402">
        <v>5</v>
      </c>
    </row>
    <row r="403" spans="1:24" x14ac:dyDescent="0.3">
      <c r="A403">
        <v>402</v>
      </c>
      <c r="B403" t="s">
        <v>2177</v>
      </c>
      <c r="C403" s="6">
        <v>44598</v>
      </c>
      <c r="D403" t="str">
        <f t="shared" si="24"/>
        <v>Feb</v>
      </c>
      <c r="E403" t="str">
        <f t="shared" si="25"/>
        <v>2022</v>
      </c>
      <c r="F403" t="s">
        <v>3</v>
      </c>
      <c r="G403" t="s">
        <v>172</v>
      </c>
      <c r="H403" t="s">
        <v>904</v>
      </c>
      <c r="I403">
        <v>170</v>
      </c>
      <c r="J403">
        <v>30</v>
      </c>
      <c r="K403">
        <f t="shared" si="26"/>
        <v>17.647058823529413</v>
      </c>
      <c r="L403" t="s">
        <v>1744</v>
      </c>
      <c r="M403" t="s">
        <v>3585</v>
      </c>
      <c r="N403" t="s">
        <v>1</v>
      </c>
      <c r="O403">
        <v>583123</v>
      </c>
      <c r="P403" t="s">
        <v>546</v>
      </c>
      <c r="Q403" t="s">
        <v>1759</v>
      </c>
      <c r="S403">
        <v>57.584000000000003</v>
      </c>
      <c r="T403">
        <v>2</v>
      </c>
      <c r="U403">
        <v>0.2</v>
      </c>
      <c r="V403">
        <v>0.7198</v>
      </c>
      <c r="W403">
        <f t="shared" si="27"/>
        <v>28.432100000000002</v>
      </c>
      <c r="X403">
        <v>4</v>
      </c>
    </row>
    <row r="404" spans="1:24" x14ac:dyDescent="0.3">
      <c r="A404">
        <v>403</v>
      </c>
      <c r="B404" t="s">
        <v>2178</v>
      </c>
      <c r="C404" s="6">
        <v>44599</v>
      </c>
      <c r="D404" t="str">
        <f t="shared" si="24"/>
        <v>Feb</v>
      </c>
      <c r="E404" t="str">
        <f t="shared" si="25"/>
        <v>2022</v>
      </c>
      <c r="F404" t="s">
        <v>5</v>
      </c>
      <c r="G404" t="s">
        <v>173</v>
      </c>
      <c r="H404" t="s">
        <v>905</v>
      </c>
      <c r="I404">
        <v>100</v>
      </c>
      <c r="J404">
        <v>12</v>
      </c>
      <c r="K404">
        <f t="shared" si="26"/>
        <v>12</v>
      </c>
      <c r="L404" t="s">
        <v>1740</v>
      </c>
      <c r="M404" t="s">
        <v>3830</v>
      </c>
      <c r="N404" t="s">
        <v>1</v>
      </c>
      <c r="O404">
        <v>560046</v>
      </c>
      <c r="P404" t="s">
        <v>546</v>
      </c>
      <c r="Q404" t="s">
        <v>1766</v>
      </c>
      <c r="R404" t="s">
        <v>2</v>
      </c>
      <c r="S404">
        <v>9.5679999999999996</v>
      </c>
      <c r="T404">
        <v>2</v>
      </c>
      <c r="U404">
        <v>0.2</v>
      </c>
      <c r="V404">
        <v>3.4683999999999999</v>
      </c>
      <c r="W404">
        <f t="shared" si="27"/>
        <v>3.0497999999999998</v>
      </c>
      <c r="X404">
        <v>4</v>
      </c>
    </row>
    <row r="405" spans="1:24" x14ac:dyDescent="0.3">
      <c r="A405">
        <v>404</v>
      </c>
      <c r="B405" t="s">
        <v>2179</v>
      </c>
      <c r="C405" s="6">
        <v>44600</v>
      </c>
      <c r="D405" t="str">
        <f t="shared" si="24"/>
        <v>Feb</v>
      </c>
      <c r="E405" t="str">
        <f t="shared" si="25"/>
        <v>2022</v>
      </c>
      <c r="F405" t="s">
        <v>4</v>
      </c>
      <c r="G405" t="s">
        <v>77</v>
      </c>
      <c r="H405" t="s">
        <v>906</v>
      </c>
      <c r="I405">
        <v>140</v>
      </c>
      <c r="J405">
        <v>16</v>
      </c>
      <c r="K405">
        <f t="shared" si="26"/>
        <v>11.428571428571429</v>
      </c>
      <c r="L405" t="s">
        <v>1742</v>
      </c>
      <c r="M405" t="s">
        <v>3696</v>
      </c>
      <c r="N405" t="s">
        <v>1</v>
      </c>
      <c r="O405">
        <v>560046</v>
      </c>
      <c r="P405" t="s">
        <v>546</v>
      </c>
      <c r="Q405" t="s">
        <v>1756</v>
      </c>
      <c r="S405">
        <v>39.072000000000003</v>
      </c>
      <c r="T405">
        <v>6</v>
      </c>
      <c r="U405">
        <v>0.2</v>
      </c>
      <c r="V405">
        <v>9.7680000000000007</v>
      </c>
      <c r="W405">
        <f t="shared" si="27"/>
        <v>4.8840000000000003</v>
      </c>
      <c r="X405">
        <v>3</v>
      </c>
    </row>
    <row r="406" spans="1:24" x14ac:dyDescent="0.3">
      <c r="A406">
        <v>405</v>
      </c>
      <c r="B406" t="s">
        <v>2180</v>
      </c>
      <c r="C406" s="6">
        <v>44601</v>
      </c>
      <c r="D406" t="str">
        <f t="shared" si="24"/>
        <v>Feb</v>
      </c>
      <c r="E406" t="str">
        <f t="shared" si="25"/>
        <v>2022</v>
      </c>
      <c r="F406" t="s">
        <v>4</v>
      </c>
      <c r="G406" t="s">
        <v>174</v>
      </c>
      <c r="H406" t="s">
        <v>907</v>
      </c>
      <c r="I406">
        <v>230</v>
      </c>
      <c r="J406">
        <v>30</v>
      </c>
      <c r="K406">
        <f t="shared" si="26"/>
        <v>13.043478260869565</v>
      </c>
      <c r="L406" t="s">
        <v>1739</v>
      </c>
      <c r="M406" t="s">
        <v>3668</v>
      </c>
      <c r="N406" t="s">
        <v>1</v>
      </c>
      <c r="O406">
        <v>226017</v>
      </c>
      <c r="P406" t="s">
        <v>546</v>
      </c>
      <c r="Q406" t="s">
        <v>1760</v>
      </c>
      <c r="S406">
        <v>35.909999999999997</v>
      </c>
      <c r="T406">
        <v>3</v>
      </c>
      <c r="U406">
        <v>0</v>
      </c>
      <c r="V406">
        <v>9.6957000000000004</v>
      </c>
      <c r="W406">
        <f t="shared" si="27"/>
        <v>8.7380999999999975</v>
      </c>
      <c r="X406">
        <v>1</v>
      </c>
    </row>
    <row r="407" spans="1:24" x14ac:dyDescent="0.3">
      <c r="A407">
        <v>406</v>
      </c>
      <c r="B407" t="s">
        <v>2181</v>
      </c>
      <c r="C407" s="6">
        <v>44602</v>
      </c>
      <c r="D407" t="str">
        <f t="shared" si="24"/>
        <v>Feb</v>
      </c>
      <c r="E407" t="str">
        <f t="shared" si="25"/>
        <v>2022</v>
      </c>
      <c r="F407" t="s">
        <v>4</v>
      </c>
      <c r="G407" t="s">
        <v>175</v>
      </c>
      <c r="H407" t="s">
        <v>904</v>
      </c>
      <c r="I407">
        <v>120</v>
      </c>
      <c r="J407">
        <v>8</v>
      </c>
      <c r="K407">
        <f t="shared" si="26"/>
        <v>6.666666666666667</v>
      </c>
      <c r="L407" t="s">
        <v>1738</v>
      </c>
      <c r="M407" t="s">
        <v>3812</v>
      </c>
      <c r="N407" t="s">
        <v>1</v>
      </c>
      <c r="O407">
        <v>122003</v>
      </c>
      <c r="P407" t="s">
        <v>546</v>
      </c>
      <c r="Q407" t="s">
        <v>1761</v>
      </c>
      <c r="S407">
        <v>179.95</v>
      </c>
      <c r="T407">
        <v>5</v>
      </c>
      <c r="U407">
        <v>0</v>
      </c>
      <c r="V407">
        <v>37.789499999999997</v>
      </c>
      <c r="W407">
        <f t="shared" si="27"/>
        <v>28.432099999999998</v>
      </c>
      <c r="X407">
        <v>1</v>
      </c>
    </row>
    <row r="408" spans="1:24" x14ac:dyDescent="0.3">
      <c r="A408">
        <v>407</v>
      </c>
      <c r="B408" t="s">
        <v>2182</v>
      </c>
      <c r="C408" s="6">
        <v>44603</v>
      </c>
      <c r="D408" t="str">
        <f t="shared" si="24"/>
        <v>Feb</v>
      </c>
      <c r="E408" t="str">
        <f t="shared" si="25"/>
        <v>2022</v>
      </c>
      <c r="F408" t="s">
        <v>4</v>
      </c>
      <c r="G408" t="s">
        <v>175</v>
      </c>
      <c r="H408" t="s">
        <v>908</v>
      </c>
      <c r="I408">
        <v>120</v>
      </c>
      <c r="J408">
        <v>28</v>
      </c>
      <c r="K408">
        <f t="shared" si="26"/>
        <v>23.333333333333332</v>
      </c>
      <c r="L408" t="s">
        <v>1743</v>
      </c>
      <c r="M408" t="s">
        <v>3831</v>
      </c>
      <c r="N408" t="s">
        <v>1</v>
      </c>
      <c r="O408">
        <v>603103</v>
      </c>
      <c r="P408" t="s">
        <v>546</v>
      </c>
      <c r="Q408" t="s">
        <v>1762</v>
      </c>
      <c r="R408" t="s">
        <v>2</v>
      </c>
      <c r="S408">
        <v>1199.9760000000001</v>
      </c>
      <c r="T408">
        <v>3</v>
      </c>
      <c r="U408">
        <v>0.2</v>
      </c>
      <c r="V408">
        <v>434.99130000000002</v>
      </c>
      <c r="W408">
        <f t="shared" si="27"/>
        <v>254.99490000000003</v>
      </c>
      <c r="X408">
        <v>4</v>
      </c>
    </row>
    <row r="409" spans="1:24" x14ac:dyDescent="0.3">
      <c r="A409">
        <v>408</v>
      </c>
      <c r="B409" t="s">
        <v>2183</v>
      </c>
      <c r="C409" s="6">
        <v>44604</v>
      </c>
      <c r="D409" t="str">
        <f t="shared" si="24"/>
        <v>Feb</v>
      </c>
      <c r="E409" t="str">
        <f t="shared" si="25"/>
        <v>2022</v>
      </c>
      <c r="F409" t="s">
        <v>4</v>
      </c>
      <c r="G409" t="s">
        <v>175</v>
      </c>
      <c r="H409" t="s">
        <v>909</v>
      </c>
      <c r="I409">
        <v>120</v>
      </c>
      <c r="J409">
        <v>28</v>
      </c>
      <c r="K409">
        <f t="shared" si="26"/>
        <v>23.333333333333332</v>
      </c>
      <c r="L409" t="s">
        <v>1737</v>
      </c>
      <c r="M409" t="s">
        <v>3802</v>
      </c>
      <c r="N409" t="s">
        <v>1</v>
      </c>
      <c r="O409">
        <v>232101</v>
      </c>
      <c r="P409" t="s">
        <v>546</v>
      </c>
      <c r="Q409" t="s">
        <v>1767</v>
      </c>
      <c r="S409">
        <v>27.15</v>
      </c>
      <c r="T409">
        <v>5</v>
      </c>
      <c r="U409">
        <v>0</v>
      </c>
      <c r="V409">
        <v>13.3035</v>
      </c>
      <c r="W409">
        <f t="shared" si="27"/>
        <v>2.7692999999999999</v>
      </c>
      <c r="X409">
        <v>4</v>
      </c>
    </row>
    <row r="410" spans="1:24" x14ac:dyDescent="0.3">
      <c r="A410">
        <v>409</v>
      </c>
      <c r="B410" t="s">
        <v>2184</v>
      </c>
      <c r="C410" s="6">
        <v>44605</v>
      </c>
      <c r="D410" t="str">
        <f t="shared" si="24"/>
        <v>Feb</v>
      </c>
      <c r="E410" t="str">
        <f t="shared" si="25"/>
        <v>2022</v>
      </c>
      <c r="F410" t="s">
        <v>4</v>
      </c>
      <c r="G410" t="s">
        <v>175</v>
      </c>
      <c r="H410" t="s">
        <v>910</v>
      </c>
      <c r="I410">
        <v>160</v>
      </c>
      <c r="J410">
        <v>30</v>
      </c>
      <c r="K410">
        <f t="shared" si="26"/>
        <v>18.75</v>
      </c>
      <c r="L410" t="s">
        <v>1741</v>
      </c>
      <c r="M410" t="s">
        <v>3815</v>
      </c>
      <c r="O410">
        <v>500025</v>
      </c>
      <c r="P410" t="s">
        <v>546</v>
      </c>
      <c r="Q410" t="s">
        <v>1759</v>
      </c>
      <c r="S410">
        <v>1004.024</v>
      </c>
      <c r="T410">
        <v>7</v>
      </c>
      <c r="U410">
        <v>0.2</v>
      </c>
      <c r="V410">
        <v>-112.95269999999999</v>
      </c>
      <c r="W410">
        <f t="shared" si="27"/>
        <v>159.56809999999999</v>
      </c>
      <c r="X410">
        <v>1</v>
      </c>
    </row>
    <row r="411" spans="1:24" x14ac:dyDescent="0.3">
      <c r="A411">
        <v>410</v>
      </c>
      <c r="B411" t="s">
        <v>2185</v>
      </c>
      <c r="C411" s="6">
        <v>44606</v>
      </c>
      <c r="D411" t="str">
        <f t="shared" si="24"/>
        <v>Feb</v>
      </c>
      <c r="E411" t="str">
        <f t="shared" si="25"/>
        <v>2022</v>
      </c>
      <c r="F411" t="s">
        <v>4</v>
      </c>
      <c r="G411" t="s">
        <v>175</v>
      </c>
      <c r="H411" t="s">
        <v>911</v>
      </c>
      <c r="I411">
        <v>190</v>
      </c>
      <c r="J411">
        <v>28</v>
      </c>
      <c r="K411">
        <f t="shared" si="26"/>
        <v>14.736842105263156</v>
      </c>
      <c r="L411" t="s">
        <v>1736</v>
      </c>
      <c r="M411" t="s">
        <v>3653</v>
      </c>
      <c r="N411" t="s">
        <v>1</v>
      </c>
      <c r="O411">
        <v>201305</v>
      </c>
      <c r="P411" t="s">
        <v>546</v>
      </c>
      <c r="Q411" t="s">
        <v>1760</v>
      </c>
      <c r="S411">
        <v>9.68</v>
      </c>
      <c r="T411">
        <v>1</v>
      </c>
      <c r="U411">
        <v>0</v>
      </c>
      <c r="V411">
        <v>4.6463999999999999</v>
      </c>
      <c r="W411">
        <f t="shared" si="27"/>
        <v>5.0335999999999999</v>
      </c>
      <c r="X411">
        <v>1</v>
      </c>
    </row>
    <row r="412" spans="1:24" x14ac:dyDescent="0.3">
      <c r="A412">
        <v>411</v>
      </c>
      <c r="B412" t="s">
        <v>2186</v>
      </c>
      <c r="C412" s="6">
        <v>44607</v>
      </c>
      <c r="D412" t="str">
        <f t="shared" si="24"/>
        <v>Feb</v>
      </c>
      <c r="E412" t="str">
        <f t="shared" si="25"/>
        <v>2022</v>
      </c>
      <c r="F412" t="s">
        <v>4</v>
      </c>
      <c r="G412" t="s">
        <v>175</v>
      </c>
      <c r="H412" t="s">
        <v>912</v>
      </c>
      <c r="I412">
        <v>150</v>
      </c>
      <c r="J412">
        <v>16</v>
      </c>
      <c r="K412">
        <f t="shared" si="26"/>
        <v>10.666666666666668</v>
      </c>
      <c r="L412" t="s">
        <v>1744</v>
      </c>
      <c r="M412" t="s">
        <v>3832</v>
      </c>
      <c r="N412" t="s">
        <v>1</v>
      </c>
      <c r="O412">
        <v>560076</v>
      </c>
      <c r="P412" t="s">
        <v>546</v>
      </c>
      <c r="Q412" t="s">
        <v>1756</v>
      </c>
      <c r="S412">
        <v>28.35</v>
      </c>
      <c r="T412">
        <v>9</v>
      </c>
      <c r="U412">
        <v>0</v>
      </c>
      <c r="V412">
        <v>13.608000000000001</v>
      </c>
      <c r="W412">
        <f t="shared" si="27"/>
        <v>1.6380000000000001</v>
      </c>
      <c r="X412">
        <v>5</v>
      </c>
    </row>
    <row r="413" spans="1:24" x14ac:dyDescent="0.3">
      <c r="A413">
        <v>412</v>
      </c>
      <c r="B413" t="s">
        <v>2187</v>
      </c>
      <c r="C413" s="6">
        <v>44608</v>
      </c>
      <c r="D413" t="str">
        <f t="shared" si="24"/>
        <v>Feb</v>
      </c>
      <c r="E413" t="str">
        <f t="shared" si="25"/>
        <v>2022</v>
      </c>
      <c r="F413" t="s">
        <v>4</v>
      </c>
      <c r="G413" t="s">
        <v>175</v>
      </c>
      <c r="H413" t="s">
        <v>861</v>
      </c>
      <c r="I413">
        <v>160</v>
      </c>
      <c r="J413">
        <v>14</v>
      </c>
      <c r="K413">
        <f t="shared" si="26"/>
        <v>8.75</v>
      </c>
      <c r="L413" t="s">
        <v>1740</v>
      </c>
      <c r="M413" t="s">
        <v>3733</v>
      </c>
      <c r="N413" t="s">
        <v>1</v>
      </c>
      <c r="O413">
        <v>695003</v>
      </c>
      <c r="P413" t="s">
        <v>546</v>
      </c>
      <c r="Q413" t="s">
        <v>1769</v>
      </c>
      <c r="S413">
        <v>55.98</v>
      </c>
      <c r="T413">
        <v>1</v>
      </c>
      <c r="U413">
        <v>0</v>
      </c>
      <c r="V413">
        <v>27.430199999999999</v>
      </c>
      <c r="W413">
        <f t="shared" si="27"/>
        <v>28.549799999999998</v>
      </c>
      <c r="X413">
        <v>3</v>
      </c>
    </row>
    <row r="414" spans="1:24" x14ac:dyDescent="0.3">
      <c r="A414">
        <v>413</v>
      </c>
      <c r="B414" t="s">
        <v>2188</v>
      </c>
      <c r="C414" s="6">
        <v>44609</v>
      </c>
      <c r="D414" t="str">
        <f t="shared" si="24"/>
        <v>Feb</v>
      </c>
      <c r="E414" t="str">
        <f t="shared" si="25"/>
        <v>2022</v>
      </c>
      <c r="F414" t="s">
        <v>4</v>
      </c>
      <c r="G414" t="s">
        <v>175</v>
      </c>
      <c r="H414" t="s">
        <v>913</v>
      </c>
      <c r="I414">
        <v>200</v>
      </c>
      <c r="J414">
        <v>16</v>
      </c>
      <c r="K414">
        <f t="shared" si="26"/>
        <v>8</v>
      </c>
      <c r="L414" t="s">
        <v>1742</v>
      </c>
      <c r="M414" t="s">
        <v>3816</v>
      </c>
      <c r="N414" t="s">
        <v>1</v>
      </c>
      <c r="O414">
        <v>842002</v>
      </c>
      <c r="P414" t="s">
        <v>546</v>
      </c>
      <c r="Q414" t="s">
        <v>1761</v>
      </c>
      <c r="R414" t="s">
        <v>2</v>
      </c>
      <c r="S414">
        <v>1336.829</v>
      </c>
      <c r="T414">
        <v>13</v>
      </c>
      <c r="U414">
        <v>0.15</v>
      </c>
      <c r="V414">
        <v>31.454799999999999</v>
      </c>
      <c r="W414">
        <f t="shared" si="27"/>
        <v>100.4134</v>
      </c>
      <c r="X414">
        <v>3</v>
      </c>
    </row>
    <row r="415" spans="1:24" x14ac:dyDescent="0.3">
      <c r="A415">
        <v>414</v>
      </c>
      <c r="B415" t="s">
        <v>2189</v>
      </c>
      <c r="C415" s="6">
        <v>44610</v>
      </c>
      <c r="D415" t="str">
        <f t="shared" si="24"/>
        <v>Feb</v>
      </c>
      <c r="E415" t="str">
        <f t="shared" si="25"/>
        <v>2022</v>
      </c>
      <c r="F415" t="s">
        <v>4</v>
      </c>
      <c r="G415" t="s">
        <v>175</v>
      </c>
      <c r="H415" t="s">
        <v>914</v>
      </c>
      <c r="I415">
        <v>110</v>
      </c>
      <c r="J415">
        <v>14</v>
      </c>
      <c r="K415">
        <f t="shared" si="26"/>
        <v>12.727272727272727</v>
      </c>
      <c r="L415" t="s">
        <v>1739</v>
      </c>
      <c r="M415" t="s">
        <v>3600</v>
      </c>
      <c r="N415" t="s">
        <v>1</v>
      </c>
      <c r="O415">
        <v>560061</v>
      </c>
      <c r="P415" t="s">
        <v>546</v>
      </c>
      <c r="Q415" t="s">
        <v>1773</v>
      </c>
      <c r="S415">
        <v>113.568</v>
      </c>
      <c r="T415">
        <v>2</v>
      </c>
      <c r="U415">
        <v>0.2</v>
      </c>
      <c r="V415">
        <v>-18.454799999999999</v>
      </c>
      <c r="W415">
        <f t="shared" si="27"/>
        <v>66.011399999999995</v>
      </c>
      <c r="X415">
        <v>4</v>
      </c>
    </row>
    <row r="416" spans="1:24" x14ac:dyDescent="0.3">
      <c r="A416">
        <v>415</v>
      </c>
      <c r="B416" t="s">
        <v>2190</v>
      </c>
      <c r="C416" s="6">
        <v>44611</v>
      </c>
      <c r="D416" t="str">
        <f t="shared" si="24"/>
        <v>Feb</v>
      </c>
      <c r="E416" t="str">
        <f t="shared" si="25"/>
        <v>2022</v>
      </c>
      <c r="F416" t="s">
        <v>4</v>
      </c>
      <c r="G416" t="s">
        <v>176</v>
      </c>
      <c r="H416" t="s">
        <v>915</v>
      </c>
      <c r="I416">
        <v>240</v>
      </c>
      <c r="J416">
        <v>18</v>
      </c>
      <c r="K416">
        <f t="shared" si="26"/>
        <v>7.5</v>
      </c>
      <c r="L416" t="s">
        <v>1738</v>
      </c>
      <c r="M416" t="s">
        <v>3817</v>
      </c>
      <c r="N416" t="s">
        <v>1</v>
      </c>
      <c r="O416">
        <v>629251</v>
      </c>
      <c r="P416" t="s">
        <v>546</v>
      </c>
      <c r="Q416" t="s">
        <v>1759</v>
      </c>
      <c r="R416" t="s">
        <v>2</v>
      </c>
      <c r="S416">
        <v>139.86000000000001</v>
      </c>
      <c r="T416">
        <v>7</v>
      </c>
      <c r="U416">
        <v>0</v>
      </c>
      <c r="V416">
        <v>65.734200000000001</v>
      </c>
      <c r="W416">
        <f t="shared" si="27"/>
        <v>10.589400000000001</v>
      </c>
      <c r="X416">
        <v>1</v>
      </c>
    </row>
    <row r="417" spans="1:24" x14ac:dyDescent="0.3">
      <c r="A417">
        <v>416</v>
      </c>
      <c r="B417" t="s">
        <v>2191</v>
      </c>
      <c r="C417" s="6">
        <v>44612</v>
      </c>
      <c r="D417" t="str">
        <f t="shared" si="24"/>
        <v>Feb</v>
      </c>
      <c r="E417" t="str">
        <f t="shared" si="25"/>
        <v>2022</v>
      </c>
      <c r="F417" t="s">
        <v>4</v>
      </c>
      <c r="G417" t="s">
        <v>176</v>
      </c>
      <c r="H417" t="s">
        <v>815</v>
      </c>
      <c r="I417">
        <v>200</v>
      </c>
      <c r="J417">
        <v>14</v>
      </c>
      <c r="K417">
        <f t="shared" si="26"/>
        <v>7.0000000000000009</v>
      </c>
      <c r="L417" t="s">
        <v>1737</v>
      </c>
      <c r="M417" t="s">
        <v>3808</v>
      </c>
      <c r="N417" t="s">
        <v>1</v>
      </c>
      <c r="O417">
        <v>629251</v>
      </c>
      <c r="P417" t="s">
        <v>546</v>
      </c>
      <c r="Q417" t="s">
        <v>1761</v>
      </c>
      <c r="S417">
        <v>307.13600000000002</v>
      </c>
      <c r="T417">
        <v>4</v>
      </c>
      <c r="U417">
        <v>0.2</v>
      </c>
      <c r="V417">
        <v>26.874400000000001</v>
      </c>
      <c r="W417">
        <f t="shared" si="27"/>
        <v>70.065400000000011</v>
      </c>
      <c r="X417">
        <v>2</v>
      </c>
    </row>
    <row r="418" spans="1:24" x14ac:dyDescent="0.3">
      <c r="A418">
        <v>417</v>
      </c>
      <c r="B418" t="s">
        <v>2192</v>
      </c>
      <c r="C418" s="6">
        <v>44613</v>
      </c>
      <c r="D418" t="str">
        <f t="shared" si="24"/>
        <v>Feb</v>
      </c>
      <c r="E418" t="str">
        <f t="shared" si="25"/>
        <v>2022</v>
      </c>
      <c r="F418" t="s">
        <v>4</v>
      </c>
      <c r="G418" t="s">
        <v>177</v>
      </c>
      <c r="H418" t="s">
        <v>916</v>
      </c>
      <c r="I418">
        <v>230</v>
      </c>
      <c r="J418">
        <v>16</v>
      </c>
      <c r="K418">
        <f t="shared" si="26"/>
        <v>6.9565217391304346</v>
      </c>
      <c r="L418" t="s">
        <v>1743</v>
      </c>
      <c r="M418" t="s">
        <v>3833</v>
      </c>
      <c r="N418" t="s">
        <v>1</v>
      </c>
      <c r="O418">
        <v>629251</v>
      </c>
      <c r="P418" t="s">
        <v>546</v>
      </c>
      <c r="Q418" t="s">
        <v>1765</v>
      </c>
      <c r="S418">
        <v>95.92</v>
      </c>
      <c r="T418">
        <v>8</v>
      </c>
      <c r="U418">
        <v>0</v>
      </c>
      <c r="V418">
        <v>25.898399999999999</v>
      </c>
      <c r="W418">
        <f t="shared" si="27"/>
        <v>8.7527000000000008</v>
      </c>
      <c r="X418">
        <v>2</v>
      </c>
    </row>
    <row r="419" spans="1:24" x14ac:dyDescent="0.3">
      <c r="A419">
        <v>418</v>
      </c>
      <c r="B419" t="s">
        <v>2193</v>
      </c>
      <c r="C419" s="6">
        <v>44614</v>
      </c>
      <c r="D419" t="str">
        <f t="shared" si="24"/>
        <v>Feb</v>
      </c>
      <c r="E419" t="str">
        <f t="shared" si="25"/>
        <v>2022</v>
      </c>
      <c r="F419" t="s">
        <v>4</v>
      </c>
      <c r="G419" t="s">
        <v>178</v>
      </c>
      <c r="H419" t="s">
        <v>917</v>
      </c>
      <c r="I419">
        <v>180</v>
      </c>
      <c r="J419">
        <v>8</v>
      </c>
      <c r="K419">
        <f t="shared" si="26"/>
        <v>4.4444444444444446</v>
      </c>
      <c r="L419" t="s">
        <v>1738</v>
      </c>
      <c r="M419" t="s">
        <v>3681</v>
      </c>
      <c r="N419" t="s">
        <v>1</v>
      </c>
      <c r="O419">
        <v>560084</v>
      </c>
      <c r="P419" t="s">
        <v>546</v>
      </c>
      <c r="Q419" t="s">
        <v>1759</v>
      </c>
      <c r="S419">
        <v>383.8</v>
      </c>
      <c r="T419">
        <v>5</v>
      </c>
      <c r="U419">
        <v>0.2</v>
      </c>
      <c r="V419">
        <v>38.380000000000003</v>
      </c>
      <c r="W419">
        <f t="shared" si="27"/>
        <v>69.084000000000003</v>
      </c>
      <c r="X419">
        <v>3</v>
      </c>
    </row>
    <row r="420" spans="1:24" x14ac:dyDescent="0.3">
      <c r="A420">
        <v>419</v>
      </c>
      <c r="B420" t="s">
        <v>2194</v>
      </c>
      <c r="C420" s="6">
        <v>44615</v>
      </c>
      <c r="D420" t="str">
        <f t="shared" si="24"/>
        <v>Feb</v>
      </c>
      <c r="E420" t="str">
        <f t="shared" si="25"/>
        <v>2022</v>
      </c>
      <c r="F420" t="s">
        <v>4</v>
      </c>
      <c r="G420" t="s">
        <v>153</v>
      </c>
      <c r="H420" t="s">
        <v>918</v>
      </c>
      <c r="I420">
        <v>210</v>
      </c>
      <c r="J420">
        <v>22</v>
      </c>
      <c r="K420">
        <f t="shared" si="26"/>
        <v>10.476190476190476</v>
      </c>
      <c r="L420" t="s">
        <v>1739</v>
      </c>
      <c r="M420" t="s">
        <v>3682</v>
      </c>
      <c r="N420" t="s">
        <v>1</v>
      </c>
      <c r="O420">
        <v>400013</v>
      </c>
      <c r="P420" t="s">
        <v>546</v>
      </c>
      <c r="Q420" t="s">
        <v>1769</v>
      </c>
      <c r="S420">
        <v>5.78</v>
      </c>
      <c r="T420">
        <v>1</v>
      </c>
      <c r="U420">
        <v>0</v>
      </c>
      <c r="V420">
        <v>2.8321999999999998</v>
      </c>
      <c r="W420">
        <f t="shared" si="27"/>
        <v>2.9478000000000004</v>
      </c>
      <c r="X420">
        <v>2</v>
      </c>
    </row>
    <row r="421" spans="1:24" x14ac:dyDescent="0.3">
      <c r="A421">
        <v>420</v>
      </c>
      <c r="B421" t="s">
        <v>2195</v>
      </c>
      <c r="C421" s="6">
        <v>44616</v>
      </c>
      <c r="D421" t="str">
        <f t="shared" si="24"/>
        <v>Feb</v>
      </c>
      <c r="E421" t="str">
        <f t="shared" si="25"/>
        <v>2022</v>
      </c>
      <c r="F421" t="s">
        <v>4</v>
      </c>
      <c r="G421" t="s">
        <v>140</v>
      </c>
      <c r="H421" t="s">
        <v>919</v>
      </c>
      <c r="I421">
        <v>160</v>
      </c>
      <c r="J421">
        <v>16</v>
      </c>
      <c r="K421">
        <f t="shared" si="26"/>
        <v>10</v>
      </c>
      <c r="L421" t="s">
        <v>1741</v>
      </c>
      <c r="M421" t="s">
        <v>3810</v>
      </c>
      <c r="O421">
        <v>121004</v>
      </c>
      <c r="P421" t="s">
        <v>546</v>
      </c>
      <c r="Q421" t="s">
        <v>1759</v>
      </c>
      <c r="S421">
        <v>9.32</v>
      </c>
      <c r="T421">
        <v>4</v>
      </c>
      <c r="U421">
        <v>0</v>
      </c>
      <c r="V421">
        <v>2.7027999999999999</v>
      </c>
      <c r="W421">
        <f t="shared" si="27"/>
        <v>1.6543000000000001</v>
      </c>
      <c r="X421">
        <v>3</v>
      </c>
    </row>
    <row r="422" spans="1:24" x14ac:dyDescent="0.3">
      <c r="A422">
        <v>421</v>
      </c>
      <c r="B422" t="s">
        <v>2196</v>
      </c>
      <c r="C422" s="6">
        <v>44617</v>
      </c>
      <c r="D422" t="str">
        <f t="shared" si="24"/>
        <v>Feb</v>
      </c>
      <c r="E422" t="str">
        <f t="shared" si="25"/>
        <v>2022</v>
      </c>
      <c r="F422" t="s">
        <v>4</v>
      </c>
      <c r="G422" t="s">
        <v>140</v>
      </c>
      <c r="H422" t="s">
        <v>920</v>
      </c>
      <c r="I422">
        <v>240</v>
      </c>
      <c r="J422">
        <v>16</v>
      </c>
      <c r="K422">
        <f t="shared" si="26"/>
        <v>6.666666666666667</v>
      </c>
      <c r="L422" t="s">
        <v>1736</v>
      </c>
      <c r="M422" t="s">
        <v>3693</v>
      </c>
      <c r="N422" t="s">
        <v>1</v>
      </c>
      <c r="O422">
        <v>500028</v>
      </c>
      <c r="P422" t="s">
        <v>546</v>
      </c>
      <c r="Q422" t="s">
        <v>1759</v>
      </c>
      <c r="S422">
        <v>15.25</v>
      </c>
      <c r="T422">
        <v>1</v>
      </c>
      <c r="U422">
        <v>0</v>
      </c>
      <c r="V422">
        <v>7.0149999999999997</v>
      </c>
      <c r="W422">
        <f t="shared" si="27"/>
        <v>8.2349999999999994</v>
      </c>
      <c r="X422">
        <v>3</v>
      </c>
    </row>
    <row r="423" spans="1:24" x14ac:dyDescent="0.3">
      <c r="A423">
        <v>422</v>
      </c>
      <c r="B423" t="s">
        <v>2197</v>
      </c>
      <c r="C423" s="6">
        <v>44618</v>
      </c>
      <c r="D423" t="str">
        <f t="shared" si="24"/>
        <v>Feb</v>
      </c>
      <c r="E423" t="str">
        <f t="shared" si="25"/>
        <v>2022</v>
      </c>
      <c r="F423" t="s">
        <v>5</v>
      </c>
      <c r="G423" t="s">
        <v>39</v>
      </c>
      <c r="H423" t="s">
        <v>921</v>
      </c>
      <c r="I423">
        <v>100</v>
      </c>
      <c r="J423">
        <v>6</v>
      </c>
      <c r="K423">
        <f t="shared" si="26"/>
        <v>6</v>
      </c>
      <c r="L423" t="s">
        <v>1744</v>
      </c>
      <c r="M423" t="s">
        <v>3746</v>
      </c>
      <c r="N423" t="s">
        <v>1</v>
      </c>
      <c r="O423">
        <v>403509</v>
      </c>
      <c r="P423" t="s">
        <v>546</v>
      </c>
      <c r="Q423" t="s">
        <v>1770</v>
      </c>
      <c r="R423" t="s">
        <v>2</v>
      </c>
      <c r="S423">
        <v>196.75200000000001</v>
      </c>
      <c r="T423">
        <v>6</v>
      </c>
      <c r="U423">
        <v>0.2</v>
      </c>
      <c r="V423">
        <v>56.566200000000002</v>
      </c>
      <c r="W423">
        <f t="shared" si="27"/>
        <v>23.3643</v>
      </c>
      <c r="X423">
        <v>5</v>
      </c>
    </row>
    <row r="424" spans="1:24" x14ac:dyDescent="0.3">
      <c r="A424">
        <v>423</v>
      </c>
      <c r="B424" t="s">
        <v>2198</v>
      </c>
      <c r="C424" s="6">
        <v>44619</v>
      </c>
      <c r="D424" t="str">
        <f t="shared" si="24"/>
        <v>Feb</v>
      </c>
      <c r="E424" t="str">
        <f t="shared" si="25"/>
        <v>2022</v>
      </c>
      <c r="F424" t="s">
        <v>4</v>
      </c>
      <c r="G424" t="s">
        <v>179</v>
      </c>
      <c r="H424" t="s">
        <v>922</v>
      </c>
      <c r="I424">
        <v>100</v>
      </c>
      <c r="J424">
        <v>14</v>
      </c>
      <c r="K424">
        <f t="shared" si="26"/>
        <v>14.000000000000002</v>
      </c>
      <c r="L424" t="s">
        <v>1740</v>
      </c>
      <c r="M424" t="s">
        <v>3799</v>
      </c>
      <c r="O424">
        <v>403509</v>
      </c>
      <c r="P424" t="s">
        <v>546</v>
      </c>
      <c r="Q424" t="s">
        <v>1759</v>
      </c>
      <c r="S424">
        <v>56.56</v>
      </c>
      <c r="T424">
        <v>4</v>
      </c>
      <c r="U424">
        <v>0</v>
      </c>
      <c r="V424">
        <v>14.7056</v>
      </c>
      <c r="W424">
        <f t="shared" si="27"/>
        <v>10.4636</v>
      </c>
      <c r="X424">
        <v>1</v>
      </c>
    </row>
    <row r="425" spans="1:24" x14ac:dyDescent="0.3">
      <c r="A425">
        <v>424</v>
      </c>
      <c r="B425" t="s">
        <v>2199</v>
      </c>
      <c r="C425" s="6">
        <v>44620</v>
      </c>
      <c r="D425" t="str">
        <f t="shared" si="24"/>
        <v>Feb</v>
      </c>
      <c r="E425" t="str">
        <f t="shared" si="25"/>
        <v>2022</v>
      </c>
      <c r="F425" t="s">
        <v>4</v>
      </c>
      <c r="G425" t="s">
        <v>179</v>
      </c>
      <c r="H425" t="s">
        <v>923</v>
      </c>
      <c r="I425">
        <v>220</v>
      </c>
      <c r="J425">
        <v>12</v>
      </c>
      <c r="K425">
        <f t="shared" si="26"/>
        <v>5.4545454545454541</v>
      </c>
      <c r="L425" t="s">
        <v>1742</v>
      </c>
      <c r="M425" t="s">
        <v>3800</v>
      </c>
      <c r="N425" t="s">
        <v>1</v>
      </c>
      <c r="O425">
        <v>700159</v>
      </c>
      <c r="P425" t="s">
        <v>546</v>
      </c>
      <c r="Q425" t="s">
        <v>1755</v>
      </c>
      <c r="S425">
        <v>32.700000000000003</v>
      </c>
      <c r="T425">
        <v>3</v>
      </c>
      <c r="U425">
        <v>0</v>
      </c>
      <c r="V425">
        <v>8.5020000000000007</v>
      </c>
      <c r="W425">
        <f t="shared" si="27"/>
        <v>8.0660000000000007</v>
      </c>
      <c r="X425">
        <v>5</v>
      </c>
    </row>
    <row r="426" spans="1:24" x14ac:dyDescent="0.3">
      <c r="A426">
        <v>425</v>
      </c>
      <c r="B426" t="s">
        <v>2200</v>
      </c>
      <c r="C426" s="6">
        <v>44621</v>
      </c>
      <c r="D426" t="str">
        <f t="shared" si="24"/>
        <v>Mar</v>
      </c>
      <c r="E426" t="str">
        <f t="shared" si="25"/>
        <v>2022</v>
      </c>
      <c r="F426" t="s">
        <v>3</v>
      </c>
      <c r="G426" t="s">
        <v>180</v>
      </c>
      <c r="H426" t="s">
        <v>924</v>
      </c>
      <c r="I426">
        <v>110</v>
      </c>
      <c r="J426">
        <v>26</v>
      </c>
      <c r="K426">
        <f t="shared" si="26"/>
        <v>23.636363636363637</v>
      </c>
      <c r="L426" t="s">
        <v>1739</v>
      </c>
      <c r="M426" t="s">
        <v>3637</v>
      </c>
      <c r="N426" t="s">
        <v>1</v>
      </c>
      <c r="O426">
        <v>122001</v>
      </c>
      <c r="P426" t="s">
        <v>546</v>
      </c>
      <c r="Q426" t="s">
        <v>1761</v>
      </c>
      <c r="R426" t="s">
        <v>2</v>
      </c>
      <c r="S426">
        <v>866.4</v>
      </c>
      <c r="T426">
        <v>4</v>
      </c>
      <c r="U426">
        <v>0</v>
      </c>
      <c r="V426">
        <v>225.26400000000001</v>
      </c>
      <c r="W426">
        <f t="shared" si="27"/>
        <v>160.28399999999999</v>
      </c>
      <c r="X426">
        <v>2</v>
      </c>
    </row>
    <row r="427" spans="1:24" x14ac:dyDescent="0.3">
      <c r="A427">
        <v>426</v>
      </c>
      <c r="B427" t="s">
        <v>2201</v>
      </c>
      <c r="C427" s="6">
        <v>44622</v>
      </c>
      <c r="D427" t="str">
        <f t="shared" si="24"/>
        <v>Mar</v>
      </c>
      <c r="E427" t="str">
        <f t="shared" si="25"/>
        <v>2022</v>
      </c>
      <c r="F427" t="s">
        <v>3</v>
      </c>
      <c r="G427" t="s">
        <v>32</v>
      </c>
      <c r="H427" t="s">
        <v>925</v>
      </c>
      <c r="I427">
        <v>120</v>
      </c>
      <c r="J427">
        <v>14</v>
      </c>
      <c r="K427">
        <f t="shared" si="26"/>
        <v>11.666666666666666</v>
      </c>
      <c r="L427" t="s">
        <v>1738</v>
      </c>
      <c r="M427" t="s">
        <v>3814</v>
      </c>
      <c r="N427" t="s">
        <v>1</v>
      </c>
      <c r="O427">
        <v>122001</v>
      </c>
      <c r="P427" t="s">
        <v>546</v>
      </c>
      <c r="Q427" t="s">
        <v>1768</v>
      </c>
      <c r="S427">
        <v>28.4</v>
      </c>
      <c r="T427">
        <v>2</v>
      </c>
      <c r="U427">
        <v>0</v>
      </c>
      <c r="V427">
        <v>11.076000000000001</v>
      </c>
      <c r="W427">
        <f t="shared" si="27"/>
        <v>8.661999999999999</v>
      </c>
      <c r="X427">
        <v>1</v>
      </c>
    </row>
    <row r="428" spans="1:24" x14ac:dyDescent="0.3">
      <c r="A428">
        <v>427</v>
      </c>
      <c r="B428" t="s">
        <v>2202</v>
      </c>
      <c r="C428" s="6">
        <v>44623</v>
      </c>
      <c r="D428" t="str">
        <f t="shared" si="24"/>
        <v>Mar</v>
      </c>
      <c r="E428" t="str">
        <f t="shared" si="25"/>
        <v>2022</v>
      </c>
      <c r="F428" t="s">
        <v>3</v>
      </c>
      <c r="G428" t="s">
        <v>32</v>
      </c>
      <c r="H428" t="s">
        <v>926</v>
      </c>
      <c r="I428">
        <v>170</v>
      </c>
      <c r="J428">
        <v>24</v>
      </c>
      <c r="K428">
        <f t="shared" si="26"/>
        <v>14.117647058823529</v>
      </c>
      <c r="L428" t="s">
        <v>1737</v>
      </c>
      <c r="M428" t="s">
        <v>3813</v>
      </c>
      <c r="N428" t="s">
        <v>1</v>
      </c>
      <c r="O428">
        <v>560043</v>
      </c>
      <c r="P428" t="s">
        <v>546</v>
      </c>
      <c r="Q428" t="s">
        <v>1756</v>
      </c>
      <c r="S428">
        <v>287.92</v>
      </c>
      <c r="T428">
        <v>8</v>
      </c>
      <c r="U428">
        <v>0</v>
      </c>
      <c r="V428">
        <v>138.20160000000001</v>
      </c>
      <c r="W428">
        <f t="shared" si="27"/>
        <v>18.7148</v>
      </c>
      <c r="X428">
        <v>4</v>
      </c>
    </row>
    <row r="429" spans="1:24" x14ac:dyDescent="0.3">
      <c r="A429">
        <v>428</v>
      </c>
      <c r="B429" t="s">
        <v>2203</v>
      </c>
      <c r="C429" s="6">
        <v>44624</v>
      </c>
      <c r="D429" t="str">
        <f t="shared" si="24"/>
        <v>Mar</v>
      </c>
      <c r="E429" t="str">
        <f t="shared" si="25"/>
        <v>2022</v>
      </c>
      <c r="F429" t="s">
        <v>5</v>
      </c>
      <c r="G429" t="s">
        <v>181</v>
      </c>
      <c r="H429" t="s">
        <v>927</v>
      </c>
      <c r="I429">
        <v>180</v>
      </c>
      <c r="J429">
        <v>14</v>
      </c>
      <c r="K429">
        <f t="shared" si="26"/>
        <v>7.7777777777777777</v>
      </c>
      <c r="L429" t="s">
        <v>1743</v>
      </c>
      <c r="M429" t="s">
        <v>3610</v>
      </c>
      <c r="N429" t="s">
        <v>1</v>
      </c>
      <c r="O429">
        <v>422001</v>
      </c>
      <c r="P429" t="s">
        <v>546</v>
      </c>
      <c r="Q429" t="s">
        <v>1758</v>
      </c>
      <c r="S429">
        <v>69.989999999999995</v>
      </c>
      <c r="T429">
        <v>1</v>
      </c>
      <c r="U429">
        <v>0</v>
      </c>
      <c r="V429">
        <v>30.095700000000001</v>
      </c>
      <c r="W429">
        <f t="shared" si="27"/>
        <v>39.894299999999994</v>
      </c>
      <c r="X429">
        <v>1</v>
      </c>
    </row>
    <row r="430" spans="1:24" x14ac:dyDescent="0.3">
      <c r="A430">
        <v>429</v>
      </c>
      <c r="B430" t="s">
        <v>2204</v>
      </c>
      <c r="C430" s="6">
        <v>44625</v>
      </c>
      <c r="D430" t="str">
        <f t="shared" si="24"/>
        <v>Mar</v>
      </c>
      <c r="E430" t="str">
        <f t="shared" si="25"/>
        <v>2022</v>
      </c>
      <c r="F430" t="s">
        <v>4</v>
      </c>
      <c r="G430" t="s">
        <v>182</v>
      </c>
      <c r="H430" t="s">
        <v>928</v>
      </c>
      <c r="I430">
        <v>160</v>
      </c>
      <c r="J430">
        <v>24</v>
      </c>
      <c r="K430">
        <f t="shared" si="26"/>
        <v>15</v>
      </c>
      <c r="L430" t="s">
        <v>1738</v>
      </c>
      <c r="M430" t="s">
        <v>3807</v>
      </c>
      <c r="N430" t="s">
        <v>1</v>
      </c>
      <c r="O430">
        <v>221106</v>
      </c>
      <c r="P430" t="s">
        <v>546</v>
      </c>
      <c r="Q430" t="s">
        <v>1768</v>
      </c>
      <c r="S430">
        <v>6.6719999999999997</v>
      </c>
      <c r="T430">
        <v>6</v>
      </c>
      <c r="U430">
        <v>0.2</v>
      </c>
      <c r="V430">
        <v>0.50039999999999996</v>
      </c>
      <c r="W430">
        <f t="shared" si="27"/>
        <v>1.0286</v>
      </c>
      <c r="X430">
        <v>3</v>
      </c>
    </row>
    <row r="431" spans="1:24" x14ac:dyDescent="0.3">
      <c r="A431">
        <v>430</v>
      </c>
      <c r="B431" t="s">
        <v>2205</v>
      </c>
      <c r="C431" s="6">
        <v>44626</v>
      </c>
      <c r="D431" t="str">
        <f t="shared" si="24"/>
        <v>Mar</v>
      </c>
      <c r="E431" t="str">
        <f t="shared" si="25"/>
        <v>2022</v>
      </c>
      <c r="F431" t="s">
        <v>4</v>
      </c>
      <c r="G431" t="s">
        <v>183</v>
      </c>
      <c r="H431" t="s">
        <v>929</v>
      </c>
      <c r="I431">
        <v>170</v>
      </c>
      <c r="J431">
        <v>30</v>
      </c>
      <c r="K431">
        <f t="shared" si="26"/>
        <v>17.647058823529413</v>
      </c>
      <c r="L431" t="s">
        <v>1739</v>
      </c>
      <c r="M431" t="s">
        <v>3707</v>
      </c>
      <c r="O431">
        <v>121004</v>
      </c>
      <c r="P431" t="s">
        <v>546</v>
      </c>
      <c r="Q431" t="s">
        <v>1775</v>
      </c>
      <c r="S431">
        <v>189.58799999999999</v>
      </c>
      <c r="T431">
        <v>2</v>
      </c>
      <c r="U431">
        <v>0.7</v>
      </c>
      <c r="V431">
        <v>-145.35079999999999</v>
      </c>
      <c r="W431">
        <f t="shared" si="27"/>
        <v>167.46940000000001</v>
      </c>
      <c r="X431">
        <v>3</v>
      </c>
    </row>
    <row r="432" spans="1:24" x14ac:dyDescent="0.3">
      <c r="A432">
        <v>431</v>
      </c>
      <c r="B432" t="s">
        <v>2206</v>
      </c>
      <c r="C432" s="6">
        <v>44627</v>
      </c>
      <c r="D432" t="str">
        <f t="shared" si="24"/>
        <v>Mar</v>
      </c>
      <c r="E432" t="str">
        <f t="shared" si="25"/>
        <v>2022</v>
      </c>
      <c r="F432" t="s">
        <v>4</v>
      </c>
      <c r="G432" t="s">
        <v>183</v>
      </c>
      <c r="H432" t="s">
        <v>718</v>
      </c>
      <c r="I432">
        <v>220</v>
      </c>
      <c r="J432">
        <v>10</v>
      </c>
      <c r="K432">
        <f t="shared" si="26"/>
        <v>4.5454545454545459</v>
      </c>
      <c r="L432" t="s">
        <v>1741</v>
      </c>
      <c r="M432" t="s">
        <v>3805</v>
      </c>
      <c r="N432" t="s">
        <v>1</v>
      </c>
      <c r="O432">
        <v>713216</v>
      </c>
      <c r="P432" t="s">
        <v>546</v>
      </c>
      <c r="Q432" t="s">
        <v>1775</v>
      </c>
      <c r="S432">
        <v>408.74400000000003</v>
      </c>
      <c r="T432">
        <v>7</v>
      </c>
      <c r="U432">
        <v>0.2</v>
      </c>
      <c r="V432">
        <v>76.639499999999998</v>
      </c>
      <c r="W432">
        <f t="shared" si="27"/>
        <v>47.443500000000007</v>
      </c>
      <c r="X432">
        <v>1</v>
      </c>
    </row>
    <row r="433" spans="1:24" x14ac:dyDescent="0.3">
      <c r="A433">
        <v>432</v>
      </c>
      <c r="B433" t="s">
        <v>2207</v>
      </c>
      <c r="C433" s="6">
        <v>44628</v>
      </c>
      <c r="D433" t="str">
        <f t="shared" si="24"/>
        <v>Mar</v>
      </c>
      <c r="E433" t="str">
        <f t="shared" si="25"/>
        <v>2022</v>
      </c>
      <c r="F433" t="s">
        <v>4</v>
      </c>
      <c r="G433" t="s">
        <v>183</v>
      </c>
      <c r="H433" t="s">
        <v>718</v>
      </c>
      <c r="I433">
        <v>180</v>
      </c>
      <c r="J433">
        <v>10</v>
      </c>
      <c r="K433">
        <f t="shared" si="26"/>
        <v>5.5555555555555554</v>
      </c>
      <c r="L433" t="s">
        <v>1736</v>
      </c>
      <c r="M433" t="s">
        <v>3797</v>
      </c>
      <c r="N433" t="s">
        <v>1</v>
      </c>
      <c r="O433">
        <v>500008</v>
      </c>
      <c r="P433" t="s">
        <v>546</v>
      </c>
      <c r="Q433" t="s">
        <v>1757</v>
      </c>
      <c r="S433">
        <v>291.95999999999998</v>
      </c>
      <c r="T433">
        <v>5</v>
      </c>
      <c r="U433">
        <v>0.2</v>
      </c>
      <c r="V433">
        <v>54.7425</v>
      </c>
      <c r="W433">
        <f t="shared" si="27"/>
        <v>47.443499999999993</v>
      </c>
      <c r="X433">
        <v>3</v>
      </c>
    </row>
    <row r="434" spans="1:24" x14ac:dyDescent="0.3">
      <c r="A434">
        <v>433</v>
      </c>
      <c r="B434" t="s">
        <v>2208</v>
      </c>
      <c r="C434" s="6">
        <v>44629</v>
      </c>
      <c r="D434" t="str">
        <f t="shared" si="24"/>
        <v>Mar</v>
      </c>
      <c r="E434" t="str">
        <f t="shared" si="25"/>
        <v>2022</v>
      </c>
      <c r="F434" t="s">
        <v>4</v>
      </c>
      <c r="G434" t="s">
        <v>183</v>
      </c>
      <c r="H434" t="s">
        <v>930</v>
      </c>
      <c r="I434">
        <v>130</v>
      </c>
      <c r="J434">
        <v>14</v>
      </c>
      <c r="K434">
        <f t="shared" si="26"/>
        <v>10.76923076923077</v>
      </c>
      <c r="L434" t="s">
        <v>1744</v>
      </c>
      <c r="M434" t="s">
        <v>3685</v>
      </c>
      <c r="O434">
        <v>201303</v>
      </c>
      <c r="P434" t="s">
        <v>546</v>
      </c>
      <c r="Q434" t="s">
        <v>1771</v>
      </c>
      <c r="S434">
        <v>4.7679999999999998</v>
      </c>
      <c r="T434">
        <v>2</v>
      </c>
      <c r="U434">
        <v>0.2</v>
      </c>
      <c r="V434">
        <v>-0.77480000000000004</v>
      </c>
      <c r="W434">
        <f t="shared" si="27"/>
        <v>2.7713999999999999</v>
      </c>
      <c r="X434">
        <v>2</v>
      </c>
    </row>
    <row r="435" spans="1:24" x14ac:dyDescent="0.3">
      <c r="A435">
        <v>434</v>
      </c>
      <c r="B435" t="s">
        <v>2209</v>
      </c>
      <c r="C435" s="6">
        <v>44630</v>
      </c>
      <c r="D435" t="str">
        <f t="shared" si="24"/>
        <v>Mar</v>
      </c>
      <c r="E435" t="str">
        <f t="shared" si="25"/>
        <v>2022</v>
      </c>
      <c r="F435" t="s">
        <v>5</v>
      </c>
      <c r="G435" t="s">
        <v>79</v>
      </c>
      <c r="H435" t="s">
        <v>931</v>
      </c>
      <c r="I435">
        <v>110</v>
      </c>
      <c r="J435">
        <v>6</v>
      </c>
      <c r="K435">
        <f t="shared" si="26"/>
        <v>5.4545454545454541</v>
      </c>
      <c r="L435" t="s">
        <v>1740</v>
      </c>
      <c r="M435" t="s">
        <v>3791</v>
      </c>
      <c r="N435" t="s">
        <v>1</v>
      </c>
      <c r="O435">
        <v>600091</v>
      </c>
      <c r="P435" t="s">
        <v>546</v>
      </c>
      <c r="Q435" t="s">
        <v>1756</v>
      </c>
      <c r="S435">
        <v>714.3</v>
      </c>
      <c r="T435">
        <v>5</v>
      </c>
      <c r="U435">
        <v>0</v>
      </c>
      <c r="V435">
        <v>207.14699999999999</v>
      </c>
      <c r="W435">
        <f t="shared" si="27"/>
        <v>101.4306</v>
      </c>
      <c r="X435">
        <v>3</v>
      </c>
    </row>
    <row r="436" spans="1:24" x14ac:dyDescent="0.3">
      <c r="A436">
        <v>435</v>
      </c>
      <c r="B436" t="s">
        <v>2210</v>
      </c>
      <c r="C436" s="6">
        <v>44631</v>
      </c>
      <c r="D436" t="str">
        <f t="shared" si="24"/>
        <v>Mar</v>
      </c>
      <c r="E436" t="str">
        <f t="shared" si="25"/>
        <v>2022</v>
      </c>
      <c r="F436" t="s">
        <v>4</v>
      </c>
      <c r="G436" t="s">
        <v>184</v>
      </c>
      <c r="H436" t="s">
        <v>932</v>
      </c>
      <c r="I436">
        <v>120</v>
      </c>
      <c r="J436">
        <v>16</v>
      </c>
      <c r="K436">
        <f t="shared" si="26"/>
        <v>13.333333333333334</v>
      </c>
      <c r="L436" t="s">
        <v>1742</v>
      </c>
      <c r="M436" t="s">
        <v>3647</v>
      </c>
      <c r="N436" t="s">
        <v>1</v>
      </c>
      <c r="O436">
        <v>122004</v>
      </c>
      <c r="P436" t="s">
        <v>546</v>
      </c>
      <c r="Q436" t="s">
        <v>1759</v>
      </c>
      <c r="S436">
        <v>4.8120000000000003</v>
      </c>
      <c r="T436">
        <v>2</v>
      </c>
      <c r="U436">
        <v>0.7</v>
      </c>
      <c r="V436">
        <v>-3.6892</v>
      </c>
      <c r="W436">
        <f t="shared" si="27"/>
        <v>4.2506000000000004</v>
      </c>
      <c r="X436">
        <v>5</v>
      </c>
    </row>
    <row r="437" spans="1:24" x14ac:dyDescent="0.3">
      <c r="A437">
        <v>436</v>
      </c>
      <c r="B437" t="s">
        <v>2211</v>
      </c>
      <c r="C437" s="6">
        <v>44632</v>
      </c>
      <c r="D437" t="str">
        <f t="shared" si="24"/>
        <v>Mar</v>
      </c>
      <c r="E437" t="str">
        <f t="shared" si="25"/>
        <v>2022</v>
      </c>
      <c r="F437" t="s">
        <v>4</v>
      </c>
      <c r="G437" t="s">
        <v>184</v>
      </c>
      <c r="H437" t="s">
        <v>933</v>
      </c>
      <c r="I437">
        <v>220</v>
      </c>
      <c r="J437">
        <v>20</v>
      </c>
      <c r="K437">
        <f t="shared" si="26"/>
        <v>9.0909090909090917</v>
      </c>
      <c r="L437" t="s">
        <v>1739</v>
      </c>
      <c r="M437" t="s">
        <v>3697</v>
      </c>
      <c r="N437" t="s">
        <v>1</v>
      </c>
      <c r="O437">
        <v>560095</v>
      </c>
      <c r="P437" t="s">
        <v>546</v>
      </c>
      <c r="Q437" t="s">
        <v>1769</v>
      </c>
      <c r="S437">
        <v>247.8</v>
      </c>
      <c r="T437">
        <v>5</v>
      </c>
      <c r="U437">
        <v>0.2</v>
      </c>
      <c r="V437">
        <v>-18.585000000000001</v>
      </c>
      <c r="W437">
        <f t="shared" si="27"/>
        <v>53.277000000000001</v>
      </c>
      <c r="X437">
        <v>3</v>
      </c>
    </row>
    <row r="438" spans="1:24" x14ac:dyDescent="0.3">
      <c r="A438">
        <v>437</v>
      </c>
      <c r="B438" t="s">
        <v>2212</v>
      </c>
      <c r="C438" s="6">
        <v>44633</v>
      </c>
      <c r="D438" t="str">
        <f t="shared" si="24"/>
        <v>Mar</v>
      </c>
      <c r="E438" t="str">
        <f t="shared" si="25"/>
        <v>2022</v>
      </c>
      <c r="F438" t="s">
        <v>3</v>
      </c>
      <c r="G438" t="s">
        <v>185</v>
      </c>
      <c r="H438" t="s">
        <v>934</v>
      </c>
      <c r="I438">
        <v>170</v>
      </c>
      <c r="J438">
        <v>8</v>
      </c>
      <c r="K438">
        <f t="shared" si="26"/>
        <v>4.7058823529411766</v>
      </c>
      <c r="L438" t="s">
        <v>1738</v>
      </c>
      <c r="M438" t="s">
        <v>3801</v>
      </c>
      <c r="N438" t="s">
        <v>1</v>
      </c>
      <c r="O438">
        <v>560095</v>
      </c>
      <c r="P438" t="s">
        <v>546</v>
      </c>
      <c r="Q438" t="s">
        <v>1756</v>
      </c>
      <c r="S438">
        <v>1007.979</v>
      </c>
      <c r="T438">
        <v>3</v>
      </c>
      <c r="U438">
        <v>0.3</v>
      </c>
      <c r="V438">
        <v>43.199100000000001</v>
      </c>
      <c r="W438">
        <f t="shared" si="27"/>
        <v>321.5933</v>
      </c>
      <c r="X438">
        <v>3</v>
      </c>
    </row>
    <row r="439" spans="1:24" x14ac:dyDescent="0.3">
      <c r="A439">
        <v>438</v>
      </c>
      <c r="B439" t="s">
        <v>2213</v>
      </c>
      <c r="C439" s="6">
        <v>44634</v>
      </c>
      <c r="D439" t="str">
        <f t="shared" si="24"/>
        <v>Mar</v>
      </c>
      <c r="E439" t="str">
        <f t="shared" si="25"/>
        <v>2022</v>
      </c>
      <c r="F439" t="s">
        <v>3</v>
      </c>
      <c r="G439" t="s">
        <v>185</v>
      </c>
      <c r="H439" t="s">
        <v>861</v>
      </c>
      <c r="I439">
        <v>200</v>
      </c>
      <c r="J439">
        <v>12</v>
      </c>
      <c r="K439">
        <f t="shared" si="26"/>
        <v>6</v>
      </c>
      <c r="L439" t="s">
        <v>1737</v>
      </c>
      <c r="M439" t="s">
        <v>3787</v>
      </c>
      <c r="N439" t="s">
        <v>1</v>
      </c>
      <c r="O439">
        <v>390025</v>
      </c>
      <c r="P439" t="s">
        <v>546</v>
      </c>
      <c r="Q439" t="s">
        <v>1772</v>
      </c>
      <c r="S439">
        <v>313.488</v>
      </c>
      <c r="T439">
        <v>7</v>
      </c>
      <c r="U439">
        <v>0.2</v>
      </c>
      <c r="V439">
        <v>113.63939999999999</v>
      </c>
      <c r="W439">
        <f t="shared" si="27"/>
        <v>28.549800000000001</v>
      </c>
      <c r="X439">
        <v>4</v>
      </c>
    </row>
    <row r="440" spans="1:24" x14ac:dyDescent="0.3">
      <c r="A440">
        <v>439</v>
      </c>
      <c r="B440" t="s">
        <v>2214</v>
      </c>
      <c r="C440" s="6">
        <v>44635</v>
      </c>
      <c r="D440" t="str">
        <f t="shared" si="24"/>
        <v>Mar</v>
      </c>
      <c r="E440" t="str">
        <f t="shared" si="25"/>
        <v>2022</v>
      </c>
      <c r="F440" t="s">
        <v>4</v>
      </c>
      <c r="G440" t="s">
        <v>186</v>
      </c>
      <c r="H440" t="s">
        <v>935</v>
      </c>
      <c r="I440">
        <v>150</v>
      </c>
      <c r="J440">
        <v>20</v>
      </c>
      <c r="K440">
        <f t="shared" si="26"/>
        <v>13.333333333333334</v>
      </c>
      <c r="L440" t="s">
        <v>1743</v>
      </c>
      <c r="M440" t="s">
        <v>3736</v>
      </c>
      <c r="N440" t="s">
        <v>1</v>
      </c>
      <c r="O440">
        <v>560095</v>
      </c>
      <c r="P440" t="s">
        <v>546</v>
      </c>
      <c r="Q440" t="s">
        <v>1759</v>
      </c>
      <c r="S440">
        <v>31.872</v>
      </c>
      <c r="T440">
        <v>8</v>
      </c>
      <c r="U440">
        <v>0.2</v>
      </c>
      <c r="V440">
        <v>11.553599999999999</v>
      </c>
      <c r="W440">
        <f t="shared" si="27"/>
        <v>2.5398000000000001</v>
      </c>
      <c r="X440">
        <v>2</v>
      </c>
    </row>
    <row r="441" spans="1:24" x14ac:dyDescent="0.3">
      <c r="A441">
        <v>440</v>
      </c>
      <c r="B441" t="s">
        <v>2215</v>
      </c>
      <c r="C441" s="6">
        <v>44636</v>
      </c>
      <c r="D441" t="str">
        <f t="shared" si="24"/>
        <v>Mar</v>
      </c>
      <c r="E441" t="str">
        <f t="shared" si="25"/>
        <v>2022</v>
      </c>
      <c r="F441" t="s">
        <v>3</v>
      </c>
      <c r="G441" t="s">
        <v>58</v>
      </c>
      <c r="H441" t="s">
        <v>936</v>
      </c>
      <c r="I441">
        <v>220</v>
      </c>
      <c r="J441">
        <v>14</v>
      </c>
      <c r="K441">
        <f t="shared" si="26"/>
        <v>6.3636363636363633</v>
      </c>
      <c r="L441" t="s">
        <v>1738</v>
      </c>
      <c r="M441" t="s">
        <v>3804</v>
      </c>
      <c r="N441" t="s">
        <v>1</v>
      </c>
      <c r="O441">
        <v>600092</v>
      </c>
      <c r="P441" t="s">
        <v>546</v>
      </c>
      <c r="Q441" t="s">
        <v>1776</v>
      </c>
      <c r="R441" t="s">
        <v>2</v>
      </c>
      <c r="S441">
        <v>207.846</v>
      </c>
      <c r="T441">
        <v>3</v>
      </c>
      <c r="U441">
        <v>0.1</v>
      </c>
      <c r="V441">
        <v>2.3094000000000001</v>
      </c>
      <c r="W441">
        <f t="shared" si="27"/>
        <v>68.512199999999993</v>
      </c>
      <c r="X441">
        <v>1</v>
      </c>
    </row>
    <row r="442" spans="1:24" x14ac:dyDescent="0.3">
      <c r="A442">
        <v>441</v>
      </c>
      <c r="B442" t="s">
        <v>2216</v>
      </c>
      <c r="C442" s="6">
        <v>44637</v>
      </c>
      <c r="D442" t="str">
        <f t="shared" si="24"/>
        <v>Mar</v>
      </c>
      <c r="E442" t="str">
        <f t="shared" si="25"/>
        <v>2022</v>
      </c>
      <c r="F442" t="s">
        <v>3</v>
      </c>
      <c r="G442" t="s">
        <v>14</v>
      </c>
      <c r="H442" t="s">
        <v>937</v>
      </c>
      <c r="I442">
        <v>250</v>
      </c>
      <c r="J442">
        <v>30</v>
      </c>
      <c r="K442">
        <f t="shared" si="26"/>
        <v>12</v>
      </c>
      <c r="L442" t="s">
        <v>1739</v>
      </c>
      <c r="M442" t="s">
        <v>3588</v>
      </c>
      <c r="N442" t="s">
        <v>1</v>
      </c>
      <c r="O442">
        <v>682024</v>
      </c>
      <c r="P442" t="s">
        <v>546</v>
      </c>
      <c r="Q442" t="s">
        <v>1763</v>
      </c>
      <c r="S442">
        <v>12.22</v>
      </c>
      <c r="T442">
        <v>1</v>
      </c>
      <c r="U442">
        <v>0</v>
      </c>
      <c r="V442">
        <v>3.6659999999999999</v>
      </c>
      <c r="W442">
        <f t="shared" si="27"/>
        <v>8.5540000000000003</v>
      </c>
      <c r="X442">
        <v>3</v>
      </c>
    </row>
    <row r="443" spans="1:24" x14ac:dyDescent="0.3">
      <c r="A443">
        <v>442</v>
      </c>
      <c r="B443" t="s">
        <v>2217</v>
      </c>
      <c r="C443" s="6">
        <v>44638</v>
      </c>
      <c r="D443" t="str">
        <f t="shared" si="24"/>
        <v>Mar</v>
      </c>
      <c r="E443" t="str">
        <f t="shared" si="25"/>
        <v>2022</v>
      </c>
      <c r="F443" t="s">
        <v>3</v>
      </c>
      <c r="G443" t="s">
        <v>14</v>
      </c>
      <c r="H443" t="s">
        <v>938</v>
      </c>
      <c r="I443">
        <v>240</v>
      </c>
      <c r="J443">
        <v>24</v>
      </c>
      <c r="K443">
        <f t="shared" si="26"/>
        <v>10</v>
      </c>
      <c r="L443" t="s">
        <v>1741</v>
      </c>
      <c r="M443" t="s">
        <v>3789</v>
      </c>
      <c r="N443" t="s">
        <v>1</v>
      </c>
      <c r="O443">
        <v>176310</v>
      </c>
      <c r="P443" t="s">
        <v>546</v>
      </c>
      <c r="Q443" t="s">
        <v>1768</v>
      </c>
      <c r="S443">
        <v>194.94</v>
      </c>
      <c r="T443">
        <v>3</v>
      </c>
      <c r="U443">
        <v>0</v>
      </c>
      <c r="V443">
        <v>23.392800000000001</v>
      </c>
      <c r="W443">
        <f t="shared" si="27"/>
        <v>57.182400000000001</v>
      </c>
      <c r="X443">
        <v>2</v>
      </c>
    </row>
    <row r="444" spans="1:24" x14ac:dyDescent="0.3">
      <c r="A444">
        <v>443</v>
      </c>
      <c r="B444" t="s">
        <v>2218</v>
      </c>
      <c r="C444" s="6">
        <v>44639</v>
      </c>
      <c r="D444" t="str">
        <f t="shared" si="24"/>
        <v>Mar</v>
      </c>
      <c r="E444" t="str">
        <f t="shared" si="25"/>
        <v>2022</v>
      </c>
      <c r="F444" t="s">
        <v>3</v>
      </c>
      <c r="G444" t="s">
        <v>14</v>
      </c>
      <c r="H444" t="s">
        <v>939</v>
      </c>
      <c r="I444">
        <v>210</v>
      </c>
      <c r="J444">
        <v>12</v>
      </c>
      <c r="K444">
        <f t="shared" si="26"/>
        <v>5.7142857142857144</v>
      </c>
      <c r="L444" t="s">
        <v>1736</v>
      </c>
      <c r="M444" t="s">
        <v>3790</v>
      </c>
      <c r="N444" t="s">
        <v>1</v>
      </c>
      <c r="O444">
        <v>226010</v>
      </c>
      <c r="P444" t="s">
        <v>546</v>
      </c>
      <c r="Q444" t="s">
        <v>1773</v>
      </c>
      <c r="S444">
        <v>70.95</v>
      </c>
      <c r="T444">
        <v>3</v>
      </c>
      <c r="U444">
        <v>0</v>
      </c>
      <c r="V444">
        <v>20.575500000000002</v>
      </c>
      <c r="W444">
        <f t="shared" si="27"/>
        <v>16.791499999999999</v>
      </c>
      <c r="X444">
        <v>3</v>
      </c>
    </row>
    <row r="445" spans="1:24" x14ac:dyDescent="0.3">
      <c r="A445">
        <v>444</v>
      </c>
      <c r="B445" t="s">
        <v>2219</v>
      </c>
      <c r="C445" s="6">
        <v>44640</v>
      </c>
      <c r="D445" t="str">
        <f t="shared" si="24"/>
        <v>Mar</v>
      </c>
      <c r="E445" t="str">
        <f t="shared" si="25"/>
        <v>2022</v>
      </c>
      <c r="F445" t="s">
        <v>3</v>
      </c>
      <c r="G445" t="s">
        <v>14</v>
      </c>
      <c r="H445" t="s">
        <v>940</v>
      </c>
      <c r="I445">
        <v>190</v>
      </c>
      <c r="J445">
        <v>30</v>
      </c>
      <c r="K445">
        <f t="shared" si="26"/>
        <v>15.789473684210526</v>
      </c>
      <c r="L445" t="s">
        <v>1744</v>
      </c>
      <c r="M445" t="s">
        <v>3798</v>
      </c>
      <c r="N445" t="s">
        <v>1</v>
      </c>
      <c r="O445">
        <v>410218</v>
      </c>
      <c r="P445" t="s">
        <v>546</v>
      </c>
      <c r="Q445" t="s">
        <v>1759</v>
      </c>
      <c r="S445">
        <v>91.36</v>
      </c>
      <c r="T445">
        <v>4</v>
      </c>
      <c r="U445">
        <v>0</v>
      </c>
      <c r="V445">
        <v>42.025599999999997</v>
      </c>
      <c r="W445">
        <f t="shared" si="27"/>
        <v>12.333600000000001</v>
      </c>
      <c r="X445">
        <v>1</v>
      </c>
    </row>
    <row r="446" spans="1:24" x14ac:dyDescent="0.3">
      <c r="A446">
        <v>445</v>
      </c>
      <c r="B446" t="s">
        <v>2220</v>
      </c>
      <c r="C446" s="6">
        <v>44641</v>
      </c>
      <c r="D446" t="str">
        <f t="shared" si="24"/>
        <v>Mar</v>
      </c>
      <c r="E446" t="str">
        <f t="shared" si="25"/>
        <v>2022</v>
      </c>
      <c r="F446" t="s">
        <v>3</v>
      </c>
      <c r="G446" t="s">
        <v>14</v>
      </c>
      <c r="H446" t="s">
        <v>941</v>
      </c>
      <c r="I446">
        <v>140</v>
      </c>
      <c r="J446">
        <v>6</v>
      </c>
      <c r="K446">
        <f t="shared" si="26"/>
        <v>4.2857142857142856</v>
      </c>
      <c r="L446" t="s">
        <v>1740</v>
      </c>
      <c r="M446" t="s">
        <v>3834</v>
      </c>
      <c r="N446" t="s">
        <v>1</v>
      </c>
      <c r="O446">
        <v>411041</v>
      </c>
      <c r="P446" t="s">
        <v>546</v>
      </c>
      <c r="Q446" t="s">
        <v>1771</v>
      </c>
      <c r="S446">
        <v>242.94</v>
      </c>
      <c r="T446">
        <v>3</v>
      </c>
      <c r="U446">
        <v>0</v>
      </c>
      <c r="V446">
        <v>29.152799999999999</v>
      </c>
      <c r="W446">
        <f t="shared" si="27"/>
        <v>71.2624</v>
      </c>
      <c r="X446">
        <v>3</v>
      </c>
    </row>
    <row r="447" spans="1:24" x14ac:dyDescent="0.3">
      <c r="A447">
        <v>446</v>
      </c>
      <c r="B447" t="s">
        <v>2221</v>
      </c>
      <c r="C447" s="6">
        <v>44642</v>
      </c>
      <c r="D447" t="str">
        <f t="shared" si="24"/>
        <v>Mar</v>
      </c>
      <c r="E447" t="str">
        <f t="shared" si="25"/>
        <v>2022</v>
      </c>
      <c r="F447" t="s">
        <v>3</v>
      </c>
      <c r="G447" t="s">
        <v>14</v>
      </c>
      <c r="H447" t="s">
        <v>942</v>
      </c>
      <c r="I447">
        <v>220</v>
      </c>
      <c r="J447">
        <v>30</v>
      </c>
      <c r="K447">
        <f t="shared" si="26"/>
        <v>13.636363636363635</v>
      </c>
      <c r="L447" t="s">
        <v>1742</v>
      </c>
      <c r="M447" t="s">
        <v>3776</v>
      </c>
      <c r="N447" t="s">
        <v>1</v>
      </c>
      <c r="O447">
        <v>600001</v>
      </c>
      <c r="P447" t="s">
        <v>546</v>
      </c>
      <c r="Q447" t="s">
        <v>1759</v>
      </c>
      <c r="S447">
        <v>22.05</v>
      </c>
      <c r="T447">
        <v>7</v>
      </c>
      <c r="U447">
        <v>0</v>
      </c>
      <c r="V447">
        <v>10.584</v>
      </c>
      <c r="W447">
        <f t="shared" si="27"/>
        <v>1.6380000000000001</v>
      </c>
      <c r="X447">
        <v>3</v>
      </c>
    </row>
    <row r="448" spans="1:24" x14ac:dyDescent="0.3">
      <c r="A448">
        <v>447</v>
      </c>
      <c r="B448" t="s">
        <v>2222</v>
      </c>
      <c r="C448" s="6">
        <v>44643</v>
      </c>
      <c r="D448" t="str">
        <f t="shared" si="24"/>
        <v>Mar</v>
      </c>
      <c r="E448" t="str">
        <f t="shared" si="25"/>
        <v>2022</v>
      </c>
      <c r="F448" t="s">
        <v>3</v>
      </c>
      <c r="G448" t="s">
        <v>187</v>
      </c>
      <c r="H448" t="s">
        <v>943</v>
      </c>
      <c r="I448">
        <v>160</v>
      </c>
      <c r="J448">
        <v>22</v>
      </c>
      <c r="K448">
        <f t="shared" si="26"/>
        <v>13.750000000000002</v>
      </c>
      <c r="L448" t="s">
        <v>1739</v>
      </c>
      <c r="M448" t="s">
        <v>3785</v>
      </c>
      <c r="N448" t="s">
        <v>1</v>
      </c>
      <c r="O448">
        <v>682023</v>
      </c>
      <c r="P448" t="s">
        <v>546</v>
      </c>
      <c r="Q448" t="s">
        <v>1759</v>
      </c>
      <c r="S448">
        <v>2.91</v>
      </c>
      <c r="T448">
        <v>1</v>
      </c>
      <c r="U448">
        <v>0</v>
      </c>
      <c r="V448">
        <v>1.3676999999999999</v>
      </c>
      <c r="W448">
        <f t="shared" si="27"/>
        <v>1.5423000000000002</v>
      </c>
      <c r="X448">
        <v>3</v>
      </c>
    </row>
    <row r="449" spans="1:24" x14ac:dyDescent="0.3">
      <c r="A449">
        <v>448</v>
      </c>
      <c r="B449" t="s">
        <v>2223</v>
      </c>
      <c r="C449" s="6">
        <v>44644</v>
      </c>
      <c r="D449" t="str">
        <f t="shared" si="24"/>
        <v>Mar</v>
      </c>
      <c r="E449" t="str">
        <f t="shared" si="25"/>
        <v>2022</v>
      </c>
      <c r="F449" t="s">
        <v>3</v>
      </c>
      <c r="G449" t="s">
        <v>188</v>
      </c>
      <c r="H449" t="s">
        <v>944</v>
      </c>
      <c r="I449">
        <v>200</v>
      </c>
      <c r="J449">
        <v>12</v>
      </c>
      <c r="K449">
        <f t="shared" si="26"/>
        <v>6</v>
      </c>
      <c r="L449" t="s">
        <v>1738</v>
      </c>
      <c r="M449" t="s">
        <v>3788</v>
      </c>
      <c r="N449" t="s">
        <v>1</v>
      </c>
      <c r="O449">
        <v>682023</v>
      </c>
      <c r="P449" t="s">
        <v>546</v>
      </c>
      <c r="Q449" t="s">
        <v>1767</v>
      </c>
      <c r="S449">
        <v>59.52</v>
      </c>
      <c r="T449">
        <v>3</v>
      </c>
      <c r="U449">
        <v>0</v>
      </c>
      <c r="V449">
        <v>15.475199999999999</v>
      </c>
      <c r="W449">
        <f t="shared" si="27"/>
        <v>14.681600000000001</v>
      </c>
      <c r="X449">
        <v>3</v>
      </c>
    </row>
    <row r="450" spans="1:24" x14ac:dyDescent="0.3">
      <c r="A450">
        <v>449</v>
      </c>
      <c r="B450" t="s">
        <v>2224</v>
      </c>
      <c r="C450" s="6">
        <v>44645</v>
      </c>
      <c r="D450" t="str">
        <f t="shared" si="24"/>
        <v>Mar</v>
      </c>
      <c r="E450" t="str">
        <f t="shared" si="25"/>
        <v>2022</v>
      </c>
      <c r="F450" t="s">
        <v>3</v>
      </c>
      <c r="G450" t="s">
        <v>188</v>
      </c>
      <c r="H450" t="s">
        <v>945</v>
      </c>
      <c r="I450">
        <v>100</v>
      </c>
      <c r="J450">
        <v>8</v>
      </c>
      <c r="K450">
        <f t="shared" si="26"/>
        <v>8</v>
      </c>
      <c r="L450" t="s">
        <v>1737</v>
      </c>
      <c r="M450" t="s">
        <v>3768</v>
      </c>
      <c r="N450" t="s">
        <v>1</v>
      </c>
      <c r="O450">
        <v>460004</v>
      </c>
      <c r="P450" t="s">
        <v>546</v>
      </c>
      <c r="Q450" t="s">
        <v>1771</v>
      </c>
      <c r="S450">
        <v>161.94</v>
      </c>
      <c r="T450">
        <v>3</v>
      </c>
      <c r="U450">
        <v>0</v>
      </c>
      <c r="V450">
        <v>9.7164000000000001</v>
      </c>
      <c r="W450">
        <f t="shared" si="27"/>
        <v>50.741199999999999</v>
      </c>
      <c r="X450">
        <v>2</v>
      </c>
    </row>
    <row r="451" spans="1:24" x14ac:dyDescent="0.3">
      <c r="A451">
        <v>450</v>
      </c>
      <c r="B451" t="s">
        <v>2225</v>
      </c>
      <c r="C451" s="6">
        <v>44646</v>
      </c>
      <c r="D451" t="str">
        <f t="shared" ref="D451:D514" si="28">TEXT(C451,"Mmm")</f>
        <v>Mar</v>
      </c>
      <c r="E451" t="str">
        <f t="shared" ref="E451:E514" si="29">TEXT(C451,"YYYY")</f>
        <v>2022</v>
      </c>
      <c r="F451" t="s">
        <v>3</v>
      </c>
      <c r="G451" t="s">
        <v>188</v>
      </c>
      <c r="H451" t="s">
        <v>946</v>
      </c>
      <c r="I451">
        <v>130</v>
      </c>
      <c r="J451">
        <v>14</v>
      </c>
      <c r="K451">
        <f t="shared" ref="K451:K514" si="30">(J451/I451)*100</f>
        <v>10.76923076923077</v>
      </c>
      <c r="L451" t="s">
        <v>1743</v>
      </c>
      <c r="M451" t="s">
        <v>3769</v>
      </c>
      <c r="N451" t="s">
        <v>1</v>
      </c>
      <c r="O451">
        <v>834002</v>
      </c>
      <c r="P451" t="s">
        <v>546</v>
      </c>
      <c r="Q451" t="s">
        <v>1775</v>
      </c>
      <c r="S451">
        <v>263.88</v>
      </c>
      <c r="T451">
        <v>6</v>
      </c>
      <c r="U451">
        <v>0</v>
      </c>
      <c r="V451">
        <v>71.247600000000006</v>
      </c>
      <c r="W451">
        <f t="shared" ref="W451:W514" si="31">(S451-V451)/T451</f>
        <v>32.105399999999996</v>
      </c>
      <c r="X451">
        <v>1</v>
      </c>
    </row>
    <row r="452" spans="1:24" x14ac:dyDescent="0.3">
      <c r="A452">
        <v>451</v>
      </c>
      <c r="B452" t="s">
        <v>2226</v>
      </c>
      <c r="C452" s="6">
        <v>44647</v>
      </c>
      <c r="D452" t="str">
        <f t="shared" si="28"/>
        <v>Mar</v>
      </c>
      <c r="E452" t="str">
        <f t="shared" si="29"/>
        <v>2022</v>
      </c>
      <c r="F452" t="s">
        <v>3</v>
      </c>
      <c r="G452" t="s">
        <v>188</v>
      </c>
      <c r="H452" t="s">
        <v>947</v>
      </c>
      <c r="I452">
        <v>120</v>
      </c>
      <c r="J452">
        <v>12</v>
      </c>
      <c r="K452">
        <f t="shared" si="30"/>
        <v>10</v>
      </c>
      <c r="L452" t="s">
        <v>1738</v>
      </c>
      <c r="M452" t="s">
        <v>3770</v>
      </c>
      <c r="N452" t="s">
        <v>1</v>
      </c>
      <c r="O452">
        <v>637505</v>
      </c>
      <c r="P452" t="s">
        <v>546</v>
      </c>
      <c r="Q452" t="s">
        <v>1757</v>
      </c>
      <c r="S452">
        <v>30.48</v>
      </c>
      <c r="T452">
        <v>3</v>
      </c>
      <c r="U452">
        <v>0</v>
      </c>
      <c r="V452">
        <v>7.9248000000000003</v>
      </c>
      <c r="W452">
        <f t="shared" si="31"/>
        <v>7.5183999999999997</v>
      </c>
      <c r="X452">
        <v>3</v>
      </c>
    </row>
    <row r="453" spans="1:24" x14ac:dyDescent="0.3">
      <c r="A453">
        <v>452</v>
      </c>
      <c r="B453" t="s">
        <v>2227</v>
      </c>
      <c r="C453" s="6">
        <v>44648</v>
      </c>
      <c r="D453" t="str">
        <f t="shared" si="28"/>
        <v>Mar</v>
      </c>
      <c r="E453" t="str">
        <f t="shared" si="29"/>
        <v>2022</v>
      </c>
      <c r="F453" t="s">
        <v>3</v>
      </c>
      <c r="G453" t="s">
        <v>188</v>
      </c>
      <c r="H453" t="s">
        <v>948</v>
      </c>
      <c r="I453">
        <v>230</v>
      </c>
      <c r="J453">
        <v>8</v>
      </c>
      <c r="K453">
        <f t="shared" si="30"/>
        <v>3.4782608695652173</v>
      </c>
      <c r="L453" t="s">
        <v>1739</v>
      </c>
      <c r="M453" t="s">
        <v>3771</v>
      </c>
      <c r="N453" t="s">
        <v>1</v>
      </c>
      <c r="O453">
        <v>380055</v>
      </c>
      <c r="P453" t="s">
        <v>546</v>
      </c>
      <c r="Q453" t="s">
        <v>1774</v>
      </c>
      <c r="S453">
        <v>9.84</v>
      </c>
      <c r="T453">
        <v>3</v>
      </c>
      <c r="U453">
        <v>0</v>
      </c>
      <c r="V453">
        <v>2.8536000000000001</v>
      </c>
      <c r="W453">
        <f t="shared" si="31"/>
        <v>2.3287999999999998</v>
      </c>
      <c r="X453">
        <v>1</v>
      </c>
    </row>
    <row r="454" spans="1:24" x14ac:dyDescent="0.3">
      <c r="A454">
        <v>453</v>
      </c>
      <c r="B454" t="s">
        <v>2228</v>
      </c>
      <c r="C454" s="6">
        <v>44649</v>
      </c>
      <c r="D454" t="str">
        <f t="shared" si="28"/>
        <v>Mar</v>
      </c>
      <c r="E454" t="str">
        <f t="shared" si="29"/>
        <v>2022</v>
      </c>
      <c r="F454" t="s">
        <v>3</v>
      </c>
      <c r="G454" t="s">
        <v>188</v>
      </c>
      <c r="H454" t="s">
        <v>949</v>
      </c>
      <c r="I454">
        <v>180</v>
      </c>
      <c r="J454">
        <v>20</v>
      </c>
      <c r="K454">
        <f t="shared" si="30"/>
        <v>11.111111111111111</v>
      </c>
      <c r="L454" t="s">
        <v>1741</v>
      </c>
      <c r="M454" t="s">
        <v>3796</v>
      </c>
      <c r="N454" t="s">
        <v>1</v>
      </c>
      <c r="O454">
        <v>577002</v>
      </c>
      <c r="P454" t="s">
        <v>546</v>
      </c>
      <c r="Q454" t="s">
        <v>1771</v>
      </c>
      <c r="S454">
        <v>35.119999999999997</v>
      </c>
      <c r="T454">
        <v>4</v>
      </c>
      <c r="U454">
        <v>0</v>
      </c>
      <c r="V454">
        <v>9.1311999999999998</v>
      </c>
      <c r="W454">
        <f t="shared" si="31"/>
        <v>6.4971999999999994</v>
      </c>
      <c r="X454">
        <v>5</v>
      </c>
    </row>
    <row r="455" spans="1:24" x14ac:dyDescent="0.3">
      <c r="A455">
        <v>454</v>
      </c>
      <c r="B455" t="s">
        <v>2229</v>
      </c>
      <c r="C455" s="6">
        <v>44650</v>
      </c>
      <c r="D455" t="str">
        <f t="shared" si="28"/>
        <v>Mar</v>
      </c>
      <c r="E455" t="str">
        <f t="shared" si="29"/>
        <v>2022</v>
      </c>
      <c r="F455" t="s">
        <v>4</v>
      </c>
      <c r="G455" t="s">
        <v>189</v>
      </c>
      <c r="H455" t="s">
        <v>557</v>
      </c>
      <c r="I455">
        <v>120</v>
      </c>
      <c r="J455">
        <v>28</v>
      </c>
      <c r="K455">
        <f t="shared" si="30"/>
        <v>23.333333333333332</v>
      </c>
      <c r="L455" t="s">
        <v>1736</v>
      </c>
      <c r="M455" t="s">
        <v>3773</v>
      </c>
      <c r="N455" t="s">
        <v>1</v>
      </c>
      <c r="O455">
        <v>751024</v>
      </c>
      <c r="P455" t="s">
        <v>546</v>
      </c>
      <c r="Q455" t="s">
        <v>1755</v>
      </c>
      <c r="S455">
        <v>284.36399999999998</v>
      </c>
      <c r="T455">
        <v>2</v>
      </c>
      <c r="U455">
        <v>0.4</v>
      </c>
      <c r="V455">
        <v>-75.830399999999997</v>
      </c>
      <c r="W455">
        <f t="shared" si="31"/>
        <v>180.09719999999999</v>
      </c>
      <c r="X455">
        <v>1</v>
      </c>
    </row>
    <row r="456" spans="1:24" x14ac:dyDescent="0.3">
      <c r="A456">
        <v>455</v>
      </c>
      <c r="B456" t="s">
        <v>2230</v>
      </c>
      <c r="C456" s="6">
        <v>44651</v>
      </c>
      <c r="D456" t="str">
        <f t="shared" si="28"/>
        <v>Mar</v>
      </c>
      <c r="E456" t="str">
        <f t="shared" si="29"/>
        <v>2022</v>
      </c>
      <c r="F456" t="s">
        <v>4</v>
      </c>
      <c r="G456" t="s">
        <v>189</v>
      </c>
      <c r="H456" t="s">
        <v>950</v>
      </c>
      <c r="I456">
        <v>100</v>
      </c>
      <c r="J456">
        <v>18</v>
      </c>
      <c r="K456">
        <f t="shared" si="30"/>
        <v>18</v>
      </c>
      <c r="L456" t="s">
        <v>1744</v>
      </c>
      <c r="M456" t="s">
        <v>3774</v>
      </c>
      <c r="N456" t="s">
        <v>1</v>
      </c>
      <c r="O456">
        <v>535591</v>
      </c>
      <c r="P456" t="s">
        <v>546</v>
      </c>
      <c r="Q456" t="s">
        <v>1761</v>
      </c>
      <c r="S456">
        <v>665.40800000000002</v>
      </c>
      <c r="T456">
        <v>2</v>
      </c>
      <c r="U456">
        <v>0.2</v>
      </c>
      <c r="V456">
        <v>66.540800000000004</v>
      </c>
      <c r="W456">
        <f t="shared" si="31"/>
        <v>299.43360000000001</v>
      </c>
      <c r="X456">
        <v>4</v>
      </c>
    </row>
    <row r="457" spans="1:24" x14ac:dyDescent="0.3">
      <c r="A457">
        <v>456</v>
      </c>
      <c r="B457" t="s">
        <v>2231</v>
      </c>
      <c r="C457" s="6">
        <v>44652</v>
      </c>
      <c r="D457" t="str">
        <f t="shared" si="28"/>
        <v>Apr</v>
      </c>
      <c r="E457" t="str">
        <f t="shared" si="29"/>
        <v>2022</v>
      </c>
      <c r="F457" t="s">
        <v>4</v>
      </c>
      <c r="G457" t="s">
        <v>182</v>
      </c>
      <c r="H457" t="s">
        <v>951</v>
      </c>
      <c r="I457">
        <v>220</v>
      </c>
      <c r="J457">
        <v>22</v>
      </c>
      <c r="K457">
        <f t="shared" si="30"/>
        <v>10</v>
      </c>
      <c r="L457" t="s">
        <v>1740</v>
      </c>
      <c r="M457" t="s">
        <v>3775</v>
      </c>
      <c r="O457">
        <v>781011</v>
      </c>
      <c r="P457" t="s">
        <v>546</v>
      </c>
      <c r="Q457" t="s">
        <v>1770</v>
      </c>
      <c r="S457">
        <v>63.88</v>
      </c>
      <c r="T457">
        <v>4</v>
      </c>
      <c r="U457">
        <v>0</v>
      </c>
      <c r="V457">
        <v>24.9132</v>
      </c>
      <c r="W457">
        <f t="shared" si="31"/>
        <v>9.7417000000000016</v>
      </c>
      <c r="X457">
        <v>3</v>
      </c>
    </row>
    <row r="458" spans="1:24" x14ac:dyDescent="0.3">
      <c r="A458">
        <v>457</v>
      </c>
      <c r="B458" t="s">
        <v>2232</v>
      </c>
      <c r="C458" s="6">
        <v>44653</v>
      </c>
      <c r="D458" t="str">
        <f t="shared" si="28"/>
        <v>Apr</v>
      </c>
      <c r="E458" t="str">
        <f t="shared" si="29"/>
        <v>2022</v>
      </c>
      <c r="F458" t="s">
        <v>4</v>
      </c>
      <c r="G458" t="s">
        <v>190</v>
      </c>
      <c r="H458" t="s">
        <v>952</v>
      </c>
      <c r="I458">
        <v>150</v>
      </c>
      <c r="J458">
        <v>30</v>
      </c>
      <c r="K458">
        <f t="shared" si="30"/>
        <v>20</v>
      </c>
      <c r="L458" t="s">
        <v>1742</v>
      </c>
      <c r="M458" t="s">
        <v>3765</v>
      </c>
      <c r="N458" t="s">
        <v>1</v>
      </c>
      <c r="O458">
        <v>500032</v>
      </c>
      <c r="P458" t="s">
        <v>546</v>
      </c>
      <c r="Q458" t="s">
        <v>1759</v>
      </c>
      <c r="S458">
        <v>129.56800000000001</v>
      </c>
      <c r="T458">
        <v>2</v>
      </c>
      <c r="U458">
        <v>0.2</v>
      </c>
      <c r="V458">
        <v>-24.294</v>
      </c>
      <c r="W458">
        <f t="shared" si="31"/>
        <v>76.931000000000012</v>
      </c>
      <c r="X458">
        <v>5</v>
      </c>
    </row>
    <row r="459" spans="1:24" x14ac:dyDescent="0.3">
      <c r="A459">
        <v>458</v>
      </c>
      <c r="B459" t="s">
        <v>2233</v>
      </c>
      <c r="C459" s="6">
        <v>44654</v>
      </c>
      <c r="D459" t="str">
        <f t="shared" si="28"/>
        <v>Apr</v>
      </c>
      <c r="E459" t="str">
        <f t="shared" si="29"/>
        <v>2022</v>
      </c>
      <c r="F459" t="s">
        <v>4</v>
      </c>
      <c r="G459" t="s">
        <v>180</v>
      </c>
      <c r="H459" t="s">
        <v>953</v>
      </c>
      <c r="I459">
        <v>110</v>
      </c>
      <c r="J459">
        <v>10</v>
      </c>
      <c r="K459">
        <f t="shared" si="30"/>
        <v>9.0909090909090917</v>
      </c>
      <c r="L459" t="s">
        <v>1739</v>
      </c>
      <c r="M459" t="s">
        <v>3777</v>
      </c>
      <c r="N459" t="s">
        <v>1</v>
      </c>
      <c r="O459">
        <v>415002</v>
      </c>
      <c r="P459" t="s">
        <v>546</v>
      </c>
      <c r="Q459" t="s">
        <v>1765</v>
      </c>
      <c r="S459">
        <v>747.55799999999999</v>
      </c>
      <c r="T459">
        <v>3</v>
      </c>
      <c r="U459">
        <v>0.3</v>
      </c>
      <c r="V459">
        <v>-96.114599999999996</v>
      </c>
      <c r="W459">
        <f t="shared" si="31"/>
        <v>281.2242</v>
      </c>
      <c r="X459">
        <v>2</v>
      </c>
    </row>
    <row r="460" spans="1:24" x14ac:dyDescent="0.3">
      <c r="A460">
        <v>459</v>
      </c>
      <c r="B460" t="s">
        <v>2234</v>
      </c>
      <c r="C460" s="6">
        <v>44655</v>
      </c>
      <c r="D460" t="str">
        <f t="shared" si="28"/>
        <v>Apr</v>
      </c>
      <c r="E460" t="str">
        <f t="shared" si="29"/>
        <v>2022</v>
      </c>
      <c r="F460" t="s">
        <v>4</v>
      </c>
      <c r="G460" t="s">
        <v>180</v>
      </c>
      <c r="H460" t="s">
        <v>954</v>
      </c>
      <c r="I460">
        <v>130</v>
      </c>
      <c r="J460">
        <v>20</v>
      </c>
      <c r="K460">
        <f t="shared" si="30"/>
        <v>15.384615384615385</v>
      </c>
      <c r="L460" t="s">
        <v>1738</v>
      </c>
      <c r="M460" t="s">
        <v>3750</v>
      </c>
      <c r="N460" t="s">
        <v>1</v>
      </c>
      <c r="O460">
        <v>700144</v>
      </c>
      <c r="P460" t="s">
        <v>546</v>
      </c>
      <c r="Q460" t="s">
        <v>1757</v>
      </c>
      <c r="R460" t="s">
        <v>2</v>
      </c>
      <c r="S460">
        <v>8.9280000000000008</v>
      </c>
      <c r="T460">
        <v>2</v>
      </c>
      <c r="U460">
        <v>0.2</v>
      </c>
      <c r="V460">
        <v>3.3479999999999999</v>
      </c>
      <c r="W460">
        <f t="shared" si="31"/>
        <v>2.7900000000000005</v>
      </c>
      <c r="X460">
        <v>5</v>
      </c>
    </row>
    <row r="461" spans="1:24" x14ac:dyDescent="0.3">
      <c r="A461">
        <v>460</v>
      </c>
      <c r="B461" t="s">
        <v>2235</v>
      </c>
      <c r="C461" s="6">
        <v>44656</v>
      </c>
      <c r="D461" t="str">
        <f t="shared" si="28"/>
        <v>Apr</v>
      </c>
      <c r="E461" t="str">
        <f t="shared" si="29"/>
        <v>2022</v>
      </c>
      <c r="F461" t="s">
        <v>4</v>
      </c>
      <c r="G461" t="s">
        <v>105</v>
      </c>
      <c r="H461" t="s">
        <v>955</v>
      </c>
      <c r="I461">
        <v>220</v>
      </c>
      <c r="J461">
        <v>30</v>
      </c>
      <c r="K461">
        <f t="shared" si="30"/>
        <v>13.636363636363635</v>
      </c>
      <c r="L461" t="s">
        <v>1737</v>
      </c>
      <c r="M461" t="s">
        <v>3835</v>
      </c>
      <c r="N461" t="s">
        <v>1</v>
      </c>
      <c r="O461">
        <v>700144</v>
      </c>
      <c r="P461" t="s">
        <v>546</v>
      </c>
      <c r="Q461" t="s">
        <v>1772</v>
      </c>
      <c r="S461">
        <v>103.92</v>
      </c>
      <c r="T461">
        <v>4</v>
      </c>
      <c r="U461">
        <v>0</v>
      </c>
      <c r="V461">
        <v>36.372</v>
      </c>
      <c r="W461">
        <f t="shared" si="31"/>
        <v>16.887</v>
      </c>
      <c r="X461">
        <v>5</v>
      </c>
    </row>
    <row r="462" spans="1:24" x14ac:dyDescent="0.3">
      <c r="A462">
        <v>461</v>
      </c>
      <c r="B462" t="s">
        <v>2236</v>
      </c>
      <c r="C462" s="6">
        <v>44657</v>
      </c>
      <c r="D462" t="str">
        <f t="shared" si="28"/>
        <v>Apr</v>
      </c>
      <c r="E462" t="str">
        <f t="shared" si="29"/>
        <v>2022</v>
      </c>
      <c r="F462" t="s">
        <v>4</v>
      </c>
      <c r="G462" t="s">
        <v>105</v>
      </c>
      <c r="H462" t="s">
        <v>956</v>
      </c>
      <c r="I462">
        <v>230</v>
      </c>
      <c r="J462">
        <v>28</v>
      </c>
      <c r="K462">
        <f t="shared" si="30"/>
        <v>12.173913043478262</v>
      </c>
      <c r="L462" t="s">
        <v>1743</v>
      </c>
      <c r="M462" t="s">
        <v>3836</v>
      </c>
      <c r="N462" t="s">
        <v>1</v>
      </c>
      <c r="O462">
        <v>721140</v>
      </c>
      <c r="P462" t="s">
        <v>546</v>
      </c>
      <c r="Q462" t="s">
        <v>1764</v>
      </c>
      <c r="S462">
        <v>899.91</v>
      </c>
      <c r="T462">
        <v>9</v>
      </c>
      <c r="U462">
        <v>0</v>
      </c>
      <c r="V462">
        <v>377.9622</v>
      </c>
      <c r="W462">
        <f t="shared" si="31"/>
        <v>57.994199999999992</v>
      </c>
      <c r="X462">
        <v>2</v>
      </c>
    </row>
    <row r="463" spans="1:24" x14ac:dyDescent="0.3">
      <c r="A463">
        <v>462</v>
      </c>
      <c r="B463" t="s">
        <v>2237</v>
      </c>
      <c r="C463" s="6">
        <v>44658</v>
      </c>
      <c r="D463" t="str">
        <f t="shared" si="28"/>
        <v>Apr</v>
      </c>
      <c r="E463" t="str">
        <f t="shared" si="29"/>
        <v>2022</v>
      </c>
      <c r="F463" t="s">
        <v>4</v>
      </c>
      <c r="G463" t="s">
        <v>105</v>
      </c>
      <c r="H463" t="s">
        <v>957</v>
      </c>
      <c r="I463">
        <v>210</v>
      </c>
      <c r="J463">
        <v>12</v>
      </c>
      <c r="K463">
        <f t="shared" si="30"/>
        <v>5.7142857142857144</v>
      </c>
      <c r="L463" t="s">
        <v>1738</v>
      </c>
      <c r="M463" t="s">
        <v>3795</v>
      </c>
      <c r="N463" t="s">
        <v>1</v>
      </c>
      <c r="O463">
        <v>382330</v>
      </c>
      <c r="P463" t="s">
        <v>546</v>
      </c>
      <c r="Q463" t="s">
        <v>1763</v>
      </c>
      <c r="S463">
        <v>51.311999999999998</v>
      </c>
      <c r="T463">
        <v>3</v>
      </c>
      <c r="U463">
        <v>0.2</v>
      </c>
      <c r="V463">
        <v>18.6006</v>
      </c>
      <c r="W463">
        <f t="shared" si="31"/>
        <v>10.903799999999999</v>
      </c>
      <c r="X463">
        <v>5</v>
      </c>
    </row>
    <row r="464" spans="1:24" x14ac:dyDescent="0.3">
      <c r="A464">
        <v>463</v>
      </c>
      <c r="B464" t="s">
        <v>2238</v>
      </c>
      <c r="C464" s="6">
        <v>44659</v>
      </c>
      <c r="D464" t="str">
        <f t="shared" si="28"/>
        <v>Apr</v>
      </c>
      <c r="E464" t="str">
        <f t="shared" si="29"/>
        <v>2022</v>
      </c>
      <c r="F464" t="s">
        <v>4</v>
      </c>
      <c r="G464" t="s">
        <v>191</v>
      </c>
      <c r="H464" t="s">
        <v>872</v>
      </c>
      <c r="I464">
        <v>120</v>
      </c>
      <c r="J464">
        <v>12</v>
      </c>
      <c r="K464">
        <f t="shared" si="30"/>
        <v>10</v>
      </c>
      <c r="L464" t="s">
        <v>1739</v>
      </c>
      <c r="M464" t="s">
        <v>3751</v>
      </c>
      <c r="N464" t="s">
        <v>1</v>
      </c>
      <c r="O464">
        <v>799010</v>
      </c>
      <c r="P464" t="s">
        <v>546</v>
      </c>
      <c r="Q464" t="s">
        <v>1770</v>
      </c>
      <c r="R464" t="s">
        <v>2</v>
      </c>
      <c r="S464">
        <v>23.56</v>
      </c>
      <c r="T464">
        <v>5</v>
      </c>
      <c r="U464">
        <v>0.2</v>
      </c>
      <c r="V464">
        <v>7.0679999999999996</v>
      </c>
      <c r="W464">
        <f t="shared" si="31"/>
        <v>3.2983999999999996</v>
      </c>
      <c r="X464">
        <v>5</v>
      </c>
    </row>
    <row r="465" spans="1:24" x14ac:dyDescent="0.3">
      <c r="A465">
        <v>464</v>
      </c>
      <c r="B465" t="s">
        <v>2239</v>
      </c>
      <c r="C465" s="6">
        <v>44660</v>
      </c>
      <c r="D465" t="str">
        <f t="shared" si="28"/>
        <v>Apr</v>
      </c>
      <c r="E465" t="str">
        <f t="shared" si="29"/>
        <v>2022</v>
      </c>
      <c r="F465" t="s">
        <v>4</v>
      </c>
      <c r="G465" t="s">
        <v>191</v>
      </c>
      <c r="H465" t="s">
        <v>958</v>
      </c>
      <c r="I465">
        <v>170</v>
      </c>
      <c r="J465">
        <v>18</v>
      </c>
      <c r="K465">
        <f t="shared" si="30"/>
        <v>10.588235294117647</v>
      </c>
      <c r="L465" t="s">
        <v>1741</v>
      </c>
      <c r="M465" t="s">
        <v>3752</v>
      </c>
      <c r="N465" t="s">
        <v>1</v>
      </c>
      <c r="O465">
        <v>500062</v>
      </c>
      <c r="P465" t="s">
        <v>546</v>
      </c>
      <c r="Q465" t="s">
        <v>1754</v>
      </c>
      <c r="R465" t="s">
        <v>2</v>
      </c>
      <c r="S465">
        <v>1272.6300000000001</v>
      </c>
      <c r="T465">
        <v>6</v>
      </c>
      <c r="U465">
        <v>0.5</v>
      </c>
      <c r="V465">
        <v>-814.48320000000001</v>
      </c>
      <c r="W465">
        <f t="shared" si="31"/>
        <v>347.85220000000004</v>
      </c>
      <c r="X465">
        <v>2</v>
      </c>
    </row>
    <row r="466" spans="1:24" x14ac:dyDescent="0.3">
      <c r="A466">
        <v>465</v>
      </c>
      <c r="B466" t="s">
        <v>2240</v>
      </c>
      <c r="C466" s="6">
        <v>44661</v>
      </c>
      <c r="D466" t="str">
        <f t="shared" si="28"/>
        <v>Apr</v>
      </c>
      <c r="E466" t="str">
        <f t="shared" si="29"/>
        <v>2022</v>
      </c>
      <c r="F466" t="s">
        <v>4</v>
      </c>
      <c r="G466" t="s">
        <v>191</v>
      </c>
      <c r="H466" t="s">
        <v>959</v>
      </c>
      <c r="I466">
        <v>240</v>
      </c>
      <c r="J466">
        <v>16</v>
      </c>
      <c r="K466">
        <f t="shared" si="30"/>
        <v>6.666666666666667</v>
      </c>
      <c r="L466" t="s">
        <v>1736</v>
      </c>
      <c r="M466" t="s">
        <v>3753</v>
      </c>
      <c r="N466" t="s">
        <v>1</v>
      </c>
      <c r="O466">
        <v>560066</v>
      </c>
      <c r="P466" t="s">
        <v>546</v>
      </c>
      <c r="Q466" t="s">
        <v>1757</v>
      </c>
      <c r="S466">
        <v>28.484999999999999</v>
      </c>
      <c r="T466">
        <v>5</v>
      </c>
      <c r="U466">
        <v>0.7</v>
      </c>
      <c r="V466">
        <v>-20.888999999999999</v>
      </c>
      <c r="W466">
        <f t="shared" si="31"/>
        <v>9.8747999999999987</v>
      </c>
      <c r="X466">
        <v>4</v>
      </c>
    </row>
    <row r="467" spans="1:24" x14ac:dyDescent="0.3">
      <c r="A467">
        <v>466</v>
      </c>
      <c r="B467" t="s">
        <v>2241</v>
      </c>
      <c r="C467" s="6">
        <v>44662</v>
      </c>
      <c r="D467" t="str">
        <f t="shared" si="28"/>
        <v>Apr</v>
      </c>
      <c r="E467" t="str">
        <f t="shared" si="29"/>
        <v>2022</v>
      </c>
      <c r="F467" t="s">
        <v>4</v>
      </c>
      <c r="G467" t="s">
        <v>191</v>
      </c>
      <c r="H467" t="s">
        <v>960</v>
      </c>
      <c r="I467">
        <v>110</v>
      </c>
      <c r="J467">
        <v>18</v>
      </c>
      <c r="K467">
        <f t="shared" si="30"/>
        <v>16.363636363636363</v>
      </c>
      <c r="L467" t="s">
        <v>1744</v>
      </c>
      <c r="M467" t="s">
        <v>3754</v>
      </c>
      <c r="N467" t="s">
        <v>1</v>
      </c>
      <c r="O467">
        <v>721429</v>
      </c>
      <c r="P467" t="s">
        <v>546</v>
      </c>
      <c r="Q467" t="s">
        <v>1765</v>
      </c>
      <c r="R467" t="s">
        <v>2</v>
      </c>
      <c r="S467">
        <v>185.376</v>
      </c>
      <c r="T467">
        <v>2</v>
      </c>
      <c r="U467">
        <v>0.2</v>
      </c>
      <c r="V467">
        <v>-34.758000000000003</v>
      </c>
      <c r="W467">
        <f t="shared" si="31"/>
        <v>110.06700000000001</v>
      </c>
      <c r="X467">
        <v>4</v>
      </c>
    </row>
    <row r="468" spans="1:24" x14ac:dyDescent="0.3">
      <c r="A468">
        <v>467</v>
      </c>
      <c r="B468" t="s">
        <v>2242</v>
      </c>
      <c r="C468" s="6">
        <v>44663</v>
      </c>
      <c r="D468" t="str">
        <f t="shared" si="28"/>
        <v>Apr</v>
      </c>
      <c r="E468" t="str">
        <f t="shared" si="29"/>
        <v>2022</v>
      </c>
      <c r="F468" t="s">
        <v>4</v>
      </c>
      <c r="G468" t="s">
        <v>191</v>
      </c>
      <c r="H468" t="s">
        <v>961</v>
      </c>
      <c r="I468">
        <v>160</v>
      </c>
      <c r="J468">
        <v>30</v>
      </c>
      <c r="K468">
        <f t="shared" si="30"/>
        <v>18.75</v>
      </c>
      <c r="L468" t="s">
        <v>1740</v>
      </c>
      <c r="M468" t="s">
        <v>3755</v>
      </c>
      <c r="N468" t="s">
        <v>1</v>
      </c>
      <c r="O468">
        <v>400706</v>
      </c>
      <c r="P468" t="s">
        <v>546</v>
      </c>
      <c r="Q468" t="s">
        <v>1759</v>
      </c>
      <c r="S468">
        <v>78.272000000000006</v>
      </c>
      <c r="T468">
        <v>2</v>
      </c>
      <c r="U468">
        <v>0.2</v>
      </c>
      <c r="V468">
        <v>5.8704000000000001</v>
      </c>
      <c r="W468">
        <f t="shared" si="31"/>
        <v>36.200800000000001</v>
      </c>
      <c r="X468">
        <v>4</v>
      </c>
    </row>
    <row r="469" spans="1:24" x14ac:dyDescent="0.3">
      <c r="A469">
        <v>468</v>
      </c>
      <c r="B469" t="s">
        <v>2243</v>
      </c>
      <c r="C469" s="6">
        <v>44664</v>
      </c>
      <c r="D469" t="str">
        <f t="shared" si="28"/>
        <v>Apr</v>
      </c>
      <c r="E469" t="str">
        <f t="shared" si="29"/>
        <v>2022</v>
      </c>
      <c r="F469" t="s">
        <v>4</v>
      </c>
      <c r="G469" t="s">
        <v>192</v>
      </c>
      <c r="H469" t="s">
        <v>816</v>
      </c>
      <c r="I469">
        <v>200</v>
      </c>
      <c r="J469">
        <v>10</v>
      </c>
      <c r="K469">
        <f t="shared" si="30"/>
        <v>5</v>
      </c>
      <c r="L469" t="s">
        <v>1742</v>
      </c>
      <c r="M469" t="s">
        <v>3756</v>
      </c>
      <c r="N469" t="s">
        <v>1</v>
      </c>
      <c r="O469">
        <v>500090</v>
      </c>
      <c r="P469" t="s">
        <v>546</v>
      </c>
      <c r="Q469" t="s">
        <v>1759</v>
      </c>
      <c r="S469">
        <v>254.744</v>
      </c>
      <c r="T469">
        <v>7</v>
      </c>
      <c r="U469">
        <v>0.6</v>
      </c>
      <c r="V469">
        <v>-312.06139999999999</v>
      </c>
      <c r="W469">
        <f t="shared" si="31"/>
        <v>80.972200000000001</v>
      </c>
      <c r="X469">
        <v>2</v>
      </c>
    </row>
    <row r="470" spans="1:24" x14ac:dyDescent="0.3">
      <c r="A470">
        <v>469</v>
      </c>
      <c r="B470" t="s">
        <v>2244</v>
      </c>
      <c r="C470" s="6">
        <v>44665</v>
      </c>
      <c r="D470" t="str">
        <f t="shared" si="28"/>
        <v>Apr</v>
      </c>
      <c r="E470" t="str">
        <f t="shared" si="29"/>
        <v>2022</v>
      </c>
      <c r="F470" t="s">
        <v>4</v>
      </c>
      <c r="G470" t="s">
        <v>110</v>
      </c>
      <c r="H470" t="s">
        <v>962</v>
      </c>
      <c r="I470">
        <v>110</v>
      </c>
      <c r="J470">
        <v>18</v>
      </c>
      <c r="K470">
        <f t="shared" si="30"/>
        <v>16.363636363636363</v>
      </c>
      <c r="L470" t="s">
        <v>1739</v>
      </c>
      <c r="M470" t="s">
        <v>3757</v>
      </c>
      <c r="N470" t="s">
        <v>1</v>
      </c>
      <c r="O470">
        <v>411006</v>
      </c>
      <c r="P470" t="s">
        <v>546</v>
      </c>
      <c r="Q470" t="s">
        <v>1759</v>
      </c>
      <c r="S470">
        <v>205.33279999999999</v>
      </c>
      <c r="T470">
        <v>2</v>
      </c>
      <c r="U470">
        <v>0.32</v>
      </c>
      <c r="V470">
        <v>-36.235199999999999</v>
      </c>
      <c r="W470">
        <f t="shared" si="31"/>
        <v>120.78399999999999</v>
      </c>
      <c r="X470">
        <v>5</v>
      </c>
    </row>
    <row r="471" spans="1:24" x14ac:dyDescent="0.3">
      <c r="A471">
        <v>470</v>
      </c>
      <c r="B471" t="s">
        <v>2245</v>
      </c>
      <c r="C471" s="6">
        <v>44666</v>
      </c>
      <c r="D471" t="str">
        <f t="shared" si="28"/>
        <v>Apr</v>
      </c>
      <c r="E471" t="str">
        <f t="shared" si="29"/>
        <v>2022</v>
      </c>
      <c r="F471" t="s">
        <v>3</v>
      </c>
      <c r="G471" t="s">
        <v>120</v>
      </c>
      <c r="H471" t="s">
        <v>963</v>
      </c>
      <c r="I471">
        <v>110</v>
      </c>
      <c r="J471">
        <v>28</v>
      </c>
      <c r="K471">
        <f t="shared" si="30"/>
        <v>25.454545454545453</v>
      </c>
      <c r="L471" t="s">
        <v>1738</v>
      </c>
      <c r="M471" t="s">
        <v>3758</v>
      </c>
      <c r="N471" t="s">
        <v>1</v>
      </c>
      <c r="O471">
        <v>224001</v>
      </c>
      <c r="P471" t="s">
        <v>546</v>
      </c>
      <c r="Q471" t="s">
        <v>1759</v>
      </c>
      <c r="S471">
        <v>4.7880000000000003</v>
      </c>
      <c r="T471">
        <v>3</v>
      </c>
      <c r="U471">
        <v>0.8</v>
      </c>
      <c r="V471">
        <v>-7.9001999999999999</v>
      </c>
      <c r="W471">
        <f t="shared" si="31"/>
        <v>4.2294</v>
      </c>
      <c r="X471">
        <v>5</v>
      </c>
    </row>
    <row r="472" spans="1:24" x14ac:dyDescent="0.3">
      <c r="A472">
        <v>471</v>
      </c>
      <c r="B472" t="s">
        <v>2246</v>
      </c>
      <c r="C472" s="6">
        <v>44667</v>
      </c>
      <c r="D472" t="str">
        <f t="shared" si="28"/>
        <v>Apr</v>
      </c>
      <c r="E472" t="str">
        <f t="shared" si="29"/>
        <v>2022</v>
      </c>
      <c r="F472" t="s">
        <v>4</v>
      </c>
      <c r="G472" t="s">
        <v>193</v>
      </c>
      <c r="H472" t="s">
        <v>964</v>
      </c>
      <c r="I472">
        <v>180</v>
      </c>
      <c r="J472">
        <v>12</v>
      </c>
      <c r="K472">
        <f t="shared" si="30"/>
        <v>6.666666666666667</v>
      </c>
      <c r="L472" t="s">
        <v>1737</v>
      </c>
      <c r="M472" t="s">
        <v>3579</v>
      </c>
      <c r="N472" t="s">
        <v>1</v>
      </c>
      <c r="O472">
        <v>500084</v>
      </c>
      <c r="P472" t="s">
        <v>546</v>
      </c>
      <c r="Q472" t="s">
        <v>1765</v>
      </c>
      <c r="R472" t="s">
        <v>2</v>
      </c>
      <c r="S472">
        <v>55.48</v>
      </c>
      <c r="T472">
        <v>1</v>
      </c>
      <c r="U472">
        <v>0</v>
      </c>
      <c r="V472">
        <v>26.630400000000002</v>
      </c>
      <c r="W472">
        <f t="shared" si="31"/>
        <v>28.849599999999995</v>
      </c>
      <c r="X472">
        <v>2</v>
      </c>
    </row>
    <row r="473" spans="1:24" x14ac:dyDescent="0.3">
      <c r="A473">
        <v>472</v>
      </c>
      <c r="B473" t="s">
        <v>2247</v>
      </c>
      <c r="C473" s="6">
        <v>44668</v>
      </c>
      <c r="D473" t="str">
        <f t="shared" si="28"/>
        <v>Apr</v>
      </c>
      <c r="E473" t="str">
        <f t="shared" si="29"/>
        <v>2022</v>
      </c>
      <c r="F473" t="s">
        <v>3</v>
      </c>
      <c r="G473" t="s">
        <v>194</v>
      </c>
      <c r="H473" t="s">
        <v>965</v>
      </c>
      <c r="I473">
        <v>230</v>
      </c>
      <c r="J473">
        <v>12</v>
      </c>
      <c r="K473">
        <f t="shared" si="30"/>
        <v>5.2173913043478262</v>
      </c>
      <c r="L473" t="s">
        <v>1743</v>
      </c>
      <c r="M473" t="s">
        <v>3580</v>
      </c>
      <c r="N473" t="s">
        <v>1</v>
      </c>
      <c r="O473">
        <v>500084</v>
      </c>
      <c r="P473" t="s">
        <v>546</v>
      </c>
      <c r="Q473" t="s">
        <v>1767</v>
      </c>
      <c r="R473" t="s">
        <v>2</v>
      </c>
      <c r="S473">
        <v>340.92</v>
      </c>
      <c r="T473">
        <v>3</v>
      </c>
      <c r="U473">
        <v>0</v>
      </c>
      <c r="V473">
        <v>3.4091999999999998</v>
      </c>
      <c r="W473">
        <f t="shared" si="31"/>
        <v>112.50360000000001</v>
      </c>
      <c r="X473">
        <v>5</v>
      </c>
    </row>
    <row r="474" spans="1:24" x14ac:dyDescent="0.3">
      <c r="A474">
        <v>473</v>
      </c>
      <c r="B474" t="s">
        <v>2248</v>
      </c>
      <c r="C474" s="6">
        <v>44669</v>
      </c>
      <c r="D474" t="str">
        <f t="shared" si="28"/>
        <v>Apr</v>
      </c>
      <c r="E474" t="str">
        <f t="shared" si="29"/>
        <v>2022</v>
      </c>
      <c r="F474" t="s">
        <v>3</v>
      </c>
      <c r="G474" t="s">
        <v>194</v>
      </c>
      <c r="H474" t="s">
        <v>966</v>
      </c>
      <c r="I474">
        <v>240</v>
      </c>
      <c r="J474">
        <v>28</v>
      </c>
      <c r="K474">
        <f t="shared" si="30"/>
        <v>11.666666666666666</v>
      </c>
      <c r="L474" t="s">
        <v>1739</v>
      </c>
      <c r="M474" t="s">
        <v>3581</v>
      </c>
      <c r="N474" t="s">
        <v>1</v>
      </c>
      <c r="O474">
        <v>401107</v>
      </c>
      <c r="P474" t="s">
        <v>546</v>
      </c>
      <c r="Q474" t="s">
        <v>1768</v>
      </c>
      <c r="S474">
        <v>222.666</v>
      </c>
      <c r="T474">
        <v>2</v>
      </c>
      <c r="U474">
        <v>0.15</v>
      </c>
      <c r="V474">
        <v>10.478400000000001</v>
      </c>
      <c r="W474">
        <f t="shared" si="31"/>
        <v>106.0938</v>
      </c>
      <c r="X474">
        <v>2</v>
      </c>
    </row>
    <row r="475" spans="1:24" x14ac:dyDescent="0.3">
      <c r="A475">
        <v>474</v>
      </c>
      <c r="B475" t="s">
        <v>2249</v>
      </c>
      <c r="C475" s="6">
        <v>44670</v>
      </c>
      <c r="D475" t="str">
        <f t="shared" si="28"/>
        <v>Apr</v>
      </c>
      <c r="E475" t="str">
        <f t="shared" si="29"/>
        <v>2022</v>
      </c>
      <c r="F475" t="s">
        <v>3</v>
      </c>
      <c r="G475" t="s">
        <v>194</v>
      </c>
      <c r="H475" t="s">
        <v>967</v>
      </c>
      <c r="I475">
        <v>170</v>
      </c>
      <c r="J475">
        <v>12</v>
      </c>
      <c r="K475">
        <f t="shared" si="30"/>
        <v>7.0588235294117645</v>
      </c>
      <c r="L475" t="s">
        <v>1736</v>
      </c>
      <c r="M475" t="s">
        <v>3582</v>
      </c>
      <c r="N475" t="s">
        <v>1</v>
      </c>
      <c r="O475">
        <v>421504</v>
      </c>
      <c r="P475" t="s">
        <v>546</v>
      </c>
      <c r="Q475" t="s">
        <v>1759</v>
      </c>
      <c r="S475">
        <v>703.96799999999996</v>
      </c>
      <c r="T475">
        <v>4</v>
      </c>
      <c r="U475">
        <v>0.2</v>
      </c>
      <c r="V475">
        <v>87.995999999999995</v>
      </c>
      <c r="W475">
        <f t="shared" si="31"/>
        <v>153.99299999999999</v>
      </c>
      <c r="X475">
        <v>3</v>
      </c>
    </row>
    <row r="476" spans="1:24" x14ac:dyDescent="0.3">
      <c r="A476">
        <v>475</v>
      </c>
      <c r="B476" t="s">
        <v>2250</v>
      </c>
      <c r="C476" s="6">
        <v>44671</v>
      </c>
      <c r="D476" t="str">
        <f t="shared" si="28"/>
        <v>Apr</v>
      </c>
      <c r="E476" t="str">
        <f t="shared" si="29"/>
        <v>2022</v>
      </c>
      <c r="F476" t="s">
        <v>3</v>
      </c>
      <c r="G476" t="s">
        <v>194</v>
      </c>
      <c r="H476" t="s">
        <v>968</v>
      </c>
      <c r="I476">
        <v>180</v>
      </c>
      <c r="J476">
        <v>18</v>
      </c>
      <c r="K476">
        <f t="shared" si="30"/>
        <v>10</v>
      </c>
      <c r="L476" t="s">
        <v>1738</v>
      </c>
      <c r="M476" t="s">
        <v>3583</v>
      </c>
      <c r="N476" t="s">
        <v>1</v>
      </c>
      <c r="O476">
        <v>560024</v>
      </c>
      <c r="P476" t="s">
        <v>546</v>
      </c>
      <c r="Q476" t="s">
        <v>1756</v>
      </c>
      <c r="R476" t="s">
        <v>2</v>
      </c>
      <c r="S476">
        <v>92.52</v>
      </c>
      <c r="T476">
        <v>6</v>
      </c>
      <c r="U476">
        <v>0</v>
      </c>
      <c r="V476">
        <v>24.980399999999999</v>
      </c>
      <c r="W476">
        <f t="shared" si="31"/>
        <v>11.256599999999999</v>
      </c>
      <c r="X476">
        <v>1</v>
      </c>
    </row>
    <row r="477" spans="1:24" x14ac:dyDescent="0.3">
      <c r="A477">
        <v>476</v>
      </c>
      <c r="B477" t="s">
        <v>2251</v>
      </c>
      <c r="C477" s="6">
        <v>44672</v>
      </c>
      <c r="D477" t="str">
        <f t="shared" si="28"/>
        <v>Apr</v>
      </c>
      <c r="E477" t="str">
        <f t="shared" si="29"/>
        <v>2022</v>
      </c>
      <c r="F477" t="s">
        <v>3</v>
      </c>
      <c r="G477" t="s">
        <v>194</v>
      </c>
      <c r="H477" t="s">
        <v>969</v>
      </c>
      <c r="I477">
        <v>110</v>
      </c>
      <c r="J477">
        <v>24</v>
      </c>
      <c r="K477">
        <f t="shared" si="30"/>
        <v>21.818181818181817</v>
      </c>
      <c r="L477" t="s">
        <v>1741</v>
      </c>
      <c r="M477" t="s">
        <v>3584</v>
      </c>
      <c r="N477" t="s">
        <v>1</v>
      </c>
      <c r="O477">
        <v>401107</v>
      </c>
      <c r="P477" t="s">
        <v>546</v>
      </c>
      <c r="Q477" t="s">
        <v>1771</v>
      </c>
      <c r="S477">
        <v>62.65</v>
      </c>
      <c r="T477">
        <v>7</v>
      </c>
      <c r="U477">
        <v>0</v>
      </c>
      <c r="V477">
        <v>28.818999999999999</v>
      </c>
      <c r="W477">
        <f t="shared" si="31"/>
        <v>4.8330000000000002</v>
      </c>
      <c r="X477">
        <v>5</v>
      </c>
    </row>
    <row r="478" spans="1:24" x14ac:dyDescent="0.3">
      <c r="A478">
        <v>477</v>
      </c>
      <c r="B478" t="s">
        <v>2252</v>
      </c>
      <c r="C478" s="6">
        <v>44673</v>
      </c>
      <c r="D478" t="str">
        <f t="shared" si="28"/>
        <v>Apr</v>
      </c>
      <c r="E478" t="str">
        <f t="shared" si="29"/>
        <v>2022</v>
      </c>
      <c r="F478" t="s">
        <v>3</v>
      </c>
      <c r="G478" t="s">
        <v>194</v>
      </c>
      <c r="H478" t="s">
        <v>970</v>
      </c>
      <c r="I478">
        <v>230</v>
      </c>
      <c r="J478">
        <v>30</v>
      </c>
      <c r="K478">
        <f t="shared" si="30"/>
        <v>13.043478260869565</v>
      </c>
      <c r="L478" t="s">
        <v>1744</v>
      </c>
      <c r="M478" t="s">
        <v>3585</v>
      </c>
      <c r="N478" t="s">
        <v>1</v>
      </c>
      <c r="O478">
        <v>400092</v>
      </c>
      <c r="P478" t="s">
        <v>546</v>
      </c>
      <c r="Q478" t="s">
        <v>1761</v>
      </c>
      <c r="R478" t="s">
        <v>2</v>
      </c>
      <c r="S478">
        <v>94.85</v>
      </c>
      <c r="T478">
        <v>5</v>
      </c>
      <c r="U478">
        <v>0</v>
      </c>
      <c r="V478">
        <v>45.527999999999999</v>
      </c>
      <c r="W478">
        <f t="shared" si="31"/>
        <v>9.8643999999999998</v>
      </c>
      <c r="X478">
        <v>4</v>
      </c>
    </row>
    <row r="479" spans="1:24" x14ac:dyDescent="0.3">
      <c r="A479">
        <v>478</v>
      </c>
      <c r="B479" t="s">
        <v>2253</v>
      </c>
      <c r="C479" s="6">
        <v>44674</v>
      </c>
      <c r="D479" t="str">
        <f t="shared" si="28"/>
        <v>Apr</v>
      </c>
      <c r="E479" t="str">
        <f t="shared" si="29"/>
        <v>2022</v>
      </c>
      <c r="F479" t="s">
        <v>4</v>
      </c>
      <c r="G479" t="s">
        <v>127</v>
      </c>
      <c r="H479" t="s">
        <v>971</v>
      </c>
      <c r="I479">
        <v>170</v>
      </c>
      <c r="J479">
        <v>26</v>
      </c>
      <c r="K479">
        <f t="shared" si="30"/>
        <v>15.294117647058824</v>
      </c>
      <c r="L479" t="s">
        <v>1740</v>
      </c>
      <c r="M479" t="s">
        <v>3586</v>
      </c>
      <c r="N479" t="s">
        <v>1</v>
      </c>
      <c r="O479">
        <v>641046</v>
      </c>
      <c r="P479" t="s">
        <v>546</v>
      </c>
      <c r="Q479" t="s">
        <v>1759</v>
      </c>
      <c r="S479">
        <v>95.76</v>
      </c>
      <c r="T479">
        <v>6</v>
      </c>
      <c r="U479">
        <v>0.2</v>
      </c>
      <c r="V479">
        <v>7.1820000000000004</v>
      </c>
      <c r="W479">
        <f t="shared" si="31"/>
        <v>14.763</v>
      </c>
      <c r="X479">
        <v>2</v>
      </c>
    </row>
    <row r="480" spans="1:24" x14ac:dyDescent="0.3">
      <c r="A480">
        <v>479</v>
      </c>
      <c r="B480" t="s">
        <v>2254</v>
      </c>
      <c r="C480" s="6">
        <v>44675</v>
      </c>
      <c r="D480" t="str">
        <f t="shared" si="28"/>
        <v>Apr</v>
      </c>
      <c r="E480" t="str">
        <f t="shared" si="29"/>
        <v>2022</v>
      </c>
      <c r="F480" t="s">
        <v>4</v>
      </c>
      <c r="G480" t="s">
        <v>195</v>
      </c>
      <c r="H480" t="s">
        <v>825</v>
      </c>
      <c r="I480">
        <v>170</v>
      </c>
      <c r="J480">
        <v>12</v>
      </c>
      <c r="K480">
        <f t="shared" si="30"/>
        <v>7.0588235294117645</v>
      </c>
      <c r="L480" t="s">
        <v>1742</v>
      </c>
      <c r="M480" t="s">
        <v>3587</v>
      </c>
      <c r="N480" t="s">
        <v>1</v>
      </c>
      <c r="O480">
        <v>251309</v>
      </c>
      <c r="P480" t="s">
        <v>546</v>
      </c>
      <c r="Q480" t="s">
        <v>1763</v>
      </c>
      <c r="S480">
        <v>40.200000000000003</v>
      </c>
      <c r="T480">
        <v>3</v>
      </c>
      <c r="U480">
        <v>0</v>
      </c>
      <c r="V480">
        <v>19.295999999999999</v>
      </c>
      <c r="W480">
        <f t="shared" si="31"/>
        <v>6.9680000000000009</v>
      </c>
      <c r="X480">
        <v>2</v>
      </c>
    </row>
    <row r="481" spans="1:24" x14ac:dyDescent="0.3">
      <c r="A481">
        <v>480</v>
      </c>
      <c r="B481" t="s">
        <v>2255</v>
      </c>
      <c r="C481" s="6">
        <v>44676</v>
      </c>
      <c r="D481" t="str">
        <f t="shared" si="28"/>
        <v>Apr</v>
      </c>
      <c r="E481" t="str">
        <f t="shared" si="29"/>
        <v>2022</v>
      </c>
      <c r="F481" t="s">
        <v>4</v>
      </c>
      <c r="G481" t="s">
        <v>196</v>
      </c>
      <c r="H481" t="s">
        <v>972</v>
      </c>
      <c r="I481">
        <v>150</v>
      </c>
      <c r="J481">
        <v>10</v>
      </c>
      <c r="K481">
        <f t="shared" si="30"/>
        <v>6.666666666666667</v>
      </c>
      <c r="L481" t="s">
        <v>1739</v>
      </c>
      <c r="M481" t="s">
        <v>3588</v>
      </c>
      <c r="N481" t="s">
        <v>1</v>
      </c>
      <c r="O481">
        <v>700028</v>
      </c>
      <c r="P481" t="s">
        <v>546</v>
      </c>
      <c r="Q481" t="s">
        <v>1756</v>
      </c>
      <c r="R481" t="s">
        <v>2</v>
      </c>
      <c r="S481">
        <v>14.7</v>
      </c>
      <c r="T481">
        <v>5</v>
      </c>
      <c r="U481">
        <v>0</v>
      </c>
      <c r="V481">
        <v>6.6150000000000002</v>
      </c>
      <c r="W481">
        <f t="shared" si="31"/>
        <v>1.6169999999999998</v>
      </c>
      <c r="X481">
        <v>2</v>
      </c>
    </row>
    <row r="482" spans="1:24" x14ac:dyDescent="0.3">
      <c r="A482">
        <v>481</v>
      </c>
      <c r="B482" t="s">
        <v>2256</v>
      </c>
      <c r="C482" s="6">
        <v>44677</v>
      </c>
      <c r="D482" t="str">
        <f t="shared" si="28"/>
        <v>Apr</v>
      </c>
      <c r="E482" t="str">
        <f t="shared" si="29"/>
        <v>2022</v>
      </c>
      <c r="F482" t="s">
        <v>4</v>
      </c>
      <c r="G482" t="s">
        <v>196</v>
      </c>
      <c r="H482" t="s">
        <v>973</v>
      </c>
      <c r="I482">
        <v>240</v>
      </c>
      <c r="J482">
        <v>16</v>
      </c>
      <c r="K482">
        <f t="shared" si="30"/>
        <v>6.666666666666667</v>
      </c>
      <c r="L482" t="s">
        <v>1738</v>
      </c>
      <c r="M482" t="s">
        <v>3589</v>
      </c>
      <c r="N482" t="s">
        <v>1</v>
      </c>
      <c r="O482">
        <v>700028</v>
      </c>
      <c r="P482" t="s">
        <v>546</v>
      </c>
      <c r="Q482" t="s">
        <v>1754</v>
      </c>
      <c r="S482">
        <v>704.25</v>
      </c>
      <c r="T482">
        <v>5</v>
      </c>
      <c r="U482">
        <v>0</v>
      </c>
      <c r="V482">
        <v>84.51</v>
      </c>
      <c r="W482">
        <f t="shared" si="31"/>
        <v>123.94800000000001</v>
      </c>
      <c r="X482">
        <v>3</v>
      </c>
    </row>
    <row r="483" spans="1:24" x14ac:dyDescent="0.3">
      <c r="A483">
        <v>482</v>
      </c>
      <c r="B483" t="s">
        <v>2257</v>
      </c>
      <c r="C483" s="6">
        <v>44678</v>
      </c>
      <c r="D483" t="str">
        <f t="shared" si="28"/>
        <v>Apr</v>
      </c>
      <c r="E483" t="str">
        <f t="shared" si="29"/>
        <v>2022</v>
      </c>
      <c r="F483" t="s">
        <v>4</v>
      </c>
      <c r="G483" t="s">
        <v>197</v>
      </c>
      <c r="H483" t="s">
        <v>974</v>
      </c>
      <c r="I483">
        <v>110</v>
      </c>
      <c r="J483">
        <v>14</v>
      </c>
      <c r="K483">
        <f t="shared" si="30"/>
        <v>12.727272727272727</v>
      </c>
      <c r="L483" t="s">
        <v>1743</v>
      </c>
      <c r="M483" t="s">
        <v>3590</v>
      </c>
      <c r="N483" t="s">
        <v>1</v>
      </c>
      <c r="O483">
        <v>570023</v>
      </c>
      <c r="P483" t="s">
        <v>546</v>
      </c>
      <c r="Q483" t="s">
        <v>1764</v>
      </c>
      <c r="S483">
        <v>9.09</v>
      </c>
      <c r="T483">
        <v>3</v>
      </c>
      <c r="U483">
        <v>0</v>
      </c>
      <c r="V483">
        <v>1.9089</v>
      </c>
      <c r="W483">
        <f t="shared" si="31"/>
        <v>2.3936999999999999</v>
      </c>
      <c r="X483">
        <v>3</v>
      </c>
    </row>
    <row r="484" spans="1:24" x14ac:dyDescent="0.3">
      <c r="A484">
        <v>483</v>
      </c>
      <c r="B484" t="s">
        <v>2258</v>
      </c>
      <c r="C484" s="6">
        <v>44679</v>
      </c>
      <c r="D484" t="str">
        <f t="shared" si="28"/>
        <v>Apr</v>
      </c>
      <c r="E484" t="str">
        <f t="shared" si="29"/>
        <v>2022</v>
      </c>
      <c r="F484" t="s">
        <v>4</v>
      </c>
      <c r="G484" t="s">
        <v>198</v>
      </c>
      <c r="H484" t="s">
        <v>626</v>
      </c>
      <c r="I484">
        <v>210</v>
      </c>
      <c r="J484">
        <v>22</v>
      </c>
      <c r="K484">
        <f t="shared" si="30"/>
        <v>10.476190476190476</v>
      </c>
      <c r="L484" t="s">
        <v>1741</v>
      </c>
      <c r="M484" t="s">
        <v>3591</v>
      </c>
      <c r="N484" t="s">
        <v>1</v>
      </c>
      <c r="O484">
        <v>700095</v>
      </c>
      <c r="P484" t="s">
        <v>546</v>
      </c>
      <c r="Q484" t="s">
        <v>1767</v>
      </c>
      <c r="S484">
        <v>5.96</v>
      </c>
      <c r="T484">
        <v>2</v>
      </c>
      <c r="U484">
        <v>0</v>
      </c>
      <c r="V484">
        <v>1.6688000000000001</v>
      </c>
      <c r="W484">
        <f t="shared" si="31"/>
        <v>2.1456</v>
      </c>
      <c r="X484">
        <v>2</v>
      </c>
    </row>
    <row r="485" spans="1:24" x14ac:dyDescent="0.3">
      <c r="A485">
        <v>484</v>
      </c>
      <c r="B485" t="s">
        <v>1973</v>
      </c>
      <c r="C485" s="6">
        <v>44680</v>
      </c>
      <c r="D485" t="str">
        <f t="shared" si="28"/>
        <v>Apr</v>
      </c>
      <c r="E485" t="str">
        <f t="shared" si="29"/>
        <v>2022</v>
      </c>
      <c r="F485" t="s">
        <v>4</v>
      </c>
      <c r="G485" t="s">
        <v>198</v>
      </c>
      <c r="H485" t="s">
        <v>975</v>
      </c>
      <c r="I485">
        <v>230</v>
      </c>
      <c r="J485">
        <v>16</v>
      </c>
      <c r="K485">
        <f t="shared" si="30"/>
        <v>6.9565217391304346</v>
      </c>
      <c r="L485" t="s">
        <v>1737</v>
      </c>
      <c r="M485" t="s">
        <v>3592</v>
      </c>
      <c r="N485" t="s">
        <v>1</v>
      </c>
      <c r="O485">
        <v>482003</v>
      </c>
      <c r="P485" t="s">
        <v>546</v>
      </c>
      <c r="Q485" t="s">
        <v>1754</v>
      </c>
      <c r="R485" t="s">
        <v>2</v>
      </c>
      <c r="S485">
        <v>159.97999999999999</v>
      </c>
      <c r="T485">
        <v>2</v>
      </c>
      <c r="U485">
        <v>0</v>
      </c>
      <c r="V485">
        <v>57.592799999999997</v>
      </c>
      <c r="W485">
        <f t="shared" si="31"/>
        <v>51.193599999999996</v>
      </c>
      <c r="X485">
        <v>3</v>
      </c>
    </row>
    <row r="486" spans="1:24" x14ac:dyDescent="0.3">
      <c r="A486">
        <v>485</v>
      </c>
      <c r="B486" t="s">
        <v>2259</v>
      </c>
      <c r="C486" s="6">
        <v>44681</v>
      </c>
      <c r="D486" t="str">
        <f t="shared" si="28"/>
        <v>Apr</v>
      </c>
      <c r="E486" t="str">
        <f t="shared" si="29"/>
        <v>2022</v>
      </c>
      <c r="F486" t="s">
        <v>5</v>
      </c>
      <c r="G486" t="s">
        <v>199</v>
      </c>
      <c r="H486" t="s">
        <v>976</v>
      </c>
      <c r="I486">
        <v>180</v>
      </c>
      <c r="J486">
        <v>30</v>
      </c>
      <c r="K486">
        <f t="shared" si="30"/>
        <v>16.666666666666664</v>
      </c>
      <c r="L486" t="s">
        <v>1736</v>
      </c>
      <c r="M486" t="s">
        <v>3593</v>
      </c>
      <c r="O486">
        <v>192123</v>
      </c>
      <c r="P486" t="s">
        <v>546</v>
      </c>
      <c r="Q486" t="s">
        <v>1762</v>
      </c>
      <c r="S486">
        <v>29.6</v>
      </c>
      <c r="T486">
        <v>2</v>
      </c>
      <c r="U486">
        <v>0</v>
      </c>
      <c r="V486">
        <v>14.8</v>
      </c>
      <c r="W486">
        <f t="shared" si="31"/>
        <v>7.4</v>
      </c>
      <c r="X486">
        <v>1</v>
      </c>
    </row>
    <row r="487" spans="1:24" x14ac:dyDescent="0.3">
      <c r="A487">
        <v>486</v>
      </c>
      <c r="B487" t="s">
        <v>2260</v>
      </c>
      <c r="C487" s="6">
        <v>44682</v>
      </c>
      <c r="D487" t="str">
        <f t="shared" si="28"/>
        <v>May</v>
      </c>
      <c r="E487" t="str">
        <f t="shared" si="29"/>
        <v>2022</v>
      </c>
      <c r="F487" t="s">
        <v>5</v>
      </c>
      <c r="G487" t="s">
        <v>199</v>
      </c>
      <c r="H487" t="s">
        <v>977</v>
      </c>
      <c r="I487">
        <v>110</v>
      </c>
      <c r="J487">
        <v>8</v>
      </c>
      <c r="K487">
        <f t="shared" si="30"/>
        <v>7.2727272727272725</v>
      </c>
      <c r="L487" t="s">
        <v>1739</v>
      </c>
      <c r="M487" t="s">
        <v>3594</v>
      </c>
      <c r="N487" t="s">
        <v>1</v>
      </c>
      <c r="O487">
        <v>134114</v>
      </c>
      <c r="P487" t="s">
        <v>546</v>
      </c>
      <c r="Q487" t="s">
        <v>1775</v>
      </c>
      <c r="R487" t="s">
        <v>2</v>
      </c>
      <c r="S487">
        <v>514.16499999999996</v>
      </c>
      <c r="T487">
        <v>5</v>
      </c>
      <c r="U487">
        <v>0.15</v>
      </c>
      <c r="V487">
        <v>-30.245000000000001</v>
      </c>
      <c r="W487">
        <f t="shared" si="31"/>
        <v>108.88199999999999</v>
      </c>
      <c r="X487">
        <v>4</v>
      </c>
    </row>
    <row r="488" spans="1:24" x14ac:dyDescent="0.3">
      <c r="A488">
        <v>487</v>
      </c>
      <c r="B488" t="s">
        <v>2261</v>
      </c>
      <c r="C488" s="6">
        <v>44683</v>
      </c>
      <c r="D488" t="str">
        <f t="shared" si="28"/>
        <v>May</v>
      </c>
      <c r="E488" t="str">
        <f t="shared" si="29"/>
        <v>2022</v>
      </c>
      <c r="F488" t="s">
        <v>5</v>
      </c>
      <c r="G488" t="s">
        <v>199</v>
      </c>
      <c r="H488" t="s">
        <v>978</v>
      </c>
      <c r="I488">
        <v>240</v>
      </c>
      <c r="J488">
        <v>16</v>
      </c>
      <c r="K488">
        <f t="shared" si="30"/>
        <v>6.666666666666667</v>
      </c>
      <c r="L488" t="s">
        <v>1738</v>
      </c>
      <c r="M488" t="s">
        <v>3595</v>
      </c>
      <c r="N488" t="s">
        <v>1</v>
      </c>
      <c r="O488">
        <v>226008</v>
      </c>
      <c r="P488" t="s">
        <v>546</v>
      </c>
      <c r="Q488" t="s">
        <v>1771</v>
      </c>
      <c r="S488">
        <v>279.95999999999998</v>
      </c>
      <c r="T488">
        <v>5</v>
      </c>
      <c r="U488">
        <v>0.2</v>
      </c>
      <c r="V488">
        <v>17.497499999999999</v>
      </c>
      <c r="W488">
        <f t="shared" si="31"/>
        <v>52.492499999999993</v>
      </c>
      <c r="X488">
        <v>4</v>
      </c>
    </row>
    <row r="489" spans="1:24" x14ac:dyDescent="0.3">
      <c r="A489">
        <v>488</v>
      </c>
      <c r="B489" t="s">
        <v>2262</v>
      </c>
      <c r="C489" s="6">
        <v>44684</v>
      </c>
      <c r="D489" t="str">
        <f t="shared" si="28"/>
        <v>May</v>
      </c>
      <c r="E489" t="str">
        <f t="shared" si="29"/>
        <v>2022</v>
      </c>
      <c r="F489" t="s">
        <v>5</v>
      </c>
      <c r="G489" t="s">
        <v>200</v>
      </c>
      <c r="H489" t="s">
        <v>979</v>
      </c>
      <c r="I489">
        <v>150</v>
      </c>
      <c r="J489">
        <v>18</v>
      </c>
      <c r="K489">
        <f t="shared" si="30"/>
        <v>12</v>
      </c>
      <c r="L489" t="s">
        <v>1744</v>
      </c>
      <c r="M489" t="s">
        <v>3596</v>
      </c>
      <c r="N489" t="s">
        <v>1</v>
      </c>
      <c r="O489">
        <v>500004</v>
      </c>
      <c r="P489" t="s">
        <v>546</v>
      </c>
      <c r="Q489" t="s">
        <v>1770</v>
      </c>
      <c r="S489">
        <v>2735.9520000000002</v>
      </c>
      <c r="T489">
        <v>6</v>
      </c>
      <c r="U489">
        <v>0.2</v>
      </c>
      <c r="V489">
        <v>341.99400000000003</v>
      </c>
      <c r="W489">
        <f t="shared" si="31"/>
        <v>398.99299999999999</v>
      </c>
      <c r="X489">
        <v>1</v>
      </c>
    </row>
    <row r="490" spans="1:24" x14ac:dyDescent="0.3">
      <c r="A490">
        <v>489</v>
      </c>
      <c r="B490" t="s">
        <v>2263</v>
      </c>
      <c r="C490" s="6">
        <v>44685</v>
      </c>
      <c r="D490" t="str">
        <f t="shared" si="28"/>
        <v>May</v>
      </c>
      <c r="E490" t="str">
        <f t="shared" si="29"/>
        <v>2022</v>
      </c>
      <c r="F490" t="s">
        <v>3</v>
      </c>
      <c r="G490" t="s">
        <v>201</v>
      </c>
      <c r="H490" t="s">
        <v>980</v>
      </c>
      <c r="I490">
        <v>140</v>
      </c>
      <c r="J490">
        <v>14</v>
      </c>
      <c r="K490">
        <f t="shared" si="30"/>
        <v>10</v>
      </c>
      <c r="L490" t="s">
        <v>1740</v>
      </c>
      <c r="M490" t="s">
        <v>3597</v>
      </c>
      <c r="N490" t="s">
        <v>1</v>
      </c>
      <c r="O490">
        <v>122002</v>
      </c>
      <c r="P490" t="s">
        <v>546</v>
      </c>
      <c r="Q490" t="s">
        <v>1759</v>
      </c>
      <c r="R490" t="s">
        <v>2</v>
      </c>
      <c r="S490">
        <v>7.992</v>
      </c>
      <c r="T490">
        <v>1</v>
      </c>
      <c r="U490">
        <v>0.2</v>
      </c>
      <c r="V490">
        <v>0.59940000000000004</v>
      </c>
      <c r="W490">
        <f t="shared" si="31"/>
        <v>7.3925999999999998</v>
      </c>
      <c r="X490">
        <v>1</v>
      </c>
    </row>
    <row r="491" spans="1:24" x14ac:dyDescent="0.3">
      <c r="A491">
        <v>490</v>
      </c>
      <c r="B491" t="s">
        <v>2264</v>
      </c>
      <c r="C491" s="6">
        <v>44686</v>
      </c>
      <c r="D491" t="str">
        <f t="shared" si="28"/>
        <v>May</v>
      </c>
      <c r="E491" t="str">
        <f t="shared" si="29"/>
        <v>2022</v>
      </c>
      <c r="F491" t="s">
        <v>3</v>
      </c>
      <c r="G491" t="s">
        <v>201</v>
      </c>
      <c r="H491" t="s">
        <v>981</v>
      </c>
      <c r="I491">
        <v>130</v>
      </c>
      <c r="J491">
        <v>8</v>
      </c>
      <c r="K491">
        <f t="shared" si="30"/>
        <v>6.1538461538461542</v>
      </c>
      <c r="L491" t="s">
        <v>1742</v>
      </c>
      <c r="M491" t="s">
        <v>3598</v>
      </c>
      <c r="N491" t="s">
        <v>1</v>
      </c>
      <c r="O491">
        <v>400008</v>
      </c>
      <c r="P491" t="s">
        <v>546</v>
      </c>
      <c r="Q491" t="s">
        <v>1764</v>
      </c>
      <c r="S491">
        <v>63.984000000000002</v>
      </c>
      <c r="T491">
        <v>2</v>
      </c>
      <c r="U491">
        <v>0.2</v>
      </c>
      <c r="V491">
        <v>10.397399999999999</v>
      </c>
      <c r="W491">
        <f t="shared" si="31"/>
        <v>26.793300000000002</v>
      </c>
      <c r="X491">
        <v>4</v>
      </c>
    </row>
    <row r="492" spans="1:24" x14ac:dyDescent="0.3">
      <c r="A492">
        <v>491</v>
      </c>
      <c r="B492" t="s">
        <v>2265</v>
      </c>
      <c r="C492" s="6">
        <v>44687</v>
      </c>
      <c r="D492" t="str">
        <f t="shared" si="28"/>
        <v>May</v>
      </c>
      <c r="E492" t="str">
        <f t="shared" si="29"/>
        <v>2022</v>
      </c>
      <c r="F492" t="s">
        <v>3</v>
      </c>
      <c r="G492" t="s">
        <v>201</v>
      </c>
      <c r="H492" t="s">
        <v>946</v>
      </c>
      <c r="I492">
        <v>230</v>
      </c>
      <c r="J492">
        <v>6</v>
      </c>
      <c r="K492">
        <f t="shared" si="30"/>
        <v>2.6086956521739131</v>
      </c>
      <c r="L492" t="s">
        <v>1739</v>
      </c>
      <c r="M492" t="s">
        <v>3747</v>
      </c>
      <c r="N492" t="s">
        <v>1</v>
      </c>
      <c r="O492">
        <v>500010</v>
      </c>
      <c r="P492" t="s">
        <v>546</v>
      </c>
      <c r="Q492" t="s">
        <v>1755</v>
      </c>
      <c r="S492">
        <v>70.367999999999995</v>
      </c>
      <c r="T492">
        <v>2</v>
      </c>
      <c r="U492">
        <v>0.2</v>
      </c>
      <c r="V492">
        <v>6.1571999999999996</v>
      </c>
      <c r="W492">
        <f t="shared" si="31"/>
        <v>32.105399999999996</v>
      </c>
      <c r="X492">
        <v>3</v>
      </c>
    </row>
    <row r="493" spans="1:24" x14ac:dyDescent="0.3">
      <c r="A493">
        <v>492</v>
      </c>
      <c r="B493" t="s">
        <v>2266</v>
      </c>
      <c r="C493" s="6">
        <v>44688</v>
      </c>
      <c r="D493" t="str">
        <f t="shared" si="28"/>
        <v>May</v>
      </c>
      <c r="E493" t="str">
        <f t="shared" si="29"/>
        <v>2022</v>
      </c>
      <c r="F493" t="s">
        <v>4</v>
      </c>
      <c r="G493" t="s">
        <v>202</v>
      </c>
      <c r="H493" t="s">
        <v>982</v>
      </c>
      <c r="I493">
        <v>230</v>
      </c>
      <c r="J493">
        <v>24</v>
      </c>
      <c r="K493">
        <f t="shared" si="30"/>
        <v>10.434782608695652</v>
      </c>
      <c r="L493" t="s">
        <v>1738</v>
      </c>
      <c r="M493" t="s">
        <v>3599</v>
      </c>
      <c r="N493" t="s">
        <v>1</v>
      </c>
      <c r="O493">
        <v>110025</v>
      </c>
      <c r="P493" t="s">
        <v>546</v>
      </c>
      <c r="Q493" t="s">
        <v>1759</v>
      </c>
      <c r="S493">
        <v>449.15</v>
      </c>
      <c r="T493">
        <v>5</v>
      </c>
      <c r="U493">
        <v>0</v>
      </c>
      <c r="V493">
        <v>8.9830000000000005</v>
      </c>
      <c r="W493">
        <f t="shared" si="31"/>
        <v>88.0334</v>
      </c>
      <c r="X493">
        <v>3</v>
      </c>
    </row>
    <row r="494" spans="1:24" x14ac:dyDescent="0.3">
      <c r="A494">
        <v>493</v>
      </c>
      <c r="B494" t="s">
        <v>2267</v>
      </c>
      <c r="C494" s="6">
        <v>44689</v>
      </c>
      <c r="D494" t="str">
        <f t="shared" si="28"/>
        <v>May</v>
      </c>
      <c r="E494" t="str">
        <f t="shared" si="29"/>
        <v>2022</v>
      </c>
      <c r="F494" t="s">
        <v>4</v>
      </c>
      <c r="G494" t="s">
        <v>202</v>
      </c>
      <c r="H494" t="s">
        <v>983</v>
      </c>
      <c r="I494">
        <v>240</v>
      </c>
      <c r="J494">
        <v>8</v>
      </c>
      <c r="K494">
        <f t="shared" si="30"/>
        <v>3.3333333333333335</v>
      </c>
      <c r="L494" t="s">
        <v>1743</v>
      </c>
      <c r="M494" t="s">
        <v>3601</v>
      </c>
      <c r="N494" t="s">
        <v>1</v>
      </c>
      <c r="O494">
        <v>500010</v>
      </c>
      <c r="P494" t="s">
        <v>546</v>
      </c>
      <c r="Q494" t="s">
        <v>1776</v>
      </c>
      <c r="S494">
        <v>11.07</v>
      </c>
      <c r="T494">
        <v>3</v>
      </c>
      <c r="U494">
        <v>0</v>
      </c>
      <c r="V494">
        <v>5.0922000000000001</v>
      </c>
      <c r="W494">
        <f t="shared" si="31"/>
        <v>1.9926000000000001</v>
      </c>
      <c r="X494">
        <v>5</v>
      </c>
    </row>
    <row r="495" spans="1:24" x14ac:dyDescent="0.3">
      <c r="A495">
        <v>494</v>
      </c>
      <c r="B495" t="s">
        <v>2268</v>
      </c>
      <c r="C495" s="6">
        <v>44690</v>
      </c>
      <c r="D495" t="str">
        <f t="shared" si="28"/>
        <v>May</v>
      </c>
      <c r="E495" t="str">
        <f t="shared" si="29"/>
        <v>2022</v>
      </c>
      <c r="F495" t="s">
        <v>4</v>
      </c>
      <c r="G495" t="s">
        <v>203</v>
      </c>
      <c r="H495" t="s">
        <v>984</v>
      </c>
      <c r="I495">
        <v>120</v>
      </c>
      <c r="J495">
        <v>26</v>
      </c>
      <c r="K495">
        <f t="shared" si="30"/>
        <v>21.666666666666668</v>
      </c>
      <c r="L495" t="s">
        <v>1737</v>
      </c>
      <c r="M495" t="s">
        <v>3602</v>
      </c>
      <c r="N495" t="s">
        <v>1</v>
      </c>
      <c r="O495">
        <v>201301</v>
      </c>
      <c r="P495" t="s">
        <v>546</v>
      </c>
      <c r="Q495" t="s">
        <v>1773</v>
      </c>
      <c r="S495">
        <v>93.98</v>
      </c>
      <c r="T495">
        <v>2</v>
      </c>
      <c r="U495">
        <v>0</v>
      </c>
      <c r="V495">
        <v>13.1572</v>
      </c>
      <c r="W495">
        <f t="shared" si="31"/>
        <v>40.4114</v>
      </c>
      <c r="X495">
        <v>4</v>
      </c>
    </row>
    <row r="496" spans="1:24" x14ac:dyDescent="0.3">
      <c r="A496">
        <v>495</v>
      </c>
      <c r="B496" t="s">
        <v>2269</v>
      </c>
      <c r="C496" s="6">
        <v>44691</v>
      </c>
      <c r="D496" t="str">
        <f t="shared" si="28"/>
        <v>May</v>
      </c>
      <c r="E496" t="str">
        <f t="shared" si="29"/>
        <v>2022</v>
      </c>
      <c r="F496" t="s">
        <v>3</v>
      </c>
      <c r="G496" t="s">
        <v>204</v>
      </c>
      <c r="H496" t="s">
        <v>985</v>
      </c>
      <c r="I496">
        <v>250</v>
      </c>
      <c r="J496">
        <v>20</v>
      </c>
      <c r="K496">
        <f t="shared" si="30"/>
        <v>8</v>
      </c>
      <c r="L496" t="s">
        <v>1741</v>
      </c>
      <c r="M496" t="s">
        <v>3603</v>
      </c>
      <c r="N496" t="s">
        <v>1</v>
      </c>
      <c r="O496">
        <v>201301</v>
      </c>
      <c r="P496" t="s">
        <v>546</v>
      </c>
      <c r="Q496" t="s">
        <v>1776</v>
      </c>
      <c r="S496">
        <v>189.88200000000001</v>
      </c>
      <c r="T496">
        <v>3</v>
      </c>
      <c r="U496">
        <v>0.4</v>
      </c>
      <c r="V496">
        <v>-94.941000000000003</v>
      </c>
      <c r="W496">
        <f t="shared" si="31"/>
        <v>94.940999999999988</v>
      </c>
      <c r="X496">
        <v>4</v>
      </c>
    </row>
    <row r="497" spans="1:24" x14ac:dyDescent="0.3">
      <c r="A497">
        <v>496</v>
      </c>
      <c r="B497" t="s">
        <v>2270</v>
      </c>
      <c r="C497" s="6">
        <v>44692</v>
      </c>
      <c r="D497" t="str">
        <f t="shared" si="28"/>
        <v>May</v>
      </c>
      <c r="E497" t="str">
        <f t="shared" si="29"/>
        <v>2022</v>
      </c>
      <c r="F497" t="s">
        <v>4</v>
      </c>
      <c r="G497" t="s">
        <v>205</v>
      </c>
      <c r="H497" t="s">
        <v>986</v>
      </c>
      <c r="I497">
        <v>150</v>
      </c>
      <c r="J497">
        <v>8</v>
      </c>
      <c r="K497">
        <f t="shared" si="30"/>
        <v>5.3333333333333339</v>
      </c>
      <c r="L497" t="s">
        <v>1736</v>
      </c>
      <c r="M497" t="s">
        <v>3604</v>
      </c>
      <c r="N497" t="s">
        <v>1</v>
      </c>
      <c r="O497">
        <v>246763</v>
      </c>
      <c r="P497" t="s">
        <v>546</v>
      </c>
      <c r="Q497" t="s">
        <v>1754</v>
      </c>
      <c r="S497">
        <v>105.42</v>
      </c>
      <c r="T497">
        <v>2</v>
      </c>
      <c r="U497">
        <v>0</v>
      </c>
      <c r="V497">
        <v>51.655799999999999</v>
      </c>
      <c r="W497">
        <f t="shared" si="31"/>
        <v>26.882100000000001</v>
      </c>
      <c r="X497">
        <v>4</v>
      </c>
    </row>
    <row r="498" spans="1:24" x14ac:dyDescent="0.3">
      <c r="A498">
        <v>497</v>
      </c>
      <c r="B498" t="s">
        <v>2271</v>
      </c>
      <c r="C498" s="6">
        <v>44693</v>
      </c>
      <c r="D498" t="str">
        <f t="shared" si="28"/>
        <v>May</v>
      </c>
      <c r="E498" t="str">
        <f t="shared" si="29"/>
        <v>2022</v>
      </c>
      <c r="F498" t="s">
        <v>4</v>
      </c>
      <c r="G498" t="s">
        <v>190</v>
      </c>
      <c r="H498" t="s">
        <v>987</v>
      </c>
      <c r="I498">
        <v>240</v>
      </c>
      <c r="J498">
        <v>24</v>
      </c>
      <c r="K498">
        <f t="shared" si="30"/>
        <v>10</v>
      </c>
      <c r="L498" t="s">
        <v>1744</v>
      </c>
      <c r="M498" t="s">
        <v>3605</v>
      </c>
      <c r="N498" t="s">
        <v>1</v>
      </c>
      <c r="O498">
        <v>201301</v>
      </c>
      <c r="P498" t="s">
        <v>546</v>
      </c>
      <c r="Q498" t="s">
        <v>1775</v>
      </c>
      <c r="S498">
        <v>119.616</v>
      </c>
      <c r="T498">
        <v>8</v>
      </c>
      <c r="U498">
        <v>0.2</v>
      </c>
      <c r="V498">
        <v>40.370399999999997</v>
      </c>
      <c r="W498">
        <f t="shared" si="31"/>
        <v>9.9056999999999995</v>
      </c>
      <c r="X498">
        <v>2</v>
      </c>
    </row>
    <row r="499" spans="1:24" x14ac:dyDescent="0.3">
      <c r="A499">
        <v>498</v>
      </c>
      <c r="B499" t="s">
        <v>2272</v>
      </c>
      <c r="C499" s="6">
        <v>44694</v>
      </c>
      <c r="D499" t="str">
        <f t="shared" si="28"/>
        <v>May</v>
      </c>
      <c r="E499" t="str">
        <f t="shared" si="29"/>
        <v>2022</v>
      </c>
      <c r="F499" t="s">
        <v>4</v>
      </c>
      <c r="G499" t="s">
        <v>190</v>
      </c>
      <c r="H499" t="s">
        <v>988</v>
      </c>
      <c r="I499">
        <v>110</v>
      </c>
      <c r="J499">
        <v>26</v>
      </c>
      <c r="K499">
        <f t="shared" si="30"/>
        <v>23.636363636363637</v>
      </c>
      <c r="L499" t="s">
        <v>1740</v>
      </c>
      <c r="M499" t="s">
        <v>3606</v>
      </c>
      <c r="N499" t="s">
        <v>1</v>
      </c>
      <c r="O499">
        <v>500076</v>
      </c>
      <c r="P499" t="s">
        <v>546</v>
      </c>
      <c r="Q499" t="s">
        <v>1764</v>
      </c>
      <c r="S499">
        <v>255.76</v>
      </c>
      <c r="T499">
        <v>4</v>
      </c>
      <c r="U499">
        <v>0</v>
      </c>
      <c r="V499">
        <v>81.843199999999996</v>
      </c>
      <c r="W499">
        <f t="shared" si="31"/>
        <v>43.479199999999999</v>
      </c>
      <c r="X499">
        <v>2</v>
      </c>
    </row>
    <row r="500" spans="1:24" x14ac:dyDescent="0.3">
      <c r="A500">
        <v>499</v>
      </c>
      <c r="B500" t="s">
        <v>2273</v>
      </c>
      <c r="C500" s="6">
        <v>44695</v>
      </c>
      <c r="D500" t="str">
        <f t="shared" si="28"/>
        <v>May</v>
      </c>
      <c r="E500" t="str">
        <f t="shared" si="29"/>
        <v>2022</v>
      </c>
      <c r="F500" t="s">
        <v>4</v>
      </c>
      <c r="G500" t="s">
        <v>190</v>
      </c>
      <c r="H500" t="s">
        <v>838</v>
      </c>
      <c r="I500">
        <v>250</v>
      </c>
      <c r="J500">
        <v>30</v>
      </c>
      <c r="K500">
        <f t="shared" si="30"/>
        <v>12</v>
      </c>
      <c r="L500" t="s">
        <v>1742</v>
      </c>
      <c r="M500" t="s">
        <v>3607</v>
      </c>
      <c r="N500" t="s">
        <v>1</v>
      </c>
      <c r="O500">
        <v>421301</v>
      </c>
      <c r="P500" t="s">
        <v>546</v>
      </c>
      <c r="Q500" t="s">
        <v>1764</v>
      </c>
      <c r="S500">
        <v>241.56800000000001</v>
      </c>
      <c r="T500">
        <v>2</v>
      </c>
      <c r="U500">
        <v>0.2</v>
      </c>
      <c r="V500">
        <v>18.117599999999999</v>
      </c>
      <c r="W500">
        <f t="shared" si="31"/>
        <v>111.7252</v>
      </c>
      <c r="X500">
        <v>5</v>
      </c>
    </row>
    <row r="501" spans="1:24" x14ac:dyDescent="0.3">
      <c r="A501">
        <v>500</v>
      </c>
      <c r="B501" t="s">
        <v>2274</v>
      </c>
      <c r="C501" s="6">
        <v>44696</v>
      </c>
      <c r="D501" t="str">
        <f t="shared" si="28"/>
        <v>May</v>
      </c>
      <c r="E501" t="str">
        <f t="shared" si="29"/>
        <v>2022</v>
      </c>
      <c r="F501" t="s">
        <v>4</v>
      </c>
      <c r="G501" t="s">
        <v>190</v>
      </c>
      <c r="H501" t="s">
        <v>989</v>
      </c>
      <c r="I501">
        <v>180</v>
      </c>
      <c r="J501">
        <v>28</v>
      </c>
      <c r="K501">
        <f t="shared" si="30"/>
        <v>15.555555555555555</v>
      </c>
      <c r="L501" t="s">
        <v>1739</v>
      </c>
      <c r="M501" t="s">
        <v>3600</v>
      </c>
      <c r="N501" t="s">
        <v>1</v>
      </c>
      <c r="O501">
        <v>401208</v>
      </c>
      <c r="P501" t="s">
        <v>546</v>
      </c>
      <c r="Q501" t="s">
        <v>1754</v>
      </c>
      <c r="S501">
        <v>69.3</v>
      </c>
      <c r="T501">
        <v>9</v>
      </c>
      <c r="U501">
        <v>0</v>
      </c>
      <c r="V501">
        <v>22.869</v>
      </c>
      <c r="W501">
        <f t="shared" si="31"/>
        <v>5.1589999999999998</v>
      </c>
      <c r="X501">
        <v>1</v>
      </c>
    </row>
    <row r="502" spans="1:24" x14ac:dyDescent="0.3">
      <c r="A502">
        <v>501</v>
      </c>
      <c r="B502" t="s">
        <v>2275</v>
      </c>
      <c r="C502" s="6">
        <v>44697</v>
      </c>
      <c r="D502" t="str">
        <f t="shared" si="28"/>
        <v>May</v>
      </c>
      <c r="E502" t="str">
        <f t="shared" si="29"/>
        <v>2022</v>
      </c>
      <c r="F502" t="s">
        <v>4</v>
      </c>
      <c r="G502" t="s">
        <v>206</v>
      </c>
      <c r="H502" t="s">
        <v>990</v>
      </c>
      <c r="I502">
        <v>180</v>
      </c>
      <c r="J502">
        <v>22</v>
      </c>
      <c r="K502">
        <f t="shared" si="30"/>
        <v>12.222222222222221</v>
      </c>
      <c r="L502" t="s">
        <v>1738</v>
      </c>
      <c r="M502" t="s">
        <v>3609</v>
      </c>
      <c r="N502" t="s">
        <v>1</v>
      </c>
      <c r="O502">
        <v>226012</v>
      </c>
      <c r="P502" t="s">
        <v>546</v>
      </c>
      <c r="Q502" t="s">
        <v>1758</v>
      </c>
      <c r="S502">
        <v>22.62</v>
      </c>
      <c r="T502">
        <v>2</v>
      </c>
      <c r="U502">
        <v>0.7</v>
      </c>
      <c r="V502">
        <v>-15.08</v>
      </c>
      <c r="W502">
        <f t="shared" si="31"/>
        <v>18.850000000000001</v>
      </c>
      <c r="X502">
        <v>4</v>
      </c>
    </row>
    <row r="503" spans="1:24" x14ac:dyDescent="0.3">
      <c r="A503">
        <v>502</v>
      </c>
      <c r="B503" t="s">
        <v>2276</v>
      </c>
      <c r="C503" s="6">
        <v>44698</v>
      </c>
      <c r="D503" t="str">
        <f t="shared" si="28"/>
        <v>May</v>
      </c>
      <c r="E503" t="str">
        <f t="shared" si="29"/>
        <v>2022</v>
      </c>
      <c r="F503" t="s">
        <v>4</v>
      </c>
      <c r="G503" t="s">
        <v>206</v>
      </c>
      <c r="H503" t="s">
        <v>991</v>
      </c>
      <c r="I503">
        <v>200</v>
      </c>
      <c r="J503">
        <v>16</v>
      </c>
      <c r="K503">
        <f t="shared" si="30"/>
        <v>8</v>
      </c>
      <c r="L503" t="s">
        <v>1743</v>
      </c>
      <c r="M503" t="s">
        <v>3610</v>
      </c>
      <c r="N503" t="s">
        <v>1</v>
      </c>
      <c r="O503">
        <v>211004</v>
      </c>
      <c r="P503" t="s">
        <v>546</v>
      </c>
      <c r="Q503" t="s">
        <v>1770</v>
      </c>
      <c r="S503">
        <v>14.952</v>
      </c>
      <c r="T503">
        <v>2</v>
      </c>
      <c r="U503">
        <v>0.7</v>
      </c>
      <c r="V503">
        <v>-11.961600000000001</v>
      </c>
      <c r="W503">
        <f t="shared" si="31"/>
        <v>13.456800000000001</v>
      </c>
      <c r="X503">
        <v>1</v>
      </c>
    </row>
    <row r="504" spans="1:24" x14ac:dyDescent="0.3">
      <c r="A504">
        <v>503</v>
      </c>
      <c r="B504" t="s">
        <v>2277</v>
      </c>
      <c r="C504" s="6">
        <v>44699</v>
      </c>
      <c r="D504" t="str">
        <f t="shared" si="28"/>
        <v>May</v>
      </c>
      <c r="E504" t="str">
        <f t="shared" si="29"/>
        <v>2022</v>
      </c>
      <c r="F504" t="s">
        <v>4</v>
      </c>
      <c r="G504" t="s">
        <v>206</v>
      </c>
      <c r="H504" t="s">
        <v>992</v>
      </c>
      <c r="I504">
        <v>190</v>
      </c>
      <c r="J504">
        <v>20</v>
      </c>
      <c r="K504">
        <f t="shared" si="30"/>
        <v>10.526315789473683</v>
      </c>
      <c r="L504" t="s">
        <v>1737</v>
      </c>
      <c r="M504" t="s">
        <v>3611</v>
      </c>
      <c r="N504" t="s">
        <v>1</v>
      </c>
      <c r="O504">
        <v>535145</v>
      </c>
      <c r="P504" t="s">
        <v>546</v>
      </c>
      <c r="Q504" t="s">
        <v>1759</v>
      </c>
      <c r="R504" t="s">
        <v>2</v>
      </c>
      <c r="S504">
        <v>801.56799999999998</v>
      </c>
      <c r="T504">
        <v>2</v>
      </c>
      <c r="U504">
        <v>0.2</v>
      </c>
      <c r="V504">
        <v>50.097999999999999</v>
      </c>
      <c r="W504">
        <f t="shared" si="31"/>
        <v>375.73500000000001</v>
      </c>
      <c r="X504">
        <v>4</v>
      </c>
    </row>
    <row r="505" spans="1:24" x14ac:dyDescent="0.3">
      <c r="A505">
        <v>504</v>
      </c>
      <c r="B505" t="s">
        <v>2278</v>
      </c>
      <c r="C505" s="6">
        <v>44700</v>
      </c>
      <c r="D505" t="str">
        <f t="shared" si="28"/>
        <v>May</v>
      </c>
      <c r="E505" t="str">
        <f t="shared" si="29"/>
        <v>2022</v>
      </c>
      <c r="F505" t="s">
        <v>4</v>
      </c>
      <c r="G505" t="s">
        <v>206</v>
      </c>
      <c r="H505" t="s">
        <v>993</v>
      </c>
      <c r="I505">
        <v>230</v>
      </c>
      <c r="J505">
        <v>14</v>
      </c>
      <c r="K505">
        <f t="shared" si="30"/>
        <v>6.0869565217391308</v>
      </c>
      <c r="L505" t="s">
        <v>1741</v>
      </c>
      <c r="M505" t="s">
        <v>3612</v>
      </c>
      <c r="N505" t="s">
        <v>1</v>
      </c>
      <c r="O505">
        <v>600126</v>
      </c>
      <c r="P505" t="s">
        <v>546</v>
      </c>
      <c r="Q505" t="s">
        <v>1759</v>
      </c>
      <c r="S505">
        <v>2.3759999999999999</v>
      </c>
      <c r="T505">
        <v>3</v>
      </c>
      <c r="U505">
        <v>0.7</v>
      </c>
      <c r="V505">
        <v>-1.9008</v>
      </c>
      <c r="W505">
        <f t="shared" si="31"/>
        <v>1.4256</v>
      </c>
      <c r="X505">
        <v>4</v>
      </c>
    </row>
    <row r="506" spans="1:24" x14ac:dyDescent="0.3">
      <c r="A506">
        <v>505</v>
      </c>
      <c r="B506" t="s">
        <v>2279</v>
      </c>
      <c r="C506" s="6">
        <v>44701</v>
      </c>
      <c r="D506" t="str">
        <f t="shared" si="28"/>
        <v>May</v>
      </c>
      <c r="E506" t="str">
        <f t="shared" si="29"/>
        <v>2022</v>
      </c>
      <c r="F506" t="s">
        <v>4</v>
      </c>
      <c r="G506" t="s">
        <v>206</v>
      </c>
      <c r="H506" t="s">
        <v>994</v>
      </c>
      <c r="I506">
        <v>210</v>
      </c>
      <c r="J506">
        <v>14</v>
      </c>
      <c r="K506">
        <f t="shared" si="30"/>
        <v>6.666666666666667</v>
      </c>
      <c r="L506" t="s">
        <v>1736</v>
      </c>
      <c r="M506" t="s">
        <v>3613</v>
      </c>
      <c r="N506" t="s">
        <v>1</v>
      </c>
      <c r="O506">
        <v>495330</v>
      </c>
      <c r="P506" t="s">
        <v>546</v>
      </c>
      <c r="Q506" t="s">
        <v>1775</v>
      </c>
      <c r="S506">
        <v>32.792000000000002</v>
      </c>
      <c r="T506">
        <v>1</v>
      </c>
      <c r="U506">
        <v>0.2</v>
      </c>
      <c r="V506">
        <v>11.8871</v>
      </c>
      <c r="W506">
        <f t="shared" si="31"/>
        <v>20.904900000000001</v>
      </c>
      <c r="X506">
        <v>5</v>
      </c>
    </row>
    <row r="507" spans="1:24" x14ac:dyDescent="0.3">
      <c r="A507">
        <v>506</v>
      </c>
      <c r="B507" t="s">
        <v>2280</v>
      </c>
      <c r="C507" s="6">
        <v>44702</v>
      </c>
      <c r="D507" t="str">
        <f t="shared" si="28"/>
        <v>May</v>
      </c>
      <c r="E507" t="str">
        <f t="shared" si="29"/>
        <v>2022</v>
      </c>
      <c r="F507" t="s">
        <v>3</v>
      </c>
      <c r="G507" t="s">
        <v>189</v>
      </c>
      <c r="H507" t="s">
        <v>669</v>
      </c>
      <c r="I507">
        <v>130</v>
      </c>
      <c r="J507">
        <v>26</v>
      </c>
      <c r="K507">
        <f t="shared" si="30"/>
        <v>20</v>
      </c>
      <c r="L507" t="s">
        <v>1744</v>
      </c>
      <c r="M507" t="s">
        <v>3614</v>
      </c>
      <c r="N507" t="s">
        <v>1</v>
      </c>
      <c r="O507">
        <v>134116</v>
      </c>
      <c r="P507" t="s">
        <v>546</v>
      </c>
      <c r="Q507" t="s">
        <v>1754</v>
      </c>
      <c r="S507">
        <v>15.92</v>
      </c>
      <c r="T507">
        <v>5</v>
      </c>
      <c r="U507">
        <v>0.2</v>
      </c>
      <c r="V507">
        <v>5.3730000000000002</v>
      </c>
      <c r="W507">
        <f t="shared" si="31"/>
        <v>2.1093999999999999</v>
      </c>
      <c r="X507">
        <v>3</v>
      </c>
    </row>
    <row r="508" spans="1:24" x14ac:dyDescent="0.3">
      <c r="A508">
        <v>507</v>
      </c>
      <c r="B508" t="s">
        <v>2281</v>
      </c>
      <c r="C508" s="6">
        <v>44703</v>
      </c>
      <c r="D508" t="str">
        <f t="shared" si="28"/>
        <v>May</v>
      </c>
      <c r="E508" t="str">
        <f t="shared" si="29"/>
        <v>2022</v>
      </c>
      <c r="F508" t="s">
        <v>4</v>
      </c>
      <c r="G508" t="s">
        <v>207</v>
      </c>
      <c r="H508" t="s">
        <v>995</v>
      </c>
      <c r="I508">
        <v>210</v>
      </c>
      <c r="J508">
        <v>12</v>
      </c>
      <c r="K508">
        <f t="shared" si="30"/>
        <v>5.7142857142857144</v>
      </c>
      <c r="L508" t="s">
        <v>1740</v>
      </c>
      <c r="M508" t="s">
        <v>3615</v>
      </c>
      <c r="N508" t="s">
        <v>1</v>
      </c>
      <c r="O508">
        <v>134116</v>
      </c>
      <c r="P508" t="s">
        <v>546</v>
      </c>
      <c r="Q508" t="s">
        <v>1767</v>
      </c>
      <c r="S508">
        <v>2.74</v>
      </c>
      <c r="T508">
        <v>1</v>
      </c>
      <c r="U508">
        <v>0</v>
      </c>
      <c r="V508">
        <v>0.73980000000000001</v>
      </c>
      <c r="W508">
        <f t="shared" si="31"/>
        <v>2.0002000000000004</v>
      </c>
      <c r="X508">
        <v>5</v>
      </c>
    </row>
    <row r="509" spans="1:24" x14ac:dyDescent="0.3">
      <c r="A509">
        <v>508</v>
      </c>
      <c r="B509" t="s">
        <v>2282</v>
      </c>
      <c r="C509" s="6">
        <v>44704</v>
      </c>
      <c r="D509" t="str">
        <f t="shared" si="28"/>
        <v>May</v>
      </c>
      <c r="E509" t="str">
        <f t="shared" si="29"/>
        <v>2022</v>
      </c>
      <c r="F509" t="s">
        <v>4</v>
      </c>
      <c r="G509" t="s">
        <v>207</v>
      </c>
      <c r="H509" t="s">
        <v>996</v>
      </c>
      <c r="I509">
        <v>250</v>
      </c>
      <c r="J509">
        <v>26</v>
      </c>
      <c r="K509">
        <f t="shared" si="30"/>
        <v>10.4</v>
      </c>
      <c r="L509" t="s">
        <v>1742</v>
      </c>
      <c r="M509" t="s">
        <v>3616</v>
      </c>
      <c r="N509" t="s">
        <v>1</v>
      </c>
      <c r="O509">
        <v>575003</v>
      </c>
      <c r="P509" t="s">
        <v>546</v>
      </c>
      <c r="Q509" t="s">
        <v>1759</v>
      </c>
      <c r="R509" t="s">
        <v>2</v>
      </c>
      <c r="S509">
        <v>8.34</v>
      </c>
      <c r="T509">
        <v>3</v>
      </c>
      <c r="U509">
        <v>0</v>
      </c>
      <c r="V509">
        <v>2.1684000000000001</v>
      </c>
      <c r="W509">
        <f t="shared" si="31"/>
        <v>2.0571999999999999</v>
      </c>
      <c r="X509">
        <v>3</v>
      </c>
    </row>
    <row r="510" spans="1:24" x14ac:dyDescent="0.3">
      <c r="A510">
        <v>509</v>
      </c>
      <c r="B510" t="s">
        <v>2283</v>
      </c>
      <c r="C510" s="6">
        <v>44705</v>
      </c>
      <c r="D510" t="str">
        <f t="shared" si="28"/>
        <v>May</v>
      </c>
      <c r="E510" t="str">
        <f t="shared" si="29"/>
        <v>2022</v>
      </c>
      <c r="F510" t="s">
        <v>4</v>
      </c>
      <c r="G510" t="s">
        <v>207</v>
      </c>
      <c r="H510" t="s">
        <v>777</v>
      </c>
      <c r="I510">
        <v>140</v>
      </c>
      <c r="J510">
        <v>26</v>
      </c>
      <c r="K510">
        <f t="shared" si="30"/>
        <v>18.571428571428573</v>
      </c>
      <c r="L510" t="s">
        <v>1739</v>
      </c>
      <c r="M510" t="s">
        <v>3617</v>
      </c>
      <c r="N510" t="s">
        <v>1</v>
      </c>
      <c r="O510">
        <v>700064</v>
      </c>
      <c r="P510" t="s">
        <v>546</v>
      </c>
      <c r="Q510" t="s">
        <v>1761</v>
      </c>
      <c r="R510" t="s">
        <v>2</v>
      </c>
      <c r="S510">
        <v>46.74</v>
      </c>
      <c r="T510">
        <v>3</v>
      </c>
      <c r="U510">
        <v>0</v>
      </c>
      <c r="V510">
        <v>11.685</v>
      </c>
      <c r="W510">
        <f t="shared" si="31"/>
        <v>11.685</v>
      </c>
      <c r="X510">
        <v>1</v>
      </c>
    </row>
    <row r="511" spans="1:24" x14ac:dyDescent="0.3">
      <c r="A511">
        <v>510</v>
      </c>
      <c r="B511" t="s">
        <v>2284</v>
      </c>
      <c r="C511" s="6">
        <v>44706</v>
      </c>
      <c r="D511" t="str">
        <f t="shared" si="28"/>
        <v>May</v>
      </c>
      <c r="E511" t="str">
        <f t="shared" si="29"/>
        <v>2022</v>
      </c>
      <c r="F511" t="s">
        <v>4</v>
      </c>
      <c r="G511" t="s">
        <v>207</v>
      </c>
      <c r="H511" t="s">
        <v>997</v>
      </c>
      <c r="I511">
        <v>130</v>
      </c>
      <c r="J511">
        <v>16</v>
      </c>
      <c r="K511">
        <f t="shared" si="30"/>
        <v>12.307692307692308</v>
      </c>
      <c r="L511" t="s">
        <v>1738</v>
      </c>
      <c r="M511" t="s">
        <v>3618</v>
      </c>
      <c r="N511" t="s">
        <v>1</v>
      </c>
      <c r="O511">
        <v>671310</v>
      </c>
      <c r="P511" t="s">
        <v>546</v>
      </c>
      <c r="Q511" t="s">
        <v>1772</v>
      </c>
      <c r="S511">
        <v>6354.95</v>
      </c>
      <c r="T511">
        <v>5</v>
      </c>
      <c r="U511">
        <v>0</v>
      </c>
      <c r="V511">
        <v>3177.4749999999999</v>
      </c>
      <c r="W511">
        <f t="shared" si="31"/>
        <v>635.495</v>
      </c>
      <c r="X511">
        <v>4</v>
      </c>
    </row>
    <row r="512" spans="1:24" x14ac:dyDescent="0.3">
      <c r="A512">
        <v>511</v>
      </c>
      <c r="B512" t="s">
        <v>2285</v>
      </c>
      <c r="C512" s="6">
        <v>44707</v>
      </c>
      <c r="D512" t="str">
        <f t="shared" si="28"/>
        <v>May</v>
      </c>
      <c r="E512" t="str">
        <f t="shared" si="29"/>
        <v>2022</v>
      </c>
      <c r="F512" t="s">
        <v>5</v>
      </c>
      <c r="G512" t="s">
        <v>208</v>
      </c>
      <c r="H512" t="s">
        <v>998</v>
      </c>
      <c r="I512">
        <v>180</v>
      </c>
      <c r="J512">
        <v>6</v>
      </c>
      <c r="K512">
        <f t="shared" si="30"/>
        <v>3.3333333333333335</v>
      </c>
      <c r="L512" t="s">
        <v>1741</v>
      </c>
      <c r="M512" t="s">
        <v>3619</v>
      </c>
      <c r="N512" t="s">
        <v>1</v>
      </c>
      <c r="O512">
        <v>180005</v>
      </c>
      <c r="P512" t="s">
        <v>546</v>
      </c>
      <c r="Q512" t="s">
        <v>1767</v>
      </c>
      <c r="S512">
        <v>126.3</v>
      </c>
      <c r="T512">
        <v>3</v>
      </c>
      <c r="U512">
        <v>0</v>
      </c>
      <c r="V512">
        <v>40.415999999999997</v>
      </c>
      <c r="W512">
        <f t="shared" si="31"/>
        <v>28.628</v>
      </c>
      <c r="X512">
        <v>3</v>
      </c>
    </row>
    <row r="513" spans="1:24" x14ac:dyDescent="0.3">
      <c r="A513">
        <v>512</v>
      </c>
      <c r="B513" t="s">
        <v>2286</v>
      </c>
      <c r="C513" s="6">
        <v>44708</v>
      </c>
      <c r="D513" t="str">
        <f t="shared" si="28"/>
        <v>May</v>
      </c>
      <c r="E513" t="str">
        <f t="shared" si="29"/>
        <v>2022</v>
      </c>
      <c r="F513" t="s">
        <v>5</v>
      </c>
      <c r="G513" t="s">
        <v>208</v>
      </c>
      <c r="H513" t="s">
        <v>999</v>
      </c>
      <c r="I513">
        <v>160</v>
      </c>
      <c r="J513">
        <v>10</v>
      </c>
      <c r="K513">
        <f t="shared" si="30"/>
        <v>6.25</v>
      </c>
      <c r="L513" t="s">
        <v>1737</v>
      </c>
      <c r="M513" t="s">
        <v>3620</v>
      </c>
      <c r="N513" t="s">
        <v>1</v>
      </c>
      <c r="O513">
        <v>110016</v>
      </c>
      <c r="P513" t="s">
        <v>546</v>
      </c>
      <c r="Q513" t="s">
        <v>1767</v>
      </c>
      <c r="S513">
        <v>38.04</v>
      </c>
      <c r="T513">
        <v>2</v>
      </c>
      <c r="U513">
        <v>0</v>
      </c>
      <c r="V513">
        <v>12.172800000000001</v>
      </c>
      <c r="W513">
        <f t="shared" si="31"/>
        <v>12.933599999999998</v>
      </c>
      <c r="X513">
        <v>3</v>
      </c>
    </row>
    <row r="514" spans="1:24" x14ac:dyDescent="0.3">
      <c r="A514">
        <v>513</v>
      </c>
      <c r="B514" t="s">
        <v>2287</v>
      </c>
      <c r="C514" s="6">
        <v>44709</v>
      </c>
      <c r="D514" t="str">
        <f t="shared" si="28"/>
        <v>May</v>
      </c>
      <c r="E514" t="str">
        <f t="shared" si="29"/>
        <v>2022</v>
      </c>
      <c r="F514" t="s">
        <v>5</v>
      </c>
      <c r="G514" t="s">
        <v>173</v>
      </c>
      <c r="H514" t="s">
        <v>626</v>
      </c>
      <c r="I514">
        <v>170</v>
      </c>
      <c r="J514">
        <v>10</v>
      </c>
      <c r="K514">
        <f t="shared" si="30"/>
        <v>5.8823529411764701</v>
      </c>
      <c r="L514" t="s">
        <v>1743</v>
      </c>
      <c r="M514" t="s">
        <v>3621</v>
      </c>
      <c r="N514" t="s">
        <v>1</v>
      </c>
      <c r="O514">
        <v>380060</v>
      </c>
      <c r="P514" t="s">
        <v>546</v>
      </c>
      <c r="Q514" t="s">
        <v>1775</v>
      </c>
      <c r="R514" t="s">
        <v>2</v>
      </c>
      <c r="S514">
        <v>7.1520000000000001</v>
      </c>
      <c r="T514">
        <v>3</v>
      </c>
      <c r="U514">
        <v>0.2</v>
      </c>
      <c r="V514">
        <v>0.71519999999999995</v>
      </c>
      <c r="W514">
        <f t="shared" si="31"/>
        <v>2.1456</v>
      </c>
      <c r="X514">
        <v>5</v>
      </c>
    </row>
    <row r="515" spans="1:24" x14ac:dyDescent="0.3">
      <c r="A515">
        <v>514</v>
      </c>
      <c r="B515" t="s">
        <v>2288</v>
      </c>
      <c r="C515" s="6">
        <v>44710</v>
      </c>
      <c r="D515" t="str">
        <f t="shared" ref="D515:D578" si="32">TEXT(C515,"Mmm")</f>
        <v>May</v>
      </c>
      <c r="E515" t="str">
        <f t="shared" ref="E515:E578" si="33">TEXT(C515,"YYYY")</f>
        <v>2022</v>
      </c>
      <c r="F515" t="s">
        <v>4</v>
      </c>
      <c r="G515" t="s">
        <v>209</v>
      </c>
      <c r="H515" t="s">
        <v>1000</v>
      </c>
      <c r="I515">
        <v>100</v>
      </c>
      <c r="J515">
        <v>20</v>
      </c>
      <c r="K515">
        <f t="shared" ref="K515:K578" si="34">(J515/I515)*100</f>
        <v>20</v>
      </c>
      <c r="L515" t="s">
        <v>1738</v>
      </c>
      <c r="M515" t="s">
        <v>3622</v>
      </c>
      <c r="N515" t="s">
        <v>1</v>
      </c>
      <c r="O515">
        <v>390009</v>
      </c>
      <c r="P515" t="s">
        <v>546</v>
      </c>
      <c r="Q515" t="s">
        <v>1768</v>
      </c>
      <c r="S515">
        <v>6.63</v>
      </c>
      <c r="T515">
        <v>3</v>
      </c>
      <c r="U515">
        <v>0</v>
      </c>
      <c r="V515">
        <v>1.7901</v>
      </c>
      <c r="W515">
        <f t="shared" ref="W515:W578" si="35">(S515-V515)/T515</f>
        <v>1.6133</v>
      </c>
      <c r="X515">
        <v>3</v>
      </c>
    </row>
    <row r="516" spans="1:24" x14ac:dyDescent="0.3">
      <c r="A516">
        <v>515</v>
      </c>
      <c r="B516" t="s">
        <v>2289</v>
      </c>
      <c r="C516" s="6">
        <v>44711</v>
      </c>
      <c r="D516" t="str">
        <f t="shared" si="32"/>
        <v>May</v>
      </c>
      <c r="E516" t="str">
        <f t="shared" si="33"/>
        <v>2022</v>
      </c>
      <c r="F516" t="s">
        <v>4</v>
      </c>
      <c r="G516" t="s">
        <v>209</v>
      </c>
      <c r="H516" t="s">
        <v>1001</v>
      </c>
      <c r="I516">
        <v>170</v>
      </c>
      <c r="J516">
        <v>18</v>
      </c>
      <c r="K516">
        <f t="shared" si="34"/>
        <v>10.588235294117647</v>
      </c>
      <c r="L516" t="s">
        <v>1739</v>
      </c>
      <c r="M516" t="s">
        <v>3623</v>
      </c>
      <c r="N516" t="s">
        <v>1</v>
      </c>
      <c r="O516">
        <v>400706</v>
      </c>
      <c r="P516" t="s">
        <v>546</v>
      </c>
      <c r="Q516" t="s">
        <v>1761</v>
      </c>
      <c r="S516">
        <v>5.88</v>
      </c>
      <c r="T516">
        <v>2</v>
      </c>
      <c r="U516">
        <v>0</v>
      </c>
      <c r="V516">
        <v>1.7052</v>
      </c>
      <c r="W516">
        <f t="shared" si="35"/>
        <v>2.0873999999999997</v>
      </c>
      <c r="X516">
        <v>1</v>
      </c>
    </row>
    <row r="517" spans="1:24" x14ac:dyDescent="0.3">
      <c r="A517">
        <v>516</v>
      </c>
      <c r="B517" t="s">
        <v>2290</v>
      </c>
      <c r="C517" s="6">
        <v>44712</v>
      </c>
      <c r="D517" t="str">
        <f t="shared" si="32"/>
        <v>May</v>
      </c>
      <c r="E517" t="str">
        <f t="shared" si="33"/>
        <v>2022</v>
      </c>
      <c r="F517" t="s">
        <v>4</v>
      </c>
      <c r="G517" t="s">
        <v>64</v>
      </c>
      <c r="H517" t="s">
        <v>1002</v>
      </c>
      <c r="I517">
        <v>170</v>
      </c>
      <c r="J517">
        <v>6</v>
      </c>
      <c r="K517">
        <f t="shared" si="34"/>
        <v>3.5294117647058822</v>
      </c>
      <c r="L517" t="s">
        <v>1736</v>
      </c>
      <c r="M517" t="s">
        <v>3624</v>
      </c>
      <c r="N517" t="s">
        <v>1</v>
      </c>
      <c r="O517">
        <v>144022</v>
      </c>
      <c r="P517" t="s">
        <v>546</v>
      </c>
      <c r="Q517" t="s">
        <v>1773</v>
      </c>
      <c r="S517">
        <v>2999.95</v>
      </c>
      <c r="T517">
        <v>5</v>
      </c>
      <c r="U517">
        <v>0</v>
      </c>
      <c r="V517">
        <v>1379.9770000000001</v>
      </c>
      <c r="W517">
        <f t="shared" si="35"/>
        <v>323.99459999999993</v>
      </c>
      <c r="X517">
        <v>1</v>
      </c>
    </row>
    <row r="518" spans="1:24" x14ac:dyDescent="0.3">
      <c r="A518">
        <v>517</v>
      </c>
      <c r="B518" t="s">
        <v>2291</v>
      </c>
      <c r="C518" s="6">
        <v>44713</v>
      </c>
      <c r="D518" t="str">
        <f t="shared" si="32"/>
        <v>Jun</v>
      </c>
      <c r="E518" t="str">
        <f t="shared" si="33"/>
        <v>2022</v>
      </c>
      <c r="F518" t="s">
        <v>4</v>
      </c>
      <c r="G518" t="s">
        <v>64</v>
      </c>
      <c r="H518" t="s">
        <v>1003</v>
      </c>
      <c r="I518">
        <v>110</v>
      </c>
      <c r="J518">
        <v>18</v>
      </c>
      <c r="K518">
        <f t="shared" si="34"/>
        <v>16.363636363636363</v>
      </c>
      <c r="L518" t="s">
        <v>1744</v>
      </c>
      <c r="M518" t="s">
        <v>3625</v>
      </c>
      <c r="O518">
        <v>721101</v>
      </c>
      <c r="P518" t="s">
        <v>546</v>
      </c>
      <c r="Q518" t="s">
        <v>1761</v>
      </c>
      <c r="S518">
        <v>51.45</v>
      </c>
      <c r="T518">
        <v>3</v>
      </c>
      <c r="U518">
        <v>0</v>
      </c>
      <c r="V518">
        <v>13.891500000000001</v>
      </c>
      <c r="W518">
        <f t="shared" si="35"/>
        <v>12.519500000000001</v>
      </c>
      <c r="X518">
        <v>2</v>
      </c>
    </row>
    <row r="519" spans="1:24" x14ac:dyDescent="0.3">
      <c r="A519">
        <v>518</v>
      </c>
      <c r="B519" t="s">
        <v>2292</v>
      </c>
      <c r="C519" s="6">
        <v>44714</v>
      </c>
      <c r="D519" t="str">
        <f t="shared" si="32"/>
        <v>Jun</v>
      </c>
      <c r="E519" t="str">
        <f t="shared" si="33"/>
        <v>2022</v>
      </c>
      <c r="F519" t="s">
        <v>4</v>
      </c>
      <c r="G519" t="s">
        <v>64</v>
      </c>
      <c r="H519" t="s">
        <v>1004</v>
      </c>
      <c r="I519">
        <v>190</v>
      </c>
      <c r="J519">
        <v>26</v>
      </c>
      <c r="K519">
        <f t="shared" si="34"/>
        <v>13.684210526315791</v>
      </c>
      <c r="L519" t="s">
        <v>1740</v>
      </c>
      <c r="M519" t="s">
        <v>3626</v>
      </c>
      <c r="O519">
        <v>812001</v>
      </c>
      <c r="P519" t="s">
        <v>546</v>
      </c>
      <c r="Q519" t="s">
        <v>1761</v>
      </c>
      <c r="S519">
        <v>11.96</v>
      </c>
      <c r="T519">
        <v>2</v>
      </c>
      <c r="U519">
        <v>0</v>
      </c>
      <c r="V519">
        <v>5.3819999999999997</v>
      </c>
      <c r="W519">
        <f t="shared" si="35"/>
        <v>3.2890000000000006</v>
      </c>
      <c r="X519">
        <v>3</v>
      </c>
    </row>
    <row r="520" spans="1:24" x14ac:dyDescent="0.3">
      <c r="A520">
        <v>519</v>
      </c>
      <c r="B520" t="s">
        <v>2293</v>
      </c>
      <c r="C520" s="6">
        <v>44715</v>
      </c>
      <c r="D520" t="str">
        <f t="shared" si="32"/>
        <v>Jun</v>
      </c>
      <c r="E520" t="str">
        <f t="shared" si="33"/>
        <v>2022</v>
      </c>
      <c r="F520" t="s">
        <v>4</v>
      </c>
      <c r="G520" t="s">
        <v>64</v>
      </c>
      <c r="H520" t="s">
        <v>1005</v>
      </c>
      <c r="I520">
        <v>250</v>
      </c>
      <c r="J520">
        <v>22</v>
      </c>
      <c r="K520">
        <f t="shared" si="34"/>
        <v>8.7999999999999989</v>
      </c>
      <c r="L520" t="s">
        <v>1742</v>
      </c>
      <c r="M520" t="s">
        <v>3627</v>
      </c>
      <c r="N520" t="s">
        <v>1</v>
      </c>
      <c r="O520">
        <v>224001</v>
      </c>
      <c r="P520" t="s">
        <v>546</v>
      </c>
      <c r="Q520" t="s">
        <v>1754</v>
      </c>
      <c r="S520">
        <v>1126.02</v>
      </c>
      <c r="T520">
        <v>3</v>
      </c>
      <c r="U520">
        <v>0</v>
      </c>
      <c r="V520">
        <v>56.301000000000002</v>
      </c>
      <c r="W520">
        <f t="shared" si="35"/>
        <v>356.57300000000004</v>
      </c>
      <c r="X520">
        <v>1</v>
      </c>
    </row>
    <row r="521" spans="1:24" x14ac:dyDescent="0.3">
      <c r="A521">
        <v>520</v>
      </c>
      <c r="B521" t="s">
        <v>2294</v>
      </c>
      <c r="C521" s="6">
        <v>44716</v>
      </c>
      <c r="D521" t="str">
        <f t="shared" si="32"/>
        <v>Jun</v>
      </c>
      <c r="E521" t="str">
        <f t="shared" si="33"/>
        <v>2022</v>
      </c>
      <c r="F521" t="s">
        <v>4</v>
      </c>
      <c r="G521" t="s">
        <v>210</v>
      </c>
      <c r="H521" t="s">
        <v>590</v>
      </c>
      <c r="I521">
        <v>200</v>
      </c>
      <c r="J521">
        <v>22</v>
      </c>
      <c r="K521">
        <f t="shared" si="34"/>
        <v>11</v>
      </c>
      <c r="L521" t="s">
        <v>1739</v>
      </c>
      <c r="M521" t="s">
        <v>3628</v>
      </c>
      <c r="O521">
        <v>249201</v>
      </c>
      <c r="P521" t="s">
        <v>546</v>
      </c>
      <c r="Q521" t="s">
        <v>1758</v>
      </c>
      <c r="S521">
        <v>18.391999999999999</v>
      </c>
      <c r="T521">
        <v>1</v>
      </c>
      <c r="U521">
        <v>0.2</v>
      </c>
      <c r="V521">
        <v>5.2877000000000001</v>
      </c>
      <c r="W521">
        <f t="shared" si="35"/>
        <v>13.104299999999999</v>
      </c>
      <c r="X521">
        <v>1</v>
      </c>
    </row>
    <row r="522" spans="1:24" x14ac:dyDescent="0.3">
      <c r="A522">
        <v>521</v>
      </c>
      <c r="B522" t="s">
        <v>2295</v>
      </c>
      <c r="C522" s="6">
        <v>44717</v>
      </c>
      <c r="D522" t="str">
        <f t="shared" si="32"/>
        <v>Jun</v>
      </c>
      <c r="E522" t="str">
        <f t="shared" si="33"/>
        <v>2022</v>
      </c>
      <c r="F522" t="s">
        <v>4</v>
      </c>
      <c r="G522" t="s">
        <v>210</v>
      </c>
      <c r="H522" t="s">
        <v>1006</v>
      </c>
      <c r="I522">
        <v>180</v>
      </c>
      <c r="J522">
        <v>10</v>
      </c>
      <c r="K522">
        <f t="shared" si="34"/>
        <v>5.5555555555555554</v>
      </c>
      <c r="L522" t="s">
        <v>1738</v>
      </c>
      <c r="M522" t="s">
        <v>3629</v>
      </c>
      <c r="N522" t="s">
        <v>1</v>
      </c>
      <c r="O522">
        <v>249201</v>
      </c>
      <c r="P522" t="s">
        <v>546</v>
      </c>
      <c r="Q522" t="s">
        <v>1759</v>
      </c>
      <c r="S522">
        <v>129.56800000000001</v>
      </c>
      <c r="T522">
        <v>2</v>
      </c>
      <c r="U522">
        <v>0.2</v>
      </c>
      <c r="V522">
        <v>-25.913599999999999</v>
      </c>
      <c r="W522">
        <f t="shared" si="35"/>
        <v>77.740800000000007</v>
      </c>
      <c r="X522">
        <v>2</v>
      </c>
    </row>
    <row r="523" spans="1:24" x14ac:dyDescent="0.3">
      <c r="A523">
        <v>522</v>
      </c>
      <c r="B523" t="s">
        <v>2296</v>
      </c>
      <c r="C523" s="6">
        <v>44718</v>
      </c>
      <c r="D523" t="str">
        <f t="shared" si="32"/>
        <v>Jun</v>
      </c>
      <c r="E523" t="str">
        <f t="shared" si="33"/>
        <v>2022</v>
      </c>
      <c r="F523" t="s">
        <v>4</v>
      </c>
      <c r="G523" t="s">
        <v>210</v>
      </c>
      <c r="H523" t="s">
        <v>1007</v>
      </c>
      <c r="I523">
        <v>190</v>
      </c>
      <c r="J523">
        <v>30</v>
      </c>
      <c r="K523">
        <f t="shared" si="34"/>
        <v>15.789473684210526</v>
      </c>
      <c r="L523" t="s">
        <v>1743</v>
      </c>
      <c r="M523" t="s">
        <v>3630</v>
      </c>
      <c r="O523">
        <v>490006</v>
      </c>
      <c r="P523" t="s">
        <v>546</v>
      </c>
      <c r="Q523" t="s">
        <v>1767</v>
      </c>
      <c r="S523">
        <v>14.112</v>
      </c>
      <c r="T523">
        <v>9</v>
      </c>
      <c r="U523">
        <v>0.8</v>
      </c>
      <c r="V523">
        <v>-21.167999999999999</v>
      </c>
      <c r="W523">
        <f t="shared" si="35"/>
        <v>3.92</v>
      </c>
      <c r="X523">
        <v>5</v>
      </c>
    </row>
    <row r="524" spans="1:24" x14ac:dyDescent="0.3">
      <c r="A524">
        <v>523</v>
      </c>
      <c r="B524" t="s">
        <v>2297</v>
      </c>
      <c r="C524" s="6">
        <v>44719</v>
      </c>
      <c r="D524" t="str">
        <f t="shared" si="32"/>
        <v>Jun</v>
      </c>
      <c r="E524" t="str">
        <f t="shared" si="33"/>
        <v>2022</v>
      </c>
      <c r="F524" t="s">
        <v>5</v>
      </c>
      <c r="G524" t="s">
        <v>211</v>
      </c>
      <c r="H524" t="s">
        <v>985</v>
      </c>
      <c r="I524">
        <v>210</v>
      </c>
      <c r="J524">
        <v>22</v>
      </c>
      <c r="K524">
        <f t="shared" si="34"/>
        <v>10.476190476190476</v>
      </c>
      <c r="L524" t="s">
        <v>1737</v>
      </c>
      <c r="M524" t="s">
        <v>3631</v>
      </c>
      <c r="N524" t="s">
        <v>1</v>
      </c>
      <c r="O524">
        <v>500010</v>
      </c>
      <c r="P524" t="s">
        <v>546</v>
      </c>
      <c r="Q524" t="s">
        <v>1758</v>
      </c>
      <c r="S524">
        <v>210.98</v>
      </c>
      <c r="T524">
        <v>2</v>
      </c>
      <c r="U524">
        <v>0</v>
      </c>
      <c r="V524">
        <v>21.097999999999999</v>
      </c>
      <c r="W524">
        <f t="shared" si="35"/>
        <v>94.941000000000003</v>
      </c>
      <c r="X524">
        <v>4</v>
      </c>
    </row>
    <row r="525" spans="1:24" x14ac:dyDescent="0.3">
      <c r="A525">
        <v>524</v>
      </c>
      <c r="B525" t="s">
        <v>2298</v>
      </c>
      <c r="C525" s="6">
        <v>44720</v>
      </c>
      <c r="D525" t="str">
        <f t="shared" si="32"/>
        <v>Jun</v>
      </c>
      <c r="E525" t="str">
        <f t="shared" si="33"/>
        <v>2022</v>
      </c>
      <c r="F525" t="s">
        <v>5</v>
      </c>
      <c r="G525" t="s">
        <v>116</v>
      </c>
      <c r="H525" t="s">
        <v>1008</v>
      </c>
      <c r="I525">
        <v>140</v>
      </c>
      <c r="J525">
        <v>8</v>
      </c>
      <c r="K525">
        <f t="shared" si="34"/>
        <v>5.7142857142857144</v>
      </c>
      <c r="L525" t="s">
        <v>1741</v>
      </c>
      <c r="M525" t="s">
        <v>3632</v>
      </c>
      <c r="N525" t="s">
        <v>1</v>
      </c>
      <c r="O525">
        <v>560087</v>
      </c>
      <c r="P525" t="s">
        <v>546</v>
      </c>
      <c r="Q525" t="s">
        <v>1759</v>
      </c>
      <c r="S525">
        <v>55.176000000000002</v>
      </c>
      <c r="T525">
        <v>3</v>
      </c>
      <c r="U525">
        <v>0.2</v>
      </c>
      <c r="V525">
        <v>-12.4146</v>
      </c>
      <c r="W525">
        <f t="shared" si="35"/>
        <v>22.530199999999997</v>
      </c>
      <c r="X525">
        <v>3</v>
      </c>
    </row>
    <row r="526" spans="1:24" x14ac:dyDescent="0.3">
      <c r="A526">
        <v>525</v>
      </c>
      <c r="B526" t="s">
        <v>2299</v>
      </c>
      <c r="C526" s="6">
        <v>44721</v>
      </c>
      <c r="D526" t="str">
        <f t="shared" si="32"/>
        <v>Jun</v>
      </c>
      <c r="E526" t="str">
        <f t="shared" si="33"/>
        <v>2022</v>
      </c>
      <c r="F526" t="s">
        <v>5</v>
      </c>
      <c r="G526" t="s">
        <v>116</v>
      </c>
      <c r="H526" t="s">
        <v>764</v>
      </c>
      <c r="I526">
        <v>210</v>
      </c>
      <c r="J526">
        <v>16</v>
      </c>
      <c r="K526">
        <f t="shared" si="34"/>
        <v>7.6190476190476195</v>
      </c>
      <c r="L526" t="s">
        <v>1736</v>
      </c>
      <c r="M526" t="s">
        <v>3633</v>
      </c>
      <c r="N526" t="s">
        <v>1</v>
      </c>
      <c r="O526">
        <v>700016</v>
      </c>
      <c r="P526" t="s">
        <v>546</v>
      </c>
      <c r="Q526" t="s">
        <v>1761</v>
      </c>
      <c r="S526">
        <v>66.260000000000005</v>
      </c>
      <c r="T526">
        <v>2</v>
      </c>
      <c r="U526">
        <v>0</v>
      </c>
      <c r="V526">
        <v>27.166599999999999</v>
      </c>
      <c r="W526">
        <f t="shared" si="35"/>
        <v>19.546700000000001</v>
      </c>
      <c r="X526">
        <v>5</v>
      </c>
    </row>
    <row r="527" spans="1:24" x14ac:dyDescent="0.3">
      <c r="A527">
        <v>526</v>
      </c>
      <c r="B527" t="s">
        <v>2300</v>
      </c>
      <c r="C527" s="6">
        <v>44722</v>
      </c>
      <c r="D527" t="str">
        <f t="shared" si="32"/>
        <v>Jun</v>
      </c>
      <c r="E527" t="str">
        <f t="shared" si="33"/>
        <v>2022</v>
      </c>
      <c r="F527" t="s">
        <v>4</v>
      </c>
      <c r="G527" t="s">
        <v>212</v>
      </c>
      <c r="H527" t="s">
        <v>1009</v>
      </c>
      <c r="I527">
        <v>140</v>
      </c>
      <c r="J527">
        <v>20</v>
      </c>
      <c r="K527">
        <f t="shared" si="34"/>
        <v>14.285714285714285</v>
      </c>
      <c r="L527" t="s">
        <v>1744</v>
      </c>
      <c r="M527" t="s">
        <v>3634</v>
      </c>
      <c r="N527" t="s">
        <v>1</v>
      </c>
      <c r="O527">
        <v>721101</v>
      </c>
      <c r="P527" t="s">
        <v>546</v>
      </c>
      <c r="Q527" t="s">
        <v>1775</v>
      </c>
      <c r="S527">
        <v>22.2</v>
      </c>
      <c r="T527">
        <v>5</v>
      </c>
      <c r="U527">
        <v>0</v>
      </c>
      <c r="V527">
        <v>10.433999999999999</v>
      </c>
      <c r="W527">
        <f t="shared" si="35"/>
        <v>2.3532000000000002</v>
      </c>
      <c r="X527">
        <v>5</v>
      </c>
    </row>
    <row r="528" spans="1:24" x14ac:dyDescent="0.3">
      <c r="A528">
        <v>527</v>
      </c>
      <c r="B528" t="s">
        <v>2301</v>
      </c>
      <c r="C528" s="6">
        <v>44723</v>
      </c>
      <c r="D528" t="str">
        <f t="shared" si="32"/>
        <v>Jun</v>
      </c>
      <c r="E528" t="str">
        <f t="shared" si="33"/>
        <v>2022</v>
      </c>
      <c r="F528" t="s">
        <v>4</v>
      </c>
      <c r="G528" t="s">
        <v>213</v>
      </c>
      <c r="H528" t="s">
        <v>1010</v>
      </c>
      <c r="I528">
        <v>170</v>
      </c>
      <c r="J528">
        <v>22</v>
      </c>
      <c r="K528">
        <f t="shared" si="34"/>
        <v>12.941176470588237</v>
      </c>
      <c r="L528" t="s">
        <v>1740</v>
      </c>
      <c r="M528" t="s">
        <v>3635</v>
      </c>
      <c r="N528" t="s">
        <v>1</v>
      </c>
      <c r="O528">
        <v>421201</v>
      </c>
      <c r="P528" t="s">
        <v>546</v>
      </c>
      <c r="Q528" t="s">
        <v>1772</v>
      </c>
      <c r="S528">
        <v>683.952</v>
      </c>
      <c r="T528">
        <v>3</v>
      </c>
      <c r="U528">
        <v>0.2</v>
      </c>
      <c r="V528">
        <v>42.747</v>
      </c>
      <c r="W528">
        <f t="shared" si="35"/>
        <v>213.73500000000001</v>
      </c>
      <c r="X528">
        <v>2</v>
      </c>
    </row>
    <row r="529" spans="1:24" x14ac:dyDescent="0.3">
      <c r="A529">
        <v>528</v>
      </c>
      <c r="B529" t="s">
        <v>2302</v>
      </c>
      <c r="C529" s="6">
        <v>44724</v>
      </c>
      <c r="D529" t="str">
        <f t="shared" si="32"/>
        <v>Jun</v>
      </c>
      <c r="E529" t="str">
        <f t="shared" si="33"/>
        <v>2022</v>
      </c>
      <c r="F529" t="s">
        <v>4</v>
      </c>
      <c r="G529" t="s">
        <v>213</v>
      </c>
      <c r="H529" t="s">
        <v>832</v>
      </c>
      <c r="I529">
        <v>100</v>
      </c>
      <c r="J529">
        <v>6</v>
      </c>
      <c r="K529">
        <f t="shared" si="34"/>
        <v>6</v>
      </c>
      <c r="L529" t="s">
        <v>1742</v>
      </c>
      <c r="M529" t="s">
        <v>3636</v>
      </c>
      <c r="N529" t="s">
        <v>1</v>
      </c>
      <c r="O529">
        <v>441204</v>
      </c>
      <c r="P529" t="s">
        <v>546</v>
      </c>
      <c r="Q529" t="s">
        <v>1757</v>
      </c>
      <c r="S529">
        <v>45.695999999999998</v>
      </c>
      <c r="T529">
        <v>3</v>
      </c>
      <c r="U529">
        <v>0.2</v>
      </c>
      <c r="V529">
        <v>5.1407999999999996</v>
      </c>
      <c r="W529">
        <f t="shared" si="35"/>
        <v>13.5184</v>
      </c>
      <c r="X529">
        <v>2</v>
      </c>
    </row>
    <row r="530" spans="1:24" x14ac:dyDescent="0.3">
      <c r="A530">
        <v>529</v>
      </c>
      <c r="B530" t="s">
        <v>2303</v>
      </c>
      <c r="C530" s="6">
        <v>44725</v>
      </c>
      <c r="D530" t="str">
        <f t="shared" si="32"/>
        <v>Jun</v>
      </c>
      <c r="E530" t="str">
        <f t="shared" si="33"/>
        <v>2022</v>
      </c>
      <c r="F530" t="s">
        <v>4</v>
      </c>
      <c r="G530" t="s">
        <v>214</v>
      </c>
      <c r="H530" t="s">
        <v>1011</v>
      </c>
      <c r="I530">
        <v>140</v>
      </c>
      <c r="J530">
        <v>6</v>
      </c>
      <c r="K530">
        <f t="shared" si="34"/>
        <v>4.2857142857142856</v>
      </c>
      <c r="L530" t="s">
        <v>1739</v>
      </c>
      <c r="M530" t="s">
        <v>3637</v>
      </c>
      <c r="N530" t="s">
        <v>1</v>
      </c>
      <c r="O530">
        <v>560086</v>
      </c>
      <c r="P530" t="s">
        <v>546</v>
      </c>
      <c r="Q530" t="s">
        <v>1761</v>
      </c>
      <c r="S530">
        <v>36.335999999999999</v>
      </c>
      <c r="T530">
        <v>3</v>
      </c>
      <c r="U530">
        <v>0.2</v>
      </c>
      <c r="V530">
        <v>-7.2671999999999999</v>
      </c>
      <c r="W530">
        <f t="shared" si="35"/>
        <v>14.5344</v>
      </c>
      <c r="X530">
        <v>2</v>
      </c>
    </row>
    <row r="531" spans="1:24" x14ac:dyDescent="0.3">
      <c r="A531">
        <v>530</v>
      </c>
      <c r="B531" t="s">
        <v>2304</v>
      </c>
      <c r="C531" s="6">
        <v>44726</v>
      </c>
      <c r="D531" t="str">
        <f t="shared" si="32"/>
        <v>Jun</v>
      </c>
      <c r="E531" t="str">
        <f t="shared" si="33"/>
        <v>2022</v>
      </c>
      <c r="F531" t="s">
        <v>4</v>
      </c>
      <c r="G531" t="s">
        <v>214</v>
      </c>
      <c r="H531" t="s">
        <v>1012</v>
      </c>
      <c r="I531">
        <v>100</v>
      </c>
      <c r="J531">
        <v>26</v>
      </c>
      <c r="K531">
        <f t="shared" si="34"/>
        <v>26</v>
      </c>
      <c r="L531" t="s">
        <v>1738</v>
      </c>
      <c r="M531" t="s">
        <v>3638</v>
      </c>
      <c r="N531" t="s">
        <v>1</v>
      </c>
      <c r="O531">
        <v>770002</v>
      </c>
      <c r="P531" t="s">
        <v>546</v>
      </c>
      <c r="Q531" t="s">
        <v>1757</v>
      </c>
      <c r="S531">
        <v>666.24800000000005</v>
      </c>
      <c r="T531">
        <v>1</v>
      </c>
      <c r="U531">
        <v>0.2</v>
      </c>
      <c r="V531">
        <v>-149.9058</v>
      </c>
      <c r="W531">
        <f t="shared" si="35"/>
        <v>816.15380000000005</v>
      </c>
      <c r="X531">
        <v>5</v>
      </c>
    </row>
    <row r="532" spans="1:24" x14ac:dyDescent="0.3">
      <c r="A532">
        <v>531</v>
      </c>
      <c r="B532" t="s">
        <v>2305</v>
      </c>
      <c r="C532" s="6">
        <v>44727</v>
      </c>
      <c r="D532" t="str">
        <f t="shared" si="32"/>
        <v>Jun</v>
      </c>
      <c r="E532" t="str">
        <f t="shared" si="33"/>
        <v>2022</v>
      </c>
      <c r="F532" t="s">
        <v>4</v>
      </c>
      <c r="G532" t="s">
        <v>214</v>
      </c>
      <c r="H532" t="s">
        <v>1013</v>
      </c>
      <c r="I532">
        <v>200</v>
      </c>
      <c r="J532">
        <v>12</v>
      </c>
      <c r="K532">
        <f t="shared" si="34"/>
        <v>6</v>
      </c>
      <c r="L532" t="s">
        <v>1737</v>
      </c>
      <c r="M532" t="s">
        <v>3639</v>
      </c>
      <c r="N532" t="s">
        <v>1</v>
      </c>
      <c r="O532">
        <v>201304</v>
      </c>
      <c r="P532" t="s">
        <v>546</v>
      </c>
      <c r="Q532" t="s">
        <v>1767</v>
      </c>
      <c r="S532">
        <v>52.512</v>
      </c>
      <c r="T532">
        <v>6</v>
      </c>
      <c r="U532">
        <v>0.2</v>
      </c>
      <c r="V532">
        <v>19.692</v>
      </c>
      <c r="W532">
        <f t="shared" si="35"/>
        <v>5.47</v>
      </c>
      <c r="X532">
        <v>1</v>
      </c>
    </row>
    <row r="533" spans="1:24" x14ac:dyDescent="0.3">
      <c r="A533">
        <v>532</v>
      </c>
      <c r="B533" t="s">
        <v>2306</v>
      </c>
      <c r="C533" s="6">
        <v>44728</v>
      </c>
      <c r="D533" t="str">
        <f t="shared" si="32"/>
        <v>Jun</v>
      </c>
      <c r="E533" t="str">
        <f t="shared" si="33"/>
        <v>2022</v>
      </c>
      <c r="F533" t="s">
        <v>3</v>
      </c>
      <c r="G533" t="s">
        <v>215</v>
      </c>
      <c r="H533" t="s">
        <v>1014</v>
      </c>
      <c r="I533">
        <v>100</v>
      </c>
      <c r="J533">
        <v>22</v>
      </c>
      <c r="K533">
        <f t="shared" si="34"/>
        <v>22</v>
      </c>
      <c r="L533" t="s">
        <v>1743</v>
      </c>
      <c r="M533" t="s">
        <v>3640</v>
      </c>
      <c r="N533" t="s">
        <v>1</v>
      </c>
      <c r="O533">
        <v>500090</v>
      </c>
      <c r="P533" t="s">
        <v>546</v>
      </c>
      <c r="Q533" t="s">
        <v>1771</v>
      </c>
      <c r="S533">
        <v>190.72</v>
      </c>
      <c r="T533">
        <v>1</v>
      </c>
      <c r="U533">
        <v>0.2</v>
      </c>
      <c r="V533">
        <v>11.92</v>
      </c>
      <c r="W533">
        <f t="shared" si="35"/>
        <v>178.8</v>
      </c>
      <c r="X533">
        <v>2</v>
      </c>
    </row>
    <row r="534" spans="1:24" x14ac:dyDescent="0.3">
      <c r="A534">
        <v>533</v>
      </c>
      <c r="B534" t="s">
        <v>2307</v>
      </c>
      <c r="C534" s="6">
        <v>44729</v>
      </c>
      <c r="D534" t="str">
        <f t="shared" si="32"/>
        <v>Jun</v>
      </c>
      <c r="E534" t="str">
        <f t="shared" si="33"/>
        <v>2022</v>
      </c>
      <c r="F534" t="s">
        <v>4</v>
      </c>
      <c r="G534" t="s">
        <v>216</v>
      </c>
      <c r="H534" t="s">
        <v>1015</v>
      </c>
      <c r="I534">
        <v>240</v>
      </c>
      <c r="J534">
        <v>28</v>
      </c>
      <c r="K534">
        <f t="shared" si="34"/>
        <v>11.666666666666666</v>
      </c>
      <c r="L534" t="s">
        <v>1738</v>
      </c>
      <c r="M534" t="s">
        <v>3641</v>
      </c>
      <c r="N534" t="s">
        <v>1</v>
      </c>
      <c r="O534">
        <v>560061</v>
      </c>
      <c r="P534" t="s">
        <v>546</v>
      </c>
      <c r="Q534" t="s">
        <v>1766</v>
      </c>
      <c r="S534">
        <v>47.94</v>
      </c>
      <c r="T534">
        <v>3</v>
      </c>
      <c r="U534">
        <v>0</v>
      </c>
      <c r="V534">
        <v>2.3969999999999998</v>
      </c>
      <c r="W534">
        <f t="shared" si="35"/>
        <v>15.180999999999999</v>
      </c>
      <c r="X534">
        <v>4</v>
      </c>
    </row>
    <row r="535" spans="1:24" x14ac:dyDescent="0.3">
      <c r="A535">
        <v>534</v>
      </c>
      <c r="B535" t="s">
        <v>2308</v>
      </c>
      <c r="C535" s="6">
        <v>44730</v>
      </c>
      <c r="D535" t="str">
        <f t="shared" si="32"/>
        <v>Jun</v>
      </c>
      <c r="E535" t="str">
        <f t="shared" si="33"/>
        <v>2022</v>
      </c>
      <c r="F535" t="s">
        <v>3</v>
      </c>
      <c r="G535" t="s">
        <v>217</v>
      </c>
      <c r="H535" t="s">
        <v>1016</v>
      </c>
      <c r="I535">
        <v>220</v>
      </c>
      <c r="J535">
        <v>18</v>
      </c>
      <c r="K535">
        <f t="shared" si="34"/>
        <v>8.1818181818181817</v>
      </c>
      <c r="L535" t="s">
        <v>1739</v>
      </c>
      <c r="M535" t="s">
        <v>3642</v>
      </c>
      <c r="N535" t="s">
        <v>1</v>
      </c>
      <c r="O535">
        <v>502291</v>
      </c>
      <c r="P535" t="s">
        <v>546</v>
      </c>
      <c r="Q535" t="s">
        <v>1765</v>
      </c>
      <c r="R535" t="s">
        <v>2</v>
      </c>
      <c r="S535">
        <v>979.95</v>
      </c>
      <c r="T535">
        <v>5</v>
      </c>
      <c r="U535">
        <v>0</v>
      </c>
      <c r="V535">
        <v>274.38600000000002</v>
      </c>
      <c r="W535">
        <f t="shared" si="35"/>
        <v>141.11280000000002</v>
      </c>
      <c r="X535">
        <v>5</v>
      </c>
    </row>
    <row r="536" spans="1:24" x14ac:dyDescent="0.3">
      <c r="A536">
        <v>535</v>
      </c>
      <c r="B536" t="s">
        <v>2309</v>
      </c>
      <c r="C536" s="6">
        <v>44731</v>
      </c>
      <c r="D536" t="str">
        <f t="shared" si="32"/>
        <v>Jun</v>
      </c>
      <c r="E536" t="str">
        <f t="shared" si="33"/>
        <v>2022</v>
      </c>
      <c r="F536" t="s">
        <v>3</v>
      </c>
      <c r="G536" t="s">
        <v>217</v>
      </c>
      <c r="H536" t="s">
        <v>795</v>
      </c>
      <c r="I536">
        <v>190</v>
      </c>
      <c r="J536">
        <v>26</v>
      </c>
      <c r="K536">
        <f t="shared" si="34"/>
        <v>13.684210526315791</v>
      </c>
      <c r="L536" t="s">
        <v>1741</v>
      </c>
      <c r="M536" t="s">
        <v>3643</v>
      </c>
      <c r="N536" t="s">
        <v>1</v>
      </c>
      <c r="O536">
        <v>695564</v>
      </c>
      <c r="P536" t="s">
        <v>546</v>
      </c>
      <c r="Q536" t="s">
        <v>1771</v>
      </c>
      <c r="S536">
        <v>22.75</v>
      </c>
      <c r="T536">
        <v>5</v>
      </c>
      <c r="U536">
        <v>0</v>
      </c>
      <c r="V536">
        <v>11.375</v>
      </c>
      <c r="W536">
        <f t="shared" si="35"/>
        <v>2.2749999999999999</v>
      </c>
      <c r="X536">
        <v>5</v>
      </c>
    </row>
    <row r="537" spans="1:24" x14ac:dyDescent="0.3">
      <c r="A537">
        <v>536</v>
      </c>
      <c r="B537" t="s">
        <v>2310</v>
      </c>
      <c r="C537" s="6">
        <v>44732</v>
      </c>
      <c r="D537" t="str">
        <f t="shared" si="32"/>
        <v>Jun</v>
      </c>
      <c r="E537" t="str">
        <f t="shared" si="33"/>
        <v>2022</v>
      </c>
      <c r="F537" t="s">
        <v>4</v>
      </c>
      <c r="G537" t="s">
        <v>218</v>
      </c>
      <c r="H537" t="s">
        <v>1017</v>
      </c>
      <c r="I537">
        <v>140</v>
      </c>
      <c r="J537">
        <v>8</v>
      </c>
      <c r="K537">
        <f t="shared" si="34"/>
        <v>5.7142857142857144</v>
      </c>
      <c r="L537" t="s">
        <v>1736</v>
      </c>
      <c r="M537" t="s">
        <v>3644</v>
      </c>
      <c r="N537" t="s">
        <v>1</v>
      </c>
      <c r="O537">
        <v>410206</v>
      </c>
      <c r="P537" t="s">
        <v>546</v>
      </c>
      <c r="Q537" t="s">
        <v>1761</v>
      </c>
      <c r="S537">
        <v>16.768000000000001</v>
      </c>
      <c r="T537">
        <v>2</v>
      </c>
      <c r="U537">
        <v>0.2</v>
      </c>
      <c r="V537">
        <v>1.4672000000000001</v>
      </c>
      <c r="W537">
        <f t="shared" si="35"/>
        <v>7.6504000000000003</v>
      </c>
      <c r="X537">
        <v>2</v>
      </c>
    </row>
    <row r="538" spans="1:24" x14ac:dyDescent="0.3">
      <c r="A538">
        <v>537</v>
      </c>
      <c r="B538" t="s">
        <v>2311</v>
      </c>
      <c r="C538" s="6">
        <v>44733</v>
      </c>
      <c r="D538" t="str">
        <f t="shared" si="32"/>
        <v>Jun</v>
      </c>
      <c r="E538" t="str">
        <f t="shared" si="33"/>
        <v>2022</v>
      </c>
      <c r="F538" t="s">
        <v>3</v>
      </c>
      <c r="G538" t="s">
        <v>219</v>
      </c>
      <c r="H538" t="s">
        <v>1018</v>
      </c>
      <c r="I538">
        <v>250</v>
      </c>
      <c r="J538">
        <v>24</v>
      </c>
      <c r="K538">
        <f t="shared" si="34"/>
        <v>9.6</v>
      </c>
      <c r="L538" t="s">
        <v>1744</v>
      </c>
      <c r="M538" t="s">
        <v>3645</v>
      </c>
      <c r="N538" t="s">
        <v>1</v>
      </c>
      <c r="O538">
        <v>390008</v>
      </c>
      <c r="P538" t="s">
        <v>546</v>
      </c>
      <c r="Q538" t="s">
        <v>1759</v>
      </c>
      <c r="S538">
        <v>42.616</v>
      </c>
      <c r="T538">
        <v>7</v>
      </c>
      <c r="U538">
        <v>0.8</v>
      </c>
      <c r="V538">
        <v>-68.185599999999994</v>
      </c>
      <c r="W538">
        <f t="shared" si="35"/>
        <v>15.828799999999999</v>
      </c>
      <c r="X538">
        <v>2</v>
      </c>
    </row>
    <row r="539" spans="1:24" x14ac:dyDescent="0.3">
      <c r="A539">
        <v>538</v>
      </c>
      <c r="B539" t="s">
        <v>2312</v>
      </c>
      <c r="C539" s="6">
        <v>44734</v>
      </c>
      <c r="D539" t="str">
        <f t="shared" si="32"/>
        <v>Jun</v>
      </c>
      <c r="E539" t="str">
        <f t="shared" si="33"/>
        <v>2022</v>
      </c>
      <c r="F539" t="s">
        <v>4</v>
      </c>
      <c r="G539" t="s">
        <v>95</v>
      </c>
      <c r="H539" t="s">
        <v>1019</v>
      </c>
      <c r="I539">
        <v>240</v>
      </c>
      <c r="J539">
        <v>6</v>
      </c>
      <c r="K539">
        <f t="shared" si="34"/>
        <v>2.5</v>
      </c>
      <c r="L539" t="s">
        <v>1740</v>
      </c>
      <c r="M539" t="s">
        <v>3646</v>
      </c>
      <c r="N539" t="s">
        <v>1</v>
      </c>
      <c r="O539">
        <v>831013</v>
      </c>
      <c r="P539" t="s">
        <v>546</v>
      </c>
      <c r="Q539" t="s">
        <v>1767</v>
      </c>
      <c r="R539" t="s">
        <v>2</v>
      </c>
      <c r="S539">
        <v>10.752000000000001</v>
      </c>
      <c r="T539">
        <v>4</v>
      </c>
      <c r="U539">
        <v>0.2</v>
      </c>
      <c r="V539">
        <v>3.36</v>
      </c>
      <c r="W539">
        <f t="shared" si="35"/>
        <v>1.8480000000000003</v>
      </c>
      <c r="X539">
        <v>3</v>
      </c>
    </row>
    <row r="540" spans="1:24" x14ac:dyDescent="0.3">
      <c r="A540">
        <v>539</v>
      </c>
      <c r="B540" t="s">
        <v>2313</v>
      </c>
      <c r="C540" s="6">
        <v>44735</v>
      </c>
      <c r="D540" t="str">
        <f t="shared" si="32"/>
        <v>Jun</v>
      </c>
      <c r="E540" t="str">
        <f t="shared" si="33"/>
        <v>2022</v>
      </c>
      <c r="F540" t="s">
        <v>4</v>
      </c>
      <c r="G540" t="s">
        <v>220</v>
      </c>
      <c r="H540" t="s">
        <v>1020</v>
      </c>
      <c r="I540">
        <v>100</v>
      </c>
      <c r="J540">
        <v>8</v>
      </c>
      <c r="K540">
        <f t="shared" si="34"/>
        <v>8</v>
      </c>
      <c r="L540" t="s">
        <v>1742</v>
      </c>
      <c r="M540" t="s">
        <v>3647</v>
      </c>
      <c r="N540" t="s">
        <v>1</v>
      </c>
      <c r="O540">
        <v>110092</v>
      </c>
      <c r="P540" t="s">
        <v>546</v>
      </c>
      <c r="Q540" t="s">
        <v>1757</v>
      </c>
      <c r="S540">
        <v>152.94</v>
      </c>
      <c r="T540">
        <v>3</v>
      </c>
      <c r="U540">
        <v>0</v>
      </c>
      <c r="V540">
        <v>41.293799999999997</v>
      </c>
      <c r="W540">
        <f t="shared" si="35"/>
        <v>37.215399999999995</v>
      </c>
      <c r="X540">
        <v>1</v>
      </c>
    </row>
    <row r="541" spans="1:24" x14ac:dyDescent="0.3">
      <c r="A541">
        <v>540</v>
      </c>
      <c r="B541" t="s">
        <v>2314</v>
      </c>
      <c r="C541" s="6">
        <v>44736</v>
      </c>
      <c r="D541" t="str">
        <f t="shared" si="32"/>
        <v>Jun</v>
      </c>
      <c r="E541" t="str">
        <f t="shared" si="33"/>
        <v>2022</v>
      </c>
      <c r="F541" t="s">
        <v>4</v>
      </c>
      <c r="G541" t="s">
        <v>220</v>
      </c>
      <c r="H541" t="s">
        <v>1021</v>
      </c>
      <c r="I541">
        <v>180</v>
      </c>
      <c r="J541">
        <v>30</v>
      </c>
      <c r="K541">
        <f t="shared" si="34"/>
        <v>16.666666666666664</v>
      </c>
      <c r="L541" t="s">
        <v>1739</v>
      </c>
      <c r="M541" t="s">
        <v>3648</v>
      </c>
      <c r="N541" t="s">
        <v>1</v>
      </c>
      <c r="O541">
        <v>400002</v>
      </c>
      <c r="P541" t="s">
        <v>546</v>
      </c>
      <c r="Q541" t="s">
        <v>1756</v>
      </c>
      <c r="S541">
        <v>283.92</v>
      </c>
      <c r="T541">
        <v>4</v>
      </c>
      <c r="U541">
        <v>0</v>
      </c>
      <c r="V541">
        <v>70.98</v>
      </c>
      <c r="W541">
        <f t="shared" si="35"/>
        <v>53.234999999999999</v>
      </c>
      <c r="X541">
        <v>3</v>
      </c>
    </row>
    <row r="542" spans="1:24" x14ac:dyDescent="0.3">
      <c r="A542">
        <v>541</v>
      </c>
      <c r="B542" t="s">
        <v>1820</v>
      </c>
      <c r="C542" s="6">
        <v>44737</v>
      </c>
      <c r="D542" t="str">
        <f t="shared" si="32"/>
        <v>Jun</v>
      </c>
      <c r="E542" t="str">
        <f t="shared" si="33"/>
        <v>2022</v>
      </c>
      <c r="F542" t="s">
        <v>5</v>
      </c>
      <c r="G542" t="s">
        <v>221</v>
      </c>
      <c r="H542" t="s">
        <v>1022</v>
      </c>
      <c r="I542">
        <v>250</v>
      </c>
      <c r="J542">
        <v>18</v>
      </c>
      <c r="K542">
        <f t="shared" si="34"/>
        <v>7.1999999999999993</v>
      </c>
      <c r="L542" t="s">
        <v>1738</v>
      </c>
      <c r="M542" t="s">
        <v>3649</v>
      </c>
      <c r="N542" t="s">
        <v>1</v>
      </c>
      <c r="O542">
        <v>411019</v>
      </c>
      <c r="P542" t="s">
        <v>546</v>
      </c>
      <c r="Q542" t="s">
        <v>1761</v>
      </c>
      <c r="S542">
        <v>468.9</v>
      </c>
      <c r="T542">
        <v>6</v>
      </c>
      <c r="U542">
        <v>0</v>
      </c>
      <c r="V542">
        <v>206.316</v>
      </c>
      <c r="W542">
        <f t="shared" si="35"/>
        <v>43.763999999999989</v>
      </c>
      <c r="X542">
        <v>5</v>
      </c>
    </row>
    <row r="543" spans="1:24" x14ac:dyDescent="0.3">
      <c r="A543">
        <v>542</v>
      </c>
      <c r="B543" t="s">
        <v>2315</v>
      </c>
      <c r="C543" s="6">
        <v>44738</v>
      </c>
      <c r="D543" t="str">
        <f t="shared" si="32"/>
        <v>Jun</v>
      </c>
      <c r="E543" t="str">
        <f t="shared" si="33"/>
        <v>2022</v>
      </c>
      <c r="F543" t="s">
        <v>5</v>
      </c>
      <c r="G543" t="s">
        <v>27</v>
      </c>
      <c r="H543" t="s">
        <v>1023</v>
      </c>
      <c r="I543">
        <v>180</v>
      </c>
      <c r="J543">
        <v>20</v>
      </c>
      <c r="K543">
        <f t="shared" si="34"/>
        <v>11.111111111111111</v>
      </c>
      <c r="L543" t="s">
        <v>1743</v>
      </c>
      <c r="M543" t="s">
        <v>3650</v>
      </c>
      <c r="N543" t="s">
        <v>1</v>
      </c>
      <c r="O543">
        <v>700156</v>
      </c>
      <c r="P543" t="s">
        <v>546</v>
      </c>
      <c r="Q543" t="s">
        <v>1759</v>
      </c>
      <c r="S543">
        <v>380.86399999999998</v>
      </c>
      <c r="T543">
        <v>8</v>
      </c>
      <c r="U543">
        <v>0.2</v>
      </c>
      <c r="V543">
        <v>38.086399999999998</v>
      </c>
      <c r="W543">
        <f t="shared" si="35"/>
        <v>42.847200000000001</v>
      </c>
      <c r="X543">
        <v>2</v>
      </c>
    </row>
    <row r="544" spans="1:24" x14ac:dyDescent="0.3">
      <c r="A544">
        <v>543</v>
      </c>
      <c r="B544" t="s">
        <v>2316</v>
      </c>
      <c r="C544" s="6">
        <v>44739</v>
      </c>
      <c r="D544" t="str">
        <f t="shared" si="32"/>
        <v>Jun</v>
      </c>
      <c r="E544" t="str">
        <f t="shared" si="33"/>
        <v>2022</v>
      </c>
      <c r="F544" t="s">
        <v>4</v>
      </c>
      <c r="G544" t="s">
        <v>222</v>
      </c>
      <c r="H544" t="s">
        <v>982</v>
      </c>
      <c r="I544">
        <v>110</v>
      </c>
      <c r="J544">
        <v>16</v>
      </c>
      <c r="K544">
        <f t="shared" si="34"/>
        <v>14.545454545454545</v>
      </c>
      <c r="L544" t="s">
        <v>1737</v>
      </c>
      <c r="M544" t="s">
        <v>3651</v>
      </c>
      <c r="N544" t="s">
        <v>1</v>
      </c>
      <c r="O544">
        <v>500055</v>
      </c>
      <c r="P544" t="s">
        <v>546</v>
      </c>
      <c r="Q544" t="s">
        <v>1773</v>
      </c>
      <c r="S544">
        <v>646.77599999999995</v>
      </c>
      <c r="T544">
        <v>9</v>
      </c>
      <c r="U544">
        <v>0.2</v>
      </c>
      <c r="V544">
        <v>-145.52459999999999</v>
      </c>
      <c r="W544">
        <f t="shared" si="35"/>
        <v>88.033399999999986</v>
      </c>
      <c r="X544">
        <v>4</v>
      </c>
    </row>
    <row r="545" spans="1:24" x14ac:dyDescent="0.3">
      <c r="A545">
        <v>544</v>
      </c>
      <c r="B545" t="s">
        <v>2317</v>
      </c>
      <c r="C545" s="6">
        <v>44740</v>
      </c>
      <c r="D545" t="str">
        <f t="shared" si="32"/>
        <v>Jun</v>
      </c>
      <c r="E545" t="str">
        <f t="shared" si="33"/>
        <v>2022</v>
      </c>
      <c r="F545" t="s">
        <v>4</v>
      </c>
      <c r="G545" t="s">
        <v>45</v>
      </c>
      <c r="H545" t="s">
        <v>1024</v>
      </c>
      <c r="I545">
        <v>150</v>
      </c>
      <c r="J545">
        <v>6</v>
      </c>
      <c r="K545">
        <f t="shared" si="34"/>
        <v>4</v>
      </c>
      <c r="L545" t="s">
        <v>1741</v>
      </c>
      <c r="M545" t="s">
        <v>3652</v>
      </c>
      <c r="N545" t="s">
        <v>1</v>
      </c>
      <c r="O545">
        <v>411038</v>
      </c>
      <c r="P545" t="s">
        <v>546</v>
      </c>
      <c r="Q545" t="s">
        <v>1755</v>
      </c>
      <c r="S545">
        <v>58.112000000000002</v>
      </c>
      <c r="T545">
        <v>2</v>
      </c>
      <c r="U545">
        <v>0.2</v>
      </c>
      <c r="V545">
        <v>7.2640000000000002</v>
      </c>
      <c r="W545">
        <f t="shared" si="35"/>
        <v>25.423999999999999</v>
      </c>
      <c r="X545">
        <v>3</v>
      </c>
    </row>
    <row r="546" spans="1:24" x14ac:dyDescent="0.3">
      <c r="A546">
        <v>545</v>
      </c>
      <c r="B546" t="s">
        <v>2318</v>
      </c>
      <c r="C546" s="6">
        <v>44741</v>
      </c>
      <c r="D546" t="str">
        <f t="shared" si="32"/>
        <v>Jun</v>
      </c>
      <c r="E546" t="str">
        <f t="shared" si="33"/>
        <v>2022</v>
      </c>
      <c r="F546" t="s">
        <v>4</v>
      </c>
      <c r="G546" t="s">
        <v>45</v>
      </c>
      <c r="H546" t="s">
        <v>1025</v>
      </c>
      <c r="I546">
        <v>180</v>
      </c>
      <c r="J546">
        <v>30</v>
      </c>
      <c r="K546">
        <f t="shared" si="34"/>
        <v>16.666666666666664</v>
      </c>
      <c r="L546" t="s">
        <v>1736</v>
      </c>
      <c r="M546" t="s">
        <v>3653</v>
      </c>
      <c r="N546" t="s">
        <v>1</v>
      </c>
      <c r="O546">
        <v>415002</v>
      </c>
      <c r="P546" t="s">
        <v>546</v>
      </c>
      <c r="Q546" t="s">
        <v>1763</v>
      </c>
      <c r="S546">
        <v>100.792</v>
      </c>
      <c r="T546">
        <v>1</v>
      </c>
      <c r="U546">
        <v>0.2</v>
      </c>
      <c r="V546">
        <v>6.2995000000000001</v>
      </c>
      <c r="W546">
        <f t="shared" si="35"/>
        <v>94.492500000000007</v>
      </c>
      <c r="X546">
        <v>1</v>
      </c>
    </row>
    <row r="547" spans="1:24" x14ac:dyDescent="0.3">
      <c r="A547">
        <v>546</v>
      </c>
      <c r="B547" t="s">
        <v>2319</v>
      </c>
      <c r="C547" s="6">
        <v>44742</v>
      </c>
      <c r="D547" t="str">
        <f t="shared" si="32"/>
        <v>Jun</v>
      </c>
      <c r="E547" t="str">
        <f t="shared" si="33"/>
        <v>2022</v>
      </c>
      <c r="F547" t="s">
        <v>4</v>
      </c>
      <c r="G547" t="s">
        <v>45</v>
      </c>
      <c r="H547" t="s">
        <v>1026</v>
      </c>
      <c r="I547">
        <v>140</v>
      </c>
      <c r="J547">
        <v>26</v>
      </c>
      <c r="K547">
        <f t="shared" si="34"/>
        <v>18.571428571428573</v>
      </c>
      <c r="L547" t="s">
        <v>1744</v>
      </c>
      <c r="M547" t="s">
        <v>3654</v>
      </c>
      <c r="N547" t="s">
        <v>1</v>
      </c>
      <c r="O547">
        <v>380054</v>
      </c>
      <c r="P547" t="s">
        <v>546</v>
      </c>
      <c r="Q547" t="s">
        <v>1769</v>
      </c>
      <c r="R547" t="s">
        <v>2</v>
      </c>
      <c r="S547">
        <v>66.111999999999995</v>
      </c>
      <c r="T547">
        <v>4</v>
      </c>
      <c r="U547">
        <v>0.6</v>
      </c>
      <c r="V547">
        <v>-84.2928</v>
      </c>
      <c r="W547">
        <f t="shared" si="35"/>
        <v>37.601199999999999</v>
      </c>
      <c r="X547">
        <v>2</v>
      </c>
    </row>
    <row r="548" spans="1:24" x14ac:dyDescent="0.3">
      <c r="A548">
        <v>547</v>
      </c>
      <c r="B548" t="s">
        <v>2320</v>
      </c>
      <c r="C548" s="6">
        <v>44743</v>
      </c>
      <c r="D548" t="str">
        <f t="shared" si="32"/>
        <v>Jul</v>
      </c>
      <c r="E548" t="str">
        <f t="shared" si="33"/>
        <v>2022</v>
      </c>
      <c r="F548" t="s">
        <v>5</v>
      </c>
      <c r="G548" t="s">
        <v>223</v>
      </c>
      <c r="H548" t="s">
        <v>1027</v>
      </c>
      <c r="I548">
        <v>120</v>
      </c>
      <c r="J548">
        <v>18</v>
      </c>
      <c r="K548">
        <f t="shared" si="34"/>
        <v>15</v>
      </c>
      <c r="L548" t="s">
        <v>1740</v>
      </c>
      <c r="M548" t="s">
        <v>3655</v>
      </c>
      <c r="O548">
        <v>249201</v>
      </c>
      <c r="P548" t="s">
        <v>546</v>
      </c>
      <c r="Q548" t="s">
        <v>1761</v>
      </c>
      <c r="S548">
        <v>41.28</v>
      </c>
      <c r="T548">
        <v>6</v>
      </c>
      <c r="U548">
        <v>0.2</v>
      </c>
      <c r="V548">
        <v>13.932</v>
      </c>
      <c r="W548">
        <f t="shared" si="35"/>
        <v>4.5579999999999998</v>
      </c>
      <c r="X548">
        <v>2</v>
      </c>
    </row>
    <row r="549" spans="1:24" x14ac:dyDescent="0.3">
      <c r="A549">
        <v>548</v>
      </c>
      <c r="B549" t="s">
        <v>2321</v>
      </c>
      <c r="C549" s="6">
        <v>44744</v>
      </c>
      <c r="D549" t="str">
        <f t="shared" si="32"/>
        <v>Jul</v>
      </c>
      <c r="E549" t="str">
        <f t="shared" si="33"/>
        <v>2022</v>
      </c>
      <c r="F549" t="s">
        <v>5</v>
      </c>
      <c r="G549" t="s">
        <v>223</v>
      </c>
      <c r="H549" t="s">
        <v>1028</v>
      </c>
      <c r="I549">
        <v>180</v>
      </c>
      <c r="J549">
        <v>14</v>
      </c>
      <c r="K549">
        <f t="shared" si="34"/>
        <v>7.7777777777777777</v>
      </c>
      <c r="L549" t="s">
        <v>1742</v>
      </c>
      <c r="M549" t="s">
        <v>3656</v>
      </c>
      <c r="O549">
        <v>249201</v>
      </c>
      <c r="P549" t="s">
        <v>546</v>
      </c>
      <c r="Q549" t="s">
        <v>1765</v>
      </c>
      <c r="R549" t="s">
        <v>2</v>
      </c>
      <c r="S549">
        <v>13.36</v>
      </c>
      <c r="T549">
        <v>2</v>
      </c>
      <c r="U549">
        <v>0</v>
      </c>
      <c r="V549">
        <v>6.4127999999999998</v>
      </c>
      <c r="W549">
        <f t="shared" si="35"/>
        <v>3.4735999999999998</v>
      </c>
      <c r="X549">
        <v>3</v>
      </c>
    </row>
    <row r="550" spans="1:24" x14ac:dyDescent="0.3">
      <c r="A550">
        <v>549</v>
      </c>
      <c r="B550" t="s">
        <v>2322</v>
      </c>
      <c r="C550" s="6">
        <v>44745</v>
      </c>
      <c r="D550" t="str">
        <f t="shared" si="32"/>
        <v>Jul</v>
      </c>
      <c r="E550" t="str">
        <f t="shared" si="33"/>
        <v>2022</v>
      </c>
      <c r="F550" t="s">
        <v>3</v>
      </c>
      <c r="G550" t="s">
        <v>165</v>
      </c>
      <c r="H550" t="s">
        <v>601</v>
      </c>
      <c r="I550">
        <v>210</v>
      </c>
      <c r="J550">
        <v>24</v>
      </c>
      <c r="K550">
        <f t="shared" si="34"/>
        <v>11.428571428571429</v>
      </c>
      <c r="L550" t="s">
        <v>1739</v>
      </c>
      <c r="M550" t="s">
        <v>3657</v>
      </c>
      <c r="N550" t="s">
        <v>1</v>
      </c>
      <c r="O550">
        <v>282001</v>
      </c>
      <c r="P550" t="s">
        <v>546</v>
      </c>
      <c r="Q550" t="s">
        <v>1761</v>
      </c>
      <c r="S550">
        <v>250.27199999999999</v>
      </c>
      <c r="T550">
        <v>9</v>
      </c>
      <c r="U550">
        <v>0.2</v>
      </c>
      <c r="V550">
        <v>15.641999999999999</v>
      </c>
      <c r="W550">
        <f t="shared" si="35"/>
        <v>26.07</v>
      </c>
      <c r="X550">
        <v>5</v>
      </c>
    </row>
    <row r="551" spans="1:24" x14ac:dyDescent="0.3">
      <c r="A551">
        <v>550</v>
      </c>
      <c r="B551" t="s">
        <v>2323</v>
      </c>
      <c r="C551" s="6">
        <v>44746</v>
      </c>
      <c r="D551" t="str">
        <f t="shared" si="32"/>
        <v>Jul</v>
      </c>
      <c r="E551" t="str">
        <f t="shared" si="33"/>
        <v>2022</v>
      </c>
      <c r="F551" t="s">
        <v>3</v>
      </c>
      <c r="G551" t="s">
        <v>165</v>
      </c>
      <c r="H551" t="s">
        <v>639</v>
      </c>
      <c r="I551">
        <v>240</v>
      </c>
      <c r="J551">
        <v>6</v>
      </c>
      <c r="K551">
        <f t="shared" si="34"/>
        <v>2.5</v>
      </c>
      <c r="L551" t="s">
        <v>1738</v>
      </c>
      <c r="M551" t="s">
        <v>3658</v>
      </c>
      <c r="N551" t="s">
        <v>1</v>
      </c>
      <c r="O551">
        <v>226003</v>
      </c>
      <c r="P551" t="s">
        <v>546</v>
      </c>
      <c r="Q551" t="s">
        <v>1773</v>
      </c>
      <c r="S551">
        <v>11.364000000000001</v>
      </c>
      <c r="T551">
        <v>3</v>
      </c>
      <c r="U551">
        <v>0.8</v>
      </c>
      <c r="V551">
        <v>-17.045999999999999</v>
      </c>
      <c r="W551">
        <f t="shared" si="35"/>
        <v>9.4700000000000006</v>
      </c>
      <c r="X551">
        <v>5</v>
      </c>
    </row>
    <row r="552" spans="1:24" x14ac:dyDescent="0.3">
      <c r="A552">
        <v>551</v>
      </c>
      <c r="B552" t="s">
        <v>2324</v>
      </c>
      <c r="C552" s="6">
        <v>44747</v>
      </c>
      <c r="D552" t="str">
        <f t="shared" si="32"/>
        <v>Jul</v>
      </c>
      <c r="E552" t="str">
        <f t="shared" si="33"/>
        <v>2022</v>
      </c>
      <c r="F552" t="s">
        <v>3</v>
      </c>
      <c r="G552" t="s">
        <v>165</v>
      </c>
      <c r="H552" t="s">
        <v>1029</v>
      </c>
      <c r="I552">
        <v>110</v>
      </c>
      <c r="J552">
        <v>26</v>
      </c>
      <c r="K552">
        <f t="shared" si="34"/>
        <v>23.636363636363637</v>
      </c>
      <c r="L552" t="s">
        <v>1741</v>
      </c>
      <c r="M552" t="s">
        <v>3659</v>
      </c>
      <c r="N552" t="s">
        <v>1</v>
      </c>
      <c r="O552">
        <v>361335</v>
      </c>
      <c r="P552" t="s">
        <v>546</v>
      </c>
      <c r="Q552" t="s">
        <v>1761</v>
      </c>
      <c r="S552">
        <v>8.7200000000000006</v>
      </c>
      <c r="T552">
        <v>5</v>
      </c>
      <c r="U552">
        <v>0.2</v>
      </c>
      <c r="V552">
        <v>-1.744</v>
      </c>
      <c r="W552">
        <f t="shared" si="35"/>
        <v>2.0928</v>
      </c>
      <c r="X552">
        <v>5</v>
      </c>
    </row>
    <row r="553" spans="1:24" x14ac:dyDescent="0.3">
      <c r="A553">
        <v>552</v>
      </c>
      <c r="B553" t="s">
        <v>2325</v>
      </c>
      <c r="C553" s="6">
        <v>44748</v>
      </c>
      <c r="D553" t="str">
        <f t="shared" si="32"/>
        <v>Jul</v>
      </c>
      <c r="E553" t="str">
        <f t="shared" si="33"/>
        <v>2022</v>
      </c>
      <c r="F553" t="s">
        <v>3</v>
      </c>
      <c r="G553" t="s">
        <v>224</v>
      </c>
      <c r="H553" t="s">
        <v>1030</v>
      </c>
      <c r="I553">
        <v>110</v>
      </c>
      <c r="J553">
        <v>18</v>
      </c>
      <c r="K553">
        <f t="shared" si="34"/>
        <v>16.363636363636363</v>
      </c>
      <c r="L553" t="s">
        <v>1737</v>
      </c>
      <c r="M553" t="s">
        <v>3660</v>
      </c>
      <c r="N553" t="s">
        <v>1</v>
      </c>
      <c r="O553">
        <v>686536</v>
      </c>
      <c r="P553" t="s">
        <v>546</v>
      </c>
      <c r="Q553" t="s">
        <v>1762</v>
      </c>
      <c r="R553" t="s">
        <v>2</v>
      </c>
      <c r="S553">
        <v>1121.568</v>
      </c>
      <c r="T553">
        <v>2</v>
      </c>
      <c r="U553">
        <v>0.2</v>
      </c>
      <c r="V553">
        <v>0</v>
      </c>
      <c r="W553">
        <f t="shared" si="35"/>
        <v>560.78399999999999</v>
      </c>
      <c r="X553">
        <v>1</v>
      </c>
    </row>
    <row r="554" spans="1:24" x14ac:dyDescent="0.3">
      <c r="A554">
        <v>553</v>
      </c>
      <c r="B554" t="s">
        <v>2326</v>
      </c>
      <c r="C554" s="6">
        <v>44749</v>
      </c>
      <c r="D554" t="str">
        <f t="shared" si="32"/>
        <v>Jul</v>
      </c>
      <c r="E554" t="str">
        <f t="shared" si="33"/>
        <v>2022</v>
      </c>
      <c r="F554" t="s">
        <v>5</v>
      </c>
      <c r="G554" t="s">
        <v>60</v>
      </c>
      <c r="H554" t="s">
        <v>1031</v>
      </c>
      <c r="I554">
        <v>220</v>
      </c>
      <c r="J554">
        <v>14</v>
      </c>
      <c r="K554">
        <f t="shared" si="34"/>
        <v>6.3636363636363633</v>
      </c>
      <c r="L554" t="s">
        <v>1743</v>
      </c>
      <c r="M554" t="s">
        <v>3661</v>
      </c>
      <c r="N554" t="s">
        <v>1</v>
      </c>
      <c r="O554">
        <v>122001</v>
      </c>
      <c r="P554" t="s">
        <v>546</v>
      </c>
      <c r="Q554" t="s">
        <v>1757</v>
      </c>
      <c r="S554">
        <v>34.503999999999998</v>
      </c>
      <c r="T554">
        <v>1</v>
      </c>
      <c r="U554">
        <v>0.2</v>
      </c>
      <c r="V554">
        <v>6.0381999999999998</v>
      </c>
      <c r="W554">
        <f t="shared" si="35"/>
        <v>28.465799999999998</v>
      </c>
      <c r="X554">
        <v>2</v>
      </c>
    </row>
    <row r="555" spans="1:24" x14ac:dyDescent="0.3">
      <c r="A555">
        <v>554</v>
      </c>
      <c r="B555" t="s">
        <v>2327</v>
      </c>
      <c r="C555" s="6">
        <v>44750</v>
      </c>
      <c r="D555" t="str">
        <f t="shared" si="32"/>
        <v>Jul</v>
      </c>
      <c r="E555" t="str">
        <f t="shared" si="33"/>
        <v>2022</v>
      </c>
      <c r="F555" t="s">
        <v>4</v>
      </c>
      <c r="G555" t="s">
        <v>225</v>
      </c>
      <c r="H555" t="s">
        <v>1032</v>
      </c>
      <c r="I555">
        <v>100</v>
      </c>
      <c r="J555">
        <v>28</v>
      </c>
      <c r="K555">
        <f t="shared" si="34"/>
        <v>28.000000000000004</v>
      </c>
      <c r="L555" t="s">
        <v>1738</v>
      </c>
      <c r="M555" t="s">
        <v>3662</v>
      </c>
      <c r="N555" t="s">
        <v>1</v>
      </c>
      <c r="O555">
        <v>452001</v>
      </c>
      <c r="P555" t="s">
        <v>546</v>
      </c>
      <c r="Q555" t="s">
        <v>1774</v>
      </c>
      <c r="R555" t="s">
        <v>2</v>
      </c>
      <c r="S555">
        <v>10.824</v>
      </c>
      <c r="T555">
        <v>3</v>
      </c>
      <c r="U555">
        <v>0.2</v>
      </c>
      <c r="V555">
        <v>2.5707</v>
      </c>
      <c r="W555">
        <f t="shared" si="35"/>
        <v>2.7510999999999997</v>
      </c>
      <c r="X555">
        <v>5</v>
      </c>
    </row>
    <row r="556" spans="1:24" x14ac:dyDescent="0.3">
      <c r="A556">
        <v>555</v>
      </c>
      <c r="B556" t="s">
        <v>2328</v>
      </c>
      <c r="C556" s="6">
        <v>44751</v>
      </c>
      <c r="D556" t="str">
        <f t="shared" si="32"/>
        <v>Jul</v>
      </c>
      <c r="E556" t="str">
        <f t="shared" si="33"/>
        <v>2022</v>
      </c>
      <c r="F556" t="s">
        <v>3</v>
      </c>
      <c r="G556" t="s">
        <v>165</v>
      </c>
      <c r="H556" t="s">
        <v>1033</v>
      </c>
      <c r="I556">
        <v>150</v>
      </c>
      <c r="J556">
        <v>10</v>
      </c>
      <c r="K556">
        <f t="shared" si="34"/>
        <v>6.666666666666667</v>
      </c>
      <c r="L556" t="s">
        <v>1739</v>
      </c>
      <c r="M556" t="s">
        <v>3663</v>
      </c>
      <c r="N556" t="s">
        <v>1</v>
      </c>
      <c r="O556">
        <v>440034</v>
      </c>
      <c r="P556" t="s">
        <v>546</v>
      </c>
      <c r="Q556" t="s">
        <v>1763</v>
      </c>
      <c r="S556">
        <v>1295.78</v>
      </c>
      <c r="T556">
        <v>2</v>
      </c>
      <c r="U556">
        <v>0</v>
      </c>
      <c r="V556">
        <v>310.98719999999997</v>
      </c>
      <c r="W556">
        <f t="shared" si="35"/>
        <v>492.39639999999997</v>
      </c>
      <c r="X556">
        <v>3</v>
      </c>
    </row>
    <row r="557" spans="1:24" x14ac:dyDescent="0.3">
      <c r="A557">
        <v>556</v>
      </c>
      <c r="B557" t="s">
        <v>2329</v>
      </c>
      <c r="C557" s="6">
        <v>44752</v>
      </c>
      <c r="D557" t="str">
        <f t="shared" si="32"/>
        <v>Jul</v>
      </c>
      <c r="E557" t="str">
        <f t="shared" si="33"/>
        <v>2022</v>
      </c>
      <c r="F557" t="s">
        <v>3</v>
      </c>
      <c r="G557" t="s">
        <v>226</v>
      </c>
      <c r="H557" t="s">
        <v>1034</v>
      </c>
      <c r="I557">
        <v>200</v>
      </c>
      <c r="J557">
        <v>24</v>
      </c>
      <c r="K557">
        <f t="shared" si="34"/>
        <v>12</v>
      </c>
      <c r="L557" t="s">
        <v>1736</v>
      </c>
      <c r="M557" t="s">
        <v>3664</v>
      </c>
      <c r="N557" t="s">
        <v>1</v>
      </c>
      <c r="O557">
        <v>822101</v>
      </c>
      <c r="P557" t="s">
        <v>546</v>
      </c>
      <c r="Q557" t="s">
        <v>1765</v>
      </c>
      <c r="R557" t="s">
        <v>2</v>
      </c>
      <c r="S557">
        <v>19.456</v>
      </c>
      <c r="T557">
        <v>4</v>
      </c>
      <c r="U557">
        <v>0.2</v>
      </c>
      <c r="V557">
        <v>3.4047999999999998</v>
      </c>
      <c r="W557">
        <f t="shared" si="35"/>
        <v>4.0128000000000004</v>
      </c>
      <c r="X557">
        <v>3</v>
      </c>
    </row>
    <row r="558" spans="1:24" x14ac:dyDescent="0.3">
      <c r="A558">
        <v>557</v>
      </c>
      <c r="B558" t="s">
        <v>2330</v>
      </c>
      <c r="C558" s="6">
        <v>44753</v>
      </c>
      <c r="D558" t="str">
        <f t="shared" si="32"/>
        <v>Jul</v>
      </c>
      <c r="E558" t="str">
        <f t="shared" si="33"/>
        <v>2022</v>
      </c>
      <c r="F558" t="s">
        <v>4</v>
      </c>
      <c r="G558" t="s">
        <v>227</v>
      </c>
      <c r="H558" t="s">
        <v>1035</v>
      </c>
      <c r="I558">
        <v>230</v>
      </c>
      <c r="J558">
        <v>20</v>
      </c>
      <c r="K558">
        <f t="shared" si="34"/>
        <v>8.695652173913043</v>
      </c>
      <c r="L558" t="s">
        <v>1744</v>
      </c>
      <c r="M558" t="s">
        <v>3665</v>
      </c>
      <c r="N558" t="s">
        <v>1</v>
      </c>
      <c r="O558">
        <v>751013</v>
      </c>
      <c r="P558" t="s">
        <v>546</v>
      </c>
      <c r="Q558" t="s">
        <v>1763</v>
      </c>
      <c r="S558">
        <v>20.7</v>
      </c>
      <c r="T558">
        <v>2</v>
      </c>
      <c r="U558">
        <v>0</v>
      </c>
      <c r="V558">
        <v>9.9359999999999999</v>
      </c>
      <c r="W558">
        <f t="shared" si="35"/>
        <v>5.3819999999999997</v>
      </c>
      <c r="X558">
        <v>2</v>
      </c>
    </row>
    <row r="559" spans="1:24" x14ac:dyDescent="0.3">
      <c r="A559">
        <v>558</v>
      </c>
      <c r="B559" t="s">
        <v>2331</v>
      </c>
      <c r="C559" s="6">
        <v>44754</v>
      </c>
      <c r="D559" t="str">
        <f t="shared" si="32"/>
        <v>Jul</v>
      </c>
      <c r="E559" t="str">
        <f t="shared" si="33"/>
        <v>2022</v>
      </c>
      <c r="F559" t="s">
        <v>4</v>
      </c>
      <c r="G559" t="s">
        <v>227</v>
      </c>
      <c r="H559" t="s">
        <v>1036</v>
      </c>
      <c r="I559">
        <v>230</v>
      </c>
      <c r="J559">
        <v>18</v>
      </c>
      <c r="K559">
        <f t="shared" si="34"/>
        <v>7.8260869565217401</v>
      </c>
      <c r="L559" t="s">
        <v>1740</v>
      </c>
      <c r="M559" t="s">
        <v>3666</v>
      </c>
      <c r="N559" t="s">
        <v>1</v>
      </c>
      <c r="O559">
        <v>628004</v>
      </c>
      <c r="P559" t="s">
        <v>546</v>
      </c>
      <c r="Q559" t="s">
        <v>1761</v>
      </c>
      <c r="S559">
        <v>1335.68</v>
      </c>
      <c r="T559">
        <v>4</v>
      </c>
      <c r="U559">
        <v>0.2</v>
      </c>
      <c r="V559">
        <v>-217.048</v>
      </c>
      <c r="W559">
        <f t="shared" si="35"/>
        <v>388.18200000000002</v>
      </c>
      <c r="X559">
        <v>3</v>
      </c>
    </row>
    <row r="560" spans="1:24" x14ac:dyDescent="0.3">
      <c r="A560">
        <v>559</v>
      </c>
      <c r="B560" t="s">
        <v>2332</v>
      </c>
      <c r="C560" s="6">
        <v>44755</v>
      </c>
      <c r="D560" t="str">
        <f t="shared" si="32"/>
        <v>Jul</v>
      </c>
      <c r="E560" t="str">
        <f t="shared" si="33"/>
        <v>2022</v>
      </c>
      <c r="F560" t="s">
        <v>4</v>
      </c>
      <c r="G560" t="s">
        <v>227</v>
      </c>
      <c r="H560" t="s">
        <v>1037</v>
      </c>
      <c r="I560">
        <v>110</v>
      </c>
      <c r="J560">
        <v>20</v>
      </c>
      <c r="K560">
        <f t="shared" si="34"/>
        <v>18.181818181818183</v>
      </c>
      <c r="L560" t="s">
        <v>1742</v>
      </c>
      <c r="M560" t="s">
        <v>3667</v>
      </c>
      <c r="N560" t="s">
        <v>1</v>
      </c>
      <c r="O560">
        <v>403206</v>
      </c>
      <c r="P560" t="s">
        <v>546</v>
      </c>
      <c r="Q560" t="s">
        <v>1754</v>
      </c>
      <c r="S560">
        <v>32.4</v>
      </c>
      <c r="T560">
        <v>5</v>
      </c>
      <c r="U560">
        <v>0</v>
      </c>
      <c r="V560">
        <v>15.552</v>
      </c>
      <c r="W560">
        <f t="shared" si="35"/>
        <v>3.3695999999999997</v>
      </c>
      <c r="X560">
        <v>3</v>
      </c>
    </row>
    <row r="561" spans="1:24" x14ac:dyDescent="0.3">
      <c r="A561">
        <v>560</v>
      </c>
      <c r="B561" t="s">
        <v>2333</v>
      </c>
      <c r="C561" s="6">
        <v>44756</v>
      </c>
      <c r="D561" t="str">
        <f t="shared" si="32"/>
        <v>Jul</v>
      </c>
      <c r="E561" t="str">
        <f t="shared" si="33"/>
        <v>2022</v>
      </c>
      <c r="F561" t="s">
        <v>3</v>
      </c>
      <c r="G561" t="s">
        <v>228</v>
      </c>
      <c r="H561" t="s">
        <v>925</v>
      </c>
      <c r="I561">
        <v>100</v>
      </c>
      <c r="J561">
        <v>12</v>
      </c>
      <c r="K561">
        <f t="shared" si="34"/>
        <v>12</v>
      </c>
      <c r="L561" t="s">
        <v>1739</v>
      </c>
      <c r="M561" t="s">
        <v>3668</v>
      </c>
      <c r="N561" t="s">
        <v>1</v>
      </c>
      <c r="O561">
        <v>403206</v>
      </c>
      <c r="P561" t="s">
        <v>546</v>
      </c>
      <c r="Q561" t="s">
        <v>1759</v>
      </c>
      <c r="S561">
        <v>42.6</v>
      </c>
      <c r="T561">
        <v>3</v>
      </c>
      <c r="U561">
        <v>0</v>
      </c>
      <c r="V561">
        <v>16.614000000000001</v>
      </c>
      <c r="W561">
        <f t="shared" si="35"/>
        <v>8.6620000000000008</v>
      </c>
      <c r="X561">
        <v>4</v>
      </c>
    </row>
    <row r="562" spans="1:24" x14ac:dyDescent="0.3">
      <c r="A562">
        <v>561</v>
      </c>
      <c r="B562" t="s">
        <v>2334</v>
      </c>
      <c r="C562" s="6">
        <v>44757</v>
      </c>
      <c r="D562" t="str">
        <f t="shared" si="32"/>
        <v>Jul</v>
      </c>
      <c r="E562" t="str">
        <f t="shared" si="33"/>
        <v>2022</v>
      </c>
      <c r="F562" t="s">
        <v>3</v>
      </c>
      <c r="G562" t="s">
        <v>228</v>
      </c>
      <c r="H562" t="s">
        <v>1038</v>
      </c>
      <c r="I562">
        <v>100</v>
      </c>
      <c r="J562">
        <v>24</v>
      </c>
      <c r="K562">
        <f t="shared" si="34"/>
        <v>24</v>
      </c>
      <c r="L562" t="s">
        <v>1738</v>
      </c>
      <c r="M562" t="s">
        <v>3669</v>
      </c>
      <c r="N562" t="s">
        <v>1</v>
      </c>
      <c r="O562">
        <v>834002</v>
      </c>
      <c r="P562" t="s">
        <v>546</v>
      </c>
      <c r="Q562" t="s">
        <v>1774</v>
      </c>
      <c r="S562">
        <v>84.055999999999997</v>
      </c>
      <c r="T562">
        <v>7</v>
      </c>
      <c r="U562">
        <v>0.2</v>
      </c>
      <c r="V562">
        <v>27.318200000000001</v>
      </c>
      <c r="W562">
        <f t="shared" si="35"/>
        <v>8.1053999999999995</v>
      </c>
      <c r="X562">
        <v>4</v>
      </c>
    </row>
    <row r="563" spans="1:24" x14ac:dyDescent="0.3">
      <c r="A563">
        <v>562</v>
      </c>
      <c r="B563" t="s">
        <v>2335</v>
      </c>
      <c r="C563" s="6">
        <v>44758</v>
      </c>
      <c r="D563" t="str">
        <f t="shared" si="32"/>
        <v>Jul</v>
      </c>
      <c r="E563" t="str">
        <f t="shared" si="33"/>
        <v>2022</v>
      </c>
      <c r="F563" t="s">
        <v>3</v>
      </c>
      <c r="G563" t="s">
        <v>229</v>
      </c>
      <c r="H563" t="s">
        <v>1039</v>
      </c>
      <c r="I563">
        <v>140</v>
      </c>
      <c r="J563">
        <v>22</v>
      </c>
      <c r="K563">
        <f t="shared" si="34"/>
        <v>15.714285714285714</v>
      </c>
      <c r="L563" t="s">
        <v>1743</v>
      </c>
      <c r="M563" t="s">
        <v>3670</v>
      </c>
      <c r="O563">
        <v>160030</v>
      </c>
      <c r="P563" t="s">
        <v>546</v>
      </c>
      <c r="Q563" t="s">
        <v>1776</v>
      </c>
      <c r="S563">
        <v>13</v>
      </c>
      <c r="T563">
        <v>5</v>
      </c>
      <c r="U563">
        <v>0.2</v>
      </c>
      <c r="V563">
        <v>1.3</v>
      </c>
      <c r="W563">
        <f t="shared" si="35"/>
        <v>2.34</v>
      </c>
      <c r="X563">
        <v>5</v>
      </c>
    </row>
    <row r="564" spans="1:24" x14ac:dyDescent="0.3">
      <c r="A564">
        <v>563</v>
      </c>
      <c r="B564" t="s">
        <v>2336</v>
      </c>
      <c r="C564" s="6">
        <v>44759</v>
      </c>
      <c r="D564" t="str">
        <f t="shared" si="32"/>
        <v>Jul</v>
      </c>
      <c r="E564" t="str">
        <f t="shared" si="33"/>
        <v>2022</v>
      </c>
      <c r="F564" t="s">
        <v>3</v>
      </c>
      <c r="G564" t="s">
        <v>229</v>
      </c>
      <c r="H564" t="s">
        <v>1040</v>
      </c>
      <c r="I564">
        <v>230</v>
      </c>
      <c r="J564">
        <v>30</v>
      </c>
      <c r="K564">
        <f t="shared" si="34"/>
        <v>13.043478260869565</v>
      </c>
      <c r="L564" t="s">
        <v>1737</v>
      </c>
      <c r="M564" t="s">
        <v>3671</v>
      </c>
      <c r="O564">
        <v>400025</v>
      </c>
      <c r="P564" t="s">
        <v>546</v>
      </c>
      <c r="Q564" t="s">
        <v>1768</v>
      </c>
      <c r="S564">
        <v>13.128</v>
      </c>
      <c r="T564">
        <v>3</v>
      </c>
      <c r="U564">
        <v>0.2</v>
      </c>
      <c r="V564">
        <v>3.7743000000000002</v>
      </c>
      <c r="W564">
        <f t="shared" si="35"/>
        <v>3.1179000000000001</v>
      </c>
      <c r="X564">
        <v>1</v>
      </c>
    </row>
    <row r="565" spans="1:24" x14ac:dyDescent="0.3">
      <c r="A565">
        <v>564</v>
      </c>
      <c r="B565" t="s">
        <v>2337</v>
      </c>
      <c r="C565" s="6">
        <v>44760</v>
      </c>
      <c r="D565" t="str">
        <f t="shared" si="32"/>
        <v>Jul</v>
      </c>
      <c r="E565" t="str">
        <f t="shared" si="33"/>
        <v>2022</v>
      </c>
      <c r="F565" t="s">
        <v>5</v>
      </c>
      <c r="G565" t="s">
        <v>230</v>
      </c>
      <c r="H565" t="s">
        <v>1041</v>
      </c>
      <c r="I565">
        <v>150</v>
      </c>
      <c r="J565">
        <v>26</v>
      </c>
      <c r="K565">
        <f t="shared" si="34"/>
        <v>17.333333333333336</v>
      </c>
      <c r="L565" t="s">
        <v>1741</v>
      </c>
      <c r="M565" t="s">
        <v>3672</v>
      </c>
      <c r="N565" t="s">
        <v>1</v>
      </c>
      <c r="O565">
        <v>631501</v>
      </c>
      <c r="P565" t="s">
        <v>546</v>
      </c>
      <c r="Q565" t="s">
        <v>1759</v>
      </c>
      <c r="R565" t="s">
        <v>2</v>
      </c>
      <c r="S565">
        <v>3.96</v>
      </c>
      <c r="T565">
        <v>2</v>
      </c>
      <c r="U565">
        <v>0</v>
      </c>
      <c r="V565">
        <v>0</v>
      </c>
      <c r="W565">
        <f t="shared" si="35"/>
        <v>1.98</v>
      </c>
      <c r="X565">
        <v>2</v>
      </c>
    </row>
    <row r="566" spans="1:24" x14ac:dyDescent="0.3">
      <c r="A566">
        <v>565</v>
      </c>
      <c r="B566" t="s">
        <v>2157</v>
      </c>
      <c r="C566" s="6">
        <v>44761</v>
      </c>
      <c r="D566" t="str">
        <f t="shared" si="32"/>
        <v>Jul</v>
      </c>
      <c r="E566" t="str">
        <f t="shared" si="33"/>
        <v>2022</v>
      </c>
      <c r="F566" t="s">
        <v>5</v>
      </c>
      <c r="G566" t="s">
        <v>230</v>
      </c>
      <c r="H566" t="s">
        <v>833</v>
      </c>
      <c r="I566">
        <v>160</v>
      </c>
      <c r="J566">
        <v>28</v>
      </c>
      <c r="K566">
        <f t="shared" si="34"/>
        <v>17.5</v>
      </c>
      <c r="L566" t="s">
        <v>1736</v>
      </c>
      <c r="M566" t="s">
        <v>3673</v>
      </c>
      <c r="N566" t="s">
        <v>1</v>
      </c>
      <c r="O566">
        <v>500047</v>
      </c>
      <c r="P566" t="s">
        <v>546</v>
      </c>
      <c r="Q566" t="s">
        <v>1754</v>
      </c>
      <c r="S566">
        <v>2.61</v>
      </c>
      <c r="T566">
        <v>1</v>
      </c>
      <c r="U566">
        <v>0</v>
      </c>
      <c r="V566">
        <v>1.2005999999999999</v>
      </c>
      <c r="W566">
        <f t="shared" si="35"/>
        <v>1.4094</v>
      </c>
      <c r="X566">
        <v>1</v>
      </c>
    </row>
    <row r="567" spans="1:24" x14ac:dyDescent="0.3">
      <c r="A567">
        <v>566</v>
      </c>
      <c r="B567" t="s">
        <v>2338</v>
      </c>
      <c r="C567" s="6">
        <v>44762</v>
      </c>
      <c r="D567" t="str">
        <f t="shared" si="32"/>
        <v>Jul</v>
      </c>
      <c r="E567" t="str">
        <f t="shared" si="33"/>
        <v>2022</v>
      </c>
      <c r="F567" t="s">
        <v>5</v>
      </c>
      <c r="G567" t="s">
        <v>231</v>
      </c>
      <c r="H567" t="s">
        <v>1042</v>
      </c>
      <c r="I567">
        <v>160</v>
      </c>
      <c r="J567">
        <v>26</v>
      </c>
      <c r="K567">
        <f t="shared" si="34"/>
        <v>16.25</v>
      </c>
      <c r="L567" t="s">
        <v>1744</v>
      </c>
      <c r="M567" t="s">
        <v>3674</v>
      </c>
      <c r="N567" t="s">
        <v>1</v>
      </c>
      <c r="O567">
        <v>131001</v>
      </c>
      <c r="P567" t="s">
        <v>546</v>
      </c>
      <c r="Q567" t="s">
        <v>1765</v>
      </c>
      <c r="R567" t="s">
        <v>2</v>
      </c>
      <c r="S567">
        <v>374.37599999999998</v>
      </c>
      <c r="T567">
        <v>3</v>
      </c>
      <c r="U567">
        <v>0.2</v>
      </c>
      <c r="V567">
        <v>46.796999999999997</v>
      </c>
      <c r="W567">
        <f t="shared" si="35"/>
        <v>109.19299999999998</v>
      </c>
      <c r="X567">
        <v>4</v>
      </c>
    </row>
    <row r="568" spans="1:24" x14ac:dyDescent="0.3">
      <c r="A568">
        <v>567</v>
      </c>
      <c r="B568" t="s">
        <v>2339</v>
      </c>
      <c r="C568" s="6">
        <v>44763</v>
      </c>
      <c r="D568" t="str">
        <f t="shared" si="32"/>
        <v>Jul</v>
      </c>
      <c r="E568" t="str">
        <f t="shared" si="33"/>
        <v>2022</v>
      </c>
      <c r="F568" t="s">
        <v>4</v>
      </c>
      <c r="G568" t="s">
        <v>232</v>
      </c>
      <c r="H568" t="s">
        <v>1043</v>
      </c>
      <c r="I568">
        <v>180</v>
      </c>
      <c r="J568">
        <v>24</v>
      </c>
      <c r="K568">
        <f t="shared" si="34"/>
        <v>13.333333333333334</v>
      </c>
      <c r="L568" t="s">
        <v>1740</v>
      </c>
      <c r="M568" t="s">
        <v>3675</v>
      </c>
      <c r="N568" t="s">
        <v>1</v>
      </c>
      <c r="O568">
        <v>411041</v>
      </c>
      <c r="P568" t="s">
        <v>546</v>
      </c>
      <c r="Q568" t="s">
        <v>1761</v>
      </c>
      <c r="S568">
        <v>91.84</v>
      </c>
      <c r="T568">
        <v>8</v>
      </c>
      <c r="U568">
        <v>0</v>
      </c>
      <c r="V568">
        <v>45.001600000000003</v>
      </c>
      <c r="W568">
        <f t="shared" si="35"/>
        <v>5.8548</v>
      </c>
      <c r="X568">
        <v>2</v>
      </c>
    </row>
    <row r="569" spans="1:24" x14ac:dyDescent="0.3">
      <c r="A569">
        <v>568</v>
      </c>
      <c r="B569" t="s">
        <v>2340</v>
      </c>
      <c r="C569" s="6">
        <v>44764</v>
      </c>
      <c r="D569" t="str">
        <f t="shared" si="32"/>
        <v>Jul</v>
      </c>
      <c r="E569" t="str">
        <f t="shared" si="33"/>
        <v>2022</v>
      </c>
      <c r="F569" t="s">
        <v>4</v>
      </c>
      <c r="G569" t="s">
        <v>232</v>
      </c>
      <c r="H569" t="s">
        <v>1044</v>
      </c>
      <c r="I569">
        <v>220</v>
      </c>
      <c r="J569">
        <v>16</v>
      </c>
      <c r="K569">
        <f t="shared" si="34"/>
        <v>7.2727272727272725</v>
      </c>
      <c r="L569" t="s">
        <v>1742</v>
      </c>
      <c r="M569" t="s">
        <v>3676</v>
      </c>
      <c r="N569" t="s">
        <v>1</v>
      </c>
      <c r="O569">
        <v>400059</v>
      </c>
      <c r="P569" t="s">
        <v>546</v>
      </c>
      <c r="Q569" t="s">
        <v>1764</v>
      </c>
      <c r="S569">
        <v>81.087999999999994</v>
      </c>
      <c r="T569">
        <v>7</v>
      </c>
      <c r="U569">
        <v>0.2</v>
      </c>
      <c r="V569">
        <v>27.3672</v>
      </c>
      <c r="W569">
        <f t="shared" si="35"/>
        <v>7.6743999999999994</v>
      </c>
      <c r="X569">
        <v>4</v>
      </c>
    </row>
    <row r="570" spans="1:24" x14ac:dyDescent="0.3">
      <c r="A570">
        <v>569</v>
      </c>
      <c r="B570" t="s">
        <v>2341</v>
      </c>
      <c r="C570" s="6">
        <v>44765</v>
      </c>
      <c r="D570" t="str">
        <f t="shared" si="32"/>
        <v>Jul</v>
      </c>
      <c r="E570" t="str">
        <f t="shared" si="33"/>
        <v>2022</v>
      </c>
      <c r="F570" t="s">
        <v>4</v>
      </c>
      <c r="G570" t="s">
        <v>232</v>
      </c>
      <c r="H570" t="s">
        <v>1045</v>
      </c>
      <c r="I570">
        <v>180</v>
      </c>
      <c r="J570">
        <v>10</v>
      </c>
      <c r="K570">
        <f t="shared" si="34"/>
        <v>5.5555555555555554</v>
      </c>
      <c r="L570" t="s">
        <v>1739</v>
      </c>
      <c r="M570" t="s">
        <v>3677</v>
      </c>
      <c r="O570">
        <v>500015</v>
      </c>
      <c r="P570" t="s">
        <v>546</v>
      </c>
      <c r="Q570" t="s">
        <v>1768</v>
      </c>
      <c r="S570">
        <v>19.440000000000001</v>
      </c>
      <c r="T570">
        <v>3</v>
      </c>
      <c r="U570">
        <v>0</v>
      </c>
      <c r="V570">
        <v>9.3312000000000008</v>
      </c>
      <c r="W570">
        <f t="shared" si="35"/>
        <v>3.3696000000000002</v>
      </c>
      <c r="X570">
        <v>5</v>
      </c>
    </row>
    <row r="571" spans="1:24" x14ac:dyDescent="0.3">
      <c r="A571">
        <v>570</v>
      </c>
      <c r="B571" t="s">
        <v>2342</v>
      </c>
      <c r="C571" s="6">
        <v>44766</v>
      </c>
      <c r="D571" t="str">
        <f t="shared" si="32"/>
        <v>Jul</v>
      </c>
      <c r="E571" t="str">
        <f t="shared" si="33"/>
        <v>2022</v>
      </c>
      <c r="F571" t="s">
        <v>4</v>
      </c>
      <c r="G571" t="s">
        <v>232</v>
      </c>
      <c r="H571" t="s">
        <v>1046</v>
      </c>
      <c r="I571">
        <v>120</v>
      </c>
      <c r="J571">
        <v>30</v>
      </c>
      <c r="K571">
        <f t="shared" si="34"/>
        <v>25</v>
      </c>
      <c r="L571" t="s">
        <v>1738</v>
      </c>
      <c r="M571" t="s">
        <v>3678</v>
      </c>
      <c r="N571" t="s">
        <v>1</v>
      </c>
      <c r="O571">
        <v>263139</v>
      </c>
      <c r="P571" t="s">
        <v>546</v>
      </c>
      <c r="Q571" t="s">
        <v>1765</v>
      </c>
      <c r="S571">
        <v>451.15199999999999</v>
      </c>
      <c r="T571">
        <v>3</v>
      </c>
      <c r="U571">
        <v>0.2</v>
      </c>
      <c r="V571">
        <v>0</v>
      </c>
      <c r="W571">
        <f t="shared" si="35"/>
        <v>150.38399999999999</v>
      </c>
      <c r="X571">
        <v>5</v>
      </c>
    </row>
    <row r="572" spans="1:24" x14ac:dyDescent="0.3">
      <c r="A572">
        <v>571</v>
      </c>
      <c r="B572" t="s">
        <v>2343</v>
      </c>
      <c r="C572" s="6">
        <v>44767</v>
      </c>
      <c r="D572" t="str">
        <f t="shared" si="32"/>
        <v>Jul</v>
      </c>
      <c r="E572" t="str">
        <f t="shared" si="33"/>
        <v>2022</v>
      </c>
      <c r="F572" t="s">
        <v>4</v>
      </c>
      <c r="G572" t="s">
        <v>233</v>
      </c>
      <c r="H572" t="s">
        <v>1035</v>
      </c>
      <c r="I572">
        <v>170</v>
      </c>
      <c r="J572">
        <v>22</v>
      </c>
      <c r="K572">
        <f t="shared" si="34"/>
        <v>12.941176470588237</v>
      </c>
      <c r="L572" t="s">
        <v>1737</v>
      </c>
      <c r="M572" t="s">
        <v>3679</v>
      </c>
      <c r="N572" t="s">
        <v>1</v>
      </c>
      <c r="O572">
        <v>680687</v>
      </c>
      <c r="P572" t="s">
        <v>546</v>
      </c>
      <c r="Q572" t="s">
        <v>1771</v>
      </c>
      <c r="S572">
        <v>72.45</v>
      </c>
      <c r="T572">
        <v>7</v>
      </c>
      <c r="U572">
        <v>0</v>
      </c>
      <c r="V572">
        <v>34.776000000000003</v>
      </c>
      <c r="W572">
        <f t="shared" si="35"/>
        <v>5.3819999999999997</v>
      </c>
      <c r="X572">
        <v>5</v>
      </c>
    </row>
    <row r="573" spans="1:24" x14ac:dyDescent="0.3">
      <c r="A573">
        <v>572</v>
      </c>
      <c r="B573" t="s">
        <v>2344</v>
      </c>
      <c r="C573" s="6">
        <v>44768</v>
      </c>
      <c r="D573" t="str">
        <f t="shared" si="32"/>
        <v>Jul</v>
      </c>
      <c r="E573" t="str">
        <f t="shared" si="33"/>
        <v>2022</v>
      </c>
      <c r="F573" t="s">
        <v>4</v>
      </c>
      <c r="G573" t="s">
        <v>233</v>
      </c>
      <c r="H573" t="s">
        <v>750</v>
      </c>
      <c r="I573">
        <v>170</v>
      </c>
      <c r="J573">
        <v>26</v>
      </c>
      <c r="K573">
        <f t="shared" si="34"/>
        <v>15.294117647058824</v>
      </c>
      <c r="L573" t="s">
        <v>1743</v>
      </c>
      <c r="M573" t="s">
        <v>3680</v>
      </c>
      <c r="N573" t="s">
        <v>1</v>
      </c>
      <c r="O573">
        <v>400008</v>
      </c>
      <c r="P573" t="s">
        <v>546</v>
      </c>
      <c r="Q573" t="s">
        <v>1771</v>
      </c>
      <c r="S573">
        <v>13.96</v>
      </c>
      <c r="T573">
        <v>4</v>
      </c>
      <c r="U573">
        <v>0</v>
      </c>
      <c r="V573">
        <v>6.4215999999999998</v>
      </c>
      <c r="W573">
        <f t="shared" si="35"/>
        <v>1.8846000000000003</v>
      </c>
      <c r="X573">
        <v>3</v>
      </c>
    </row>
    <row r="574" spans="1:24" x14ac:dyDescent="0.3">
      <c r="A574">
        <v>573</v>
      </c>
      <c r="B574" t="s">
        <v>2345</v>
      </c>
      <c r="C574" s="6">
        <v>44769</v>
      </c>
      <c r="D574" t="str">
        <f t="shared" si="32"/>
        <v>Jul</v>
      </c>
      <c r="E574" t="str">
        <f t="shared" si="33"/>
        <v>2022</v>
      </c>
      <c r="F574" t="s">
        <v>4</v>
      </c>
      <c r="G574" t="s">
        <v>233</v>
      </c>
      <c r="H574" t="s">
        <v>852</v>
      </c>
      <c r="I574">
        <v>210</v>
      </c>
      <c r="J574">
        <v>12</v>
      </c>
      <c r="K574">
        <f t="shared" si="34"/>
        <v>5.7142857142857144</v>
      </c>
      <c r="L574" t="s">
        <v>1738</v>
      </c>
      <c r="M574" t="s">
        <v>3681</v>
      </c>
      <c r="N574" t="s">
        <v>1</v>
      </c>
      <c r="O574">
        <v>415612</v>
      </c>
      <c r="P574" t="s">
        <v>546</v>
      </c>
      <c r="Q574" t="s">
        <v>1760</v>
      </c>
      <c r="S574">
        <v>33.264000000000003</v>
      </c>
      <c r="T574">
        <v>7</v>
      </c>
      <c r="U574">
        <v>0.2</v>
      </c>
      <c r="V574">
        <v>11.226599999999999</v>
      </c>
      <c r="W574">
        <f t="shared" si="35"/>
        <v>3.1482000000000006</v>
      </c>
      <c r="X574">
        <v>4</v>
      </c>
    </row>
    <row r="575" spans="1:24" x14ac:dyDescent="0.3">
      <c r="A575">
        <v>574</v>
      </c>
      <c r="B575" t="s">
        <v>2346</v>
      </c>
      <c r="C575" s="6">
        <v>44770</v>
      </c>
      <c r="D575" t="str">
        <f t="shared" si="32"/>
        <v>Jul</v>
      </c>
      <c r="E575" t="str">
        <f t="shared" si="33"/>
        <v>2022</v>
      </c>
      <c r="F575" t="s">
        <v>4</v>
      </c>
      <c r="G575" t="s">
        <v>233</v>
      </c>
      <c r="H575" t="s">
        <v>1047</v>
      </c>
      <c r="I575">
        <v>170</v>
      </c>
      <c r="J575">
        <v>20</v>
      </c>
      <c r="K575">
        <f t="shared" si="34"/>
        <v>11.76470588235294</v>
      </c>
      <c r="L575" t="s">
        <v>1739</v>
      </c>
      <c r="M575" t="s">
        <v>3682</v>
      </c>
      <c r="N575" t="s">
        <v>1</v>
      </c>
      <c r="O575">
        <v>800001</v>
      </c>
      <c r="P575" t="s">
        <v>546</v>
      </c>
      <c r="Q575" t="s">
        <v>1770</v>
      </c>
      <c r="S575">
        <v>14.85</v>
      </c>
      <c r="T575">
        <v>3</v>
      </c>
      <c r="U575">
        <v>0</v>
      </c>
      <c r="V575">
        <v>4.0095000000000001</v>
      </c>
      <c r="W575">
        <f t="shared" si="35"/>
        <v>3.6134999999999997</v>
      </c>
      <c r="X575">
        <v>5</v>
      </c>
    </row>
    <row r="576" spans="1:24" x14ac:dyDescent="0.3">
      <c r="A576">
        <v>575</v>
      </c>
      <c r="B576" t="s">
        <v>2347</v>
      </c>
      <c r="C576" s="6">
        <v>44771</v>
      </c>
      <c r="D576" t="str">
        <f t="shared" si="32"/>
        <v>Jul</v>
      </c>
      <c r="E576" t="str">
        <f t="shared" si="33"/>
        <v>2022</v>
      </c>
      <c r="F576" t="s">
        <v>4</v>
      </c>
      <c r="G576" t="s">
        <v>234</v>
      </c>
      <c r="H576" t="s">
        <v>1048</v>
      </c>
      <c r="I576">
        <v>210</v>
      </c>
      <c r="J576">
        <v>24</v>
      </c>
      <c r="K576">
        <f t="shared" si="34"/>
        <v>11.428571428571429</v>
      </c>
      <c r="L576" t="s">
        <v>1741</v>
      </c>
      <c r="M576" t="s">
        <v>3683</v>
      </c>
      <c r="N576" t="s">
        <v>1</v>
      </c>
      <c r="O576">
        <v>560093</v>
      </c>
      <c r="P576" t="s">
        <v>546</v>
      </c>
      <c r="Q576" t="s">
        <v>1765</v>
      </c>
      <c r="S576">
        <v>8.82</v>
      </c>
      <c r="T576">
        <v>3</v>
      </c>
      <c r="U576">
        <v>0</v>
      </c>
      <c r="V576">
        <v>2.3814000000000002</v>
      </c>
      <c r="W576">
        <f t="shared" si="35"/>
        <v>2.1461999999999999</v>
      </c>
      <c r="X576">
        <v>1</v>
      </c>
    </row>
    <row r="577" spans="1:24" x14ac:dyDescent="0.3">
      <c r="A577">
        <v>576</v>
      </c>
      <c r="B577" t="s">
        <v>2348</v>
      </c>
      <c r="C577" s="6">
        <v>44772</v>
      </c>
      <c r="D577" t="str">
        <f t="shared" si="32"/>
        <v>Jul</v>
      </c>
      <c r="E577" t="str">
        <f t="shared" si="33"/>
        <v>2022</v>
      </c>
      <c r="F577" t="s">
        <v>3</v>
      </c>
      <c r="G577" t="s">
        <v>235</v>
      </c>
      <c r="H577" t="s">
        <v>1043</v>
      </c>
      <c r="I577">
        <v>220</v>
      </c>
      <c r="J577">
        <v>18</v>
      </c>
      <c r="K577">
        <f t="shared" si="34"/>
        <v>8.1818181818181817</v>
      </c>
      <c r="L577" t="s">
        <v>1736</v>
      </c>
      <c r="M577" t="s">
        <v>3684</v>
      </c>
      <c r="O577">
        <v>263139</v>
      </c>
      <c r="P577" t="s">
        <v>546</v>
      </c>
      <c r="Q577" t="s">
        <v>1774</v>
      </c>
      <c r="S577">
        <v>160.72</v>
      </c>
      <c r="T577">
        <v>14</v>
      </c>
      <c r="U577">
        <v>0</v>
      </c>
      <c r="V577">
        <v>78.752799999999993</v>
      </c>
      <c r="W577">
        <f t="shared" si="35"/>
        <v>5.8548</v>
      </c>
      <c r="X577">
        <v>3</v>
      </c>
    </row>
    <row r="578" spans="1:24" x14ac:dyDescent="0.3">
      <c r="A578">
        <v>577</v>
      </c>
      <c r="B578" t="s">
        <v>2349</v>
      </c>
      <c r="C578" s="6">
        <v>44773</v>
      </c>
      <c r="D578" t="str">
        <f t="shared" si="32"/>
        <v>Jul</v>
      </c>
      <c r="E578" t="str">
        <f t="shared" si="33"/>
        <v>2022</v>
      </c>
      <c r="F578" t="s">
        <v>3</v>
      </c>
      <c r="G578" t="s">
        <v>235</v>
      </c>
      <c r="H578" t="s">
        <v>1049</v>
      </c>
      <c r="I578">
        <v>130</v>
      </c>
      <c r="J578">
        <v>16</v>
      </c>
      <c r="K578">
        <f t="shared" si="34"/>
        <v>12.307692307692308</v>
      </c>
      <c r="L578" t="s">
        <v>1744</v>
      </c>
      <c r="M578" t="s">
        <v>3685</v>
      </c>
      <c r="N578" t="s">
        <v>1</v>
      </c>
      <c r="O578">
        <v>620001</v>
      </c>
      <c r="P578" t="s">
        <v>546</v>
      </c>
      <c r="Q578" t="s">
        <v>1755</v>
      </c>
      <c r="S578">
        <v>19.920000000000002</v>
      </c>
      <c r="T578">
        <v>4</v>
      </c>
      <c r="U578">
        <v>0</v>
      </c>
      <c r="V578">
        <v>9.7607999999999997</v>
      </c>
      <c r="W578">
        <f t="shared" si="35"/>
        <v>2.5398000000000005</v>
      </c>
      <c r="X578">
        <v>1</v>
      </c>
    </row>
    <row r="579" spans="1:24" x14ac:dyDescent="0.3">
      <c r="A579">
        <v>578</v>
      </c>
      <c r="B579" t="s">
        <v>2350</v>
      </c>
      <c r="C579" s="6">
        <v>44774</v>
      </c>
      <c r="D579" t="str">
        <f t="shared" ref="D579:D642" si="36">TEXT(C579,"Mmm")</f>
        <v>Aug</v>
      </c>
      <c r="E579" t="str">
        <f t="shared" ref="E579:E642" si="37">TEXT(C579,"YYYY")</f>
        <v>2022</v>
      </c>
      <c r="F579" t="s">
        <v>3</v>
      </c>
      <c r="G579" t="s">
        <v>235</v>
      </c>
      <c r="H579" t="s">
        <v>1050</v>
      </c>
      <c r="I579">
        <v>120</v>
      </c>
      <c r="J579">
        <v>26</v>
      </c>
      <c r="K579">
        <f t="shared" ref="K579:K642" si="38">(J579/I579)*100</f>
        <v>21.666666666666668</v>
      </c>
      <c r="L579" t="s">
        <v>1740</v>
      </c>
      <c r="M579" t="s">
        <v>3686</v>
      </c>
      <c r="N579" t="s">
        <v>1</v>
      </c>
      <c r="O579">
        <v>181131</v>
      </c>
      <c r="P579" t="s">
        <v>546</v>
      </c>
      <c r="Q579" t="s">
        <v>1754</v>
      </c>
      <c r="S579">
        <v>7.3</v>
      </c>
      <c r="T579">
        <v>2</v>
      </c>
      <c r="U579">
        <v>0</v>
      </c>
      <c r="V579">
        <v>2.19</v>
      </c>
      <c r="W579">
        <f t="shared" ref="W579:W642" si="39">(S579-V579)/T579</f>
        <v>2.5549999999999997</v>
      </c>
      <c r="X579">
        <v>1</v>
      </c>
    </row>
    <row r="580" spans="1:24" x14ac:dyDescent="0.3">
      <c r="A580">
        <v>579</v>
      </c>
      <c r="B580" t="s">
        <v>2351</v>
      </c>
      <c r="C580" s="6">
        <v>44775</v>
      </c>
      <c r="D580" t="str">
        <f t="shared" si="36"/>
        <v>Aug</v>
      </c>
      <c r="E580" t="str">
        <f t="shared" si="37"/>
        <v>2022</v>
      </c>
      <c r="F580" t="s">
        <v>4</v>
      </c>
      <c r="G580" t="s">
        <v>236</v>
      </c>
      <c r="H580" t="s">
        <v>670</v>
      </c>
      <c r="I580">
        <v>150</v>
      </c>
      <c r="J580">
        <v>24</v>
      </c>
      <c r="K580">
        <f t="shared" si="38"/>
        <v>16</v>
      </c>
      <c r="L580" t="s">
        <v>1742</v>
      </c>
      <c r="M580" t="s">
        <v>3687</v>
      </c>
      <c r="N580" t="s">
        <v>1</v>
      </c>
      <c r="O580">
        <v>831004</v>
      </c>
      <c r="P580" t="s">
        <v>546</v>
      </c>
      <c r="Q580" t="s">
        <v>1758</v>
      </c>
      <c r="S580">
        <v>69.712000000000003</v>
      </c>
      <c r="T580">
        <v>2</v>
      </c>
      <c r="U580">
        <v>0.2</v>
      </c>
      <c r="V580">
        <v>8.7140000000000004</v>
      </c>
      <c r="W580">
        <f t="shared" si="39"/>
        <v>30.499000000000002</v>
      </c>
      <c r="X580">
        <v>3</v>
      </c>
    </row>
    <row r="581" spans="1:24" x14ac:dyDescent="0.3">
      <c r="A581">
        <v>580</v>
      </c>
      <c r="B581" t="s">
        <v>2352</v>
      </c>
      <c r="C581" s="6">
        <v>44776</v>
      </c>
      <c r="D581" t="str">
        <f t="shared" si="36"/>
        <v>Aug</v>
      </c>
      <c r="E581" t="str">
        <f t="shared" si="37"/>
        <v>2022</v>
      </c>
      <c r="F581" t="s">
        <v>4</v>
      </c>
      <c r="G581" t="s">
        <v>236</v>
      </c>
      <c r="H581" t="s">
        <v>1051</v>
      </c>
      <c r="I581">
        <v>150</v>
      </c>
      <c r="J581">
        <v>12</v>
      </c>
      <c r="K581">
        <f t="shared" si="38"/>
        <v>8</v>
      </c>
      <c r="L581" t="s">
        <v>1739</v>
      </c>
      <c r="M581" t="s">
        <v>3688</v>
      </c>
      <c r="N581" t="s">
        <v>1</v>
      </c>
      <c r="O581">
        <v>600106</v>
      </c>
      <c r="P581" t="s">
        <v>546</v>
      </c>
      <c r="Q581" t="s">
        <v>1758</v>
      </c>
      <c r="S581">
        <v>8.7919999999999998</v>
      </c>
      <c r="T581">
        <v>1</v>
      </c>
      <c r="U581">
        <v>0.6</v>
      </c>
      <c r="V581">
        <v>-5.7148000000000003</v>
      </c>
      <c r="W581">
        <f t="shared" si="39"/>
        <v>14.5068</v>
      </c>
      <c r="X581">
        <v>3</v>
      </c>
    </row>
    <row r="582" spans="1:24" x14ac:dyDescent="0.3">
      <c r="A582">
        <v>581</v>
      </c>
      <c r="B582" t="s">
        <v>2353</v>
      </c>
      <c r="C582" s="6">
        <v>44777</v>
      </c>
      <c r="D582" t="str">
        <f t="shared" si="36"/>
        <v>Aug</v>
      </c>
      <c r="E582" t="str">
        <f t="shared" si="37"/>
        <v>2022</v>
      </c>
      <c r="F582" t="s">
        <v>4</v>
      </c>
      <c r="G582" t="s">
        <v>237</v>
      </c>
      <c r="H582" t="s">
        <v>1052</v>
      </c>
      <c r="I582">
        <v>250</v>
      </c>
      <c r="J582">
        <v>26</v>
      </c>
      <c r="K582">
        <f t="shared" si="38"/>
        <v>10.4</v>
      </c>
      <c r="L582" t="s">
        <v>1738</v>
      </c>
      <c r="M582" t="s">
        <v>3689</v>
      </c>
      <c r="N582" t="s">
        <v>1</v>
      </c>
      <c r="O582">
        <v>831004</v>
      </c>
      <c r="P582" t="s">
        <v>546</v>
      </c>
      <c r="Q582" t="s">
        <v>1768</v>
      </c>
      <c r="S582">
        <v>51.52</v>
      </c>
      <c r="T582">
        <v>4</v>
      </c>
      <c r="U582">
        <v>0</v>
      </c>
      <c r="V582">
        <v>1.5456000000000001</v>
      </c>
      <c r="W582">
        <f t="shared" si="39"/>
        <v>12.493600000000001</v>
      </c>
      <c r="X582">
        <v>5</v>
      </c>
    </row>
    <row r="583" spans="1:24" x14ac:dyDescent="0.3">
      <c r="A583">
        <v>582</v>
      </c>
      <c r="B583" t="s">
        <v>2354</v>
      </c>
      <c r="C583" s="6">
        <v>44778</v>
      </c>
      <c r="D583" t="str">
        <f t="shared" si="36"/>
        <v>Aug</v>
      </c>
      <c r="E583" t="str">
        <f t="shared" si="37"/>
        <v>2022</v>
      </c>
      <c r="F583" t="s">
        <v>4</v>
      </c>
      <c r="G583" t="s">
        <v>238</v>
      </c>
      <c r="H583" t="s">
        <v>581</v>
      </c>
      <c r="I583">
        <v>230</v>
      </c>
      <c r="J583">
        <v>12</v>
      </c>
      <c r="K583">
        <f t="shared" si="38"/>
        <v>5.2173913043478262</v>
      </c>
      <c r="L583" t="s">
        <v>1743</v>
      </c>
      <c r="M583" t="s">
        <v>3690</v>
      </c>
      <c r="N583" t="s">
        <v>1</v>
      </c>
      <c r="O583">
        <v>226003</v>
      </c>
      <c r="P583" t="s">
        <v>546</v>
      </c>
      <c r="Q583" t="s">
        <v>1766</v>
      </c>
      <c r="S583">
        <v>470.37599999999998</v>
      </c>
      <c r="T583">
        <v>3</v>
      </c>
      <c r="U583">
        <v>0.2</v>
      </c>
      <c r="V583">
        <v>52.917299999999997</v>
      </c>
      <c r="W583">
        <f t="shared" si="39"/>
        <v>139.15289999999999</v>
      </c>
      <c r="X583">
        <v>5</v>
      </c>
    </row>
    <row r="584" spans="1:24" x14ac:dyDescent="0.3">
      <c r="A584">
        <v>583</v>
      </c>
      <c r="B584" t="s">
        <v>2355</v>
      </c>
      <c r="C584" s="6">
        <v>44779</v>
      </c>
      <c r="D584" t="str">
        <f t="shared" si="36"/>
        <v>Aug</v>
      </c>
      <c r="E584" t="str">
        <f t="shared" si="37"/>
        <v>2022</v>
      </c>
      <c r="F584" t="s">
        <v>4</v>
      </c>
      <c r="G584" t="s">
        <v>238</v>
      </c>
      <c r="H584" t="s">
        <v>1053</v>
      </c>
      <c r="I584">
        <v>190</v>
      </c>
      <c r="J584">
        <v>28</v>
      </c>
      <c r="K584">
        <f t="shared" si="38"/>
        <v>14.736842105263156</v>
      </c>
      <c r="L584" t="s">
        <v>1737</v>
      </c>
      <c r="M584" t="s">
        <v>3691</v>
      </c>
      <c r="N584" t="s">
        <v>1</v>
      </c>
      <c r="O584">
        <v>627358</v>
      </c>
      <c r="P584" t="s">
        <v>546</v>
      </c>
      <c r="Q584" t="s">
        <v>1759</v>
      </c>
      <c r="S584">
        <v>105.584</v>
      </c>
      <c r="T584">
        <v>2</v>
      </c>
      <c r="U584">
        <v>0.2</v>
      </c>
      <c r="V584">
        <v>9.2385999999999999</v>
      </c>
      <c r="W584">
        <f t="shared" si="39"/>
        <v>48.172699999999999</v>
      </c>
      <c r="X584">
        <v>5</v>
      </c>
    </row>
    <row r="585" spans="1:24" x14ac:dyDescent="0.3">
      <c r="A585">
        <v>584</v>
      </c>
      <c r="B585" t="s">
        <v>2356</v>
      </c>
      <c r="C585" s="6">
        <v>44780</v>
      </c>
      <c r="D585" t="str">
        <f t="shared" si="36"/>
        <v>Aug</v>
      </c>
      <c r="E585" t="str">
        <f t="shared" si="37"/>
        <v>2022</v>
      </c>
      <c r="F585" t="s">
        <v>4</v>
      </c>
      <c r="G585" t="s">
        <v>238</v>
      </c>
      <c r="H585" t="s">
        <v>642</v>
      </c>
      <c r="I585">
        <v>120</v>
      </c>
      <c r="J585">
        <v>6</v>
      </c>
      <c r="K585">
        <f t="shared" si="38"/>
        <v>5</v>
      </c>
      <c r="L585" t="s">
        <v>1741</v>
      </c>
      <c r="M585" t="s">
        <v>3692</v>
      </c>
      <c r="N585" t="s">
        <v>1</v>
      </c>
      <c r="O585">
        <v>400091</v>
      </c>
      <c r="P585" t="s">
        <v>546</v>
      </c>
      <c r="Q585" t="s">
        <v>1755</v>
      </c>
      <c r="R585" t="s">
        <v>2</v>
      </c>
      <c r="S585">
        <v>31.152000000000001</v>
      </c>
      <c r="T585">
        <v>3</v>
      </c>
      <c r="U585">
        <v>0.2</v>
      </c>
      <c r="V585">
        <v>3.5045999999999999</v>
      </c>
      <c r="W585">
        <f t="shared" si="39"/>
        <v>9.2157999999999998</v>
      </c>
      <c r="X585">
        <v>5</v>
      </c>
    </row>
    <row r="586" spans="1:24" x14ac:dyDescent="0.3">
      <c r="A586">
        <v>585</v>
      </c>
      <c r="B586" t="s">
        <v>2357</v>
      </c>
      <c r="C586" s="6">
        <v>44781</v>
      </c>
      <c r="D586" t="str">
        <f t="shared" si="36"/>
        <v>Aug</v>
      </c>
      <c r="E586" t="str">
        <f t="shared" si="37"/>
        <v>2022</v>
      </c>
      <c r="F586" t="s">
        <v>4</v>
      </c>
      <c r="G586" t="s">
        <v>238</v>
      </c>
      <c r="H586" t="s">
        <v>1054</v>
      </c>
      <c r="I586">
        <v>110</v>
      </c>
      <c r="J586">
        <v>22</v>
      </c>
      <c r="K586">
        <f t="shared" si="38"/>
        <v>20</v>
      </c>
      <c r="L586" t="s">
        <v>1736</v>
      </c>
      <c r="M586" t="s">
        <v>3693</v>
      </c>
      <c r="N586" t="s">
        <v>1</v>
      </c>
      <c r="O586">
        <v>831004</v>
      </c>
      <c r="P586" t="s">
        <v>546</v>
      </c>
      <c r="Q586" t="s">
        <v>1764</v>
      </c>
      <c r="S586">
        <v>6.7830000000000004</v>
      </c>
      <c r="T586">
        <v>7</v>
      </c>
      <c r="U586">
        <v>0.7</v>
      </c>
      <c r="V586">
        <v>-4.7481</v>
      </c>
      <c r="W586">
        <f t="shared" si="39"/>
        <v>1.6473</v>
      </c>
      <c r="X586">
        <v>5</v>
      </c>
    </row>
    <row r="587" spans="1:24" x14ac:dyDescent="0.3">
      <c r="A587">
        <v>586</v>
      </c>
      <c r="B587" t="s">
        <v>2358</v>
      </c>
      <c r="C587" s="6">
        <v>44782</v>
      </c>
      <c r="D587" t="str">
        <f t="shared" si="36"/>
        <v>Aug</v>
      </c>
      <c r="E587" t="str">
        <f t="shared" si="37"/>
        <v>2022</v>
      </c>
      <c r="F587" t="s">
        <v>4</v>
      </c>
      <c r="G587" t="s">
        <v>238</v>
      </c>
      <c r="H587" t="s">
        <v>690</v>
      </c>
      <c r="I587">
        <v>110</v>
      </c>
      <c r="J587">
        <v>18</v>
      </c>
      <c r="K587">
        <f t="shared" si="38"/>
        <v>16.363636363636363</v>
      </c>
      <c r="L587" t="s">
        <v>1744</v>
      </c>
      <c r="M587" t="s">
        <v>3694</v>
      </c>
      <c r="O587">
        <v>249201</v>
      </c>
      <c r="P587" t="s">
        <v>546</v>
      </c>
      <c r="Q587" t="s">
        <v>1763</v>
      </c>
      <c r="S587">
        <v>406.36799999999999</v>
      </c>
      <c r="T587">
        <v>4</v>
      </c>
      <c r="U587">
        <v>0.2</v>
      </c>
      <c r="V587">
        <v>30.477599999999999</v>
      </c>
      <c r="W587">
        <f t="shared" si="39"/>
        <v>93.9726</v>
      </c>
      <c r="X587">
        <v>1</v>
      </c>
    </row>
    <row r="588" spans="1:24" x14ac:dyDescent="0.3">
      <c r="A588">
        <v>587</v>
      </c>
      <c r="B588" t="s">
        <v>2359</v>
      </c>
      <c r="C588" s="6">
        <v>44783</v>
      </c>
      <c r="D588" t="str">
        <f t="shared" si="36"/>
        <v>Aug</v>
      </c>
      <c r="E588" t="str">
        <f t="shared" si="37"/>
        <v>2022</v>
      </c>
      <c r="F588" t="s">
        <v>4</v>
      </c>
      <c r="G588" t="s">
        <v>239</v>
      </c>
      <c r="H588" t="s">
        <v>914</v>
      </c>
      <c r="I588">
        <v>140</v>
      </c>
      <c r="J588">
        <v>8</v>
      </c>
      <c r="K588">
        <f t="shared" si="38"/>
        <v>5.7142857142857144</v>
      </c>
      <c r="L588" t="s">
        <v>1740</v>
      </c>
      <c r="M588" t="s">
        <v>3695</v>
      </c>
      <c r="O588">
        <v>249201</v>
      </c>
      <c r="P588" t="s">
        <v>546</v>
      </c>
      <c r="Q588" t="s">
        <v>1761</v>
      </c>
      <c r="S588">
        <v>70.98</v>
      </c>
      <c r="T588">
        <v>1</v>
      </c>
      <c r="U588">
        <v>0</v>
      </c>
      <c r="V588">
        <v>4.9686000000000003</v>
      </c>
      <c r="W588">
        <f t="shared" si="39"/>
        <v>66.011400000000009</v>
      </c>
      <c r="X588">
        <v>2</v>
      </c>
    </row>
    <row r="589" spans="1:24" x14ac:dyDescent="0.3">
      <c r="A589">
        <v>588</v>
      </c>
      <c r="B589" t="s">
        <v>2360</v>
      </c>
      <c r="C589" s="6">
        <v>44784</v>
      </c>
      <c r="D589" t="str">
        <f t="shared" si="36"/>
        <v>Aug</v>
      </c>
      <c r="E589" t="str">
        <f t="shared" si="37"/>
        <v>2022</v>
      </c>
      <c r="F589" t="s">
        <v>4</v>
      </c>
      <c r="G589" t="s">
        <v>239</v>
      </c>
      <c r="H589" t="s">
        <v>1055</v>
      </c>
      <c r="I589">
        <v>220</v>
      </c>
      <c r="J589">
        <v>30</v>
      </c>
      <c r="K589">
        <f t="shared" si="38"/>
        <v>13.636363636363635</v>
      </c>
      <c r="L589" t="s">
        <v>1742</v>
      </c>
      <c r="M589" t="s">
        <v>3696</v>
      </c>
      <c r="O589">
        <v>249201</v>
      </c>
      <c r="P589" t="s">
        <v>546</v>
      </c>
      <c r="Q589" t="s">
        <v>1767</v>
      </c>
      <c r="R589" t="s">
        <v>2</v>
      </c>
      <c r="S589">
        <v>294.93</v>
      </c>
      <c r="T589">
        <v>3</v>
      </c>
      <c r="U589">
        <v>0</v>
      </c>
      <c r="V589">
        <v>144.51570000000001</v>
      </c>
      <c r="W589">
        <f t="shared" si="39"/>
        <v>50.138100000000001</v>
      </c>
      <c r="X589">
        <v>5</v>
      </c>
    </row>
    <row r="590" spans="1:24" x14ac:dyDescent="0.3">
      <c r="A590">
        <v>589</v>
      </c>
      <c r="B590" t="s">
        <v>2361</v>
      </c>
      <c r="C590" s="6">
        <v>44785</v>
      </c>
      <c r="D590" t="str">
        <f t="shared" si="36"/>
        <v>Aug</v>
      </c>
      <c r="E590" t="str">
        <f t="shared" si="37"/>
        <v>2022</v>
      </c>
      <c r="F590" t="s">
        <v>4</v>
      </c>
      <c r="G590" t="s">
        <v>240</v>
      </c>
      <c r="H590" t="s">
        <v>1056</v>
      </c>
      <c r="I590">
        <v>230</v>
      </c>
      <c r="J590">
        <v>10</v>
      </c>
      <c r="K590">
        <f t="shared" si="38"/>
        <v>4.3478260869565215</v>
      </c>
      <c r="L590" t="s">
        <v>1739</v>
      </c>
      <c r="M590" t="s">
        <v>3697</v>
      </c>
      <c r="N590" t="s">
        <v>1</v>
      </c>
      <c r="O590">
        <v>396125</v>
      </c>
      <c r="P590" t="s">
        <v>546</v>
      </c>
      <c r="Q590" t="s">
        <v>1759</v>
      </c>
      <c r="S590">
        <v>84.784000000000006</v>
      </c>
      <c r="T590">
        <v>2</v>
      </c>
      <c r="U590">
        <v>0.2</v>
      </c>
      <c r="V590">
        <v>-20.136199999999999</v>
      </c>
      <c r="W590">
        <f t="shared" si="39"/>
        <v>52.460100000000004</v>
      </c>
      <c r="X590">
        <v>5</v>
      </c>
    </row>
    <row r="591" spans="1:24" x14ac:dyDescent="0.3">
      <c r="A591">
        <v>590</v>
      </c>
      <c r="B591" t="s">
        <v>2362</v>
      </c>
      <c r="C591" s="6">
        <v>44786</v>
      </c>
      <c r="D591" t="str">
        <f t="shared" si="36"/>
        <v>Aug</v>
      </c>
      <c r="E591" t="str">
        <f t="shared" si="37"/>
        <v>2022</v>
      </c>
      <c r="F591" t="s">
        <v>4</v>
      </c>
      <c r="G591" t="s">
        <v>240</v>
      </c>
      <c r="H591" t="s">
        <v>1057</v>
      </c>
      <c r="I591">
        <v>190</v>
      </c>
      <c r="J591">
        <v>12</v>
      </c>
      <c r="K591">
        <f t="shared" si="38"/>
        <v>6.3157894736842106</v>
      </c>
      <c r="L591" t="s">
        <v>1738</v>
      </c>
      <c r="M591" t="s">
        <v>3698</v>
      </c>
      <c r="N591" t="s">
        <v>1</v>
      </c>
      <c r="O591">
        <v>283202</v>
      </c>
      <c r="P591" t="s">
        <v>546</v>
      </c>
      <c r="Q591" t="s">
        <v>1770</v>
      </c>
      <c r="S591">
        <v>20.736000000000001</v>
      </c>
      <c r="T591">
        <v>4</v>
      </c>
      <c r="U591">
        <v>0.2</v>
      </c>
      <c r="V591">
        <v>7.2576000000000001</v>
      </c>
      <c r="W591">
        <f t="shared" si="39"/>
        <v>3.3696000000000002</v>
      </c>
      <c r="X591">
        <v>1</v>
      </c>
    </row>
    <row r="592" spans="1:24" x14ac:dyDescent="0.3">
      <c r="A592">
        <v>591</v>
      </c>
      <c r="B592" t="s">
        <v>2363</v>
      </c>
      <c r="C592" s="6">
        <v>44787</v>
      </c>
      <c r="D592" t="str">
        <f t="shared" si="36"/>
        <v>Aug</v>
      </c>
      <c r="E592" t="str">
        <f t="shared" si="37"/>
        <v>2022</v>
      </c>
      <c r="F592" t="s">
        <v>4</v>
      </c>
      <c r="G592" t="s">
        <v>240</v>
      </c>
      <c r="H592" t="s">
        <v>987</v>
      </c>
      <c r="I592">
        <v>210</v>
      </c>
      <c r="J592">
        <v>24</v>
      </c>
      <c r="K592">
        <f t="shared" si="38"/>
        <v>11.428571428571429</v>
      </c>
      <c r="L592" t="s">
        <v>1737</v>
      </c>
      <c r="M592" t="s">
        <v>3699</v>
      </c>
      <c r="N592" t="s">
        <v>1</v>
      </c>
      <c r="O592">
        <v>263139</v>
      </c>
      <c r="P592" t="s">
        <v>546</v>
      </c>
      <c r="Q592" t="s">
        <v>1767</v>
      </c>
      <c r="S592">
        <v>16.821000000000002</v>
      </c>
      <c r="T592">
        <v>3</v>
      </c>
      <c r="U592">
        <v>0.7</v>
      </c>
      <c r="V592">
        <v>-12.896100000000001</v>
      </c>
      <c r="W592">
        <f t="shared" si="39"/>
        <v>9.9057000000000013</v>
      </c>
      <c r="X592">
        <v>4</v>
      </c>
    </row>
    <row r="593" spans="1:24" x14ac:dyDescent="0.3">
      <c r="A593">
        <v>592</v>
      </c>
      <c r="B593" t="s">
        <v>2364</v>
      </c>
      <c r="C593" s="6">
        <v>44788</v>
      </c>
      <c r="D593" t="str">
        <f t="shared" si="36"/>
        <v>Aug</v>
      </c>
      <c r="E593" t="str">
        <f t="shared" si="37"/>
        <v>2022</v>
      </c>
      <c r="F593" t="s">
        <v>4</v>
      </c>
      <c r="G593" t="s">
        <v>240</v>
      </c>
      <c r="H593" t="s">
        <v>1058</v>
      </c>
      <c r="I593">
        <v>120</v>
      </c>
      <c r="J593">
        <v>18</v>
      </c>
      <c r="K593">
        <f t="shared" si="38"/>
        <v>15</v>
      </c>
      <c r="L593" t="s">
        <v>1743</v>
      </c>
      <c r="M593" t="s">
        <v>3700</v>
      </c>
      <c r="N593" t="s">
        <v>1</v>
      </c>
      <c r="O593">
        <v>560068</v>
      </c>
      <c r="P593" t="s">
        <v>546</v>
      </c>
      <c r="Q593" t="s">
        <v>1759</v>
      </c>
      <c r="S593">
        <v>10.368</v>
      </c>
      <c r="T593">
        <v>2</v>
      </c>
      <c r="U593">
        <v>0.2</v>
      </c>
      <c r="V593">
        <v>3.6288</v>
      </c>
      <c r="W593">
        <f t="shared" si="39"/>
        <v>3.3696000000000002</v>
      </c>
      <c r="X593">
        <v>5</v>
      </c>
    </row>
    <row r="594" spans="1:24" x14ac:dyDescent="0.3">
      <c r="A594">
        <v>593</v>
      </c>
      <c r="B594" t="s">
        <v>2365</v>
      </c>
      <c r="C594" s="6">
        <v>44789</v>
      </c>
      <c r="D594" t="str">
        <f t="shared" si="36"/>
        <v>Aug</v>
      </c>
      <c r="E594" t="str">
        <f t="shared" si="37"/>
        <v>2022</v>
      </c>
      <c r="F594" t="s">
        <v>4</v>
      </c>
      <c r="G594" t="s">
        <v>241</v>
      </c>
      <c r="H594" t="s">
        <v>1059</v>
      </c>
      <c r="I594">
        <v>160</v>
      </c>
      <c r="J594">
        <v>28</v>
      </c>
      <c r="K594">
        <f t="shared" si="38"/>
        <v>17.5</v>
      </c>
      <c r="L594" t="s">
        <v>1738</v>
      </c>
      <c r="M594" t="s">
        <v>3701</v>
      </c>
      <c r="N594" t="s">
        <v>1</v>
      </c>
      <c r="O594">
        <v>560086</v>
      </c>
      <c r="P594" t="s">
        <v>546</v>
      </c>
      <c r="Q594" t="s">
        <v>1759</v>
      </c>
      <c r="S594">
        <v>9.3439999999999994</v>
      </c>
      <c r="T594">
        <v>2</v>
      </c>
      <c r="U594">
        <v>0.2</v>
      </c>
      <c r="V594">
        <v>1.1679999999999999</v>
      </c>
      <c r="W594">
        <f t="shared" si="39"/>
        <v>4.0880000000000001</v>
      </c>
      <c r="X594">
        <v>4</v>
      </c>
    </row>
    <row r="595" spans="1:24" x14ac:dyDescent="0.3">
      <c r="A595">
        <v>594</v>
      </c>
      <c r="B595" t="s">
        <v>2366</v>
      </c>
      <c r="C595" s="6">
        <v>44790</v>
      </c>
      <c r="D595" t="str">
        <f t="shared" si="36"/>
        <v>Aug</v>
      </c>
      <c r="E595" t="str">
        <f t="shared" si="37"/>
        <v>2022</v>
      </c>
      <c r="F595" t="s">
        <v>4</v>
      </c>
      <c r="G595" t="s">
        <v>241</v>
      </c>
      <c r="H595" t="s">
        <v>744</v>
      </c>
      <c r="I595">
        <v>200</v>
      </c>
      <c r="J595">
        <v>20</v>
      </c>
      <c r="K595">
        <f t="shared" si="38"/>
        <v>10</v>
      </c>
      <c r="L595" t="s">
        <v>1739</v>
      </c>
      <c r="M595" t="s">
        <v>3617</v>
      </c>
      <c r="N595" t="s">
        <v>1</v>
      </c>
      <c r="O595">
        <v>560086</v>
      </c>
      <c r="P595" t="s">
        <v>546</v>
      </c>
      <c r="Q595" t="s">
        <v>1761</v>
      </c>
      <c r="R595" t="s">
        <v>2</v>
      </c>
      <c r="S595">
        <v>31.2</v>
      </c>
      <c r="T595">
        <v>3</v>
      </c>
      <c r="U595">
        <v>0.2</v>
      </c>
      <c r="V595">
        <v>9.75</v>
      </c>
      <c r="W595">
        <f t="shared" si="39"/>
        <v>7.1499999999999995</v>
      </c>
      <c r="X595">
        <v>2</v>
      </c>
    </row>
    <row r="596" spans="1:24" x14ac:dyDescent="0.3">
      <c r="A596">
        <v>595</v>
      </c>
      <c r="B596" t="s">
        <v>2367</v>
      </c>
      <c r="C596" s="6">
        <v>44791</v>
      </c>
      <c r="D596" t="str">
        <f t="shared" si="36"/>
        <v>Aug</v>
      </c>
      <c r="E596" t="str">
        <f t="shared" si="37"/>
        <v>2022</v>
      </c>
      <c r="F596" t="s">
        <v>4</v>
      </c>
      <c r="G596" t="s">
        <v>242</v>
      </c>
      <c r="H596" t="s">
        <v>1060</v>
      </c>
      <c r="I596">
        <v>160</v>
      </c>
      <c r="J596">
        <v>28</v>
      </c>
      <c r="K596">
        <f t="shared" si="38"/>
        <v>17.5</v>
      </c>
      <c r="L596" t="s">
        <v>1741</v>
      </c>
      <c r="M596" t="s">
        <v>3702</v>
      </c>
      <c r="N596" t="s">
        <v>1</v>
      </c>
      <c r="O596">
        <v>201309</v>
      </c>
      <c r="P596" t="s">
        <v>546</v>
      </c>
      <c r="Q596" t="s">
        <v>1774</v>
      </c>
      <c r="S596">
        <v>76.12</v>
      </c>
      <c r="T596">
        <v>2</v>
      </c>
      <c r="U596">
        <v>0</v>
      </c>
      <c r="V596">
        <v>22.0748</v>
      </c>
      <c r="W596">
        <f t="shared" si="39"/>
        <v>27.022600000000004</v>
      </c>
      <c r="X596">
        <v>3</v>
      </c>
    </row>
    <row r="597" spans="1:24" x14ac:dyDescent="0.3">
      <c r="A597">
        <v>596</v>
      </c>
      <c r="B597" t="s">
        <v>2368</v>
      </c>
      <c r="C597" s="6">
        <v>44792</v>
      </c>
      <c r="D597" t="str">
        <f t="shared" si="36"/>
        <v>Aug</v>
      </c>
      <c r="E597" t="str">
        <f t="shared" si="37"/>
        <v>2022</v>
      </c>
      <c r="F597" t="s">
        <v>4</v>
      </c>
      <c r="G597" t="s">
        <v>242</v>
      </c>
      <c r="H597" t="s">
        <v>908</v>
      </c>
      <c r="I597">
        <v>100</v>
      </c>
      <c r="J597">
        <v>28</v>
      </c>
      <c r="K597">
        <f t="shared" si="38"/>
        <v>28.000000000000004</v>
      </c>
      <c r="L597" t="s">
        <v>1736</v>
      </c>
      <c r="M597" t="s">
        <v>3703</v>
      </c>
      <c r="N597" t="s">
        <v>1</v>
      </c>
      <c r="O597">
        <v>473335</v>
      </c>
      <c r="P597" t="s">
        <v>546</v>
      </c>
      <c r="Q597" t="s">
        <v>1762</v>
      </c>
      <c r="S597">
        <v>1199.9760000000001</v>
      </c>
      <c r="T597">
        <v>3</v>
      </c>
      <c r="U597">
        <v>0.2</v>
      </c>
      <c r="V597">
        <v>434.99130000000002</v>
      </c>
      <c r="W597">
        <f t="shared" si="39"/>
        <v>254.99490000000003</v>
      </c>
      <c r="X597">
        <v>5</v>
      </c>
    </row>
    <row r="598" spans="1:24" x14ac:dyDescent="0.3">
      <c r="A598">
        <v>597</v>
      </c>
      <c r="B598" t="s">
        <v>2369</v>
      </c>
      <c r="C598" s="6">
        <v>44793</v>
      </c>
      <c r="D598" t="str">
        <f t="shared" si="36"/>
        <v>Aug</v>
      </c>
      <c r="E598" t="str">
        <f t="shared" si="37"/>
        <v>2022</v>
      </c>
      <c r="F598" t="s">
        <v>4</v>
      </c>
      <c r="G598" t="s">
        <v>242</v>
      </c>
      <c r="H598" t="s">
        <v>835</v>
      </c>
      <c r="I598">
        <v>140</v>
      </c>
      <c r="J598">
        <v>6</v>
      </c>
      <c r="K598">
        <f t="shared" si="38"/>
        <v>4.2857142857142856</v>
      </c>
      <c r="L598" t="s">
        <v>1744</v>
      </c>
      <c r="M598" t="s">
        <v>3704</v>
      </c>
      <c r="N598" t="s">
        <v>1</v>
      </c>
      <c r="O598">
        <v>422013</v>
      </c>
      <c r="P598" t="s">
        <v>546</v>
      </c>
      <c r="Q598" t="s">
        <v>1760</v>
      </c>
      <c r="S598">
        <v>445.96</v>
      </c>
      <c r="T598">
        <v>5</v>
      </c>
      <c r="U598">
        <v>0.2</v>
      </c>
      <c r="V598">
        <v>55.744999999999997</v>
      </c>
      <c r="W598">
        <f t="shared" si="39"/>
        <v>78.042999999999992</v>
      </c>
      <c r="X598">
        <v>5</v>
      </c>
    </row>
    <row r="599" spans="1:24" x14ac:dyDescent="0.3">
      <c r="A599">
        <v>598</v>
      </c>
      <c r="B599" t="s">
        <v>2370</v>
      </c>
      <c r="C599" s="6">
        <v>44794</v>
      </c>
      <c r="D599" t="str">
        <f t="shared" si="36"/>
        <v>Aug</v>
      </c>
      <c r="E599" t="str">
        <f t="shared" si="37"/>
        <v>2022</v>
      </c>
      <c r="F599" t="s">
        <v>4</v>
      </c>
      <c r="G599" t="s">
        <v>242</v>
      </c>
      <c r="H599" t="s">
        <v>1061</v>
      </c>
      <c r="I599">
        <v>220</v>
      </c>
      <c r="J599">
        <v>26</v>
      </c>
      <c r="K599">
        <f t="shared" si="38"/>
        <v>11.818181818181818</v>
      </c>
      <c r="L599" t="s">
        <v>1740</v>
      </c>
      <c r="M599" t="s">
        <v>3705</v>
      </c>
      <c r="N599" t="s">
        <v>1</v>
      </c>
      <c r="O599">
        <v>422013</v>
      </c>
      <c r="P599" t="s">
        <v>546</v>
      </c>
      <c r="Q599" t="s">
        <v>1776</v>
      </c>
      <c r="S599">
        <v>327.76</v>
      </c>
      <c r="T599">
        <v>8</v>
      </c>
      <c r="U599">
        <v>0</v>
      </c>
      <c r="V599">
        <v>91.772800000000004</v>
      </c>
      <c r="W599">
        <f t="shared" si="39"/>
        <v>29.498399999999997</v>
      </c>
      <c r="X599">
        <v>5</v>
      </c>
    </row>
    <row r="600" spans="1:24" x14ac:dyDescent="0.3">
      <c r="A600">
        <v>599</v>
      </c>
      <c r="B600" t="s">
        <v>2371</v>
      </c>
      <c r="C600" s="6">
        <v>44795</v>
      </c>
      <c r="D600" t="str">
        <f t="shared" si="36"/>
        <v>Aug</v>
      </c>
      <c r="E600" t="str">
        <f t="shared" si="37"/>
        <v>2022</v>
      </c>
      <c r="F600" t="s">
        <v>5</v>
      </c>
      <c r="G600" t="s">
        <v>243</v>
      </c>
      <c r="H600" t="s">
        <v>1062</v>
      </c>
      <c r="I600">
        <v>240</v>
      </c>
      <c r="J600">
        <v>8</v>
      </c>
      <c r="K600">
        <f t="shared" si="38"/>
        <v>3.3333333333333335</v>
      </c>
      <c r="L600" t="s">
        <v>1742</v>
      </c>
      <c r="M600" t="s">
        <v>3706</v>
      </c>
      <c r="O600">
        <v>244001</v>
      </c>
      <c r="P600" t="s">
        <v>546</v>
      </c>
      <c r="Q600" t="s">
        <v>1761</v>
      </c>
      <c r="S600">
        <v>11.632</v>
      </c>
      <c r="T600">
        <v>2</v>
      </c>
      <c r="U600">
        <v>0.2</v>
      </c>
      <c r="V600">
        <v>1.0178</v>
      </c>
      <c r="W600">
        <f t="shared" si="39"/>
        <v>5.3071000000000002</v>
      </c>
      <c r="X600">
        <v>2</v>
      </c>
    </row>
    <row r="601" spans="1:24" x14ac:dyDescent="0.3">
      <c r="A601">
        <v>600</v>
      </c>
      <c r="B601" t="s">
        <v>2372</v>
      </c>
      <c r="C601" s="6">
        <v>44796</v>
      </c>
      <c r="D601" t="str">
        <f t="shared" si="36"/>
        <v>Aug</v>
      </c>
      <c r="E601" t="str">
        <f t="shared" si="37"/>
        <v>2022</v>
      </c>
      <c r="F601" t="s">
        <v>4</v>
      </c>
      <c r="G601" t="s">
        <v>244</v>
      </c>
      <c r="H601" t="s">
        <v>1063</v>
      </c>
      <c r="I601">
        <v>200</v>
      </c>
      <c r="J601">
        <v>24</v>
      </c>
      <c r="K601">
        <f t="shared" si="38"/>
        <v>12</v>
      </c>
      <c r="L601" t="s">
        <v>1739</v>
      </c>
      <c r="M601" t="s">
        <v>3707</v>
      </c>
      <c r="O601">
        <v>201304</v>
      </c>
      <c r="P601" t="s">
        <v>546</v>
      </c>
      <c r="Q601" t="s">
        <v>1770</v>
      </c>
      <c r="S601">
        <v>143.982</v>
      </c>
      <c r="T601">
        <v>3</v>
      </c>
      <c r="U601">
        <v>0.4</v>
      </c>
      <c r="V601">
        <v>-28.796399999999998</v>
      </c>
      <c r="W601">
        <f t="shared" si="39"/>
        <v>57.592800000000004</v>
      </c>
      <c r="X601">
        <v>4</v>
      </c>
    </row>
    <row r="602" spans="1:24" x14ac:dyDescent="0.3">
      <c r="A602">
        <v>601</v>
      </c>
      <c r="B602" t="s">
        <v>2373</v>
      </c>
      <c r="C602" s="6">
        <v>44797</v>
      </c>
      <c r="D602" t="str">
        <f t="shared" si="36"/>
        <v>Aug</v>
      </c>
      <c r="E602" t="str">
        <f t="shared" si="37"/>
        <v>2022</v>
      </c>
      <c r="F602" t="s">
        <v>4</v>
      </c>
      <c r="G602" t="s">
        <v>244</v>
      </c>
      <c r="H602" t="s">
        <v>1064</v>
      </c>
      <c r="I602">
        <v>140</v>
      </c>
      <c r="J602">
        <v>20</v>
      </c>
      <c r="K602">
        <f t="shared" si="38"/>
        <v>14.285714285714285</v>
      </c>
      <c r="L602" t="s">
        <v>1738</v>
      </c>
      <c r="M602" t="s">
        <v>3708</v>
      </c>
      <c r="N602" t="s">
        <v>1</v>
      </c>
      <c r="O602">
        <v>274602</v>
      </c>
      <c r="P602" t="s">
        <v>546</v>
      </c>
      <c r="Q602" t="s">
        <v>1756</v>
      </c>
      <c r="S602">
        <v>494.37599999999998</v>
      </c>
      <c r="T602">
        <v>4</v>
      </c>
      <c r="U602">
        <v>0.4</v>
      </c>
      <c r="V602">
        <v>-115.3544</v>
      </c>
      <c r="W602">
        <f t="shared" si="39"/>
        <v>152.43259999999998</v>
      </c>
      <c r="X602">
        <v>3</v>
      </c>
    </row>
    <row r="603" spans="1:24" x14ac:dyDescent="0.3">
      <c r="A603">
        <v>602</v>
      </c>
      <c r="B603" t="s">
        <v>2374</v>
      </c>
      <c r="C603" s="6">
        <v>44798</v>
      </c>
      <c r="D603" t="str">
        <f t="shared" si="36"/>
        <v>Aug</v>
      </c>
      <c r="E603" t="str">
        <f t="shared" si="37"/>
        <v>2022</v>
      </c>
      <c r="F603" t="s">
        <v>4</v>
      </c>
      <c r="G603" t="s">
        <v>244</v>
      </c>
      <c r="H603" t="s">
        <v>1050</v>
      </c>
      <c r="I603">
        <v>130</v>
      </c>
      <c r="J603">
        <v>16</v>
      </c>
      <c r="K603">
        <f t="shared" si="38"/>
        <v>12.307692307692308</v>
      </c>
      <c r="L603" t="s">
        <v>1743</v>
      </c>
      <c r="M603" t="s">
        <v>3709</v>
      </c>
      <c r="N603" t="s">
        <v>1</v>
      </c>
      <c r="O603">
        <v>110002</v>
      </c>
      <c r="P603" t="s">
        <v>546</v>
      </c>
      <c r="Q603" t="s">
        <v>1758</v>
      </c>
      <c r="S603">
        <v>5.84</v>
      </c>
      <c r="T603">
        <v>2</v>
      </c>
      <c r="U603">
        <v>0.2</v>
      </c>
      <c r="V603">
        <v>0.73</v>
      </c>
      <c r="W603">
        <f t="shared" si="39"/>
        <v>2.5549999999999997</v>
      </c>
      <c r="X603">
        <v>5</v>
      </c>
    </row>
    <row r="604" spans="1:24" x14ac:dyDescent="0.3">
      <c r="A604">
        <v>603</v>
      </c>
      <c r="B604" t="s">
        <v>2375</v>
      </c>
      <c r="C604" s="6">
        <v>44799</v>
      </c>
      <c r="D604" t="str">
        <f t="shared" si="36"/>
        <v>Aug</v>
      </c>
      <c r="E604" t="str">
        <f t="shared" si="37"/>
        <v>2022</v>
      </c>
      <c r="F604" t="s">
        <v>4</v>
      </c>
      <c r="G604" t="s">
        <v>245</v>
      </c>
      <c r="H604" t="s">
        <v>1065</v>
      </c>
      <c r="I604">
        <v>230</v>
      </c>
      <c r="J604">
        <v>12</v>
      </c>
      <c r="K604">
        <f t="shared" si="38"/>
        <v>5.2173913043478262</v>
      </c>
      <c r="L604" t="s">
        <v>1737</v>
      </c>
      <c r="M604" t="s">
        <v>3710</v>
      </c>
      <c r="N604" t="s">
        <v>1</v>
      </c>
      <c r="O604">
        <v>421204</v>
      </c>
      <c r="P604" t="s">
        <v>546</v>
      </c>
      <c r="Q604" t="s">
        <v>1762</v>
      </c>
      <c r="S604">
        <v>142.77600000000001</v>
      </c>
      <c r="T604">
        <v>1</v>
      </c>
      <c r="U604">
        <v>0.2</v>
      </c>
      <c r="V604">
        <v>17.847000000000001</v>
      </c>
      <c r="W604">
        <f t="shared" si="39"/>
        <v>124.929</v>
      </c>
      <c r="X604">
        <v>4</v>
      </c>
    </row>
    <row r="605" spans="1:24" x14ac:dyDescent="0.3">
      <c r="A605">
        <v>604</v>
      </c>
      <c r="B605" t="s">
        <v>2376</v>
      </c>
      <c r="C605" s="6">
        <v>44800</v>
      </c>
      <c r="D605" t="str">
        <f t="shared" si="36"/>
        <v>Aug</v>
      </c>
      <c r="E605" t="str">
        <f t="shared" si="37"/>
        <v>2022</v>
      </c>
      <c r="F605" t="s">
        <v>4</v>
      </c>
      <c r="G605" t="s">
        <v>245</v>
      </c>
      <c r="H605" t="s">
        <v>832</v>
      </c>
      <c r="I605">
        <v>220</v>
      </c>
      <c r="J605">
        <v>10</v>
      </c>
      <c r="K605">
        <f t="shared" si="38"/>
        <v>4.5454545454545459</v>
      </c>
      <c r="L605" t="s">
        <v>1741</v>
      </c>
      <c r="M605" t="s">
        <v>3711</v>
      </c>
      <c r="N605" t="s">
        <v>1</v>
      </c>
      <c r="O605">
        <v>575029</v>
      </c>
      <c r="P605" t="s">
        <v>546</v>
      </c>
      <c r="Q605" t="s">
        <v>1763</v>
      </c>
      <c r="S605">
        <v>45.695999999999998</v>
      </c>
      <c r="T605">
        <v>3</v>
      </c>
      <c r="U605">
        <v>0.2</v>
      </c>
      <c r="V605">
        <v>5.1407999999999996</v>
      </c>
      <c r="W605">
        <f t="shared" si="39"/>
        <v>13.5184</v>
      </c>
      <c r="X605">
        <v>4</v>
      </c>
    </row>
    <row r="606" spans="1:24" x14ac:dyDescent="0.3">
      <c r="A606">
        <v>605</v>
      </c>
      <c r="B606" t="s">
        <v>2377</v>
      </c>
      <c r="C606" s="6">
        <v>44801</v>
      </c>
      <c r="D606" t="str">
        <f t="shared" si="36"/>
        <v>Aug</v>
      </c>
      <c r="E606" t="str">
        <f t="shared" si="37"/>
        <v>2022</v>
      </c>
      <c r="F606" t="s">
        <v>4</v>
      </c>
      <c r="G606" t="s">
        <v>245</v>
      </c>
      <c r="H606" t="s">
        <v>932</v>
      </c>
      <c r="I606">
        <v>250</v>
      </c>
      <c r="J606">
        <v>30</v>
      </c>
      <c r="K606">
        <f t="shared" si="38"/>
        <v>12</v>
      </c>
      <c r="L606" t="s">
        <v>1736</v>
      </c>
      <c r="M606" t="s">
        <v>3712</v>
      </c>
      <c r="N606" t="s">
        <v>1</v>
      </c>
      <c r="O606">
        <v>110005</v>
      </c>
      <c r="P606" t="s">
        <v>546</v>
      </c>
      <c r="Q606" t="s">
        <v>1758</v>
      </c>
      <c r="S606">
        <v>7.218</v>
      </c>
      <c r="T606">
        <v>3</v>
      </c>
      <c r="U606">
        <v>0.7</v>
      </c>
      <c r="V606">
        <v>-5.5338000000000003</v>
      </c>
      <c r="W606">
        <f t="shared" si="39"/>
        <v>4.2505999999999995</v>
      </c>
      <c r="X606">
        <v>4</v>
      </c>
    </row>
    <row r="607" spans="1:24" x14ac:dyDescent="0.3">
      <c r="A607">
        <v>606</v>
      </c>
      <c r="B607" t="s">
        <v>2378</v>
      </c>
      <c r="C607" s="6">
        <v>44802</v>
      </c>
      <c r="D607" t="str">
        <f t="shared" si="36"/>
        <v>Aug</v>
      </c>
      <c r="E607" t="str">
        <f t="shared" si="37"/>
        <v>2022</v>
      </c>
      <c r="F607" t="s">
        <v>4</v>
      </c>
      <c r="G607" t="s">
        <v>245</v>
      </c>
      <c r="H607" t="s">
        <v>926</v>
      </c>
      <c r="I607">
        <v>230</v>
      </c>
      <c r="J607">
        <v>26</v>
      </c>
      <c r="K607">
        <f t="shared" si="38"/>
        <v>11.304347826086957</v>
      </c>
      <c r="L607" t="s">
        <v>1744</v>
      </c>
      <c r="M607" t="s">
        <v>3713</v>
      </c>
      <c r="N607" t="s">
        <v>1</v>
      </c>
      <c r="O607">
        <v>208001</v>
      </c>
      <c r="P607" t="s">
        <v>546</v>
      </c>
      <c r="Q607" t="s">
        <v>1760</v>
      </c>
      <c r="R607" t="s">
        <v>2</v>
      </c>
      <c r="S607">
        <v>43.188000000000002</v>
      </c>
      <c r="T607">
        <v>4</v>
      </c>
      <c r="U607">
        <v>0.7</v>
      </c>
      <c r="V607">
        <v>-31.671199999999999</v>
      </c>
      <c r="W607">
        <f t="shared" si="39"/>
        <v>18.7148</v>
      </c>
      <c r="X607">
        <v>1</v>
      </c>
    </row>
    <row r="608" spans="1:24" x14ac:dyDescent="0.3">
      <c r="A608">
        <v>607</v>
      </c>
      <c r="B608" t="s">
        <v>2379</v>
      </c>
      <c r="C608" s="6">
        <v>44803</v>
      </c>
      <c r="D608" t="str">
        <f t="shared" si="36"/>
        <v>Aug</v>
      </c>
      <c r="E608" t="str">
        <f t="shared" si="37"/>
        <v>2022</v>
      </c>
      <c r="F608" t="s">
        <v>4</v>
      </c>
      <c r="G608" t="s">
        <v>245</v>
      </c>
      <c r="H608" t="s">
        <v>1066</v>
      </c>
      <c r="I608">
        <v>100</v>
      </c>
      <c r="J608">
        <v>22</v>
      </c>
      <c r="K608">
        <f t="shared" si="38"/>
        <v>22</v>
      </c>
      <c r="L608" t="s">
        <v>1740</v>
      </c>
      <c r="M608" t="s">
        <v>3714</v>
      </c>
      <c r="N608" t="s">
        <v>1</v>
      </c>
      <c r="O608">
        <v>110062</v>
      </c>
      <c r="P608" t="s">
        <v>546</v>
      </c>
      <c r="Q608" t="s">
        <v>1761</v>
      </c>
      <c r="R608" t="s">
        <v>2</v>
      </c>
      <c r="S608">
        <v>131.904</v>
      </c>
      <c r="T608">
        <v>3</v>
      </c>
      <c r="U608">
        <v>0.2</v>
      </c>
      <c r="V608">
        <v>47.815199999999997</v>
      </c>
      <c r="W608">
        <f t="shared" si="39"/>
        <v>28.029599999999999</v>
      </c>
      <c r="X608">
        <v>4</v>
      </c>
    </row>
    <row r="609" spans="1:24" x14ac:dyDescent="0.3">
      <c r="A609">
        <v>608</v>
      </c>
      <c r="B609" t="s">
        <v>2380</v>
      </c>
      <c r="C609" s="6">
        <v>44804</v>
      </c>
      <c r="D609" t="str">
        <f t="shared" si="36"/>
        <v>Aug</v>
      </c>
      <c r="E609" t="str">
        <f t="shared" si="37"/>
        <v>2022</v>
      </c>
      <c r="F609" t="s">
        <v>4</v>
      </c>
      <c r="G609" t="s">
        <v>246</v>
      </c>
      <c r="H609" t="s">
        <v>1067</v>
      </c>
      <c r="I609">
        <v>190</v>
      </c>
      <c r="J609">
        <v>20</v>
      </c>
      <c r="K609">
        <f t="shared" si="38"/>
        <v>10.526315789473683</v>
      </c>
      <c r="L609" t="s">
        <v>1742</v>
      </c>
      <c r="M609" t="s">
        <v>3715</v>
      </c>
      <c r="N609" t="s">
        <v>1</v>
      </c>
      <c r="O609">
        <v>401107</v>
      </c>
      <c r="P609" t="s">
        <v>546</v>
      </c>
      <c r="Q609" t="s">
        <v>1775</v>
      </c>
      <c r="S609">
        <v>3.282</v>
      </c>
      <c r="T609">
        <v>2</v>
      </c>
      <c r="U609">
        <v>0.7</v>
      </c>
      <c r="V609">
        <v>-2.6255999999999999</v>
      </c>
      <c r="W609">
        <f t="shared" si="39"/>
        <v>2.9538000000000002</v>
      </c>
      <c r="X609">
        <v>4</v>
      </c>
    </row>
    <row r="610" spans="1:24" x14ac:dyDescent="0.3">
      <c r="A610">
        <v>609</v>
      </c>
      <c r="B610" t="s">
        <v>2381</v>
      </c>
      <c r="C610" s="6">
        <v>44805</v>
      </c>
      <c r="D610" t="str">
        <f t="shared" si="36"/>
        <v>Sep</v>
      </c>
      <c r="E610" t="str">
        <f t="shared" si="37"/>
        <v>2022</v>
      </c>
      <c r="F610" t="s">
        <v>4</v>
      </c>
      <c r="G610" t="s">
        <v>246</v>
      </c>
      <c r="H610" t="s">
        <v>1001</v>
      </c>
      <c r="I610">
        <v>230</v>
      </c>
      <c r="J610">
        <v>22</v>
      </c>
      <c r="K610">
        <f t="shared" si="38"/>
        <v>9.5652173913043477</v>
      </c>
      <c r="L610" t="s">
        <v>1739</v>
      </c>
      <c r="M610" t="s">
        <v>3600</v>
      </c>
      <c r="N610" t="s">
        <v>1</v>
      </c>
      <c r="O610">
        <v>122017</v>
      </c>
      <c r="P610" t="s">
        <v>546</v>
      </c>
      <c r="Q610" t="s">
        <v>1758</v>
      </c>
      <c r="S610">
        <v>21.167999999999999</v>
      </c>
      <c r="T610">
        <v>9</v>
      </c>
      <c r="U610">
        <v>0.2</v>
      </c>
      <c r="V610">
        <v>2.3814000000000002</v>
      </c>
      <c r="W610">
        <f t="shared" si="39"/>
        <v>2.0874000000000001</v>
      </c>
      <c r="X610">
        <v>3</v>
      </c>
    </row>
    <row r="611" spans="1:24" x14ac:dyDescent="0.3">
      <c r="A611">
        <v>610</v>
      </c>
      <c r="B611" t="s">
        <v>2382</v>
      </c>
      <c r="C611" s="6">
        <v>44806</v>
      </c>
      <c r="D611" t="str">
        <f t="shared" si="36"/>
        <v>Sep</v>
      </c>
      <c r="E611" t="str">
        <f t="shared" si="37"/>
        <v>2022</v>
      </c>
      <c r="F611" t="s">
        <v>4</v>
      </c>
      <c r="G611" t="s">
        <v>246</v>
      </c>
      <c r="H611" t="s">
        <v>1068</v>
      </c>
      <c r="I611">
        <v>210</v>
      </c>
      <c r="J611">
        <v>14</v>
      </c>
      <c r="K611">
        <f t="shared" si="38"/>
        <v>6.666666666666667</v>
      </c>
      <c r="L611" t="s">
        <v>1738</v>
      </c>
      <c r="M611" t="s">
        <v>3716</v>
      </c>
      <c r="N611" t="s">
        <v>1</v>
      </c>
      <c r="O611">
        <v>302019</v>
      </c>
      <c r="P611" t="s">
        <v>546</v>
      </c>
      <c r="Q611" t="s">
        <v>1761</v>
      </c>
      <c r="R611" t="s">
        <v>2</v>
      </c>
      <c r="S611">
        <v>55.188000000000002</v>
      </c>
      <c r="T611">
        <v>2</v>
      </c>
      <c r="U611">
        <v>0.4</v>
      </c>
      <c r="V611">
        <v>-10.117800000000001</v>
      </c>
      <c r="W611">
        <f t="shared" si="39"/>
        <v>32.652900000000002</v>
      </c>
      <c r="X611">
        <v>5</v>
      </c>
    </row>
    <row r="612" spans="1:24" x14ac:dyDescent="0.3">
      <c r="A612">
        <v>611</v>
      </c>
      <c r="B612" t="s">
        <v>2383</v>
      </c>
      <c r="C612" s="6">
        <v>44807</v>
      </c>
      <c r="D612" t="str">
        <f t="shared" si="36"/>
        <v>Sep</v>
      </c>
      <c r="E612" t="str">
        <f t="shared" si="37"/>
        <v>2022</v>
      </c>
      <c r="F612" t="s">
        <v>5</v>
      </c>
      <c r="G612" t="s">
        <v>247</v>
      </c>
      <c r="H612" t="s">
        <v>895</v>
      </c>
      <c r="I612">
        <v>150</v>
      </c>
      <c r="J612">
        <v>24</v>
      </c>
      <c r="K612">
        <f t="shared" si="38"/>
        <v>16</v>
      </c>
      <c r="L612" t="s">
        <v>1741</v>
      </c>
      <c r="M612" t="s">
        <v>3717</v>
      </c>
      <c r="N612" t="s">
        <v>1</v>
      </c>
      <c r="O612">
        <v>400069</v>
      </c>
      <c r="P612" t="s">
        <v>546</v>
      </c>
      <c r="Q612" t="s">
        <v>1767</v>
      </c>
      <c r="S612">
        <v>369.57600000000002</v>
      </c>
      <c r="T612">
        <v>3</v>
      </c>
      <c r="U612">
        <v>0.2</v>
      </c>
      <c r="V612">
        <v>41.577300000000001</v>
      </c>
      <c r="W612">
        <f t="shared" si="39"/>
        <v>109.33290000000001</v>
      </c>
      <c r="X612">
        <v>3</v>
      </c>
    </row>
    <row r="613" spans="1:24" x14ac:dyDescent="0.3">
      <c r="A613">
        <v>612</v>
      </c>
      <c r="B613" t="s">
        <v>2384</v>
      </c>
      <c r="C613" s="6">
        <v>44808</v>
      </c>
      <c r="D613" t="str">
        <f t="shared" si="36"/>
        <v>Sep</v>
      </c>
      <c r="E613" t="str">
        <f t="shared" si="37"/>
        <v>2022</v>
      </c>
      <c r="F613" t="s">
        <v>5</v>
      </c>
      <c r="G613" t="s">
        <v>247</v>
      </c>
      <c r="H613" t="s">
        <v>1069</v>
      </c>
      <c r="I613">
        <v>210</v>
      </c>
      <c r="J613">
        <v>16</v>
      </c>
      <c r="K613">
        <f t="shared" si="38"/>
        <v>7.6190476190476195</v>
      </c>
      <c r="L613" t="s">
        <v>1737</v>
      </c>
      <c r="M613" t="s">
        <v>3718</v>
      </c>
      <c r="N613" t="s">
        <v>1</v>
      </c>
      <c r="O613">
        <v>530026</v>
      </c>
      <c r="P613" t="s">
        <v>546</v>
      </c>
      <c r="Q613" t="s">
        <v>1754</v>
      </c>
      <c r="S613">
        <v>15.712</v>
      </c>
      <c r="T613">
        <v>4</v>
      </c>
      <c r="U613">
        <v>0.2</v>
      </c>
      <c r="V613">
        <v>5.6955999999999998</v>
      </c>
      <c r="W613">
        <f t="shared" si="39"/>
        <v>2.5041000000000002</v>
      </c>
      <c r="X613">
        <v>4</v>
      </c>
    </row>
    <row r="614" spans="1:24" x14ac:dyDescent="0.3">
      <c r="A614">
        <v>613</v>
      </c>
      <c r="B614" t="s">
        <v>2385</v>
      </c>
      <c r="C614" s="6">
        <v>44809</v>
      </c>
      <c r="D614" t="str">
        <f t="shared" si="36"/>
        <v>Sep</v>
      </c>
      <c r="E614" t="str">
        <f t="shared" si="37"/>
        <v>2022</v>
      </c>
      <c r="F614" t="s">
        <v>3</v>
      </c>
      <c r="G614" t="s">
        <v>248</v>
      </c>
      <c r="H614" t="s">
        <v>1070</v>
      </c>
      <c r="I614">
        <v>160</v>
      </c>
      <c r="J614">
        <v>8</v>
      </c>
      <c r="K614">
        <f t="shared" si="38"/>
        <v>5</v>
      </c>
      <c r="L614" t="s">
        <v>1743</v>
      </c>
      <c r="M614" t="s">
        <v>3719</v>
      </c>
      <c r="N614" t="s">
        <v>1</v>
      </c>
      <c r="O614">
        <v>831009</v>
      </c>
      <c r="P614" t="s">
        <v>546</v>
      </c>
      <c r="Q614" t="s">
        <v>1755</v>
      </c>
      <c r="S614">
        <v>8.4480000000000004</v>
      </c>
      <c r="T614">
        <v>2</v>
      </c>
      <c r="U614">
        <v>0.2</v>
      </c>
      <c r="V614">
        <v>2.64</v>
      </c>
      <c r="W614">
        <f t="shared" si="39"/>
        <v>2.9039999999999999</v>
      </c>
      <c r="X614">
        <v>2</v>
      </c>
    </row>
    <row r="615" spans="1:24" x14ac:dyDescent="0.3">
      <c r="A615">
        <v>614</v>
      </c>
      <c r="B615" t="s">
        <v>2386</v>
      </c>
      <c r="C615" s="6">
        <v>44810</v>
      </c>
      <c r="D615" t="str">
        <f t="shared" si="36"/>
        <v>Sep</v>
      </c>
      <c r="E615" t="str">
        <f t="shared" si="37"/>
        <v>2022</v>
      </c>
      <c r="F615" t="s">
        <v>3</v>
      </c>
      <c r="G615" t="s">
        <v>248</v>
      </c>
      <c r="H615" t="s">
        <v>1071</v>
      </c>
      <c r="I615">
        <v>140</v>
      </c>
      <c r="J615">
        <v>28</v>
      </c>
      <c r="K615">
        <f t="shared" si="38"/>
        <v>20</v>
      </c>
      <c r="L615" t="s">
        <v>1738</v>
      </c>
      <c r="M615" t="s">
        <v>3720</v>
      </c>
      <c r="N615" t="s">
        <v>1</v>
      </c>
      <c r="O615">
        <v>400615</v>
      </c>
      <c r="P615" t="s">
        <v>546</v>
      </c>
      <c r="Q615" t="s">
        <v>1773</v>
      </c>
      <c r="R615" t="s">
        <v>2</v>
      </c>
      <c r="S615">
        <v>728.94600000000003</v>
      </c>
      <c r="T615">
        <v>9</v>
      </c>
      <c r="U615">
        <v>0.4</v>
      </c>
      <c r="V615">
        <v>-157.9383</v>
      </c>
      <c r="W615">
        <f t="shared" si="39"/>
        <v>98.542700000000011</v>
      </c>
      <c r="X615">
        <v>1</v>
      </c>
    </row>
    <row r="616" spans="1:24" x14ac:dyDescent="0.3">
      <c r="A616">
        <v>615</v>
      </c>
      <c r="B616" t="s">
        <v>2387</v>
      </c>
      <c r="C616" s="6">
        <v>44811</v>
      </c>
      <c r="D616" t="str">
        <f t="shared" si="36"/>
        <v>Sep</v>
      </c>
      <c r="E616" t="str">
        <f t="shared" si="37"/>
        <v>2022</v>
      </c>
      <c r="F616" t="s">
        <v>3</v>
      </c>
      <c r="G616" t="s">
        <v>249</v>
      </c>
      <c r="H616" t="s">
        <v>769</v>
      </c>
      <c r="I616">
        <v>160</v>
      </c>
      <c r="J616">
        <v>12</v>
      </c>
      <c r="K616">
        <f t="shared" si="38"/>
        <v>7.5</v>
      </c>
      <c r="L616" t="s">
        <v>1739</v>
      </c>
      <c r="M616" t="s">
        <v>3721</v>
      </c>
      <c r="N616" t="s">
        <v>1</v>
      </c>
      <c r="O616">
        <v>521121</v>
      </c>
      <c r="P616" t="s">
        <v>546</v>
      </c>
      <c r="Q616" t="s">
        <v>1776</v>
      </c>
      <c r="R616" t="s">
        <v>2</v>
      </c>
      <c r="S616">
        <v>119.94</v>
      </c>
      <c r="T616">
        <v>10</v>
      </c>
      <c r="U616">
        <v>0.4</v>
      </c>
      <c r="V616">
        <v>15.992000000000001</v>
      </c>
      <c r="W616">
        <f t="shared" si="39"/>
        <v>10.3948</v>
      </c>
      <c r="X616">
        <v>1</v>
      </c>
    </row>
    <row r="617" spans="1:24" x14ac:dyDescent="0.3">
      <c r="A617">
        <v>616</v>
      </c>
      <c r="B617" t="s">
        <v>2388</v>
      </c>
      <c r="C617" s="6">
        <v>44812</v>
      </c>
      <c r="D617" t="str">
        <f t="shared" si="36"/>
        <v>Sep</v>
      </c>
      <c r="E617" t="str">
        <f t="shared" si="37"/>
        <v>2022</v>
      </c>
      <c r="F617" t="s">
        <v>3</v>
      </c>
      <c r="G617" t="s">
        <v>249</v>
      </c>
      <c r="H617" t="s">
        <v>1072</v>
      </c>
      <c r="I617">
        <v>100</v>
      </c>
      <c r="J617">
        <v>30</v>
      </c>
      <c r="K617">
        <f t="shared" si="38"/>
        <v>30</v>
      </c>
      <c r="L617" t="s">
        <v>1736</v>
      </c>
      <c r="M617" t="s">
        <v>3722</v>
      </c>
      <c r="N617" t="s">
        <v>1</v>
      </c>
      <c r="O617">
        <v>201301</v>
      </c>
      <c r="P617" t="s">
        <v>546</v>
      </c>
      <c r="Q617" t="s">
        <v>1763</v>
      </c>
      <c r="S617">
        <v>3.6480000000000001</v>
      </c>
      <c r="T617">
        <v>2</v>
      </c>
      <c r="U617">
        <v>0.7</v>
      </c>
      <c r="V617">
        <v>-2.7968000000000002</v>
      </c>
      <c r="W617">
        <f t="shared" si="39"/>
        <v>3.2224000000000004</v>
      </c>
      <c r="X617">
        <v>2</v>
      </c>
    </row>
    <row r="618" spans="1:24" x14ac:dyDescent="0.3">
      <c r="A618">
        <v>617</v>
      </c>
      <c r="B618" t="s">
        <v>2389</v>
      </c>
      <c r="C618" s="6">
        <v>44813</v>
      </c>
      <c r="D618" t="str">
        <f t="shared" si="36"/>
        <v>Sep</v>
      </c>
      <c r="E618" t="str">
        <f t="shared" si="37"/>
        <v>2022</v>
      </c>
      <c r="F618" t="s">
        <v>3</v>
      </c>
      <c r="G618" t="s">
        <v>250</v>
      </c>
      <c r="H618" t="s">
        <v>1073</v>
      </c>
      <c r="I618">
        <v>220</v>
      </c>
      <c r="J618">
        <v>24</v>
      </c>
      <c r="K618">
        <f t="shared" si="38"/>
        <v>10.909090909090908</v>
      </c>
      <c r="L618" t="s">
        <v>1744</v>
      </c>
      <c r="M618" t="s">
        <v>3723</v>
      </c>
      <c r="N618" t="s">
        <v>1</v>
      </c>
      <c r="O618">
        <v>201301</v>
      </c>
      <c r="P618" t="s">
        <v>546</v>
      </c>
      <c r="Q618" t="s">
        <v>1761</v>
      </c>
      <c r="S618">
        <v>40.479999999999997</v>
      </c>
      <c r="T618">
        <v>2</v>
      </c>
      <c r="U618">
        <v>0</v>
      </c>
      <c r="V618">
        <v>15.7872</v>
      </c>
      <c r="W618">
        <f t="shared" si="39"/>
        <v>12.346399999999999</v>
      </c>
      <c r="X618">
        <v>4</v>
      </c>
    </row>
    <row r="619" spans="1:24" x14ac:dyDescent="0.3">
      <c r="A619">
        <v>618</v>
      </c>
      <c r="B619" t="s">
        <v>2390</v>
      </c>
      <c r="C619" s="6">
        <v>44814</v>
      </c>
      <c r="D619" t="str">
        <f t="shared" si="36"/>
        <v>Sep</v>
      </c>
      <c r="E619" t="str">
        <f t="shared" si="37"/>
        <v>2022</v>
      </c>
      <c r="F619" t="s">
        <v>3</v>
      </c>
      <c r="G619" t="s">
        <v>250</v>
      </c>
      <c r="H619" t="s">
        <v>1074</v>
      </c>
      <c r="I619">
        <v>110</v>
      </c>
      <c r="J619">
        <v>12</v>
      </c>
      <c r="K619">
        <f t="shared" si="38"/>
        <v>10.909090909090908</v>
      </c>
      <c r="L619" t="s">
        <v>1740</v>
      </c>
      <c r="M619" t="s">
        <v>3724</v>
      </c>
      <c r="N619" t="s">
        <v>1</v>
      </c>
      <c r="O619">
        <v>201301</v>
      </c>
      <c r="P619" t="s">
        <v>546</v>
      </c>
      <c r="Q619" t="s">
        <v>1757</v>
      </c>
      <c r="R619" t="s">
        <v>2</v>
      </c>
      <c r="S619">
        <v>9.94</v>
      </c>
      <c r="T619">
        <v>2</v>
      </c>
      <c r="U619">
        <v>0</v>
      </c>
      <c r="V619">
        <v>3.0813999999999999</v>
      </c>
      <c r="W619">
        <f t="shared" si="39"/>
        <v>3.4292999999999996</v>
      </c>
      <c r="X619">
        <v>4</v>
      </c>
    </row>
    <row r="620" spans="1:24" x14ac:dyDescent="0.3">
      <c r="A620">
        <v>619</v>
      </c>
      <c r="B620" t="s">
        <v>2391</v>
      </c>
      <c r="C620" s="6">
        <v>44815</v>
      </c>
      <c r="D620" t="str">
        <f t="shared" si="36"/>
        <v>Sep</v>
      </c>
      <c r="E620" t="str">
        <f t="shared" si="37"/>
        <v>2022</v>
      </c>
      <c r="F620" t="s">
        <v>3</v>
      </c>
      <c r="G620" t="s">
        <v>250</v>
      </c>
      <c r="H620" t="s">
        <v>1075</v>
      </c>
      <c r="I620">
        <v>100</v>
      </c>
      <c r="J620">
        <v>14</v>
      </c>
      <c r="K620">
        <f t="shared" si="38"/>
        <v>14.000000000000002</v>
      </c>
      <c r="L620" t="s">
        <v>1742</v>
      </c>
      <c r="M620" t="s">
        <v>3725</v>
      </c>
      <c r="N620" t="s">
        <v>1</v>
      </c>
      <c r="O620">
        <v>201301</v>
      </c>
      <c r="P620" t="s">
        <v>546</v>
      </c>
      <c r="Q620" t="s">
        <v>1760</v>
      </c>
      <c r="R620" t="s">
        <v>2</v>
      </c>
      <c r="S620">
        <v>107.42400000000001</v>
      </c>
      <c r="T620">
        <v>9</v>
      </c>
      <c r="U620">
        <v>0.2</v>
      </c>
      <c r="V620">
        <v>33.57</v>
      </c>
      <c r="W620">
        <f t="shared" si="39"/>
        <v>8.2060000000000013</v>
      </c>
      <c r="X620">
        <v>4</v>
      </c>
    </row>
    <row r="621" spans="1:24" x14ac:dyDescent="0.3">
      <c r="A621">
        <v>620</v>
      </c>
      <c r="B621" t="s">
        <v>2392</v>
      </c>
      <c r="C621" s="6">
        <v>44816</v>
      </c>
      <c r="D621" t="str">
        <f t="shared" si="36"/>
        <v>Sep</v>
      </c>
      <c r="E621" t="str">
        <f t="shared" si="37"/>
        <v>2022</v>
      </c>
      <c r="F621" t="s">
        <v>3</v>
      </c>
      <c r="G621" t="s">
        <v>250</v>
      </c>
      <c r="H621" t="s">
        <v>1076</v>
      </c>
      <c r="I621">
        <v>110</v>
      </c>
      <c r="J621">
        <v>18</v>
      </c>
      <c r="K621">
        <f t="shared" si="38"/>
        <v>16.363636363636363</v>
      </c>
      <c r="L621" t="s">
        <v>1739</v>
      </c>
      <c r="M621" t="s">
        <v>3726</v>
      </c>
      <c r="N621" t="s">
        <v>1</v>
      </c>
      <c r="O621">
        <v>410210</v>
      </c>
      <c r="P621" t="s">
        <v>546</v>
      </c>
      <c r="Q621" t="s">
        <v>1775</v>
      </c>
      <c r="S621">
        <v>37.909999999999997</v>
      </c>
      <c r="T621">
        <v>1</v>
      </c>
      <c r="U621">
        <v>0</v>
      </c>
      <c r="V621">
        <v>10.9939</v>
      </c>
      <c r="W621">
        <f t="shared" si="39"/>
        <v>26.916099999999997</v>
      </c>
      <c r="X621">
        <v>4</v>
      </c>
    </row>
    <row r="622" spans="1:24" x14ac:dyDescent="0.3">
      <c r="A622">
        <v>621</v>
      </c>
      <c r="B622" t="s">
        <v>2393</v>
      </c>
      <c r="C622" s="6">
        <v>44817</v>
      </c>
      <c r="D622" t="str">
        <f t="shared" si="36"/>
        <v>Sep</v>
      </c>
      <c r="E622" t="str">
        <f t="shared" si="37"/>
        <v>2022</v>
      </c>
      <c r="F622" t="s">
        <v>3</v>
      </c>
      <c r="G622" t="s">
        <v>250</v>
      </c>
      <c r="H622" t="s">
        <v>685</v>
      </c>
      <c r="I622">
        <v>180</v>
      </c>
      <c r="J622">
        <v>22</v>
      </c>
      <c r="K622">
        <f t="shared" si="38"/>
        <v>12.222222222222221</v>
      </c>
      <c r="L622" t="s">
        <v>1738</v>
      </c>
      <c r="M622" t="s">
        <v>3727</v>
      </c>
      <c r="N622" t="s">
        <v>1</v>
      </c>
      <c r="O622">
        <v>501359</v>
      </c>
      <c r="P622" t="s">
        <v>546</v>
      </c>
      <c r="Q622" t="s">
        <v>1763</v>
      </c>
      <c r="S622">
        <v>88.02</v>
      </c>
      <c r="T622">
        <v>3</v>
      </c>
      <c r="U622">
        <v>0</v>
      </c>
      <c r="V622">
        <v>27.286200000000001</v>
      </c>
      <c r="W622">
        <f t="shared" si="39"/>
        <v>20.244599999999998</v>
      </c>
      <c r="X622">
        <v>4</v>
      </c>
    </row>
    <row r="623" spans="1:24" x14ac:dyDescent="0.3">
      <c r="A623">
        <v>622</v>
      </c>
      <c r="B623" t="s">
        <v>2394</v>
      </c>
      <c r="C623" s="6">
        <v>44818</v>
      </c>
      <c r="D623" t="str">
        <f t="shared" si="36"/>
        <v>Sep</v>
      </c>
      <c r="E623" t="str">
        <f t="shared" si="37"/>
        <v>2022</v>
      </c>
      <c r="F623" t="s">
        <v>4</v>
      </c>
      <c r="G623" t="s">
        <v>251</v>
      </c>
      <c r="H623" t="s">
        <v>1077</v>
      </c>
      <c r="I623">
        <v>190</v>
      </c>
      <c r="J623">
        <v>12</v>
      </c>
      <c r="K623">
        <f t="shared" si="38"/>
        <v>6.3157894736842106</v>
      </c>
      <c r="L623" t="s">
        <v>1743</v>
      </c>
      <c r="M623" t="s">
        <v>3728</v>
      </c>
      <c r="N623" t="s">
        <v>1</v>
      </c>
      <c r="O623">
        <v>501359</v>
      </c>
      <c r="P623" t="s">
        <v>546</v>
      </c>
      <c r="Q623" t="s">
        <v>1775</v>
      </c>
      <c r="S623">
        <v>8.69</v>
      </c>
      <c r="T623">
        <v>5</v>
      </c>
      <c r="U623">
        <v>0.8</v>
      </c>
      <c r="V623">
        <v>-14.773</v>
      </c>
      <c r="W623">
        <f t="shared" si="39"/>
        <v>4.6926000000000005</v>
      </c>
      <c r="X623">
        <v>2</v>
      </c>
    </row>
    <row r="624" spans="1:24" x14ac:dyDescent="0.3">
      <c r="A624">
        <v>623</v>
      </c>
      <c r="B624" t="s">
        <v>2395</v>
      </c>
      <c r="C624" s="6">
        <v>44819</v>
      </c>
      <c r="D624" t="str">
        <f t="shared" si="36"/>
        <v>Sep</v>
      </c>
      <c r="E624" t="str">
        <f t="shared" si="37"/>
        <v>2022</v>
      </c>
      <c r="F624" t="s">
        <v>4</v>
      </c>
      <c r="G624" t="s">
        <v>252</v>
      </c>
      <c r="H624" t="s">
        <v>1078</v>
      </c>
      <c r="I624">
        <v>140</v>
      </c>
      <c r="J624">
        <v>22</v>
      </c>
      <c r="K624">
        <f t="shared" si="38"/>
        <v>15.714285714285714</v>
      </c>
      <c r="L624" t="s">
        <v>1737</v>
      </c>
      <c r="M624" t="s">
        <v>3729</v>
      </c>
      <c r="N624" t="s">
        <v>1</v>
      </c>
      <c r="O624">
        <v>501359</v>
      </c>
      <c r="P624" t="s">
        <v>546</v>
      </c>
      <c r="Q624" t="s">
        <v>1766</v>
      </c>
      <c r="S624">
        <v>301.95999999999998</v>
      </c>
      <c r="T624">
        <v>2</v>
      </c>
      <c r="U624">
        <v>0</v>
      </c>
      <c r="V624">
        <v>87.568399999999997</v>
      </c>
      <c r="W624">
        <f t="shared" si="39"/>
        <v>107.19579999999999</v>
      </c>
      <c r="X624">
        <v>3</v>
      </c>
    </row>
    <row r="625" spans="1:24" x14ac:dyDescent="0.3">
      <c r="A625">
        <v>624</v>
      </c>
      <c r="B625" t="s">
        <v>2396</v>
      </c>
      <c r="C625" s="6">
        <v>44820</v>
      </c>
      <c r="D625" t="str">
        <f t="shared" si="36"/>
        <v>Sep</v>
      </c>
      <c r="E625" t="str">
        <f t="shared" si="37"/>
        <v>2022</v>
      </c>
      <c r="F625" t="s">
        <v>4</v>
      </c>
      <c r="G625" t="s">
        <v>252</v>
      </c>
      <c r="H625" t="s">
        <v>1079</v>
      </c>
      <c r="I625">
        <v>250</v>
      </c>
      <c r="J625">
        <v>10</v>
      </c>
      <c r="K625">
        <f t="shared" si="38"/>
        <v>4</v>
      </c>
      <c r="L625" t="s">
        <v>1741</v>
      </c>
      <c r="M625" t="s">
        <v>3730</v>
      </c>
      <c r="N625" t="s">
        <v>1</v>
      </c>
      <c r="O625">
        <v>500072</v>
      </c>
      <c r="P625" t="s">
        <v>546</v>
      </c>
      <c r="Q625" t="s">
        <v>1763</v>
      </c>
      <c r="S625">
        <v>555.21</v>
      </c>
      <c r="T625">
        <v>5</v>
      </c>
      <c r="U625">
        <v>0.1</v>
      </c>
      <c r="V625">
        <v>178.90100000000001</v>
      </c>
      <c r="W625">
        <f t="shared" si="39"/>
        <v>75.261800000000008</v>
      </c>
      <c r="X625">
        <v>3</v>
      </c>
    </row>
    <row r="626" spans="1:24" x14ac:dyDescent="0.3">
      <c r="A626">
        <v>625</v>
      </c>
      <c r="B626" t="s">
        <v>2397</v>
      </c>
      <c r="C626" s="6">
        <v>44821</v>
      </c>
      <c r="D626" t="str">
        <f t="shared" si="36"/>
        <v>Sep</v>
      </c>
      <c r="E626" t="str">
        <f t="shared" si="37"/>
        <v>2022</v>
      </c>
      <c r="F626" t="s">
        <v>4</v>
      </c>
      <c r="G626" t="s">
        <v>252</v>
      </c>
      <c r="H626" t="s">
        <v>1080</v>
      </c>
      <c r="I626">
        <v>190</v>
      </c>
      <c r="J626">
        <v>28</v>
      </c>
      <c r="K626">
        <f t="shared" si="38"/>
        <v>14.736842105263156</v>
      </c>
      <c r="L626" t="s">
        <v>1736</v>
      </c>
      <c r="M626" t="s">
        <v>3731</v>
      </c>
      <c r="N626" t="s">
        <v>1</v>
      </c>
      <c r="O626">
        <v>400615</v>
      </c>
      <c r="P626" t="s">
        <v>546</v>
      </c>
      <c r="Q626" t="s">
        <v>1768</v>
      </c>
      <c r="S626">
        <v>523.48</v>
      </c>
      <c r="T626">
        <v>4</v>
      </c>
      <c r="U626">
        <v>0</v>
      </c>
      <c r="V626">
        <v>130.87</v>
      </c>
      <c r="W626">
        <f t="shared" si="39"/>
        <v>98.152500000000003</v>
      </c>
      <c r="X626">
        <v>2</v>
      </c>
    </row>
    <row r="627" spans="1:24" x14ac:dyDescent="0.3">
      <c r="A627">
        <v>626</v>
      </c>
      <c r="B627" t="s">
        <v>2398</v>
      </c>
      <c r="C627" s="6">
        <v>44822</v>
      </c>
      <c r="D627" t="str">
        <f t="shared" si="36"/>
        <v>Sep</v>
      </c>
      <c r="E627" t="str">
        <f t="shared" si="37"/>
        <v>2022</v>
      </c>
      <c r="F627" t="s">
        <v>4</v>
      </c>
      <c r="G627" t="s">
        <v>252</v>
      </c>
      <c r="H627" t="s">
        <v>577</v>
      </c>
      <c r="I627">
        <v>170</v>
      </c>
      <c r="J627">
        <v>10</v>
      </c>
      <c r="K627">
        <f t="shared" si="38"/>
        <v>5.8823529411764701</v>
      </c>
      <c r="L627" t="s">
        <v>1744</v>
      </c>
      <c r="M627" t="s">
        <v>3732</v>
      </c>
      <c r="N627" t="s">
        <v>1</v>
      </c>
      <c r="O627">
        <v>600123</v>
      </c>
      <c r="P627" t="s">
        <v>546</v>
      </c>
      <c r="Q627" t="s">
        <v>1765</v>
      </c>
      <c r="S627">
        <v>161.82</v>
      </c>
      <c r="T627">
        <v>9</v>
      </c>
      <c r="U627">
        <v>0</v>
      </c>
      <c r="V627">
        <v>46.927799999999998</v>
      </c>
      <c r="W627">
        <f t="shared" si="39"/>
        <v>12.7658</v>
      </c>
      <c r="X627">
        <v>5</v>
      </c>
    </row>
    <row r="628" spans="1:24" x14ac:dyDescent="0.3">
      <c r="A628">
        <v>627</v>
      </c>
      <c r="B628" t="s">
        <v>2399</v>
      </c>
      <c r="C628" s="6">
        <v>44823</v>
      </c>
      <c r="D628" t="str">
        <f t="shared" si="36"/>
        <v>Sep</v>
      </c>
      <c r="E628" t="str">
        <f t="shared" si="37"/>
        <v>2022</v>
      </c>
      <c r="F628" t="s">
        <v>4</v>
      </c>
      <c r="G628" t="s">
        <v>253</v>
      </c>
      <c r="H628" t="s">
        <v>1081</v>
      </c>
      <c r="I628">
        <v>180</v>
      </c>
      <c r="J628">
        <v>14</v>
      </c>
      <c r="K628">
        <f t="shared" si="38"/>
        <v>7.7777777777777777</v>
      </c>
      <c r="L628" t="s">
        <v>1740</v>
      </c>
      <c r="M628" t="s">
        <v>3733</v>
      </c>
      <c r="O628">
        <v>721126</v>
      </c>
      <c r="P628" t="s">
        <v>546</v>
      </c>
      <c r="Q628" t="s">
        <v>1773</v>
      </c>
      <c r="S628">
        <v>35.56</v>
      </c>
      <c r="T628">
        <v>7</v>
      </c>
      <c r="U628">
        <v>0</v>
      </c>
      <c r="V628">
        <v>12.090400000000001</v>
      </c>
      <c r="W628">
        <f t="shared" si="39"/>
        <v>3.3527999999999998</v>
      </c>
      <c r="X628">
        <v>5</v>
      </c>
    </row>
    <row r="629" spans="1:24" x14ac:dyDescent="0.3">
      <c r="A629">
        <v>628</v>
      </c>
      <c r="B629" t="s">
        <v>2400</v>
      </c>
      <c r="C629" s="6">
        <v>44824</v>
      </c>
      <c r="D629" t="str">
        <f t="shared" si="36"/>
        <v>Sep</v>
      </c>
      <c r="E629" t="str">
        <f t="shared" si="37"/>
        <v>2022</v>
      </c>
      <c r="F629" t="s">
        <v>4</v>
      </c>
      <c r="G629" t="s">
        <v>254</v>
      </c>
      <c r="H629" t="s">
        <v>1082</v>
      </c>
      <c r="I629">
        <v>250</v>
      </c>
      <c r="J629">
        <v>20</v>
      </c>
      <c r="K629">
        <f t="shared" si="38"/>
        <v>8</v>
      </c>
      <c r="L629" t="s">
        <v>1742</v>
      </c>
      <c r="M629" t="s">
        <v>3734</v>
      </c>
      <c r="O629">
        <v>211002</v>
      </c>
      <c r="P629" t="s">
        <v>546</v>
      </c>
      <c r="Q629" t="s">
        <v>1769</v>
      </c>
      <c r="R629" t="s">
        <v>2</v>
      </c>
      <c r="S629">
        <v>97.16</v>
      </c>
      <c r="T629">
        <v>2</v>
      </c>
      <c r="U629">
        <v>0</v>
      </c>
      <c r="V629">
        <v>28.176400000000001</v>
      </c>
      <c r="W629">
        <f t="shared" si="39"/>
        <v>34.491799999999998</v>
      </c>
      <c r="X629">
        <v>4</v>
      </c>
    </row>
    <row r="630" spans="1:24" x14ac:dyDescent="0.3">
      <c r="A630">
        <v>629</v>
      </c>
      <c r="B630" t="s">
        <v>2401</v>
      </c>
      <c r="C630" s="6">
        <v>44825</v>
      </c>
      <c r="D630" t="str">
        <f t="shared" si="36"/>
        <v>Sep</v>
      </c>
      <c r="E630" t="str">
        <f t="shared" si="37"/>
        <v>2022</v>
      </c>
      <c r="F630" t="s">
        <v>4</v>
      </c>
      <c r="G630" t="s">
        <v>102</v>
      </c>
      <c r="H630" t="s">
        <v>1083</v>
      </c>
      <c r="I630">
        <v>150</v>
      </c>
      <c r="J630">
        <v>24</v>
      </c>
      <c r="K630">
        <f t="shared" si="38"/>
        <v>16</v>
      </c>
      <c r="L630" t="s">
        <v>1739</v>
      </c>
      <c r="M630" t="s">
        <v>3628</v>
      </c>
      <c r="N630" t="s">
        <v>1</v>
      </c>
      <c r="O630">
        <v>396445</v>
      </c>
      <c r="P630" t="s">
        <v>546</v>
      </c>
      <c r="Q630" t="s">
        <v>1757</v>
      </c>
      <c r="R630" t="s">
        <v>2</v>
      </c>
      <c r="S630">
        <v>15.24</v>
      </c>
      <c r="T630">
        <v>5</v>
      </c>
      <c r="U630">
        <v>0.2</v>
      </c>
      <c r="V630">
        <v>5.1435000000000004</v>
      </c>
      <c r="W630">
        <f t="shared" si="39"/>
        <v>2.0192999999999999</v>
      </c>
      <c r="X630">
        <v>2</v>
      </c>
    </row>
    <row r="631" spans="1:24" x14ac:dyDescent="0.3">
      <c r="A631">
        <v>630</v>
      </c>
      <c r="B631" t="s">
        <v>2402</v>
      </c>
      <c r="C631" s="6">
        <v>44826</v>
      </c>
      <c r="D631" t="str">
        <f t="shared" si="36"/>
        <v>Sep</v>
      </c>
      <c r="E631" t="str">
        <f t="shared" si="37"/>
        <v>2022</v>
      </c>
      <c r="F631" t="s">
        <v>4</v>
      </c>
      <c r="G631" t="s">
        <v>102</v>
      </c>
      <c r="H631" t="s">
        <v>796</v>
      </c>
      <c r="I631">
        <v>200</v>
      </c>
      <c r="J631">
        <v>26</v>
      </c>
      <c r="K631">
        <f t="shared" si="38"/>
        <v>13</v>
      </c>
      <c r="L631" t="s">
        <v>1738</v>
      </c>
      <c r="M631" t="s">
        <v>3629</v>
      </c>
      <c r="O631">
        <v>110005</v>
      </c>
      <c r="P631" t="s">
        <v>546</v>
      </c>
      <c r="Q631" t="s">
        <v>1757</v>
      </c>
      <c r="S631">
        <v>13.23</v>
      </c>
      <c r="T631">
        <v>3</v>
      </c>
      <c r="U631">
        <v>0</v>
      </c>
      <c r="V631">
        <v>6.0857999999999999</v>
      </c>
      <c r="W631">
        <f t="shared" si="39"/>
        <v>2.3814000000000002</v>
      </c>
      <c r="X631">
        <v>2</v>
      </c>
    </row>
    <row r="632" spans="1:24" x14ac:dyDescent="0.3">
      <c r="A632">
        <v>631</v>
      </c>
      <c r="B632" t="s">
        <v>2403</v>
      </c>
      <c r="C632" s="6">
        <v>44827</v>
      </c>
      <c r="D632" t="str">
        <f t="shared" si="36"/>
        <v>Sep</v>
      </c>
      <c r="E632" t="str">
        <f t="shared" si="37"/>
        <v>2022</v>
      </c>
      <c r="F632" t="s">
        <v>3</v>
      </c>
      <c r="G632" t="s">
        <v>255</v>
      </c>
      <c r="H632" t="s">
        <v>1084</v>
      </c>
      <c r="I632">
        <v>150</v>
      </c>
      <c r="J632">
        <v>26</v>
      </c>
      <c r="K632">
        <f t="shared" si="38"/>
        <v>17.333333333333336</v>
      </c>
      <c r="L632" t="s">
        <v>1737</v>
      </c>
      <c r="M632" t="s">
        <v>3735</v>
      </c>
      <c r="N632" t="s">
        <v>1</v>
      </c>
      <c r="O632">
        <v>721126</v>
      </c>
      <c r="P632" t="s">
        <v>546</v>
      </c>
      <c r="Q632" t="s">
        <v>1769</v>
      </c>
      <c r="S632">
        <v>243.38399999999999</v>
      </c>
      <c r="T632">
        <v>3</v>
      </c>
      <c r="U632">
        <v>0.2</v>
      </c>
      <c r="V632">
        <v>-51.719099999999997</v>
      </c>
      <c r="W632">
        <f t="shared" si="39"/>
        <v>98.367699999999999</v>
      </c>
      <c r="X632">
        <v>5</v>
      </c>
    </row>
    <row r="633" spans="1:24" x14ac:dyDescent="0.3">
      <c r="A633">
        <v>632</v>
      </c>
      <c r="B633" t="s">
        <v>2404</v>
      </c>
      <c r="C633" s="6">
        <v>44828</v>
      </c>
      <c r="D633" t="str">
        <f t="shared" si="36"/>
        <v>Sep</v>
      </c>
      <c r="E633" t="str">
        <f t="shared" si="37"/>
        <v>2022</v>
      </c>
      <c r="F633" t="s">
        <v>3</v>
      </c>
      <c r="G633" t="s">
        <v>255</v>
      </c>
      <c r="H633" t="s">
        <v>1085</v>
      </c>
      <c r="I633">
        <v>130</v>
      </c>
      <c r="J633">
        <v>8</v>
      </c>
      <c r="K633">
        <f t="shared" si="38"/>
        <v>6.1538461538461542</v>
      </c>
      <c r="L633" t="s">
        <v>1743</v>
      </c>
      <c r="M633" t="s">
        <v>3736</v>
      </c>
      <c r="N633" t="s">
        <v>1</v>
      </c>
      <c r="O633">
        <v>160014</v>
      </c>
      <c r="P633" t="s">
        <v>546</v>
      </c>
      <c r="Q633" t="s">
        <v>1759</v>
      </c>
      <c r="S633">
        <v>119.8</v>
      </c>
      <c r="T633">
        <v>5</v>
      </c>
      <c r="U633">
        <v>0.2</v>
      </c>
      <c r="V633">
        <v>29.95</v>
      </c>
      <c r="W633">
        <f t="shared" si="39"/>
        <v>17.97</v>
      </c>
      <c r="X633">
        <v>1</v>
      </c>
    </row>
    <row r="634" spans="1:24" x14ac:dyDescent="0.3">
      <c r="A634">
        <v>633</v>
      </c>
      <c r="B634" t="s">
        <v>2405</v>
      </c>
      <c r="C634" s="6">
        <v>44829</v>
      </c>
      <c r="D634" t="str">
        <f t="shared" si="36"/>
        <v>Sep</v>
      </c>
      <c r="E634" t="str">
        <f t="shared" si="37"/>
        <v>2022</v>
      </c>
      <c r="F634" t="s">
        <v>3</v>
      </c>
      <c r="G634" t="s">
        <v>255</v>
      </c>
      <c r="H634" t="s">
        <v>1086</v>
      </c>
      <c r="I634">
        <v>150</v>
      </c>
      <c r="J634">
        <v>8</v>
      </c>
      <c r="K634">
        <f t="shared" si="38"/>
        <v>5.3333333333333339</v>
      </c>
      <c r="L634" t="s">
        <v>1738</v>
      </c>
      <c r="M634" t="s">
        <v>3737</v>
      </c>
      <c r="N634" t="s">
        <v>1</v>
      </c>
      <c r="O634">
        <v>411045</v>
      </c>
      <c r="P634" t="s">
        <v>546</v>
      </c>
      <c r="Q634" t="s">
        <v>1761</v>
      </c>
      <c r="S634">
        <v>300.76799999999997</v>
      </c>
      <c r="T634">
        <v>4</v>
      </c>
      <c r="U634">
        <v>0.2</v>
      </c>
      <c r="V634">
        <v>30.076799999999999</v>
      </c>
      <c r="W634">
        <f t="shared" si="39"/>
        <v>67.672799999999995</v>
      </c>
      <c r="X634">
        <v>2</v>
      </c>
    </row>
    <row r="635" spans="1:24" x14ac:dyDescent="0.3">
      <c r="A635">
        <v>634</v>
      </c>
      <c r="B635" t="s">
        <v>2406</v>
      </c>
      <c r="C635" s="6">
        <v>44830</v>
      </c>
      <c r="D635" t="str">
        <f t="shared" si="36"/>
        <v>Sep</v>
      </c>
      <c r="E635" t="str">
        <f t="shared" si="37"/>
        <v>2022</v>
      </c>
      <c r="F635" t="s">
        <v>3</v>
      </c>
      <c r="G635" t="s">
        <v>212</v>
      </c>
      <c r="H635" t="s">
        <v>1087</v>
      </c>
      <c r="I635">
        <v>240</v>
      </c>
      <c r="J635">
        <v>18</v>
      </c>
      <c r="K635">
        <f t="shared" si="38"/>
        <v>7.5</v>
      </c>
      <c r="L635" t="s">
        <v>1739</v>
      </c>
      <c r="M635" t="s">
        <v>3682</v>
      </c>
      <c r="N635" t="s">
        <v>1</v>
      </c>
      <c r="O635">
        <v>402104</v>
      </c>
      <c r="P635" t="s">
        <v>546</v>
      </c>
      <c r="Q635" t="s">
        <v>1759</v>
      </c>
      <c r="S635">
        <v>17.88</v>
      </c>
      <c r="T635">
        <v>3</v>
      </c>
      <c r="U635">
        <v>0.2</v>
      </c>
      <c r="V635">
        <v>2.4584999999999999</v>
      </c>
      <c r="W635">
        <f t="shared" si="39"/>
        <v>5.1404999999999994</v>
      </c>
      <c r="X635">
        <v>2</v>
      </c>
    </row>
    <row r="636" spans="1:24" x14ac:dyDescent="0.3">
      <c r="A636">
        <v>635</v>
      </c>
      <c r="B636" t="s">
        <v>2407</v>
      </c>
      <c r="C636" s="6">
        <v>44831</v>
      </c>
      <c r="D636" t="str">
        <f t="shared" si="36"/>
        <v>Sep</v>
      </c>
      <c r="E636" t="str">
        <f t="shared" si="37"/>
        <v>2022</v>
      </c>
      <c r="F636" t="s">
        <v>3</v>
      </c>
      <c r="G636" t="s">
        <v>212</v>
      </c>
      <c r="H636" t="s">
        <v>1055</v>
      </c>
      <c r="I636">
        <v>230</v>
      </c>
      <c r="J636">
        <v>12</v>
      </c>
      <c r="K636">
        <f t="shared" si="38"/>
        <v>5.2173913043478262</v>
      </c>
      <c r="L636" t="s">
        <v>1741</v>
      </c>
      <c r="M636" t="s">
        <v>3738</v>
      </c>
      <c r="N636" t="s">
        <v>1</v>
      </c>
      <c r="O636">
        <v>400101</v>
      </c>
      <c r="P636" t="s">
        <v>546</v>
      </c>
      <c r="Q636" t="s">
        <v>1774</v>
      </c>
      <c r="S636">
        <v>235.94399999999999</v>
      </c>
      <c r="T636">
        <v>3</v>
      </c>
      <c r="U636">
        <v>0.2</v>
      </c>
      <c r="V636">
        <v>85.529700000000005</v>
      </c>
      <c r="W636">
        <f t="shared" si="39"/>
        <v>50.138099999999987</v>
      </c>
      <c r="X636">
        <v>5</v>
      </c>
    </row>
    <row r="637" spans="1:24" x14ac:dyDescent="0.3">
      <c r="A637">
        <v>636</v>
      </c>
      <c r="B637" t="s">
        <v>2408</v>
      </c>
      <c r="C637" s="6">
        <v>44832</v>
      </c>
      <c r="D637" t="str">
        <f t="shared" si="36"/>
        <v>Sep</v>
      </c>
      <c r="E637" t="str">
        <f t="shared" si="37"/>
        <v>2022</v>
      </c>
      <c r="F637" t="s">
        <v>3</v>
      </c>
      <c r="G637" t="s">
        <v>256</v>
      </c>
      <c r="H637" t="s">
        <v>1088</v>
      </c>
      <c r="I637">
        <v>200</v>
      </c>
      <c r="J637">
        <v>30</v>
      </c>
      <c r="K637">
        <f t="shared" si="38"/>
        <v>15</v>
      </c>
      <c r="L637" t="s">
        <v>1736</v>
      </c>
      <c r="M637" t="s">
        <v>3739</v>
      </c>
      <c r="N637" t="s">
        <v>1</v>
      </c>
      <c r="O637">
        <v>171301</v>
      </c>
      <c r="P637" t="s">
        <v>546</v>
      </c>
      <c r="Q637" t="s">
        <v>1764</v>
      </c>
      <c r="S637">
        <v>392.94</v>
      </c>
      <c r="T637">
        <v>3</v>
      </c>
      <c r="U637">
        <v>0</v>
      </c>
      <c r="V637">
        <v>43.223399999999998</v>
      </c>
      <c r="W637">
        <f t="shared" si="39"/>
        <v>116.5722</v>
      </c>
      <c r="X637">
        <v>1</v>
      </c>
    </row>
    <row r="638" spans="1:24" x14ac:dyDescent="0.3">
      <c r="A638">
        <v>637</v>
      </c>
      <c r="B638" t="s">
        <v>2409</v>
      </c>
      <c r="C638" s="6">
        <v>44833</v>
      </c>
      <c r="D638" t="str">
        <f t="shared" si="36"/>
        <v>Sep</v>
      </c>
      <c r="E638" t="str">
        <f t="shared" si="37"/>
        <v>2022</v>
      </c>
      <c r="F638" t="s">
        <v>4</v>
      </c>
      <c r="G638" t="s">
        <v>257</v>
      </c>
      <c r="H638" t="s">
        <v>1089</v>
      </c>
      <c r="I638">
        <v>230</v>
      </c>
      <c r="J638">
        <v>12</v>
      </c>
      <c r="K638">
        <f t="shared" si="38"/>
        <v>5.2173913043478262</v>
      </c>
      <c r="L638" t="s">
        <v>1744</v>
      </c>
      <c r="M638" t="s">
        <v>3585</v>
      </c>
      <c r="N638" t="s">
        <v>1</v>
      </c>
      <c r="O638">
        <v>570009</v>
      </c>
      <c r="P638" t="s">
        <v>546</v>
      </c>
      <c r="Q638" t="s">
        <v>1769</v>
      </c>
      <c r="S638">
        <v>18.882000000000001</v>
      </c>
      <c r="T638">
        <v>3</v>
      </c>
      <c r="U638">
        <v>0.7</v>
      </c>
      <c r="V638">
        <v>-13.8468</v>
      </c>
      <c r="W638">
        <f t="shared" si="39"/>
        <v>10.909599999999999</v>
      </c>
      <c r="X638">
        <v>3</v>
      </c>
    </row>
    <row r="639" spans="1:24" x14ac:dyDescent="0.3">
      <c r="A639">
        <v>638</v>
      </c>
      <c r="B639" t="s">
        <v>2410</v>
      </c>
      <c r="C639" s="6">
        <v>44834</v>
      </c>
      <c r="D639" t="str">
        <f t="shared" si="36"/>
        <v>Sep</v>
      </c>
      <c r="E639" t="str">
        <f t="shared" si="37"/>
        <v>2022</v>
      </c>
      <c r="F639" t="s">
        <v>4</v>
      </c>
      <c r="G639" t="s">
        <v>257</v>
      </c>
      <c r="H639" t="s">
        <v>1090</v>
      </c>
      <c r="I639">
        <v>150</v>
      </c>
      <c r="J639">
        <v>24</v>
      </c>
      <c r="K639">
        <f t="shared" si="38"/>
        <v>16</v>
      </c>
      <c r="L639" t="s">
        <v>1740</v>
      </c>
      <c r="M639" t="s">
        <v>3740</v>
      </c>
      <c r="N639" t="s">
        <v>1</v>
      </c>
      <c r="O639">
        <v>515001</v>
      </c>
      <c r="P639" t="s">
        <v>546</v>
      </c>
      <c r="Q639" t="s">
        <v>1764</v>
      </c>
      <c r="S639">
        <v>122.328</v>
      </c>
      <c r="T639">
        <v>3</v>
      </c>
      <c r="U639">
        <v>0.2</v>
      </c>
      <c r="V639">
        <v>12.232799999999999</v>
      </c>
      <c r="W639">
        <f t="shared" si="39"/>
        <v>36.698399999999999</v>
      </c>
      <c r="X639">
        <v>4</v>
      </c>
    </row>
    <row r="640" spans="1:24" x14ac:dyDescent="0.3">
      <c r="A640">
        <v>639</v>
      </c>
      <c r="B640" t="s">
        <v>2411</v>
      </c>
      <c r="C640" s="6">
        <v>44835</v>
      </c>
      <c r="D640" t="str">
        <f t="shared" si="36"/>
        <v>Oct</v>
      </c>
      <c r="E640" t="str">
        <f t="shared" si="37"/>
        <v>2022</v>
      </c>
      <c r="F640" t="s">
        <v>4</v>
      </c>
      <c r="G640" t="s">
        <v>53</v>
      </c>
      <c r="H640" t="s">
        <v>767</v>
      </c>
      <c r="I640">
        <v>160</v>
      </c>
      <c r="J640">
        <v>22</v>
      </c>
      <c r="K640">
        <f t="shared" si="38"/>
        <v>13.750000000000002</v>
      </c>
      <c r="L640" t="s">
        <v>1742</v>
      </c>
      <c r="M640" t="s">
        <v>3741</v>
      </c>
      <c r="N640" t="s">
        <v>1</v>
      </c>
      <c r="O640">
        <v>695608</v>
      </c>
      <c r="P640" t="s">
        <v>546</v>
      </c>
      <c r="Q640" t="s">
        <v>1774</v>
      </c>
      <c r="S640">
        <v>1049.2</v>
      </c>
      <c r="T640">
        <v>5</v>
      </c>
      <c r="U640">
        <v>0</v>
      </c>
      <c r="V640">
        <v>272.79199999999997</v>
      </c>
      <c r="W640">
        <f t="shared" si="39"/>
        <v>155.28160000000003</v>
      </c>
      <c r="X640">
        <v>3</v>
      </c>
    </row>
    <row r="641" spans="1:24" x14ac:dyDescent="0.3">
      <c r="A641">
        <v>640</v>
      </c>
      <c r="B641" t="s">
        <v>2412</v>
      </c>
      <c r="C641" s="6">
        <v>44836</v>
      </c>
      <c r="D641" t="str">
        <f t="shared" si="36"/>
        <v>Oct</v>
      </c>
      <c r="E641" t="str">
        <f t="shared" si="37"/>
        <v>2022</v>
      </c>
      <c r="F641" t="s">
        <v>4</v>
      </c>
      <c r="G641" t="s">
        <v>53</v>
      </c>
      <c r="H641" t="s">
        <v>1091</v>
      </c>
      <c r="I641">
        <v>180</v>
      </c>
      <c r="J641">
        <v>30</v>
      </c>
      <c r="K641">
        <f t="shared" si="38"/>
        <v>16.666666666666664</v>
      </c>
      <c r="L641" t="s">
        <v>1739</v>
      </c>
      <c r="M641" t="s">
        <v>3588</v>
      </c>
      <c r="N641" t="s">
        <v>1</v>
      </c>
      <c r="O641">
        <v>201301</v>
      </c>
      <c r="P641" t="s">
        <v>546</v>
      </c>
      <c r="Q641" t="s">
        <v>1773</v>
      </c>
      <c r="S641">
        <v>15.423999999999999</v>
      </c>
      <c r="T641">
        <v>4</v>
      </c>
      <c r="U641">
        <v>0.2</v>
      </c>
      <c r="V641">
        <v>5.0128000000000004</v>
      </c>
      <c r="W641">
        <f t="shared" si="39"/>
        <v>2.6027999999999998</v>
      </c>
      <c r="X641">
        <v>3</v>
      </c>
    </row>
    <row r="642" spans="1:24" x14ac:dyDescent="0.3">
      <c r="A642">
        <v>641</v>
      </c>
      <c r="B642" t="s">
        <v>2413</v>
      </c>
      <c r="C642" s="6">
        <v>44837</v>
      </c>
      <c r="D642" t="str">
        <f t="shared" si="36"/>
        <v>Oct</v>
      </c>
      <c r="E642" t="str">
        <f t="shared" si="37"/>
        <v>2022</v>
      </c>
      <c r="F642" t="s">
        <v>4</v>
      </c>
      <c r="G642" t="s">
        <v>258</v>
      </c>
      <c r="H642" t="s">
        <v>1092</v>
      </c>
      <c r="I642">
        <v>110</v>
      </c>
      <c r="J642">
        <v>8</v>
      </c>
      <c r="K642">
        <f t="shared" si="38"/>
        <v>7.2727272727272725</v>
      </c>
      <c r="L642" t="s">
        <v>1738</v>
      </c>
      <c r="M642" t="s">
        <v>3638</v>
      </c>
      <c r="N642" t="s">
        <v>1</v>
      </c>
      <c r="O642">
        <v>670307</v>
      </c>
      <c r="P642" t="s">
        <v>546</v>
      </c>
      <c r="Q642" t="s">
        <v>1770</v>
      </c>
      <c r="S642">
        <v>18.84</v>
      </c>
      <c r="T642">
        <v>3</v>
      </c>
      <c r="U642">
        <v>0</v>
      </c>
      <c r="V642">
        <v>6.0288000000000004</v>
      </c>
      <c r="W642">
        <f t="shared" si="39"/>
        <v>4.2703999999999995</v>
      </c>
      <c r="X642">
        <v>1</v>
      </c>
    </row>
    <row r="643" spans="1:24" x14ac:dyDescent="0.3">
      <c r="A643">
        <v>642</v>
      </c>
      <c r="B643" t="s">
        <v>2134</v>
      </c>
      <c r="C643" s="6">
        <v>44838</v>
      </c>
      <c r="D643" t="str">
        <f t="shared" ref="D643:D706" si="40">TEXT(C643,"Mmm")</f>
        <v>Oct</v>
      </c>
      <c r="E643" t="str">
        <f t="shared" ref="E643:E706" si="41">TEXT(C643,"YYYY")</f>
        <v>2022</v>
      </c>
      <c r="F643" t="s">
        <v>3</v>
      </c>
      <c r="G643" t="s">
        <v>259</v>
      </c>
      <c r="H643" t="s">
        <v>1093</v>
      </c>
      <c r="I643">
        <v>110</v>
      </c>
      <c r="J643">
        <v>22</v>
      </c>
      <c r="K643">
        <f t="shared" ref="K643:K706" si="42">(J643/I643)*100</f>
        <v>20</v>
      </c>
      <c r="L643" t="s">
        <v>1743</v>
      </c>
      <c r="M643" t="s">
        <v>3742</v>
      </c>
      <c r="N643" t="s">
        <v>1</v>
      </c>
      <c r="O643">
        <v>400708</v>
      </c>
      <c r="P643" t="s">
        <v>546</v>
      </c>
      <c r="Q643" t="s">
        <v>1771</v>
      </c>
      <c r="S643">
        <v>330.4</v>
      </c>
      <c r="T643">
        <v>2</v>
      </c>
      <c r="U643">
        <v>0</v>
      </c>
      <c r="V643">
        <v>85.903999999999996</v>
      </c>
      <c r="W643">
        <f t="shared" ref="W643:W706" si="43">(S643-V643)/T643</f>
        <v>122.24799999999999</v>
      </c>
      <c r="X643">
        <v>2</v>
      </c>
    </row>
    <row r="644" spans="1:24" x14ac:dyDescent="0.3">
      <c r="A644">
        <v>643</v>
      </c>
      <c r="B644" t="s">
        <v>2414</v>
      </c>
      <c r="C644" s="6">
        <v>44839</v>
      </c>
      <c r="D644" t="str">
        <f t="shared" si="40"/>
        <v>Oct</v>
      </c>
      <c r="E644" t="str">
        <f t="shared" si="41"/>
        <v>2022</v>
      </c>
      <c r="F644" t="s">
        <v>3</v>
      </c>
      <c r="G644" t="s">
        <v>259</v>
      </c>
      <c r="H644" t="s">
        <v>1094</v>
      </c>
      <c r="I644">
        <v>190</v>
      </c>
      <c r="J644">
        <v>18</v>
      </c>
      <c r="K644">
        <f t="shared" si="42"/>
        <v>9.4736842105263168</v>
      </c>
      <c r="L644" t="s">
        <v>1737</v>
      </c>
      <c r="M644" t="s">
        <v>3743</v>
      </c>
      <c r="N644" t="s">
        <v>1</v>
      </c>
      <c r="O644">
        <v>444105</v>
      </c>
      <c r="P644" t="s">
        <v>546</v>
      </c>
      <c r="Q644" t="s">
        <v>1757</v>
      </c>
      <c r="R644" t="s">
        <v>2</v>
      </c>
      <c r="S644">
        <v>26.25</v>
      </c>
      <c r="T644">
        <v>7</v>
      </c>
      <c r="U644">
        <v>0</v>
      </c>
      <c r="V644">
        <v>12.6</v>
      </c>
      <c r="W644">
        <f t="shared" si="43"/>
        <v>1.95</v>
      </c>
      <c r="X644">
        <v>5</v>
      </c>
    </row>
    <row r="645" spans="1:24" x14ac:dyDescent="0.3">
      <c r="A645">
        <v>644</v>
      </c>
      <c r="B645" t="s">
        <v>2415</v>
      </c>
      <c r="C645" s="6">
        <v>44840</v>
      </c>
      <c r="D645" t="str">
        <f t="shared" si="40"/>
        <v>Oct</v>
      </c>
      <c r="E645" t="str">
        <f t="shared" si="41"/>
        <v>2022</v>
      </c>
      <c r="F645" t="s">
        <v>4</v>
      </c>
      <c r="G645" t="s">
        <v>260</v>
      </c>
      <c r="H645" t="s">
        <v>764</v>
      </c>
      <c r="I645">
        <v>130</v>
      </c>
      <c r="J645">
        <v>16</v>
      </c>
      <c r="K645">
        <f t="shared" si="42"/>
        <v>12.307692307692308</v>
      </c>
      <c r="L645" t="s">
        <v>1741</v>
      </c>
      <c r="M645" t="s">
        <v>3744</v>
      </c>
      <c r="N645" t="s">
        <v>1</v>
      </c>
      <c r="O645">
        <v>848101</v>
      </c>
      <c r="P645" t="s">
        <v>546</v>
      </c>
      <c r="Q645" t="s">
        <v>1772</v>
      </c>
      <c r="S645">
        <v>132.52000000000001</v>
      </c>
      <c r="T645">
        <v>4</v>
      </c>
      <c r="U645">
        <v>0</v>
      </c>
      <c r="V645">
        <v>54.333199999999998</v>
      </c>
      <c r="W645">
        <f t="shared" si="43"/>
        <v>19.546700000000001</v>
      </c>
      <c r="X645">
        <v>5</v>
      </c>
    </row>
    <row r="646" spans="1:24" x14ac:dyDescent="0.3">
      <c r="A646">
        <v>645</v>
      </c>
      <c r="B646" t="s">
        <v>2416</v>
      </c>
      <c r="C646" s="6">
        <v>44841</v>
      </c>
      <c r="D646" t="str">
        <f t="shared" si="40"/>
        <v>Oct</v>
      </c>
      <c r="E646" t="str">
        <f t="shared" si="41"/>
        <v>2022</v>
      </c>
      <c r="F646" t="s">
        <v>4</v>
      </c>
      <c r="G646" t="s">
        <v>76</v>
      </c>
      <c r="H646" t="s">
        <v>1095</v>
      </c>
      <c r="I646">
        <v>140</v>
      </c>
      <c r="J646">
        <v>30</v>
      </c>
      <c r="K646">
        <f t="shared" si="42"/>
        <v>21.428571428571427</v>
      </c>
      <c r="L646" t="s">
        <v>1736</v>
      </c>
      <c r="M646" t="s">
        <v>3745</v>
      </c>
      <c r="N646" t="s">
        <v>1</v>
      </c>
      <c r="O646">
        <v>848101</v>
      </c>
      <c r="P646" t="s">
        <v>546</v>
      </c>
      <c r="Q646" t="s">
        <v>1769</v>
      </c>
      <c r="S646">
        <v>6.48</v>
      </c>
      <c r="T646">
        <v>1</v>
      </c>
      <c r="U646">
        <v>0</v>
      </c>
      <c r="V646">
        <v>3.1751999999999998</v>
      </c>
      <c r="W646">
        <f t="shared" si="43"/>
        <v>3.3048000000000006</v>
      </c>
      <c r="X646">
        <v>3</v>
      </c>
    </row>
    <row r="647" spans="1:24" x14ac:dyDescent="0.3">
      <c r="A647">
        <v>646</v>
      </c>
      <c r="B647" t="s">
        <v>2417</v>
      </c>
      <c r="C647" s="6">
        <v>44842</v>
      </c>
      <c r="D647" t="str">
        <f t="shared" si="40"/>
        <v>Oct</v>
      </c>
      <c r="E647" t="str">
        <f t="shared" si="41"/>
        <v>2022</v>
      </c>
      <c r="F647" t="s">
        <v>4</v>
      </c>
      <c r="G647" t="s">
        <v>261</v>
      </c>
      <c r="H647" t="s">
        <v>1096</v>
      </c>
      <c r="I647">
        <v>150</v>
      </c>
      <c r="J647">
        <v>20</v>
      </c>
      <c r="K647">
        <f t="shared" si="42"/>
        <v>13.333333333333334</v>
      </c>
      <c r="L647" t="s">
        <v>1744</v>
      </c>
      <c r="M647" t="s">
        <v>3746</v>
      </c>
      <c r="N647" t="s">
        <v>1</v>
      </c>
      <c r="O647">
        <v>380008</v>
      </c>
      <c r="P647" t="s">
        <v>546</v>
      </c>
      <c r="Q647" t="s">
        <v>1774</v>
      </c>
      <c r="R647" t="s">
        <v>2</v>
      </c>
      <c r="S647">
        <v>209.3</v>
      </c>
      <c r="T647">
        <v>2</v>
      </c>
      <c r="U647">
        <v>0</v>
      </c>
      <c r="V647">
        <v>56.511000000000003</v>
      </c>
      <c r="W647">
        <f t="shared" si="43"/>
        <v>76.394500000000008</v>
      </c>
      <c r="X647">
        <v>5</v>
      </c>
    </row>
    <row r="648" spans="1:24" x14ac:dyDescent="0.3">
      <c r="A648">
        <v>647</v>
      </c>
      <c r="B648" t="s">
        <v>2418</v>
      </c>
      <c r="C648" s="6">
        <v>44843</v>
      </c>
      <c r="D648" t="str">
        <f t="shared" si="40"/>
        <v>Oct</v>
      </c>
      <c r="E648" t="str">
        <f t="shared" si="41"/>
        <v>2022</v>
      </c>
      <c r="F648" t="s">
        <v>4</v>
      </c>
      <c r="G648" t="s">
        <v>128</v>
      </c>
      <c r="H648" t="s">
        <v>1097</v>
      </c>
      <c r="I648">
        <v>110</v>
      </c>
      <c r="J648">
        <v>28</v>
      </c>
      <c r="K648">
        <f t="shared" si="42"/>
        <v>25.454545454545453</v>
      </c>
      <c r="L648" t="s">
        <v>1740</v>
      </c>
      <c r="M648" t="s">
        <v>3586</v>
      </c>
      <c r="N648" t="s">
        <v>1</v>
      </c>
      <c r="O648">
        <v>413501</v>
      </c>
      <c r="P648" t="s">
        <v>546</v>
      </c>
      <c r="Q648" t="s">
        <v>1773</v>
      </c>
      <c r="S648">
        <v>31.56</v>
      </c>
      <c r="T648">
        <v>5</v>
      </c>
      <c r="U648">
        <v>0.2</v>
      </c>
      <c r="V648">
        <v>9.8625000000000007</v>
      </c>
      <c r="W648">
        <f t="shared" si="43"/>
        <v>4.3394999999999992</v>
      </c>
      <c r="X648">
        <v>5</v>
      </c>
    </row>
    <row r="649" spans="1:24" x14ac:dyDescent="0.3">
      <c r="A649">
        <v>648</v>
      </c>
      <c r="B649" t="s">
        <v>2419</v>
      </c>
      <c r="C649" s="6">
        <v>44844</v>
      </c>
      <c r="D649" t="str">
        <f t="shared" si="40"/>
        <v>Oct</v>
      </c>
      <c r="E649" t="str">
        <f t="shared" si="41"/>
        <v>2022</v>
      </c>
      <c r="F649" t="s">
        <v>4</v>
      </c>
      <c r="G649" t="s">
        <v>128</v>
      </c>
      <c r="H649" t="s">
        <v>1098</v>
      </c>
      <c r="I649">
        <v>140</v>
      </c>
      <c r="J649">
        <v>14</v>
      </c>
      <c r="K649">
        <f t="shared" si="42"/>
        <v>10</v>
      </c>
      <c r="L649" t="s">
        <v>1742</v>
      </c>
      <c r="M649" t="s">
        <v>3676</v>
      </c>
      <c r="N649" t="s">
        <v>1</v>
      </c>
      <c r="O649">
        <v>600117</v>
      </c>
      <c r="P649" t="s">
        <v>546</v>
      </c>
      <c r="Q649" t="s">
        <v>1766</v>
      </c>
      <c r="R649" t="s">
        <v>2</v>
      </c>
      <c r="S649">
        <v>30.143999999999998</v>
      </c>
      <c r="T649">
        <v>2</v>
      </c>
      <c r="U649">
        <v>0.2</v>
      </c>
      <c r="V649">
        <v>3.0144000000000002</v>
      </c>
      <c r="W649">
        <f t="shared" si="43"/>
        <v>13.564799999999998</v>
      </c>
      <c r="X649">
        <v>1</v>
      </c>
    </row>
    <row r="650" spans="1:24" x14ac:dyDescent="0.3">
      <c r="A650">
        <v>649</v>
      </c>
      <c r="B650" t="s">
        <v>2420</v>
      </c>
      <c r="C650" s="6">
        <v>44845</v>
      </c>
      <c r="D650" t="str">
        <f t="shared" si="40"/>
        <v>Oct</v>
      </c>
      <c r="E650" t="str">
        <f t="shared" si="41"/>
        <v>2022</v>
      </c>
      <c r="F650" t="s">
        <v>3</v>
      </c>
      <c r="G650" t="s">
        <v>262</v>
      </c>
      <c r="H650" t="s">
        <v>892</v>
      </c>
      <c r="I650">
        <v>140</v>
      </c>
      <c r="J650">
        <v>18</v>
      </c>
      <c r="K650">
        <f t="shared" si="42"/>
        <v>12.857142857142856</v>
      </c>
      <c r="L650" t="s">
        <v>1739</v>
      </c>
      <c r="M650" t="s">
        <v>3657</v>
      </c>
      <c r="N650" t="s">
        <v>1</v>
      </c>
      <c r="O650">
        <v>400028</v>
      </c>
      <c r="P650" t="s">
        <v>546</v>
      </c>
      <c r="Q650" t="s">
        <v>1761</v>
      </c>
      <c r="R650" t="s">
        <v>2</v>
      </c>
      <c r="S650">
        <v>14.8</v>
      </c>
      <c r="T650">
        <v>4</v>
      </c>
      <c r="U650">
        <v>0</v>
      </c>
      <c r="V650">
        <v>6.0679999999999996</v>
      </c>
      <c r="W650">
        <f t="shared" si="43"/>
        <v>2.1830000000000003</v>
      </c>
      <c r="X650">
        <v>4</v>
      </c>
    </row>
    <row r="651" spans="1:24" x14ac:dyDescent="0.3">
      <c r="A651">
        <v>650</v>
      </c>
      <c r="B651" t="s">
        <v>2421</v>
      </c>
      <c r="C651" s="6">
        <v>44846</v>
      </c>
      <c r="D651" t="str">
        <f t="shared" si="40"/>
        <v>Oct</v>
      </c>
      <c r="E651" t="str">
        <f t="shared" si="41"/>
        <v>2022</v>
      </c>
      <c r="F651" t="s">
        <v>3</v>
      </c>
      <c r="G651" t="s">
        <v>262</v>
      </c>
      <c r="H651" t="s">
        <v>719</v>
      </c>
      <c r="I651">
        <v>100</v>
      </c>
      <c r="J651">
        <v>6</v>
      </c>
      <c r="K651">
        <f t="shared" si="42"/>
        <v>6</v>
      </c>
      <c r="L651" t="s">
        <v>1738</v>
      </c>
      <c r="M651" t="s">
        <v>3618</v>
      </c>
      <c r="N651" t="s">
        <v>1</v>
      </c>
      <c r="O651">
        <v>584102</v>
      </c>
      <c r="P651" t="s">
        <v>546</v>
      </c>
      <c r="Q651" t="s">
        <v>1776</v>
      </c>
      <c r="S651">
        <v>302.37599999999998</v>
      </c>
      <c r="T651">
        <v>3</v>
      </c>
      <c r="U651">
        <v>0.2</v>
      </c>
      <c r="V651">
        <v>22.6782</v>
      </c>
      <c r="W651">
        <f t="shared" si="43"/>
        <v>93.232599999999991</v>
      </c>
      <c r="X651">
        <v>3</v>
      </c>
    </row>
    <row r="652" spans="1:24" x14ac:dyDescent="0.3">
      <c r="A652">
        <v>651</v>
      </c>
      <c r="B652" t="s">
        <v>2422</v>
      </c>
      <c r="C652" s="6">
        <v>44847</v>
      </c>
      <c r="D652" t="str">
        <f t="shared" si="40"/>
        <v>Oct</v>
      </c>
      <c r="E652" t="str">
        <f t="shared" si="41"/>
        <v>2022</v>
      </c>
      <c r="F652" t="s">
        <v>3</v>
      </c>
      <c r="G652" t="s">
        <v>262</v>
      </c>
      <c r="H652" t="s">
        <v>1099</v>
      </c>
      <c r="I652">
        <v>240</v>
      </c>
      <c r="J652">
        <v>10</v>
      </c>
      <c r="K652">
        <f t="shared" si="42"/>
        <v>4.1666666666666661</v>
      </c>
      <c r="L652" t="s">
        <v>1737</v>
      </c>
      <c r="M652" t="s">
        <v>3748</v>
      </c>
      <c r="N652" t="s">
        <v>1</v>
      </c>
      <c r="O652">
        <v>411007</v>
      </c>
      <c r="P652" t="s">
        <v>546</v>
      </c>
      <c r="Q652" t="s">
        <v>1764</v>
      </c>
      <c r="S652">
        <v>316</v>
      </c>
      <c r="T652">
        <v>4</v>
      </c>
      <c r="U652">
        <v>0</v>
      </c>
      <c r="V652">
        <v>31.6</v>
      </c>
      <c r="W652">
        <f t="shared" si="43"/>
        <v>71.099999999999994</v>
      </c>
      <c r="X652">
        <v>3</v>
      </c>
    </row>
    <row r="653" spans="1:24" x14ac:dyDescent="0.3">
      <c r="A653">
        <v>652</v>
      </c>
      <c r="B653" t="s">
        <v>2423</v>
      </c>
      <c r="C653" s="6">
        <v>44848</v>
      </c>
      <c r="D653" t="str">
        <f t="shared" si="40"/>
        <v>Oct</v>
      </c>
      <c r="E653" t="str">
        <f t="shared" si="41"/>
        <v>2022</v>
      </c>
      <c r="F653" t="s">
        <v>4</v>
      </c>
      <c r="G653" t="s">
        <v>263</v>
      </c>
      <c r="H653" t="s">
        <v>614</v>
      </c>
      <c r="I653">
        <v>120</v>
      </c>
      <c r="J653">
        <v>6</v>
      </c>
      <c r="K653">
        <f t="shared" si="42"/>
        <v>5</v>
      </c>
      <c r="L653" t="s">
        <v>1743</v>
      </c>
      <c r="M653" t="s">
        <v>3749</v>
      </c>
      <c r="N653" t="s">
        <v>1</v>
      </c>
      <c r="O653">
        <v>625512</v>
      </c>
      <c r="P653" t="s">
        <v>546</v>
      </c>
      <c r="Q653" t="s">
        <v>1759</v>
      </c>
      <c r="S653">
        <v>379.4</v>
      </c>
      <c r="T653">
        <v>10</v>
      </c>
      <c r="U653">
        <v>0</v>
      </c>
      <c r="V653">
        <v>178.31800000000001</v>
      </c>
      <c r="W653">
        <f t="shared" si="43"/>
        <v>20.108199999999997</v>
      </c>
      <c r="X653">
        <v>1</v>
      </c>
    </row>
    <row r="654" spans="1:24" x14ac:dyDescent="0.3">
      <c r="A654">
        <v>653</v>
      </c>
      <c r="B654" t="s">
        <v>2424</v>
      </c>
      <c r="C654" s="6">
        <v>44849</v>
      </c>
      <c r="D654" t="str">
        <f t="shared" si="40"/>
        <v>Oct</v>
      </c>
      <c r="E654" t="str">
        <f t="shared" si="41"/>
        <v>2022</v>
      </c>
      <c r="F654" t="s">
        <v>4</v>
      </c>
      <c r="G654" t="s">
        <v>160</v>
      </c>
      <c r="H654" t="s">
        <v>609</v>
      </c>
      <c r="I654">
        <v>190</v>
      </c>
      <c r="J654">
        <v>6</v>
      </c>
      <c r="K654">
        <f t="shared" si="42"/>
        <v>3.1578947368421053</v>
      </c>
      <c r="L654" t="s">
        <v>1738</v>
      </c>
      <c r="M654" t="s">
        <v>3750</v>
      </c>
      <c r="O654">
        <v>403709</v>
      </c>
      <c r="P654" t="s">
        <v>546</v>
      </c>
      <c r="Q654" t="s">
        <v>1761</v>
      </c>
      <c r="S654">
        <v>97.82</v>
      </c>
      <c r="T654">
        <v>2</v>
      </c>
      <c r="U654">
        <v>0</v>
      </c>
      <c r="V654">
        <v>45.9754</v>
      </c>
      <c r="W654">
        <f t="shared" si="43"/>
        <v>25.922299999999996</v>
      </c>
      <c r="X654">
        <v>1</v>
      </c>
    </row>
    <row r="655" spans="1:24" x14ac:dyDescent="0.3">
      <c r="A655">
        <v>654</v>
      </c>
      <c r="B655" t="s">
        <v>2425</v>
      </c>
      <c r="C655" s="6">
        <v>44850</v>
      </c>
      <c r="D655" t="str">
        <f t="shared" si="40"/>
        <v>Oct</v>
      </c>
      <c r="E655" t="str">
        <f t="shared" si="41"/>
        <v>2022</v>
      </c>
      <c r="F655" t="s">
        <v>4</v>
      </c>
      <c r="G655" t="s">
        <v>160</v>
      </c>
      <c r="H655" t="s">
        <v>1100</v>
      </c>
      <c r="I655">
        <v>230</v>
      </c>
      <c r="J655">
        <v>18</v>
      </c>
      <c r="K655">
        <f t="shared" si="42"/>
        <v>7.8260869565217401</v>
      </c>
      <c r="L655" t="s">
        <v>1739</v>
      </c>
      <c r="M655" t="s">
        <v>3751</v>
      </c>
      <c r="N655" t="s">
        <v>1</v>
      </c>
      <c r="O655">
        <v>226022</v>
      </c>
      <c r="P655" t="s">
        <v>546</v>
      </c>
      <c r="Q655" t="s">
        <v>1769</v>
      </c>
      <c r="S655">
        <v>103.12</v>
      </c>
      <c r="T655">
        <v>8</v>
      </c>
      <c r="U655">
        <v>0</v>
      </c>
      <c r="V655">
        <v>10.311999999999999</v>
      </c>
      <c r="W655">
        <f t="shared" si="43"/>
        <v>11.601000000000001</v>
      </c>
      <c r="X655">
        <v>1</v>
      </c>
    </row>
    <row r="656" spans="1:24" x14ac:dyDescent="0.3">
      <c r="A656">
        <v>655</v>
      </c>
      <c r="B656" t="s">
        <v>2426</v>
      </c>
      <c r="C656" s="6">
        <v>44851</v>
      </c>
      <c r="D656" t="str">
        <f t="shared" si="40"/>
        <v>Oct</v>
      </c>
      <c r="E656" t="str">
        <f t="shared" si="41"/>
        <v>2022</v>
      </c>
      <c r="F656" t="s">
        <v>4</v>
      </c>
      <c r="G656" t="s">
        <v>264</v>
      </c>
      <c r="H656" t="s">
        <v>1101</v>
      </c>
      <c r="I656">
        <v>220</v>
      </c>
      <c r="J656">
        <v>10</v>
      </c>
      <c r="K656">
        <f t="shared" si="42"/>
        <v>4.5454545454545459</v>
      </c>
      <c r="L656" t="s">
        <v>1741</v>
      </c>
      <c r="M656" t="s">
        <v>3752</v>
      </c>
      <c r="N656" t="s">
        <v>1</v>
      </c>
      <c r="O656">
        <v>700101</v>
      </c>
      <c r="P656" t="s">
        <v>546</v>
      </c>
      <c r="Q656" t="s">
        <v>1759</v>
      </c>
      <c r="S656">
        <v>113.55200000000001</v>
      </c>
      <c r="T656">
        <v>2</v>
      </c>
      <c r="U656">
        <v>0.2</v>
      </c>
      <c r="V656">
        <v>8.5164000000000009</v>
      </c>
      <c r="W656">
        <f t="shared" si="43"/>
        <v>52.517800000000001</v>
      </c>
      <c r="X656">
        <v>1</v>
      </c>
    </row>
    <row r="657" spans="1:24" x14ac:dyDescent="0.3">
      <c r="A657">
        <v>656</v>
      </c>
      <c r="B657" t="s">
        <v>2427</v>
      </c>
      <c r="C657" s="6">
        <v>44852</v>
      </c>
      <c r="D657" t="str">
        <f t="shared" si="40"/>
        <v>Oct</v>
      </c>
      <c r="E657" t="str">
        <f t="shared" si="41"/>
        <v>2022</v>
      </c>
      <c r="F657" t="s">
        <v>4</v>
      </c>
      <c r="G657" t="s">
        <v>264</v>
      </c>
      <c r="H657" t="s">
        <v>1102</v>
      </c>
      <c r="I657">
        <v>180</v>
      </c>
      <c r="J657">
        <v>6</v>
      </c>
      <c r="K657">
        <f t="shared" si="42"/>
        <v>3.3333333333333335</v>
      </c>
      <c r="L657" t="s">
        <v>1736</v>
      </c>
      <c r="M657" t="s">
        <v>3753</v>
      </c>
      <c r="N657" t="s">
        <v>1</v>
      </c>
      <c r="O657">
        <v>160036</v>
      </c>
      <c r="P657" t="s">
        <v>546</v>
      </c>
      <c r="Q657" t="s">
        <v>1774</v>
      </c>
      <c r="S657">
        <v>3.3180000000000001</v>
      </c>
      <c r="T657">
        <v>2</v>
      </c>
      <c r="U657">
        <v>0.7</v>
      </c>
      <c r="V657">
        <v>-2.6543999999999999</v>
      </c>
      <c r="W657">
        <f t="shared" si="43"/>
        <v>2.9862000000000002</v>
      </c>
      <c r="X657">
        <v>5</v>
      </c>
    </row>
    <row r="658" spans="1:24" x14ac:dyDescent="0.3">
      <c r="A658">
        <v>657</v>
      </c>
      <c r="B658" t="s">
        <v>2428</v>
      </c>
      <c r="C658" s="6">
        <v>44853</v>
      </c>
      <c r="D658" t="str">
        <f t="shared" si="40"/>
        <v>Oct</v>
      </c>
      <c r="E658" t="str">
        <f t="shared" si="41"/>
        <v>2022</v>
      </c>
      <c r="F658" t="s">
        <v>4</v>
      </c>
      <c r="G658" t="s">
        <v>264</v>
      </c>
      <c r="H658" t="s">
        <v>1103</v>
      </c>
      <c r="I658">
        <v>240</v>
      </c>
      <c r="J658">
        <v>16</v>
      </c>
      <c r="K658">
        <f t="shared" si="42"/>
        <v>6.666666666666667</v>
      </c>
      <c r="L658" t="s">
        <v>1744</v>
      </c>
      <c r="M658" t="s">
        <v>3754</v>
      </c>
      <c r="N658" t="s">
        <v>1</v>
      </c>
      <c r="O658">
        <v>581301</v>
      </c>
      <c r="P658" t="s">
        <v>546</v>
      </c>
      <c r="Q658" t="s">
        <v>1774</v>
      </c>
      <c r="S658">
        <v>134.28800000000001</v>
      </c>
      <c r="T658">
        <v>2</v>
      </c>
      <c r="U658">
        <v>0.2</v>
      </c>
      <c r="V658">
        <v>45.322200000000002</v>
      </c>
      <c r="W658">
        <f t="shared" si="43"/>
        <v>44.482900000000001</v>
      </c>
      <c r="X658">
        <v>2</v>
      </c>
    </row>
    <row r="659" spans="1:24" x14ac:dyDescent="0.3">
      <c r="A659">
        <v>658</v>
      </c>
      <c r="B659" t="s">
        <v>2429</v>
      </c>
      <c r="C659" s="6">
        <v>44854</v>
      </c>
      <c r="D659" t="str">
        <f t="shared" si="40"/>
        <v>Oct</v>
      </c>
      <c r="E659" t="str">
        <f t="shared" si="41"/>
        <v>2022</v>
      </c>
      <c r="F659" t="s">
        <v>6</v>
      </c>
      <c r="G659" t="s">
        <v>265</v>
      </c>
      <c r="H659" t="s">
        <v>992</v>
      </c>
      <c r="I659">
        <v>150</v>
      </c>
      <c r="J659">
        <v>24</v>
      </c>
      <c r="K659">
        <f t="shared" si="42"/>
        <v>16</v>
      </c>
      <c r="L659" t="s">
        <v>1740</v>
      </c>
      <c r="M659" t="s">
        <v>3755</v>
      </c>
      <c r="N659" t="s">
        <v>1</v>
      </c>
      <c r="O659">
        <v>226022</v>
      </c>
      <c r="P659" t="s">
        <v>546</v>
      </c>
      <c r="Q659" t="s">
        <v>1770</v>
      </c>
      <c r="S659">
        <v>701.37199999999996</v>
      </c>
      <c r="T659">
        <v>2</v>
      </c>
      <c r="U659">
        <v>0.3</v>
      </c>
      <c r="V659">
        <v>-50.097999999999999</v>
      </c>
      <c r="W659">
        <f t="shared" si="43"/>
        <v>375.73499999999996</v>
      </c>
      <c r="X659">
        <v>4</v>
      </c>
    </row>
    <row r="660" spans="1:24" x14ac:dyDescent="0.3">
      <c r="A660">
        <v>659</v>
      </c>
      <c r="B660" t="s">
        <v>2430</v>
      </c>
      <c r="C660" s="6">
        <v>44855</v>
      </c>
      <c r="D660" t="str">
        <f t="shared" si="40"/>
        <v>Oct</v>
      </c>
      <c r="E660" t="str">
        <f t="shared" si="41"/>
        <v>2022</v>
      </c>
      <c r="F660" t="s">
        <v>6</v>
      </c>
      <c r="G660" t="s">
        <v>265</v>
      </c>
      <c r="H660" t="s">
        <v>615</v>
      </c>
      <c r="I660">
        <v>230</v>
      </c>
      <c r="J660">
        <v>28</v>
      </c>
      <c r="K660">
        <f t="shared" si="42"/>
        <v>12.173913043478262</v>
      </c>
      <c r="L660" t="s">
        <v>1742</v>
      </c>
      <c r="M660" t="s">
        <v>3756</v>
      </c>
      <c r="N660" t="s">
        <v>1</v>
      </c>
      <c r="O660">
        <v>110075</v>
      </c>
      <c r="P660" t="s">
        <v>546</v>
      </c>
      <c r="Q660" t="s">
        <v>1758</v>
      </c>
      <c r="S660">
        <v>2.3079999999999998</v>
      </c>
      <c r="T660">
        <v>2</v>
      </c>
      <c r="U660">
        <v>0.8</v>
      </c>
      <c r="V660">
        <v>-3.4620000000000002</v>
      </c>
      <c r="W660">
        <f t="shared" si="43"/>
        <v>2.8849999999999998</v>
      </c>
      <c r="X660">
        <v>3</v>
      </c>
    </row>
    <row r="661" spans="1:24" x14ac:dyDescent="0.3">
      <c r="A661">
        <v>660</v>
      </c>
      <c r="B661" t="s">
        <v>2431</v>
      </c>
      <c r="C661" s="6">
        <v>44856</v>
      </c>
      <c r="D661" t="str">
        <f t="shared" si="40"/>
        <v>Oct</v>
      </c>
      <c r="E661" t="str">
        <f t="shared" si="41"/>
        <v>2022</v>
      </c>
      <c r="F661" t="s">
        <v>4</v>
      </c>
      <c r="G661" t="s">
        <v>97</v>
      </c>
      <c r="H661" t="s">
        <v>1065</v>
      </c>
      <c r="I661">
        <v>130</v>
      </c>
      <c r="J661">
        <v>22</v>
      </c>
      <c r="K661">
        <f t="shared" si="42"/>
        <v>16.923076923076923</v>
      </c>
      <c r="L661" t="s">
        <v>1739</v>
      </c>
      <c r="M661" t="s">
        <v>3757</v>
      </c>
      <c r="N661" t="s">
        <v>1</v>
      </c>
      <c r="O661">
        <v>226003</v>
      </c>
      <c r="P661" t="s">
        <v>546</v>
      </c>
      <c r="Q661" t="s">
        <v>1757</v>
      </c>
      <c r="S661">
        <v>999.43200000000002</v>
      </c>
      <c r="T661">
        <v>7</v>
      </c>
      <c r="U661">
        <v>0.2</v>
      </c>
      <c r="V661">
        <v>124.929</v>
      </c>
      <c r="W661">
        <f t="shared" si="43"/>
        <v>124.929</v>
      </c>
      <c r="X661">
        <v>5</v>
      </c>
    </row>
    <row r="662" spans="1:24" x14ac:dyDescent="0.3">
      <c r="A662">
        <v>661</v>
      </c>
      <c r="B662" t="s">
        <v>2432</v>
      </c>
      <c r="C662" s="6">
        <v>44857</v>
      </c>
      <c r="D662" t="str">
        <f t="shared" si="40"/>
        <v>Oct</v>
      </c>
      <c r="E662" t="str">
        <f t="shared" si="41"/>
        <v>2022</v>
      </c>
      <c r="F662" t="s">
        <v>4</v>
      </c>
      <c r="G662" t="s">
        <v>97</v>
      </c>
      <c r="H662" t="s">
        <v>1104</v>
      </c>
      <c r="I662">
        <v>110</v>
      </c>
      <c r="J662">
        <v>26</v>
      </c>
      <c r="K662">
        <f t="shared" si="42"/>
        <v>23.636363636363637</v>
      </c>
      <c r="L662" t="s">
        <v>1738</v>
      </c>
      <c r="M662" t="s">
        <v>3758</v>
      </c>
      <c r="N662" t="s">
        <v>1</v>
      </c>
      <c r="O662">
        <v>121002</v>
      </c>
      <c r="P662" t="s">
        <v>546</v>
      </c>
      <c r="Q662" t="s">
        <v>1758</v>
      </c>
      <c r="S662">
        <v>724.08</v>
      </c>
      <c r="T662">
        <v>14</v>
      </c>
      <c r="U662">
        <v>0.2</v>
      </c>
      <c r="V662">
        <v>-135.76499999999999</v>
      </c>
      <c r="W662">
        <f t="shared" si="43"/>
        <v>61.417500000000004</v>
      </c>
      <c r="X662">
        <v>3</v>
      </c>
    </row>
    <row r="663" spans="1:24" x14ac:dyDescent="0.3">
      <c r="A663">
        <v>662</v>
      </c>
      <c r="B663" t="s">
        <v>2433</v>
      </c>
      <c r="C663" s="6">
        <v>44858</v>
      </c>
      <c r="D663" t="str">
        <f t="shared" si="40"/>
        <v>Oct</v>
      </c>
      <c r="E663" t="str">
        <f t="shared" si="41"/>
        <v>2022</v>
      </c>
      <c r="F663" t="s">
        <v>4</v>
      </c>
      <c r="G663" t="s">
        <v>97</v>
      </c>
      <c r="H663" t="s">
        <v>661</v>
      </c>
      <c r="I663">
        <v>180</v>
      </c>
      <c r="J663">
        <v>14</v>
      </c>
      <c r="K663">
        <f t="shared" si="42"/>
        <v>7.7777777777777777</v>
      </c>
      <c r="L663" t="s">
        <v>1743</v>
      </c>
      <c r="M663" t="s">
        <v>3759</v>
      </c>
      <c r="N663" t="s">
        <v>1</v>
      </c>
      <c r="O663">
        <v>524002</v>
      </c>
      <c r="P663" t="s">
        <v>546</v>
      </c>
      <c r="Q663" t="s">
        <v>1766</v>
      </c>
      <c r="S663">
        <v>918.78499999999997</v>
      </c>
      <c r="T663">
        <v>5</v>
      </c>
      <c r="U663">
        <v>0.3</v>
      </c>
      <c r="V663">
        <v>-118.12949999999999</v>
      </c>
      <c r="W663">
        <f t="shared" si="43"/>
        <v>207.38289999999998</v>
      </c>
      <c r="X663">
        <v>5</v>
      </c>
    </row>
    <row r="664" spans="1:24" x14ac:dyDescent="0.3">
      <c r="A664">
        <v>663</v>
      </c>
      <c r="B664" t="s">
        <v>2434</v>
      </c>
      <c r="C664" s="6">
        <v>44859</v>
      </c>
      <c r="D664" t="str">
        <f t="shared" si="40"/>
        <v>Oct</v>
      </c>
      <c r="E664" t="str">
        <f t="shared" si="41"/>
        <v>2022</v>
      </c>
      <c r="F664" t="s">
        <v>4</v>
      </c>
      <c r="G664" t="s">
        <v>97</v>
      </c>
      <c r="H664" t="s">
        <v>656</v>
      </c>
      <c r="I664">
        <v>150</v>
      </c>
      <c r="J664">
        <v>26</v>
      </c>
      <c r="K664">
        <f t="shared" si="42"/>
        <v>17.333333333333336</v>
      </c>
      <c r="L664" t="s">
        <v>1737</v>
      </c>
      <c r="M664" t="s">
        <v>3760</v>
      </c>
      <c r="N664" t="s">
        <v>1</v>
      </c>
      <c r="O664">
        <v>134113</v>
      </c>
      <c r="P664" t="s">
        <v>546</v>
      </c>
      <c r="Q664" t="s">
        <v>1757</v>
      </c>
      <c r="S664">
        <v>2.7240000000000002</v>
      </c>
      <c r="T664">
        <v>3</v>
      </c>
      <c r="U664">
        <v>0.8</v>
      </c>
      <c r="V664">
        <v>-4.2222</v>
      </c>
      <c r="W664">
        <f t="shared" si="43"/>
        <v>2.3153999999999999</v>
      </c>
      <c r="X664">
        <v>1</v>
      </c>
    </row>
    <row r="665" spans="1:24" x14ac:dyDescent="0.3">
      <c r="A665">
        <v>664</v>
      </c>
      <c r="B665" t="s">
        <v>2435</v>
      </c>
      <c r="C665" s="6">
        <v>44860</v>
      </c>
      <c r="D665" t="str">
        <f t="shared" si="40"/>
        <v>Oct</v>
      </c>
      <c r="E665" t="str">
        <f t="shared" si="41"/>
        <v>2022</v>
      </c>
      <c r="F665" t="s">
        <v>4</v>
      </c>
      <c r="G665" t="s">
        <v>266</v>
      </c>
      <c r="H665" t="s">
        <v>743</v>
      </c>
      <c r="I665">
        <v>150</v>
      </c>
      <c r="J665">
        <v>24</v>
      </c>
      <c r="K665">
        <f t="shared" si="42"/>
        <v>16</v>
      </c>
      <c r="L665" t="s">
        <v>1741</v>
      </c>
      <c r="M665" t="s">
        <v>3761</v>
      </c>
      <c r="N665" t="s">
        <v>1</v>
      </c>
      <c r="O665">
        <v>482001</v>
      </c>
      <c r="P665" t="s">
        <v>546</v>
      </c>
      <c r="Q665" t="s">
        <v>1776</v>
      </c>
      <c r="S665">
        <v>459.95</v>
      </c>
      <c r="T665">
        <v>5</v>
      </c>
      <c r="U665">
        <v>0</v>
      </c>
      <c r="V665">
        <v>18.398</v>
      </c>
      <c r="W665">
        <f t="shared" si="43"/>
        <v>88.310399999999987</v>
      </c>
      <c r="X665">
        <v>4</v>
      </c>
    </row>
    <row r="666" spans="1:24" x14ac:dyDescent="0.3">
      <c r="A666">
        <v>665</v>
      </c>
      <c r="B666" t="s">
        <v>2436</v>
      </c>
      <c r="C666" s="6">
        <v>44861</v>
      </c>
      <c r="D666" t="str">
        <f t="shared" si="40"/>
        <v>Oct</v>
      </c>
      <c r="E666" t="str">
        <f t="shared" si="41"/>
        <v>2022</v>
      </c>
      <c r="F666" t="s">
        <v>6</v>
      </c>
      <c r="G666" t="s">
        <v>123</v>
      </c>
      <c r="H666" t="s">
        <v>657</v>
      </c>
      <c r="I666">
        <v>250</v>
      </c>
      <c r="J666">
        <v>18</v>
      </c>
      <c r="K666">
        <f t="shared" si="42"/>
        <v>7.1999999999999993</v>
      </c>
      <c r="L666" t="s">
        <v>1736</v>
      </c>
      <c r="M666" t="s">
        <v>3762</v>
      </c>
      <c r="N666" t="s">
        <v>1</v>
      </c>
      <c r="O666">
        <v>799001</v>
      </c>
      <c r="P666" t="s">
        <v>546</v>
      </c>
      <c r="Q666" t="s">
        <v>1768</v>
      </c>
      <c r="S666">
        <v>10.74</v>
      </c>
      <c r="T666">
        <v>3</v>
      </c>
      <c r="U666">
        <v>0</v>
      </c>
      <c r="V666">
        <v>5.2625999999999999</v>
      </c>
      <c r="W666">
        <f t="shared" si="43"/>
        <v>1.8258000000000001</v>
      </c>
      <c r="X666">
        <v>3</v>
      </c>
    </row>
    <row r="667" spans="1:24" x14ac:dyDescent="0.3">
      <c r="A667">
        <v>666</v>
      </c>
      <c r="B667" t="s">
        <v>2437</v>
      </c>
      <c r="C667" s="6">
        <v>44862</v>
      </c>
      <c r="D667" t="str">
        <f t="shared" si="40"/>
        <v>Oct</v>
      </c>
      <c r="E667" t="str">
        <f t="shared" si="41"/>
        <v>2022</v>
      </c>
      <c r="F667" t="s">
        <v>3</v>
      </c>
      <c r="G667" t="s">
        <v>267</v>
      </c>
      <c r="H667" t="s">
        <v>1105</v>
      </c>
      <c r="I667">
        <v>190</v>
      </c>
      <c r="J667">
        <v>22</v>
      </c>
      <c r="K667">
        <f t="shared" si="42"/>
        <v>11.578947368421053</v>
      </c>
      <c r="L667" t="s">
        <v>1744</v>
      </c>
      <c r="M667" t="s">
        <v>3763</v>
      </c>
      <c r="N667" t="s">
        <v>1</v>
      </c>
      <c r="O667">
        <v>500048</v>
      </c>
      <c r="P667" t="s">
        <v>546</v>
      </c>
      <c r="Q667" t="s">
        <v>1765</v>
      </c>
      <c r="S667">
        <v>23.76</v>
      </c>
      <c r="T667">
        <v>3</v>
      </c>
      <c r="U667">
        <v>0.2</v>
      </c>
      <c r="V667">
        <v>2.0790000000000002</v>
      </c>
      <c r="W667">
        <f t="shared" si="43"/>
        <v>7.2270000000000003</v>
      </c>
      <c r="X667">
        <v>1</v>
      </c>
    </row>
    <row r="668" spans="1:24" x14ac:dyDescent="0.3">
      <c r="A668">
        <v>667</v>
      </c>
      <c r="B668" t="s">
        <v>2438</v>
      </c>
      <c r="C668" s="6">
        <v>44863</v>
      </c>
      <c r="D668" t="str">
        <f t="shared" si="40"/>
        <v>Oct</v>
      </c>
      <c r="E668" t="str">
        <f t="shared" si="41"/>
        <v>2022</v>
      </c>
      <c r="F668" t="s">
        <v>3</v>
      </c>
      <c r="G668" t="s">
        <v>267</v>
      </c>
      <c r="H668" t="s">
        <v>805</v>
      </c>
      <c r="I668">
        <v>140</v>
      </c>
      <c r="J668">
        <v>18</v>
      </c>
      <c r="K668">
        <f t="shared" si="42"/>
        <v>12.857142857142856</v>
      </c>
      <c r="L668" t="s">
        <v>1740</v>
      </c>
      <c r="M668" t="s">
        <v>3764</v>
      </c>
      <c r="N668" t="s">
        <v>1</v>
      </c>
      <c r="O668">
        <v>400706</v>
      </c>
      <c r="P668" t="s">
        <v>546</v>
      </c>
      <c r="Q668" t="s">
        <v>1761</v>
      </c>
      <c r="S668">
        <v>85.055999999999997</v>
      </c>
      <c r="T668">
        <v>3</v>
      </c>
      <c r="U668">
        <v>0.2</v>
      </c>
      <c r="V668">
        <v>28.706399999999999</v>
      </c>
      <c r="W668">
        <f t="shared" si="43"/>
        <v>18.783199999999997</v>
      </c>
      <c r="X668">
        <v>3</v>
      </c>
    </row>
    <row r="669" spans="1:24" x14ac:dyDescent="0.3">
      <c r="A669">
        <v>668</v>
      </c>
      <c r="B669" t="s">
        <v>2439</v>
      </c>
      <c r="C669" s="6">
        <v>44864</v>
      </c>
      <c r="D669" t="str">
        <f t="shared" si="40"/>
        <v>Oct</v>
      </c>
      <c r="E669" t="str">
        <f t="shared" si="41"/>
        <v>2022</v>
      </c>
      <c r="F669" t="s">
        <v>3</v>
      </c>
      <c r="G669" t="s">
        <v>267</v>
      </c>
      <c r="H669" t="s">
        <v>1106</v>
      </c>
      <c r="I669">
        <v>170</v>
      </c>
      <c r="J669">
        <v>12</v>
      </c>
      <c r="K669">
        <f t="shared" si="42"/>
        <v>7.0588235294117645</v>
      </c>
      <c r="L669" t="s">
        <v>1742</v>
      </c>
      <c r="M669" t="s">
        <v>3765</v>
      </c>
      <c r="N669" t="s">
        <v>1</v>
      </c>
      <c r="O669">
        <v>500008</v>
      </c>
      <c r="P669" t="s">
        <v>546</v>
      </c>
      <c r="Q669" t="s">
        <v>1774</v>
      </c>
      <c r="R669" t="s">
        <v>2</v>
      </c>
      <c r="S669">
        <v>381.57600000000002</v>
      </c>
      <c r="T669">
        <v>3</v>
      </c>
      <c r="U669">
        <v>0.2</v>
      </c>
      <c r="V669">
        <v>28.618200000000002</v>
      </c>
      <c r="W669">
        <f t="shared" si="43"/>
        <v>117.65260000000001</v>
      </c>
      <c r="X669">
        <v>5</v>
      </c>
    </row>
    <row r="670" spans="1:24" x14ac:dyDescent="0.3">
      <c r="A670">
        <v>669</v>
      </c>
      <c r="B670" t="s">
        <v>2440</v>
      </c>
      <c r="C670" s="6">
        <v>44865</v>
      </c>
      <c r="D670" t="str">
        <f t="shared" si="40"/>
        <v>Oct</v>
      </c>
      <c r="E670" t="str">
        <f t="shared" si="41"/>
        <v>2022</v>
      </c>
      <c r="F670" t="s">
        <v>5</v>
      </c>
      <c r="G670" t="s">
        <v>268</v>
      </c>
      <c r="H670" t="s">
        <v>1107</v>
      </c>
      <c r="I670">
        <v>240</v>
      </c>
      <c r="J670">
        <v>20</v>
      </c>
      <c r="K670">
        <f t="shared" si="42"/>
        <v>8.3333333333333321</v>
      </c>
      <c r="L670" t="s">
        <v>1739</v>
      </c>
      <c r="M670" t="s">
        <v>3766</v>
      </c>
      <c r="O670">
        <v>110095</v>
      </c>
      <c r="P670" t="s">
        <v>546</v>
      </c>
      <c r="Q670" t="s">
        <v>1763</v>
      </c>
      <c r="S670">
        <v>30.36</v>
      </c>
      <c r="T670">
        <v>5</v>
      </c>
      <c r="U670">
        <v>0.2</v>
      </c>
      <c r="V670">
        <v>8.7285000000000004</v>
      </c>
      <c r="W670">
        <f t="shared" si="43"/>
        <v>4.3262999999999998</v>
      </c>
      <c r="X670">
        <v>4</v>
      </c>
    </row>
    <row r="671" spans="1:24" x14ac:dyDescent="0.3">
      <c r="A671">
        <v>670</v>
      </c>
      <c r="B671" t="s">
        <v>2441</v>
      </c>
      <c r="C671" s="6">
        <v>44866</v>
      </c>
      <c r="D671" t="str">
        <f t="shared" si="40"/>
        <v>Nov</v>
      </c>
      <c r="E671" t="str">
        <f t="shared" si="41"/>
        <v>2022</v>
      </c>
      <c r="F671" t="s">
        <v>4</v>
      </c>
      <c r="G671" t="s">
        <v>253</v>
      </c>
      <c r="H671" t="s">
        <v>1108</v>
      </c>
      <c r="I671">
        <v>250</v>
      </c>
      <c r="J671">
        <v>24</v>
      </c>
      <c r="K671">
        <f t="shared" si="42"/>
        <v>9.6</v>
      </c>
      <c r="L671" t="s">
        <v>1738</v>
      </c>
      <c r="M671" t="s">
        <v>3767</v>
      </c>
      <c r="N671" t="s">
        <v>1</v>
      </c>
      <c r="O671">
        <v>380015</v>
      </c>
      <c r="P671" t="s">
        <v>546</v>
      </c>
      <c r="Q671" t="s">
        <v>1770</v>
      </c>
      <c r="R671" t="s">
        <v>2</v>
      </c>
      <c r="S671">
        <v>23.975999999999999</v>
      </c>
      <c r="T671">
        <v>3</v>
      </c>
      <c r="U671">
        <v>0.6</v>
      </c>
      <c r="V671">
        <v>-14.3856</v>
      </c>
      <c r="W671">
        <f t="shared" si="43"/>
        <v>12.787199999999999</v>
      </c>
      <c r="X671">
        <v>5</v>
      </c>
    </row>
    <row r="672" spans="1:24" x14ac:dyDescent="0.3">
      <c r="A672">
        <v>671</v>
      </c>
      <c r="B672" t="s">
        <v>2442</v>
      </c>
      <c r="C672" s="6">
        <v>44867</v>
      </c>
      <c r="D672" t="str">
        <f t="shared" si="40"/>
        <v>Nov</v>
      </c>
      <c r="E672" t="str">
        <f t="shared" si="41"/>
        <v>2022</v>
      </c>
      <c r="F672" t="s">
        <v>4</v>
      </c>
      <c r="G672" t="s">
        <v>253</v>
      </c>
      <c r="H672" t="s">
        <v>1109</v>
      </c>
      <c r="I672">
        <v>100</v>
      </c>
      <c r="J672">
        <v>18</v>
      </c>
      <c r="K672">
        <f t="shared" si="42"/>
        <v>18</v>
      </c>
      <c r="L672" t="s">
        <v>1737</v>
      </c>
      <c r="M672" t="s">
        <v>3768</v>
      </c>
      <c r="N672" t="s">
        <v>1</v>
      </c>
      <c r="O672">
        <v>400030</v>
      </c>
      <c r="P672" t="s">
        <v>546</v>
      </c>
      <c r="Q672" t="s">
        <v>1775</v>
      </c>
      <c r="S672">
        <v>108.925</v>
      </c>
      <c r="T672">
        <v>1</v>
      </c>
      <c r="U672">
        <v>0.5</v>
      </c>
      <c r="V672">
        <v>-71.890500000000003</v>
      </c>
      <c r="W672">
        <f t="shared" si="43"/>
        <v>180.81549999999999</v>
      </c>
      <c r="X672">
        <v>4</v>
      </c>
    </row>
    <row r="673" spans="1:24" x14ac:dyDescent="0.3">
      <c r="A673">
        <v>672</v>
      </c>
      <c r="B673" t="s">
        <v>2443</v>
      </c>
      <c r="C673" s="6">
        <v>44868</v>
      </c>
      <c r="D673" t="str">
        <f t="shared" si="40"/>
        <v>Nov</v>
      </c>
      <c r="E673" t="str">
        <f t="shared" si="41"/>
        <v>2022</v>
      </c>
      <c r="F673" t="s">
        <v>4</v>
      </c>
      <c r="G673" t="s">
        <v>253</v>
      </c>
      <c r="H673" t="s">
        <v>673</v>
      </c>
      <c r="I673">
        <v>230</v>
      </c>
      <c r="J673">
        <v>16</v>
      </c>
      <c r="K673">
        <f t="shared" si="42"/>
        <v>6.9565217391304346</v>
      </c>
      <c r="L673" t="s">
        <v>1743</v>
      </c>
      <c r="M673" t="s">
        <v>3769</v>
      </c>
      <c r="N673" t="s">
        <v>1</v>
      </c>
      <c r="O673">
        <v>520008</v>
      </c>
      <c r="P673" t="s">
        <v>546</v>
      </c>
      <c r="Q673" t="s">
        <v>1766</v>
      </c>
      <c r="S673">
        <v>36.351999999999997</v>
      </c>
      <c r="T673">
        <v>8</v>
      </c>
      <c r="U673">
        <v>0.2</v>
      </c>
      <c r="V673">
        <v>11.36</v>
      </c>
      <c r="W673">
        <f t="shared" si="43"/>
        <v>3.1239999999999997</v>
      </c>
      <c r="X673">
        <v>2</v>
      </c>
    </row>
    <row r="674" spans="1:24" x14ac:dyDescent="0.3">
      <c r="A674">
        <v>673</v>
      </c>
      <c r="B674" t="s">
        <v>2444</v>
      </c>
      <c r="C674" s="6">
        <v>44869</v>
      </c>
      <c r="D674" t="str">
        <f t="shared" si="40"/>
        <v>Nov</v>
      </c>
      <c r="E674" t="str">
        <f t="shared" si="41"/>
        <v>2022</v>
      </c>
      <c r="F674" t="s">
        <v>4</v>
      </c>
      <c r="G674" t="s">
        <v>150</v>
      </c>
      <c r="H674" t="s">
        <v>1110</v>
      </c>
      <c r="I674">
        <v>250</v>
      </c>
      <c r="J674">
        <v>20</v>
      </c>
      <c r="K674">
        <f t="shared" si="42"/>
        <v>8</v>
      </c>
      <c r="L674" t="s">
        <v>1738</v>
      </c>
      <c r="M674" t="s">
        <v>3770</v>
      </c>
      <c r="N674" t="s">
        <v>1</v>
      </c>
      <c r="O674">
        <v>844504</v>
      </c>
      <c r="P674" t="s">
        <v>546</v>
      </c>
      <c r="Q674" t="s">
        <v>1768</v>
      </c>
      <c r="S674">
        <v>19.559999999999999</v>
      </c>
      <c r="T674">
        <v>5</v>
      </c>
      <c r="U674">
        <v>0.2</v>
      </c>
      <c r="V674">
        <v>1.7115</v>
      </c>
      <c r="W674">
        <f t="shared" si="43"/>
        <v>3.5696999999999997</v>
      </c>
      <c r="X674">
        <v>4</v>
      </c>
    </row>
    <row r="675" spans="1:24" x14ac:dyDescent="0.3">
      <c r="A675">
        <v>674</v>
      </c>
      <c r="B675" t="s">
        <v>2445</v>
      </c>
      <c r="C675" s="6">
        <v>44870</v>
      </c>
      <c r="D675" t="str">
        <f t="shared" si="40"/>
        <v>Nov</v>
      </c>
      <c r="E675" t="str">
        <f t="shared" si="41"/>
        <v>2022</v>
      </c>
      <c r="F675" t="s">
        <v>5</v>
      </c>
      <c r="G675" t="s">
        <v>269</v>
      </c>
      <c r="H675" t="s">
        <v>1111</v>
      </c>
      <c r="I675">
        <v>200</v>
      </c>
      <c r="J675">
        <v>22</v>
      </c>
      <c r="K675">
        <f t="shared" si="42"/>
        <v>11</v>
      </c>
      <c r="L675" t="s">
        <v>1739</v>
      </c>
      <c r="M675" t="s">
        <v>3771</v>
      </c>
      <c r="N675" t="s">
        <v>1</v>
      </c>
      <c r="O675">
        <v>160014</v>
      </c>
      <c r="P675" t="s">
        <v>546</v>
      </c>
      <c r="Q675" t="s">
        <v>1776</v>
      </c>
      <c r="S675">
        <v>61.44</v>
      </c>
      <c r="T675">
        <v>3</v>
      </c>
      <c r="U675">
        <v>0</v>
      </c>
      <c r="V675">
        <v>16.588799999999999</v>
      </c>
      <c r="W675">
        <f t="shared" si="43"/>
        <v>14.9504</v>
      </c>
      <c r="X675">
        <v>4</v>
      </c>
    </row>
    <row r="676" spans="1:24" x14ac:dyDescent="0.3">
      <c r="A676">
        <v>675</v>
      </c>
      <c r="B676" t="s">
        <v>2446</v>
      </c>
      <c r="C676" s="6">
        <v>44871</v>
      </c>
      <c r="D676" t="str">
        <f t="shared" si="40"/>
        <v>Nov</v>
      </c>
      <c r="E676" t="str">
        <f t="shared" si="41"/>
        <v>2022</v>
      </c>
      <c r="F676" t="s">
        <v>5</v>
      </c>
      <c r="G676" t="s">
        <v>269</v>
      </c>
      <c r="H676" t="s">
        <v>1112</v>
      </c>
      <c r="I676">
        <v>250</v>
      </c>
      <c r="J676">
        <v>26</v>
      </c>
      <c r="K676">
        <f t="shared" si="42"/>
        <v>10.4</v>
      </c>
      <c r="L676" t="s">
        <v>1741</v>
      </c>
      <c r="M676" t="s">
        <v>3772</v>
      </c>
      <c r="N676" t="s">
        <v>1</v>
      </c>
      <c r="O676">
        <v>825301</v>
      </c>
      <c r="P676" t="s">
        <v>546</v>
      </c>
      <c r="Q676" t="s">
        <v>1769</v>
      </c>
      <c r="R676" t="s">
        <v>2</v>
      </c>
      <c r="S676">
        <v>38.9</v>
      </c>
      <c r="T676">
        <v>5</v>
      </c>
      <c r="U676">
        <v>0</v>
      </c>
      <c r="V676">
        <v>17.504999999999999</v>
      </c>
      <c r="W676">
        <f t="shared" si="43"/>
        <v>4.2789999999999999</v>
      </c>
      <c r="X676">
        <v>5</v>
      </c>
    </row>
    <row r="677" spans="1:24" x14ac:dyDescent="0.3">
      <c r="A677">
        <v>676</v>
      </c>
      <c r="B677" t="s">
        <v>2447</v>
      </c>
      <c r="C677" s="6">
        <v>44872</v>
      </c>
      <c r="D677" t="str">
        <f t="shared" si="40"/>
        <v>Nov</v>
      </c>
      <c r="E677" t="str">
        <f t="shared" si="41"/>
        <v>2022</v>
      </c>
      <c r="F677" t="s">
        <v>5</v>
      </c>
      <c r="G677" t="s">
        <v>269</v>
      </c>
      <c r="H677" t="s">
        <v>764</v>
      </c>
      <c r="I677">
        <v>180</v>
      </c>
      <c r="J677">
        <v>16</v>
      </c>
      <c r="K677">
        <f t="shared" si="42"/>
        <v>8.8888888888888893</v>
      </c>
      <c r="L677" t="s">
        <v>1736</v>
      </c>
      <c r="M677" t="s">
        <v>3773</v>
      </c>
      <c r="N677" t="s">
        <v>1</v>
      </c>
      <c r="O677">
        <v>800014</v>
      </c>
      <c r="P677" t="s">
        <v>546</v>
      </c>
      <c r="Q677" t="s">
        <v>1765</v>
      </c>
      <c r="S677">
        <v>99.39</v>
      </c>
      <c r="T677">
        <v>3</v>
      </c>
      <c r="U677">
        <v>0</v>
      </c>
      <c r="V677">
        <v>40.749899999999997</v>
      </c>
      <c r="W677">
        <f t="shared" si="43"/>
        <v>19.546700000000001</v>
      </c>
      <c r="X677">
        <v>2</v>
      </c>
    </row>
    <row r="678" spans="1:24" x14ac:dyDescent="0.3">
      <c r="A678">
        <v>677</v>
      </c>
      <c r="B678" t="s">
        <v>2448</v>
      </c>
      <c r="C678" s="6">
        <v>44873</v>
      </c>
      <c r="D678" t="str">
        <f t="shared" si="40"/>
        <v>Nov</v>
      </c>
      <c r="E678" t="str">
        <f t="shared" si="41"/>
        <v>2022</v>
      </c>
      <c r="F678" t="s">
        <v>4</v>
      </c>
      <c r="G678" t="s">
        <v>270</v>
      </c>
      <c r="H678" t="s">
        <v>1113</v>
      </c>
      <c r="I678">
        <v>130</v>
      </c>
      <c r="J678">
        <v>12</v>
      </c>
      <c r="K678">
        <f t="shared" si="42"/>
        <v>9.2307692307692317</v>
      </c>
      <c r="L678" t="s">
        <v>1744</v>
      </c>
      <c r="M678" t="s">
        <v>3774</v>
      </c>
      <c r="N678" t="s">
        <v>1</v>
      </c>
      <c r="O678">
        <v>535240</v>
      </c>
      <c r="P678" t="s">
        <v>546</v>
      </c>
      <c r="Q678" t="s">
        <v>1772</v>
      </c>
      <c r="R678" t="s">
        <v>2</v>
      </c>
      <c r="S678">
        <v>2.6880000000000002</v>
      </c>
      <c r="T678">
        <v>3</v>
      </c>
      <c r="U678">
        <v>0.8</v>
      </c>
      <c r="V678">
        <v>-7.3920000000000003</v>
      </c>
      <c r="W678">
        <f t="shared" si="43"/>
        <v>3.36</v>
      </c>
      <c r="X678">
        <v>3</v>
      </c>
    </row>
    <row r="679" spans="1:24" x14ac:dyDescent="0.3">
      <c r="A679">
        <v>678</v>
      </c>
      <c r="B679" t="s">
        <v>2449</v>
      </c>
      <c r="C679" s="6">
        <v>44874</v>
      </c>
      <c r="D679" t="str">
        <f t="shared" si="40"/>
        <v>Nov</v>
      </c>
      <c r="E679" t="str">
        <f t="shared" si="41"/>
        <v>2022</v>
      </c>
      <c r="F679" t="s">
        <v>4</v>
      </c>
      <c r="G679" t="s">
        <v>270</v>
      </c>
      <c r="H679" t="s">
        <v>1114</v>
      </c>
      <c r="I679">
        <v>140</v>
      </c>
      <c r="J679">
        <v>18</v>
      </c>
      <c r="K679">
        <f t="shared" si="42"/>
        <v>12.857142857142856</v>
      </c>
      <c r="L679" t="s">
        <v>1740</v>
      </c>
      <c r="M679" t="s">
        <v>3775</v>
      </c>
      <c r="O679">
        <v>110095</v>
      </c>
      <c r="P679" t="s">
        <v>546</v>
      </c>
      <c r="Q679" t="s">
        <v>1765</v>
      </c>
      <c r="S679">
        <v>27.815999999999999</v>
      </c>
      <c r="T679">
        <v>3</v>
      </c>
      <c r="U679">
        <v>0.2</v>
      </c>
      <c r="V679">
        <v>4.5201000000000002</v>
      </c>
      <c r="W679">
        <f t="shared" si="43"/>
        <v>7.7652999999999999</v>
      </c>
      <c r="X679">
        <v>3</v>
      </c>
    </row>
    <row r="680" spans="1:24" x14ac:dyDescent="0.3">
      <c r="A680">
        <v>679</v>
      </c>
      <c r="B680" t="s">
        <v>2450</v>
      </c>
      <c r="C680" s="6">
        <v>44875</v>
      </c>
      <c r="D680" t="str">
        <f t="shared" si="40"/>
        <v>Nov</v>
      </c>
      <c r="E680" t="str">
        <f t="shared" si="41"/>
        <v>2022</v>
      </c>
      <c r="F680" t="s">
        <v>4</v>
      </c>
      <c r="G680" t="s">
        <v>270</v>
      </c>
      <c r="H680" t="s">
        <v>1115</v>
      </c>
      <c r="I680">
        <v>100</v>
      </c>
      <c r="J680">
        <v>30</v>
      </c>
      <c r="K680">
        <f t="shared" si="42"/>
        <v>30</v>
      </c>
      <c r="L680" t="s">
        <v>1742</v>
      </c>
      <c r="M680" t="s">
        <v>3776</v>
      </c>
      <c r="N680" t="s">
        <v>1</v>
      </c>
      <c r="O680">
        <v>400607</v>
      </c>
      <c r="P680" t="s">
        <v>546</v>
      </c>
      <c r="Q680" t="s">
        <v>1760</v>
      </c>
      <c r="S680">
        <v>82.524000000000001</v>
      </c>
      <c r="T680">
        <v>3</v>
      </c>
      <c r="U680">
        <v>0.6</v>
      </c>
      <c r="V680">
        <v>-41.262</v>
      </c>
      <c r="W680">
        <f t="shared" si="43"/>
        <v>41.262</v>
      </c>
      <c r="X680">
        <v>2</v>
      </c>
    </row>
    <row r="681" spans="1:24" x14ac:dyDescent="0.3">
      <c r="A681">
        <v>680</v>
      </c>
      <c r="B681" t="s">
        <v>2451</v>
      </c>
      <c r="C681" s="6">
        <v>44876</v>
      </c>
      <c r="D681" t="str">
        <f t="shared" si="40"/>
        <v>Nov</v>
      </c>
      <c r="E681" t="str">
        <f t="shared" si="41"/>
        <v>2022</v>
      </c>
      <c r="F681" t="s">
        <v>4</v>
      </c>
      <c r="G681" t="s">
        <v>270</v>
      </c>
      <c r="H681" t="s">
        <v>1116</v>
      </c>
      <c r="I681">
        <v>190</v>
      </c>
      <c r="J681">
        <v>10</v>
      </c>
      <c r="K681">
        <f t="shared" si="42"/>
        <v>5.2631578947368416</v>
      </c>
      <c r="L681" t="s">
        <v>1739</v>
      </c>
      <c r="M681" t="s">
        <v>3777</v>
      </c>
      <c r="N681" t="s">
        <v>1</v>
      </c>
      <c r="O681">
        <v>631002</v>
      </c>
      <c r="P681" t="s">
        <v>546</v>
      </c>
      <c r="Q681" t="s">
        <v>1761</v>
      </c>
      <c r="S681">
        <v>182.994</v>
      </c>
      <c r="T681">
        <v>3</v>
      </c>
      <c r="U681">
        <v>0.8</v>
      </c>
      <c r="V681">
        <v>-320.23950000000002</v>
      </c>
      <c r="W681">
        <f t="shared" si="43"/>
        <v>167.74450000000002</v>
      </c>
      <c r="X681">
        <v>2</v>
      </c>
    </row>
    <row r="682" spans="1:24" x14ac:dyDescent="0.3">
      <c r="A682">
        <v>681</v>
      </c>
      <c r="B682" t="s">
        <v>2452</v>
      </c>
      <c r="C682" s="6">
        <v>44877</v>
      </c>
      <c r="D682" t="str">
        <f t="shared" si="40"/>
        <v>Nov</v>
      </c>
      <c r="E682" t="str">
        <f t="shared" si="41"/>
        <v>2022</v>
      </c>
      <c r="F682" t="s">
        <v>4</v>
      </c>
      <c r="G682" t="s">
        <v>271</v>
      </c>
      <c r="H682" t="s">
        <v>1117</v>
      </c>
      <c r="I682">
        <v>100</v>
      </c>
      <c r="J682">
        <v>18</v>
      </c>
      <c r="K682">
        <f t="shared" si="42"/>
        <v>18</v>
      </c>
      <c r="L682" t="s">
        <v>1738</v>
      </c>
      <c r="M682" t="s">
        <v>3778</v>
      </c>
      <c r="N682" t="s">
        <v>1</v>
      </c>
      <c r="O682">
        <v>577204</v>
      </c>
      <c r="P682" t="s">
        <v>546</v>
      </c>
      <c r="Q682" t="s">
        <v>1769</v>
      </c>
      <c r="S682">
        <v>14.352</v>
      </c>
      <c r="T682">
        <v>3</v>
      </c>
      <c r="U682">
        <v>0.2</v>
      </c>
      <c r="V682">
        <v>4.6643999999999997</v>
      </c>
      <c r="W682">
        <f t="shared" si="43"/>
        <v>3.2292000000000001</v>
      </c>
      <c r="X682">
        <v>3</v>
      </c>
    </row>
    <row r="683" spans="1:24" x14ac:dyDescent="0.3">
      <c r="A683">
        <v>682</v>
      </c>
      <c r="B683" t="s">
        <v>2453</v>
      </c>
      <c r="C683" s="6">
        <v>44878</v>
      </c>
      <c r="D683" t="str">
        <f t="shared" si="40"/>
        <v>Nov</v>
      </c>
      <c r="E683" t="str">
        <f t="shared" si="41"/>
        <v>2022</v>
      </c>
      <c r="F683" t="s">
        <v>4</v>
      </c>
      <c r="G683" t="s">
        <v>271</v>
      </c>
      <c r="H683" t="s">
        <v>1118</v>
      </c>
      <c r="I683">
        <v>190</v>
      </c>
      <c r="J683">
        <v>8</v>
      </c>
      <c r="K683">
        <f t="shared" si="42"/>
        <v>4.2105263157894735</v>
      </c>
      <c r="L683" t="s">
        <v>1743</v>
      </c>
      <c r="M683" t="s">
        <v>3779</v>
      </c>
      <c r="N683" t="s">
        <v>1</v>
      </c>
      <c r="O683">
        <v>753009</v>
      </c>
      <c r="P683" t="s">
        <v>546</v>
      </c>
      <c r="Q683" t="s">
        <v>1762</v>
      </c>
      <c r="R683" t="s">
        <v>2</v>
      </c>
      <c r="S683">
        <v>64.959999999999994</v>
      </c>
      <c r="T683">
        <v>2</v>
      </c>
      <c r="U683">
        <v>0</v>
      </c>
      <c r="V683">
        <v>2.5983999999999998</v>
      </c>
      <c r="W683">
        <f t="shared" si="43"/>
        <v>31.180799999999998</v>
      </c>
      <c r="X683">
        <v>4</v>
      </c>
    </row>
    <row r="684" spans="1:24" x14ac:dyDescent="0.3">
      <c r="A684">
        <v>683</v>
      </c>
      <c r="B684" t="s">
        <v>2454</v>
      </c>
      <c r="C684" s="6">
        <v>44879</v>
      </c>
      <c r="D684" t="str">
        <f t="shared" si="40"/>
        <v>Nov</v>
      </c>
      <c r="E684" t="str">
        <f t="shared" si="41"/>
        <v>2022</v>
      </c>
      <c r="F684" t="s">
        <v>4</v>
      </c>
      <c r="G684" t="s">
        <v>271</v>
      </c>
      <c r="H684" t="s">
        <v>1003</v>
      </c>
      <c r="I684">
        <v>100</v>
      </c>
      <c r="J684">
        <v>12</v>
      </c>
      <c r="K684">
        <f t="shared" si="42"/>
        <v>12</v>
      </c>
      <c r="L684" t="s">
        <v>1737</v>
      </c>
      <c r="M684" t="s">
        <v>3780</v>
      </c>
      <c r="N684" t="s">
        <v>1</v>
      </c>
      <c r="O684">
        <v>500087</v>
      </c>
      <c r="P684" t="s">
        <v>546</v>
      </c>
      <c r="Q684" t="s">
        <v>1770</v>
      </c>
      <c r="S684">
        <v>68.599999999999994</v>
      </c>
      <c r="T684">
        <v>4</v>
      </c>
      <c r="U684">
        <v>0</v>
      </c>
      <c r="V684">
        <v>18.521999999999998</v>
      </c>
      <c r="W684">
        <f t="shared" si="43"/>
        <v>12.519499999999999</v>
      </c>
      <c r="X684">
        <v>1</v>
      </c>
    </row>
    <row r="685" spans="1:24" x14ac:dyDescent="0.3">
      <c r="A685">
        <v>684</v>
      </c>
      <c r="B685" t="s">
        <v>2455</v>
      </c>
      <c r="C685" s="6">
        <v>44880</v>
      </c>
      <c r="D685" t="str">
        <f t="shared" si="40"/>
        <v>Nov</v>
      </c>
      <c r="E685" t="str">
        <f t="shared" si="41"/>
        <v>2022</v>
      </c>
      <c r="F685" t="s">
        <v>6</v>
      </c>
      <c r="G685" t="s">
        <v>272</v>
      </c>
      <c r="H685" t="s">
        <v>1119</v>
      </c>
      <c r="I685">
        <v>220</v>
      </c>
      <c r="J685">
        <v>12</v>
      </c>
      <c r="K685">
        <f t="shared" si="42"/>
        <v>5.4545454545454541</v>
      </c>
      <c r="L685" t="s">
        <v>1741</v>
      </c>
      <c r="M685" t="s">
        <v>3781</v>
      </c>
      <c r="N685" t="s">
        <v>1</v>
      </c>
      <c r="O685">
        <v>401107</v>
      </c>
      <c r="P685" t="s">
        <v>546</v>
      </c>
      <c r="Q685" t="s">
        <v>1761</v>
      </c>
      <c r="S685">
        <v>7999.98</v>
      </c>
      <c r="T685">
        <v>4</v>
      </c>
      <c r="U685">
        <v>0.5</v>
      </c>
      <c r="V685">
        <v>-3839.9904000000001</v>
      </c>
      <c r="W685">
        <f t="shared" si="43"/>
        <v>2959.9926</v>
      </c>
      <c r="X685">
        <v>5</v>
      </c>
    </row>
    <row r="686" spans="1:24" x14ac:dyDescent="0.3">
      <c r="A686">
        <v>685</v>
      </c>
      <c r="B686" t="s">
        <v>2456</v>
      </c>
      <c r="C686" s="6">
        <v>44881</v>
      </c>
      <c r="D686" t="str">
        <f t="shared" si="40"/>
        <v>Nov</v>
      </c>
      <c r="E686" t="str">
        <f t="shared" si="41"/>
        <v>2022</v>
      </c>
      <c r="F686" t="s">
        <v>6</v>
      </c>
      <c r="G686" t="s">
        <v>272</v>
      </c>
      <c r="H686" t="s">
        <v>1096</v>
      </c>
      <c r="I686">
        <v>120</v>
      </c>
      <c r="J686">
        <v>12</v>
      </c>
      <c r="K686">
        <f t="shared" si="42"/>
        <v>10</v>
      </c>
      <c r="L686" t="s">
        <v>1736</v>
      </c>
      <c r="M686" t="s">
        <v>3782</v>
      </c>
      <c r="N686" t="s">
        <v>1</v>
      </c>
      <c r="O686">
        <v>600089</v>
      </c>
      <c r="P686" t="s">
        <v>546</v>
      </c>
      <c r="Q686" t="s">
        <v>1769</v>
      </c>
      <c r="R686" t="s">
        <v>2</v>
      </c>
      <c r="S686">
        <v>167.44</v>
      </c>
      <c r="T686">
        <v>2</v>
      </c>
      <c r="U686">
        <v>0.2</v>
      </c>
      <c r="V686">
        <v>14.651</v>
      </c>
      <c r="W686">
        <f t="shared" si="43"/>
        <v>76.394499999999994</v>
      </c>
      <c r="X686">
        <v>5</v>
      </c>
    </row>
    <row r="687" spans="1:24" x14ac:dyDescent="0.3">
      <c r="A687">
        <v>686</v>
      </c>
      <c r="B687" t="s">
        <v>2457</v>
      </c>
      <c r="C687" s="6">
        <v>44882</v>
      </c>
      <c r="D687" t="str">
        <f t="shared" si="40"/>
        <v>Nov</v>
      </c>
      <c r="E687" t="str">
        <f t="shared" si="41"/>
        <v>2022</v>
      </c>
      <c r="F687" t="s">
        <v>5</v>
      </c>
      <c r="G687" t="s">
        <v>273</v>
      </c>
      <c r="H687" t="s">
        <v>878</v>
      </c>
      <c r="I687">
        <v>130</v>
      </c>
      <c r="J687">
        <v>18</v>
      </c>
      <c r="K687">
        <f t="shared" si="42"/>
        <v>13.846153846153847</v>
      </c>
      <c r="L687" t="s">
        <v>1744</v>
      </c>
      <c r="M687" t="s">
        <v>3783</v>
      </c>
      <c r="N687" t="s">
        <v>1</v>
      </c>
      <c r="O687">
        <v>560049</v>
      </c>
      <c r="P687" t="s">
        <v>546</v>
      </c>
      <c r="Q687" t="s">
        <v>1768</v>
      </c>
      <c r="R687" t="s">
        <v>2</v>
      </c>
      <c r="S687">
        <v>479.97</v>
      </c>
      <c r="T687">
        <v>3</v>
      </c>
      <c r="U687">
        <v>0</v>
      </c>
      <c r="V687">
        <v>163.18979999999999</v>
      </c>
      <c r="W687">
        <f t="shared" si="43"/>
        <v>105.59340000000002</v>
      </c>
      <c r="X687">
        <v>2</v>
      </c>
    </row>
    <row r="688" spans="1:24" x14ac:dyDescent="0.3">
      <c r="A688">
        <v>687</v>
      </c>
      <c r="B688" t="s">
        <v>2458</v>
      </c>
      <c r="C688" s="6">
        <v>44883</v>
      </c>
      <c r="D688" t="str">
        <f t="shared" si="40"/>
        <v>Nov</v>
      </c>
      <c r="E688" t="str">
        <f t="shared" si="41"/>
        <v>2022</v>
      </c>
      <c r="F688" t="s">
        <v>5</v>
      </c>
      <c r="G688" t="s">
        <v>273</v>
      </c>
      <c r="H688" t="s">
        <v>1120</v>
      </c>
      <c r="I688">
        <v>100</v>
      </c>
      <c r="J688">
        <v>28</v>
      </c>
      <c r="K688">
        <f t="shared" si="42"/>
        <v>28.000000000000004</v>
      </c>
      <c r="L688" t="s">
        <v>1740</v>
      </c>
      <c r="M688" t="s">
        <v>3784</v>
      </c>
      <c r="N688" t="s">
        <v>1</v>
      </c>
      <c r="O688">
        <v>560049</v>
      </c>
      <c r="P688" t="s">
        <v>546</v>
      </c>
      <c r="Q688" t="s">
        <v>1765</v>
      </c>
      <c r="R688" t="s">
        <v>2</v>
      </c>
      <c r="S688">
        <v>14.62</v>
      </c>
      <c r="T688">
        <v>2</v>
      </c>
      <c r="U688">
        <v>0</v>
      </c>
      <c r="V688">
        <v>6.8714000000000004</v>
      </c>
      <c r="W688">
        <f t="shared" si="43"/>
        <v>3.8742999999999994</v>
      </c>
      <c r="X688">
        <v>1</v>
      </c>
    </row>
    <row r="689" spans="1:24" x14ac:dyDescent="0.3">
      <c r="A689">
        <v>688</v>
      </c>
      <c r="B689" t="s">
        <v>2459</v>
      </c>
      <c r="C689" s="6">
        <v>44884</v>
      </c>
      <c r="D689" t="str">
        <f t="shared" si="40"/>
        <v>Nov</v>
      </c>
      <c r="E689" t="str">
        <f t="shared" si="41"/>
        <v>2022</v>
      </c>
      <c r="F689" t="s">
        <v>5</v>
      </c>
      <c r="G689" t="s">
        <v>273</v>
      </c>
      <c r="H689" t="s">
        <v>635</v>
      </c>
      <c r="I689">
        <v>160</v>
      </c>
      <c r="J689">
        <v>8</v>
      </c>
      <c r="K689">
        <f t="shared" si="42"/>
        <v>5</v>
      </c>
      <c r="L689" t="s">
        <v>1742</v>
      </c>
      <c r="M689" t="s">
        <v>3647</v>
      </c>
      <c r="N689" t="s">
        <v>1</v>
      </c>
      <c r="O689">
        <v>700053</v>
      </c>
      <c r="P689" t="s">
        <v>546</v>
      </c>
      <c r="Q689" t="s">
        <v>1762</v>
      </c>
      <c r="S689">
        <v>19.440000000000001</v>
      </c>
      <c r="T689">
        <v>3</v>
      </c>
      <c r="U689">
        <v>0</v>
      </c>
      <c r="V689">
        <v>9.3312000000000008</v>
      </c>
      <c r="W689">
        <f t="shared" si="43"/>
        <v>3.3696000000000002</v>
      </c>
      <c r="X689">
        <v>5</v>
      </c>
    </row>
    <row r="690" spans="1:24" x14ac:dyDescent="0.3">
      <c r="A690">
        <v>689</v>
      </c>
      <c r="B690" t="s">
        <v>2460</v>
      </c>
      <c r="C690" s="6">
        <v>44885</v>
      </c>
      <c r="D690" t="str">
        <f t="shared" si="40"/>
        <v>Nov</v>
      </c>
      <c r="E690" t="str">
        <f t="shared" si="41"/>
        <v>2022</v>
      </c>
      <c r="F690" t="s">
        <v>4</v>
      </c>
      <c r="G690" t="s">
        <v>274</v>
      </c>
      <c r="H690" t="s">
        <v>1121</v>
      </c>
      <c r="I690">
        <v>130</v>
      </c>
      <c r="J690">
        <v>12</v>
      </c>
      <c r="K690">
        <f t="shared" si="42"/>
        <v>9.2307692307692317</v>
      </c>
      <c r="L690" t="s">
        <v>1739</v>
      </c>
      <c r="M690" t="s">
        <v>3785</v>
      </c>
      <c r="N690" t="s">
        <v>1</v>
      </c>
      <c r="O690">
        <v>249408</v>
      </c>
      <c r="P690" t="s">
        <v>546</v>
      </c>
      <c r="Q690" t="s">
        <v>1755</v>
      </c>
      <c r="S690">
        <v>191.98400000000001</v>
      </c>
      <c r="T690">
        <v>2</v>
      </c>
      <c r="U690">
        <v>0.2</v>
      </c>
      <c r="V690">
        <v>4.7995999999999999</v>
      </c>
      <c r="W690">
        <f t="shared" si="43"/>
        <v>93.592200000000005</v>
      </c>
      <c r="X690">
        <v>3</v>
      </c>
    </row>
    <row r="691" spans="1:24" x14ac:dyDescent="0.3">
      <c r="A691">
        <v>690</v>
      </c>
      <c r="B691" t="s">
        <v>2461</v>
      </c>
      <c r="C691" s="6">
        <v>44886</v>
      </c>
      <c r="D691" t="str">
        <f t="shared" si="40"/>
        <v>Nov</v>
      </c>
      <c r="E691" t="str">
        <f t="shared" si="41"/>
        <v>2022</v>
      </c>
      <c r="F691" t="s">
        <v>3</v>
      </c>
      <c r="G691" t="s">
        <v>275</v>
      </c>
      <c r="H691" t="s">
        <v>1122</v>
      </c>
      <c r="I691">
        <v>140</v>
      </c>
      <c r="J691">
        <v>10</v>
      </c>
      <c r="K691">
        <f t="shared" si="42"/>
        <v>7.1428571428571423</v>
      </c>
      <c r="L691" t="s">
        <v>1738</v>
      </c>
      <c r="M691" t="s">
        <v>3786</v>
      </c>
      <c r="N691" t="s">
        <v>1</v>
      </c>
      <c r="O691">
        <v>574203</v>
      </c>
      <c r="P691" t="s">
        <v>546</v>
      </c>
      <c r="Q691" t="s">
        <v>1759</v>
      </c>
      <c r="R691" t="s">
        <v>2</v>
      </c>
      <c r="S691">
        <v>104.01</v>
      </c>
      <c r="T691">
        <v>1</v>
      </c>
      <c r="U691">
        <v>0</v>
      </c>
      <c r="V691">
        <v>14.561400000000001</v>
      </c>
      <c r="W691">
        <f t="shared" si="43"/>
        <v>89.448599999999999</v>
      </c>
      <c r="X691">
        <v>4</v>
      </c>
    </row>
    <row r="692" spans="1:24" x14ac:dyDescent="0.3">
      <c r="A692">
        <v>691</v>
      </c>
      <c r="B692" t="s">
        <v>2462</v>
      </c>
      <c r="C692" s="6">
        <v>44887</v>
      </c>
      <c r="D692" t="str">
        <f t="shared" si="40"/>
        <v>Nov</v>
      </c>
      <c r="E692" t="str">
        <f t="shared" si="41"/>
        <v>2022</v>
      </c>
      <c r="F692" t="s">
        <v>3</v>
      </c>
      <c r="G692" t="s">
        <v>275</v>
      </c>
      <c r="H692" t="s">
        <v>558</v>
      </c>
      <c r="I692">
        <v>130</v>
      </c>
      <c r="J692">
        <v>6</v>
      </c>
      <c r="K692">
        <f t="shared" si="42"/>
        <v>4.6153846153846159</v>
      </c>
      <c r="L692" t="s">
        <v>1737</v>
      </c>
      <c r="M692" t="s">
        <v>3787</v>
      </c>
      <c r="N692" t="s">
        <v>1</v>
      </c>
      <c r="O692">
        <v>571216</v>
      </c>
      <c r="P692" t="s">
        <v>546</v>
      </c>
      <c r="Q692" t="s">
        <v>1754</v>
      </c>
      <c r="S692">
        <v>284.82</v>
      </c>
      <c r="T692">
        <v>1</v>
      </c>
      <c r="U692">
        <v>0</v>
      </c>
      <c r="V692">
        <v>74.053200000000004</v>
      </c>
      <c r="W692">
        <f t="shared" si="43"/>
        <v>210.76679999999999</v>
      </c>
      <c r="X692">
        <v>5</v>
      </c>
    </row>
    <row r="693" spans="1:24" x14ac:dyDescent="0.3">
      <c r="A693">
        <v>692</v>
      </c>
      <c r="B693" t="s">
        <v>2463</v>
      </c>
      <c r="C693" s="6">
        <v>44888</v>
      </c>
      <c r="D693" t="str">
        <f t="shared" si="40"/>
        <v>Nov</v>
      </c>
      <c r="E693" t="str">
        <f t="shared" si="41"/>
        <v>2022</v>
      </c>
      <c r="F693" t="s">
        <v>3</v>
      </c>
      <c r="G693" t="s">
        <v>275</v>
      </c>
      <c r="H693" t="s">
        <v>1123</v>
      </c>
      <c r="I693">
        <v>220</v>
      </c>
      <c r="J693">
        <v>28</v>
      </c>
      <c r="K693">
        <f t="shared" si="42"/>
        <v>12.727272727272727</v>
      </c>
      <c r="L693" t="s">
        <v>1743</v>
      </c>
      <c r="M693" t="s">
        <v>3736</v>
      </c>
      <c r="N693" t="s">
        <v>1</v>
      </c>
      <c r="O693">
        <v>768005</v>
      </c>
      <c r="P693" t="s">
        <v>546</v>
      </c>
      <c r="Q693" t="s">
        <v>1759</v>
      </c>
      <c r="S693">
        <v>36.840000000000003</v>
      </c>
      <c r="T693">
        <v>3</v>
      </c>
      <c r="U693">
        <v>0</v>
      </c>
      <c r="V693">
        <v>10.315200000000001</v>
      </c>
      <c r="W693">
        <f t="shared" si="43"/>
        <v>8.8416000000000015</v>
      </c>
      <c r="X693">
        <v>4</v>
      </c>
    </row>
    <row r="694" spans="1:24" x14ac:dyDescent="0.3">
      <c r="A694">
        <v>693</v>
      </c>
      <c r="B694" t="s">
        <v>2464</v>
      </c>
      <c r="C694" s="6">
        <v>44889</v>
      </c>
      <c r="D694" t="str">
        <f t="shared" si="40"/>
        <v>Nov</v>
      </c>
      <c r="E694" t="str">
        <f t="shared" si="41"/>
        <v>2022</v>
      </c>
      <c r="F694" t="s">
        <v>4</v>
      </c>
      <c r="G694" t="s">
        <v>276</v>
      </c>
      <c r="H694" t="s">
        <v>1124</v>
      </c>
      <c r="I694">
        <v>150</v>
      </c>
      <c r="J694">
        <v>28</v>
      </c>
      <c r="K694">
        <f t="shared" si="42"/>
        <v>18.666666666666668</v>
      </c>
      <c r="L694" t="s">
        <v>1738</v>
      </c>
      <c r="M694" t="s">
        <v>3788</v>
      </c>
      <c r="N694" t="s">
        <v>1</v>
      </c>
      <c r="O694">
        <v>841226</v>
      </c>
      <c r="P694" t="s">
        <v>546</v>
      </c>
      <c r="Q694" t="s">
        <v>1776</v>
      </c>
      <c r="S694">
        <v>166.24</v>
      </c>
      <c r="T694">
        <v>1</v>
      </c>
      <c r="U694">
        <v>0</v>
      </c>
      <c r="V694">
        <v>24.936</v>
      </c>
      <c r="W694">
        <f t="shared" si="43"/>
        <v>141.304</v>
      </c>
      <c r="X694">
        <v>4</v>
      </c>
    </row>
    <row r="695" spans="1:24" x14ac:dyDescent="0.3">
      <c r="A695">
        <v>694</v>
      </c>
      <c r="B695" t="s">
        <v>2465</v>
      </c>
      <c r="C695" s="6">
        <v>44890</v>
      </c>
      <c r="D695" t="str">
        <f t="shared" si="40"/>
        <v>Nov</v>
      </c>
      <c r="E695" t="str">
        <f t="shared" si="41"/>
        <v>2022</v>
      </c>
      <c r="F695" t="s">
        <v>4</v>
      </c>
      <c r="G695" t="s">
        <v>276</v>
      </c>
      <c r="H695" t="s">
        <v>1125</v>
      </c>
      <c r="I695">
        <v>240</v>
      </c>
      <c r="J695">
        <v>6</v>
      </c>
      <c r="K695">
        <f t="shared" si="42"/>
        <v>2.5</v>
      </c>
      <c r="L695" t="s">
        <v>1739</v>
      </c>
      <c r="M695" t="s">
        <v>3588</v>
      </c>
      <c r="N695" t="s">
        <v>1</v>
      </c>
      <c r="O695">
        <v>560032</v>
      </c>
      <c r="P695" t="s">
        <v>546</v>
      </c>
      <c r="Q695" t="s">
        <v>1757</v>
      </c>
      <c r="S695">
        <v>33.4</v>
      </c>
      <c r="T695">
        <v>5</v>
      </c>
      <c r="U695">
        <v>0</v>
      </c>
      <c r="V695">
        <v>16.032</v>
      </c>
      <c r="W695">
        <f t="shared" si="43"/>
        <v>3.4735999999999998</v>
      </c>
      <c r="X695">
        <v>5</v>
      </c>
    </row>
    <row r="696" spans="1:24" x14ac:dyDescent="0.3">
      <c r="A696">
        <v>695</v>
      </c>
      <c r="B696" t="s">
        <v>2466</v>
      </c>
      <c r="C696" s="6">
        <v>44891</v>
      </c>
      <c r="D696" t="str">
        <f t="shared" si="40"/>
        <v>Nov</v>
      </c>
      <c r="E696" t="str">
        <f t="shared" si="41"/>
        <v>2022</v>
      </c>
      <c r="F696" t="s">
        <v>5</v>
      </c>
      <c r="G696" t="s">
        <v>277</v>
      </c>
      <c r="H696" t="s">
        <v>837</v>
      </c>
      <c r="I696">
        <v>150</v>
      </c>
      <c r="J696">
        <v>20</v>
      </c>
      <c r="K696">
        <f t="shared" si="42"/>
        <v>13.333333333333334</v>
      </c>
      <c r="L696" t="s">
        <v>1741</v>
      </c>
      <c r="M696" t="s">
        <v>3789</v>
      </c>
      <c r="O696">
        <v>302019</v>
      </c>
      <c r="P696" t="s">
        <v>546</v>
      </c>
      <c r="Q696" t="s">
        <v>1754</v>
      </c>
      <c r="S696">
        <v>198.27199999999999</v>
      </c>
      <c r="T696">
        <v>8</v>
      </c>
      <c r="U696">
        <v>0.2</v>
      </c>
      <c r="V696">
        <v>17.348800000000001</v>
      </c>
      <c r="W696">
        <f t="shared" si="43"/>
        <v>22.615399999999998</v>
      </c>
      <c r="X696">
        <v>4</v>
      </c>
    </row>
    <row r="697" spans="1:24" x14ac:dyDescent="0.3">
      <c r="A697">
        <v>696</v>
      </c>
      <c r="B697" t="s">
        <v>2467</v>
      </c>
      <c r="C697" s="6">
        <v>44892</v>
      </c>
      <c r="D697" t="str">
        <f t="shared" si="40"/>
        <v>Nov</v>
      </c>
      <c r="E697" t="str">
        <f t="shared" si="41"/>
        <v>2022</v>
      </c>
      <c r="F697" t="s">
        <v>5</v>
      </c>
      <c r="G697" t="s">
        <v>277</v>
      </c>
      <c r="H697" t="s">
        <v>1126</v>
      </c>
      <c r="I697">
        <v>180</v>
      </c>
      <c r="J697">
        <v>30</v>
      </c>
      <c r="K697">
        <f t="shared" si="42"/>
        <v>16.666666666666664</v>
      </c>
      <c r="L697" t="s">
        <v>1736</v>
      </c>
      <c r="M697" t="s">
        <v>3790</v>
      </c>
      <c r="N697" t="s">
        <v>1</v>
      </c>
      <c r="O697">
        <v>400022</v>
      </c>
      <c r="P697" t="s">
        <v>546</v>
      </c>
      <c r="Q697" t="s">
        <v>1770</v>
      </c>
      <c r="S697">
        <v>47.36</v>
      </c>
      <c r="T697">
        <v>4</v>
      </c>
      <c r="U697">
        <v>0.2</v>
      </c>
      <c r="V697">
        <v>17.760000000000002</v>
      </c>
      <c r="W697">
        <f t="shared" si="43"/>
        <v>7.3999999999999995</v>
      </c>
      <c r="X697">
        <v>3</v>
      </c>
    </row>
    <row r="698" spans="1:24" x14ac:dyDescent="0.3">
      <c r="A698">
        <v>697</v>
      </c>
      <c r="B698" t="s">
        <v>2468</v>
      </c>
      <c r="C698" s="6">
        <v>44893</v>
      </c>
      <c r="D698" t="str">
        <f t="shared" si="40"/>
        <v>Nov</v>
      </c>
      <c r="E698" t="str">
        <f t="shared" si="41"/>
        <v>2022</v>
      </c>
      <c r="F698" t="s">
        <v>5</v>
      </c>
      <c r="G698" t="s">
        <v>277</v>
      </c>
      <c r="H698" t="s">
        <v>628</v>
      </c>
      <c r="I698">
        <v>100</v>
      </c>
      <c r="J698">
        <v>8</v>
      </c>
      <c r="K698">
        <f t="shared" si="42"/>
        <v>8</v>
      </c>
      <c r="L698" t="s">
        <v>1744</v>
      </c>
      <c r="M698" t="s">
        <v>3685</v>
      </c>
      <c r="N698" t="s">
        <v>1</v>
      </c>
      <c r="O698">
        <v>400101</v>
      </c>
      <c r="P698" t="s">
        <v>546</v>
      </c>
      <c r="Q698" t="s">
        <v>1757</v>
      </c>
      <c r="R698" t="s">
        <v>2</v>
      </c>
      <c r="S698">
        <v>200.98400000000001</v>
      </c>
      <c r="T698">
        <v>7</v>
      </c>
      <c r="U698">
        <v>0.2</v>
      </c>
      <c r="V698">
        <v>62.807499999999997</v>
      </c>
      <c r="W698">
        <f t="shared" si="43"/>
        <v>19.7395</v>
      </c>
      <c r="X698">
        <v>4</v>
      </c>
    </row>
    <row r="699" spans="1:24" x14ac:dyDescent="0.3">
      <c r="A699">
        <v>698</v>
      </c>
      <c r="B699" t="s">
        <v>2469</v>
      </c>
      <c r="C699" s="6">
        <v>44894</v>
      </c>
      <c r="D699" t="str">
        <f t="shared" si="40"/>
        <v>Nov</v>
      </c>
      <c r="E699" t="str">
        <f t="shared" si="41"/>
        <v>2022</v>
      </c>
      <c r="F699" t="s">
        <v>5</v>
      </c>
      <c r="G699" t="s">
        <v>277</v>
      </c>
      <c r="H699" t="s">
        <v>1127</v>
      </c>
      <c r="I699">
        <v>100</v>
      </c>
      <c r="J699">
        <v>12</v>
      </c>
      <c r="K699">
        <f t="shared" si="42"/>
        <v>12</v>
      </c>
      <c r="L699" t="s">
        <v>1740</v>
      </c>
      <c r="M699" t="s">
        <v>3791</v>
      </c>
      <c r="N699" t="s">
        <v>1</v>
      </c>
      <c r="O699">
        <v>500049</v>
      </c>
      <c r="P699" t="s">
        <v>546</v>
      </c>
      <c r="Q699" t="s">
        <v>1760</v>
      </c>
      <c r="S699">
        <v>97.695999999999998</v>
      </c>
      <c r="T699">
        <v>4</v>
      </c>
      <c r="U699">
        <v>0.2</v>
      </c>
      <c r="V699">
        <v>31.751200000000001</v>
      </c>
      <c r="W699">
        <f t="shared" si="43"/>
        <v>16.4862</v>
      </c>
      <c r="X699">
        <v>4</v>
      </c>
    </row>
    <row r="700" spans="1:24" x14ac:dyDescent="0.3">
      <c r="A700">
        <v>699</v>
      </c>
      <c r="B700" t="s">
        <v>2470</v>
      </c>
      <c r="C700" s="6">
        <v>44895</v>
      </c>
      <c r="D700" t="str">
        <f t="shared" si="40"/>
        <v>Nov</v>
      </c>
      <c r="E700" t="str">
        <f t="shared" si="41"/>
        <v>2022</v>
      </c>
      <c r="F700" t="s">
        <v>5</v>
      </c>
      <c r="G700" t="s">
        <v>277</v>
      </c>
      <c r="H700" t="s">
        <v>1128</v>
      </c>
      <c r="I700">
        <v>180</v>
      </c>
      <c r="J700">
        <v>6</v>
      </c>
      <c r="K700">
        <f t="shared" si="42"/>
        <v>3.3333333333333335</v>
      </c>
      <c r="L700" t="s">
        <v>1742</v>
      </c>
      <c r="M700" t="s">
        <v>3696</v>
      </c>
      <c r="N700" t="s">
        <v>1</v>
      </c>
      <c r="O700">
        <v>400028</v>
      </c>
      <c r="P700" t="s">
        <v>546</v>
      </c>
      <c r="Q700" t="s">
        <v>1772</v>
      </c>
      <c r="S700">
        <v>2.6960000000000002</v>
      </c>
      <c r="T700">
        <v>1</v>
      </c>
      <c r="U700">
        <v>0.2</v>
      </c>
      <c r="V700">
        <v>0.80879999999999996</v>
      </c>
      <c r="W700">
        <f t="shared" si="43"/>
        <v>1.8872000000000002</v>
      </c>
      <c r="X700">
        <v>2</v>
      </c>
    </row>
    <row r="701" spans="1:24" x14ac:dyDescent="0.3">
      <c r="A701">
        <v>700</v>
      </c>
      <c r="B701" t="s">
        <v>2471</v>
      </c>
      <c r="C701" s="6">
        <v>44896</v>
      </c>
      <c r="D701" t="str">
        <f t="shared" si="40"/>
        <v>Dec</v>
      </c>
      <c r="E701" t="str">
        <f t="shared" si="41"/>
        <v>2022</v>
      </c>
      <c r="F701" t="s">
        <v>5</v>
      </c>
      <c r="G701" t="s">
        <v>277</v>
      </c>
      <c r="H701" t="s">
        <v>1129</v>
      </c>
      <c r="I701">
        <v>160</v>
      </c>
      <c r="J701">
        <v>6</v>
      </c>
      <c r="K701">
        <f t="shared" si="42"/>
        <v>3.75</v>
      </c>
      <c r="L701" t="s">
        <v>1739</v>
      </c>
      <c r="M701" t="s">
        <v>3697</v>
      </c>
      <c r="O701">
        <v>800001</v>
      </c>
      <c r="P701" t="s">
        <v>546</v>
      </c>
      <c r="Q701" t="s">
        <v>1761</v>
      </c>
      <c r="S701">
        <v>18.588000000000001</v>
      </c>
      <c r="T701">
        <v>2</v>
      </c>
      <c r="U701">
        <v>0.7</v>
      </c>
      <c r="V701">
        <v>-13.6312</v>
      </c>
      <c r="W701">
        <f t="shared" si="43"/>
        <v>16.1096</v>
      </c>
      <c r="X701">
        <v>3</v>
      </c>
    </row>
    <row r="702" spans="1:24" x14ac:dyDescent="0.3">
      <c r="A702">
        <v>701</v>
      </c>
      <c r="B702" t="s">
        <v>2472</v>
      </c>
      <c r="C702" s="6">
        <v>44897</v>
      </c>
      <c r="D702" t="str">
        <f t="shared" si="40"/>
        <v>Dec</v>
      </c>
      <c r="E702" t="str">
        <f t="shared" si="41"/>
        <v>2022</v>
      </c>
      <c r="F702" t="s">
        <v>5</v>
      </c>
      <c r="G702" t="s">
        <v>277</v>
      </c>
      <c r="H702" t="s">
        <v>851</v>
      </c>
      <c r="I702">
        <v>170</v>
      </c>
      <c r="J702">
        <v>28</v>
      </c>
      <c r="K702">
        <f t="shared" si="42"/>
        <v>16.470588235294116</v>
      </c>
      <c r="L702" t="s">
        <v>1738</v>
      </c>
      <c r="M702" t="s">
        <v>3792</v>
      </c>
      <c r="N702" t="s">
        <v>1</v>
      </c>
      <c r="O702">
        <v>700063</v>
      </c>
      <c r="P702" t="s">
        <v>546</v>
      </c>
      <c r="Q702" t="s">
        <v>1761</v>
      </c>
      <c r="S702">
        <v>4.8959999999999999</v>
      </c>
      <c r="T702">
        <v>3</v>
      </c>
      <c r="U702">
        <v>0.7</v>
      </c>
      <c r="V702">
        <v>-3.4272</v>
      </c>
      <c r="W702">
        <f t="shared" si="43"/>
        <v>2.7744</v>
      </c>
      <c r="X702">
        <v>1</v>
      </c>
    </row>
    <row r="703" spans="1:24" x14ac:dyDescent="0.3">
      <c r="A703">
        <v>702</v>
      </c>
      <c r="B703" t="s">
        <v>2473</v>
      </c>
      <c r="C703" s="6">
        <v>44898</v>
      </c>
      <c r="D703" t="str">
        <f t="shared" si="40"/>
        <v>Dec</v>
      </c>
      <c r="E703" t="str">
        <f t="shared" si="41"/>
        <v>2022</v>
      </c>
      <c r="F703" t="s">
        <v>4</v>
      </c>
      <c r="G703" t="s">
        <v>121</v>
      </c>
      <c r="H703" t="s">
        <v>738</v>
      </c>
      <c r="I703">
        <v>220</v>
      </c>
      <c r="J703">
        <v>22</v>
      </c>
      <c r="K703">
        <f t="shared" si="42"/>
        <v>10</v>
      </c>
      <c r="L703" t="s">
        <v>1737</v>
      </c>
      <c r="M703" t="s">
        <v>3793</v>
      </c>
      <c r="N703" t="s">
        <v>1</v>
      </c>
      <c r="O703">
        <v>500051</v>
      </c>
      <c r="P703" t="s">
        <v>546</v>
      </c>
      <c r="Q703" t="s">
        <v>1770</v>
      </c>
      <c r="S703">
        <v>15.071999999999999</v>
      </c>
      <c r="T703">
        <v>3</v>
      </c>
      <c r="U703">
        <v>0.2</v>
      </c>
      <c r="V703">
        <v>4.1448</v>
      </c>
      <c r="W703">
        <f t="shared" si="43"/>
        <v>3.6423999999999999</v>
      </c>
      <c r="X703">
        <v>3</v>
      </c>
    </row>
    <row r="704" spans="1:24" x14ac:dyDescent="0.3">
      <c r="A704">
        <v>703</v>
      </c>
      <c r="B704" t="s">
        <v>2474</v>
      </c>
      <c r="C704" s="6">
        <v>44899</v>
      </c>
      <c r="D704" t="str">
        <f t="shared" si="40"/>
        <v>Dec</v>
      </c>
      <c r="E704" t="str">
        <f t="shared" si="41"/>
        <v>2022</v>
      </c>
      <c r="F704" t="s">
        <v>3</v>
      </c>
      <c r="G704" t="s">
        <v>162</v>
      </c>
      <c r="H704" t="s">
        <v>1130</v>
      </c>
      <c r="I704">
        <v>130</v>
      </c>
      <c r="J704">
        <v>12</v>
      </c>
      <c r="K704">
        <f t="shared" si="42"/>
        <v>9.2307692307692317</v>
      </c>
      <c r="L704" t="s">
        <v>1743</v>
      </c>
      <c r="M704" t="s">
        <v>3794</v>
      </c>
      <c r="N704" t="s">
        <v>1</v>
      </c>
      <c r="O704">
        <v>506167</v>
      </c>
      <c r="P704" t="s">
        <v>546</v>
      </c>
      <c r="Q704" t="s">
        <v>1768</v>
      </c>
      <c r="S704">
        <v>209.88</v>
      </c>
      <c r="T704">
        <v>3</v>
      </c>
      <c r="U704">
        <v>0</v>
      </c>
      <c r="V704">
        <v>35.679600000000001</v>
      </c>
      <c r="W704">
        <f t="shared" si="43"/>
        <v>58.066800000000001</v>
      </c>
      <c r="X704">
        <v>1</v>
      </c>
    </row>
    <row r="705" spans="1:24" x14ac:dyDescent="0.3">
      <c r="A705">
        <v>704</v>
      </c>
      <c r="B705" t="s">
        <v>2475</v>
      </c>
      <c r="C705" s="6">
        <v>44900</v>
      </c>
      <c r="D705" t="str">
        <f t="shared" si="40"/>
        <v>Dec</v>
      </c>
      <c r="E705" t="str">
        <f t="shared" si="41"/>
        <v>2022</v>
      </c>
      <c r="F705" t="s">
        <v>4</v>
      </c>
      <c r="G705" t="s">
        <v>278</v>
      </c>
      <c r="H705" t="s">
        <v>1131</v>
      </c>
      <c r="I705">
        <v>160</v>
      </c>
      <c r="J705">
        <v>14</v>
      </c>
      <c r="K705">
        <f t="shared" si="42"/>
        <v>8.75</v>
      </c>
      <c r="L705" t="s">
        <v>1738</v>
      </c>
      <c r="M705" t="s">
        <v>3795</v>
      </c>
      <c r="N705" t="s">
        <v>1</v>
      </c>
      <c r="O705">
        <v>682039</v>
      </c>
      <c r="P705" t="s">
        <v>546</v>
      </c>
      <c r="Q705" t="s">
        <v>1765</v>
      </c>
      <c r="S705">
        <v>369.91199999999998</v>
      </c>
      <c r="T705">
        <v>3</v>
      </c>
      <c r="U705">
        <v>0.2</v>
      </c>
      <c r="V705">
        <v>-13.871700000000001</v>
      </c>
      <c r="W705">
        <f t="shared" si="43"/>
        <v>127.92789999999998</v>
      </c>
      <c r="X705">
        <v>3</v>
      </c>
    </row>
    <row r="706" spans="1:24" x14ac:dyDescent="0.3">
      <c r="A706">
        <v>705</v>
      </c>
      <c r="B706" t="s">
        <v>2476</v>
      </c>
      <c r="C706" s="6">
        <v>44901</v>
      </c>
      <c r="D706" t="str">
        <f t="shared" si="40"/>
        <v>Dec</v>
      </c>
      <c r="E706" t="str">
        <f t="shared" si="41"/>
        <v>2022</v>
      </c>
      <c r="F706" t="s">
        <v>4</v>
      </c>
      <c r="G706" t="s">
        <v>279</v>
      </c>
      <c r="H706" t="s">
        <v>1132</v>
      </c>
      <c r="I706">
        <v>150</v>
      </c>
      <c r="J706">
        <v>22</v>
      </c>
      <c r="K706">
        <f t="shared" si="42"/>
        <v>14.666666666666666</v>
      </c>
      <c r="L706" t="s">
        <v>1739</v>
      </c>
      <c r="M706" t="s">
        <v>3594</v>
      </c>
      <c r="O706">
        <v>341510</v>
      </c>
      <c r="P706" t="s">
        <v>546</v>
      </c>
      <c r="Q706" t="s">
        <v>1776</v>
      </c>
      <c r="S706">
        <v>10.368</v>
      </c>
      <c r="T706">
        <v>2</v>
      </c>
      <c r="U706">
        <v>0.2</v>
      </c>
      <c r="V706">
        <v>3.6288</v>
      </c>
      <c r="W706">
        <f t="shared" si="43"/>
        <v>3.3696000000000002</v>
      </c>
      <c r="X706">
        <v>1</v>
      </c>
    </row>
    <row r="707" spans="1:24" x14ac:dyDescent="0.3">
      <c r="A707">
        <v>706</v>
      </c>
      <c r="B707" t="s">
        <v>2477</v>
      </c>
      <c r="C707" s="6">
        <v>44902</v>
      </c>
      <c r="D707" t="str">
        <f t="shared" ref="D707:D770" si="44">TEXT(C707,"Mmm")</f>
        <v>Dec</v>
      </c>
      <c r="E707" t="str">
        <f t="shared" ref="E707:E770" si="45">TEXT(C707,"YYYY")</f>
        <v>2022</v>
      </c>
      <c r="F707" t="s">
        <v>4</v>
      </c>
      <c r="G707" t="s">
        <v>279</v>
      </c>
      <c r="H707" t="s">
        <v>1133</v>
      </c>
      <c r="I707">
        <v>220</v>
      </c>
      <c r="J707">
        <v>16</v>
      </c>
      <c r="K707">
        <f t="shared" ref="K707:K770" si="46">(J707/I707)*100</f>
        <v>7.2727272727272725</v>
      </c>
      <c r="L707" t="s">
        <v>1741</v>
      </c>
      <c r="M707" t="s">
        <v>3796</v>
      </c>
      <c r="N707" t="s">
        <v>1</v>
      </c>
      <c r="O707">
        <v>400604</v>
      </c>
      <c r="P707" t="s">
        <v>546</v>
      </c>
      <c r="Q707" t="s">
        <v>1755</v>
      </c>
      <c r="R707" t="s">
        <v>2</v>
      </c>
      <c r="S707">
        <v>166.84</v>
      </c>
      <c r="T707">
        <v>5</v>
      </c>
      <c r="U707">
        <v>0.2</v>
      </c>
      <c r="V707">
        <v>18.769500000000001</v>
      </c>
      <c r="W707">
        <f t="shared" ref="W707:W770" si="47">(S707-V707)/T707</f>
        <v>29.614100000000001</v>
      </c>
      <c r="X707">
        <v>4</v>
      </c>
    </row>
    <row r="708" spans="1:24" x14ac:dyDescent="0.3">
      <c r="A708">
        <v>707</v>
      </c>
      <c r="B708" t="s">
        <v>2168</v>
      </c>
      <c r="C708" s="6">
        <v>44903</v>
      </c>
      <c r="D708" t="str">
        <f t="shared" si="44"/>
        <v>Dec</v>
      </c>
      <c r="E708" t="str">
        <f t="shared" si="45"/>
        <v>2022</v>
      </c>
      <c r="F708" t="s">
        <v>4</v>
      </c>
      <c r="G708" t="s">
        <v>279</v>
      </c>
      <c r="H708" t="s">
        <v>999</v>
      </c>
      <c r="I708">
        <v>140</v>
      </c>
      <c r="J708">
        <v>14</v>
      </c>
      <c r="K708">
        <f t="shared" si="46"/>
        <v>10</v>
      </c>
      <c r="L708" t="s">
        <v>1736</v>
      </c>
      <c r="M708" t="s">
        <v>3797</v>
      </c>
      <c r="N708" t="s">
        <v>1</v>
      </c>
      <c r="O708">
        <v>834002</v>
      </c>
      <c r="P708" t="s">
        <v>546</v>
      </c>
      <c r="Q708" t="s">
        <v>1759</v>
      </c>
      <c r="S708">
        <v>15.215999999999999</v>
      </c>
      <c r="T708">
        <v>1</v>
      </c>
      <c r="U708">
        <v>0.2</v>
      </c>
      <c r="V708">
        <v>2.2824</v>
      </c>
      <c r="W708">
        <f t="shared" si="47"/>
        <v>12.933599999999998</v>
      </c>
      <c r="X708">
        <v>3</v>
      </c>
    </row>
    <row r="709" spans="1:24" x14ac:dyDescent="0.3">
      <c r="A709">
        <v>708</v>
      </c>
      <c r="B709" t="s">
        <v>2478</v>
      </c>
      <c r="C709" s="6">
        <v>44904</v>
      </c>
      <c r="D709" t="str">
        <f t="shared" si="44"/>
        <v>Dec</v>
      </c>
      <c r="E709" t="str">
        <f t="shared" si="45"/>
        <v>2022</v>
      </c>
      <c r="F709" t="s">
        <v>5</v>
      </c>
      <c r="G709" t="s">
        <v>280</v>
      </c>
      <c r="H709" t="s">
        <v>793</v>
      </c>
      <c r="I709">
        <v>150</v>
      </c>
      <c r="J709">
        <v>18</v>
      </c>
      <c r="K709">
        <f t="shared" si="46"/>
        <v>12</v>
      </c>
      <c r="L709" t="s">
        <v>1744</v>
      </c>
      <c r="M709" t="s">
        <v>3798</v>
      </c>
      <c r="N709" t="s">
        <v>1</v>
      </c>
      <c r="O709">
        <v>400101</v>
      </c>
      <c r="P709" t="s">
        <v>546</v>
      </c>
      <c r="Q709" t="s">
        <v>1765</v>
      </c>
      <c r="S709">
        <v>119.96</v>
      </c>
      <c r="T709">
        <v>4</v>
      </c>
      <c r="U709">
        <v>0</v>
      </c>
      <c r="V709">
        <v>52.782400000000003</v>
      </c>
      <c r="W709">
        <f t="shared" si="47"/>
        <v>16.794399999999996</v>
      </c>
      <c r="X709">
        <v>4</v>
      </c>
    </row>
    <row r="710" spans="1:24" x14ac:dyDescent="0.3">
      <c r="A710">
        <v>709</v>
      </c>
      <c r="B710" t="s">
        <v>2479</v>
      </c>
      <c r="C710" s="6">
        <v>44905</v>
      </c>
      <c r="D710" t="str">
        <f t="shared" si="44"/>
        <v>Dec</v>
      </c>
      <c r="E710" t="str">
        <f t="shared" si="45"/>
        <v>2022</v>
      </c>
      <c r="F710" t="s">
        <v>5</v>
      </c>
      <c r="G710" t="s">
        <v>280</v>
      </c>
      <c r="H710" t="s">
        <v>1134</v>
      </c>
      <c r="I710">
        <v>180</v>
      </c>
      <c r="J710">
        <v>12</v>
      </c>
      <c r="K710">
        <f t="shared" si="46"/>
        <v>6.666666666666667</v>
      </c>
      <c r="L710" t="s">
        <v>1740</v>
      </c>
      <c r="M710" t="s">
        <v>3799</v>
      </c>
      <c r="N710" t="s">
        <v>1</v>
      </c>
      <c r="O710">
        <v>689676</v>
      </c>
      <c r="P710" t="s">
        <v>546</v>
      </c>
      <c r="Q710" t="s">
        <v>1755</v>
      </c>
      <c r="S710">
        <v>883.92</v>
      </c>
      <c r="T710">
        <v>5</v>
      </c>
      <c r="U710">
        <v>0.2</v>
      </c>
      <c r="V710">
        <v>-110.49</v>
      </c>
      <c r="W710">
        <f t="shared" si="47"/>
        <v>198.88200000000001</v>
      </c>
      <c r="X710">
        <v>5</v>
      </c>
    </row>
    <row r="711" spans="1:24" x14ac:dyDescent="0.3">
      <c r="A711">
        <v>710</v>
      </c>
      <c r="B711" t="s">
        <v>2480</v>
      </c>
      <c r="C711" s="6">
        <v>44906</v>
      </c>
      <c r="D711" t="str">
        <f t="shared" si="44"/>
        <v>Dec</v>
      </c>
      <c r="E711" t="str">
        <f t="shared" si="45"/>
        <v>2022</v>
      </c>
      <c r="F711" t="s">
        <v>5</v>
      </c>
      <c r="G711" t="s">
        <v>280</v>
      </c>
      <c r="H711" t="s">
        <v>894</v>
      </c>
      <c r="I711">
        <v>110</v>
      </c>
      <c r="J711">
        <v>10</v>
      </c>
      <c r="K711">
        <f t="shared" si="46"/>
        <v>9.0909090909090917</v>
      </c>
      <c r="L711" t="s">
        <v>1742</v>
      </c>
      <c r="M711" t="s">
        <v>3800</v>
      </c>
      <c r="N711" t="s">
        <v>1</v>
      </c>
      <c r="O711">
        <v>560047</v>
      </c>
      <c r="P711" t="s">
        <v>546</v>
      </c>
      <c r="Q711" t="s">
        <v>1769</v>
      </c>
      <c r="S711">
        <v>46.72</v>
      </c>
      <c r="T711">
        <v>8</v>
      </c>
      <c r="U711">
        <v>0.2</v>
      </c>
      <c r="V711">
        <v>15.768000000000001</v>
      </c>
      <c r="W711">
        <f t="shared" si="47"/>
        <v>3.8689999999999998</v>
      </c>
      <c r="X711">
        <v>1</v>
      </c>
    </row>
    <row r="712" spans="1:24" x14ac:dyDescent="0.3">
      <c r="A712">
        <v>711</v>
      </c>
      <c r="B712" t="s">
        <v>2481</v>
      </c>
      <c r="C712" s="6">
        <v>44907</v>
      </c>
      <c r="D712" t="str">
        <f t="shared" si="44"/>
        <v>Dec</v>
      </c>
      <c r="E712" t="str">
        <f t="shared" si="45"/>
        <v>2022</v>
      </c>
      <c r="F712" t="s">
        <v>5</v>
      </c>
      <c r="G712" t="s">
        <v>281</v>
      </c>
      <c r="H712" t="s">
        <v>964</v>
      </c>
      <c r="I712">
        <v>160</v>
      </c>
      <c r="J712">
        <v>28</v>
      </c>
      <c r="K712">
        <f t="shared" si="46"/>
        <v>17.5</v>
      </c>
      <c r="L712" t="s">
        <v>1739</v>
      </c>
      <c r="M712" t="s">
        <v>3623</v>
      </c>
      <c r="N712" t="s">
        <v>1</v>
      </c>
      <c r="O712">
        <v>445203</v>
      </c>
      <c r="P712" t="s">
        <v>546</v>
      </c>
      <c r="Q712" t="s">
        <v>1776</v>
      </c>
      <c r="S712">
        <v>55.48</v>
      </c>
      <c r="T712">
        <v>1</v>
      </c>
      <c r="U712">
        <v>0</v>
      </c>
      <c r="V712">
        <v>26.630400000000002</v>
      </c>
      <c r="W712">
        <f t="shared" si="47"/>
        <v>28.849599999999995</v>
      </c>
      <c r="X712">
        <v>2</v>
      </c>
    </row>
    <row r="713" spans="1:24" x14ac:dyDescent="0.3">
      <c r="A713">
        <v>712</v>
      </c>
      <c r="B713" t="s">
        <v>2482</v>
      </c>
      <c r="C713" s="6">
        <v>44908</v>
      </c>
      <c r="D713" t="str">
        <f t="shared" si="44"/>
        <v>Dec</v>
      </c>
      <c r="E713" t="str">
        <f t="shared" si="45"/>
        <v>2022</v>
      </c>
      <c r="F713" t="s">
        <v>4</v>
      </c>
      <c r="G713" t="s">
        <v>282</v>
      </c>
      <c r="H713" t="s">
        <v>1135</v>
      </c>
      <c r="I713">
        <v>120</v>
      </c>
      <c r="J713">
        <v>24</v>
      </c>
      <c r="K713">
        <f t="shared" si="46"/>
        <v>20</v>
      </c>
      <c r="L713" t="s">
        <v>1738</v>
      </c>
      <c r="M713" t="s">
        <v>3801</v>
      </c>
      <c r="N713" t="s">
        <v>1</v>
      </c>
      <c r="O713">
        <v>753008</v>
      </c>
      <c r="P713" t="s">
        <v>546</v>
      </c>
      <c r="Q713" t="s">
        <v>1756</v>
      </c>
      <c r="S713">
        <v>24.448</v>
      </c>
      <c r="T713">
        <v>4</v>
      </c>
      <c r="U713">
        <v>0.2</v>
      </c>
      <c r="V713">
        <v>8.8623999999999992</v>
      </c>
      <c r="W713">
        <f t="shared" si="47"/>
        <v>3.8964000000000003</v>
      </c>
      <c r="X713">
        <v>5</v>
      </c>
    </row>
    <row r="714" spans="1:24" x14ac:dyDescent="0.3">
      <c r="A714">
        <v>713</v>
      </c>
      <c r="B714" t="s">
        <v>2483</v>
      </c>
      <c r="C714" s="6">
        <v>44909</v>
      </c>
      <c r="D714" t="str">
        <f t="shared" si="44"/>
        <v>Dec</v>
      </c>
      <c r="E714" t="str">
        <f t="shared" si="45"/>
        <v>2022</v>
      </c>
      <c r="F714" t="s">
        <v>4</v>
      </c>
      <c r="G714" t="s">
        <v>283</v>
      </c>
      <c r="H714" t="s">
        <v>1136</v>
      </c>
      <c r="I714">
        <v>150</v>
      </c>
      <c r="J714">
        <v>6</v>
      </c>
      <c r="K714">
        <f t="shared" si="46"/>
        <v>4</v>
      </c>
      <c r="L714" t="s">
        <v>1737</v>
      </c>
      <c r="M714" t="s">
        <v>3802</v>
      </c>
      <c r="N714" t="s">
        <v>1</v>
      </c>
      <c r="O714">
        <v>400056</v>
      </c>
      <c r="P714" t="s">
        <v>546</v>
      </c>
      <c r="Q714" t="s">
        <v>1762</v>
      </c>
      <c r="R714" t="s">
        <v>2</v>
      </c>
      <c r="S714">
        <v>281.33999999999997</v>
      </c>
      <c r="T714">
        <v>6</v>
      </c>
      <c r="U714">
        <v>0</v>
      </c>
      <c r="V714">
        <v>109.7226</v>
      </c>
      <c r="W714">
        <f t="shared" si="47"/>
        <v>28.602899999999995</v>
      </c>
      <c r="X714">
        <v>3</v>
      </c>
    </row>
    <row r="715" spans="1:24" x14ac:dyDescent="0.3">
      <c r="A715">
        <v>714</v>
      </c>
      <c r="B715" t="s">
        <v>2484</v>
      </c>
      <c r="C715" s="6">
        <v>44910</v>
      </c>
      <c r="D715" t="str">
        <f t="shared" si="44"/>
        <v>Dec</v>
      </c>
      <c r="E715" t="str">
        <f t="shared" si="45"/>
        <v>2022</v>
      </c>
      <c r="F715" t="s">
        <v>4</v>
      </c>
      <c r="G715" t="s">
        <v>283</v>
      </c>
      <c r="H715" t="s">
        <v>895</v>
      </c>
      <c r="I715">
        <v>140</v>
      </c>
      <c r="J715">
        <v>12</v>
      </c>
      <c r="K715">
        <f t="shared" si="46"/>
        <v>8.5714285714285712</v>
      </c>
      <c r="L715" t="s">
        <v>1743</v>
      </c>
      <c r="M715" t="s">
        <v>3803</v>
      </c>
      <c r="N715" t="s">
        <v>1</v>
      </c>
      <c r="O715">
        <v>144004</v>
      </c>
      <c r="P715" t="s">
        <v>546</v>
      </c>
      <c r="Q715" t="s">
        <v>1761</v>
      </c>
      <c r="S715">
        <v>307.98</v>
      </c>
      <c r="T715">
        <v>2</v>
      </c>
      <c r="U715">
        <v>0</v>
      </c>
      <c r="V715">
        <v>89.3142</v>
      </c>
      <c r="W715">
        <f t="shared" si="47"/>
        <v>109.33290000000001</v>
      </c>
      <c r="X715">
        <v>2</v>
      </c>
    </row>
    <row r="716" spans="1:24" x14ac:dyDescent="0.3">
      <c r="A716">
        <v>715</v>
      </c>
      <c r="B716" t="s">
        <v>2485</v>
      </c>
      <c r="C716" s="6">
        <v>44911</v>
      </c>
      <c r="D716" t="str">
        <f t="shared" si="44"/>
        <v>Dec</v>
      </c>
      <c r="E716" t="str">
        <f t="shared" si="45"/>
        <v>2022</v>
      </c>
      <c r="F716" t="s">
        <v>4</v>
      </c>
      <c r="G716" t="s">
        <v>283</v>
      </c>
      <c r="H716" t="s">
        <v>1137</v>
      </c>
      <c r="I716">
        <v>180</v>
      </c>
      <c r="J716">
        <v>12</v>
      </c>
      <c r="K716">
        <f t="shared" si="46"/>
        <v>6.666666666666667</v>
      </c>
      <c r="L716" t="s">
        <v>1738</v>
      </c>
      <c r="M716" t="s">
        <v>3804</v>
      </c>
      <c r="N716" t="s">
        <v>1</v>
      </c>
      <c r="O716">
        <v>400706</v>
      </c>
      <c r="P716" t="s">
        <v>546</v>
      </c>
      <c r="Q716" t="s">
        <v>1756</v>
      </c>
      <c r="S716">
        <v>299.97000000000003</v>
      </c>
      <c r="T716">
        <v>3</v>
      </c>
      <c r="U716">
        <v>0</v>
      </c>
      <c r="V716">
        <v>113.98860000000001</v>
      </c>
      <c r="W716">
        <f t="shared" si="47"/>
        <v>61.9938</v>
      </c>
      <c r="X716">
        <v>2</v>
      </c>
    </row>
    <row r="717" spans="1:24" x14ac:dyDescent="0.3">
      <c r="A717">
        <v>716</v>
      </c>
      <c r="B717" t="s">
        <v>2486</v>
      </c>
      <c r="C717" s="6">
        <v>44912</v>
      </c>
      <c r="D717" t="str">
        <f t="shared" si="44"/>
        <v>Dec</v>
      </c>
      <c r="E717" t="str">
        <f t="shared" si="45"/>
        <v>2022</v>
      </c>
      <c r="F717" t="s">
        <v>3</v>
      </c>
      <c r="G717" t="s">
        <v>121</v>
      </c>
      <c r="H717" t="s">
        <v>1138</v>
      </c>
      <c r="I717">
        <v>240</v>
      </c>
      <c r="J717">
        <v>22</v>
      </c>
      <c r="K717">
        <f t="shared" si="46"/>
        <v>9.1666666666666661</v>
      </c>
      <c r="L717" t="s">
        <v>1739</v>
      </c>
      <c r="M717" t="s">
        <v>3600</v>
      </c>
      <c r="N717" t="s">
        <v>1</v>
      </c>
      <c r="O717">
        <v>401107</v>
      </c>
      <c r="P717" t="s">
        <v>546</v>
      </c>
      <c r="Q717" t="s">
        <v>1770</v>
      </c>
      <c r="S717">
        <v>19.920000000000002</v>
      </c>
      <c r="T717">
        <v>5</v>
      </c>
      <c r="U717">
        <v>0.2</v>
      </c>
      <c r="V717">
        <v>6.9720000000000004</v>
      </c>
      <c r="W717">
        <f t="shared" si="47"/>
        <v>2.5895999999999999</v>
      </c>
      <c r="X717">
        <v>2</v>
      </c>
    </row>
    <row r="718" spans="1:24" x14ac:dyDescent="0.3">
      <c r="A718">
        <v>717</v>
      </c>
      <c r="B718" t="s">
        <v>2487</v>
      </c>
      <c r="C718" s="6">
        <v>44913</v>
      </c>
      <c r="D718" t="str">
        <f t="shared" si="44"/>
        <v>Dec</v>
      </c>
      <c r="E718" t="str">
        <f t="shared" si="45"/>
        <v>2022</v>
      </c>
      <c r="F718" t="s">
        <v>5</v>
      </c>
      <c r="G718" t="s">
        <v>284</v>
      </c>
      <c r="H718" t="s">
        <v>1074</v>
      </c>
      <c r="I718">
        <v>140</v>
      </c>
      <c r="J718">
        <v>30</v>
      </c>
      <c r="K718">
        <f t="shared" si="46"/>
        <v>21.428571428571427</v>
      </c>
      <c r="L718" t="s">
        <v>1741</v>
      </c>
      <c r="M718" t="s">
        <v>3805</v>
      </c>
      <c r="N718" t="s">
        <v>1</v>
      </c>
      <c r="O718">
        <v>401107</v>
      </c>
      <c r="P718" t="s">
        <v>546</v>
      </c>
      <c r="Q718" t="s">
        <v>1760</v>
      </c>
      <c r="S718">
        <v>9.94</v>
      </c>
      <c r="T718">
        <v>2</v>
      </c>
      <c r="U718">
        <v>0</v>
      </c>
      <c r="V718">
        <v>3.0813999999999999</v>
      </c>
      <c r="W718">
        <f t="shared" si="47"/>
        <v>3.4292999999999996</v>
      </c>
      <c r="X718">
        <v>3</v>
      </c>
    </row>
    <row r="719" spans="1:24" x14ac:dyDescent="0.3">
      <c r="A719">
        <v>718</v>
      </c>
      <c r="B719" t="s">
        <v>2488</v>
      </c>
      <c r="C719" s="6">
        <v>44914</v>
      </c>
      <c r="D719" t="str">
        <f t="shared" si="44"/>
        <v>Dec</v>
      </c>
      <c r="E719" t="str">
        <f t="shared" si="45"/>
        <v>2022</v>
      </c>
      <c r="F719" t="s">
        <v>4</v>
      </c>
      <c r="G719" t="s">
        <v>117</v>
      </c>
      <c r="H719" t="s">
        <v>1139</v>
      </c>
      <c r="I719">
        <v>250</v>
      </c>
      <c r="J719">
        <v>12</v>
      </c>
      <c r="K719">
        <f t="shared" si="46"/>
        <v>4.8</v>
      </c>
      <c r="L719" t="s">
        <v>1736</v>
      </c>
      <c r="M719" t="s">
        <v>3644</v>
      </c>
      <c r="N719" t="s">
        <v>1</v>
      </c>
      <c r="O719">
        <v>500084</v>
      </c>
      <c r="P719" t="s">
        <v>546</v>
      </c>
      <c r="Q719" t="s">
        <v>1771</v>
      </c>
      <c r="S719">
        <v>103.056</v>
      </c>
      <c r="T719">
        <v>3</v>
      </c>
      <c r="U719">
        <v>0.2</v>
      </c>
      <c r="V719">
        <v>24.4758</v>
      </c>
      <c r="W719">
        <f t="shared" si="47"/>
        <v>26.193399999999997</v>
      </c>
      <c r="X719">
        <v>4</v>
      </c>
    </row>
    <row r="720" spans="1:24" x14ac:dyDescent="0.3">
      <c r="A720">
        <v>719</v>
      </c>
      <c r="B720" t="s">
        <v>2489</v>
      </c>
      <c r="C720" s="6">
        <v>44915</v>
      </c>
      <c r="D720" t="str">
        <f t="shared" si="44"/>
        <v>Dec</v>
      </c>
      <c r="E720" t="str">
        <f t="shared" si="45"/>
        <v>2022</v>
      </c>
      <c r="F720" t="s">
        <v>4</v>
      </c>
      <c r="G720" t="s">
        <v>285</v>
      </c>
      <c r="H720" t="s">
        <v>991</v>
      </c>
      <c r="I720">
        <v>150</v>
      </c>
      <c r="J720">
        <v>8</v>
      </c>
      <c r="K720">
        <f t="shared" si="46"/>
        <v>5.3333333333333339</v>
      </c>
      <c r="L720" t="s">
        <v>1744</v>
      </c>
      <c r="M720" t="s">
        <v>3806</v>
      </c>
      <c r="N720" t="s">
        <v>1</v>
      </c>
      <c r="O720">
        <v>700064</v>
      </c>
      <c r="P720" t="s">
        <v>546</v>
      </c>
      <c r="Q720" t="s">
        <v>1761</v>
      </c>
      <c r="S720">
        <v>59.808</v>
      </c>
      <c r="T720">
        <v>3</v>
      </c>
      <c r="U720">
        <v>0.2</v>
      </c>
      <c r="V720">
        <v>19.4376</v>
      </c>
      <c r="W720">
        <f t="shared" si="47"/>
        <v>13.456800000000001</v>
      </c>
      <c r="X720">
        <v>1</v>
      </c>
    </row>
    <row r="721" spans="1:24" x14ac:dyDescent="0.3">
      <c r="A721">
        <v>720</v>
      </c>
      <c r="B721" t="s">
        <v>2490</v>
      </c>
      <c r="C721" s="6">
        <v>44916</v>
      </c>
      <c r="D721" t="str">
        <f t="shared" si="44"/>
        <v>Dec</v>
      </c>
      <c r="E721" t="str">
        <f t="shared" si="45"/>
        <v>2022</v>
      </c>
      <c r="F721" t="s">
        <v>4</v>
      </c>
      <c r="G721" t="s">
        <v>285</v>
      </c>
      <c r="H721" t="s">
        <v>937</v>
      </c>
      <c r="I721">
        <v>230</v>
      </c>
      <c r="J721">
        <v>18</v>
      </c>
      <c r="K721">
        <f t="shared" si="46"/>
        <v>7.8260869565217401</v>
      </c>
      <c r="L721" t="s">
        <v>1740</v>
      </c>
      <c r="M721" t="s">
        <v>3586</v>
      </c>
      <c r="N721" t="s">
        <v>1</v>
      </c>
      <c r="O721">
        <v>313001</v>
      </c>
      <c r="P721" t="s">
        <v>546</v>
      </c>
      <c r="Q721" t="s">
        <v>1766</v>
      </c>
      <c r="S721">
        <v>73.319999999999993</v>
      </c>
      <c r="T721">
        <v>6</v>
      </c>
      <c r="U721">
        <v>0</v>
      </c>
      <c r="V721">
        <v>21.995999999999999</v>
      </c>
      <c r="W721">
        <f t="shared" si="47"/>
        <v>8.5540000000000003</v>
      </c>
      <c r="X721">
        <v>5</v>
      </c>
    </row>
    <row r="722" spans="1:24" x14ac:dyDescent="0.3">
      <c r="A722">
        <v>721</v>
      </c>
      <c r="B722" t="s">
        <v>2491</v>
      </c>
      <c r="C722" s="6">
        <v>44917</v>
      </c>
      <c r="D722" t="str">
        <f t="shared" si="44"/>
        <v>Dec</v>
      </c>
      <c r="E722" t="str">
        <f t="shared" si="45"/>
        <v>2022</v>
      </c>
      <c r="F722" t="s">
        <v>4</v>
      </c>
      <c r="G722" t="s">
        <v>286</v>
      </c>
      <c r="H722" t="s">
        <v>1140</v>
      </c>
      <c r="I722">
        <v>240</v>
      </c>
      <c r="J722">
        <v>12</v>
      </c>
      <c r="K722">
        <f t="shared" si="46"/>
        <v>5</v>
      </c>
      <c r="L722" t="s">
        <v>1742</v>
      </c>
      <c r="M722" t="s">
        <v>3676</v>
      </c>
      <c r="N722" t="s">
        <v>1</v>
      </c>
      <c r="O722">
        <v>560002</v>
      </c>
      <c r="P722" t="s">
        <v>546</v>
      </c>
      <c r="Q722" t="s">
        <v>1762</v>
      </c>
      <c r="S722">
        <v>146.82</v>
      </c>
      <c r="T722">
        <v>3</v>
      </c>
      <c r="U722">
        <v>0</v>
      </c>
      <c r="V722">
        <v>73.41</v>
      </c>
      <c r="W722">
        <f t="shared" si="47"/>
        <v>24.47</v>
      </c>
      <c r="X722">
        <v>2</v>
      </c>
    </row>
    <row r="723" spans="1:24" x14ac:dyDescent="0.3">
      <c r="A723">
        <v>722</v>
      </c>
      <c r="B723" t="s">
        <v>2492</v>
      </c>
      <c r="C723" s="6">
        <v>44918</v>
      </c>
      <c r="D723" t="str">
        <f t="shared" si="44"/>
        <v>Dec</v>
      </c>
      <c r="E723" t="str">
        <f t="shared" si="45"/>
        <v>2022</v>
      </c>
      <c r="F723" t="s">
        <v>4</v>
      </c>
      <c r="G723" t="s">
        <v>179</v>
      </c>
      <c r="H723" t="s">
        <v>1141</v>
      </c>
      <c r="I723">
        <v>200</v>
      </c>
      <c r="J723">
        <v>10</v>
      </c>
      <c r="K723">
        <f t="shared" si="46"/>
        <v>5</v>
      </c>
      <c r="L723" t="s">
        <v>1739</v>
      </c>
      <c r="M723" t="s">
        <v>3747</v>
      </c>
      <c r="O723">
        <v>841226</v>
      </c>
      <c r="P723" t="s">
        <v>546</v>
      </c>
      <c r="Q723" t="s">
        <v>1762</v>
      </c>
      <c r="R723" t="s">
        <v>2</v>
      </c>
      <c r="S723">
        <v>1652.94</v>
      </c>
      <c r="T723">
        <v>3</v>
      </c>
      <c r="U723">
        <v>0</v>
      </c>
      <c r="V723">
        <v>231.41159999999999</v>
      </c>
      <c r="W723">
        <f t="shared" si="47"/>
        <v>473.84280000000007</v>
      </c>
      <c r="X723">
        <v>4</v>
      </c>
    </row>
    <row r="724" spans="1:24" x14ac:dyDescent="0.3">
      <c r="A724">
        <v>723</v>
      </c>
      <c r="B724" t="s">
        <v>2493</v>
      </c>
      <c r="C724" s="6">
        <v>44919</v>
      </c>
      <c r="D724" t="str">
        <f t="shared" si="44"/>
        <v>Dec</v>
      </c>
      <c r="E724" t="str">
        <f t="shared" si="45"/>
        <v>2022</v>
      </c>
      <c r="F724" t="s">
        <v>4</v>
      </c>
      <c r="G724" t="s">
        <v>179</v>
      </c>
      <c r="H724" t="s">
        <v>1142</v>
      </c>
      <c r="I724">
        <v>210</v>
      </c>
      <c r="J724">
        <v>30</v>
      </c>
      <c r="K724">
        <f t="shared" si="46"/>
        <v>14.285714285714285</v>
      </c>
      <c r="L724" t="s">
        <v>1738</v>
      </c>
      <c r="M724" t="s">
        <v>3807</v>
      </c>
      <c r="N724" t="s">
        <v>1</v>
      </c>
      <c r="O724">
        <v>560091</v>
      </c>
      <c r="P724" t="s">
        <v>546</v>
      </c>
      <c r="Q724" t="s">
        <v>1775</v>
      </c>
      <c r="S724">
        <v>296.37</v>
      </c>
      <c r="T724">
        <v>3</v>
      </c>
      <c r="U724">
        <v>0</v>
      </c>
      <c r="V724">
        <v>80.019900000000007</v>
      </c>
      <c r="W724">
        <f t="shared" si="47"/>
        <v>72.116699999999994</v>
      </c>
      <c r="X724">
        <v>1</v>
      </c>
    </row>
    <row r="725" spans="1:24" x14ac:dyDescent="0.3">
      <c r="A725">
        <v>724</v>
      </c>
      <c r="B725" t="s">
        <v>2494</v>
      </c>
      <c r="C725" s="6">
        <v>44920</v>
      </c>
      <c r="D725" t="str">
        <f t="shared" si="44"/>
        <v>Dec</v>
      </c>
      <c r="E725" t="str">
        <f t="shared" si="45"/>
        <v>2022</v>
      </c>
      <c r="F725" t="s">
        <v>4</v>
      </c>
      <c r="G725" t="s">
        <v>287</v>
      </c>
      <c r="H725" t="s">
        <v>1143</v>
      </c>
      <c r="I725">
        <v>250</v>
      </c>
      <c r="J725">
        <v>22</v>
      </c>
      <c r="K725">
        <f t="shared" si="46"/>
        <v>8.7999999999999989</v>
      </c>
      <c r="L725" t="s">
        <v>1737</v>
      </c>
      <c r="M725" t="s">
        <v>3808</v>
      </c>
      <c r="O725">
        <v>110016</v>
      </c>
      <c r="P725" t="s">
        <v>546</v>
      </c>
      <c r="Q725" t="s">
        <v>1773</v>
      </c>
      <c r="S725">
        <v>129.91999999999999</v>
      </c>
      <c r="T725">
        <v>5</v>
      </c>
      <c r="U725">
        <v>0.2</v>
      </c>
      <c r="V725">
        <v>21.111999999999998</v>
      </c>
      <c r="W725">
        <f t="shared" si="47"/>
        <v>21.761599999999998</v>
      </c>
      <c r="X725">
        <v>2</v>
      </c>
    </row>
    <row r="726" spans="1:24" x14ac:dyDescent="0.3">
      <c r="A726">
        <v>725</v>
      </c>
      <c r="B726" t="s">
        <v>2495</v>
      </c>
      <c r="C726" s="6">
        <v>44921</v>
      </c>
      <c r="D726" t="str">
        <f t="shared" si="44"/>
        <v>Dec</v>
      </c>
      <c r="E726" t="str">
        <f t="shared" si="45"/>
        <v>2022</v>
      </c>
      <c r="F726" t="s">
        <v>4</v>
      </c>
      <c r="G726" t="s">
        <v>288</v>
      </c>
      <c r="H726" t="s">
        <v>1144</v>
      </c>
      <c r="I726">
        <v>180</v>
      </c>
      <c r="J726">
        <v>20</v>
      </c>
      <c r="K726">
        <f t="shared" si="46"/>
        <v>11.111111111111111</v>
      </c>
      <c r="L726" t="s">
        <v>1743</v>
      </c>
      <c r="M726" t="s">
        <v>3809</v>
      </c>
      <c r="O726">
        <v>302019</v>
      </c>
      <c r="P726" t="s">
        <v>546</v>
      </c>
      <c r="Q726" t="s">
        <v>1773</v>
      </c>
      <c r="S726">
        <v>45.584000000000003</v>
      </c>
      <c r="T726">
        <v>7</v>
      </c>
      <c r="U726">
        <v>0.2</v>
      </c>
      <c r="V726">
        <v>5.1281999999999996</v>
      </c>
      <c r="W726">
        <f t="shared" si="47"/>
        <v>5.7794000000000008</v>
      </c>
      <c r="X726">
        <v>1</v>
      </c>
    </row>
    <row r="727" spans="1:24" x14ac:dyDescent="0.3">
      <c r="A727">
        <v>726</v>
      </c>
      <c r="B727" t="s">
        <v>2496</v>
      </c>
      <c r="C727" s="6">
        <v>44922</v>
      </c>
      <c r="D727" t="str">
        <f t="shared" si="44"/>
        <v>Dec</v>
      </c>
      <c r="E727" t="str">
        <f t="shared" si="45"/>
        <v>2022</v>
      </c>
      <c r="F727" t="s">
        <v>4</v>
      </c>
      <c r="G727" t="s">
        <v>289</v>
      </c>
      <c r="H727" t="s">
        <v>1145</v>
      </c>
      <c r="I727">
        <v>170</v>
      </c>
      <c r="J727">
        <v>12</v>
      </c>
      <c r="K727">
        <f t="shared" si="46"/>
        <v>7.0588235294117645</v>
      </c>
      <c r="L727" t="s">
        <v>1738</v>
      </c>
      <c r="M727" t="s">
        <v>3681</v>
      </c>
      <c r="N727" t="s">
        <v>1</v>
      </c>
      <c r="O727">
        <v>390006</v>
      </c>
      <c r="P727" t="s">
        <v>546</v>
      </c>
      <c r="Q727" t="s">
        <v>1759</v>
      </c>
      <c r="S727">
        <v>17.568000000000001</v>
      </c>
      <c r="T727">
        <v>2</v>
      </c>
      <c r="U727">
        <v>0.2</v>
      </c>
      <c r="V727">
        <v>6.3684000000000003</v>
      </c>
      <c r="W727">
        <f t="shared" si="47"/>
        <v>5.5998000000000001</v>
      </c>
      <c r="X727">
        <v>1</v>
      </c>
    </row>
    <row r="728" spans="1:24" x14ac:dyDescent="0.3">
      <c r="A728">
        <v>727</v>
      </c>
      <c r="B728" t="s">
        <v>2497</v>
      </c>
      <c r="C728" s="6">
        <v>44923</v>
      </c>
      <c r="D728" t="str">
        <f t="shared" si="44"/>
        <v>Dec</v>
      </c>
      <c r="E728" t="str">
        <f t="shared" si="45"/>
        <v>2022</v>
      </c>
      <c r="F728" t="s">
        <v>4</v>
      </c>
      <c r="G728" t="s">
        <v>289</v>
      </c>
      <c r="H728" t="s">
        <v>1146</v>
      </c>
      <c r="I728">
        <v>120</v>
      </c>
      <c r="J728">
        <v>8</v>
      </c>
      <c r="K728">
        <f t="shared" si="46"/>
        <v>6.666666666666667</v>
      </c>
      <c r="L728" t="s">
        <v>1739</v>
      </c>
      <c r="M728" t="s">
        <v>3682</v>
      </c>
      <c r="N728" t="s">
        <v>1</v>
      </c>
      <c r="O728">
        <v>500028</v>
      </c>
      <c r="P728" t="s">
        <v>546</v>
      </c>
      <c r="Q728" t="s">
        <v>1764</v>
      </c>
      <c r="S728">
        <v>55.991999999999997</v>
      </c>
      <c r="T728">
        <v>1</v>
      </c>
      <c r="U728">
        <v>0.2</v>
      </c>
      <c r="V728">
        <v>5.5991999999999997</v>
      </c>
      <c r="W728">
        <f t="shared" si="47"/>
        <v>50.392799999999994</v>
      </c>
      <c r="X728">
        <v>1</v>
      </c>
    </row>
    <row r="729" spans="1:24" x14ac:dyDescent="0.3">
      <c r="A729">
        <v>728</v>
      </c>
      <c r="B729" t="s">
        <v>2498</v>
      </c>
      <c r="C729" s="6">
        <v>44924</v>
      </c>
      <c r="D729" t="str">
        <f t="shared" si="44"/>
        <v>Dec</v>
      </c>
      <c r="E729" t="str">
        <f t="shared" si="45"/>
        <v>2022</v>
      </c>
      <c r="F729" t="s">
        <v>5</v>
      </c>
      <c r="G729" t="s">
        <v>290</v>
      </c>
      <c r="H729" t="s">
        <v>1147</v>
      </c>
      <c r="I729">
        <v>220</v>
      </c>
      <c r="J729">
        <v>14</v>
      </c>
      <c r="K729">
        <f t="shared" si="46"/>
        <v>6.3636363636363633</v>
      </c>
      <c r="L729" t="s">
        <v>1741</v>
      </c>
      <c r="M729" t="s">
        <v>3810</v>
      </c>
      <c r="N729" t="s">
        <v>1</v>
      </c>
      <c r="O729">
        <v>534004</v>
      </c>
      <c r="P729" t="s">
        <v>546</v>
      </c>
      <c r="Q729" t="s">
        <v>1762</v>
      </c>
      <c r="R729" t="s">
        <v>2</v>
      </c>
      <c r="S729">
        <v>182.72</v>
      </c>
      <c r="T729">
        <v>8</v>
      </c>
      <c r="U729">
        <v>0</v>
      </c>
      <c r="V729">
        <v>84.051199999999994</v>
      </c>
      <c r="W729">
        <f t="shared" si="47"/>
        <v>12.333600000000001</v>
      </c>
      <c r="X729">
        <v>4</v>
      </c>
    </row>
    <row r="730" spans="1:24" x14ac:dyDescent="0.3">
      <c r="A730">
        <v>729</v>
      </c>
      <c r="B730" t="s">
        <v>2499</v>
      </c>
      <c r="C730" s="6">
        <v>44925</v>
      </c>
      <c r="D730" t="str">
        <f t="shared" si="44"/>
        <v>Dec</v>
      </c>
      <c r="E730" t="str">
        <f t="shared" si="45"/>
        <v>2022</v>
      </c>
      <c r="F730" t="s">
        <v>5</v>
      </c>
      <c r="G730" t="s">
        <v>290</v>
      </c>
      <c r="H730" t="s">
        <v>1148</v>
      </c>
      <c r="I730">
        <v>110</v>
      </c>
      <c r="J730">
        <v>18</v>
      </c>
      <c r="K730">
        <f t="shared" si="46"/>
        <v>16.363636363636363</v>
      </c>
      <c r="L730" t="s">
        <v>1736</v>
      </c>
      <c r="M730" t="s">
        <v>3673</v>
      </c>
      <c r="N730" t="s">
        <v>1</v>
      </c>
      <c r="O730">
        <v>401107</v>
      </c>
      <c r="P730" t="s">
        <v>546</v>
      </c>
      <c r="Q730" t="s">
        <v>1759</v>
      </c>
      <c r="S730">
        <v>400.03199999999998</v>
      </c>
      <c r="T730">
        <v>2</v>
      </c>
      <c r="U730">
        <v>0.4</v>
      </c>
      <c r="V730">
        <v>-153.34559999999999</v>
      </c>
      <c r="W730">
        <f t="shared" si="47"/>
        <v>276.68880000000001</v>
      </c>
      <c r="X730">
        <v>1</v>
      </c>
    </row>
    <row r="731" spans="1:24" x14ac:dyDescent="0.3">
      <c r="A731">
        <v>730</v>
      </c>
      <c r="B731" t="s">
        <v>2500</v>
      </c>
      <c r="C731" s="6">
        <v>44926</v>
      </c>
      <c r="D731" t="str">
        <f t="shared" si="44"/>
        <v>Dec</v>
      </c>
      <c r="E731" t="str">
        <f t="shared" si="45"/>
        <v>2022</v>
      </c>
      <c r="F731" t="s">
        <v>5</v>
      </c>
      <c r="G731" t="s">
        <v>290</v>
      </c>
      <c r="H731" t="s">
        <v>1149</v>
      </c>
      <c r="I731">
        <v>240</v>
      </c>
      <c r="J731">
        <v>18</v>
      </c>
      <c r="K731">
        <f t="shared" si="46"/>
        <v>7.5</v>
      </c>
      <c r="L731" t="s">
        <v>1744</v>
      </c>
      <c r="M731" t="s">
        <v>3746</v>
      </c>
      <c r="O731">
        <v>302019</v>
      </c>
      <c r="P731" t="s">
        <v>546</v>
      </c>
      <c r="Q731" t="s">
        <v>1767</v>
      </c>
      <c r="S731">
        <v>33.630000000000003</v>
      </c>
      <c r="T731">
        <v>3</v>
      </c>
      <c r="U731">
        <v>0</v>
      </c>
      <c r="V731">
        <v>10.089</v>
      </c>
      <c r="W731">
        <f t="shared" si="47"/>
        <v>7.8470000000000013</v>
      </c>
      <c r="X731">
        <v>1</v>
      </c>
    </row>
    <row r="732" spans="1:24" x14ac:dyDescent="0.3">
      <c r="A732">
        <v>731</v>
      </c>
      <c r="B732" t="s">
        <v>2501</v>
      </c>
      <c r="C732" s="6">
        <v>44927</v>
      </c>
      <c r="D732" t="str">
        <f t="shared" si="44"/>
        <v>Jan</v>
      </c>
      <c r="E732" t="str">
        <f t="shared" si="45"/>
        <v>2023</v>
      </c>
      <c r="F732" t="s">
        <v>5</v>
      </c>
      <c r="G732" t="s">
        <v>290</v>
      </c>
      <c r="H732" t="s">
        <v>775</v>
      </c>
      <c r="I732">
        <v>230</v>
      </c>
      <c r="J732">
        <v>6</v>
      </c>
      <c r="K732">
        <f t="shared" si="46"/>
        <v>2.6086956521739131</v>
      </c>
      <c r="L732" t="s">
        <v>1740</v>
      </c>
      <c r="M732" t="s">
        <v>3811</v>
      </c>
      <c r="N732" t="s">
        <v>1</v>
      </c>
      <c r="O732">
        <v>600018</v>
      </c>
      <c r="P732" t="s">
        <v>546</v>
      </c>
      <c r="Q732" t="s">
        <v>1755</v>
      </c>
      <c r="S732">
        <v>542.64599999999996</v>
      </c>
      <c r="T732">
        <v>3</v>
      </c>
      <c r="U732">
        <v>0.1</v>
      </c>
      <c r="V732">
        <v>102.49979999999999</v>
      </c>
      <c r="W732">
        <f t="shared" si="47"/>
        <v>146.71539999999999</v>
      </c>
      <c r="X732">
        <v>2</v>
      </c>
    </row>
    <row r="733" spans="1:24" x14ac:dyDescent="0.3">
      <c r="A733">
        <v>732</v>
      </c>
      <c r="B733" t="s">
        <v>2502</v>
      </c>
      <c r="C733" s="6">
        <v>44928</v>
      </c>
      <c r="D733" t="str">
        <f t="shared" si="44"/>
        <v>Jan</v>
      </c>
      <c r="E733" t="str">
        <f t="shared" si="45"/>
        <v>2023</v>
      </c>
      <c r="F733" t="s">
        <v>5</v>
      </c>
      <c r="G733" t="s">
        <v>290</v>
      </c>
      <c r="H733" t="s">
        <v>942</v>
      </c>
      <c r="I733">
        <v>160</v>
      </c>
      <c r="J733">
        <v>16</v>
      </c>
      <c r="K733">
        <f t="shared" si="46"/>
        <v>10</v>
      </c>
      <c r="L733" t="s">
        <v>1742</v>
      </c>
      <c r="M733" t="s">
        <v>3656</v>
      </c>
      <c r="N733" t="s">
        <v>1</v>
      </c>
      <c r="O733">
        <v>600004</v>
      </c>
      <c r="P733" t="s">
        <v>546</v>
      </c>
      <c r="Q733" t="s">
        <v>1765</v>
      </c>
      <c r="S733">
        <v>6.3</v>
      </c>
      <c r="T733">
        <v>2</v>
      </c>
      <c r="U733">
        <v>0</v>
      </c>
      <c r="V733">
        <v>3.024</v>
      </c>
      <c r="W733">
        <f t="shared" si="47"/>
        <v>1.6379999999999999</v>
      </c>
      <c r="X733">
        <v>5</v>
      </c>
    </row>
    <row r="734" spans="1:24" x14ac:dyDescent="0.3">
      <c r="A734">
        <v>733</v>
      </c>
      <c r="B734" t="s">
        <v>2503</v>
      </c>
      <c r="C734" s="6">
        <v>44929</v>
      </c>
      <c r="D734" t="str">
        <f t="shared" si="44"/>
        <v>Jan</v>
      </c>
      <c r="E734" t="str">
        <f t="shared" si="45"/>
        <v>2023</v>
      </c>
      <c r="F734" t="s">
        <v>4</v>
      </c>
      <c r="G734" t="s">
        <v>291</v>
      </c>
      <c r="H734" t="s">
        <v>1006</v>
      </c>
      <c r="I734">
        <v>100</v>
      </c>
      <c r="J734">
        <v>16</v>
      </c>
      <c r="K734">
        <f t="shared" si="46"/>
        <v>16</v>
      </c>
      <c r="L734" t="s">
        <v>1739</v>
      </c>
      <c r="M734" t="s">
        <v>3637</v>
      </c>
      <c r="N734" t="s">
        <v>1</v>
      </c>
      <c r="O734">
        <v>411038</v>
      </c>
      <c r="P734" t="s">
        <v>546</v>
      </c>
      <c r="Q734" t="s">
        <v>1755</v>
      </c>
      <c r="S734">
        <v>242.94</v>
      </c>
      <c r="T734">
        <v>3</v>
      </c>
      <c r="U734">
        <v>0</v>
      </c>
      <c r="V734">
        <v>9.7175999999999991</v>
      </c>
      <c r="W734">
        <f t="shared" si="47"/>
        <v>77.740799999999993</v>
      </c>
      <c r="X734">
        <v>3</v>
      </c>
    </row>
    <row r="735" spans="1:24" x14ac:dyDescent="0.3">
      <c r="A735">
        <v>734</v>
      </c>
      <c r="B735" t="s">
        <v>2504</v>
      </c>
      <c r="C735" s="6">
        <v>44930</v>
      </c>
      <c r="D735" t="str">
        <f t="shared" si="44"/>
        <v>Jan</v>
      </c>
      <c r="E735" t="str">
        <f t="shared" si="45"/>
        <v>2023</v>
      </c>
      <c r="F735" t="s">
        <v>4</v>
      </c>
      <c r="G735" t="s">
        <v>291</v>
      </c>
      <c r="H735" t="s">
        <v>1150</v>
      </c>
      <c r="I735">
        <v>140</v>
      </c>
      <c r="J735">
        <v>24</v>
      </c>
      <c r="K735">
        <f t="shared" si="46"/>
        <v>17.142857142857142</v>
      </c>
      <c r="L735" t="s">
        <v>1738</v>
      </c>
      <c r="M735" t="s">
        <v>3812</v>
      </c>
      <c r="O735">
        <v>400101</v>
      </c>
      <c r="P735" t="s">
        <v>546</v>
      </c>
      <c r="Q735" t="s">
        <v>1767</v>
      </c>
      <c r="S735">
        <v>179.97</v>
      </c>
      <c r="T735">
        <v>3</v>
      </c>
      <c r="U735">
        <v>0</v>
      </c>
      <c r="V735">
        <v>86.385599999999997</v>
      </c>
      <c r="W735">
        <f t="shared" si="47"/>
        <v>31.194800000000001</v>
      </c>
      <c r="X735">
        <v>1</v>
      </c>
    </row>
    <row r="736" spans="1:24" x14ac:dyDescent="0.3">
      <c r="A736">
        <v>735</v>
      </c>
      <c r="B736" t="s">
        <v>2505</v>
      </c>
      <c r="C736" s="6">
        <v>44931</v>
      </c>
      <c r="D736" t="str">
        <f t="shared" si="44"/>
        <v>Jan</v>
      </c>
      <c r="E736" t="str">
        <f t="shared" si="45"/>
        <v>2023</v>
      </c>
      <c r="F736" t="s">
        <v>4</v>
      </c>
      <c r="G736" t="s">
        <v>291</v>
      </c>
      <c r="H736" t="s">
        <v>897</v>
      </c>
      <c r="I736">
        <v>160</v>
      </c>
      <c r="J736">
        <v>8</v>
      </c>
      <c r="K736">
        <f t="shared" si="46"/>
        <v>5</v>
      </c>
      <c r="L736" t="s">
        <v>1737</v>
      </c>
      <c r="M736" t="s">
        <v>3813</v>
      </c>
      <c r="N736" t="s">
        <v>1</v>
      </c>
      <c r="O736">
        <v>560076</v>
      </c>
      <c r="P736" t="s">
        <v>546</v>
      </c>
      <c r="Q736" t="s">
        <v>1776</v>
      </c>
      <c r="S736">
        <v>99.695999999999998</v>
      </c>
      <c r="T736">
        <v>6</v>
      </c>
      <c r="U736">
        <v>0.2</v>
      </c>
      <c r="V736">
        <v>33.647399999999998</v>
      </c>
      <c r="W736">
        <f t="shared" si="47"/>
        <v>11.008099999999999</v>
      </c>
      <c r="X736">
        <v>5</v>
      </c>
    </row>
    <row r="737" spans="1:24" x14ac:dyDescent="0.3">
      <c r="A737">
        <v>736</v>
      </c>
      <c r="B737" t="s">
        <v>2506</v>
      </c>
      <c r="C737" s="6">
        <v>44932</v>
      </c>
      <c r="D737" t="str">
        <f t="shared" si="44"/>
        <v>Jan</v>
      </c>
      <c r="E737" t="str">
        <f t="shared" si="45"/>
        <v>2023</v>
      </c>
      <c r="F737" t="s">
        <v>4</v>
      </c>
      <c r="G737" t="s">
        <v>291</v>
      </c>
      <c r="H737" t="s">
        <v>591</v>
      </c>
      <c r="I737">
        <v>190</v>
      </c>
      <c r="J737">
        <v>16</v>
      </c>
      <c r="K737">
        <f t="shared" si="46"/>
        <v>8.4210526315789469</v>
      </c>
      <c r="L737" t="s">
        <v>1743</v>
      </c>
      <c r="M737" t="s">
        <v>3610</v>
      </c>
      <c r="N737" t="s">
        <v>1</v>
      </c>
      <c r="O737">
        <v>400066</v>
      </c>
      <c r="P737" t="s">
        <v>546</v>
      </c>
      <c r="Q737" t="s">
        <v>1770</v>
      </c>
      <c r="S737">
        <v>27.936</v>
      </c>
      <c r="T737">
        <v>4</v>
      </c>
      <c r="U737">
        <v>0.2</v>
      </c>
      <c r="V737">
        <v>9.4283999999999999</v>
      </c>
      <c r="W737">
        <f t="shared" si="47"/>
        <v>4.6269</v>
      </c>
      <c r="X737">
        <v>2</v>
      </c>
    </row>
    <row r="738" spans="1:24" x14ac:dyDescent="0.3">
      <c r="A738">
        <v>737</v>
      </c>
      <c r="B738" t="s">
        <v>2507</v>
      </c>
      <c r="C738" s="6">
        <v>44933</v>
      </c>
      <c r="D738" t="str">
        <f t="shared" si="44"/>
        <v>Jan</v>
      </c>
      <c r="E738" t="str">
        <f t="shared" si="45"/>
        <v>2023</v>
      </c>
      <c r="F738" t="s">
        <v>4</v>
      </c>
      <c r="G738" t="s">
        <v>291</v>
      </c>
      <c r="H738" t="s">
        <v>1151</v>
      </c>
      <c r="I738">
        <v>180</v>
      </c>
      <c r="J738">
        <v>24</v>
      </c>
      <c r="K738">
        <f t="shared" si="46"/>
        <v>13.333333333333334</v>
      </c>
      <c r="L738" t="s">
        <v>1738</v>
      </c>
      <c r="M738" t="s">
        <v>3814</v>
      </c>
      <c r="N738" t="s">
        <v>1</v>
      </c>
      <c r="O738">
        <v>781031</v>
      </c>
      <c r="P738" t="s">
        <v>546</v>
      </c>
      <c r="Q738" t="s">
        <v>1768</v>
      </c>
      <c r="S738">
        <v>84.98</v>
      </c>
      <c r="T738">
        <v>1</v>
      </c>
      <c r="U738">
        <v>0</v>
      </c>
      <c r="V738">
        <v>18.695599999999999</v>
      </c>
      <c r="W738">
        <f t="shared" si="47"/>
        <v>66.284400000000005</v>
      </c>
      <c r="X738">
        <v>3</v>
      </c>
    </row>
    <row r="739" spans="1:24" x14ac:dyDescent="0.3">
      <c r="A739">
        <v>738</v>
      </c>
      <c r="B739" t="s">
        <v>2508</v>
      </c>
      <c r="C739" s="6">
        <v>44934</v>
      </c>
      <c r="D739" t="str">
        <f t="shared" si="44"/>
        <v>Jan</v>
      </c>
      <c r="E739" t="str">
        <f t="shared" si="45"/>
        <v>2023</v>
      </c>
      <c r="F739" t="s">
        <v>4</v>
      </c>
      <c r="G739" t="s">
        <v>291</v>
      </c>
      <c r="H739" t="s">
        <v>1152</v>
      </c>
      <c r="I739">
        <v>110</v>
      </c>
      <c r="J739">
        <v>16</v>
      </c>
      <c r="K739">
        <f t="shared" si="46"/>
        <v>14.545454545454545</v>
      </c>
      <c r="L739" t="s">
        <v>1739</v>
      </c>
      <c r="M739" t="s">
        <v>3707</v>
      </c>
      <c r="N739" t="s">
        <v>1</v>
      </c>
      <c r="O739">
        <v>781003</v>
      </c>
      <c r="P739" t="s">
        <v>546</v>
      </c>
      <c r="Q739" t="s">
        <v>1765</v>
      </c>
      <c r="S739">
        <v>18.72</v>
      </c>
      <c r="T739">
        <v>5</v>
      </c>
      <c r="U739">
        <v>0.2</v>
      </c>
      <c r="V739">
        <v>6.5519999999999996</v>
      </c>
      <c r="W739">
        <f t="shared" si="47"/>
        <v>2.4335999999999998</v>
      </c>
      <c r="X739">
        <v>1</v>
      </c>
    </row>
    <row r="740" spans="1:24" x14ac:dyDescent="0.3">
      <c r="A740">
        <v>739</v>
      </c>
      <c r="B740" t="s">
        <v>2509</v>
      </c>
      <c r="C740" s="6">
        <v>44935</v>
      </c>
      <c r="D740" t="str">
        <f t="shared" si="44"/>
        <v>Jan</v>
      </c>
      <c r="E740" t="str">
        <f t="shared" si="45"/>
        <v>2023</v>
      </c>
      <c r="F740" t="s">
        <v>4</v>
      </c>
      <c r="G740" t="s">
        <v>54</v>
      </c>
      <c r="H740" t="s">
        <v>1153</v>
      </c>
      <c r="I740">
        <v>150</v>
      </c>
      <c r="J740">
        <v>26</v>
      </c>
      <c r="K740">
        <f t="shared" si="46"/>
        <v>17.333333333333336</v>
      </c>
      <c r="L740" t="s">
        <v>1741</v>
      </c>
      <c r="M740" t="s">
        <v>3815</v>
      </c>
      <c r="N740" t="s">
        <v>1</v>
      </c>
      <c r="O740">
        <v>110095</v>
      </c>
      <c r="P740" t="s">
        <v>546</v>
      </c>
      <c r="Q740" t="s">
        <v>1767</v>
      </c>
      <c r="S740">
        <v>49.98</v>
      </c>
      <c r="T740">
        <v>2</v>
      </c>
      <c r="U740">
        <v>0</v>
      </c>
      <c r="V740">
        <v>8.4966000000000008</v>
      </c>
      <c r="W740">
        <f t="shared" si="47"/>
        <v>20.741699999999998</v>
      </c>
      <c r="X740">
        <v>4</v>
      </c>
    </row>
    <row r="741" spans="1:24" x14ac:dyDescent="0.3">
      <c r="A741">
        <v>740</v>
      </c>
      <c r="B741" t="s">
        <v>2510</v>
      </c>
      <c r="C741" s="6">
        <v>44936</v>
      </c>
      <c r="D741" t="str">
        <f t="shared" si="44"/>
        <v>Jan</v>
      </c>
      <c r="E741" t="str">
        <f t="shared" si="45"/>
        <v>2023</v>
      </c>
      <c r="F741" t="s">
        <v>4</v>
      </c>
      <c r="G741" t="s">
        <v>292</v>
      </c>
      <c r="H741" t="s">
        <v>1154</v>
      </c>
      <c r="I741">
        <v>100</v>
      </c>
      <c r="J741">
        <v>12</v>
      </c>
      <c r="K741">
        <f t="shared" si="46"/>
        <v>12</v>
      </c>
      <c r="L741" t="s">
        <v>1736</v>
      </c>
      <c r="M741" t="s">
        <v>3653</v>
      </c>
      <c r="N741" t="s">
        <v>1</v>
      </c>
      <c r="O741">
        <v>560100</v>
      </c>
      <c r="P741" t="s">
        <v>546</v>
      </c>
      <c r="Q741" t="s">
        <v>1757</v>
      </c>
      <c r="R741" t="s">
        <v>2</v>
      </c>
      <c r="S741">
        <v>11.784000000000001</v>
      </c>
      <c r="T741">
        <v>3</v>
      </c>
      <c r="U741">
        <v>0.2</v>
      </c>
      <c r="V741">
        <v>4.2717000000000001</v>
      </c>
      <c r="W741">
        <f t="shared" si="47"/>
        <v>2.5041000000000002</v>
      </c>
      <c r="X741">
        <v>2</v>
      </c>
    </row>
    <row r="742" spans="1:24" x14ac:dyDescent="0.3">
      <c r="A742">
        <v>741</v>
      </c>
      <c r="B742" t="s">
        <v>2511</v>
      </c>
      <c r="C742" s="6">
        <v>44937</v>
      </c>
      <c r="D742" t="str">
        <f t="shared" si="44"/>
        <v>Jan</v>
      </c>
      <c r="E742" t="str">
        <f t="shared" si="45"/>
        <v>2023</v>
      </c>
      <c r="F742" t="s">
        <v>4</v>
      </c>
      <c r="G742" t="s">
        <v>292</v>
      </c>
      <c r="H742" t="s">
        <v>965</v>
      </c>
      <c r="I742">
        <v>130</v>
      </c>
      <c r="J742">
        <v>28</v>
      </c>
      <c r="K742">
        <f t="shared" si="46"/>
        <v>21.53846153846154</v>
      </c>
      <c r="L742" t="s">
        <v>1744</v>
      </c>
      <c r="M742" t="s">
        <v>3585</v>
      </c>
      <c r="N742" t="s">
        <v>1</v>
      </c>
      <c r="O742">
        <v>600033</v>
      </c>
      <c r="P742" t="s">
        <v>546</v>
      </c>
      <c r="Q742" t="s">
        <v>1754</v>
      </c>
      <c r="S742">
        <v>272.73599999999999</v>
      </c>
      <c r="T742">
        <v>3</v>
      </c>
      <c r="U742">
        <v>0.2</v>
      </c>
      <c r="V742">
        <v>-64.774799999999999</v>
      </c>
      <c r="W742">
        <f t="shared" si="47"/>
        <v>112.50360000000001</v>
      </c>
      <c r="X742">
        <v>1</v>
      </c>
    </row>
    <row r="743" spans="1:24" x14ac:dyDescent="0.3">
      <c r="A743">
        <v>742</v>
      </c>
      <c r="B743" t="s">
        <v>2512</v>
      </c>
      <c r="C743" s="6">
        <v>44938</v>
      </c>
      <c r="D743" t="str">
        <f t="shared" si="44"/>
        <v>Jan</v>
      </c>
      <c r="E743" t="str">
        <f t="shared" si="45"/>
        <v>2023</v>
      </c>
      <c r="F743" t="s">
        <v>4</v>
      </c>
      <c r="G743" t="s">
        <v>292</v>
      </c>
      <c r="H743" t="s">
        <v>1155</v>
      </c>
      <c r="I743">
        <v>200</v>
      </c>
      <c r="J743">
        <v>26</v>
      </c>
      <c r="K743">
        <f t="shared" si="46"/>
        <v>13</v>
      </c>
      <c r="L743" t="s">
        <v>1740</v>
      </c>
      <c r="M743" t="s">
        <v>3714</v>
      </c>
      <c r="N743" t="s">
        <v>1</v>
      </c>
      <c r="O743">
        <v>600033</v>
      </c>
      <c r="P743" t="s">
        <v>546</v>
      </c>
      <c r="Q743" t="s">
        <v>1766</v>
      </c>
      <c r="S743">
        <v>3.54</v>
      </c>
      <c r="T743">
        <v>2</v>
      </c>
      <c r="U743">
        <v>0.8</v>
      </c>
      <c r="V743">
        <v>-5.4870000000000001</v>
      </c>
      <c r="W743">
        <f t="shared" si="47"/>
        <v>4.5135000000000005</v>
      </c>
      <c r="X743">
        <v>2</v>
      </c>
    </row>
    <row r="744" spans="1:24" x14ac:dyDescent="0.3">
      <c r="A744">
        <v>743</v>
      </c>
      <c r="B744" t="s">
        <v>2513</v>
      </c>
      <c r="C744" s="6">
        <v>44939</v>
      </c>
      <c r="D744" t="str">
        <f t="shared" si="44"/>
        <v>Jan</v>
      </c>
      <c r="E744" t="str">
        <f t="shared" si="45"/>
        <v>2023</v>
      </c>
      <c r="F744" t="s">
        <v>4</v>
      </c>
      <c r="G744" t="s">
        <v>293</v>
      </c>
      <c r="H744" t="s">
        <v>1052</v>
      </c>
      <c r="I744">
        <v>170</v>
      </c>
      <c r="J744">
        <v>16</v>
      </c>
      <c r="K744">
        <f t="shared" si="46"/>
        <v>9.4117647058823533</v>
      </c>
      <c r="L744" t="s">
        <v>1742</v>
      </c>
      <c r="M744" t="s">
        <v>3816</v>
      </c>
      <c r="N744" t="s">
        <v>1</v>
      </c>
      <c r="O744">
        <v>505188</v>
      </c>
      <c r="P744" t="s">
        <v>546</v>
      </c>
      <c r="Q744" t="s">
        <v>1764</v>
      </c>
      <c r="S744">
        <v>51.52</v>
      </c>
      <c r="T744">
        <v>5</v>
      </c>
      <c r="U744">
        <v>0.2</v>
      </c>
      <c r="V744">
        <v>-10.948</v>
      </c>
      <c r="W744">
        <f t="shared" si="47"/>
        <v>12.493600000000001</v>
      </c>
      <c r="X744">
        <v>1</v>
      </c>
    </row>
    <row r="745" spans="1:24" x14ac:dyDescent="0.3">
      <c r="A745">
        <v>744</v>
      </c>
      <c r="B745" t="s">
        <v>2514</v>
      </c>
      <c r="C745" s="6">
        <v>44940</v>
      </c>
      <c r="D745" t="str">
        <f t="shared" si="44"/>
        <v>Jan</v>
      </c>
      <c r="E745" t="str">
        <f t="shared" si="45"/>
        <v>2023</v>
      </c>
      <c r="F745" t="s">
        <v>4</v>
      </c>
      <c r="G745" t="s">
        <v>293</v>
      </c>
      <c r="H745" t="s">
        <v>796</v>
      </c>
      <c r="I745">
        <v>140</v>
      </c>
      <c r="J745">
        <v>30</v>
      </c>
      <c r="K745">
        <f t="shared" si="46"/>
        <v>21.428571428571427</v>
      </c>
      <c r="L745" t="s">
        <v>1739</v>
      </c>
      <c r="M745" t="s">
        <v>3657</v>
      </c>
      <c r="N745" t="s">
        <v>1</v>
      </c>
      <c r="O745">
        <v>743145</v>
      </c>
      <c r="P745" t="s">
        <v>546</v>
      </c>
      <c r="Q745" t="s">
        <v>1759</v>
      </c>
      <c r="S745">
        <v>3.528</v>
      </c>
      <c r="T745">
        <v>1</v>
      </c>
      <c r="U745">
        <v>0.2</v>
      </c>
      <c r="V745">
        <v>1.1466000000000001</v>
      </c>
      <c r="W745">
        <f t="shared" si="47"/>
        <v>2.3814000000000002</v>
      </c>
      <c r="X745">
        <v>5</v>
      </c>
    </row>
    <row r="746" spans="1:24" x14ac:dyDescent="0.3">
      <c r="A746">
        <v>745</v>
      </c>
      <c r="B746" t="s">
        <v>2515</v>
      </c>
      <c r="C746" s="6">
        <v>44941</v>
      </c>
      <c r="D746" t="str">
        <f t="shared" si="44"/>
        <v>Jan</v>
      </c>
      <c r="E746" t="str">
        <f t="shared" si="45"/>
        <v>2023</v>
      </c>
      <c r="F746" t="s">
        <v>4</v>
      </c>
      <c r="G746" t="s">
        <v>293</v>
      </c>
      <c r="H746" t="s">
        <v>1156</v>
      </c>
      <c r="I746">
        <v>130</v>
      </c>
      <c r="J746">
        <v>16</v>
      </c>
      <c r="K746">
        <f t="shared" si="46"/>
        <v>12.307692307692308</v>
      </c>
      <c r="L746" t="s">
        <v>1738</v>
      </c>
      <c r="M746" t="s">
        <v>3817</v>
      </c>
      <c r="N746" t="s">
        <v>1</v>
      </c>
      <c r="O746">
        <v>624703</v>
      </c>
      <c r="P746" t="s">
        <v>546</v>
      </c>
      <c r="Q746" t="s">
        <v>1757</v>
      </c>
      <c r="S746">
        <v>4.6239999999999997</v>
      </c>
      <c r="T746">
        <v>1</v>
      </c>
      <c r="U746">
        <v>0.2</v>
      </c>
      <c r="V746">
        <v>1.6761999999999999</v>
      </c>
      <c r="W746">
        <f t="shared" si="47"/>
        <v>2.9478</v>
      </c>
      <c r="X746">
        <v>5</v>
      </c>
    </row>
    <row r="747" spans="1:24" x14ac:dyDescent="0.3">
      <c r="A747">
        <v>746</v>
      </c>
      <c r="B747" t="s">
        <v>2516</v>
      </c>
      <c r="C747" s="6">
        <v>44942</v>
      </c>
      <c r="D747" t="str">
        <f t="shared" si="44"/>
        <v>Jan</v>
      </c>
      <c r="E747" t="str">
        <f t="shared" si="45"/>
        <v>2023</v>
      </c>
      <c r="F747" t="s">
        <v>4</v>
      </c>
      <c r="G747" t="s">
        <v>293</v>
      </c>
      <c r="H747" t="s">
        <v>1157</v>
      </c>
      <c r="I747">
        <v>170</v>
      </c>
      <c r="J747">
        <v>8</v>
      </c>
      <c r="K747">
        <f t="shared" si="46"/>
        <v>4.7058823529411766</v>
      </c>
      <c r="L747" t="s">
        <v>1737</v>
      </c>
      <c r="M747" t="s">
        <v>3828</v>
      </c>
      <c r="N747" t="s">
        <v>1</v>
      </c>
      <c r="O747">
        <v>201304</v>
      </c>
      <c r="P747" t="s">
        <v>546</v>
      </c>
      <c r="Q747" t="s">
        <v>1757</v>
      </c>
      <c r="S747">
        <v>55.167999999999999</v>
      </c>
      <c r="T747">
        <v>4</v>
      </c>
      <c r="U747">
        <v>0.2</v>
      </c>
      <c r="V747">
        <v>6.2064000000000004</v>
      </c>
      <c r="W747">
        <f t="shared" si="47"/>
        <v>12.240399999999999</v>
      </c>
      <c r="X747">
        <v>2</v>
      </c>
    </row>
    <row r="748" spans="1:24" x14ac:dyDescent="0.3">
      <c r="A748">
        <v>747</v>
      </c>
      <c r="B748" t="s">
        <v>2517</v>
      </c>
      <c r="C748" s="6">
        <v>44943</v>
      </c>
      <c r="D748" t="str">
        <f t="shared" si="44"/>
        <v>Jan</v>
      </c>
      <c r="E748" t="str">
        <f t="shared" si="45"/>
        <v>2023</v>
      </c>
      <c r="F748" t="s">
        <v>6</v>
      </c>
      <c r="G748" t="s">
        <v>193</v>
      </c>
      <c r="H748" t="s">
        <v>770</v>
      </c>
      <c r="I748">
        <v>220</v>
      </c>
      <c r="J748">
        <v>20</v>
      </c>
      <c r="K748">
        <f t="shared" si="46"/>
        <v>9.0909090909090917</v>
      </c>
      <c r="L748" t="s">
        <v>1743</v>
      </c>
      <c r="M748" t="s">
        <v>3829</v>
      </c>
      <c r="N748" t="s">
        <v>1</v>
      </c>
      <c r="O748">
        <v>500024</v>
      </c>
      <c r="P748" t="s">
        <v>546</v>
      </c>
      <c r="Q748" t="s">
        <v>1760</v>
      </c>
      <c r="R748" t="s">
        <v>2</v>
      </c>
      <c r="S748">
        <v>567.12</v>
      </c>
      <c r="T748">
        <v>10</v>
      </c>
      <c r="U748">
        <v>0.2</v>
      </c>
      <c r="V748">
        <v>-28.356000000000002</v>
      </c>
      <c r="W748">
        <f t="shared" si="47"/>
        <v>59.547600000000003</v>
      </c>
      <c r="X748">
        <v>1</v>
      </c>
    </row>
    <row r="749" spans="1:24" x14ac:dyDescent="0.3">
      <c r="A749">
        <v>748</v>
      </c>
      <c r="B749" t="s">
        <v>2518</v>
      </c>
      <c r="C749" s="6">
        <v>44944</v>
      </c>
      <c r="D749" t="str">
        <f t="shared" si="44"/>
        <v>Jan</v>
      </c>
      <c r="E749" t="str">
        <f t="shared" si="45"/>
        <v>2023</v>
      </c>
      <c r="F749" t="s">
        <v>6</v>
      </c>
      <c r="G749" t="s">
        <v>193</v>
      </c>
      <c r="H749" t="s">
        <v>982</v>
      </c>
      <c r="I749">
        <v>150</v>
      </c>
      <c r="J749">
        <v>28</v>
      </c>
      <c r="K749">
        <f t="shared" si="46"/>
        <v>18.666666666666668</v>
      </c>
      <c r="L749" t="s">
        <v>1738</v>
      </c>
      <c r="M749" t="s">
        <v>3788</v>
      </c>
      <c r="N749" t="s">
        <v>1</v>
      </c>
      <c r="O749">
        <v>575003</v>
      </c>
      <c r="P749" t="s">
        <v>546</v>
      </c>
      <c r="Q749" t="s">
        <v>1764</v>
      </c>
      <c r="S749">
        <v>359.32</v>
      </c>
      <c r="T749">
        <v>4</v>
      </c>
      <c r="U749">
        <v>0</v>
      </c>
      <c r="V749">
        <v>7.1863999999999999</v>
      </c>
      <c r="W749">
        <f t="shared" si="47"/>
        <v>88.0334</v>
      </c>
      <c r="X749">
        <v>2</v>
      </c>
    </row>
    <row r="750" spans="1:24" x14ac:dyDescent="0.3">
      <c r="A750">
        <v>749</v>
      </c>
      <c r="B750" t="s">
        <v>2519</v>
      </c>
      <c r="C750" s="6">
        <v>44945</v>
      </c>
      <c r="D750" t="str">
        <f t="shared" si="44"/>
        <v>Jan</v>
      </c>
      <c r="E750" t="str">
        <f t="shared" si="45"/>
        <v>2023</v>
      </c>
      <c r="F750" t="s">
        <v>3</v>
      </c>
      <c r="G750" t="s">
        <v>294</v>
      </c>
      <c r="H750" t="s">
        <v>1158</v>
      </c>
      <c r="I750">
        <v>180</v>
      </c>
      <c r="J750">
        <v>10</v>
      </c>
      <c r="K750">
        <f t="shared" si="46"/>
        <v>5.5555555555555554</v>
      </c>
      <c r="L750" t="s">
        <v>1739</v>
      </c>
      <c r="M750" t="s">
        <v>3721</v>
      </c>
      <c r="N750" t="s">
        <v>1</v>
      </c>
      <c r="O750">
        <v>712103</v>
      </c>
      <c r="P750" t="s">
        <v>546</v>
      </c>
      <c r="Q750" t="s">
        <v>1758</v>
      </c>
      <c r="S750">
        <v>11.992000000000001</v>
      </c>
      <c r="T750">
        <v>1</v>
      </c>
      <c r="U750">
        <v>0.2</v>
      </c>
      <c r="V750">
        <v>0.89939999999999998</v>
      </c>
      <c r="W750">
        <f t="shared" si="47"/>
        <v>11.092600000000001</v>
      </c>
      <c r="X750">
        <v>1</v>
      </c>
    </row>
    <row r="751" spans="1:24" x14ac:dyDescent="0.3">
      <c r="A751">
        <v>750</v>
      </c>
      <c r="B751" t="s">
        <v>2520</v>
      </c>
      <c r="C751" s="6">
        <v>44946</v>
      </c>
      <c r="D751" t="str">
        <f t="shared" si="44"/>
        <v>Jan</v>
      </c>
      <c r="E751" t="str">
        <f t="shared" si="45"/>
        <v>2023</v>
      </c>
      <c r="F751" t="s">
        <v>4</v>
      </c>
      <c r="G751" t="s">
        <v>295</v>
      </c>
      <c r="H751" t="s">
        <v>1159</v>
      </c>
      <c r="I751">
        <v>160</v>
      </c>
      <c r="J751">
        <v>18</v>
      </c>
      <c r="K751">
        <f t="shared" si="46"/>
        <v>11.25</v>
      </c>
      <c r="L751" t="s">
        <v>1741</v>
      </c>
      <c r="M751" t="s">
        <v>3781</v>
      </c>
      <c r="N751" t="s">
        <v>1</v>
      </c>
      <c r="O751">
        <v>562125</v>
      </c>
      <c r="P751" t="s">
        <v>546</v>
      </c>
      <c r="Q751" t="s">
        <v>1758</v>
      </c>
      <c r="R751" t="s">
        <v>2</v>
      </c>
      <c r="S751">
        <v>58.05</v>
      </c>
      <c r="T751">
        <v>3</v>
      </c>
      <c r="U751">
        <v>0</v>
      </c>
      <c r="V751">
        <v>26.702999999999999</v>
      </c>
      <c r="W751">
        <f t="shared" si="47"/>
        <v>10.449</v>
      </c>
      <c r="X751">
        <v>1</v>
      </c>
    </row>
    <row r="752" spans="1:24" x14ac:dyDescent="0.3">
      <c r="A752">
        <v>751</v>
      </c>
      <c r="B752" t="s">
        <v>2521</v>
      </c>
      <c r="C752" s="6">
        <v>44947</v>
      </c>
      <c r="D752" t="str">
        <f t="shared" si="44"/>
        <v>Jan</v>
      </c>
      <c r="E752" t="str">
        <f t="shared" si="45"/>
        <v>2023</v>
      </c>
      <c r="F752" t="s">
        <v>4</v>
      </c>
      <c r="G752" t="s">
        <v>295</v>
      </c>
      <c r="H752" t="s">
        <v>1160</v>
      </c>
      <c r="I752">
        <v>110</v>
      </c>
      <c r="J752">
        <v>20</v>
      </c>
      <c r="K752">
        <f t="shared" si="46"/>
        <v>18.181818181818183</v>
      </c>
      <c r="L752" t="s">
        <v>1736</v>
      </c>
      <c r="M752" t="s">
        <v>3673</v>
      </c>
      <c r="N752" t="s">
        <v>1</v>
      </c>
      <c r="O752">
        <v>248002</v>
      </c>
      <c r="P752" t="s">
        <v>546</v>
      </c>
      <c r="Q752" t="s">
        <v>1774</v>
      </c>
      <c r="S752">
        <v>157.74</v>
      </c>
      <c r="T752">
        <v>11</v>
      </c>
      <c r="U752">
        <v>0</v>
      </c>
      <c r="V752">
        <v>56.7864</v>
      </c>
      <c r="W752">
        <f t="shared" si="47"/>
        <v>9.1776</v>
      </c>
      <c r="X752">
        <v>1</v>
      </c>
    </row>
    <row r="753" spans="1:24" x14ac:dyDescent="0.3">
      <c r="A753">
        <v>752</v>
      </c>
      <c r="B753" t="s">
        <v>2522</v>
      </c>
      <c r="C753" s="6">
        <v>44948</v>
      </c>
      <c r="D753" t="str">
        <f t="shared" si="44"/>
        <v>Jan</v>
      </c>
      <c r="E753" t="str">
        <f t="shared" si="45"/>
        <v>2023</v>
      </c>
      <c r="F753" t="s">
        <v>4</v>
      </c>
      <c r="G753" t="s">
        <v>295</v>
      </c>
      <c r="H753" t="s">
        <v>906</v>
      </c>
      <c r="I753">
        <v>150</v>
      </c>
      <c r="J753">
        <v>6</v>
      </c>
      <c r="K753">
        <f t="shared" si="46"/>
        <v>4</v>
      </c>
      <c r="L753" t="s">
        <v>1744</v>
      </c>
      <c r="M753" t="s">
        <v>3585</v>
      </c>
      <c r="N753" t="s">
        <v>1</v>
      </c>
      <c r="O753">
        <v>248001</v>
      </c>
      <c r="P753" t="s">
        <v>546</v>
      </c>
      <c r="Q753" t="s">
        <v>1759</v>
      </c>
      <c r="S753">
        <v>56.98</v>
      </c>
      <c r="T753">
        <v>7</v>
      </c>
      <c r="U753">
        <v>0</v>
      </c>
      <c r="V753">
        <v>22.792000000000002</v>
      </c>
      <c r="W753">
        <f t="shared" si="47"/>
        <v>4.8839999999999995</v>
      </c>
      <c r="X753">
        <v>4</v>
      </c>
    </row>
    <row r="754" spans="1:24" x14ac:dyDescent="0.3">
      <c r="A754">
        <v>753</v>
      </c>
      <c r="B754" t="s">
        <v>2523</v>
      </c>
      <c r="C754" s="6">
        <v>44949</v>
      </c>
      <c r="D754" t="str">
        <f t="shared" si="44"/>
        <v>Jan</v>
      </c>
      <c r="E754" t="str">
        <f t="shared" si="45"/>
        <v>2023</v>
      </c>
      <c r="F754" t="s">
        <v>4</v>
      </c>
      <c r="G754" t="s">
        <v>295</v>
      </c>
      <c r="H754" t="s">
        <v>1161</v>
      </c>
      <c r="I754">
        <v>100</v>
      </c>
      <c r="J754">
        <v>10</v>
      </c>
      <c r="K754">
        <f t="shared" si="46"/>
        <v>10</v>
      </c>
      <c r="L754" t="s">
        <v>1740</v>
      </c>
      <c r="M754" t="s">
        <v>3830</v>
      </c>
      <c r="N754" t="s">
        <v>1</v>
      </c>
      <c r="O754">
        <v>302020</v>
      </c>
      <c r="P754" t="s">
        <v>546</v>
      </c>
      <c r="Q754" t="s">
        <v>1776</v>
      </c>
      <c r="R754" t="s">
        <v>2</v>
      </c>
      <c r="S754">
        <v>2.88</v>
      </c>
      <c r="T754">
        <v>1</v>
      </c>
      <c r="U754">
        <v>0</v>
      </c>
      <c r="V754">
        <v>1.4112</v>
      </c>
      <c r="W754">
        <f t="shared" si="47"/>
        <v>1.4687999999999999</v>
      </c>
      <c r="X754">
        <v>2</v>
      </c>
    </row>
    <row r="755" spans="1:24" x14ac:dyDescent="0.3">
      <c r="A755">
        <v>754</v>
      </c>
      <c r="B755" t="s">
        <v>2524</v>
      </c>
      <c r="C755" s="6">
        <v>44950</v>
      </c>
      <c r="D755" t="str">
        <f t="shared" si="44"/>
        <v>Jan</v>
      </c>
      <c r="E755" t="str">
        <f t="shared" si="45"/>
        <v>2023</v>
      </c>
      <c r="F755" t="s">
        <v>5</v>
      </c>
      <c r="G755" t="s">
        <v>296</v>
      </c>
      <c r="H755" t="s">
        <v>1162</v>
      </c>
      <c r="I755">
        <v>200</v>
      </c>
      <c r="J755">
        <v>24</v>
      </c>
      <c r="K755">
        <f t="shared" si="46"/>
        <v>12</v>
      </c>
      <c r="L755" t="s">
        <v>1742</v>
      </c>
      <c r="M755" t="s">
        <v>3696</v>
      </c>
      <c r="N755" t="s">
        <v>1</v>
      </c>
      <c r="O755">
        <v>600070</v>
      </c>
      <c r="P755" t="s">
        <v>546</v>
      </c>
      <c r="Q755" t="s">
        <v>1760</v>
      </c>
      <c r="S755">
        <v>1199.9760000000001</v>
      </c>
      <c r="T755">
        <v>3</v>
      </c>
      <c r="U755">
        <v>0.2</v>
      </c>
      <c r="V755">
        <v>374.99250000000001</v>
      </c>
      <c r="W755">
        <f t="shared" si="47"/>
        <v>274.99450000000002</v>
      </c>
      <c r="X755">
        <v>5</v>
      </c>
    </row>
    <row r="756" spans="1:24" x14ac:dyDescent="0.3">
      <c r="A756">
        <v>755</v>
      </c>
      <c r="B756" t="s">
        <v>2525</v>
      </c>
      <c r="C756" s="6">
        <v>44951</v>
      </c>
      <c r="D756" t="str">
        <f t="shared" si="44"/>
        <v>Jan</v>
      </c>
      <c r="E756" t="str">
        <f t="shared" si="45"/>
        <v>2023</v>
      </c>
      <c r="F756" t="s">
        <v>4</v>
      </c>
      <c r="G756" t="s">
        <v>241</v>
      </c>
      <c r="H756" t="s">
        <v>1108</v>
      </c>
      <c r="I756">
        <v>120</v>
      </c>
      <c r="J756">
        <v>30</v>
      </c>
      <c r="K756">
        <f t="shared" si="46"/>
        <v>25</v>
      </c>
      <c r="L756" t="s">
        <v>1739</v>
      </c>
      <c r="M756" t="s">
        <v>3668</v>
      </c>
      <c r="N756" t="s">
        <v>1</v>
      </c>
      <c r="O756">
        <v>395009</v>
      </c>
      <c r="P756" t="s">
        <v>546</v>
      </c>
      <c r="Q756" t="s">
        <v>1765</v>
      </c>
      <c r="S756">
        <v>79.92</v>
      </c>
      <c r="T756">
        <v>4</v>
      </c>
      <c r="U756">
        <v>0</v>
      </c>
      <c r="V756">
        <v>28.7712</v>
      </c>
      <c r="W756">
        <f t="shared" si="47"/>
        <v>12.7872</v>
      </c>
      <c r="X756">
        <v>1</v>
      </c>
    </row>
    <row r="757" spans="1:24" x14ac:dyDescent="0.3">
      <c r="A757">
        <v>756</v>
      </c>
      <c r="B757" t="s">
        <v>2526</v>
      </c>
      <c r="C757" s="6">
        <v>44952</v>
      </c>
      <c r="D757" t="str">
        <f t="shared" si="44"/>
        <v>Jan</v>
      </c>
      <c r="E757" t="str">
        <f t="shared" si="45"/>
        <v>2023</v>
      </c>
      <c r="F757" t="s">
        <v>4</v>
      </c>
      <c r="G757" t="s">
        <v>247</v>
      </c>
      <c r="H757" t="s">
        <v>1163</v>
      </c>
      <c r="I757">
        <v>160</v>
      </c>
      <c r="J757">
        <v>28</v>
      </c>
      <c r="K757">
        <f t="shared" si="46"/>
        <v>17.5</v>
      </c>
      <c r="L757" t="s">
        <v>1738</v>
      </c>
      <c r="M757" t="s">
        <v>3812</v>
      </c>
      <c r="N757" t="s">
        <v>1</v>
      </c>
      <c r="O757">
        <v>390025</v>
      </c>
      <c r="P757" t="s">
        <v>546</v>
      </c>
      <c r="Q757" t="s">
        <v>1770</v>
      </c>
      <c r="S757">
        <v>383.43799999999999</v>
      </c>
      <c r="T757">
        <v>4</v>
      </c>
      <c r="U757">
        <v>0.45</v>
      </c>
      <c r="V757">
        <v>-167.3184</v>
      </c>
      <c r="W757">
        <f t="shared" si="47"/>
        <v>137.6891</v>
      </c>
      <c r="X757">
        <v>4</v>
      </c>
    </row>
    <row r="758" spans="1:24" x14ac:dyDescent="0.3">
      <c r="A758">
        <v>757</v>
      </c>
      <c r="B758" t="s">
        <v>2527</v>
      </c>
      <c r="C758" s="6">
        <v>44953</v>
      </c>
      <c r="D758" t="str">
        <f t="shared" si="44"/>
        <v>Jan</v>
      </c>
      <c r="E758" t="str">
        <f t="shared" si="45"/>
        <v>2023</v>
      </c>
      <c r="F758" t="s">
        <v>4</v>
      </c>
      <c r="G758" t="s">
        <v>297</v>
      </c>
      <c r="H758" t="s">
        <v>1123</v>
      </c>
      <c r="I758">
        <v>200</v>
      </c>
      <c r="J758">
        <v>12</v>
      </c>
      <c r="K758">
        <f t="shared" si="46"/>
        <v>6</v>
      </c>
      <c r="L758" t="s">
        <v>1743</v>
      </c>
      <c r="M758" t="s">
        <v>3831</v>
      </c>
      <c r="N758" t="s">
        <v>1</v>
      </c>
      <c r="O758">
        <v>560037</v>
      </c>
      <c r="P758" t="s">
        <v>546</v>
      </c>
      <c r="Q758" t="s">
        <v>1759</v>
      </c>
      <c r="S758">
        <v>24.56</v>
      </c>
      <c r="T758">
        <v>2</v>
      </c>
      <c r="U758">
        <v>0</v>
      </c>
      <c r="V758">
        <v>6.8768000000000002</v>
      </c>
      <c r="W758">
        <f t="shared" si="47"/>
        <v>8.8415999999999997</v>
      </c>
      <c r="X758">
        <v>5</v>
      </c>
    </row>
    <row r="759" spans="1:24" x14ac:dyDescent="0.3">
      <c r="A759">
        <v>758</v>
      </c>
      <c r="B759" t="s">
        <v>2528</v>
      </c>
      <c r="C759" s="6">
        <v>44954</v>
      </c>
      <c r="D759" t="str">
        <f t="shared" si="44"/>
        <v>Jan</v>
      </c>
      <c r="E759" t="str">
        <f t="shared" si="45"/>
        <v>2023</v>
      </c>
      <c r="F759" t="s">
        <v>4</v>
      </c>
      <c r="G759" t="s">
        <v>297</v>
      </c>
      <c r="H759" t="s">
        <v>1085</v>
      </c>
      <c r="I759">
        <v>110</v>
      </c>
      <c r="J759">
        <v>22</v>
      </c>
      <c r="K759">
        <f t="shared" si="46"/>
        <v>20</v>
      </c>
      <c r="L759" t="s">
        <v>1737</v>
      </c>
      <c r="M759" t="s">
        <v>3802</v>
      </c>
      <c r="N759" t="s">
        <v>1</v>
      </c>
      <c r="O759">
        <v>500090</v>
      </c>
      <c r="P759" t="s">
        <v>546</v>
      </c>
      <c r="Q759" t="s">
        <v>1776</v>
      </c>
      <c r="S759">
        <v>119.8</v>
      </c>
      <c r="T759">
        <v>4</v>
      </c>
      <c r="U759">
        <v>0</v>
      </c>
      <c r="V759">
        <v>47.92</v>
      </c>
      <c r="W759">
        <f t="shared" si="47"/>
        <v>17.97</v>
      </c>
      <c r="X759">
        <v>3</v>
      </c>
    </row>
    <row r="760" spans="1:24" x14ac:dyDescent="0.3">
      <c r="A760">
        <v>759</v>
      </c>
      <c r="B760" t="s">
        <v>2529</v>
      </c>
      <c r="C760" s="6">
        <v>44955</v>
      </c>
      <c r="D760" t="str">
        <f t="shared" si="44"/>
        <v>Jan</v>
      </c>
      <c r="E760" t="str">
        <f t="shared" si="45"/>
        <v>2023</v>
      </c>
      <c r="F760" t="s">
        <v>4</v>
      </c>
      <c r="G760" t="s">
        <v>298</v>
      </c>
      <c r="H760" t="s">
        <v>1067</v>
      </c>
      <c r="I760">
        <v>100</v>
      </c>
      <c r="J760">
        <v>14</v>
      </c>
      <c r="K760">
        <f t="shared" si="46"/>
        <v>14.000000000000002</v>
      </c>
      <c r="L760" t="s">
        <v>1741</v>
      </c>
      <c r="M760" t="s">
        <v>3815</v>
      </c>
      <c r="N760" t="s">
        <v>1</v>
      </c>
      <c r="O760">
        <v>380015</v>
      </c>
      <c r="P760" t="s">
        <v>546</v>
      </c>
      <c r="Q760" t="s">
        <v>1760</v>
      </c>
      <c r="S760">
        <v>13.128</v>
      </c>
      <c r="T760">
        <v>3</v>
      </c>
      <c r="U760">
        <v>0.2</v>
      </c>
      <c r="V760">
        <v>4.2666000000000004</v>
      </c>
      <c r="W760">
        <f t="shared" si="47"/>
        <v>2.9537999999999998</v>
      </c>
      <c r="X760">
        <v>5</v>
      </c>
    </row>
    <row r="761" spans="1:24" x14ac:dyDescent="0.3">
      <c r="A761">
        <v>760</v>
      </c>
      <c r="B761" t="s">
        <v>2530</v>
      </c>
      <c r="C761" s="6">
        <v>44956</v>
      </c>
      <c r="D761" t="str">
        <f t="shared" si="44"/>
        <v>Jan</v>
      </c>
      <c r="E761" t="str">
        <f t="shared" si="45"/>
        <v>2023</v>
      </c>
      <c r="F761" t="s">
        <v>4</v>
      </c>
      <c r="G761" t="s">
        <v>299</v>
      </c>
      <c r="H761" t="s">
        <v>673</v>
      </c>
      <c r="I761">
        <v>100</v>
      </c>
      <c r="J761">
        <v>28</v>
      </c>
      <c r="K761">
        <f t="shared" si="46"/>
        <v>28.000000000000004</v>
      </c>
      <c r="L761" t="s">
        <v>1736</v>
      </c>
      <c r="M761" t="s">
        <v>3653</v>
      </c>
      <c r="N761" t="s">
        <v>1</v>
      </c>
      <c r="O761">
        <v>333026</v>
      </c>
      <c r="P761" t="s">
        <v>546</v>
      </c>
      <c r="Q761" t="s">
        <v>1766</v>
      </c>
      <c r="S761">
        <v>22.72</v>
      </c>
      <c r="T761">
        <v>4</v>
      </c>
      <c r="U761">
        <v>0</v>
      </c>
      <c r="V761">
        <v>10.224</v>
      </c>
      <c r="W761">
        <f t="shared" si="47"/>
        <v>3.1239999999999997</v>
      </c>
      <c r="X761">
        <v>1</v>
      </c>
    </row>
    <row r="762" spans="1:24" x14ac:dyDescent="0.3">
      <c r="A762">
        <v>761</v>
      </c>
      <c r="B762" t="s">
        <v>2531</v>
      </c>
      <c r="C762" s="6">
        <v>44957</v>
      </c>
      <c r="D762" t="str">
        <f t="shared" si="44"/>
        <v>Jan</v>
      </c>
      <c r="E762" t="str">
        <f t="shared" si="45"/>
        <v>2023</v>
      </c>
      <c r="F762" t="s">
        <v>4</v>
      </c>
      <c r="G762" t="s">
        <v>246</v>
      </c>
      <c r="H762" t="s">
        <v>1037</v>
      </c>
      <c r="I762">
        <v>160</v>
      </c>
      <c r="J762">
        <v>18</v>
      </c>
      <c r="K762">
        <f t="shared" si="46"/>
        <v>11.25</v>
      </c>
      <c r="L762" t="s">
        <v>1744</v>
      </c>
      <c r="M762" t="s">
        <v>3832</v>
      </c>
      <c r="O762">
        <v>248001</v>
      </c>
      <c r="P762" t="s">
        <v>546</v>
      </c>
      <c r="Q762" t="s">
        <v>1773</v>
      </c>
      <c r="S762">
        <v>58.32</v>
      </c>
      <c r="T762">
        <v>9</v>
      </c>
      <c r="U762">
        <v>0</v>
      </c>
      <c r="V762">
        <v>27.993600000000001</v>
      </c>
      <c r="W762">
        <f t="shared" si="47"/>
        <v>3.3696000000000002</v>
      </c>
      <c r="X762">
        <v>1</v>
      </c>
    </row>
    <row r="763" spans="1:24" x14ac:dyDescent="0.3">
      <c r="A763">
        <v>762</v>
      </c>
      <c r="B763" t="s">
        <v>2532</v>
      </c>
      <c r="C763" s="6">
        <v>44958</v>
      </c>
      <c r="D763" t="str">
        <f t="shared" si="44"/>
        <v>Feb</v>
      </c>
      <c r="E763" t="str">
        <f t="shared" si="45"/>
        <v>2023</v>
      </c>
      <c r="F763" t="s">
        <v>4</v>
      </c>
      <c r="G763" t="s">
        <v>43</v>
      </c>
      <c r="H763" t="s">
        <v>1164</v>
      </c>
      <c r="I763">
        <v>100</v>
      </c>
      <c r="J763">
        <v>6</v>
      </c>
      <c r="K763">
        <f t="shared" si="46"/>
        <v>6</v>
      </c>
      <c r="L763" t="s">
        <v>1740</v>
      </c>
      <c r="M763" t="s">
        <v>3733</v>
      </c>
      <c r="N763" t="s">
        <v>1</v>
      </c>
      <c r="O763">
        <v>122018</v>
      </c>
      <c r="P763" t="s">
        <v>546</v>
      </c>
      <c r="Q763" t="s">
        <v>1759</v>
      </c>
      <c r="S763">
        <v>12.39</v>
      </c>
      <c r="T763">
        <v>3</v>
      </c>
      <c r="U763">
        <v>0</v>
      </c>
      <c r="V763">
        <v>5.6993999999999998</v>
      </c>
      <c r="W763">
        <f t="shared" si="47"/>
        <v>2.2302000000000004</v>
      </c>
      <c r="X763">
        <v>4</v>
      </c>
    </row>
    <row r="764" spans="1:24" x14ac:dyDescent="0.3">
      <c r="A764">
        <v>763</v>
      </c>
      <c r="B764" t="s">
        <v>2533</v>
      </c>
      <c r="C764" s="6">
        <v>44959</v>
      </c>
      <c r="D764" t="str">
        <f t="shared" si="44"/>
        <v>Feb</v>
      </c>
      <c r="E764" t="str">
        <f t="shared" si="45"/>
        <v>2023</v>
      </c>
      <c r="F764" t="s">
        <v>4</v>
      </c>
      <c r="G764" t="s">
        <v>300</v>
      </c>
      <c r="H764" t="s">
        <v>707</v>
      </c>
      <c r="I764">
        <v>240</v>
      </c>
      <c r="J764">
        <v>10</v>
      </c>
      <c r="K764">
        <f t="shared" si="46"/>
        <v>4.1666666666666661</v>
      </c>
      <c r="L764" t="s">
        <v>1742</v>
      </c>
      <c r="M764" t="s">
        <v>3816</v>
      </c>
      <c r="N764" t="s">
        <v>1</v>
      </c>
      <c r="O764">
        <v>825301</v>
      </c>
      <c r="P764" t="s">
        <v>546</v>
      </c>
      <c r="Q764" t="s">
        <v>1768</v>
      </c>
      <c r="R764" t="s">
        <v>2</v>
      </c>
      <c r="S764">
        <v>107.982</v>
      </c>
      <c r="T764">
        <v>3</v>
      </c>
      <c r="U764">
        <v>0.4</v>
      </c>
      <c r="V764">
        <v>-26.9955</v>
      </c>
      <c r="W764">
        <f t="shared" si="47"/>
        <v>44.9925</v>
      </c>
      <c r="X764">
        <v>4</v>
      </c>
    </row>
    <row r="765" spans="1:24" x14ac:dyDescent="0.3">
      <c r="A765">
        <v>764</v>
      </c>
      <c r="B765" t="s">
        <v>2534</v>
      </c>
      <c r="C765" s="6">
        <v>44960</v>
      </c>
      <c r="D765" t="str">
        <f t="shared" si="44"/>
        <v>Feb</v>
      </c>
      <c r="E765" t="str">
        <f t="shared" si="45"/>
        <v>2023</v>
      </c>
      <c r="F765" t="s">
        <v>3</v>
      </c>
      <c r="G765" t="s">
        <v>301</v>
      </c>
      <c r="H765" t="s">
        <v>699</v>
      </c>
      <c r="I765">
        <v>160</v>
      </c>
      <c r="J765">
        <v>6</v>
      </c>
      <c r="K765">
        <f t="shared" si="46"/>
        <v>3.75</v>
      </c>
      <c r="L765" t="s">
        <v>1739</v>
      </c>
      <c r="M765" t="s">
        <v>3600</v>
      </c>
      <c r="N765" t="s">
        <v>1</v>
      </c>
      <c r="O765">
        <v>500032</v>
      </c>
      <c r="P765" t="s">
        <v>546</v>
      </c>
      <c r="Q765" t="s">
        <v>1772</v>
      </c>
      <c r="S765">
        <v>11.36</v>
      </c>
      <c r="T765">
        <v>2</v>
      </c>
      <c r="U765">
        <v>0</v>
      </c>
      <c r="V765">
        <v>5.3391999999999999</v>
      </c>
      <c r="W765">
        <f t="shared" si="47"/>
        <v>3.0103999999999997</v>
      </c>
      <c r="X765">
        <v>4</v>
      </c>
    </row>
    <row r="766" spans="1:24" x14ac:dyDescent="0.3">
      <c r="A766">
        <v>765</v>
      </c>
      <c r="B766" t="s">
        <v>2535</v>
      </c>
      <c r="C766" s="6">
        <v>44961</v>
      </c>
      <c r="D766" t="str">
        <f t="shared" si="44"/>
        <v>Feb</v>
      </c>
      <c r="E766" t="str">
        <f t="shared" si="45"/>
        <v>2023</v>
      </c>
      <c r="F766" t="s">
        <v>3</v>
      </c>
      <c r="G766" t="s">
        <v>301</v>
      </c>
      <c r="H766" t="s">
        <v>1165</v>
      </c>
      <c r="I766">
        <v>190</v>
      </c>
      <c r="J766">
        <v>18</v>
      </c>
      <c r="K766">
        <f t="shared" si="46"/>
        <v>9.4736842105263168</v>
      </c>
      <c r="L766" t="s">
        <v>1738</v>
      </c>
      <c r="M766" t="s">
        <v>3817</v>
      </c>
      <c r="N766" t="s">
        <v>1</v>
      </c>
      <c r="O766">
        <v>400059</v>
      </c>
      <c r="P766" t="s">
        <v>546</v>
      </c>
      <c r="Q766" t="s">
        <v>1756</v>
      </c>
      <c r="S766">
        <v>50.94</v>
      </c>
      <c r="T766">
        <v>3</v>
      </c>
      <c r="U766">
        <v>0</v>
      </c>
      <c r="V766">
        <v>25.47</v>
      </c>
      <c r="W766">
        <f t="shared" si="47"/>
        <v>8.49</v>
      </c>
      <c r="X766">
        <v>5</v>
      </c>
    </row>
    <row r="767" spans="1:24" x14ac:dyDescent="0.3">
      <c r="A767">
        <v>766</v>
      </c>
      <c r="B767" t="s">
        <v>2536</v>
      </c>
      <c r="C767" s="6">
        <v>44962</v>
      </c>
      <c r="D767" t="str">
        <f t="shared" si="44"/>
        <v>Feb</v>
      </c>
      <c r="E767" t="str">
        <f t="shared" si="45"/>
        <v>2023</v>
      </c>
      <c r="F767" t="s">
        <v>3</v>
      </c>
      <c r="G767" t="s">
        <v>301</v>
      </c>
      <c r="H767" t="s">
        <v>1166</v>
      </c>
      <c r="I767">
        <v>200</v>
      </c>
      <c r="J767">
        <v>22</v>
      </c>
      <c r="K767">
        <f t="shared" si="46"/>
        <v>11</v>
      </c>
      <c r="L767" t="s">
        <v>1737</v>
      </c>
      <c r="M767" t="s">
        <v>3808</v>
      </c>
      <c r="O767">
        <v>403401</v>
      </c>
      <c r="P767" t="s">
        <v>546</v>
      </c>
      <c r="Q767" t="s">
        <v>1759</v>
      </c>
      <c r="S767">
        <v>646.74</v>
      </c>
      <c r="T767">
        <v>6</v>
      </c>
      <c r="U767">
        <v>0</v>
      </c>
      <c r="V767">
        <v>258.69600000000003</v>
      </c>
      <c r="W767">
        <f t="shared" si="47"/>
        <v>64.673999999999992</v>
      </c>
      <c r="X767">
        <v>5</v>
      </c>
    </row>
    <row r="768" spans="1:24" x14ac:dyDescent="0.3">
      <c r="A768">
        <v>767</v>
      </c>
      <c r="B768" t="s">
        <v>2537</v>
      </c>
      <c r="C768" s="6">
        <v>44963</v>
      </c>
      <c r="D768" t="str">
        <f t="shared" si="44"/>
        <v>Feb</v>
      </c>
      <c r="E768" t="str">
        <f t="shared" si="45"/>
        <v>2023</v>
      </c>
      <c r="F768" t="s">
        <v>3</v>
      </c>
      <c r="G768" t="s">
        <v>301</v>
      </c>
      <c r="H768" t="s">
        <v>1167</v>
      </c>
      <c r="I768">
        <v>190</v>
      </c>
      <c r="J768">
        <v>26</v>
      </c>
      <c r="K768">
        <f t="shared" si="46"/>
        <v>13.684210526315791</v>
      </c>
      <c r="L768" t="s">
        <v>1743</v>
      </c>
      <c r="M768" t="s">
        <v>3833</v>
      </c>
      <c r="N768" t="s">
        <v>1</v>
      </c>
      <c r="O768">
        <v>583219</v>
      </c>
      <c r="P768" t="s">
        <v>546</v>
      </c>
      <c r="Q768" t="s">
        <v>1759</v>
      </c>
      <c r="R768" t="s">
        <v>2</v>
      </c>
      <c r="S768">
        <v>5.64</v>
      </c>
      <c r="T768">
        <v>3</v>
      </c>
      <c r="U768">
        <v>0</v>
      </c>
      <c r="V768">
        <v>2.7071999999999998</v>
      </c>
      <c r="W768">
        <f t="shared" si="47"/>
        <v>0.97759999999999991</v>
      </c>
      <c r="X768">
        <v>5</v>
      </c>
    </row>
    <row r="769" spans="1:24" x14ac:dyDescent="0.3">
      <c r="A769">
        <v>768</v>
      </c>
      <c r="B769" t="s">
        <v>2538</v>
      </c>
      <c r="C769" s="6">
        <v>44964</v>
      </c>
      <c r="D769" t="str">
        <f t="shared" si="44"/>
        <v>Feb</v>
      </c>
      <c r="E769" t="str">
        <f t="shared" si="45"/>
        <v>2023</v>
      </c>
      <c r="F769" t="s">
        <v>3</v>
      </c>
      <c r="G769" t="s">
        <v>301</v>
      </c>
      <c r="H769" t="s">
        <v>1168</v>
      </c>
      <c r="I769">
        <v>160</v>
      </c>
      <c r="J769">
        <v>24</v>
      </c>
      <c r="K769">
        <f t="shared" si="46"/>
        <v>15</v>
      </c>
      <c r="L769" t="s">
        <v>1738</v>
      </c>
      <c r="M769" t="s">
        <v>3681</v>
      </c>
      <c r="N769" t="s">
        <v>1</v>
      </c>
      <c r="O769">
        <v>721607</v>
      </c>
      <c r="P769" t="s">
        <v>546</v>
      </c>
      <c r="Q769" t="s">
        <v>1772</v>
      </c>
      <c r="R769" t="s">
        <v>2</v>
      </c>
      <c r="S769">
        <v>572.58000000000004</v>
      </c>
      <c r="T769">
        <v>6</v>
      </c>
      <c r="U769">
        <v>0</v>
      </c>
      <c r="V769">
        <v>34.354799999999997</v>
      </c>
      <c r="W769">
        <f t="shared" si="47"/>
        <v>89.704200000000014</v>
      </c>
      <c r="X769">
        <v>3</v>
      </c>
    </row>
    <row r="770" spans="1:24" x14ac:dyDescent="0.3">
      <c r="A770">
        <v>769</v>
      </c>
      <c r="B770" t="s">
        <v>2539</v>
      </c>
      <c r="C770" s="6">
        <v>44965</v>
      </c>
      <c r="D770" t="str">
        <f t="shared" si="44"/>
        <v>Feb</v>
      </c>
      <c r="E770" t="str">
        <f t="shared" si="45"/>
        <v>2023</v>
      </c>
      <c r="F770" t="s">
        <v>4</v>
      </c>
      <c r="G770" t="s">
        <v>302</v>
      </c>
      <c r="H770" t="s">
        <v>1169</v>
      </c>
      <c r="I770">
        <v>190</v>
      </c>
      <c r="J770">
        <v>30</v>
      </c>
      <c r="K770">
        <f t="shared" si="46"/>
        <v>15.789473684210526</v>
      </c>
      <c r="L770" t="s">
        <v>1739</v>
      </c>
      <c r="M770" t="s">
        <v>3682</v>
      </c>
      <c r="N770" t="s">
        <v>1</v>
      </c>
      <c r="O770">
        <v>125051</v>
      </c>
      <c r="P770" t="s">
        <v>546</v>
      </c>
      <c r="Q770" t="s">
        <v>1761</v>
      </c>
      <c r="S770">
        <v>310.88</v>
      </c>
      <c r="T770">
        <v>2</v>
      </c>
      <c r="U770">
        <v>0.2</v>
      </c>
      <c r="V770">
        <v>23.315999999999999</v>
      </c>
      <c r="W770">
        <f t="shared" si="47"/>
        <v>143.78200000000001</v>
      </c>
      <c r="X770">
        <v>1</v>
      </c>
    </row>
    <row r="771" spans="1:24" x14ac:dyDescent="0.3">
      <c r="A771">
        <v>770</v>
      </c>
      <c r="B771" t="s">
        <v>2540</v>
      </c>
      <c r="C771" s="6">
        <v>44966</v>
      </c>
      <c r="D771" t="str">
        <f t="shared" ref="D771:D834" si="48">TEXT(C771,"Mmm")</f>
        <v>Feb</v>
      </c>
      <c r="E771" t="str">
        <f t="shared" ref="E771:E834" si="49">TEXT(C771,"YYYY")</f>
        <v>2023</v>
      </c>
      <c r="F771" t="s">
        <v>4</v>
      </c>
      <c r="G771" t="s">
        <v>104</v>
      </c>
      <c r="H771" t="s">
        <v>1170</v>
      </c>
      <c r="I771">
        <v>240</v>
      </c>
      <c r="J771">
        <v>18</v>
      </c>
      <c r="K771">
        <f t="shared" ref="K771:K834" si="50">(J771/I771)*100</f>
        <v>7.5</v>
      </c>
      <c r="L771" t="s">
        <v>1741</v>
      </c>
      <c r="M771" t="s">
        <v>3810</v>
      </c>
      <c r="N771" t="s">
        <v>1</v>
      </c>
      <c r="O771">
        <v>682030</v>
      </c>
      <c r="P771" t="s">
        <v>546</v>
      </c>
      <c r="Q771" t="s">
        <v>1761</v>
      </c>
      <c r="S771">
        <v>641.96</v>
      </c>
      <c r="T771">
        <v>2</v>
      </c>
      <c r="U771">
        <v>0</v>
      </c>
      <c r="V771">
        <v>179.74879999999999</v>
      </c>
      <c r="W771">
        <f t="shared" ref="W771:W834" si="51">(S771-V771)/T771</f>
        <v>231.10560000000004</v>
      </c>
      <c r="X771">
        <v>3</v>
      </c>
    </row>
    <row r="772" spans="1:24" x14ac:dyDescent="0.3">
      <c r="A772">
        <v>771</v>
      </c>
      <c r="B772" t="s">
        <v>2541</v>
      </c>
      <c r="C772" s="6">
        <v>44967</v>
      </c>
      <c r="D772" t="str">
        <f t="shared" si="48"/>
        <v>Feb</v>
      </c>
      <c r="E772" t="str">
        <f t="shared" si="49"/>
        <v>2023</v>
      </c>
      <c r="F772" t="s">
        <v>4</v>
      </c>
      <c r="G772" t="s">
        <v>303</v>
      </c>
      <c r="H772" t="s">
        <v>1171</v>
      </c>
      <c r="I772">
        <v>120</v>
      </c>
      <c r="J772">
        <v>8</v>
      </c>
      <c r="K772">
        <f t="shared" si="50"/>
        <v>6.666666666666667</v>
      </c>
      <c r="L772" t="s">
        <v>1736</v>
      </c>
      <c r="M772" t="s">
        <v>3693</v>
      </c>
      <c r="N772" t="s">
        <v>1</v>
      </c>
      <c r="O772">
        <v>132041</v>
      </c>
      <c r="P772" t="s">
        <v>546</v>
      </c>
      <c r="Q772" t="s">
        <v>1768</v>
      </c>
      <c r="S772">
        <v>18.28</v>
      </c>
      <c r="T772">
        <v>2</v>
      </c>
      <c r="U772">
        <v>0</v>
      </c>
      <c r="V772">
        <v>9.14</v>
      </c>
      <c r="W772">
        <f t="shared" si="51"/>
        <v>4.57</v>
      </c>
      <c r="X772">
        <v>5</v>
      </c>
    </row>
    <row r="773" spans="1:24" x14ac:dyDescent="0.3">
      <c r="A773">
        <v>772</v>
      </c>
      <c r="B773" t="s">
        <v>2542</v>
      </c>
      <c r="C773" s="6">
        <v>44968</v>
      </c>
      <c r="D773" t="str">
        <f t="shared" si="48"/>
        <v>Feb</v>
      </c>
      <c r="E773" t="str">
        <f t="shared" si="49"/>
        <v>2023</v>
      </c>
      <c r="F773" t="s">
        <v>4</v>
      </c>
      <c r="G773" t="s">
        <v>303</v>
      </c>
      <c r="H773" t="s">
        <v>849</v>
      </c>
      <c r="I773">
        <v>250</v>
      </c>
      <c r="J773">
        <v>28</v>
      </c>
      <c r="K773">
        <f t="shared" si="50"/>
        <v>11.200000000000001</v>
      </c>
      <c r="L773" t="s">
        <v>1744</v>
      </c>
      <c r="M773" t="s">
        <v>3746</v>
      </c>
      <c r="N773" t="s">
        <v>1</v>
      </c>
      <c r="O773">
        <v>695574</v>
      </c>
      <c r="P773" t="s">
        <v>546</v>
      </c>
      <c r="Q773" t="s">
        <v>1761</v>
      </c>
      <c r="S773">
        <v>207</v>
      </c>
      <c r="T773">
        <v>3</v>
      </c>
      <c r="U773">
        <v>0</v>
      </c>
      <c r="V773">
        <v>51.75</v>
      </c>
      <c r="W773">
        <f t="shared" si="51"/>
        <v>51.75</v>
      </c>
      <c r="X773">
        <v>2</v>
      </c>
    </row>
    <row r="774" spans="1:24" x14ac:dyDescent="0.3">
      <c r="A774">
        <v>773</v>
      </c>
      <c r="B774" t="s">
        <v>2543</v>
      </c>
      <c r="C774" s="6">
        <v>44969</v>
      </c>
      <c r="D774" t="str">
        <f t="shared" si="48"/>
        <v>Feb</v>
      </c>
      <c r="E774" t="str">
        <f t="shared" si="49"/>
        <v>2023</v>
      </c>
      <c r="F774" t="s">
        <v>4</v>
      </c>
      <c r="G774" t="s">
        <v>303</v>
      </c>
      <c r="H774" t="s">
        <v>1172</v>
      </c>
      <c r="I774">
        <v>160</v>
      </c>
      <c r="J774">
        <v>22</v>
      </c>
      <c r="K774">
        <f t="shared" si="50"/>
        <v>13.750000000000002</v>
      </c>
      <c r="L774" t="s">
        <v>1740</v>
      </c>
      <c r="M774" t="s">
        <v>3799</v>
      </c>
      <c r="O774">
        <v>333026</v>
      </c>
      <c r="P774" t="s">
        <v>546</v>
      </c>
      <c r="Q774" t="s">
        <v>1763</v>
      </c>
      <c r="S774">
        <v>32.35</v>
      </c>
      <c r="T774">
        <v>5</v>
      </c>
      <c r="U774">
        <v>0</v>
      </c>
      <c r="V774">
        <v>16.175000000000001</v>
      </c>
      <c r="W774">
        <f t="shared" si="51"/>
        <v>3.2350000000000003</v>
      </c>
      <c r="X774">
        <v>3</v>
      </c>
    </row>
    <row r="775" spans="1:24" x14ac:dyDescent="0.3">
      <c r="A775">
        <v>774</v>
      </c>
      <c r="B775" t="s">
        <v>2544</v>
      </c>
      <c r="C775" s="6">
        <v>44970</v>
      </c>
      <c r="D775" t="str">
        <f t="shared" si="48"/>
        <v>Feb</v>
      </c>
      <c r="E775" t="str">
        <f t="shared" si="49"/>
        <v>2023</v>
      </c>
      <c r="F775" t="s">
        <v>4</v>
      </c>
      <c r="G775" t="s">
        <v>303</v>
      </c>
      <c r="H775" t="s">
        <v>555</v>
      </c>
      <c r="I775">
        <v>210</v>
      </c>
      <c r="J775">
        <v>22</v>
      </c>
      <c r="K775">
        <f t="shared" si="50"/>
        <v>10.476190476190476</v>
      </c>
      <c r="L775" t="s">
        <v>1742</v>
      </c>
      <c r="M775" t="s">
        <v>3800</v>
      </c>
      <c r="N775" t="s">
        <v>1</v>
      </c>
      <c r="O775">
        <v>600041</v>
      </c>
      <c r="P775" t="s">
        <v>546</v>
      </c>
      <c r="Q775" t="s">
        <v>1767</v>
      </c>
      <c r="S775">
        <v>7.71</v>
      </c>
      <c r="T775">
        <v>1</v>
      </c>
      <c r="U775">
        <v>0</v>
      </c>
      <c r="V775">
        <v>3.4695</v>
      </c>
      <c r="W775">
        <f t="shared" si="51"/>
        <v>4.2404999999999999</v>
      </c>
      <c r="X775">
        <v>5</v>
      </c>
    </row>
    <row r="776" spans="1:24" x14ac:dyDescent="0.3">
      <c r="A776">
        <v>775</v>
      </c>
      <c r="B776" t="s">
        <v>2545</v>
      </c>
      <c r="C776" s="6">
        <v>44971</v>
      </c>
      <c r="D776" t="str">
        <f t="shared" si="48"/>
        <v>Feb</v>
      </c>
      <c r="E776" t="str">
        <f t="shared" si="49"/>
        <v>2023</v>
      </c>
      <c r="F776" t="s">
        <v>4</v>
      </c>
      <c r="G776" t="s">
        <v>303</v>
      </c>
      <c r="H776" t="s">
        <v>1173</v>
      </c>
      <c r="I776">
        <v>120</v>
      </c>
      <c r="J776">
        <v>16</v>
      </c>
      <c r="K776">
        <f t="shared" si="50"/>
        <v>13.333333333333334</v>
      </c>
      <c r="L776" t="s">
        <v>1739</v>
      </c>
      <c r="M776" t="s">
        <v>3637</v>
      </c>
      <c r="N776" t="s">
        <v>1</v>
      </c>
      <c r="O776">
        <v>110095</v>
      </c>
      <c r="P776" t="s">
        <v>546</v>
      </c>
      <c r="Q776" t="s">
        <v>1759</v>
      </c>
      <c r="S776">
        <v>40.299999999999997</v>
      </c>
      <c r="T776">
        <v>2</v>
      </c>
      <c r="U776">
        <v>0</v>
      </c>
      <c r="V776">
        <v>10.881</v>
      </c>
      <c r="W776">
        <f t="shared" si="51"/>
        <v>14.709499999999998</v>
      </c>
      <c r="X776">
        <v>5</v>
      </c>
    </row>
    <row r="777" spans="1:24" x14ac:dyDescent="0.3">
      <c r="A777">
        <v>776</v>
      </c>
      <c r="B777" t="s">
        <v>2546</v>
      </c>
      <c r="C777" s="6">
        <v>44972</v>
      </c>
      <c r="D777" t="str">
        <f t="shared" si="48"/>
        <v>Feb</v>
      </c>
      <c r="E777" t="str">
        <f t="shared" si="49"/>
        <v>2023</v>
      </c>
      <c r="F777" t="s">
        <v>4</v>
      </c>
      <c r="G777" t="s">
        <v>303</v>
      </c>
      <c r="H777" t="s">
        <v>1174</v>
      </c>
      <c r="I777">
        <v>160</v>
      </c>
      <c r="J777">
        <v>22</v>
      </c>
      <c r="K777">
        <f t="shared" si="50"/>
        <v>13.750000000000002</v>
      </c>
      <c r="L777" t="s">
        <v>1738</v>
      </c>
      <c r="M777" t="s">
        <v>3814</v>
      </c>
      <c r="N777" t="s">
        <v>1</v>
      </c>
      <c r="Q777" t="s">
        <v>1761</v>
      </c>
      <c r="S777">
        <v>34.58</v>
      </c>
      <c r="T777">
        <v>7</v>
      </c>
      <c r="U777">
        <v>0</v>
      </c>
      <c r="V777">
        <v>14.5236</v>
      </c>
      <c r="W777">
        <f t="shared" si="51"/>
        <v>2.8651999999999993</v>
      </c>
      <c r="X777">
        <v>1</v>
      </c>
    </row>
    <row r="778" spans="1:24" x14ac:dyDescent="0.3">
      <c r="A778">
        <v>777</v>
      </c>
      <c r="B778" t="s">
        <v>2547</v>
      </c>
      <c r="C778" s="6">
        <v>44973</v>
      </c>
      <c r="D778" t="str">
        <f t="shared" si="48"/>
        <v>Feb</v>
      </c>
      <c r="E778" t="str">
        <f t="shared" si="49"/>
        <v>2023</v>
      </c>
      <c r="F778" t="s">
        <v>4</v>
      </c>
      <c r="G778" t="s">
        <v>304</v>
      </c>
      <c r="H778" t="s">
        <v>1175</v>
      </c>
      <c r="I778">
        <v>220</v>
      </c>
      <c r="J778">
        <v>20</v>
      </c>
      <c r="K778">
        <f t="shared" si="50"/>
        <v>9.0909090909090917</v>
      </c>
      <c r="L778" t="s">
        <v>1737</v>
      </c>
      <c r="M778" t="s">
        <v>3813</v>
      </c>
      <c r="N778" t="s">
        <v>1</v>
      </c>
      <c r="Q778" t="s">
        <v>1771</v>
      </c>
      <c r="S778">
        <v>32.76</v>
      </c>
      <c r="T778">
        <v>7</v>
      </c>
      <c r="U778">
        <v>0.2</v>
      </c>
      <c r="V778">
        <v>3.6855000000000002</v>
      </c>
      <c r="W778">
        <f t="shared" si="51"/>
        <v>4.1534999999999993</v>
      </c>
      <c r="X778">
        <v>5</v>
      </c>
    </row>
    <row r="779" spans="1:24" x14ac:dyDescent="0.3">
      <c r="A779">
        <v>778</v>
      </c>
      <c r="B779" t="s">
        <v>2548</v>
      </c>
      <c r="C779" s="6">
        <v>44974</v>
      </c>
      <c r="D779" t="str">
        <f t="shared" si="48"/>
        <v>Feb</v>
      </c>
      <c r="E779" t="str">
        <f t="shared" si="49"/>
        <v>2023</v>
      </c>
      <c r="F779" t="s">
        <v>5</v>
      </c>
      <c r="G779" t="s">
        <v>132</v>
      </c>
      <c r="H779" t="s">
        <v>1176</v>
      </c>
      <c r="I779">
        <v>220</v>
      </c>
      <c r="J779">
        <v>28</v>
      </c>
      <c r="K779">
        <f t="shared" si="50"/>
        <v>12.727272727272727</v>
      </c>
      <c r="L779" t="s">
        <v>1743</v>
      </c>
      <c r="M779" t="s">
        <v>3610</v>
      </c>
      <c r="N779" t="s">
        <v>1</v>
      </c>
      <c r="O779">
        <v>400601</v>
      </c>
      <c r="P779" t="s">
        <v>546</v>
      </c>
      <c r="Q779" t="s">
        <v>1759</v>
      </c>
      <c r="S779">
        <v>544.00800000000004</v>
      </c>
      <c r="T779">
        <v>3</v>
      </c>
      <c r="U779">
        <v>0.2</v>
      </c>
      <c r="V779">
        <v>40.800600000000003</v>
      </c>
      <c r="W779">
        <f t="shared" si="51"/>
        <v>167.73580000000001</v>
      </c>
      <c r="X779">
        <v>5</v>
      </c>
    </row>
    <row r="780" spans="1:24" x14ac:dyDescent="0.3">
      <c r="A780">
        <v>779</v>
      </c>
      <c r="B780" t="s">
        <v>2549</v>
      </c>
      <c r="C780" s="6">
        <v>44975</v>
      </c>
      <c r="D780" t="str">
        <f t="shared" si="48"/>
        <v>Feb</v>
      </c>
      <c r="E780" t="str">
        <f t="shared" si="49"/>
        <v>2023</v>
      </c>
      <c r="F780" t="s">
        <v>5</v>
      </c>
      <c r="G780" t="s">
        <v>132</v>
      </c>
      <c r="H780" t="s">
        <v>915</v>
      </c>
      <c r="I780">
        <v>150</v>
      </c>
      <c r="J780">
        <v>24</v>
      </c>
      <c r="K780">
        <f t="shared" si="50"/>
        <v>16</v>
      </c>
      <c r="L780" t="s">
        <v>1738</v>
      </c>
      <c r="M780" t="s">
        <v>3807</v>
      </c>
      <c r="N780" t="s">
        <v>1</v>
      </c>
      <c r="O780">
        <v>560078</v>
      </c>
      <c r="P780" t="s">
        <v>546</v>
      </c>
      <c r="Q780" t="s">
        <v>1771</v>
      </c>
      <c r="S780">
        <v>59.94</v>
      </c>
      <c r="T780">
        <v>3</v>
      </c>
      <c r="U780">
        <v>0</v>
      </c>
      <c r="V780">
        <v>28.171800000000001</v>
      </c>
      <c r="W780">
        <f t="shared" si="51"/>
        <v>10.589399999999999</v>
      </c>
      <c r="X780">
        <v>2</v>
      </c>
    </row>
    <row r="781" spans="1:24" x14ac:dyDescent="0.3">
      <c r="A781">
        <v>780</v>
      </c>
      <c r="B781" t="s">
        <v>2550</v>
      </c>
      <c r="C781" s="6">
        <v>44976</v>
      </c>
      <c r="D781" t="str">
        <f t="shared" si="48"/>
        <v>Feb</v>
      </c>
      <c r="E781" t="str">
        <f t="shared" si="49"/>
        <v>2023</v>
      </c>
      <c r="F781" t="s">
        <v>5</v>
      </c>
      <c r="G781" t="s">
        <v>132</v>
      </c>
      <c r="H781" t="s">
        <v>905</v>
      </c>
      <c r="I781">
        <v>250</v>
      </c>
      <c r="J781">
        <v>24</v>
      </c>
      <c r="K781">
        <f t="shared" si="50"/>
        <v>9.6</v>
      </c>
      <c r="L781" t="s">
        <v>1739</v>
      </c>
      <c r="M781" t="s">
        <v>3707</v>
      </c>
      <c r="N781" t="s">
        <v>1</v>
      </c>
      <c r="O781">
        <v>587313</v>
      </c>
      <c r="P781" t="s">
        <v>546</v>
      </c>
      <c r="Q781" t="s">
        <v>1757</v>
      </c>
      <c r="S781">
        <v>23.92</v>
      </c>
      <c r="T781">
        <v>4</v>
      </c>
      <c r="U781">
        <v>0</v>
      </c>
      <c r="V781">
        <v>11.720800000000001</v>
      </c>
      <c r="W781">
        <f t="shared" si="51"/>
        <v>3.0498000000000003</v>
      </c>
      <c r="X781">
        <v>2</v>
      </c>
    </row>
    <row r="782" spans="1:24" x14ac:dyDescent="0.3">
      <c r="A782">
        <v>781</v>
      </c>
      <c r="B782" t="s">
        <v>2551</v>
      </c>
      <c r="C782" s="6">
        <v>44977</v>
      </c>
      <c r="D782" t="str">
        <f t="shared" si="48"/>
        <v>Feb</v>
      </c>
      <c r="E782" t="str">
        <f t="shared" si="49"/>
        <v>2023</v>
      </c>
      <c r="F782" t="s">
        <v>5</v>
      </c>
      <c r="G782" t="s">
        <v>132</v>
      </c>
      <c r="H782" t="s">
        <v>1177</v>
      </c>
      <c r="I782">
        <v>230</v>
      </c>
      <c r="J782">
        <v>24</v>
      </c>
      <c r="K782">
        <f t="shared" si="50"/>
        <v>10.434782608695652</v>
      </c>
      <c r="L782" t="s">
        <v>1741</v>
      </c>
      <c r="M782" t="s">
        <v>3805</v>
      </c>
      <c r="N782" t="s">
        <v>1</v>
      </c>
      <c r="O782">
        <v>342010</v>
      </c>
      <c r="P782" t="s">
        <v>546</v>
      </c>
      <c r="Q782" t="s">
        <v>1769</v>
      </c>
      <c r="S782">
        <v>4.28</v>
      </c>
      <c r="T782">
        <v>1</v>
      </c>
      <c r="U782">
        <v>0</v>
      </c>
      <c r="V782">
        <v>1.9259999999999999</v>
      </c>
      <c r="W782">
        <f t="shared" si="51"/>
        <v>2.3540000000000001</v>
      </c>
      <c r="X782">
        <v>2</v>
      </c>
    </row>
    <row r="783" spans="1:24" x14ac:dyDescent="0.3">
      <c r="A783">
        <v>782</v>
      </c>
      <c r="B783" t="s">
        <v>2552</v>
      </c>
      <c r="C783" s="6">
        <v>44978</v>
      </c>
      <c r="D783" t="str">
        <f t="shared" si="48"/>
        <v>Feb</v>
      </c>
      <c r="E783" t="str">
        <f t="shared" si="49"/>
        <v>2023</v>
      </c>
      <c r="F783" t="s">
        <v>3</v>
      </c>
      <c r="G783" t="s">
        <v>305</v>
      </c>
      <c r="H783" t="s">
        <v>957</v>
      </c>
      <c r="I783">
        <v>200</v>
      </c>
      <c r="J783">
        <v>10</v>
      </c>
      <c r="K783">
        <f t="shared" si="50"/>
        <v>5</v>
      </c>
      <c r="L783" t="s">
        <v>1736</v>
      </c>
      <c r="M783" t="s">
        <v>3797</v>
      </c>
      <c r="N783" t="s">
        <v>1</v>
      </c>
      <c r="O783">
        <v>342010</v>
      </c>
      <c r="P783" t="s">
        <v>546</v>
      </c>
      <c r="Q783" t="s">
        <v>1754</v>
      </c>
      <c r="S783">
        <v>32.07</v>
      </c>
      <c r="T783">
        <v>5</v>
      </c>
      <c r="U783">
        <v>0.7</v>
      </c>
      <c r="V783">
        <v>-22.449000000000002</v>
      </c>
      <c r="W783">
        <f t="shared" si="51"/>
        <v>10.9038</v>
      </c>
      <c r="X783">
        <v>3</v>
      </c>
    </row>
    <row r="784" spans="1:24" x14ac:dyDescent="0.3">
      <c r="A784">
        <v>783</v>
      </c>
      <c r="B784" t="s">
        <v>2553</v>
      </c>
      <c r="C784" s="6">
        <v>44979</v>
      </c>
      <c r="D784" t="str">
        <f t="shared" si="48"/>
        <v>Feb</v>
      </c>
      <c r="E784" t="str">
        <f t="shared" si="49"/>
        <v>2023</v>
      </c>
      <c r="F784" t="s">
        <v>3</v>
      </c>
      <c r="G784" t="s">
        <v>305</v>
      </c>
      <c r="H784" t="s">
        <v>593</v>
      </c>
      <c r="I784">
        <v>170</v>
      </c>
      <c r="J784">
        <v>26</v>
      </c>
      <c r="K784">
        <f t="shared" si="50"/>
        <v>15.294117647058824</v>
      </c>
      <c r="L784" t="s">
        <v>1744</v>
      </c>
      <c r="M784" t="s">
        <v>3685</v>
      </c>
      <c r="N784" t="s">
        <v>1</v>
      </c>
      <c r="O784">
        <v>410210</v>
      </c>
      <c r="P784" t="s">
        <v>546</v>
      </c>
      <c r="Q784" t="s">
        <v>1770</v>
      </c>
      <c r="R784" t="s">
        <v>2</v>
      </c>
      <c r="S784">
        <v>24</v>
      </c>
      <c r="T784">
        <v>2</v>
      </c>
      <c r="U784">
        <v>0.2</v>
      </c>
      <c r="V784">
        <v>-2.7</v>
      </c>
      <c r="W784">
        <f t="shared" si="51"/>
        <v>13.35</v>
      </c>
      <c r="X784">
        <v>5</v>
      </c>
    </row>
    <row r="785" spans="1:24" x14ac:dyDescent="0.3">
      <c r="A785">
        <v>784</v>
      </c>
      <c r="B785" t="s">
        <v>2554</v>
      </c>
      <c r="C785" s="6">
        <v>44980</v>
      </c>
      <c r="D785" t="str">
        <f t="shared" si="48"/>
        <v>Feb</v>
      </c>
      <c r="E785" t="str">
        <f t="shared" si="49"/>
        <v>2023</v>
      </c>
      <c r="F785" t="s">
        <v>3</v>
      </c>
      <c r="G785" t="s">
        <v>305</v>
      </c>
      <c r="H785" t="s">
        <v>1178</v>
      </c>
      <c r="I785">
        <v>100</v>
      </c>
      <c r="J785">
        <v>30</v>
      </c>
      <c r="K785">
        <f t="shared" si="50"/>
        <v>30</v>
      </c>
      <c r="L785" t="s">
        <v>1740</v>
      </c>
      <c r="M785" t="s">
        <v>3791</v>
      </c>
      <c r="N785" t="s">
        <v>1</v>
      </c>
      <c r="O785">
        <v>431001</v>
      </c>
      <c r="P785" t="s">
        <v>546</v>
      </c>
      <c r="Q785" t="s">
        <v>1772</v>
      </c>
      <c r="S785">
        <v>35.49</v>
      </c>
      <c r="T785">
        <v>1</v>
      </c>
      <c r="U785">
        <v>0.5</v>
      </c>
      <c r="V785">
        <v>-15.615600000000001</v>
      </c>
      <c r="W785">
        <f t="shared" si="51"/>
        <v>51.105600000000003</v>
      </c>
      <c r="X785">
        <v>2</v>
      </c>
    </row>
    <row r="786" spans="1:24" x14ac:dyDescent="0.3">
      <c r="A786">
        <v>785</v>
      </c>
      <c r="B786" t="s">
        <v>2555</v>
      </c>
      <c r="C786" s="6">
        <v>44981</v>
      </c>
      <c r="D786" t="str">
        <f t="shared" si="48"/>
        <v>Feb</v>
      </c>
      <c r="E786" t="str">
        <f t="shared" si="49"/>
        <v>2023</v>
      </c>
      <c r="F786" t="s">
        <v>3</v>
      </c>
      <c r="G786" t="s">
        <v>305</v>
      </c>
      <c r="H786" t="s">
        <v>1179</v>
      </c>
      <c r="I786">
        <v>200</v>
      </c>
      <c r="J786">
        <v>24</v>
      </c>
      <c r="K786">
        <f t="shared" si="50"/>
        <v>12</v>
      </c>
      <c r="L786" t="s">
        <v>1742</v>
      </c>
      <c r="M786" t="s">
        <v>3647</v>
      </c>
      <c r="N786" t="s">
        <v>1</v>
      </c>
      <c r="O786">
        <v>110018</v>
      </c>
      <c r="P786" t="s">
        <v>546</v>
      </c>
      <c r="Q786" t="s">
        <v>1759</v>
      </c>
      <c r="R786" t="s">
        <v>2</v>
      </c>
      <c r="S786">
        <v>47.984000000000002</v>
      </c>
      <c r="T786">
        <v>2</v>
      </c>
      <c r="U786">
        <v>0.2</v>
      </c>
      <c r="V786">
        <v>0.5998</v>
      </c>
      <c r="W786">
        <f t="shared" si="51"/>
        <v>23.6921</v>
      </c>
      <c r="X786">
        <v>2</v>
      </c>
    </row>
    <row r="787" spans="1:24" x14ac:dyDescent="0.3">
      <c r="A787">
        <v>786</v>
      </c>
      <c r="B787" t="s">
        <v>2556</v>
      </c>
      <c r="C787" s="6">
        <v>44982</v>
      </c>
      <c r="D787" t="str">
        <f t="shared" si="48"/>
        <v>Feb</v>
      </c>
      <c r="E787" t="str">
        <f t="shared" si="49"/>
        <v>2023</v>
      </c>
      <c r="F787" t="s">
        <v>4</v>
      </c>
      <c r="G787" t="s">
        <v>112</v>
      </c>
      <c r="H787" t="s">
        <v>1180</v>
      </c>
      <c r="I787">
        <v>200</v>
      </c>
      <c r="J787">
        <v>24</v>
      </c>
      <c r="K787">
        <f t="shared" si="50"/>
        <v>12</v>
      </c>
      <c r="L787" t="s">
        <v>1739</v>
      </c>
      <c r="M787" t="s">
        <v>3697</v>
      </c>
      <c r="N787" t="s">
        <v>1</v>
      </c>
      <c r="O787">
        <v>751002</v>
      </c>
      <c r="P787" t="s">
        <v>546</v>
      </c>
      <c r="Q787" t="s">
        <v>1775</v>
      </c>
      <c r="R787" t="s">
        <v>2</v>
      </c>
      <c r="S787">
        <v>186.69</v>
      </c>
      <c r="T787">
        <v>3</v>
      </c>
      <c r="U787">
        <v>0</v>
      </c>
      <c r="V787">
        <v>87.744299999999996</v>
      </c>
      <c r="W787">
        <f t="shared" si="51"/>
        <v>32.981900000000003</v>
      </c>
      <c r="X787">
        <v>2</v>
      </c>
    </row>
    <row r="788" spans="1:24" x14ac:dyDescent="0.3">
      <c r="A788">
        <v>787</v>
      </c>
      <c r="B788" t="s">
        <v>2557</v>
      </c>
      <c r="C788" s="6">
        <v>44983</v>
      </c>
      <c r="D788" t="str">
        <f t="shared" si="48"/>
        <v>Feb</v>
      </c>
      <c r="E788" t="str">
        <f t="shared" si="49"/>
        <v>2023</v>
      </c>
      <c r="F788" t="s">
        <v>3</v>
      </c>
      <c r="G788" t="s">
        <v>59</v>
      </c>
      <c r="H788" t="s">
        <v>1181</v>
      </c>
      <c r="I788">
        <v>250</v>
      </c>
      <c r="J788">
        <v>20</v>
      </c>
      <c r="K788">
        <f t="shared" si="50"/>
        <v>8</v>
      </c>
      <c r="L788" t="s">
        <v>1738</v>
      </c>
      <c r="M788" t="s">
        <v>3801</v>
      </c>
      <c r="N788" t="s">
        <v>1</v>
      </c>
      <c r="O788">
        <v>500076</v>
      </c>
      <c r="P788" t="s">
        <v>546</v>
      </c>
      <c r="Q788" t="s">
        <v>1775</v>
      </c>
      <c r="S788">
        <v>17.456</v>
      </c>
      <c r="T788">
        <v>2</v>
      </c>
      <c r="U788">
        <v>0.2</v>
      </c>
      <c r="V788">
        <v>5.8914</v>
      </c>
      <c r="W788">
        <f t="shared" si="51"/>
        <v>5.7822999999999993</v>
      </c>
      <c r="X788">
        <v>1</v>
      </c>
    </row>
    <row r="789" spans="1:24" x14ac:dyDescent="0.3">
      <c r="A789">
        <v>788</v>
      </c>
      <c r="B789" t="s">
        <v>2558</v>
      </c>
      <c r="C789" s="6">
        <v>44984</v>
      </c>
      <c r="D789" t="str">
        <f t="shared" si="48"/>
        <v>Feb</v>
      </c>
      <c r="E789" t="str">
        <f t="shared" si="49"/>
        <v>2023</v>
      </c>
      <c r="F789" t="s">
        <v>4</v>
      </c>
      <c r="G789" t="s">
        <v>306</v>
      </c>
      <c r="H789" t="s">
        <v>1182</v>
      </c>
      <c r="I789">
        <v>160</v>
      </c>
      <c r="J789">
        <v>28</v>
      </c>
      <c r="K789">
        <f t="shared" si="50"/>
        <v>17.5</v>
      </c>
      <c r="L789" t="s">
        <v>1737</v>
      </c>
      <c r="M789" t="s">
        <v>3787</v>
      </c>
      <c r="O789">
        <v>570007</v>
      </c>
      <c r="P789" t="s">
        <v>546</v>
      </c>
      <c r="Q789" t="s">
        <v>1761</v>
      </c>
      <c r="S789">
        <v>348.928</v>
      </c>
      <c r="T789">
        <v>2</v>
      </c>
      <c r="U789">
        <v>0.2</v>
      </c>
      <c r="V789">
        <v>34.892800000000001</v>
      </c>
      <c r="W789">
        <f t="shared" si="51"/>
        <v>157.01759999999999</v>
      </c>
      <c r="X789">
        <v>2</v>
      </c>
    </row>
    <row r="790" spans="1:24" x14ac:dyDescent="0.3">
      <c r="A790">
        <v>789</v>
      </c>
      <c r="B790" t="s">
        <v>2559</v>
      </c>
      <c r="C790" s="6">
        <v>44985</v>
      </c>
      <c r="D790" t="str">
        <f t="shared" si="48"/>
        <v>Feb</v>
      </c>
      <c r="E790" t="str">
        <f t="shared" si="49"/>
        <v>2023</v>
      </c>
      <c r="F790" t="s">
        <v>4</v>
      </c>
      <c r="G790" t="s">
        <v>200</v>
      </c>
      <c r="H790" t="s">
        <v>926</v>
      </c>
      <c r="I790">
        <v>230</v>
      </c>
      <c r="J790">
        <v>10</v>
      </c>
      <c r="K790">
        <f t="shared" si="50"/>
        <v>4.3478260869565215</v>
      </c>
      <c r="L790" t="s">
        <v>1743</v>
      </c>
      <c r="M790" t="s">
        <v>3736</v>
      </c>
      <c r="N790" t="s">
        <v>1</v>
      </c>
      <c r="O790">
        <v>524001</v>
      </c>
      <c r="P790" t="s">
        <v>546</v>
      </c>
      <c r="Q790" t="s">
        <v>1759</v>
      </c>
      <c r="R790" t="s">
        <v>2</v>
      </c>
      <c r="S790">
        <v>143.96</v>
      </c>
      <c r="T790">
        <v>4</v>
      </c>
      <c r="U790">
        <v>0</v>
      </c>
      <c r="V790">
        <v>69.100800000000007</v>
      </c>
      <c r="W790">
        <f t="shared" si="51"/>
        <v>18.7148</v>
      </c>
      <c r="X790">
        <v>3</v>
      </c>
    </row>
    <row r="791" spans="1:24" x14ac:dyDescent="0.3">
      <c r="A791">
        <v>790</v>
      </c>
      <c r="B791" t="s">
        <v>2560</v>
      </c>
      <c r="C791" s="6">
        <v>44986</v>
      </c>
      <c r="D791" t="str">
        <f t="shared" si="48"/>
        <v>Mar</v>
      </c>
      <c r="E791" t="str">
        <f t="shared" si="49"/>
        <v>2023</v>
      </c>
      <c r="F791" t="s">
        <v>4</v>
      </c>
      <c r="G791" t="s">
        <v>200</v>
      </c>
      <c r="H791" t="s">
        <v>968</v>
      </c>
      <c r="I791">
        <v>210</v>
      </c>
      <c r="J791">
        <v>8</v>
      </c>
      <c r="K791">
        <f t="shared" si="50"/>
        <v>3.8095238095238098</v>
      </c>
      <c r="L791" t="s">
        <v>1738</v>
      </c>
      <c r="M791" t="s">
        <v>3804</v>
      </c>
      <c r="N791" t="s">
        <v>1</v>
      </c>
      <c r="O791">
        <v>713102</v>
      </c>
      <c r="P791" t="s">
        <v>546</v>
      </c>
      <c r="Q791" t="s">
        <v>1756</v>
      </c>
      <c r="S791">
        <v>15.42</v>
      </c>
      <c r="T791">
        <v>1</v>
      </c>
      <c r="U791">
        <v>0</v>
      </c>
      <c r="V791">
        <v>4.1634000000000002</v>
      </c>
      <c r="W791">
        <f t="shared" si="51"/>
        <v>11.256599999999999</v>
      </c>
      <c r="X791">
        <v>2</v>
      </c>
    </row>
    <row r="792" spans="1:24" x14ac:dyDescent="0.3">
      <c r="A792">
        <v>791</v>
      </c>
      <c r="B792" t="s">
        <v>2561</v>
      </c>
      <c r="C792" s="6">
        <v>44987</v>
      </c>
      <c r="D792" t="str">
        <f t="shared" si="48"/>
        <v>Mar</v>
      </c>
      <c r="E792" t="str">
        <f t="shared" si="49"/>
        <v>2023</v>
      </c>
      <c r="F792" t="s">
        <v>4</v>
      </c>
      <c r="G792" t="s">
        <v>200</v>
      </c>
      <c r="H792" t="s">
        <v>1183</v>
      </c>
      <c r="I792">
        <v>230</v>
      </c>
      <c r="J792">
        <v>10</v>
      </c>
      <c r="K792">
        <f t="shared" si="50"/>
        <v>4.3478260869565215</v>
      </c>
      <c r="L792" t="s">
        <v>1739</v>
      </c>
      <c r="M792" t="s">
        <v>3588</v>
      </c>
      <c r="N792" t="s">
        <v>1</v>
      </c>
      <c r="O792">
        <v>641035</v>
      </c>
      <c r="P792" t="s">
        <v>546</v>
      </c>
      <c r="Q792" t="s">
        <v>1768</v>
      </c>
      <c r="S792">
        <v>43.04</v>
      </c>
      <c r="T792">
        <v>8</v>
      </c>
      <c r="U792">
        <v>0</v>
      </c>
      <c r="V792">
        <v>21.089600000000001</v>
      </c>
      <c r="W792">
        <f t="shared" si="51"/>
        <v>2.7437999999999998</v>
      </c>
      <c r="X792">
        <v>5</v>
      </c>
    </row>
    <row r="793" spans="1:24" x14ac:dyDescent="0.3">
      <c r="A793">
        <v>792</v>
      </c>
      <c r="B793" t="s">
        <v>2562</v>
      </c>
      <c r="C793" s="6">
        <v>44988</v>
      </c>
      <c r="D793" t="str">
        <f t="shared" si="48"/>
        <v>Mar</v>
      </c>
      <c r="E793" t="str">
        <f t="shared" si="49"/>
        <v>2023</v>
      </c>
      <c r="F793" t="s">
        <v>4</v>
      </c>
      <c r="G793" t="s">
        <v>200</v>
      </c>
      <c r="H793" t="s">
        <v>1184</v>
      </c>
      <c r="I793">
        <v>220</v>
      </c>
      <c r="J793">
        <v>6</v>
      </c>
      <c r="K793">
        <f t="shared" si="50"/>
        <v>2.7272727272727271</v>
      </c>
      <c r="L793" t="s">
        <v>1741</v>
      </c>
      <c r="M793" t="s">
        <v>3789</v>
      </c>
      <c r="N793" t="s">
        <v>1</v>
      </c>
      <c r="O793">
        <v>641027</v>
      </c>
      <c r="P793" t="s">
        <v>546</v>
      </c>
      <c r="Q793" t="s">
        <v>1756</v>
      </c>
      <c r="S793">
        <v>332.94</v>
      </c>
      <c r="T793">
        <v>3</v>
      </c>
      <c r="U793">
        <v>0</v>
      </c>
      <c r="V793">
        <v>79.905600000000007</v>
      </c>
      <c r="W793">
        <f t="shared" si="51"/>
        <v>84.344800000000006</v>
      </c>
      <c r="X793">
        <v>5</v>
      </c>
    </row>
    <row r="794" spans="1:24" x14ac:dyDescent="0.3">
      <c r="A794">
        <v>793</v>
      </c>
      <c r="B794" t="s">
        <v>2563</v>
      </c>
      <c r="C794" s="6">
        <v>44989</v>
      </c>
      <c r="D794" t="str">
        <f t="shared" si="48"/>
        <v>Mar</v>
      </c>
      <c r="E794" t="str">
        <f t="shared" si="49"/>
        <v>2023</v>
      </c>
      <c r="F794" t="s">
        <v>6</v>
      </c>
      <c r="G794" t="s">
        <v>307</v>
      </c>
      <c r="H794" t="s">
        <v>1185</v>
      </c>
      <c r="I794">
        <v>250</v>
      </c>
      <c r="J794">
        <v>6</v>
      </c>
      <c r="K794">
        <f t="shared" si="50"/>
        <v>2.4</v>
      </c>
      <c r="L794" t="s">
        <v>1736</v>
      </c>
      <c r="M794" t="s">
        <v>3790</v>
      </c>
      <c r="N794" t="s">
        <v>1</v>
      </c>
      <c r="O794">
        <v>500072</v>
      </c>
      <c r="P794" t="s">
        <v>546</v>
      </c>
      <c r="Q794" t="s">
        <v>1755</v>
      </c>
      <c r="S794">
        <v>1363.96</v>
      </c>
      <c r="T794">
        <v>5</v>
      </c>
      <c r="U794">
        <v>0.2</v>
      </c>
      <c r="V794">
        <v>85.247500000000002</v>
      </c>
      <c r="W794">
        <f t="shared" si="51"/>
        <v>255.74250000000001</v>
      </c>
      <c r="X794">
        <v>1</v>
      </c>
    </row>
    <row r="795" spans="1:24" x14ac:dyDescent="0.3">
      <c r="A795">
        <v>794</v>
      </c>
      <c r="B795" t="s">
        <v>2564</v>
      </c>
      <c r="C795" s="6">
        <v>44990</v>
      </c>
      <c r="D795" t="str">
        <f t="shared" si="48"/>
        <v>Mar</v>
      </c>
      <c r="E795" t="str">
        <f t="shared" si="49"/>
        <v>2023</v>
      </c>
      <c r="F795" t="s">
        <v>4</v>
      </c>
      <c r="G795" t="s">
        <v>308</v>
      </c>
      <c r="H795" t="s">
        <v>1186</v>
      </c>
      <c r="I795">
        <v>170</v>
      </c>
      <c r="J795">
        <v>26</v>
      </c>
      <c r="K795">
        <f t="shared" si="50"/>
        <v>15.294117647058824</v>
      </c>
      <c r="L795" t="s">
        <v>1744</v>
      </c>
      <c r="M795" t="s">
        <v>3798</v>
      </c>
      <c r="N795" t="s">
        <v>1</v>
      </c>
      <c r="O795">
        <v>302001</v>
      </c>
      <c r="P795" t="s">
        <v>546</v>
      </c>
      <c r="Q795" t="s">
        <v>1763</v>
      </c>
      <c r="S795">
        <v>9.9600000000000009</v>
      </c>
      <c r="T795">
        <v>2</v>
      </c>
      <c r="U795">
        <v>0</v>
      </c>
      <c r="V795">
        <v>4.5815999999999999</v>
      </c>
      <c r="W795">
        <f t="shared" si="51"/>
        <v>2.6892000000000005</v>
      </c>
      <c r="X795">
        <v>3</v>
      </c>
    </row>
    <row r="796" spans="1:24" x14ac:dyDescent="0.3">
      <c r="A796">
        <v>795</v>
      </c>
      <c r="B796" t="s">
        <v>2565</v>
      </c>
      <c r="C796" s="6">
        <v>44991</v>
      </c>
      <c r="D796" t="str">
        <f t="shared" si="48"/>
        <v>Mar</v>
      </c>
      <c r="E796" t="str">
        <f t="shared" si="49"/>
        <v>2023</v>
      </c>
      <c r="F796" t="s">
        <v>4</v>
      </c>
      <c r="G796" t="s">
        <v>308</v>
      </c>
      <c r="H796" t="s">
        <v>909</v>
      </c>
      <c r="I796">
        <v>230</v>
      </c>
      <c r="J796">
        <v>16</v>
      </c>
      <c r="K796">
        <f t="shared" si="50"/>
        <v>6.9565217391304346</v>
      </c>
      <c r="L796" t="s">
        <v>1740</v>
      </c>
      <c r="M796" t="s">
        <v>3834</v>
      </c>
      <c r="N796" t="s">
        <v>1</v>
      </c>
      <c r="O796">
        <v>620017</v>
      </c>
      <c r="P796" t="s">
        <v>546</v>
      </c>
      <c r="Q796" t="s">
        <v>1765</v>
      </c>
      <c r="S796">
        <v>21.72</v>
      </c>
      <c r="T796">
        <v>4</v>
      </c>
      <c r="U796">
        <v>0</v>
      </c>
      <c r="V796">
        <v>10.642799999999999</v>
      </c>
      <c r="W796">
        <f t="shared" si="51"/>
        <v>2.7692999999999999</v>
      </c>
      <c r="X796">
        <v>1</v>
      </c>
    </row>
    <row r="797" spans="1:24" x14ac:dyDescent="0.3">
      <c r="A797">
        <v>796</v>
      </c>
      <c r="B797" t="s">
        <v>2566</v>
      </c>
      <c r="C797" s="6">
        <v>44992</v>
      </c>
      <c r="D797" t="str">
        <f t="shared" si="48"/>
        <v>Mar</v>
      </c>
      <c r="E797" t="str">
        <f t="shared" si="49"/>
        <v>2023</v>
      </c>
      <c r="F797" t="s">
        <v>4</v>
      </c>
      <c r="G797" t="s">
        <v>309</v>
      </c>
      <c r="H797" t="s">
        <v>1161</v>
      </c>
      <c r="I797">
        <v>170</v>
      </c>
      <c r="J797">
        <v>8</v>
      </c>
      <c r="K797">
        <f t="shared" si="50"/>
        <v>4.7058823529411766</v>
      </c>
      <c r="L797" t="s">
        <v>1742</v>
      </c>
      <c r="M797" t="s">
        <v>3776</v>
      </c>
      <c r="N797" t="s">
        <v>1</v>
      </c>
      <c r="O797">
        <v>110089</v>
      </c>
      <c r="P797" t="s">
        <v>546</v>
      </c>
      <c r="Q797" t="s">
        <v>1769</v>
      </c>
      <c r="S797">
        <v>20.16</v>
      </c>
      <c r="T797">
        <v>7</v>
      </c>
      <c r="U797">
        <v>0</v>
      </c>
      <c r="V797">
        <v>9.8783999999999992</v>
      </c>
      <c r="W797">
        <f t="shared" si="51"/>
        <v>1.4688000000000001</v>
      </c>
      <c r="X797">
        <v>1</v>
      </c>
    </row>
    <row r="798" spans="1:24" x14ac:dyDescent="0.3">
      <c r="A798">
        <v>797</v>
      </c>
      <c r="B798" t="s">
        <v>2567</v>
      </c>
      <c r="C798" s="6">
        <v>44993</v>
      </c>
      <c r="D798" t="str">
        <f t="shared" si="48"/>
        <v>Mar</v>
      </c>
      <c r="E798" t="str">
        <f t="shared" si="49"/>
        <v>2023</v>
      </c>
      <c r="F798" t="s">
        <v>5</v>
      </c>
      <c r="G798" t="s">
        <v>113</v>
      </c>
      <c r="H798" t="s">
        <v>1187</v>
      </c>
      <c r="I798">
        <v>240</v>
      </c>
      <c r="J798">
        <v>26</v>
      </c>
      <c r="K798">
        <f t="shared" si="50"/>
        <v>10.833333333333334</v>
      </c>
      <c r="L798" t="s">
        <v>1739</v>
      </c>
      <c r="M798" t="s">
        <v>3785</v>
      </c>
      <c r="N798" t="s">
        <v>1</v>
      </c>
      <c r="O798">
        <v>560061</v>
      </c>
      <c r="P798" t="s">
        <v>546</v>
      </c>
      <c r="Q798" t="s">
        <v>1772</v>
      </c>
      <c r="S798">
        <v>132.79</v>
      </c>
      <c r="T798">
        <v>7</v>
      </c>
      <c r="U798">
        <v>0</v>
      </c>
      <c r="V798">
        <v>63.739199999999997</v>
      </c>
      <c r="W798">
        <f t="shared" si="51"/>
        <v>9.8643999999999998</v>
      </c>
      <c r="X798">
        <v>1</v>
      </c>
    </row>
    <row r="799" spans="1:24" x14ac:dyDescent="0.3">
      <c r="A799">
        <v>798</v>
      </c>
      <c r="B799" t="s">
        <v>2568</v>
      </c>
      <c r="C799" s="6">
        <v>44994</v>
      </c>
      <c r="D799" t="str">
        <f t="shared" si="48"/>
        <v>Mar</v>
      </c>
      <c r="E799" t="str">
        <f t="shared" si="49"/>
        <v>2023</v>
      </c>
      <c r="F799" t="s">
        <v>5</v>
      </c>
      <c r="G799" t="s">
        <v>113</v>
      </c>
      <c r="H799" t="s">
        <v>559</v>
      </c>
      <c r="I799">
        <v>170</v>
      </c>
      <c r="J799">
        <v>12</v>
      </c>
      <c r="K799">
        <f t="shared" si="50"/>
        <v>7.0588235294117645</v>
      </c>
      <c r="L799" t="s">
        <v>1738</v>
      </c>
      <c r="M799" t="s">
        <v>3788</v>
      </c>
      <c r="O799">
        <v>560077</v>
      </c>
      <c r="P799" t="s">
        <v>546</v>
      </c>
      <c r="Q799" t="s">
        <v>1770</v>
      </c>
      <c r="S799">
        <v>12.96</v>
      </c>
      <c r="T799">
        <v>2</v>
      </c>
      <c r="U799">
        <v>0</v>
      </c>
      <c r="V799">
        <v>6.2207999999999997</v>
      </c>
      <c r="W799">
        <f t="shared" si="51"/>
        <v>3.3696000000000006</v>
      </c>
      <c r="X799">
        <v>5</v>
      </c>
    </row>
    <row r="800" spans="1:24" x14ac:dyDescent="0.3">
      <c r="A800">
        <v>799</v>
      </c>
      <c r="B800" t="s">
        <v>2569</v>
      </c>
      <c r="C800" s="6">
        <v>44995</v>
      </c>
      <c r="D800" t="str">
        <f t="shared" si="48"/>
        <v>Mar</v>
      </c>
      <c r="E800" t="str">
        <f t="shared" si="49"/>
        <v>2023</v>
      </c>
      <c r="F800" t="s">
        <v>5</v>
      </c>
      <c r="G800" t="s">
        <v>113</v>
      </c>
      <c r="H800" t="s">
        <v>1188</v>
      </c>
      <c r="I800">
        <v>150</v>
      </c>
      <c r="J800">
        <v>10</v>
      </c>
      <c r="K800">
        <f t="shared" si="50"/>
        <v>6.666666666666667</v>
      </c>
      <c r="L800" t="s">
        <v>1737</v>
      </c>
      <c r="M800" t="s">
        <v>3768</v>
      </c>
      <c r="N800" t="s">
        <v>1</v>
      </c>
      <c r="O800">
        <v>482001</v>
      </c>
      <c r="P800" t="s">
        <v>546</v>
      </c>
      <c r="Q800" t="s">
        <v>1755</v>
      </c>
      <c r="R800" t="s">
        <v>2</v>
      </c>
      <c r="S800">
        <v>21.56</v>
      </c>
      <c r="T800">
        <v>7</v>
      </c>
      <c r="U800">
        <v>0</v>
      </c>
      <c r="V800">
        <v>10.348800000000001</v>
      </c>
      <c r="W800">
        <f t="shared" si="51"/>
        <v>1.6015999999999997</v>
      </c>
      <c r="X800">
        <v>1</v>
      </c>
    </row>
    <row r="801" spans="1:24" x14ac:dyDescent="0.3">
      <c r="A801">
        <v>800</v>
      </c>
      <c r="B801" t="s">
        <v>2570</v>
      </c>
      <c r="C801" s="6">
        <v>44996</v>
      </c>
      <c r="D801" t="str">
        <f t="shared" si="48"/>
        <v>Mar</v>
      </c>
      <c r="E801" t="str">
        <f t="shared" si="49"/>
        <v>2023</v>
      </c>
      <c r="F801" t="s">
        <v>4</v>
      </c>
      <c r="G801" t="s">
        <v>310</v>
      </c>
      <c r="H801" t="s">
        <v>1021</v>
      </c>
      <c r="I801">
        <v>110</v>
      </c>
      <c r="J801">
        <v>10</v>
      </c>
      <c r="K801">
        <f t="shared" si="50"/>
        <v>9.0909090909090917</v>
      </c>
      <c r="L801" t="s">
        <v>1743</v>
      </c>
      <c r="M801" t="s">
        <v>3769</v>
      </c>
      <c r="N801" t="s">
        <v>1</v>
      </c>
      <c r="O801">
        <v>751003</v>
      </c>
      <c r="P801" t="s">
        <v>546</v>
      </c>
      <c r="Q801" t="s">
        <v>1766</v>
      </c>
      <c r="R801" t="s">
        <v>2</v>
      </c>
      <c r="S801">
        <v>283.92</v>
      </c>
      <c r="T801">
        <v>5</v>
      </c>
      <c r="U801">
        <v>0.2</v>
      </c>
      <c r="V801">
        <v>17.745000000000001</v>
      </c>
      <c r="W801">
        <f t="shared" si="51"/>
        <v>53.234999999999999</v>
      </c>
      <c r="X801">
        <v>5</v>
      </c>
    </row>
    <row r="802" spans="1:24" x14ac:dyDescent="0.3">
      <c r="A802">
        <v>801</v>
      </c>
      <c r="B802" t="s">
        <v>2571</v>
      </c>
      <c r="C802" s="6">
        <v>44997</v>
      </c>
      <c r="D802" t="str">
        <f t="shared" si="48"/>
        <v>Mar</v>
      </c>
      <c r="E802" t="str">
        <f t="shared" si="49"/>
        <v>2023</v>
      </c>
      <c r="F802" t="s">
        <v>5</v>
      </c>
      <c r="G802" t="s">
        <v>311</v>
      </c>
      <c r="H802" t="s">
        <v>1189</v>
      </c>
      <c r="I802">
        <v>210</v>
      </c>
      <c r="J802">
        <v>18</v>
      </c>
      <c r="K802">
        <f t="shared" si="50"/>
        <v>8.5714285714285712</v>
      </c>
      <c r="L802" t="s">
        <v>1738</v>
      </c>
      <c r="M802" t="s">
        <v>3770</v>
      </c>
      <c r="N802" t="s">
        <v>1</v>
      </c>
      <c r="O802">
        <v>590006</v>
      </c>
      <c r="P802" t="s">
        <v>546</v>
      </c>
      <c r="Q802" t="s">
        <v>1761</v>
      </c>
      <c r="S802">
        <v>22.23</v>
      </c>
      <c r="T802">
        <v>1</v>
      </c>
      <c r="U802">
        <v>0</v>
      </c>
      <c r="V802">
        <v>7.3358999999999996</v>
      </c>
      <c r="W802">
        <f t="shared" si="51"/>
        <v>14.894100000000002</v>
      </c>
      <c r="X802">
        <v>3</v>
      </c>
    </row>
    <row r="803" spans="1:24" x14ac:dyDescent="0.3">
      <c r="A803">
        <v>802</v>
      </c>
      <c r="B803" t="s">
        <v>2572</v>
      </c>
      <c r="C803" s="6">
        <v>44998</v>
      </c>
      <c r="D803" t="str">
        <f t="shared" si="48"/>
        <v>Mar</v>
      </c>
      <c r="E803" t="str">
        <f t="shared" si="49"/>
        <v>2023</v>
      </c>
      <c r="F803" t="s">
        <v>5</v>
      </c>
      <c r="G803" t="s">
        <v>311</v>
      </c>
      <c r="H803" t="s">
        <v>780</v>
      </c>
      <c r="I803">
        <v>170</v>
      </c>
      <c r="J803">
        <v>6</v>
      </c>
      <c r="K803">
        <f t="shared" si="50"/>
        <v>3.5294117647058822</v>
      </c>
      <c r="L803" t="s">
        <v>1739</v>
      </c>
      <c r="M803" t="s">
        <v>3771</v>
      </c>
      <c r="N803" t="s">
        <v>1</v>
      </c>
      <c r="O803">
        <v>560040</v>
      </c>
      <c r="P803" t="s">
        <v>546</v>
      </c>
      <c r="Q803" t="s">
        <v>1756</v>
      </c>
      <c r="R803" t="s">
        <v>2</v>
      </c>
      <c r="S803">
        <v>215.96799999999999</v>
      </c>
      <c r="T803">
        <v>2</v>
      </c>
      <c r="U803">
        <v>0.2</v>
      </c>
      <c r="V803">
        <v>18.897200000000002</v>
      </c>
      <c r="W803">
        <f t="shared" si="51"/>
        <v>98.535399999999996</v>
      </c>
      <c r="X803">
        <v>1</v>
      </c>
    </row>
    <row r="804" spans="1:24" x14ac:dyDescent="0.3">
      <c r="A804">
        <v>803</v>
      </c>
      <c r="B804" t="s">
        <v>2573</v>
      </c>
      <c r="C804" s="6">
        <v>44999</v>
      </c>
      <c r="D804" t="str">
        <f t="shared" si="48"/>
        <v>Mar</v>
      </c>
      <c r="E804" t="str">
        <f t="shared" si="49"/>
        <v>2023</v>
      </c>
      <c r="F804" t="s">
        <v>3</v>
      </c>
      <c r="G804" t="s">
        <v>311</v>
      </c>
      <c r="H804" t="s">
        <v>1190</v>
      </c>
      <c r="I804">
        <v>130</v>
      </c>
      <c r="J804">
        <v>26</v>
      </c>
      <c r="K804">
        <f t="shared" si="50"/>
        <v>20</v>
      </c>
      <c r="L804" t="s">
        <v>1741</v>
      </c>
      <c r="M804" t="s">
        <v>3796</v>
      </c>
      <c r="N804" t="s">
        <v>1</v>
      </c>
      <c r="O804">
        <v>400028</v>
      </c>
      <c r="P804" t="s">
        <v>546</v>
      </c>
      <c r="Q804" t="s">
        <v>1765</v>
      </c>
      <c r="R804" t="s">
        <v>2</v>
      </c>
      <c r="S804">
        <v>355.32</v>
      </c>
      <c r="T804">
        <v>9</v>
      </c>
      <c r="U804">
        <v>0</v>
      </c>
      <c r="V804">
        <v>99.489599999999996</v>
      </c>
      <c r="W804">
        <f t="shared" si="51"/>
        <v>28.425599999999999</v>
      </c>
      <c r="X804">
        <v>3</v>
      </c>
    </row>
    <row r="805" spans="1:24" x14ac:dyDescent="0.3">
      <c r="A805">
        <v>804</v>
      </c>
      <c r="B805" t="s">
        <v>2574</v>
      </c>
      <c r="C805" s="6">
        <v>45000</v>
      </c>
      <c r="D805" t="str">
        <f t="shared" si="48"/>
        <v>Mar</v>
      </c>
      <c r="E805" t="str">
        <f t="shared" si="49"/>
        <v>2023</v>
      </c>
      <c r="F805" t="s">
        <v>4</v>
      </c>
      <c r="G805" t="s">
        <v>312</v>
      </c>
      <c r="H805" t="s">
        <v>1191</v>
      </c>
      <c r="I805">
        <v>110</v>
      </c>
      <c r="J805">
        <v>18</v>
      </c>
      <c r="K805">
        <f t="shared" si="50"/>
        <v>16.363636363636363</v>
      </c>
      <c r="L805" t="s">
        <v>1736</v>
      </c>
      <c r="M805" t="s">
        <v>3773</v>
      </c>
      <c r="N805" t="s">
        <v>1</v>
      </c>
      <c r="O805">
        <v>600017</v>
      </c>
      <c r="P805" t="s">
        <v>546</v>
      </c>
      <c r="Q805" t="s">
        <v>1771</v>
      </c>
      <c r="S805">
        <v>12.96</v>
      </c>
      <c r="T805">
        <v>2</v>
      </c>
      <c r="U805">
        <v>0</v>
      </c>
      <c r="V805">
        <v>6.2207999999999997</v>
      </c>
      <c r="W805">
        <f t="shared" si="51"/>
        <v>3.3696000000000006</v>
      </c>
      <c r="X805">
        <v>4</v>
      </c>
    </row>
    <row r="806" spans="1:24" x14ac:dyDescent="0.3">
      <c r="A806">
        <v>805</v>
      </c>
      <c r="B806" t="s">
        <v>2575</v>
      </c>
      <c r="C806" s="6">
        <v>45001</v>
      </c>
      <c r="D806" t="str">
        <f t="shared" si="48"/>
        <v>Mar</v>
      </c>
      <c r="E806" t="str">
        <f t="shared" si="49"/>
        <v>2023</v>
      </c>
      <c r="F806" t="s">
        <v>5</v>
      </c>
      <c r="G806" t="s">
        <v>313</v>
      </c>
      <c r="H806" t="s">
        <v>1192</v>
      </c>
      <c r="I806">
        <v>180</v>
      </c>
      <c r="J806">
        <v>28</v>
      </c>
      <c r="K806">
        <f t="shared" si="50"/>
        <v>15.555555555555555</v>
      </c>
      <c r="L806" t="s">
        <v>1744</v>
      </c>
      <c r="M806" t="s">
        <v>3774</v>
      </c>
      <c r="N806" t="s">
        <v>1</v>
      </c>
      <c r="O806">
        <v>411060</v>
      </c>
      <c r="P806" t="s">
        <v>546</v>
      </c>
      <c r="Q806" t="s">
        <v>1759</v>
      </c>
      <c r="S806">
        <v>18.28</v>
      </c>
      <c r="T806">
        <v>2</v>
      </c>
      <c r="U806">
        <v>0</v>
      </c>
      <c r="V806">
        <v>6.2152000000000003</v>
      </c>
      <c r="W806">
        <f t="shared" si="51"/>
        <v>6.0324000000000009</v>
      </c>
      <c r="X806">
        <v>2</v>
      </c>
    </row>
    <row r="807" spans="1:24" x14ac:dyDescent="0.3">
      <c r="A807">
        <v>806</v>
      </c>
      <c r="B807" t="s">
        <v>2576</v>
      </c>
      <c r="C807" s="6">
        <v>45002</v>
      </c>
      <c r="D807" t="str">
        <f t="shared" si="48"/>
        <v>Mar</v>
      </c>
      <c r="E807" t="str">
        <f t="shared" si="49"/>
        <v>2023</v>
      </c>
      <c r="F807" t="s">
        <v>4</v>
      </c>
      <c r="G807" t="s">
        <v>161</v>
      </c>
      <c r="H807" t="s">
        <v>1193</v>
      </c>
      <c r="I807">
        <v>190</v>
      </c>
      <c r="J807">
        <v>16</v>
      </c>
      <c r="K807">
        <f t="shared" si="50"/>
        <v>8.4210526315789469</v>
      </c>
      <c r="L807" t="s">
        <v>1740</v>
      </c>
      <c r="M807" t="s">
        <v>3775</v>
      </c>
      <c r="O807">
        <v>380059</v>
      </c>
      <c r="P807" t="s">
        <v>546</v>
      </c>
      <c r="Q807" t="s">
        <v>1755</v>
      </c>
      <c r="S807">
        <v>43.176000000000002</v>
      </c>
      <c r="T807">
        <v>3</v>
      </c>
      <c r="U807">
        <v>0.2</v>
      </c>
      <c r="V807">
        <v>4.3175999999999997</v>
      </c>
      <c r="W807">
        <f t="shared" si="51"/>
        <v>12.952800000000002</v>
      </c>
      <c r="X807">
        <v>5</v>
      </c>
    </row>
    <row r="808" spans="1:24" x14ac:dyDescent="0.3">
      <c r="A808">
        <v>807</v>
      </c>
      <c r="B808" t="s">
        <v>2577</v>
      </c>
      <c r="C808" s="6">
        <v>45003</v>
      </c>
      <c r="D808" t="str">
        <f t="shared" si="48"/>
        <v>Mar</v>
      </c>
      <c r="E808" t="str">
        <f t="shared" si="49"/>
        <v>2023</v>
      </c>
      <c r="F808" t="s">
        <v>4</v>
      </c>
      <c r="G808" t="s">
        <v>161</v>
      </c>
      <c r="H808" t="s">
        <v>1194</v>
      </c>
      <c r="I808">
        <v>150</v>
      </c>
      <c r="J808">
        <v>20</v>
      </c>
      <c r="K808">
        <f t="shared" si="50"/>
        <v>13.333333333333334</v>
      </c>
      <c r="L808" t="s">
        <v>1742</v>
      </c>
      <c r="M808" t="s">
        <v>3765</v>
      </c>
      <c r="N808" t="s">
        <v>1</v>
      </c>
      <c r="O808">
        <v>201014</v>
      </c>
      <c r="P808" t="s">
        <v>546</v>
      </c>
      <c r="Q808" t="s">
        <v>1759</v>
      </c>
      <c r="S808">
        <v>1983.9680000000001</v>
      </c>
      <c r="T808">
        <v>4</v>
      </c>
      <c r="U808">
        <v>0.2</v>
      </c>
      <c r="V808">
        <v>247.99600000000001</v>
      </c>
      <c r="W808">
        <f t="shared" si="51"/>
        <v>433.99299999999999</v>
      </c>
      <c r="X808">
        <v>5</v>
      </c>
    </row>
    <row r="809" spans="1:24" x14ac:dyDescent="0.3">
      <c r="A809">
        <v>808</v>
      </c>
      <c r="B809" t="s">
        <v>2578</v>
      </c>
      <c r="C809" s="6">
        <v>45004</v>
      </c>
      <c r="D809" t="str">
        <f t="shared" si="48"/>
        <v>Mar</v>
      </c>
      <c r="E809" t="str">
        <f t="shared" si="49"/>
        <v>2023</v>
      </c>
      <c r="F809" t="s">
        <v>5</v>
      </c>
      <c r="G809" t="s">
        <v>218</v>
      </c>
      <c r="H809" t="s">
        <v>925</v>
      </c>
      <c r="I809">
        <v>240</v>
      </c>
      <c r="J809">
        <v>14</v>
      </c>
      <c r="K809">
        <f t="shared" si="50"/>
        <v>5.833333333333333</v>
      </c>
      <c r="L809" t="s">
        <v>1739</v>
      </c>
      <c r="M809" t="s">
        <v>3777</v>
      </c>
      <c r="N809" t="s">
        <v>1</v>
      </c>
      <c r="O809">
        <v>785640</v>
      </c>
      <c r="P809" t="s">
        <v>546</v>
      </c>
      <c r="Q809" t="s">
        <v>1761</v>
      </c>
      <c r="S809">
        <v>28.4</v>
      </c>
      <c r="T809">
        <v>2</v>
      </c>
      <c r="U809">
        <v>0</v>
      </c>
      <c r="V809">
        <v>11.076000000000001</v>
      </c>
      <c r="W809">
        <f t="shared" si="51"/>
        <v>8.661999999999999</v>
      </c>
      <c r="X809">
        <v>4</v>
      </c>
    </row>
    <row r="810" spans="1:24" x14ac:dyDescent="0.3">
      <c r="A810">
        <v>809</v>
      </c>
      <c r="B810" t="s">
        <v>2579</v>
      </c>
      <c r="C810" s="6">
        <v>45005</v>
      </c>
      <c r="D810" t="str">
        <f t="shared" si="48"/>
        <v>Mar</v>
      </c>
      <c r="E810" t="str">
        <f t="shared" si="49"/>
        <v>2023</v>
      </c>
      <c r="F810" t="s">
        <v>5</v>
      </c>
      <c r="G810" t="s">
        <v>218</v>
      </c>
      <c r="H810" t="s">
        <v>1195</v>
      </c>
      <c r="I810">
        <v>160</v>
      </c>
      <c r="J810">
        <v>22</v>
      </c>
      <c r="K810">
        <f t="shared" si="50"/>
        <v>13.750000000000002</v>
      </c>
      <c r="L810" t="s">
        <v>1738</v>
      </c>
      <c r="M810" t="s">
        <v>3750</v>
      </c>
      <c r="N810" t="s">
        <v>1</v>
      </c>
      <c r="O810">
        <v>110084</v>
      </c>
      <c r="P810" t="s">
        <v>546</v>
      </c>
      <c r="Q810" t="s">
        <v>1760</v>
      </c>
      <c r="S810">
        <v>149.97</v>
      </c>
      <c r="T810">
        <v>3</v>
      </c>
      <c r="U810">
        <v>0</v>
      </c>
      <c r="V810">
        <v>50.989800000000002</v>
      </c>
      <c r="W810">
        <f t="shared" si="51"/>
        <v>32.993400000000001</v>
      </c>
      <c r="X810">
        <v>2</v>
      </c>
    </row>
    <row r="811" spans="1:24" x14ac:dyDescent="0.3">
      <c r="A811">
        <v>810</v>
      </c>
      <c r="B811" t="s">
        <v>2580</v>
      </c>
      <c r="C811" s="6">
        <v>45006</v>
      </c>
      <c r="D811" t="str">
        <f t="shared" si="48"/>
        <v>Mar</v>
      </c>
      <c r="E811" t="str">
        <f t="shared" si="49"/>
        <v>2023</v>
      </c>
      <c r="F811" t="s">
        <v>5</v>
      </c>
      <c r="G811" t="s">
        <v>240</v>
      </c>
      <c r="H811" t="s">
        <v>1196</v>
      </c>
      <c r="I811">
        <v>140</v>
      </c>
      <c r="J811">
        <v>30</v>
      </c>
      <c r="K811">
        <f t="shared" si="50"/>
        <v>21.428571428571427</v>
      </c>
      <c r="L811" t="s">
        <v>1737</v>
      </c>
      <c r="M811" t="s">
        <v>3835</v>
      </c>
      <c r="N811" t="s">
        <v>1</v>
      </c>
      <c r="O811">
        <v>400060</v>
      </c>
      <c r="P811" t="s">
        <v>546</v>
      </c>
      <c r="Q811" t="s">
        <v>1761</v>
      </c>
      <c r="S811">
        <v>11.52</v>
      </c>
      <c r="T811">
        <v>4</v>
      </c>
      <c r="U811">
        <v>0</v>
      </c>
      <c r="V811">
        <v>3.2256</v>
      </c>
      <c r="W811">
        <f t="shared" si="51"/>
        <v>2.0735999999999999</v>
      </c>
      <c r="X811">
        <v>1</v>
      </c>
    </row>
    <row r="812" spans="1:24" x14ac:dyDescent="0.3">
      <c r="A812">
        <v>811</v>
      </c>
      <c r="B812" t="s">
        <v>2581</v>
      </c>
      <c r="C812" s="6">
        <v>45007</v>
      </c>
      <c r="D812" t="str">
        <f t="shared" si="48"/>
        <v>Mar</v>
      </c>
      <c r="E812" t="str">
        <f t="shared" si="49"/>
        <v>2023</v>
      </c>
      <c r="F812" t="s">
        <v>5</v>
      </c>
      <c r="G812" t="s">
        <v>240</v>
      </c>
      <c r="H812" t="s">
        <v>804</v>
      </c>
      <c r="I812">
        <v>240</v>
      </c>
      <c r="J812">
        <v>26</v>
      </c>
      <c r="K812">
        <f t="shared" si="50"/>
        <v>10.833333333333334</v>
      </c>
      <c r="L812" t="s">
        <v>1743</v>
      </c>
      <c r="M812" t="s">
        <v>3836</v>
      </c>
      <c r="N812" t="s">
        <v>1</v>
      </c>
      <c r="O812">
        <v>400092</v>
      </c>
      <c r="P812" t="s">
        <v>546</v>
      </c>
      <c r="Q812" t="s">
        <v>1755</v>
      </c>
      <c r="S812">
        <v>1298.55</v>
      </c>
      <c r="T812">
        <v>5</v>
      </c>
      <c r="U812">
        <v>0</v>
      </c>
      <c r="V812">
        <v>311.65199999999999</v>
      </c>
      <c r="W812">
        <f t="shared" si="51"/>
        <v>197.37959999999998</v>
      </c>
      <c r="X812">
        <v>1</v>
      </c>
    </row>
    <row r="813" spans="1:24" x14ac:dyDescent="0.3">
      <c r="A813">
        <v>812</v>
      </c>
      <c r="B813" t="s">
        <v>2582</v>
      </c>
      <c r="C813" s="6">
        <v>45008</v>
      </c>
      <c r="D813" t="str">
        <f t="shared" si="48"/>
        <v>Mar</v>
      </c>
      <c r="E813" t="str">
        <f t="shared" si="49"/>
        <v>2023</v>
      </c>
      <c r="F813" t="s">
        <v>5</v>
      </c>
      <c r="G813" t="s">
        <v>240</v>
      </c>
      <c r="H813" t="s">
        <v>1197</v>
      </c>
      <c r="I813">
        <v>140</v>
      </c>
      <c r="J813">
        <v>30</v>
      </c>
      <c r="K813">
        <f t="shared" si="50"/>
        <v>21.428571428571427</v>
      </c>
      <c r="L813" t="s">
        <v>1738</v>
      </c>
      <c r="M813" t="s">
        <v>3795</v>
      </c>
      <c r="N813" t="s">
        <v>1</v>
      </c>
      <c r="O813">
        <v>785640</v>
      </c>
      <c r="P813" t="s">
        <v>546</v>
      </c>
      <c r="Q813" t="s">
        <v>1755</v>
      </c>
      <c r="R813" t="s">
        <v>2</v>
      </c>
      <c r="S813">
        <v>213.92</v>
      </c>
      <c r="T813">
        <v>4</v>
      </c>
      <c r="U813">
        <v>0</v>
      </c>
      <c r="V813">
        <v>62.036799999999999</v>
      </c>
      <c r="W813">
        <f t="shared" si="51"/>
        <v>37.970799999999997</v>
      </c>
      <c r="X813">
        <v>2</v>
      </c>
    </row>
    <row r="814" spans="1:24" x14ac:dyDescent="0.3">
      <c r="A814">
        <v>813</v>
      </c>
      <c r="B814" t="s">
        <v>2583</v>
      </c>
      <c r="C814" s="6">
        <v>45009</v>
      </c>
      <c r="D814" t="str">
        <f t="shared" si="48"/>
        <v>Mar</v>
      </c>
      <c r="E814" t="str">
        <f t="shared" si="49"/>
        <v>2023</v>
      </c>
      <c r="F814" t="s">
        <v>5</v>
      </c>
      <c r="G814" t="s">
        <v>240</v>
      </c>
      <c r="H814" t="s">
        <v>1100</v>
      </c>
      <c r="I814">
        <v>230</v>
      </c>
      <c r="J814">
        <v>10</v>
      </c>
      <c r="K814">
        <f t="shared" si="50"/>
        <v>4.3478260869565215</v>
      </c>
      <c r="L814" t="s">
        <v>1739</v>
      </c>
      <c r="M814" t="s">
        <v>3751</v>
      </c>
      <c r="N814" t="s">
        <v>1</v>
      </c>
      <c r="O814">
        <v>509001</v>
      </c>
      <c r="P814" t="s">
        <v>546</v>
      </c>
      <c r="Q814" t="s">
        <v>1775</v>
      </c>
      <c r="S814">
        <v>25.78</v>
      </c>
      <c r="T814">
        <v>2</v>
      </c>
      <c r="U814">
        <v>0</v>
      </c>
      <c r="V814">
        <v>2.5779999999999998</v>
      </c>
      <c r="W814">
        <f t="shared" si="51"/>
        <v>11.601000000000001</v>
      </c>
      <c r="X814">
        <v>3</v>
      </c>
    </row>
    <row r="815" spans="1:24" x14ac:dyDescent="0.3">
      <c r="A815">
        <v>814</v>
      </c>
      <c r="B815" t="s">
        <v>2584</v>
      </c>
      <c r="C815" s="6">
        <v>45010</v>
      </c>
      <c r="D815" t="str">
        <f t="shared" si="48"/>
        <v>Mar</v>
      </c>
      <c r="E815" t="str">
        <f t="shared" si="49"/>
        <v>2023</v>
      </c>
      <c r="F815" t="s">
        <v>6</v>
      </c>
      <c r="G815" t="s">
        <v>314</v>
      </c>
      <c r="H815" t="s">
        <v>1192</v>
      </c>
      <c r="I815">
        <v>100</v>
      </c>
      <c r="J815">
        <v>6</v>
      </c>
      <c r="K815">
        <f t="shared" si="50"/>
        <v>6</v>
      </c>
      <c r="L815" t="s">
        <v>1741</v>
      </c>
      <c r="M815" t="s">
        <v>3752</v>
      </c>
      <c r="N815" t="s">
        <v>1</v>
      </c>
      <c r="O815">
        <v>533103</v>
      </c>
      <c r="P815" t="s">
        <v>546</v>
      </c>
      <c r="Q815" t="s">
        <v>1758</v>
      </c>
      <c r="S815">
        <v>18.28</v>
      </c>
      <c r="T815">
        <v>2</v>
      </c>
      <c r="U815">
        <v>0</v>
      </c>
      <c r="V815">
        <v>6.2152000000000003</v>
      </c>
      <c r="W815">
        <f t="shared" si="51"/>
        <v>6.0324000000000009</v>
      </c>
      <c r="X815">
        <v>3</v>
      </c>
    </row>
    <row r="816" spans="1:24" x14ac:dyDescent="0.3">
      <c r="A816">
        <v>815</v>
      </c>
      <c r="B816" t="s">
        <v>2585</v>
      </c>
      <c r="C816" s="6">
        <v>45011</v>
      </c>
      <c r="D816" t="str">
        <f t="shared" si="48"/>
        <v>Mar</v>
      </c>
      <c r="E816" t="str">
        <f t="shared" si="49"/>
        <v>2023</v>
      </c>
      <c r="F816" t="s">
        <v>6</v>
      </c>
      <c r="G816" t="s">
        <v>314</v>
      </c>
      <c r="H816" t="s">
        <v>1198</v>
      </c>
      <c r="I816">
        <v>240</v>
      </c>
      <c r="J816">
        <v>14</v>
      </c>
      <c r="K816">
        <f t="shared" si="50"/>
        <v>5.833333333333333</v>
      </c>
      <c r="L816" t="s">
        <v>1736</v>
      </c>
      <c r="M816" t="s">
        <v>3753</v>
      </c>
      <c r="N816" t="s">
        <v>1</v>
      </c>
      <c r="O816">
        <v>800014</v>
      </c>
      <c r="P816" t="s">
        <v>546</v>
      </c>
      <c r="Q816" t="s">
        <v>1759</v>
      </c>
      <c r="S816">
        <v>1399.93</v>
      </c>
      <c r="T816">
        <v>7</v>
      </c>
      <c r="U816">
        <v>0</v>
      </c>
      <c r="V816">
        <v>601.96990000000005</v>
      </c>
      <c r="W816">
        <f t="shared" si="51"/>
        <v>113.9943</v>
      </c>
      <c r="X816">
        <v>2</v>
      </c>
    </row>
    <row r="817" spans="1:24" x14ac:dyDescent="0.3">
      <c r="A817">
        <v>816</v>
      </c>
      <c r="B817" t="s">
        <v>2586</v>
      </c>
      <c r="C817" s="6">
        <v>45012</v>
      </c>
      <c r="D817" t="str">
        <f t="shared" si="48"/>
        <v>Mar</v>
      </c>
      <c r="E817" t="str">
        <f t="shared" si="49"/>
        <v>2023</v>
      </c>
      <c r="F817" t="s">
        <v>5</v>
      </c>
      <c r="G817" t="s">
        <v>315</v>
      </c>
      <c r="H817" t="s">
        <v>727</v>
      </c>
      <c r="I817">
        <v>250</v>
      </c>
      <c r="J817">
        <v>24</v>
      </c>
      <c r="K817">
        <f t="shared" si="50"/>
        <v>9.6</v>
      </c>
      <c r="L817" t="s">
        <v>1744</v>
      </c>
      <c r="M817" t="s">
        <v>3754</v>
      </c>
      <c r="N817" t="s">
        <v>1</v>
      </c>
      <c r="O817">
        <v>400069</v>
      </c>
      <c r="P817" t="s">
        <v>546</v>
      </c>
      <c r="Q817" t="s">
        <v>1766</v>
      </c>
      <c r="S817">
        <v>51.84</v>
      </c>
      <c r="T817">
        <v>8</v>
      </c>
      <c r="U817">
        <v>0</v>
      </c>
      <c r="V817">
        <v>24.883199999999999</v>
      </c>
      <c r="W817">
        <f t="shared" si="51"/>
        <v>3.3696000000000006</v>
      </c>
      <c r="X817">
        <v>5</v>
      </c>
    </row>
    <row r="818" spans="1:24" x14ac:dyDescent="0.3">
      <c r="A818">
        <v>817</v>
      </c>
      <c r="B818" t="s">
        <v>2587</v>
      </c>
      <c r="C818" s="6">
        <v>45013</v>
      </c>
      <c r="D818" t="str">
        <f t="shared" si="48"/>
        <v>Mar</v>
      </c>
      <c r="E818" t="str">
        <f t="shared" si="49"/>
        <v>2023</v>
      </c>
      <c r="F818" t="s">
        <v>4</v>
      </c>
      <c r="G818" t="s">
        <v>210</v>
      </c>
      <c r="H818" t="s">
        <v>1199</v>
      </c>
      <c r="I818">
        <v>170</v>
      </c>
      <c r="J818">
        <v>26</v>
      </c>
      <c r="K818">
        <f t="shared" si="50"/>
        <v>15.294117647058824</v>
      </c>
      <c r="L818" t="s">
        <v>1740</v>
      </c>
      <c r="M818" t="s">
        <v>3755</v>
      </c>
      <c r="N818" t="s">
        <v>1</v>
      </c>
      <c r="O818">
        <v>560029</v>
      </c>
      <c r="P818" t="s">
        <v>546</v>
      </c>
      <c r="Q818" t="s">
        <v>1759</v>
      </c>
      <c r="S818">
        <v>5.3440000000000003</v>
      </c>
      <c r="T818">
        <v>1</v>
      </c>
      <c r="U818">
        <v>0.2</v>
      </c>
      <c r="V818">
        <v>1.8704000000000001</v>
      </c>
      <c r="W818">
        <f t="shared" si="51"/>
        <v>3.4736000000000002</v>
      </c>
      <c r="X818">
        <v>2</v>
      </c>
    </row>
    <row r="819" spans="1:24" x14ac:dyDescent="0.3">
      <c r="A819">
        <v>818</v>
      </c>
      <c r="B819" t="s">
        <v>2588</v>
      </c>
      <c r="C819" s="6">
        <v>45014</v>
      </c>
      <c r="D819" t="str">
        <f t="shared" si="48"/>
        <v>Mar</v>
      </c>
      <c r="E819" t="str">
        <f t="shared" si="49"/>
        <v>2023</v>
      </c>
      <c r="F819" t="s">
        <v>4</v>
      </c>
      <c r="G819" t="s">
        <v>229</v>
      </c>
      <c r="H819" t="s">
        <v>635</v>
      </c>
      <c r="I819">
        <v>180</v>
      </c>
      <c r="J819">
        <v>26</v>
      </c>
      <c r="K819">
        <f t="shared" si="50"/>
        <v>14.444444444444443</v>
      </c>
      <c r="L819" t="s">
        <v>1742</v>
      </c>
      <c r="M819" t="s">
        <v>3756</v>
      </c>
      <c r="O819">
        <v>608001</v>
      </c>
      <c r="P819" t="s">
        <v>546</v>
      </c>
      <c r="Q819" t="s">
        <v>1768</v>
      </c>
      <c r="S819">
        <v>41.472000000000001</v>
      </c>
      <c r="T819">
        <v>8</v>
      </c>
      <c r="U819">
        <v>0.2</v>
      </c>
      <c r="V819">
        <v>14.5152</v>
      </c>
      <c r="W819">
        <f t="shared" si="51"/>
        <v>3.3696000000000002</v>
      </c>
      <c r="X819">
        <v>2</v>
      </c>
    </row>
    <row r="820" spans="1:24" x14ac:dyDescent="0.3">
      <c r="A820">
        <v>819</v>
      </c>
      <c r="B820" t="s">
        <v>2589</v>
      </c>
      <c r="C820" s="6">
        <v>45015</v>
      </c>
      <c r="D820" t="str">
        <f t="shared" si="48"/>
        <v>Mar</v>
      </c>
      <c r="E820" t="str">
        <f t="shared" si="49"/>
        <v>2023</v>
      </c>
      <c r="F820" t="s">
        <v>4</v>
      </c>
      <c r="G820" t="s">
        <v>229</v>
      </c>
      <c r="H820" t="s">
        <v>1200</v>
      </c>
      <c r="I820">
        <v>130</v>
      </c>
      <c r="J820">
        <v>26</v>
      </c>
      <c r="K820">
        <f t="shared" si="50"/>
        <v>20</v>
      </c>
      <c r="L820" t="s">
        <v>1739</v>
      </c>
      <c r="M820" t="s">
        <v>3757</v>
      </c>
      <c r="N820" t="s">
        <v>1</v>
      </c>
      <c r="O820">
        <v>560017</v>
      </c>
      <c r="P820" t="s">
        <v>546</v>
      </c>
      <c r="Q820" t="s">
        <v>1760</v>
      </c>
      <c r="S820">
        <v>3.1680000000000001</v>
      </c>
      <c r="T820">
        <v>3</v>
      </c>
      <c r="U820">
        <v>0.7</v>
      </c>
      <c r="V820">
        <v>-2.4287999999999998</v>
      </c>
      <c r="W820">
        <f t="shared" si="51"/>
        <v>1.8655999999999999</v>
      </c>
      <c r="X820">
        <v>1</v>
      </c>
    </row>
    <row r="821" spans="1:24" x14ac:dyDescent="0.3">
      <c r="A821">
        <v>820</v>
      </c>
      <c r="B821" t="s">
        <v>2590</v>
      </c>
      <c r="C821" s="6">
        <v>45016</v>
      </c>
      <c r="D821" t="str">
        <f t="shared" si="48"/>
        <v>Mar</v>
      </c>
      <c r="E821" t="str">
        <f t="shared" si="49"/>
        <v>2023</v>
      </c>
      <c r="F821" t="s">
        <v>4</v>
      </c>
      <c r="G821" t="s">
        <v>229</v>
      </c>
      <c r="H821" t="s">
        <v>1201</v>
      </c>
      <c r="I821">
        <v>190</v>
      </c>
      <c r="J821">
        <v>22</v>
      </c>
      <c r="K821">
        <f t="shared" si="50"/>
        <v>11.578947368421053</v>
      </c>
      <c r="L821" t="s">
        <v>1738</v>
      </c>
      <c r="M821" t="s">
        <v>3758</v>
      </c>
      <c r="N821" t="s">
        <v>1</v>
      </c>
      <c r="O821">
        <v>400701</v>
      </c>
      <c r="P821" t="s">
        <v>546</v>
      </c>
      <c r="Q821" t="s">
        <v>1770</v>
      </c>
      <c r="R821" t="s">
        <v>2</v>
      </c>
      <c r="S821">
        <v>1228.4649999999999</v>
      </c>
      <c r="T821">
        <v>5</v>
      </c>
      <c r="U821">
        <v>0.3</v>
      </c>
      <c r="V821">
        <v>0</v>
      </c>
      <c r="W821">
        <f t="shared" si="51"/>
        <v>245.69299999999998</v>
      </c>
      <c r="X821">
        <v>4</v>
      </c>
    </row>
    <row r="822" spans="1:24" x14ac:dyDescent="0.3">
      <c r="A822">
        <v>821</v>
      </c>
      <c r="B822" t="s">
        <v>2591</v>
      </c>
      <c r="C822" s="6">
        <v>45017</v>
      </c>
      <c r="D822" t="str">
        <f t="shared" si="48"/>
        <v>Apr</v>
      </c>
      <c r="E822" t="str">
        <f t="shared" si="49"/>
        <v>2023</v>
      </c>
      <c r="F822" t="s">
        <v>4</v>
      </c>
      <c r="G822" t="s">
        <v>229</v>
      </c>
      <c r="H822" t="s">
        <v>1202</v>
      </c>
      <c r="I822">
        <v>240</v>
      </c>
      <c r="J822">
        <v>14</v>
      </c>
      <c r="K822">
        <f t="shared" si="50"/>
        <v>5.833333333333333</v>
      </c>
      <c r="L822" t="s">
        <v>1743</v>
      </c>
      <c r="M822" t="s">
        <v>3759</v>
      </c>
      <c r="N822" t="s">
        <v>1</v>
      </c>
      <c r="O822">
        <v>500094</v>
      </c>
      <c r="P822" t="s">
        <v>546</v>
      </c>
      <c r="Q822" t="s">
        <v>1773</v>
      </c>
      <c r="S822">
        <v>31.085999999999999</v>
      </c>
      <c r="T822">
        <v>3</v>
      </c>
      <c r="U822">
        <v>0.7</v>
      </c>
      <c r="V822">
        <v>-22.796399999999998</v>
      </c>
      <c r="W822">
        <f t="shared" si="51"/>
        <v>17.960799999999999</v>
      </c>
      <c r="X822">
        <v>5</v>
      </c>
    </row>
    <row r="823" spans="1:24" x14ac:dyDescent="0.3">
      <c r="A823">
        <v>822</v>
      </c>
      <c r="B823" t="s">
        <v>2592</v>
      </c>
      <c r="C823" s="6">
        <v>45018</v>
      </c>
      <c r="D823" t="str">
        <f t="shared" si="48"/>
        <v>Apr</v>
      </c>
      <c r="E823" t="str">
        <f t="shared" si="49"/>
        <v>2023</v>
      </c>
      <c r="F823" t="s">
        <v>4</v>
      </c>
      <c r="G823" t="s">
        <v>229</v>
      </c>
      <c r="H823" t="s">
        <v>1203</v>
      </c>
      <c r="I823">
        <v>190</v>
      </c>
      <c r="J823">
        <v>20</v>
      </c>
      <c r="K823">
        <f t="shared" si="50"/>
        <v>10.526315789473683</v>
      </c>
      <c r="L823" t="s">
        <v>1737</v>
      </c>
      <c r="M823" t="s">
        <v>3760</v>
      </c>
      <c r="N823" t="s">
        <v>1</v>
      </c>
      <c r="O823">
        <v>673506</v>
      </c>
      <c r="P823" t="s">
        <v>546</v>
      </c>
      <c r="Q823" t="s">
        <v>1759</v>
      </c>
      <c r="S823">
        <v>335.52</v>
      </c>
      <c r="T823">
        <v>4</v>
      </c>
      <c r="U823">
        <v>0.2</v>
      </c>
      <c r="V823">
        <v>117.432</v>
      </c>
      <c r="W823">
        <f t="shared" si="51"/>
        <v>54.521999999999991</v>
      </c>
      <c r="X823">
        <v>3</v>
      </c>
    </row>
    <row r="824" spans="1:24" x14ac:dyDescent="0.3">
      <c r="A824">
        <v>823</v>
      </c>
      <c r="B824" t="s">
        <v>2593</v>
      </c>
      <c r="C824" s="6">
        <v>45019</v>
      </c>
      <c r="D824" t="str">
        <f t="shared" si="48"/>
        <v>Apr</v>
      </c>
      <c r="E824" t="str">
        <f t="shared" si="49"/>
        <v>2023</v>
      </c>
      <c r="F824" t="s">
        <v>4</v>
      </c>
      <c r="G824" t="s">
        <v>316</v>
      </c>
      <c r="H824" t="s">
        <v>1204</v>
      </c>
      <c r="I824">
        <v>150</v>
      </c>
      <c r="J824">
        <v>22</v>
      </c>
      <c r="K824">
        <f t="shared" si="50"/>
        <v>14.666666666666666</v>
      </c>
      <c r="L824" t="s">
        <v>1741</v>
      </c>
      <c r="M824" t="s">
        <v>3761</v>
      </c>
      <c r="N824" t="s">
        <v>1</v>
      </c>
      <c r="O824">
        <v>721305</v>
      </c>
      <c r="P824" t="s">
        <v>546</v>
      </c>
      <c r="Q824" t="s">
        <v>1761</v>
      </c>
      <c r="S824">
        <v>239.97</v>
      </c>
      <c r="T824">
        <v>3</v>
      </c>
      <c r="U824">
        <v>0</v>
      </c>
      <c r="V824">
        <v>71.991</v>
      </c>
      <c r="W824">
        <f t="shared" si="51"/>
        <v>55.992999999999995</v>
      </c>
      <c r="X824">
        <v>5</v>
      </c>
    </row>
    <row r="825" spans="1:24" x14ac:dyDescent="0.3">
      <c r="A825">
        <v>824</v>
      </c>
      <c r="B825" t="s">
        <v>2594</v>
      </c>
      <c r="C825" s="6">
        <v>45020</v>
      </c>
      <c r="D825" t="str">
        <f t="shared" si="48"/>
        <v>Apr</v>
      </c>
      <c r="E825" t="str">
        <f t="shared" si="49"/>
        <v>2023</v>
      </c>
      <c r="F825" t="s">
        <v>4</v>
      </c>
      <c r="G825" t="s">
        <v>316</v>
      </c>
      <c r="H825" t="s">
        <v>1154</v>
      </c>
      <c r="I825">
        <v>250</v>
      </c>
      <c r="J825">
        <v>30</v>
      </c>
      <c r="K825">
        <f t="shared" si="50"/>
        <v>12</v>
      </c>
      <c r="L825" t="s">
        <v>1736</v>
      </c>
      <c r="M825" t="s">
        <v>3762</v>
      </c>
      <c r="N825" t="s">
        <v>1</v>
      </c>
      <c r="O825">
        <v>721305</v>
      </c>
      <c r="P825" t="s">
        <v>546</v>
      </c>
      <c r="Q825" t="s">
        <v>1767</v>
      </c>
      <c r="S825">
        <v>9.82</v>
      </c>
      <c r="T825">
        <v>2</v>
      </c>
      <c r="U825">
        <v>0</v>
      </c>
      <c r="V825">
        <v>4.8117999999999999</v>
      </c>
      <c r="W825">
        <f t="shared" si="51"/>
        <v>2.5041000000000002</v>
      </c>
      <c r="X825">
        <v>3</v>
      </c>
    </row>
    <row r="826" spans="1:24" x14ac:dyDescent="0.3">
      <c r="A826">
        <v>825</v>
      </c>
      <c r="B826" t="s">
        <v>2595</v>
      </c>
      <c r="C826" s="6">
        <v>45021</v>
      </c>
      <c r="D826" t="str">
        <f t="shared" si="48"/>
        <v>Apr</v>
      </c>
      <c r="E826" t="str">
        <f t="shared" si="49"/>
        <v>2023</v>
      </c>
      <c r="F826" t="s">
        <v>4</v>
      </c>
      <c r="G826" t="s">
        <v>317</v>
      </c>
      <c r="H826" t="s">
        <v>1205</v>
      </c>
      <c r="I826">
        <v>120</v>
      </c>
      <c r="J826">
        <v>24</v>
      </c>
      <c r="K826">
        <f t="shared" si="50"/>
        <v>20</v>
      </c>
      <c r="L826" t="s">
        <v>1744</v>
      </c>
      <c r="M826" t="s">
        <v>3763</v>
      </c>
      <c r="N826" t="s">
        <v>1</v>
      </c>
      <c r="O826">
        <v>721305</v>
      </c>
      <c r="P826" t="s">
        <v>546</v>
      </c>
      <c r="Q826" t="s">
        <v>1773</v>
      </c>
      <c r="S826">
        <v>67.8</v>
      </c>
      <c r="T826">
        <v>4</v>
      </c>
      <c r="U826">
        <v>0</v>
      </c>
      <c r="V826">
        <v>4.0679999999999996</v>
      </c>
      <c r="W826">
        <f t="shared" si="51"/>
        <v>15.933</v>
      </c>
      <c r="X826">
        <v>1</v>
      </c>
    </row>
    <row r="827" spans="1:24" x14ac:dyDescent="0.3">
      <c r="A827">
        <v>826</v>
      </c>
      <c r="B827" t="s">
        <v>2596</v>
      </c>
      <c r="C827" s="6">
        <v>45022</v>
      </c>
      <c r="D827" t="str">
        <f t="shared" si="48"/>
        <v>Apr</v>
      </c>
      <c r="E827" t="str">
        <f t="shared" si="49"/>
        <v>2023</v>
      </c>
      <c r="F827" t="s">
        <v>4</v>
      </c>
      <c r="G827" t="s">
        <v>317</v>
      </c>
      <c r="H827" t="s">
        <v>748</v>
      </c>
      <c r="I827">
        <v>250</v>
      </c>
      <c r="J827">
        <v>8</v>
      </c>
      <c r="K827">
        <f t="shared" si="50"/>
        <v>3.2</v>
      </c>
      <c r="L827" t="s">
        <v>1740</v>
      </c>
      <c r="M827" t="s">
        <v>3764</v>
      </c>
      <c r="N827" t="s">
        <v>1</v>
      </c>
      <c r="O827">
        <v>411017</v>
      </c>
      <c r="P827" t="s">
        <v>546</v>
      </c>
      <c r="Q827" t="s">
        <v>1756</v>
      </c>
      <c r="S827">
        <v>167.97</v>
      </c>
      <c r="T827">
        <v>3</v>
      </c>
      <c r="U827">
        <v>0</v>
      </c>
      <c r="V827">
        <v>40.312800000000003</v>
      </c>
      <c r="W827">
        <f t="shared" si="51"/>
        <v>42.552399999999999</v>
      </c>
      <c r="X827">
        <v>2</v>
      </c>
    </row>
    <row r="828" spans="1:24" x14ac:dyDescent="0.3">
      <c r="A828">
        <v>827</v>
      </c>
      <c r="B828" t="s">
        <v>2597</v>
      </c>
      <c r="C828" s="6">
        <v>45023</v>
      </c>
      <c r="D828" t="str">
        <f t="shared" si="48"/>
        <v>Apr</v>
      </c>
      <c r="E828" t="str">
        <f t="shared" si="49"/>
        <v>2023</v>
      </c>
      <c r="F828" t="s">
        <v>4</v>
      </c>
      <c r="G828" t="s">
        <v>225</v>
      </c>
      <c r="H828" t="s">
        <v>1206</v>
      </c>
      <c r="I828">
        <v>120</v>
      </c>
      <c r="J828">
        <v>18</v>
      </c>
      <c r="K828">
        <f t="shared" si="50"/>
        <v>15</v>
      </c>
      <c r="L828" t="s">
        <v>1742</v>
      </c>
      <c r="M828" t="s">
        <v>3765</v>
      </c>
      <c r="N828" t="s">
        <v>1</v>
      </c>
      <c r="O828">
        <v>700041</v>
      </c>
      <c r="P828" t="s">
        <v>546</v>
      </c>
      <c r="Q828" t="s">
        <v>1773</v>
      </c>
      <c r="R828" t="s">
        <v>2</v>
      </c>
      <c r="S828">
        <v>35</v>
      </c>
      <c r="T828">
        <v>7</v>
      </c>
      <c r="U828">
        <v>0</v>
      </c>
      <c r="V828">
        <v>16.8</v>
      </c>
      <c r="W828">
        <f t="shared" si="51"/>
        <v>2.6</v>
      </c>
      <c r="X828">
        <v>4</v>
      </c>
    </row>
    <row r="829" spans="1:24" x14ac:dyDescent="0.3">
      <c r="A829">
        <v>828</v>
      </c>
      <c r="B829" t="s">
        <v>2598</v>
      </c>
      <c r="C829" s="6">
        <v>45024</v>
      </c>
      <c r="D829" t="str">
        <f t="shared" si="48"/>
        <v>Apr</v>
      </c>
      <c r="E829" t="str">
        <f t="shared" si="49"/>
        <v>2023</v>
      </c>
      <c r="F829" t="s">
        <v>4</v>
      </c>
      <c r="G829" t="s">
        <v>225</v>
      </c>
      <c r="H829" t="s">
        <v>1207</v>
      </c>
      <c r="I829">
        <v>160</v>
      </c>
      <c r="J829">
        <v>24</v>
      </c>
      <c r="K829">
        <f t="shared" si="50"/>
        <v>15</v>
      </c>
      <c r="L829" t="s">
        <v>1739</v>
      </c>
      <c r="M829" t="s">
        <v>3766</v>
      </c>
      <c r="N829" t="s">
        <v>1</v>
      </c>
      <c r="O829">
        <v>683110</v>
      </c>
      <c r="P829" t="s">
        <v>546</v>
      </c>
      <c r="Q829" t="s">
        <v>1767</v>
      </c>
      <c r="S829">
        <v>37.24</v>
      </c>
      <c r="T829">
        <v>4</v>
      </c>
      <c r="U829">
        <v>0</v>
      </c>
      <c r="V829">
        <v>10.7996</v>
      </c>
      <c r="W829">
        <f t="shared" si="51"/>
        <v>6.610100000000001</v>
      </c>
      <c r="X829">
        <v>4</v>
      </c>
    </row>
    <row r="830" spans="1:24" x14ac:dyDescent="0.3">
      <c r="A830">
        <v>829</v>
      </c>
      <c r="B830" t="s">
        <v>2599</v>
      </c>
      <c r="C830" s="6">
        <v>45025</v>
      </c>
      <c r="D830" t="str">
        <f t="shared" si="48"/>
        <v>Apr</v>
      </c>
      <c r="E830" t="str">
        <f t="shared" si="49"/>
        <v>2023</v>
      </c>
      <c r="F830" t="s">
        <v>4</v>
      </c>
      <c r="G830" t="s">
        <v>225</v>
      </c>
      <c r="H830" t="s">
        <v>1208</v>
      </c>
      <c r="I830">
        <v>250</v>
      </c>
      <c r="J830">
        <v>8</v>
      </c>
      <c r="K830">
        <f t="shared" si="50"/>
        <v>3.2</v>
      </c>
      <c r="L830" t="s">
        <v>1738</v>
      </c>
      <c r="M830" t="s">
        <v>3767</v>
      </c>
      <c r="N830" t="s">
        <v>1</v>
      </c>
      <c r="O830">
        <v>641034</v>
      </c>
      <c r="P830" t="s">
        <v>546</v>
      </c>
      <c r="Q830" t="s">
        <v>1769</v>
      </c>
      <c r="S830">
        <v>15.28</v>
      </c>
      <c r="T830">
        <v>2</v>
      </c>
      <c r="U830">
        <v>0</v>
      </c>
      <c r="V830">
        <v>7.4871999999999996</v>
      </c>
      <c r="W830">
        <f t="shared" si="51"/>
        <v>3.8963999999999999</v>
      </c>
      <c r="X830">
        <v>5</v>
      </c>
    </row>
    <row r="831" spans="1:24" x14ac:dyDescent="0.3">
      <c r="A831">
        <v>830</v>
      </c>
      <c r="B831" t="s">
        <v>2600</v>
      </c>
      <c r="C831" s="6">
        <v>45026</v>
      </c>
      <c r="D831" t="str">
        <f t="shared" si="48"/>
        <v>Apr</v>
      </c>
      <c r="E831" t="str">
        <f t="shared" si="49"/>
        <v>2023</v>
      </c>
      <c r="F831" t="s">
        <v>3</v>
      </c>
      <c r="G831" t="s">
        <v>39</v>
      </c>
      <c r="H831" t="s">
        <v>1209</v>
      </c>
      <c r="I831">
        <v>110</v>
      </c>
      <c r="J831">
        <v>16</v>
      </c>
      <c r="K831">
        <f t="shared" si="50"/>
        <v>14.545454545454545</v>
      </c>
      <c r="L831" t="s">
        <v>1737</v>
      </c>
      <c r="M831" t="s">
        <v>3768</v>
      </c>
      <c r="N831" t="s">
        <v>1</v>
      </c>
      <c r="O831">
        <v>533005</v>
      </c>
      <c r="P831" t="s">
        <v>546</v>
      </c>
      <c r="Q831" t="s">
        <v>1759</v>
      </c>
      <c r="R831" t="s">
        <v>2</v>
      </c>
      <c r="S831">
        <v>301.95999999999998</v>
      </c>
      <c r="T831">
        <v>2</v>
      </c>
      <c r="U831">
        <v>0</v>
      </c>
      <c r="V831">
        <v>90.587999999999994</v>
      </c>
      <c r="W831">
        <f t="shared" si="51"/>
        <v>105.68599999999999</v>
      </c>
      <c r="X831">
        <v>4</v>
      </c>
    </row>
    <row r="832" spans="1:24" x14ac:dyDescent="0.3">
      <c r="A832">
        <v>831</v>
      </c>
      <c r="B832" t="s">
        <v>2601</v>
      </c>
      <c r="C832" s="6">
        <v>45027</v>
      </c>
      <c r="D832" t="str">
        <f t="shared" si="48"/>
        <v>Apr</v>
      </c>
      <c r="E832" t="str">
        <f t="shared" si="49"/>
        <v>2023</v>
      </c>
      <c r="F832" t="s">
        <v>3</v>
      </c>
      <c r="G832" t="s">
        <v>39</v>
      </c>
      <c r="H832" t="s">
        <v>1210</v>
      </c>
      <c r="I832">
        <v>170</v>
      </c>
      <c r="J832">
        <v>16</v>
      </c>
      <c r="K832">
        <f t="shared" si="50"/>
        <v>9.4117647058823533</v>
      </c>
      <c r="L832" t="s">
        <v>1743</v>
      </c>
      <c r="M832" t="s">
        <v>3769</v>
      </c>
      <c r="N832" t="s">
        <v>1</v>
      </c>
      <c r="O832">
        <v>500018</v>
      </c>
      <c r="P832" t="s">
        <v>546</v>
      </c>
      <c r="Q832" t="s">
        <v>1771</v>
      </c>
      <c r="S832">
        <v>180.66</v>
      </c>
      <c r="T832">
        <v>3</v>
      </c>
      <c r="U832">
        <v>0</v>
      </c>
      <c r="V832">
        <v>50.584800000000001</v>
      </c>
      <c r="W832">
        <f t="shared" si="51"/>
        <v>43.358399999999996</v>
      </c>
      <c r="X832">
        <v>2</v>
      </c>
    </row>
    <row r="833" spans="1:24" x14ac:dyDescent="0.3">
      <c r="A833">
        <v>832</v>
      </c>
      <c r="B833" t="s">
        <v>2602</v>
      </c>
      <c r="C833" s="6">
        <v>45028</v>
      </c>
      <c r="D833" t="str">
        <f t="shared" si="48"/>
        <v>Apr</v>
      </c>
      <c r="E833" t="str">
        <f t="shared" si="49"/>
        <v>2023</v>
      </c>
      <c r="F833" t="s">
        <v>3</v>
      </c>
      <c r="G833" t="s">
        <v>39</v>
      </c>
      <c r="H833" t="s">
        <v>1211</v>
      </c>
      <c r="I833">
        <v>150</v>
      </c>
      <c r="J833">
        <v>24</v>
      </c>
      <c r="K833">
        <f t="shared" si="50"/>
        <v>16</v>
      </c>
      <c r="L833" t="s">
        <v>1738</v>
      </c>
      <c r="M833" t="s">
        <v>3770</v>
      </c>
      <c r="N833" t="s">
        <v>1</v>
      </c>
      <c r="O833">
        <v>614901</v>
      </c>
      <c r="P833" t="s">
        <v>546</v>
      </c>
      <c r="Q833" t="s">
        <v>1760</v>
      </c>
      <c r="S833">
        <v>191.98</v>
      </c>
      <c r="T833">
        <v>2</v>
      </c>
      <c r="U833">
        <v>0</v>
      </c>
      <c r="V833">
        <v>51.834600000000002</v>
      </c>
      <c r="W833">
        <f t="shared" si="51"/>
        <v>70.072699999999998</v>
      </c>
      <c r="X833">
        <v>3</v>
      </c>
    </row>
    <row r="834" spans="1:24" x14ac:dyDescent="0.3">
      <c r="A834">
        <v>833</v>
      </c>
      <c r="B834" t="s">
        <v>2603</v>
      </c>
      <c r="C834" s="6">
        <v>45029</v>
      </c>
      <c r="D834" t="str">
        <f t="shared" si="48"/>
        <v>Apr</v>
      </c>
      <c r="E834" t="str">
        <f t="shared" si="49"/>
        <v>2023</v>
      </c>
      <c r="F834" t="s">
        <v>3</v>
      </c>
      <c r="G834" t="s">
        <v>39</v>
      </c>
      <c r="H834" t="s">
        <v>1212</v>
      </c>
      <c r="I834">
        <v>190</v>
      </c>
      <c r="J834">
        <v>28</v>
      </c>
      <c r="K834">
        <f t="shared" si="50"/>
        <v>14.736842105263156</v>
      </c>
      <c r="L834" t="s">
        <v>1739</v>
      </c>
      <c r="M834" t="s">
        <v>3771</v>
      </c>
      <c r="N834" t="s">
        <v>1</v>
      </c>
      <c r="O834">
        <v>600002</v>
      </c>
      <c r="P834" t="s">
        <v>546</v>
      </c>
      <c r="Q834" t="s">
        <v>1755</v>
      </c>
      <c r="S834">
        <v>65.989999999999995</v>
      </c>
      <c r="T834">
        <v>1</v>
      </c>
      <c r="U834">
        <v>0</v>
      </c>
      <c r="V834">
        <v>17.157399999999999</v>
      </c>
      <c r="W834">
        <f t="shared" si="51"/>
        <v>48.832599999999999</v>
      </c>
      <c r="X834">
        <v>3</v>
      </c>
    </row>
    <row r="835" spans="1:24" x14ac:dyDescent="0.3">
      <c r="A835">
        <v>834</v>
      </c>
      <c r="B835" t="s">
        <v>2604</v>
      </c>
      <c r="C835" s="6">
        <v>45030</v>
      </c>
      <c r="D835" t="str">
        <f t="shared" ref="D835:D898" si="52">TEXT(C835,"Mmm")</f>
        <v>Apr</v>
      </c>
      <c r="E835" t="str">
        <f t="shared" ref="E835:E898" si="53">TEXT(C835,"YYYY")</f>
        <v>2023</v>
      </c>
      <c r="F835" t="s">
        <v>4</v>
      </c>
      <c r="G835" t="s">
        <v>87</v>
      </c>
      <c r="H835" t="s">
        <v>1213</v>
      </c>
      <c r="I835">
        <v>140</v>
      </c>
      <c r="J835">
        <v>24</v>
      </c>
      <c r="K835">
        <f t="shared" ref="K835:K898" si="54">(J835/I835)*100</f>
        <v>17.142857142857142</v>
      </c>
      <c r="L835" t="s">
        <v>1741</v>
      </c>
      <c r="M835" t="s">
        <v>3772</v>
      </c>
      <c r="N835" t="s">
        <v>1</v>
      </c>
      <c r="O835">
        <v>226026</v>
      </c>
      <c r="P835" t="s">
        <v>546</v>
      </c>
      <c r="Q835" t="s">
        <v>1769</v>
      </c>
      <c r="S835">
        <v>35.216000000000001</v>
      </c>
      <c r="T835">
        <v>2</v>
      </c>
      <c r="U835">
        <v>0.2</v>
      </c>
      <c r="V835">
        <v>2.6412</v>
      </c>
      <c r="W835">
        <f t="shared" ref="W835:W898" si="55">(S835-V835)/T835</f>
        <v>16.287400000000002</v>
      </c>
      <c r="X835">
        <v>1</v>
      </c>
    </row>
    <row r="836" spans="1:24" x14ac:dyDescent="0.3">
      <c r="A836">
        <v>835</v>
      </c>
      <c r="B836" t="s">
        <v>2605</v>
      </c>
      <c r="C836" s="6">
        <v>45031</v>
      </c>
      <c r="D836" t="str">
        <f t="shared" si="52"/>
        <v>Apr</v>
      </c>
      <c r="E836" t="str">
        <f t="shared" si="53"/>
        <v>2023</v>
      </c>
      <c r="F836" t="s">
        <v>4</v>
      </c>
      <c r="G836" t="s">
        <v>87</v>
      </c>
      <c r="H836" t="s">
        <v>1214</v>
      </c>
      <c r="I836">
        <v>250</v>
      </c>
      <c r="J836">
        <v>26</v>
      </c>
      <c r="K836">
        <f t="shared" si="54"/>
        <v>10.4</v>
      </c>
      <c r="L836" t="s">
        <v>1736</v>
      </c>
      <c r="M836" t="s">
        <v>3773</v>
      </c>
      <c r="N836" t="s">
        <v>1</v>
      </c>
      <c r="O836">
        <v>400607</v>
      </c>
      <c r="P836" t="s">
        <v>546</v>
      </c>
      <c r="Q836" t="s">
        <v>1762</v>
      </c>
      <c r="S836">
        <v>23.696000000000002</v>
      </c>
      <c r="T836">
        <v>2</v>
      </c>
      <c r="U836">
        <v>0.2</v>
      </c>
      <c r="V836">
        <v>6.5164</v>
      </c>
      <c r="W836">
        <f t="shared" si="55"/>
        <v>8.5898000000000003</v>
      </c>
      <c r="X836">
        <v>2</v>
      </c>
    </row>
    <row r="837" spans="1:24" x14ac:dyDescent="0.3">
      <c r="A837">
        <v>836</v>
      </c>
      <c r="B837" t="s">
        <v>2606</v>
      </c>
      <c r="C837" s="6">
        <v>45032</v>
      </c>
      <c r="D837" t="str">
        <f t="shared" si="52"/>
        <v>Apr</v>
      </c>
      <c r="E837" t="str">
        <f t="shared" si="53"/>
        <v>2023</v>
      </c>
      <c r="F837" t="s">
        <v>4</v>
      </c>
      <c r="G837" t="s">
        <v>87</v>
      </c>
      <c r="H837" t="s">
        <v>1215</v>
      </c>
      <c r="I837">
        <v>190</v>
      </c>
      <c r="J837">
        <v>6</v>
      </c>
      <c r="K837">
        <f t="shared" si="54"/>
        <v>3.1578947368421053</v>
      </c>
      <c r="L837" t="s">
        <v>1744</v>
      </c>
      <c r="M837" t="s">
        <v>3774</v>
      </c>
      <c r="O837">
        <v>400066</v>
      </c>
      <c r="P837" t="s">
        <v>546</v>
      </c>
      <c r="Q837" t="s">
        <v>1767</v>
      </c>
      <c r="S837">
        <v>265.47500000000002</v>
      </c>
      <c r="T837">
        <v>1</v>
      </c>
      <c r="U837">
        <v>0.5</v>
      </c>
      <c r="V837">
        <v>-111.4995</v>
      </c>
      <c r="W837">
        <f t="shared" si="55"/>
        <v>376.97450000000003</v>
      </c>
      <c r="X837">
        <v>4</v>
      </c>
    </row>
    <row r="838" spans="1:24" x14ac:dyDescent="0.3">
      <c r="A838">
        <v>837</v>
      </c>
      <c r="B838" t="s">
        <v>2607</v>
      </c>
      <c r="C838" s="6">
        <v>45033</v>
      </c>
      <c r="D838" t="str">
        <f t="shared" si="52"/>
        <v>Apr</v>
      </c>
      <c r="E838" t="str">
        <f t="shared" si="53"/>
        <v>2023</v>
      </c>
      <c r="F838" t="s">
        <v>3</v>
      </c>
      <c r="G838" t="s">
        <v>300</v>
      </c>
      <c r="H838" t="s">
        <v>1216</v>
      </c>
      <c r="I838">
        <v>120</v>
      </c>
      <c r="J838">
        <v>8</v>
      </c>
      <c r="K838">
        <f t="shared" si="54"/>
        <v>6.666666666666667</v>
      </c>
      <c r="L838" t="s">
        <v>1740</v>
      </c>
      <c r="M838" t="s">
        <v>3775</v>
      </c>
      <c r="N838" t="s">
        <v>1</v>
      </c>
      <c r="O838">
        <v>500018</v>
      </c>
      <c r="P838" t="s">
        <v>546</v>
      </c>
      <c r="Q838" t="s">
        <v>1757</v>
      </c>
      <c r="R838" t="s">
        <v>2</v>
      </c>
      <c r="S838">
        <v>51.183999999999997</v>
      </c>
      <c r="T838">
        <v>4</v>
      </c>
      <c r="U838">
        <v>0.8</v>
      </c>
      <c r="V838">
        <v>-79.3352</v>
      </c>
      <c r="W838">
        <f t="shared" si="55"/>
        <v>32.629800000000003</v>
      </c>
      <c r="X838">
        <v>4</v>
      </c>
    </row>
    <row r="839" spans="1:24" x14ac:dyDescent="0.3">
      <c r="A839">
        <v>838</v>
      </c>
      <c r="B839" t="s">
        <v>2608</v>
      </c>
      <c r="C839" s="6">
        <v>45034</v>
      </c>
      <c r="D839" t="str">
        <f t="shared" si="52"/>
        <v>Apr</v>
      </c>
      <c r="E839" t="str">
        <f t="shared" si="53"/>
        <v>2023</v>
      </c>
      <c r="F839" t="s">
        <v>4</v>
      </c>
      <c r="G839" t="s">
        <v>318</v>
      </c>
      <c r="H839" t="s">
        <v>1217</v>
      </c>
      <c r="I839">
        <v>220</v>
      </c>
      <c r="J839">
        <v>10</v>
      </c>
      <c r="K839">
        <f t="shared" si="54"/>
        <v>4.5454545454545459</v>
      </c>
      <c r="L839" t="s">
        <v>1742</v>
      </c>
      <c r="M839" t="s">
        <v>3776</v>
      </c>
      <c r="N839" t="s">
        <v>1</v>
      </c>
      <c r="O839">
        <v>500018</v>
      </c>
      <c r="P839" t="s">
        <v>546</v>
      </c>
      <c r="Q839" t="s">
        <v>1774</v>
      </c>
      <c r="S839">
        <v>9.6639999999999997</v>
      </c>
      <c r="T839">
        <v>2</v>
      </c>
      <c r="U839">
        <v>0.2</v>
      </c>
      <c r="V839">
        <v>3.2616000000000001</v>
      </c>
      <c r="W839">
        <f t="shared" si="55"/>
        <v>3.2012</v>
      </c>
      <c r="X839">
        <v>5</v>
      </c>
    </row>
    <row r="840" spans="1:24" x14ac:dyDescent="0.3">
      <c r="A840">
        <v>839</v>
      </c>
      <c r="B840" t="s">
        <v>2609</v>
      </c>
      <c r="C840" s="6">
        <v>45035</v>
      </c>
      <c r="D840" t="str">
        <f t="shared" si="52"/>
        <v>Apr</v>
      </c>
      <c r="E840" t="str">
        <f t="shared" si="53"/>
        <v>2023</v>
      </c>
      <c r="F840" t="s">
        <v>4</v>
      </c>
      <c r="G840" t="s">
        <v>189</v>
      </c>
      <c r="H840" t="s">
        <v>949</v>
      </c>
      <c r="I840">
        <v>210</v>
      </c>
      <c r="J840">
        <v>8</v>
      </c>
      <c r="K840">
        <f t="shared" si="54"/>
        <v>3.8095238095238098</v>
      </c>
      <c r="L840" t="s">
        <v>1739</v>
      </c>
      <c r="M840" t="s">
        <v>3777</v>
      </c>
      <c r="N840" t="s">
        <v>1</v>
      </c>
      <c r="O840">
        <v>761200</v>
      </c>
      <c r="P840" t="s">
        <v>546</v>
      </c>
      <c r="Q840" t="s">
        <v>1767</v>
      </c>
      <c r="S840">
        <v>21.071999999999999</v>
      </c>
      <c r="T840">
        <v>3</v>
      </c>
      <c r="U840">
        <v>0.2</v>
      </c>
      <c r="V840">
        <v>1.5804</v>
      </c>
      <c r="W840">
        <f t="shared" si="55"/>
        <v>6.4971999999999994</v>
      </c>
      <c r="X840">
        <v>2</v>
      </c>
    </row>
    <row r="841" spans="1:24" x14ac:dyDescent="0.3">
      <c r="A841">
        <v>840</v>
      </c>
      <c r="B841" t="s">
        <v>2610</v>
      </c>
      <c r="C841" s="6">
        <v>45036</v>
      </c>
      <c r="D841" t="str">
        <f t="shared" si="52"/>
        <v>Apr</v>
      </c>
      <c r="E841" t="str">
        <f t="shared" si="53"/>
        <v>2023</v>
      </c>
      <c r="F841" t="s">
        <v>4</v>
      </c>
      <c r="G841" t="s">
        <v>319</v>
      </c>
      <c r="H841" t="s">
        <v>1173</v>
      </c>
      <c r="I841">
        <v>130</v>
      </c>
      <c r="J841">
        <v>22</v>
      </c>
      <c r="K841">
        <f t="shared" si="54"/>
        <v>16.923076923076923</v>
      </c>
      <c r="L841" t="s">
        <v>1738</v>
      </c>
      <c r="M841" t="s">
        <v>3778</v>
      </c>
      <c r="N841" t="s">
        <v>1</v>
      </c>
      <c r="O841">
        <v>122101</v>
      </c>
      <c r="P841" t="s">
        <v>546</v>
      </c>
      <c r="Q841" t="s">
        <v>1761</v>
      </c>
      <c r="S841">
        <v>60.45</v>
      </c>
      <c r="T841">
        <v>3</v>
      </c>
      <c r="U841">
        <v>0</v>
      </c>
      <c r="V841">
        <v>16.3215</v>
      </c>
      <c r="W841">
        <f t="shared" si="55"/>
        <v>14.7095</v>
      </c>
      <c r="X841">
        <v>2</v>
      </c>
    </row>
    <row r="842" spans="1:24" x14ac:dyDescent="0.3">
      <c r="A842">
        <v>841</v>
      </c>
      <c r="B842" t="s">
        <v>2611</v>
      </c>
      <c r="C842" s="6">
        <v>45037</v>
      </c>
      <c r="D842" t="str">
        <f t="shared" si="52"/>
        <v>Apr</v>
      </c>
      <c r="E842" t="str">
        <f t="shared" si="53"/>
        <v>2023</v>
      </c>
      <c r="F842" t="s">
        <v>4</v>
      </c>
      <c r="G842" t="s">
        <v>319</v>
      </c>
      <c r="H842" t="s">
        <v>1218</v>
      </c>
      <c r="I842">
        <v>140</v>
      </c>
      <c r="J842">
        <v>12</v>
      </c>
      <c r="K842">
        <f t="shared" si="54"/>
        <v>8.5714285714285712</v>
      </c>
      <c r="L842" t="s">
        <v>1743</v>
      </c>
      <c r="M842" t="s">
        <v>3779</v>
      </c>
      <c r="N842" t="s">
        <v>1</v>
      </c>
      <c r="O842">
        <v>743235</v>
      </c>
      <c r="P842" t="s">
        <v>546</v>
      </c>
      <c r="Q842" t="s">
        <v>1759</v>
      </c>
      <c r="S842">
        <v>11.52</v>
      </c>
      <c r="T842">
        <v>4</v>
      </c>
      <c r="U842">
        <v>0</v>
      </c>
      <c r="V842">
        <v>3.3408000000000002</v>
      </c>
      <c r="W842">
        <f t="shared" si="55"/>
        <v>2.0448</v>
      </c>
      <c r="X842">
        <v>3</v>
      </c>
    </row>
    <row r="843" spans="1:24" x14ac:dyDescent="0.3">
      <c r="A843">
        <v>842</v>
      </c>
      <c r="B843" t="s">
        <v>2612</v>
      </c>
      <c r="C843" s="6">
        <v>45038</v>
      </c>
      <c r="D843" t="str">
        <f t="shared" si="52"/>
        <v>Apr</v>
      </c>
      <c r="E843" t="str">
        <f t="shared" si="53"/>
        <v>2023</v>
      </c>
      <c r="F843" t="s">
        <v>4</v>
      </c>
      <c r="G843" t="s">
        <v>319</v>
      </c>
      <c r="H843" t="s">
        <v>1219</v>
      </c>
      <c r="I843">
        <v>150</v>
      </c>
      <c r="J843">
        <v>28</v>
      </c>
      <c r="K843">
        <f t="shared" si="54"/>
        <v>18.666666666666668</v>
      </c>
      <c r="L843" t="s">
        <v>1737</v>
      </c>
      <c r="M843" t="s">
        <v>3780</v>
      </c>
      <c r="N843" t="s">
        <v>1</v>
      </c>
      <c r="O843">
        <v>393130</v>
      </c>
      <c r="P843" t="s">
        <v>546</v>
      </c>
      <c r="Q843" t="s">
        <v>1763</v>
      </c>
      <c r="S843">
        <v>186.048</v>
      </c>
      <c r="T843">
        <v>4</v>
      </c>
      <c r="U843">
        <v>0.2</v>
      </c>
      <c r="V843">
        <v>9.3024000000000004</v>
      </c>
      <c r="W843">
        <f t="shared" si="55"/>
        <v>44.186399999999999</v>
      </c>
      <c r="X843">
        <v>5</v>
      </c>
    </row>
    <row r="844" spans="1:24" x14ac:dyDescent="0.3">
      <c r="A844">
        <v>843</v>
      </c>
      <c r="B844" t="s">
        <v>2613</v>
      </c>
      <c r="C844" s="6">
        <v>45039</v>
      </c>
      <c r="D844" t="str">
        <f t="shared" si="52"/>
        <v>Apr</v>
      </c>
      <c r="E844" t="str">
        <f t="shared" si="53"/>
        <v>2023</v>
      </c>
      <c r="F844" t="s">
        <v>5</v>
      </c>
      <c r="G844" t="s">
        <v>320</v>
      </c>
      <c r="H844" t="s">
        <v>1220</v>
      </c>
      <c r="I844">
        <v>160</v>
      </c>
      <c r="J844">
        <v>30</v>
      </c>
      <c r="K844">
        <f t="shared" si="54"/>
        <v>18.75</v>
      </c>
      <c r="L844" t="s">
        <v>1741</v>
      </c>
      <c r="M844" t="s">
        <v>3781</v>
      </c>
      <c r="N844" t="s">
        <v>1</v>
      </c>
      <c r="O844">
        <v>854105</v>
      </c>
      <c r="P844" t="s">
        <v>546</v>
      </c>
      <c r="Q844" t="s">
        <v>1761</v>
      </c>
      <c r="R844" t="s">
        <v>2</v>
      </c>
      <c r="S844">
        <v>37.44</v>
      </c>
      <c r="T844">
        <v>4</v>
      </c>
      <c r="U844">
        <v>0.2</v>
      </c>
      <c r="V844">
        <v>11.7</v>
      </c>
      <c r="W844">
        <f t="shared" si="55"/>
        <v>6.4349999999999996</v>
      </c>
      <c r="X844">
        <v>5</v>
      </c>
    </row>
    <row r="845" spans="1:24" x14ac:dyDescent="0.3">
      <c r="A845">
        <v>844</v>
      </c>
      <c r="B845" t="s">
        <v>2614</v>
      </c>
      <c r="C845" s="6">
        <v>45040</v>
      </c>
      <c r="D845" t="str">
        <f t="shared" si="52"/>
        <v>Apr</v>
      </c>
      <c r="E845" t="str">
        <f t="shared" si="53"/>
        <v>2023</v>
      </c>
      <c r="F845" t="s">
        <v>5</v>
      </c>
      <c r="G845" t="s">
        <v>320</v>
      </c>
      <c r="H845" t="s">
        <v>1221</v>
      </c>
      <c r="I845">
        <v>220</v>
      </c>
      <c r="J845">
        <v>16</v>
      </c>
      <c r="K845">
        <f t="shared" si="54"/>
        <v>7.2727272727272725</v>
      </c>
      <c r="L845" t="s">
        <v>1736</v>
      </c>
      <c r="M845" t="s">
        <v>3782</v>
      </c>
      <c r="N845" t="s">
        <v>1</v>
      </c>
      <c r="O845">
        <v>571403</v>
      </c>
      <c r="P845" t="s">
        <v>546</v>
      </c>
      <c r="Q845" t="s">
        <v>1771</v>
      </c>
      <c r="S845">
        <v>26.975999999999999</v>
      </c>
      <c r="T845">
        <v>4</v>
      </c>
      <c r="U845">
        <v>0.2</v>
      </c>
      <c r="V845">
        <v>8.7672000000000008</v>
      </c>
      <c r="W845">
        <f t="shared" si="55"/>
        <v>4.5521999999999991</v>
      </c>
      <c r="X845">
        <v>4</v>
      </c>
    </row>
    <row r="846" spans="1:24" x14ac:dyDescent="0.3">
      <c r="A846">
        <v>845</v>
      </c>
      <c r="B846" t="s">
        <v>2615</v>
      </c>
      <c r="C846" s="6">
        <v>45041</v>
      </c>
      <c r="D846" t="str">
        <f t="shared" si="52"/>
        <v>Apr</v>
      </c>
      <c r="E846" t="str">
        <f t="shared" si="53"/>
        <v>2023</v>
      </c>
      <c r="F846" t="s">
        <v>5</v>
      </c>
      <c r="G846" t="s">
        <v>320</v>
      </c>
      <c r="H846" t="s">
        <v>1222</v>
      </c>
      <c r="I846">
        <v>180</v>
      </c>
      <c r="J846">
        <v>12</v>
      </c>
      <c r="K846">
        <f t="shared" si="54"/>
        <v>6.666666666666667</v>
      </c>
      <c r="L846" t="s">
        <v>1744</v>
      </c>
      <c r="M846" t="s">
        <v>3783</v>
      </c>
      <c r="N846" t="s">
        <v>1</v>
      </c>
      <c r="O846">
        <v>522403</v>
      </c>
      <c r="P846" t="s">
        <v>546</v>
      </c>
      <c r="Q846" t="s">
        <v>1756</v>
      </c>
      <c r="S846">
        <v>11.36</v>
      </c>
      <c r="T846">
        <v>2</v>
      </c>
      <c r="U846">
        <v>0</v>
      </c>
      <c r="V846">
        <v>3.2944</v>
      </c>
      <c r="W846">
        <f t="shared" si="55"/>
        <v>4.0327999999999999</v>
      </c>
      <c r="X846">
        <v>2</v>
      </c>
    </row>
    <row r="847" spans="1:24" x14ac:dyDescent="0.3">
      <c r="A847">
        <v>846</v>
      </c>
      <c r="B847" t="s">
        <v>2616</v>
      </c>
      <c r="C847" s="6">
        <v>45042</v>
      </c>
      <c r="D847" t="str">
        <f t="shared" si="52"/>
        <v>Apr</v>
      </c>
      <c r="E847" t="str">
        <f t="shared" si="53"/>
        <v>2023</v>
      </c>
      <c r="F847" t="s">
        <v>5</v>
      </c>
      <c r="G847" t="s">
        <v>320</v>
      </c>
      <c r="H847" t="s">
        <v>1223</v>
      </c>
      <c r="I847">
        <v>170</v>
      </c>
      <c r="J847">
        <v>30</v>
      </c>
      <c r="K847">
        <f t="shared" si="54"/>
        <v>17.647058823529413</v>
      </c>
      <c r="L847" t="s">
        <v>1740</v>
      </c>
      <c r="M847" t="s">
        <v>3784</v>
      </c>
      <c r="N847" t="s">
        <v>1</v>
      </c>
      <c r="O847">
        <v>500047</v>
      </c>
      <c r="P847" t="s">
        <v>546</v>
      </c>
      <c r="Q847" t="s">
        <v>1771</v>
      </c>
      <c r="S847">
        <v>14.62</v>
      </c>
      <c r="T847">
        <v>2</v>
      </c>
      <c r="U847">
        <v>0</v>
      </c>
      <c r="V847">
        <v>6.8714000000000004</v>
      </c>
      <c r="W847">
        <f t="shared" si="55"/>
        <v>3.8742999999999994</v>
      </c>
      <c r="X847">
        <v>4</v>
      </c>
    </row>
    <row r="848" spans="1:24" x14ac:dyDescent="0.3">
      <c r="A848">
        <v>847</v>
      </c>
      <c r="B848" t="s">
        <v>2617</v>
      </c>
      <c r="C848" s="6">
        <v>45043</v>
      </c>
      <c r="D848" t="str">
        <f t="shared" si="52"/>
        <v>Apr</v>
      </c>
      <c r="E848" t="str">
        <f t="shared" si="53"/>
        <v>2023</v>
      </c>
      <c r="F848" t="s">
        <v>4</v>
      </c>
      <c r="G848" t="s">
        <v>321</v>
      </c>
      <c r="H848" t="s">
        <v>726</v>
      </c>
      <c r="I848">
        <v>190</v>
      </c>
      <c r="J848">
        <v>26</v>
      </c>
      <c r="K848">
        <f t="shared" si="54"/>
        <v>13.684210526315791</v>
      </c>
      <c r="L848" t="s">
        <v>1742</v>
      </c>
      <c r="M848" t="s">
        <v>3647</v>
      </c>
      <c r="N848" t="s">
        <v>1</v>
      </c>
      <c r="O848">
        <v>524003</v>
      </c>
      <c r="P848" t="s">
        <v>546</v>
      </c>
      <c r="Q848" t="s">
        <v>1766</v>
      </c>
      <c r="R848" t="s">
        <v>2</v>
      </c>
      <c r="S848">
        <v>83.72</v>
      </c>
      <c r="T848">
        <v>7</v>
      </c>
      <c r="U848">
        <v>0</v>
      </c>
      <c r="V848">
        <v>23.441600000000001</v>
      </c>
      <c r="W848">
        <f t="shared" si="55"/>
        <v>8.6112000000000002</v>
      </c>
      <c r="X848">
        <v>3</v>
      </c>
    </row>
    <row r="849" spans="1:24" x14ac:dyDescent="0.3">
      <c r="A849">
        <v>848</v>
      </c>
      <c r="B849" t="s">
        <v>2618</v>
      </c>
      <c r="C849" s="6">
        <v>45044</v>
      </c>
      <c r="D849" t="str">
        <f t="shared" si="52"/>
        <v>Apr</v>
      </c>
      <c r="E849" t="str">
        <f t="shared" si="53"/>
        <v>2023</v>
      </c>
      <c r="F849" t="s">
        <v>4</v>
      </c>
      <c r="G849" t="s">
        <v>321</v>
      </c>
      <c r="H849" t="s">
        <v>815</v>
      </c>
      <c r="I849">
        <v>100</v>
      </c>
      <c r="J849">
        <v>26</v>
      </c>
      <c r="K849">
        <f t="shared" si="54"/>
        <v>26</v>
      </c>
      <c r="L849" t="s">
        <v>1739</v>
      </c>
      <c r="M849" t="s">
        <v>3785</v>
      </c>
      <c r="N849" t="s">
        <v>1</v>
      </c>
      <c r="O849">
        <v>400092</v>
      </c>
      <c r="P849" t="s">
        <v>546</v>
      </c>
      <c r="Q849" t="s">
        <v>1762</v>
      </c>
      <c r="R849" t="s">
        <v>2</v>
      </c>
      <c r="S849">
        <v>287.94</v>
      </c>
      <c r="T849">
        <v>3</v>
      </c>
      <c r="U849">
        <v>0</v>
      </c>
      <c r="V849">
        <v>77.743799999999993</v>
      </c>
      <c r="W849">
        <f t="shared" si="55"/>
        <v>70.065399999999997</v>
      </c>
      <c r="X849">
        <v>1</v>
      </c>
    </row>
    <row r="850" spans="1:24" x14ac:dyDescent="0.3">
      <c r="A850">
        <v>849</v>
      </c>
      <c r="B850" t="s">
        <v>2619</v>
      </c>
      <c r="C850" s="6">
        <v>45045</v>
      </c>
      <c r="D850" t="str">
        <f t="shared" si="52"/>
        <v>Apr</v>
      </c>
      <c r="E850" t="str">
        <f t="shared" si="53"/>
        <v>2023</v>
      </c>
      <c r="F850" t="s">
        <v>4</v>
      </c>
      <c r="G850" t="s">
        <v>322</v>
      </c>
      <c r="H850" t="s">
        <v>1224</v>
      </c>
      <c r="I850">
        <v>210</v>
      </c>
      <c r="J850">
        <v>24</v>
      </c>
      <c r="K850">
        <f t="shared" si="54"/>
        <v>11.428571428571429</v>
      </c>
      <c r="L850" t="s">
        <v>1738</v>
      </c>
      <c r="M850" t="s">
        <v>3786</v>
      </c>
      <c r="N850" t="s">
        <v>1</v>
      </c>
      <c r="O850">
        <v>603002</v>
      </c>
      <c r="P850" t="s">
        <v>546</v>
      </c>
      <c r="Q850" t="s">
        <v>1764</v>
      </c>
      <c r="S850">
        <v>48.896000000000001</v>
      </c>
      <c r="T850">
        <v>4</v>
      </c>
      <c r="U850">
        <v>0.2</v>
      </c>
      <c r="V850">
        <v>8.5568000000000008</v>
      </c>
      <c r="W850">
        <f t="shared" si="55"/>
        <v>10.0848</v>
      </c>
      <c r="X850">
        <v>4</v>
      </c>
    </row>
    <row r="851" spans="1:24" x14ac:dyDescent="0.3">
      <c r="A851">
        <v>850</v>
      </c>
      <c r="B851" t="s">
        <v>2620</v>
      </c>
      <c r="C851" s="6">
        <v>45046</v>
      </c>
      <c r="D851" t="str">
        <f t="shared" si="52"/>
        <v>Apr</v>
      </c>
      <c r="E851" t="str">
        <f t="shared" si="53"/>
        <v>2023</v>
      </c>
      <c r="F851" t="s">
        <v>4</v>
      </c>
      <c r="G851" t="s">
        <v>323</v>
      </c>
      <c r="H851" t="s">
        <v>1225</v>
      </c>
      <c r="I851">
        <v>220</v>
      </c>
      <c r="J851">
        <v>30</v>
      </c>
      <c r="K851">
        <f t="shared" si="54"/>
        <v>13.636363636363635</v>
      </c>
      <c r="L851" t="s">
        <v>1737</v>
      </c>
      <c r="M851" t="s">
        <v>3787</v>
      </c>
      <c r="O851">
        <v>743252</v>
      </c>
      <c r="P851" t="s">
        <v>546</v>
      </c>
      <c r="Q851" t="s">
        <v>1755</v>
      </c>
      <c r="S851">
        <v>115.36</v>
      </c>
      <c r="T851">
        <v>7</v>
      </c>
      <c r="U851">
        <v>0</v>
      </c>
      <c r="V851">
        <v>49.604799999999997</v>
      </c>
      <c r="W851">
        <f t="shared" si="55"/>
        <v>9.3936000000000011</v>
      </c>
      <c r="X851">
        <v>3</v>
      </c>
    </row>
    <row r="852" spans="1:24" x14ac:dyDescent="0.3">
      <c r="A852">
        <v>851</v>
      </c>
      <c r="B852" t="s">
        <v>2621</v>
      </c>
      <c r="C852" s="6">
        <v>45047</v>
      </c>
      <c r="D852" t="str">
        <f t="shared" si="52"/>
        <v>May</v>
      </c>
      <c r="E852" t="str">
        <f t="shared" si="53"/>
        <v>2023</v>
      </c>
      <c r="F852" t="s">
        <v>3</v>
      </c>
      <c r="G852" t="s">
        <v>324</v>
      </c>
      <c r="H852" t="s">
        <v>1226</v>
      </c>
      <c r="I852">
        <v>100</v>
      </c>
      <c r="J852">
        <v>18</v>
      </c>
      <c r="K852">
        <f t="shared" si="54"/>
        <v>18</v>
      </c>
      <c r="L852" t="s">
        <v>1743</v>
      </c>
      <c r="M852" t="s">
        <v>3736</v>
      </c>
      <c r="N852" t="s">
        <v>1</v>
      </c>
      <c r="O852">
        <v>795001</v>
      </c>
      <c r="P852" t="s">
        <v>546</v>
      </c>
      <c r="Q852" t="s">
        <v>1767</v>
      </c>
      <c r="S852">
        <v>5.16</v>
      </c>
      <c r="T852">
        <v>2</v>
      </c>
      <c r="U852">
        <v>0</v>
      </c>
      <c r="V852">
        <v>1.3415999999999999</v>
      </c>
      <c r="W852">
        <f t="shared" si="55"/>
        <v>1.9092000000000002</v>
      </c>
      <c r="X852">
        <v>4</v>
      </c>
    </row>
    <row r="853" spans="1:24" x14ac:dyDescent="0.3">
      <c r="A853">
        <v>852</v>
      </c>
      <c r="B853" t="s">
        <v>2622</v>
      </c>
      <c r="C853" s="6">
        <v>45048</v>
      </c>
      <c r="D853" t="str">
        <f t="shared" si="52"/>
        <v>May</v>
      </c>
      <c r="E853" t="str">
        <f t="shared" si="53"/>
        <v>2023</v>
      </c>
      <c r="F853" t="s">
        <v>3</v>
      </c>
      <c r="G853" t="s">
        <v>324</v>
      </c>
      <c r="H853" t="s">
        <v>1227</v>
      </c>
      <c r="I853">
        <v>250</v>
      </c>
      <c r="J853">
        <v>10</v>
      </c>
      <c r="K853">
        <f t="shared" si="54"/>
        <v>4</v>
      </c>
      <c r="L853" t="s">
        <v>1738</v>
      </c>
      <c r="M853" t="s">
        <v>3788</v>
      </c>
      <c r="N853" t="s">
        <v>1</v>
      </c>
      <c r="O853">
        <v>500084</v>
      </c>
      <c r="P853" t="s">
        <v>546</v>
      </c>
      <c r="Q853" t="s">
        <v>1774</v>
      </c>
      <c r="S853">
        <v>38.880000000000003</v>
      </c>
      <c r="T853">
        <v>6</v>
      </c>
      <c r="U853">
        <v>0</v>
      </c>
      <c r="V853">
        <v>18.662400000000002</v>
      </c>
      <c r="W853">
        <f t="shared" si="55"/>
        <v>3.3696000000000002</v>
      </c>
      <c r="X853">
        <v>5</v>
      </c>
    </row>
    <row r="854" spans="1:24" x14ac:dyDescent="0.3">
      <c r="A854">
        <v>853</v>
      </c>
      <c r="B854" t="s">
        <v>2623</v>
      </c>
      <c r="C854" s="6">
        <v>45049</v>
      </c>
      <c r="D854" t="str">
        <f t="shared" si="52"/>
        <v>May</v>
      </c>
      <c r="E854" t="str">
        <f t="shared" si="53"/>
        <v>2023</v>
      </c>
      <c r="F854" t="s">
        <v>4</v>
      </c>
      <c r="G854" t="s">
        <v>111</v>
      </c>
      <c r="H854" t="s">
        <v>837</v>
      </c>
      <c r="I854">
        <v>100</v>
      </c>
      <c r="J854">
        <v>24</v>
      </c>
      <c r="K854">
        <f t="shared" si="54"/>
        <v>24</v>
      </c>
      <c r="L854" t="s">
        <v>1739</v>
      </c>
      <c r="M854" t="s">
        <v>3588</v>
      </c>
      <c r="N854" t="s">
        <v>1</v>
      </c>
      <c r="O854">
        <v>500084</v>
      </c>
      <c r="P854" t="s">
        <v>546</v>
      </c>
      <c r="Q854" t="s">
        <v>1767</v>
      </c>
      <c r="S854">
        <v>185.88</v>
      </c>
      <c r="T854">
        <v>6</v>
      </c>
      <c r="U854">
        <v>0</v>
      </c>
      <c r="V854">
        <v>50.187600000000003</v>
      </c>
      <c r="W854">
        <f t="shared" si="55"/>
        <v>22.615399999999998</v>
      </c>
      <c r="X854">
        <v>5</v>
      </c>
    </row>
    <row r="855" spans="1:24" x14ac:dyDescent="0.3">
      <c r="A855">
        <v>854</v>
      </c>
      <c r="B855" t="s">
        <v>2624</v>
      </c>
      <c r="C855" s="6">
        <v>45050</v>
      </c>
      <c r="D855" t="str">
        <f t="shared" si="52"/>
        <v>May</v>
      </c>
      <c r="E855" t="str">
        <f t="shared" si="53"/>
        <v>2023</v>
      </c>
      <c r="F855" t="s">
        <v>4</v>
      </c>
      <c r="G855" t="s">
        <v>225</v>
      </c>
      <c r="H855" t="s">
        <v>1189</v>
      </c>
      <c r="I855">
        <v>240</v>
      </c>
      <c r="J855">
        <v>12</v>
      </c>
      <c r="K855">
        <f t="shared" si="54"/>
        <v>5</v>
      </c>
      <c r="L855" t="s">
        <v>1741</v>
      </c>
      <c r="M855" t="s">
        <v>3789</v>
      </c>
      <c r="N855" t="s">
        <v>1</v>
      </c>
      <c r="O855">
        <v>641004</v>
      </c>
      <c r="P855" t="s">
        <v>546</v>
      </c>
      <c r="Q855" t="s">
        <v>1772</v>
      </c>
      <c r="R855" t="s">
        <v>2</v>
      </c>
      <c r="S855">
        <v>44.46</v>
      </c>
      <c r="T855">
        <v>2</v>
      </c>
      <c r="U855">
        <v>0</v>
      </c>
      <c r="V855">
        <v>14.671799999999999</v>
      </c>
      <c r="W855">
        <f t="shared" si="55"/>
        <v>14.894100000000002</v>
      </c>
      <c r="X855">
        <v>1</v>
      </c>
    </row>
    <row r="856" spans="1:24" x14ac:dyDescent="0.3">
      <c r="A856">
        <v>855</v>
      </c>
      <c r="B856" t="s">
        <v>2625</v>
      </c>
      <c r="C856" s="6">
        <v>45051</v>
      </c>
      <c r="D856" t="str">
        <f t="shared" si="52"/>
        <v>May</v>
      </c>
      <c r="E856" t="str">
        <f t="shared" si="53"/>
        <v>2023</v>
      </c>
      <c r="F856" t="s">
        <v>4</v>
      </c>
      <c r="G856" t="s">
        <v>225</v>
      </c>
      <c r="H856" t="s">
        <v>1006</v>
      </c>
      <c r="I856">
        <v>100</v>
      </c>
      <c r="J856">
        <v>6</v>
      </c>
      <c r="K856">
        <f t="shared" si="54"/>
        <v>6</v>
      </c>
      <c r="L856" t="s">
        <v>1736</v>
      </c>
      <c r="M856" t="s">
        <v>3790</v>
      </c>
      <c r="N856" t="s">
        <v>1</v>
      </c>
      <c r="O856">
        <v>500010</v>
      </c>
      <c r="P856" t="s">
        <v>546</v>
      </c>
      <c r="Q856" t="s">
        <v>1773</v>
      </c>
      <c r="S856">
        <v>242.94</v>
      </c>
      <c r="T856">
        <v>3</v>
      </c>
      <c r="U856">
        <v>0</v>
      </c>
      <c r="V856">
        <v>9.7175999999999991</v>
      </c>
      <c r="W856">
        <f t="shared" si="55"/>
        <v>77.740799999999993</v>
      </c>
      <c r="X856">
        <v>4</v>
      </c>
    </row>
    <row r="857" spans="1:24" x14ac:dyDescent="0.3">
      <c r="A857">
        <v>856</v>
      </c>
      <c r="B857" t="s">
        <v>2626</v>
      </c>
      <c r="C857" s="6">
        <v>45052</v>
      </c>
      <c r="D857" t="str">
        <f t="shared" si="52"/>
        <v>May</v>
      </c>
      <c r="E857" t="str">
        <f t="shared" si="53"/>
        <v>2023</v>
      </c>
      <c r="F857" t="s">
        <v>4</v>
      </c>
      <c r="G857" t="s">
        <v>325</v>
      </c>
      <c r="H857" t="s">
        <v>1228</v>
      </c>
      <c r="I857">
        <v>100</v>
      </c>
      <c r="J857">
        <v>14</v>
      </c>
      <c r="K857">
        <f t="shared" si="54"/>
        <v>14.000000000000002</v>
      </c>
      <c r="L857" t="s">
        <v>1744</v>
      </c>
      <c r="M857" t="s">
        <v>3685</v>
      </c>
      <c r="N857" t="s">
        <v>1</v>
      </c>
      <c r="O857">
        <v>600030</v>
      </c>
      <c r="P857" t="s">
        <v>546</v>
      </c>
      <c r="Q857" t="s">
        <v>1761</v>
      </c>
      <c r="S857">
        <v>39.96</v>
      </c>
      <c r="T857">
        <v>2</v>
      </c>
      <c r="U857">
        <v>0</v>
      </c>
      <c r="V857">
        <v>18.781199999999998</v>
      </c>
      <c r="W857">
        <f t="shared" si="55"/>
        <v>10.589400000000001</v>
      </c>
      <c r="X857">
        <v>3</v>
      </c>
    </row>
    <row r="858" spans="1:24" x14ac:dyDescent="0.3">
      <c r="A858">
        <v>857</v>
      </c>
      <c r="B858" t="s">
        <v>2627</v>
      </c>
      <c r="C858" s="6">
        <v>45053</v>
      </c>
      <c r="D858" t="str">
        <f t="shared" si="52"/>
        <v>May</v>
      </c>
      <c r="E858" t="str">
        <f t="shared" si="53"/>
        <v>2023</v>
      </c>
      <c r="F858" t="s">
        <v>4</v>
      </c>
      <c r="G858" t="s">
        <v>325</v>
      </c>
      <c r="H858" t="s">
        <v>1229</v>
      </c>
      <c r="I858">
        <v>190</v>
      </c>
      <c r="J858">
        <v>14</v>
      </c>
      <c r="K858">
        <f t="shared" si="54"/>
        <v>7.3684210526315779</v>
      </c>
      <c r="L858" t="s">
        <v>1740</v>
      </c>
      <c r="M858" t="s">
        <v>3791</v>
      </c>
      <c r="N858" t="s">
        <v>1</v>
      </c>
      <c r="O858">
        <v>801103</v>
      </c>
      <c r="P858" t="s">
        <v>546</v>
      </c>
      <c r="Q858" t="s">
        <v>1759</v>
      </c>
      <c r="S858">
        <v>102.3</v>
      </c>
      <c r="T858">
        <v>10</v>
      </c>
      <c r="U858">
        <v>0</v>
      </c>
      <c r="V858">
        <v>26.597999999999999</v>
      </c>
      <c r="W858">
        <f t="shared" si="55"/>
        <v>7.5701999999999998</v>
      </c>
      <c r="X858">
        <v>3</v>
      </c>
    </row>
    <row r="859" spans="1:24" x14ac:dyDescent="0.3">
      <c r="A859">
        <v>858</v>
      </c>
      <c r="B859" t="s">
        <v>2628</v>
      </c>
      <c r="C859" s="6">
        <v>45054</v>
      </c>
      <c r="D859" t="str">
        <f t="shared" si="52"/>
        <v>May</v>
      </c>
      <c r="E859" t="str">
        <f t="shared" si="53"/>
        <v>2023</v>
      </c>
      <c r="F859" t="s">
        <v>4</v>
      </c>
      <c r="G859" t="s">
        <v>325</v>
      </c>
      <c r="H859" t="s">
        <v>1230</v>
      </c>
      <c r="I859">
        <v>160</v>
      </c>
      <c r="J859">
        <v>10</v>
      </c>
      <c r="K859">
        <f t="shared" si="54"/>
        <v>6.25</v>
      </c>
      <c r="L859" t="s">
        <v>1742</v>
      </c>
      <c r="M859" t="s">
        <v>3696</v>
      </c>
      <c r="N859" t="s">
        <v>1</v>
      </c>
      <c r="O859">
        <v>800002</v>
      </c>
      <c r="P859" t="s">
        <v>546</v>
      </c>
      <c r="Q859" t="s">
        <v>1754</v>
      </c>
      <c r="S859">
        <v>21.36</v>
      </c>
      <c r="T859">
        <v>2</v>
      </c>
      <c r="U859">
        <v>0</v>
      </c>
      <c r="V859">
        <v>5.7671999999999999</v>
      </c>
      <c r="W859">
        <f t="shared" si="55"/>
        <v>7.7964000000000002</v>
      </c>
      <c r="X859">
        <v>5</v>
      </c>
    </row>
    <row r="860" spans="1:24" x14ac:dyDescent="0.3">
      <c r="A860">
        <v>859</v>
      </c>
      <c r="B860" t="s">
        <v>2629</v>
      </c>
      <c r="C860" s="6">
        <v>45055</v>
      </c>
      <c r="D860" t="str">
        <f t="shared" si="52"/>
        <v>May</v>
      </c>
      <c r="E860" t="str">
        <f t="shared" si="53"/>
        <v>2023</v>
      </c>
      <c r="F860" t="s">
        <v>4</v>
      </c>
      <c r="G860" t="s">
        <v>326</v>
      </c>
      <c r="H860" t="s">
        <v>776</v>
      </c>
      <c r="I860">
        <v>130</v>
      </c>
      <c r="J860">
        <v>8</v>
      </c>
      <c r="K860">
        <f t="shared" si="54"/>
        <v>6.1538461538461542</v>
      </c>
      <c r="L860" t="s">
        <v>1739</v>
      </c>
      <c r="M860" t="s">
        <v>3697</v>
      </c>
      <c r="N860" t="s">
        <v>1</v>
      </c>
      <c r="O860">
        <v>500008</v>
      </c>
      <c r="P860" t="s">
        <v>546</v>
      </c>
      <c r="Q860" t="s">
        <v>1772</v>
      </c>
      <c r="S860">
        <v>7.61</v>
      </c>
      <c r="T860">
        <v>1</v>
      </c>
      <c r="U860">
        <v>0</v>
      </c>
      <c r="V860">
        <v>3.5767000000000002</v>
      </c>
      <c r="W860">
        <f t="shared" si="55"/>
        <v>4.0333000000000006</v>
      </c>
      <c r="X860">
        <v>4</v>
      </c>
    </row>
    <row r="861" spans="1:24" x14ac:dyDescent="0.3">
      <c r="A861">
        <v>860</v>
      </c>
      <c r="B861" t="s">
        <v>2630</v>
      </c>
      <c r="C861" s="6">
        <v>45056</v>
      </c>
      <c r="D861" t="str">
        <f t="shared" si="52"/>
        <v>May</v>
      </c>
      <c r="E861" t="str">
        <f t="shared" si="53"/>
        <v>2023</v>
      </c>
      <c r="F861" t="s">
        <v>4</v>
      </c>
      <c r="G861" t="s">
        <v>326</v>
      </c>
      <c r="H861" t="s">
        <v>841</v>
      </c>
      <c r="I861">
        <v>150</v>
      </c>
      <c r="J861">
        <v>14</v>
      </c>
      <c r="K861">
        <f t="shared" si="54"/>
        <v>9.3333333333333339</v>
      </c>
      <c r="L861" t="s">
        <v>1738</v>
      </c>
      <c r="M861" t="s">
        <v>3792</v>
      </c>
      <c r="N861" t="s">
        <v>1</v>
      </c>
      <c r="O861">
        <v>800004</v>
      </c>
      <c r="P861" t="s">
        <v>546</v>
      </c>
      <c r="Q861" t="s">
        <v>1770</v>
      </c>
      <c r="S861">
        <v>7.16</v>
      </c>
      <c r="T861">
        <v>2</v>
      </c>
      <c r="U861">
        <v>0</v>
      </c>
      <c r="V861">
        <v>3.58</v>
      </c>
      <c r="W861">
        <f t="shared" si="55"/>
        <v>1.79</v>
      </c>
      <c r="X861">
        <v>1</v>
      </c>
    </row>
    <row r="862" spans="1:24" x14ac:dyDescent="0.3">
      <c r="A862">
        <v>861</v>
      </c>
      <c r="B862" t="s">
        <v>2631</v>
      </c>
      <c r="C862" s="6">
        <v>45057</v>
      </c>
      <c r="D862" t="str">
        <f t="shared" si="52"/>
        <v>May</v>
      </c>
      <c r="E862" t="str">
        <f t="shared" si="53"/>
        <v>2023</v>
      </c>
      <c r="F862" t="s">
        <v>4</v>
      </c>
      <c r="G862" t="s">
        <v>327</v>
      </c>
      <c r="H862" t="s">
        <v>874</v>
      </c>
      <c r="I862">
        <v>230</v>
      </c>
      <c r="J862">
        <v>22</v>
      </c>
      <c r="K862">
        <f t="shared" si="54"/>
        <v>9.5652173913043477</v>
      </c>
      <c r="L862" t="s">
        <v>1737</v>
      </c>
      <c r="M862" t="s">
        <v>3793</v>
      </c>
      <c r="N862" t="s">
        <v>1</v>
      </c>
      <c r="O862">
        <v>695582</v>
      </c>
      <c r="P862" t="s">
        <v>546</v>
      </c>
      <c r="Q862" t="s">
        <v>1766</v>
      </c>
      <c r="R862" t="s">
        <v>2</v>
      </c>
      <c r="S862">
        <v>7.36</v>
      </c>
      <c r="T862">
        <v>2</v>
      </c>
      <c r="U862">
        <v>0</v>
      </c>
      <c r="V862">
        <v>0.1472</v>
      </c>
      <c r="W862">
        <f t="shared" si="55"/>
        <v>3.6064000000000003</v>
      </c>
      <c r="X862">
        <v>1</v>
      </c>
    </row>
    <row r="863" spans="1:24" x14ac:dyDescent="0.3">
      <c r="A863">
        <v>862</v>
      </c>
      <c r="B863" t="s">
        <v>2632</v>
      </c>
      <c r="C863" s="6">
        <v>45058</v>
      </c>
      <c r="D863" t="str">
        <f t="shared" si="52"/>
        <v>May</v>
      </c>
      <c r="E863" t="str">
        <f t="shared" si="53"/>
        <v>2023</v>
      </c>
      <c r="F863" t="s">
        <v>4</v>
      </c>
      <c r="G863" t="s">
        <v>327</v>
      </c>
      <c r="H863" t="s">
        <v>1231</v>
      </c>
      <c r="I863">
        <v>110</v>
      </c>
      <c r="J863">
        <v>10</v>
      </c>
      <c r="K863">
        <f t="shared" si="54"/>
        <v>9.0909090909090917</v>
      </c>
      <c r="L863" t="s">
        <v>1743</v>
      </c>
      <c r="M863" t="s">
        <v>3794</v>
      </c>
      <c r="N863" t="s">
        <v>1</v>
      </c>
      <c r="O863">
        <v>400078</v>
      </c>
      <c r="P863" t="s">
        <v>546</v>
      </c>
      <c r="Q863" t="s">
        <v>1772</v>
      </c>
      <c r="R863" t="s">
        <v>2</v>
      </c>
      <c r="S863">
        <v>23.1</v>
      </c>
      <c r="T863">
        <v>2</v>
      </c>
      <c r="U863">
        <v>0</v>
      </c>
      <c r="V863">
        <v>10.625999999999999</v>
      </c>
      <c r="W863">
        <f t="shared" si="55"/>
        <v>6.237000000000001</v>
      </c>
      <c r="X863">
        <v>5</v>
      </c>
    </row>
    <row r="864" spans="1:24" x14ac:dyDescent="0.3">
      <c r="A864">
        <v>863</v>
      </c>
      <c r="B864" t="s">
        <v>2633</v>
      </c>
      <c r="C864" s="6">
        <v>45059</v>
      </c>
      <c r="D864" t="str">
        <f t="shared" si="52"/>
        <v>May</v>
      </c>
      <c r="E864" t="str">
        <f t="shared" si="53"/>
        <v>2023</v>
      </c>
      <c r="F864" t="s">
        <v>3</v>
      </c>
      <c r="G864" t="s">
        <v>302</v>
      </c>
      <c r="H864" t="s">
        <v>1232</v>
      </c>
      <c r="I864">
        <v>110</v>
      </c>
      <c r="J864">
        <v>12</v>
      </c>
      <c r="K864">
        <f t="shared" si="54"/>
        <v>10.909090909090908</v>
      </c>
      <c r="L864" t="s">
        <v>1738</v>
      </c>
      <c r="M864" t="s">
        <v>3795</v>
      </c>
      <c r="O864">
        <v>400078</v>
      </c>
      <c r="P864" t="s">
        <v>546</v>
      </c>
      <c r="Q864" t="s">
        <v>1754</v>
      </c>
      <c r="S864">
        <v>191.47200000000001</v>
      </c>
      <c r="T864">
        <v>6</v>
      </c>
      <c r="U864">
        <v>0.2</v>
      </c>
      <c r="V864">
        <v>40.687800000000003</v>
      </c>
      <c r="W864">
        <f t="shared" si="55"/>
        <v>25.130700000000001</v>
      </c>
      <c r="X864">
        <v>2</v>
      </c>
    </row>
    <row r="865" spans="1:24" x14ac:dyDescent="0.3">
      <c r="A865">
        <v>864</v>
      </c>
      <c r="B865" t="s">
        <v>2634</v>
      </c>
      <c r="C865" s="6">
        <v>45060</v>
      </c>
      <c r="D865" t="str">
        <f t="shared" si="52"/>
        <v>May</v>
      </c>
      <c r="E865" t="str">
        <f t="shared" si="53"/>
        <v>2023</v>
      </c>
      <c r="F865" t="s">
        <v>3</v>
      </c>
      <c r="G865" t="s">
        <v>302</v>
      </c>
      <c r="H865" t="s">
        <v>1233</v>
      </c>
      <c r="I865">
        <v>230</v>
      </c>
      <c r="J865">
        <v>6</v>
      </c>
      <c r="K865">
        <f t="shared" si="54"/>
        <v>2.6086956521739131</v>
      </c>
      <c r="L865" t="s">
        <v>1739</v>
      </c>
      <c r="M865" t="s">
        <v>3594</v>
      </c>
      <c r="N865" t="s">
        <v>1</v>
      </c>
      <c r="O865">
        <v>400703</v>
      </c>
      <c r="P865" t="s">
        <v>546</v>
      </c>
      <c r="Q865" t="s">
        <v>1773</v>
      </c>
      <c r="S865">
        <v>5.2480000000000002</v>
      </c>
      <c r="T865">
        <v>2</v>
      </c>
      <c r="U865">
        <v>0.2</v>
      </c>
      <c r="V865">
        <v>0.59040000000000004</v>
      </c>
      <c r="W865">
        <f t="shared" si="55"/>
        <v>2.3288000000000002</v>
      </c>
      <c r="X865">
        <v>1</v>
      </c>
    </row>
    <row r="866" spans="1:24" x14ac:dyDescent="0.3">
      <c r="A866">
        <v>865</v>
      </c>
      <c r="B866" t="s">
        <v>2635</v>
      </c>
      <c r="C866" s="6">
        <v>45061</v>
      </c>
      <c r="D866" t="str">
        <f t="shared" si="52"/>
        <v>May</v>
      </c>
      <c r="E866" t="str">
        <f t="shared" si="53"/>
        <v>2023</v>
      </c>
      <c r="F866" t="s">
        <v>3</v>
      </c>
      <c r="G866" t="s">
        <v>302</v>
      </c>
      <c r="H866" t="s">
        <v>1234</v>
      </c>
      <c r="I866">
        <v>230</v>
      </c>
      <c r="J866">
        <v>28</v>
      </c>
      <c r="K866">
        <f t="shared" si="54"/>
        <v>12.173913043478262</v>
      </c>
      <c r="L866" t="s">
        <v>1741</v>
      </c>
      <c r="M866" t="s">
        <v>3796</v>
      </c>
      <c r="N866" t="s">
        <v>1</v>
      </c>
      <c r="O866">
        <v>522403</v>
      </c>
      <c r="P866" t="s">
        <v>546</v>
      </c>
      <c r="Q866" t="s">
        <v>1759</v>
      </c>
      <c r="S866">
        <v>59.183999999999997</v>
      </c>
      <c r="T866">
        <v>2</v>
      </c>
      <c r="U866">
        <v>0.2</v>
      </c>
      <c r="V866">
        <v>5.1786000000000003</v>
      </c>
      <c r="W866">
        <f t="shared" si="55"/>
        <v>27.002699999999997</v>
      </c>
      <c r="X866">
        <v>4</v>
      </c>
    </row>
    <row r="867" spans="1:24" x14ac:dyDescent="0.3">
      <c r="A867">
        <v>866</v>
      </c>
      <c r="B867" t="s">
        <v>2636</v>
      </c>
      <c r="C867" s="6">
        <v>45062</v>
      </c>
      <c r="D867" t="str">
        <f t="shared" si="52"/>
        <v>May</v>
      </c>
      <c r="E867" t="str">
        <f t="shared" si="53"/>
        <v>2023</v>
      </c>
      <c r="F867" t="s">
        <v>4</v>
      </c>
      <c r="G867" t="s">
        <v>328</v>
      </c>
      <c r="H867" t="s">
        <v>1235</v>
      </c>
      <c r="I867">
        <v>190</v>
      </c>
      <c r="J867">
        <v>16</v>
      </c>
      <c r="K867">
        <f t="shared" si="54"/>
        <v>8.4210526315789469</v>
      </c>
      <c r="L867" t="s">
        <v>1736</v>
      </c>
      <c r="M867" t="s">
        <v>3797</v>
      </c>
      <c r="N867" t="s">
        <v>1</v>
      </c>
      <c r="O867">
        <v>410206</v>
      </c>
      <c r="P867" t="s">
        <v>546</v>
      </c>
      <c r="Q867" t="s">
        <v>1760</v>
      </c>
      <c r="S867">
        <v>2.89</v>
      </c>
      <c r="T867">
        <v>1</v>
      </c>
      <c r="U867">
        <v>0</v>
      </c>
      <c r="V867">
        <v>1.3583000000000001</v>
      </c>
      <c r="W867">
        <f t="shared" si="55"/>
        <v>1.5317000000000001</v>
      </c>
      <c r="X867">
        <v>1</v>
      </c>
    </row>
    <row r="868" spans="1:24" x14ac:dyDescent="0.3">
      <c r="A868">
        <v>867</v>
      </c>
      <c r="B868" t="s">
        <v>2637</v>
      </c>
      <c r="C868" s="6">
        <v>45063</v>
      </c>
      <c r="D868" t="str">
        <f t="shared" si="52"/>
        <v>May</v>
      </c>
      <c r="E868" t="str">
        <f t="shared" si="53"/>
        <v>2023</v>
      </c>
      <c r="F868" t="s">
        <v>4</v>
      </c>
      <c r="G868" t="s">
        <v>328</v>
      </c>
      <c r="H868" t="s">
        <v>1236</v>
      </c>
      <c r="I868">
        <v>170</v>
      </c>
      <c r="J868">
        <v>20</v>
      </c>
      <c r="K868">
        <f t="shared" si="54"/>
        <v>11.76470588235294</v>
      </c>
      <c r="L868" t="s">
        <v>1744</v>
      </c>
      <c r="M868" t="s">
        <v>3798</v>
      </c>
      <c r="N868" t="s">
        <v>1</v>
      </c>
      <c r="O868">
        <v>600100</v>
      </c>
      <c r="P868" t="s">
        <v>546</v>
      </c>
      <c r="Q868" t="s">
        <v>1771</v>
      </c>
      <c r="S868">
        <v>51.94</v>
      </c>
      <c r="T868">
        <v>1</v>
      </c>
      <c r="U868">
        <v>0</v>
      </c>
      <c r="V868">
        <v>21.295400000000001</v>
      </c>
      <c r="W868">
        <f t="shared" si="55"/>
        <v>30.644599999999997</v>
      </c>
      <c r="X868">
        <v>3</v>
      </c>
    </row>
    <row r="869" spans="1:24" x14ac:dyDescent="0.3">
      <c r="A869">
        <v>868</v>
      </c>
      <c r="B869" t="s">
        <v>2638</v>
      </c>
      <c r="C869" s="6">
        <v>45064</v>
      </c>
      <c r="D869" t="str">
        <f t="shared" si="52"/>
        <v>May</v>
      </c>
      <c r="E869" t="str">
        <f t="shared" si="53"/>
        <v>2023</v>
      </c>
      <c r="F869" t="s">
        <v>5</v>
      </c>
      <c r="G869" t="s">
        <v>329</v>
      </c>
      <c r="H869" t="s">
        <v>1237</v>
      </c>
      <c r="I869">
        <v>150</v>
      </c>
      <c r="J869">
        <v>26</v>
      </c>
      <c r="K869">
        <f t="shared" si="54"/>
        <v>17.333333333333336</v>
      </c>
      <c r="L869" t="s">
        <v>1740</v>
      </c>
      <c r="M869" t="s">
        <v>3799</v>
      </c>
      <c r="N869" t="s">
        <v>1</v>
      </c>
      <c r="O869">
        <v>122016</v>
      </c>
      <c r="P869" t="s">
        <v>546</v>
      </c>
      <c r="Q869" t="s">
        <v>1758</v>
      </c>
      <c r="S869">
        <v>15.936</v>
      </c>
      <c r="T869">
        <v>4</v>
      </c>
      <c r="U869">
        <v>0.2</v>
      </c>
      <c r="V869">
        <v>5.1791999999999998</v>
      </c>
      <c r="W869">
        <f t="shared" si="55"/>
        <v>2.6892</v>
      </c>
      <c r="X869">
        <v>2</v>
      </c>
    </row>
    <row r="870" spans="1:24" x14ac:dyDescent="0.3">
      <c r="A870">
        <v>869</v>
      </c>
      <c r="B870" t="s">
        <v>2639</v>
      </c>
      <c r="C870" s="6">
        <v>45065</v>
      </c>
      <c r="D870" t="str">
        <f t="shared" si="52"/>
        <v>May</v>
      </c>
      <c r="E870" t="str">
        <f t="shared" si="53"/>
        <v>2023</v>
      </c>
      <c r="F870" t="s">
        <v>4</v>
      </c>
      <c r="G870" t="s">
        <v>330</v>
      </c>
      <c r="H870" t="s">
        <v>1238</v>
      </c>
      <c r="I870">
        <v>130</v>
      </c>
      <c r="J870">
        <v>18</v>
      </c>
      <c r="K870">
        <f t="shared" si="54"/>
        <v>13.846153846153847</v>
      </c>
      <c r="L870" t="s">
        <v>1742</v>
      </c>
      <c r="M870" t="s">
        <v>3800</v>
      </c>
      <c r="N870" t="s">
        <v>1</v>
      </c>
      <c r="O870">
        <v>533101</v>
      </c>
      <c r="P870" t="s">
        <v>546</v>
      </c>
      <c r="Q870" t="s">
        <v>1774</v>
      </c>
      <c r="S870">
        <v>44.91</v>
      </c>
      <c r="T870">
        <v>6</v>
      </c>
      <c r="U870">
        <v>0.7</v>
      </c>
      <c r="V870">
        <v>-35.927999999999997</v>
      </c>
      <c r="W870">
        <f t="shared" si="55"/>
        <v>13.472999999999999</v>
      </c>
      <c r="X870">
        <v>1</v>
      </c>
    </row>
    <row r="871" spans="1:24" x14ac:dyDescent="0.3">
      <c r="A871">
        <v>870</v>
      </c>
      <c r="B871" t="s">
        <v>2640</v>
      </c>
      <c r="C871" s="6">
        <v>45066</v>
      </c>
      <c r="D871" t="str">
        <f t="shared" si="52"/>
        <v>May</v>
      </c>
      <c r="E871" t="str">
        <f t="shared" si="53"/>
        <v>2023</v>
      </c>
      <c r="F871" t="s">
        <v>5</v>
      </c>
      <c r="G871" t="s">
        <v>331</v>
      </c>
      <c r="H871" t="s">
        <v>1239</v>
      </c>
      <c r="I871">
        <v>200</v>
      </c>
      <c r="J871">
        <v>6</v>
      </c>
      <c r="K871">
        <f t="shared" si="54"/>
        <v>3</v>
      </c>
      <c r="L871" t="s">
        <v>1739</v>
      </c>
      <c r="M871" t="s">
        <v>3623</v>
      </c>
      <c r="N871" t="s">
        <v>1</v>
      </c>
      <c r="O871">
        <v>382470</v>
      </c>
      <c r="P871" t="s">
        <v>546</v>
      </c>
      <c r="Q871" t="s">
        <v>1759</v>
      </c>
      <c r="S871">
        <v>1141.47</v>
      </c>
      <c r="T871">
        <v>5</v>
      </c>
      <c r="U871">
        <v>0.7</v>
      </c>
      <c r="V871">
        <v>-760.98</v>
      </c>
      <c r="W871">
        <f t="shared" si="55"/>
        <v>380.49</v>
      </c>
      <c r="X871">
        <v>5</v>
      </c>
    </row>
    <row r="872" spans="1:24" x14ac:dyDescent="0.3">
      <c r="A872">
        <v>871</v>
      </c>
      <c r="B872" t="s">
        <v>2641</v>
      </c>
      <c r="C872" s="6">
        <v>45067</v>
      </c>
      <c r="D872" t="str">
        <f t="shared" si="52"/>
        <v>May</v>
      </c>
      <c r="E872" t="str">
        <f t="shared" si="53"/>
        <v>2023</v>
      </c>
      <c r="F872" t="s">
        <v>5</v>
      </c>
      <c r="G872" t="s">
        <v>331</v>
      </c>
      <c r="H872" t="s">
        <v>1042</v>
      </c>
      <c r="I872">
        <v>230</v>
      </c>
      <c r="J872">
        <v>22</v>
      </c>
      <c r="K872">
        <f t="shared" si="54"/>
        <v>9.5652173913043477</v>
      </c>
      <c r="L872" t="s">
        <v>1738</v>
      </c>
      <c r="M872" t="s">
        <v>3801</v>
      </c>
      <c r="N872" t="s">
        <v>1</v>
      </c>
      <c r="O872">
        <v>210001</v>
      </c>
      <c r="P872" t="s">
        <v>546</v>
      </c>
      <c r="Q872" t="s">
        <v>1776</v>
      </c>
      <c r="S872">
        <v>280.78199999999998</v>
      </c>
      <c r="T872">
        <v>3</v>
      </c>
      <c r="U872">
        <v>0.4</v>
      </c>
      <c r="V872">
        <v>-46.796999999999997</v>
      </c>
      <c r="W872">
        <f t="shared" si="55"/>
        <v>109.19299999999998</v>
      </c>
      <c r="X872">
        <v>3</v>
      </c>
    </row>
    <row r="873" spans="1:24" x14ac:dyDescent="0.3">
      <c r="A873">
        <v>872</v>
      </c>
      <c r="B873" t="s">
        <v>2642</v>
      </c>
      <c r="C873" s="6">
        <v>45068</v>
      </c>
      <c r="D873" t="str">
        <f t="shared" si="52"/>
        <v>May</v>
      </c>
      <c r="E873" t="str">
        <f t="shared" si="53"/>
        <v>2023</v>
      </c>
      <c r="F873" t="s">
        <v>5</v>
      </c>
      <c r="G873" t="s">
        <v>21</v>
      </c>
      <c r="H873" t="s">
        <v>1240</v>
      </c>
      <c r="I873">
        <v>130</v>
      </c>
      <c r="J873">
        <v>16</v>
      </c>
      <c r="K873">
        <f t="shared" si="54"/>
        <v>12.307692307692308</v>
      </c>
      <c r="L873" t="s">
        <v>1737</v>
      </c>
      <c r="M873" t="s">
        <v>3802</v>
      </c>
      <c r="N873" t="s">
        <v>1</v>
      </c>
      <c r="O873">
        <v>500032</v>
      </c>
      <c r="P873" t="s">
        <v>546</v>
      </c>
      <c r="Q873" t="s">
        <v>1767</v>
      </c>
      <c r="S873">
        <v>34.44</v>
      </c>
      <c r="T873">
        <v>3</v>
      </c>
      <c r="U873">
        <v>0</v>
      </c>
      <c r="V873">
        <v>17.22</v>
      </c>
      <c r="W873">
        <f t="shared" si="55"/>
        <v>5.7399999999999993</v>
      </c>
      <c r="X873">
        <v>1</v>
      </c>
    </row>
    <row r="874" spans="1:24" x14ac:dyDescent="0.3">
      <c r="A874">
        <v>873</v>
      </c>
      <c r="B874" t="s">
        <v>2643</v>
      </c>
      <c r="C874" s="6">
        <v>45069</v>
      </c>
      <c r="D874" t="str">
        <f t="shared" si="52"/>
        <v>May</v>
      </c>
      <c r="E874" t="str">
        <f t="shared" si="53"/>
        <v>2023</v>
      </c>
      <c r="F874" t="s">
        <v>4</v>
      </c>
      <c r="G874" t="s">
        <v>332</v>
      </c>
      <c r="H874" t="s">
        <v>799</v>
      </c>
      <c r="I874">
        <v>110</v>
      </c>
      <c r="J874">
        <v>14</v>
      </c>
      <c r="K874">
        <f t="shared" si="54"/>
        <v>12.727272727272727</v>
      </c>
      <c r="L874" t="s">
        <v>1743</v>
      </c>
      <c r="M874" t="s">
        <v>3803</v>
      </c>
      <c r="N874" t="s">
        <v>1</v>
      </c>
      <c r="O874">
        <v>560077</v>
      </c>
      <c r="P874" t="s">
        <v>546</v>
      </c>
      <c r="Q874" t="s">
        <v>1755</v>
      </c>
      <c r="S874">
        <v>11.36</v>
      </c>
      <c r="T874">
        <v>2</v>
      </c>
      <c r="U874">
        <v>0</v>
      </c>
      <c r="V874">
        <v>5.2256</v>
      </c>
      <c r="W874">
        <f t="shared" si="55"/>
        <v>3.0671999999999997</v>
      </c>
      <c r="X874">
        <v>4</v>
      </c>
    </row>
    <row r="875" spans="1:24" x14ac:dyDescent="0.3">
      <c r="A875">
        <v>874</v>
      </c>
      <c r="B875" t="s">
        <v>2644</v>
      </c>
      <c r="C875" s="6">
        <v>45070</v>
      </c>
      <c r="D875" t="str">
        <f t="shared" si="52"/>
        <v>May</v>
      </c>
      <c r="E875" t="str">
        <f t="shared" si="53"/>
        <v>2023</v>
      </c>
      <c r="F875" t="s">
        <v>4</v>
      </c>
      <c r="G875" t="s">
        <v>332</v>
      </c>
      <c r="H875" t="s">
        <v>959</v>
      </c>
      <c r="I875">
        <v>150</v>
      </c>
      <c r="J875">
        <v>18</v>
      </c>
      <c r="K875">
        <f t="shared" si="54"/>
        <v>12</v>
      </c>
      <c r="L875" t="s">
        <v>1738</v>
      </c>
      <c r="M875" t="s">
        <v>3804</v>
      </c>
      <c r="N875" t="s">
        <v>1</v>
      </c>
      <c r="O875">
        <v>382470</v>
      </c>
      <c r="P875" t="s">
        <v>546</v>
      </c>
      <c r="Q875" t="s">
        <v>1766</v>
      </c>
      <c r="S875">
        <v>106.34399999999999</v>
      </c>
      <c r="T875">
        <v>7</v>
      </c>
      <c r="U875">
        <v>0.2</v>
      </c>
      <c r="V875">
        <v>37.220399999999998</v>
      </c>
      <c r="W875">
        <f t="shared" si="55"/>
        <v>9.8747999999999987</v>
      </c>
      <c r="X875">
        <v>1</v>
      </c>
    </row>
    <row r="876" spans="1:24" x14ac:dyDescent="0.3">
      <c r="A876">
        <v>875</v>
      </c>
      <c r="B876" t="s">
        <v>2645</v>
      </c>
      <c r="C876" s="6">
        <v>45071</v>
      </c>
      <c r="D876" t="str">
        <f t="shared" si="52"/>
        <v>May</v>
      </c>
      <c r="E876" t="str">
        <f t="shared" si="53"/>
        <v>2023</v>
      </c>
      <c r="F876" t="s">
        <v>4</v>
      </c>
      <c r="G876" t="s">
        <v>322</v>
      </c>
      <c r="H876" t="s">
        <v>1241</v>
      </c>
      <c r="I876">
        <v>180</v>
      </c>
      <c r="J876">
        <v>6</v>
      </c>
      <c r="K876">
        <f t="shared" si="54"/>
        <v>3.3333333333333335</v>
      </c>
      <c r="L876" t="s">
        <v>1739</v>
      </c>
      <c r="M876" t="s">
        <v>3600</v>
      </c>
      <c r="N876" t="s">
        <v>1</v>
      </c>
      <c r="O876">
        <v>411035</v>
      </c>
      <c r="P876" t="s">
        <v>546</v>
      </c>
      <c r="Q876" t="s">
        <v>1757</v>
      </c>
      <c r="S876">
        <v>192.16</v>
      </c>
      <c r="T876">
        <v>5</v>
      </c>
      <c r="U876">
        <v>0.2</v>
      </c>
      <c r="V876">
        <v>67.256</v>
      </c>
      <c r="W876">
        <f t="shared" si="55"/>
        <v>24.980799999999999</v>
      </c>
      <c r="X876">
        <v>3</v>
      </c>
    </row>
    <row r="877" spans="1:24" x14ac:dyDescent="0.3">
      <c r="A877">
        <v>876</v>
      </c>
      <c r="B877" t="s">
        <v>2646</v>
      </c>
      <c r="C877" s="6">
        <v>45072</v>
      </c>
      <c r="D877" t="str">
        <f t="shared" si="52"/>
        <v>May</v>
      </c>
      <c r="E877" t="str">
        <f t="shared" si="53"/>
        <v>2023</v>
      </c>
      <c r="F877" t="s">
        <v>4</v>
      </c>
      <c r="G877" t="s">
        <v>261</v>
      </c>
      <c r="H877" t="s">
        <v>763</v>
      </c>
      <c r="I877">
        <v>140</v>
      </c>
      <c r="J877">
        <v>14</v>
      </c>
      <c r="K877">
        <f t="shared" si="54"/>
        <v>10</v>
      </c>
      <c r="L877" t="s">
        <v>1741</v>
      </c>
      <c r="M877" t="s">
        <v>3805</v>
      </c>
      <c r="O877">
        <v>815383</v>
      </c>
      <c r="P877" t="s">
        <v>546</v>
      </c>
      <c r="Q877" t="s">
        <v>1760</v>
      </c>
      <c r="S877">
        <v>322.58999999999997</v>
      </c>
      <c r="T877">
        <v>3</v>
      </c>
      <c r="U877">
        <v>0</v>
      </c>
      <c r="V877">
        <v>64.518000000000001</v>
      </c>
      <c r="W877">
        <f t="shared" si="55"/>
        <v>86.024000000000001</v>
      </c>
      <c r="X877">
        <v>2</v>
      </c>
    </row>
    <row r="878" spans="1:24" x14ac:dyDescent="0.3">
      <c r="A878">
        <v>877</v>
      </c>
      <c r="B878" t="s">
        <v>2647</v>
      </c>
      <c r="C878" s="6">
        <v>45073</v>
      </c>
      <c r="D878" t="str">
        <f t="shared" si="52"/>
        <v>May</v>
      </c>
      <c r="E878" t="str">
        <f t="shared" si="53"/>
        <v>2023</v>
      </c>
      <c r="F878" t="s">
        <v>4</v>
      </c>
      <c r="G878" t="s">
        <v>261</v>
      </c>
      <c r="H878" t="s">
        <v>793</v>
      </c>
      <c r="I878">
        <v>180</v>
      </c>
      <c r="J878">
        <v>20</v>
      </c>
      <c r="K878">
        <f t="shared" si="54"/>
        <v>11.111111111111111</v>
      </c>
      <c r="L878" t="s">
        <v>1736</v>
      </c>
      <c r="M878" t="s">
        <v>3644</v>
      </c>
      <c r="O878">
        <v>560077</v>
      </c>
      <c r="P878" t="s">
        <v>546</v>
      </c>
      <c r="Q878" t="s">
        <v>1763</v>
      </c>
      <c r="S878">
        <v>29.99</v>
      </c>
      <c r="T878">
        <v>1</v>
      </c>
      <c r="U878">
        <v>0</v>
      </c>
      <c r="V878">
        <v>13.195600000000001</v>
      </c>
      <c r="W878">
        <f t="shared" si="55"/>
        <v>16.794399999999996</v>
      </c>
      <c r="X878">
        <v>1</v>
      </c>
    </row>
    <row r="879" spans="1:24" x14ac:dyDescent="0.3">
      <c r="A879">
        <v>878</v>
      </c>
      <c r="B879" t="s">
        <v>2648</v>
      </c>
      <c r="C879" s="6">
        <v>45074</v>
      </c>
      <c r="D879" t="str">
        <f t="shared" si="52"/>
        <v>May</v>
      </c>
      <c r="E879" t="str">
        <f t="shared" si="53"/>
        <v>2023</v>
      </c>
      <c r="F879" t="s">
        <v>4</v>
      </c>
      <c r="G879" t="s">
        <v>261</v>
      </c>
      <c r="H879" t="s">
        <v>1242</v>
      </c>
      <c r="I879">
        <v>190</v>
      </c>
      <c r="J879">
        <v>14</v>
      </c>
      <c r="K879">
        <f t="shared" si="54"/>
        <v>7.3684210526315779</v>
      </c>
      <c r="L879" t="s">
        <v>1744</v>
      </c>
      <c r="M879" t="s">
        <v>3806</v>
      </c>
      <c r="O879">
        <v>533101</v>
      </c>
      <c r="P879" t="s">
        <v>546</v>
      </c>
      <c r="Q879" t="s">
        <v>1762</v>
      </c>
      <c r="S879">
        <v>371.97</v>
      </c>
      <c r="T879">
        <v>3</v>
      </c>
      <c r="U879">
        <v>0</v>
      </c>
      <c r="V879">
        <v>66.954599999999999</v>
      </c>
      <c r="W879">
        <f t="shared" si="55"/>
        <v>101.6718</v>
      </c>
      <c r="X879">
        <v>4</v>
      </c>
    </row>
    <row r="880" spans="1:24" x14ac:dyDescent="0.3">
      <c r="A880">
        <v>879</v>
      </c>
      <c r="B880" t="s">
        <v>2649</v>
      </c>
      <c r="C880" s="6">
        <v>45075</v>
      </c>
      <c r="D880" t="str">
        <f t="shared" si="52"/>
        <v>May</v>
      </c>
      <c r="E880" t="str">
        <f t="shared" si="53"/>
        <v>2023</v>
      </c>
      <c r="F880" t="s">
        <v>4</v>
      </c>
      <c r="G880" t="s">
        <v>333</v>
      </c>
      <c r="H880" t="s">
        <v>1243</v>
      </c>
      <c r="I880">
        <v>120</v>
      </c>
      <c r="J880">
        <v>26</v>
      </c>
      <c r="K880">
        <f t="shared" si="54"/>
        <v>21.666666666666668</v>
      </c>
      <c r="L880" t="s">
        <v>1740</v>
      </c>
      <c r="M880" t="s">
        <v>3586</v>
      </c>
      <c r="N880" t="s">
        <v>1</v>
      </c>
      <c r="O880">
        <v>110058</v>
      </c>
      <c r="P880" t="s">
        <v>546</v>
      </c>
      <c r="Q880" t="s">
        <v>1756</v>
      </c>
      <c r="S880">
        <v>5.8920000000000003</v>
      </c>
      <c r="T880">
        <v>4</v>
      </c>
      <c r="U880">
        <v>0.7</v>
      </c>
      <c r="V880">
        <v>-4.1243999999999996</v>
      </c>
      <c r="W880">
        <f t="shared" si="55"/>
        <v>2.5041000000000002</v>
      </c>
      <c r="X880">
        <v>3</v>
      </c>
    </row>
    <row r="881" spans="1:24" x14ac:dyDescent="0.3">
      <c r="A881">
        <v>880</v>
      </c>
      <c r="B881" t="s">
        <v>2650</v>
      </c>
      <c r="C881" s="6">
        <v>45076</v>
      </c>
      <c r="D881" t="str">
        <f t="shared" si="52"/>
        <v>May</v>
      </c>
      <c r="E881" t="str">
        <f t="shared" si="53"/>
        <v>2023</v>
      </c>
      <c r="F881" t="s">
        <v>3</v>
      </c>
      <c r="G881" t="s">
        <v>13</v>
      </c>
      <c r="H881" t="s">
        <v>1244</v>
      </c>
      <c r="I881">
        <v>120</v>
      </c>
      <c r="J881">
        <v>14</v>
      </c>
      <c r="K881">
        <f t="shared" si="54"/>
        <v>11.666666666666666</v>
      </c>
      <c r="L881" t="s">
        <v>1742</v>
      </c>
      <c r="M881" t="s">
        <v>3676</v>
      </c>
      <c r="N881" t="s">
        <v>1</v>
      </c>
      <c r="O881">
        <v>683511</v>
      </c>
      <c r="P881" t="s">
        <v>546</v>
      </c>
      <c r="Q881" t="s">
        <v>1767</v>
      </c>
      <c r="S881">
        <v>68.471999999999994</v>
      </c>
      <c r="T881">
        <v>3</v>
      </c>
      <c r="U881">
        <v>0.2</v>
      </c>
      <c r="V881">
        <v>23.109300000000001</v>
      </c>
      <c r="W881">
        <f t="shared" si="55"/>
        <v>15.120899999999997</v>
      </c>
      <c r="X881">
        <v>1</v>
      </c>
    </row>
    <row r="882" spans="1:24" x14ac:dyDescent="0.3">
      <c r="A882">
        <v>881</v>
      </c>
      <c r="B882" t="s">
        <v>2651</v>
      </c>
      <c r="C882" s="6">
        <v>45077</v>
      </c>
      <c r="D882" t="str">
        <f t="shared" si="52"/>
        <v>May</v>
      </c>
      <c r="E882" t="str">
        <f t="shared" si="53"/>
        <v>2023</v>
      </c>
      <c r="F882" t="s">
        <v>3</v>
      </c>
      <c r="G882" t="s">
        <v>13</v>
      </c>
      <c r="H882" t="s">
        <v>704</v>
      </c>
      <c r="I882">
        <v>110</v>
      </c>
      <c r="J882">
        <v>14</v>
      </c>
      <c r="K882">
        <f t="shared" si="54"/>
        <v>12.727272727272727</v>
      </c>
      <c r="L882" t="s">
        <v>1739</v>
      </c>
      <c r="M882" t="s">
        <v>3747</v>
      </c>
      <c r="N882" t="s">
        <v>1</v>
      </c>
      <c r="O882">
        <v>521108</v>
      </c>
      <c r="P882" t="s">
        <v>546</v>
      </c>
      <c r="Q882" t="s">
        <v>1761</v>
      </c>
      <c r="S882">
        <v>1242.9000000000001</v>
      </c>
      <c r="T882">
        <v>5</v>
      </c>
      <c r="U882">
        <v>0.1</v>
      </c>
      <c r="V882">
        <v>262.39</v>
      </c>
      <c r="W882">
        <f t="shared" si="55"/>
        <v>196.10200000000003</v>
      </c>
      <c r="X882">
        <v>4</v>
      </c>
    </row>
    <row r="883" spans="1:24" x14ac:dyDescent="0.3">
      <c r="A883">
        <v>882</v>
      </c>
      <c r="B883" t="s">
        <v>2652</v>
      </c>
      <c r="C883" s="6">
        <v>45078</v>
      </c>
      <c r="D883" t="str">
        <f t="shared" si="52"/>
        <v>Jun</v>
      </c>
      <c r="E883" t="str">
        <f t="shared" si="53"/>
        <v>2023</v>
      </c>
      <c r="F883" t="s">
        <v>4</v>
      </c>
      <c r="G883" t="s">
        <v>61</v>
      </c>
      <c r="H883" t="s">
        <v>968</v>
      </c>
      <c r="I883">
        <v>110</v>
      </c>
      <c r="J883">
        <v>6</v>
      </c>
      <c r="K883">
        <f t="shared" si="54"/>
        <v>5.4545454545454541</v>
      </c>
      <c r="L883" t="s">
        <v>1738</v>
      </c>
      <c r="M883" t="s">
        <v>3807</v>
      </c>
      <c r="N883" t="s">
        <v>1</v>
      </c>
      <c r="O883">
        <v>600078</v>
      </c>
      <c r="P883" t="s">
        <v>546</v>
      </c>
      <c r="Q883" t="s">
        <v>1767</v>
      </c>
      <c r="S883">
        <v>30.84</v>
      </c>
      <c r="T883">
        <v>2</v>
      </c>
      <c r="U883">
        <v>0</v>
      </c>
      <c r="V883">
        <v>8.3268000000000004</v>
      </c>
      <c r="W883">
        <f t="shared" si="55"/>
        <v>11.256599999999999</v>
      </c>
      <c r="X883">
        <v>1</v>
      </c>
    </row>
    <row r="884" spans="1:24" x14ac:dyDescent="0.3">
      <c r="A884">
        <v>883</v>
      </c>
      <c r="B884" t="s">
        <v>2653</v>
      </c>
      <c r="C884" s="6">
        <v>45079</v>
      </c>
      <c r="D884" t="str">
        <f t="shared" si="52"/>
        <v>Jun</v>
      </c>
      <c r="E884" t="str">
        <f t="shared" si="53"/>
        <v>2023</v>
      </c>
      <c r="F884" t="s">
        <v>6</v>
      </c>
      <c r="G884" t="s">
        <v>54</v>
      </c>
      <c r="H884" t="s">
        <v>1128</v>
      </c>
      <c r="I884">
        <v>210</v>
      </c>
      <c r="J884">
        <v>8</v>
      </c>
      <c r="K884">
        <f t="shared" si="54"/>
        <v>3.8095238095238098</v>
      </c>
      <c r="L884" t="s">
        <v>1737</v>
      </c>
      <c r="M884" t="s">
        <v>3808</v>
      </c>
      <c r="N884" t="s">
        <v>1</v>
      </c>
      <c r="O884">
        <v>600078</v>
      </c>
      <c r="P884" t="s">
        <v>546</v>
      </c>
      <c r="Q884" t="s">
        <v>1759</v>
      </c>
      <c r="R884" t="s">
        <v>2</v>
      </c>
      <c r="S884">
        <v>13.48</v>
      </c>
      <c r="T884">
        <v>4</v>
      </c>
      <c r="U884">
        <v>0</v>
      </c>
      <c r="V884">
        <v>5.9311999999999996</v>
      </c>
      <c r="W884">
        <f t="shared" si="55"/>
        <v>1.8872000000000002</v>
      </c>
      <c r="X884">
        <v>1</v>
      </c>
    </row>
    <row r="885" spans="1:24" x14ac:dyDescent="0.3">
      <c r="A885">
        <v>884</v>
      </c>
      <c r="B885" t="s">
        <v>2654</v>
      </c>
      <c r="C885" s="6">
        <v>45080</v>
      </c>
      <c r="D885" t="str">
        <f t="shared" si="52"/>
        <v>Jun</v>
      </c>
      <c r="E885" t="str">
        <f t="shared" si="53"/>
        <v>2023</v>
      </c>
      <c r="F885" t="s">
        <v>5</v>
      </c>
      <c r="G885" t="s">
        <v>334</v>
      </c>
      <c r="H885" t="s">
        <v>1092</v>
      </c>
      <c r="I885">
        <v>100</v>
      </c>
      <c r="J885">
        <v>28</v>
      </c>
      <c r="K885">
        <f t="shared" si="54"/>
        <v>28.000000000000004</v>
      </c>
      <c r="L885" t="s">
        <v>1743</v>
      </c>
      <c r="M885" t="s">
        <v>3809</v>
      </c>
      <c r="N885" t="s">
        <v>1</v>
      </c>
      <c r="O885">
        <v>600078</v>
      </c>
      <c r="P885" t="s">
        <v>546</v>
      </c>
      <c r="Q885" t="s">
        <v>1754</v>
      </c>
      <c r="R885" t="s">
        <v>2</v>
      </c>
      <c r="S885">
        <v>31.4</v>
      </c>
      <c r="T885">
        <v>5</v>
      </c>
      <c r="U885">
        <v>0</v>
      </c>
      <c r="V885">
        <v>10.048</v>
      </c>
      <c r="W885">
        <f t="shared" si="55"/>
        <v>4.2703999999999995</v>
      </c>
      <c r="X885">
        <v>3</v>
      </c>
    </row>
    <row r="886" spans="1:24" x14ac:dyDescent="0.3">
      <c r="A886">
        <v>885</v>
      </c>
      <c r="B886" t="s">
        <v>2655</v>
      </c>
      <c r="C886" s="6">
        <v>45081</v>
      </c>
      <c r="D886" t="str">
        <f t="shared" si="52"/>
        <v>Jun</v>
      </c>
      <c r="E886" t="str">
        <f t="shared" si="53"/>
        <v>2023</v>
      </c>
      <c r="F886" t="s">
        <v>4</v>
      </c>
      <c r="G886" t="s">
        <v>335</v>
      </c>
      <c r="H886" t="s">
        <v>1245</v>
      </c>
      <c r="I886">
        <v>190</v>
      </c>
      <c r="J886">
        <v>28</v>
      </c>
      <c r="K886">
        <f t="shared" si="54"/>
        <v>14.736842105263156</v>
      </c>
      <c r="L886" t="s">
        <v>1738</v>
      </c>
      <c r="M886" t="s">
        <v>3681</v>
      </c>
      <c r="N886" t="s">
        <v>1</v>
      </c>
      <c r="O886">
        <v>600078</v>
      </c>
      <c r="P886" t="s">
        <v>546</v>
      </c>
      <c r="Q886" t="s">
        <v>1759</v>
      </c>
      <c r="R886" t="s">
        <v>2</v>
      </c>
      <c r="S886">
        <v>17.46</v>
      </c>
      <c r="T886">
        <v>2</v>
      </c>
      <c r="U886">
        <v>0</v>
      </c>
      <c r="V886">
        <v>5.9363999999999999</v>
      </c>
      <c r="W886">
        <f t="shared" si="55"/>
        <v>5.7618000000000009</v>
      </c>
      <c r="X886">
        <v>4</v>
      </c>
    </row>
    <row r="887" spans="1:24" x14ac:dyDescent="0.3">
      <c r="A887">
        <v>886</v>
      </c>
      <c r="B887" t="s">
        <v>2656</v>
      </c>
      <c r="C887" s="6">
        <v>45082</v>
      </c>
      <c r="D887" t="str">
        <f t="shared" si="52"/>
        <v>Jun</v>
      </c>
      <c r="E887" t="str">
        <f t="shared" si="53"/>
        <v>2023</v>
      </c>
      <c r="F887" t="s">
        <v>3</v>
      </c>
      <c r="G887" t="s">
        <v>336</v>
      </c>
      <c r="H887" t="s">
        <v>1246</v>
      </c>
      <c r="I887">
        <v>110</v>
      </c>
      <c r="J887">
        <v>12</v>
      </c>
      <c r="K887">
        <f t="shared" si="54"/>
        <v>10.909090909090908</v>
      </c>
      <c r="L887" t="s">
        <v>1739</v>
      </c>
      <c r="M887" t="s">
        <v>3682</v>
      </c>
      <c r="N887" t="s">
        <v>1</v>
      </c>
      <c r="O887">
        <v>410209</v>
      </c>
      <c r="P887" t="s">
        <v>546</v>
      </c>
      <c r="Q887" t="s">
        <v>1759</v>
      </c>
      <c r="R887" t="s">
        <v>2</v>
      </c>
      <c r="S887">
        <v>13.944000000000001</v>
      </c>
      <c r="T887">
        <v>3</v>
      </c>
      <c r="U887">
        <v>0.2</v>
      </c>
      <c r="V887">
        <v>4.5317999999999996</v>
      </c>
      <c r="W887">
        <f t="shared" si="55"/>
        <v>3.1374000000000009</v>
      </c>
      <c r="X887">
        <v>2</v>
      </c>
    </row>
    <row r="888" spans="1:24" x14ac:dyDescent="0.3">
      <c r="A888">
        <v>887</v>
      </c>
      <c r="B888" t="s">
        <v>2657</v>
      </c>
      <c r="C888" s="6">
        <v>45083</v>
      </c>
      <c r="D888" t="str">
        <f t="shared" si="52"/>
        <v>Jun</v>
      </c>
      <c r="E888" t="str">
        <f t="shared" si="53"/>
        <v>2023</v>
      </c>
      <c r="F888" t="s">
        <v>4</v>
      </c>
      <c r="G888" t="s">
        <v>227</v>
      </c>
      <c r="H888" t="s">
        <v>1247</v>
      </c>
      <c r="I888">
        <v>240</v>
      </c>
      <c r="J888">
        <v>28</v>
      </c>
      <c r="K888">
        <f t="shared" si="54"/>
        <v>11.666666666666666</v>
      </c>
      <c r="L888" t="s">
        <v>1741</v>
      </c>
      <c r="M888" t="s">
        <v>3810</v>
      </c>
      <c r="N888" t="s">
        <v>1</v>
      </c>
      <c r="O888">
        <v>452016</v>
      </c>
      <c r="P888" t="s">
        <v>546</v>
      </c>
      <c r="Q888" t="s">
        <v>1754</v>
      </c>
      <c r="S888">
        <v>83.76</v>
      </c>
      <c r="T888">
        <v>12</v>
      </c>
      <c r="U888">
        <v>0</v>
      </c>
      <c r="V888">
        <v>1.6752</v>
      </c>
      <c r="W888">
        <f t="shared" si="55"/>
        <v>6.8403999999999998</v>
      </c>
      <c r="X888">
        <v>1</v>
      </c>
    </row>
    <row r="889" spans="1:24" x14ac:dyDescent="0.3">
      <c r="A889">
        <v>888</v>
      </c>
      <c r="B889" t="s">
        <v>2658</v>
      </c>
      <c r="C889" s="6">
        <v>45084</v>
      </c>
      <c r="D889" t="str">
        <f t="shared" si="52"/>
        <v>Jun</v>
      </c>
      <c r="E889" t="str">
        <f t="shared" si="53"/>
        <v>2023</v>
      </c>
      <c r="F889" t="s">
        <v>4</v>
      </c>
      <c r="G889" t="s">
        <v>337</v>
      </c>
      <c r="H889" t="s">
        <v>608</v>
      </c>
      <c r="I889">
        <v>240</v>
      </c>
      <c r="J889">
        <v>24</v>
      </c>
      <c r="K889">
        <f t="shared" si="54"/>
        <v>10</v>
      </c>
      <c r="L889" t="s">
        <v>1736</v>
      </c>
      <c r="M889" t="s">
        <v>3673</v>
      </c>
      <c r="N889" t="s">
        <v>1</v>
      </c>
      <c r="O889">
        <v>452016</v>
      </c>
      <c r="P889" t="s">
        <v>546</v>
      </c>
      <c r="Q889" t="s">
        <v>1765</v>
      </c>
      <c r="S889">
        <v>37.659999999999997</v>
      </c>
      <c r="T889">
        <v>7</v>
      </c>
      <c r="U889">
        <v>0</v>
      </c>
      <c r="V889">
        <v>18.453399999999998</v>
      </c>
      <c r="W889">
        <f t="shared" si="55"/>
        <v>2.7437999999999998</v>
      </c>
      <c r="X889">
        <v>1</v>
      </c>
    </row>
    <row r="890" spans="1:24" x14ac:dyDescent="0.3">
      <c r="A890">
        <v>889</v>
      </c>
      <c r="B890" t="s">
        <v>2659</v>
      </c>
      <c r="C890" s="6">
        <v>45085</v>
      </c>
      <c r="D890" t="str">
        <f t="shared" si="52"/>
        <v>Jun</v>
      </c>
      <c r="E890" t="str">
        <f t="shared" si="53"/>
        <v>2023</v>
      </c>
      <c r="F890" t="s">
        <v>4</v>
      </c>
      <c r="G890" t="s">
        <v>323</v>
      </c>
      <c r="H890" t="s">
        <v>918</v>
      </c>
      <c r="I890">
        <v>190</v>
      </c>
      <c r="J890">
        <v>10</v>
      </c>
      <c r="K890">
        <f t="shared" si="54"/>
        <v>5.2631578947368416</v>
      </c>
      <c r="L890" t="s">
        <v>1744</v>
      </c>
      <c r="M890" t="s">
        <v>3746</v>
      </c>
      <c r="N890" t="s">
        <v>1</v>
      </c>
      <c r="O890">
        <v>520002</v>
      </c>
      <c r="P890" t="s">
        <v>546</v>
      </c>
      <c r="Q890" t="s">
        <v>1766</v>
      </c>
      <c r="S890">
        <v>34.68</v>
      </c>
      <c r="T890">
        <v>6</v>
      </c>
      <c r="U890">
        <v>0</v>
      </c>
      <c r="V890">
        <v>16.993200000000002</v>
      </c>
      <c r="W890">
        <f t="shared" si="55"/>
        <v>2.9477999999999995</v>
      </c>
      <c r="X890">
        <v>4</v>
      </c>
    </row>
    <row r="891" spans="1:24" x14ac:dyDescent="0.3">
      <c r="A891">
        <v>890</v>
      </c>
      <c r="B891" t="s">
        <v>2660</v>
      </c>
      <c r="C891" s="6">
        <v>45086</v>
      </c>
      <c r="D891" t="str">
        <f t="shared" si="52"/>
        <v>Jun</v>
      </c>
      <c r="E891" t="str">
        <f t="shared" si="53"/>
        <v>2023</v>
      </c>
      <c r="F891" t="s">
        <v>4</v>
      </c>
      <c r="G891" t="s">
        <v>195</v>
      </c>
      <c r="H891" t="s">
        <v>1248</v>
      </c>
      <c r="I891">
        <v>210</v>
      </c>
      <c r="J891">
        <v>8</v>
      </c>
      <c r="K891">
        <f t="shared" si="54"/>
        <v>3.8095238095238098</v>
      </c>
      <c r="L891" t="s">
        <v>1740</v>
      </c>
      <c r="M891" t="s">
        <v>3811</v>
      </c>
      <c r="N891" t="s">
        <v>1</v>
      </c>
      <c r="O891">
        <v>403715</v>
      </c>
      <c r="P891" t="s">
        <v>546</v>
      </c>
      <c r="Q891" t="s">
        <v>1755</v>
      </c>
      <c r="S891">
        <v>149.94999999999999</v>
      </c>
      <c r="T891">
        <v>5</v>
      </c>
      <c r="U891">
        <v>0</v>
      </c>
      <c r="V891">
        <v>14.994999999999999</v>
      </c>
      <c r="W891">
        <f t="shared" si="55"/>
        <v>26.990999999999996</v>
      </c>
      <c r="X891">
        <v>5</v>
      </c>
    </row>
    <row r="892" spans="1:24" x14ac:dyDescent="0.3">
      <c r="A892">
        <v>891</v>
      </c>
      <c r="B892" t="s">
        <v>2661</v>
      </c>
      <c r="C892" s="6">
        <v>45087</v>
      </c>
      <c r="D892" t="str">
        <f t="shared" si="52"/>
        <v>Jun</v>
      </c>
      <c r="E892" t="str">
        <f t="shared" si="53"/>
        <v>2023</v>
      </c>
      <c r="F892" t="s">
        <v>4</v>
      </c>
      <c r="G892" t="s">
        <v>195</v>
      </c>
      <c r="H892" t="s">
        <v>957</v>
      </c>
      <c r="I892">
        <v>240</v>
      </c>
      <c r="J892">
        <v>24</v>
      </c>
      <c r="K892">
        <f t="shared" si="54"/>
        <v>10</v>
      </c>
      <c r="L892" t="s">
        <v>1742</v>
      </c>
      <c r="M892" t="s">
        <v>3656</v>
      </c>
      <c r="N892" t="s">
        <v>1</v>
      </c>
      <c r="O892">
        <v>403715</v>
      </c>
      <c r="P892" t="s">
        <v>546</v>
      </c>
      <c r="Q892" t="s">
        <v>1770</v>
      </c>
      <c r="S892">
        <v>51.311999999999998</v>
      </c>
      <c r="T892">
        <v>3</v>
      </c>
      <c r="U892">
        <v>0.2</v>
      </c>
      <c r="V892">
        <v>18.6006</v>
      </c>
      <c r="W892">
        <f t="shared" si="55"/>
        <v>10.903799999999999</v>
      </c>
      <c r="X892">
        <v>2</v>
      </c>
    </row>
    <row r="893" spans="1:24" x14ac:dyDescent="0.3">
      <c r="A893">
        <v>892</v>
      </c>
      <c r="B893" t="s">
        <v>2662</v>
      </c>
      <c r="C893" s="6">
        <v>45088</v>
      </c>
      <c r="D893" t="str">
        <f t="shared" si="52"/>
        <v>Jun</v>
      </c>
      <c r="E893" t="str">
        <f t="shared" si="53"/>
        <v>2023</v>
      </c>
      <c r="F893" t="s">
        <v>5</v>
      </c>
      <c r="G893" t="s">
        <v>281</v>
      </c>
      <c r="H893" t="s">
        <v>1249</v>
      </c>
      <c r="I893">
        <v>240</v>
      </c>
      <c r="J893">
        <v>24</v>
      </c>
      <c r="K893">
        <f t="shared" si="54"/>
        <v>10</v>
      </c>
      <c r="L893" t="s">
        <v>1739</v>
      </c>
      <c r="M893" t="s">
        <v>3637</v>
      </c>
      <c r="N893" t="s">
        <v>1</v>
      </c>
      <c r="O893">
        <v>600126</v>
      </c>
      <c r="P893" t="s">
        <v>546</v>
      </c>
      <c r="Q893" t="s">
        <v>1776</v>
      </c>
      <c r="S893">
        <v>4.54</v>
      </c>
      <c r="T893">
        <v>1</v>
      </c>
      <c r="U893">
        <v>0</v>
      </c>
      <c r="V893">
        <v>2.0430000000000001</v>
      </c>
      <c r="W893">
        <f t="shared" si="55"/>
        <v>2.4969999999999999</v>
      </c>
      <c r="X893">
        <v>2</v>
      </c>
    </row>
    <row r="894" spans="1:24" x14ac:dyDescent="0.3">
      <c r="A894">
        <v>893</v>
      </c>
      <c r="B894" t="s">
        <v>2663</v>
      </c>
      <c r="C894" s="6">
        <v>45089</v>
      </c>
      <c r="D894" t="str">
        <f t="shared" si="52"/>
        <v>Jun</v>
      </c>
      <c r="E894" t="str">
        <f t="shared" si="53"/>
        <v>2023</v>
      </c>
      <c r="F894" t="s">
        <v>5</v>
      </c>
      <c r="G894" t="s">
        <v>281</v>
      </c>
      <c r="H894" t="s">
        <v>1250</v>
      </c>
      <c r="I894">
        <v>110</v>
      </c>
      <c r="J894">
        <v>10</v>
      </c>
      <c r="K894">
        <f t="shared" si="54"/>
        <v>9.0909090909090917</v>
      </c>
      <c r="L894" t="s">
        <v>1738</v>
      </c>
      <c r="M894" t="s">
        <v>3812</v>
      </c>
      <c r="N894" t="s">
        <v>1</v>
      </c>
      <c r="O894">
        <v>123106</v>
      </c>
      <c r="P894" t="s">
        <v>546</v>
      </c>
      <c r="Q894" t="s">
        <v>1768</v>
      </c>
      <c r="S894">
        <v>15.92</v>
      </c>
      <c r="T894">
        <v>4</v>
      </c>
      <c r="U894">
        <v>0</v>
      </c>
      <c r="V894">
        <v>5.4127999999999998</v>
      </c>
      <c r="W894">
        <f t="shared" si="55"/>
        <v>2.6268000000000002</v>
      </c>
      <c r="X894">
        <v>5</v>
      </c>
    </row>
    <row r="895" spans="1:24" x14ac:dyDescent="0.3">
      <c r="A895">
        <v>894</v>
      </c>
      <c r="B895" t="s">
        <v>2664</v>
      </c>
      <c r="C895" s="6">
        <v>45090</v>
      </c>
      <c r="D895" t="str">
        <f t="shared" si="52"/>
        <v>Jun</v>
      </c>
      <c r="E895" t="str">
        <f t="shared" si="53"/>
        <v>2023</v>
      </c>
      <c r="F895" t="s">
        <v>5</v>
      </c>
      <c r="G895" t="s">
        <v>281</v>
      </c>
      <c r="H895" t="s">
        <v>1251</v>
      </c>
      <c r="I895">
        <v>250</v>
      </c>
      <c r="J895">
        <v>16</v>
      </c>
      <c r="K895">
        <f t="shared" si="54"/>
        <v>6.4</v>
      </c>
      <c r="L895" t="s">
        <v>1737</v>
      </c>
      <c r="M895" t="s">
        <v>3813</v>
      </c>
      <c r="O895">
        <v>123106</v>
      </c>
      <c r="P895" t="s">
        <v>546</v>
      </c>
      <c r="Q895" t="s">
        <v>1759</v>
      </c>
      <c r="S895">
        <v>543.91999999999996</v>
      </c>
      <c r="T895">
        <v>8</v>
      </c>
      <c r="U895">
        <v>0</v>
      </c>
      <c r="V895">
        <v>135.97999999999999</v>
      </c>
      <c r="W895">
        <f t="shared" si="55"/>
        <v>50.992499999999993</v>
      </c>
      <c r="X895">
        <v>4</v>
      </c>
    </row>
    <row r="896" spans="1:24" x14ac:dyDescent="0.3">
      <c r="A896">
        <v>895</v>
      </c>
      <c r="B896" t="s">
        <v>2665</v>
      </c>
      <c r="C896" s="6">
        <v>45091</v>
      </c>
      <c r="D896" t="str">
        <f t="shared" si="52"/>
        <v>Jun</v>
      </c>
      <c r="E896" t="str">
        <f t="shared" si="53"/>
        <v>2023</v>
      </c>
      <c r="F896" t="s">
        <v>5</v>
      </c>
      <c r="G896" t="s">
        <v>338</v>
      </c>
      <c r="H896" t="s">
        <v>877</v>
      </c>
      <c r="I896">
        <v>160</v>
      </c>
      <c r="J896">
        <v>26</v>
      </c>
      <c r="K896">
        <f t="shared" si="54"/>
        <v>16.25</v>
      </c>
      <c r="L896" t="s">
        <v>1743</v>
      </c>
      <c r="M896" t="s">
        <v>3610</v>
      </c>
      <c r="N896" t="s">
        <v>1</v>
      </c>
      <c r="O896">
        <v>560064</v>
      </c>
      <c r="P896" t="s">
        <v>546</v>
      </c>
      <c r="Q896" t="s">
        <v>1769</v>
      </c>
      <c r="S896">
        <v>155.82</v>
      </c>
      <c r="T896">
        <v>7</v>
      </c>
      <c r="U896">
        <v>0</v>
      </c>
      <c r="V896">
        <v>42.071399999999997</v>
      </c>
      <c r="W896">
        <f t="shared" si="55"/>
        <v>16.2498</v>
      </c>
      <c r="X896">
        <v>4</v>
      </c>
    </row>
    <row r="897" spans="1:24" x14ac:dyDescent="0.3">
      <c r="A897">
        <v>896</v>
      </c>
      <c r="B897" t="s">
        <v>2666</v>
      </c>
      <c r="C897" s="6">
        <v>45092</v>
      </c>
      <c r="D897" t="str">
        <f t="shared" si="52"/>
        <v>Jun</v>
      </c>
      <c r="E897" t="str">
        <f t="shared" si="53"/>
        <v>2023</v>
      </c>
      <c r="F897" t="s">
        <v>5</v>
      </c>
      <c r="G897" t="s">
        <v>338</v>
      </c>
      <c r="H897" t="s">
        <v>1252</v>
      </c>
      <c r="I897">
        <v>110</v>
      </c>
      <c r="J897">
        <v>8</v>
      </c>
      <c r="K897">
        <f t="shared" si="54"/>
        <v>7.2727272727272725</v>
      </c>
      <c r="L897" t="s">
        <v>1738</v>
      </c>
      <c r="M897" t="s">
        <v>3814</v>
      </c>
      <c r="N897" t="s">
        <v>1</v>
      </c>
      <c r="O897">
        <v>125001</v>
      </c>
      <c r="P897" t="s">
        <v>546</v>
      </c>
      <c r="Q897" t="s">
        <v>1768</v>
      </c>
      <c r="S897">
        <v>70.007999999999996</v>
      </c>
      <c r="T897">
        <v>3</v>
      </c>
      <c r="U897">
        <v>0.2</v>
      </c>
      <c r="V897">
        <v>24.502800000000001</v>
      </c>
      <c r="W897">
        <f t="shared" si="55"/>
        <v>15.168399999999998</v>
      </c>
      <c r="X897">
        <v>5</v>
      </c>
    </row>
    <row r="898" spans="1:24" x14ac:dyDescent="0.3">
      <c r="A898">
        <v>897</v>
      </c>
      <c r="B898" t="s">
        <v>2667</v>
      </c>
      <c r="C898" s="6">
        <v>45093</v>
      </c>
      <c r="D898" t="str">
        <f t="shared" si="52"/>
        <v>Jun</v>
      </c>
      <c r="E898" t="str">
        <f t="shared" si="53"/>
        <v>2023</v>
      </c>
      <c r="F898" t="s">
        <v>3</v>
      </c>
      <c r="G898" t="s">
        <v>339</v>
      </c>
      <c r="H898" t="s">
        <v>1253</v>
      </c>
      <c r="I898">
        <v>160</v>
      </c>
      <c r="J898">
        <v>24</v>
      </c>
      <c r="K898">
        <f t="shared" si="54"/>
        <v>15</v>
      </c>
      <c r="L898" t="s">
        <v>1739</v>
      </c>
      <c r="M898" t="s">
        <v>3707</v>
      </c>
      <c r="N898" t="s">
        <v>1</v>
      </c>
      <c r="O898">
        <v>600028</v>
      </c>
      <c r="P898" t="s">
        <v>546</v>
      </c>
      <c r="Q898" t="s">
        <v>1763</v>
      </c>
      <c r="S898">
        <v>15.648</v>
      </c>
      <c r="T898">
        <v>2</v>
      </c>
      <c r="U898">
        <v>0.2</v>
      </c>
      <c r="V898">
        <v>5.0856000000000003</v>
      </c>
      <c r="W898">
        <f t="shared" si="55"/>
        <v>5.2812000000000001</v>
      </c>
      <c r="X898">
        <v>1</v>
      </c>
    </row>
    <row r="899" spans="1:24" x14ac:dyDescent="0.3">
      <c r="A899">
        <v>898</v>
      </c>
      <c r="B899" t="s">
        <v>2668</v>
      </c>
      <c r="C899" s="6">
        <v>45094</v>
      </c>
      <c r="D899" t="str">
        <f t="shared" ref="D899:D962" si="56">TEXT(C899,"Mmm")</f>
        <v>Jun</v>
      </c>
      <c r="E899" t="str">
        <f t="shared" ref="E899:E962" si="57">TEXT(C899,"YYYY")</f>
        <v>2023</v>
      </c>
      <c r="F899" t="s">
        <v>4</v>
      </c>
      <c r="G899" t="s">
        <v>340</v>
      </c>
      <c r="H899" t="s">
        <v>976</v>
      </c>
      <c r="I899">
        <v>220</v>
      </c>
      <c r="J899">
        <v>14</v>
      </c>
      <c r="K899">
        <f t="shared" ref="K899:K962" si="58">(J899/I899)*100</f>
        <v>6.3636363636363633</v>
      </c>
      <c r="L899" t="s">
        <v>1741</v>
      </c>
      <c r="M899" t="s">
        <v>3815</v>
      </c>
      <c r="O899">
        <v>410209</v>
      </c>
      <c r="P899" t="s">
        <v>546</v>
      </c>
      <c r="Q899" t="s">
        <v>1764</v>
      </c>
      <c r="R899" t="s">
        <v>2</v>
      </c>
      <c r="S899">
        <v>103.6</v>
      </c>
      <c r="T899">
        <v>7</v>
      </c>
      <c r="U899">
        <v>0</v>
      </c>
      <c r="V899">
        <v>51.8</v>
      </c>
      <c r="W899">
        <f t="shared" ref="W899:W962" si="59">(S899-V899)/T899</f>
        <v>7.3999999999999995</v>
      </c>
      <c r="X899">
        <v>3</v>
      </c>
    </row>
    <row r="900" spans="1:24" x14ac:dyDescent="0.3">
      <c r="A900">
        <v>899</v>
      </c>
      <c r="B900" t="s">
        <v>2669</v>
      </c>
      <c r="C900" s="6">
        <v>45095</v>
      </c>
      <c r="D900" t="str">
        <f t="shared" si="56"/>
        <v>Jun</v>
      </c>
      <c r="E900" t="str">
        <f t="shared" si="57"/>
        <v>2023</v>
      </c>
      <c r="F900" t="s">
        <v>3</v>
      </c>
      <c r="G900" t="s">
        <v>341</v>
      </c>
      <c r="H900" t="s">
        <v>1254</v>
      </c>
      <c r="I900">
        <v>170</v>
      </c>
      <c r="J900">
        <v>14</v>
      </c>
      <c r="K900">
        <f t="shared" si="58"/>
        <v>8.235294117647058</v>
      </c>
      <c r="L900" t="s">
        <v>1736</v>
      </c>
      <c r="M900" t="s">
        <v>3653</v>
      </c>
      <c r="N900" t="s">
        <v>1</v>
      </c>
      <c r="O900">
        <v>133203</v>
      </c>
      <c r="P900" t="s">
        <v>546</v>
      </c>
      <c r="Q900" t="s">
        <v>1775</v>
      </c>
      <c r="R900" t="s">
        <v>2</v>
      </c>
      <c r="S900">
        <v>46.96</v>
      </c>
      <c r="T900">
        <v>8</v>
      </c>
      <c r="U900">
        <v>0</v>
      </c>
      <c r="V900">
        <v>22.540800000000001</v>
      </c>
      <c r="W900">
        <f t="shared" si="59"/>
        <v>3.0524</v>
      </c>
      <c r="X900">
        <v>3</v>
      </c>
    </row>
    <row r="901" spans="1:24" x14ac:dyDescent="0.3">
      <c r="A901">
        <v>900</v>
      </c>
      <c r="B901" t="s">
        <v>2670</v>
      </c>
      <c r="C901" s="6">
        <v>45096</v>
      </c>
      <c r="D901" t="str">
        <f t="shared" si="56"/>
        <v>Jun</v>
      </c>
      <c r="E901" t="str">
        <f t="shared" si="57"/>
        <v>2023</v>
      </c>
      <c r="F901" t="s">
        <v>5</v>
      </c>
      <c r="G901" t="s">
        <v>342</v>
      </c>
      <c r="H901" t="s">
        <v>1255</v>
      </c>
      <c r="I901">
        <v>210</v>
      </c>
      <c r="J901">
        <v>10</v>
      </c>
      <c r="K901">
        <f t="shared" si="58"/>
        <v>4.7619047619047619</v>
      </c>
      <c r="L901" t="s">
        <v>1744</v>
      </c>
      <c r="M901" t="s">
        <v>3585</v>
      </c>
      <c r="N901" t="s">
        <v>1</v>
      </c>
      <c r="O901">
        <v>560079</v>
      </c>
      <c r="P901" t="s">
        <v>546</v>
      </c>
      <c r="Q901" t="s">
        <v>1765</v>
      </c>
      <c r="S901">
        <v>8.9039999999999999</v>
      </c>
      <c r="T901">
        <v>2</v>
      </c>
      <c r="U901">
        <v>0.7</v>
      </c>
      <c r="V901">
        <v>-6.5296000000000003</v>
      </c>
      <c r="W901">
        <f t="shared" si="59"/>
        <v>7.7168000000000001</v>
      </c>
      <c r="X901">
        <v>5</v>
      </c>
    </row>
    <row r="902" spans="1:24" x14ac:dyDescent="0.3">
      <c r="A902">
        <v>901</v>
      </c>
      <c r="B902" t="s">
        <v>2671</v>
      </c>
      <c r="C902" s="6">
        <v>45097</v>
      </c>
      <c r="D902" t="str">
        <f t="shared" si="56"/>
        <v>Jun</v>
      </c>
      <c r="E902" t="str">
        <f t="shared" si="57"/>
        <v>2023</v>
      </c>
      <c r="F902" t="s">
        <v>5</v>
      </c>
      <c r="G902" t="s">
        <v>150</v>
      </c>
      <c r="H902" t="s">
        <v>1256</v>
      </c>
      <c r="I902">
        <v>220</v>
      </c>
      <c r="J902">
        <v>12</v>
      </c>
      <c r="K902">
        <f t="shared" si="58"/>
        <v>5.4545454545454541</v>
      </c>
      <c r="L902" t="s">
        <v>1740</v>
      </c>
      <c r="M902" t="s">
        <v>3714</v>
      </c>
      <c r="N902" t="s">
        <v>1</v>
      </c>
      <c r="O902">
        <v>121003</v>
      </c>
      <c r="P902" t="s">
        <v>546</v>
      </c>
      <c r="Q902" t="s">
        <v>1765</v>
      </c>
      <c r="S902">
        <v>10.44</v>
      </c>
      <c r="T902">
        <v>5</v>
      </c>
      <c r="U902">
        <v>0.2</v>
      </c>
      <c r="V902">
        <v>3.3929999999999998</v>
      </c>
      <c r="W902">
        <f t="shared" si="59"/>
        <v>1.4094</v>
      </c>
      <c r="X902">
        <v>3</v>
      </c>
    </row>
    <row r="903" spans="1:24" x14ac:dyDescent="0.3">
      <c r="A903">
        <v>902</v>
      </c>
      <c r="B903" t="s">
        <v>2672</v>
      </c>
      <c r="C903" s="6">
        <v>45098</v>
      </c>
      <c r="D903" t="str">
        <f t="shared" si="56"/>
        <v>Jun</v>
      </c>
      <c r="E903" t="str">
        <f t="shared" si="57"/>
        <v>2023</v>
      </c>
      <c r="F903" t="s">
        <v>5</v>
      </c>
      <c r="G903" t="s">
        <v>150</v>
      </c>
      <c r="H903" t="s">
        <v>1257</v>
      </c>
      <c r="I903">
        <v>100</v>
      </c>
      <c r="J903">
        <v>12</v>
      </c>
      <c r="K903">
        <f t="shared" si="58"/>
        <v>12</v>
      </c>
      <c r="L903" t="s">
        <v>1742</v>
      </c>
      <c r="M903" t="s">
        <v>3816</v>
      </c>
      <c r="O903">
        <v>110096</v>
      </c>
      <c r="P903" t="s">
        <v>546</v>
      </c>
      <c r="Q903" t="s">
        <v>1771</v>
      </c>
      <c r="S903">
        <v>18.335999999999999</v>
      </c>
      <c r="T903">
        <v>4</v>
      </c>
      <c r="U903">
        <v>0.8</v>
      </c>
      <c r="V903">
        <v>-32.088000000000001</v>
      </c>
      <c r="W903">
        <f t="shared" si="59"/>
        <v>12.606</v>
      </c>
      <c r="X903">
        <v>2</v>
      </c>
    </row>
    <row r="904" spans="1:24" x14ac:dyDescent="0.3">
      <c r="A904">
        <v>903</v>
      </c>
      <c r="B904" t="s">
        <v>2673</v>
      </c>
      <c r="C904" s="6">
        <v>45099</v>
      </c>
      <c r="D904" t="str">
        <f t="shared" si="56"/>
        <v>Jun</v>
      </c>
      <c r="E904" t="str">
        <f t="shared" si="57"/>
        <v>2023</v>
      </c>
      <c r="F904" t="s">
        <v>5</v>
      </c>
      <c r="G904" t="s">
        <v>79</v>
      </c>
      <c r="H904" t="s">
        <v>696</v>
      </c>
      <c r="I904">
        <v>210</v>
      </c>
      <c r="J904">
        <v>30</v>
      </c>
      <c r="K904">
        <f t="shared" si="58"/>
        <v>14.285714285714285</v>
      </c>
      <c r="L904" t="s">
        <v>1739</v>
      </c>
      <c r="M904" t="s">
        <v>3657</v>
      </c>
      <c r="N904" t="s">
        <v>1</v>
      </c>
      <c r="O904">
        <v>411044</v>
      </c>
      <c r="P904" t="s">
        <v>546</v>
      </c>
      <c r="Q904" t="s">
        <v>1759</v>
      </c>
      <c r="R904" t="s">
        <v>2</v>
      </c>
      <c r="S904">
        <v>323.976</v>
      </c>
      <c r="T904">
        <v>3</v>
      </c>
      <c r="U904">
        <v>0.2</v>
      </c>
      <c r="V904">
        <v>20.2485</v>
      </c>
      <c r="W904">
        <f t="shared" si="59"/>
        <v>101.24250000000001</v>
      </c>
      <c r="X904">
        <v>2</v>
      </c>
    </row>
    <row r="905" spans="1:24" x14ac:dyDescent="0.3">
      <c r="A905">
        <v>904</v>
      </c>
      <c r="B905" t="s">
        <v>2674</v>
      </c>
      <c r="C905" s="6">
        <v>45100</v>
      </c>
      <c r="D905" t="str">
        <f t="shared" si="56"/>
        <v>Jun</v>
      </c>
      <c r="E905" t="str">
        <f t="shared" si="57"/>
        <v>2023</v>
      </c>
      <c r="F905" t="s">
        <v>4</v>
      </c>
      <c r="G905" t="s">
        <v>102</v>
      </c>
      <c r="H905" t="s">
        <v>1258</v>
      </c>
      <c r="I905">
        <v>160</v>
      </c>
      <c r="J905">
        <v>20</v>
      </c>
      <c r="K905">
        <f t="shared" si="58"/>
        <v>12.5</v>
      </c>
      <c r="L905" t="s">
        <v>1738</v>
      </c>
      <c r="M905" t="s">
        <v>3817</v>
      </c>
      <c r="N905" t="s">
        <v>1</v>
      </c>
      <c r="O905">
        <v>560043</v>
      </c>
      <c r="P905" t="s">
        <v>546</v>
      </c>
      <c r="Q905" t="s">
        <v>1776</v>
      </c>
      <c r="S905">
        <v>20.04</v>
      </c>
      <c r="T905">
        <v>3</v>
      </c>
      <c r="U905">
        <v>0</v>
      </c>
      <c r="V905">
        <v>9.6191999999999993</v>
      </c>
      <c r="W905">
        <f t="shared" si="59"/>
        <v>3.4735999999999998</v>
      </c>
      <c r="X905">
        <v>2</v>
      </c>
    </row>
    <row r="906" spans="1:24" x14ac:dyDescent="0.3">
      <c r="A906">
        <v>905</v>
      </c>
      <c r="B906" t="s">
        <v>2675</v>
      </c>
      <c r="C906" s="6">
        <v>45101</v>
      </c>
      <c r="D906" t="str">
        <f t="shared" si="56"/>
        <v>Jun</v>
      </c>
      <c r="E906" t="str">
        <f t="shared" si="57"/>
        <v>2023</v>
      </c>
      <c r="F906" t="s">
        <v>4</v>
      </c>
      <c r="G906" t="s">
        <v>102</v>
      </c>
      <c r="H906" t="s">
        <v>1118</v>
      </c>
      <c r="I906">
        <v>220</v>
      </c>
      <c r="J906">
        <v>8</v>
      </c>
      <c r="K906">
        <f t="shared" si="58"/>
        <v>3.6363636363636362</v>
      </c>
      <c r="L906" t="s">
        <v>1737</v>
      </c>
      <c r="M906" t="s">
        <v>3818</v>
      </c>
      <c r="N906" t="s">
        <v>1</v>
      </c>
      <c r="O906">
        <v>560043</v>
      </c>
      <c r="P906" t="s">
        <v>546</v>
      </c>
      <c r="Q906" t="s">
        <v>1771</v>
      </c>
      <c r="S906">
        <v>64.959999999999994</v>
      </c>
      <c r="T906">
        <v>2</v>
      </c>
      <c r="U906">
        <v>0</v>
      </c>
      <c r="V906">
        <v>2.5983999999999998</v>
      </c>
      <c r="W906">
        <f t="shared" si="59"/>
        <v>31.180799999999998</v>
      </c>
      <c r="X906">
        <v>3</v>
      </c>
    </row>
    <row r="907" spans="1:24" x14ac:dyDescent="0.3">
      <c r="A907">
        <v>906</v>
      </c>
      <c r="B907" t="s">
        <v>2676</v>
      </c>
      <c r="C907" s="6">
        <v>45102</v>
      </c>
      <c r="D907" t="str">
        <f t="shared" si="56"/>
        <v>Jun</v>
      </c>
      <c r="E907" t="str">
        <f t="shared" si="57"/>
        <v>2023</v>
      </c>
      <c r="F907" t="s">
        <v>4</v>
      </c>
      <c r="G907" t="s">
        <v>102</v>
      </c>
      <c r="H907" t="s">
        <v>1259</v>
      </c>
      <c r="I907">
        <v>240</v>
      </c>
      <c r="J907">
        <v>6</v>
      </c>
      <c r="K907">
        <f t="shared" si="58"/>
        <v>2.5</v>
      </c>
      <c r="L907" t="s">
        <v>1743</v>
      </c>
      <c r="M907" t="s">
        <v>3819</v>
      </c>
      <c r="N907" t="s">
        <v>1</v>
      </c>
      <c r="O907">
        <v>560061</v>
      </c>
      <c r="P907" t="s">
        <v>546</v>
      </c>
      <c r="Q907" t="s">
        <v>1776</v>
      </c>
      <c r="S907">
        <v>12.96</v>
      </c>
      <c r="T907">
        <v>2</v>
      </c>
      <c r="U907">
        <v>0</v>
      </c>
      <c r="V907">
        <v>6.2207999999999997</v>
      </c>
      <c r="W907">
        <f t="shared" si="59"/>
        <v>3.3696000000000006</v>
      </c>
      <c r="X907">
        <v>4</v>
      </c>
    </row>
    <row r="908" spans="1:24" x14ac:dyDescent="0.3">
      <c r="A908">
        <v>907</v>
      </c>
      <c r="B908" t="s">
        <v>2677</v>
      </c>
      <c r="C908" s="6">
        <v>45103</v>
      </c>
      <c r="D908" t="str">
        <f t="shared" si="56"/>
        <v>Jun</v>
      </c>
      <c r="E908" t="str">
        <f t="shared" si="57"/>
        <v>2023</v>
      </c>
      <c r="F908" t="s">
        <v>4</v>
      </c>
      <c r="G908" t="s">
        <v>29</v>
      </c>
      <c r="H908" t="s">
        <v>1260</v>
      </c>
      <c r="I908">
        <v>220</v>
      </c>
      <c r="J908">
        <v>22</v>
      </c>
      <c r="K908">
        <f t="shared" si="58"/>
        <v>10</v>
      </c>
      <c r="L908" t="s">
        <v>1738</v>
      </c>
      <c r="M908" t="s">
        <v>3662</v>
      </c>
      <c r="N908" t="s">
        <v>1</v>
      </c>
      <c r="O908">
        <v>560061</v>
      </c>
      <c r="P908" t="s">
        <v>546</v>
      </c>
      <c r="Q908" t="s">
        <v>1769</v>
      </c>
      <c r="S908">
        <v>323.13600000000002</v>
      </c>
      <c r="T908">
        <v>4</v>
      </c>
      <c r="U908">
        <v>0.2</v>
      </c>
      <c r="V908">
        <v>12.117599999999999</v>
      </c>
      <c r="W908">
        <f t="shared" si="59"/>
        <v>77.754600000000011</v>
      </c>
      <c r="X908">
        <v>3</v>
      </c>
    </row>
    <row r="909" spans="1:24" x14ac:dyDescent="0.3">
      <c r="A909">
        <v>908</v>
      </c>
      <c r="B909" t="s">
        <v>2678</v>
      </c>
      <c r="C909" s="6">
        <v>45104</v>
      </c>
      <c r="D909" t="str">
        <f t="shared" si="56"/>
        <v>Jun</v>
      </c>
      <c r="E909" t="str">
        <f t="shared" si="57"/>
        <v>2023</v>
      </c>
      <c r="F909" t="s">
        <v>4</v>
      </c>
      <c r="G909" t="s">
        <v>29</v>
      </c>
      <c r="H909" t="s">
        <v>1261</v>
      </c>
      <c r="I909">
        <v>190</v>
      </c>
      <c r="J909">
        <v>24</v>
      </c>
      <c r="K909">
        <f t="shared" si="58"/>
        <v>12.631578947368421</v>
      </c>
      <c r="L909" t="s">
        <v>1739</v>
      </c>
      <c r="M909" t="s">
        <v>3617</v>
      </c>
      <c r="N909" t="s">
        <v>1</v>
      </c>
      <c r="O909">
        <v>400093</v>
      </c>
      <c r="P909" t="s">
        <v>546</v>
      </c>
      <c r="Q909" t="s">
        <v>1761</v>
      </c>
      <c r="S909">
        <v>90.93</v>
      </c>
      <c r="T909">
        <v>7</v>
      </c>
      <c r="U909">
        <v>0</v>
      </c>
      <c r="V909">
        <v>2.7279</v>
      </c>
      <c r="W909">
        <f t="shared" si="59"/>
        <v>12.600300000000001</v>
      </c>
      <c r="X909">
        <v>5</v>
      </c>
    </row>
    <row r="910" spans="1:24" x14ac:dyDescent="0.3">
      <c r="A910">
        <v>909</v>
      </c>
      <c r="B910" t="s">
        <v>2679</v>
      </c>
      <c r="C910" s="6">
        <v>45105</v>
      </c>
      <c r="D910" t="str">
        <f t="shared" si="56"/>
        <v>Jun</v>
      </c>
      <c r="E910" t="str">
        <f t="shared" si="57"/>
        <v>2023</v>
      </c>
      <c r="F910" t="s">
        <v>4</v>
      </c>
      <c r="G910" t="s">
        <v>29</v>
      </c>
      <c r="H910" t="s">
        <v>1262</v>
      </c>
      <c r="I910">
        <v>160</v>
      </c>
      <c r="J910">
        <v>18</v>
      </c>
      <c r="K910">
        <f t="shared" si="58"/>
        <v>11.25</v>
      </c>
      <c r="L910" t="s">
        <v>1741</v>
      </c>
      <c r="M910" t="s">
        <v>3820</v>
      </c>
      <c r="N910" t="s">
        <v>1</v>
      </c>
      <c r="O910">
        <v>411030</v>
      </c>
      <c r="P910" t="s">
        <v>546</v>
      </c>
      <c r="Q910" t="s">
        <v>1774</v>
      </c>
      <c r="S910">
        <v>52.776000000000003</v>
      </c>
      <c r="T910">
        <v>3</v>
      </c>
      <c r="U910">
        <v>0.2</v>
      </c>
      <c r="V910">
        <v>19.791</v>
      </c>
      <c r="W910">
        <f t="shared" si="59"/>
        <v>10.994999999999999</v>
      </c>
      <c r="X910">
        <v>5</v>
      </c>
    </row>
    <row r="911" spans="1:24" x14ac:dyDescent="0.3">
      <c r="A911">
        <v>910</v>
      </c>
      <c r="B911" t="s">
        <v>2680</v>
      </c>
      <c r="C911" s="6">
        <v>45106</v>
      </c>
      <c r="D911" t="str">
        <f t="shared" si="56"/>
        <v>Jun</v>
      </c>
      <c r="E911" t="str">
        <f t="shared" si="57"/>
        <v>2023</v>
      </c>
      <c r="F911" t="s">
        <v>4</v>
      </c>
      <c r="G911" t="s">
        <v>343</v>
      </c>
      <c r="H911" t="s">
        <v>1263</v>
      </c>
      <c r="I911">
        <v>180</v>
      </c>
      <c r="J911">
        <v>24</v>
      </c>
      <c r="K911">
        <f t="shared" si="58"/>
        <v>13.333333333333334</v>
      </c>
      <c r="L911" t="s">
        <v>1736</v>
      </c>
      <c r="M911" t="s">
        <v>3821</v>
      </c>
      <c r="N911" t="s">
        <v>1</v>
      </c>
      <c r="O911">
        <v>431203</v>
      </c>
      <c r="P911" t="s">
        <v>546</v>
      </c>
      <c r="Q911" t="s">
        <v>1766</v>
      </c>
      <c r="S911">
        <v>1199.8</v>
      </c>
      <c r="T911">
        <v>4</v>
      </c>
      <c r="U911">
        <v>0</v>
      </c>
      <c r="V911">
        <v>323.94600000000003</v>
      </c>
      <c r="W911">
        <f t="shared" si="59"/>
        <v>218.96349999999998</v>
      </c>
      <c r="X911">
        <v>5</v>
      </c>
    </row>
    <row r="912" spans="1:24" x14ac:dyDescent="0.3">
      <c r="A912">
        <v>911</v>
      </c>
      <c r="B912" t="s">
        <v>2681</v>
      </c>
      <c r="C912" s="6">
        <v>45107</v>
      </c>
      <c r="D912" t="str">
        <f t="shared" si="56"/>
        <v>Jun</v>
      </c>
      <c r="E912" t="str">
        <f t="shared" si="57"/>
        <v>2023</v>
      </c>
      <c r="F912" t="s">
        <v>4</v>
      </c>
      <c r="G912" t="s">
        <v>343</v>
      </c>
      <c r="H912" t="s">
        <v>1264</v>
      </c>
      <c r="I912">
        <v>240</v>
      </c>
      <c r="J912">
        <v>12</v>
      </c>
      <c r="K912">
        <f t="shared" si="58"/>
        <v>5</v>
      </c>
      <c r="L912" t="s">
        <v>1744</v>
      </c>
      <c r="M912" t="s">
        <v>3822</v>
      </c>
      <c r="N912" t="s">
        <v>1</v>
      </c>
      <c r="O912">
        <v>580030</v>
      </c>
      <c r="P912" t="s">
        <v>546</v>
      </c>
      <c r="Q912" t="s">
        <v>1768</v>
      </c>
      <c r="S912">
        <v>1928.78</v>
      </c>
      <c r="T912">
        <v>7</v>
      </c>
      <c r="U912">
        <v>0</v>
      </c>
      <c r="V912">
        <v>829.37540000000001</v>
      </c>
      <c r="W912">
        <f t="shared" si="59"/>
        <v>157.05779999999999</v>
      </c>
      <c r="X912">
        <v>1</v>
      </c>
    </row>
    <row r="913" spans="1:24" x14ac:dyDescent="0.3">
      <c r="A913">
        <v>912</v>
      </c>
      <c r="B913" t="s">
        <v>2682</v>
      </c>
      <c r="C913" s="6">
        <v>45108</v>
      </c>
      <c r="D913" t="str">
        <f t="shared" si="56"/>
        <v>Jul</v>
      </c>
      <c r="E913" t="str">
        <f t="shared" si="57"/>
        <v>2023</v>
      </c>
      <c r="F913" t="s">
        <v>4</v>
      </c>
      <c r="G913" t="s">
        <v>343</v>
      </c>
      <c r="H913" t="s">
        <v>1265</v>
      </c>
      <c r="I913">
        <v>130</v>
      </c>
      <c r="J913">
        <v>30</v>
      </c>
      <c r="K913">
        <f t="shared" si="58"/>
        <v>23.076923076923077</v>
      </c>
      <c r="L913" t="s">
        <v>1740</v>
      </c>
      <c r="M913" t="s">
        <v>3823</v>
      </c>
      <c r="N913" t="s">
        <v>1</v>
      </c>
      <c r="O913">
        <v>243601</v>
      </c>
      <c r="P913" t="s">
        <v>546</v>
      </c>
      <c r="Q913" t="s">
        <v>1761</v>
      </c>
      <c r="S913">
        <v>352.38</v>
      </c>
      <c r="T913">
        <v>2</v>
      </c>
      <c r="U913">
        <v>0</v>
      </c>
      <c r="V913">
        <v>81.047399999999996</v>
      </c>
      <c r="W913">
        <f t="shared" si="59"/>
        <v>135.66630000000001</v>
      </c>
      <c r="X913">
        <v>5</v>
      </c>
    </row>
    <row r="914" spans="1:24" x14ac:dyDescent="0.3">
      <c r="A914">
        <v>913</v>
      </c>
      <c r="B914" t="s">
        <v>2683</v>
      </c>
      <c r="C914" s="6">
        <v>45109</v>
      </c>
      <c r="D914" t="str">
        <f t="shared" si="56"/>
        <v>Jul</v>
      </c>
      <c r="E914" t="str">
        <f t="shared" si="57"/>
        <v>2023</v>
      </c>
      <c r="F914" t="s">
        <v>4</v>
      </c>
      <c r="G914" t="s">
        <v>344</v>
      </c>
      <c r="H914" t="s">
        <v>892</v>
      </c>
      <c r="I914">
        <v>150</v>
      </c>
      <c r="J914">
        <v>24</v>
      </c>
      <c r="K914">
        <f t="shared" si="58"/>
        <v>16</v>
      </c>
      <c r="L914" t="s">
        <v>1742</v>
      </c>
      <c r="M914" t="s">
        <v>3687</v>
      </c>
      <c r="N914" t="s">
        <v>1</v>
      </c>
      <c r="O914">
        <v>737102</v>
      </c>
      <c r="P914" t="s">
        <v>546</v>
      </c>
      <c r="Q914" t="s">
        <v>1764</v>
      </c>
      <c r="S914">
        <v>22.2</v>
      </c>
      <c r="T914">
        <v>6</v>
      </c>
      <c r="U914">
        <v>0</v>
      </c>
      <c r="V914">
        <v>9.1020000000000003</v>
      </c>
      <c r="W914">
        <f t="shared" si="59"/>
        <v>2.1829999999999998</v>
      </c>
      <c r="X914">
        <v>3</v>
      </c>
    </row>
    <row r="915" spans="1:24" x14ac:dyDescent="0.3">
      <c r="A915">
        <v>914</v>
      </c>
      <c r="B915" t="s">
        <v>2684</v>
      </c>
      <c r="C915" s="6">
        <v>45110</v>
      </c>
      <c r="D915" t="str">
        <f t="shared" si="56"/>
        <v>Jul</v>
      </c>
      <c r="E915" t="str">
        <f t="shared" si="57"/>
        <v>2023</v>
      </c>
      <c r="F915" t="s">
        <v>5</v>
      </c>
      <c r="G915" t="s">
        <v>319</v>
      </c>
      <c r="H915" t="s">
        <v>814</v>
      </c>
      <c r="I915">
        <v>220</v>
      </c>
      <c r="J915">
        <v>24</v>
      </c>
      <c r="K915">
        <f t="shared" si="58"/>
        <v>10.909090909090908</v>
      </c>
      <c r="L915" t="s">
        <v>1739</v>
      </c>
      <c r="M915" t="s">
        <v>3608</v>
      </c>
      <c r="N915" t="s">
        <v>1</v>
      </c>
      <c r="O915">
        <v>400050</v>
      </c>
      <c r="P915" t="s">
        <v>546</v>
      </c>
      <c r="Q915" t="s">
        <v>1772</v>
      </c>
      <c r="S915">
        <v>46.94</v>
      </c>
      <c r="T915">
        <v>1</v>
      </c>
      <c r="U915">
        <v>0</v>
      </c>
      <c r="V915">
        <v>19.2454</v>
      </c>
      <c r="W915">
        <f t="shared" si="59"/>
        <v>27.694599999999998</v>
      </c>
      <c r="X915">
        <v>3</v>
      </c>
    </row>
    <row r="916" spans="1:24" x14ac:dyDescent="0.3">
      <c r="A916">
        <v>915</v>
      </c>
      <c r="B916" t="s">
        <v>2685</v>
      </c>
      <c r="C916" s="6">
        <v>45111</v>
      </c>
      <c r="D916" t="str">
        <f t="shared" si="56"/>
        <v>Jul</v>
      </c>
      <c r="E916" t="str">
        <f t="shared" si="57"/>
        <v>2023</v>
      </c>
      <c r="F916" t="s">
        <v>5</v>
      </c>
      <c r="G916" t="s">
        <v>319</v>
      </c>
      <c r="H916" t="s">
        <v>951</v>
      </c>
      <c r="I916">
        <v>150</v>
      </c>
      <c r="J916">
        <v>24</v>
      </c>
      <c r="K916">
        <f t="shared" si="58"/>
        <v>16</v>
      </c>
      <c r="L916" t="s">
        <v>1738</v>
      </c>
      <c r="M916" t="s">
        <v>3786</v>
      </c>
      <c r="N916" t="s">
        <v>1</v>
      </c>
      <c r="O916">
        <v>401208</v>
      </c>
      <c r="P916" t="s">
        <v>546</v>
      </c>
      <c r="Q916" t="s">
        <v>1775</v>
      </c>
      <c r="S916">
        <v>143.72999999999999</v>
      </c>
      <c r="T916">
        <v>9</v>
      </c>
      <c r="U916">
        <v>0</v>
      </c>
      <c r="V916">
        <v>56.054699999999997</v>
      </c>
      <c r="W916">
        <f t="shared" si="59"/>
        <v>9.7416999999999998</v>
      </c>
      <c r="X916">
        <v>5</v>
      </c>
    </row>
    <row r="917" spans="1:24" x14ac:dyDescent="0.3">
      <c r="A917">
        <v>916</v>
      </c>
      <c r="B917" t="s">
        <v>2686</v>
      </c>
      <c r="C917" s="6">
        <v>45112</v>
      </c>
      <c r="D917" t="str">
        <f t="shared" si="56"/>
        <v>Jul</v>
      </c>
      <c r="E917" t="str">
        <f t="shared" si="57"/>
        <v>2023</v>
      </c>
      <c r="F917" t="s">
        <v>4</v>
      </c>
      <c r="G917" t="s">
        <v>133</v>
      </c>
      <c r="H917" t="s">
        <v>1266</v>
      </c>
      <c r="I917">
        <v>100</v>
      </c>
      <c r="J917">
        <v>26</v>
      </c>
      <c r="K917">
        <f t="shared" si="58"/>
        <v>26</v>
      </c>
      <c r="L917" t="s">
        <v>1743</v>
      </c>
      <c r="M917" t="s">
        <v>3690</v>
      </c>
      <c r="N917" t="s">
        <v>1</v>
      </c>
      <c r="O917">
        <v>751003</v>
      </c>
      <c r="P917" t="s">
        <v>546</v>
      </c>
      <c r="Q917" t="s">
        <v>1755</v>
      </c>
      <c r="S917">
        <v>99.918000000000006</v>
      </c>
      <c r="T917">
        <v>2</v>
      </c>
      <c r="U917">
        <v>0.3</v>
      </c>
      <c r="V917">
        <v>-18.5562</v>
      </c>
      <c r="W917">
        <f t="shared" si="59"/>
        <v>59.237100000000005</v>
      </c>
      <c r="X917">
        <v>2</v>
      </c>
    </row>
    <row r="918" spans="1:24" x14ac:dyDescent="0.3">
      <c r="A918">
        <v>917</v>
      </c>
      <c r="B918" t="s">
        <v>2687</v>
      </c>
      <c r="C918" s="6">
        <v>45113</v>
      </c>
      <c r="D918" t="str">
        <f t="shared" si="56"/>
        <v>Jul</v>
      </c>
      <c r="E918" t="str">
        <f t="shared" si="57"/>
        <v>2023</v>
      </c>
      <c r="F918" t="s">
        <v>4</v>
      </c>
      <c r="G918" t="s">
        <v>133</v>
      </c>
      <c r="H918" t="s">
        <v>1010</v>
      </c>
      <c r="I918">
        <v>150</v>
      </c>
      <c r="J918">
        <v>6</v>
      </c>
      <c r="K918">
        <f t="shared" si="58"/>
        <v>4</v>
      </c>
      <c r="L918" t="s">
        <v>1737</v>
      </c>
      <c r="M918" t="s">
        <v>3824</v>
      </c>
      <c r="N918" t="s">
        <v>1</v>
      </c>
      <c r="O918">
        <v>560082</v>
      </c>
      <c r="P918" t="s">
        <v>546</v>
      </c>
      <c r="Q918" t="s">
        <v>1759</v>
      </c>
      <c r="S918">
        <v>797.94399999999996</v>
      </c>
      <c r="T918">
        <v>4</v>
      </c>
      <c r="U918">
        <v>0.3</v>
      </c>
      <c r="V918">
        <v>-56.996000000000002</v>
      </c>
      <c r="W918">
        <f t="shared" si="59"/>
        <v>213.73499999999999</v>
      </c>
      <c r="X918">
        <v>4</v>
      </c>
    </row>
    <row r="919" spans="1:24" x14ac:dyDescent="0.3">
      <c r="A919">
        <v>918</v>
      </c>
      <c r="B919" t="s">
        <v>2688</v>
      </c>
      <c r="C919" s="6">
        <v>45114</v>
      </c>
      <c r="D919" t="str">
        <f t="shared" si="56"/>
        <v>Jul</v>
      </c>
      <c r="E919" t="str">
        <f t="shared" si="57"/>
        <v>2023</v>
      </c>
      <c r="F919" t="s">
        <v>4</v>
      </c>
      <c r="G919" t="s">
        <v>133</v>
      </c>
      <c r="H919" t="s">
        <v>823</v>
      </c>
      <c r="I919">
        <v>230</v>
      </c>
      <c r="J919">
        <v>16</v>
      </c>
      <c r="K919">
        <f t="shared" si="58"/>
        <v>6.9565217391304346</v>
      </c>
      <c r="L919" t="s">
        <v>1741</v>
      </c>
      <c r="M919" t="s">
        <v>3825</v>
      </c>
      <c r="N919" t="s">
        <v>1</v>
      </c>
      <c r="O919">
        <v>421003</v>
      </c>
      <c r="P919" t="s">
        <v>546</v>
      </c>
      <c r="Q919" t="s">
        <v>1762</v>
      </c>
      <c r="S919">
        <v>8.5679999999999996</v>
      </c>
      <c r="T919">
        <v>3</v>
      </c>
      <c r="U919">
        <v>0.8</v>
      </c>
      <c r="V919">
        <v>-14.5656</v>
      </c>
      <c r="W919">
        <f t="shared" si="59"/>
        <v>7.7112000000000007</v>
      </c>
      <c r="X919">
        <v>2</v>
      </c>
    </row>
    <row r="920" spans="1:24" x14ac:dyDescent="0.3">
      <c r="A920">
        <v>919</v>
      </c>
      <c r="B920" t="s">
        <v>2689</v>
      </c>
      <c r="C920" s="6">
        <v>45115</v>
      </c>
      <c r="D920" t="str">
        <f t="shared" si="56"/>
        <v>Jul</v>
      </c>
      <c r="E920" t="str">
        <f t="shared" si="57"/>
        <v>2023</v>
      </c>
      <c r="F920" t="s">
        <v>4</v>
      </c>
      <c r="G920" t="s">
        <v>345</v>
      </c>
      <c r="H920" t="s">
        <v>1180</v>
      </c>
      <c r="I920">
        <v>130</v>
      </c>
      <c r="J920">
        <v>30</v>
      </c>
      <c r="K920">
        <f t="shared" si="58"/>
        <v>23.076923076923077</v>
      </c>
      <c r="L920" t="s">
        <v>1736</v>
      </c>
      <c r="M920" t="s">
        <v>3644</v>
      </c>
      <c r="N920" t="s">
        <v>1</v>
      </c>
      <c r="O920">
        <v>110045</v>
      </c>
      <c r="P920" t="s">
        <v>546</v>
      </c>
      <c r="Q920" t="s">
        <v>1759</v>
      </c>
      <c r="S920">
        <v>149.352</v>
      </c>
      <c r="T920">
        <v>3</v>
      </c>
      <c r="U920">
        <v>0.2</v>
      </c>
      <c r="V920">
        <v>50.406300000000002</v>
      </c>
      <c r="W920">
        <f t="shared" si="59"/>
        <v>32.981900000000003</v>
      </c>
      <c r="X920">
        <v>1</v>
      </c>
    </row>
    <row r="921" spans="1:24" x14ac:dyDescent="0.3">
      <c r="A921">
        <v>920</v>
      </c>
      <c r="B921" t="s">
        <v>2690</v>
      </c>
      <c r="C921" s="6">
        <v>45116</v>
      </c>
      <c r="D921" t="str">
        <f t="shared" si="56"/>
        <v>Jul</v>
      </c>
      <c r="E921" t="str">
        <f t="shared" si="57"/>
        <v>2023</v>
      </c>
      <c r="F921" t="s">
        <v>4</v>
      </c>
      <c r="G921" t="s">
        <v>345</v>
      </c>
      <c r="H921" t="s">
        <v>1267</v>
      </c>
      <c r="I921">
        <v>250</v>
      </c>
      <c r="J921">
        <v>16</v>
      </c>
      <c r="K921">
        <f t="shared" si="58"/>
        <v>6.4</v>
      </c>
      <c r="L921" t="s">
        <v>1744</v>
      </c>
      <c r="M921" t="s">
        <v>3826</v>
      </c>
      <c r="N921" t="s">
        <v>1</v>
      </c>
      <c r="O921">
        <v>396191</v>
      </c>
      <c r="P921" t="s">
        <v>546</v>
      </c>
      <c r="Q921" t="s">
        <v>1759</v>
      </c>
      <c r="S921">
        <v>12.992000000000001</v>
      </c>
      <c r="T921">
        <v>1</v>
      </c>
      <c r="U921">
        <v>0.2</v>
      </c>
      <c r="V921">
        <v>-0.81200000000000006</v>
      </c>
      <c r="W921">
        <f t="shared" si="59"/>
        <v>13.804</v>
      </c>
      <c r="X921">
        <v>3</v>
      </c>
    </row>
    <row r="922" spans="1:24" x14ac:dyDescent="0.3">
      <c r="A922">
        <v>921</v>
      </c>
      <c r="B922" t="s">
        <v>2691</v>
      </c>
      <c r="C922" s="6">
        <v>45117</v>
      </c>
      <c r="D922" t="str">
        <f t="shared" si="56"/>
        <v>Jul</v>
      </c>
      <c r="E922" t="str">
        <f t="shared" si="57"/>
        <v>2023</v>
      </c>
      <c r="F922" t="s">
        <v>4</v>
      </c>
      <c r="G922" t="s">
        <v>123</v>
      </c>
      <c r="H922" t="s">
        <v>1123</v>
      </c>
      <c r="I922">
        <v>190</v>
      </c>
      <c r="J922">
        <v>20</v>
      </c>
      <c r="K922">
        <f t="shared" si="58"/>
        <v>10.526315789473683</v>
      </c>
      <c r="L922" t="s">
        <v>1740</v>
      </c>
      <c r="M922" t="s">
        <v>3827</v>
      </c>
      <c r="N922" t="s">
        <v>1</v>
      </c>
      <c r="O922">
        <v>401208</v>
      </c>
      <c r="P922" t="s">
        <v>546</v>
      </c>
      <c r="Q922" t="s">
        <v>1756</v>
      </c>
      <c r="S922">
        <v>24.56</v>
      </c>
      <c r="T922">
        <v>2</v>
      </c>
      <c r="U922">
        <v>0</v>
      </c>
      <c r="V922">
        <v>6.8768000000000002</v>
      </c>
      <c r="W922">
        <f t="shared" si="59"/>
        <v>8.8415999999999997</v>
      </c>
      <c r="X922">
        <v>5</v>
      </c>
    </row>
    <row r="923" spans="1:24" x14ac:dyDescent="0.3">
      <c r="A923">
        <v>922</v>
      </c>
      <c r="B923" t="s">
        <v>2692</v>
      </c>
      <c r="C923" s="6">
        <v>45118</v>
      </c>
      <c r="D923" t="str">
        <f t="shared" si="56"/>
        <v>Jul</v>
      </c>
      <c r="E923" t="str">
        <f t="shared" si="57"/>
        <v>2023</v>
      </c>
      <c r="F923" t="s">
        <v>4</v>
      </c>
      <c r="G923" t="s">
        <v>346</v>
      </c>
      <c r="H923" t="s">
        <v>1268</v>
      </c>
      <c r="I923">
        <v>140</v>
      </c>
      <c r="J923">
        <v>20</v>
      </c>
      <c r="K923">
        <f t="shared" si="58"/>
        <v>14.285714285714285</v>
      </c>
      <c r="L923" t="s">
        <v>1742</v>
      </c>
      <c r="M923" t="s">
        <v>3656</v>
      </c>
      <c r="N923" t="s">
        <v>1</v>
      </c>
      <c r="O923">
        <v>530011</v>
      </c>
      <c r="P923" t="s">
        <v>546</v>
      </c>
      <c r="Q923" t="s">
        <v>1772</v>
      </c>
      <c r="S923">
        <v>85.14</v>
      </c>
      <c r="T923">
        <v>3</v>
      </c>
      <c r="U923">
        <v>0</v>
      </c>
      <c r="V923">
        <v>34.907400000000003</v>
      </c>
      <c r="W923">
        <f t="shared" si="59"/>
        <v>16.744199999999999</v>
      </c>
      <c r="X923">
        <v>2</v>
      </c>
    </row>
    <row r="924" spans="1:24" x14ac:dyDescent="0.3">
      <c r="A924">
        <v>923</v>
      </c>
      <c r="B924" t="s">
        <v>2693</v>
      </c>
      <c r="C924" s="6">
        <v>45119</v>
      </c>
      <c r="D924" t="str">
        <f t="shared" si="56"/>
        <v>Jul</v>
      </c>
      <c r="E924" t="str">
        <f t="shared" si="57"/>
        <v>2023</v>
      </c>
      <c r="F924" t="s">
        <v>4</v>
      </c>
      <c r="G924" t="s">
        <v>346</v>
      </c>
      <c r="H924" t="s">
        <v>1269</v>
      </c>
      <c r="I924">
        <v>220</v>
      </c>
      <c r="J924">
        <v>22</v>
      </c>
      <c r="K924">
        <f t="shared" si="58"/>
        <v>10</v>
      </c>
      <c r="L924" t="s">
        <v>1739</v>
      </c>
      <c r="M924" t="s">
        <v>3657</v>
      </c>
      <c r="N924" t="s">
        <v>1</v>
      </c>
      <c r="O924">
        <v>516001</v>
      </c>
      <c r="P924" t="s">
        <v>546</v>
      </c>
      <c r="Q924" t="s">
        <v>1759</v>
      </c>
      <c r="S924">
        <v>21.99</v>
      </c>
      <c r="T924">
        <v>1</v>
      </c>
      <c r="U924">
        <v>0</v>
      </c>
      <c r="V924">
        <v>10.555199999999999</v>
      </c>
      <c r="W924">
        <f t="shared" si="59"/>
        <v>11.434799999999999</v>
      </c>
      <c r="X924">
        <v>2</v>
      </c>
    </row>
    <row r="925" spans="1:24" x14ac:dyDescent="0.3">
      <c r="A925">
        <v>924</v>
      </c>
      <c r="B925" t="s">
        <v>2694</v>
      </c>
      <c r="C925" s="6">
        <v>45120</v>
      </c>
      <c r="D925" t="str">
        <f t="shared" si="56"/>
        <v>Jul</v>
      </c>
      <c r="E925" t="str">
        <f t="shared" si="57"/>
        <v>2023</v>
      </c>
      <c r="F925" t="s">
        <v>4</v>
      </c>
      <c r="G925" t="s">
        <v>346</v>
      </c>
      <c r="H925" t="s">
        <v>1270</v>
      </c>
      <c r="I925">
        <v>210</v>
      </c>
      <c r="J925">
        <v>6</v>
      </c>
      <c r="K925">
        <f t="shared" si="58"/>
        <v>2.8571428571428572</v>
      </c>
      <c r="L925" t="s">
        <v>1738</v>
      </c>
      <c r="M925" t="s">
        <v>3778</v>
      </c>
      <c r="N925" t="s">
        <v>1</v>
      </c>
      <c r="O925">
        <v>400075</v>
      </c>
      <c r="P925" t="s">
        <v>546</v>
      </c>
      <c r="Q925" t="s">
        <v>1757</v>
      </c>
      <c r="R925" t="s">
        <v>2</v>
      </c>
      <c r="S925">
        <v>406.6</v>
      </c>
      <c r="T925">
        <v>5</v>
      </c>
      <c r="U925">
        <v>0</v>
      </c>
      <c r="V925">
        <v>113.848</v>
      </c>
      <c r="W925">
        <f t="shared" si="59"/>
        <v>58.550400000000003</v>
      </c>
      <c r="X925">
        <v>4</v>
      </c>
    </row>
    <row r="926" spans="1:24" x14ac:dyDescent="0.3">
      <c r="A926">
        <v>925</v>
      </c>
      <c r="B926" t="s">
        <v>2695</v>
      </c>
      <c r="C926" s="6">
        <v>45121</v>
      </c>
      <c r="D926" t="str">
        <f t="shared" si="56"/>
        <v>Jul</v>
      </c>
      <c r="E926" t="str">
        <f t="shared" si="57"/>
        <v>2023</v>
      </c>
      <c r="F926" t="s">
        <v>4</v>
      </c>
      <c r="G926" t="s">
        <v>347</v>
      </c>
      <c r="H926" t="s">
        <v>662</v>
      </c>
      <c r="I926">
        <v>150</v>
      </c>
      <c r="J926">
        <v>24</v>
      </c>
      <c r="K926">
        <f t="shared" si="58"/>
        <v>16</v>
      </c>
      <c r="L926" t="s">
        <v>1737</v>
      </c>
      <c r="M926" t="s">
        <v>3828</v>
      </c>
      <c r="N926" t="s">
        <v>1</v>
      </c>
      <c r="O926">
        <v>411028</v>
      </c>
      <c r="P926" t="s">
        <v>546</v>
      </c>
      <c r="Q926" t="s">
        <v>1754</v>
      </c>
      <c r="R926" t="s">
        <v>2</v>
      </c>
      <c r="S926">
        <v>841.56799999999998</v>
      </c>
      <c r="T926">
        <v>2</v>
      </c>
      <c r="U926">
        <v>0.2</v>
      </c>
      <c r="V926">
        <v>294.54880000000003</v>
      </c>
      <c r="W926">
        <f t="shared" si="59"/>
        <v>273.50959999999998</v>
      </c>
      <c r="X926">
        <v>2</v>
      </c>
    </row>
    <row r="927" spans="1:24" x14ac:dyDescent="0.3">
      <c r="A927">
        <v>926</v>
      </c>
      <c r="B927" t="s">
        <v>2696</v>
      </c>
      <c r="C927" s="6">
        <v>45122</v>
      </c>
      <c r="D927" t="str">
        <f t="shared" si="56"/>
        <v>Jul</v>
      </c>
      <c r="E927" t="str">
        <f t="shared" si="57"/>
        <v>2023</v>
      </c>
      <c r="F927" t="s">
        <v>5</v>
      </c>
      <c r="G927" t="s">
        <v>348</v>
      </c>
      <c r="H927" t="s">
        <v>1271</v>
      </c>
      <c r="I927">
        <v>170</v>
      </c>
      <c r="J927">
        <v>8</v>
      </c>
      <c r="K927">
        <f t="shared" si="58"/>
        <v>4.7058823529411766</v>
      </c>
      <c r="L927" t="s">
        <v>1743</v>
      </c>
      <c r="M927" t="s">
        <v>3829</v>
      </c>
      <c r="N927" t="s">
        <v>1</v>
      </c>
      <c r="O927">
        <v>560024</v>
      </c>
      <c r="P927" t="s">
        <v>546</v>
      </c>
      <c r="Q927" t="s">
        <v>1757</v>
      </c>
      <c r="S927">
        <v>15.552</v>
      </c>
      <c r="T927">
        <v>3</v>
      </c>
      <c r="U927">
        <v>0.2</v>
      </c>
      <c r="V927">
        <v>5.4432</v>
      </c>
      <c r="W927">
        <f t="shared" si="59"/>
        <v>3.3695999999999997</v>
      </c>
      <c r="X927">
        <v>5</v>
      </c>
    </row>
    <row r="928" spans="1:24" x14ac:dyDescent="0.3">
      <c r="A928">
        <v>927</v>
      </c>
      <c r="B928" t="s">
        <v>2697</v>
      </c>
      <c r="C928" s="6">
        <v>45123</v>
      </c>
      <c r="D928" t="str">
        <f t="shared" si="56"/>
        <v>Jul</v>
      </c>
      <c r="E928" t="str">
        <f t="shared" si="57"/>
        <v>2023</v>
      </c>
      <c r="F928" t="s">
        <v>5</v>
      </c>
      <c r="G928" t="s">
        <v>348</v>
      </c>
      <c r="H928" t="s">
        <v>1272</v>
      </c>
      <c r="I928">
        <v>100</v>
      </c>
      <c r="J928">
        <v>30</v>
      </c>
      <c r="K928">
        <f t="shared" si="58"/>
        <v>30</v>
      </c>
      <c r="L928" t="s">
        <v>1738</v>
      </c>
      <c r="M928" t="s">
        <v>3788</v>
      </c>
      <c r="N928" t="s">
        <v>1</v>
      </c>
      <c r="O928">
        <v>560024</v>
      </c>
      <c r="P928" t="s">
        <v>546</v>
      </c>
      <c r="Q928" t="s">
        <v>1771</v>
      </c>
      <c r="S928">
        <v>252</v>
      </c>
      <c r="T928">
        <v>5</v>
      </c>
      <c r="U928">
        <v>0.2</v>
      </c>
      <c r="V928">
        <v>53.55</v>
      </c>
      <c r="W928">
        <f t="shared" si="59"/>
        <v>39.69</v>
      </c>
      <c r="X928">
        <v>2</v>
      </c>
    </row>
    <row r="929" spans="1:24" x14ac:dyDescent="0.3">
      <c r="A929">
        <v>928</v>
      </c>
      <c r="B929" t="s">
        <v>2698</v>
      </c>
      <c r="C929" s="6">
        <v>45124</v>
      </c>
      <c r="D929" t="str">
        <f t="shared" si="56"/>
        <v>Jul</v>
      </c>
      <c r="E929" t="str">
        <f t="shared" si="57"/>
        <v>2023</v>
      </c>
      <c r="F929" t="s">
        <v>4</v>
      </c>
      <c r="G929" t="s">
        <v>349</v>
      </c>
      <c r="H929" t="s">
        <v>879</v>
      </c>
      <c r="I929">
        <v>130</v>
      </c>
      <c r="J929">
        <v>30</v>
      </c>
      <c r="K929">
        <f t="shared" si="58"/>
        <v>23.076923076923077</v>
      </c>
      <c r="L929" t="s">
        <v>1739</v>
      </c>
      <c r="M929" t="s">
        <v>3721</v>
      </c>
      <c r="N929" t="s">
        <v>1</v>
      </c>
      <c r="O929">
        <v>560024</v>
      </c>
      <c r="P929" t="s">
        <v>546</v>
      </c>
      <c r="Q929" t="s">
        <v>1765</v>
      </c>
      <c r="S929">
        <v>46.2</v>
      </c>
      <c r="T929">
        <v>4</v>
      </c>
      <c r="U929">
        <v>0</v>
      </c>
      <c r="V929">
        <v>12.936</v>
      </c>
      <c r="W929">
        <f t="shared" si="59"/>
        <v>8.3160000000000007</v>
      </c>
      <c r="X929">
        <v>3</v>
      </c>
    </row>
    <row r="930" spans="1:24" x14ac:dyDescent="0.3">
      <c r="A930">
        <v>929</v>
      </c>
      <c r="B930" t="s">
        <v>2699</v>
      </c>
      <c r="C930" s="6">
        <v>45125</v>
      </c>
      <c r="D930" t="str">
        <f t="shared" si="56"/>
        <v>Jul</v>
      </c>
      <c r="E930" t="str">
        <f t="shared" si="57"/>
        <v>2023</v>
      </c>
      <c r="F930" t="s">
        <v>4</v>
      </c>
      <c r="G930" t="s">
        <v>349</v>
      </c>
      <c r="H930" t="s">
        <v>883</v>
      </c>
      <c r="I930">
        <v>200</v>
      </c>
      <c r="J930">
        <v>24</v>
      </c>
      <c r="K930">
        <f t="shared" si="58"/>
        <v>12</v>
      </c>
      <c r="L930" t="s">
        <v>1741</v>
      </c>
      <c r="M930" t="s">
        <v>3781</v>
      </c>
      <c r="N930" t="s">
        <v>1</v>
      </c>
      <c r="O930">
        <v>560076</v>
      </c>
      <c r="P930" t="s">
        <v>546</v>
      </c>
      <c r="Q930" t="s">
        <v>1770</v>
      </c>
      <c r="S930">
        <v>28.84</v>
      </c>
      <c r="T930">
        <v>2</v>
      </c>
      <c r="U930">
        <v>0</v>
      </c>
      <c r="V930">
        <v>9.5172000000000008</v>
      </c>
      <c r="W930">
        <f t="shared" si="59"/>
        <v>9.6614000000000004</v>
      </c>
      <c r="X930">
        <v>2</v>
      </c>
    </row>
    <row r="931" spans="1:24" x14ac:dyDescent="0.3">
      <c r="A931">
        <v>930</v>
      </c>
      <c r="B931" t="s">
        <v>2700</v>
      </c>
      <c r="C931" s="6">
        <v>45126</v>
      </c>
      <c r="D931" t="str">
        <f t="shared" si="56"/>
        <v>Jul</v>
      </c>
      <c r="E931" t="str">
        <f t="shared" si="57"/>
        <v>2023</v>
      </c>
      <c r="F931" t="s">
        <v>5</v>
      </c>
      <c r="G931" t="s">
        <v>276</v>
      </c>
      <c r="H931" t="s">
        <v>1034</v>
      </c>
      <c r="I931">
        <v>170</v>
      </c>
      <c r="J931">
        <v>22</v>
      </c>
      <c r="K931">
        <f t="shared" si="58"/>
        <v>12.941176470588237</v>
      </c>
      <c r="L931" t="s">
        <v>1736</v>
      </c>
      <c r="M931" t="s">
        <v>3673</v>
      </c>
      <c r="N931" t="s">
        <v>1</v>
      </c>
      <c r="O931">
        <v>752055</v>
      </c>
      <c r="P931" t="s">
        <v>546</v>
      </c>
      <c r="Q931" t="s">
        <v>1761</v>
      </c>
      <c r="S931">
        <v>14.592000000000001</v>
      </c>
      <c r="T931">
        <v>3</v>
      </c>
      <c r="U931">
        <v>0.2</v>
      </c>
      <c r="V931">
        <v>2.5535999999999999</v>
      </c>
      <c r="W931">
        <f t="shared" si="59"/>
        <v>4.0128000000000004</v>
      </c>
      <c r="X931">
        <v>4</v>
      </c>
    </row>
    <row r="932" spans="1:24" x14ac:dyDescent="0.3">
      <c r="A932">
        <v>931</v>
      </c>
      <c r="B932" t="s">
        <v>2701</v>
      </c>
      <c r="C932" s="6">
        <v>45127</v>
      </c>
      <c r="D932" t="str">
        <f t="shared" si="56"/>
        <v>Jul</v>
      </c>
      <c r="E932" t="str">
        <f t="shared" si="57"/>
        <v>2023</v>
      </c>
      <c r="F932" t="s">
        <v>5</v>
      </c>
      <c r="G932" t="s">
        <v>276</v>
      </c>
      <c r="H932" t="s">
        <v>1273</v>
      </c>
      <c r="I932">
        <v>140</v>
      </c>
      <c r="J932">
        <v>26</v>
      </c>
      <c r="K932">
        <f t="shared" si="58"/>
        <v>18.571428571428573</v>
      </c>
      <c r="L932" t="s">
        <v>1744</v>
      </c>
      <c r="M932" t="s">
        <v>3585</v>
      </c>
      <c r="N932" t="s">
        <v>1</v>
      </c>
      <c r="O932">
        <v>141013</v>
      </c>
      <c r="P932" t="s">
        <v>546</v>
      </c>
      <c r="Q932" t="s">
        <v>1772</v>
      </c>
      <c r="S932">
        <v>89.855999999999995</v>
      </c>
      <c r="T932">
        <v>3</v>
      </c>
      <c r="U932">
        <v>0.2</v>
      </c>
      <c r="V932">
        <v>21.340800000000002</v>
      </c>
      <c r="W932">
        <f t="shared" si="59"/>
        <v>22.838399999999996</v>
      </c>
      <c r="X932">
        <v>5</v>
      </c>
    </row>
    <row r="933" spans="1:24" x14ac:dyDescent="0.3">
      <c r="A933">
        <v>932</v>
      </c>
      <c r="B933" t="s">
        <v>2702</v>
      </c>
      <c r="C933" s="6">
        <v>45128</v>
      </c>
      <c r="D933" t="str">
        <f t="shared" si="56"/>
        <v>Jul</v>
      </c>
      <c r="E933" t="str">
        <f t="shared" si="57"/>
        <v>2023</v>
      </c>
      <c r="F933" t="s">
        <v>5</v>
      </c>
      <c r="G933" t="s">
        <v>276</v>
      </c>
      <c r="H933" t="s">
        <v>1156</v>
      </c>
      <c r="I933">
        <v>190</v>
      </c>
      <c r="J933">
        <v>30</v>
      </c>
      <c r="K933">
        <f t="shared" si="58"/>
        <v>15.789473684210526</v>
      </c>
      <c r="L933" t="s">
        <v>1740</v>
      </c>
      <c r="M933" t="s">
        <v>3830</v>
      </c>
      <c r="O933">
        <v>424002</v>
      </c>
      <c r="P933" t="s">
        <v>546</v>
      </c>
      <c r="Q933" t="s">
        <v>1759</v>
      </c>
      <c r="S933">
        <v>13.872</v>
      </c>
      <c r="T933">
        <v>3</v>
      </c>
      <c r="U933">
        <v>0.2</v>
      </c>
      <c r="V933">
        <v>5.0286</v>
      </c>
      <c r="W933">
        <f t="shared" si="59"/>
        <v>2.9477999999999995</v>
      </c>
      <c r="X933">
        <v>1</v>
      </c>
    </row>
    <row r="934" spans="1:24" x14ac:dyDescent="0.3">
      <c r="A934">
        <v>933</v>
      </c>
      <c r="B934" t="s">
        <v>2703</v>
      </c>
      <c r="C934" s="6">
        <v>45129</v>
      </c>
      <c r="D934" t="str">
        <f t="shared" si="56"/>
        <v>Jul</v>
      </c>
      <c r="E934" t="str">
        <f t="shared" si="57"/>
        <v>2023</v>
      </c>
      <c r="F934" t="s">
        <v>4</v>
      </c>
      <c r="G934" t="s">
        <v>350</v>
      </c>
      <c r="H934" t="s">
        <v>1274</v>
      </c>
      <c r="I934">
        <v>110</v>
      </c>
      <c r="J934">
        <v>22</v>
      </c>
      <c r="K934">
        <f t="shared" si="58"/>
        <v>20</v>
      </c>
      <c r="L934" t="s">
        <v>1742</v>
      </c>
      <c r="M934" t="s">
        <v>3696</v>
      </c>
      <c r="N934" t="s">
        <v>1</v>
      </c>
      <c r="O934">
        <v>600116</v>
      </c>
      <c r="P934" t="s">
        <v>546</v>
      </c>
      <c r="Q934" t="s">
        <v>1772</v>
      </c>
      <c r="S934">
        <v>12.192</v>
      </c>
      <c r="T934">
        <v>3</v>
      </c>
      <c r="U934">
        <v>0.2</v>
      </c>
      <c r="V934">
        <v>4.1147999999999998</v>
      </c>
      <c r="W934">
        <f t="shared" si="59"/>
        <v>2.6924000000000006</v>
      </c>
      <c r="X934">
        <v>3</v>
      </c>
    </row>
    <row r="935" spans="1:24" x14ac:dyDescent="0.3">
      <c r="A935">
        <v>934</v>
      </c>
      <c r="B935" t="s">
        <v>2704</v>
      </c>
      <c r="C935" s="6">
        <v>45130</v>
      </c>
      <c r="D935" t="str">
        <f t="shared" si="56"/>
        <v>Jul</v>
      </c>
      <c r="E935" t="str">
        <f t="shared" si="57"/>
        <v>2023</v>
      </c>
      <c r="F935" t="s">
        <v>4</v>
      </c>
      <c r="G935" t="s">
        <v>351</v>
      </c>
      <c r="H935" t="s">
        <v>1275</v>
      </c>
      <c r="I935">
        <v>230</v>
      </c>
      <c r="J935">
        <v>26</v>
      </c>
      <c r="K935">
        <f t="shared" si="58"/>
        <v>11.304347826086957</v>
      </c>
      <c r="L935" t="s">
        <v>1739</v>
      </c>
      <c r="M935" t="s">
        <v>3668</v>
      </c>
      <c r="N935" t="s">
        <v>1</v>
      </c>
      <c r="O935">
        <v>110088</v>
      </c>
      <c r="P935" t="s">
        <v>546</v>
      </c>
      <c r="Q935" t="s">
        <v>1759</v>
      </c>
      <c r="S935">
        <v>45.055999999999997</v>
      </c>
      <c r="T935">
        <v>8</v>
      </c>
      <c r="U935">
        <v>0.2</v>
      </c>
      <c r="V935">
        <v>15.2064</v>
      </c>
      <c r="W935">
        <f t="shared" si="59"/>
        <v>3.7311999999999994</v>
      </c>
      <c r="X935">
        <v>3</v>
      </c>
    </row>
    <row r="936" spans="1:24" x14ac:dyDescent="0.3">
      <c r="A936">
        <v>935</v>
      </c>
      <c r="B936" t="s">
        <v>2705</v>
      </c>
      <c r="C936" s="6">
        <v>45131</v>
      </c>
      <c r="D936" t="str">
        <f t="shared" si="56"/>
        <v>Jul</v>
      </c>
      <c r="E936" t="str">
        <f t="shared" si="57"/>
        <v>2023</v>
      </c>
      <c r="F936" t="s">
        <v>4</v>
      </c>
      <c r="G936" t="s">
        <v>351</v>
      </c>
      <c r="H936" t="s">
        <v>1276</v>
      </c>
      <c r="I936">
        <v>190</v>
      </c>
      <c r="J936">
        <v>24</v>
      </c>
      <c r="K936">
        <f t="shared" si="58"/>
        <v>12.631578947368421</v>
      </c>
      <c r="L936" t="s">
        <v>1738</v>
      </c>
      <c r="M936" t="s">
        <v>3812</v>
      </c>
      <c r="N936" t="s">
        <v>1</v>
      </c>
      <c r="O936">
        <v>110088</v>
      </c>
      <c r="P936" t="s">
        <v>546</v>
      </c>
      <c r="Q936" t="s">
        <v>1775</v>
      </c>
      <c r="S936">
        <v>29.718</v>
      </c>
      <c r="T936">
        <v>6</v>
      </c>
      <c r="U936">
        <v>0.7</v>
      </c>
      <c r="V936">
        <v>-21.793199999999999</v>
      </c>
      <c r="W936">
        <f t="shared" si="59"/>
        <v>8.5852000000000004</v>
      </c>
      <c r="X936">
        <v>1</v>
      </c>
    </row>
    <row r="937" spans="1:24" x14ac:dyDescent="0.3">
      <c r="A937">
        <v>936</v>
      </c>
      <c r="B937" t="s">
        <v>2706</v>
      </c>
      <c r="C937" s="6">
        <v>45132</v>
      </c>
      <c r="D937" t="str">
        <f t="shared" si="56"/>
        <v>Jul</v>
      </c>
      <c r="E937" t="str">
        <f t="shared" si="57"/>
        <v>2023</v>
      </c>
      <c r="F937" t="s">
        <v>4</v>
      </c>
      <c r="G937" t="s">
        <v>351</v>
      </c>
      <c r="H937" t="s">
        <v>1227</v>
      </c>
      <c r="I937">
        <v>210</v>
      </c>
      <c r="J937">
        <v>8</v>
      </c>
      <c r="K937">
        <f t="shared" si="58"/>
        <v>3.8095238095238098</v>
      </c>
      <c r="L937" t="s">
        <v>1743</v>
      </c>
      <c r="M937" t="s">
        <v>3831</v>
      </c>
      <c r="N937" t="s">
        <v>1</v>
      </c>
      <c r="O937">
        <v>140603</v>
      </c>
      <c r="P937" t="s">
        <v>546</v>
      </c>
      <c r="Q937" t="s">
        <v>1756</v>
      </c>
      <c r="S937">
        <v>15.552</v>
      </c>
      <c r="T937">
        <v>3</v>
      </c>
      <c r="U937">
        <v>0.2</v>
      </c>
      <c r="V937">
        <v>5.4432</v>
      </c>
      <c r="W937">
        <f t="shared" si="59"/>
        <v>3.3695999999999997</v>
      </c>
      <c r="X937">
        <v>4</v>
      </c>
    </row>
    <row r="938" spans="1:24" x14ac:dyDescent="0.3">
      <c r="A938">
        <v>937</v>
      </c>
      <c r="B938" t="s">
        <v>2707</v>
      </c>
      <c r="C938" s="6">
        <v>45133</v>
      </c>
      <c r="D938" t="str">
        <f t="shared" si="56"/>
        <v>Jul</v>
      </c>
      <c r="E938" t="str">
        <f t="shared" si="57"/>
        <v>2023</v>
      </c>
      <c r="F938" t="s">
        <v>4</v>
      </c>
      <c r="G938" t="s">
        <v>351</v>
      </c>
      <c r="H938" t="s">
        <v>684</v>
      </c>
      <c r="I938">
        <v>250</v>
      </c>
      <c r="J938">
        <v>26</v>
      </c>
      <c r="K938">
        <f t="shared" si="58"/>
        <v>10.4</v>
      </c>
      <c r="L938" t="s">
        <v>1737</v>
      </c>
      <c r="M938" t="s">
        <v>3802</v>
      </c>
      <c r="N938" t="s">
        <v>1</v>
      </c>
      <c r="O938">
        <v>110022</v>
      </c>
      <c r="P938" t="s">
        <v>546</v>
      </c>
      <c r="Q938" t="s">
        <v>1758</v>
      </c>
      <c r="R938" t="s">
        <v>2</v>
      </c>
      <c r="S938">
        <v>447.69600000000003</v>
      </c>
      <c r="T938">
        <v>2</v>
      </c>
      <c r="U938">
        <v>0.2</v>
      </c>
      <c r="V938">
        <v>33.577199999999998</v>
      </c>
      <c r="W938">
        <f t="shared" si="59"/>
        <v>207.05940000000001</v>
      </c>
      <c r="X938">
        <v>4</v>
      </c>
    </row>
    <row r="939" spans="1:24" x14ac:dyDescent="0.3">
      <c r="A939">
        <v>938</v>
      </c>
      <c r="B939" t="s">
        <v>2708</v>
      </c>
      <c r="C939" s="6">
        <v>45134</v>
      </c>
      <c r="D939" t="str">
        <f t="shared" si="56"/>
        <v>Jul</v>
      </c>
      <c r="E939" t="str">
        <f t="shared" si="57"/>
        <v>2023</v>
      </c>
      <c r="F939" t="s">
        <v>5</v>
      </c>
      <c r="G939" t="s">
        <v>26</v>
      </c>
      <c r="H939" t="s">
        <v>878</v>
      </c>
      <c r="I939">
        <v>250</v>
      </c>
      <c r="J939">
        <v>18</v>
      </c>
      <c r="K939">
        <f t="shared" si="58"/>
        <v>7.1999999999999993</v>
      </c>
      <c r="L939" t="s">
        <v>1741</v>
      </c>
      <c r="M939" t="s">
        <v>3815</v>
      </c>
      <c r="O939">
        <v>530011</v>
      </c>
      <c r="P939" t="s">
        <v>546</v>
      </c>
      <c r="Q939" t="s">
        <v>1761</v>
      </c>
      <c r="S939">
        <v>159.99</v>
      </c>
      <c r="T939">
        <v>1</v>
      </c>
      <c r="U939">
        <v>0</v>
      </c>
      <c r="V939">
        <v>54.396599999999999</v>
      </c>
      <c r="W939">
        <f t="shared" si="59"/>
        <v>105.5934</v>
      </c>
      <c r="X939">
        <v>4</v>
      </c>
    </row>
    <row r="940" spans="1:24" x14ac:dyDescent="0.3">
      <c r="A940">
        <v>939</v>
      </c>
      <c r="B940" t="s">
        <v>2709</v>
      </c>
      <c r="C940" s="6">
        <v>45135</v>
      </c>
      <c r="D940" t="str">
        <f t="shared" si="56"/>
        <v>Jul</v>
      </c>
      <c r="E940" t="str">
        <f t="shared" si="57"/>
        <v>2023</v>
      </c>
      <c r="F940" t="s">
        <v>4</v>
      </c>
      <c r="G940" t="s">
        <v>352</v>
      </c>
      <c r="H940" t="s">
        <v>1277</v>
      </c>
      <c r="I940">
        <v>140</v>
      </c>
      <c r="J940">
        <v>24</v>
      </c>
      <c r="K940">
        <f t="shared" si="58"/>
        <v>17.142857142857142</v>
      </c>
      <c r="L940" t="s">
        <v>1736</v>
      </c>
      <c r="M940" t="s">
        <v>3653</v>
      </c>
      <c r="O940">
        <v>560068</v>
      </c>
      <c r="P940" t="s">
        <v>546</v>
      </c>
      <c r="Q940" t="s">
        <v>1755</v>
      </c>
      <c r="S940">
        <v>12.96</v>
      </c>
      <c r="T940">
        <v>2</v>
      </c>
      <c r="U940">
        <v>0</v>
      </c>
      <c r="V940">
        <v>6.2207999999999997</v>
      </c>
      <c r="W940">
        <f t="shared" si="59"/>
        <v>3.3696000000000006</v>
      </c>
      <c r="X940">
        <v>1</v>
      </c>
    </row>
    <row r="941" spans="1:24" x14ac:dyDescent="0.3">
      <c r="A941">
        <v>940</v>
      </c>
      <c r="B941" t="s">
        <v>2710</v>
      </c>
      <c r="C941" s="6">
        <v>45136</v>
      </c>
      <c r="D941" t="str">
        <f t="shared" si="56"/>
        <v>Jul</v>
      </c>
      <c r="E941" t="str">
        <f t="shared" si="57"/>
        <v>2023</v>
      </c>
      <c r="F941" t="s">
        <v>4</v>
      </c>
      <c r="G941" t="s">
        <v>352</v>
      </c>
      <c r="H941" t="s">
        <v>1278</v>
      </c>
      <c r="I941">
        <v>220</v>
      </c>
      <c r="J941">
        <v>6</v>
      </c>
      <c r="K941">
        <f t="shared" si="58"/>
        <v>2.7272727272727271</v>
      </c>
      <c r="L941" t="s">
        <v>1744</v>
      </c>
      <c r="M941" t="s">
        <v>3832</v>
      </c>
      <c r="O941">
        <v>203131</v>
      </c>
      <c r="P941" t="s">
        <v>546</v>
      </c>
      <c r="Q941" t="s">
        <v>1759</v>
      </c>
      <c r="S941">
        <v>134.47999999999999</v>
      </c>
      <c r="T941">
        <v>4</v>
      </c>
      <c r="U941">
        <v>0</v>
      </c>
      <c r="V941">
        <v>34.964799999999997</v>
      </c>
      <c r="W941">
        <f t="shared" si="59"/>
        <v>24.878799999999998</v>
      </c>
      <c r="X941">
        <v>3</v>
      </c>
    </row>
    <row r="942" spans="1:24" x14ac:dyDescent="0.3">
      <c r="A942">
        <v>941</v>
      </c>
      <c r="B942" t="s">
        <v>2711</v>
      </c>
      <c r="C942" s="6">
        <v>45137</v>
      </c>
      <c r="D942" t="str">
        <f t="shared" si="56"/>
        <v>Jul</v>
      </c>
      <c r="E942" t="str">
        <f t="shared" si="57"/>
        <v>2023</v>
      </c>
      <c r="F942" t="s">
        <v>5</v>
      </c>
      <c r="G942" t="s">
        <v>353</v>
      </c>
      <c r="H942" t="s">
        <v>1279</v>
      </c>
      <c r="I942">
        <v>160</v>
      </c>
      <c r="J942">
        <v>16</v>
      </c>
      <c r="K942">
        <f t="shared" si="58"/>
        <v>10</v>
      </c>
      <c r="L942" t="s">
        <v>1740</v>
      </c>
      <c r="M942" t="s">
        <v>3733</v>
      </c>
      <c r="N942" t="s">
        <v>1</v>
      </c>
      <c r="O942">
        <v>313001</v>
      </c>
      <c r="P942" t="s">
        <v>546</v>
      </c>
      <c r="Q942" t="s">
        <v>1773</v>
      </c>
      <c r="R942" t="s">
        <v>2</v>
      </c>
      <c r="S942">
        <v>17.12</v>
      </c>
      <c r="T942">
        <v>2</v>
      </c>
      <c r="U942">
        <v>0</v>
      </c>
      <c r="V942">
        <v>8.0464000000000002</v>
      </c>
      <c r="W942">
        <f t="shared" si="59"/>
        <v>4.5368000000000004</v>
      </c>
      <c r="X942">
        <v>5</v>
      </c>
    </row>
    <row r="943" spans="1:24" x14ac:dyDescent="0.3">
      <c r="A943">
        <v>942</v>
      </c>
      <c r="B943" t="s">
        <v>2712</v>
      </c>
      <c r="C943" s="6">
        <v>45138</v>
      </c>
      <c r="D943" t="str">
        <f t="shared" si="56"/>
        <v>Jul</v>
      </c>
      <c r="E943" t="str">
        <f t="shared" si="57"/>
        <v>2023</v>
      </c>
      <c r="F943" t="s">
        <v>4</v>
      </c>
      <c r="G943" t="s">
        <v>345</v>
      </c>
      <c r="H943" t="s">
        <v>1280</v>
      </c>
      <c r="I943">
        <v>230</v>
      </c>
      <c r="J943">
        <v>14</v>
      </c>
      <c r="K943">
        <f t="shared" si="58"/>
        <v>6.0869565217391308</v>
      </c>
      <c r="L943" t="s">
        <v>1742</v>
      </c>
      <c r="M943" t="s">
        <v>3816</v>
      </c>
      <c r="N943" t="s">
        <v>1</v>
      </c>
      <c r="O943">
        <v>395002</v>
      </c>
      <c r="P943" t="s">
        <v>546</v>
      </c>
      <c r="Q943" t="s">
        <v>1766</v>
      </c>
      <c r="S943">
        <v>6.0960000000000001</v>
      </c>
      <c r="T943">
        <v>2</v>
      </c>
      <c r="U943">
        <v>0.2</v>
      </c>
      <c r="V943">
        <v>2.2098</v>
      </c>
      <c r="W943">
        <f t="shared" si="59"/>
        <v>1.9431</v>
      </c>
      <c r="X943">
        <v>1</v>
      </c>
    </row>
    <row r="944" spans="1:24" x14ac:dyDescent="0.3">
      <c r="A944">
        <v>943</v>
      </c>
      <c r="B944" t="s">
        <v>2713</v>
      </c>
      <c r="C944" s="6">
        <v>45139</v>
      </c>
      <c r="D944" t="str">
        <f t="shared" si="56"/>
        <v>Aug</v>
      </c>
      <c r="E944" t="str">
        <f t="shared" si="57"/>
        <v>2023</v>
      </c>
      <c r="F944" t="s">
        <v>4</v>
      </c>
      <c r="G944" t="s">
        <v>345</v>
      </c>
      <c r="H944" t="s">
        <v>550</v>
      </c>
      <c r="I944">
        <v>250</v>
      </c>
      <c r="J944">
        <v>26</v>
      </c>
      <c r="K944">
        <f t="shared" si="58"/>
        <v>10.4</v>
      </c>
      <c r="L944" t="s">
        <v>1739</v>
      </c>
      <c r="M944" t="s">
        <v>3600</v>
      </c>
      <c r="N944" t="s">
        <v>1</v>
      </c>
      <c r="O944">
        <v>395007</v>
      </c>
      <c r="P944" t="s">
        <v>546</v>
      </c>
      <c r="Q944" t="s">
        <v>1765</v>
      </c>
      <c r="R944" t="s">
        <v>2</v>
      </c>
      <c r="S944">
        <v>1114.2719999999999</v>
      </c>
      <c r="T944">
        <v>4</v>
      </c>
      <c r="U944">
        <v>0.2</v>
      </c>
      <c r="V944">
        <v>41.785200000000003</v>
      </c>
      <c r="W944">
        <f t="shared" si="59"/>
        <v>268.12169999999998</v>
      </c>
      <c r="X944">
        <v>3</v>
      </c>
    </row>
    <row r="945" spans="1:24" x14ac:dyDescent="0.3">
      <c r="A945">
        <v>944</v>
      </c>
      <c r="B945" t="s">
        <v>2714</v>
      </c>
      <c r="C945" s="6">
        <v>45140</v>
      </c>
      <c r="D945" t="str">
        <f t="shared" si="56"/>
        <v>Aug</v>
      </c>
      <c r="E945" t="str">
        <f t="shared" si="57"/>
        <v>2023</v>
      </c>
      <c r="F945" t="s">
        <v>4</v>
      </c>
      <c r="G945" t="s">
        <v>146</v>
      </c>
      <c r="H945" t="s">
        <v>1058</v>
      </c>
      <c r="I945">
        <v>110</v>
      </c>
      <c r="J945">
        <v>14</v>
      </c>
      <c r="K945">
        <f t="shared" si="58"/>
        <v>12.727272727272727</v>
      </c>
      <c r="L945" t="s">
        <v>1738</v>
      </c>
      <c r="M945" t="s">
        <v>3817</v>
      </c>
      <c r="N945" t="s">
        <v>1</v>
      </c>
      <c r="O945">
        <v>641009</v>
      </c>
      <c r="P945" t="s">
        <v>546</v>
      </c>
      <c r="Q945" t="s">
        <v>1763</v>
      </c>
      <c r="S945">
        <v>32.4</v>
      </c>
      <c r="T945">
        <v>5</v>
      </c>
      <c r="U945">
        <v>0</v>
      </c>
      <c r="V945">
        <v>15.552</v>
      </c>
      <c r="W945">
        <f t="shared" si="59"/>
        <v>3.3695999999999997</v>
      </c>
      <c r="X945">
        <v>2</v>
      </c>
    </row>
    <row r="946" spans="1:24" x14ac:dyDescent="0.3">
      <c r="A946">
        <v>945</v>
      </c>
      <c r="B946" t="s">
        <v>2715</v>
      </c>
      <c r="C946" s="6">
        <v>45141</v>
      </c>
      <c r="D946" t="str">
        <f t="shared" si="56"/>
        <v>Aug</v>
      </c>
      <c r="E946" t="str">
        <f t="shared" si="57"/>
        <v>2023</v>
      </c>
      <c r="F946" t="s">
        <v>4</v>
      </c>
      <c r="G946" t="s">
        <v>146</v>
      </c>
      <c r="H946" t="s">
        <v>1281</v>
      </c>
      <c r="I946">
        <v>250</v>
      </c>
      <c r="J946">
        <v>18</v>
      </c>
      <c r="K946">
        <f t="shared" si="58"/>
        <v>7.1999999999999993</v>
      </c>
      <c r="L946" t="s">
        <v>1737</v>
      </c>
      <c r="M946" t="s">
        <v>3808</v>
      </c>
      <c r="N946" t="s">
        <v>1</v>
      </c>
      <c r="O946">
        <v>400042</v>
      </c>
      <c r="P946" t="s">
        <v>546</v>
      </c>
      <c r="Q946" t="s">
        <v>1761</v>
      </c>
      <c r="S946">
        <v>540.57000000000005</v>
      </c>
      <c r="T946">
        <v>3</v>
      </c>
      <c r="U946">
        <v>0</v>
      </c>
      <c r="V946">
        <v>140.54820000000001</v>
      </c>
      <c r="W946">
        <f t="shared" si="59"/>
        <v>133.34060000000002</v>
      </c>
      <c r="X946">
        <v>2</v>
      </c>
    </row>
    <row r="947" spans="1:24" x14ac:dyDescent="0.3">
      <c r="A947">
        <v>946</v>
      </c>
      <c r="B947" t="s">
        <v>2716</v>
      </c>
      <c r="C947" s="6">
        <v>45142</v>
      </c>
      <c r="D947" t="str">
        <f t="shared" si="56"/>
        <v>Aug</v>
      </c>
      <c r="E947" t="str">
        <f t="shared" si="57"/>
        <v>2023</v>
      </c>
      <c r="F947" t="s">
        <v>4</v>
      </c>
      <c r="G947" t="s">
        <v>146</v>
      </c>
      <c r="H947" t="s">
        <v>1282</v>
      </c>
      <c r="I947">
        <v>190</v>
      </c>
      <c r="J947">
        <v>22</v>
      </c>
      <c r="K947">
        <f t="shared" si="58"/>
        <v>11.578947368421053</v>
      </c>
      <c r="L947" t="s">
        <v>1743</v>
      </c>
      <c r="M947" t="s">
        <v>3833</v>
      </c>
      <c r="N947" t="s">
        <v>1</v>
      </c>
      <c r="O947">
        <v>560016</v>
      </c>
      <c r="P947" t="s">
        <v>546</v>
      </c>
      <c r="Q947" t="s">
        <v>1774</v>
      </c>
      <c r="R947" t="s">
        <v>2</v>
      </c>
      <c r="S947">
        <v>167.76</v>
      </c>
      <c r="T947">
        <v>5</v>
      </c>
      <c r="U947">
        <v>0.2</v>
      </c>
      <c r="V947">
        <v>62.91</v>
      </c>
      <c r="W947">
        <f t="shared" si="59"/>
        <v>20.97</v>
      </c>
      <c r="X947">
        <v>2</v>
      </c>
    </row>
    <row r="948" spans="1:24" x14ac:dyDescent="0.3">
      <c r="A948">
        <v>947</v>
      </c>
      <c r="B948" t="s">
        <v>2717</v>
      </c>
      <c r="C948" s="6">
        <v>45143</v>
      </c>
      <c r="D948" t="str">
        <f t="shared" si="56"/>
        <v>Aug</v>
      </c>
      <c r="E948" t="str">
        <f t="shared" si="57"/>
        <v>2023</v>
      </c>
      <c r="F948" t="s">
        <v>5</v>
      </c>
      <c r="G948" t="s">
        <v>229</v>
      </c>
      <c r="H948" t="s">
        <v>1283</v>
      </c>
      <c r="I948">
        <v>170</v>
      </c>
      <c r="J948">
        <v>6</v>
      </c>
      <c r="K948">
        <f t="shared" si="58"/>
        <v>3.5294117647058822</v>
      </c>
      <c r="L948" t="s">
        <v>1738</v>
      </c>
      <c r="M948" t="s">
        <v>3681</v>
      </c>
      <c r="N948" t="s">
        <v>1</v>
      </c>
      <c r="O948">
        <v>600010</v>
      </c>
      <c r="P948" t="s">
        <v>546</v>
      </c>
      <c r="Q948" t="s">
        <v>1759</v>
      </c>
      <c r="R948" t="s">
        <v>2</v>
      </c>
      <c r="S948">
        <v>393.16500000000002</v>
      </c>
      <c r="T948">
        <v>3</v>
      </c>
      <c r="U948">
        <v>0.5</v>
      </c>
      <c r="V948">
        <v>-204.44579999999999</v>
      </c>
      <c r="W948">
        <f t="shared" si="59"/>
        <v>199.20360000000002</v>
      </c>
      <c r="X948">
        <v>2</v>
      </c>
    </row>
    <row r="949" spans="1:24" x14ac:dyDescent="0.3">
      <c r="A949">
        <v>948</v>
      </c>
      <c r="B949" t="s">
        <v>2718</v>
      </c>
      <c r="C949" s="6">
        <v>45144</v>
      </c>
      <c r="D949" t="str">
        <f t="shared" si="56"/>
        <v>Aug</v>
      </c>
      <c r="E949" t="str">
        <f t="shared" si="57"/>
        <v>2023</v>
      </c>
      <c r="F949" t="s">
        <v>4</v>
      </c>
      <c r="G949" t="s">
        <v>183</v>
      </c>
      <c r="H949" t="s">
        <v>1284</v>
      </c>
      <c r="I949">
        <v>190</v>
      </c>
      <c r="J949">
        <v>16</v>
      </c>
      <c r="K949">
        <f t="shared" si="58"/>
        <v>8.4210526315789469</v>
      </c>
      <c r="L949" t="s">
        <v>1739</v>
      </c>
      <c r="M949" t="s">
        <v>3682</v>
      </c>
      <c r="N949" t="s">
        <v>1</v>
      </c>
      <c r="O949">
        <v>474001</v>
      </c>
      <c r="P949" t="s">
        <v>546</v>
      </c>
      <c r="Q949" t="s">
        <v>1756</v>
      </c>
      <c r="S949">
        <v>516.48800000000006</v>
      </c>
      <c r="T949">
        <v>7</v>
      </c>
      <c r="U949">
        <v>0.2</v>
      </c>
      <c r="V949">
        <v>-12.9122</v>
      </c>
      <c r="W949">
        <f t="shared" si="59"/>
        <v>75.628600000000006</v>
      </c>
      <c r="X949">
        <v>3</v>
      </c>
    </row>
    <row r="950" spans="1:24" x14ac:dyDescent="0.3">
      <c r="A950">
        <v>949</v>
      </c>
      <c r="B950" t="s">
        <v>2719</v>
      </c>
      <c r="C950" s="6">
        <v>45145</v>
      </c>
      <c r="D950" t="str">
        <f t="shared" si="56"/>
        <v>Aug</v>
      </c>
      <c r="E950" t="str">
        <f t="shared" si="57"/>
        <v>2023</v>
      </c>
      <c r="F950" t="s">
        <v>4</v>
      </c>
      <c r="G950" t="s">
        <v>183</v>
      </c>
      <c r="H950" t="s">
        <v>767</v>
      </c>
      <c r="I950">
        <v>150</v>
      </c>
      <c r="J950">
        <v>8</v>
      </c>
      <c r="K950">
        <f t="shared" si="58"/>
        <v>5.3333333333333339</v>
      </c>
      <c r="L950" t="s">
        <v>1741</v>
      </c>
      <c r="M950" t="s">
        <v>3810</v>
      </c>
      <c r="N950" t="s">
        <v>1</v>
      </c>
      <c r="O950">
        <v>474001</v>
      </c>
      <c r="P950" t="s">
        <v>546</v>
      </c>
      <c r="Q950" t="s">
        <v>1771</v>
      </c>
      <c r="S950">
        <v>1007.232</v>
      </c>
      <c r="T950">
        <v>6</v>
      </c>
      <c r="U950">
        <v>0.2</v>
      </c>
      <c r="V950">
        <v>75.542400000000001</v>
      </c>
      <c r="W950">
        <f t="shared" si="59"/>
        <v>155.2816</v>
      </c>
      <c r="X950">
        <v>3</v>
      </c>
    </row>
    <row r="951" spans="1:24" x14ac:dyDescent="0.3">
      <c r="A951">
        <v>950</v>
      </c>
      <c r="B951" t="s">
        <v>2720</v>
      </c>
      <c r="C951" s="6">
        <v>45146</v>
      </c>
      <c r="D951" t="str">
        <f t="shared" si="56"/>
        <v>Aug</v>
      </c>
      <c r="E951" t="str">
        <f t="shared" si="57"/>
        <v>2023</v>
      </c>
      <c r="F951" t="s">
        <v>4</v>
      </c>
      <c r="G951" t="s">
        <v>183</v>
      </c>
      <c r="H951" t="s">
        <v>1285</v>
      </c>
      <c r="I951">
        <v>160</v>
      </c>
      <c r="J951">
        <v>22</v>
      </c>
      <c r="K951">
        <f t="shared" si="58"/>
        <v>13.750000000000002</v>
      </c>
      <c r="L951" t="s">
        <v>1736</v>
      </c>
      <c r="M951" t="s">
        <v>3693</v>
      </c>
      <c r="N951" t="s">
        <v>1</v>
      </c>
      <c r="O951">
        <v>201301</v>
      </c>
      <c r="P951" t="s">
        <v>546</v>
      </c>
      <c r="Q951" t="s">
        <v>1766</v>
      </c>
      <c r="S951">
        <v>2065.3200000000002</v>
      </c>
      <c r="T951">
        <v>12</v>
      </c>
      <c r="U951">
        <v>0.4</v>
      </c>
      <c r="V951">
        <v>-619.596</v>
      </c>
      <c r="W951">
        <f t="shared" si="59"/>
        <v>223.74300000000002</v>
      </c>
      <c r="X951">
        <v>1</v>
      </c>
    </row>
    <row r="952" spans="1:24" x14ac:dyDescent="0.3">
      <c r="A952">
        <v>951</v>
      </c>
      <c r="B952" t="s">
        <v>2721</v>
      </c>
      <c r="C952" s="6">
        <v>45147</v>
      </c>
      <c r="D952" t="str">
        <f t="shared" si="56"/>
        <v>Aug</v>
      </c>
      <c r="E952" t="str">
        <f t="shared" si="57"/>
        <v>2023</v>
      </c>
      <c r="F952" t="s">
        <v>4</v>
      </c>
      <c r="G952" t="s">
        <v>183</v>
      </c>
      <c r="H952" t="s">
        <v>1286</v>
      </c>
      <c r="I952">
        <v>160</v>
      </c>
      <c r="J952">
        <v>14</v>
      </c>
      <c r="K952">
        <f t="shared" si="58"/>
        <v>8.75</v>
      </c>
      <c r="L952" t="s">
        <v>1744</v>
      </c>
      <c r="M952" t="s">
        <v>3746</v>
      </c>
      <c r="N952" t="s">
        <v>1</v>
      </c>
      <c r="O952">
        <v>400612</v>
      </c>
      <c r="P952" t="s">
        <v>546</v>
      </c>
      <c r="Q952" t="s">
        <v>1767</v>
      </c>
      <c r="R952" t="s">
        <v>2</v>
      </c>
      <c r="S952">
        <v>15.552</v>
      </c>
      <c r="T952">
        <v>3</v>
      </c>
      <c r="U952">
        <v>0.2</v>
      </c>
      <c r="V952">
        <v>5.4432</v>
      </c>
      <c r="W952">
        <f t="shared" si="59"/>
        <v>3.3695999999999997</v>
      </c>
      <c r="X952">
        <v>5</v>
      </c>
    </row>
    <row r="953" spans="1:24" x14ac:dyDescent="0.3">
      <c r="A953">
        <v>952</v>
      </c>
      <c r="B953" t="s">
        <v>2722</v>
      </c>
      <c r="C953" s="6">
        <v>45148</v>
      </c>
      <c r="D953" t="str">
        <f t="shared" si="56"/>
        <v>Aug</v>
      </c>
      <c r="E953" t="str">
        <f t="shared" si="57"/>
        <v>2023</v>
      </c>
      <c r="F953" t="s">
        <v>4</v>
      </c>
      <c r="G953" t="s">
        <v>183</v>
      </c>
      <c r="H953" t="s">
        <v>765</v>
      </c>
      <c r="I953">
        <v>210</v>
      </c>
      <c r="J953">
        <v>18</v>
      </c>
      <c r="K953">
        <f t="shared" si="58"/>
        <v>8.5714285714285712</v>
      </c>
      <c r="L953" t="s">
        <v>1740</v>
      </c>
      <c r="M953" t="s">
        <v>3799</v>
      </c>
      <c r="N953" t="s">
        <v>1</v>
      </c>
      <c r="O953">
        <v>711410</v>
      </c>
      <c r="P953" t="s">
        <v>546</v>
      </c>
      <c r="Q953" t="s">
        <v>1754</v>
      </c>
      <c r="S953">
        <v>25.344000000000001</v>
      </c>
      <c r="T953">
        <v>6</v>
      </c>
      <c r="U953">
        <v>0.2</v>
      </c>
      <c r="V953">
        <v>7.92</v>
      </c>
      <c r="W953">
        <f t="shared" si="59"/>
        <v>2.9039999999999999</v>
      </c>
      <c r="X953">
        <v>3</v>
      </c>
    </row>
    <row r="954" spans="1:24" x14ac:dyDescent="0.3">
      <c r="A954">
        <v>953</v>
      </c>
      <c r="B954" t="s">
        <v>2723</v>
      </c>
      <c r="C954" s="6">
        <v>45149</v>
      </c>
      <c r="D954" t="str">
        <f t="shared" si="56"/>
        <v>Aug</v>
      </c>
      <c r="E954" t="str">
        <f t="shared" si="57"/>
        <v>2023</v>
      </c>
      <c r="F954" t="s">
        <v>4</v>
      </c>
      <c r="G954" t="s">
        <v>354</v>
      </c>
      <c r="H954" t="s">
        <v>1287</v>
      </c>
      <c r="I954">
        <v>180</v>
      </c>
      <c r="J954">
        <v>20</v>
      </c>
      <c r="K954">
        <f t="shared" si="58"/>
        <v>11.111111111111111</v>
      </c>
      <c r="L954" t="s">
        <v>1742</v>
      </c>
      <c r="M954" t="s">
        <v>3800</v>
      </c>
      <c r="N954" t="s">
        <v>1</v>
      </c>
      <c r="O954">
        <v>560043</v>
      </c>
      <c r="P954" t="s">
        <v>546</v>
      </c>
      <c r="Q954" t="s">
        <v>1761</v>
      </c>
      <c r="S954">
        <v>25.472000000000001</v>
      </c>
      <c r="T954">
        <v>4</v>
      </c>
      <c r="U954">
        <v>0.2</v>
      </c>
      <c r="V954">
        <v>7.6416000000000004</v>
      </c>
      <c r="W954">
        <f t="shared" si="59"/>
        <v>4.4576000000000002</v>
      </c>
      <c r="X954">
        <v>2</v>
      </c>
    </row>
    <row r="955" spans="1:24" x14ac:dyDescent="0.3">
      <c r="A955">
        <v>954</v>
      </c>
      <c r="B955" t="s">
        <v>2724</v>
      </c>
      <c r="C955" s="6">
        <v>45150</v>
      </c>
      <c r="D955" t="str">
        <f t="shared" si="56"/>
        <v>Aug</v>
      </c>
      <c r="E955" t="str">
        <f t="shared" si="57"/>
        <v>2023</v>
      </c>
      <c r="F955" t="s">
        <v>4</v>
      </c>
      <c r="G955" t="s">
        <v>355</v>
      </c>
      <c r="H955" t="s">
        <v>754</v>
      </c>
      <c r="I955">
        <v>110</v>
      </c>
      <c r="J955">
        <v>12</v>
      </c>
      <c r="K955">
        <f t="shared" si="58"/>
        <v>10.909090909090908</v>
      </c>
      <c r="L955" t="s">
        <v>1739</v>
      </c>
      <c r="M955" t="s">
        <v>3637</v>
      </c>
      <c r="N955" t="s">
        <v>1</v>
      </c>
      <c r="O955">
        <v>560043</v>
      </c>
      <c r="P955" t="s">
        <v>546</v>
      </c>
      <c r="Q955" t="s">
        <v>1767</v>
      </c>
      <c r="R955" t="s">
        <v>2</v>
      </c>
      <c r="S955">
        <v>27.167999999999999</v>
      </c>
      <c r="T955">
        <v>2</v>
      </c>
      <c r="U955">
        <v>0.2</v>
      </c>
      <c r="V955">
        <v>2.7168000000000001</v>
      </c>
      <c r="W955">
        <f t="shared" si="59"/>
        <v>12.2256</v>
      </c>
      <c r="X955">
        <v>1</v>
      </c>
    </row>
    <row r="956" spans="1:24" x14ac:dyDescent="0.3">
      <c r="A956">
        <v>955</v>
      </c>
      <c r="B956" t="s">
        <v>2725</v>
      </c>
      <c r="C956" s="6">
        <v>45151</v>
      </c>
      <c r="D956" t="str">
        <f t="shared" si="56"/>
        <v>Aug</v>
      </c>
      <c r="E956" t="str">
        <f t="shared" si="57"/>
        <v>2023</v>
      </c>
      <c r="F956" t="s">
        <v>4</v>
      </c>
      <c r="G956" t="s">
        <v>355</v>
      </c>
      <c r="H956" t="s">
        <v>813</v>
      </c>
      <c r="I956">
        <v>130</v>
      </c>
      <c r="J956">
        <v>10</v>
      </c>
      <c r="K956">
        <f t="shared" si="58"/>
        <v>7.6923076923076925</v>
      </c>
      <c r="L956" t="s">
        <v>1738</v>
      </c>
      <c r="M956" t="s">
        <v>3814</v>
      </c>
      <c r="N956" t="s">
        <v>1</v>
      </c>
      <c r="O956">
        <v>560043</v>
      </c>
      <c r="P956" t="s">
        <v>546</v>
      </c>
      <c r="Q956" t="s">
        <v>1776</v>
      </c>
      <c r="R956" t="s">
        <v>2</v>
      </c>
      <c r="S956">
        <v>78.852800000000002</v>
      </c>
      <c r="T956">
        <v>2</v>
      </c>
      <c r="U956">
        <v>0.32</v>
      </c>
      <c r="V956">
        <v>-11.596</v>
      </c>
      <c r="W956">
        <f t="shared" si="59"/>
        <v>45.224400000000003</v>
      </c>
      <c r="X956">
        <v>2</v>
      </c>
    </row>
    <row r="957" spans="1:24" x14ac:dyDescent="0.3">
      <c r="A957">
        <v>956</v>
      </c>
      <c r="B957" t="s">
        <v>2726</v>
      </c>
      <c r="C957" s="6">
        <v>45152</v>
      </c>
      <c r="D957" t="str">
        <f t="shared" si="56"/>
        <v>Aug</v>
      </c>
      <c r="E957" t="str">
        <f t="shared" si="57"/>
        <v>2023</v>
      </c>
      <c r="F957" t="s">
        <v>4</v>
      </c>
      <c r="G957" t="s">
        <v>356</v>
      </c>
      <c r="H957" t="s">
        <v>601</v>
      </c>
      <c r="I957">
        <v>120</v>
      </c>
      <c r="J957">
        <v>6</v>
      </c>
      <c r="K957">
        <f t="shared" si="58"/>
        <v>5</v>
      </c>
      <c r="L957" t="s">
        <v>1737</v>
      </c>
      <c r="M957" t="s">
        <v>3813</v>
      </c>
      <c r="N957" t="s">
        <v>1</v>
      </c>
      <c r="O957">
        <v>121001</v>
      </c>
      <c r="P957" t="s">
        <v>546</v>
      </c>
      <c r="Q957" t="s">
        <v>1768</v>
      </c>
      <c r="S957">
        <v>173.8</v>
      </c>
      <c r="T957">
        <v>5</v>
      </c>
      <c r="U957">
        <v>0</v>
      </c>
      <c r="V957">
        <v>43.45</v>
      </c>
      <c r="W957">
        <f t="shared" si="59"/>
        <v>26.070000000000004</v>
      </c>
      <c r="X957">
        <v>2</v>
      </c>
    </row>
    <row r="958" spans="1:24" x14ac:dyDescent="0.3">
      <c r="A958">
        <v>957</v>
      </c>
      <c r="B958" t="s">
        <v>2727</v>
      </c>
      <c r="C958" s="6">
        <v>45153</v>
      </c>
      <c r="D958" t="str">
        <f t="shared" si="56"/>
        <v>Aug</v>
      </c>
      <c r="E958" t="str">
        <f t="shared" si="57"/>
        <v>2023</v>
      </c>
      <c r="F958" t="s">
        <v>3</v>
      </c>
      <c r="G958" t="s">
        <v>357</v>
      </c>
      <c r="H958" t="s">
        <v>1234</v>
      </c>
      <c r="I958">
        <v>120</v>
      </c>
      <c r="J958">
        <v>30</v>
      </c>
      <c r="K958">
        <f t="shared" si="58"/>
        <v>25</v>
      </c>
      <c r="L958" t="s">
        <v>1743</v>
      </c>
      <c r="M958" t="s">
        <v>3610</v>
      </c>
      <c r="N958" t="s">
        <v>1</v>
      </c>
      <c r="O958">
        <v>795005</v>
      </c>
      <c r="P958" t="s">
        <v>546</v>
      </c>
      <c r="Q958" t="s">
        <v>1776</v>
      </c>
      <c r="S958">
        <v>29.591999999999999</v>
      </c>
      <c r="T958">
        <v>1</v>
      </c>
      <c r="U958">
        <v>0.2</v>
      </c>
      <c r="V958">
        <v>2.5893000000000002</v>
      </c>
      <c r="W958">
        <f t="shared" si="59"/>
        <v>27.002699999999997</v>
      </c>
      <c r="X958">
        <v>3</v>
      </c>
    </row>
    <row r="959" spans="1:24" x14ac:dyDescent="0.3">
      <c r="A959">
        <v>958</v>
      </c>
      <c r="B959" t="s">
        <v>2728</v>
      </c>
      <c r="C959" s="6">
        <v>45154</v>
      </c>
      <c r="D959" t="str">
        <f t="shared" si="56"/>
        <v>Aug</v>
      </c>
      <c r="E959" t="str">
        <f t="shared" si="57"/>
        <v>2023</v>
      </c>
      <c r="F959" t="s">
        <v>3</v>
      </c>
      <c r="G959" t="s">
        <v>357</v>
      </c>
      <c r="H959" t="s">
        <v>1288</v>
      </c>
      <c r="I959">
        <v>200</v>
      </c>
      <c r="J959">
        <v>16</v>
      </c>
      <c r="K959">
        <f t="shared" si="58"/>
        <v>8</v>
      </c>
      <c r="L959" t="s">
        <v>1738</v>
      </c>
      <c r="M959" t="s">
        <v>3807</v>
      </c>
      <c r="O959">
        <v>313001</v>
      </c>
      <c r="P959" t="s">
        <v>546</v>
      </c>
      <c r="Q959" t="s">
        <v>1774</v>
      </c>
      <c r="R959" t="s">
        <v>2</v>
      </c>
      <c r="S959">
        <v>4.7519999999999998</v>
      </c>
      <c r="T959">
        <v>2</v>
      </c>
      <c r="U959">
        <v>0.7</v>
      </c>
      <c r="V959">
        <v>-3.1680000000000001</v>
      </c>
      <c r="W959">
        <f t="shared" si="59"/>
        <v>3.96</v>
      </c>
      <c r="X959">
        <v>5</v>
      </c>
    </row>
    <row r="960" spans="1:24" x14ac:dyDescent="0.3">
      <c r="A960">
        <v>959</v>
      </c>
      <c r="B960" t="s">
        <v>2729</v>
      </c>
      <c r="C960" s="6">
        <v>45155</v>
      </c>
      <c r="D960" t="str">
        <f t="shared" si="56"/>
        <v>Aug</v>
      </c>
      <c r="E960" t="str">
        <f t="shared" si="57"/>
        <v>2023</v>
      </c>
      <c r="F960" t="s">
        <v>3</v>
      </c>
      <c r="G960" t="s">
        <v>357</v>
      </c>
      <c r="H960" t="s">
        <v>1289</v>
      </c>
      <c r="I960">
        <v>230</v>
      </c>
      <c r="J960">
        <v>18</v>
      </c>
      <c r="K960">
        <f t="shared" si="58"/>
        <v>7.8260869565217401</v>
      </c>
      <c r="L960" t="s">
        <v>1739</v>
      </c>
      <c r="M960" t="s">
        <v>3707</v>
      </c>
      <c r="N960" t="s">
        <v>1</v>
      </c>
      <c r="O960">
        <v>506001</v>
      </c>
      <c r="P960" t="s">
        <v>546</v>
      </c>
      <c r="Q960" t="s">
        <v>1761</v>
      </c>
      <c r="S960">
        <v>15.552</v>
      </c>
      <c r="T960">
        <v>3</v>
      </c>
      <c r="U960">
        <v>0.2</v>
      </c>
      <c r="V960">
        <v>5.6375999999999999</v>
      </c>
      <c r="W960">
        <f t="shared" si="59"/>
        <v>3.3048000000000002</v>
      </c>
      <c r="X960">
        <v>3</v>
      </c>
    </row>
    <row r="961" spans="1:24" x14ac:dyDescent="0.3">
      <c r="A961">
        <v>960</v>
      </c>
      <c r="B961" t="s">
        <v>2730</v>
      </c>
      <c r="C961" s="6">
        <v>45156</v>
      </c>
      <c r="D961" t="str">
        <f t="shared" si="56"/>
        <v>Aug</v>
      </c>
      <c r="E961" t="str">
        <f t="shared" si="57"/>
        <v>2023</v>
      </c>
      <c r="F961" t="s">
        <v>6</v>
      </c>
      <c r="G961" t="s">
        <v>358</v>
      </c>
      <c r="H961" t="s">
        <v>1290</v>
      </c>
      <c r="I961">
        <v>130</v>
      </c>
      <c r="J961">
        <v>14</v>
      </c>
      <c r="K961">
        <f t="shared" si="58"/>
        <v>10.76923076923077</v>
      </c>
      <c r="L961" t="s">
        <v>1741</v>
      </c>
      <c r="M961" t="s">
        <v>3805</v>
      </c>
      <c r="N961" t="s">
        <v>1</v>
      </c>
      <c r="O961">
        <v>400610</v>
      </c>
      <c r="P961" t="s">
        <v>546</v>
      </c>
      <c r="Q961" t="s">
        <v>1774</v>
      </c>
      <c r="S961">
        <v>204.6</v>
      </c>
      <c r="T961">
        <v>2</v>
      </c>
      <c r="U961">
        <v>0</v>
      </c>
      <c r="V961">
        <v>53.195999999999998</v>
      </c>
      <c r="W961">
        <f t="shared" si="59"/>
        <v>75.701999999999998</v>
      </c>
      <c r="X961">
        <v>5</v>
      </c>
    </row>
    <row r="962" spans="1:24" x14ac:dyDescent="0.3">
      <c r="A962">
        <v>961</v>
      </c>
      <c r="B962" t="s">
        <v>2731</v>
      </c>
      <c r="C962" s="6">
        <v>45157</v>
      </c>
      <c r="D962" t="str">
        <f t="shared" si="56"/>
        <v>Aug</v>
      </c>
      <c r="E962" t="str">
        <f t="shared" si="57"/>
        <v>2023</v>
      </c>
      <c r="F962" t="s">
        <v>4</v>
      </c>
      <c r="G962" t="s">
        <v>359</v>
      </c>
      <c r="H962" t="s">
        <v>775</v>
      </c>
      <c r="I962">
        <v>180</v>
      </c>
      <c r="J962">
        <v>8</v>
      </c>
      <c r="K962">
        <f t="shared" si="58"/>
        <v>4.4444444444444446</v>
      </c>
      <c r="L962" t="s">
        <v>1736</v>
      </c>
      <c r="M962" t="s">
        <v>3797</v>
      </c>
      <c r="N962" t="s">
        <v>1</v>
      </c>
      <c r="O962">
        <v>400610</v>
      </c>
      <c r="P962" t="s">
        <v>546</v>
      </c>
      <c r="Q962" t="s">
        <v>1758</v>
      </c>
      <c r="R962" t="s">
        <v>2</v>
      </c>
      <c r="S962">
        <v>321.56799999999998</v>
      </c>
      <c r="T962">
        <v>2</v>
      </c>
      <c r="U962">
        <v>0.2</v>
      </c>
      <c r="V962">
        <v>28.1372</v>
      </c>
      <c r="W962">
        <f t="shared" si="59"/>
        <v>146.71539999999999</v>
      </c>
      <c r="X962">
        <v>3</v>
      </c>
    </row>
    <row r="963" spans="1:24" x14ac:dyDescent="0.3">
      <c r="A963">
        <v>962</v>
      </c>
      <c r="B963" t="s">
        <v>2732</v>
      </c>
      <c r="C963" s="6">
        <v>45158</v>
      </c>
      <c r="D963" t="str">
        <f t="shared" ref="D963:D1026" si="60">TEXT(C963,"Mmm")</f>
        <v>Aug</v>
      </c>
      <c r="E963" t="str">
        <f t="shared" ref="E963:E1026" si="61">TEXT(C963,"YYYY")</f>
        <v>2023</v>
      </c>
      <c r="F963" t="s">
        <v>4</v>
      </c>
      <c r="G963" t="s">
        <v>360</v>
      </c>
      <c r="H963" t="s">
        <v>1291</v>
      </c>
      <c r="I963">
        <v>250</v>
      </c>
      <c r="J963">
        <v>12</v>
      </c>
      <c r="K963">
        <f t="shared" ref="K963:K1026" si="62">(J963/I963)*100</f>
        <v>4.8</v>
      </c>
      <c r="L963" t="s">
        <v>1744</v>
      </c>
      <c r="M963" t="s">
        <v>3685</v>
      </c>
      <c r="N963" t="s">
        <v>1</v>
      </c>
      <c r="O963">
        <v>201102</v>
      </c>
      <c r="P963" t="s">
        <v>546</v>
      </c>
      <c r="Q963" t="s">
        <v>1759</v>
      </c>
      <c r="S963">
        <v>6.24</v>
      </c>
      <c r="T963">
        <v>2</v>
      </c>
      <c r="U963">
        <v>0</v>
      </c>
      <c r="V963">
        <v>3.0575999999999999</v>
      </c>
      <c r="W963">
        <f t="shared" ref="W963:W1026" si="63">(S963-V963)/T963</f>
        <v>1.5912000000000002</v>
      </c>
      <c r="X963">
        <v>2</v>
      </c>
    </row>
    <row r="964" spans="1:24" x14ac:dyDescent="0.3">
      <c r="A964">
        <v>963</v>
      </c>
      <c r="B964" t="s">
        <v>2733</v>
      </c>
      <c r="C964" s="6">
        <v>45159</v>
      </c>
      <c r="D964" t="str">
        <f t="shared" si="60"/>
        <v>Aug</v>
      </c>
      <c r="E964" t="str">
        <f t="shared" si="61"/>
        <v>2023</v>
      </c>
      <c r="F964" t="s">
        <v>5</v>
      </c>
      <c r="G964" t="s">
        <v>58</v>
      </c>
      <c r="H964" t="s">
        <v>1013</v>
      </c>
      <c r="I964">
        <v>210</v>
      </c>
      <c r="J964">
        <v>24</v>
      </c>
      <c r="K964">
        <f t="shared" si="62"/>
        <v>11.428571428571429</v>
      </c>
      <c r="L964" t="s">
        <v>1740</v>
      </c>
      <c r="M964" t="s">
        <v>3791</v>
      </c>
      <c r="O964">
        <v>201301</v>
      </c>
      <c r="P964" t="s">
        <v>546</v>
      </c>
      <c r="Q964" t="s">
        <v>1759</v>
      </c>
      <c r="S964">
        <v>21.88</v>
      </c>
      <c r="T964">
        <v>2</v>
      </c>
      <c r="U964">
        <v>0</v>
      </c>
      <c r="V964">
        <v>10.94</v>
      </c>
      <c r="W964">
        <f t="shared" si="63"/>
        <v>5.47</v>
      </c>
      <c r="X964">
        <v>4</v>
      </c>
    </row>
    <row r="965" spans="1:24" x14ac:dyDescent="0.3">
      <c r="A965">
        <v>964</v>
      </c>
      <c r="B965" t="s">
        <v>2734</v>
      </c>
      <c r="C965" s="6">
        <v>45160</v>
      </c>
      <c r="D965" t="str">
        <f t="shared" si="60"/>
        <v>Aug</v>
      </c>
      <c r="E965" t="str">
        <f t="shared" si="61"/>
        <v>2023</v>
      </c>
      <c r="F965" t="s">
        <v>3</v>
      </c>
      <c r="G965" t="s">
        <v>340</v>
      </c>
      <c r="H965" t="s">
        <v>1292</v>
      </c>
      <c r="I965">
        <v>140</v>
      </c>
      <c r="J965">
        <v>14</v>
      </c>
      <c r="K965">
        <f t="shared" si="62"/>
        <v>10</v>
      </c>
      <c r="L965" t="s">
        <v>1742</v>
      </c>
      <c r="M965" t="s">
        <v>3647</v>
      </c>
      <c r="N965" t="s">
        <v>1</v>
      </c>
      <c r="O965">
        <v>600011</v>
      </c>
      <c r="P965" t="s">
        <v>546</v>
      </c>
      <c r="Q965" t="s">
        <v>1769</v>
      </c>
      <c r="S965">
        <v>4.6079999999999997</v>
      </c>
      <c r="T965">
        <v>2</v>
      </c>
      <c r="U965">
        <v>0.2</v>
      </c>
      <c r="V965">
        <v>1.6704000000000001</v>
      </c>
      <c r="W965">
        <f t="shared" si="63"/>
        <v>1.4687999999999999</v>
      </c>
      <c r="X965">
        <v>3</v>
      </c>
    </row>
    <row r="966" spans="1:24" x14ac:dyDescent="0.3">
      <c r="A966">
        <v>965</v>
      </c>
      <c r="B966" t="s">
        <v>2735</v>
      </c>
      <c r="C966" s="6">
        <v>45161</v>
      </c>
      <c r="D966" t="str">
        <f t="shared" si="60"/>
        <v>Aug</v>
      </c>
      <c r="E966" t="str">
        <f t="shared" si="61"/>
        <v>2023</v>
      </c>
      <c r="F966" t="s">
        <v>5</v>
      </c>
      <c r="G966" t="s">
        <v>361</v>
      </c>
      <c r="H966" t="s">
        <v>1293</v>
      </c>
      <c r="I966">
        <v>150</v>
      </c>
      <c r="J966">
        <v>24</v>
      </c>
      <c r="K966">
        <f t="shared" si="62"/>
        <v>16</v>
      </c>
      <c r="L966" t="s">
        <v>1739</v>
      </c>
      <c r="M966" t="s">
        <v>3697</v>
      </c>
      <c r="N966" t="s">
        <v>1</v>
      </c>
      <c r="O966">
        <v>474001</v>
      </c>
      <c r="P966" t="s">
        <v>546</v>
      </c>
      <c r="Q966" t="s">
        <v>1775</v>
      </c>
      <c r="S966">
        <v>9.82</v>
      </c>
      <c r="T966">
        <v>2</v>
      </c>
      <c r="U966">
        <v>0</v>
      </c>
      <c r="V966">
        <v>4.8117999999999999</v>
      </c>
      <c r="W966">
        <f t="shared" si="63"/>
        <v>2.5041000000000002</v>
      </c>
      <c r="X966">
        <v>1</v>
      </c>
    </row>
    <row r="967" spans="1:24" x14ac:dyDescent="0.3">
      <c r="A967">
        <v>966</v>
      </c>
      <c r="B967" t="s">
        <v>2736</v>
      </c>
      <c r="C967" s="6">
        <v>45162</v>
      </c>
      <c r="D967" t="str">
        <f t="shared" si="60"/>
        <v>Aug</v>
      </c>
      <c r="E967" t="str">
        <f t="shared" si="61"/>
        <v>2023</v>
      </c>
      <c r="F967" t="s">
        <v>5</v>
      </c>
      <c r="G967" t="s">
        <v>361</v>
      </c>
      <c r="H967" t="s">
        <v>916</v>
      </c>
      <c r="I967">
        <v>240</v>
      </c>
      <c r="J967">
        <v>28</v>
      </c>
      <c r="K967">
        <f t="shared" si="62"/>
        <v>11.666666666666666</v>
      </c>
      <c r="L967" t="s">
        <v>1738</v>
      </c>
      <c r="M967" t="s">
        <v>3801</v>
      </c>
      <c r="N967" t="s">
        <v>1</v>
      </c>
      <c r="O967">
        <v>474001</v>
      </c>
      <c r="P967" t="s">
        <v>546</v>
      </c>
      <c r="Q967" t="s">
        <v>1768</v>
      </c>
      <c r="R967" t="s">
        <v>2</v>
      </c>
      <c r="S967">
        <v>35.97</v>
      </c>
      <c r="T967">
        <v>3</v>
      </c>
      <c r="U967">
        <v>0</v>
      </c>
      <c r="V967">
        <v>9.7119</v>
      </c>
      <c r="W967">
        <f t="shared" si="63"/>
        <v>8.752699999999999</v>
      </c>
      <c r="X967">
        <v>2</v>
      </c>
    </row>
    <row r="968" spans="1:24" x14ac:dyDescent="0.3">
      <c r="A968">
        <v>967</v>
      </c>
      <c r="B968" t="s">
        <v>2737</v>
      </c>
      <c r="C968" s="6">
        <v>45163</v>
      </c>
      <c r="D968" t="str">
        <f t="shared" si="60"/>
        <v>Aug</v>
      </c>
      <c r="E968" t="str">
        <f t="shared" si="61"/>
        <v>2023</v>
      </c>
      <c r="F968" t="s">
        <v>5</v>
      </c>
      <c r="G968" t="s">
        <v>361</v>
      </c>
      <c r="H968" t="s">
        <v>1294</v>
      </c>
      <c r="I968">
        <v>100</v>
      </c>
      <c r="J968">
        <v>30</v>
      </c>
      <c r="K968">
        <f t="shared" si="62"/>
        <v>30</v>
      </c>
      <c r="L968" t="s">
        <v>1737</v>
      </c>
      <c r="M968" t="s">
        <v>3787</v>
      </c>
      <c r="N968" t="s">
        <v>1</v>
      </c>
      <c r="O968">
        <v>122003</v>
      </c>
      <c r="P968" t="s">
        <v>546</v>
      </c>
      <c r="Q968" t="s">
        <v>1773</v>
      </c>
      <c r="S968">
        <v>12.96</v>
      </c>
      <c r="T968">
        <v>2</v>
      </c>
      <c r="U968">
        <v>0</v>
      </c>
      <c r="V968">
        <v>6.2207999999999997</v>
      </c>
      <c r="W968">
        <f t="shared" si="63"/>
        <v>3.3696000000000006</v>
      </c>
      <c r="X968">
        <v>4</v>
      </c>
    </row>
    <row r="969" spans="1:24" x14ac:dyDescent="0.3">
      <c r="A969">
        <v>968</v>
      </c>
      <c r="B969" t="s">
        <v>2738</v>
      </c>
      <c r="C969" s="6">
        <v>45164</v>
      </c>
      <c r="D969" t="str">
        <f t="shared" si="60"/>
        <v>Aug</v>
      </c>
      <c r="E969" t="str">
        <f t="shared" si="61"/>
        <v>2023</v>
      </c>
      <c r="F969" t="s">
        <v>5</v>
      </c>
      <c r="G969" t="s">
        <v>361</v>
      </c>
      <c r="H969" t="s">
        <v>1295</v>
      </c>
      <c r="I969">
        <v>100</v>
      </c>
      <c r="J969">
        <v>28</v>
      </c>
      <c r="K969">
        <f t="shared" si="62"/>
        <v>28.000000000000004</v>
      </c>
      <c r="L969" t="s">
        <v>1743</v>
      </c>
      <c r="M969" t="s">
        <v>3736</v>
      </c>
      <c r="N969" t="s">
        <v>1</v>
      </c>
      <c r="O969">
        <v>390022</v>
      </c>
      <c r="P969" t="s">
        <v>546</v>
      </c>
      <c r="Q969" t="s">
        <v>1773</v>
      </c>
      <c r="S969">
        <v>191.6</v>
      </c>
      <c r="T969">
        <v>4</v>
      </c>
      <c r="U969">
        <v>0</v>
      </c>
      <c r="V969">
        <v>91.968000000000004</v>
      </c>
      <c r="W969">
        <f t="shared" si="63"/>
        <v>24.907999999999998</v>
      </c>
      <c r="X969">
        <v>5</v>
      </c>
    </row>
    <row r="970" spans="1:24" x14ac:dyDescent="0.3">
      <c r="A970">
        <v>969</v>
      </c>
      <c r="B970" t="s">
        <v>2739</v>
      </c>
      <c r="C970" s="6">
        <v>45165</v>
      </c>
      <c r="D970" t="str">
        <f t="shared" si="60"/>
        <v>Aug</v>
      </c>
      <c r="E970" t="str">
        <f t="shared" si="61"/>
        <v>2023</v>
      </c>
      <c r="F970" t="s">
        <v>5</v>
      </c>
      <c r="G970" t="s">
        <v>361</v>
      </c>
      <c r="H970" t="s">
        <v>1292</v>
      </c>
      <c r="I970">
        <v>140</v>
      </c>
      <c r="J970">
        <v>24</v>
      </c>
      <c r="K970">
        <f t="shared" si="62"/>
        <v>17.142857142857142</v>
      </c>
      <c r="L970" t="s">
        <v>1738</v>
      </c>
      <c r="M970" t="s">
        <v>3804</v>
      </c>
      <c r="N970" t="s">
        <v>1</v>
      </c>
      <c r="O970">
        <v>390022</v>
      </c>
      <c r="P970" t="s">
        <v>546</v>
      </c>
      <c r="Q970" t="s">
        <v>1772</v>
      </c>
      <c r="R970" t="s">
        <v>2</v>
      </c>
      <c r="S970">
        <v>8.64</v>
      </c>
      <c r="T970">
        <v>3</v>
      </c>
      <c r="U970">
        <v>0</v>
      </c>
      <c r="V970">
        <v>4.2336</v>
      </c>
      <c r="W970">
        <f t="shared" si="63"/>
        <v>1.4688000000000001</v>
      </c>
      <c r="X970">
        <v>1</v>
      </c>
    </row>
    <row r="971" spans="1:24" x14ac:dyDescent="0.3">
      <c r="A971">
        <v>970</v>
      </c>
      <c r="B971" t="s">
        <v>2740</v>
      </c>
      <c r="C971" s="6">
        <v>45166</v>
      </c>
      <c r="D971" t="str">
        <f t="shared" si="60"/>
        <v>Aug</v>
      </c>
      <c r="E971" t="str">
        <f t="shared" si="61"/>
        <v>2023</v>
      </c>
      <c r="F971" t="s">
        <v>5</v>
      </c>
      <c r="G971" t="s">
        <v>361</v>
      </c>
      <c r="H971" t="s">
        <v>1296</v>
      </c>
      <c r="I971">
        <v>170</v>
      </c>
      <c r="J971">
        <v>6</v>
      </c>
      <c r="K971">
        <f t="shared" si="62"/>
        <v>3.5294117647058822</v>
      </c>
      <c r="L971" t="s">
        <v>1739</v>
      </c>
      <c r="M971" t="s">
        <v>3588</v>
      </c>
      <c r="N971" t="s">
        <v>1</v>
      </c>
      <c r="O971">
        <v>180007</v>
      </c>
      <c r="P971" t="s">
        <v>546</v>
      </c>
      <c r="Q971" t="s">
        <v>1761</v>
      </c>
      <c r="S971">
        <v>501.81</v>
      </c>
      <c r="T971">
        <v>3</v>
      </c>
      <c r="U971">
        <v>0</v>
      </c>
      <c r="V971">
        <v>0</v>
      </c>
      <c r="W971">
        <f t="shared" si="63"/>
        <v>167.27</v>
      </c>
      <c r="X971">
        <v>3</v>
      </c>
    </row>
    <row r="972" spans="1:24" x14ac:dyDescent="0.3">
      <c r="A972">
        <v>971</v>
      </c>
      <c r="B972" t="s">
        <v>2741</v>
      </c>
      <c r="C972" s="6">
        <v>45167</v>
      </c>
      <c r="D972" t="str">
        <f t="shared" si="60"/>
        <v>Aug</v>
      </c>
      <c r="E972" t="str">
        <f t="shared" si="61"/>
        <v>2023</v>
      </c>
      <c r="F972" t="s">
        <v>3</v>
      </c>
      <c r="G972" t="s">
        <v>118</v>
      </c>
      <c r="H972" t="s">
        <v>1297</v>
      </c>
      <c r="I972">
        <v>140</v>
      </c>
      <c r="J972">
        <v>20</v>
      </c>
      <c r="K972">
        <f t="shared" si="62"/>
        <v>14.285714285714285</v>
      </c>
      <c r="L972" t="s">
        <v>1741</v>
      </c>
      <c r="M972" t="s">
        <v>3789</v>
      </c>
      <c r="N972" t="s">
        <v>1</v>
      </c>
      <c r="O972">
        <v>670305</v>
      </c>
      <c r="P972" t="s">
        <v>546</v>
      </c>
      <c r="Q972" t="s">
        <v>1755</v>
      </c>
      <c r="S972">
        <v>127.104</v>
      </c>
      <c r="T972">
        <v>6</v>
      </c>
      <c r="U972">
        <v>0.2</v>
      </c>
      <c r="V972">
        <v>28.598400000000002</v>
      </c>
      <c r="W972">
        <f t="shared" si="63"/>
        <v>16.4176</v>
      </c>
      <c r="X972">
        <v>2</v>
      </c>
    </row>
    <row r="973" spans="1:24" x14ac:dyDescent="0.3">
      <c r="A973">
        <v>972</v>
      </c>
      <c r="B973" t="s">
        <v>2742</v>
      </c>
      <c r="C973" s="6">
        <v>45168</v>
      </c>
      <c r="D973" t="str">
        <f t="shared" si="60"/>
        <v>Aug</v>
      </c>
      <c r="E973" t="str">
        <f t="shared" si="61"/>
        <v>2023</v>
      </c>
      <c r="F973" t="s">
        <v>3</v>
      </c>
      <c r="G973" t="s">
        <v>118</v>
      </c>
      <c r="H973" t="s">
        <v>849</v>
      </c>
      <c r="I973">
        <v>150</v>
      </c>
      <c r="J973">
        <v>12</v>
      </c>
      <c r="K973">
        <f t="shared" si="62"/>
        <v>8</v>
      </c>
      <c r="L973" t="s">
        <v>1736</v>
      </c>
      <c r="M973" t="s">
        <v>3790</v>
      </c>
      <c r="N973" t="s">
        <v>1</v>
      </c>
      <c r="O973">
        <v>600062</v>
      </c>
      <c r="P973" t="s">
        <v>546</v>
      </c>
      <c r="Q973" t="s">
        <v>1757</v>
      </c>
      <c r="S973">
        <v>124.2</v>
      </c>
      <c r="T973">
        <v>3</v>
      </c>
      <c r="U973">
        <v>0.4</v>
      </c>
      <c r="V973">
        <v>-31.05</v>
      </c>
      <c r="W973">
        <f t="shared" si="63"/>
        <v>51.75</v>
      </c>
      <c r="X973">
        <v>5</v>
      </c>
    </row>
    <row r="974" spans="1:24" x14ac:dyDescent="0.3">
      <c r="A974">
        <v>973</v>
      </c>
      <c r="B974" t="s">
        <v>2743</v>
      </c>
      <c r="C974" s="6">
        <v>45169</v>
      </c>
      <c r="D974" t="str">
        <f t="shared" si="60"/>
        <v>Aug</v>
      </c>
      <c r="E974" t="str">
        <f t="shared" si="61"/>
        <v>2023</v>
      </c>
      <c r="F974" t="s">
        <v>3</v>
      </c>
      <c r="G974" t="s">
        <v>118</v>
      </c>
      <c r="H974" t="s">
        <v>1129</v>
      </c>
      <c r="I974">
        <v>140</v>
      </c>
      <c r="J974">
        <v>6</v>
      </c>
      <c r="K974">
        <f t="shared" si="62"/>
        <v>4.2857142857142856</v>
      </c>
      <c r="L974" t="s">
        <v>1744</v>
      </c>
      <c r="M974" t="s">
        <v>3798</v>
      </c>
      <c r="N974" t="s">
        <v>1</v>
      </c>
      <c r="O974">
        <v>421204</v>
      </c>
      <c r="P974" t="s">
        <v>546</v>
      </c>
      <c r="Q974" t="s">
        <v>1755</v>
      </c>
      <c r="S974">
        <v>18.588000000000001</v>
      </c>
      <c r="T974">
        <v>2</v>
      </c>
      <c r="U974">
        <v>0.7</v>
      </c>
      <c r="V974">
        <v>-13.6312</v>
      </c>
      <c r="W974">
        <f t="shared" si="63"/>
        <v>16.1096</v>
      </c>
      <c r="X974">
        <v>5</v>
      </c>
    </row>
    <row r="975" spans="1:24" x14ac:dyDescent="0.3">
      <c r="A975">
        <v>974</v>
      </c>
      <c r="B975" t="s">
        <v>2744</v>
      </c>
      <c r="C975" s="6">
        <v>45170</v>
      </c>
      <c r="D975" t="str">
        <f t="shared" si="60"/>
        <v>Sep</v>
      </c>
      <c r="E975" t="str">
        <f t="shared" si="61"/>
        <v>2023</v>
      </c>
      <c r="F975" t="s">
        <v>3</v>
      </c>
      <c r="G975" t="s">
        <v>118</v>
      </c>
      <c r="H975" t="s">
        <v>847</v>
      </c>
      <c r="I975">
        <v>100</v>
      </c>
      <c r="J975">
        <v>14</v>
      </c>
      <c r="K975">
        <f t="shared" si="62"/>
        <v>14.000000000000002</v>
      </c>
      <c r="L975" t="s">
        <v>1740</v>
      </c>
      <c r="M975" t="s">
        <v>3834</v>
      </c>
      <c r="O975">
        <v>641009</v>
      </c>
      <c r="P975" t="s">
        <v>546</v>
      </c>
      <c r="Q975" t="s">
        <v>1765</v>
      </c>
      <c r="S975">
        <v>30.071999999999999</v>
      </c>
      <c r="T975">
        <v>3</v>
      </c>
      <c r="U975">
        <v>0.2</v>
      </c>
      <c r="V975">
        <v>10.1493</v>
      </c>
      <c r="W975">
        <f t="shared" si="63"/>
        <v>6.6408999999999994</v>
      </c>
      <c r="X975">
        <v>2</v>
      </c>
    </row>
    <row r="976" spans="1:24" x14ac:dyDescent="0.3">
      <c r="A976">
        <v>975</v>
      </c>
      <c r="B976" t="s">
        <v>2745</v>
      </c>
      <c r="C976" s="6">
        <v>45171</v>
      </c>
      <c r="D976" t="str">
        <f t="shared" si="60"/>
        <v>Sep</v>
      </c>
      <c r="E976" t="str">
        <f t="shared" si="61"/>
        <v>2023</v>
      </c>
      <c r="F976" t="s">
        <v>3</v>
      </c>
      <c r="G976" t="s">
        <v>292</v>
      </c>
      <c r="H976" t="s">
        <v>1008</v>
      </c>
      <c r="I976">
        <v>100</v>
      </c>
      <c r="J976">
        <v>6</v>
      </c>
      <c r="K976">
        <f t="shared" si="62"/>
        <v>6</v>
      </c>
      <c r="L976" t="s">
        <v>1742</v>
      </c>
      <c r="M976" t="s">
        <v>3776</v>
      </c>
      <c r="N976" t="s">
        <v>1</v>
      </c>
      <c r="O976">
        <v>670661</v>
      </c>
      <c r="P976" t="s">
        <v>546</v>
      </c>
      <c r="Q976" t="s">
        <v>1767</v>
      </c>
      <c r="S976">
        <v>160.93</v>
      </c>
      <c r="T976">
        <v>7</v>
      </c>
      <c r="U976">
        <v>0</v>
      </c>
      <c r="V976">
        <v>3.2185999999999999</v>
      </c>
      <c r="W976">
        <f t="shared" si="63"/>
        <v>22.530200000000001</v>
      </c>
      <c r="X976">
        <v>2</v>
      </c>
    </row>
    <row r="977" spans="1:24" x14ac:dyDescent="0.3">
      <c r="A977">
        <v>976</v>
      </c>
      <c r="B977" t="s">
        <v>2746</v>
      </c>
      <c r="C977" s="6">
        <v>45172</v>
      </c>
      <c r="D977" t="str">
        <f t="shared" si="60"/>
        <v>Sep</v>
      </c>
      <c r="E977" t="str">
        <f t="shared" si="61"/>
        <v>2023</v>
      </c>
      <c r="F977" t="s">
        <v>3</v>
      </c>
      <c r="G977" t="s">
        <v>292</v>
      </c>
      <c r="H977" t="s">
        <v>898</v>
      </c>
      <c r="I977">
        <v>130</v>
      </c>
      <c r="J977">
        <v>14</v>
      </c>
      <c r="K977">
        <f t="shared" si="62"/>
        <v>10.76923076923077</v>
      </c>
      <c r="L977" t="s">
        <v>1739</v>
      </c>
      <c r="M977" t="s">
        <v>3785</v>
      </c>
      <c r="N977" t="s">
        <v>1</v>
      </c>
      <c r="O977">
        <v>632602</v>
      </c>
      <c r="P977" t="s">
        <v>546</v>
      </c>
      <c r="Q977" t="s">
        <v>1755</v>
      </c>
      <c r="R977" t="s">
        <v>2</v>
      </c>
      <c r="S977">
        <v>75.792000000000002</v>
      </c>
      <c r="T977">
        <v>3</v>
      </c>
      <c r="U977">
        <v>0.2</v>
      </c>
      <c r="V977">
        <v>25.579799999999999</v>
      </c>
      <c r="W977">
        <f t="shared" si="63"/>
        <v>16.737400000000001</v>
      </c>
      <c r="X977">
        <v>5</v>
      </c>
    </row>
    <row r="978" spans="1:24" x14ac:dyDescent="0.3">
      <c r="A978">
        <v>977</v>
      </c>
      <c r="B978" t="s">
        <v>2747</v>
      </c>
      <c r="C978" s="6">
        <v>45173</v>
      </c>
      <c r="D978" t="str">
        <f t="shared" si="60"/>
        <v>Sep</v>
      </c>
      <c r="E978" t="str">
        <f t="shared" si="61"/>
        <v>2023</v>
      </c>
      <c r="F978" t="s">
        <v>4</v>
      </c>
      <c r="G978" t="s">
        <v>150</v>
      </c>
      <c r="H978" t="s">
        <v>1298</v>
      </c>
      <c r="I978">
        <v>190</v>
      </c>
      <c r="J978">
        <v>20</v>
      </c>
      <c r="K978">
        <f t="shared" si="62"/>
        <v>10.526315789473683</v>
      </c>
      <c r="L978" t="s">
        <v>1738</v>
      </c>
      <c r="M978" t="s">
        <v>3788</v>
      </c>
      <c r="N978" t="s">
        <v>1</v>
      </c>
      <c r="O978">
        <v>522647</v>
      </c>
      <c r="P978" t="s">
        <v>546</v>
      </c>
      <c r="Q978" t="s">
        <v>1755</v>
      </c>
      <c r="S978">
        <v>1.08</v>
      </c>
      <c r="T978">
        <v>2</v>
      </c>
      <c r="U978">
        <v>0.7</v>
      </c>
      <c r="V978">
        <v>-0.79200000000000004</v>
      </c>
      <c r="W978">
        <f t="shared" si="63"/>
        <v>0.93600000000000005</v>
      </c>
      <c r="X978">
        <v>1</v>
      </c>
    </row>
    <row r="979" spans="1:24" x14ac:dyDescent="0.3">
      <c r="A979">
        <v>978</v>
      </c>
      <c r="B979" t="s">
        <v>2748</v>
      </c>
      <c r="C979" s="6">
        <v>45174</v>
      </c>
      <c r="D979" t="str">
        <f t="shared" si="60"/>
        <v>Sep</v>
      </c>
      <c r="E979" t="str">
        <f t="shared" si="61"/>
        <v>2023</v>
      </c>
      <c r="F979" t="s">
        <v>5</v>
      </c>
      <c r="G979" t="s">
        <v>315</v>
      </c>
      <c r="H979" t="s">
        <v>702</v>
      </c>
      <c r="I979">
        <v>200</v>
      </c>
      <c r="J979">
        <v>30</v>
      </c>
      <c r="K979">
        <f t="shared" si="62"/>
        <v>15</v>
      </c>
      <c r="L979" t="s">
        <v>1737</v>
      </c>
      <c r="M979" t="s">
        <v>3768</v>
      </c>
      <c r="N979" t="s">
        <v>1</v>
      </c>
      <c r="O979">
        <v>586201</v>
      </c>
      <c r="P979" t="s">
        <v>546</v>
      </c>
      <c r="Q979" t="s">
        <v>1771</v>
      </c>
      <c r="S979">
        <v>3059.982</v>
      </c>
      <c r="T979">
        <v>2</v>
      </c>
      <c r="U979">
        <v>0.1</v>
      </c>
      <c r="V979">
        <v>679.99599999999998</v>
      </c>
      <c r="W979">
        <f t="shared" si="63"/>
        <v>1189.9929999999999</v>
      </c>
      <c r="X979">
        <v>3</v>
      </c>
    </row>
    <row r="980" spans="1:24" x14ac:dyDescent="0.3">
      <c r="A980">
        <v>979</v>
      </c>
      <c r="B980" t="s">
        <v>2749</v>
      </c>
      <c r="C980" s="6">
        <v>45175</v>
      </c>
      <c r="D980" t="str">
        <f t="shared" si="60"/>
        <v>Sep</v>
      </c>
      <c r="E980" t="str">
        <f t="shared" si="61"/>
        <v>2023</v>
      </c>
      <c r="F980" t="s">
        <v>5</v>
      </c>
      <c r="G980" t="s">
        <v>362</v>
      </c>
      <c r="H980" t="s">
        <v>1067</v>
      </c>
      <c r="I980">
        <v>170</v>
      </c>
      <c r="J980">
        <v>8</v>
      </c>
      <c r="K980">
        <f t="shared" si="62"/>
        <v>4.7058823529411766</v>
      </c>
      <c r="L980" t="s">
        <v>1743</v>
      </c>
      <c r="M980" t="s">
        <v>3769</v>
      </c>
      <c r="N980" t="s">
        <v>1</v>
      </c>
      <c r="O980">
        <v>500004</v>
      </c>
      <c r="P980" t="s">
        <v>546</v>
      </c>
      <c r="Q980" t="s">
        <v>1764</v>
      </c>
      <c r="S980">
        <v>3.282</v>
      </c>
      <c r="T980">
        <v>2</v>
      </c>
      <c r="U980">
        <v>0.7</v>
      </c>
      <c r="V980">
        <v>-2.6255999999999999</v>
      </c>
      <c r="W980">
        <f t="shared" si="63"/>
        <v>2.9538000000000002</v>
      </c>
      <c r="X980">
        <v>2</v>
      </c>
    </row>
    <row r="981" spans="1:24" x14ac:dyDescent="0.3">
      <c r="A981">
        <v>980</v>
      </c>
      <c r="B981" t="s">
        <v>2750</v>
      </c>
      <c r="C981" s="6">
        <v>45176</v>
      </c>
      <c r="D981" t="str">
        <f t="shared" si="60"/>
        <v>Sep</v>
      </c>
      <c r="E981" t="str">
        <f t="shared" si="61"/>
        <v>2023</v>
      </c>
      <c r="F981" t="s">
        <v>5</v>
      </c>
      <c r="G981" t="s">
        <v>40</v>
      </c>
      <c r="H981" t="s">
        <v>1299</v>
      </c>
      <c r="I981">
        <v>200</v>
      </c>
      <c r="J981">
        <v>16</v>
      </c>
      <c r="K981">
        <f t="shared" si="62"/>
        <v>8</v>
      </c>
      <c r="L981" t="s">
        <v>1738</v>
      </c>
      <c r="M981" t="s">
        <v>3770</v>
      </c>
      <c r="N981" t="s">
        <v>1</v>
      </c>
      <c r="O981">
        <v>500044</v>
      </c>
      <c r="P981" t="s">
        <v>546</v>
      </c>
      <c r="Q981" t="s">
        <v>1773</v>
      </c>
      <c r="S981">
        <v>34.020000000000003</v>
      </c>
      <c r="T981">
        <v>3</v>
      </c>
      <c r="U981">
        <v>0</v>
      </c>
      <c r="V981">
        <v>16.669799999999999</v>
      </c>
      <c r="W981">
        <f t="shared" si="63"/>
        <v>5.7834000000000012</v>
      </c>
      <c r="X981">
        <v>4</v>
      </c>
    </row>
    <row r="982" spans="1:24" x14ac:dyDescent="0.3">
      <c r="A982">
        <v>981</v>
      </c>
      <c r="B982" t="s">
        <v>2751</v>
      </c>
      <c r="C982" s="6">
        <v>45177</v>
      </c>
      <c r="D982" t="str">
        <f t="shared" si="60"/>
        <v>Sep</v>
      </c>
      <c r="E982" t="str">
        <f t="shared" si="61"/>
        <v>2023</v>
      </c>
      <c r="F982" t="s">
        <v>4</v>
      </c>
      <c r="G982" t="s">
        <v>19</v>
      </c>
      <c r="H982" t="s">
        <v>1184</v>
      </c>
      <c r="I982">
        <v>150</v>
      </c>
      <c r="J982">
        <v>20</v>
      </c>
      <c r="K982">
        <f t="shared" si="62"/>
        <v>13.333333333333334</v>
      </c>
      <c r="L982" t="s">
        <v>1739</v>
      </c>
      <c r="M982" t="s">
        <v>3771</v>
      </c>
      <c r="N982" t="s">
        <v>1</v>
      </c>
      <c r="O982">
        <v>834001</v>
      </c>
      <c r="P982" t="s">
        <v>546</v>
      </c>
      <c r="Q982" t="s">
        <v>1761</v>
      </c>
      <c r="R982" t="s">
        <v>2</v>
      </c>
      <c r="S982">
        <v>599.29200000000003</v>
      </c>
      <c r="T982">
        <v>6</v>
      </c>
      <c r="U982">
        <v>0.1</v>
      </c>
      <c r="V982">
        <v>93.223200000000006</v>
      </c>
      <c r="W982">
        <f t="shared" si="63"/>
        <v>84.344800000000006</v>
      </c>
      <c r="X982">
        <v>3</v>
      </c>
    </row>
    <row r="983" spans="1:24" x14ac:dyDescent="0.3">
      <c r="A983">
        <v>982</v>
      </c>
      <c r="B983" t="s">
        <v>2752</v>
      </c>
      <c r="C983" s="6">
        <v>45178</v>
      </c>
      <c r="D983" t="str">
        <f t="shared" si="60"/>
        <v>Sep</v>
      </c>
      <c r="E983" t="str">
        <f t="shared" si="61"/>
        <v>2023</v>
      </c>
      <c r="F983" t="s">
        <v>3</v>
      </c>
      <c r="G983" t="s">
        <v>363</v>
      </c>
      <c r="H983" t="s">
        <v>1300</v>
      </c>
      <c r="I983">
        <v>180</v>
      </c>
      <c r="J983">
        <v>12</v>
      </c>
      <c r="K983">
        <f t="shared" si="62"/>
        <v>6.666666666666667</v>
      </c>
      <c r="L983" t="s">
        <v>1741</v>
      </c>
      <c r="M983" t="s">
        <v>3796</v>
      </c>
      <c r="N983" t="s">
        <v>1</v>
      </c>
      <c r="O983">
        <v>700064</v>
      </c>
      <c r="P983" t="s">
        <v>546</v>
      </c>
      <c r="Q983" t="s">
        <v>1759</v>
      </c>
      <c r="S983">
        <v>3.3919999999999999</v>
      </c>
      <c r="T983">
        <v>1</v>
      </c>
      <c r="U983">
        <v>0.2</v>
      </c>
      <c r="V983">
        <v>0.80559999999999998</v>
      </c>
      <c r="W983">
        <f t="shared" si="63"/>
        <v>2.5863999999999998</v>
      </c>
      <c r="X983">
        <v>2</v>
      </c>
    </row>
    <row r="984" spans="1:24" x14ac:dyDescent="0.3">
      <c r="A984">
        <v>983</v>
      </c>
      <c r="B984" t="s">
        <v>2753</v>
      </c>
      <c r="C984" s="6">
        <v>45179</v>
      </c>
      <c r="D984" t="str">
        <f t="shared" si="60"/>
        <v>Sep</v>
      </c>
      <c r="E984" t="str">
        <f t="shared" si="61"/>
        <v>2023</v>
      </c>
      <c r="F984" t="s">
        <v>3</v>
      </c>
      <c r="G984" t="s">
        <v>363</v>
      </c>
      <c r="H984" t="s">
        <v>1301</v>
      </c>
      <c r="I984">
        <v>140</v>
      </c>
      <c r="J984">
        <v>6</v>
      </c>
      <c r="K984">
        <f t="shared" si="62"/>
        <v>4.2857142857142856</v>
      </c>
      <c r="L984" t="s">
        <v>1736</v>
      </c>
      <c r="M984" t="s">
        <v>3773</v>
      </c>
      <c r="N984" t="s">
        <v>1</v>
      </c>
      <c r="O984">
        <v>800025</v>
      </c>
      <c r="P984" t="s">
        <v>546</v>
      </c>
      <c r="Q984" t="s">
        <v>1776</v>
      </c>
      <c r="S984">
        <v>559.98400000000004</v>
      </c>
      <c r="T984">
        <v>2</v>
      </c>
      <c r="U984">
        <v>0.2</v>
      </c>
      <c r="V984">
        <v>55.998399999999997</v>
      </c>
      <c r="W984">
        <f t="shared" si="63"/>
        <v>251.99280000000002</v>
      </c>
      <c r="X984">
        <v>1</v>
      </c>
    </row>
    <row r="985" spans="1:24" x14ac:dyDescent="0.3">
      <c r="A985">
        <v>984</v>
      </c>
      <c r="B985" t="s">
        <v>2754</v>
      </c>
      <c r="C985" s="6">
        <v>45180</v>
      </c>
      <c r="D985" t="str">
        <f t="shared" si="60"/>
        <v>Sep</v>
      </c>
      <c r="E985" t="str">
        <f t="shared" si="61"/>
        <v>2023</v>
      </c>
      <c r="F985" t="s">
        <v>3</v>
      </c>
      <c r="G985" t="s">
        <v>363</v>
      </c>
      <c r="H985" t="s">
        <v>1209</v>
      </c>
      <c r="I985">
        <v>150</v>
      </c>
      <c r="J985">
        <v>18</v>
      </c>
      <c r="K985">
        <f t="shared" si="62"/>
        <v>12</v>
      </c>
      <c r="L985" t="s">
        <v>1744</v>
      </c>
      <c r="M985" t="s">
        <v>3774</v>
      </c>
      <c r="N985" t="s">
        <v>1</v>
      </c>
      <c r="O985">
        <v>411033</v>
      </c>
      <c r="P985" t="s">
        <v>546</v>
      </c>
      <c r="Q985" t="s">
        <v>1761</v>
      </c>
      <c r="S985">
        <v>603.91999999999996</v>
      </c>
      <c r="T985">
        <v>5</v>
      </c>
      <c r="U985">
        <v>0.2</v>
      </c>
      <c r="V985">
        <v>75.489999999999995</v>
      </c>
      <c r="W985">
        <f t="shared" si="63"/>
        <v>105.68599999999999</v>
      </c>
      <c r="X985">
        <v>4</v>
      </c>
    </row>
    <row r="986" spans="1:24" x14ac:dyDescent="0.3">
      <c r="A986">
        <v>985</v>
      </c>
      <c r="B986" t="s">
        <v>2755</v>
      </c>
      <c r="C986" s="6">
        <v>45181</v>
      </c>
      <c r="D986" t="str">
        <f t="shared" si="60"/>
        <v>Sep</v>
      </c>
      <c r="E986" t="str">
        <f t="shared" si="61"/>
        <v>2023</v>
      </c>
      <c r="F986" t="s">
        <v>4</v>
      </c>
      <c r="G986" t="s">
        <v>364</v>
      </c>
      <c r="H986" t="s">
        <v>1186</v>
      </c>
      <c r="I986">
        <v>190</v>
      </c>
      <c r="J986">
        <v>24</v>
      </c>
      <c r="K986">
        <f t="shared" si="62"/>
        <v>12.631578947368421</v>
      </c>
      <c r="L986" t="s">
        <v>1740</v>
      </c>
      <c r="M986" t="s">
        <v>3775</v>
      </c>
      <c r="N986" t="s">
        <v>1</v>
      </c>
      <c r="O986">
        <v>263145</v>
      </c>
      <c r="P986" t="s">
        <v>546</v>
      </c>
      <c r="Q986" t="s">
        <v>1761</v>
      </c>
      <c r="R986" t="s">
        <v>2</v>
      </c>
      <c r="S986">
        <v>7.968</v>
      </c>
      <c r="T986">
        <v>2</v>
      </c>
      <c r="U986">
        <v>0.2</v>
      </c>
      <c r="V986">
        <v>2.5895999999999999</v>
      </c>
      <c r="W986">
        <f t="shared" si="63"/>
        <v>2.6892</v>
      </c>
      <c r="X986">
        <v>4</v>
      </c>
    </row>
    <row r="987" spans="1:24" x14ac:dyDescent="0.3">
      <c r="A987">
        <v>986</v>
      </c>
      <c r="B987" t="s">
        <v>2756</v>
      </c>
      <c r="C987" s="6">
        <v>45182</v>
      </c>
      <c r="D987" t="str">
        <f t="shared" si="60"/>
        <v>Sep</v>
      </c>
      <c r="E987" t="str">
        <f t="shared" si="61"/>
        <v>2023</v>
      </c>
      <c r="F987" t="s">
        <v>4</v>
      </c>
      <c r="G987" t="s">
        <v>364</v>
      </c>
      <c r="H987" t="s">
        <v>1302</v>
      </c>
      <c r="I987">
        <v>200</v>
      </c>
      <c r="J987">
        <v>22</v>
      </c>
      <c r="K987">
        <f t="shared" si="62"/>
        <v>11</v>
      </c>
      <c r="L987" t="s">
        <v>1742</v>
      </c>
      <c r="M987" t="s">
        <v>3765</v>
      </c>
      <c r="N987" t="s">
        <v>1</v>
      </c>
      <c r="O987">
        <v>110019</v>
      </c>
      <c r="P987" t="s">
        <v>546</v>
      </c>
      <c r="Q987" t="s">
        <v>1766</v>
      </c>
      <c r="S987">
        <v>27.968</v>
      </c>
      <c r="T987">
        <v>4</v>
      </c>
      <c r="U987">
        <v>0.2</v>
      </c>
      <c r="V987">
        <v>9.4391999999999996</v>
      </c>
      <c r="W987">
        <f t="shared" si="63"/>
        <v>4.6322000000000001</v>
      </c>
      <c r="X987">
        <v>3</v>
      </c>
    </row>
    <row r="988" spans="1:24" x14ac:dyDescent="0.3">
      <c r="A988">
        <v>987</v>
      </c>
      <c r="B988" t="s">
        <v>2757</v>
      </c>
      <c r="C988" s="6">
        <v>45183</v>
      </c>
      <c r="D988" t="str">
        <f t="shared" si="60"/>
        <v>Sep</v>
      </c>
      <c r="E988" t="str">
        <f t="shared" si="61"/>
        <v>2023</v>
      </c>
      <c r="F988" t="s">
        <v>4</v>
      </c>
      <c r="G988" t="s">
        <v>364</v>
      </c>
      <c r="H988" t="s">
        <v>1303</v>
      </c>
      <c r="I988">
        <v>230</v>
      </c>
      <c r="J988">
        <v>22</v>
      </c>
      <c r="K988">
        <f t="shared" si="62"/>
        <v>9.5652173913043477</v>
      </c>
      <c r="L988" t="s">
        <v>1739</v>
      </c>
      <c r="M988" t="s">
        <v>3777</v>
      </c>
      <c r="N988" t="s">
        <v>1</v>
      </c>
      <c r="O988">
        <v>501101</v>
      </c>
      <c r="P988" t="s">
        <v>546</v>
      </c>
      <c r="Q988" t="s">
        <v>1772</v>
      </c>
      <c r="S988">
        <v>336.51</v>
      </c>
      <c r="T988">
        <v>3</v>
      </c>
      <c r="U988">
        <v>0.4</v>
      </c>
      <c r="V988">
        <v>44.868000000000002</v>
      </c>
      <c r="W988">
        <f t="shared" si="63"/>
        <v>97.213999999999999</v>
      </c>
      <c r="X988">
        <v>2</v>
      </c>
    </row>
    <row r="989" spans="1:24" x14ac:dyDescent="0.3">
      <c r="A989">
        <v>988</v>
      </c>
      <c r="B989" t="s">
        <v>2758</v>
      </c>
      <c r="C989" s="6">
        <v>45184</v>
      </c>
      <c r="D989" t="str">
        <f t="shared" si="60"/>
        <v>Sep</v>
      </c>
      <c r="E989" t="str">
        <f t="shared" si="61"/>
        <v>2023</v>
      </c>
      <c r="F989" t="s">
        <v>6</v>
      </c>
      <c r="G989" t="s">
        <v>365</v>
      </c>
      <c r="H989" t="s">
        <v>1304</v>
      </c>
      <c r="I989">
        <v>240</v>
      </c>
      <c r="J989">
        <v>6</v>
      </c>
      <c r="K989">
        <f t="shared" si="62"/>
        <v>2.5</v>
      </c>
      <c r="L989" t="s">
        <v>1738</v>
      </c>
      <c r="M989" t="s">
        <v>3750</v>
      </c>
      <c r="N989" t="s">
        <v>1</v>
      </c>
      <c r="O989">
        <v>500058</v>
      </c>
      <c r="P989" t="s">
        <v>546</v>
      </c>
      <c r="Q989" t="s">
        <v>1772</v>
      </c>
      <c r="S989">
        <v>1.1120000000000001</v>
      </c>
      <c r="T989">
        <v>2</v>
      </c>
      <c r="U989">
        <v>0.8</v>
      </c>
      <c r="V989">
        <v>-1.8904000000000001</v>
      </c>
      <c r="W989">
        <f t="shared" si="63"/>
        <v>1.5012000000000001</v>
      </c>
      <c r="X989">
        <v>3</v>
      </c>
    </row>
    <row r="990" spans="1:24" x14ac:dyDescent="0.3">
      <c r="A990">
        <v>989</v>
      </c>
      <c r="B990" t="s">
        <v>2759</v>
      </c>
      <c r="C990" s="6">
        <v>45185</v>
      </c>
      <c r="D990" t="str">
        <f t="shared" si="60"/>
        <v>Sep</v>
      </c>
      <c r="E990" t="str">
        <f t="shared" si="61"/>
        <v>2023</v>
      </c>
      <c r="F990" t="s">
        <v>4</v>
      </c>
      <c r="G990" t="s">
        <v>196</v>
      </c>
      <c r="H990" t="s">
        <v>1122</v>
      </c>
      <c r="I990">
        <v>110</v>
      </c>
      <c r="J990">
        <v>16</v>
      </c>
      <c r="K990">
        <f t="shared" si="62"/>
        <v>14.545454545454545</v>
      </c>
      <c r="L990" t="s">
        <v>1737</v>
      </c>
      <c r="M990" t="s">
        <v>3835</v>
      </c>
      <c r="N990" t="s">
        <v>1</v>
      </c>
      <c r="O990">
        <v>500058</v>
      </c>
      <c r="P990" t="s">
        <v>546</v>
      </c>
      <c r="Q990" t="s">
        <v>1759</v>
      </c>
      <c r="S990">
        <v>520.04999999999995</v>
      </c>
      <c r="T990">
        <v>5</v>
      </c>
      <c r="U990">
        <v>0</v>
      </c>
      <c r="V990">
        <v>72.807000000000002</v>
      </c>
      <c r="W990">
        <f t="shared" si="63"/>
        <v>89.448599999999985</v>
      </c>
      <c r="X990">
        <v>4</v>
      </c>
    </row>
    <row r="991" spans="1:24" x14ac:dyDescent="0.3">
      <c r="A991">
        <v>990</v>
      </c>
      <c r="B991" t="s">
        <v>2760</v>
      </c>
      <c r="C991" s="6">
        <v>45186</v>
      </c>
      <c r="D991" t="str">
        <f t="shared" si="60"/>
        <v>Sep</v>
      </c>
      <c r="E991" t="str">
        <f t="shared" si="61"/>
        <v>2023</v>
      </c>
      <c r="F991" t="s">
        <v>4</v>
      </c>
      <c r="G991" t="s">
        <v>196</v>
      </c>
      <c r="H991" t="s">
        <v>1305</v>
      </c>
      <c r="I991">
        <v>180</v>
      </c>
      <c r="J991">
        <v>30</v>
      </c>
      <c r="K991">
        <f t="shared" si="62"/>
        <v>16.666666666666664</v>
      </c>
      <c r="L991" t="s">
        <v>1743</v>
      </c>
      <c r="M991" t="s">
        <v>3836</v>
      </c>
      <c r="N991" t="s">
        <v>1</v>
      </c>
      <c r="O991">
        <v>122010</v>
      </c>
      <c r="P991" t="s">
        <v>546</v>
      </c>
      <c r="Q991" t="s">
        <v>1764</v>
      </c>
      <c r="S991">
        <v>17.97</v>
      </c>
      <c r="T991">
        <v>3</v>
      </c>
      <c r="U991">
        <v>0</v>
      </c>
      <c r="V991">
        <v>5.2112999999999996</v>
      </c>
      <c r="W991">
        <f t="shared" si="63"/>
        <v>4.2528999999999995</v>
      </c>
      <c r="X991">
        <v>5</v>
      </c>
    </row>
    <row r="992" spans="1:24" x14ac:dyDescent="0.3">
      <c r="A992">
        <v>991</v>
      </c>
      <c r="B992" t="s">
        <v>2761</v>
      </c>
      <c r="C992" s="6">
        <v>45187</v>
      </c>
      <c r="D992" t="str">
        <f t="shared" si="60"/>
        <v>Sep</v>
      </c>
      <c r="E992" t="str">
        <f t="shared" si="61"/>
        <v>2023</v>
      </c>
      <c r="F992" t="s">
        <v>3</v>
      </c>
      <c r="G992" t="s">
        <v>366</v>
      </c>
      <c r="H992" t="s">
        <v>831</v>
      </c>
      <c r="I992">
        <v>170</v>
      </c>
      <c r="J992">
        <v>10</v>
      </c>
      <c r="K992">
        <f t="shared" si="62"/>
        <v>5.8823529411764701</v>
      </c>
      <c r="L992" t="s">
        <v>1738</v>
      </c>
      <c r="M992" t="s">
        <v>3795</v>
      </c>
      <c r="O992">
        <v>110016</v>
      </c>
      <c r="P992" t="s">
        <v>546</v>
      </c>
      <c r="Q992" t="s">
        <v>1756</v>
      </c>
      <c r="S992">
        <v>1166.92</v>
      </c>
      <c r="T992">
        <v>5</v>
      </c>
      <c r="U992">
        <v>0.2</v>
      </c>
      <c r="V992">
        <v>131.27850000000001</v>
      </c>
      <c r="W992">
        <f t="shared" si="63"/>
        <v>207.12830000000002</v>
      </c>
      <c r="X992">
        <v>5</v>
      </c>
    </row>
    <row r="993" spans="1:24" x14ac:dyDescent="0.3">
      <c r="A993">
        <v>992</v>
      </c>
      <c r="B993" t="s">
        <v>2762</v>
      </c>
      <c r="C993" s="6">
        <v>45188</v>
      </c>
      <c r="D993" t="str">
        <f t="shared" si="60"/>
        <v>Sep</v>
      </c>
      <c r="E993" t="str">
        <f t="shared" si="61"/>
        <v>2023</v>
      </c>
      <c r="F993" t="s">
        <v>5</v>
      </c>
      <c r="G993" t="s">
        <v>66</v>
      </c>
      <c r="H993" t="s">
        <v>1171</v>
      </c>
      <c r="I993">
        <v>240</v>
      </c>
      <c r="J993">
        <v>28</v>
      </c>
      <c r="K993">
        <f t="shared" si="62"/>
        <v>11.666666666666666</v>
      </c>
      <c r="L993" t="s">
        <v>1739</v>
      </c>
      <c r="M993" t="s">
        <v>3751</v>
      </c>
      <c r="N993" t="s">
        <v>1</v>
      </c>
      <c r="O993">
        <v>500020</v>
      </c>
      <c r="P993" t="s">
        <v>546</v>
      </c>
      <c r="Q993" t="s">
        <v>1772</v>
      </c>
      <c r="S993">
        <v>14.624000000000001</v>
      </c>
      <c r="T993">
        <v>2</v>
      </c>
      <c r="U993">
        <v>0.2</v>
      </c>
      <c r="V993">
        <v>5.484</v>
      </c>
      <c r="W993">
        <f t="shared" si="63"/>
        <v>4.57</v>
      </c>
      <c r="X993">
        <v>1</v>
      </c>
    </row>
    <row r="994" spans="1:24" x14ac:dyDescent="0.3">
      <c r="A994">
        <v>993</v>
      </c>
      <c r="B994" t="s">
        <v>2763</v>
      </c>
      <c r="C994" s="6">
        <v>45189</v>
      </c>
      <c r="D994" t="str">
        <f t="shared" si="60"/>
        <v>Sep</v>
      </c>
      <c r="E994" t="str">
        <f t="shared" si="61"/>
        <v>2023</v>
      </c>
      <c r="F994" t="s">
        <v>5</v>
      </c>
      <c r="G994" t="s">
        <v>295</v>
      </c>
      <c r="H994" t="s">
        <v>810</v>
      </c>
      <c r="I994">
        <v>170</v>
      </c>
      <c r="J994">
        <v>14</v>
      </c>
      <c r="K994">
        <f t="shared" si="62"/>
        <v>8.235294117647058</v>
      </c>
      <c r="L994" t="s">
        <v>1741</v>
      </c>
      <c r="M994" t="s">
        <v>3752</v>
      </c>
      <c r="N994" t="s">
        <v>1</v>
      </c>
      <c r="O994">
        <v>110064</v>
      </c>
      <c r="P994" t="s">
        <v>546</v>
      </c>
      <c r="Q994" t="s">
        <v>1770</v>
      </c>
      <c r="S994">
        <v>10.23</v>
      </c>
      <c r="T994">
        <v>3</v>
      </c>
      <c r="U994">
        <v>0</v>
      </c>
      <c r="V994">
        <v>4.9104000000000001</v>
      </c>
      <c r="W994">
        <f t="shared" si="63"/>
        <v>1.7732000000000001</v>
      </c>
      <c r="X994">
        <v>4</v>
      </c>
    </row>
    <row r="995" spans="1:24" x14ac:dyDescent="0.3">
      <c r="A995">
        <v>994</v>
      </c>
      <c r="B995" t="s">
        <v>2764</v>
      </c>
      <c r="C995" s="6">
        <v>45190</v>
      </c>
      <c r="D995" t="str">
        <f t="shared" si="60"/>
        <v>Sep</v>
      </c>
      <c r="E995" t="str">
        <f t="shared" si="61"/>
        <v>2023</v>
      </c>
      <c r="F995" t="s">
        <v>5</v>
      </c>
      <c r="G995" t="s">
        <v>295</v>
      </c>
      <c r="H995" t="s">
        <v>1306</v>
      </c>
      <c r="I995">
        <v>150</v>
      </c>
      <c r="J995">
        <v>8</v>
      </c>
      <c r="K995">
        <f t="shared" si="62"/>
        <v>5.3333333333333339</v>
      </c>
      <c r="L995" t="s">
        <v>1736</v>
      </c>
      <c r="M995" t="s">
        <v>3753</v>
      </c>
      <c r="N995" t="s">
        <v>1</v>
      </c>
      <c r="O995">
        <v>531031</v>
      </c>
      <c r="P995" t="s">
        <v>546</v>
      </c>
      <c r="Q995" t="s">
        <v>1761</v>
      </c>
      <c r="R995" t="s">
        <v>2</v>
      </c>
      <c r="S995">
        <v>154.9</v>
      </c>
      <c r="T995">
        <v>5</v>
      </c>
      <c r="U995">
        <v>0</v>
      </c>
      <c r="V995">
        <v>69.704999999999998</v>
      </c>
      <c r="W995">
        <f t="shared" si="63"/>
        <v>17.039000000000001</v>
      </c>
      <c r="X995">
        <v>4</v>
      </c>
    </row>
    <row r="996" spans="1:24" x14ac:dyDescent="0.3">
      <c r="A996">
        <v>995</v>
      </c>
      <c r="B996" t="s">
        <v>2765</v>
      </c>
      <c r="C996" s="6">
        <v>45191</v>
      </c>
      <c r="D996" t="str">
        <f t="shared" si="60"/>
        <v>Sep</v>
      </c>
      <c r="E996" t="str">
        <f t="shared" si="61"/>
        <v>2023</v>
      </c>
      <c r="F996" t="s">
        <v>4</v>
      </c>
      <c r="G996" t="s">
        <v>367</v>
      </c>
      <c r="H996" t="s">
        <v>1307</v>
      </c>
      <c r="I996">
        <v>240</v>
      </c>
      <c r="J996">
        <v>12</v>
      </c>
      <c r="K996">
        <f t="shared" si="62"/>
        <v>5</v>
      </c>
      <c r="L996" t="s">
        <v>1744</v>
      </c>
      <c r="M996" t="s">
        <v>3754</v>
      </c>
      <c r="N996" t="s">
        <v>1</v>
      </c>
      <c r="O996">
        <v>495001</v>
      </c>
      <c r="P996" t="s">
        <v>546</v>
      </c>
      <c r="Q996" t="s">
        <v>1761</v>
      </c>
      <c r="S996">
        <v>2715.93</v>
      </c>
      <c r="T996">
        <v>7</v>
      </c>
      <c r="U996">
        <v>0</v>
      </c>
      <c r="V996">
        <v>1276.4871000000001</v>
      </c>
      <c r="W996">
        <f t="shared" si="63"/>
        <v>205.63469999999998</v>
      </c>
      <c r="X996">
        <v>1</v>
      </c>
    </row>
    <row r="997" spans="1:24" x14ac:dyDescent="0.3">
      <c r="A997">
        <v>996</v>
      </c>
      <c r="B997" t="s">
        <v>2766</v>
      </c>
      <c r="C997" s="6">
        <v>45192</v>
      </c>
      <c r="D997" t="str">
        <f t="shared" si="60"/>
        <v>Sep</v>
      </c>
      <c r="E997" t="str">
        <f t="shared" si="61"/>
        <v>2023</v>
      </c>
      <c r="F997" t="s">
        <v>4</v>
      </c>
      <c r="G997" t="s">
        <v>367</v>
      </c>
      <c r="H997" t="s">
        <v>1185</v>
      </c>
      <c r="I997">
        <v>150</v>
      </c>
      <c r="J997">
        <v>30</v>
      </c>
      <c r="K997">
        <f t="shared" si="62"/>
        <v>20</v>
      </c>
      <c r="L997" t="s">
        <v>1740</v>
      </c>
      <c r="M997" t="s">
        <v>3755</v>
      </c>
      <c r="N997" t="s">
        <v>1</v>
      </c>
      <c r="O997">
        <v>400088</v>
      </c>
      <c r="P997" t="s">
        <v>546</v>
      </c>
      <c r="Q997" t="s">
        <v>1756</v>
      </c>
      <c r="R997" t="s">
        <v>2</v>
      </c>
      <c r="S997">
        <v>617.97</v>
      </c>
      <c r="T997">
        <v>3</v>
      </c>
      <c r="U997">
        <v>0</v>
      </c>
      <c r="V997">
        <v>173.0316</v>
      </c>
      <c r="W997">
        <f t="shared" si="63"/>
        <v>148.31280000000001</v>
      </c>
      <c r="X997">
        <v>4</v>
      </c>
    </row>
    <row r="998" spans="1:24" x14ac:dyDescent="0.3">
      <c r="A998">
        <v>997</v>
      </c>
      <c r="B998" t="s">
        <v>2767</v>
      </c>
      <c r="C998" s="6">
        <v>45193</v>
      </c>
      <c r="D998" t="str">
        <f t="shared" si="60"/>
        <v>Sep</v>
      </c>
      <c r="E998" t="str">
        <f t="shared" si="61"/>
        <v>2023</v>
      </c>
      <c r="F998" t="s">
        <v>4</v>
      </c>
      <c r="G998" t="s">
        <v>368</v>
      </c>
      <c r="H998" t="s">
        <v>1308</v>
      </c>
      <c r="I998">
        <v>140</v>
      </c>
      <c r="J998">
        <v>8</v>
      </c>
      <c r="K998">
        <f t="shared" si="62"/>
        <v>5.7142857142857144</v>
      </c>
      <c r="L998" t="s">
        <v>1742</v>
      </c>
      <c r="M998" t="s">
        <v>3756</v>
      </c>
      <c r="N998" t="s">
        <v>1</v>
      </c>
      <c r="O998">
        <v>500008</v>
      </c>
      <c r="P998" t="s">
        <v>546</v>
      </c>
      <c r="Q998" t="s">
        <v>1767</v>
      </c>
      <c r="S998">
        <v>10.67</v>
      </c>
      <c r="T998">
        <v>1</v>
      </c>
      <c r="U998">
        <v>0</v>
      </c>
      <c r="V998">
        <v>4.9081999999999999</v>
      </c>
      <c r="W998">
        <f t="shared" si="63"/>
        <v>5.7618</v>
      </c>
      <c r="X998">
        <v>3</v>
      </c>
    </row>
    <row r="999" spans="1:24" x14ac:dyDescent="0.3">
      <c r="A999">
        <v>998</v>
      </c>
      <c r="B999" t="s">
        <v>2768</v>
      </c>
      <c r="C999" s="6">
        <v>45194</v>
      </c>
      <c r="D999" t="str">
        <f t="shared" si="60"/>
        <v>Sep</v>
      </c>
      <c r="E999" t="str">
        <f t="shared" si="61"/>
        <v>2023</v>
      </c>
      <c r="F999" t="s">
        <v>4</v>
      </c>
      <c r="G999" t="s">
        <v>368</v>
      </c>
      <c r="H999" t="s">
        <v>1309</v>
      </c>
      <c r="I999">
        <v>180</v>
      </c>
      <c r="J999">
        <v>6</v>
      </c>
      <c r="K999">
        <f t="shared" si="62"/>
        <v>3.3333333333333335</v>
      </c>
      <c r="L999" t="s">
        <v>1739</v>
      </c>
      <c r="M999" t="s">
        <v>3757</v>
      </c>
      <c r="N999" t="s">
        <v>1</v>
      </c>
      <c r="O999">
        <v>395002</v>
      </c>
      <c r="P999" t="s">
        <v>546</v>
      </c>
      <c r="Q999" t="s">
        <v>1774</v>
      </c>
      <c r="R999" t="s">
        <v>2</v>
      </c>
      <c r="S999">
        <v>36.630000000000003</v>
      </c>
      <c r="T999">
        <v>3</v>
      </c>
      <c r="U999">
        <v>0</v>
      </c>
      <c r="V999">
        <v>9.8901000000000003</v>
      </c>
      <c r="W999">
        <f t="shared" si="63"/>
        <v>8.9133000000000013</v>
      </c>
      <c r="X999">
        <v>4</v>
      </c>
    </row>
    <row r="1000" spans="1:24" x14ac:dyDescent="0.3">
      <c r="A1000">
        <v>999</v>
      </c>
      <c r="B1000" t="s">
        <v>2769</v>
      </c>
      <c r="C1000" s="6">
        <v>45195</v>
      </c>
      <c r="D1000" t="str">
        <f t="shared" si="60"/>
        <v>Sep</v>
      </c>
      <c r="E1000" t="str">
        <f t="shared" si="61"/>
        <v>2023</v>
      </c>
      <c r="F1000" t="s">
        <v>4</v>
      </c>
      <c r="G1000" t="s">
        <v>368</v>
      </c>
      <c r="H1000" t="s">
        <v>1310</v>
      </c>
      <c r="I1000">
        <v>200</v>
      </c>
      <c r="J1000">
        <v>26</v>
      </c>
      <c r="K1000">
        <f t="shared" si="62"/>
        <v>13</v>
      </c>
      <c r="L1000" t="s">
        <v>1738</v>
      </c>
      <c r="M1000" t="s">
        <v>3758</v>
      </c>
      <c r="N1000" t="s">
        <v>1</v>
      </c>
      <c r="O1000">
        <v>360004</v>
      </c>
      <c r="P1000" t="s">
        <v>546</v>
      </c>
      <c r="Q1000" t="s">
        <v>1758</v>
      </c>
      <c r="R1000" t="s">
        <v>2</v>
      </c>
      <c r="S1000">
        <v>24.1</v>
      </c>
      <c r="T1000">
        <v>5</v>
      </c>
      <c r="U1000">
        <v>0</v>
      </c>
      <c r="V1000">
        <v>9.1579999999999995</v>
      </c>
      <c r="W1000">
        <f t="shared" si="63"/>
        <v>2.9884000000000004</v>
      </c>
      <c r="X1000">
        <v>1</v>
      </c>
    </row>
    <row r="1001" spans="1:24" x14ac:dyDescent="0.3">
      <c r="A1001">
        <v>1000</v>
      </c>
      <c r="B1001" t="s">
        <v>2770</v>
      </c>
      <c r="C1001" s="6">
        <v>45196</v>
      </c>
      <c r="D1001" t="str">
        <f t="shared" si="60"/>
        <v>Sep</v>
      </c>
      <c r="E1001" t="str">
        <f t="shared" si="61"/>
        <v>2023</v>
      </c>
      <c r="F1001" t="s">
        <v>4</v>
      </c>
      <c r="G1001" t="s">
        <v>368</v>
      </c>
      <c r="H1001" t="s">
        <v>830</v>
      </c>
      <c r="I1001">
        <v>240</v>
      </c>
      <c r="J1001">
        <v>8</v>
      </c>
      <c r="K1001">
        <f t="shared" si="62"/>
        <v>3.3333333333333335</v>
      </c>
      <c r="L1001" t="s">
        <v>1737</v>
      </c>
      <c r="M1001" t="s">
        <v>3837</v>
      </c>
      <c r="N1001" t="s">
        <v>1</v>
      </c>
      <c r="O1001">
        <v>400078</v>
      </c>
      <c r="P1001" t="s">
        <v>546</v>
      </c>
      <c r="Q1001" t="s">
        <v>1764</v>
      </c>
      <c r="R1001" t="s">
        <v>2</v>
      </c>
      <c r="S1001">
        <v>33.11</v>
      </c>
      <c r="T1001">
        <v>7</v>
      </c>
      <c r="U1001">
        <v>0</v>
      </c>
      <c r="V1001">
        <v>12.9129</v>
      </c>
      <c r="W1001">
        <f t="shared" si="63"/>
        <v>2.8853</v>
      </c>
      <c r="X1001">
        <v>2</v>
      </c>
    </row>
    <row r="1002" spans="1:24" x14ac:dyDescent="0.3">
      <c r="A1002">
        <v>1001</v>
      </c>
      <c r="B1002" t="s">
        <v>2771</v>
      </c>
      <c r="C1002" s="6">
        <v>45197</v>
      </c>
      <c r="D1002" t="str">
        <f t="shared" si="60"/>
        <v>Sep</v>
      </c>
      <c r="E1002" t="str">
        <f t="shared" si="61"/>
        <v>2023</v>
      </c>
      <c r="F1002" t="s">
        <v>4</v>
      </c>
      <c r="G1002" t="s">
        <v>93</v>
      </c>
      <c r="H1002" t="s">
        <v>1213</v>
      </c>
      <c r="I1002">
        <v>230</v>
      </c>
      <c r="J1002">
        <v>20</v>
      </c>
      <c r="K1002">
        <f t="shared" si="62"/>
        <v>8.695652173913043</v>
      </c>
      <c r="L1002" t="s">
        <v>1743</v>
      </c>
      <c r="M1002" t="s">
        <v>3838</v>
      </c>
      <c r="N1002" t="s">
        <v>1</v>
      </c>
      <c r="O1002">
        <v>110003</v>
      </c>
      <c r="P1002" t="s">
        <v>546</v>
      </c>
      <c r="Q1002" t="s">
        <v>1761</v>
      </c>
      <c r="S1002">
        <v>44.02</v>
      </c>
      <c r="T1002">
        <v>2</v>
      </c>
      <c r="U1002">
        <v>0</v>
      </c>
      <c r="V1002">
        <v>11.4452</v>
      </c>
      <c r="W1002">
        <f t="shared" si="63"/>
        <v>16.287400000000002</v>
      </c>
      <c r="X1002">
        <v>3</v>
      </c>
    </row>
    <row r="1003" spans="1:24" x14ac:dyDescent="0.3">
      <c r="A1003">
        <v>1002</v>
      </c>
      <c r="B1003" t="s">
        <v>2772</v>
      </c>
      <c r="C1003" s="6">
        <v>45198</v>
      </c>
      <c r="D1003" t="str">
        <f t="shared" si="60"/>
        <v>Sep</v>
      </c>
      <c r="E1003" t="str">
        <f t="shared" si="61"/>
        <v>2023</v>
      </c>
      <c r="F1003" t="s">
        <v>6</v>
      </c>
      <c r="G1003" t="s">
        <v>309</v>
      </c>
      <c r="H1003" t="s">
        <v>1311</v>
      </c>
      <c r="I1003">
        <v>100</v>
      </c>
      <c r="J1003">
        <v>18</v>
      </c>
      <c r="K1003">
        <f t="shared" si="62"/>
        <v>18</v>
      </c>
      <c r="L1003" t="s">
        <v>1738</v>
      </c>
      <c r="M1003" t="s">
        <v>3839</v>
      </c>
      <c r="N1003" t="s">
        <v>1</v>
      </c>
      <c r="O1003">
        <v>605001</v>
      </c>
      <c r="P1003" t="s">
        <v>546</v>
      </c>
      <c r="Q1003" t="s">
        <v>1758</v>
      </c>
      <c r="S1003">
        <v>2309.65</v>
      </c>
      <c r="T1003">
        <v>7</v>
      </c>
      <c r="U1003">
        <v>0</v>
      </c>
      <c r="V1003">
        <v>762.18449999999996</v>
      </c>
      <c r="W1003">
        <f t="shared" si="63"/>
        <v>221.06650000000005</v>
      </c>
      <c r="X1003">
        <v>5</v>
      </c>
    </row>
    <row r="1004" spans="1:24" x14ac:dyDescent="0.3">
      <c r="A1004">
        <v>1003</v>
      </c>
      <c r="B1004" t="s">
        <v>2773</v>
      </c>
      <c r="C1004" s="6">
        <v>45199</v>
      </c>
      <c r="D1004" t="str">
        <f t="shared" si="60"/>
        <v>Sep</v>
      </c>
      <c r="E1004" t="str">
        <f t="shared" si="61"/>
        <v>2023</v>
      </c>
      <c r="F1004" t="s">
        <v>6</v>
      </c>
      <c r="G1004" t="s">
        <v>309</v>
      </c>
      <c r="H1004" t="s">
        <v>804</v>
      </c>
      <c r="I1004">
        <v>190</v>
      </c>
      <c r="J1004">
        <v>30</v>
      </c>
      <c r="K1004">
        <f t="shared" si="62"/>
        <v>15.789473684210526</v>
      </c>
      <c r="L1004" t="s">
        <v>1739</v>
      </c>
      <c r="M1004" t="s">
        <v>3840</v>
      </c>
      <c r="N1004" t="s">
        <v>1</v>
      </c>
      <c r="O1004">
        <v>492001</v>
      </c>
      <c r="P1004" t="s">
        <v>546</v>
      </c>
      <c r="Q1004" t="s">
        <v>1771</v>
      </c>
      <c r="S1004">
        <v>1090.7819999999999</v>
      </c>
      <c r="T1004">
        <v>7</v>
      </c>
      <c r="U1004">
        <v>0.4</v>
      </c>
      <c r="V1004">
        <v>-290.87520000000001</v>
      </c>
      <c r="W1004">
        <f t="shared" si="63"/>
        <v>197.37959999999998</v>
      </c>
      <c r="X1004">
        <v>2</v>
      </c>
    </row>
    <row r="1005" spans="1:24" x14ac:dyDescent="0.3">
      <c r="A1005">
        <v>1004</v>
      </c>
      <c r="B1005" t="s">
        <v>1902</v>
      </c>
      <c r="C1005" s="6">
        <v>45200</v>
      </c>
      <c r="D1005" t="str">
        <f t="shared" si="60"/>
        <v>Oct</v>
      </c>
      <c r="E1005" t="str">
        <f t="shared" si="61"/>
        <v>2023</v>
      </c>
      <c r="F1005" t="s">
        <v>6</v>
      </c>
      <c r="G1005" t="s">
        <v>309</v>
      </c>
      <c r="H1005" t="s">
        <v>1294</v>
      </c>
      <c r="I1005">
        <v>240</v>
      </c>
      <c r="J1005">
        <v>12</v>
      </c>
      <c r="K1005">
        <f t="shared" si="62"/>
        <v>5</v>
      </c>
      <c r="L1005" t="s">
        <v>1741</v>
      </c>
      <c r="M1005" t="s">
        <v>3841</v>
      </c>
      <c r="N1005" t="s">
        <v>1</v>
      </c>
      <c r="O1005">
        <v>600118</v>
      </c>
      <c r="P1005" t="s">
        <v>546</v>
      </c>
      <c r="Q1005" t="s">
        <v>1760</v>
      </c>
      <c r="S1005">
        <v>19.440000000000001</v>
      </c>
      <c r="T1005">
        <v>3</v>
      </c>
      <c r="U1005">
        <v>0</v>
      </c>
      <c r="V1005">
        <v>9.3312000000000008</v>
      </c>
      <c r="W1005">
        <f t="shared" si="63"/>
        <v>3.3696000000000002</v>
      </c>
      <c r="X1005">
        <v>4</v>
      </c>
    </row>
    <row r="1006" spans="1:24" x14ac:dyDescent="0.3">
      <c r="A1006">
        <v>1005</v>
      </c>
      <c r="B1006" t="s">
        <v>2774</v>
      </c>
      <c r="C1006" s="6">
        <v>45201</v>
      </c>
      <c r="D1006" t="str">
        <f t="shared" si="60"/>
        <v>Oct</v>
      </c>
      <c r="E1006" t="str">
        <f t="shared" si="61"/>
        <v>2023</v>
      </c>
      <c r="F1006" t="s">
        <v>4</v>
      </c>
      <c r="G1006" t="s">
        <v>369</v>
      </c>
      <c r="H1006" t="s">
        <v>1312</v>
      </c>
      <c r="I1006">
        <v>240</v>
      </c>
      <c r="J1006">
        <v>18</v>
      </c>
      <c r="K1006">
        <f t="shared" si="62"/>
        <v>7.5</v>
      </c>
      <c r="L1006" t="s">
        <v>1736</v>
      </c>
      <c r="M1006" t="s">
        <v>3842</v>
      </c>
      <c r="O1006">
        <v>682023</v>
      </c>
      <c r="P1006" t="s">
        <v>546</v>
      </c>
      <c r="Q1006" t="s">
        <v>1759</v>
      </c>
      <c r="S1006">
        <v>484.65</v>
      </c>
      <c r="T1006">
        <v>3</v>
      </c>
      <c r="U1006">
        <v>0</v>
      </c>
      <c r="V1006">
        <v>92.083500000000001</v>
      </c>
      <c r="W1006">
        <f t="shared" si="63"/>
        <v>130.85549999999998</v>
      </c>
      <c r="X1006">
        <v>4</v>
      </c>
    </row>
    <row r="1007" spans="1:24" x14ac:dyDescent="0.3">
      <c r="A1007">
        <v>1006</v>
      </c>
      <c r="B1007" t="s">
        <v>2775</v>
      </c>
      <c r="C1007" s="6">
        <v>45202</v>
      </c>
      <c r="D1007" t="str">
        <f t="shared" si="60"/>
        <v>Oct</v>
      </c>
      <c r="E1007" t="str">
        <f t="shared" si="61"/>
        <v>2023</v>
      </c>
      <c r="F1007" t="s">
        <v>4</v>
      </c>
      <c r="G1007" t="s">
        <v>307</v>
      </c>
      <c r="H1007" t="s">
        <v>1241</v>
      </c>
      <c r="I1007">
        <v>200</v>
      </c>
      <c r="J1007">
        <v>6</v>
      </c>
      <c r="K1007">
        <f t="shared" si="62"/>
        <v>3</v>
      </c>
      <c r="L1007" t="s">
        <v>1744</v>
      </c>
      <c r="M1007" t="s">
        <v>3674</v>
      </c>
      <c r="O1007">
        <v>421204</v>
      </c>
      <c r="P1007" t="s">
        <v>546</v>
      </c>
      <c r="Q1007" t="s">
        <v>1759</v>
      </c>
      <c r="S1007">
        <v>115.29600000000001</v>
      </c>
      <c r="T1007">
        <v>3</v>
      </c>
      <c r="U1007">
        <v>0.2</v>
      </c>
      <c r="V1007">
        <v>40.3536</v>
      </c>
      <c r="W1007">
        <f t="shared" si="63"/>
        <v>24.980800000000002</v>
      </c>
      <c r="X1007">
        <v>5</v>
      </c>
    </row>
    <row r="1008" spans="1:24" x14ac:dyDescent="0.3">
      <c r="A1008">
        <v>1007</v>
      </c>
      <c r="B1008" t="s">
        <v>2776</v>
      </c>
      <c r="C1008" s="6">
        <v>45203</v>
      </c>
      <c r="D1008" t="str">
        <f t="shared" si="60"/>
        <v>Oct</v>
      </c>
      <c r="E1008" t="str">
        <f t="shared" si="61"/>
        <v>2023</v>
      </c>
      <c r="F1008" t="s">
        <v>5</v>
      </c>
      <c r="G1008" t="s">
        <v>370</v>
      </c>
      <c r="H1008" t="s">
        <v>658</v>
      </c>
      <c r="I1008">
        <v>130</v>
      </c>
      <c r="J1008">
        <v>16</v>
      </c>
      <c r="K1008">
        <f t="shared" si="62"/>
        <v>12.307692307692308</v>
      </c>
      <c r="L1008" t="s">
        <v>1740</v>
      </c>
      <c r="M1008" t="s">
        <v>3843</v>
      </c>
      <c r="N1008" t="s">
        <v>1</v>
      </c>
      <c r="O1008">
        <v>110022</v>
      </c>
      <c r="P1008" t="s">
        <v>546</v>
      </c>
      <c r="Q1008" t="s">
        <v>1761</v>
      </c>
      <c r="R1008" t="s">
        <v>2</v>
      </c>
      <c r="S1008">
        <v>7.08</v>
      </c>
      <c r="T1008">
        <v>3</v>
      </c>
      <c r="U1008">
        <v>0.2</v>
      </c>
      <c r="V1008">
        <v>2.4780000000000002</v>
      </c>
      <c r="W1008">
        <f t="shared" si="63"/>
        <v>1.534</v>
      </c>
      <c r="X1008">
        <v>5</v>
      </c>
    </row>
    <row r="1009" spans="1:24" x14ac:dyDescent="0.3">
      <c r="A1009">
        <v>1008</v>
      </c>
      <c r="B1009" t="s">
        <v>2777</v>
      </c>
      <c r="C1009" s="6">
        <v>45204</v>
      </c>
      <c r="D1009" t="str">
        <f t="shared" si="60"/>
        <v>Oct</v>
      </c>
      <c r="E1009" t="str">
        <f t="shared" si="61"/>
        <v>2023</v>
      </c>
      <c r="F1009" t="s">
        <v>5</v>
      </c>
      <c r="G1009" t="s">
        <v>370</v>
      </c>
      <c r="H1009" t="s">
        <v>1313</v>
      </c>
      <c r="I1009">
        <v>180</v>
      </c>
      <c r="J1009">
        <v>20</v>
      </c>
      <c r="K1009">
        <f t="shared" si="62"/>
        <v>11.111111111111111</v>
      </c>
      <c r="L1009" t="s">
        <v>1742</v>
      </c>
      <c r="M1009" t="s">
        <v>3844</v>
      </c>
      <c r="N1009" t="s">
        <v>1</v>
      </c>
      <c r="O1009">
        <v>243122</v>
      </c>
      <c r="P1009" t="s">
        <v>546</v>
      </c>
      <c r="Q1009" t="s">
        <v>1767</v>
      </c>
      <c r="S1009">
        <v>4.4009999999999998</v>
      </c>
      <c r="T1009">
        <v>3</v>
      </c>
      <c r="U1009">
        <v>0.7</v>
      </c>
      <c r="V1009">
        <v>-3.5207999999999999</v>
      </c>
      <c r="W1009">
        <f t="shared" si="63"/>
        <v>2.6405999999999996</v>
      </c>
      <c r="X1009">
        <v>3</v>
      </c>
    </row>
    <row r="1010" spans="1:24" x14ac:dyDescent="0.3">
      <c r="A1010">
        <v>1009</v>
      </c>
      <c r="B1010" t="s">
        <v>2778</v>
      </c>
      <c r="C1010" s="6">
        <v>45205</v>
      </c>
      <c r="D1010" t="str">
        <f t="shared" si="60"/>
        <v>Oct</v>
      </c>
      <c r="E1010" t="str">
        <f t="shared" si="61"/>
        <v>2023</v>
      </c>
      <c r="F1010" t="s">
        <v>4</v>
      </c>
      <c r="G1010" t="s">
        <v>145</v>
      </c>
      <c r="H1010" t="s">
        <v>969</v>
      </c>
      <c r="I1010">
        <v>190</v>
      </c>
      <c r="J1010">
        <v>8</v>
      </c>
      <c r="K1010">
        <f t="shared" si="62"/>
        <v>4.2105263157894735</v>
      </c>
      <c r="L1010" t="s">
        <v>1739</v>
      </c>
      <c r="M1010" t="s">
        <v>3845</v>
      </c>
      <c r="N1010" t="s">
        <v>1</v>
      </c>
      <c r="O1010">
        <v>400006</v>
      </c>
      <c r="P1010" t="s">
        <v>546</v>
      </c>
      <c r="Q1010" t="s">
        <v>1766</v>
      </c>
      <c r="S1010">
        <v>44.75</v>
      </c>
      <c r="T1010">
        <v>5</v>
      </c>
      <c r="U1010">
        <v>0</v>
      </c>
      <c r="V1010">
        <v>20.585000000000001</v>
      </c>
      <c r="W1010">
        <f t="shared" si="63"/>
        <v>4.8330000000000002</v>
      </c>
      <c r="X1010">
        <v>2</v>
      </c>
    </row>
    <row r="1011" spans="1:24" x14ac:dyDescent="0.3">
      <c r="A1011">
        <v>1010</v>
      </c>
      <c r="B1011" t="s">
        <v>2779</v>
      </c>
      <c r="C1011" s="6">
        <v>45206</v>
      </c>
      <c r="D1011" t="str">
        <f t="shared" si="60"/>
        <v>Oct</v>
      </c>
      <c r="E1011" t="str">
        <f t="shared" si="61"/>
        <v>2023</v>
      </c>
      <c r="F1011" t="s">
        <v>5</v>
      </c>
      <c r="G1011" t="s">
        <v>254</v>
      </c>
      <c r="H1011" t="s">
        <v>707</v>
      </c>
      <c r="I1011">
        <v>120</v>
      </c>
      <c r="J1011">
        <v>6</v>
      </c>
      <c r="K1011">
        <f t="shared" si="62"/>
        <v>5</v>
      </c>
      <c r="L1011" t="s">
        <v>1738</v>
      </c>
      <c r="M1011" t="s">
        <v>3846</v>
      </c>
      <c r="N1011" t="s">
        <v>1</v>
      </c>
      <c r="O1011">
        <v>201301</v>
      </c>
      <c r="P1011" t="s">
        <v>546</v>
      </c>
      <c r="Q1011" t="s">
        <v>1767</v>
      </c>
      <c r="S1011">
        <v>95.983999999999995</v>
      </c>
      <c r="T1011">
        <v>2</v>
      </c>
      <c r="U1011">
        <v>0.2</v>
      </c>
      <c r="V1011">
        <v>5.9989999999999997</v>
      </c>
      <c r="W1011">
        <f t="shared" si="63"/>
        <v>44.9925</v>
      </c>
      <c r="X1011">
        <v>5</v>
      </c>
    </row>
    <row r="1012" spans="1:24" x14ac:dyDescent="0.3">
      <c r="A1012">
        <v>1011</v>
      </c>
      <c r="B1012" t="s">
        <v>2780</v>
      </c>
      <c r="C1012" s="6">
        <v>45207</v>
      </c>
      <c r="D1012" t="str">
        <f t="shared" si="60"/>
        <v>Oct</v>
      </c>
      <c r="E1012" t="str">
        <f t="shared" si="61"/>
        <v>2023</v>
      </c>
      <c r="F1012" t="s">
        <v>5</v>
      </c>
      <c r="G1012" t="s">
        <v>371</v>
      </c>
      <c r="H1012" t="s">
        <v>1314</v>
      </c>
      <c r="I1012">
        <v>250</v>
      </c>
      <c r="J1012">
        <v>24</v>
      </c>
      <c r="K1012">
        <f t="shared" si="62"/>
        <v>9.6</v>
      </c>
      <c r="L1012" t="s">
        <v>1743</v>
      </c>
      <c r="M1012" t="s">
        <v>3847</v>
      </c>
      <c r="N1012" t="s">
        <v>1</v>
      </c>
      <c r="O1012">
        <v>190003</v>
      </c>
      <c r="P1012" t="s">
        <v>546</v>
      </c>
      <c r="Q1012" t="s">
        <v>1760</v>
      </c>
      <c r="S1012">
        <v>151.72</v>
      </c>
      <c r="T1012">
        <v>4</v>
      </c>
      <c r="U1012">
        <v>0</v>
      </c>
      <c r="V1012">
        <v>27.3096</v>
      </c>
      <c r="W1012">
        <f t="shared" si="63"/>
        <v>31.102599999999999</v>
      </c>
      <c r="X1012">
        <v>5</v>
      </c>
    </row>
    <row r="1013" spans="1:24" x14ac:dyDescent="0.3">
      <c r="A1013">
        <v>1012</v>
      </c>
      <c r="B1013" t="s">
        <v>2781</v>
      </c>
      <c r="C1013" s="6">
        <v>45208</v>
      </c>
      <c r="D1013" t="str">
        <f t="shared" si="60"/>
        <v>Oct</v>
      </c>
      <c r="E1013" t="str">
        <f t="shared" si="61"/>
        <v>2023</v>
      </c>
      <c r="F1013" t="s">
        <v>3</v>
      </c>
      <c r="G1013" t="s">
        <v>65</v>
      </c>
      <c r="H1013" t="s">
        <v>575</v>
      </c>
      <c r="I1013">
        <v>110</v>
      </c>
      <c r="J1013">
        <v>22</v>
      </c>
      <c r="K1013">
        <f t="shared" si="62"/>
        <v>20</v>
      </c>
      <c r="L1013" t="s">
        <v>1737</v>
      </c>
      <c r="M1013" t="s">
        <v>3848</v>
      </c>
      <c r="N1013" t="s">
        <v>1</v>
      </c>
      <c r="O1013">
        <v>431720</v>
      </c>
      <c r="P1013" t="s">
        <v>546</v>
      </c>
      <c r="Q1013" t="s">
        <v>1772</v>
      </c>
      <c r="R1013" t="s">
        <v>2</v>
      </c>
      <c r="S1013">
        <v>155.25</v>
      </c>
      <c r="T1013">
        <v>3</v>
      </c>
      <c r="U1013">
        <v>0</v>
      </c>
      <c r="V1013">
        <v>46.575000000000003</v>
      </c>
      <c r="W1013">
        <f t="shared" si="63"/>
        <v>36.225000000000001</v>
      </c>
      <c r="X1013">
        <v>3</v>
      </c>
    </row>
    <row r="1014" spans="1:24" x14ac:dyDescent="0.3">
      <c r="A1014">
        <v>1013</v>
      </c>
      <c r="B1014" t="s">
        <v>2782</v>
      </c>
      <c r="C1014" s="6">
        <v>45209</v>
      </c>
      <c r="D1014" t="str">
        <f t="shared" si="60"/>
        <v>Oct</v>
      </c>
      <c r="E1014" t="str">
        <f t="shared" si="61"/>
        <v>2023</v>
      </c>
      <c r="F1014" t="s">
        <v>3</v>
      </c>
      <c r="G1014" t="s">
        <v>65</v>
      </c>
      <c r="H1014" t="s">
        <v>1315</v>
      </c>
      <c r="I1014">
        <v>250</v>
      </c>
      <c r="J1014">
        <v>8</v>
      </c>
      <c r="K1014">
        <f t="shared" si="62"/>
        <v>3.2</v>
      </c>
      <c r="L1014" t="s">
        <v>1741</v>
      </c>
      <c r="M1014" t="s">
        <v>3849</v>
      </c>
      <c r="N1014" t="s">
        <v>1</v>
      </c>
      <c r="O1014">
        <v>689546</v>
      </c>
      <c r="P1014" t="s">
        <v>546</v>
      </c>
      <c r="Q1014" t="s">
        <v>1754</v>
      </c>
      <c r="S1014">
        <v>14.03</v>
      </c>
      <c r="T1014">
        <v>1</v>
      </c>
      <c r="U1014">
        <v>0</v>
      </c>
      <c r="V1014">
        <v>4.0686999999999998</v>
      </c>
      <c r="W1014">
        <f t="shared" si="63"/>
        <v>9.9612999999999996</v>
      </c>
      <c r="X1014">
        <v>2</v>
      </c>
    </row>
    <row r="1015" spans="1:24" x14ac:dyDescent="0.3">
      <c r="A1015">
        <v>1014</v>
      </c>
      <c r="B1015" t="s">
        <v>2783</v>
      </c>
      <c r="C1015" s="6">
        <v>45210</v>
      </c>
      <c r="D1015" t="str">
        <f t="shared" si="60"/>
        <v>Oct</v>
      </c>
      <c r="E1015" t="str">
        <f t="shared" si="61"/>
        <v>2023</v>
      </c>
      <c r="F1015" t="s">
        <v>3</v>
      </c>
      <c r="G1015" t="s">
        <v>372</v>
      </c>
      <c r="H1015" t="s">
        <v>756</v>
      </c>
      <c r="I1015">
        <v>100</v>
      </c>
      <c r="J1015">
        <v>6</v>
      </c>
      <c r="K1015">
        <f t="shared" si="62"/>
        <v>6</v>
      </c>
      <c r="L1015" t="s">
        <v>1736</v>
      </c>
      <c r="M1015" t="s">
        <v>3850</v>
      </c>
      <c r="N1015" t="s">
        <v>1</v>
      </c>
      <c r="O1015">
        <v>689546</v>
      </c>
      <c r="P1015" t="s">
        <v>546</v>
      </c>
      <c r="Q1015" t="s">
        <v>1754</v>
      </c>
      <c r="S1015">
        <v>1618.37</v>
      </c>
      <c r="T1015">
        <v>13</v>
      </c>
      <c r="U1015">
        <v>0</v>
      </c>
      <c r="V1015">
        <v>356.04140000000001</v>
      </c>
      <c r="W1015">
        <f t="shared" si="63"/>
        <v>97.102199999999982</v>
      </c>
      <c r="X1015">
        <v>5</v>
      </c>
    </row>
    <row r="1016" spans="1:24" x14ac:dyDescent="0.3">
      <c r="A1016">
        <v>1015</v>
      </c>
      <c r="B1016" t="s">
        <v>2784</v>
      </c>
      <c r="C1016" s="6">
        <v>45211</v>
      </c>
      <c r="D1016" t="str">
        <f t="shared" si="60"/>
        <v>Oct</v>
      </c>
      <c r="E1016" t="str">
        <f t="shared" si="61"/>
        <v>2023</v>
      </c>
      <c r="F1016" t="s">
        <v>3</v>
      </c>
      <c r="G1016" t="s">
        <v>372</v>
      </c>
      <c r="H1016" t="s">
        <v>1316</v>
      </c>
      <c r="I1016">
        <v>150</v>
      </c>
      <c r="J1016">
        <v>10</v>
      </c>
      <c r="K1016">
        <f t="shared" si="62"/>
        <v>6.666666666666667</v>
      </c>
      <c r="L1016" t="s">
        <v>1744</v>
      </c>
      <c r="M1016" t="s">
        <v>3851</v>
      </c>
      <c r="N1016" t="s">
        <v>1</v>
      </c>
      <c r="O1016">
        <v>689546</v>
      </c>
      <c r="P1016" t="s">
        <v>546</v>
      </c>
      <c r="Q1016" t="s">
        <v>1759</v>
      </c>
      <c r="R1016" t="s">
        <v>2</v>
      </c>
      <c r="S1016">
        <v>99.6</v>
      </c>
      <c r="T1016">
        <v>1</v>
      </c>
      <c r="U1016">
        <v>0</v>
      </c>
      <c r="V1016">
        <v>36.851999999999997</v>
      </c>
      <c r="W1016">
        <f t="shared" si="63"/>
        <v>62.747999999999998</v>
      </c>
      <c r="X1016">
        <v>1</v>
      </c>
    </row>
    <row r="1017" spans="1:24" x14ac:dyDescent="0.3">
      <c r="A1017">
        <v>1016</v>
      </c>
      <c r="B1017" t="s">
        <v>2785</v>
      </c>
      <c r="C1017" s="6">
        <v>45212</v>
      </c>
      <c r="D1017" t="str">
        <f t="shared" si="60"/>
        <v>Oct</v>
      </c>
      <c r="E1017" t="str">
        <f t="shared" si="61"/>
        <v>2023</v>
      </c>
      <c r="F1017" t="s">
        <v>3</v>
      </c>
      <c r="G1017" t="s">
        <v>253</v>
      </c>
      <c r="H1017" t="s">
        <v>807</v>
      </c>
      <c r="I1017">
        <v>250</v>
      </c>
      <c r="J1017">
        <v>24</v>
      </c>
      <c r="K1017">
        <f t="shared" si="62"/>
        <v>9.6</v>
      </c>
      <c r="L1017" t="s">
        <v>1740</v>
      </c>
      <c r="M1017" t="s">
        <v>3852</v>
      </c>
      <c r="N1017" t="s">
        <v>1</v>
      </c>
      <c r="O1017">
        <v>486331</v>
      </c>
      <c r="P1017" t="s">
        <v>546</v>
      </c>
      <c r="Q1017" t="s">
        <v>1755</v>
      </c>
      <c r="S1017">
        <v>32.4</v>
      </c>
      <c r="T1017">
        <v>5</v>
      </c>
      <c r="U1017">
        <v>0</v>
      </c>
      <c r="V1017">
        <v>15.552</v>
      </c>
      <c r="W1017">
        <f t="shared" si="63"/>
        <v>3.3695999999999997</v>
      </c>
      <c r="X1017">
        <v>4</v>
      </c>
    </row>
    <row r="1018" spans="1:24" x14ac:dyDescent="0.3">
      <c r="A1018">
        <v>1017</v>
      </c>
      <c r="B1018" t="s">
        <v>2786</v>
      </c>
      <c r="C1018" s="6">
        <v>45213</v>
      </c>
      <c r="D1018" t="str">
        <f t="shared" si="60"/>
        <v>Oct</v>
      </c>
      <c r="E1018" t="str">
        <f t="shared" si="61"/>
        <v>2023</v>
      </c>
      <c r="F1018" t="s">
        <v>4</v>
      </c>
      <c r="G1018" t="s">
        <v>373</v>
      </c>
      <c r="H1018" t="s">
        <v>1317</v>
      </c>
      <c r="I1018">
        <v>160</v>
      </c>
      <c r="J1018">
        <v>20</v>
      </c>
      <c r="K1018">
        <f t="shared" si="62"/>
        <v>12.5</v>
      </c>
      <c r="L1018" t="s">
        <v>1742</v>
      </c>
      <c r="M1018" t="s">
        <v>3853</v>
      </c>
      <c r="N1018" t="s">
        <v>1</v>
      </c>
      <c r="O1018">
        <v>380054</v>
      </c>
      <c r="P1018" t="s">
        <v>546</v>
      </c>
      <c r="Q1018" t="s">
        <v>1759</v>
      </c>
      <c r="S1018">
        <v>13.96</v>
      </c>
      <c r="T1018">
        <v>2</v>
      </c>
      <c r="U1018">
        <v>0</v>
      </c>
      <c r="V1018">
        <v>6.7008000000000001</v>
      </c>
      <c r="W1018">
        <f t="shared" si="63"/>
        <v>3.6296000000000004</v>
      </c>
      <c r="X1018">
        <v>2</v>
      </c>
    </row>
    <row r="1019" spans="1:24" x14ac:dyDescent="0.3">
      <c r="A1019">
        <v>1018</v>
      </c>
      <c r="B1019" t="s">
        <v>2787</v>
      </c>
      <c r="C1019" s="6">
        <v>45214</v>
      </c>
      <c r="D1019" t="str">
        <f t="shared" si="60"/>
        <v>Oct</v>
      </c>
      <c r="E1019" t="str">
        <f t="shared" si="61"/>
        <v>2023</v>
      </c>
      <c r="F1019" t="s">
        <v>4</v>
      </c>
      <c r="G1019" t="s">
        <v>373</v>
      </c>
      <c r="H1019" t="s">
        <v>1236</v>
      </c>
      <c r="I1019">
        <v>120</v>
      </c>
      <c r="J1019">
        <v>28</v>
      </c>
      <c r="K1019">
        <f t="shared" si="62"/>
        <v>23.333333333333332</v>
      </c>
      <c r="L1019" t="s">
        <v>1739</v>
      </c>
      <c r="M1019" t="s">
        <v>3854</v>
      </c>
      <c r="N1019" t="s">
        <v>1</v>
      </c>
      <c r="O1019">
        <v>815351</v>
      </c>
      <c r="P1019" t="s">
        <v>546</v>
      </c>
      <c r="Q1019" t="s">
        <v>1763</v>
      </c>
      <c r="S1019">
        <v>155.82</v>
      </c>
      <c r="T1019">
        <v>3</v>
      </c>
      <c r="U1019">
        <v>0</v>
      </c>
      <c r="V1019">
        <v>63.886200000000002</v>
      </c>
      <c r="W1019">
        <f t="shared" si="63"/>
        <v>30.644599999999997</v>
      </c>
      <c r="X1019">
        <v>4</v>
      </c>
    </row>
    <row r="1020" spans="1:24" x14ac:dyDescent="0.3">
      <c r="A1020">
        <v>1019</v>
      </c>
      <c r="B1020" t="s">
        <v>2788</v>
      </c>
      <c r="C1020" s="6">
        <v>45215</v>
      </c>
      <c r="D1020" t="str">
        <f t="shared" si="60"/>
        <v>Oct</v>
      </c>
      <c r="E1020" t="str">
        <f t="shared" si="61"/>
        <v>2023</v>
      </c>
      <c r="F1020" t="s">
        <v>4</v>
      </c>
      <c r="G1020" t="s">
        <v>373</v>
      </c>
      <c r="H1020" t="s">
        <v>1318</v>
      </c>
      <c r="I1020">
        <v>180</v>
      </c>
      <c r="J1020">
        <v>28</v>
      </c>
      <c r="K1020">
        <f t="shared" si="62"/>
        <v>15.555555555555555</v>
      </c>
      <c r="L1020" t="s">
        <v>1738</v>
      </c>
      <c r="M1020" t="s">
        <v>3855</v>
      </c>
      <c r="N1020" t="s">
        <v>1</v>
      </c>
      <c r="O1020">
        <v>122001</v>
      </c>
      <c r="P1020" t="s">
        <v>546</v>
      </c>
      <c r="Q1020" t="s">
        <v>1761</v>
      </c>
      <c r="S1020">
        <v>124.95</v>
      </c>
      <c r="T1020">
        <v>5</v>
      </c>
      <c r="U1020">
        <v>0</v>
      </c>
      <c r="V1020">
        <v>2.4990000000000001</v>
      </c>
      <c r="W1020">
        <f t="shared" si="63"/>
        <v>24.490200000000002</v>
      </c>
      <c r="X1020">
        <v>5</v>
      </c>
    </row>
    <row r="1021" spans="1:24" x14ac:dyDescent="0.3">
      <c r="A1021">
        <v>1020</v>
      </c>
      <c r="B1021" t="s">
        <v>2789</v>
      </c>
      <c r="C1021" s="6">
        <v>45216</v>
      </c>
      <c r="D1021" t="str">
        <f t="shared" si="60"/>
        <v>Oct</v>
      </c>
      <c r="E1021" t="str">
        <f t="shared" si="61"/>
        <v>2023</v>
      </c>
      <c r="F1021" t="s">
        <v>4</v>
      </c>
      <c r="G1021" t="s">
        <v>373</v>
      </c>
      <c r="H1021" t="s">
        <v>1319</v>
      </c>
      <c r="I1021">
        <v>210</v>
      </c>
      <c r="J1021">
        <v>20</v>
      </c>
      <c r="K1021">
        <f t="shared" si="62"/>
        <v>9.5238095238095237</v>
      </c>
      <c r="L1021" t="s">
        <v>1737</v>
      </c>
      <c r="M1021" t="s">
        <v>3856</v>
      </c>
      <c r="N1021" t="s">
        <v>1</v>
      </c>
      <c r="O1021">
        <v>744102</v>
      </c>
      <c r="P1021" t="s">
        <v>546</v>
      </c>
      <c r="Q1021" t="s">
        <v>1761</v>
      </c>
      <c r="R1021" t="s">
        <v>2</v>
      </c>
      <c r="S1021">
        <v>601.65</v>
      </c>
      <c r="T1021">
        <v>5</v>
      </c>
      <c r="U1021">
        <v>0</v>
      </c>
      <c r="V1021">
        <v>156.429</v>
      </c>
      <c r="W1021">
        <f t="shared" si="63"/>
        <v>89.044200000000004</v>
      </c>
      <c r="X1021">
        <v>2</v>
      </c>
    </row>
    <row r="1022" spans="1:24" x14ac:dyDescent="0.3">
      <c r="A1022">
        <v>1021</v>
      </c>
      <c r="B1022" t="s">
        <v>2790</v>
      </c>
      <c r="C1022" s="6">
        <v>45217</v>
      </c>
      <c r="D1022" t="str">
        <f t="shared" si="60"/>
        <v>Oct</v>
      </c>
      <c r="E1022" t="str">
        <f t="shared" si="61"/>
        <v>2023</v>
      </c>
      <c r="F1022" t="s">
        <v>4</v>
      </c>
      <c r="G1022" t="s">
        <v>225</v>
      </c>
      <c r="H1022" t="s">
        <v>1320</v>
      </c>
      <c r="I1022">
        <v>170</v>
      </c>
      <c r="J1022">
        <v>20</v>
      </c>
      <c r="K1022">
        <f t="shared" si="62"/>
        <v>11.76470588235294</v>
      </c>
      <c r="L1022" t="s">
        <v>1743</v>
      </c>
      <c r="M1022" t="s">
        <v>3857</v>
      </c>
      <c r="N1022" t="s">
        <v>1</v>
      </c>
      <c r="O1022">
        <v>801110</v>
      </c>
      <c r="P1022" t="s">
        <v>546</v>
      </c>
      <c r="Q1022" t="s">
        <v>1758</v>
      </c>
      <c r="S1022">
        <v>22.74</v>
      </c>
      <c r="T1022">
        <v>3</v>
      </c>
      <c r="U1022">
        <v>0</v>
      </c>
      <c r="V1022">
        <v>8.8686000000000007</v>
      </c>
      <c r="W1022">
        <f t="shared" si="63"/>
        <v>4.6237999999999992</v>
      </c>
      <c r="X1022">
        <v>3</v>
      </c>
    </row>
    <row r="1023" spans="1:24" x14ac:dyDescent="0.3">
      <c r="A1023">
        <v>1022</v>
      </c>
      <c r="B1023" t="s">
        <v>2791</v>
      </c>
      <c r="C1023" s="6">
        <v>45218</v>
      </c>
      <c r="D1023" t="str">
        <f t="shared" si="60"/>
        <v>Oct</v>
      </c>
      <c r="E1023" t="str">
        <f t="shared" si="61"/>
        <v>2023</v>
      </c>
      <c r="F1023" t="s">
        <v>4</v>
      </c>
      <c r="G1023" t="s">
        <v>225</v>
      </c>
      <c r="H1023" t="s">
        <v>1321</v>
      </c>
      <c r="I1023">
        <v>180</v>
      </c>
      <c r="J1023">
        <v>26</v>
      </c>
      <c r="K1023">
        <f t="shared" si="62"/>
        <v>14.444444444444443</v>
      </c>
      <c r="L1023" t="s">
        <v>1738</v>
      </c>
      <c r="M1023" t="s">
        <v>3858</v>
      </c>
      <c r="N1023" t="s">
        <v>1</v>
      </c>
      <c r="O1023">
        <v>122103</v>
      </c>
      <c r="P1023" t="s">
        <v>546</v>
      </c>
      <c r="Q1023" t="s">
        <v>1768</v>
      </c>
      <c r="S1023">
        <v>1267.53</v>
      </c>
      <c r="T1023">
        <v>3</v>
      </c>
      <c r="U1023">
        <v>0</v>
      </c>
      <c r="V1023">
        <v>316.88249999999999</v>
      </c>
      <c r="W1023">
        <f t="shared" si="63"/>
        <v>316.88249999999999</v>
      </c>
      <c r="X1023">
        <v>4</v>
      </c>
    </row>
    <row r="1024" spans="1:24" x14ac:dyDescent="0.3">
      <c r="A1024">
        <v>1023</v>
      </c>
      <c r="B1024" t="s">
        <v>2792</v>
      </c>
      <c r="C1024" s="6">
        <v>45219</v>
      </c>
      <c r="D1024" t="str">
        <f t="shared" si="60"/>
        <v>Oct</v>
      </c>
      <c r="E1024" t="str">
        <f t="shared" si="61"/>
        <v>2023</v>
      </c>
      <c r="F1024" t="s">
        <v>4</v>
      </c>
      <c r="G1024" t="s">
        <v>225</v>
      </c>
      <c r="H1024" t="s">
        <v>1322</v>
      </c>
      <c r="I1024">
        <v>240</v>
      </c>
      <c r="J1024">
        <v>26</v>
      </c>
      <c r="K1024">
        <f t="shared" si="62"/>
        <v>10.833333333333334</v>
      </c>
      <c r="L1024" t="s">
        <v>1739</v>
      </c>
      <c r="M1024" t="s">
        <v>3859</v>
      </c>
      <c r="N1024" t="s">
        <v>1</v>
      </c>
      <c r="O1024">
        <v>632013</v>
      </c>
      <c r="P1024" t="s">
        <v>546</v>
      </c>
      <c r="Q1024" t="s">
        <v>1761</v>
      </c>
      <c r="S1024">
        <v>1379.92</v>
      </c>
      <c r="T1024">
        <v>8</v>
      </c>
      <c r="U1024">
        <v>0</v>
      </c>
      <c r="V1024">
        <v>648.56240000000003</v>
      </c>
      <c r="W1024">
        <f t="shared" si="63"/>
        <v>91.419700000000006</v>
      </c>
      <c r="X1024">
        <v>5</v>
      </c>
    </row>
    <row r="1025" spans="1:24" x14ac:dyDescent="0.3">
      <c r="A1025">
        <v>1024</v>
      </c>
      <c r="B1025" t="s">
        <v>2793</v>
      </c>
      <c r="C1025" s="6">
        <v>45220</v>
      </c>
      <c r="D1025" t="str">
        <f t="shared" si="60"/>
        <v>Oct</v>
      </c>
      <c r="E1025" t="str">
        <f t="shared" si="61"/>
        <v>2023</v>
      </c>
      <c r="F1025" t="s">
        <v>4</v>
      </c>
      <c r="G1025" t="s">
        <v>178</v>
      </c>
      <c r="H1025" t="s">
        <v>1323</v>
      </c>
      <c r="I1025">
        <v>200</v>
      </c>
      <c r="J1025">
        <v>18</v>
      </c>
      <c r="K1025">
        <f t="shared" si="62"/>
        <v>9</v>
      </c>
      <c r="L1025" t="s">
        <v>1741</v>
      </c>
      <c r="M1025" t="s">
        <v>3860</v>
      </c>
      <c r="N1025" t="s">
        <v>1</v>
      </c>
      <c r="O1025">
        <v>400101</v>
      </c>
      <c r="P1025" t="s">
        <v>546</v>
      </c>
      <c r="Q1025" t="s">
        <v>1774</v>
      </c>
      <c r="R1025" t="s">
        <v>2</v>
      </c>
      <c r="S1025">
        <v>6.2080000000000002</v>
      </c>
      <c r="T1025">
        <v>2</v>
      </c>
      <c r="U1025">
        <v>0.2</v>
      </c>
      <c r="V1025">
        <v>2.1728000000000001</v>
      </c>
      <c r="W1025">
        <f t="shared" si="63"/>
        <v>2.0175999999999998</v>
      </c>
      <c r="X1025">
        <v>5</v>
      </c>
    </row>
    <row r="1026" spans="1:24" x14ac:dyDescent="0.3">
      <c r="A1026">
        <v>1025</v>
      </c>
      <c r="B1026" t="s">
        <v>2794</v>
      </c>
      <c r="C1026" s="6">
        <v>45221</v>
      </c>
      <c r="D1026" t="str">
        <f t="shared" si="60"/>
        <v>Oct</v>
      </c>
      <c r="E1026" t="str">
        <f t="shared" si="61"/>
        <v>2023</v>
      </c>
      <c r="F1026" t="s">
        <v>5</v>
      </c>
      <c r="G1026" t="s">
        <v>374</v>
      </c>
      <c r="H1026" t="s">
        <v>1324</v>
      </c>
      <c r="I1026">
        <v>150</v>
      </c>
      <c r="J1026">
        <v>22</v>
      </c>
      <c r="K1026">
        <f t="shared" si="62"/>
        <v>14.666666666666666</v>
      </c>
      <c r="L1026" t="s">
        <v>1736</v>
      </c>
      <c r="M1026" t="s">
        <v>3861</v>
      </c>
      <c r="N1026" t="s">
        <v>1</v>
      </c>
      <c r="O1026">
        <v>201005</v>
      </c>
      <c r="P1026" t="s">
        <v>546</v>
      </c>
      <c r="Q1026" t="s">
        <v>1761</v>
      </c>
      <c r="R1026" t="s">
        <v>2</v>
      </c>
      <c r="S1026">
        <v>11.808</v>
      </c>
      <c r="T1026">
        <v>2</v>
      </c>
      <c r="U1026">
        <v>0.2</v>
      </c>
      <c r="V1026">
        <v>4.2804000000000002</v>
      </c>
      <c r="W1026">
        <f t="shared" si="63"/>
        <v>3.7637999999999998</v>
      </c>
      <c r="X1026">
        <v>1</v>
      </c>
    </row>
    <row r="1027" spans="1:24" x14ac:dyDescent="0.3">
      <c r="A1027">
        <v>1026</v>
      </c>
      <c r="B1027" t="s">
        <v>2795</v>
      </c>
      <c r="C1027" s="6">
        <v>45222</v>
      </c>
      <c r="D1027" t="str">
        <f t="shared" ref="D1027:D1090" si="64">TEXT(C1027,"Mmm")</f>
        <v>Oct</v>
      </c>
      <c r="E1027" t="str">
        <f t="shared" ref="E1027:E1090" si="65">TEXT(C1027,"YYYY")</f>
        <v>2023</v>
      </c>
      <c r="F1027" t="s">
        <v>3</v>
      </c>
      <c r="G1027" t="s">
        <v>375</v>
      </c>
      <c r="H1027" t="s">
        <v>1325</v>
      </c>
      <c r="I1027">
        <v>140</v>
      </c>
      <c r="J1027">
        <v>18</v>
      </c>
      <c r="K1027">
        <f t="shared" ref="K1027:K1090" si="66">(J1027/I1027)*100</f>
        <v>12.857142857142856</v>
      </c>
      <c r="L1027" t="s">
        <v>1744</v>
      </c>
      <c r="M1027" t="s">
        <v>3862</v>
      </c>
      <c r="N1027" t="s">
        <v>1</v>
      </c>
      <c r="O1027">
        <v>500004</v>
      </c>
      <c r="P1027" t="s">
        <v>546</v>
      </c>
      <c r="Q1027" t="s">
        <v>1772</v>
      </c>
      <c r="S1027">
        <v>15.552</v>
      </c>
      <c r="T1027">
        <v>3</v>
      </c>
      <c r="U1027">
        <v>0.2</v>
      </c>
      <c r="V1027">
        <v>5.4432</v>
      </c>
      <c r="W1027">
        <f t="shared" ref="W1027:W1090" si="67">(S1027-V1027)/T1027</f>
        <v>3.3695999999999997</v>
      </c>
      <c r="X1027">
        <v>2</v>
      </c>
    </row>
    <row r="1028" spans="1:24" x14ac:dyDescent="0.3">
      <c r="A1028">
        <v>1027</v>
      </c>
      <c r="B1028" t="s">
        <v>2796</v>
      </c>
      <c r="C1028" s="6">
        <v>45223</v>
      </c>
      <c r="D1028" t="str">
        <f t="shared" si="64"/>
        <v>Oct</v>
      </c>
      <c r="E1028" t="str">
        <f t="shared" si="65"/>
        <v>2023</v>
      </c>
      <c r="F1028" t="s">
        <v>3</v>
      </c>
      <c r="G1028" t="s">
        <v>375</v>
      </c>
      <c r="H1028" t="s">
        <v>1326</v>
      </c>
      <c r="I1028">
        <v>220</v>
      </c>
      <c r="J1028">
        <v>6</v>
      </c>
      <c r="K1028">
        <f t="shared" si="66"/>
        <v>2.7272727272727271</v>
      </c>
      <c r="L1028" t="s">
        <v>1740</v>
      </c>
      <c r="M1028" t="s">
        <v>3863</v>
      </c>
      <c r="N1028" t="s">
        <v>1</v>
      </c>
      <c r="O1028">
        <v>334005</v>
      </c>
      <c r="P1028" t="s">
        <v>546</v>
      </c>
      <c r="Q1028" t="s">
        <v>1760</v>
      </c>
      <c r="S1028">
        <v>63.311999999999998</v>
      </c>
      <c r="T1028">
        <v>3</v>
      </c>
      <c r="U1028">
        <v>0.2</v>
      </c>
      <c r="V1028">
        <v>20.5764</v>
      </c>
      <c r="W1028">
        <f t="shared" si="67"/>
        <v>14.245199999999999</v>
      </c>
      <c r="X1028">
        <v>5</v>
      </c>
    </row>
    <row r="1029" spans="1:24" x14ac:dyDescent="0.3">
      <c r="A1029">
        <v>1028</v>
      </c>
      <c r="B1029" t="s">
        <v>2797</v>
      </c>
      <c r="C1029" s="6">
        <v>45224</v>
      </c>
      <c r="D1029" t="str">
        <f t="shared" si="64"/>
        <v>Oct</v>
      </c>
      <c r="E1029" t="str">
        <f t="shared" si="65"/>
        <v>2023</v>
      </c>
      <c r="F1029" t="s">
        <v>3</v>
      </c>
      <c r="G1029" t="s">
        <v>375</v>
      </c>
      <c r="H1029" t="s">
        <v>1327</v>
      </c>
      <c r="I1029">
        <v>120</v>
      </c>
      <c r="J1029">
        <v>6</v>
      </c>
      <c r="K1029">
        <f t="shared" si="66"/>
        <v>5</v>
      </c>
      <c r="L1029" t="s">
        <v>1742</v>
      </c>
      <c r="M1029" t="s">
        <v>3864</v>
      </c>
      <c r="N1029" t="s">
        <v>1</v>
      </c>
      <c r="O1029">
        <v>140507</v>
      </c>
      <c r="P1029" t="s">
        <v>546</v>
      </c>
      <c r="Q1029" t="s">
        <v>1774</v>
      </c>
      <c r="S1029">
        <v>15.587999999999999</v>
      </c>
      <c r="T1029">
        <v>2</v>
      </c>
      <c r="U1029">
        <v>0.4</v>
      </c>
      <c r="V1029">
        <v>-9.8724000000000007</v>
      </c>
      <c r="W1029">
        <f t="shared" si="67"/>
        <v>12.7302</v>
      </c>
      <c r="X1029">
        <v>1</v>
      </c>
    </row>
    <row r="1030" spans="1:24" x14ac:dyDescent="0.3">
      <c r="A1030">
        <v>1029</v>
      </c>
      <c r="B1030" t="s">
        <v>2798</v>
      </c>
      <c r="C1030" s="6">
        <v>45225</v>
      </c>
      <c r="D1030" t="str">
        <f t="shared" si="64"/>
        <v>Oct</v>
      </c>
      <c r="E1030" t="str">
        <f t="shared" si="65"/>
        <v>2023</v>
      </c>
      <c r="F1030" t="s">
        <v>4</v>
      </c>
      <c r="G1030" t="s">
        <v>163</v>
      </c>
      <c r="H1030" t="s">
        <v>805</v>
      </c>
      <c r="I1030">
        <v>200</v>
      </c>
      <c r="J1030">
        <v>12</v>
      </c>
      <c r="K1030">
        <f t="shared" si="66"/>
        <v>6</v>
      </c>
      <c r="L1030" t="s">
        <v>1739</v>
      </c>
      <c r="M1030" t="s">
        <v>3865</v>
      </c>
      <c r="N1030" t="s">
        <v>1</v>
      </c>
      <c r="O1030">
        <v>190003</v>
      </c>
      <c r="P1030" t="s">
        <v>546</v>
      </c>
      <c r="Q1030" t="s">
        <v>1769</v>
      </c>
      <c r="S1030">
        <v>177.2</v>
      </c>
      <c r="T1030">
        <v>5</v>
      </c>
      <c r="U1030">
        <v>0</v>
      </c>
      <c r="V1030">
        <v>83.284000000000006</v>
      </c>
      <c r="W1030">
        <f t="shared" si="67"/>
        <v>18.783199999999997</v>
      </c>
      <c r="X1030">
        <v>1</v>
      </c>
    </row>
    <row r="1031" spans="1:24" x14ac:dyDescent="0.3">
      <c r="A1031">
        <v>1030</v>
      </c>
      <c r="B1031" t="s">
        <v>2799</v>
      </c>
      <c r="C1031" s="6">
        <v>45226</v>
      </c>
      <c r="D1031" t="str">
        <f t="shared" si="64"/>
        <v>Oct</v>
      </c>
      <c r="E1031" t="str">
        <f t="shared" si="65"/>
        <v>2023</v>
      </c>
      <c r="F1031" t="s">
        <v>4</v>
      </c>
      <c r="G1031" t="s">
        <v>163</v>
      </c>
      <c r="H1031" t="s">
        <v>1328</v>
      </c>
      <c r="I1031">
        <v>250</v>
      </c>
      <c r="J1031">
        <v>24</v>
      </c>
      <c r="K1031">
        <f t="shared" si="66"/>
        <v>9.6</v>
      </c>
      <c r="L1031" t="s">
        <v>1738</v>
      </c>
      <c r="M1031" t="s">
        <v>3866</v>
      </c>
      <c r="N1031" t="s">
        <v>1</v>
      </c>
      <c r="O1031">
        <v>500004</v>
      </c>
      <c r="P1031" t="s">
        <v>546</v>
      </c>
      <c r="Q1031" t="s">
        <v>1761</v>
      </c>
      <c r="S1031">
        <v>197.97</v>
      </c>
      <c r="T1031">
        <v>3</v>
      </c>
      <c r="U1031">
        <v>0</v>
      </c>
      <c r="V1031">
        <v>57.411299999999997</v>
      </c>
      <c r="W1031">
        <f t="shared" si="67"/>
        <v>46.852899999999998</v>
      </c>
      <c r="X1031">
        <v>2</v>
      </c>
    </row>
    <row r="1032" spans="1:24" x14ac:dyDescent="0.3">
      <c r="A1032">
        <v>1031</v>
      </c>
      <c r="B1032" t="s">
        <v>2478</v>
      </c>
      <c r="C1032" s="6">
        <v>45227</v>
      </c>
      <c r="D1032" t="str">
        <f t="shared" si="64"/>
        <v>Oct</v>
      </c>
      <c r="E1032" t="str">
        <f t="shared" si="65"/>
        <v>2023</v>
      </c>
      <c r="F1032" t="s">
        <v>4</v>
      </c>
      <c r="G1032" t="s">
        <v>163</v>
      </c>
      <c r="H1032" t="s">
        <v>1010</v>
      </c>
      <c r="I1032">
        <v>120</v>
      </c>
      <c r="J1032">
        <v>12</v>
      </c>
      <c r="K1032">
        <f t="shared" si="66"/>
        <v>10</v>
      </c>
      <c r="L1032" t="s">
        <v>1743</v>
      </c>
      <c r="M1032" t="s">
        <v>3867</v>
      </c>
      <c r="N1032" t="s">
        <v>1</v>
      </c>
      <c r="O1032">
        <v>171005</v>
      </c>
      <c r="P1032" t="s">
        <v>546</v>
      </c>
      <c r="Q1032" t="s">
        <v>1759</v>
      </c>
      <c r="R1032" t="s">
        <v>2</v>
      </c>
      <c r="S1032">
        <v>854.94</v>
      </c>
      <c r="T1032">
        <v>3</v>
      </c>
      <c r="U1032">
        <v>0</v>
      </c>
      <c r="V1032">
        <v>213.73500000000001</v>
      </c>
      <c r="W1032">
        <f t="shared" si="67"/>
        <v>213.73500000000001</v>
      </c>
      <c r="X1032">
        <v>5</v>
      </c>
    </row>
    <row r="1033" spans="1:24" x14ac:dyDescent="0.3">
      <c r="A1033">
        <v>1032</v>
      </c>
      <c r="B1033" t="s">
        <v>2800</v>
      </c>
      <c r="C1033" s="6">
        <v>45228</v>
      </c>
      <c r="D1033" t="str">
        <f t="shared" si="64"/>
        <v>Oct</v>
      </c>
      <c r="E1033" t="str">
        <f t="shared" si="65"/>
        <v>2023</v>
      </c>
      <c r="F1033" t="s">
        <v>4</v>
      </c>
      <c r="G1033" t="s">
        <v>163</v>
      </c>
      <c r="H1033" t="s">
        <v>640</v>
      </c>
      <c r="I1033">
        <v>160</v>
      </c>
      <c r="J1033">
        <v>6</v>
      </c>
      <c r="K1033">
        <f t="shared" si="66"/>
        <v>3.75</v>
      </c>
      <c r="L1033" t="s">
        <v>1737</v>
      </c>
      <c r="M1033" t="s">
        <v>3868</v>
      </c>
      <c r="N1033" t="s">
        <v>1</v>
      </c>
      <c r="O1033">
        <v>524005</v>
      </c>
      <c r="P1033" t="s">
        <v>546</v>
      </c>
      <c r="Q1033" t="s">
        <v>1759</v>
      </c>
      <c r="R1033" t="s">
        <v>2</v>
      </c>
      <c r="S1033">
        <v>124.11</v>
      </c>
      <c r="T1033">
        <v>9</v>
      </c>
      <c r="U1033">
        <v>0</v>
      </c>
      <c r="V1033">
        <v>52.126199999999997</v>
      </c>
      <c r="W1033">
        <f t="shared" si="67"/>
        <v>7.9982000000000006</v>
      </c>
      <c r="X1033">
        <v>5</v>
      </c>
    </row>
    <row r="1034" spans="1:24" x14ac:dyDescent="0.3">
      <c r="A1034">
        <v>1033</v>
      </c>
      <c r="B1034" t="s">
        <v>2801</v>
      </c>
      <c r="C1034" s="6">
        <v>45229</v>
      </c>
      <c r="D1034" t="str">
        <f t="shared" si="64"/>
        <v>Oct</v>
      </c>
      <c r="E1034" t="str">
        <f t="shared" si="65"/>
        <v>2023</v>
      </c>
      <c r="F1034" t="s">
        <v>4</v>
      </c>
      <c r="G1034" t="s">
        <v>163</v>
      </c>
      <c r="H1034" t="s">
        <v>1329</v>
      </c>
      <c r="I1034">
        <v>100</v>
      </c>
      <c r="J1034">
        <v>20</v>
      </c>
      <c r="K1034">
        <f t="shared" si="66"/>
        <v>20</v>
      </c>
      <c r="L1034" t="s">
        <v>1741</v>
      </c>
      <c r="M1034" t="s">
        <v>3825</v>
      </c>
      <c r="N1034" t="s">
        <v>1</v>
      </c>
      <c r="O1034">
        <v>641402</v>
      </c>
      <c r="P1034" t="s">
        <v>546</v>
      </c>
      <c r="Q1034" t="s">
        <v>1769</v>
      </c>
      <c r="S1034">
        <v>14.4</v>
      </c>
      <c r="T1034">
        <v>5</v>
      </c>
      <c r="U1034">
        <v>0</v>
      </c>
      <c r="V1034">
        <v>7.056</v>
      </c>
      <c r="W1034">
        <f t="shared" si="67"/>
        <v>1.4688000000000001</v>
      </c>
      <c r="X1034">
        <v>1</v>
      </c>
    </row>
    <row r="1035" spans="1:24" x14ac:dyDescent="0.3">
      <c r="A1035">
        <v>1034</v>
      </c>
      <c r="B1035" t="s">
        <v>2802</v>
      </c>
      <c r="C1035" s="6">
        <v>45230</v>
      </c>
      <c r="D1035" t="str">
        <f t="shared" si="64"/>
        <v>Oct</v>
      </c>
      <c r="E1035" t="str">
        <f t="shared" si="65"/>
        <v>2023</v>
      </c>
      <c r="F1035" t="s">
        <v>5</v>
      </c>
      <c r="G1035" t="s">
        <v>376</v>
      </c>
      <c r="H1035" t="s">
        <v>1330</v>
      </c>
      <c r="I1035">
        <v>110</v>
      </c>
      <c r="J1035">
        <v>22</v>
      </c>
      <c r="K1035">
        <f t="shared" si="66"/>
        <v>20</v>
      </c>
      <c r="L1035" t="s">
        <v>1736</v>
      </c>
      <c r="M1035" t="s">
        <v>3869</v>
      </c>
      <c r="N1035" t="s">
        <v>1</v>
      </c>
      <c r="O1035">
        <v>781006</v>
      </c>
      <c r="P1035" t="s">
        <v>546</v>
      </c>
      <c r="Q1035" t="s">
        <v>1764</v>
      </c>
      <c r="R1035" t="s">
        <v>2</v>
      </c>
      <c r="S1035">
        <v>15.696</v>
      </c>
      <c r="T1035">
        <v>3</v>
      </c>
      <c r="U1035">
        <v>0.2</v>
      </c>
      <c r="V1035">
        <v>5.1012000000000004</v>
      </c>
      <c r="W1035">
        <f t="shared" si="67"/>
        <v>3.5315999999999996</v>
      </c>
      <c r="X1035">
        <v>5</v>
      </c>
    </row>
    <row r="1036" spans="1:24" x14ac:dyDescent="0.3">
      <c r="A1036">
        <v>1035</v>
      </c>
      <c r="B1036" t="s">
        <v>2740</v>
      </c>
      <c r="C1036" s="6">
        <v>45231</v>
      </c>
      <c r="D1036" t="str">
        <f t="shared" si="64"/>
        <v>Nov</v>
      </c>
      <c r="E1036" t="str">
        <f t="shared" si="65"/>
        <v>2023</v>
      </c>
      <c r="F1036" t="s">
        <v>5</v>
      </c>
      <c r="G1036" t="s">
        <v>376</v>
      </c>
      <c r="H1036" t="s">
        <v>783</v>
      </c>
      <c r="I1036">
        <v>150</v>
      </c>
      <c r="J1036">
        <v>6</v>
      </c>
      <c r="K1036">
        <f t="shared" si="66"/>
        <v>4</v>
      </c>
      <c r="L1036" t="s">
        <v>1744</v>
      </c>
      <c r="M1036" t="s">
        <v>3870</v>
      </c>
      <c r="N1036" t="s">
        <v>1</v>
      </c>
      <c r="O1036">
        <v>520002</v>
      </c>
      <c r="P1036" t="s">
        <v>546</v>
      </c>
      <c r="Q1036" t="s">
        <v>1757</v>
      </c>
      <c r="S1036">
        <v>2.6280000000000001</v>
      </c>
      <c r="T1036">
        <v>2</v>
      </c>
      <c r="U1036">
        <v>0.7</v>
      </c>
      <c r="V1036">
        <v>-1.9272</v>
      </c>
      <c r="W1036">
        <f t="shared" si="67"/>
        <v>2.2776000000000001</v>
      </c>
      <c r="X1036">
        <v>2</v>
      </c>
    </row>
    <row r="1037" spans="1:24" x14ac:dyDescent="0.3">
      <c r="A1037">
        <v>1036</v>
      </c>
      <c r="B1037" t="s">
        <v>2803</v>
      </c>
      <c r="C1037" s="6">
        <v>45232</v>
      </c>
      <c r="D1037" t="str">
        <f t="shared" si="64"/>
        <v>Nov</v>
      </c>
      <c r="E1037" t="str">
        <f t="shared" si="65"/>
        <v>2023</v>
      </c>
      <c r="F1037" t="s">
        <v>5</v>
      </c>
      <c r="G1037" t="s">
        <v>376</v>
      </c>
      <c r="H1037" t="s">
        <v>574</v>
      </c>
      <c r="I1037">
        <v>150</v>
      </c>
      <c r="J1037">
        <v>12</v>
      </c>
      <c r="K1037">
        <f t="shared" si="66"/>
        <v>8</v>
      </c>
      <c r="L1037" t="s">
        <v>1740</v>
      </c>
      <c r="M1037" t="s">
        <v>3871</v>
      </c>
      <c r="N1037" t="s">
        <v>1</v>
      </c>
      <c r="O1037">
        <v>221007</v>
      </c>
      <c r="P1037" t="s">
        <v>546</v>
      </c>
      <c r="Q1037" t="s">
        <v>1767</v>
      </c>
      <c r="S1037">
        <v>14.427</v>
      </c>
      <c r="T1037">
        <v>3</v>
      </c>
      <c r="U1037">
        <v>0.7</v>
      </c>
      <c r="V1037">
        <v>-10.579800000000001</v>
      </c>
      <c r="W1037">
        <f t="shared" si="67"/>
        <v>8.3355999999999995</v>
      </c>
      <c r="X1037">
        <v>5</v>
      </c>
    </row>
    <row r="1038" spans="1:24" x14ac:dyDescent="0.3">
      <c r="A1038">
        <v>1037</v>
      </c>
      <c r="B1038" t="s">
        <v>2804</v>
      </c>
      <c r="C1038" s="6">
        <v>45233</v>
      </c>
      <c r="D1038" t="str">
        <f t="shared" si="64"/>
        <v>Nov</v>
      </c>
      <c r="E1038" t="str">
        <f t="shared" si="65"/>
        <v>2023</v>
      </c>
      <c r="F1038" t="s">
        <v>4</v>
      </c>
      <c r="G1038" t="s">
        <v>337</v>
      </c>
      <c r="H1038" t="s">
        <v>1331</v>
      </c>
      <c r="I1038">
        <v>160</v>
      </c>
      <c r="J1038">
        <v>28</v>
      </c>
      <c r="K1038">
        <f t="shared" si="66"/>
        <v>17.5</v>
      </c>
      <c r="L1038" t="s">
        <v>1742</v>
      </c>
      <c r="M1038" t="s">
        <v>3756</v>
      </c>
      <c r="N1038" t="s">
        <v>1</v>
      </c>
      <c r="O1038">
        <v>800001</v>
      </c>
      <c r="P1038" t="s">
        <v>546</v>
      </c>
      <c r="Q1038" t="s">
        <v>1759</v>
      </c>
      <c r="R1038" t="s">
        <v>2</v>
      </c>
      <c r="S1038">
        <v>86.62</v>
      </c>
      <c r="T1038">
        <v>2</v>
      </c>
      <c r="U1038">
        <v>0</v>
      </c>
      <c r="V1038">
        <v>8.6620000000000008</v>
      </c>
      <c r="W1038">
        <f t="shared" si="67"/>
        <v>38.978999999999999</v>
      </c>
      <c r="X1038">
        <v>2</v>
      </c>
    </row>
    <row r="1039" spans="1:24" x14ac:dyDescent="0.3">
      <c r="A1039">
        <v>1038</v>
      </c>
      <c r="B1039" t="s">
        <v>2805</v>
      </c>
      <c r="C1039" s="6">
        <v>45234</v>
      </c>
      <c r="D1039" t="str">
        <f t="shared" si="64"/>
        <v>Nov</v>
      </c>
      <c r="E1039" t="str">
        <f t="shared" si="65"/>
        <v>2023</v>
      </c>
      <c r="F1039" t="s">
        <v>5</v>
      </c>
      <c r="G1039" t="s">
        <v>377</v>
      </c>
      <c r="H1039" t="s">
        <v>1332</v>
      </c>
      <c r="I1039">
        <v>220</v>
      </c>
      <c r="J1039">
        <v>14</v>
      </c>
      <c r="K1039">
        <f t="shared" si="66"/>
        <v>6.3636363636363633</v>
      </c>
      <c r="L1039" t="s">
        <v>1739</v>
      </c>
      <c r="M1039" t="s">
        <v>3872</v>
      </c>
      <c r="O1039">
        <v>400006</v>
      </c>
      <c r="P1039" t="s">
        <v>546</v>
      </c>
      <c r="Q1039" t="s">
        <v>1756</v>
      </c>
      <c r="S1039">
        <v>36.624000000000002</v>
      </c>
      <c r="T1039">
        <v>3</v>
      </c>
      <c r="U1039">
        <v>0.2</v>
      </c>
      <c r="V1039">
        <v>13.734</v>
      </c>
      <c r="W1039">
        <f t="shared" si="67"/>
        <v>7.63</v>
      </c>
      <c r="X1039">
        <v>4</v>
      </c>
    </row>
    <row r="1040" spans="1:24" x14ac:dyDescent="0.3">
      <c r="A1040">
        <v>1039</v>
      </c>
      <c r="B1040" t="s">
        <v>2806</v>
      </c>
      <c r="C1040" s="6">
        <v>45235</v>
      </c>
      <c r="D1040" t="str">
        <f t="shared" si="64"/>
        <v>Nov</v>
      </c>
      <c r="E1040" t="str">
        <f t="shared" si="65"/>
        <v>2023</v>
      </c>
      <c r="F1040" t="s">
        <v>5</v>
      </c>
      <c r="G1040" t="s">
        <v>378</v>
      </c>
      <c r="H1040" t="s">
        <v>1333</v>
      </c>
      <c r="I1040">
        <v>200</v>
      </c>
      <c r="J1040">
        <v>16</v>
      </c>
      <c r="K1040">
        <f t="shared" si="66"/>
        <v>8</v>
      </c>
      <c r="L1040" t="s">
        <v>1738</v>
      </c>
      <c r="M1040" t="s">
        <v>3778</v>
      </c>
      <c r="N1040" t="s">
        <v>1</v>
      </c>
      <c r="O1040">
        <v>250004</v>
      </c>
      <c r="P1040" t="s">
        <v>546</v>
      </c>
      <c r="Q1040" t="s">
        <v>1761</v>
      </c>
      <c r="R1040" t="s">
        <v>2</v>
      </c>
      <c r="S1040">
        <v>23.968</v>
      </c>
      <c r="T1040">
        <v>7</v>
      </c>
      <c r="U1040">
        <v>0.2</v>
      </c>
      <c r="V1040">
        <v>2.6964000000000001</v>
      </c>
      <c r="W1040">
        <f t="shared" si="67"/>
        <v>3.0387999999999997</v>
      </c>
      <c r="X1040">
        <v>2</v>
      </c>
    </row>
    <row r="1041" spans="1:24" x14ac:dyDescent="0.3">
      <c r="A1041">
        <v>1040</v>
      </c>
      <c r="B1041" t="s">
        <v>2807</v>
      </c>
      <c r="C1041" s="6">
        <v>45236</v>
      </c>
      <c r="D1041" t="str">
        <f t="shared" si="64"/>
        <v>Nov</v>
      </c>
      <c r="E1041" t="str">
        <f t="shared" si="65"/>
        <v>2023</v>
      </c>
      <c r="F1041" t="s">
        <v>5</v>
      </c>
      <c r="G1041" t="s">
        <v>378</v>
      </c>
      <c r="H1041" t="s">
        <v>1334</v>
      </c>
      <c r="I1041">
        <v>180</v>
      </c>
      <c r="J1041">
        <v>16</v>
      </c>
      <c r="K1041">
        <f t="shared" si="66"/>
        <v>8.8888888888888893</v>
      </c>
      <c r="L1041" t="s">
        <v>1737</v>
      </c>
      <c r="M1041" t="s">
        <v>3828</v>
      </c>
      <c r="N1041" t="s">
        <v>1</v>
      </c>
      <c r="O1041">
        <v>600023</v>
      </c>
      <c r="P1041" t="s">
        <v>546</v>
      </c>
      <c r="Q1041" t="s">
        <v>1764</v>
      </c>
      <c r="S1041">
        <v>28.728000000000002</v>
      </c>
      <c r="T1041">
        <v>3</v>
      </c>
      <c r="U1041">
        <v>0.2</v>
      </c>
      <c r="V1041">
        <v>1.7955000000000001</v>
      </c>
      <c r="W1041">
        <f t="shared" si="67"/>
        <v>8.9775000000000009</v>
      </c>
      <c r="X1041">
        <v>2</v>
      </c>
    </row>
    <row r="1042" spans="1:24" x14ac:dyDescent="0.3">
      <c r="A1042">
        <v>1041</v>
      </c>
      <c r="B1042" t="s">
        <v>2808</v>
      </c>
      <c r="C1042" s="6">
        <v>45237</v>
      </c>
      <c r="D1042" t="str">
        <f t="shared" si="64"/>
        <v>Nov</v>
      </c>
      <c r="E1042" t="str">
        <f t="shared" si="65"/>
        <v>2023</v>
      </c>
      <c r="F1042" t="s">
        <v>4</v>
      </c>
      <c r="G1042" t="s">
        <v>379</v>
      </c>
      <c r="H1042" t="s">
        <v>1163</v>
      </c>
      <c r="I1042">
        <v>140</v>
      </c>
      <c r="J1042">
        <v>8</v>
      </c>
      <c r="K1042">
        <f t="shared" si="66"/>
        <v>5.7142857142857144</v>
      </c>
      <c r="L1042" t="s">
        <v>1743</v>
      </c>
      <c r="M1042" t="s">
        <v>3873</v>
      </c>
      <c r="N1042" t="s">
        <v>1</v>
      </c>
      <c r="O1042">
        <v>243201</v>
      </c>
      <c r="P1042" t="s">
        <v>546</v>
      </c>
      <c r="Q1042" t="s">
        <v>1771</v>
      </c>
      <c r="S1042">
        <v>697.16</v>
      </c>
      <c r="T1042">
        <v>4</v>
      </c>
      <c r="U1042">
        <v>0</v>
      </c>
      <c r="V1042">
        <v>146.40360000000001</v>
      </c>
      <c r="W1042">
        <f t="shared" si="67"/>
        <v>137.6891</v>
      </c>
      <c r="X1042">
        <v>2</v>
      </c>
    </row>
    <row r="1043" spans="1:24" x14ac:dyDescent="0.3">
      <c r="A1043">
        <v>1042</v>
      </c>
      <c r="B1043" t="s">
        <v>2809</v>
      </c>
      <c r="C1043" s="6">
        <v>45238</v>
      </c>
      <c r="D1043" t="str">
        <f t="shared" si="64"/>
        <v>Nov</v>
      </c>
      <c r="E1043" t="str">
        <f t="shared" si="65"/>
        <v>2023</v>
      </c>
      <c r="F1043" t="s">
        <v>3</v>
      </c>
      <c r="G1043" t="s">
        <v>380</v>
      </c>
      <c r="H1043" t="s">
        <v>1335</v>
      </c>
      <c r="I1043">
        <v>100</v>
      </c>
      <c r="J1043">
        <v>26</v>
      </c>
      <c r="K1043">
        <f t="shared" si="66"/>
        <v>26</v>
      </c>
      <c r="L1043" t="s">
        <v>1738</v>
      </c>
      <c r="M1043" t="s">
        <v>3788</v>
      </c>
      <c r="N1043" t="s">
        <v>1</v>
      </c>
      <c r="O1043">
        <v>422013</v>
      </c>
      <c r="P1043" t="s">
        <v>546</v>
      </c>
      <c r="Q1043" t="s">
        <v>1767</v>
      </c>
      <c r="S1043">
        <v>31.86</v>
      </c>
      <c r="T1043">
        <v>2</v>
      </c>
      <c r="U1043">
        <v>0</v>
      </c>
      <c r="V1043">
        <v>11.151</v>
      </c>
      <c r="W1043">
        <f t="shared" si="67"/>
        <v>10.3545</v>
      </c>
      <c r="X1043">
        <v>4</v>
      </c>
    </row>
    <row r="1044" spans="1:24" x14ac:dyDescent="0.3">
      <c r="A1044">
        <v>1043</v>
      </c>
      <c r="B1044" t="s">
        <v>2810</v>
      </c>
      <c r="C1044" s="6">
        <v>45239</v>
      </c>
      <c r="D1044" t="str">
        <f t="shared" si="64"/>
        <v>Nov</v>
      </c>
      <c r="E1044" t="str">
        <f t="shared" si="65"/>
        <v>2023</v>
      </c>
      <c r="F1044" t="s">
        <v>3</v>
      </c>
      <c r="G1044" t="s">
        <v>380</v>
      </c>
      <c r="H1044" t="s">
        <v>1336</v>
      </c>
      <c r="I1044">
        <v>180</v>
      </c>
      <c r="J1044">
        <v>18</v>
      </c>
      <c r="K1044">
        <f t="shared" si="66"/>
        <v>10</v>
      </c>
      <c r="L1044" t="s">
        <v>1739</v>
      </c>
      <c r="M1044" t="s">
        <v>3874</v>
      </c>
      <c r="N1044" t="s">
        <v>1</v>
      </c>
      <c r="O1044">
        <v>122011</v>
      </c>
      <c r="P1044" t="s">
        <v>546</v>
      </c>
      <c r="Q1044" t="s">
        <v>1767</v>
      </c>
      <c r="S1044">
        <v>722.35199999999998</v>
      </c>
      <c r="T1044">
        <v>3</v>
      </c>
      <c r="U1044">
        <v>0.2</v>
      </c>
      <c r="V1044">
        <v>90.293999999999997</v>
      </c>
      <c r="W1044">
        <f t="shared" si="67"/>
        <v>210.68600000000001</v>
      </c>
      <c r="X1044">
        <v>5</v>
      </c>
    </row>
    <row r="1045" spans="1:24" x14ac:dyDescent="0.3">
      <c r="A1045">
        <v>1044</v>
      </c>
      <c r="B1045" t="s">
        <v>2811</v>
      </c>
      <c r="C1045" s="6">
        <v>45240</v>
      </c>
      <c r="D1045" t="str">
        <f t="shared" si="64"/>
        <v>Nov</v>
      </c>
      <c r="E1045" t="str">
        <f t="shared" si="65"/>
        <v>2023</v>
      </c>
      <c r="F1045" t="s">
        <v>5</v>
      </c>
      <c r="G1045" t="s">
        <v>381</v>
      </c>
      <c r="H1045" t="s">
        <v>1337</v>
      </c>
      <c r="I1045">
        <v>190</v>
      </c>
      <c r="J1045">
        <v>26</v>
      </c>
      <c r="K1045">
        <f t="shared" si="66"/>
        <v>13.684210526315791</v>
      </c>
      <c r="L1045" t="s">
        <v>1741</v>
      </c>
      <c r="M1045" t="s">
        <v>3820</v>
      </c>
      <c r="N1045" t="s">
        <v>1</v>
      </c>
      <c r="O1045">
        <v>201014</v>
      </c>
      <c r="P1045" t="s">
        <v>546</v>
      </c>
      <c r="Q1045" t="s">
        <v>1754</v>
      </c>
      <c r="R1045" t="s">
        <v>2</v>
      </c>
      <c r="S1045">
        <v>8.84</v>
      </c>
      <c r="T1045">
        <v>5</v>
      </c>
      <c r="U1045">
        <v>0.2</v>
      </c>
      <c r="V1045">
        <v>2.9834999999999998</v>
      </c>
      <c r="W1045">
        <f t="shared" si="67"/>
        <v>1.1713</v>
      </c>
      <c r="X1045">
        <v>3</v>
      </c>
    </row>
    <row r="1046" spans="1:24" x14ac:dyDescent="0.3">
      <c r="A1046">
        <v>1045</v>
      </c>
      <c r="B1046" t="s">
        <v>2812</v>
      </c>
      <c r="C1046" s="6">
        <v>45241</v>
      </c>
      <c r="D1046" t="str">
        <f t="shared" si="64"/>
        <v>Nov</v>
      </c>
      <c r="E1046" t="str">
        <f t="shared" si="65"/>
        <v>2023</v>
      </c>
      <c r="F1046" t="s">
        <v>5</v>
      </c>
      <c r="G1046" t="s">
        <v>381</v>
      </c>
      <c r="H1046" t="s">
        <v>1338</v>
      </c>
      <c r="I1046">
        <v>140</v>
      </c>
      <c r="J1046">
        <v>8</v>
      </c>
      <c r="K1046">
        <f t="shared" si="66"/>
        <v>5.7142857142857144</v>
      </c>
      <c r="L1046" t="s">
        <v>1736</v>
      </c>
      <c r="M1046" t="s">
        <v>3875</v>
      </c>
      <c r="N1046" t="s">
        <v>1</v>
      </c>
      <c r="O1046">
        <v>461775</v>
      </c>
      <c r="P1046" t="s">
        <v>546</v>
      </c>
      <c r="Q1046" t="s">
        <v>1771</v>
      </c>
      <c r="S1046">
        <v>58.463999999999999</v>
      </c>
      <c r="T1046">
        <v>9</v>
      </c>
      <c r="U1046">
        <v>0.8</v>
      </c>
      <c r="V1046">
        <v>-146.16</v>
      </c>
      <c r="W1046">
        <f t="shared" si="67"/>
        <v>22.736000000000001</v>
      </c>
      <c r="X1046">
        <v>3</v>
      </c>
    </row>
    <row r="1047" spans="1:24" x14ac:dyDescent="0.3">
      <c r="A1047">
        <v>1046</v>
      </c>
      <c r="B1047" t="s">
        <v>2813</v>
      </c>
      <c r="C1047" s="6">
        <v>45242</v>
      </c>
      <c r="D1047" t="str">
        <f t="shared" si="64"/>
        <v>Nov</v>
      </c>
      <c r="E1047" t="str">
        <f t="shared" si="65"/>
        <v>2023</v>
      </c>
      <c r="F1047" t="s">
        <v>4</v>
      </c>
      <c r="G1047" t="s">
        <v>24</v>
      </c>
      <c r="H1047" t="s">
        <v>1339</v>
      </c>
      <c r="I1047">
        <v>240</v>
      </c>
      <c r="J1047">
        <v>30</v>
      </c>
      <c r="K1047">
        <f t="shared" si="66"/>
        <v>12.5</v>
      </c>
      <c r="L1047" t="s">
        <v>1744</v>
      </c>
      <c r="M1047" t="s">
        <v>3876</v>
      </c>
      <c r="N1047" t="s">
        <v>1</v>
      </c>
      <c r="O1047">
        <v>590001</v>
      </c>
      <c r="P1047" t="s">
        <v>546</v>
      </c>
      <c r="Q1047" t="s">
        <v>1775</v>
      </c>
      <c r="S1047">
        <v>254.60400000000001</v>
      </c>
      <c r="T1047">
        <v>14</v>
      </c>
      <c r="U1047">
        <v>0.3</v>
      </c>
      <c r="V1047">
        <v>-18.186</v>
      </c>
      <c r="W1047">
        <f t="shared" si="67"/>
        <v>19.485000000000003</v>
      </c>
      <c r="X1047">
        <v>5</v>
      </c>
    </row>
    <row r="1048" spans="1:24" x14ac:dyDescent="0.3">
      <c r="A1048">
        <v>1047</v>
      </c>
      <c r="B1048" t="s">
        <v>2814</v>
      </c>
      <c r="C1048" s="6">
        <v>45243</v>
      </c>
      <c r="D1048" t="str">
        <f t="shared" si="64"/>
        <v>Nov</v>
      </c>
      <c r="E1048" t="str">
        <f t="shared" si="65"/>
        <v>2023</v>
      </c>
      <c r="F1048" t="s">
        <v>4</v>
      </c>
      <c r="G1048" t="s">
        <v>240</v>
      </c>
      <c r="H1048" t="s">
        <v>1185</v>
      </c>
      <c r="I1048">
        <v>100</v>
      </c>
      <c r="J1048">
        <v>30</v>
      </c>
      <c r="K1048">
        <f t="shared" si="66"/>
        <v>30</v>
      </c>
      <c r="L1048" t="s">
        <v>1740</v>
      </c>
      <c r="M1048" t="s">
        <v>3877</v>
      </c>
      <c r="N1048" t="s">
        <v>1</v>
      </c>
      <c r="O1048">
        <v>400006</v>
      </c>
      <c r="P1048" t="s">
        <v>546</v>
      </c>
      <c r="Q1048" t="s">
        <v>1763</v>
      </c>
      <c r="S1048">
        <v>1363.96</v>
      </c>
      <c r="T1048">
        <v>5</v>
      </c>
      <c r="U1048">
        <v>0.2</v>
      </c>
      <c r="V1048">
        <v>85.247500000000002</v>
      </c>
      <c r="W1048">
        <f t="shared" si="67"/>
        <v>255.74250000000001</v>
      </c>
      <c r="X1048">
        <v>4</v>
      </c>
    </row>
    <row r="1049" spans="1:24" x14ac:dyDescent="0.3">
      <c r="A1049">
        <v>1048</v>
      </c>
      <c r="B1049" t="s">
        <v>2815</v>
      </c>
      <c r="C1049" s="6">
        <v>45244</v>
      </c>
      <c r="D1049" t="str">
        <f t="shared" si="64"/>
        <v>Nov</v>
      </c>
      <c r="E1049" t="str">
        <f t="shared" si="65"/>
        <v>2023</v>
      </c>
      <c r="F1049" t="s">
        <v>4</v>
      </c>
      <c r="G1049" t="s">
        <v>240</v>
      </c>
      <c r="H1049" t="s">
        <v>648</v>
      </c>
      <c r="I1049">
        <v>110</v>
      </c>
      <c r="J1049">
        <v>6</v>
      </c>
      <c r="K1049">
        <f t="shared" si="66"/>
        <v>5.4545454545454541</v>
      </c>
      <c r="L1049" t="s">
        <v>1742</v>
      </c>
      <c r="M1049" t="s">
        <v>3696</v>
      </c>
      <c r="N1049" t="s">
        <v>1</v>
      </c>
      <c r="O1049">
        <v>143521</v>
      </c>
      <c r="P1049" t="s">
        <v>546</v>
      </c>
      <c r="Q1049" t="s">
        <v>1762</v>
      </c>
      <c r="S1049">
        <v>102.36</v>
      </c>
      <c r="T1049">
        <v>3</v>
      </c>
      <c r="U1049">
        <v>0.2</v>
      </c>
      <c r="V1049">
        <v>-3.8384999999999998</v>
      </c>
      <c r="W1049">
        <f t="shared" si="67"/>
        <v>35.399499999999996</v>
      </c>
      <c r="X1049">
        <v>1</v>
      </c>
    </row>
    <row r="1050" spans="1:24" x14ac:dyDescent="0.3">
      <c r="A1050">
        <v>1049</v>
      </c>
      <c r="B1050" t="s">
        <v>2816</v>
      </c>
      <c r="C1050" s="6">
        <v>45245</v>
      </c>
      <c r="D1050" t="str">
        <f t="shared" si="64"/>
        <v>Nov</v>
      </c>
      <c r="E1050" t="str">
        <f t="shared" si="65"/>
        <v>2023</v>
      </c>
      <c r="F1050" t="s">
        <v>3</v>
      </c>
      <c r="G1050" t="s">
        <v>69</v>
      </c>
      <c r="H1050" t="s">
        <v>586</v>
      </c>
      <c r="I1050">
        <v>240</v>
      </c>
      <c r="J1050">
        <v>8</v>
      </c>
      <c r="K1050">
        <f t="shared" si="66"/>
        <v>3.3333333333333335</v>
      </c>
      <c r="L1050" t="s">
        <v>1739</v>
      </c>
      <c r="M1050" t="s">
        <v>3878</v>
      </c>
      <c r="N1050" t="s">
        <v>1</v>
      </c>
      <c r="O1050">
        <v>422013</v>
      </c>
      <c r="P1050" t="s">
        <v>546</v>
      </c>
      <c r="Q1050" t="s">
        <v>1757</v>
      </c>
      <c r="S1050">
        <v>1113.5039999999999</v>
      </c>
      <c r="T1050">
        <v>12</v>
      </c>
      <c r="U1050">
        <v>0.2</v>
      </c>
      <c r="V1050">
        <v>125.2692</v>
      </c>
      <c r="W1050">
        <f t="shared" si="67"/>
        <v>82.352899999999991</v>
      </c>
      <c r="X1050">
        <v>1</v>
      </c>
    </row>
    <row r="1051" spans="1:24" x14ac:dyDescent="0.3">
      <c r="A1051">
        <v>1050</v>
      </c>
      <c r="B1051" t="s">
        <v>2817</v>
      </c>
      <c r="C1051" s="6">
        <v>45246</v>
      </c>
      <c r="D1051" t="str">
        <f t="shared" si="64"/>
        <v>Nov</v>
      </c>
      <c r="E1051" t="str">
        <f t="shared" si="65"/>
        <v>2023</v>
      </c>
      <c r="F1051" t="s">
        <v>3</v>
      </c>
      <c r="G1051" t="s">
        <v>69</v>
      </c>
      <c r="H1051" t="s">
        <v>1137</v>
      </c>
      <c r="I1051">
        <v>200</v>
      </c>
      <c r="J1051">
        <v>12</v>
      </c>
      <c r="K1051">
        <f t="shared" si="66"/>
        <v>6</v>
      </c>
      <c r="L1051" t="s">
        <v>1738</v>
      </c>
      <c r="M1051" t="s">
        <v>3814</v>
      </c>
      <c r="N1051" t="s">
        <v>1</v>
      </c>
      <c r="O1051">
        <v>247667</v>
      </c>
      <c r="P1051" t="s">
        <v>546</v>
      </c>
      <c r="Q1051" t="s">
        <v>1760</v>
      </c>
      <c r="S1051">
        <v>99.99</v>
      </c>
      <c r="T1051">
        <v>1</v>
      </c>
      <c r="U1051">
        <v>0</v>
      </c>
      <c r="V1051">
        <v>37.996200000000002</v>
      </c>
      <c r="W1051">
        <f t="shared" si="67"/>
        <v>61.993799999999993</v>
      </c>
      <c r="X1051">
        <v>3</v>
      </c>
    </row>
    <row r="1052" spans="1:24" x14ac:dyDescent="0.3">
      <c r="A1052">
        <v>1051</v>
      </c>
      <c r="B1052" t="s">
        <v>2818</v>
      </c>
      <c r="C1052" s="6">
        <v>45247</v>
      </c>
      <c r="D1052" t="str">
        <f t="shared" si="64"/>
        <v>Nov</v>
      </c>
      <c r="E1052" t="str">
        <f t="shared" si="65"/>
        <v>2023</v>
      </c>
      <c r="F1052" t="s">
        <v>5</v>
      </c>
      <c r="G1052" t="s">
        <v>382</v>
      </c>
      <c r="H1052" t="s">
        <v>1340</v>
      </c>
      <c r="I1052">
        <v>150</v>
      </c>
      <c r="J1052">
        <v>22</v>
      </c>
      <c r="K1052">
        <f t="shared" si="66"/>
        <v>14.666666666666666</v>
      </c>
      <c r="L1052" t="s">
        <v>1743</v>
      </c>
      <c r="M1052" t="s">
        <v>3879</v>
      </c>
      <c r="N1052" t="s">
        <v>1</v>
      </c>
      <c r="O1052">
        <v>534250</v>
      </c>
      <c r="P1052" t="s">
        <v>546</v>
      </c>
      <c r="Q1052" t="s">
        <v>1761</v>
      </c>
      <c r="R1052" t="s">
        <v>2</v>
      </c>
      <c r="S1052">
        <v>168.464</v>
      </c>
      <c r="T1052">
        <v>2</v>
      </c>
      <c r="U1052">
        <v>0.2</v>
      </c>
      <c r="V1052">
        <v>-29.481200000000001</v>
      </c>
      <c r="W1052">
        <f t="shared" si="67"/>
        <v>98.9726</v>
      </c>
      <c r="X1052">
        <v>1</v>
      </c>
    </row>
    <row r="1053" spans="1:24" x14ac:dyDescent="0.3">
      <c r="A1053">
        <v>1052</v>
      </c>
      <c r="B1053" t="s">
        <v>2819</v>
      </c>
      <c r="C1053" s="6">
        <v>45248</v>
      </c>
      <c r="D1053" t="str">
        <f t="shared" si="64"/>
        <v>Nov</v>
      </c>
      <c r="E1053" t="str">
        <f t="shared" si="65"/>
        <v>2023</v>
      </c>
      <c r="F1053" t="s">
        <v>5</v>
      </c>
      <c r="G1053" t="s">
        <v>382</v>
      </c>
      <c r="H1053" t="s">
        <v>1341</v>
      </c>
      <c r="I1053">
        <v>230</v>
      </c>
      <c r="J1053">
        <v>20</v>
      </c>
      <c r="K1053">
        <f t="shared" si="66"/>
        <v>8.695652173913043</v>
      </c>
      <c r="L1053" t="s">
        <v>1737</v>
      </c>
      <c r="M1053" t="s">
        <v>3813</v>
      </c>
      <c r="N1053" t="s">
        <v>1</v>
      </c>
      <c r="O1053">
        <v>629203</v>
      </c>
      <c r="P1053" t="s">
        <v>546</v>
      </c>
      <c r="Q1053" t="s">
        <v>1770</v>
      </c>
      <c r="S1053">
        <v>6.72</v>
      </c>
      <c r="T1053">
        <v>2</v>
      </c>
      <c r="U1053">
        <v>0.2</v>
      </c>
      <c r="V1053">
        <v>2.4359999999999999</v>
      </c>
      <c r="W1053">
        <f t="shared" si="67"/>
        <v>2.1419999999999999</v>
      </c>
      <c r="X1053">
        <v>4</v>
      </c>
    </row>
    <row r="1054" spans="1:24" x14ac:dyDescent="0.3">
      <c r="A1054">
        <v>1053</v>
      </c>
      <c r="B1054" t="s">
        <v>2820</v>
      </c>
      <c r="C1054" s="6">
        <v>45249</v>
      </c>
      <c r="D1054" t="str">
        <f t="shared" si="64"/>
        <v>Nov</v>
      </c>
      <c r="E1054" t="str">
        <f t="shared" si="65"/>
        <v>2023</v>
      </c>
      <c r="F1054" t="s">
        <v>5</v>
      </c>
      <c r="G1054" t="s">
        <v>382</v>
      </c>
      <c r="H1054" t="s">
        <v>1342</v>
      </c>
      <c r="I1054">
        <v>190</v>
      </c>
      <c r="J1054">
        <v>14</v>
      </c>
      <c r="K1054">
        <f t="shared" si="66"/>
        <v>7.3684210526315779</v>
      </c>
      <c r="L1054" t="s">
        <v>1741</v>
      </c>
      <c r="M1054" t="s">
        <v>3761</v>
      </c>
      <c r="N1054" t="s">
        <v>1</v>
      </c>
      <c r="O1054">
        <v>411057</v>
      </c>
      <c r="P1054" t="s">
        <v>546</v>
      </c>
      <c r="Q1054" t="s">
        <v>1765</v>
      </c>
      <c r="S1054">
        <v>282.88799999999998</v>
      </c>
      <c r="T1054">
        <v>9</v>
      </c>
      <c r="U1054">
        <v>0.2</v>
      </c>
      <c r="V1054">
        <v>56.577599999999997</v>
      </c>
      <c r="W1054">
        <f t="shared" si="67"/>
        <v>25.145599999999998</v>
      </c>
      <c r="X1054">
        <v>2</v>
      </c>
    </row>
    <row r="1055" spans="1:24" x14ac:dyDescent="0.3">
      <c r="A1055">
        <v>1054</v>
      </c>
      <c r="B1055" t="s">
        <v>2821</v>
      </c>
      <c r="C1055" s="6">
        <v>45250</v>
      </c>
      <c r="D1055" t="str">
        <f t="shared" si="64"/>
        <v>Nov</v>
      </c>
      <c r="E1055" t="str">
        <f t="shared" si="65"/>
        <v>2023</v>
      </c>
      <c r="F1055" t="s">
        <v>4</v>
      </c>
      <c r="G1055" t="s">
        <v>383</v>
      </c>
      <c r="H1055" t="s">
        <v>1343</v>
      </c>
      <c r="I1055">
        <v>110</v>
      </c>
      <c r="J1055">
        <v>30</v>
      </c>
      <c r="K1055">
        <f t="shared" si="66"/>
        <v>27.27272727272727</v>
      </c>
      <c r="L1055" t="s">
        <v>1736</v>
      </c>
      <c r="M1055" t="s">
        <v>3644</v>
      </c>
      <c r="N1055" t="s">
        <v>1</v>
      </c>
      <c r="O1055">
        <v>500004</v>
      </c>
      <c r="P1055" t="s">
        <v>546</v>
      </c>
      <c r="Q1055" t="s">
        <v>1759</v>
      </c>
      <c r="S1055">
        <v>11.16</v>
      </c>
      <c r="T1055">
        <v>2</v>
      </c>
      <c r="U1055">
        <v>0</v>
      </c>
      <c r="V1055">
        <v>4.3524000000000003</v>
      </c>
      <c r="W1055">
        <f t="shared" si="67"/>
        <v>3.4037999999999999</v>
      </c>
      <c r="X1055">
        <v>5</v>
      </c>
    </row>
    <row r="1056" spans="1:24" x14ac:dyDescent="0.3">
      <c r="A1056">
        <v>1055</v>
      </c>
      <c r="B1056" t="s">
        <v>2822</v>
      </c>
      <c r="C1056" s="6">
        <v>45251</v>
      </c>
      <c r="D1056" t="str">
        <f t="shared" si="64"/>
        <v>Nov</v>
      </c>
      <c r="E1056" t="str">
        <f t="shared" si="65"/>
        <v>2023</v>
      </c>
      <c r="F1056" t="s">
        <v>4</v>
      </c>
      <c r="G1056" t="s">
        <v>383</v>
      </c>
      <c r="H1056" t="s">
        <v>1344</v>
      </c>
      <c r="I1056">
        <v>240</v>
      </c>
      <c r="J1056">
        <v>10</v>
      </c>
      <c r="K1056">
        <f t="shared" si="66"/>
        <v>4.1666666666666661</v>
      </c>
      <c r="L1056" t="s">
        <v>1744</v>
      </c>
      <c r="M1056" t="s">
        <v>3585</v>
      </c>
      <c r="O1056">
        <v>721137</v>
      </c>
      <c r="P1056" t="s">
        <v>546</v>
      </c>
      <c r="Q1056" t="s">
        <v>1761</v>
      </c>
      <c r="S1056">
        <v>108.4</v>
      </c>
      <c r="T1056">
        <v>2</v>
      </c>
      <c r="U1056">
        <v>0</v>
      </c>
      <c r="V1056">
        <v>22.763999999999999</v>
      </c>
      <c r="W1056">
        <f t="shared" si="67"/>
        <v>42.818000000000005</v>
      </c>
      <c r="X1056">
        <v>4</v>
      </c>
    </row>
    <row r="1057" spans="1:24" x14ac:dyDescent="0.3">
      <c r="A1057">
        <v>1056</v>
      </c>
      <c r="B1057" t="s">
        <v>2823</v>
      </c>
      <c r="C1057" s="6">
        <v>45252</v>
      </c>
      <c r="D1057" t="str">
        <f t="shared" si="64"/>
        <v>Nov</v>
      </c>
      <c r="E1057" t="str">
        <f t="shared" si="65"/>
        <v>2023</v>
      </c>
      <c r="F1057" t="s">
        <v>4</v>
      </c>
      <c r="G1057" t="s">
        <v>383</v>
      </c>
      <c r="H1057" t="s">
        <v>688</v>
      </c>
      <c r="I1057">
        <v>120</v>
      </c>
      <c r="J1057">
        <v>22</v>
      </c>
      <c r="K1057">
        <f t="shared" si="66"/>
        <v>18.333333333333332</v>
      </c>
      <c r="L1057" t="s">
        <v>1740</v>
      </c>
      <c r="M1057" t="s">
        <v>3811</v>
      </c>
      <c r="N1057" t="s">
        <v>1</v>
      </c>
      <c r="O1057">
        <v>831012</v>
      </c>
      <c r="P1057" t="s">
        <v>546</v>
      </c>
      <c r="Q1057" t="s">
        <v>1767</v>
      </c>
      <c r="R1057" t="s">
        <v>2</v>
      </c>
      <c r="S1057">
        <v>82.343999999999994</v>
      </c>
      <c r="T1057">
        <v>3</v>
      </c>
      <c r="U1057">
        <v>0.2</v>
      </c>
      <c r="V1057">
        <v>27.7911</v>
      </c>
      <c r="W1057">
        <f t="shared" si="67"/>
        <v>18.184299999999997</v>
      </c>
      <c r="X1057">
        <v>4</v>
      </c>
    </row>
    <row r="1058" spans="1:24" x14ac:dyDescent="0.3">
      <c r="A1058">
        <v>1057</v>
      </c>
      <c r="B1058" t="s">
        <v>2824</v>
      </c>
      <c r="C1058" s="6">
        <v>45253</v>
      </c>
      <c r="D1058" t="str">
        <f t="shared" si="64"/>
        <v>Nov</v>
      </c>
      <c r="E1058" t="str">
        <f t="shared" si="65"/>
        <v>2023</v>
      </c>
      <c r="F1058" t="s">
        <v>4</v>
      </c>
      <c r="G1058" t="s">
        <v>383</v>
      </c>
      <c r="H1058" t="s">
        <v>1345</v>
      </c>
      <c r="I1058">
        <v>250</v>
      </c>
      <c r="J1058">
        <v>26</v>
      </c>
      <c r="K1058">
        <f t="shared" si="66"/>
        <v>10.4</v>
      </c>
      <c r="L1058" t="s">
        <v>1742</v>
      </c>
      <c r="M1058" t="s">
        <v>3816</v>
      </c>
      <c r="N1058" t="s">
        <v>1</v>
      </c>
      <c r="O1058">
        <v>410206</v>
      </c>
      <c r="P1058" t="s">
        <v>546</v>
      </c>
      <c r="Q1058" t="s">
        <v>1775</v>
      </c>
      <c r="R1058" t="s">
        <v>2</v>
      </c>
      <c r="S1058">
        <v>9.0879999999999992</v>
      </c>
      <c r="T1058">
        <v>4</v>
      </c>
      <c r="U1058">
        <v>0.2</v>
      </c>
      <c r="V1058">
        <v>3.2944</v>
      </c>
      <c r="W1058">
        <f t="shared" si="67"/>
        <v>1.4483999999999999</v>
      </c>
      <c r="X1058">
        <v>5</v>
      </c>
    </row>
    <row r="1059" spans="1:24" x14ac:dyDescent="0.3">
      <c r="A1059">
        <v>1058</v>
      </c>
      <c r="B1059" t="s">
        <v>2825</v>
      </c>
      <c r="C1059" s="6">
        <v>45254</v>
      </c>
      <c r="D1059" t="str">
        <f t="shared" si="64"/>
        <v>Nov</v>
      </c>
      <c r="E1059" t="str">
        <f t="shared" si="65"/>
        <v>2023</v>
      </c>
      <c r="F1059" t="s">
        <v>4</v>
      </c>
      <c r="G1059" t="s">
        <v>137</v>
      </c>
      <c r="H1059" t="s">
        <v>1346</v>
      </c>
      <c r="I1059">
        <v>250</v>
      </c>
      <c r="J1059">
        <v>18</v>
      </c>
      <c r="K1059">
        <f t="shared" si="66"/>
        <v>7.1999999999999993</v>
      </c>
      <c r="L1059" t="s">
        <v>1739</v>
      </c>
      <c r="M1059" t="s">
        <v>3657</v>
      </c>
      <c r="N1059" t="s">
        <v>1</v>
      </c>
      <c r="O1059">
        <v>602001</v>
      </c>
      <c r="P1059" t="s">
        <v>546</v>
      </c>
      <c r="Q1059" t="s">
        <v>1772</v>
      </c>
      <c r="S1059">
        <v>19.936</v>
      </c>
      <c r="T1059">
        <v>4</v>
      </c>
      <c r="U1059">
        <v>0.2</v>
      </c>
      <c r="V1059">
        <v>7.2267999999999999</v>
      </c>
      <c r="W1059">
        <f t="shared" si="67"/>
        <v>3.1772999999999998</v>
      </c>
      <c r="X1059">
        <v>3</v>
      </c>
    </row>
    <row r="1060" spans="1:24" x14ac:dyDescent="0.3">
      <c r="A1060">
        <v>1059</v>
      </c>
      <c r="B1060" t="s">
        <v>2826</v>
      </c>
      <c r="C1060" s="6">
        <v>45255</v>
      </c>
      <c r="D1060" t="str">
        <f t="shared" si="64"/>
        <v>Nov</v>
      </c>
      <c r="E1060" t="str">
        <f t="shared" si="65"/>
        <v>2023</v>
      </c>
      <c r="F1060" t="s">
        <v>4</v>
      </c>
      <c r="G1060" t="s">
        <v>137</v>
      </c>
      <c r="H1060" t="s">
        <v>1347</v>
      </c>
      <c r="I1060">
        <v>110</v>
      </c>
      <c r="J1060">
        <v>16</v>
      </c>
      <c r="K1060">
        <f t="shared" si="66"/>
        <v>14.545454545454545</v>
      </c>
      <c r="L1060" t="s">
        <v>1738</v>
      </c>
      <c r="M1060" t="s">
        <v>3817</v>
      </c>
      <c r="N1060" t="s">
        <v>1</v>
      </c>
      <c r="O1060">
        <v>602001</v>
      </c>
      <c r="P1060" t="s">
        <v>546</v>
      </c>
      <c r="Q1060" t="s">
        <v>1773</v>
      </c>
      <c r="S1060">
        <v>65.567999999999998</v>
      </c>
      <c r="T1060">
        <v>2</v>
      </c>
      <c r="U1060">
        <v>0.2</v>
      </c>
      <c r="V1060">
        <v>22.948799999999999</v>
      </c>
      <c r="W1060">
        <f t="shared" si="67"/>
        <v>21.3096</v>
      </c>
      <c r="X1060">
        <v>4</v>
      </c>
    </row>
    <row r="1061" spans="1:24" x14ac:dyDescent="0.3">
      <c r="A1061">
        <v>1060</v>
      </c>
      <c r="B1061" t="s">
        <v>2827</v>
      </c>
      <c r="C1061" s="6">
        <v>45256</v>
      </c>
      <c r="D1061" t="str">
        <f t="shared" si="64"/>
        <v>Nov</v>
      </c>
      <c r="E1061" t="str">
        <f t="shared" si="65"/>
        <v>2023</v>
      </c>
      <c r="F1061" t="s">
        <v>4</v>
      </c>
      <c r="G1061" t="s">
        <v>384</v>
      </c>
      <c r="H1061" t="s">
        <v>1348</v>
      </c>
      <c r="I1061">
        <v>230</v>
      </c>
      <c r="J1061">
        <v>16</v>
      </c>
      <c r="K1061">
        <f t="shared" si="66"/>
        <v>6.9565217391304346</v>
      </c>
      <c r="L1061" t="s">
        <v>1737</v>
      </c>
      <c r="M1061" t="s">
        <v>3818</v>
      </c>
      <c r="N1061" t="s">
        <v>1</v>
      </c>
      <c r="O1061">
        <v>573201</v>
      </c>
      <c r="P1061" t="s">
        <v>546</v>
      </c>
      <c r="Q1061" t="s">
        <v>1774</v>
      </c>
      <c r="R1061" t="s">
        <v>2</v>
      </c>
      <c r="S1061">
        <v>4.4160000000000004</v>
      </c>
      <c r="T1061">
        <v>3</v>
      </c>
      <c r="U1061">
        <v>0.2</v>
      </c>
      <c r="V1061">
        <v>1.6008</v>
      </c>
      <c r="W1061">
        <f t="shared" si="67"/>
        <v>0.93840000000000012</v>
      </c>
      <c r="X1061">
        <v>1</v>
      </c>
    </row>
    <row r="1062" spans="1:24" x14ac:dyDescent="0.3">
      <c r="A1062">
        <v>1061</v>
      </c>
      <c r="B1062" t="s">
        <v>2828</v>
      </c>
      <c r="C1062" s="6">
        <v>45257</v>
      </c>
      <c r="D1062" t="str">
        <f t="shared" si="64"/>
        <v>Nov</v>
      </c>
      <c r="E1062" t="str">
        <f t="shared" si="65"/>
        <v>2023</v>
      </c>
      <c r="F1062" t="s">
        <v>4</v>
      </c>
      <c r="G1062" t="s">
        <v>155</v>
      </c>
      <c r="H1062" t="s">
        <v>936</v>
      </c>
      <c r="I1062">
        <v>150</v>
      </c>
      <c r="J1062">
        <v>8</v>
      </c>
      <c r="K1062">
        <f t="shared" si="66"/>
        <v>5.3333333333333339</v>
      </c>
      <c r="L1062" t="s">
        <v>1743</v>
      </c>
      <c r="M1062" t="s">
        <v>3819</v>
      </c>
      <c r="N1062" t="s">
        <v>1</v>
      </c>
      <c r="O1062">
        <v>400081</v>
      </c>
      <c r="P1062" t="s">
        <v>546</v>
      </c>
      <c r="Q1062" t="s">
        <v>1766</v>
      </c>
      <c r="R1062" t="s">
        <v>2</v>
      </c>
      <c r="S1062">
        <v>107.77200000000001</v>
      </c>
      <c r="T1062">
        <v>2</v>
      </c>
      <c r="U1062">
        <v>0.3</v>
      </c>
      <c r="V1062">
        <v>-29.252400000000002</v>
      </c>
      <c r="W1062">
        <f t="shared" si="67"/>
        <v>68.512200000000007</v>
      </c>
      <c r="X1062">
        <v>5</v>
      </c>
    </row>
    <row r="1063" spans="1:24" x14ac:dyDescent="0.3">
      <c r="A1063">
        <v>1062</v>
      </c>
      <c r="B1063" t="s">
        <v>2829</v>
      </c>
      <c r="C1063" s="6">
        <v>45258</v>
      </c>
      <c r="D1063" t="str">
        <f t="shared" si="64"/>
        <v>Nov</v>
      </c>
      <c r="E1063" t="str">
        <f t="shared" si="65"/>
        <v>2023</v>
      </c>
      <c r="F1063" t="s">
        <v>4</v>
      </c>
      <c r="G1063" t="s">
        <v>385</v>
      </c>
      <c r="H1063" t="s">
        <v>1098</v>
      </c>
      <c r="I1063">
        <v>170</v>
      </c>
      <c r="J1063">
        <v>20</v>
      </c>
      <c r="K1063">
        <f t="shared" si="66"/>
        <v>11.76470588235294</v>
      </c>
      <c r="L1063" t="s">
        <v>1738</v>
      </c>
      <c r="M1063" t="s">
        <v>3662</v>
      </c>
      <c r="N1063" t="s">
        <v>1</v>
      </c>
      <c r="O1063">
        <v>400081</v>
      </c>
      <c r="P1063" t="s">
        <v>546</v>
      </c>
      <c r="Q1063" t="s">
        <v>1761</v>
      </c>
      <c r="S1063">
        <v>45.216000000000001</v>
      </c>
      <c r="T1063">
        <v>3</v>
      </c>
      <c r="U1063">
        <v>0.2</v>
      </c>
      <c r="V1063">
        <v>4.5216000000000003</v>
      </c>
      <c r="W1063">
        <f t="shared" si="67"/>
        <v>13.5648</v>
      </c>
      <c r="X1063">
        <v>1</v>
      </c>
    </row>
    <row r="1064" spans="1:24" x14ac:dyDescent="0.3">
      <c r="A1064">
        <v>1063</v>
      </c>
      <c r="B1064" t="s">
        <v>2401</v>
      </c>
      <c r="C1064" s="6">
        <v>45259</v>
      </c>
      <c r="D1064" t="str">
        <f t="shared" si="64"/>
        <v>Nov</v>
      </c>
      <c r="E1064" t="str">
        <f t="shared" si="65"/>
        <v>2023</v>
      </c>
      <c r="F1064" t="s">
        <v>4</v>
      </c>
      <c r="G1064" t="s">
        <v>385</v>
      </c>
      <c r="H1064" t="s">
        <v>1349</v>
      </c>
      <c r="I1064">
        <v>130</v>
      </c>
      <c r="J1064">
        <v>28</v>
      </c>
      <c r="K1064">
        <f t="shared" si="66"/>
        <v>21.53846153846154</v>
      </c>
      <c r="L1064" t="s">
        <v>1739</v>
      </c>
      <c r="M1064" t="s">
        <v>3617</v>
      </c>
      <c r="N1064" t="s">
        <v>1</v>
      </c>
      <c r="O1064">
        <v>400081</v>
      </c>
      <c r="P1064" t="s">
        <v>546</v>
      </c>
      <c r="Q1064" t="s">
        <v>1758</v>
      </c>
      <c r="S1064">
        <v>10.416</v>
      </c>
      <c r="T1064">
        <v>7</v>
      </c>
      <c r="U1064">
        <v>0.2</v>
      </c>
      <c r="V1064">
        <v>-2.2134</v>
      </c>
      <c r="W1064">
        <f t="shared" si="67"/>
        <v>1.8042</v>
      </c>
      <c r="X1064">
        <v>4</v>
      </c>
    </row>
    <row r="1065" spans="1:24" x14ac:dyDescent="0.3">
      <c r="A1065">
        <v>1064</v>
      </c>
      <c r="B1065" t="s">
        <v>2830</v>
      </c>
      <c r="C1065" s="6">
        <v>45260</v>
      </c>
      <c r="D1065" t="str">
        <f t="shared" si="64"/>
        <v>Nov</v>
      </c>
      <c r="E1065" t="str">
        <f t="shared" si="65"/>
        <v>2023</v>
      </c>
      <c r="F1065" t="s">
        <v>4</v>
      </c>
      <c r="G1065" t="s">
        <v>385</v>
      </c>
      <c r="H1065" t="s">
        <v>893</v>
      </c>
      <c r="I1065">
        <v>240</v>
      </c>
      <c r="J1065">
        <v>22</v>
      </c>
      <c r="K1065">
        <f t="shared" si="66"/>
        <v>9.1666666666666661</v>
      </c>
      <c r="L1065" t="s">
        <v>1741</v>
      </c>
      <c r="M1065" t="s">
        <v>3820</v>
      </c>
      <c r="N1065" t="s">
        <v>1</v>
      </c>
      <c r="O1065">
        <v>400081</v>
      </c>
      <c r="P1065" t="s">
        <v>546</v>
      </c>
      <c r="Q1065" t="s">
        <v>1768</v>
      </c>
      <c r="S1065">
        <v>7.8719999999999999</v>
      </c>
      <c r="T1065">
        <v>3</v>
      </c>
      <c r="U1065">
        <v>0.2</v>
      </c>
      <c r="V1065">
        <v>1.2791999999999999</v>
      </c>
      <c r="W1065">
        <f t="shared" si="67"/>
        <v>2.1976</v>
      </c>
      <c r="X1065">
        <v>5</v>
      </c>
    </row>
    <row r="1066" spans="1:24" x14ac:dyDescent="0.3">
      <c r="A1066">
        <v>1065</v>
      </c>
      <c r="B1066" t="s">
        <v>2831</v>
      </c>
      <c r="C1066" s="6">
        <v>45261</v>
      </c>
      <c r="D1066" t="str">
        <f t="shared" si="64"/>
        <v>Dec</v>
      </c>
      <c r="E1066" t="str">
        <f t="shared" si="65"/>
        <v>2023</v>
      </c>
      <c r="F1066" t="s">
        <v>4</v>
      </c>
      <c r="G1066" t="s">
        <v>385</v>
      </c>
      <c r="H1066" t="s">
        <v>1350</v>
      </c>
      <c r="I1066">
        <v>220</v>
      </c>
      <c r="J1066">
        <v>6</v>
      </c>
      <c r="K1066">
        <f t="shared" si="66"/>
        <v>2.7272727272727271</v>
      </c>
      <c r="L1066" t="s">
        <v>1736</v>
      </c>
      <c r="M1066" t="s">
        <v>3821</v>
      </c>
      <c r="N1066" t="s">
        <v>1</v>
      </c>
      <c r="O1066">
        <v>500061</v>
      </c>
      <c r="P1066" t="s">
        <v>546</v>
      </c>
      <c r="Q1066" t="s">
        <v>1774</v>
      </c>
      <c r="R1066" t="s">
        <v>2</v>
      </c>
      <c r="S1066">
        <v>118.782</v>
      </c>
      <c r="T1066">
        <v>3</v>
      </c>
      <c r="U1066">
        <v>0.4</v>
      </c>
      <c r="V1066">
        <v>-27.715800000000002</v>
      </c>
      <c r="W1066">
        <f t="shared" si="67"/>
        <v>48.832599999999992</v>
      </c>
      <c r="X1066">
        <v>5</v>
      </c>
    </row>
    <row r="1067" spans="1:24" x14ac:dyDescent="0.3">
      <c r="A1067">
        <v>1066</v>
      </c>
      <c r="B1067" t="s">
        <v>2832</v>
      </c>
      <c r="C1067" s="6">
        <v>45262</v>
      </c>
      <c r="D1067" t="str">
        <f t="shared" si="64"/>
        <v>Dec</v>
      </c>
      <c r="E1067" t="str">
        <f t="shared" si="65"/>
        <v>2023</v>
      </c>
      <c r="F1067" t="s">
        <v>4</v>
      </c>
      <c r="G1067" t="s">
        <v>385</v>
      </c>
      <c r="H1067" t="s">
        <v>1351</v>
      </c>
      <c r="I1067">
        <v>110</v>
      </c>
      <c r="J1067">
        <v>12</v>
      </c>
      <c r="K1067">
        <f t="shared" si="66"/>
        <v>10.909090909090908</v>
      </c>
      <c r="L1067" t="s">
        <v>1744</v>
      </c>
      <c r="M1067" t="s">
        <v>3822</v>
      </c>
      <c r="N1067" t="s">
        <v>1</v>
      </c>
      <c r="O1067">
        <v>160055</v>
      </c>
      <c r="P1067" t="s">
        <v>546</v>
      </c>
      <c r="Q1067" t="s">
        <v>1771</v>
      </c>
      <c r="S1067">
        <v>1.448</v>
      </c>
      <c r="T1067">
        <v>1</v>
      </c>
      <c r="U1067">
        <v>0.2</v>
      </c>
      <c r="V1067">
        <v>0.23530000000000001</v>
      </c>
      <c r="W1067">
        <f t="shared" si="67"/>
        <v>1.2126999999999999</v>
      </c>
      <c r="X1067">
        <v>5</v>
      </c>
    </row>
    <row r="1068" spans="1:24" x14ac:dyDescent="0.3">
      <c r="A1068">
        <v>1067</v>
      </c>
      <c r="B1068" t="s">
        <v>2833</v>
      </c>
      <c r="C1068" s="6">
        <v>45263</v>
      </c>
      <c r="D1068" t="str">
        <f t="shared" si="64"/>
        <v>Dec</v>
      </c>
      <c r="E1068" t="str">
        <f t="shared" si="65"/>
        <v>2023</v>
      </c>
      <c r="F1068" t="s">
        <v>4</v>
      </c>
      <c r="G1068" t="s">
        <v>385</v>
      </c>
      <c r="H1068" t="s">
        <v>1352</v>
      </c>
      <c r="I1068">
        <v>130</v>
      </c>
      <c r="J1068">
        <v>8</v>
      </c>
      <c r="K1068">
        <f t="shared" si="66"/>
        <v>6.1538461538461542</v>
      </c>
      <c r="L1068" t="s">
        <v>1740</v>
      </c>
      <c r="M1068" t="s">
        <v>3823</v>
      </c>
      <c r="N1068" t="s">
        <v>1</v>
      </c>
      <c r="O1068">
        <v>600051</v>
      </c>
      <c r="P1068" t="s">
        <v>546</v>
      </c>
      <c r="Q1068" t="s">
        <v>1761</v>
      </c>
      <c r="S1068">
        <v>55.47</v>
      </c>
      <c r="T1068">
        <v>5</v>
      </c>
      <c r="U1068">
        <v>0.7</v>
      </c>
      <c r="V1068">
        <v>-46.225000000000001</v>
      </c>
      <c r="W1068">
        <f t="shared" si="67"/>
        <v>20.338999999999999</v>
      </c>
      <c r="X1068">
        <v>4</v>
      </c>
    </row>
    <row r="1069" spans="1:24" x14ac:dyDescent="0.3">
      <c r="A1069">
        <v>1068</v>
      </c>
      <c r="B1069" t="s">
        <v>2834</v>
      </c>
      <c r="C1069" s="6">
        <v>45264</v>
      </c>
      <c r="D1069" t="str">
        <f t="shared" si="64"/>
        <v>Dec</v>
      </c>
      <c r="E1069" t="str">
        <f t="shared" si="65"/>
        <v>2023</v>
      </c>
      <c r="F1069" t="s">
        <v>5</v>
      </c>
      <c r="G1069" t="s">
        <v>386</v>
      </c>
      <c r="H1069" t="s">
        <v>611</v>
      </c>
      <c r="I1069">
        <v>210</v>
      </c>
      <c r="J1069">
        <v>16</v>
      </c>
      <c r="K1069">
        <f t="shared" si="66"/>
        <v>7.6190476190476195</v>
      </c>
      <c r="L1069" t="s">
        <v>1742</v>
      </c>
      <c r="M1069" t="s">
        <v>3687</v>
      </c>
      <c r="N1069" t="s">
        <v>1</v>
      </c>
      <c r="O1069">
        <v>403601</v>
      </c>
      <c r="P1069" t="s">
        <v>546</v>
      </c>
      <c r="Q1069" t="s">
        <v>1769</v>
      </c>
      <c r="S1069">
        <v>194.84800000000001</v>
      </c>
      <c r="T1069">
        <v>4</v>
      </c>
      <c r="U1069">
        <v>0.2</v>
      </c>
      <c r="V1069">
        <v>12.178000000000001</v>
      </c>
      <c r="W1069">
        <f t="shared" si="67"/>
        <v>45.667500000000004</v>
      </c>
      <c r="X1069">
        <v>4</v>
      </c>
    </row>
    <row r="1070" spans="1:24" x14ac:dyDescent="0.3">
      <c r="A1070">
        <v>1069</v>
      </c>
      <c r="B1070" t="s">
        <v>2835</v>
      </c>
      <c r="C1070" s="6">
        <v>45265</v>
      </c>
      <c r="D1070" t="str">
        <f t="shared" si="64"/>
        <v>Dec</v>
      </c>
      <c r="E1070" t="str">
        <f t="shared" si="65"/>
        <v>2023</v>
      </c>
      <c r="F1070" t="s">
        <v>3</v>
      </c>
      <c r="G1070" t="s">
        <v>387</v>
      </c>
      <c r="H1070" t="s">
        <v>1029</v>
      </c>
      <c r="I1070">
        <v>250</v>
      </c>
      <c r="J1070">
        <v>10</v>
      </c>
      <c r="K1070">
        <f t="shared" si="66"/>
        <v>4</v>
      </c>
      <c r="L1070" t="s">
        <v>1739</v>
      </c>
      <c r="M1070" t="s">
        <v>3608</v>
      </c>
      <c r="N1070" t="s">
        <v>1</v>
      </c>
      <c r="O1070">
        <v>400084</v>
      </c>
      <c r="P1070" t="s">
        <v>546</v>
      </c>
      <c r="Q1070" t="s">
        <v>1758</v>
      </c>
      <c r="S1070">
        <v>1.744</v>
      </c>
      <c r="T1070">
        <v>1</v>
      </c>
      <c r="U1070">
        <v>0.2</v>
      </c>
      <c r="V1070">
        <v>-0.3488</v>
      </c>
      <c r="W1070">
        <f t="shared" si="67"/>
        <v>2.0928</v>
      </c>
      <c r="X1070">
        <v>5</v>
      </c>
    </row>
    <row r="1071" spans="1:24" x14ac:dyDescent="0.3">
      <c r="A1071">
        <v>1070</v>
      </c>
      <c r="B1071" t="s">
        <v>2836</v>
      </c>
      <c r="C1071" s="6">
        <v>45266</v>
      </c>
      <c r="D1071" t="str">
        <f t="shared" si="64"/>
        <v>Dec</v>
      </c>
      <c r="E1071" t="str">
        <f t="shared" si="65"/>
        <v>2023</v>
      </c>
      <c r="F1071" t="s">
        <v>4</v>
      </c>
      <c r="G1071" t="s">
        <v>183</v>
      </c>
      <c r="H1071" t="s">
        <v>848</v>
      </c>
      <c r="I1071">
        <v>230</v>
      </c>
      <c r="J1071">
        <v>8</v>
      </c>
      <c r="K1071">
        <f t="shared" si="66"/>
        <v>3.4782608695652173</v>
      </c>
      <c r="L1071" t="s">
        <v>1738</v>
      </c>
      <c r="M1071" t="s">
        <v>3786</v>
      </c>
      <c r="N1071" t="s">
        <v>1</v>
      </c>
      <c r="O1071">
        <v>248140</v>
      </c>
      <c r="P1071" t="s">
        <v>546</v>
      </c>
      <c r="Q1071" t="s">
        <v>1765</v>
      </c>
      <c r="S1071">
        <v>25.175999999999998</v>
      </c>
      <c r="T1071">
        <v>4</v>
      </c>
      <c r="U1071">
        <v>0.7</v>
      </c>
      <c r="V1071">
        <v>-18.462399999999999</v>
      </c>
      <c r="W1071">
        <f t="shared" si="67"/>
        <v>10.909599999999999</v>
      </c>
      <c r="X1071">
        <v>3</v>
      </c>
    </row>
    <row r="1072" spans="1:24" x14ac:dyDescent="0.3">
      <c r="A1072">
        <v>1071</v>
      </c>
      <c r="B1072" t="s">
        <v>2837</v>
      </c>
      <c r="C1072" s="6">
        <v>45267</v>
      </c>
      <c r="D1072" t="str">
        <f t="shared" si="64"/>
        <v>Dec</v>
      </c>
      <c r="E1072" t="str">
        <f t="shared" si="65"/>
        <v>2023</v>
      </c>
      <c r="F1072" t="s">
        <v>4</v>
      </c>
      <c r="G1072" t="s">
        <v>388</v>
      </c>
      <c r="H1072" t="s">
        <v>871</v>
      </c>
      <c r="I1072">
        <v>100</v>
      </c>
      <c r="J1072">
        <v>18</v>
      </c>
      <c r="K1072">
        <f t="shared" si="66"/>
        <v>18</v>
      </c>
      <c r="L1072" t="s">
        <v>1743</v>
      </c>
      <c r="M1072" t="s">
        <v>3690</v>
      </c>
      <c r="N1072" t="s">
        <v>1</v>
      </c>
      <c r="O1072">
        <v>144007</v>
      </c>
      <c r="P1072" t="s">
        <v>546</v>
      </c>
      <c r="Q1072" t="s">
        <v>1768</v>
      </c>
      <c r="S1072">
        <v>19.46</v>
      </c>
      <c r="T1072">
        <v>7</v>
      </c>
      <c r="U1072">
        <v>0</v>
      </c>
      <c r="V1072">
        <v>5.0595999999999997</v>
      </c>
      <c r="W1072">
        <f t="shared" si="67"/>
        <v>2.0572000000000004</v>
      </c>
      <c r="X1072">
        <v>4</v>
      </c>
    </row>
    <row r="1073" spans="1:24" x14ac:dyDescent="0.3">
      <c r="A1073">
        <v>1072</v>
      </c>
      <c r="B1073" t="s">
        <v>2838</v>
      </c>
      <c r="C1073" s="6">
        <v>45268</v>
      </c>
      <c r="D1073" t="str">
        <f t="shared" si="64"/>
        <v>Dec</v>
      </c>
      <c r="E1073" t="str">
        <f t="shared" si="65"/>
        <v>2023</v>
      </c>
      <c r="F1073" t="s">
        <v>4</v>
      </c>
      <c r="G1073" t="s">
        <v>389</v>
      </c>
      <c r="H1073" t="s">
        <v>861</v>
      </c>
      <c r="I1073">
        <v>230</v>
      </c>
      <c r="J1073">
        <v>16</v>
      </c>
      <c r="K1073">
        <f t="shared" si="66"/>
        <v>6.9565217391304346</v>
      </c>
      <c r="L1073" t="s">
        <v>1737</v>
      </c>
      <c r="M1073" t="s">
        <v>3824</v>
      </c>
      <c r="N1073" t="s">
        <v>1</v>
      </c>
      <c r="O1073">
        <v>600006</v>
      </c>
      <c r="P1073" t="s">
        <v>546</v>
      </c>
      <c r="Q1073" t="s">
        <v>1756</v>
      </c>
      <c r="S1073">
        <v>29.472000000000001</v>
      </c>
      <c r="T1073">
        <v>3</v>
      </c>
      <c r="U1073">
        <v>0.2</v>
      </c>
      <c r="V1073">
        <v>9.9467999999999996</v>
      </c>
      <c r="W1073">
        <f t="shared" si="67"/>
        <v>6.5084000000000009</v>
      </c>
      <c r="X1073">
        <v>5</v>
      </c>
    </row>
    <row r="1074" spans="1:24" x14ac:dyDescent="0.3">
      <c r="A1074">
        <v>1073</v>
      </c>
      <c r="B1074" t="s">
        <v>2839</v>
      </c>
      <c r="C1074" s="6">
        <v>45269</v>
      </c>
      <c r="D1074" t="str">
        <f t="shared" si="64"/>
        <v>Dec</v>
      </c>
      <c r="E1074" t="str">
        <f t="shared" si="65"/>
        <v>2023</v>
      </c>
      <c r="F1074" t="s">
        <v>4</v>
      </c>
      <c r="G1074" t="s">
        <v>390</v>
      </c>
      <c r="H1074" t="s">
        <v>1353</v>
      </c>
      <c r="I1074">
        <v>160</v>
      </c>
      <c r="J1074">
        <v>16</v>
      </c>
      <c r="K1074">
        <f t="shared" si="66"/>
        <v>10</v>
      </c>
      <c r="L1074" t="s">
        <v>1741</v>
      </c>
      <c r="M1074" t="s">
        <v>3825</v>
      </c>
      <c r="N1074" t="s">
        <v>1</v>
      </c>
      <c r="O1074">
        <v>211008</v>
      </c>
      <c r="P1074" t="s">
        <v>546</v>
      </c>
      <c r="Q1074" t="s">
        <v>1768</v>
      </c>
      <c r="S1074">
        <v>8.64</v>
      </c>
      <c r="T1074">
        <v>2</v>
      </c>
      <c r="U1074">
        <v>0.2</v>
      </c>
      <c r="V1074">
        <v>3.024</v>
      </c>
      <c r="W1074">
        <f t="shared" si="67"/>
        <v>2.8080000000000003</v>
      </c>
      <c r="X1074">
        <v>1</v>
      </c>
    </row>
    <row r="1075" spans="1:24" x14ac:dyDescent="0.3">
      <c r="A1075">
        <v>1074</v>
      </c>
      <c r="B1075" t="s">
        <v>2840</v>
      </c>
      <c r="C1075" s="6">
        <v>45270</v>
      </c>
      <c r="D1075" t="str">
        <f t="shared" si="64"/>
        <v>Dec</v>
      </c>
      <c r="E1075" t="str">
        <f t="shared" si="65"/>
        <v>2023</v>
      </c>
      <c r="F1075" t="s">
        <v>4</v>
      </c>
      <c r="G1075" t="s">
        <v>391</v>
      </c>
      <c r="H1075" t="s">
        <v>1354</v>
      </c>
      <c r="I1075">
        <v>160</v>
      </c>
      <c r="J1075">
        <v>22</v>
      </c>
      <c r="K1075">
        <f t="shared" si="66"/>
        <v>13.750000000000002</v>
      </c>
      <c r="L1075" t="s">
        <v>1736</v>
      </c>
      <c r="M1075" t="s">
        <v>3644</v>
      </c>
      <c r="O1075">
        <v>605001</v>
      </c>
      <c r="P1075" t="s">
        <v>546</v>
      </c>
      <c r="Q1075" t="s">
        <v>1775</v>
      </c>
      <c r="S1075">
        <v>6.27</v>
      </c>
      <c r="T1075">
        <v>5</v>
      </c>
      <c r="U1075">
        <v>0.7</v>
      </c>
      <c r="V1075">
        <v>-4.5979999999999999</v>
      </c>
      <c r="W1075">
        <f t="shared" si="67"/>
        <v>2.1735999999999995</v>
      </c>
      <c r="X1075">
        <v>4</v>
      </c>
    </row>
    <row r="1076" spans="1:24" x14ac:dyDescent="0.3">
      <c r="A1076">
        <v>1075</v>
      </c>
      <c r="B1076" t="s">
        <v>2841</v>
      </c>
      <c r="C1076" s="6">
        <v>45271</v>
      </c>
      <c r="D1076" t="str">
        <f t="shared" si="64"/>
        <v>Dec</v>
      </c>
      <c r="E1076" t="str">
        <f t="shared" si="65"/>
        <v>2023</v>
      </c>
      <c r="F1076" t="s">
        <v>4</v>
      </c>
      <c r="G1076" t="s">
        <v>391</v>
      </c>
      <c r="H1076" t="s">
        <v>802</v>
      </c>
      <c r="I1076">
        <v>130</v>
      </c>
      <c r="J1076">
        <v>18</v>
      </c>
      <c r="K1076">
        <f t="shared" si="66"/>
        <v>13.846153846153847</v>
      </c>
      <c r="L1076" t="s">
        <v>1744</v>
      </c>
      <c r="M1076" t="s">
        <v>3826</v>
      </c>
      <c r="N1076" t="s">
        <v>1</v>
      </c>
      <c r="O1076">
        <v>411033</v>
      </c>
      <c r="P1076" t="s">
        <v>546</v>
      </c>
      <c r="Q1076" t="s">
        <v>1768</v>
      </c>
      <c r="S1076">
        <v>4.3680000000000003</v>
      </c>
      <c r="T1076">
        <v>7</v>
      </c>
      <c r="U1076">
        <v>0.7</v>
      </c>
      <c r="V1076">
        <v>-3.3488000000000002</v>
      </c>
      <c r="W1076">
        <f t="shared" si="67"/>
        <v>1.1024</v>
      </c>
      <c r="X1076">
        <v>1</v>
      </c>
    </row>
    <row r="1077" spans="1:24" x14ac:dyDescent="0.3">
      <c r="A1077">
        <v>1076</v>
      </c>
      <c r="B1077" t="s">
        <v>2842</v>
      </c>
      <c r="C1077" s="6">
        <v>45272</v>
      </c>
      <c r="D1077" t="str">
        <f t="shared" si="64"/>
        <v>Dec</v>
      </c>
      <c r="E1077" t="str">
        <f t="shared" si="65"/>
        <v>2023</v>
      </c>
      <c r="F1077" t="s">
        <v>4</v>
      </c>
      <c r="G1077" t="s">
        <v>391</v>
      </c>
      <c r="H1077" t="s">
        <v>1355</v>
      </c>
      <c r="I1077">
        <v>200</v>
      </c>
      <c r="J1077">
        <v>12</v>
      </c>
      <c r="K1077">
        <f t="shared" si="66"/>
        <v>6</v>
      </c>
      <c r="L1077" t="s">
        <v>1740</v>
      </c>
      <c r="M1077" t="s">
        <v>3827</v>
      </c>
      <c r="N1077" t="s">
        <v>1</v>
      </c>
      <c r="O1077">
        <v>786152</v>
      </c>
      <c r="P1077" t="s">
        <v>546</v>
      </c>
      <c r="Q1077" t="s">
        <v>1772</v>
      </c>
      <c r="R1077" t="s">
        <v>2</v>
      </c>
      <c r="S1077">
        <v>31.984000000000002</v>
      </c>
      <c r="T1077">
        <v>2</v>
      </c>
      <c r="U1077">
        <v>0.2</v>
      </c>
      <c r="V1077">
        <v>1.9990000000000001</v>
      </c>
      <c r="W1077">
        <f t="shared" si="67"/>
        <v>14.992500000000001</v>
      </c>
      <c r="X1077">
        <v>1</v>
      </c>
    </row>
    <row r="1078" spans="1:24" x14ac:dyDescent="0.3">
      <c r="A1078">
        <v>1077</v>
      </c>
      <c r="B1078" t="s">
        <v>2843</v>
      </c>
      <c r="C1078" s="6">
        <v>45273</v>
      </c>
      <c r="D1078" t="str">
        <f t="shared" si="64"/>
        <v>Dec</v>
      </c>
      <c r="E1078" t="str">
        <f t="shared" si="65"/>
        <v>2023</v>
      </c>
      <c r="F1078" t="s">
        <v>5</v>
      </c>
      <c r="G1078" t="s">
        <v>392</v>
      </c>
      <c r="H1078" t="s">
        <v>1356</v>
      </c>
      <c r="I1078">
        <v>130</v>
      </c>
      <c r="J1078">
        <v>30</v>
      </c>
      <c r="K1078">
        <f t="shared" si="66"/>
        <v>23.076923076923077</v>
      </c>
      <c r="L1078" t="s">
        <v>1742</v>
      </c>
      <c r="M1078" t="s">
        <v>3656</v>
      </c>
      <c r="N1078" t="s">
        <v>1</v>
      </c>
      <c r="O1078">
        <v>786152</v>
      </c>
      <c r="P1078" t="s">
        <v>546</v>
      </c>
      <c r="Q1078" t="s">
        <v>1759</v>
      </c>
      <c r="S1078">
        <v>40.880000000000003</v>
      </c>
      <c r="T1078">
        <v>7</v>
      </c>
      <c r="U1078">
        <v>0</v>
      </c>
      <c r="V1078">
        <v>10.6288</v>
      </c>
      <c r="W1078">
        <f t="shared" si="67"/>
        <v>4.321600000000001</v>
      </c>
      <c r="X1078">
        <v>2</v>
      </c>
    </row>
    <row r="1079" spans="1:24" x14ac:dyDescent="0.3">
      <c r="A1079">
        <v>1078</v>
      </c>
      <c r="B1079" t="s">
        <v>2844</v>
      </c>
      <c r="C1079" s="6">
        <v>45274</v>
      </c>
      <c r="D1079" t="str">
        <f t="shared" si="64"/>
        <v>Dec</v>
      </c>
      <c r="E1079" t="str">
        <f t="shared" si="65"/>
        <v>2023</v>
      </c>
      <c r="F1079" t="s">
        <v>3</v>
      </c>
      <c r="G1079" t="s">
        <v>393</v>
      </c>
      <c r="H1079" t="s">
        <v>1357</v>
      </c>
      <c r="I1079">
        <v>200</v>
      </c>
      <c r="J1079">
        <v>8</v>
      </c>
      <c r="K1079">
        <f t="shared" si="66"/>
        <v>4</v>
      </c>
      <c r="L1079" t="s">
        <v>1739</v>
      </c>
      <c r="M1079" t="s">
        <v>3657</v>
      </c>
      <c r="N1079" t="s">
        <v>1</v>
      </c>
      <c r="O1079">
        <v>135001</v>
      </c>
      <c r="P1079" t="s">
        <v>546</v>
      </c>
      <c r="Q1079" t="s">
        <v>1773</v>
      </c>
      <c r="R1079" t="s">
        <v>2</v>
      </c>
      <c r="S1079">
        <v>119.96</v>
      </c>
      <c r="T1079">
        <v>2</v>
      </c>
      <c r="U1079">
        <v>0</v>
      </c>
      <c r="V1079">
        <v>33.588799999999999</v>
      </c>
      <c r="W1079">
        <f t="shared" si="67"/>
        <v>43.185599999999994</v>
      </c>
      <c r="X1079">
        <v>1</v>
      </c>
    </row>
    <row r="1080" spans="1:24" x14ac:dyDescent="0.3">
      <c r="A1080">
        <v>1079</v>
      </c>
      <c r="B1080" t="s">
        <v>2845</v>
      </c>
      <c r="C1080" s="6">
        <v>45275</v>
      </c>
      <c r="D1080" t="str">
        <f t="shared" si="64"/>
        <v>Dec</v>
      </c>
      <c r="E1080" t="str">
        <f t="shared" si="65"/>
        <v>2023</v>
      </c>
      <c r="F1080" t="s">
        <v>3</v>
      </c>
      <c r="G1080" t="s">
        <v>393</v>
      </c>
      <c r="H1080" t="s">
        <v>1017</v>
      </c>
      <c r="I1080">
        <v>250</v>
      </c>
      <c r="J1080">
        <v>18</v>
      </c>
      <c r="K1080">
        <f t="shared" si="66"/>
        <v>7.1999999999999993</v>
      </c>
      <c r="L1080" t="s">
        <v>1738</v>
      </c>
      <c r="M1080" t="s">
        <v>3778</v>
      </c>
      <c r="N1080" t="s">
        <v>1</v>
      </c>
      <c r="O1080">
        <v>490001</v>
      </c>
      <c r="P1080" t="s">
        <v>546</v>
      </c>
      <c r="Q1080" t="s">
        <v>1775</v>
      </c>
      <c r="R1080" t="s">
        <v>2</v>
      </c>
      <c r="S1080">
        <v>31.44</v>
      </c>
      <c r="T1080">
        <v>3</v>
      </c>
      <c r="U1080">
        <v>0</v>
      </c>
      <c r="V1080">
        <v>8.4887999999999995</v>
      </c>
      <c r="W1080">
        <f t="shared" si="67"/>
        <v>7.6504000000000003</v>
      </c>
      <c r="X1080">
        <v>5</v>
      </c>
    </row>
    <row r="1081" spans="1:24" x14ac:dyDescent="0.3">
      <c r="A1081">
        <v>1080</v>
      </c>
      <c r="B1081" t="s">
        <v>2846</v>
      </c>
      <c r="C1081" s="6">
        <v>45276</v>
      </c>
      <c r="D1081" t="str">
        <f t="shared" si="64"/>
        <v>Dec</v>
      </c>
      <c r="E1081" t="str">
        <f t="shared" si="65"/>
        <v>2023</v>
      </c>
      <c r="F1081" t="s">
        <v>3</v>
      </c>
      <c r="G1081" t="s">
        <v>393</v>
      </c>
      <c r="H1081" t="s">
        <v>1027</v>
      </c>
      <c r="I1081">
        <v>220</v>
      </c>
      <c r="J1081">
        <v>18</v>
      </c>
      <c r="K1081">
        <f t="shared" si="66"/>
        <v>8.1818181818181817</v>
      </c>
      <c r="L1081" t="s">
        <v>1737</v>
      </c>
      <c r="M1081" t="s">
        <v>3828</v>
      </c>
      <c r="N1081" t="s">
        <v>1</v>
      </c>
      <c r="O1081">
        <v>641004</v>
      </c>
      <c r="P1081" t="s">
        <v>546</v>
      </c>
      <c r="Q1081" t="s">
        <v>1760</v>
      </c>
      <c r="R1081" t="s">
        <v>2</v>
      </c>
      <c r="S1081">
        <v>6.88</v>
      </c>
      <c r="T1081">
        <v>1</v>
      </c>
      <c r="U1081">
        <v>0.2</v>
      </c>
      <c r="V1081">
        <v>2.3220000000000001</v>
      </c>
      <c r="W1081">
        <f t="shared" si="67"/>
        <v>4.5579999999999998</v>
      </c>
      <c r="X1081">
        <v>2</v>
      </c>
    </row>
    <row r="1082" spans="1:24" x14ac:dyDescent="0.3">
      <c r="A1082">
        <v>1081</v>
      </c>
      <c r="B1082" t="s">
        <v>2847</v>
      </c>
      <c r="C1082" s="6">
        <v>45277</v>
      </c>
      <c r="D1082" t="str">
        <f t="shared" si="64"/>
        <v>Dec</v>
      </c>
      <c r="E1082" t="str">
        <f t="shared" si="65"/>
        <v>2023</v>
      </c>
      <c r="F1082" t="s">
        <v>4</v>
      </c>
      <c r="G1082" t="s">
        <v>394</v>
      </c>
      <c r="H1082" t="s">
        <v>1358</v>
      </c>
      <c r="I1082">
        <v>170</v>
      </c>
      <c r="J1082">
        <v>14</v>
      </c>
      <c r="K1082">
        <f t="shared" si="66"/>
        <v>8.235294117647058</v>
      </c>
      <c r="L1082" t="s">
        <v>1743</v>
      </c>
      <c r="M1082" t="s">
        <v>3829</v>
      </c>
      <c r="N1082" t="s">
        <v>1</v>
      </c>
      <c r="O1082">
        <v>765022</v>
      </c>
      <c r="P1082" t="s">
        <v>546</v>
      </c>
      <c r="Q1082" t="s">
        <v>1767</v>
      </c>
      <c r="S1082">
        <v>19.920000000000002</v>
      </c>
      <c r="T1082">
        <v>4</v>
      </c>
      <c r="U1082">
        <v>0</v>
      </c>
      <c r="V1082">
        <v>9.3623999999999992</v>
      </c>
      <c r="W1082">
        <f t="shared" si="67"/>
        <v>2.6394000000000006</v>
      </c>
      <c r="X1082">
        <v>2</v>
      </c>
    </row>
    <row r="1083" spans="1:24" x14ac:dyDescent="0.3">
      <c r="A1083">
        <v>1082</v>
      </c>
      <c r="B1083" t="s">
        <v>2848</v>
      </c>
      <c r="C1083" s="6">
        <v>45278</v>
      </c>
      <c r="D1083" t="str">
        <f t="shared" si="64"/>
        <v>Dec</v>
      </c>
      <c r="E1083" t="str">
        <f t="shared" si="65"/>
        <v>2023</v>
      </c>
      <c r="F1083" t="s">
        <v>4</v>
      </c>
      <c r="G1083" t="s">
        <v>394</v>
      </c>
      <c r="H1083" t="s">
        <v>1359</v>
      </c>
      <c r="I1083">
        <v>190</v>
      </c>
      <c r="J1083">
        <v>22</v>
      </c>
      <c r="K1083">
        <f t="shared" si="66"/>
        <v>11.578947368421053</v>
      </c>
      <c r="L1083" t="s">
        <v>1738</v>
      </c>
      <c r="M1083" t="s">
        <v>3788</v>
      </c>
      <c r="N1083" t="s">
        <v>1</v>
      </c>
      <c r="O1083">
        <v>560043</v>
      </c>
      <c r="P1083" t="s">
        <v>546</v>
      </c>
      <c r="Q1083" t="s">
        <v>1759</v>
      </c>
      <c r="S1083">
        <v>1106.9100000000001</v>
      </c>
      <c r="T1083">
        <v>9</v>
      </c>
      <c r="U1083">
        <v>0</v>
      </c>
      <c r="V1083">
        <v>121.76009999999999</v>
      </c>
      <c r="W1083">
        <f t="shared" si="67"/>
        <v>109.46110000000002</v>
      </c>
      <c r="X1083">
        <v>2</v>
      </c>
    </row>
    <row r="1084" spans="1:24" x14ac:dyDescent="0.3">
      <c r="A1084">
        <v>1083</v>
      </c>
      <c r="B1084" t="s">
        <v>2849</v>
      </c>
      <c r="C1084" s="6">
        <v>45279</v>
      </c>
      <c r="D1084" t="str">
        <f t="shared" si="64"/>
        <v>Dec</v>
      </c>
      <c r="E1084" t="str">
        <f t="shared" si="65"/>
        <v>2023</v>
      </c>
      <c r="F1084" t="s">
        <v>4</v>
      </c>
      <c r="G1084" t="s">
        <v>37</v>
      </c>
      <c r="H1084" t="s">
        <v>1163</v>
      </c>
      <c r="I1084">
        <v>150</v>
      </c>
      <c r="J1084">
        <v>18</v>
      </c>
      <c r="K1084">
        <f t="shared" si="66"/>
        <v>12</v>
      </c>
      <c r="L1084" t="s">
        <v>1739</v>
      </c>
      <c r="M1084" t="s">
        <v>3721</v>
      </c>
      <c r="N1084" t="s">
        <v>1</v>
      </c>
      <c r="O1084">
        <v>637001</v>
      </c>
      <c r="P1084" t="s">
        <v>546</v>
      </c>
      <c r="Q1084" t="s">
        <v>1769</v>
      </c>
      <c r="R1084" t="s">
        <v>2</v>
      </c>
      <c r="S1084">
        <v>836.59199999999998</v>
      </c>
      <c r="T1084">
        <v>8</v>
      </c>
      <c r="U1084">
        <v>0.4</v>
      </c>
      <c r="V1084">
        <v>-264.92079999999999</v>
      </c>
      <c r="W1084">
        <f t="shared" si="67"/>
        <v>137.6891</v>
      </c>
      <c r="X1084">
        <v>2</v>
      </c>
    </row>
    <row r="1085" spans="1:24" x14ac:dyDescent="0.3">
      <c r="A1085">
        <v>1084</v>
      </c>
      <c r="B1085" t="s">
        <v>2850</v>
      </c>
      <c r="C1085" s="6">
        <v>45280</v>
      </c>
      <c r="D1085" t="str">
        <f t="shared" si="64"/>
        <v>Dec</v>
      </c>
      <c r="E1085" t="str">
        <f t="shared" si="65"/>
        <v>2023</v>
      </c>
      <c r="F1085" t="s">
        <v>4</v>
      </c>
      <c r="G1085" t="s">
        <v>37</v>
      </c>
      <c r="H1085" t="s">
        <v>1360</v>
      </c>
      <c r="I1085">
        <v>110</v>
      </c>
      <c r="J1085">
        <v>8</v>
      </c>
      <c r="K1085">
        <f t="shared" si="66"/>
        <v>7.2727272727272725</v>
      </c>
      <c r="L1085" t="s">
        <v>1741</v>
      </c>
      <c r="M1085" t="s">
        <v>3781</v>
      </c>
      <c r="N1085" t="s">
        <v>1</v>
      </c>
      <c r="O1085">
        <v>782447</v>
      </c>
      <c r="P1085" t="s">
        <v>546</v>
      </c>
      <c r="Q1085" t="s">
        <v>1760</v>
      </c>
      <c r="S1085">
        <v>26.38</v>
      </c>
      <c r="T1085">
        <v>1</v>
      </c>
      <c r="U1085">
        <v>0</v>
      </c>
      <c r="V1085">
        <v>12.1348</v>
      </c>
      <c r="W1085">
        <f t="shared" si="67"/>
        <v>14.245199999999999</v>
      </c>
      <c r="X1085">
        <v>1</v>
      </c>
    </row>
    <row r="1086" spans="1:24" x14ac:dyDescent="0.3">
      <c r="A1086">
        <v>1085</v>
      </c>
      <c r="B1086" t="s">
        <v>2851</v>
      </c>
      <c r="C1086" s="6">
        <v>45281</v>
      </c>
      <c r="D1086" t="str">
        <f t="shared" si="64"/>
        <v>Dec</v>
      </c>
      <c r="E1086" t="str">
        <f t="shared" si="65"/>
        <v>2023</v>
      </c>
      <c r="F1086" t="s">
        <v>4</v>
      </c>
      <c r="G1086" t="s">
        <v>37</v>
      </c>
      <c r="H1086" t="s">
        <v>792</v>
      </c>
      <c r="I1086">
        <v>100</v>
      </c>
      <c r="J1086">
        <v>22</v>
      </c>
      <c r="K1086">
        <f t="shared" si="66"/>
        <v>22</v>
      </c>
      <c r="L1086" t="s">
        <v>1736</v>
      </c>
      <c r="M1086" t="s">
        <v>3673</v>
      </c>
      <c r="N1086" t="s">
        <v>1</v>
      </c>
      <c r="O1086">
        <v>400605</v>
      </c>
      <c r="P1086" t="s">
        <v>546</v>
      </c>
      <c r="Q1086" t="s">
        <v>1768</v>
      </c>
      <c r="S1086">
        <v>362.92</v>
      </c>
      <c r="T1086">
        <v>2</v>
      </c>
      <c r="U1086">
        <v>0</v>
      </c>
      <c r="V1086">
        <v>105.24679999999999</v>
      </c>
      <c r="W1086">
        <f t="shared" si="67"/>
        <v>128.8366</v>
      </c>
      <c r="X1086">
        <v>3</v>
      </c>
    </row>
    <row r="1087" spans="1:24" x14ac:dyDescent="0.3">
      <c r="A1087">
        <v>1086</v>
      </c>
      <c r="B1087" t="s">
        <v>2852</v>
      </c>
      <c r="C1087" s="6">
        <v>45282</v>
      </c>
      <c r="D1087" t="str">
        <f t="shared" si="64"/>
        <v>Dec</v>
      </c>
      <c r="E1087" t="str">
        <f t="shared" si="65"/>
        <v>2023</v>
      </c>
      <c r="F1087" t="s">
        <v>4</v>
      </c>
      <c r="G1087" t="s">
        <v>37</v>
      </c>
      <c r="H1087" t="s">
        <v>1361</v>
      </c>
      <c r="I1087">
        <v>160</v>
      </c>
      <c r="J1087">
        <v>16</v>
      </c>
      <c r="K1087">
        <f t="shared" si="66"/>
        <v>10</v>
      </c>
      <c r="L1087" t="s">
        <v>1744</v>
      </c>
      <c r="M1087" t="s">
        <v>3585</v>
      </c>
      <c r="N1087" t="s">
        <v>1</v>
      </c>
      <c r="O1087">
        <v>600008</v>
      </c>
      <c r="P1087" t="s">
        <v>546</v>
      </c>
      <c r="Q1087" t="s">
        <v>1754</v>
      </c>
      <c r="S1087">
        <v>4899.93</v>
      </c>
      <c r="T1087">
        <v>7</v>
      </c>
      <c r="U1087">
        <v>0</v>
      </c>
      <c r="V1087">
        <v>2400.9657000000002</v>
      </c>
      <c r="W1087">
        <f t="shared" si="67"/>
        <v>356.99490000000003</v>
      </c>
      <c r="X1087">
        <v>2</v>
      </c>
    </row>
    <row r="1088" spans="1:24" x14ac:dyDescent="0.3">
      <c r="A1088">
        <v>1087</v>
      </c>
      <c r="B1088" t="s">
        <v>2853</v>
      </c>
      <c r="C1088" s="6">
        <v>45283</v>
      </c>
      <c r="D1088" t="str">
        <f t="shared" si="64"/>
        <v>Dec</v>
      </c>
      <c r="E1088" t="str">
        <f t="shared" si="65"/>
        <v>2023</v>
      </c>
      <c r="F1088" t="s">
        <v>6</v>
      </c>
      <c r="G1088" t="s">
        <v>55</v>
      </c>
      <c r="H1088" t="s">
        <v>1362</v>
      </c>
      <c r="I1088">
        <v>160</v>
      </c>
      <c r="J1088">
        <v>14</v>
      </c>
      <c r="K1088">
        <f t="shared" si="66"/>
        <v>8.75</v>
      </c>
      <c r="L1088" t="s">
        <v>1740</v>
      </c>
      <c r="M1088" t="s">
        <v>3830</v>
      </c>
      <c r="N1088" t="s">
        <v>1</v>
      </c>
      <c r="O1088">
        <v>799004</v>
      </c>
      <c r="P1088" t="s">
        <v>546</v>
      </c>
      <c r="Q1088" t="s">
        <v>1769</v>
      </c>
      <c r="R1088" t="s">
        <v>2</v>
      </c>
      <c r="S1088">
        <v>6.48</v>
      </c>
      <c r="T1088">
        <v>1</v>
      </c>
      <c r="U1088">
        <v>0</v>
      </c>
      <c r="V1088">
        <v>3.1103999999999998</v>
      </c>
      <c r="W1088">
        <f t="shared" si="67"/>
        <v>3.3696000000000006</v>
      </c>
      <c r="X1088">
        <v>4</v>
      </c>
    </row>
    <row r="1089" spans="1:24" x14ac:dyDescent="0.3">
      <c r="A1089">
        <v>1088</v>
      </c>
      <c r="B1089" t="s">
        <v>2854</v>
      </c>
      <c r="C1089" s="6">
        <v>45284</v>
      </c>
      <c r="D1089" t="str">
        <f t="shared" si="64"/>
        <v>Dec</v>
      </c>
      <c r="E1089" t="str">
        <f t="shared" si="65"/>
        <v>2023</v>
      </c>
      <c r="F1089" t="s">
        <v>3</v>
      </c>
      <c r="G1089" t="s">
        <v>395</v>
      </c>
      <c r="H1089" t="s">
        <v>720</v>
      </c>
      <c r="I1089">
        <v>170</v>
      </c>
      <c r="J1089">
        <v>10</v>
      </c>
      <c r="K1089">
        <f t="shared" si="66"/>
        <v>5.8823529411764701</v>
      </c>
      <c r="L1089" t="s">
        <v>1742</v>
      </c>
      <c r="M1089" t="s">
        <v>3696</v>
      </c>
      <c r="N1089" t="s">
        <v>1</v>
      </c>
      <c r="O1089">
        <v>500072</v>
      </c>
      <c r="P1089" t="s">
        <v>546</v>
      </c>
      <c r="Q1089" t="s">
        <v>1772</v>
      </c>
      <c r="S1089">
        <v>71.975999999999999</v>
      </c>
      <c r="T1089">
        <v>3</v>
      </c>
      <c r="U1089">
        <v>0.2</v>
      </c>
      <c r="V1089">
        <v>7.1976000000000004</v>
      </c>
      <c r="W1089">
        <f t="shared" si="67"/>
        <v>21.5928</v>
      </c>
      <c r="X1089">
        <v>1</v>
      </c>
    </row>
    <row r="1090" spans="1:24" x14ac:dyDescent="0.3">
      <c r="A1090">
        <v>1089</v>
      </c>
      <c r="B1090" t="s">
        <v>2855</v>
      </c>
      <c r="C1090" s="6">
        <v>45285</v>
      </c>
      <c r="D1090" t="str">
        <f t="shared" si="64"/>
        <v>Dec</v>
      </c>
      <c r="E1090" t="str">
        <f t="shared" si="65"/>
        <v>2023</v>
      </c>
      <c r="F1090" t="s">
        <v>3</v>
      </c>
      <c r="G1090" t="s">
        <v>395</v>
      </c>
      <c r="H1090" t="s">
        <v>1363</v>
      </c>
      <c r="I1090">
        <v>210</v>
      </c>
      <c r="J1090">
        <v>8</v>
      </c>
      <c r="K1090">
        <f t="shared" si="66"/>
        <v>3.8095238095238098</v>
      </c>
      <c r="L1090" t="s">
        <v>1739</v>
      </c>
      <c r="M1090" t="s">
        <v>3668</v>
      </c>
      <c r="N1090" t="s">
        <v>1</v>
      </c>
      <c r="O1090">
        <v>411014</v>
      </c>
      <c r="P1090" t="s">
        <v>546</v>
      </c>
      <c r="Q1090" t="s">
        <v>1755</v>
      </c>
      <c r="S1090">
        <v>3.15</v>
      </c>
      <c r="T1090">
        <v>1</v>
      </c>
      <c r="U1090">
        <v>0</v>
      </c>
      <c r="V1090">
        <v>1.512</v>
      </c>
      <c r="W1090">
        <f t="shared" si="67"/>
        <v>1.6379999999999999</v>
      </c>
      <c r="X1090">
        <v>2</v>
      </c>
    </row>
    <row r="1091" spans="1:24" x14ac:dyDescent="0.3">
      <c r="A1091">
        <v>1090</v>
      </c>
      <c r="B1091" t="s">
        <v>2856</v>
      </c>
      <c r="C1091" s="6">
        <v>45286</v>
      </c>
      <c r="D1091" t="str">
        <f t="shared" ref="D1091:D1154" si="68">TEXT(C1091,"Mmm")</f>
        <v>Dec</v>
      </c>
      <c r="E1091" t="str">
        <f t="shared" ref="E1091:E1154" si="69">TEXT(C1091,"YYYY")</f>
        <v>2023</v>
      </c>
      <c r="F1091" t="s">
        <v>4</v>
      </c>
      <c r="G1091" t="s">
        <v>359</v>
      </c>
      <c r="H1091" t="s">
        <v>843</v>
      </c>
      <c r="I1091">
        <v>180</v>
      </c>
      <c r="J1091">
        <v>30</v>
      </c>
      <c r="K1091">
        <f t="shared" ref="K1091:K1154" si="70">(J1091/I1091)*100</f>
        <v>16.666666666666664</v>
      </c>
      <c r="L1091" t="s">
        <v>1738</v>
      </c>
      <c r="M1091" t="s">
        <v>3812</v>
      </c>
      <c r="N1091" t="s">
        <v>1</v>
      </c>
      <c r="O1091">
        <v>600056</v>
      </c>
      <c r="P1091" t="s">
        <v>546</v>
      </c>
      <c r="Q1091" t="s">
        <v>1776</v>
      </c>
      <c r="S1091">
        <v>31.984000000000002</v>
      </c>
      <c r="T1091">
        <v>2</v>
      </c>
      <c r="U1091">
        <v>0.2</v>
      </c>
      <c r="V1091">
        <v>1.9990000000000001</v>
      </c>
      <c r="W1091">
        <f t="shared" ref="W1091:W1154" si="71">(S1091-V1091)/T1091</f>
        <v>14.992500000000001</v>
      </c>
      <c r="X1091">
        <v>5</v>
      </c>
    </row>
    <row r="1092" spans="1:24" x14ac:dyDescent="0.3">
      <c r="A1092">
        <v>1091</v>
      </c>
      <c r="B1092" t="s">
        <v>2857</v>
      </c>
      <c r="C1092" s="6">
        <v>45287</v>
      </c>
      <c r="D1092" t="str">
        <f t="shared" si="68"/>
        <v>Dec</v>
      </c>
      <c r="E1092" t="str">
        <f t="shared" si="69"/>
        <v>2023</v>
      </c>
      <c r="F1092" t="s">
        <v>4</v>
      </c>
      <c r="G1092" t="s">
        <v>359</v>
      </c>
      <c r="H1092" t="s">
        <v>1364</v>
      </c>
      <c r="I1092">
        <v>150</v>
      </c>
      <c r="J1092">
        <v>14</v>
      </c>
      <c r="K1092">
        <f t="shared" si="70"/>
        <v>9.3333333333333339</v>
      </c>
      <c r="L1092" t="s">
        <v>1743</v>
      </c>
      <c r="M1092" t="s">
        <v>3831</v>
      </c>
      <c r="N1092" t="s">
        <v>1</v>
      </c>
      <c r="O1092">
        <v>152002</v>
      </c>
      <c r="P1092" t="s">
        <v>546</v>
      </c>
      <c r="Q1092" t="s">
        <v>1774</v>
      </c>
      <c r="S1092">
        <v>71.983999999999995</v>
      </c>
      <c r="T1092">
        <v>2</v>
      </c>
      <c r="U1092">
        <v>0.2</v>
      </c>
      <c r="V1092">
        <v>25.194400000000002</v>
      </c>
      <c r="W1092">
        <f t="shared" si="71"/>
        <v>23.394799999999996</v>
      </c>
      <c r="X1092">
        <v>3</v>
      </c>
    </row>
    <row r="1093" spans="1:24" x14ac:dyDescent="0.3">
      <c r="A1093">
        <v>1092</v>
      </c>
      <c r="B1093" t="s">
        <v>2858</v>
      </c>
      <c r="C1093" s="6">
        <v>45288</v>
      </c>
      <c r="D1093" t="str">
        <f t="shared" si="68"/>
        <v>Dec</v>
      </c>
      <c r="E1093" t="str">
        <f t="shared" si="69"/>
        <v>2023</v>
      </c>
      <c r="F1093" t="s">
        <v>4</v>
      </c>
      <c r="G1093" t="s">
        <v>275</v>
      </c>
      <c r="H1093" t="s">
        <v>1365</v>
      </c>
      <c r="I1093">
        <v>150</v>
      </c>
      <c r="J1093">
        <v>10</v>
      </c>
      <c r="K1093">
        <f t="shared" si="70"/>
        <v>6.666666666666667</v>
      </c>
      <c r="L1093" t="s">
        <v>1737</v>
      </c>
      <c r="M1093" t="s">
        <v>3802</v>
      </c>
      <c r="N1093" t="s">
        <v>1</v>
      </c>
      <c r="O1093">
        <v>500068</v>
      </c>
      <c r="P1093" t="s">
        <v>546</v>
      </c>
      <c r="Q1093" t="s">
        <v>1760</v>
      </c>
      <c r="S1093">
        <v>120.15</v>
      </c>
      <c r="T1093">
        <v>9</v>
      </c>
      <c r="U1093">
        <v>0</v>
      </c>
      <c r="V1093">
        <v>33.642000000000003</v>
      </c>
      <c r="W1093">
        <f t="shared" si="71"/>
        <v>9.6120000000000019</v>
      </c>
      <c r="X1093">
        <v>4</v>
      </c>
    </row>
    <row r="1094" spans="1:24" x14ac:dyDescent="0.3">
      <c r="A1094">
        <v>1093</v>
      </c>
      <c r="B1094" t="s">
        <v>2859</v>
      </c>
      <c r="C1094" s="6">
        <v>45289</v>
      </c>
      <c r="D1094" t="str">
        <f t="shared" si="68"/>
        <v>Dec</v>
      </c>
      <c r="E1094" t="str">
        <f t="shared" si="69"/>
        <v>2023</v>
      </c>
      <c r="F1094" t="s">
        <v>4</v>
      </c>
      <c r="G1094" t="s">
        <v>275</v>
      </c>
      <c r="H1094" t="s">
        <v>1366</v>
      </c>
      <c r="I1094">
        <v>100</v>
      </c>
      <c r="J1094">
        <v>16</v>
      </c>
      <c r="K1094">
        <f t="shared" si="70"/>
        <v>16</v>
      </c>
      <c r="L1094" t="s">
        <v>1741</v>
      </c>
      <c r="M1094" t="s">
        <v>3815</v>
      </c>
      <c r="N1094" t="s">
        <v>1</v>
      </c>
      <c r="O1094">
        <v>500068</v>
      </c>
      <c r="P1094" t="s">
        <v>546</v>
      </c>
      <c r="Q1094" t="s">
        <v>1770</v>
      </c>
      <c r="S1094">
        <v>219.184</v>
      </c>
      <c r="T1094">
        <v>2</v>
      </c>
      <c r="U1094">
        <v>0.2</v>
      </c>
      <c r="V1094">
        <v>19.178599999999999</v>
      </c>
      <c r="W1094">
        <f t="shared" si="71"/>
        <v>100.0027</v>
      </c>
      <c r="X1094">
        <v>3</v>
      </c>
    </row>
    <row r="1095" spans="1:24" x14ac:dyDescent="0.3">
      <c r="A1095">
        <v>1094</v>
      </c>
      <c r="B1095" t="s">
        <v>2860</v>
      </c>
      <c r="C1095" s="6">
        <v>45290</v>
      </c>
      <c r="D1095" t="str">
        <f t="shared" si="68"/>
        <v>Dec</v>
      </c>
      <c r="E1095" t="str">
        <f t="shared" si="69"/>
        <v>2023</v>
      </c>
      <c r="F1095" t="s">
        <v>4</v>
      </c>
      <c r="G1095" t="s">
        <v>396</v>
      </c>
      <c r="H1095" t="s">
        <v>1367</v>
      </c>
      <c r="I1095">
        <v>250</v>
      </c>
      <c r="J1095">
        <v>16</v>
      </c>
      <c r="K1095">
        <f t="shared" si="70"/>
        <v>6.4</v>
      </c>
      <c r="L1095" t="s">
        <v>1736</v>
      </c>
      <c r="M1095" t="s">
        <v>3653</v>
      </c>
      <c r="N1095" t="s">
        <v>1</v>
      </c>
      <c r="O1095">
        <v>160062</v>
      </c>
      <c r="P1095" t="s">
        <v>546</v>
      </c>
      <c r="Q1095" t="s">
        <v>1771</v>
      </c>
      <c r="S1095">
        <v>28.9</v>
      </c>
      <c r="T1095">
        <v>5</v>
      </c>
      <c r="U1095">
        <v>0</v>
      </c>
      <c r="V1095">
        <v>14.161</v>
      </c>
      <c r="W1095">
        <f t="shared" si="71"/>
        <v>2.9478</v>
      </c>
      <c r="X1095">
        <v>2</v>
      </c>
    </row>
    <row r="1096" spans="1:24" x14ac:dyDescent="0.3">
      <c r="A1096">
        <v>1095</v>
      </c>
      <c r="B1096" t="s">
        <v>2861</v>
      </c>
      <c r="C1096" s="6">
        <v>45291</v>
      </c>
      <c r="D1096" t="str">
        <f t="shared" si="68"/>
        <v>Dec</v>
      </c>
      <c r="E1096" t="str">
        <f t="shared" si="69"/>
        <v>2023</v>
      </c>
      <c r="F1096" t="s">
        <v>4</v>
      </c>
      <c r="G1096" t="s">
        <v>396</v>
      </c>
      <c r="H1096" t="s">
        <v>706</v>
      </c>
      <c r="I1096">
        <v>230</v>
      </c>
      <c r="J1096">
        <v>8</v>
      </c>
      <c r="K1096">
        <f t="shared" si="70"/>
        <v>3.4782608695652173</v>
      </c>
      <c r="L1096" t="s">
        <v>1744</v>
      </c>
      <c r="M1096" t="s">
        <v>3832</v>
      </c>
      <c r="N1096" t="s">
        <v>1</v>
      </c>
      <c r="O1096">
        <v>122103</v>
      </c>
      <c r="P1096" t="s">
        <v>546</v>
      </c>
      <c r="Q1096" t="s">
        <v>1761</v>
      </c>
      <c r="S1096">
        <v>355.96</v>
      </c>
      <c r="T1096">
        <v>2</v>
      </c>
      <c r="U1096">
        <v>0</v>
      </c>
      <c r="V1096">
        <v>103.22839999999999</v>
      </c>
      <c r="W1096">
        <f t="shared" si="71"/>
        <v>126.36579999999999</v>
      </c>
      <c r="X1096">
        <v>5</v>
      </c>
    </row>
    <row r="1097" spans="1:24" x14ac:dyDescent="0.3">
      <c r="A1097">
        <v>1096</v>
      </c>
      <c r="B1097" t="s">
        <v>2862</v>
      </c>
      <c r="C1097" s="6">
        <v>45292</v>
      </c>
      <c r="D1097" t="str">
        <f t="shared" si="68"/>
        <v>Jan</v>
      </c>
      <c r="E1097" t="str">
        <f t="shared" si="69"/>
        <v>2024</v>
      </c>
      <c r="F1097" t="s">
        <v>4</v>
      </c>
      <c r="G1097" t="s">
        <v>397</v>
      </c>
      <c r="H1097" t="s">
        <v>1368</v>
      </c>
      <c r="I1097">
        <v>120</v>
      </c>
      <c r="J1097">
        <v>6</v>
      </c>
      <c r="K1097">
        <f t="shared" si="70"/>
        <v>5</v>
      </c>
      <c r="L1097" t="s">
        <v>1740</v>
      </c>
      <c r="M1097" t="s">
        <v>3733</v>
      </c>
      <c r="N1097" t="s">
        <v>1</v>
      </c>
      <c r="O1097">
        <v>713403</v>
      </c>
      <c r="P1097" t="s">
        <v>546</v>
      </c>
      <c r="Q1097" t="s">
        <v>1774</v>
      </c>
      <c r="S1097">
        <v>348.20800000000003</v>
      </c>
      <c r="T1097">
        <v>7</v>
      </c>
      <c r="U1097">
        <v>0.2</v>
      </c>
      <c r="V1097">
        <v>30.4682</v>
      </c>
      <c r="W1097">
        <f t="shared" si="71"/>
        <v>45.391399999999997</v>
      </c>
      <c r="X1097">
        <v>1</v>
      </c>
    </row>
    <row r="1098" spans="1:24" x14ac:dyDescent="0.3">
      <c r="A1098">
        <v>1097</v>
      </c>
      <c r="B1098" t="s">
        <v>2863</v>
      </c>
      <c r="C1098" s="6">
        <v>45293</v>
      </c>
      <c r="D1098" t="str">
        <f t="shared" si="68"/>
        <v>Jan</v>
      </c>
      <c r="E1098" t="str">
        <f t="shared" si="69"/>
        <v>2024</v>
      </c>
      <c r="F1098" t="s">
        <v>4</v>
      </c>
      <c r="G1098" t="s">
        <v>397</v>
      </c>
      <c r="H1098" t="s">
        <v>1369</v>
      </c>
      <c r="I1098">
        <v>150</v>
      </c>
      <c r="J1098">
        <v>18</v>
      </c>
      <c r="K1098">
        <f t="shared" si="70"/>
        <v>12</v>
      </c>
      <c r="L1098" t="s">
        <v>1742</v>
      </c>
      <c r="M1098" t="s">
        <v>3816</v>
      </c>
      <c r="N1098" t="s">
        <v>1</v>
      </c>
      <c r="O1098">
        <v>560070</v>
      </c>
      <c r="P1098" t="s">
        <v>546</v>
      </c>
      <c r="Q1098" t="s">
        <v>1768</v>
      </c>
      <c r="R1098" t="s">
        <v>2</v>
      </c>
      <c r="S1098">
        <v>35.783999999999999</v>
      </c>
      <c r="T1098">
        <v>7</v>
      </c>
      <c r="U1098">
        <v>0.7</v>
      </c>
      <c r="V1098">
        <v>-28.627199999999998</v>
      </c>
      <c r="W1098">
        <f t="shared" si="71"/>
        <v>9.2015999999999991</v>
      </c>
      <c r="X1098">
        <v>5</v>
      </c>
    </row>
    <row r="1099" spans="1:24" x14ac:dyDescent="0.3">
      <c r="A1099">
        <v>1098</v>
      </c>
      <c r="B1099" t="s">
        <v>2864</v>
      </c>
      <c r="C1099" s="6">
        <v>45294</v>
      </c>
      <c r="D1099" t="str">
        <f t="shared" si="68"/>
        <v>Jan</v>
      </c>
      <c r="E1099" t="str">
        <f t="shared" si="69"/>
        <v>2024</v>
      </c>
      <c r="F1099" t="s">
        <v>5</v>
      </c>
      <c r="G1099" t="s">
        <v>381</v>
      </c>
      <c r="H1099" t="s">
        <v>1370</v>
      </c>
      <c r="I1099">
        <v>240</v>
      </c>
      <c r="J1099">
        <v>26</v>
      </c>
      <c r="K1099">
        <f t="shared" si="70"/>
        <v>10.833333333333334</v>
      </c>
      <c r="L1099" t="s">
        <v>1739</v>
      </c>
      <c r="M1099" t="s">
        <v>3600</v>
      </c>
      <c r="N1099" t="s">
        <v>1</v>
      </c>
      <c r="O1099">
        <v>441614</v>
      </c>
      <c r="P1099" t="s">
        <v>546</v>
      </c>
      <c r="Q1099" t="s">
        <v>1764</v>
      </c>
      <c r="S1099">
        <v>447.84</v>
      </c>
      <c r="T1099">
        <v>5</v>
      </c>
      <c r="U1099">
        <v>0.2</v>
      </c>
      <c r="V1099">
        <v>11.196</v>
      </c>
      <c r="W1099">
        <f t="shared" si="71"/>
        <v>87.328799999999987</v>
      </c>
      <c r="X1099">
        <v>1</v>
      </c>
    </row>
    <row r="1100" spans="1:24" x14ac:dyDescent="0.3">
      <c r="A1100">
        <v>1099</v>
      </c>
      <c r="B1100" t="s">
        <v>2865</v>
      </c>
      <c r="C1100" s="6">
        <v>45295</v>
      </c>
      <c r="D1100" t="str">
        <f t="shared" si="68"/>
        <v>Jan</v>
      </c>
      <c r="E1100" t="str">
        <f t="shared" si="69"/>
        <v>2024</v>
      </c>
      <c r="F1100" t="s">
        <v>5</v>
      </c>
      <c r="G1100" t="s">
        <v>398</v>
      </c>
      <c r="H1100" t="s">
        <v>1371</v>
      </c>
      <c r="I1100">
        <v>230</v>
      </c>
      <c r="J1100">
        <v>12</v>
      </c>
      <c r="K1100">
        <f t="shared" si="70"/>
        <v>5.2173913043478262</v>
      </c>
      <c r="L1100" t="s">
        <v>1738</v>
      </c>
      <c r="M1100" t="s">
        <v>3817</v>
      </c>
      <c r="N1100" t="s">
        <v>1</v>
      </c>
      <c r="O1100">
        <v>713104</v>
      </c>
      <c r="P1100" t="s">
        <v>546</v>
      </c>
      <c r="Q1100" t="s">
        <v>1761</v>
      </c>
      <c r="S1100">
        <v>7.04</v>
      </c>
      <c r="T1100">
        <v>4</v>
      </c>
      <c r="U1100">
        <v>0</v>
      </c>
      <c r="V1100">
        <v>2.0415999999999999</v>
      </c>
      <c r="W1100">
        <f t="shared" si="71"/>
        <v>1.2496</v>
      </c>
      <c r="X1100">
        <v>3</v>
      </c>
    </row>
    <row r="1101" spans="1:24" x14ac:dyDescent="0.3">
      <c r="A1101">
        <v>1100</v>
      </c>
      <c r="B1101" t="s">
        <v>2866</v>
      </c>
      <c r="C1101" s="6">
        <v>45296</v>
      </c>
      <c r="D1101" t="str">
        <f t="shared" si="68"/>
        <v>Jan</v>
      </c>
      <c r="E1101" t="str">
        <f t="shared" si="69"/>
        <v>2024</v>
      </c>
      <c r="F1101" t="s">
        <v>5</v>
      </c>
      <c r="G1101" t="s">
        <v>398</v>
      </c>
      <c r="H1101" t="s">
        <v>943</v>
      </c>
      <c r="I1101">
        <v>190</v>
      </c>
      <c r="J1101">
        <v>20</v>
      </c>
      <c r="K1101">
        <f t="shared" si="70"/>
        <v>10.526315789473683</v>
      </c>
      <c r="L1101" t="s">
        <v>1737</v>
      </c>
      <c r="M1101" t="s">
        <v>3808</v>
      </c>
      <c r="O1101">
        <v>131001</v>
      </c>
      <c r="P1101" t="s">
        <v>546</v>
      </c>
      <c r="Q1101" t="s">
        <v>1773</v>
      </c>
      <c r="S1101">
        <v>8.73</v>
      </c>
      <c r="T1101">
        <v>3</v>
      </c>
      <c r="U1101">
        <v>0</v>
      </c>
      <c r="V1101">
        <v>4.1031000000000004</v>
      </c>
      <c r="W1101">
        <f t="shared" si="71"/>
        <v>1.5423</v>
      </c>
      <c r="X1101">
        <v>3</v>
      </c>
    </row>
    <row r="1102" spans="1:24" x14ac:dyDescent="0.3">
      <c r="A1102">
        <v>1101</v>
      </c>
      <c r="B1102" t="s">
        <v>2867</v>
      </c>
      <c r="C1102" s="6">
        <v>45297</v>
      </c>
      <c r="D1102" t="str">
        <f t="shared" si="68"/>
        <v>Jan</v>
      </c>
      <c r="E1102" t="str">
        <f t="shared" si="69"/>
        <v>2024</v>
      </c>
      <c r="F1102" t="s">
        <v>5</v>
      </c>
      <c r="G1102" t="s">
        <v>398</v>
      </c>
      <c r="H1102" t="s">
        <v>1372</v>
      </c>
      <c r="I1102">
        <v>240</v>
      </c>
      <c r="J1102">
        <v>16</v>
      </c>
      <c r="K1102">
        <f t="shared" si="70"/>
        <v>6.666666666666667</v>
      </c>
      <c r="L1102" t="s">
        <v>1743</v>
      </c>
      <c r="M1102" t="s">
        <v>3833</v>
      </c>
      <c r="N1102" t="s">
        <v>1</v>
      </c>
      <c r="O1102">
        <v>400086</v>
      </c>
      <c r="P1102" t="s">
        <v>546</v>
      </c>
      <c r="Q1102" t="s">
        <v>1759</v>
      </c>
      <c r="S1102">
        <v>29.29</v>
      </c>
      <c r="T1102">
        <v>1</v>
      </c>
      <c r="U1102">
        <v>0</v>
      </c>
      <c r="V1102">
        <v>9.6656999999999993</v>
      </c>
      <c r="W1102">
        <f t="shared" si="71"/>
        <v>19.624299999999998</v>
      </c>
      <c r="X1102">
        <v>5</v>
      </c>
    </row>
    <row r="1103" spans="1:24" x14ac:dyDescent="0.3">
      <c r="A1103">
        <v>1102</v>
      </c>
      <c r="B1103" t="s">
        <v>2868</v>
      </c>
      <c r="C1103" s="6">
        <v>45298</v>
      </c>
      <c r="D1103" t="str">
        <f t="shared" si="68"/>
        <v>Jan</v>
      </c>
      <c r="E1103" t="str">
        <f t="shared" si="69"/>
        <v>2024</v>
      </c>
      <c r="F1103" t="s">
        <v>5</v>
      </c>
      <c r="G1103" t="s">
        <v>398</v>
      </c>
      <c r="H1103" t="s">
        <v>1373</v>
      </c>
      <c r="I1103">
        <v>110</v>
      </c>
      <c r="J1103">
        <v>14</v>
      </c>
      <c r="K1103">
        <f t="shared" si="70"/>
        <v>12.727272727272727</v>
      </c>
      <c r="L1103" t="s">
        <v>1738</v>
      </c>
      <c r="M1103" t="s">
        <v>3681</v>
      </c>
      <c r="N1103" t="s">
        <v>1</v>
      </c>
      <c r="O1103">
        <v>560043</v>
      </c>
      <c r="P1103" t="s">
        <v>546</v>
      </c>
      <c r="Q1103" t="s">
        <v>1764</v>
      </c>
      <c r="S1103">
        <v>8.64</v>
      </c>
      <c r="T1103">
        <v>3</v>
      </c>
      <c r="U1103">
        <v>0</v>
      </c>
      <c r="V1103">
        <v>2.5055999999999998</v>
      </c>
      <c r="W1103">
        <f t="shared" si="71"/>
        <v>2.0448000000000004</v>
      </c>
      <c r="X1103">
        <v>1</v>
      </c>
    </row>
    <row r="1104" spans="1:24" x14ac:dyDescent="0.3">
      <c r="A1104">
        <v>1103</v>
      </c>
      <c r="B1104" t="s">
        <v>2869</v>
      </c>
      <c r="C1104" s="6">
        <v>45299</v>
      </c>
      <c r="D1104" t="str">
        <f t="shared" si="68"/>
        <v>Jan</v>
      </c>
      <c r="E1104" t="str">
        <f t="shared" si="69"/>
        <v>2024</v>
      </c>
      <c r="F1104" t="s">
        <v>4</v>
      </c>
      <c r="G1104" t="s">
        <v>268</v>
      </c>
      <c r="H1104" t="s">
        <v>854</v>
      </c>
      <c r="I1104">
        <v>150</v>
      </c>
      <c r="J1104">
        <v>20</v>
      </c>
      <c r="K1104">
        <f t="shared" si="70"/>
        <v>13.333333333333334</v>
      </c>
      <c r="L1104" t="s">
        <v>1739</v>
      </c>
      <c r="M1104" t="s">
        <v>3682</v>
      </c>
      <c r="N1104" t="s">
        <v>1</v>
      </c>
      <c r="O1104">
        <v>690109</v>
      </c>
      <c r="P1104" t="s">
        <v>546</v>
      </c>
      <c r="Q1104" t="s">
        <v>1754</v>
      </c>
      <c r="S1104">
        <v>2.694</v>
      </c>
      <c r="T1104">
        <v>3</v>
      </c>
      <c r="U1104">
        <v>0.8</v>
      </c>
      <c r="V1104">
        <v>-4.7145000000000001</v>
      </c>
      <c r="W1104">
        <f t="shared" si="71"/>
        <v>2.4695</v>
      </c>
      <c r="X1104">
        <v>1</v>
      </c>
    </row>
    <row r="1105" spans="1:24" x14ac:dyDescent="0.3">
      <c r="A1105">
        <v>1104</v>
      </c>
      <c r="B1105" t="s">
        <v>2870</v>
      </c>
      <c r="C1105" s="6">
        <v>45300</v>
      </c>
      <c r="D1105" t="str">
        <f t="shared" si="68"/>
        <v>Jan</v>
      </c>
      <c r="E1105" t="str">
        <f t="shared" si="69"/>
        <v>2024</v>
      </c>
      <c r="F1105" t="s">
        <v>4</v>
      </c>
      <c r="G1105" t="s">
        <v>268</v>
      </c>
      <c r="H1105" t="s">
        <v>1313</v>
      </c>
      <c r="I1105">
        <v>240</v>
      </c>
      <c r="J1105">
        <v>24</v>
      </c>
      <c r="K1105">
        <f t="shared" si="70"/>
        <v>10</v>
      </c>
      <c r="L1105" t="s">
        <v>1741</v>
      </c>
      <c r="M1105" t="s">
        <v>3810</v>
      </c>
      <c r="N1105" t="s">
        <v>1</v>
      </c>
      <c r="O1105">
        <v>713104</v>
      </c>
      <c r="P1105" t="s">
        <v>546</v>
      </c>
      <c r="Q1105" t="s">
        <v>1761</v>
      </c>
      <c r="S1105">
        <v>2.9340000000000002</v>
      </c>
      <c r="T1105">
        <v>3</v>
      </c>
      <c r="U1105">
        <v>0.8</v>
      </c>
      <c r="V1105">
        <v>-4.9878</v>
      </c>
      <c r="W1105">
        <f t="shared" si="71"/>
        <v>2.6406000000000001</v>
      </c>
      <c r="X1105">
        <v>4</v>
      </c>
    </row>
    <row r="1106" spans="1:24" x14ac:dyDescent="0.3">
      <c r="A1106">
        <v>1105</v>
      </c>
      <c r="B1106" t="s">
        <v>2871</v>
      </c>
      <c r="C1106" s="6">
        <v>45301</v>
      </c>
      <c r="D1106" t="str">
        <f t="shared" si="68"/>
        <v>Jan</v>
      </c>
      <c r="E1106" t="str">
        <f t="shared" si="69"/>
        <v>2024</v>
      </c>
      <c r="F1106" t="s">
        <v>4</v>
      </c>
      <c r="G1106" t="s">
        <v>399</v>
      </c>
      <c r="H1106" t="s">
        <v>1374</v>
      </c>
      <c r="I1106">
        <v>240</v>
      </c>
      <c r="J1106">
        <v>24</v>
      </c>
      <c r="K1106">
        <f t="shared" si="70"/>
        <v>10</v>
      </c>
      <c r="L1106" t="s">
        <v>1736</v>
      </c>
      <c r="M1106" t="s">
        <v>3693</v>
      </c>
      <c r="N1106" t="s">
        <v>1</v>
      </c>
      <c r="O1106">
        <v>713104</v>
      </c>
      <c r="P1106" t="s">
        <v>546</v>
      </c>
      <c r="Q1106" t="s">
        <v>1767</v>
      </c>
      <c r="S1106">
        <v>22.92</v>
      </c>
      <c r="T1106">
        <v>3</v>
      </c>
      <c r="U1106">
        <v>0</v>
      </c>
      <c r="V1106">
        <v>11.2308</v>
      </c>
      <c r="W1106">
        <f t="shared" si="71"/>
        <v>3.8964000000000003</v>
      </c>
      <c r="X1106">
        <v>1</v>
      </c>
    </row>
    <row r="1107" spans="1:24" x14ac:dyDescent="0.3">
      <c r="A1107">
        <v>1106</v>
      </c>
      <c r="B1107" t="s">
        <v>2872</v>
      </c>
      <c r="C1107" s="6">
        <v>45302</v>
      </c>
      <c r="D1107" t="str">
        <f t="shared" si="68"/>
        <v>Jan</v>
      </c>
      <c r="E1107" t="str">
        <f t="shared" si="69"/>
        <v>2024</v>
      </c>
      <c r="F1107" t="s">
        <v>4</v>
      </c>
      <c r="G1107" t="s">
        <v>20</v>
      </c>
      <c r="H1107" t="s">
        <v>740</v>
      </c>
      <c r="I1107">
        <v>120</v>
      </c>
      <c r="J1107">
        <v>18</v>
      </c>
      <c r="K1107">
        <f t="shared" si="70"/>
        <v>15</v>
      </c>
      <c r="L1107" t="s">
        <v>1744</v>
      </c>
      <c r="M1107" t="s">
        <v>3746</v>
      </c>
      <c r="O1107">
        <v>201301</v>
      </c>
      <c r="P1107" t="s">
        <v>546</v>
      </c>
      <c r="Q1107" t="s">
        <v>1759</v>
      </c>
      <c r="R1107" t="s">
        <v>2</v>
      </c>
      <c r="S1107">
        <v>100.70399999999999</v>
      </c>
      <c r="T1107">
        <v>6</v>
      </c>
      <c r="U1107">
        <v>0.2</v>
      </c>
      <c r="V1107">
        <v>-16.3644</v>
      </c>
      <c r="W1107">
        <f t="shared" si="71"/>
        <v>19.511399999999998</v>
      </c>
      <c r="X1107">
        <v>5</v>
      </c>
    </row>
    <row r="1108" spans="1:24" x14ac:dyDescent="0.3">
      <c r="A1108">
        <v>1107</v>
      </c>
      <c r="B1108" t="s">
        <v>2873</v>
      </c>
      <c r="C1108" s="6">
        <v>45303</v>
      </c>
      <c r="D1108" t="str">
        <f t="shared" si="68"/>
        <v>Jan</v>
      </c>
      <c r="E1108" t="str">
        <f t="shared" si="69"/>
        <v>2024</v>
      </c>
      <c r="F1108" t="s">
        <v>4</v>
      </c>
      <c r="G1108" t="s">
        <v>20</v>
      </c>
      <c r="H1108" t="s">
        <v>943</v>
      </c>
      <c r="I1108">
        <v>160</v>
      </c>
      <c r="J1108">
        <v>22</v>
      </c>
      <c r="K1108">
        <f t="shared" si="70"/>
        <v>13.750000000000002</v>
      </c>
      <c r="L1108" t="s">
        <v>1740</v>
      </c>
      <c r="M1108" t="s">
        <v>3799</v>
      </c>
      <c r="N1108" t="s">
        <v>1</v>
      </c>
      <c r="O1108">
        <v>795001</v>
      </c>
      <c r="P1108" t="s">
        <v>546</v>
      </c>
      <c r="Q1108" t="s">
        <v>1776</v>
      </c>
      <c r="R1108" t="s">
        <v>2</v>
      </c>
      <c r="S1108">
        <v>2.3279999999999998</v>
      </c>
      <c r="T1108">
        <v>2</v>
      </c>
      <c r="U1108">
        <v>0.6</v>
      </c>
      <c r="V1108">
        <v>-0.75660000000000005</v>
      </c>
      <c r="W1108">
        <f t="shared" si="71"/>
        <v>1.5423</v>
      </c>
      <c r="X1108">
        <v>2</v>
      </c>
    </row>
    <row r="1109" spans="1:24" x14ac:dyDescent="0.3">
      <c r="A1109">
        <v>1108</v>
      </c>
      <c r="B1109" t="s">
        <v>2874</v>
      </c>
      <c r="C1109" s="6">
        <v>45304</v>
      </c>
      <c r="D1109" t="str">
        <f t="shared" si="68"/>
        <v>Jan</v>
      </c>
      <c r="E1109" t="str">
        <f t="shared" si="69"/>
        <v>2024</v>
      </c>
      <c r="F1109" t="s">
        <v>4</v>
      </c>
      <c r="G1109" t="s">
        <v>20</v>
      </c>
      <c r="H1109" t="s">
        <v>1375</v>
      </c>
      <c r="I1109">
        <v>160</v>
      </c>
      <c r="J1109">
        <v>30</v>
      </c>
      <c r="K1109">
        <f t="shared" si="70"/>
        <v>18.75</v>
      </c>
      <c r="L1109" t="s">
        <v>1742</v>
      </c>
      <c r="M1109" t="s">
        <v>3800</v>
      </c>
      <c r="O1109">
        <v>700156</v>
      </c>
      <c r="P1109" t="s">
        <v>546</v>
      </c>
      <c r="Q1109" t="s">
        <v>1758</v>
      </c>
      <c r="S1109">
        <v>10.78</v>
      </c>
      <c r="T1109">
        <v>5</v>
      </c>
      <c r="U1109">
        <v>0.8</v>
      </c>
      <c r="V1109">
        <v>-17.248000000000001</v>
      </c>
      <c r="W1109">
        <f t="shared" si="71"/>
        <v>5.6055999999999999</v>
      </c>
      <c r="X1109">
        <v>2</v>
      </c>
    </row>
    <row r="1110" spans="1:24" x14ac:dyDescent="0.3">
      <c r="A1110">
        <v>1109</v>
      </c>
      <c r="B1110" t="s">
        <v>2875</v>
      </c>
      <c r="C1110" s="6">
        <v>45305</v>
      </c>
      <c r="D1110" t="str">
        <f t="shared" si="68"/>
        <v>Jan</v>
      </c>
      <c r="E1110" t="str">
        <f t="shared" si="69"/>
        <v>2024</v>
      </c>
      <c r="F1110" t="s">
        <v>4</v>
      </c>
      <c r="G1110" t="s">
        <v>20</v>
      </c>
      <c r="H1110" t="s">
        <v>1376</v>
      </c>
      <c r="I1110">
        <v>230</v>
      </c>
      <c r="J1110">
        <v>26</v>
      </c>
      <c r="K1110">
        <f t="shared" si="70"/>
        <v>11.304347826086957</v>
      </c>
      <c r="L1110" t="s">
        <v>1739</v>
      </c>
      <c r="M1110" t="s">
        <v>3637</v>
      </c>
      <c r="O1110">
        <v>700156</v>
      </c>
      <c r="P1110" t="s">
        <v>546</v>
      </c>
      <c r="Q1110" t="s">
        <v>1768</v>
      </c>
      <c r="R1110" t="s">
        <v>2</v>
      </c>
      <c r="S1110">
        <v>58.368000000000002</v>
      </c>
      <c r="T1110">
        <v>12</v>
      </c>
      <c r="U1110">
        <v>0.2</v>
      </c>
      <c r="V1110">
        <v>21.888000000000002</v>
      </c>
      <c r="W1110">
        <f t="shared" si="71"/>
        <v>3.0400000000000005</v>
      </c>
      <c r="X1110">
        <v>5</v>
      </c>
    </row>
    <row r="1111" spans="1:24" x14ac:dyDescent="0.3">
      <c r="A1111">
        <v>1110</v>
      </c>
      <c r="B1111" t="s">
        <v>2876</v>
      </c>
      <c r="C1111" s="6">
        <v>45306</v>
      </c>
      <c r="D1111" t="str">
        <f t="shared" si="68"/>
        <v>Jan</v>
      </c>
      <c r="E1111" t="str">
        <f t="shared" si="69"/>
        <v>2024</v>
      </c>
      <c r="F1111" t="s">
        <v>4</v>
      </c>
      <c r="G1111" t="s">
        <v>20</v>
      </c>
      <c r="H1111" t="s">
        <v>1377</v>
      </c>
      <c r="I1111">
        <v>140</v>
      </c>
      <c r="J1111">
        <v>10</v>
      </c>
      <c r="K1111">
        <f t="shared" si="70"/>
        <v>7.1428571428571423</v>
      </c>
      <c r="L1111" t="s">
        <v>1738</v>
      </c>
      <c r="M1111" t="s">
        <v>3814</v>
      </c>
      <c r="N1111" t="s">
        <v>1</v>
      </c>
      <c r="O1111">
        <v>689654</v>
      </c>
      <c r="P1111" t="s">
        <v>546</v>
      </c>
      <c r="Q1111" t="s">
        <v>1759</v>
      </c>
      <c r="R1111" t="s">
        <v>2</v>
      </c>
      <c r="S1111">
        <v>40.968000000000004</v>
      </c>
      <c r="T1111">
        <v>3</v>
      </c>
      <c r="U1111">
        <v>0.2</v>
      </c>
      <c r="V1111">
        <v>13.826700000000001</v>
      </c>
      <c r="W1111">
        <f t="shared" si="71"/>
        <v>9.0471000000000004</v>
      </c>
      <c r="X1111">
        <v>5</v>
      </c>
    </row>
    <row r="1112" spans="1:24" x14ac:dyDescent="0.3">
      <c r="A1112">
        <v>1111</v>
      </c>
      <c r="B1112" t="s">
        <v>2877</v>
      </c>
      <c r="C1112" s="6">
        <v>45307</v>
      </c>
      <c r="D1112" t="str">
        <f t="shared" si="68"/>
        <v>Jan</v>
      </c>
      <c r="E1112" t="str">
        <f t="shared" si="69"/>
        <v>2024</v>
      </c>
      <c r="F1112" t="s">
        <v>4</v>
      </c>
      <c r="G1112" t="s">
        <v>20</v>
      </c>
      <c r="H1112" t="s">
        <v>1378</v>
      </c>
      <c r="I1112">
        <v>190</v>
      </c>
      <c r="J1112">
        <v>26</v>
      </c>
      <c r="K1112">
        <f t="shared" si="70"/>
        <v>13.684210526315791</v>
      </c>
      <c r="L1112" t="s">
        <v>1737</v>
      </c>
      <c r="M1112" t="s">
        <v>3813</v>
      </c>
      <c r="N1112" t="s">
        <v>1</v>
      </c>
      <c r="O1112">
        <v>110085</v>
      </c>
      <c r="P1112" t="s">
        <v>546</v>
      </c>
      <c r="Q1112" t="s">
        <v>1757</v>
      </c>
      <c r="S1112">
        <v>71.959999999999994</v>
      </c>
      <c r="T1112">
        <v>5</v>
      </c>
      <c r="U1112">
        <v>0.2</v>
      </c>
      <c r="V1112">
        <v>25.186</v>
      </c>
      <c r="W1112">
        <f t="shared" si="71"/>
        <v>9.3547999999999991</v>
      </c>
      <c r="X1112">
        <v>1</v>
      </c>
    </row>
    <row r="1113" spans="1:24" x14ac:dyDescent="0.3">
      <c r="A1113">
        <v>1112</v>
      </c>
      <c r="B1113" t="s">
        <v>2878</v>
      </c>
      <c r="C1113" s="6">
        <v>45308</v>
      </c>
      <c r="D1113" t="str">
        <f t="shared" si="68"/>
        <v>Jan</v>
      </c>
      <c r="E1113" t="str">
        <f t="shared" si="69"/>
        <v>2024</v>
      </c>
      <c r="F1113" t="s">
        <v>4</v>
      </c>
      <c r="G1113" t="s">
        <v>20</v>
      </c>
      <c r="H1113" t="s">
        <v>1379</v>
      </c>
      <c r="I1113">
        <v>100</v>
      </c>
      <c r="J1113">
        <v>20</v>
      </c>
      <c r="K1113">
        <f t="shared" si="70"/>
        <v>20</v>
      </c>
      <c r="L1113" t="s">
        <v>1743</v>
      </c>
      <c r="M1113" t="s">
        <v>3610</v>
      </c>
      <c r="N1113" t="s">
        <v>1</v>
      </c>
      <c r="O1113">
        <v>500062</v>
      </c>
      <c r="P1113" t="s">
        <v>546</v>
      </c>
      <c r="Q1113" t="s">
        <v>1776</v>
      </c>
      <c r="S1113">
        <v>10.368</v>
      </c>
      <c r="T1113">
        <v>2</v>
      </c>
      <c r="U1113">
        <v>0.2</v>
      </c>
      <c r="V1113">
        <v>3.6288</v>
      </c>
      <c r="W1113">
        <f t="shared" si="71"/>
        <v>3.3696000000000002</v>
      </c>
      <c r="X1113">
        <v>2</v>
      </c>
    </row>
    <row r="1114" spans="1:24" x14ac:dyDescent="0.3">
      <c r="A1114">
        <v>1113</v>
      </c>
      <c r="B1114" t="s">
        <v>2879</v>
      </c>
      <c r="C1114" s="6">
        <v>45309</v>
      </c>
      <c r="D1114" t="str">
        <f t="shared" si="68"/>
        <v>Jan</v>
      </c>
      <c r="E1114" t="str">
        <f t="shared" si="69"/>
        <v>2024</v>
      </c>
      <c r="F1114" t="s">
        <v>4</v>
      </c>
      <c r="G1114" t="s">
        <v>20</v>
      </c>
      <c r="H1114" t="s">
        <v>645</v>
      </c>
      <c r="I1114">
        <v>150</v>
      </c>
      <c r="J1114">
        <v>6</v>
      </c>
      <c r="K1114">
        <f t="shared" si="70"/>
        <v>4</v>
      </c>
      <c r="L1114" t="s">
        <v>1738</v>
      </c>
      <c r="M1114" t="s">
        <v>3807</v>
      </c>
      <c r="N1114" t="s">
        <v>1</v>
      </c>
      <c r="O1114">
        <v>411038</v>
      </c>
      <c r="P1114" t="s">
        <v>546</v>
      </c>
      <c r="Q1114" t="s">
        <v>1764</v>
      </c>
      <c r="S1114">
        <v>1.1919999999999999</v>
      </c>
      <c r="T1114">
        <v>2</v>
      </c>
      <c r="U1114">
        <v>0.8</v>
      </c>
      <c r="V1114">
        <v>-2.0264000000000002</v>
      </c>
      <c r="W1114">
        <f t="shared" si="71"/>
        <v>1.6092</v>
      </c>
      <c r="X1114">
        <v>2</v>
      </c>
    </row>
    <row r="1115" spans="1:24" x14ac:dyDescent="0.3">
      <c r="A1115">
        <v>1114</v>
      </c>
      <c r="B1115" t="s">
        <v>2880</v>
      </c>
      <c r="C1115" s="6">
        <v>45310</v>
      </c>
      <c r="D1115" t="str">
        <f t="shared" si="68"/>
        <v>Jan</v>
      </c>
      <c r="E1115" t="str">
        <f t="shared" si="69"/>
        <v>2024</v>
      </c>
      <c r="F1115" t="s">
        <v>3</v>
      </c>
      <c r="G1115" t="s">
        <v>161</v>
      </c>
      <c r="H1115" t="s">
        <v>1252</v>
      </c>
      <c r="I1115">
        <v>170</v>
      </c>
      <c r="J1115">
        <v>6</v>
      </c>
      <c r="K1115">
        <f t="shared" si="70"/>
        <v>3.5294117647058822</v>
      </c>
      <c r="L1115" t="s">
        <v>1739</v>
      </c>
      <c r="M1115" t="s">
        <v>3707</v>
      </c>
      <c r="N1115" t="s">
        <v>1</v>
      </c>
      <c r="O1115">
        <v>700048</v>
      </c>
      <c r="P1115" t="s">
        <v>546</v>
      </c>
      <c r="Q1115" t="s">
        <v>1764</v>
      </c>
      <c r="S1115">
        <v>46.671999999999997</v>
      </c>
      <c r="T1115">
        <v>2</v>
      </c>
      <c r="U1115">
        <v>0.2</v>
      </c>
      <c r="V1115">
        <v>16.3352</v>
      </c>
      <c r="W1115">
        <f t="shared" si="71"/>
        <v>15.168399999999998</v>
      </c>
      <c r="X1115">
        <v>4</v>
      </c>
    </row>
    <row r="1116" spans="1:24" x14ac:dyDescent="0.3">
      <c r="A1116">
        <v>1115</v>
      </c>
      <c r="B1116" t="s">
        <v>2881</v>
      </c>
      <c r="C1116" s="6">
        <v>45311</v>
      </c>
      <c r="D1116" t="str">
        <f t="shared" si="68"/>
        <v>Jan</v>
      </c>
      <c r="E1116" t="str">
        <f t="shared" si="69"/>
        <v>2024</v>
      </c>
      <c r="F1116" t="s">
        <v>3</v>
      </c>
      <c r="G1116" t="s">
        <v>161</v>
      </c>
      <c r="H1116" t="s">
        <v>1380</v>
      </c>
      <c r="I1116">
        <v>140</v>
      </c>
      <c r="J1116">
        <v>6</v>
      </c>
      <c r="K1116">
        <f t="shared" si="70"/>
        <v>4.2857142857142856</v>
      </c>
      <c r="L1116" t="s">
        <v>1741</v>
      </c>
      <c r="M1116" t="s">
        <v>3805</v>
      </c>
      <c r="N1116" t="s">
        <v>1</v>
      </c>
      <c r="O1116">
        <v>700019</v>
      </c>
      <c r="P1116" t="s">
        <v>546</v>
      </c>
      <c r="Q1116" t="s">
        <v>1764</v>
      </c>
      <c r="S1116">
        <v>119.833</v>
      </c>
      <c r="T1116">
        <v>1</v>
      </c>
      <c r="U1116">
        <v>0.15</v>
      </c>
      <c r="V1116">
        <v>-12.6882</v>
      </c>
      <c r="W1116">
        <f t="shared" si="71"/>
        <v>132.52119999999999</v>
      </c>
      <c r="X1116">
        <v>5</v>
      </c>
    </row>
    <row r="1117" spans="1:24" x14ac:dyDescent="0.3">
      <c r="A1117">
        <v>1116</v>
      </c>
      <c r="B1117" t="s">
        <v>2882</v>
      </c>
      <c r="C1117" s="6">
        <v>45312</v>
      </c>
      <c r="D1117" t="str">
        <f t="shared" si="68"/>
        <v>Jan</v>
      </c>
      <c r="E1117" t="str">
        <f t="shared" si="69"/>
        <v>2024</v>
      </c>
      <c r="F1117" t="s">
        <v>3</v>
      </c>
      <c r="G1117" t="s">
        <v>161</v>
      </c>
      <c r="H1117" t="s">
        <v>1150</v>
      </c>
      <c r="I1117">
        <v>180</v>
      </c>
      <c r="J1117">
        <v>20</v>
      </c>
      <c r="K1117">
        <f t="shared" si="70"/>
        <v>11.111111111111111</v>
      </c>
      <c r="L1117" t="s">
        <v>1736</v>
      </c>
      <c r="M1117" t="s">
        <v>3797</v>
      </c>
      <c r="N1117" t="s">
        <v>1</v>
      </c>
      <c r="O1117">
        <v>560068</v>
      </c>
      <c r="P1117" t="s">
        <v>546</v>
      </c>
      <c r="Q1117" t="s">
        <v>1771</v>
      </c>
      <c r="R1117" t="s">
        <v>2</v>
      </c>
      <c r="S1117">
        <v>119.98</v>
      </c>
      <c r="T1117">
        <v>2</v>
      </c>
      <c r="U1117">
        <v>0</v>
      </c>
      <c r="V1117">
        <v>57.590400000000002</v>
      </c>
      <c r="W1117">
        <f t="shared" si="71"/>
        <v>31.194800000000001</v>
      </c>
      <c r="X1117">
        <v>4</v>
      </c>
    </row>
    <row r="1118" spans="1:24" x14ac:dyDescent="0.3">
      <c r="A1118">
        <v>1117</v>
      </c>
      <c r="B1118" t="s">
        <v>2883</v>
      </c>
      <c r="C1118" s="6">
        <v>45313</v>
      </c>
      <c r="D1118" t="str">
        <f t="shared" si="68"/>
        <v>Jan</v>
      </c>
      <c r="E1118" t="str">
        <f t="shared" si="69"/>
        <v>2024</v>
      </c>
      <c r="F1118" t="s">
        <v>3</v>
      </c>
      <c r="G1118" t="s">
        <v>400</v>
      </c>
      <c r="H1118" t="s">
        <v>912</v>
      </c>
      <c r="I1118">
        <v>200</v>
      </c>
      <c r="J1118">
        <v>6</v>
      </c>
      <c r="K1118">
        <f t="shared" si="70"/>
        <v>3</v>
      </c>
      <c r="L1118" t="s">
        <v>1744</v>
      </c>
      <c r="M1118" t="s">
        <v>3685</v>
      </c>
      <c r="N1118" t="s">
        <v>1</v>
      </c>
      <c r="O1118">
        <v>122004</v>
      </c>
      <c r="P1118" t="s">
        <v>546</v>
      </c>
      <c r="Q1118" t="s">
        <v>1762</v>
      </c>
      <c r="R1118" t="s">
        <v>2</v>
      </c>
      <c r="S1118">
        <v>6.3</v>
      </c>
      <c r="T1118">
        <v>2</v>
      </c>
      <c r="U1118">
        <v>0</v>
      </c>
      <c r="V1118">
        <v>3.024</v>
      </c>
      <c r="W1118">
        <f t="shared" si="71"/>
        <v>1.6379999999999999</v>
      </c>
      <c r="X1118">
        <v>3</v>
      </c>
    </row>
    <row r="1119" spans="1:24" x14ac:dyDescent="0.3">
      <c r="A1119">
        <v>1118</v>
      </c>
      <c r="B1119" t="s">
        <v>2884</v>
      </c>
      <c r="C1119" s="6">
        <v>45314</v>
      </c>
      <c r="D1119" t="str">
        <f t="shared" si="68"/>
        <v>Jan</v>
      </c>
      <c r="E1119" t="str">
        <f t="shared" si="69"/>
        <v>2024</v>
      </c>
      <c r="F1119" t="s">
        <v>4</v>
      </c>
      <c r="G1119" t="s">
        <v>401</v>
      </c>
      <c r="H1119" t="s">
        <v>861</v>
      </c>
      <c r="I1119">
        <v>130</v>
      </c>
      <c r="J1119">
        <v>10</v>
      </c>
      <c r="K1119">
        <f t="shared" si="70"/>
        <v>7.6923076923076925</v>
      </c>
      <c r="L1119" t="s">
        <v>1740</v>
      </c>
      <c r="M1119" t="s">
        <v>3791</v>
      </c>
      <c r="N1119" t="s">
        <v>1</v>
      </c>
      <c r="O1119">
        <v>400067</v>
      </c>
      <c r="P1119" t="s">
        <v>546</v>
      </c>
      <c r="Q1119" t="s">
        <v>1773</v>
      </c>
      <c r="S1119">
        <v>279.89999999999998</v>
      </c>
      <c r="T1119">
        <v>5</v>
      </c>
      <c r="U1119">
        <v>0</v>
      </c>
      <c r="V1119">
        <v>137.15100000000001</v>
      </c>
      <c r="W1119">
        <f t="shared" si="71"/>
        <v>28.549799999999994</v>
      </c>
      <c r="X1119">
        <v>4</v>
      </c>
    </row>
    <row r="1120" spans="1:24" x14ac:dyDescent="0.3">
      <c r="A1120">
        <v>1119</v>
      </c>
      <c r="B1120" t="s">
        <v>2885</v>
      </c>
      <c r="C1120" s="6">
        <v>45315</v>
      </c>
      <c r="D1120" t="str">
        <f t="shared" si="68"/>
        <v>Jan</v>
      </c>
      <c r="E1120" t="str">
        <f t="shared" si="69"/>
        <v>2024</v>
      </c>
      <c r="F1120" t="s">
        <v>4</v>
      </c>
      <c r="G1120" t="s">
        <v>401</v>
      </c>
      <c r="H1120" t="s">
        <v>1242</v>
      </c>
      <c r="I1120">
        <v>210</v>
      </c>
      <c r="J1120">
        <v>10</v>
      </c>
      <c r="K1120">
        <f t="shared" si="70"/>
        <v>4.7619047619047619</v>
      </c>
      <c r="L1120" t="s">
        <v>1742</v>
      </c>
      <c r="M1120" t="s">
        <v>3647</v>
      </c>
      <c r="N1120" t="s">
        <v>1</v>
      </c>
      <c r="O1120">
        <v>110075</v>
      </c>
      <c r="P1120" t="s">
        <v>546</v>
      </c>
      <c r="Q1120" t="s">
        <v>1776</v>
      </c>
      <c r="S1120">
        <v>619.95000000000005</v>
      </c>
      <c r="T1120">
        <v>5</v>
      </c>
      <c r="U1120">
        <v>0</v>
      </c>
      <c r="V1120">
        <v>111.59099999999999</v>
      </c>
      <c r="W1120">
        <f t="shared" si="71"/>
        <v>101.6718</v>
      </c>
      <c r="X1120">
        <v>1</v>
      </c>
    </row>
    <row r="1121" spans="1:24" x14ac:dyDescent="0.3">
      <c r="A1121">
        <v>1120</v>
      </c>
      <c r="B1121" t="s">
        <v>2886</v>
      </c>
      <c r="C1121" s="6">
        <v>45316</v>
      </c>
      <c r="D1121" t="str">
        <f t="shared" si="68"/>
        <v>Jan</v>
      </c>
      <c r="E1121" t="str">
        <f t="shared" si="69"/>
        <v>2024</v>
      </c>
      <c r="F1121" t="s">
        <v>4</v>
      </c>
      <c r="G1121" t="s">
        <v>401</v>
      </c>
      <c r="H1121" t="s">
        <v>1381</v>
      </c>
      <c r="I1121">
        <v>160</v>
      </c>
      <c r="J1121">
        <v>24</v>
      </c>
      <c r="K1121">
        <f t="shared" si="70"/>
        <v>15</v>
      </c>
      <c r="L1121" t="s">
        <v>1739</v>
      </c>
      <c r="M1121" t="s">
        <v>3697</v>
      </c>
      <c r="N1121" t="s">
        <v>1</v>
      </c>
      <c r="O1121">
        <v>570011</v>
      </c>
      <c r="P1121" t="s">
        <v>546</v>
      </c>
      <c r="Q1121" t="s">
        <v>1760</v>
      </c>
      <c r="R1121" t="s">
        <v>2</v>
      </c>
      <c r="S1121">
        <v>4.3600000000000003</v>
      </c>
      <c r="T1121">
        <v>2</v>
      </c>
      <c r="U1121">
        <v>0</v>
      </c>
      <c r="V1121">
        <v>2.0491999999999999</v>
      </c>
      <c r="W1121">
        <f t="shared" si="71"/>
        <v>1.1554000000000002</v>
      </c>
      <c r="X1121">
        <v>2</v>
      </c>
    </row>
    <row r="1122" spans="1:24" x14ac:dyDescent="0.3">
      <c r="A1122">
        <v>1121</v>
      </c>
      <c r="B1122" t="s">
        <v>2887</v>
      </c>
      <c r="C1122" s="6">
        <v>45317</v>
      </c>
      <c r="D1122" t="str">
        <f t="shared" si="68"/>
        <v>Jan</v>
      </c>
      <c r="E1122" t="str">
        <f t="shared" si="69"/>
        <v>2024</v>
      </c>
      <c r="F1122" t="s">
        <v>4</v>
      </c>
      <c r="G1122" t="s">
        <v>401</v>
      </c>
      <c r="H1122" t="s">
        <v>1208</v>
      </c>
      <c r="I1122">
        <v>150</v>
      </c>
      <c r="J1122">
        <v>12</v>
      </c>
      <c r="K1122">
        <f t="shared" si="70"/>
        <v>8</v>
      </c>
      <c r="L1122" t="s">
        <v>1738</v>
      </c>
      <c r="M1122" t="s">
        <v>3801</v>
      </c>
      <c r="N1122" t="s">
        <v>1</v>
      </c>
      <c r="O1122">
        <v>854303</v>
      </c>
      <c r="P1122" t="s">
        <v>546</v>
      </c>
      <c r="Q1122" t="s">
        <v>1762</v>
      </c>
      <c r="S1122">
        <v>15.28</v>
      </c>
      <c r="T1122">
        <v>2</v>
      </c>
      <c r="U1122">
        <v>0</v>
      </c>
      <c r="V1122">
        <v>7.4871999999999996</v>
      </c>
      <c r="W1122">
        <f t="shared" si="71"/>
        <v>3.8963999999999999</v>
      </c>
      <c r="X1122">
        <v>1</v>
      </c>
    </row>
    <row r="1123" spans="1:24" x14ac:dyDescent="0.3">
      <c r="A1123">
        <v>1122</v>
      </c>
      <c r="B1123" t="s">
        <v>2888</v>
      </c>
      <c r="C1123" s="6">
        <v>45318</v>
      </c>
      <c r="D1123" t="str">
        <f t="shared" si="68"/>
        <v>Jan</v>
      </c>
      <c r="E1123" t="str">
        <f t="shared" si="69"/>
        <v>2024</v>
      </c>
      <c r="F1123" t="s">
        <v>4</v>
      </c>
      <c r="G1123" t="s">
        <v>339</v>
      </c>
      <c r="H1123" t="s">
        <v>1382</v>
      </c>
      <c r="I1123">
        <v>170</v>
      </c>
      <c r="J1123">
        <v>20</v>
      </c>
      <c r="K1123">
        <f t="shared" si="70"/>
        <v>11.76470588235294</v>
      </c>
      <c r="L1123" t="s">
        <v>1737</v>
      </c>
      <c r="M1123" t="s">
        <v>3787</v>
      </c>
      <c r="N1123" t="s">
        <v>1</v>
      </c>
      <c r="O1123">
        <v>600099</v>
      </c>
      <c r="P1123" t="s">
        <v>546</v>
      </c>
      <c r="Q1123" t="s">
        <v>1757</v>
      </c>
      <c r="S1123">
        <v>699.93</v>
      </c>
      <c r="T1123">
        <v>7</v>
      </c>
      <c r="U1123">
        <v>0</v>
      </c>
      <c r="V1123">
        <v>181.98179999999999</v>
      </c>
      <c r="W1123">
        <f t="shared" si="71"/>
        <v>73.992599999999996</v>
      </c>
      <c r="X1123">
        <v>4</v>
      </c>
    </row>
    <row r="1124" spans="1:24" x14ac:dyDescent="0.3">
      <c r="A1124">
        <v>1123</v>
      </c>
      <c r="B1124" t="s">
        <v>2889</v>
      </c>
      <c r="C1124" s="6">
        <v>45319</v>
      </c>
      <c r="D1124" t="str">
        <f t="shared" si="68"/>
        <v>Jan</v>
      </c>
      <c r="E1124" t="str">
        <f t="shared" si="69"/>
        <v>2024</v>
      </c>
      <c r="F1124" t="s">
        <v>4</v>
      </c>
      <c r="G1124" t="s">
        <v>339</v>
      </c>
      <c r="H1124" t="s">
        <v>1383</v>
      </c>
      <c r="I1124">
        <v>150</v>
      </c>
      <c r="J1124">
        <v>26</v>
      </c>
      <c r="K1124">
        <f t="shared" si="70"/>
        <v>17.333333333333336</v>
      </c>
      <c r="L1124" t="s">
        <v>1743</v>
      </c>
      <c r="M1124" t="s">
        <v>3736</v>
      </c>
      <c r="N1124" t="s">
        <v>1</v>
      </c>
      <c r="O1124">
        <v>560064</v>
      </c>
      <c r="P1124" t="s">
        <v>546</v>
      </c>
      <c r="Q1124" t="s">
        <v>1759</v>
      </c>
      <c r="S1124">
        <v>22.96</v>
      </c>
      <c r="T1124">
        <v>7</v>
      </c>
      <c r="U1124">
        <v>0</v>
      </c>
      <c r="V1124">
        <v>6.6584000000000003</v>
      </c>
      <c r="W1124">
        <f t="shared" si="71"/>
        <v>2.3288000000000002</v>
      </c>
      <c r="X1124">
        <v>1</v>
      </c>
    </row>
    <row r="1125" spans="1:24" x14ac:dyDescent="0.3">
      <c r="A1125">
        <v>1124</v>
      </c>
      <c r="B1125" t="s">
        <v>2890</v>
      </c>
      <c r="C1125" s="6">
        <v>45320</v>
      </c>
      <c r="D1125" t="str">
        <f t="shared" si="68"/>
        <v>Jan</v>
      </c>
      <c r="E1125" t="str">
        <f t="shared" si="69"/>
        <v>2024</v>
      </c>
      <c r="F1125" t="s">
        <v>4</v>
      </c>
      <c r="G1125" t="s">
        <v>339</v>
      </c>
      <c r="H1125" t="s">
        <v>623</v>
      </c>
      <c r="I1125">
        <v>150</v>
      </c>
      <c r="J1125">
        <v>22</v>
      </c>
      <c r="K1125">
        <f t="shared" si="70"/>
        <v>14.666666666666666</v>
      </c>
      <c r="L1125" t="s">
        <v>1738</v>
      </c>
      <c r="M1125" t="s">
        <v>3804</v>
      </c>
      <c r="N1125" t="s">
        <v>1</v>
      </c>
      <c r="O1125">
        <v>577501</v>
      </c>
      <c r="P1125" t="s">
        <v>546</v>
      </c>
      <c r="Q1125" t="s">
        <v>1756</v>
      </c>
      <c r="R1125" t="s">
        <v>2</v>
      </c>
      <c r="S1125">
        <v>38.6</v>
      </c>
      <c r="T1125">
        <v>4</v>
      </c>
      <c r="U1125">
        <v>0</v>
      </c>
      <c r="V1125">
        <v>11.58</v>
      </c>
      <c r="W1125">
        <f t="shared" si="71"/>
        <v>6.7550000000000008</v>
      </c>
      <c r="X1125">
        <v>5</v>
      </c>
    </row>
    <row r="1126" spans="1:24" x14ac:dyDescent="0.3">
      <c r="A1126">
        <v>1125</v>
      </c>
      <c r="B1126" t="s">
        <v>2891</v>
      </c>
      <c r="C1126" s="6">
        <v>45321</v>
      </c>
      <c r="D1126" t="str">
        <f t="shared" si="68"/>
        <v>Jan</v>
      </c>
      <c r="E1126" t="str">
        <f t="shared" si="69"/>
        <v>2024</v>
      </c>
      <c r="F1126" t="s">
        <v>4</v>
      </c>
      <c r="G1126" t="s">
        <v>339</v>
      </c>
      <c r="H1126" t="s">
        <v>1000</v>
      </c>
      <c r="I1126">
        <v>160</v>
      </c>
      <c r="J1126">
        <v>26</v>
      </c>
      <c r="K1126">
        <f t="shared" si="70"/>
        <v>16.25</v>
      </c>
      <c r="L1126" t="s">
        <v>1739</v>
      </c>
      <c r="M1126" t="s">
        <v>3588</v>
      </c>
      <c r="N1126" t="s">
        <v>1</v>
      </c>
      <c r="O1126">
        <v>221005</v>
      </c>
      <c r="P1126" t="s">
        <v>546</v>
      </c>
      <c r="Q1126" t="s">
        <v>1765</v>
      </c>
      <c r="S1126">
        <v>6.63</v>
      </c>
      <c r="T1126">
        <v>3</v>
      </c>
      <c r="U1126">
        <v>0</v>
      </c>
      <c r="V1126">
        <v>1.7901</v>
      </c>
      <c r="W1126">
        <f t="shared" si="71"/>
        <v>1.6133</v>
      </c>
      <c r="X1126">
        <v>4</v>
      </c>
    </row>
    <row r="1127" spans="1:24" x14ac:dyDescent="0.3">
      <c r="A1127">
        <v>1126</v>
      </c>
      <c r="B1127" t="s">
        <v>2892</v>
      </c>
      <c r="C1127" s="6">
        <v>45322</v>
      </c>
      <c r="D1127" t="str">
        <f t="shared" si="68"/>
        <v>Jan</v>
      </c>
      <c r="E1127" t="str">
        <f t="shared" si="69"/>
        <v>2024</v>
      </c>
      <c r="F1127" t="s">
        <v>4</v>
      </c>
      <c r="G1127" t="s">
        <v>339</v>
      </c>
      <c r="H1127" t="s">
        <v>1384</v>
      </c>
      <c r="I1127">
        <v>140</v>
      </c>
      <c r="J1127">
        <v>20</v>
      </c>
      <c r="K1127">
        <f t="shared" si="70"/>
        <v>14.285714285714285</v>
      </c>
      <c r="L1127" t="s">
        <v>1741</v>
      </c>
      <c r="M1127" t="s">
        <v>3789</v>
      </c>
      <c r="O1127">
        <v>110085</v>
      </c>
      <c r="P1127" t="s">
        <v>546</v>
      </c>
      <c r="Q1127" t="s">
        <v>1773</v>
      </c>
      <c r="S1127">
        <v>23.34</v>
      </c>
      <c r="T1127">
        <v>3</v>
      </c>
      <c r="U1127">
        <v>0</v>
      </c>
      <c r="V1127">
        <v>10.969799999999999</v>
      </c>
      <c r="W1127">
        <f t="shared" si="71"/>
        <v>4.1234000000000002</v>
      </c>
      <c r="X1127">
        <v>3</v>
      </c>
    </row>
    <row r="1128" spans="1:24" x14ac:dyDescent="0.3">
      <c r="A1128">
        <v>1127</v>
      </c>
      <c r="B1128" t="s">
        <v>2893</v>
      </c>
      <c r="C1128" s="6">
        <v>45323</v>
      </c>
      <c r="D1128" t="str">
        <f t="shared" si="68"/>
        <v>Feb</v>
      </c>
      <c r="E1128" t="str">
        <f t="shared" si="69"/>
        <v>2024</v>
      </c>
      <c r="F1128" t="s">
        <v>4</v>
      </c>
      <c r="G1128" t="s">
        <v>339</v>
      </c>
      <c r="H1128" t="s">
        <v>953</v>
      </c>
      <c r="I1128">
        <v>110</v>
      </c>
      <c r="J1128">
        <v>20</v>
      </c>
      <c r="K1128">
        <f t="shared" si="70"/>
        <v>18.181818181818183</v>
      </c>
      <c r="L1128" t="s">
        <v>1736</v>
      </c>
      <c r="M1128" t="s">
        <v>3790</v>
      </c>
      <c r="N1128" t="s">
        <v>1</v>
      </c>
      <c r="O1128">
        <v>144002</v>
      </c>
      <c r="P1128" t="s">
        <v>546</v>
      </c>
      <c r="Q1128" t="s">
        <v>1765</v>
      </c>
      <c r="S1128">
        <v>1067.94</v>
      </c>
      <c r="T1128">
        <v>3</v>
      </c>
      <c r="U1128">
        <v>0</v>
      </c>
      <c r="V1128">
        <v>224.26740000000001</v>
      </c>
      <c r="W1128">
        <f t="shared" si="71"/>
        <v>281.22420000000005</v>
      </c>
      <c r="X1128">
        <v>2</v>
      </c>
    </row>
    <row r="1129" spans="1:24" x14ac:dyDescent="0.3">
      <c r="A1129">
        <v>1128</v>
      </c>
      <c r="B1129" t="s">
        <v>2894</v>
      </c>
      <c r="C1129" s="6">
        <v>45324</v>
      </c>
      <c r="D1129" t="str">
        <f t="shared" si="68"/>
        <v>Feb</v>
      </c>
      <c r="E1129" t="str">
        <f t="shared" si="69"/>
        <v>2024</v>
      </c>
      <c r="F1129" t="s">
        <v>4</v>
      </c>
      <c r="G1129" t="s">
        <v>57</v>
      </c>
      <c r="H1129" t="s">
        <v>947</v>
      </c>
      <c r="I1129">
        <v>120</v>
      </c>
      <c r="J1129">
        <v>6</v>
      </c>
      <c r="K1129">
        <f t="shared" si="70"/>
        <v>5</v>
      </c>
      <c r="L1129" t="s">
        <v>1744</v>
      </c>
      <c r="M1129" t="s">
        <v>3798</v>
      </c>
      <c r="N1129" t="s">
        <v>1</v>
      </c>
      <c r="O1129">
        <v>625513</v>
      </c>
      <c r="P1129" t="s">
        <v>546</v>
      </c>
      <c r="Q1129" t="s">
        <v>1767</v>
      </c>
      <c r="S1129">
        <v>10.16</v>
      </c>
      <c r="T1129">
        <v>1</v>
      </c>
      <c r="U1129">
        <v>0</v>
      </c>
      <c r="V1129">
        <v>2.6415999999999999</v>
      </c>
      <c r="W1129">
        <f t="shared" si="71"/>
        <v>7.5183999999999997</v>
      </c>
      <c r="X1129">
        <v>3</v>
      </c>
    </row>
    <row r="1130" spans="1:24" x14ac:dyDescent="0.3">
      <c r="A1130">
        <v>1129</v>
      </c>
      <c r="B1130" t="s">
        <v>2895</v>
      </c>
      <c r="C1130" s="6">
        <v>45325</v>
      </c>
      <c r="D1130" t="str">
        <f t="shared" si="68"/>
        <v>Feb</v>
      </c>
      <c r="E1130" t="str">
        <f t="shared" si="69"/>
        <v>2024</v>
      </c>
      <c r="F1130" t="s">
        <v>4</v>
      </c>
      <c r="G1130" t="s">
        <v>57</v>
      </c>
      <c r="H1130" t="s">
        <v>1165</v>
      </c>
      <c r="I1130">
        <v>110</v>
      </c>
      <c r="J1130">
        <v>16</v>
      </c>
      <c r="K1130">
        <f t="shared" si="70"/>
        <v>14.545454545454545</v>
      </c>
      <c r="L1130" t="s">
        <v>1740</v>
      </c>
      <c r="M1130" t="s">
        <v>3834</v>
      </c>
      <c r="N1130" t="s">
        <v>1</v>
      </c>
      <c r="O1130">
        <v>500100</v>
      </c>
      <c r="P1130" t="s">
        <v>546</v>
      </c>
      <c r="Q1130" t="s">
        <v>1757</v>
      </c>
      <c r="S1130">
        <v>101.88</v>
      </c>
      <c r="T1130">
        <v>6</v>
      </c>
      <c r="U1130">
        <v>0</v>
      </c>
      <c r="V1130">
        <v>50.94</v>
      </c>
      <c r="W1130">
        <f t="shared" si="71"/>
        <v>8.49</v>
      </c>
      <c r="X1130">
        <v>2</v>
      </c>
    </row>
    <row r="1131" spans="1:24" x14ac:dyDescent="0.3">
      <c r="A1131">
        <v>1130</v>
      </c>
      <c r="B1131" t="s">
        <v>2896</v>
      </c>
      <c r="C1131" s="6">
        <v>45326</v>
      </c>
      <c r="D1131" t="str">
        <f t="shared" si="68"/>
        <v>Feb</v>
      </c>
      <c r="E1131" t="str">
        <f t="shared" si="69"/>
        <v>2024</v>
      </c>
      <c r="F1131" t="s">
        <v>4</v>
      </c>
      <c r="G1131" t="s">
        <v>212</v>
      </c>
      <c r="H1131" t="s">
        <v>1385</v>
      </c>
      <c r="I1131">
        <v>110</v>
      </c>
      <c r="J1131">
        <v>12</v>
      </c>
      <c r="K1131">
        <f t="shared" si="70"/>
        <v>10.909090909090908</v>
      </c>
      <c r="L1131" t="s">
        <v>1742</v>
      </c>
      <c r="M1131" t="s">
        <v>3776</v>
      </c>
      <c r="N1131" t="s">
        <v>1</v>
      </c>
      <c r="O1131">
        <v>411014</v>
      </c>
      <c r="P1131" t="s">
        <v>546</v>
      </c>
      <c r="Q1131" t="s">
        <v>1774</v>
      </c>
      <c r="S1131">
        <v>343.92</v>
      </c>
      <c r="T1131">
        <v>4</v>
      </c>
      <c r="U1131">
        <v>0</v>
      </c>
      <c r="V1131">
        <v>75.662400000000005</v>
      </c>
      <c r="W1131">
        <f t="shared" si="71"/>
        <v>67.064400000000006</v>
      </c>
      <c r="X1131">
        <v>2</v>
      </c>
    </row>
    <row r="1132" spans="1:24" x14ac:dyDescent="0.3">
      <c r="A1132">
        <v>1131</v>
      </c>
      <c r="B1132" t="s">
        <v>1901</v>
      </c>
      <c r="C1132" s="6">
        <v>45327</v>
      </c>
      <c r="D1132" t="str">
        <f t="shared" si="68"/>
        <v>Feb</v>
      </c>
      <c r="E1132" t="str">
        <f t="shared" si="69"/>
        <v>2024</v>
      </c>
      <c r="F1132" t="s">
        <v>4</v>
      </c>
      <c r="G1132" t="s">
        <v>212</v>
      </c>
      <c r="H1132" t="s">
        <v>1386</v>
      </c>
      <c r="I1132">
        <v>180</v>
      </c>
      <c r="J1132">
        <v>8</v>
      </c>
      <c r="K1132">
        <f t="shared" si="70"/>
        <v>4.4444444444444446</v>
      </c>
      <c r="L1132" t="s">
        <v>1739</v>
      </c>
      <c r="M1132" t="s">
        <v>3785</v>
      </c>
      <c r="N1132" t="s">
        <v>1</v>
      </c>
      <c r="O1132">
        <v>231219</v>
      </c>
      <c r="P1132" t="s">
        <v>546</v>
      </c>
      <c r="Q1132" t="s">
        <v>1766</v>
      </c>
      <c r="S1132">
        <v>40.99</v>
      </c>
      <c r="T1132">
        <v>1</v>
      </c>
      <c r="U1132">
        <v>0</v>
      </c>
      <c r="V1132">
        <v>20.085100000000001</v>
      </c>
      <c r="W1132">
        <f t="shared" si="71"/>
        <v>20.904900000000001</v>
      </c>
      <c r="X1132">
        <v>3</v>
      </c>
    </row>
    <row r="1133" spans="1:24" x14ac:dyDescent="0.3">
      <c r="A1133">
        <v>1132</v>
      </c>
      <c r="B1133" t="s">
        <v>2897</v>
      </c>
      <c r="C1133" s="6">
        <v>45328</v>
      </c>
      <c r="D1133" t="str">
        <f t="shared" si="68"/>
        <v>Feb</v>
      </c>
      <c r="E1133" t="str">
        <f t="shared" si="69"/>
        <v>2024</v>
      </c>
      <c r="F1133" t="s">
        <v>4</v>
      </c>
      <c r="G1133" t="s">
        <v>212</v>
      </c>
      <c r="H1133" t="s">
        <v>665</v>
      </c>
      <c r="I1133">
        <v>210</v>
      </c>
      <c r="J1133">
        <v>8</v>
      </c>
      <c r="K1133">
        <f t="shared" si="70"/>
        <v>3.8095238095238098</v>
      </c>
      <c r="L1133" t="s">
        <v>1738</v>
      </c>
      <c r="M1133" t="s">
        <v>3788</v>
      </c>
      <c r="N1133" t="s">
        <v>1</v>
      </c>
      <c r="O1133">
        <v>474001</v>
      </c>
      <c r="P1133" t="s">
        <v>546</v>
      </c>
      <c r="Q1133" t="s">
        <v>1763</v>
      </c>
      <c r="S1133">
        <v>63.9</v>
      </c>
      <c r="T1133">
        <v>5</v>
      </c>
      <c r="U1133">
        <v>0</v>
      </c>
      <c r="V1133">
        <v>28.754999999999999</v>
      </c>
      <c r="W1133">
        <f t="shared" si="71"/>
        <v>7.028999999999999</v>
      </c>
      <c r="X1133">
        <v>2</v>
      </c>
    </row>
    <row r="1134" spans="1:24" x14ac:dyDescent="0.3">
      <c r="A1134">
        <v>1133</v>
      </c>
      <c r="B1134" t="s">
        <v>2898</v>
      </c>
      <c r="C1134" s="6">
        <v>45329</v>
      </c>
      <c r="D1134" t="str">
        <f t="shared" si="68"/>
        <v>Feb</v>
      </c>
      <c r="E1134" t="str">
        <f t="shared" si="69"/>
        <v>2024</v>
      </c>
      <c r="F1134" t="s">
        <v>5</v>
      </c>
      <c r="G1134" t="s">
        <v>62</v>
      </c>
      <c r="H1134" t="s">
        <v>807</v>
      </c>
      <c r="I1134">
        <v>140</v>
      </c>
      <c r="J1134">
        <v>24</v>
      </c>
      <c r="K1134">
        <f t="shared" si="70"/>
        <v>17.142857142857142</v>
      </c>
      <c r="L1134" t="s">
        <v>1737</v>
      </c>
      <c r="M1134" t="s">
        <v>3768</v>
      </c>
      <c r="N1134" t="s">
        <v>1</v>
      </c>
      <c r="O1134">
        <v>411019</v>
      </c>
      <c r="P1134" t="s">
        <v>546</v>
      </c>
      <c r="Q1134" t="s">
        <v>1766</v>
      </c>
      <c r="S1134">
        <v>19.440000000000001</v>
      </c>
      <c r="T1134">
        <v>3</v>
      </c>
      <c r="U1134">
        <v>0</v>
      </c>
      <c r="V1134">
        <v>9.3312000000000008</v>
      </c>
      <c r="W1134">
        <f t="shared" si="71"/>
        <v>3.3696000000000002</v>
      </c>
      <c r="X1134">
        <v>2</v>
      </c>
    </row>
    <row r="1135" spans="1:24" x14ac:dyDescent="0.3">
      <c r="A1135">
        <v>1134</v>
      </c>
      <c r="B1135" t="s">
        <v>2899</v>
      </c>
      <c r="C1135" s="6">
        <v>45330</v>
      </c>
      <c r="D1135" t="str">
        <f t="shared" si="68"/>
        <v>Feb</v>
      </c>
      <c r="E1135" t="str">
        <f t="shared" si="69"/>
        <v>2024</v>
      </c>
      <c r="F1135" t="s">
        <v>4</v>
      </c>
      <c r="G1135" t="s">
        <v>192</v>
      </c>
      <c r="H1135" t="s">
        <v>588</v>
      </c>
      <c r="I1135">
        <v>160</v>
      </c>
      <c r="J1135">
        <v>28</v>
      </c>
      <c r="K1135">
        <f t="shared" si="70"/>
        <v>17.5</v>
      </c>
      <c r="L1135" t="s">
        <v>1743</v>
      </c>
      <c r="M1135" t="s">
        <v>3769</v>
      </c>
      <c r="N1135" t="s">
        <v>1</v>
      </c>
      <c r="O1135">
        <v>441111</v>
      </c>
      <c r="P1135" t="s">
        <v>546</v>
      </c>
      <c r="Q1135" t="s">
        <v>1775</v>
      </c>
      <c r="R1135" t="s">
        <v>2</v>
      </c>
      <c r="S1135">
        <v>124.608</v>
      </c>
      <c r="T1135">
        <v>4</v>
      </c>
      <c r="U1135">
        <v>0.2</v>
      </c>
      <c r="V1135">
        <v>-23.364000000000001</v>
      </c>
      <c r="W1135">
        <f t="shared" si="71"/>
        <v>36.993000000000002</v>
      </c>
      <c r="X1135">
        <v>4</v>
      </c>
    </row>
    <row r="1136" spans="1:24" x14ac:dyDescent="0.3">
      <c r="A1136">
        <v>1135</v>
      </c>
      <c r="B1136" t="s">
        <v>2900</v>
      </c>
      <c r="C1136" s="6">
        <v>45331</v>
      </c>
      <c r="D1136" t="str">
        <f t="shared" si="68"/>
        <v>Feb</v>
      </c>
      <c r="E1136" t="str">
        <f t="shared" si="69"/>
        <v>2024</v>
      </c>
      <c r="F1136" t="s">
        <v>4</v>
      </c>
      <c r="G1136" t="s">
        <v>192</v>
      </c>
      <c r="H1136" t="s">
        <v>1387</v>
      </c>
      <c r="I1136">
        <v>100</v>
      </c>
      <c r="J1136">
        <v>12</v>
      </c>
      <c r="K1136">
        <f t="shared" si="70"/>
        <v>12</v>
      </c>
      <c r="L1136" t="s">
        <v>1738</v>
      </c>
      <c r="M1136" t="s">
        <v>3770</v>
      </c>
      <c r="O1136">
        <v>507303</v>
      </c>
      <c r="P1136" t="s">
        <v>546</v>
      </c>
      <c r="Q1136" t="s">
        <v>1765</v>
      </c>
      <c r="R1136" t="s">
        <v>2</v>
      </c>
      <c r="S1136">
        <v>7.56</v>
      </c>
      <c r="T1136">
        <v>3</v>
      </c>
      <c r="U1136">
        <v>0.2</v>
      </c>
      <c r="V1136">
        <v>2.6459999999999999</v>
      </c>
      <c r="W1136">
        <f t="shared" si="71"/>
        <v>1.6379999999999999</v>
      </c>
      <c r="X1136">
        <v>2</v>
      </c>
    </row>
    <row r="1137" spans="1:24" x14ac:dyDescent="0.3">
      <c r="A1137">
        <v>1136</v>
      </c>
      <c r="B1137" t="s">
        <v>2901</v>
      </c>
      <c r="C1137" s="6">
        <v>45332</v>
      </c>
      <c r="D1137" t="str">
        <f t="shared" si="68"/>
        <v>Feb</v>
      </c>
      <c r="E1137" t="str">
        <f t="shared" si="69"/>
        <v>2024</v>
      </c>
      <c r="F1137" t="s">
        <v>6</v>
      </c>
      <c r="G1137" t="s">
        <v>242</v>
      </c>
      <c r="H1137" t="s">
        <v>1388</v>
      </c>
      <c r="I1137">
        <v>170</v>
      </c>
      <c r="J1137">
        <v>16</v>
      </c>
      <c r="K1137">
        <f t="shared" si="70"/>
        <v>9.4117647058823533</v>
      </c>
      <c r="L1137" t="s">
        <v>1739</v>
      </c>
      <c r="M1137" t="s">
        <v>3771</v>
      </c>
      <c r="N1137" t="s">
        <v>1</v>
      </c>
      <c r="O1137">
        <v>411017</v>
      </c>
      <c r="P1137" t="s">
        <v>546</v>
      </c>
      <c r="Q1137" t="s">
        <v>1769</v>
      </c>
      <c r="R1137" t="s">
        <v>2</v>
      </c>
      <c r="S1137">
        <v>85.224000000000004</v>
      </c>
      <c r="T1137">
        <v>3</v>
      </c>
      <c r="U1137">
        <v>0.2</v>
      </c>
      <c r="V1137">
        <v>7.4570999999999996</v>
      </c>
      <c r="W1137">
        <f t="shared" si="71"/>
        <v>25.922300000000003</v>
      </c>
      <c r="X1137">
        <v>2</v>
      </c>
    </row>
    <row r="1138" spans="1:24" x14ac:dyDescent="0.3">
      <c r="A1138">
        <v>1137</v>
      </c>
      <c r="B1138" t="s">
        <v>2902</v>
      </c>
      <c r="C1138" s="6">
        <v>45333</v>
      </c>
      <c r="D1138" t="str">
        <f t="shared" si="68"/>
        <v>Feb</v>
      </c>
      <c r="E1138" t="str">
        <f t="shared" si="69"/>
        <v>2024</v>
      </c>
      <c r="F1138" t="s">
        <v>3</v>
      </c>
      <c r="G1138" t="s">
        <v>402</v>
      </c>
      <c r="H1138" t="s">
        <v>1389</v>
      </c>
      <c r="I1138">
        <v>190</v>
      </c>
      <c r="J1138">
        <v>16</v>
      </c>
      <c r="K1138">
        <f t="shared" si="70"/>
        <v>8.4210526315789469</v>
      </c>
      <c r="L1138" t="s">
        <v>1741</v>
      </c>
      <c r="M1138" t="s">
        <v>3796</v>
      </c>
      <c r="O1138">
        <v>122002</v>
      </c>
      <c r="P1138" t="s">
        <v>546</v>
      </c>
      <c r="Q1138" t="s">
        <v>1774</v>
      </c>
      <c r="S1138">
        <v>287.52</v>
      </c>
      <c r="T1138">
        <v>8</v>
      </c>
      <c r="U1138">
        <v>0</v>
      </c>
      <c r="V1138">
        <v>129.38399999999999</v>
      </c>
      <c r="W1138">
        <f t="shared" si="71"/>
        <v>19.766999999999999</v>
      </c>
      <c r="X1138">
        <v>5</v>
      </c>
    </row>
    <row r="1139" spans="1:24" x14ac:dyDescent="0.3">
      <c r="A1139">
        <v>1138</v>
      </c>
      <c r="B1139" t="s">
        <v>2903</v>
      </c>
      <c r="C1139" s="6">
        <v>45334</v>
      </c>
      <c r="D1139" t="str">
        <f t="shared" si="68"/>
        <v>Feb</v>
      </c>
      <c r="E1139" t="str">
        <f t="shared" si="69"/>
        <v>2024</v>
      </c>
      <c r="F1139" t="s">
        <v>3</v>
      </c>
      <c r="G1139" t="s">
        <v>402</v>
      </c>
      <c r="H1139" t="s">
        <v>1098</v>
      </c>
      <c r="I1139">
        <v>240</v>
      </c>
      <c r="J1139">
        <v>22</v>
      </c>
      <c r="K1139">
        <f t="shared" si="70"/>
        <v>9.1666666666666661</v>
      </c>
      <c r="L1139" t="s">
        <v>1736</v>
      </c>
      <c r="M1139" t="s">
        <v>3773</v>
      </c>
      <c r="N1139" t="s">
        <v>1</v>
      </c>
      <c r="O1139">
        <v>110027</v>
      </c>
      <c r="P1139" t="s">
        <v>546</v>
      </c>
      <c r="Q1139" t="s">
        <v>1758</v>
      </c>
      <c r="R1139" t="s">
        <v>2</v>
      </c>
      <c r="S1139">
        <v>37.68</v>
      </c>
      <c r="T1139">
        <v>2</v>
      </c>
      <c r="U1139">
        <v>0</v>
      </c>
      <c r="V1139">
        <v>10.5504</v>
      </c>
      <c r="W1139">
        <f t="shared" si="71"/>
        <v>13.5648</v>
      </c>
      <c r="X1139">
        <v>5</v>
      </c>
    </row>
    <row r="1140" spans="1:24" x14ac:dyDescent="0.3">
      <c r="A1140">
        <v>1139</v>
      </c>
      <c r="B1140" t="s">
        <v>2904</v>
      </c>
      <c r="C1140" s="6">
        <v>45335</v>
      </c>
      <c r="D1140" t="str">
        <f t="shared" si="68"/>
        <v>Feb</v>
      </c>
      <c r="E1140" t="str">
        <f t="shared" si="69"/>
        <v>2024</v>
      </c>
      <c r="F1140" t="s">
        <v>3</v>
      </c>
      <c r="G1140" t="s">
        <v>402</v>
      </c>
      <c r="H1140" t="s">
        <v>1390</v>
      </c>
      <c r="I1140">
        <v>170</v>
      </c>
      <c r="J1140">
        <v>28</v>
      </c>
      <c r="K1140">
        <f t="shared" si="70"/>
        <v>16.470588235294116</v>
      </c>
      <c r="L1140" t="s">
        <v>1744</v>
      </c>
      <c r="M1140" t="s">
        <v>3774</v>
      </c>
      <c r="N1140" t="s">
        <v>1</v>
      </c>
      <c r="O1140">
        <v>560040</v>
      </c>
      <c r="P1140" t="s">
        <v>546</v>
      </c>
      <c r="Q1140" t="s">
        <v>1758</v>
      </c>
      <c r="S1140">
        <v>19.98</v>
      </c>
      <c r="T1140">
        <v>2</v>
      </c>
      <c r="U1140">
        <v>0</v>
      </c>
      <c r="V1140">
        <v>8.9909999999999997</v>
      </c>
      <c r="W1140">
        <f t="shared" si="71"/>
        <v>5.4945000000000004</v>
      </c>
      <c r="X1140">
        <v>1</v>
      </c>
    </row>
    <row r="1141" spans="1:24" x14ac:dyDescent="0.3">
      <c r="A1141">
        <v>1140</v>
      </c>
      <c r="B1141" t="s">
        <v>2905</v>
      </c>
      <c r="C1141" s="6">
        <v>45336</v>
      </c>
      <c r="D1141" t="str">
        <f t="shared" si="68"/>
        <v>Feb</v>
      </c>
      <c r="E1141" t="str">
        <f t="shared" si="69"/>
        <v>2024</v>
      </c>
      <c r="F1141" t="s">
        <v>3</v>
      </c>
      <c r="G1141" t="s">
        <v>402</v>
      </c>
      <c r="H1141" t="s">
        <v>1048</v>
      </c>
      <c r="I1141">
        <v>210</v>
      </c>
      <c r="J1141">
        <v>22</v>
      </c>
      <c r="K1141">
        <f t="shared" si="70"/>
        <v>10.476190476190476</v>
      </c>
      <c r="L1141" t="s">
        <v>1740</v>
      </c>
      <c r="M1141" t="s">
        <v>3775</v>
      </c>
      <c r="N1141" t="s">
        <v>1</v>
      </c>
      <c r="O1141">
        <v>605001</v>
      </c>
      <c r="P1141" t="s">
        <v>546</v>
      </c>
      <c r="Q1141" t="s">
        <v>1776</v>
      </c>
      <c r="S1141">
        <v>20.58</v>
      </c>
      <c r="T1141">
        <v>7</v>
      </c>
      <c r="U1141">
        <v>0</v>
      </c>
      <c r="V1141">
        <v>5.5566000000000004</v>
      </c>
      <c r="W1141">
        <f t="shared" si="71"/>
        <v>2.1461999999999999</v>
      </c>
      <c r="X1141">
        <v>5</v>
      </c>
    </row>
    <row r="1142" spans="1:24" x14ac:dyDescent="0.3">
      <c r="A1142">
        <v>1141</v>
      </c>
      <c r="B1142" t="s">
        <v>2906</v>
      </c>
      <c r="C1142" s="6">
        <v>45337</v>
      </c>
      <c r="D1142" t="str">
        <f t="shared" si="68"/>
        <v>Feb</v>
      </c>
      <c r="E1142" t="str">
        <f t="shared" si="69"/>
        <v>2024</v>
      </c>
      <c r="F1142" t="s">
        <v>3</v>
      </c>
      <c r="G1142" t="s">
        <v>402</v>
      </c>
      <c r="H1142" t="s">
        <v>1391</v>
      </c>
      <c r="I1142">
        <v>150</v>
      </c>
      <c r="J1142">
        <v>14</v>
      </c>
      <c r="K1142">
        <f t="shared" si="70"/>
        <v>9.3333333333333339</v>
      </c>
      <c r="L1142" t="s">
        <v>1742</v>
      </c>
      <c r="M1142" t="s">
        <v>3765</v>
      </c>
      <c r="N1142" t="s">
        <v>1</v>
      </c>
      <c r="O1142">
        <v>600119</v>
      </c>
      <c r="P1142" t="s">
        <v>546</v>
      </c>
      <c r="Q1142" t="s">
        <v>1761</v>
      </c>
      <c r="S1142">
        <v>17.38</v>
      </c>
      <c r="T1142">
        <v>2</v>
      </c>
      <c r="U1142">
        <v>0</v>
      </c>
      <c r="V1142">
        <v>8.69</v>
      </c>
      <c r="W1142">
        <f t="shared" si="71"/>
        <v>4.3449999999999998</v>
      </c>
      <c r="X1142">
        <v>3</v>
      </c>
    </row>
    <row r="1143" spans="1:24" x14ac:dyDescent="0.3">
      <c r="A1143">
        <v>1142</v>
      </c>
      <c r="B1143" t="s">
        <v>2907</v>
      </c>
      <c r="C1143" s="6">
        <v>45338</v>
      </c>
      <c r="D1143" t="str">
        <f t="shared" si="68"/>
        <v>Feb</v>
      </c>
      <c r="E1143" t="str">
        <f t="shared" si="69"/>
        <v>2024</v>
      </c>
      <c r="F1143" t="s">
        <v>4</v>
      </c>
      <c r="G1143" t="s">
        <v>282</v>
      </c>
      <c r="H1143" t="s">
        <v>1290</v>
      </c>
      <c r="I1143">
        <v>230</v>
      </c>
      <c r="J1143">
        <v>12</v>
      </c>
      <c r="K1143">
        <f t="shared" si="70"/>
        <v>5.2173913043478262</v>
      </c>
      <c r="L1143" t="s">
        <v>1739</v>
      </c>
      <c r="M1143" t="s">
        <v>3777</v>
      </c>
      <c r="N1143" t="s">
        <v>1</v>
      </c>
      <c r="O1143">
        <v>560070</v>
      </c>
      <c r="P1143" t="s">
        <v>546</v>
      </c>
      <c r="Q1143" t="s">
        <v>1775</v>
      </c>
      <c r="S1143">
        <v>204.6</v>
      </c>
      <c r="T1143">
        <v>2</v>
      </c>
      <c r="U1143">
        <v>0</v>
      </c>
      <c r="V1143">
        <v>53.195999999999998</v>
      </c>
      <c r="W1143">
        <f t="shared" si="71"/>
        <v>75.701999999999998</v>
      </c>
      <c r="X1143">
        <v>5</v>
      </c>
    </row>
    <row r="1144" spans="1:24" x14ac:dyDescent="0.3">
      <c r="A1144">
        <v>1143</v>
      </c>
      <c r="B1144" t="s">
        <v>2908</v>
      </c>
      <c r="C1144" s="6">
        <v>45339</v>
      </c>
      <c r="D1144" t="str">
        <f t="shared" si="68"/>
        <v>Feb</v>
      </c>
      <c r="E1144" t="str">
        <f t="shared" si="69"/>
        <v>2024</v>
      </c>
      <c r="F1144" t="s">
        <v>4</v>
      </c>
      <c r="G1144" t="s">
        <v>282</v>
      </c>
      <c r="H1144" t="s">
        <v>1392</v>
      </c>
      <c r="I1144">
        <v>250</v>
      </c>
      <c r="J1144">
        <v>20</v>
      </c>
      <c r="K1144">
        <f t="shared" si="70"/>
        <v>8</v>
      </c>
      <c r="L1144" t="s">
        <v>1738</v>
      </c>
      <c r="M1144" t="s">
        <v>3750</v>
      </c>
      <c r="N1144" t="s">
        <v>1</v>
      </c>
      <c r="O1144">
        <v>560062</v>
      </c>
      <c r="P1144" t="s">
        <v>546</v>
      </c>
      <c r="Q1144" t="s">
        <v>1770</v>
      </c>
      <c r="S1144">
        <v>8.7200000000000006</v>
      </c>
      <c r="T1144">
        <v>4</v>
      </c>
      <c r="U1144">
        <v>0</v>
      </c>
      <c r="V1144">
        <v>2.8776000000000002</v>
      </c>
      <c r="W1144">
        <f t="shared" si="71"/>
        <v>1.4606000000000001</v>
      </c>
      <c r="X1144">
        <v>5</v>
      </c>
    </row>
    <row r="1145" spans="1:24" x14ac:dyDescent="0.3">
      <c r="A1145">
        <v>1144</v>
      </c>
      <c r="B1145" t="s">
        <v>2909</v>
      </c>
      <c r="C1145" s="6">
        <v>45340</v>
      </c>
      <c r="D1145" t="str">
        <f t="shared" si="68"/>
        <v>Feb</v>
      </c>
      <c r="E1145" t="str">
        <f t="shared" si="69"/>
        <v>2024</v>
      </c>
      <c r="F1145" t="s">
        <v>4</v>
      </c>
      <c r="G1145" t="s">
        <v>282</v>
      </c>
      <c r="H1145" t="s">
        <v>819</v>
      </c>
      <c r="I1145">
        <v>150</v>
      </c>
      <c r="J1145">
        <v>10</v>
      </c>
      <c r="K1145">
        <f t="shared" si="70"/>
        <v>6.666666666666667</v>
      </c>
      <c r="L1145" t="s">
        <v>1737</v>
      </c>
      <c r="M1145" t="s">
        <v>3835</v>
      </c>
      <c r="N1145" t="s">
        <v>1</v>
      </c>
      <c r="O1145">
        <v>110092</v>
      </c>
      <c r="P1145" t="s">
        <v>546</v>
      </c>
      <c r="Q1145" t="s">
        <v>1767</v>
      </c>
      <c r="S1145">
        <v>6.48</v>
      </c>
      <c r="T1145">
        <v>1</v>
      </c>
      <c r="U1145">
        <v>0</v>
      </c>
      <c r="V1145">
        <v>3.1103999999999998</v>
      </c>
      <c r="W1145">
        <f t="shared" si="71"/>
        <v>3.3696000000000006</v>
      </c>
      <c r="X1145">
        <v>2</v>
      </c>
    </row>
    <row r="1146" spans="1:24" x14ac:dyDescent="0.3">
      <c r="A1146">
        <v>1145</v>
      </c>
      <c r="B1146" t="s">
        <v>2910</v>
      </c>
      <c r="C1146" s="6">
        <v>45341</v>
      </c>
      <c r="D1146" t="str">
        <f t="shared" si="68"/>
        <v>Feb</v>
      </c>
      <c r="E1146" t="str">
        <f t="shared" si="69"/>
        <v>2024</v>
      </c>
      <c r="F1146" t="s">
        <v>4</v>
      </c>
      <c r="G1146" t="s">
        <v>282</v>
      </c>
      <c r="H1146" t="s">
        <v>1393</v>
      </c>
      <c r="I1146">
        <v>170</v>
      </c>
      <c r="J1146">
        <v>26</v>
      </c>
      <c r="K1146">
        <f t="shared" si="70"/>
        <v>15.294117647058824</v>
      </c>
      <c r="L1146" t="s">
        <v>1743</v>
      </c>
      <c r="M1146" t="s">
        <v>3836</v>
      </c>
      <c r="N1146" t="s">
        <v>1</v>
      </c>
      <c r="O1146">
        <v>673016</v>
      </c>
      <c r="P1146" t="s">
        <v>546</v>
      </c>
      <c r="Q1146" t="s">
        <v>1774</v>
      </c>
      <c r="S1146">
        <v>686.32</v>
      </c>
      <c r="T1146">
        <v>2</v>
      </c>
      <c r="U1146">
        <v>0.2</v>
      </c>
      <c r="V1146">
        <v>223.054</v>
      </c>
      <c r="W1146">
        <f t="shared" si="71"/>
        <v>231.63300000000004</v>
      </c>
      <c r="X1146">
        <v>4</v>
      </c>
    </row>
    <row r="1147" spans="1:24" x14ac:dyDescent="0.3">
      <c r="A1147">
        <v>1146</v>
      </c>
      <c r="B1147" t="s">
        <v>2911</v>
      </c>
      <c r="C1147" s="6">
        <v>45342</v>
      </c>
      <c r="D1147" t="str">
        <f t="shared" si="68"/>
        <v>Feb</v>
      </c>
      <c r="E1147" t="str">
        <f t="shared" si="69"/>
        <v>2024</v>
      </c>
      <c r="F1147" t="s">
        <v>4</v>
      </c>
      <c r="G1147" t="s">
        <v>282</v>
      </c>
      <c r="H1147" t="s">
        <v>1368</v>
      </c>
      <c r="I1147">
        <v>110</v>
      </c>
      <c r="J1147">
        <v>16</v>
      </c>
      <c r="K1147">
        <f t="shared" si="70"/>
        <v>14.545454545454545</v>
      </c>
      <c r="L1147" t="s">
        <v>1738</v>
      </c>
      <c r="M1147" t="s">
        <v>3795</v>
      </c>
      <c r="N1147" t="s">
        <v>1</v>
      </c>
      <c r="O1147">
        <v>415001</v>
      </c>
      <c r="P1147" t="s">
        <v>546</v>
      </c>
      <c r="Q1147" t="s">
        <v>1763</v>
      </c>
      <c r="S1147">
        <v>62.18</v>
      </c>
      <c r="T1147">
        <v>1</v>
      </c>
      <c r="U1147">
        <v>0</v>
      </c>
      <c r="V1147">
        <v>16.788599999999999</v>
      </c>
      <c r="W1147">
        <f t="shared" si="71"/>
        <v>45.391400000000004</v>
      </c>
      <c r="X1147">
        <v>1</v>
      </c>
    </row>
    <row r="1148" spans="1:24" x14ac:dyDescent="0.3">
      <c r="A1148">
        <v>1147</v>
      </c>
      <c r="B1148" t="s">
        <v>2877</v>
      </c>
      <c r="C1148" s="6">
        <v>45343</v>
      </c>
      <c r="D1148" t="str">
        <f t="shared" si="68"/>
        <v>Feb</v>
      </c>
      <c r="E1148" t="str">
        <f t="shared" si="69"/>
        <v>2024</v>
      </c>
      <c r="F1148" t="s">
        <v>6</v>
      </c>
      <c r="G1148" t="s">
        <v>403</v>
      </c>
      <c r="H1148" t="s">
        <v>1394</v>
      </c>
      <c r="I1148">
        <v>100</v>
      </c>
      <c r="J1148">
        <v>28</v>
      </c>
      <c r="K1148">
        <f t="shared" si="70"/>
        <v>28.000000000000004</v>
      </c>
      <c r="L1148" t="s">
        <v>1739</v>
      </c>
      <c r="M1148" t="s">
        <v>3751</v>
      </c>
      <c r="N1148" t="s">
        <v>1</v>
      </c>
      <c r="O1148">
        <v>415001</v>
      </c>
      <c r="P1148" t="s">
        <v>546</v>
      </c>
      <c r="Q1148" t="s">
        <v>1766</v>
      </c>
      <c r="R1148" t="s">
        <v>2</v>
      </c>
      <c r="S1148">
        <v>644.07600000000002</v>
      </c>
      <c r="T1148">
        <v>2</v>
      </c>
      <c r="U1148">
        <v>0.1</v>
      </c>
      <c r="V1148">
        <v>107.346</v>
      </c>
      <c r="W1148">
        <f t="shared" si="71"/>
        <v>268.36500000000001</v>
      </c>
      <c r="X1148">
        <v>1</v>
      </c>
    </row>
    <row r="1149" spans="1:24" x14ac:dyDescent="0.3">
      <c r="A1149">
        <v>1148</v>
      </c>
      <c r="B1149" t="s">
        <v>2912</v>
      </c>
      <c r="C1149" s="6">
        <v>45344</v>
      </c>
      <c r="D1149" t="str">
        <f t="shared" si="68"/>
        <v>Feb</v>
      </c>
      <c r="E1149" t="str">
        <f t="shared" si="69"/>
        <v>2024</v>
      </c>
      <c r="F1149" t="s">
        <v>6</v>
      </c>
      <c r="G1149" t="s">
        <v>403</v>
      </c>
      <c r="H1149" t="s">
        <v>1395</v>
      </c>
      <c r="I1149">
        <v>160</v>
      </c>
      <c r="J1149">
        <v>20</v>
      </c>
      <c r="K1149">
        <f t="shared" si="70"/>
        <v>12.5</v>
      </c>
      <c r="L1149" t="s">
        <v>1741</v>
      </c>
      <c r="M1149" t="s">
        <v>3752</v>
      </c>
      <c r="N1149" t="s">
        <v>1</v>
      </c>
      <c r="O1149">
        <v>415001</v>
      </c>
      <c r="P1149" t="s">
        <v>546</v>
      </c>
      <c r="Q1149" t="s">
        <v>1773</v>
      </c>
      <c r="R1149" t="s">
        <v>2</v>
      </c>
      <c r="S1149">
        <v>5.84</v>
      </c>
      <c r="T1149">
        <v>2</v>
      </c>
      <c r="U1149">
        <v>0</v>
      </c>
      <c r="V1149">
        <v>2.6280000000000001</v>
      </c>
      <c r="W1149">
        <f t="shared" si="71"/>
        <v>1.6059999999999999</v>
      </c>
      <c r="X1149">
        <v>5</v>
      </c>
    </row>
    <row r="1150" spans="1:24" x14ac:dyDescent="0.3">
      <c r="A1150">
        <v>1149</v>
      </c>
      <c r="B1150" t="s">
        <v>2913</v>
      </c>
      <c r="C1150" s="6">
        <v>45345</v>
      </c>
      <c r="D1150" t="str">
        <f t="shared" si="68"/>
        <v>Feb</v>
      </c>
      <c r="E1150" t="str">
        <f t="shared" si="69"/>
        <v>2024</v>
      </c>
      <c r="F1150" t="s">
        <v>6</v>
      </c>
      <c r="G1150" t="s">
        <v>403</v>
      </c>
      <c r="H1150" t="s">
        <v>1396</v>
      </c>
      <c r="I1150">
        <v>170</v>
      </c>
      <c r="J1150">
        <v>20</v>
      </c>
      <c r="K1150">
        <f t="shared" si="70"/>
        <v>11.76470588235294</v>
      </c>
      <c r="L1150" t="s">
        <v>1736</v>
      </c>
      <c r="M1150" t="s">
        <v>3753</v>
      </c>
      <c r="N1150" t="s">
        <v>1</v>
      </c>
      <c r="O1150">
        <v>415001</v>
      </c>
      <c r="P1150" t="s">
        <v>546</v>
      </c>
      <c r="Q1150" t="s">
        <v>1770</v>
      </c>
      <c r="R1150" t="s">
        <v>2</v>
      </c>
      <c r="S1150">
        <v>12.76</v>
      </c>
      <c r="T1150">
        <v>2</v>
      </c>
      <c r="U1150">
        <v>0</v>
      </c>
      <c r="V1150">
        <v>5.8696000000000002</v>
      </c>
      <c r="W1150">
        <f t="shared" si="71"/>
        <v>3.4451999999999998</v>
      </c>
      <c r="X1150">
        <v>3</v>
      </c>
    </row>
    <row r="1151" spans="1:24" x14ac:dyDescent="0.3">
      <c r="A1151">
        <v>1150</v>
      </c>
      <c r="B1151" t="s">
        <v>2914</v>
      </c>
      <c r="C1151" s="6">
        <v>45346</v>
      </c>
      <c r="D1151" t="str">
        <f t="shared" si="68"/>
        <v>Feb</v>
      </c>
      <c r="E1151" t="str">
        <f t="shared" si="69"/>
        <v>2024</v>
      </c>
      <c r="F1151" t="s">
        <v>6</v>
      </c>
      <c r="G1151" t="s">
        <v>403</v>
      </c>
      <c r="H1151" t="s">
        <v>1397</v>
      </c>
      <c r="I1151">
        <v>250</v>
      </c>
      <c r="J1151">
        <v>20</v>
      </c>
      <c r="K1151">
        <f t="shared" si="70"/>
        <v>8</v>
      </c>
      <c r="L1151" t="s">
        <v>1744</v>
      </c>
      <c r="M1151" t="s">
        <v>3754</v>
      </c>
      <c r="N1151" t="s">
        <v>1</v>
      </c>
      <c r="O1151">
        <v>600056</v>
      </c>
      <c r="P1151" t="s">
        <v>546</v>
      </c>
      <c r="Q1151" t="s">
        <v>1775</v>
      </c>
      <c r="S1151">
        <v>10.95</v>
      </c>
      <c r="T1151">
        <v>1</v>
      </c>
      <c r="U1151">
        <v>0</v>
      </c>
      <c r="V1151">
        <v>0.438</v>
      </c>
      <c r="W1151">
        <f t="shared" si="71"/>
        <v>10.511999999999999</v>
      </c>
      <c r="X1151">
        <v>2</v>
      </c>
    </row>
    <row r="1152" spans="1:24" x14ac:dyDescent="0.3">
      <c r="A1152">
        <v>1151</v>
      </c>
      <c r="B1152" t="s">
        <v>2915</v>
      </c>
      <c r="C1152" s="6">
        <v>45347</v>
      </c>
      <c r="D1152" t="str">
        <f t="shared" si="68"/>
        <v>Feb</v>
      </c>
      <c r="E1152" t="str">
        <f t="shared" si="69"/>
        <v>2024</v>
      </c>
      <c r="F1152" t="s">
        <v>6</v>
      </c>
      <c r="G1152" t="s">
        <v>403</v>
      </c>
      <c r="H1152" t="s">
        <v>1398</v>
      </c>
      <c r="I1152">
        <v>130</v>
      </c>
      <c r="J1152">
        <v>8</v>
      </c>
      <c r="K1152">
        <f t="shared" si="70"/>
        <v>6.1538461538461542</v>
      </c>
      <c r="L1152" t="s">
        <v>1740</v>
      </c>
      <c r="M1152" t="s">
        <v>3755</v>
      </c>
      <c r="N1152" t="s">
        <v>1</v>
      </c>
      <c r="O1152">
        <v>500089</v>
      </c>
      <c r="P1152" t="s">
        <v>546</v>
      </c>
      <c r="Q1152" t="s">
        <v>1765</v>
      </c>
      <c r="R1152" t="s">
        <v>2</v>
      </c>
      <c r="S1152">
        <v>599.98</v>
      </c>
      <c r="T1152">
        <v>2</v>
      </c>
      <c r="U1152">
        <v>0</v>
      </c>
      <c r="V1152">
        <v>209.99299999999999</v>
      </c>
      <c r="W1152">
        <f t="shared" si="71"/>
        <v>194.99350000000001</v>
      </c>
      <c r="X1152">
        <v>1</v>
      </c>
    </row>
    <row r="1153" spans="1:24" x14ac:dyDescent="0.3">
      <c r="A1153">
        <v>1152</v>
      </c>
      <c r="B1153" t="s">
        <v>2196</v>
      </c>
      <c r="C1153" s="6">
        <v>45348</v>
      </c>
      <c r="D1153" t="str">
        <f t="shared" si="68"/>
        <v>Feb</v>
      </c>
      <c r="E1153" t="str">
        <f t="shared" si="69"/>
        <v>2024</v>
      </c>
      <c r="F1153" t="s">
        <v>4</v>
      </c>
      <c r="G1153" t="s">
        <v>125</v>
      </c>
      <c r="H1153" t="s">
        <v>1399</v>
      </c>
      <c r="I1153">
        <v>130</v>
      </c>
      <c r="J1153">
        <v>30</v>
      </c>
      <c r="K1153">
        <f t="shared" si="70"/>
        <v>23.076923076923077</v>
      </c>
      <c r="L1153" t="s">
        <v>1742</v>
      </c>
      <c r="M1153" t="s">
        <v>3756</v>
      </c>
      <c r="N1153" t="s">
        <v>1</v>
      </c>
      <c r="O1153">
        <v>400601</v>
      </c>
      <c r="P1153" t="s">
        <v>546</v>
      </c>
      <c r="Q1153" t="s">
        <v>1767</v>
      </c>
      <c r="S1153">
        <v>8.3520000000000003</v>
      </c>
      <c r="T1153">
        <v>6</v>
      </c>
      <c r="U1153">
        <v>0.2</v>
      </c>
      <c r="V1153">
        <v>1.2527999999999999</v>
      </c>
      <c r="W1153">
        <f t="shared" si="71"/>
        <v>1.1832</v>
      </c>
      <c r="X1153">
        <v>1</v>
      </c>
    </row>
    <row r="1154" spans="1:24" x14ac:dyDescent="0.3">
      <c r="A1154">
        <v>1153</v>
      </c>
      <c r="B1154" t="s">
        <v>2916</v>
      </c>
      <c r="C1154" s="6">
        <v>45349</v>
      </c>
      <c r="D1154" t="str">
        <f t="shared" si="68"/>
        <v>Feb</v>
      </c>
      <c r="E1154" t="str">
        <f t="shared" si="69"/>
        <v>2024</v>
      </c>
      <c r="F1154" t="s">
        <v>4</v>
      </c>
      <c r="G1154" t="s">
        <v>133</v>
      </c>
      <c r="H1154" t="s">
        <v>1400</v>
      </c>
      <c r="I1154">
        <v>100</v>
      </c>
      <c r="J1154">
        <v>10</v>
      </c>
      <c r="K1154">
        <f t="shared" si="70"/>
        <v>10</v>
      </c>
      <c r="L1154" t="s">
        <v>1739</v>
      </c>
      <c r="M1154" t="s">
        <v>3757</v>
      </c>
      <c r="O1154">
        <v>110058</v>
      </c>
      <c r="P1154" t="s">
        <v>546</v>
      </c>
      <c r="Q1154" t="s">
        <v>1761</v>
      </c>
      <c r="S1154">
        <v>3.64</v>
      </c>
      <c r="T1154">
        <v>2</v>
      </c>
      <c r="U1154">
        <v>0</v>
      </c>
      <c r="V1154">
        <v>1.6379999999999999</v>
      </c>
      <c r="W1154">
        <f t="shared" si="71"/>
        <v>1.0010000000000001</v>
      </c>
      <c r="X1154">
        <v>1</v>
      </c>
    </row>
    <row r="1155" spans="1:24" x14ac:dyDescent="0.3">
      <c r="A1155">
        <v>1154</v>
      </c>
      <c r="B1155" t="s">
        <v>2917</v>
      </c>
      <c r="C1155" s="6">
        <v>45350</v>
      </c>
      <c r="D1155" t="str">
        <f t="shared" ref="D1155:D1218" si="72">TEXT(C1155,"Mmm")</f>
        <v>Feb</v>
      </c>
      <c r="E1155" t="str">
        <f t="shared" ref="E1155:E1218" si="73">TEXT(C1155,"YYYY")</f>
        <v>2024</v>
      </c>
      <c r="F1155" t="s">
        <v>4</v>
      </c>
      <c r="G1155" t="s">
        <v>133</v>
      </c>
      <c r="H1155" t="s">
        <v>1244</v>
      </c>
      <c r="I1155">
        <v>140</v>
      </c>
      <c r="J1155">
        <v>10</v>
      </c>
      <c r="K1155">
        <f t="shared" ref="K1155:K1218" si="74">(J1155/I1155)*100</f>
        <v>7.1428571428571423</v>
      </c>
      <c r="L1155" t="s">
        <v>1738</v>
      </c>
      <c r="M1155" t="s">
        <v>3758</v>
      </c>
      <c r="N1155" t="s">
        <v>1</v>
      </c>
      <c r="O1155">
        <v>411014</v>
      </c>
      <c r="P1155" t="s">
        <v>546</v>
      </c>
      <c r="Q1155" t="s">
        <v>1772</v>
      </c>
      <c r="S1155">
        <v>159.768</v>
      </c>
      <c r="T1155">
        <v>7</v>
      </c>
      <c r="U1155">
        <v>0.2</v>
      </c>
      <c r="V1155">
        <v>53.921700000000001</v>
      </c>
      <c r="W1155">
        <f t="shared" ref="W1155:W1218" si="75">(S1155-V1155)/T1155</f>
        <v>15.120900000000001</v>
      </c>
      <c r="X1155">
        <v>2</v>
      </c>
    </row>
    <row r="1156" spans="1:24" x14ac:dyDescent="0.3">
      <c r="A1156">
        <v>1155</v>
      </c>
      <c r="B1156" t="s">
        <v>2918</v>
      </c>
      <c r="C1156" s="6">
        <v>45351</v>
      </c>
      <c r="D1156" t="str">
        <f t="shared" si="72"/>
        <v>Feb</v>
      </c>
      <c r="E1156" t="str">
        <f t="shared" si="73"/>
        <v>2024</v>
      </c>
      <c r="F1156" t="s">
        <v>5</v>
      </c>
      <c r="G1156" t="s">
        <v>397</v>
      </c>
      <c r="H1156" t="s">
        <v>1401</v>
      </c>
      <c r="I1156">
        <v>180</v>
      </c>
      <c r="J1156">
        <v>16</v>
      </c>
      <c r="K1156">
        <f t="shared" si="74"/>
        <v>8.8888888888888893</v>
      </c>
      <c r="L1156" t="s">
        <v>1743</v>
      </c>
      <c r="M1156" t="s">
        <v>3759</v>
      </c>
      <c r="N1156" t="s">
        <v>1</v>
      </c>
      <c r="O1156">
        <v>411014</v>
      </c>
      <c r="P1156" t="s">
        <v>546</v>
      </c>
      <c r="Q1156" t="s">
        <v>1766</v>
      </c>
      <c r="S1156">
        <v>122.48</v>
      </c>
      <c r="T1156">
        <v>2</v>
      </c>
      <c r="U1156">
        <v>0</v>
      </c>
      <c r="V1156">
        <v>0</v>
      </c>
      <c r="W1156">
        <f t="shared" si="75"/>
        <v>61.24</v>
      </c>
      <c r="X1156">
        <v>1</v>
      </c>
    </row>
    <row r="1157" spans="1:24" x14ac:dyDescent="0.3">
      <c r="A1157">
        <v>1156</v>
      </c>
      <c r="B1157" t="s">
        <v>2919</v>
      </c>
      <c r="C1157" s="6">
        <v>45352</v>
      </c>
      <c r="D1157" t="str">
        <f t="shared" si="72"/>
        <v>Mar</v>
      </c>
      <c r="E1157" t="str">
        <f t="shared" si="73"/>
        <v>2024</v>
      </c>
      <c r="F1157" t="s">
        <v>5</v>
      </c>
      <c r="G1157" t="s">
        <v>397</v>
      </c>
      <c r="H1157" t="s">
        <v>1402</v>
      </c>
      <c r="I1157">
        <v>170</v>
      </c>
      <c r="J1157">
        <v>10</v>
      </c>
      <c r="K1157">
        <f t="shared" si="74"/>
        <v>5.8823529411764701</v>
      </c>
      <c r="L1157" t="s">
        <v>1737</v>
      </c>
      <c r="M1157" t="s">
        <v>3760</v>
      </c>
      <c r="N1157" t="s">
        <v>1</v>
      </c>
      <c r="O1157">
        <v>411014</v>
      </c>
      <c r="P1157" t="s">
        <v>546</v>
      </c>
      <c r="Q1157" t="s">
        <v>1757</v>
      </c>
      <c r="R1157" t="s">
        <v>2</v>
      </c>
      <c r="S1157">
        <v>2244.48</v>
      </c>
      <c r="T1157">
        <v>7</v>
      </c>
      <c r="U1157">
        <v>0</v>
      </c>
      <c r="V1157">
        <v>493.78559999999999</v>
      </c>
      <c r="W1157">
        <f t="shared" si="75"/>
        <v>250.09920000000002</v>
      </c>
      <c r="X1157">
        <v>5</v>
      </c>
    </row>
    <row r="1158" spans="1:24" x14ac:dyDescent="0.3">
      <c r="A1158">
        <v>1157</v>
      </c>
      <c r="B1158" t="s">
        <v>2920</v>
      </c>
      <c r="C1158" s="6">
        <v>45353</v>
      </c>
      <c r="D1158" t="str">
        <f t="shared" si="72"/>
        <v>Mar</v>
      </c>
      <c r="E1158" t="str">
        <f t="shared" si="73"/>
        <v>2024</v>
      </c>
      <c r="F1158" t="s">
        <v>5</v>
      </c>
      <c r="G1158" t="s">
        <v>397</v>
      </c>
      <c r="H1158" t="s">
        <v>897</v>
      </c>
      <c r="I1158">
        <v>110</v>
      </c>
      <c r="J1158">
        <v>16</v>
      </c>
      <c r="K1158">
        <f t="shared" si="74"/>
        <v>14.545454545454545</v>
      </c>
      <c r="L1158" t="s">
        <v>1741</v>
      </c>
      <c r="M1158" t="s">
        <v>3761</v>
      </c>
      <c r="N1158" t="s">
        <v>1</v>
      </c>
      <c r="O1158">
        <v>411014</v>
      </c>
      <c r="P1158" t="s">
        <v>546</v>
      </c>
      <c r="Q1158" t="s">
        <v>1763</v>
      </c>
      <c r="R1158" t="s">
        <v>2</v>
      </c>
      <c r="S1158">
        <v>62.31</v>
      </c>
      <c r="T1158">
        <v>3</v>
      </c>
      <c r="U1158">
        <v>0</v>
      </c>
      <c r="V1158">
        <v>29.285699999999999</v>
      </c>
      <c r="W1158">
        <f t="shared" si="75"/>
        <v>11.008100000000001</v>
      </c>
      <c r="X1158">
        <v>1</v>
      </c>
    </row>
    <row r="1159" spans="1:24" x14ac:dyDescent="0.3">
      <c r="A1159">
        <v>1158</v>
      </c>
      <c r="B1159" t="s">
        <v>2921</v>
      </c>
      <c r="C1159" s="6">
        <v>45354</v>
      </c>
      <c r="D1159" t="str">
        <f t="shared" si="72"/>
        <v>Mar</v>
      </c>
      <c r="E1159" t="str">
        <f t="shared" si="73"/>
        <v>2024</v>
      </c>
      <c r="F1159" t="s">
        <v>5</v>
      </c>
      <c r="G1159" t="s">
        <v>397</v>
      </c>
      <c r="H1159" t="s">
        <v>889</v>
      </c>
      <c r="I1159">
        <v>200</v>
      </c>
      <c r="J1159">
        <v>24</v>
      </c>
      <c r="K1159">
        <f t="shared" si="74"/>
        <v>12</v>
      </c>
      <c r="L1159" t="s">
        <v>1736</v>
      </c>
      <c r="M1159" t="s">
        <v>3762</v>
      </c>
      <c r="N1159" t="s">
        <v>1</v>
      </c>
      <c r="O1159">
        <v>411014</v>
      </c>
      <c r="P1159" t="s">
        <v>546</v>
      </c>
      <c r="Q1159" t="s">
        <v>1760</v>
      </c>
      <c r="R1159" t="s">
        <v>2</v>
      </c>
      <c r="S1159">
        <v>455.1</v>
      </c>
      <c r="T1159">
        <v>2</v>
      </c>
      <c r="U1159">
        <v>0</v>
      </c>
      <c r="V1159">
        <v>100.122</v>
      </c>
      <c r="W1159">
        <f t="shared" si="75"/>
        <v>177.489</v>
      </c>
      <c r="X1159">
        <v>1</v>
      </c>
    </row>
    <row r="1160" spans="1:24" x14ac:dyDescent="0.3">
      <c r="A1160">
        <v>1159</v>
      </c>
      <c r="B1160" t="s">
        <v>2922</v>
      </c>
      <c r="C1160" s="6">
        <v>45355</v>
      </c>
      <c r="D1160" t="str">
        <f t="shared" si="72"/>
        <v>Mar</v>
      </c>
      <c r="E1160" t="str">
        <f t="shared" si="73"/>
        <v>2024</v>
      </c>
      <c r="F1160" t="s">
        <v>3</v>
      </c>
      <c r="G1160" t="s">
        <v>341</v>
      </c>
      <c r="H1160" t="s">
        <v>1403</v>
      </c>
      <c r="I1160">
        <v>110</v>
      </c>
      <c r="J1160">
        <v>28</v>
      </c>
      <c r="K1160">
        <f t="shared" si="74"/>
        <v>25.454545454545453</v>
      </c>
      <c r="L1160" t="s">
        <v>1744</v>
      </c>
      <c r="M1160" t="s">
        <v>3763</v>
      </c>
      <c r="N1160" t="s">
        <v>1</v>
      </c>
      <c r="O1160">
        <v>571428</v>
      </c>
      <c r="P1160" t="s">
        <v>546</v>
      </c>
      <c r="Q1160" t="s">
        <v>1769</v>
      </c>
      <c r="S1160">
        <v>195.184</v>
      </c>
      <c r="T1160">
        <v>1</v>
      </c>
      <c r="U1160">
        <v>0.2</v>
      </c>
      <c r="V1160">
        <v>19.5184</v>
      </c>
      <c r="W1160">
        <f t="shared" si="75"/>
        <v>175.66559999999998</v>
      </c>
      <c r="X1160">
        <v>4</v>
      </c>
    </row>
    <row r="1161" spans="1:24" x14ac:dyDescent="0.3">
      <c r="A1161">
        <v>1160</v>
      </c>
      <c r="B1161" t="s">
        <v>2923</v>
      </c>
      <c r="C1161" s="6">
        <v>45356</v>
      </c>
      <c r="D1161" t="str">
        <f t="shared" si="72"/>
        <v>Mar</v>
      </c>
      <c r="E1161" t="str">
        <f t="shared" si="73"/>
        <v>2024</v>
      </c>
      <c r="F1161" t="s">
        <v>4</v>
      </c>
      <c r="G1161" t="s">
        <v>404</v>
      </c>
      <c r="H1161" t="s">
        <v>1190</v>
      </c>
      <c r="I1161">
        <v>190</v>
      </c>
      <c r="J1161">
        <v>24</v>
      </c>
      <c r="K1161">
        <f t="shared" si="74"/>
        <v>12.631578947368421</v>
      </c>
      <c r="L1161" t="s">
        <v>1740</v>
      </c>
      <c r="M1161" t="s">
        <v>3764</v>
      </c>
      <c r="N1161" t="s">
        <v>1</v>
      </c>
      <c r="O1161">
        <v>639004</v>
      </c>
      <c r="P1161" t="s">
        <v>546</v>
      </c>
      <c r="Q1161" t="s">
        <v>1754</v>
      </c>
      <c r="S1161">
        <v>362.94</v>
      </c>
      <c r="T1161">
        <v>3</v>
      </c>
      <c r="U1161">
        <v>0</v>
      </c>
      <c r="V1161">
        <v>90.734999999999999</v>
      </c>
      <c r="W1161">
        <f t="shared" si="75"/>
        <v>90.734999999999999</v>
      </c>
      <c r="X1161">
        <v>3</v>
      </c>
    </row>
    <row r="1162" spans="1:24" x14ac:dyDescent="0.3">
      <c r="A1162">
        <v>1161</v>
      </c>
      <c r="B1162" t="s">
        <v>2924</v>
      </c>
      <c r="C1162" s="6">
        <v>45357</v>
      </c>
      <c r="D1162" t="str">
        <f t="shared" si="72"/>
        <v>Mar</v>
      </c>
      <c r="E1162" t="str">
        <f t="shared" si="73"/>
        <v>2024</v>
      </c>
      <c r="F1162" t="s">
        <v>4</v>
      </c>
      <c r="G1162" t="s">
        <v>404</v>
      </c>
      <c r="H1162" t="s">
        <v>615</v>
      </c>
      <c r="I1162">
        <v>150</v>
      </c>
      <c r="J1162">
        <v>8</v>
      </c>
      <c r="K1162">
        <f t="shared" si="74"/>
        <v>5.3333333333333339</v>
      </c>
      <c r="L1162" t="s">
        <v>1742</v>
      </c>
      <c r="M1162" t="s">
        <v>3765</v>
      </c>
      <c r="N1162" t="s">
        <v>1</v>
      </c>
      <c r="O1162">
        <v>400101</v>
      </c>
      <c r="P1162" t="s">
        <v>546</v>
      </c>
      <c r="Q1162" t="s">
        <v>1765</v>
      </c>
      <c r="S1162">
        <v>11.54</v>
      </c>
      <c r="T1162">
        <v>2</v>
      </c>
      <c r="U1162">
        <v>0</v>
      </c>
      <c r="V1162">
        <v>5.77</v>
      </c>
      <c r="W1162">
        <f t="shared" si="75"/>
        <v>2.8849999999999998</v>
      </c>
      <c r="X1162">
        <v>1</v>
      </c>
    </row>
    <row r="1163" spans="1:24" x14ac:dyDescent="0.3">
      <c r="A1163">
        <v>1162</v>
      </c>
      <c r="B1163" t="s">
        <v>2925</v>
      </c>
      <c r="C1163" s="6">
        <v>45358</v>
      </c>
      <c r="D1163" t="str">
        <f t="shared" si="72"/>
        <v>Mar</v>
      </c>
      <c r="E1163" t="str">
        <f t="shared" si="73"/>
        <v>2024</v>
      </c>
      <c r="F1163" t="s">
        <v>3</v>
      </c>
      <c r="G1163" t="s">
        <v>405</v>
      </c>
      <c r="H1163" t="s">
        <v>577</v>
      </c>
      <c r="I1163">
        <v>230</v>
      </c>
      <c r="J1163">
        <v>22</v>
      </c>
      <c r="K1163">
        <f t="shared" si="74"/>
        <v>9.5652173913043477</v>
      </c>
      <c r="L1163" t="s">
        <v>1739</v>
      </c>
      <c r="M1163" t="s">
        <v>3766</v>
      </c>
      <c r="N1163" t="s">
        <v>1</v>
      </c>
      <c r="O1163">
        <v>522006</v>
      </c>
      <c r="P1163" t="s">
        <v>546</v>
      </c>
      <c r="Q1163" t="s">
        <v>1759</v>
      </c>
      <c r="S1163">
        <v>53.94</v>
      </c>
      <c r="T1163">
        <v>3</v>
      </c>
      <c r="U1163">
        <v>0</v>
      </c>
      <c r="V1163">
        <v>15.6426</v>
      </c>
      <c r="W1163">
        <f t="shared" si="75"/>
        <v>12.765799999999999</v>
      </c>
      <c r="X1163">
        <v>4</v>
      </c>
    </row>
    <row r="1164" spans="1:24" x14ac:dyDescent="0.3">
      <c r="A1164">
        <v>1163</v>
      </c>
      <c r="B1164" t="s">
        <v>2926</v>
      </c>
      <c r="C1164" s="6">
        <v>45359</v>
      </c>
      <c r="D1164" t="str">
        <f t="shared" si="72"/>
        <v>Mar</v>
      </c>
      <c r="E1164" t="str">
        <f t="shared" si="73"/>
        <v>2024</v>
      </c>
      <c r="F1164" t="s">
        <v>4</v>
      </c>
      <c r="G1164" t="s">
        <v>406</v>
      </c>
      <c r="H1164" t="s">
        <v>1404</v>
      </c>
      <c r="I1164">
        <v>120</v>
      </c>
      <c r="J1164">
        <v>14</v>
      </c>
      <c r="K1164">
        <f t="shared" si="74"/>
        <v>11.666666666666666</v>
      </c>
      <c r="L1164" t="s">
        <v>1738</v>
      </c>
      <c r="M1164" t="s">
        <v>3767</v>
      </c>
      <c r="N1164" t="s">
        <v>1</v>
      </c>
      <c r="O1164">
        <v>753003</v>
      </c>
      <c r="P1164" t="s">
        <v>546</v>
      </c>
      <c r="Q1164" t="s">
        <v>1767</v>
      </c>
      <c r="S1164">
        <v>9.99</v>
      </c>
      <c r="T1164">
        <v>1</v>
      </c>
      <c r="U1164">
        <v>0</v>
      </c>
      <c r="V1164">
        <v>4.5953999999999997</v>
      </c>
      <c r="W1164">
        <f t="shared" si="75"/>
        <v>5.3946000000000005</v>
      </c>
      <c r="X1164">
        <v>4</v>
      </c>
    </row>
    <row r="1165" spans="1:24" x14ac:dyDescent="0.3">
      <c r="A1165">
        <v>1164</v>
      </c>
      <c r="B1165" t="s">
        <v>2927</v>
      </c>
      <c r="C1165" s="6">
        <v>45360</v>
      </c>
      <c r="D1165" t="str">
        <f t="shared" si="72"/>
        <v>Mar</v>
      </c>
      <c r="E1165" t="str">
        <f t="shared" si="73"/>
        <v>2024</v>
      </c>
      <c r="F1165" t="s">
        <v>4</v>
      </c>
      <c r="G1165" t="s">
        <v>406</v>
      </c>
      <c r="H1165" t="s">
        <v>817</v>
      </c>
      <c r="I1165">
        <v>210</v>
      </c>
      <c r="J1165">
        <v>30</v>
      </c>
      <c r="K1165">
        <f t="shared" si="74"/>
        <v>14.285714285714285</v>
      </c>
      <c r="L1165" t="s">
        <v>1737</v>
      </c>
      <c r="M1165" t="s">
        <v>3768</v>
      </c>
      <c r="N1165" t="s">
        <v>1</v>
      </c>
      <c r="O1165">
        <v>560047</v>
      </c>
      <c r="P1165" t="s">
        <v>546</v>
      </c>
      <c r="Q1165" t="s">
        <v>1768</v>
      </c>
      <c r="S1165">
        <v>125.76</v>
      </c>
      <c r="T1165">
        <v>3</v>
      </c>
      <c r="U1165">
        <v>0.2</v>
      </c>
      <c r="V1165">
        <v>40.872</v>
      </c>
      <c r="W1165">
        <f t="shared" si="75"/>
        <v>28.296000000000003</v>
      </c>
      <c r="X1165">
        <v>5</v>
      </c>
    </row>
    <row r="1166" spans="1:24" x14ac:dyDescent="0.3">
      <c r="A1166">
        <v>1165</v>
      </c>
      <c r="B1166" t="s">
        <v>2928</v>
      </c>
      <c r="C1166" s="6">
        <v>45361</v>
      </c>
      <c r="D1166" t="str">
        <f t="shared" si="72"/>
        <v>Mar</v>
      </c>
      <c r="E1166" t="str">
        <f t="shared" si="73"/>
        <v>2024</v>
      </c>
      <c r="F1166" t="s">
        <v>4</v>
      </c>
      <c r="G1166" t="s">
        <v>406</v>
      </c>
      <c r="H1166" t="s">
        <v>1405</v>
      </c>
      <c r="I1166">
        <v>180</v>
      </c>
      <c r="J1166">
        <v>6</v>
      </c>
      <c r="K1166">
        <f t="shared" si="74"/>
        <v>3.3333333333333335</v>
      </c>
      <c r="L1166" t="s">
        <v>1743</v>
      </c>
      <c r="M1166" t="s">
        <v>3769</v>
      </c>
      <c r="N1166" t="s">
        <v>1</v>
      </c>
      <c r="O1166">
        <v>560047</v>
      </c>
      <c r="P1166" t="s">
        <v>546</v>
      </c>
      <c r="Q1166" t="s">
        <v>1759</v>
      </c>
      <c r="R1166" t="s">
        <v>2</v>
      </c>
      <c r="S1166">
        <v>25.32</v>
      </c>
      <c r="T1166">
        <v>5</v>
      </c>
      <c r="U1166">
        <v>0.2</v>
      </c>
      <c r="V1166">
        <v>9.1784999999999997</v>
      </c>
      <c r="W1166">
        <f t="shared" si="75"/>
        <v>3.2282999999999999</v>
      </c>
      <c r="X1166">
        <v>3</v>
      </c>
    </row>
    <row r="1167" spans="1:24" x14ac:dyDescent="0.3">
      <c r="A1167">
        <v>1166</v>
      </c>
      <c r="B1167" t="s">
        <v>2929</v>
      </c>
      <c r="C1167" s="6">
        <v>45362</v>
      </c>
      <c r="D1167" t="str">
        <f t="shared" si="72"/>
        <v>Mar</v>
      </c>
      <c r="E1167" t="str">
        <f t="shared" si="73"/>
        <v>2024</v>
      </c>
      <c r="F1167" t="s">
        <v>4</v>
      </c>
      <c r="G1167" t="s">
        <v>407</v>
      </c>
      <c r="H1167" t="s">
        <v>1220</v>
      </c>
      <c r="I1167">
        <v>100</v>
      </c>
      <c r="J1167">
        <v>30</v>
      </c>
      <c r="K1167">
        <f t="shared" si="74"/>
        <v>30</v>
      </c>
      <c r="L1167" t="s">
        <v>1738</v>
      </c>
      <c r="M1167" t="s">
        <v>3770</v>
      </c>
      <c r="N1167" t="s">
        <v>1</v>
      </c>
      <c r="O1167">
        <v>585222</v>
      </c>
      <c r="P1167" t="s">
        <v>546</v>
      </c>
      <c r="Q1167" t="s">
        <v>1759</v>
      </c>
      <c r="S1167">
        <v>46.8</v>
      </c>
      <c r="T1167">
        <v>4</v>
      </c>
      <c r="U1167">
        <v>0</v>
      </c>
      <c r="V1167">
        <v>21.06</v>
      </c>
      <c r="W1167">
        <f t="shared" si="75"/>
        <v>6.4349999999999996</v>
      </c>
      <c r="X1167">
        <v>5</v>
      </c>
    </row>
    <row r="1168" spans="1:24" x14ac:dyDescent="0.3">
      <c r="A1168">
        <v>1167</v>
      </c>
      <c r="B1168" t="s">
        <v>2930</v>
      </c>
      <c r="C1168" s="6">
        <v>45363</v>
      </c>
      <c r="D1168" t="str">
        <f t="shared" si="72"/>
        <v>Mar</v>
      </c>
      <c r="E1168" t="str">
        <f t="shared" si="73"/>
        <v>2024</v>
      </c>
      <c r="F1168" t="s">
        <v>6</v>
      </c>
      <c r="G1168" t="s">
        <v>117</v>
      </c>
      <c r="H1168" t="s">
        <v>647</v>
      </c>
      <c r="I1168">
        <v>100</v>
      </c>
      <c r="J1168">
        <v>24</v>
      </c>
      <c r="K1168">
        <f t="shared" si="74"/>
        <v>24</v>
      </c>
      <c r="L1168" t="s">
        <v>1739</v>
      </c>
      <c r="M1168" t="s">
        <v>3771</v>
      </c>
      <c r="N1168" t="s">
        <v>1</v>
      </c>
      <c r="O1168">
        <v>282002</v>
      </c>
      <c r="P1168" t="s">
        <v>546</v>
      </c>
      <c r="Q1168" t="s">
        <v>1762</v>
      </c>
      <c r="S1168">
        <v>447.93</v>
      </c>
      <c r="T1168">
        <v>9</v>
      </c>
      <c r="U1168">
        <v>0</v>
      </c>
      <c r="V1168">
        <v>49.272300000000001</v>
      </c>
      <c r="W1168">
        <f t="shared" si="75"/>
        <v>44.295299999999997</v>
      </c>
      <c r="X1168">
        <v>3</v>
      </c>
    </row>
    <row r="1169" spans="1:24" x14ac:dyDescent="0.3">
      <c r="A1169">
        <v>1168</v>
      </c>
      <c r="B1169" t="s">
        <v>2931</v>
      </c>
      <c r="C1169" s="6">
        <v>45364</v>
      </c>
      <c r="D1169" t="str">
        <f t="shared" si="72"/>
        <v>Mar</v>
      </c>
      <c r="E1169" t="str">
        <f t="shared" si="73"/>
        <v>2024</v>
      </c>
      <c r="F1169" t="s">
        <v>3</v>
      </c>
      <c r="G1169" t="s">
        <v>118</v>
      </c>
      <c r="H1169" t="s">
        <v>1406</v>
      </c>
      <c r="I1169">
        <v>140</v>
      </c>
      <c r="J1169">
        <v>18</v>
      </c>
      <c r="K1169">
        <f t="shared" si="74"/>
        <v>12.857142857142856</v>
      </c>
      <c r="L1169" t="s">
        <v>1741</v>
      </c>
      <c r="M1169" t="s">
        <v>3772</v>
      </c>
      <c r="N1169" t="s">
        <v>1</v>
      </c>
      <c r="O1169">
        <v>244713</v>
      </c>
      <c r="P1169" t="s">
        <v>546</v>
      </c>
      <c r="Q1169" t="s">
        <v>1762</v>
      </c>
      <c r="S1169">
        <v>109.48</v>
      </c>
      <c r="T1169">
        <v>2</v>
      </c>
      <c r="U1169">
        <v>0</v>
      </c>
      <c r="V1169">
        <v>33.938800000000001</v>
      </c>
      <c r="W1169">
        <f t="shared" si="75"/>
        <v>37.770600000000002</v>
      </c>
      <c r="X1169">
        <v>2</v>
      </c>
    </row>
    <row r="1170" spans="1:24" x14ac:dyDescent="0.3">
      <c r="A1170">
        <v>1169</v>
      </c>
      <c r="B1170" t="s">
        <v>2932</v>
      </c>
      <c r="C1170" s="6">
        <v>45365</v>
      </c>
      <c r="D1170" t="str">
        <f t="shared" si="72"/>
        <v>Mar</v>
      </c>
      <c r="E1170" t="str">
        <f t="shared" si="73"/>
        <v>2024</v>
      </c>
      <c r="F1170" t="s">
        <v>3</v>
      </c>
      <c r="G1170" t="s">
        <v>118</v>
      </c>
      <c r="H1170" t="s">
        <v>619</v>
      </c>
      <c r="I1170">
        <v>210</v>
      </c>
      <c r="J1170">
        <v>24</v>
      </c>
      <c r="K1170">
        <f t="shared" si="74"/>
        <v>11.428571428571429</v>
      </c>
      <c r="L1170" t="s">
        <v>1736</v>
      </c>
      <c r="M1170" t="s">
        <v>3773</v>
      </c>
      <c r="N1170" t="s">
        <v>1</v>
      </c>
      <c r="O1170">
        <v>574203</v>
      </c>
      <c r="P1170" t="s">
        <v>546</v>
      </c>
      <c r="Q1170" t="s">
        <v>1775</v>
      </c>
      <c r="S1170">
        <v>272.94</v>
      </c>
      <c r="T1170">
        <v>3</v>
      </c>
      <c r="U1170">
        <v>0</v>
      </c>
      <c r="V1170">
        <v>0</v>
      </c>
      <c r="W1170">
        <f t="shared" si="75"/>
        <v>90.98</v>
      </c>
      <c r="X1170">
        <v>2</v>
      </c>
    </row>
    <row r="1171" spans="1:24" x14ac:dyDescent="0.3">
      <c r="A1171">
        <v>1170</v>
      </c>
      <c r="B1171" t="s">
        <v>2933</v>
      </c>
      <c r="C1171" s="6">
        <v>45366</v>
      </c>
      <c r="D1171" t="str">
        <f t="shared" si="72"/>
        <v>Mar</v>
      </c>
      <c r="E1171" t="str">
        <f t="shared" si="73"/>
        <v>2024</v>
      </c>
      <c r="F1171" t="s">
        <v>3</v>
      </c>
      <c r="G1171" t="s">
        <v>118</v>
      </c>
      <c r="H1171" t="s">
        <v>1407</v>
      </c>
      <c r="I1171">
        <v>140</v>
      </c>
      <c r="J1171">
        <v>14</v>
      </c>
      <c r="K1171">
        <f t="shared" si="74"/>
        <v>10</v>
      </c>
      <c r="L1171" t="s">
        <v>1744</v>
      </c>
      <c r="M1171" t="s">
        <v>3774</v>
      </c>
      <c r="N1171" t="s">
        <v>1</v>
      </c>
      <c r="O1171">
        <v>411020</v>
      </c>
      <c r="P1171" t="s">
        <v>546</v>
      </c>
      <c r="Q1171" t="s">
        <v>1759</v>
      </c>
      <c r="S1171">
        <v>19.440000000000001</v>
      </c>
      <c r="T1171">
        <v>3</v>
      </c>
      <c r="U1171">
        <v>0</v>
      </c>
      <c r="V1171">
        <v>9.3312000000000008</v>
      </c>
      <c r="W1171">
        <f t="shared" si="75"/>
        <v>3.3696000000000002</v>
      </c>
      <c r="X1171">
        <v>3</v>
      </c>
    </row>
    <row r="1172" spans="1:24" x14ac:dyDescent="0.3">
      <c r="A1172">
        <v>1171</v>
      </c>
      <c r="B1172" t="s">
        <v>2934</v>
      </c>
      <c r="C1172" s="6">
        <v>45367</v>
      </c>
      <c r="D1172" t="str">
        <f t="shared" si="72"/>
        <v>Mar</v>
      </c>
      <c r="E1172" t="str">
        <f t="shared" si="73"/>
        <v>2024</v>
      </c>
      <c r="F1172" t="s">
        <v>3</v>
      </c>
      <c r="G1172" t="s">
        <v>118</v>
      </c>
      <c r="H1172" t="s">
        <v>1408</v>
      </c>
      <c r="I1172">
        <v>170</v>
      </c>
      <c r="J1172">
        <v>26</v>
      </c>
      <c r="K1172">
        <f t="shared" si="74"/>
        <v>15.294117647058824</v>
      </c>
      <c r="L1172" t="s">
        <v>1740</v>
      </c>
      <c r="M1172" t="s">
        <v>3775</v>
      </c>
      <c r="N1172" t="s">
        <v>1</v>
      </c>
      <c r="O1172">
        <v>390012</v>
      </c>
      <c r="P1172" t="s">
        <v>546</v>
      </c>
      <c r="Q1172" t="s">
        <v>1768</v>
      </c>
      <c r="R1172" t="s">
        <v>2</v>
      </c>
      <c r="S1172">
        <v>31.92</v>
      </c>
      <c r="T1172">
        <v>4</v>
      </c>
      <c r="U1172">
        <v>0</v>
      </c>
      <c r="V1172">
        <v>8.2992000000000008</v>
      </c>
      <c r="W1172">
        <f t="shared" si="75"/>
        <v>5.9052000000000007</v>
      </c>
      <c r="X1172">
        <v>4</v>
      </c>
    </row>
    <row r="1173" spans="1:24" x14ac:dyDescent="0.3">
      <c r="A1173">
        <v>1172</v>
      </c>
      <c r="B1173" t="s">
        <v>2935</v>
      </c>
      <c r="C1173" s="6">
        <v>45368</v>
      </c>
      <c r="D1173" t="str">
        <f t="shared" si="72"/>
        <v>Mar</v>
      </c>
      <c r="E1173" t="str">
        <f t="shared" si="73"/>
        <v>2024</v>
      </c>
      <c r="F1173" t="s">
        <v>4</v>
      </c>
      <c r="G1173" t="s">
        <v>356</v>
      </c>
      <c r="H1173" t="s">
        <v>1409</v>
      </c>
      <c r="I1173">
        <v>180</v>
      </c>
      <c r="J1173">
        <v>26</v>
      </c>
      <c r="K1173">
        <f t="shared" si="74"/>
        <v>14.444444444444443</v>
      </c>
      <c r="L1173" t="s">
        <v>1742</v>
      </c>
      <c r="M1173" t="s">
        <v>3776</v>
      </c>
      <c r="O1173">
        <v>713303</v>
      </c>
      <c r="P1173" t="s">
        <v>546</v>
      </c>
      <c r="Q1173" t="s">
        <v>1769</v>
      </c>
      <c r="S1173">
        <v>22.38</v>
      </c>
      <c r="T1173">
        <v>2</v>
      </c>
      <c r="U1173">
        <v>0</v>
      </c>
      <c r="V1173">
        <v>10.7424</v>
      </c>
      <c r="W1173">
        <f t="shared" si="75"/>
        <v>5.8187999999999995</v>
      </c>
      <c r="X1173">
        <v>5</v>
      </c>
    </row>
    <row r="1174" spans="1:24" x14ac:dyDescent="0.3">
      <c r="A1174">
        <v>1173</v>
      </c>
      <c r="B1174" t="s">
        <v>2936</v>
      </c>
      <c r="C1174" s="6">
        <v>45369</v>
      </c>
      <c r="D1174" t="str">
        <f t="shared" si="72"/>
        <v>Mar</v>
      </c>
      <c r="E1174" t="str">
        <f t="shared" si="73"/>
        <v>2024</v>
      </c>
      <c r="F1174" t="s">
        <v>4</v>
      </c>
      <c r="G1174" t="s">
        <v>218</v>
      </c>
      <c r="H1174" t="s">
        <v>1410</v>
      </c>
      <c r="I1174">
        <v>230</v>
      </c>
      <c r="J1174">
        <v>22</v>
      </c>
      <c r="K1174">
        <f t="shared" si="74"/>
        <v>9.5652173913043477</v>
      </c>
      <c r="L1174" t="s">
        <v>1739</v>
      </c>
      <c r="M1174" t="s">
        <v>3777</v>
      </c>
      <c r="N1174" t="s">
        <v>1</v>
      </c>
      <c r="O1174">
        <v>560098</v>
      </c>
      <c r="P1174" t="s">
        <v>546</v>
      </c>
      <c r="Q1174" t="s">
        <v>1761</v>
      </c>
      <c r="S1174">
        <v>16.52</v>
      </c>
      <c r="T1174">
        <v>5</v>
      </c>
      <c r="U1174">
        <v>0.2</v>
      </c>
      <c r="V1174">
        <v>5.5754999999999999</v>
      </c>
      <c r="W1174">
        <f t="shared" si="75"/>
        <v>2.1888999999999998</v>
      </c>
      <c r="X1174">
        <v>5</v>
      </c>
    </row>
    <row r="1175" spans="1:24" x14ac:dyDescent="0.3">
      <c r="A1175">
        <v>1174</v>
      </c>
      <c r="B1175" t="s">
        <v>2937</v>
      </c>
      <c r="C1175" s="6">
        <v>45370</v>
      </c>
      <c r="D1175" t="str">
        <f t="shared" si="72"/>
        <v>Mar</v>
      </c>
      <c r="E1175" t="str">
        <f t="shared" si="73"/>
        <v>2024</v>
      </c>
      <c r="F1175" t="s">
        <v>4</v>
      </c>
      <c r="G1175" t="s">
        <v>306</v>
      </c>
      <c r="H1175" t="s">
        <v>1172</v>
      </c>
      <c r="I1175">
        <v>250</v>
      </c>
      <c r="J1175">
        <v>14</v>
      </c>
      <c r="K1175">
        <f t="shared" si="74"/>
        <v>5.6000000000000005</v>
      </c>
      <c r="L1175" t="s">
        <v>1738</v>
      </c>
      <c r="M1175" t="s">
        <v>3778</v>
      </c>
      <c r="N1175" t="s">
        <v>1</v>
      </c>
      <c r="O1175">
        <v>180010</v>
      </c>
      <c r="P1175" t="s">
        <v>546</v>
      </c>
      <c r="Q1175" t="s">
        <v>1766</v>
      </c>
      <c r="R1175" t="s">
        <v>2</v>
      </c>
      <c r="S1175">
        <v>5.1760000000000002</v>
      </c>
      <c r="T1175">
        <v>4</v>
      </c>
      <c r="U1175">
        <v>0.8</v>
      </c>
      <c r="V1175">
        <v>-7.7640000000000002</v>
      </c>
      <c r="W1175">
        <f t="shared" si="75"/>
        <v>3.2350000000000003</v>
      </c>
      <c r="X1175">
        <v>1</v>
      </c>
    </row>
    <row r="1176" spans="1:24" x14ac:dyDescent="0.3">
      <c r="A1176">
        <v>1175</v>
      </c>
      <c r="B1176" t="s">
        <v>2938</v>
      </c>
      <c r="C1176" s="6">
        <v>45371</v>
      </c>
      <c r="D1176" t="str">
        <f t="shared" si="72"/>
        <v>Mar</v>
      </c>
      <c r="E1176" t="str">
        <f t="shared" si="73"/>
        <v>2024</v>
      </c>
      <c r="F1176" t="s">
        <v>5</v>
      </c>
      <c r="G1176" t="s">
        <v>324</v>
      </c>
      <c r="H1176" t="s">
        <v>1411</v>
      </c>
      <c r="I1176">
        <v>190</v>
      </c>
      <c r="J1176">
        <v>12</v>
      </c>
      <c r="K1176">
        <f t="shared" si="74"/>
        <v>6.3157894736842106</v>
      </c>
      <c r="L1176" t="s">
        <v>1743</v>
      </c>
      <c r="M1176" t="s">
        <v>3779</v>
      </c>
      <c r="N1176" t="s">
        <v>1</v>
      </c>
      <c r="O1176">
        <v>570008</v>
      </c>
      <c r="P1176" t="s">
        <v>546</v>
      </c>
      <c r="Q1176" t="s">
        <v>1764</v>
      </c>
      <c r="S1176">
        <v>50.112000000000002</v>
      </c>
      <c r="T1176">
        <v>6</v>
      </c>
      <c r="U1176">
        <v>0.2</v>
      </c>
      <c r="V1176">
        <v>16.2864</v>
      </c>
      <c r="W1176">
        <f t="shared" si="75"/>
        <v>5.6375999999999999</v>
      </c>
      <c r="X1176">
        <v>1</v>
      </c>
    </row>
    <row r="1177" spans="1:24" x14ac:dyDescent="0.3">
      <c r="A1177">
        <v>1176</v>
      </c>
      <c r="B1177" t="s">
        <v>2939</v>
      </c>
      <c r="C1177" s="6">
        <v>45372</v>
      </c>
      <c r="D1177" t="str">
        <f t="shared" si="72"/>
        <v>Mar</v>
      </c>
      <c r="E1177" t="str">
        <f t="shared" si="73"/>
        <v>2024</v>
      </c>
      <c r="F1177" t="s">
        <v>4</v>
      </c>
      <c r="G1177" t="s">
        <v>151</v>
      </c>
      <c r="H1177" t="s">
        <v>1207</v>
      </c>
      <c r="I1177">
        <v>220</v>
      </c>
      <c r="J1177">
        <v>14</v>
      </c>
      <c r="K1177">
        <f t="shared" si="74"/>
        <v>6.3636363636363633</v>
      </c>
      <c r="L1177" t="s">
        <v>1737</v>
      </c>
      <c r="M1177" t="s">
        <v>3780</v>
      </c>
      <c r="N1177" t="s">
        <v>1</v>
      </c>
      <c r="O1177">
        <v>400095</v>
      </c>
      <c r="P1177" t="s">
        <v>546</v>
      </c>
      <c r="Q1177" t="s">
        <v>1773</v>
      </c>
      <c r="R1177" t="s">
        <v>2</v>
      </c>
      <c r="S1177">
        <v>27.93</v>
      </c>
      <c r="T1177">
        <v>3</v>
      </c>
      <c r="U1177">
        <v>0</v>
      </c>
      <c r="V1177">
        <v>8.0997000000000003</v>
      </c>
      <c r="W1177">
        <f t="shared" si="75"/>
        <v>6.6101000000000001</v>
      </c>
      <c r="X1177">
        <v>3</v>
      </c>
    </row>
    <row r="1178" spans="1:24" x14ac:dyDescent="0.3">
      <c r="A1178">
        <v>1177</v>
      </c>
      <c r="B1178" t="s">
        <v>2940</v>
      </c>
      <c r="C1178" s="6">
        <v>45373</v>
      </c>
      <c r="D1178" t="str">
        <f t="shared" si="72"/>
        <v>Mar</v>
      </c>
      <c r="E1178" t="str">
        <f t="shared" si="73"/>
        <v>2024</v>
      </c>
      <c r="F1178" t="s">
        <v>3</v>
      </c>
      <c r="G1178" t="s">
        <v>408</v>
      </c>
      <c r="H1178" t="s">
        <v>1412</v>
      </c>
      <c r="I1178">
        <v>140</v>
      </c>
      <c r="J1178">
        <v>12</v>
      </c>
      <c r="K1178">
        <f t="shared" si="74"/>
        <v>8.5714285714285712</v>
      </c>
      <c r="L1178" t="s">
        <v>1741</v>
      </c>
      <c r="M1178" t="s">
        <v>3781</v>
      </c>
      <c r="N1178" t="s">
        <v>1</v>
      </c>
      <c r="O1178">
        <v>600069</v>
      </c>
      <c r="P1178" t="s">
        <v>546</v>
      </c>
      <c r="Q1178" t="s">
        <v>1772</v>
      </c>
      <c r="S1178">
        <v>11.56</v>
      </c>
      <c r="T1178">
        <v>4</v>
      </c>
      <c r="U1178">
        <v>0</v>
      </c>
      <c r="V1178">
        <v>5.4332000000000003</v>
      </c>
      <c r="W1178">
        <f t="shared" si="75"/>
        <v>1.5317000000000001</v>
      </c>
      <c r="X1178">
        <v>1</v>
      </c>
    </row>
    <row r="1179" spans="1:24" x14ac:dyDescent="0.3">
      <c r="A1179">
        <v>1178</v>
      </c>
      <c r="B1179" t="s">
        <v>2941</v>
      </c>
      <c r="C1179" s="6">
        <v>45374</v>
      </c>
      <c r="D1179" t="str">
        <f t="shared" si="72"/>
        <v>Mar</v>
      </c>
      <c r="E1179" t="str">
        <f t="shared" si="73"/>
        <v>2024</v>
      </c>
      <c r="F1179" t="s">
        <v>4</v>
      </c>
      <c r="G1179" t="s">
        <v>39</v>
      </c>
      <c r="H1179" t="s">
        <v>1413</v>
      </c>
      <c r="I1179">
        <v>180</v>
      </c>
      <c r="J1179">
        <v>20</v>
      </c>
      <c r="K1179">
        <f t="shared" si="74"/>
        <v>11.111111111111111</v>
      </c>
      <c r="L1179" t="s">
        <v>1736</v>
      </c>
      <c r="M1179" t="s">
        <v>3782</v>
      </c>
      <c r="N1179" t="s">
        <v>1</v>
      </c>
      <c r="O1179">
        <v>226002</v>
      </c>
      <c r="P1179" t="s">
        <v>546</v>
      </c>
      <c r="Q1179" t="s">
        <v>1756</v>
      </c>
      <c r="R1179" t="s">
        <v>2</v>
      </c>
      <c r="S1179">
        <v>172.5</v>
      </c>
      <c r="T1179">
        <v>2</v>
      </c>
      <c r="U1179">
        <v>0</v>
      </c>
      <c r="V1179">
        <v>51.75</v>
      </c>
      <c r="W1179">
        <f t="shared" si="75"/>
        <v>60.375</v>
      </c>
      <c r="X1179">
        <v>1</v>
      </c>
    </row>
    <row r="1180" spans="1:24" x14ac:dyDescent="0.3">
      <c r="A1180">
        <v>1179</v>
      </c>
      <c r="B1180" t="s">
        <v>2942</v>
      </c>
      <c r="C1180" s="6">
        <v>45375</v>
      </c>
      <c r="D1180" t="str">
        <f t="shared" si="72"/>
        <v>Mar</v>
      </c>
      <c r="E1180" t="str">
        <f t="shared" si="73"/>
        <v>2024</v>
      </c>
      <c r="F1180" t="s">
        <v>4</v>
      </c>
      <c r="G1180" t="s">
        <v>39</v>
      </c>
      <c r="H1180" t="s">
        <v>707</v>
      </c>
      <c r="I1180">
        <v>240</v>
      </c>
      <c r="J1180">
        <v>28</v>
      </c>
      <c r="K1180">
        <f t="shared" si="74"/>
        <v>11.666666666666666</v>
      </c>
      <c r="L1180" t="s">
        <v>1744</v>
      </c>
      <c r="M1180" t="s">
        <v>3783</v>
      </c>
      <c r="N1180" t="s">
        <v>1</v>
      </c>
      <c r="O1180">
        <v>226002</v>
      </c>
      <c r="P1180" t="s">
        <v>546</v>
      </c>
      <c r="Q1180" t="s">
        <v>1759</v>
      </c>
      <c r="S1180">
        <v>179.97</v>
      </c>
      <c r="T1180">
        <v>3</v>
      </c>
      <c r="U1180">
        <v>0</v>
      </c>
      <c r="V1180">
        <v>44.9925</v>
      </c>
      <c r="W1180">
        <f t="shared" si="75"/>
        <v>44.9925</v>
      </c>
      <c r="X1180">
        <v>5</v>
      </c>
    </row>
    <row r="1181" spans="1:24" x14ac:dyDescent="0.3">
      <c r="A1181">
        <v>1180</v>
      </c>
      <c r="B1181" t="s">
        <v>2943</v>
      </c>
      <c r="C1181" s="6">
        <v>45376</v>
      </c>
      <c r="D1181" t="str">
        <f t="shared" si="72"/>
        <v>Mar</v>
      </c>
      <c r="E1181" t="str">
        <f t="shared" si="73"/>
        <v>2024</v>
      </c>
      <c r="F1181" t="s">
        <v>3</v>
      </c>
      <c r="G1181" t="s">
        <v>409</v>
      </c>
      <c r="H1181" t="s">
        <v>1166</v>
      </c>
      <c r="I1181">
        <v>160</v>
      </c>
      <c r="J1181">
        <v>22</v>
      </c>
      <c r="K1181">
        <f t="shared" si="74"/>
        <v>13.750000000000002</v>
      </c>
      <c r="L1181" t="s">
        <v>1740</v>
      </c>
      <c r="M1181" t="s">
        <v>3784</v>
      </c>
      <c r="N1181" t="s">
        <v>1</v>
      </c>
      <c r="O1181">
        <v>445001</v>
      </c>
      <c r="P1181" t="s">
        <v>546</v>
      </c>
      <c r="Q1181" t="s">
        <v>1766</v>
      </c>
      <c r="S1181">
        <v>258.69600000000003</v>
      </c>
      <c r="T1181">
        <v>3</v>
      </c>
      <c r="U1181">
        <v>0.2</v>
      </c>
      <c r="V1181">
        <v>64.674000000000007</v>
      </c>
      <c r="W1181">
        <f t="shared" si="75"/>
        <v>64.674000000000007</v>
      </c>
      <c r="X1181">
        <v>3</v>
      </c>
    </row>
    <row r="1182" spans="1:24" x14ac:dyDescent="0.3">
      <c r="A1182">
        <v>1181</v>
      </c>
      <c r="B1182" t="s">
        <v>2944</v>
      </c>
      <c r="C1182" s="6">
        <v>45377</v>
      </c>
      <c r="D1182" t="str">
        <f t="shared" si="72"/>
        <v>Mar</v>
      </c>
      <c r="E1182" t="str">
        <f t="shared" si="73"/>
        <v>2024</v>
      </c>
      <c r="F1182" t="s">
        <v>4</v>
      </c>
      <c r="G1182" t="s">
        <v>79</v>
      </c>
      <c r="H1182" t="s">
        <v>1414</v>
      </c>
      <c r="I1182">
        <v>210</v>
      </c>
      <c r="J1182">
        <v>22</v>
      </c>
      <c r="K1182">
        <f t="shared" si="74"/>
        <v>10.476190476190476</v>
      </c>
      <c r="L1182" t="s">
        <v>1742</v>
      </c>
      <c r="M1182" t="s">
        <v>3647</v>
      </c>
      <c r="N1182" t="s">
        <v>1</v>
      </c>
      <c r="O1182">
        <v>560100</v>
      </c>
      <c r="P1182" t="s">
        <v>546</v>
      </c>
      <c r="Q1182" t="s">
        <v>1764</v>
      </c>
      <c r="S1182">
        <v>1322.93</v>
      </c>
      <c r="T1182">
        <v>7</v>
      </c>
      <c r="U1182">
        <v>0</v>
      </c>
      <c r="V1182">
        <v>357.19110000000001</v>
      </c>
      <c r="W1182">
        <f t="shared" si="75"/>
        <v>137.96270000000001</v>
      </c>
      <c r="X1182">
        <v>5</v>
      </c>
    </row>
    <row r="1183" spans="1:24" x14ac:dyDescent="0.3">
      <c r="A1183">
        <v>1182</v>
      </c>
      <c r="B1183" t="s">
        <v>2945</v>
      </c>
      <c r="C1183" s="6">
        <v>45378</v>
      </c>
      <c r="D1183" t="str">
        <f t="shared" si="72"/>
        <v>Mar</v>
      </c>
      <c r="E1183" t="str">
        <f t="shared" si="73"/>
        <v>2024</v>
      </c>
      <c r="F1183" t="s">
        <v>4</v>
      </c>
      <c r="G1183" t="s">
        <v>79</v>
      </c>
      <c r="H1183" t="s">
        <v>1415</v>
      </c>
      <c r="I1183">
        <v>130</v>
      </c>
      <c r="J1183">
        <v>26</v>
      </c>
      <c r="K1183">
        <f t="shared" si="74"/>
        <v>20</v>
      </c>
      <c r="L1183" t="s">
        <v>1739</v>
      </c>
      <c r="M1183" t="s">
        <v>3785</v>
      </c>
      <c r="N1183" t="s">
        <v>1</v>
      </c>
      <c r="O1183">
        <v>793002</v>
      </c>
      <c r="P1183" t="s">
        <v>546</v>
      </c>
      <c r="Q1183" t="s">
        <v>1759</v>
      </c>
      <c r="S1183">
        <v>3.76</v>
      </c>
      <c r="T1183">
        <v>2</v>
      </c>
      <c r="U1183">
        <v>0</v>
      </c>
      <c r="V1183">
        <v>1.0904</v>
      </c>
      <c r="W1183">
        <f t="shared" si="75"/>
        <v>1.3348</v>
      </c>
      <c r="X1183">
        <v>3</v>
      </c>
    </row>
    <row r="1184" spans="1:24" x14ac:dyDescent="0.3">
      <c r="A1184">
        <v>1183</v>
      </c>
      <c r="B1184" t="s">
        <v>2946</v>
      </c>
      <c r="C1184" s="6">
        <v>45379</v>
      </c>
      <c r="D1184" t="str">
        <f t="shared" si="72"/>
        <v>Mar</v>
      </c>
      <c r="E1184" t="str">
        <f t="shared" si="73"/>
        <v>2024</v>
      </c>
      <c r="F1184" t="s">
        <v>5</v>
      </c>
      <c r="G1184" t="s">
        <v>269</v>
      </c>
      <c r="H1184" t="s">
        <v>660</v>
      </c>
      <c r="I1184">
        <v>170</v>
      </c>
      <c r="J1184">
        <v>14</v>
      </c>
      <c r="K1184">
        <f t="shared" si="74"/>
        <v>8.235294117647058</v>
      </c>
      <c r="L1184" t="s">
        <v>1738</v>
      </c>
      <c r="M1184" t="s">
        <v>3786</v>
      </c>
      <c r="N1184" t="s">
        <v>1</v>
      </c>
      <c r="O1184">
        <v>122003</v>
      </c>
      <c r="P1184" t="s">
        <v>546</v>
      </c>
      <c r="Q1184" t="s">
        <v>1769</v>
      </c>
      <c r="R1184" t="s">
        <v>2</v>
      </c>
      <c r="S1184">
        <v>21.744</v>
      </c>
      <c r="T1184">
        <v>1</v>
      </c>
      <c r="U1184">
        <v>0.2</v>
      </c>
      <c r="V1184">
        <v>7.3385999999999996</v>
      </c>
      <c r="W1184">
        <f t="shared" si="75"/>
        <v>14.4054</v>
      </c>
      <c r="X1184">
        <v>3</v>
      </c>
    </row>
    <row r="1185" spans="1:24" x14ac:dyDescent="0.3">
      <c r="A1185">
        <v>1184</v>
      </c>
      <c r="B1185" t="s">
        <v>2947</v>
      </c>
      <c r="C1185" s="6">
        <v>45380</v>
      </c>
      <c r="D1185" t="str">
        <f t="shared" si="72"/>
        <v>Mar</v>
      </c>
      <c r="E1185" t="str">
        <f t="shared" si="73"/>
        <v>2024</v>
      </c>
      <c r="F1185" t="s">
        <v>5</v>
      </c>
      <c r="G1185" t="s">
        <v>269</v>
      </c>
      <c r="H1185" t="s">
        <v>1416</v>
      </c>
      <c r="I1185">
        <v>110</v>
      </c>
      <c r="J1185">
        <v>30</v>
      </c>
      <c r="K1185">
        <f t="shared" si="74"/>
        <v>27.27272727272727</v>
      </c>
      <c r="L1185" t="s">
        <v>1737</v>
      </c>
      <c r="M1185" t="s">
        <v>3787</v>
      </c>
      <c r="N1185" t="s">
        <v>1</v>
      </c>
      <c r="O1185">
        <v>613402</v>
      </c>
      <c r="P1185" t="s">
        <v>546</v>
      </c>
      <c r="Q1185" t="s">
        <v>1767</v>
      </c>
      <c r="R1185" t="s">
        <v>2</v>
      </c>
      <c r="S1185">
        <v>7.92</v>
      </c>
      <c r="T1185">
        <v>5</v>
      </c>
      <c r="U1185">
        <v>0.2</v>
      </c>
      <c r="V1185">
        <v>0.69299999999999995</v>
      </c>
      <c r="W1185">
        <f t="shared" si="75"/>
        <v>1.4454</v>
      </c>
      <c r="X1185">
        <v>1</v>
      </c>
    </row>
    <row r="1186" spans="1:24" x14ac:dyDescent="0.3">
      <c r="A1186">
        <v>1185</v>
      </c>
      <c r="B1186" t="s">
        <v>2948</v>
      </c>
      <c r="C1186" s="6">
        <v>45381</v>
      </c>
      <c r="D1186" t="str">
        <f t="shared" si="72"/>
        <v>Mar</v>
      </c>
      <c r="E1186" t="str">
        <f t="shared" si="73"/>
        <v>2024</v>
      </c>
      <c r="F1186" t="s">
        <v>4</v>
      </c>
      <c r="G1186" t="s">
        <v>410</v>
      </c>
      <c r="H1186" t="s">
        <v>1417</v>
      </c>
      <c r="I1186">
        <v>120</v>
      </c>
      <c r="J1186">
        <v>30</v>
      </c>
      <c r="K1186">
        <f t="shared" si="74"/>
        <v>25</v>
      </c>
      <c r="L1186" t="s">
        <v>1743</v>
      </c>
      <c r="M1186" t="s">
        <v>3736</v>
      </c>
      <c r="N1186" t="s">
        <v>1</v>
      </c>
      <c r="O1186">
        <v>700060</v>
      </c>
      <c r="P1186" t="s">
        <v>546</v>
      </c>
      <c r="Q1186" t="s">
        <v>1762</v>
      </c>
      <c r="S1186">
        <v>12.096</v>
      </c>
      <c r="T1186">
        <v>7</v>
      </c>
      <c r="U1186">
        <v>0.2</v>
      </c>
      <c r="V1186">
        <v>4.2336</v>
      </c>
      <c r="W1186">
        <f t="shared" si="75"/>
        <v>1.1232</v>
      </c>
      <c r="X1186">
        <v>1</v>
      </c>
    </row>
    <row r="1187" spans="1:24" x14ac:dyDescent="0.3">
      <c r="A1187">
        <v>1186</v>
      </c>
      <c r="B1187" t="s">
        <v>2949</v>
      </c>
      <c r="C1187" s="6">
        <v>45382</v>
      </c>
      <c r="D1187" t="str">
        <f t="shared" si="72"/>
        <v>Mar</v>
      </c>
      <c r="E1187" t="str">
        <f t="shared" si="73"/>
        <v>2024</v>
      </c>
      <c r="F1187" t="s">
        <v>4</v>
      </c>
      <c r="G1187" t="s">
        <v>410</v>
      </c>
      <c r="H1187" t="s">
        <v>1418</v>
      </c>
      <c r="I1187">
        <v>170</v>
      </c>
      <c r="J1187">
        <v>10</v>
      </c>
      <c r="K1187">
        <f t="shared" si="74"/>
        <v>5.8823529411764701</v>
      </c>
      <c r="L1187" t="s">
        <v>1738</v>
      </c>
      <c r="M1187" t="s">
        <v>3788</v>
      </c>
      <c r="N1187" t="s">
        <v>1</v>
      </c>
      <c r="O1187">
        <v>226003</v>
      </c>
      <c r="P1187" t="s">
        <v>546</v>
      </c>
      <c r="Q1187" t="s">
        <v>1767</v>
      </c>
      <c r="S1187">
        <v>485.88</v>
      </c>
      <c r="T1187">
        <v>6</v>
      </c>
      <c r="U1187">
        <v>0</v>
      </c>
      <c r="V1187">
        <v>9.7175999999999991</v>
      </c>
      <c r="W1187">
        <f t="shared" si="75"/>
        <v>79.360399999999998</v>
      </c>
      <c r="X1187">
        <v>5</v>
      </c>
    </row>
    <row r="1188" spans="1:24" x14ac:dyDescent="0.3">
      <c r="A1188">
        <v>1187</v>
      </c>
      <c r="B1188" t="s">
        <v>2058</v>
      </c>
      <c r="C1188" s="6">
        <v>45383</v>
      </c>
      <c r="D1188" t="str">
        <f t="shared" si="72"/>
        <v>Apr</v>
      </c>
      <c r="E1188" t="str">
        <f t="shared" si="73"/>
        <v>2024</v>
      </c>
      <c r="F1188" t="s">
        <v>4</v>
      </c>
      <c r="G1188" t="s">
        <v>410</v>
      </c>
      <c r="H1188" t="s">
        <v>1132</v>
      </c>
      <c r="I1188">
        <v>180</v>
      </c>
      <c r="J1188">
        <v>10</v>
      </c>
      <c r="K1188">
        <f t="shared" si="74"/>
        <v>5.5555555555555554</v>
      </c>
      <c r="L1188" t="s">
        <v>1739</v>
      </c>
      <c r="M1188" t="s">
        <v>3588</v>
      </c>
      <c r="N1188" t="s">
        <v>1</v>
      </c>
      <c r="O1188">
        <v>425001</v>
      </c>
      <c r="P1188" t="s">
        <v>546</v>
      </c>
      <c r="Q1188" t="s">
        <v>1764</v>
      </c>
      <c r="S1188">
        <v>25.92</v>
      </c>
      <c r="T1188">
        <v>4</v>
      </c>
      <c r="U1188">
        <v>0</v>
      </c>
      <c r="V1188">
        <v>12.441599999999999</v>
      </c>
      <c r="W1188">
        <f t="shared" si="75"/>
        <v>3.3696000000000006</v>
      </c>
      <c r="X1188">
        <v>3</v>
      </c>
    </row>
    <row r="1189" spans="1:24" x14ac:dyDescent="0.3">
      <c r="A1189">
        <v>1188</v>
      </c>
      <c r="B1189" t="s">
        <v>2950</v>
      </c>
      <c r="C1189" s="6">
        <v>45384</v>
      </c>
      <c r="D1189" t="str">
        <f t="shared" si="72"/>
        <v>Apr</v>
      </c>
      <c r="E1189" t="str">
        <f t="shared" si="73"/>
        <v>2024</v>
      </c>
      <c r="F1189" t="s">
        <v>4</v>
      </c>
      <c r="G1189" t="s">
        <v>410</v>
      </c>
      <c r="H1189" t="s">
        <v>1142</v>
      </c>
      <c r="I1189">
        <v>150</v>
      </c>
      <c r="J1189">
        <v>14</v>
      </c>
      <c r="K1189">
        <f t="shared" si="74"/>
        <v>9.3333333333333339</v>
      </c>
      <c r="L1189" t="s">
        <v>1741</v>
      </c>
      <c r="M1189" t="s">
        <v>3789</v>
      </c>
      <c r="N1189" t="s">
        <v>1</v>
      </c>
      <c r="O1189">
        <v>411001</v>
      </c>
      <c r="P1189" t="s">
        <v>546</v>
      </c>
      <c r="Q1189" t="s">
        <v>1772</v>
      </c>
      <c r="S1189">
        <v>197.58</v>
      </c>
      <c r="T1189">
        <v>2</v>
      </c>
      <c r="U1189">
        <v>0</v>
      </c>
      <c r="V1189">
        <v>53.346600000000002</v>
      </c>
      <c r="W1189">
        <f t="shared" si="75"/>
        <v>72.116700000000009</v>
      </c>
      <c r="X1189">
        <v>4</v>
      </c>
    </row>
    <row r="1190" spans="1:24" x14ac:dyDescent="0.3">
      <c r="A1190">
        <v>1189</v>
      </c>
      <c r="B1190" t="s">
        <v>2951</v>
      </c>
      <c r="C1190" s="6">
        <v>45385</v>
      </c>
      <c r="D1190" t="str">
        <f t="shared" si="72"/>
        <v>Apr</v>
      </c>
      <c r="E1190" t="str">
        <f t="shared" si="73"/>
        <v>2024</v>
      </c>
      <c r="F1190" t="s">
        <v>3</v>
      </c>
      <c r="G1190" t="s">
        <v>411</v>
      </c>
      <c r="H1190" t="s">
        <v>1111</v>
      </c>
      <c r="I1190">
        <v>150</v>
      </c>
      <c r="J1190">
        <v>30</v>
      </c>
      <c r="K1190">
        <f t="shared" si="74"/>
        <v>20</v>
      </c>
      <c r="L1190" t="s">
        <v>1736</v>
      </c>
      <c r="M1190" t="s">
        <v>3790</v>
      </c>
      <c r="N1190" t="s">
        <v>1</v>
      </c>
      <c r="O1190">
        <v>700085</v>
      </c>
      <c r="P1190" t="s">
        <v>546</v>
      </c>
      <c r="Q1190" t="s">
        <v>1757</v>
      </c>
      <c r="R1190" t="s">
        <v>2</v>
      </c>
      <c r="S1190">
        <v>81.92</v>
      </c>
      <c r="T1190">
        <v>4</v>
      </c>
      <c r="U1190">
        <v>0</v>
      </c>
      <c r="V1190">
        <v>22.118400000000001</v>
      </c>
      <c r="W1190">
        <f t="shared" si="75"/>
        <v>14.9504</v>
      </c>
      <c r="X1190">
        <v>4</v>
      </c>
    </row>
    <row r="1191" spans="1:24" x14ac:dyDescent="0.3">
      <c r="A1191">
        <v>1190</v>
      </c>
      <c r="B1191" t="s">
        <v>2952</v>
      </c>
      <c r="C1191" s="6">
        <v>45386</v>
      </c>
      <c r="D1191" t="str">
        <f t="shared" si="72"/>
        <v>Apr</v>
      </c>
      <c r="E1191" t="str">
        <f t="shared" si="73"/>
        <v>2024</v>
      </c>
      <c r="F1191" t="s">
        <v>3</v>
      </c>
      <c r="G1191" t="s">
        <v>411</v>
      </c>
      <c r="H1191" t="s">
        <v>1419</v>
      </c>
      <c r="I1191">
        <v>140</v>
      </c>
      <c r="J1191">
        <v>8</v>
      </c>
      <c r="K1191">
        <f t="shared" si="74"/>
        <v>5.7142857142857144</v>
      </c>
      <c r="L1191" t="s">
        <v>1744</v>
      </c>
      <c r="M1191" t="s">
        <v>3685</v>
      </c>
      <c r="N1191" t="s">
        <v>1</v>
      </c>
      <c r="O1191">
        <v>248009</v>
      </c>
      <c r="P1191" t="s">
        <v>546</v>
      </c>
      <c r="Q1191" t="s">
        <v>1766</v>
      </c>
      <c r="S1191">
        <v>889.53599999999994</v>
      </c>
      <c r="T1191">
        <v>8</v>
      </c>
      <c r="U1191">
        <v>0.2</v>
      </c>
      <c r="V1191">
        <v>66.715199999999996</v>
      </c>
      <c r="W1191">
        <f t="shared" si="75"/>
        <v>102.8526</v>
      </c>
      <c r="X1191">
        <v>3</v>
      </c>
    </row>
    <row r="1192" spans="1:24" x14ac:dyDescent="0.3">
      <c r="A1192">
        <v>1191</v>
      </c>
      <c r="B1192" t="s">
        <v>2953</v>
      </c>
      <c r="C1192" s="6">
        <v>45387</v>
      </c>
      <c r="D1192" t="str">
        <f t="shared" si="72"/>
        <v>Apr</v>
      </c>
      <c r="E1192" t="str">
        <f t="shared" si="73"/>
        <v>2024</v>
      </c>
      <c r="F1192" t="s">
        <v>3</v>
      </c>
      <c r="G1192" t="s">
        <v>411</v>
      </c>
      <c r="H1192" t="s">
        <v>1420</v>
      </c>
      <c r="I1192">
        <v>130</v>
      </c>
      <c r="J1192">
        <v>22</v>
      </c>
      <c r="K1192">
        <f t="shared" si="74"/>
        <v>16.923076923076923</v>
      </c>
      <c r="L1192" t="s">
        <v>1740</v>
      </c>
      <c r="M1192" t="s">
        <v>3791</v>
      </c>
      <c r="O1192">
        <v>815301</v>
      </c>
      <c r="P1192" t="s">
        <v>546</v>
      </c>
      <c r="Q1192" t="s">
        <v>1761</v>
      </c>
      <c r="S1192">
        <v>892.22400000000005</v>
      </c>
      <c r="T1192">
        <v>3</v>
      </c>
      <c r="U1192">
        <v>0.2</v>
      </c>
      <c r="V1192">
        <v>89.222399999999993</v>
      </c>
      <c r="W1192">
        <f t="shared" si="75"/>
        <v>267.66720000000004</v>
      </c>
      <c r="X1192">
        <v>1</v>
      </c>
    </row>
    <row r="1193" spans="1:24" x14ac:dyDescent="0.3">
      <c r="A1193">
        <v>1192</v>
      </c>
      <c r="B1193" t="s">
        <v>2954</v>
      </c>
      <c r="C1193" s="6">
        <v>45388</v>
      </c>
      <c r="D1193" t="str">
        <f t="shared" si="72"/>
        <v>Apr</v>
      </c>
      <c r="E1193" t="str">
        <f t="shared" si="73"/>
        <v>2024</v>
      </c>
      <c r="F1193" t="s">
        <v>3</v>
      </c>
      <c r="G1193" t="s">
        <v>411</v>
      </c>
      <c r="H1193" t="s">
        <v>861</v>
      </c>
      <c r="I1193">
        <v>240</v>
      </c>
      <c r="J1193">
        <v>14</v>
      </c>
      <c r="K1193">
        <f t="shared" si="74"/>
        <v>5.833333333333333</v>
      </c>
      <c r="L1193" t="s">
        <v>1742</v>
      </c>
      <c r="M1193" t="s">
        <v>3696</v>
      </c>
      <c r="N1193" t="s">
        <v>1</v>
      </c>
      <c r="O1193">
        <v>490006</v>
      </c>
      <c r="P1193" t="s">
        <v>546</v>
      </c>
      <c r="Q1193" t="s">
        <v>1770</v>
      </c>
      <c r="S1193">
        <v>223.92</v>
      </c>
      <c r="T1193">
        <v>4</v>
      </c>
      <c r="U1193">
        <v>0</v>
      </c>
      <c r="V1193">
        <v>109.7208</v>
      </c>
      <c r="W1193">
        <f t="shared" si="75"/>
        <v>28.549799999999998</v>
      </c>
      <c r="X1193">
        <v>2</v>
      </c>
    </row>
    <row r="1194" spans="1:24" x14ac:dyDescent="0.3">
      <c r="A1194">
        <v>1193</v>
      </c>
      <c r="B1194" t="s">
        <v>2955</v>
      </c>
      <c r="C1194" s="6">
        <v>45389</v>
      </c>
      <c r="D1194" t="str">
        <f t="shared" si="72"/>
        <v>Apr</v>
      </c>
      <c r="E1194" t="str">
        <f t="shared" si="73"/>
        <v>2024</v>
      </c>
      <c r="F1194" t="s">
        <v>3</v>
      </c>
      <c r="G1194" t="s">
        <v>411</v>
      </c>
      <c r="H1194" t="s">
        <v>1421</v>
      </c>
      <c r="I1194">
        <v>180</v>
      </c>
      <c r="J1194">
        <v>14</v>
      </c>
      <c r="K1194">
        <f t="shared" si="74"/>
        <v>7.7777777777777777</v>
      </c>
      <c r="L1194" t="s">
        <v>1739</v>
      </c>
      <c r="M1194" t="s">
        <v>3697</v>
      </c>
      <c r="N1194" t="s">
        <v>1</v>
      </c>
      <c r="O1194">
        <v>673310</v>
      </c>
      <c r="P1194" t="s">
        <v>546</v>
      </c>
      <c r="Q1194" t="s">
        <v>1772</v>
      </c>
      <c r="S1194">
        <v>23.12</v>
      </c>
      <c r="T1194">
        <v>4</v>
      </c>
      <c r="U1194">
        <v>0</v>
      </c>
      <c r="V1194">
        <v>11.328799999999999</v>
      </c>
      <c r="W1194">
        <f t="shared" si="75"/>
        <v>2.9478000000000004</v>
      </c>
      <c r="X1194">
        <v>4</v>
      </c>
    </row>
    <row r="1195" spans="1:24" x14ac:dyDescent="0.3">
      <c r="A1195">
        <v>1194</v>
      </c>
      <c r="B1195" t="s">
        <v>2956</v>
      </c>
      <c r="C1195" s="6">
        <v>45390</v>
      </c>
      <c r="D1195" t="str">
        <f t="shared" si="72"/>
        <v>Apr</v>
      </c>
      <c r="E1195" t="str">
        <f t="shared" si="73"/>
        <v>2024</v>
      </c>
      <c r="F1195" t="s">
        <v>6</v>
      </c>
      <c r="G1195" t="s">
        <v>250</v>
      </c>
      <c r="H1195" t="s">
        <v>836</v>
      </c>
      <c r="I1195">
        <v>210</v>
      </c>
      <c r="J1195">
        <v>20</v>
      </c>
      <c r="K1195">
        <f t="shared" si="74"/>
        <v>9.5238095238095237</v>
      </c>
      <c r="L1195" t="s">
        <v>1738</v>
      </c>
      <c r="M1195" t="s">
        <v>3792</v>
      </c>
      <c r="N1195" t="s">
        <v>1</v>
      </c>
      <c r="O1195">
        <v>847304</v>
      </c>
      <c r="P1195" t="s">
        <v>546</v>
      </c>
      <c r="Q1195" t="s">
        <v>1767</v>
      </c>
      <c r="R1195" t="s">
        <v>2</v>
      </c>
      <c r="S1195">
        <v>15.552</v>
      </c>
      <c r="T1195">
        <v>3</v>
      </c>
      <c r="U1195">
        <v>0.2</v>
      </c>
      <c r="V1195">
        <v>5.4432</v>
      </c>
      <c r="W1195">
        <f t="shared" si="75"/>
        <v>3.3695999999999997</v>
      </c>
      <c r="X1195">
        <v>3</v>
      </c>
    </row>
    <row r="1196" spans="1:24" x14ac:dyDescent="0.3">
      <c r="A1196">
        <v>1195</v>
      </c>
      <c r="B1196" t="s">
        <v>2957</v>
      </c>
      <c r="C1196" s="6">
        <v>45391</v>
      </c>
      <c r="D1196" t="str">
        <f t="shared" si="72"/>
        <v>Apr</v>
      </c>
      <c r="E1196" t="str">
        <f t="shared" si="73"/>
        <v>2024</v>
      </c>
      <c r="F1196" t="s">
        <v>6</v>
      </c>
      <c r="G1196" t="s">
        <v>250</v>
      </c>
      <c r="H1196" t="s">
        <v>1422</v>
      </c>
      <c r="I1196">
        <v>170</v>
      </c>
      <c r="J1196">
        <v>24</v>
      </c>
      <c r="K1196">
        <f t="shared" si="74"/>
        <v>14.117647058823529</v>
      </c>
      <c r="L1196" t="s">
        <v>1737</v>
      </c>
      <c r="M1196" t="s">
        <v>3793</v>
      </c>
      <c r="N1196" t="s">
        <v>1</v>
      </c>
      <c r="O1196">
        <v>481661</v>
      </c>
      <c r="P1196" t="s">
        <v>546</v>
      </c>
      <c r="Q1196" t="s">
        <v>1755</v>
      </c>
      <c r="S1196">
        <v>15.712</v>
      </c>
      <c r="T1196">
        <v>4</v>
      </c>
      <c r="U1196">
        <v>0.2</v>
      </c>
      <c r="V1196">
        <v>2.5531999999999999</v>
      </c>
      <c r="W1196">
        <f t="shared" si="75"/>
        <v>3.2896999999999998</v>
      </c>
      <c r="X1196">
        <v>5</v>
      </c>
    </row>
    <row r="1197" spans="1:24" x14ac:dyDescent="0.3">
      <c r="A1197">
        <v>1196</v>
      </c>
      <c r="B1197" t="s">
        <v>2958</v>
      </c>
      <c r="C1197" s="6">
        <v>45392</v>
      </c>
      <c r="D1197" t="str">
        <f t="shared" si="72"/>
        <v>Apr</v>
      </c>
      <c r="E1197" t="str">
        <f t="shared" si="73"/>
        <v>2024</v>
      </c>
      <c r="F1197" t="s">
        <v>6</v>
      </c>
      <c r="G1197" t="s">
        <v>250</v>
      </c>
      <c r="H1197" t="s">
        <v>968</v>
      </c>
      <c r="I1197">
        <v>200</v>
      </c>
      <c r="J1197">
        <v>14</v>
      </c>
      <c r="K1197">
        <f t="shared" si="74"/>
        <v>7.0000000000000009</v>
      </c>
      <c r="L1197" t="s">
        <v>1743</v>
      </c>
      <c r="M1197" t="s">
        <v>3794</v>
      </c>
      <c r="N1197" t="s">
        <v>1</v>
      </c>
      <c r="O1197">
        <v>641038</v>
      </c>
      <c r="P1197" t="s">
        <v>546</v>
      </c>
      <c r="Q1197" t="s">
        <v>1767</v>
      </c>
      <c r="S1197">
        <v>24.672000000000001</v>
      </c>
      <c r="T1197">
        <v>2</v>
      </c>
      <c r="U1197">
        <v>0.2</v>
      </c>
      <c r="V1197">
        <v>2.1587999999999998</v>
      </c>
      <c r="W1197">
        <f t="shared" si="75"/>
        <v>11.256600000000001</v>
      </c>
      <c r="X1197">
        <v>1</v>
      </c>
    </row>
    <row r="1198" spans="1:24" x14ac:dyDescent="0.3">
      <c r="A1198">
        <v>1197</v>
      </c>
      <c r="B1198" t="s">
        <v>2959</v>
      </c>
      <c r="C1198" s="6">
        <v>45393</v>
      </c>
      <c r="D1198" t="str">
        <f t="shared" si="72"/>
        <v>Apr</v>
      </c>
      <c r="E1198" t="str">
        <f t="shared" si="73"/>
        <v>2024</v>
      </c>
      <c r="F1198" t="s">
        <v>6</v>
      </c>
      <c r="G1198" t="s">
        <v>250</v>
      </c>
      <c r="H1198" t="s">
        <v>1130</v>
      </c>
      <c r="I1198">
        <v>220</v>
      </c>
      <c r="J1198">
        <v>18</v>
      </c>
      <c r="K1198">
        <f t="shared" si="74"/>
        <v>8.1818181818181817</v>
      </c>
      <c r="L1198" t="s">
        <v>1738</v>
      </c>
      <c r="M1198" t="s">
        <v>3795</v>
      </c>
      <c r="N1198" t="s">
        <v>1</v>
      </c>
      <c r="O1198">
        <v>400069</v>
      </c>
      <c r="P1198" t="s">
        <v>546</v>
      </c>
      <c r="Q1198" t="s">
        <v>1776</v>
      </c>
      <c r="S1198">
        <v>55.968000000000004</v>
      </c>
      <c r="T1198">
        <v>1</v>
      </c>
      <c r="U1198">
        <v>0.2</v>
      </c>
      <c r="V1198">
        <v>-2.0988000000000002</v>
      </c>
      <c r="W1198">
        <f t="shared" si="75"/>
        <v>58.066800000000001</v>
      </c>
      <c r="X1198">
        <v>3</v>
      </c>
    </row>
    <row r="1199" spans="1:24" x14ac:dyDescent="0.3">
      <c r="A1199">
        <v>1198</v>
      </c>
      <c r="B1199" t="s">
        <v>2960</v>
      </c>
      <c r="C1199" s="6">
        <v>45394</v>
      </c>
      <c r="D1199" t="str">
        <f t="shared" si="72"/>
        <v>Apr</v>
      </c>
      <c r="E1199" t="str">
        <f t="shared" si="73"/>
        <v>2024</v>
      </c>
      <c r="F1199" t="s">
        <v>4</v>
      </c>
      <c r="G1199" t="s">
        <v>240</v>
      </c>
      <c r="H1199" t="s">
        <v>1423</v>
      </c>
      <c r="I1199">
        <v>170</v>
      </c>
      <c r="J1199">
        <v>10</v>
      </c>
      <c r="K1199">
        <f t="shared" si="74"/>
        <v>5.8823529411764701</v>
      </c>
      <c r="L1199" t="s">
        <v>1739</v>
      </c>
      <c r="M1199" t="s">
        <v>3594</v>
      </c>
      <c r="N1199" t="s">
        <v>1</v>
      </c>
      <c r="O1199">
        <v>534202</v>
      </c>
      <c r="P1199" t="s">
        <v>546</v>
      </c>
      <c r="Q1199" t="s">
        <v>1769</v>
      </c>
      <c r="S1199">
        <v>431.928</v>
      </c>
      <c r="T1199">
        <v>9</v>
      </c>
      <c r="U1199">
        <v>0.2</v>
      </c>
      <c r="V1199">
        <v>64.789199999999994</v>
      </c>
      <c r="W1199">
        <f t="shared" si="75"/>
        <v>40.793199999999999</v>
      </c>
      <c r="X1199">
        <v>4</v>
      </c>
    </row>
    <row r="1200" spans="1:24" x14ac:dyDescent="0.3">
      <c r="A1200">
        <v>1199</v>
      </c>
      <c r="B1200" t="s">
        <v>2961</v>
      </c>
      <c r="C1200" s="6">
        <v>45395</v>
      </c>
      <c r="D1200" t="str">
        <f t="shared" si="72"/>
        <v>Apr</v>
      </c>
      <c r="E1200" t="str">
        <f t="shared" si="73"/>
        <v>2024</v>
      </c>
      <c r="F1200" t="s">
        <v>4</v>
      </c>
      <c r="G1200" t="s">
        <v>240</v>
      </c>
      <c r="H1200" t="s">
        <v>1424</v>
      </c>
      <c r="I1200">
        <v>200</v>
      </c>
      <c r="J1200">
        <v>22</v>
      </c>
      <c r="K1200">
        <f t="shared" si="74"/>
        <v>11</v>
      </c>
      <c r="L1200" t="s">
        <v>1741</v>
      </c>
      <c r="M1200" t="s">
        <v>3796</v>
      </c>
      <c r="N1200" t="s">
        <v>1</v>
      </c>
      <c r="O1200">
        <v>132001</v>
      </c>
      <c r="P1200" t="s">
        <v>546</v>
      </c>
      <c r="Q1200" t="s">
        <v>1764</v>
      </c>
      <c r="S1200">
        <v>95.983999999999995</v>
      </c>
      <c r="T1200">
        <v>4</v>
      </c>
      <c r="U1200">
        <v>0.3</v>
      </c>
      <c r="V1200">
        <v>-4.1135999999999999</v>
      </c>
      <c r="W1200">
        <f t="shared" si="75"/>
        <v>25.0244</v>
      </c>
      <c r="X1200">
        <v>2</v>
      </c>
    </row>
    <row r="1201" spans="1:24" x14ac:dyDescent="0.3">
      <c r="A1201">
        <v>1200</v>
      </c>
      <c r="B1201" t="s">
        <v>2962</v>
      </c>
      <c r="C1201" s="6">
        <v>45396</v>
      </c>
      <c r="D1201" t="str">
        <f t="shared" si="72"/>
        <v>Apr</v>
      </c>
      <c r="E1201" t="str">
        <f t="shared" si="73"/>
        <v>2024</v>
      </c>
      <c r="F1201" t="s">
        <v>4</v>
      </c>
      <c r="G1201" t="s">
        <v>240</v>
      </c>
      <c r="H1201" t="s">
        <v>863</v>
      </c>
      <c r="I1201">
        <v>140</v>
      </c>
      <c r="J1201">
        <v>6</v>
      </c>
      <c r="K1201">
        <f t="shared" si="74"/>
        <v>4.2857142857142856</v>
      </c>
      <c r="L1201" t="s">
        <v>1736</v>
      </c>
      <c r="M1201" t="s">
        <v>3797</v>
      </c>
      <c r="N1201" t="s">
        <v>1</v>
      </c>
      <c r="O1201">
        <v>160022</v>
      </c>
      <c r="P1201" t="s">
        <v>546</v>
      </c>
      <c r="Q1201" t="s">
        <v>1759</v>
      </c>
      <c r="R1201" t="s">
        <v>2</v>
      </c>
      <c r="S1201">
        <v>1088.7919999999999</v>
      </c>
      <c r="T1201">
        <v>4</v>
      </c>
      <c r="U1201">
        <v>0.8</v>
      </c>
      <c r="V1201">
        <v>-1850.9464</v>
      </c>
      <c r="W1201">
        <f t="shared" si="75"/>
        <v>734.93460000000005</v>
      </c>
      <c r="X1201">
        <v>3</v>
      </c>
    </row>
    <row r="1202" spans="1:24" x14ac:dyDescent="0.3">
      <c r="A1202">
        <v>1201</v>
      </c>
      <c r="B1202" t="s">
        <v>2963</v>
      </c>
      <c r="C1202" s="6">
        <v>45397</v>
      </c>
      <c r="D1202" t="str">
        <f t="shared" si="72"/>
        <v>Apr</v>
      </c>
      <c r="E1202" t="str">
        <f t="shared" si="73"/>
        <v>2024</v>
      </c>
      <c r="F1202" t="s">
        <v>4</v>
      </c>
      <c r="G1202" t="s">
        <v>329</v>
      </c>
      <c r="H1202" t="s">
        <v>1176</v>
      </c>
      <c r="I1202">
        <v>180</v>
      </c>
      <c r="J1202">
        <v>16</v>
      </c>
      <c r="K1202">
        <f t="shared" si="74"/>
        <v>8.8888888888888893</v>
      </c>
      <c r="L1202" t="s">
        <v>1744</v>
      </c>
      <c r="M1202" t="s">
        <v>3798</v>
      </c>
      <c r="N1202" t="s">
        <v>1</v>
      </c>
      <c r="O1202">
        <v>400028</v>
      </c>
      <c r="P1202" t="s">
        <v>546</v>
      </c>
      <c r="Q1202" t="s">
        <v>1759</v>
      </c>
      <c r="S1202">
        <v>544.00800000000004</v>
      </c>
      <c r="T1202">
        <v>3</v>
      </c>
      <c r="U1202">
        <v>0.2</v>
      </c>
      <c r="V1202">
        <v>40.800600000000003</v>
      </c>
      <c r="W1202">
        <f t="shared" si="75"/>
        <v>167.73580000000001</v>
      </c>
      <c r="X1202">
        <v>4</v>
      </c>
    </row>
    <row r="1203" spans="1:24" x14ac:dyDescent="0.3">
      <c r="A1203">
        <v>1202</v>
      </c>
      <c r="B1203" t="s">
        <v>2964</v>
      </c>
      <c r="C1203" s="6">
        <v>45398</v>
      </c>
      <c r="D1203" t="str">
        <f t="shared" si="72"/>
        <v>Apr</v>
      </c>
      <c r="E1203" t="str">
        <f t="shared" si="73"/>
        <v>2024</v>
      </c>
      <c r="F1203" t="s">
        <v>4</v>
      </c>
      <c r="G1203" t="s">
        <v>329</v>
      </c>
      <c r="H1203" t="s">
        <v>802</v>
      </c>
      <c r="I1203">
        <v>130</v>
      </c>
      <c r="J1203">
        <v>30</v>
      </c>
      <c r="K1203">
        <f t="shared" si="74"/>
        <v>23.076923076923077</v>
      </c>
      <c r="L1203" t="s">
        <v>1740</v>
      </c>
      <c r="M1203" t="s">
        <v>3799</v>
      </c>
      <c r="N1203" t="s">
        <v>1</v>
      </c>
      <c r="O1203">
        <v>332311</v>
      </c>
      <c r="P1203" t="s">
        <v>546</v>
      </c>
      <c r="Q1203" t="s">
        <v>1762</v>
      </c>
      <c r="R1203" t="s">
        <v>2</v>
      </c>
      <c r="S1203">
        <v>1.8720000000000001</v>
      </c>
      <c r="T1203">
        <v>3</v>
      </c>
      <c r="U1203">
        <v>0.7</v>
      </c>
      <c r="V1203">
        <v>-1.4352</v>
      </c>
      <c r="W1203">
        <f t="shared" si="75"/>
        <v>1.1024</v>
      </c>
      <c r="X1203">
        <v>1</v>
      </c>
    </row>
    <row r="1204" spans="1:24" x14ac:dyDescent="0.3">
      <c r="A1204">
        <v>1203</v>
      </c>
      <c r="B1204" t="s">
        <v>2965</v>
      </c>
      <c r="C1204" s="6">
        <v>45399</v>
      </c>
      <c r="D1204" t="str">
        <f t="shared" si="72"/>
        <v>Apr</v>
      </c>
      <c r="E1204" t="str">
        <f t="shared" si="73"/>
        <v>2024</v>
      </c>
      <c r="F1204" t="s">
        <v>4</v>
      </c>
      <c r="G1204" t="s">
        <v>329</v>
      </c>
      <c r="H1204" t="s">
        <v>953</v>
      </c>
      <c r="I1204">
        <v>170</v>
      </c>
      <c r="J1204">
        <v>30</v>
      </c>
      <c r="K1204">
        <f t="shared" si="74"/>
        <v>17.647058823529413</v>
      </c>
      <c r="L1204" t="s">
        <v>1742</v>
      </c>
      <c r="M1204" t="s">
        <v>3800</v>
      </c>
      <c r="N1204" t="s">
        <v>1</v>
      </c>
      <c r="O1204">
        <v>380054</v>
      </c>
      <c r="P1204" t="s">
        <v>546</v>
      </c>
      <c r="Q1204" t="s">
        <v>1765</v>
      </c>
      <c r="S1204">
        <v>854.35199999999998</v>
      </c>
      <c r="T1204">
        <v>3</v>
      </c>
      <c r="U1204">
        <v>0.2</v>
      </c>
      <c r="V1204">
        <v>10.679399999999999</v>
      </c>
      <c r="W1204">
        <f t="shared" si="75"/>
        <v>281.2242</v>
      </c>
      <c r="X1204">
        <v>1</v>
      </c>
    </row>
    <row r="1205" spans="1:24" x14ac:dyDescent="0.3">
      <c r="A1205">
        <v>1204</v>
      </c>
      <c r="B1205" t="s">
        <v>2966</v>
      </c>
      <c r="C1205" s="6">
        <v>45400</v>
      </c>
      <c r="D1205" t="str">
        <f t="shared" si="72"/>
        <v>Apr</v>
      </c>
      <c r="E1205" t="str">
        <f t="shared" si="73"/>
        <v>2024</v>
      </c>
      <c r="F1205" t="s">
        <v>4</v>
      </c>
      <c r="G1205" t="s">
        <v>329</v>
      </c>
      <c r="H1205" t="s">
        <v>1425</v>
      </c>
      <c r="I1205">
        <v>230</v>
      </c>
      <c r="J1205">
        <v>16</v>
      </c>
      <c r="K1205">
        <f t="shared" si="74"/>
        <v>6.9565217391304346</v>
      </c>
      <c r="L1205" t="s">
        <v>1739</v>
      </c>
      <c r="M1205" t="s">
        <v>3623</v>
      </c>
      <c r="N1205" t="s">
        <v>1</v>
      </c>
      <c r="O1205">
        <v>641027</v>
      </c>
      <c r="P1205" t="s">
        <v>546</v>
      </c>
      <c r="Q1205" t="s">
        <v>1768</v>
      </c>
      <c r="R1205" t="s">
        <v>2</v>
      </c>
      <c r="S1205">
        <v>593.56799999999998</v>
      </c>
      <c r="T1205">
        <v>2</v>
      </c>
      <c r="U1205">
        <v>0.2</v>
      </c>
      <c r="V1205">
        <v>0</v>
      </c>
      <c r="W1205">
        <f t="shared" si="75"/>
        <v>296.78399999999999</v>
      </c>
      <c r="X1205">
        <v>4</v>
      </c>
    </row>
    <row r="1206" spans="1:24" x14ac:dyDescent="0.3">
      <c r="A1206">
        <v>1205</v>
      </c>
      <c r="B1206" t="s">
        <v>2967</v>
      </c>
      <c r="C1206" s="6">
        <v>45401</v>
      </c>
      <c r="D1206" t="str">
        <f t="shared" si="72"/>
        <v>Apr</v>
      </c>
      <c r="E1206" t="str">
        <f t="shared" si="73"/>
        <v>2024</v>
      </c>
      <c r="F1206" t="s">
        <v>4</v>
      </c>
      <c r="G1206" t="s">
        <v>329</v>
      </c>
      <c r="H1206" t="s">
        <v>973</v>
      </c>
      <c r="I1206">
        <v>230</v>
      </c>
      <c r="J1206">
        <v>14</v>
      </c>
      <c r="K1206">
        <f t="shared" si="74"/>
        <v>6.0869565217391308</v>
      </c>
      <c r="L1206" t="s">
        <v>1738</v>
      </c>
      <c r="M1206" t="s">
        <v>3801</v>
      </c>
      <c r="N1206" t="s">
        <v>1</v>
      </c>
      <c r="O1206">
        <v>231219</v>
      </c>
      <c r="P1206" t="s">
        <v>546</v>
      </c>
      <c r="Q1206" t="s">
        <v>1767</v>
      </c>
      <c r="R1206" t="s">
        <v>2</v>
      </c>
      <c r="S1206">
        <v>338.04</v>
      </c>
      <c r="T1206">
        <v>3</v>
      </c>
      <c r="U1206">
        <v>0.2</v>
      </c>
      <c r="V1206">
        <v>-33.804000000000002</v>
      </c>
      <c r="W1206">
        <f t="shared" si="75"/>
        <v>123.94800000000002</v>
      </c>
      <c r="X1206">
        <v>1</v>
      </c>
    </row>
    <row r="1207" spans="1:24" x14ac:dyDescent="0.3">
      <c r="A1207">
        <v>1206</v>
      </c>
      <c r="B1207" t="s">
        <v>2968</v>
      </c>
      <c r="C1207" s="6">
        <v>45402</v>
      </c>
      <c r="D1207" t="str">
        <f t="shared" si="72"/>
        <v>Apr</v>
      </c>
      <c r="E1207" t="str">
        <f t="shared" si="73"/>
        <v>2024</v>
      </c>
      <c r="F1207" t="s">
        <v>5</v>
      </c>
      <c r="G1207" t="s">
        <v>412</v>
      </c>
      <c r="H1207" t="s">
        <v>1251</v>
      </c>
      <c r="I1207">
        <v>180</v>
      </c>
      <c r="J1207">
        <v>12</v>
      </c>
      <c r="K1207">
        <f t="shared" si="74"/>
        <v>6.666666666666667</v>
      </c>
      <c r="L1207" t="s">
        <v>1737</v>
      </c>
      <c r="M1207" t="s">
        <v>3802</v>
      </c>
      <c r="N1207" t="s">
        <v>1</v>
      </c>
      <c r="O1207">
        <v>577201</v>
      </c>
      <c r="P1207" t="s">
        <v>546</v>
      </c>
      <c r="Q1207" t="s">
        <v>1774</v>
      </c>
      <c r="S1207">
        <v>271.95999999999998</v>
      </c>
      <c r="T1207">
        <v>5</v>
      </c>
      <c r="U1207">
        <v>0.2</v>
      </c>
      <c r="V1207">
        <v>16.997499999999999</v>
      </c>
      <c r="W1207">
        <f t="shared" si="75"/>
        <v>50.992499999999993</v>
      </c>
      <c r="X1207">
        <v>3</v>
      </c>
    </row>
    <row r="1208" spans="1:24" x14ac:dyDescent="0.3">
      <c r="A1208">
        <v>1207</v>
      </c>
      <c r="B1208" t="s">
        <v>2969</v>
      </c>
      <c r="C1208" s="6">
        <v>45403</v>
      </c>
      <c r="D1208" t="str">
        <f t="shared" si="72"/>
        <v>Apr</v>
      </c>
      <c r="E1208" t="str">
        <f t="shared" si="73"/>
        <v>2024</v>
      </c>
      <c r="F1208" t="s">
        <v>3</v>
      </c>
      <c r="G1208" t="s">
        <v>413</v>
      </c>
      <c r="H1208" t="s">
        <v>1149</v>
      </c>
      <c r="I1208">
        <v>160</v>
      </c>
      <c r="J1208">
        <v>14</v>
      </c>
      <c r="K1208">
        <f t="shared" si="74"/>
        <v>8.75</v>
      </c>
      <c r="L1208" t="s">
        <v>1743</v>
      </c>
      <c r="M1208" t="s">
        <v>3803</v>
      </c>
      <c r="N1208" t="s">
        <v>1</v>
      </c>
      <c r="O1208">
        <v>500090</v>
      </c>
      <c r="P1208" t="s">
        <v>546</v>
      </c>
      <c r="Q1208" t="s">
        <v>1763</v>
      </c>
      <c r="S1208">
        <v>11.21</v>
      </c>
      <c r="T1208">
        <v>1</v>
      </c>
      <c r="U1208">
        <v>0</v>
      </c>
      <c r="V1208">
        <v>3.363</v>
      </c>
      <c r="W1208">
        <f t="shared" si="75"/>
        <v>7.8470000000000013</v>
      </c>
      <c r="X1208">
        <v>1</v>
      </c>
    </row>
    <row r="1209" spans="1:24" x14ac:dyDescent="0.3">
      <c r="A1209">
        <v>1208</v>
      </c>
      <c r="B1209" t="s">
        <v>2970</v>
      </c>
      <c r="C1209" s="6">
        <v>45404</v>
      </c>
      <c r="D1209" t="str">
        <f t="shared" si="72"/>
        <v>Apr</v>
      </c>
      <c r="E1209" t="str">
        <f t="shared" si="73"/>
        <v>2024</v>
      </c>
      <c r="F1209" t="s">
        <v>3</v>
      </c>
      <c r="G1209" t="s">
        <v>413</v>
      </c>
      <c r="H1209" t="s">
        <v>862</v>
      </c>
      <c r="I1209">
        <v>200</v>
      </c>
      <c r="J1209">
        <v>18</v>
      </c>
      <c r="K1209">
        <f t="shared" si="74"/>
        <v>9</v>
      </c>
      <c r="L1209" t="s">
        <v>1738</v>
      </c>
      <c r="M1209" t="s">
        <v>3804</v>
      </c>
      <c r="N1209" t="s">
        <v>1</v>
      </c>
      <c r="O1209">
        <v>401209</v>
      </c>
      <c r="P1209" t="s">
        <v>546</v>
      </c>
      <c r="Q1209" t="s">
        <v>1767</v>
      </c>
      <c r="S1209">
        <v>9.1440000000000001</v>
      </c>
      <c r="T1209">
        <v>3</v>
      </c>
      <c r="U1209">
        <v>0.2</v>
      </c>
      <c r="V1209">
        <v>3.2004000000000001</v>
      </c>
      <c r="W1209">
        <f t="shared" si="75"/>
        <v>1.9812000000000001</v>
      </c>
      <c r="X1209">
        <v>5</v>
      </c>
    </row>
    <row r="1210" spans="1:24" x14ac:dyDescent="0.3">
      <c r="A1210">
        <v>1209</v>
      </c>
      <c r="B1210" t="s">
        <v>2971</v>
      </c>
      <c r="C1210" s="6">
        <v>45405</v>
      </c>
      <c r="D1210" t="str">
        <f t="shared" si="72"/>
        <v>Apr</v>
      </c>
      <c r="E1210" t="str">
        <f t="shared" si="73"/>
        <v>2024</v>
      </c>
      <c r="F1210" t="s">
        <v>3</v>
      </c>
      <c r="G1210" t="s">
        <v>413</v>
      </c>
      <c r="H1210" t="s">
        <v>678</v>
      </c>
      <c r="I1210">
        <v>180</v>
      </c>
      <c r="J1210">
        <v>16</v>
      </c>
      <c r="K1210">
        <f t="shared" si="74"/>
        <v>8.8888888888888893</v>
      </c>
      <c r="L1210" t="s">
        <v>1739</v>
      </c>
      <c r="M1210" t="s">
        <v>3600</v>
      </c>
      <c r="N1210" t="s">
        <v>1</v>
      </c>
      <c r="O1210">
        <v>493118</v>
      </c>
      <c r="P1210" t="s">
        <v>546</v>
      </c>
      <c r="Q1210" t="s">
        <v>1761</v>
      </c>
      <c r="S1210">
        <v>14.07</v>
      </c>
      <c r="T1210">
        <v>7</v>
      </c>
      <c r="U1210">
        <v>0</v>
      </c>
      <c r="V1210">
        <v>6.8943000000000003</v>
      </c>
      <c r="W1210">
        <f t="shared" si="75"/>
        <v>1.0250999999999999</v>
      </c>
      <c r="X1210">
        <v>2</v>
      </c>
    </row>
    <row r="1211" spans="1:24" x14ac:dyDescent="0.3">
      <c r="A1211">
        <v>1210</v>
      </c>
      <c r="B1211" t="s">
        <v>2972</v>
      </c>
      <c r="C1211" s="6">
        <v>45406</v>
      </c>
      <c r="D1211" t="str">
        <f t="shared" si="72"/>
        <v>Apr</v>
      </c>
      <c r="E1211" t="str">
        <f t="shared" si="73"/>
        <v>2024</v>
      </c>
      <c r="F1211" t="s">
        <v>3</v>
      </c>
      <c r="G1211" t="s">
        <v>413</v>
      </c>
      <c r="H1211" t="s">
        <v>1426</v>
      </c>
      <c r="I1211">
        <v>250</v>
      </c>
      <c r="J1211">
        <v>24</v>
      </c>
      <c r="K1211">
        <f t="shared" si="74"/>
        <v>9.6</v>
      </c>
      <c r="L1211" t="s">
        <v>1741</v>
      </c>
      <c r="M1211" t="s">
        <v>3805</v>
      </c>
      <c r="N1211" t="s">
        <v>1</v>
      </c>
      <c r="O1211">
        <v>500032</v>
      </c>
      <c r="P1211" t="s">
        <v>546</v>
      </c>
      <c r="Q1211" t="s">
        <v>1774</v>
      </c>
      <c r="S1211">
        <v>41.86</v>
      </c>
      <c r="T1211">
        <v>7</v>
      </c>
      <c r="U1211">
        <v>0</v>
      </c>
      <c r="V1211">
        <v>10.465</v>
      </c>
      <c r="W1211">
        <f t="shared" si="75"/>
        <v>4.4850000000000003</v>
      </c>
      <c r="X1211">
        <v>3</v>
      </c>
    </row>
    <row r="1212" spans="1:24" x14ac:dyDescent="0.3">
      <c r="A1212">
        <v>1211</v>
      </c>
      <c r="B1212" t="s">
        <v>2973</v>
      </c>
      <c r="C1212" s="6">
        <v>45407</v>
      </c>
      <c r="D1212" t="str">
        <f t="shared" si="72"/>
        <v>Apr</v>
      </c>
      <c r="E1212" t="str">
        <f t="shared" si="73"/>
        <v>2024</v>
      </c>
      <c r="F1212" t="s">
        <v>3</v>
      </c>
      <c r="G1212" t="s">
        <v>413</v>
      </c>
      <c r="H1212" t="s">
        <v>1427</v>
      </c>
      <c r="I1212">
        <v>210</v>
      </c>
      <c r="J1212">
        <v>26</v>
      </c>
      <c r="K1212">
        <f t="shared" si="74"/>
        <v>12.380952380952381</v>
      </c>
      <c r="L1212" t="s">
        <v>1736</v>
      </c>
      <c r="M1212" t="s">
        <v>3644</v>
      </c>
      <c r="N1212" t="s">
        <v>1</v>
      </c>
      <c r="O1212">
        <v>490001</v>
      </c>
      <c r="P1212" t="s">
        <v>546</v>
      </c>
      <c r="Q1212" t="s">
        <v>1755</v>
      </c>
      <c r="S1212">
        <v>8.5440000000000005</v>
      </c>
      <c r="T1212">
        <v>2</v>
      </c>
      <c r="U1212">
        <v>0.2</v>
      </c>
      <c r="V1212">
        <v>2.8835999999999999</v>
      </c>
      <c r="W1212">
        <f t="shared" si="75"/>
        <v>2.8302000000000005</v>
      </c>
      <c r="X1212">
        <v>1</v>
      </c>
    </row>
    <row r="1213" spans="1:24" x14ac:dyDescent="0.3">
      <c r="A1213">
        <v>1212</v>
      </c>
      <c r="B1213" t="s">
        <v>2974</v>
      </c>
      <c r="C1213" s="6">
        <v>45408</v>
      </c>
      <c r="D1213" t="str">
        <f t="shared" si="72"/>
        <v>Apr</v>
      </c>
      <c r="E1213" t="str">
        <f t="shared" si="73"/>
        <v>2024</v>
      </c>
      <c r="F1213" t="s">
        <v>3</v>
      </c>
      <c r="G1213" t="s">
        <v>413</v>
      </c>
      <c r="H1213" t="s">
        <v>746</v>
      </c>
      <c r="I1213">
        <v>200</v>
      </c>
      <c r="J1213">
        <v>16</v>
      </c>
      <c r="K1213">
        <f t="shared" si="74"/>
        <v>8</v>
      </c>
      <c r="L1213" t="s">
        <v>1744</v>
      </c>
      <c r="M1213" t="s">
        <v>3806</v>
      </c>
      <c r="N1213" t="s">
        <v>1</v>
      </c>
      <c r="O1213">
        <v>573201</v>
      </c>
      <c r="P1213" t="s">
        <v>546</v>
      </c>
      <c r="Q1213" t="s">
        <v>1772</v>
      </c>
      <c r="S1213">
        <v>579.13599999999997</v>
      </c>
      <c r="T1213">
        <v>4</v>
      </c>
      <c r="U1213">
        <v>0.2</v>
      </c>
      <c r="V1213">
        <v>21.717600000000001</v>
      </c>
      <c r="W1213">
        <f t="shared" si="75"/>
        <v>139.3546</v>
      </c>
      <c r="X1213">
        <v>1</v>
      </c>
    </row>
    <row r="1214" spans="1:24" x14ac:dyDescent="0.3">
      <c r="A1214">
        <v>1213</v>
      </c>
      <c r="B1214" t="s">
        <v>2975</v>
      </c>
      <c r="C1214" s="6">
        <v>45409</v>
      </c>
      <c r="D1214" t="str">
        <f t="shared" si="72"/>
        <v>Apr</v>
      </c>
      <c r="E1214" t="str">
        <f t="shared" si="73"/>
        <v>2024</v>
      </c>
      <c r="F1214" t="s">
        <v>4</v>
      </c>
      <c r="G1214" t="s">
        <v>414</v>
      </c>
      <c r="H1214" t="s">
        <v>758</v>
      </c>
      <c r="I1214">
        <v>250</v>
      </c>
      <c r="J1214">
        <v>30</v>
      </c>
      <c r="K1214">
        <f t="shared" si="74"/>
        <v>12</v>
      </c>
      <c r="L1214" t="s">
        <v>1740</v>
      </c>
      <c r="M1214" t="s">
        <v>3586</v>
      </c>
      <c r="N1214" t="s">
        <v>1</v>
      </c>
      <c r="O1214">
        <v>226010</v>
      </c>
      <c r="P1214" t="s">
        <v>546</v>
      </c>
      <c r="Q1214" t="s">
        <v>1767</v>
      </c>
      <c r="R1214" t="s">
        <v>2</v>
      </c>
      <c r="S1214">
        <v>141.37200000000001</v>
      </c>
      <c r="T1214">
        <v>2</v>
      </c>
      <c r="U1214">
        <v>0.3</v>
      </c>
      <c r="V1214">
        <v>-48.470399999999998</v>
      </c>
      <c r="W1214">
        <f t="shared" si="75"/>
        <v>94.921199999999999</v>
      </c>
      <c r="X1214">
        <v>3</v>
      </c>
    </row>
    <row r="1215" spans="1:24" x14ac:dyDescent="0.3">
      <c r="A1215">
        <v>1214</v>
      </c>
      <c r="B1215" t="s">
        <v>2976</v>
      </c>
      <c r="C1215" s="6">
        <v>45410</v>
      </c>
      <c r="D1215" t="str">
        <f t="shared" si="72"/>
        <v>Apr</v>
      </c>
      <c r="E1215" t="str">
        <f t="shared" si="73"/>
        <v>2024</v>
      </c>
      <c r="F1215" t="s">
        <v>4</v>
      </c>
      <c r="G1215" t="s">
        <v>414</v>
      </c>
      <c r="H1215" t="s">
        <v>1428</v>
      </c>
      <c r="I1215">
        <v>140</v>
      </c>
      <c r="J1215">
        <v>6</v>
      </c>
      <c r="K1215">
        <f t="shared" si="74"/>
        <v>4.2857142857142856</v>
      </c>
      <c r="L1215" t="s">
        <v>1742</v>
      </c>
      <c r="M1215" t="s">
        <v>3676</v>
      </c>
      <c r="O1215">
        <v>500001</v>
      </c>
      <c r="P1215" t="s">
        <v>546</v>
      </c>
      <c r="Q1215" t="s">
        <v>1761</v>
      </c>
      <c r="R1215" t="s">
        <v>2</v>
      </c>
      <c r="S1215">
        <v>3.036</v>
      </c>
      <c r="T1215">
        <v>2</v>
      </c>
      <c r="U1215">
        <v>0.7</v>
      </c>
      <c r="V1215">
        <v>-2.3275999999999999</v>
      </c>
      <c r="W1215">
        <f t="shared" si="75"/>
        <v>2.6818</v>
      </c>
      <c r="X1215">
        <v>3</v>
      </c>
    </row>
    <row r="1216" spans="1:24" x14ac:dyDescent="0.3">
      <c r="A1216">
        <v>1215</v>
      </c>
      <c r="B1216" t="s">
        <v>2977</v>
      </c>
      <c r="C1216" s="6">
        <v>45411</v>
      </c>
      <c r="D1216" t="str">
        <f t="shared" si="72"/>
        <v>Apr</v>
      </c>
      <c r="E1216" t="str">
        <f t="shared" si="73"/>
        <v>2024</v>
      </c>
      <c r="F1216" t="s">
        <v>4</v>
      </c>
      <c r="G1216" t="s">
        <v>414</v>
      </c>
      <c r="H1216" t="s">
        <v>1038</v>
      </c>
      <c r="I1216">
        <v>230</v>
      </c>
      <c r="J1216">
        <v>28</v>
      </c>
      <c r="K1216">
        <f t="shared" si="74"/>
        <v>12.173913043478262</v>
      </c>
      <c r="L1216" t="s">
        <v>1739</v>
      </c>
      <c r="M1216" t="s">
        <v>3747</v>
      </c>
      <c r="O1216">
        <v>500001</v>
      </c>
      <c r="P1216" t="s">
        <v>546</v>
      </c>
      <c r="Q1216" t="s">
        <v>1775</v>
      </c>
      <c r="S1216">
        <v>4.5030000000000001</v>
      </c>
      <c r="T1216">
        <v>1</v>
      </c>
      <c r="U1216">
        <v>0.7</v>
      </c>
      <c r="V1216">
        <v>-3.6023999999999998</v>
      </c>
      <c r="W1216">
        <f t="shared" si="75"/>
        <v>8.1053999999999995</v>
      </c>
      <c r="X1216">
        <v>2</v>
      </c>
    </row>
    <row r="1217" spans="1:24" x14ac:dyDescent="0.3">
      <c r="A1217">
        <v>1216</v>
      </c>
      <c r="B1217" t="s">
        <v>2978</v>
      </c>
      <c r="C1217" s="6">
        <v>45412</v>
      </c>
      <c r="D1217" t="str">
        <f t="shared" si="72"/>
        <v>Apr</v>
      </c>
      <c r="E1217" t="str">
        <f t="shared" si="73"/>
        <v>2024</v>
      </c>
      <c r="F1217" t="s">
        <v>4</v>
      </c>
      <c r="G1217" t="s">
        <v>414</v>
      </c>
      <c r="H1217" t="s">
        <v>788</v>
      </c>
      <c r="I1217">
        <v>100</v>
      </c>
      <c r="J1217">
        <v>10</v>
      </c>
      <c r="K1217">
        <f t="shared" si="74"/>
        <v>10</v>
      </c>
      <c r="L1217" t="s">
        <v>1738</v>
      </c>
      <c r="M1217" t="s">
        <v>3807</v>
      </c>
      <c r="N1217" t="s">
        <v>1</v>
      </c>
      <c r="O1217">
        <v>801503</v>
      </c>
      <c r="P1217" t="s">
        <v>546</v>
      </c>
      <c r="Q1217" t="s">
        <v>1759</v>
      </c>
      <c r="R1217" t="s">
        <v>2</v>
      </c>
      <c r="S1217">
        <v>4.6719999999999997</v>
      </c>
      <c r="T1217">
        <v>1</v>
      </c>
      <c r="U1217">
        <v>0.2</v>
      </c>
      <c r="V1217">
        <v>1.5768</v>
      </c>
      <c r="W1217">
        <f t="shared" si="75"/>
        <v>3.0951999999999997</v>
      </c>
      <c r="X1217">
        <v>4</v>
      </c>
    </row>
    <row r="1218" spans="1:24" x14ac:dyDescent="0.3">
      <c r="A1218">
        <v>1217</v>
      </c>
      <c r="B1218" t="s">
        <v>2979</v>
      </c>
      <c r="C1218" s="6">
        <v>45413</v>
      </c>
      <c r="D1218" t="str">
        <f t="shared" si="72"/>
        <v>May</v>
      </c>
      <c r="E1218" t="str">
        <f t="shared" si="73"/>
        <v>2024</v>
      </c>
      <c r="F1218" t="s">
        <v>4</v>
      </c>
      <c r="G1218" t="s">
        <v>414</v>
      </c>
      <c r="H1218" t="s">
        <v>787</v>
      </c>
      <c r="I1218">
        <v>240</v>
      </c>
      <c r="J1218">
        <v>26</v>
      </c>
      <c r="K1218">
        <f t="shared" si="74"/>
        <v>10.833333333333334</v>
      </c>
      <c r="L1218" t="s">
        <v>1737</v>
      </c>
      <c r="M1218" t="s">
        <v>3808</v>
      </c>
      <c r="N1218" t="s">
        <v>1</v>
      </c>
      <c r="O1218">
        <v>273164</v>
      </c>
      <c r="P1218" t="s">
        <v>546</v>
      </c>
      <c r="Q1218" t="s">
        <v>1772</v>
      </c>
      <c r="S1218">
        <v>95.88</v>
      </c>
      <c r="T1218">
        <v>3</v>
      </c>
      <c r="U1218">
        <v>0.2</v>
      </c>
      <c r="V1218">
        <v>28.763999999999999</v>
      </c>
      <c r="W1218">
        <f t="shared" si="75"/>
        <v>22.372</v>
      </c>
      <c r="X1218">
        <v>4</v>
      </c>
    </row>
    <row r="1219" spans="1:24" x14ac:dyDescent="0.3">
      <c r="A1219">
        <v>1218</v>
      </c>
      <c r="B1219" t="s">
        <v>2980</v>
      </c>
      <c r="C1219" s="6">
        <v>45414</v>
      </c>
      <c r="D1219" t="str">
        <f t="shared" ref="D1219:D1282" si="76">TEXT(C1219,"Mmm")</f>
        <v>May</v>
      </c>
      <c r="E1219" t="str">
        <f t="shared" ref="E1219:E1282" si="77">TEXT(C1219,"YYYY")</f>
        <v>2024</v>
      </c>
      <c r="F1219" t="s">
        <v>4</v>
      </c>
      <c r="G1219" t="s">
        <v>414</v>
      </c>
      <c r="H1219" t="s">
        <v>1429</v>
      </c>
      <c r="I1219">
        <v>200</v>
      </c>
      <c r="J1219">
        <v>6</v>
      </c>
      <c r="K1219">
        <f t="shared" ref="K1219:K1282" si="78">(J1219/I1219)*100</f>
        <v>3</v>
      </c>
      <c r="L1219" t="s">
        <v>1743</v>
      </c>
      <c r="M1219" t="s">
        <v>3809</v>
      </c>
      <c r="N1219" t="s">
        <v>1</v>
      </c>
      <c r="O1219">
        <v>243502</v>
      </c>
      <c r="P1219" t="s">
        <v>546</v>
      </c>
      <c r="Q1219" t="s">
        <v>1755</v>
      </c>
      <c r="S1219">
        <v>17.024000000000001</v>
      </c>
      <c r="T1219">
        <v>2</v>
      </c>
      <c r="U1219">
        <v>0.2</v>
      </c>
      <c r="V1219">
        <v>1.7023999999999999</v>
      </c>
      <c r="W1219">
        <f t="shared" ref="W1219:W1282" si="79">(S1219-V1219)/T1219</f>
        <v>7.6608000000000001</v>
      </c>
      <c r="X1219">
        <v>1</v>
      </c>
    </row>
    <row r="1220" spans="1:24" x14ac:dyDescent="0.3">
      <c r="A1220">
        <v>1219</v>
      </c>
      <c r="B1220" t="s">
        <v>2981</v>
      </c>
      <c r="C1220" s="6">
        <v>45415</v>
      </c>
      <c r="D1220" t="str">
        <f t="shared" si="76"/>
        <v>May</v>
      </c>
      <c r="E1220" t="str">
        <f t="shared" si="77"/>
        <v>2024</v>
      </c>
      <c r="F1220" t="s">
        <v>4</v>
      </c>
      <c r="G1220" t="s">
        <v>414</v>
      </c>
      <c r="H1220" t="s">
        <v>1166</v>
      </c>
      <c r="I1220">
        <v>200</v>
      </c>
      <c r="J1220">
        <v>14</v>
      </c>
      <c r="K1220">
        <f t="shared" si="78"/>
        <v>7.0000000000000009</v>
      </c>
      <c r="L1220" t="s">
        <v>1738</v>
      </c>
      <c r="M1220" t="s">
        <v>3681</v>
      </c>
      <c r="N1220" t="s">
        <v>1</v>
      </c>
      <c r="O1220">
        <v>500072</v>
      </c>
      <c r="P1220" t="s">
        <v>546</v>
      </c>
      <c r="Q1220" t="s">
        <v>1763</v>
      </c>
      <c r="R1220" t="s">
        <v>2</v>
      </c>
      <c r="S1220">
        <v>258.69600000000003</v>
      </c>
      <c r="T1220">
        <v>3</v>
      </c>
      <c r="U1220">
        <v>0.2</v>
      </c>
      <c r="V1220">
        <v>64.674000000000007</v>
      </c>
      <c r="W1220">
        <f t="shared" si="79"/>
        <v>64.674000000000007</v>
      </c>
      <c r="X1220">
        <v>4</v>
      </c>
    </row>
    <row r="1221" spans="1:24" x14ac:dyDescent="0.3">
      <c r="A1221">
        <v>1220</v>
      </c>
      <c r="B1221" t="s">
        <v>2982</v>
      </c>
      <c r="C1221" s="6">
        <v>45416</v>
      </c>
      <c r="D1221" t="str">
        <f t="shared" si="76"/>
        <v>May</v>
      </c>
      <c r="E1221" t="str">
        <f t="shared" si="77"/>
        <v>2024</v>
      </c>
      <c r="F1221" t="s">
        <v>4</v>
      </c>
      <c r="G1221" t="s">
        <v>414</v>
      </c>
      <c r="H1221" t="s">
        <v>1430</v>
      </c>
      <c r="I1221">
        <v>210</v>
      </c>
      <c r="J1221">
        <v>24</v>
      </c>
      <c r="K1221">
        <f t="shared" si="78"/>
        <v>11.428571428571429</v>
      </c>
      <c r="L1221" t="s">
        <v>1739</v>
      </c>
      <c r="M1221" t="s">
        <v>3682</v>
      </c>
      <c r="N1221" t="s">
        <v>1</v>
      </c>
      <c r="O1221">
        <v>500072</v>
      </c>
      <c r="P1221" t="s">
        <v>546</v>
      </c>
      <c r="Q1221" t="s">
        <v>1763</v>
      </c>
      <c r="S1221">
        <v>1931.9580000000001</v>
      </c>
      <c r="T1221">
        <v>7</v>
      </c>
      <c r="U1221">
        <v>0.4</v>
      </c>
      <c r="V1221">
        <v>-386.39159999999998</v>
      </c>
      <c r="W1221">
        <f t="shared" si="79"/>
        <v>331.19279999999998</v>
      </c>
      <c r="X1221">
        <v>1</v>
      </c>
    </row>
    <row r="1222" spans="1:24" x14ac:dyDescent="0.3">
      <c r="A1222">
        <v>1221</v>
      </c>
      <c r="B1222" t="s">
        <v>2983</v>
      </c>
      <c r="C1222" s="6">
        <v>45417</v>
      </c>
      <c r="D1222" t="str">
        <f t="shared" si="76"/>
        <v>May</v>
      </c>
      <c r="E1222" t="str">
        <f t="shared" si="77"/>
        <v>2024</v>
      </c>
      <c r="F1222" t="s">
        <v>4</v>
      </c>
      <c r="G1222" t="s">
        <v>415</v>
      </c>
      <c r="H1222" t="s">
        <v>564</v>
      </c>
      <c r="I1222">
        <v>200</v>
      </c>
      <c r="J1222">
        <v>26</v>
      </c>
      <c r="K1222">
        <f t="shared" si="78"/>
        <v>13</v>
      </c>
      <c r="L1222" t="s">
        <v>1741</v>
      </c>
      <c r="M1222" t="s">
        <v>3810</v>
      </c>
      <c r="N1222" t="s">
        <v>1</v>
      </c>
      <c r="O1222">
        <v>768106</v>
      </c>
      <c r="P1222" t="s">
        <v>546</v>
      </c>
      <c r="Q1222" t="s">
        <v>1765</v>
      </c>
      <c r="R1222" t="s">
        <v>2</v>
      </c>
      <c r="S1222">
        <v>249.75</v>
      </c>
      <c r="T1222">
        <v>9</v>
      </c>
      <c r="U1222">
        <v>0</v>
      </c>
      <c r="V1222">
        <v>44.954999999999998</v>
      </c>
      <c r="W1222">
        <f t="shared" si="79"/>
        <v>22.755000000000003</v>
      </c>
      <c r="X1222">
        <v>4</v>
      </c>
    </row>
    <row r="1223" spans="1:24" x14ac:dyDescent="0.3">
      <c r="A1223">
        <v>1222</v>
      </c>
      <c r="B1223" t="s">
        <v>2984</v>
      </c>
      <c r="C1223" s="6">
        <v>45418</v>
      </c>
      <c r="D1223" t="str">
        <f t="shared" si="76"/>
        <v>May</v>
      </c>
      <c r="E1223" t="str">
        <f t="shared" si="77"/>
        <v>2024</v>
      </c>
      <c r="F1223" t="s">
        <v>4</v>
      </c>
      <c r="G1223" t="s">
        <v>415</v>
      </c>
      <c r="H1223" t="s">
        <v>1431</v>
      </c>
      <c r="I1223">
        <v>180</v>
      </c>
      <c r="J1223">
        <v>28</v>
      </c>
      <c r="K1223">
        <f t="shared" si="78"/>
        <v>15.555555555555555</v>
      </c>
      <c r="L1223" t="s">
        <v>1736</v>
      </c>
      <c r="M1223" t="s">
        <v>3673</v>
      </c>
      <c r="N1223" t="s">
        <v>1</v>
      </c>
      <c r="O1223">
        <v>768106</v>
      </c>
      <c r="P1223" t="s">
        <v>546</v>
      </c>
      <c r="Q1223" t="s">
        <v>1764</v>
      </c>
      <c r="R1223" t="s">
        <v>2</v>
      </c>
      <c r="S1223">
        <v>255.93600000000001</v>
      </c>
      <c r="T1223">
        <v>8</v>
      </c>
      <c r="U1223">
        <v>0.2</v>
      </c>
      <c r="V1223">
        <v>28.7928</v>
      </c>
      <c r="W1223">
        <f t="shared" si="79"/>
        <v>28.392900000000001</v>
      </c>
      <c r="X1223">
        <v>3</v>
      </c>
    </row>
    <row r="1224" spans="1:24" x14ac:dyDescent="0.3">
      <c r="A1224">
        <v>1223</v>
      </c>
      <c r="B1224" t="s">
        <v>2985</v>
      </c>
      <c r="C1224" s="6">
        <v>45419</v>
      </c>
      <c r="D1224" t="str">
        <f t="shared" si="76"/>
        <v>May</v>
      </c>
      <c r="E1224" t="str">
        <f t="shared" si="77"/>
        <v>2024</v>
      </c>
      <c r="F1224" t="s">
        <v>5</v>
      </c>
      <c r="G1224" t="s">
        <v>85</v>
      </c>
      <c r="H1224" t="s">
        <v>1314</v>
      </c>
      <c r="I1224">
        <v>210</v>
      </c>
      <c r="J1224">
        <v>24</v>
      </c>
      <c r="K1224">
        <f t="shared" si="78"/>
        <v>11.428571428571429</v>
      </c>
      <c r="L1224" t="s">
        <v>1744</v>
      </c>
      <c r="M1224" t="s">
        <v>3746</v>
      </c>
      <c r="N1224" t="s">
        <v>1</v>
      </c>
      <c r="O1224">
        <v>500008</v>
      </c>
      <c r="P1224" t="s">
        <v>546</v>
      </c>
      <c r="Q1224" t="s">
        <v>1764</v>
      </c>
      <c r="S1224">
        <v>113.79</v>
      </c>
      <c r="T1224">
        <v>3</v>
      </c>
      <c r="U1224">
        <v>0</v>
      </c>
      <c r="V1224">
        <v>20.482199999999999</v>
      </c>
      <c r="W1224">
        <f t="shared" si="79"/>
        <v>31.102600000000006</v>
      </c>
      <c r="X1224">
        <v>4</v>
      </c>
    </row>
    <row r="1225" spans="1:24" x14ac:dyDescent="0.3">
      <c r="A1225">
        <v>1224</v>
      </c>
      <c r="B1225" t="s">
        <v>2986</v>
      </c>
      <c r="C1225" s="6">
        <v>45420</v>
      </c>
      <c r="D1225" t="str">
        <f t="shared" si="76"/>
        <v>May</v>
      </c>
      <c r="E1225" t="str">
        <f t="shared" si="77"/>
        <v>2024</v>
      </c>
      <c r="F1225" t="s">
        <v>5</v>
      </c>
      <c r="G1225" t="s">
        <v>85</v>
      </c>
      <c r="H1225" t="s">
        <v>1022</v>
      </c>
      <c r="I1225">
        <v>120</v>
      </c>
      <c r="J1225">
        <v>28</v>
      </c>
      <c r="K1225">
        <f t="shared" si="78"/>
        <v>23.333333333333332</v>
      </c>
      <c r="L1225" t="s">
        <v>1740</v>
      </c>
      <c r="M1225" t="s">
        <v>3811</v>
      </c>
      <c r="N1225" t="s">
        <v>1</v>
      </c>
      <c r="O1225">
        <v>560045</v>
      </c>
      <c r="P1225" t="s">
        <v>546</v>
      </c>
      <c r="Q1225" t="s">
        <v>1760</v>
      </c>
      <c r="R1225" t="s">
        <v>2</v>
      </c>
      <c r="S1225">
        <v>78.150000000000006</v>
      </c>
      <c r="T1225">
        <v>1</v>
      </c>
      <c r="U1225">
        <v>0</v>
      </c>
      <c r="V1225">
        <v>34.386000000000003</v>
      </c>
      <c r="W1225">
        <f t="shared" si="79"/>
        <v>43.764000000000003</v>
      </c>
      <c r="X1225">
        <v>2</v>
      </c>
    </row>
    <row r="1226" spans="1:24" x14ac:dyDescent="0.3">
      <c r="A1226">
        <v>1225</v>
      </c>
      <c r="B1226" t="s">
        <v>2987</v>
      </c>
      <c r="C1226" s="6">
        <v>45421</v>
      </c>
      <c r="D1226" t="str">
        <f t="shared" si="76"/>
        <v>May</v>
      </c>
      <c r="E1226" t="str">
        <f t="shared" si="77"/>
        <v>2024</v>
      </c>
      <c r="F1226" t="s">
        <v>5</v>
      </c>
      <c r="G1226" t="s">
        <v>85</v>
      </c>
      <c r="H1226" t="s">
        <v>1417</v>
      </c>
      <c r="I1226">
        <v>150</v>
      </c>
      <c r="J1226">
        <v>8</v>
      </c>
      <c r="K1226">
        <f t="shared" si="78"/>
        <v>5.3333333333333339</v>
      </c>
      <c r="L1226" t="s">
        <v>1742</v>
      </c>
      <c r="M1226" t="s">
        <v>3656</v>
      </c>
      <c r="N1226" t="s">
        <v>1</v>
      </c>
      <c r="O1226">
        <v>560045</v>
      </c>
      <c r="P1226" t="s">
        <v>546</v>
      </c>
      <c r="Q1226" t="s">
        <v>1761</v>
      </c>
      <c r="S1226">
        <v>1.728</v>
      </c>
      <c r="T1226">
        <v>1</v>
      </c>
      <c r="U1226">
        <v>0.2</v>
      </c>
      <c r="V1226">
        <v>0.6048</v>
      </c>
      <c r="W1226">
        <f t="shared" si="79"/>
        <v>1.1232</v>
      </c>
      <c r="X1226">
        <v>5</v>
      </c>
    </row>
    <row r="1227" spans="1:24" x14ac:dyDescent="0.3">
      <c r="A1227">
        <v>1226</v>
      </c>
      <c r="B1227" t="s">
        <v>2988</v>
      </c>
      <c r="C1227" s="6">
        <v>45422</v>
      </c>
      <c r="D1227" t="str">
        <f t="shared" si="76"/>
        <v>May</v>
      </c>
      <c r="E1227" t="str">
        <f t="shared" si="77"/>
        <v>2024</v>
      </c>
      <c r="F1227" t="s">
        <v>5</v>
      </c>
      <c r="G1227" t="s">
        <v>85</v>
      </c>
      <c r="H1227" t="s">
        <v>1432</v>
      </c>
      <c r="I1227">
        <v>230</v>
      </c>
      <c r="J1227">
        <v>14</v>
      </c>
      <c r="K1227">
        <f t="shared" si="78"/>
        <v>6.0869565217391308</v>
      </c>
      <c r="L1227" t="s">
        <v>1739</v>
      </c>
      <c r="M1227" t="s">
        <v>3637</v>
      </c>
      <c r="N1227" t="s">
        <v>1</v>
      </c>
      <c r="O1227">
        <v>502032</v>
      </c>
      <c r="P1227" t="s">
        <v>546</v>
      </c>
      <c r="Q1227" t="s">
        <v>1765</v>
      </c>
      <c r="R1227" t="s">
        <v>2</v>
      </c>
      <c r="S1227">
        <v>40.56</v>
      </c>
      <c r="T1227">
        <v>4</v>
      </c>
      <c r="U1227">
        <v>0</v>
      </c>
      <c r="V1227">
        <v>19.874400000000001</v>
      </c>
      <c r="W1227">
        <f t="shared" si="79"/>
        <v>5.1714000000000002</v>
      </c>
      <c r="X1227">
        <v>1</v>
      </c>
    </row>
    <row r="1228" spans="1:24" x14ac:dyDescent="0.3">
      <c r="A1228">
        <v>1227</v>
      </c>
      <c r="B1228" t="s">
        <v>2989</v>
      </c>
      <c r="C1228" s="6">
        <v>45423</v>
      </c>
      <c r="D1228" t="str">
        <f t="shared" si="76"/>
        <v>May</v>
      </c>
      <c r="E1228" t="str">
        <f t="shared" si="77"/>
        <v>2024</v>
      </c>
      <c r="F1228" t="s">
        <v>5</v>
      </c>
      <c r="G1228" t="s">
        <v>85</v>
      </c>
      <c r="H1228" t="s">
        <v>1433</v>
      </c>
      <c r="I1228">
        <v>190</v>
      </c>
      <c r="J1228">
        <v>16</v>
      </c>
      <c r="K1228">
        <f t="shared" si="78"/>
        <v>8.4210526315789469</v>
      </c>
      <c r="L1228" t="s">
        <v>1738</v>
      </c>
      <c r="M1228" t="s">
        <v>3812</v>
      </c>
      <c r="N1228" t="s">
        <v>1</v>
      </c>
      <c r="O1228">
        <v>390008</v>
      </c>
      <c r="P1228" t="s">
        <v>546</v>
      </c>
      <c r="Q1228" t="s">
        <v>1756</v>
      </c>
      <c r="R1228" t="s">
        <v>2</v>
      </c>
      <c r="S1228">
        <v>182.94</v>
      </c>
      <c r="T1228">
        <v>3</v>
      </c>
      <c r="U1228">
        <v>0</v>
      </c>
      <c r="V1228">
        <v>3.6587999999999998</v>
      </c>
      <c r="W1228">
        <f t="shared" si="79"/>
        <v>59.760399999999997</v>
      </c>
      <c r="X1228">
        <v>4</v>
      </c>
    </row>
    <row r="1229" spans="1:24" x14ac:dyDescent="0.3">
      <c r="A1229">
        <v>1228</v>
      </c>
      <c r="B1229" t="s">
        <v>2990</v>
      </c>
      <c r="C1229" s="6">
        <v>45424</v>
      </c>
      <c r="D1229" t="str">
        <f t="shared" si="76"/>
        <v>May</v>
      </c>
      <c r="E1229" t="str">
        <f t="shared" si="77"/>
        <v>2024</v>
      </c>
      <c r="F1229" t="s">
        <v>5</v>
      </c>
      <c r="G1229" t="s">
        <v>85</v>
      </c>
      <c r="H1229" t="s">
        <v>1434</v>
      </c>
      <c r="I1229">
        <v>230</v>
      </c>
      <c r="J1229">
        <v>8</v>
      </c>
      <c r="K1229">
        <f t="shared" si="78"/>
        <v>3.4782608695652173</v>
      </c>
      <c r="L1229" t="s">
        <v>1737</v>
      </c>
      <c r="M1229" t="s">
        <v>3813</v>
      </c>
      <c r="N1229" t="s">
        <v>1</v>
      </c>
      <c r="O1229">
        <v>390008</v>
      </c>
      <c r="P1229" t="s">
        <v>546</v>
      </c>
      <c r="Q1229" t="s">
        <v>1759</v>
      </c>
      <c r="S1229">
        <v>193.86</v>
      </c>
      <c r="T1229">
        <v>2</v>
      </c>
      <c r="U1229">
        <v>0</v>
      </c>
      <c r="V1229">
        <v>11.631600000000001</v>
      </c>
      <c r="W1229">
        <f t="shared" si="79"/>
        <v>91.114200000000011</v>
      </c>
      <c r="X1229">
        <v>5</v>
      </c>
    </row>
    <row r="1230" spans="1:24" x14ac:dyDescent="0.3">
      <c r="A1230">
        <v>1229</v>
      </c>
      <c r="B1230" t="s">
        <v>2991</v>
      </c>
      <c r="C1230" s="6">
        <v>45425</v>
      </c>
      <c r="D1230" t="str">
        <f t="shared" si="76"/>
        <v>May</v>
      </c>
      <c r="E1230" t="str">
        <f t="shared" si="77"/>
        <v>2024</v>
      </c>
      <c r="F1230" t="s">
        <v>4</v>
      </c>
      <c r="G1230" t="s">
        <v>240</v>
      </c>
      <c r="H1230" t="s">
        <v>1135</v>
      </c>
      <c r="I1230">
        <v>110</v>
      </c>
      <c r="J1230">
        <v>6</v>
      </c>
      <c r="K1230">
        <f t="shared" si="78"/>
        <v>5.4545454545454541</v>
      </c>
      <c r="L1230" t="s">
        <v>1743</v>
      </c>
      <c r="M1230" t="s">
        <v>3610</v>
      </c>
      <c r="N1230" t="s">
        <v>1</v>
      </c>
      <c r="O1230">
        <v>390008</v>
      </c>
      <c r="P1230" t="s">
        <v>546</v>
      </c>
      <c r="Q1230" t="s">
        <v>1772</v>
      </c>
      <c r="S1230">
        <v>15.28</v>
      </c>
      <c r="T1230">
        <v>2</v>
      </c>
      <c r="U1230">
        <v>0</v>
      </c>
      <c r="V1230">
        <v>7.4871999999999996</v>
      </c>
      <c r="W1230">
        <f t="shared" si="79"/>
        <v>3.8963999999999999</v>
      </c>
      <c r="X1230">
        <v>5</v>
      </c>
    </row>
    <row r="1231" spans="1:24" x14ac:dyDescent="0.3">
      <c r="A1231">
        <v>1230</v>
      </c>
      <c r="B1231" t="s">
        <v>2992</v>
      </c>
      <c r="C1231" s="6">
        <v>45426</v>
      </c>
      <c r="D1231" t="str">
        <f t="shared" si="76"/>
        <v>May</v>
      </c>
      <c r="E1231" t="str">
        <f t="shared" si="77"/>
        <v>2024</v>
      </c>
      <c r="F1231" t="s">
        <v>4</v>
      </c>
      <c r="G1231" t="s">
        <v>240</v>
      </c>
      <c r="H1231" t="s">
        <v>1245</v>
      </c>
      <c r="I1231">
        <v>230</v>
      </c>
      <c r="J1231">
        <v>28</v>
      </c>
      <c r="K1231">
        <f t="shared" si="78"/>
        <v>12.173913043478262</v>
      </c>
      <c r="L1231" t="s">
        <v>1738</v>
      </c>
      <c r="M1231" t="s">
        <v>3814</v>
      </c>
      <c r="N1231" t="s">
        <v>1</v>
      </c>
      <c r="O1231">
        <v>390008</v>
      </c>
      <c r="P1231" t="s">
        <v>546</v>
      </c>
      <c r="Q1231" t="s">
        <v>1755</v>
      </c>
      <c r="S1231">
        <v>8.73</v>
      </c>
      <c r="T1231">
        <v>1</v>
      </c>
      <c r="U1231">
        <v>0</v>
      </c>
      <c r="V1231">
        <v>2.9681999999999999</v>
      </c>
      <c r="W1231">
        <f t="shared" si="79"/>
        <v>5.7618000000000009</v>
      </c>
      <c r="X1231">
        <v>2</v>
      </c>
    </row>
    <row r="1232" spans="1:24" x14ac:dyDescent="0.3">
      <c r="A1232">
        <v>1231</v>
      </c>
      <c r="B1232" t="s">
        <v>2993</v>
      </c>
      <c r="C1232" s="6">
        <v>45427</v>
      </c>
      <c r="D1232" t="str">
        <f t="shared" si="76"/>
        <v>May</v>
      </c>
      <c r="E1232" t="str">
        <f t="shared" si="77"/>
        <v>2024</v>
      </c>
      <c r="F1232" t="s">
        <v>4</v>
      </c>
      <c r="G1232" t="s">
        <v>240</v>
      </c>
      <c r="H1232" t="s">
        <v>1435</v>
      </c>
      <c r="I1232">
        <v>120</v>
      </c>
      <c r="J1232">
        <v>10</v>
      </c>
      <c r="K1232">
        <f t="shared" si="78"/>
        <v>8.3333333333333321</v>
      </c>
      <c r="L1232" t="s">
        <v>1739</v>
      </c>
      <c r="M1232" t="s">
        <v>3707</v>
      </c>
      <c r="N1232" t="s">
        <v>1</v>
      </c>
      <c r="O1232">
        <v>600016</v>
      </c>
      <c r="P1232" t="s">
        <v>546</v>
      </c>
      <c r="Q1232" t="s">
        <v>1770</v>
      </c>
      <c r="R1232" t="s">
        <v>2</v>
      </c>
      <c r="S1232">
        <v>5.68</v>
      </c>
      <c r="T1232">
        <v>2</v>
      </c>
      <c r="U1232">
        <v>0</v>
      </c>
      <c r="V1232">
        <v>1.7607999999999999</v>
      </c>
      <c r="W1232">
        <f t="shared" si="79"/>
        <v>1.9596</v>
      </c>
      <c r="X1232">
        <v>2</v>
      </c>
    </row>
    <row r="1233" spans="1:24" x14ac:dyDescent="0.3">
      <c r="A1233">
        <v>1232</v>
      </c>
      <c r="B1233" t="s">
        <v>2994</v>
      </c>
      <c r="C1233" s="6">
        <v>45428</v>
      </c>
      <c r="D1233" t="str">
        <f t="shared" si="76"/>
        <v>May</v>
      </c>
      <c r="E1233" t="str">
        <f t="shared" si="77"/>
        <v>2024</v>
      </c>
      <c r="F1233" t="s">
        <v>3</v>
      </c>
      <c r="G1233" t="s">
        <v>416</v>
      </c>
      <c r="H1233" t="s">
        <v>928</v>
      </c>
      <c r="I1233">
        <v>240</v>
      </c>
      <c r="J1233">
        <v>30</v>
      </c>
      <c r="K1233">
        <f t="shared" si="78"/>
        <v>12.5</v>
      </c>
      <c r="L1233" t="s">
        <v>1741</v>
      </c>
      <c r="M1233" t="s">
        <v>3815</v>
      </c>
      <c r="N1233" t="s">
        <v>1</v>
      </c>
      <c r="O1233">
        <v>400104</v>
      </c>
      <c r="P1233" t="s">
        <v>546</v>
      </c>
      <c r="Q1233" t="s">
        <v>1758</v>
      </c>
      <c r="S1233">
        <v>2.78</v>
      </c>
      <c r="T1233">
        <v>2</v>
      </c>
      <c r="U1233">
        <v>0</v>
      </c>
      <c r="V1233">
        <v>0.7228</v>
      </c>
      <c r="W1233">
        <f t="shared" si="79"/>
        <v>1.0286</v>
      </c>
      <c r="X1233">
        <v>1</v>
      </c>
    </row>
    <row r="1234" spans="1:24" x14ac:dyDescent="0.3">
      <c r="A1234">
        <v>1233</v>
      </c>
      <c r="B1234" t="s">
        <v>2995</v>
      </c>
      <c r="C1234" s="6">
        <v>45429</v>
      </c>
      <c r="D1234" t="str">
        <f t="shared" si="76"/>
        <v>May</v>
      </c>
      <c r="E1234" t="str">
        <f t="shared" si="77"/>
        <v>2024</v>
      </c>
      <c r="F1234" t="s">
        <v>3</v>
      </c>
      <c r="G1234" t="s">
        <v>416</v>
      </c>
      <c r="H1234" t="s">
        <v>1436</v>
      </c>
      <c r="I1234">
        <v>140</v>
      </c>
      <c r="J1234">
        <v>26</v>
      </c>
      <c r="K1234">
        <f t="shared" si="78"/>
        <v>18.571428571428573</v>
      </c>
      <c r="L1234" t="s">
        <v>1736</v>
      </c>
      <c r="M1234" t="s">
        <v>3653</v>
      </c>
      <c r="O1234">
        <v>502032</v>
      </c>
      <c r="P1234" t="s">
        <v>546</v>
      </c>
      <c r="Q1234" t="s">
        <v>1754</v>
      </c>
      <c r="R1234" t="s">
        <v>2</v>
      </c>
      <c r="S1234">
        <v>79.959999999999994</v>
      </c>
      <c r="T1234">
        <v>2</v>
      </c>
      <c r="U1234">
        <v>0</v>
      </c>
      <c r="V1234">
        <v>35.981999999999999</v>
      </c>
      <c r="W1234">
        <f t="shared" si="79"/>
        <v>21.988999999999997</v>
      </c>
      <c r="X1234">
        <v>3</v>
      </c>
    </row>
    <row r="1235" spans="1:24" x14ac:dyDescent="0.3">
      <c r="A1235">
        <v>1234</v>
      </c>
      <c r="B1235" t="s">
        <v>2996</v>
      </c>
      <c r="C1235" s="6">
        <v>45430</v>
      </c>
      <c r="D1235" t="str">
        <f t="shared" si="76"/>
        <v>May</v>
      </c>
      <c r="E1235" t="str">
        <f t="shared" si="77"/>
        <v>2024</v>
      </c>
      <c r="F1235" t="s">
        <v>5</v>
      </c>
      <c r="G1235" t="s">
        <v>417</v>
      </c>
      <c r="H1235" t="s">
        <v>1437</v>
      </c>
      <c r="I1235">
        <v>110</v>
      </c>
      <c r="J1235">
        <v>12</v>
      </c>
      <c r="K1235">
        <f t="shared" si="78"/>
        <v>10.909090909090908</v>
      </c>
      <c r="L1235" t="s">
        <v>1744</v>
      </c>
      <c r="M1235" t="s">
        <v>3585</v>
      </c>
      <c r="N1235" t="s">
        <v>1</v>
      </c>
      <c r="O1235">
        <v>625014</v>
      </c>
      <c r="P1235" t="s">
        <v>546</v>
      </c>
      <c r="Q1235" t="s">
        <v>1768</v>
      </c>
      <c r="R1235" t="s">
        <v>2</v>
      </c>
      <c r="S1235">
        <v>839.98800000000006</v>
      </c>
      <c r="T1235">
        <v>2</v>
      </c>
      <c r="U1235">
        <v>0.4</v>
      </c>
      <c r="V1235">
        <v>69.998999999999995</v>
      </c>
      <c r="W1235">
        <f t="shared" si="79"/>
        <v>384.99450000000002</v>
      </c>
      <c r="X1235">
        <v>1</v>
      </c>
    </row>
    <row r="1236" spans="1:24" x14ac:dyDescent="0.3">
      <c r="A1236">
        <v>1235</v>
      </c>
      <c r="B1236" t="s">
        <v>2997</v>
      </c>
      <c r="C1236" s="6">
        <v>45431</v>
      </c>
      <c r="D1236" t="str">
        <f t="shared" si="76"/>
        <v>May</v>
      </c>
      <c r="E1236" t="str">
        <f t="shared" si="77"/>
        <v>2024</v>
      </c>
      <c r="F1236" t="s">
        <v>6</v>
      </c>
      <c r="G1236" t="s">
        <v>317</v>
      </c>
      <c r="H1236" t="s">
        <v>1438</v>
      </c>
      <c r="I1236">
        <v>150</v>
      </c>
      <c r="J1236">
        <v>28</v>
      </c>
      <c r="K1236">
        <f t="shared" si="78"/>
        <v>18.666666666666668</v>
      </c>
      <c r="L1236" t="s">
        <v>1740</v>
      </c>
      <c r="M1236" t="s">
        <v>3714</v>
      </c>
      <c r="N1236" t="s">
        <v>1</v>
      </c>
      <c r="O1236">
        <v>625014</v>
      </c>
      <c r="P1236" t="s">
        <v>546</v>
      </c>
      <c r="Q1236" t="s">
        <v>1759</v>
      </c>
      <c r="S1236">
        <v>47.951999999999998</v>
      </c>
      <c r="T1236">
        <v>3</v>
      </c>
      <c r="U1236">
        <v>0.2</v>
      </c>
      <c r="V1236">
        <v>13.786199999999999</v>
      </c>
      <c r="W1236">
        <f t="shared" si="79"/>
        <v>11.388599999999999</v>
      </c>
      <c r="X1236">
        <v>5</v>
      </c>
    </row>
    <row r="1237" spans="1:24" x14ac:dyDescent="0.3">
      <c r="A1237">
        <v>1236</v>
      </c>
      <c r="B1237" t="s">
        <v>2998</v>
      </c>
      <c r="C1237" s="6">
        <v>45432</v>
      </c>
      <c r="D1237" t="str">
        <f t="shared" si="76"/>
        <v>May</v>
      </c>
      <c r="E1237" t="str">
        <f t="shared" si="77"/>
        <v>2024</v>
      </c>
      <c r="F1237" t="s">
        <v>6</v>
      </c>
      <c r="G1237" t="s">
        <v>317</v>
      </c>
      <c r="H1237" t="s">
        <v>1238</v>
      </c>
      <c r="I1237">
        <v>170</v>
      </c>
      <c r="J1237">
        <v>6</v>
      </c>
      <c r="K1237">
        <f t="shared" si="78"/>
        <v>3.5294117647058822</v>
      </c>
      <c r="L1237" t="s">
        <v>1742</v>
      </c>
      <c r="M1237" t="s">
        <v>3816</v>
      </c>
      <c r="N1237" t="s">
        <v>1</v>
      </c>
      <c r="O1237">
        <v>440013</v>
      </c>
      <c r="P1237" t="s">
        <v>546</v>
      </c>
      <c r="Q1237" t="s">
        <v>1766</v>
      </c>
      <c r="S1237">
        <v>37.424999999999997</v>
      </c>
      <c r="T1237">
        <v>5</v>
      </c>
      <c r="U1237">
        <v>0.7</v>
      </c>
      <c r="V1237">
        <v>-29.94</v>
      </c>
      <c r="W1237">
        <f t="shared" si="79"/>
        <v>13.472999999999999</v>
      </c>
      <c r="X1237">
        <v>5</v>
      </c>
    </row>
    <row r="1238" spans="1:24" x14ac:dyDescent="0.3">
      <c r="A1238">
        <v>1237</v>
      </c>
      <c r="B1238" t="s">
        <v>2999</v>
      </c>
      <c r="C1238" s="6">
        <v>45433</v>
      </c>
      <c r="D1238" t="str">
        <f t="shared" si="76"/>
        <v>May</v>
      </c>
      <c r="E1238" t="str">
        <f t="shared" si="77"/>
        <v>2024</v>
      </c>
      <c r="F1238" t="s">
        <v>6</v>
      </c>
      <c r="G1238" t="s">
        <v>317</v>
      </c>
      <c r="H1238" t="s">
        <v>1439</v>
      </c>
      <c r="I1238">
        <v>230</v>
      </c>
      <c r="J1238">
        <v>16</v>
      </c>
      <c r="K1238">
        <f t="shared" si="78"/>
        <v>6.9565217391304346</v>
      </c>
      <c r="L1238" t="s">
        <v>1739</v>
      </c>
      <c r="M1238" t="s">
        <v>3657</v>
      </c>
      <c r="N1238" t="s">
        <v>1</v>
      </c>
      <c r="O1238">
        <v>491001</v>
      </c>
      <c r="P1238" t="s">
        <v>546</v>
      </c>
      <c r="Q1238" t="s">
        <v>1765</v>
      </c>
      <c r="S1238">
        <v>63.968000000000004</v>
      </c>
      <c r="T1238">
        <v>2</v>
      </c>
      <c r="U1238">
        <v>0.2</v>
      </c>
      <c r="V1238">
        <v>0</v>
      </c>
      <c r="W1238">
        <f t="shared" si="79"/>
        <v>31.984000000000002</v>
      </c>
      <c r="X1238">
        <v>1</v>
      </c>
    </row>
    <row r="1239" spans="1:24" x14ac:dyDescent="0.3">
      <c r="A1239">
        <v>1238</v>
      </c>
      <c r="B1239" t="s">
        <v>3000</v>
      </c>
      <c r="C1239" s="6">
        <v>45434</v>
      </c>
      <c r="D1239" t="str">
        <f t="shared" si="76"/>
        <v>May</v>
      </c>
      <c r="E1239" t="str">
        <f t="shared" si="77"/>
        <v>2024</v>
      </c>
      <c r="F1239" t="s">
        <v>6</v>
      </c>
      <c r="G1239" t="s">
        <v>317</v>
      </c>
      <c r="H1239" t="s">
        <v>1115</v>
      </c>
      <c r="I1239">
        <v>180</v>
      </c>
      <c r="J1239">
        <v>12</v>
      </c>
      <c r="K1239">
        <f t="shared" si="78"/>
        <v>6.666666666666667</v>
      </c>
      <c r="L1239" t="s">
        <v>1738</v>
      </c>
      <c r="M1239" t="s">
        <v>3817</v>
      </c>
      <c r="N1239" t="s">
        <v>1</v>
      </c>
      <c r="O1239">
        <v>560008</v>
      </c>
      <c r="P1239" t="s">
        <v>546</v>
      </c>
      <c r="Q1239" t="s">
        <v>1770</v>
      </c>
      <c r="S1239">
        <v>165.048</v>
      </c>
      <c r="T1239">
        <v>3</v>
      </c>
      <c r="U1239">
        <v>0.2</v>
      </c>
      <c r="V1239">
        <v>41.262</v>
      </c>
      <c r="W1239">
        <f t="shared" si="79"/>
        <v>41.262</v>
      </c>
      <c r="X1239">
        <v>4</v>
      </c>
    </row>
    <row r="1240" spans="1:24" x14ac:dyDescent="0.3">
      <c r="A1240">
        <v>1239</v>
      </c>
      <c r="B1240" t="s">
        <v>3001</v>
      </c>
      <c r="C1240" s="6">
        <v>45435</v>
      </c>
      <c r="D1240" t="str">
        <f t="shared" si="76"/>
        <v>May</v>
      </c>
      <c r="E1240" t="str">
        <f t="shared" si="77"/>
        <v>2024</v>
      </c>
      <c r="F1240" t="s">
        <v>4</v>
      </c>
      <c r="G1240" t="s">
        <v>418</v>
      </c>
      <c r="H1240" t="s">
        <v>1440</v>
      </c>
      <c r="I1240">
        <v>240</v>
      </c>
      <c r="J1240">
        <v>6</v>
      </c>
      <c r="K1240">
        <f t="shared" si="78"/>
        <v>2.5</v>
      </c>
      <c r="L1240" t="s">
        <v>1737</v>
      </c>
      <c r="M1240" t="s">
        <v>3880</v>
      </c>
      <c r="N1240" t="s">
        <v>1</v>
      </c>
      <c r="O1240">
        <v>682020</v>
      </c>
      <c r="P1240" t="s">
        <v>546</v>
      </c>
      <c r="Q1240" t="s">
        <v>1755</v>
      </c>
      <c r="S1240">
        <v>12.35</v>
      </c>
      <c r="T1240">
        <v>1</v>
      </c>
      <c r="U1240">
        <v>0</v>
      </c>
      <c r="V1240">
        <v>5.4340000000000002</v>
      </c>
      <c r="W1240">
        <f t="shared" si="79"/>
        <v>6.9159999999999995</v>
      </c>
      <c r="X1240">
        <v>4</v>
      </c>
    </row>
    <row r="1241" spans="1:24" x14ac:dyDescent="0.3">
      <c r="A1241">
        <v>1240</v>
      </c>
      <c r="B1241" t="s">
        <v>3002</v>
      </c>
      <c r="C1241" s="6">
        <v>45436</v>
      </c>
      <c r="D1241" t="str">
        <f t="shared" si="76"/>
        <v>May</v>
      </c>
      <c r="E1241" t="str">
        <f t="shared" si="77"/>
        <v>2024</v>
      </c>
      <c r="F1241" t="s">
        <v>4</v>
      </c>
      <c r="G1241" t="s">
        <v>418</v>
      </c>
      <c r="H1241" t="s">
        <v>1441</v>
      </c>
      <c r="I1241">
        <v>100</v>
      </c>
      <c r="J1241">
        <v>18</v>
      </c>
      <c r="K1241">
        <f t="shared" si="78"/>
        <v>18</v>
      </c>
      <c r="L1241" t="s">
        <v>1743</v>
      </c>
      <c r="M1241" t="s">
        <v>3881</v>
      </c>
      <c r="N1241" t="s">
        <v>1</v>
      </c>
      <c r="O1241">
        <v>122011</v>
      </c>
      <c r="P1241" t="s">
        <v>546</v>
      </c>
      <c r="Q1241" t="s">
        <v>1767</v>
      </c>
      <c r="S1241">
        <v>40.97</v>
      </c>
      <c r="T1241">
        <v>1</v>
      </c>
      <c r="U1241">
        <v>0</v>
      </c>
      <c r="V1241">
        <v>10.652200000000001</v>
      </c>
      <c r="W1241">
        <f t="shared" si="79"/>
        <v>30.317799999999998</v>
      </c>
      <c r="X1241">
        <v>2</v>
      </c>
    </row>
    <row r="1242" spans="1:24" x14ac:dyDescent="0.3">
      <c r="A1242">
        <v>1241</v>
      </c>
      <c r="B1242" t="s">
        <v>3003</v>
      </c>
      <c r="C1242" s="6">
        <v>45437</v>
      </c>
      <c r="D1242" t="str">
        <f t="shared" si="76"/>
        <v>May</v>
      </c>
      <c r="E1242" t="str">
        <f t="shared" si="77"/>
        <v>2024</v>
      </c>
      <c r="F1242" t="s">
        <v>4</v>
      </c>
      <c r="G1242" t="s">
        <v>418</v>
      </c>
      <c r="H1242" t="s">
        <v>818</v>
      </c>
      <c r="I1242">
        <v>200</v>
      </c>
      <c r="J1242">
        <v>10</v>
      </c>
      <c r="K1242">
        <f t="shared" si="78"/>
        <v>5</v>
      </c>
      <c r="L1242" t="s">
        <v>1738</v>
      </c>
      <c r="M1242" t="s">
        <v>3882</v>
      </c>
      <c r="N1242" t="s">
        <v>1</v>
      </c>
      <c r="O1242">
        <v>110081</v>
      </c>
      <c r="P1242" t="s">
        <v>546</v>
      </c>
      <c r="Q1242" t="s">
        <v>1758</v>
      </c>
      <c r="S1242">
        <v>22.96</v>
      </c>
      <c r="T1242">
        <v>2</v>
      </c>
      <c r="U1242">
        <v>0</v>
      </c>
      <c r="V1242">
        <v>10.7912</v>
      </c>
      <c r="W1242">
        <f t="shared" si="79"/>
        <v>6.0844000000000005</v>
      </c>
      <c r="X1242">
        <v>4</v>
      </c>
    </row>
    <row r="1243" spans="1:24" x14ac:dyDescent="0.3">
      <c r="A1243">
        <v>1242</v>
      </c>
      <c r="B1243" t="s">
        <v>3004</v>
      </c>
      <c r="C1243" s="6">
        <v>45438</v>
      </c>
      <c r="D1243" t="str">
        <f t="shared" si="76"/>
        <v>May</v>
      </c>
      <c r="E1243" t="str">
        <f t="shared" si="77"/>
        <v>2024</v>
      </c>
      <c r="F1243" t="s">
        <v>4</v>
      </c>
      <c r="G1243" t="s">
        <v>253</v>
      </c>
      <c r="H1243" t="s">
        <v>1442</v>
      </c>
      <c r="I1243">
        <v>210</v>
      </c>
      <c r="J1243">
        <v>16</v>
      </c>
      <c r="K1243">
        <f t="shared" si="78"/>
        <v>7.6190476190476195</v>
      </c>
      <c r="L1243" t="s">
        <v>1739</v>
      </c>
      <c r="M1243" t="s">
        <v>3883</v>
      </c>
      <c r="N1243" t="s">
        <v>1</v>
      </c>
      <c r="O1243">
        <v>560068</v>
      </c>
      <c r="P1243" t="s">
        <v>546</v>
      </c>
      <c r="Q1243" t="s">
        <v>1760</v>
      </c>
      <c r="S1243">
        <v>22</v>
      </c>
      <c r="T1243">
        <v>4</v>
      </c>
      <c r="U1243">
        <v>0</v>
      </c>
      <c r="V1243">
        <v>5.5</v>
      </c>
      <c r="W1243">
        <f t="shared" si="79"/>
        <v>4.125</v>
      </c>
      <c r="X1243">
        <v>2</v>
      </c>
    </row>
    <row r="1244" spans="1:24" x14ac:dyDescent="0.3">
      <c r="A1244">
        <v>1243</v>
      </c>
      <c r="B1244" t="s">
        <v>3005</v>
      </c>
      <c r="C1244" s="6">
        <v>45439</v>
      </c>
      <c r="D1244" t="str">
        <f t="shared" si="76"/>
        <v>May</v>
      </c>
      <c r="E1244" t="str">
        <f t="shared" si="77"/>
        <v>2024</v>
      </c>
      <c r="F1244" t="s">
        <v>4</v>
      </c>
      <c r="G1244" t="s">
        <v>317</v>
      </c>
      <c r="H1244" t="s">
        <v>1443</v>
      </c>
      <c r="I1244">
        <v>130</v>
      </c>
      <c r="J1244">
        <v>6</v>
      </c>
      <c r="K1244">
        <f t="shared" si="78"/>
        <v>4.6153846153846159</v>
      </c>
      <c r="L1244" t="s">
        <v>1741</v>
      </c>
      <c r="M1244" t="s">
        <v>3884</v>
      </c>
      <c r="N1244" t="s">
        <v>1</v>
      </c>
      <c r="O1244">
        <v>400012</v>
      </c>
      <c r="P1244" t="s">
        <v>546</v>
      </c>
      <c r="Q1244" t="s">
        <v>1759</v>
      </c>
      <c r="R1244" t="s">
        <v>2</v>
      </c>
      <c r="S1244">
        <v>398.35199999999998</v>
      </c>
      <c r="T1244">
        <v>3</v>
      </c>
      <c r="U1244">
        <v>0.2</v>
      </c>
      <c r="V1244">
        <v>124.485</v>
      </c>
      <c r="W1244">
        <f t="shared" si="79"/>
        <v>91.288999999999987</v>
      </c>
      <c r="X1244">
        <v>1</v>
      </c>
    </row>
    <row r="1245" spans="1:24" x14ac:dyDescent="0.3">
      <c r="A1245">
        <v>1244</v>
      </c>
      <c r="B1245" t="s">
        <v>3006</v>
      </c>
      <c r="C1245" s="6">
        <v>45440</v>
      </c>
      <c r="D1245" t="str">
        <f t="shared" si="76"/>
        <v>May</v>
      </c>
      <c r="E1245" t="str">
        <f t="shared" si="77"/>
        <v>2024</v>
      </c>
      <c r="F1245" t="s">
        <v>4</v>
      </c>
      <c r="G1245" t="s">
        <v>317</v>
      </c>
      <c r="H1245" t="s">
        <v>599</v>
      </c>
      <c r="I1245">
        <v>220</v>
      </c>
      <c r="J1245">
        <v>24</v>
      </c>
      <c r="K1245">
        <f t="shared" si="78"/>
        <v>10.909090909090908</v>
      </c>
      <c r="L1245" t="s">
        <v>1736</v>
      </c>
      <c r="M1245" t="s">
        <v>3885</v>
      </c>
      <c r="N1245" t="s">
        <v>1</v>
      </c>
      <c r="O1245">
        <v>144001</v>
      </c>
      <c r="P1245" t="s">
        <v>546</v>
      </c>
      <c r="Q1245" t="s">
        <v>1772</v>
      </c>
      <c r="S1245">
        <v>8.7200000000000006</v>
      </c>
      <c r="T1245">
        <v>4</v>
      </c>
      <c r="U1245">
        <v>0</v>
      </c>
      <c r="V1245">
        <v>3.5752000000000002</v>
      </c>
      <c r="W1245">
        <f t="shared" si="79"/>
        <v>1.2862</v>
      </c>
      <c r="X1245">
        <v>4</v>
      </c>
    </row>
    <row r="1246" spans="1:24" x14ac:dyDescent="0.3">
      <c r="A1246">
        <v>1245</v>
      </c>
      <c r="B1246" t="s">
        <v>3007</v>
      </c>
      <c r="C1246" s="6">
        <v>45441</v>
      </c>
      <c r="D1246" t="str">
        <f t="shared" si="76"/>
        <v>May</v>
      </c>
      <c r="E1246" t="str">
        <f t="shared" si="77"/>
        <v>2024</v>
      </c>
      <c r="F1246" t="s">
        <v>4</v>
      </c>
      <c r="G1246" t="s">
        <v>419</v>
      </c>
      <c r="H1246" t="s">
        <v>1444</v>
      </c>
      <c r="I1246">
        <v>170</v>
      </c>
      <c r="J1246">
        <v>26</v>
      </c>
      <c r="K1246">
        <f t="shared" si="78"/>
        <v>15.294117647058824</v>
      </c>
      <c r="L1246" t="s">
        <v>1744</v>
      </c>
      <c r="M1246" t="s">
        <v>3886</v>
      </c>
      <c r="N1246" t="s">
        <v>1</v>
      </c>
      <c r="O1246">
        <v>505212</v>
      </c>
      <c r="P1246" t="s">
        <v>546</v>
      </c>
      <c r="Q1246" t="s">
        <v>1760</v>
      </c>
      <c r="S1246">
        <v>48.69</v>
      </c>
      <c r="T1246">
        <v>9</v>
      </c>
      <c r="U1246">
        <v>0</v>
      </c>
      <c r="V1246">
        <v>23.8581</v>
      </c>
      <c r="W1246">
        <f t="shared" si="79"/>
        <v>2.7590999999999997</v>
      </c>
      <c r="X1246">
        <v>3</v>
      </c>
    </row>
    <row r="1247" spans="1:24" x14ac:dyDescent="0.3">
      <c r="A1247">
        <v>1246</v>
      </c>
      <c r="B1247" t="s">
        <v>3008</v>
      </c>
      <c r="C1247" s="6">
        <v>45442</v>
      </c>
      <c r="D1247" t="str">
        <f t="shared" si="76"/>
        <v>May</v>
      </c>
      <c r="E1247" t="str">
        <f t="shared" si="77"/>
        <v>2024</v>
      </c>
      <c r="F1247" t="s">
        <v>3</v>
      </c>
      <c r="G1247" t="s">
        <v>420</v>
      </c>
      <c r="H1247" t="s">
        <v>1445</v>
      </c>
      <c r="I1247">
        <v>240</v>
      </c>
      <c r="J1247">
        <v>18</v>
      </c>
      <c r="K1247">
        <f t="shared" si="78"/>
        <v>7.5</v>
      </c>
      <c r="L1247" t="s">
        <v>1740</v>
      </c>
      <c r="M1247" t="s">
        <v>3887</v>
      </c>
      <c r="N1247" t="s">
        <v>1</v>
      </c>
      <c r="O1247">
        <v>492001</v>
      </c>
      <c r="P1247" t="s">
        <v>546</v>
      </c>
      <c r="Q1247" t="s">
        <v>1759</v>
      </c>
      <c r="S1247">
        <v>764.68799999999999</v>
      </c>
      <c r="T1247">
        <v>6</v>
      </c>
      <c r="U1247">
        <v>0.2</v>
      </c>
      <c r="V1247">
        <v>95.585999999999999</v>
      </c>
      <c r="W1247">
        <f t="shared" si="79"/>
        <v>111.517</v>
      </c>
      <c r="X1247">
        <v>5</v>
      </c>
    </row>
    <row r="1248" spans="1:24" x14ac:dyDescent="0.3">
      <c r="A1248">
        <v>1247</v>
      </c>
      <c r="B1248" t="s">
        <v>3009</v>
      </c>
      <c r="C1248" s="6">
        <v>45443</v>
      </c>
      <c r="D1248" t="str">
        <f t="shared" si="76"/>
        <v>May</v>
      </c>
      <c r="E1248" t="str">
        <f t="shared" si="77"/>
        <v>2024</v>
      </c>
      <c r="F1248" t="s">
        <v>3</v>
      </c>
      <c r="G1248" t="s">
        <v>420</v>
      </c>
      <c r="H1248" t="s">
        <v>762</v>
      </c>
      <c r="I1248">
        <v>240</v>
      </c>
      <c r="J1248">
        <v>8</v>
      </c>
      <c r="K1248">
        <f t="shared" si="78"/>
        <v>3.3333333333333335</v>
      </c>
      <c r="L1248" t="s">
        <v>1742</v>
      </c>
      <c r="M1248" t="s">
        <v>3888</v>
      </c>
      <c r="N1248" t="s">
        <v>1</v>
      </c>
      <c r="O1248">
        <v>400086</v>
      </c>
      <c r="P1248" t="s">
        <v>546</v>
      </c>
      <c r="Q1248" t="s">
        <v>1773</v>
      </c>
      <c r="S1248">
        <v>3610.848</v>
      </c>
      <c r="T1248">
        <v>12</v>
      </c>
      <c r="U1248">
        <v>0.2</v>
      </c>
      <c r="V1248">
        <v>135.4068</v>
      </c>
      <c r="W1248">
        <f t="shared" si="79"/>
        <v>289.62009999999998</v>
      </c>
      <c r="X1248">
        <v>3</v>
      </c>
    </row>
    <row r="1249" spans="1:24" x14ac:dyDescent="0.3">
      <c r="A1249">
        <v>1248</v>
      </c>
      <c r="B1249" t="s">
        <v>3010</v>
      </c>
      <c r="C1249" s="6">
        <v>45444</v>
      </c>
      <c r="D1249" t="str">
        <f t="shared" si="76"/>
        <v>Jun</v>
      </c>
      <c r="E1249" t="str">
        <f t="shared" si="77"/>
        <v>2024</v>
      </c>
      <c r="F1249" t="s">
        <v>3</v>
      </c>
      <c r="G1249" t="s">
        <v>420</v>
      </c>
      <c r="H1249" t="s">
        <v>1446</v>
      </c>
      <c r="I1249">
        <v>130</v>
      </c>
      <c r="J1249">
        <v>6</v>
      </c>
      <c r="K1249">
        <f t="shared" si="78"/>
        <v>4.6153846153846159</v>
      </c>
      <c r="L1249" t="s">
        <v>1739</v>
      </c>
      <c r="M1249" t="s">
        <v>3889</v>
      </c>
      <c r="N1249" t="s">
        <v>1</v>
      </c>
      <c r="O1249">
        <v>524002</v>
      </c>
      <c r="P1249" t="s">
        <v>546</v>
      </c>
      <c r="Q1249" t="s">
        <v>1765</v>
      </c>
      <c r="S1249">
        <v>254.97450000000001</v>
      </c>
      <c r="T1249">
        <v>3</v>
      </c>
      <c r="U1249">
        <v>0.15</v>
      </c>
      <c r="V1249">
        <v>11.998799999999999</v>
      </c>
      <c r="W1249">
        <f t="shared" si="79"/>
        <v>80.991900000000001</v>
      </c>
      <c r="X1249">
        <v>2</v>
      </c>
    </row>
    <row r="1250" spans="1:24" x14ac:dyDescent="0.3">
      <c r="A1250">
        <v>1249</v>
      </c>
      <c r="B1250" t="s">
        <v>3011</v>
      </c>
      <c r="C1250" s="6">
        <v>45445</v>
      </c>
      <c r="D1250" t="str">
        <f t="shared" si="76"/>
        <v>Jun</v>
      </c>
      <c r="E1250" t="str">
        <f t="shared" si="77"/>
        <v>2024</v>
      </c>
      <c r="F1250" t="s">
        <v>4</v>
      </c>
      <c r="G1250" t="s">
        <v>271</v>
      </c>
      <c r="H1250" t="s">
        <v>1447</v>
      </c>
      <c r="I1250">
        <v>180</v>
      </c>
      <c r="J1250">
        <v>16</v>
      </c>
      <c r="K1250">
        <f t="shared" si="78"/>
        <v>8.8888888888888893</v>
      </c>
      <c r="L1250" t="s">
        <v>1738</v>
      </c>
      <c r="M1250" t="s">
        <v>3890</v>
      </c>
      <c r="N1250" t="s">
        <v>1</v>
      </c>
      <c r="O1250">
        <v>431005</v>
      </c>
      <c r="P1250" t="s">
        <v>546</v>
      </c>
      <c r="Q1250" t="s">
        <v>1764</v>
      </c>
      <c r="S1250">
        <v>38.82</v>
      </c>
      <c r="T1250">
        <v>6</v>
      </c>
      <c r="U1250">
        <v>0</v>
      </c>
      <c r="V1250">
        <v>17.469000000000001</v>
      </c>
      <c r="W1250">
        <f t="shared" si="79"/>
        <v>3.5585</v>
      </c>
      <c r="X1250">
        <v>2</v>
      </c>
    </row>
    <row r="1251" spans="1:24" x14ac:dyDescent="0.3">
      <c r="A1251">
        <v>1250</v>
      </c>
      <c r="B1251" t="s">
        <v>3012</v>
      </c>
      <c r="C1251" s="6">
        <v>45446</v>
      </c>
      <c r="D1251" t="str">
        <f t="shared" si="76"/>
        <v>Jun</v>
      </c>
      <c r="E1251" t="str">
        <f t="shared" si="77"/>
        <v>2024</v>
      </c>
      <c r="F1251" t="s">
        <v>4</v>
      </c>
      <c r="G1251" t="s">
        <v>271</v>
      </c>
      <c r="H1251" t="s">
        <v>1448</v>
      </c>
      <c r="I1251">
        <v>200</v>
      </c>
      <c r="J1251">
        <v>12</v>
      </c>
      <c r="K1251">
        <f t="shared" si="78"/>
        <v>6</v>
      </c>
      <c r="L1251" t="s">
        <v>1743</v>
      </c>
      <c r="M1251" t="s">
        <v>3891</v>
      </c>
      <c r="N1251" t="s">
        <v>1</v>
      </c>
      <c r="O1251">
        <v>700126</v>
      </c>
      <c r="P1251" t="s">
        <v>546</v>
      </c>
      <c r="Q1251" t="s">
        <v>1764</v>
      </c>
      <c r="S1251">
        <v>1141.9380000000001</v>
      </c>
      <c r="T1251">
        <v>9</v>
      </c>
      <c r="U1251">
        <v>0.1</v>
      </c>
      <c r="V1251">
        <v>139.5702</v>
      </c>
      <c r="W1251">
        <f t="shared" si="79"/>
        <v>111.37420000000002</v>
      </c>
      <c r="X1251">
        <v>5</v>
      </c>
    </row>
    <row r="1252" spans="1:24" x14ac:dyDescent="0.3">
      <c r="A1252">
        <v>1251</v>
      </c>
      <c r="B1252" t="s">
        <v>3013</v>
      </c>
      <c r="C1252" s="6">
        <v>45447</v>
      </c>
      <c r="D1252" t="str">
        <f t="shared" si="76"/>
        <v>Jun</v>
      </c>
      <c r="E1252" t="str">
        <f t="shared" si="77"/>
        <v>2024</v>
      </c>
      <c r="F1252" t="s">
        <v>4</v>
      </c>
      <c r="G1252" t="s">
        <v>271</v>
      </c>
      <c r="H1252" t="s">
        <v>711</v>
      </c>
      <c r="I1252">
        <v>110</v>
      </c>
      <c r="J1252">
        <v>14</v>
      </c>
      <c r="K1252">
        <f t="shared" si="78"/>
        <v>12.727272727272727</v>
      </c>
      <c r="L1252" t="s">
        <v>1737</v>
      </c>
      <c r="M1252" t="s">
        <v>3892</v>
      </c>
      <c r="N1252" t="s">
        <v>1</v>
      </c>
      <c r="O1252">
        <v>440002</v>
      </c>
      <c r="P1252" t="s">
        <v>546</v>
      </c>
      <c r="Q1252" t="s">
        <v>1759</v>
      </c>
      <c r="R1252" t="s">
        <v>2</v>
      </c>
      <c r="S1252">
        <v>1704.56</v>
      </c>
      <c r="T1252">
        <v>13</v>
      </c>
      <c r="U1252">
        <v>0</v>
      </c>
      <c r="V1252">
        <v>511.36799999999999</v>
      </c>
      <c r="W1252">
        <f t="shared" si="79"/>
        <v>91.784000000000006</v>
      </c>
      <c r="X1252">
        <v>1</v>
      </c>
    </row>
    <row r="1253" spans="1:24" x14ac:dyDescent="0.3">
      <c r="A1253">
        <v>1252</v>
      </c>
      <c r="B1253" t="s">
        <v>3014</v>
      </c>
      <c r="C1253" s="6">
        <v>45448</v>
      </c>
      <c r="D1253" t="str">
        <f t="shared" si="76"/>
        <v>Jun</v>
      </c>
      <c r="E1253" t="str">
        <f t="shared" si="77"/>
        <v>2024</v>
      </c>
      <c r="F1253" t="s">
        <v>4</v>
      </c>
      <c r="G1253" t="s">
        <v>271</v>
      </c>
      <c r="H1253" t="s">
        <v>1449</v>
      </c>
      <c r="I1253">
        <v>130</v>
      </c>
      <c r="J1253">
        <v>24</v>
      </c>
      <c r="K1253">
        <f t="shared" si="78"/>
        <v>18.461538461538463</v>
      </c>
      <c r="L1253" t="s">
        <v>1741</v>
      </c>
      <c r="M1253" t="s">
        <v>3893</v>
      </c>
      <c r="O1253">
        <v>502032</v>
      </c>
      <c r="P1253" t="s">
        <v>546</v>
      </c>
      <c r="Q1253" t="s">
        <v>1772</v>
      </c>
      <c r="R1253" t="s">
        <v>2</v>
      </c>
      <c r="S1253">
        <v>3.2</v>
      </c>
      <c r="T1253">
        <v>2</v>
      </c>
      <c r="U1253">
        <v>0</v>
      </c>
      <c r="V1253">
        <v>1.3759999999999999</v>
      </c>
      <c r="W1253">
        <f t="shared" si="79"/>
        <v>0.91200000000000014</v>
      </c>
      <c r="X1253">
        <v>1</v>
      </c>
    </row>
    <row r="1254" spans="1:24" x14ac:dyDescent="0.3">
      <c r="A1254">
        <v>1253</v>
      </c>
      <c r="B1254" t="s">
        <v>3015</v>
      </c>
      <c r="C1254" s="6">
        <v>45449</v>
      </c>
      <c r="D1254" t="str">
        <f t="shared" si="76"/>
        <v>Jun</v>
      </c>
      <c r="E1254" t="str">
        <f t="shared" si="77"/>
        <v>2024</v>
      </c>
      <c r="F1254" t="s">
        <v>4</v>
      </c>
      <c r="G1254" t="s">
        <v>12</v>
      </c>
      <c r="H1254" t="s">
        <v>1450</v>
      </c>
      <c r="I1254">
        <v>210</v>
      </c>
      <c r="J1254">
        <v>10</v>
      </c>
      <c r="K1254">
        <f t="shared" si="78"/>
        <v>4.7619047619047619</v>
      </c>
      <c r="L1254" t="s">
        <v>1736</v>
      </c>
      <c r="M1254" t="s">
        <v>3894</v>
      </c>
      <c r="N1254" t="s">
        <v>1</v>
      </c>
      <c r="O1254">
        <v>400051</v>
      </c>
      <c r="P1254" t="s">
        <v>546</v>
      </c>
      <c r="Q1254" t="s">
        <v>1776</v>
      </c>
      <c r="S1254">
        <v>1099.96</v>
      </c>
      <c r="T1254">
        <v>4</v>
      </c>
      <c r="U1254">
        <v>0</v>
      </c>
      <c r="V1254">
        <v>285.9896</v>
      </c>
      <c r="W1254">
        <f t="shared" si="79"/>
        <v>203.49260000000001</v>
      </c>
      <c r="X1254">
        <v>5</v>
      </c>
    </row>
    <row r="1255" spans="1:24" x14ac:dyDescent="0.3">
      <c r="A1255">
        <v>1254</v>
      </c>
      <c r="B1255" t="s">
        <v>3016</v>
      </c>
      <c r="C1255" s="6">
        <v>45450</v>
      </c>
      <c r="D1255" t="str">
        <f t="shared" si="76"/>
        <v>Jun</v>
      </c>
      <c r="E1255" t="str">
        <f t="shared" si="77"/>
        <v>2024</v>
      </c>
      <c r="F1255" t="s">
        <v>4</v>
      </c>
      <c r="G1255" t="s">
        <v>421</v>
      </c>
      <c r="H1255" t="s">
        <v>1233</v>
      </c>
      <c r="I1255">
        <v>250</v>
      </c>
      <c r="J1255">
        <v>24</v>
      </c>
      <c r="K1255">
        <f t="shared" si="78"/>
        <v>9.6</v>
      </c>
      <c r="L1255" t="s">
        <v>1744</v>
      </c>
      <c r="M1255" t="s">
        <v>3895</v>
      </c>
      <c r="N1255" t="s">
        <v>1</v>
      </c>
      <c r="O1255">
        <v>781022</v>
      </c>
      <c r="P1255" t="s">
        <v>546</v>
      </c>
      <c r="Q1255" t="s">
        <v>1776</v>
      </c>
      <c r="S1255">
        <v>5.2480000000000002</v>
      </c>
      <c r="T1255">
        <v>2</v>
      </c>
      <c r="U1255">
        <v>0.2</v>
      </c>
      <c r="V1255">
        <v>0.59040000000000004</v>
      </c>
      <c r="W1255">
        <f t="shared" si="79"/>
        <v>2.3288000000000002</v>
      </c>
      <c r="X1255">
        <v>1</v>
      </c>
    </row>
    <row r="1256" spans="1:24" x14ac:dyDescent="0.3">
      <c r="A1256">
        <v>1255</v>
      </c>
      <c r="B1256" t="s">
        <v>3017</v>
      </c>
      <c r="C1256" s="6">
        <v>45451</v>
      </c>
      <c r="D1256" t="str">
        <f t="shared" si="76"/>
        <v>Jun</v>
      </c>
      <c r="E1256" t="str">
        <f t="shared" si="77"/>
        <v>2024</v>
      </c>
      <c r="F1256" t="s">
        <v>4</v>
      </c>
      <c r="G1256" t="s">
        <v>421</v>
      </c>
      <c r="H1256" t="s">
        <v>971</v>
      </c>
      <c r="I1256">
        <v>120</v>
      </c>
      <c r="J1256">
        <v>22</v>
      </c>
      <c r="K1256">
        <f t="shared" si="78"/>
        <v>18.333333333333332</v>
      </c>
      <c r="L1256" t="s">
        <v>1740</v>
      </c>
      <c r="M1256" t="s">
        <v>3896</v>
      </c>
      <c r="N1256" t="s">
        <v>1</v>
      </c>
      <c r="O1256">
        <v>491445</v>
      </c>
      <c r="P1256" t="s">
        <v>546</v>
      </c>
      <c r="Q1256" t="s">
        <v>1761</v>
      </c>
      <c r="R1256" t="s">
        <v>2</v>
      </c>
      <c r="S1256">
        <v>35.909999999999997</v>
      </c>
      <c r="T1256">
        <v>3</v>
      </c>
      <c r="U1256">
        <v>0.4</v>
      </c>
      <c r="V1256">
        <v>-8.3789999999999996</v>
      </c>
      <c r="W1256">
        <f t="shared" si="79"/>
        <v>14.762999999999998</v>
      </c>
      <c r="X1256">
        <v>3</v>
      </c>
    </row>
    <row r="1257" spans="1:24" x14ac:dyDescent="0.3">
      <c r="A1257">
        <v>1256</v>
      </c>
      <c r="B1257" t="s">
        <v>3018</v>
      </c>
      <c r="C1257" s="6">
        <v>45452</v>
      </c>
      <c r="D1257" t="str">
        <f t="shared" si="76"/>
        <v>Jun</v>
      </c>
      <c r="E1257" t="str">
        <f t="shared" si="77"/>
        <v>2024</v>
      </c>
      <c r="F1257" t="s">
        <v>4</v>
      </c>
      <c r="G1257" t="s">
        <v>421</v>
      </c>
      <c r="H1257" t="s">
        <v>1451</v>
      </c>
      <c r="I1257">
        <v>100</v>
      </c>
      <c r="J1257">
        <v>10</v>
      </c>
      <c r="K1257">
        <f t="shared" si="78"/>
        <v>10</v>
      </c>
      <c r="L1257" t="s">
        <v>1742</v>
      </c>
      <c r="M1257" t="s">
        <v>3706</v>
      </c>
      <c r="N1257" t="s">
        <v>1</v>
      </c>
      <c r="O1257">
        <v>826001</v>
      </c>
      <c r="P1257" t="s">
        <v>546</v>
      </c>
      <c r="Q1257" t="s">
        <v>1765</v>
      </c>
      <c r="R1257" t="s">
        <v>2</v>
      </c>
      <c r="S1257">
        <v>6.6959999999999997</v>
      </c>
      <c r="T1257">
        <v>1</v>
      </c>
      <c r="U1257">
        <v>0.2</v>
      </c>
      <c r="V1257">
        <v>0.50219999999999998</v>
      </c>
      <c r="W1257">
        <f t="shared" si="79"/>
        <v>6.1937999999999995</v>
      </c>
      <c r="X1257">
        <v>2</v>
      </c>
    </row>
    <row r="1258" spans="1:24" x14ac:dyDescent="0.3">
      <c r="A1258">
        <v>1257</v>
      </c>
      <c r="B1258" t="s">
        <v>3019</v>
      </c>
      <c r="C1258" s="6">
        <v>45453</v>
      </c>
      <c r="D1258" t="str">
        <f t="shared" si="76"/>
        <v>Jun</v>
      </c>
      <c r="E1258" t="str">
        <f t="shared" si="77"/>
        <v>2024</v>
      </c>
      <c r="F1258" t="s">
        <v>4</v>
      </c>
      <c r="G1258" t="s">
        <v>421</v>
      </c>
      <c r="H1258" t="s">
        <v>1452</v>
      </c>
      <c r="I1258">
        <v>180</v>
      </c>
      <c r="J1258">
        <v>8</v>
      </c>
      <c r="K1258">
        <f t="shared" si="78"/>
        <v>4.4444444444444446</v>
      </c>
      <c r="L1258" t="s">
        <v>1739</v>
      </c>
      <c r="M1258" t="s">
        <v>3897</v>
      </c>
      <c r="N1258" t="s">
        <v>1</v>
      </c>
      <c r="O1258">
        <v>560056</v>
      </c>
      <c r="P1258" t="s">
        <v>546</v>
      </c>
      <c r="Q1258" t="s">
        <v>1774</v>
      </c>
      <c r="S1258">
        <v>43.872</v>
      </c>
      <c r="T1258">
        <v>2</v>
      </c>
      <c r="U1258">
        <v>0.2</v>
      </c>
      <c r="V1258">
        <v>11.516400000000001</v>
      </c>
      <c r="W1258">
        <f t="shared" si="79"/>
        <v>16.177799999999998</v>
      </c>
      <c r="X1258">
        <v>4</v>
      </c>
    </row>
    <row r="1259" spans="1:24" x14ac:dyDescent="0.3">
      <c r="A1259">
        <v>1258</v>
      </c>
      <c r="B1259" t="s">
        <v>3020</v>
      </c>
      <c r="C1259" s="6">
        <v>45454</v>
      </c>
      <c r="D1259" t="str">
        <f t="shared" si="76"/>
        <v>Jun</v>
      </c>
      <c r="E1259" t="str">
        <f t="shared" si="77"/>
        <v>2024</v>
      </c>
      <c r="F1259" t="s">
        <v>3</v>
      </c>
      <c r="G1259" t="s">
        <v>183</v>
      </c>
      <c r="H1259" t="s">
        <v>1129</v>
      </c>
      <c r="I1259">
        <v>170</v>
      </c>
      <c r="J1259">
        <v>10</v>
      </c>
      <c r="K1259">
        <f t="shared" si="78"/>
        <v>5.8823529411764701</v>
      </c>
      <c r="L1259" t="s">
        <v>1738</v>
      </c>
      <c r="M1259" t="s">
        <v>3786</v>
      </c>
      <c r="N1259" t="s">
        <v>1</v>
      </c>
      <c r="O1259">
        <v>500090</v>
      </c>
      <c r="P1259" t="s">
        <v>546</v>
      </c>
      <c r="Q1259" t="s">
        <v>1757</v>
      </c>
      <c r="R1259" t="s">
        <v>2</v>
      </c>
      <c r="S1259">
        <v>27.882000000000001</v>
      </c>
      <c r="T1259">
        <v>3</v>
      </c>
      <c r="U1259">
        <v>0.7</v>
      </c>
      <c r="V1259">
        <v>-20.4468</v>
      </c>
      <c r="W1259">
        <f t="shared" si="79"/>
        <v>16.1096</v>
      </c>
      <c r="X1259">
        <v>2</v>
      </c>
    </row>
    <row r="1260" spans="1:24" x14ac:dyDescent="0.3">
      <c r="A1260">
        <v>1259</v>
      </c>
      <c r="B1260" t="s">
        <v>3021</v>
      </c>
      <c r="C1260" s="6">
        <v>45455</v>
      </c>
      <c r="D1260" t="str">
        <f t="shared" si="76"/>
        <v>Jun</v>
      </c>
      <c r="E1260" t="str">
        <f t="shared" si="77"/>
        <v>2024</v>
      </c>
      <c r="F1260" t="s">
        <v>3</v>
      </c>
      <c r="G1260" t="s">
        <v>183</v>
      </c>
      <c r="H1260" t="s">
        <v>1453</v>
      </c>
      <c r="I1260">
        <v>190</v>
      </c>
      <c r="J1260">
        <v>16</v>
      </c>
      <c r="K1260">
        <f t="shared" si="78"/>
        <v>8.4210526315789469</v>
      </c>
      <c r="L1260" t="s">
        <v>1737</v>
      </c>
      <c r="M1260" t="s">
        <v>3898</v>
      </c>
      <c r="N1260" t="s">
        <v>1</v>
      </c>
      <c r="O1260">
        <v>400050</v>
      </c>
      <c r="P1260" t="s">
        <v>546</v>
      </c>
      <c r="Q1260" t="s">
        <v>1776</v>
      </c>
      <c r="S1260">
        <v>540.048</v>
      </c>
      <c r="T1260">
        <v>3</v>
      </c>
      <c r="U1260">
        <v>0.2</v>
      </c>
      <c r="V1260">
        <v>-47.254199999999997</v>
      </c>
      <c r="W1260">
        <f t="shared" si="79"/>
        <v>195.76739999999998</v>
      </c>
      <c r="X1260">
        <v>1</v>
      </c>
    </row>
    <row r="1261" spans="1:24" x14ac:dyDescent="0.3">
      <c r="A1261">
        <v>1260</v>
      </c>
      <c r="B1261" t="s">
        <v>3022</v>
      </c>
      <c r="C1261" s="6">
        <v>45456</v>
      </c>
      <c r="D1261" t="str">
        <f t="shared" si="76"/>
        <v>Jun</v>
      </c>
      <c r="E1261" t="str">
        <f t="shared" si="77"/>
        <v>2024</v>
      </c>
      <c r="F1261" t="s">
        <v>3</v>
      </c>
      <c r="G1261" t="s">
        <v>183</v>
      </c>
      <c r="H1261" t="s">
        <v>787</v>
      </c>
      <c r="I1261">
        <v>240</v>
      </c>
      <c r="J1261">
        <v>24</v>
      </c>
      <c r="K1261">
        <f t="shared" si="78"/>
        <v>10</v>
      </c>
      <c r="L1261" t="s">
        <v>1743</v>
      </c>
      <c r="M1261" t="s">
        <v>3899</v>
      </c>
      <c r="N1261" t="s">
        <v>1</v>
      </c>
      <c r="O1261">
        <v>342026</v>
      </c>
      <c r="P1261" t="s">
        <v>546</v>
      </c>
      <c r="Q1261" t="s">
        <v>1765</v>
      </c>
      <c r="S1261">
        <v>255.68</v>
      </c>
      <c r="T1261">
        <v>8</v>
      </c>
      <c r="U1261">
        <v>0.2</v>
      </c>
      <c r="V1261">
        <v>76.703999999999994</v>
      </c>
      <c r="W1261">
        <f t="shared" si="79"/>
        <v>22.372</v>
      </c>
      <c r="X1261">
        <v>5</v>
      </c>
    </row>
    <row r="1262" spans="1:24" x14ac:dyDescent="0.3">
      <c r="A1262">
        <v>1261</v>
      </c>
      <c r="B1262" t="s">
        <v>3023</v>
      </c>
      <c r="C1262" s="6">
        <v>45457</v>
      </c>
      <c r="D1262" t="str">
        <f t="shared" si="76"/>
        <v>Jun</v>
      </c>
      <c r="E1262" t="str">
        <f t="shared" si="77"/>
        <v>2024</v>
      </c>
      <c r="F1262" t="s">
        <v>4</v>
      </c>
      <c r="G1262" t="s">
        <v>422</v>
      </c>
      <c r="H1262" t="s">
        <v>1454</v>
      </c>
      <c r="I1262">
        <v>130</v>
      </c>
      <c r="J1262">
        <v>8</v>
      </c>
      <c r="K1262">
        <f t="shared" si="78"/>
        <v>6.1538461538461542</v>
      </c>
      <c r="L1262" t="s">
        <v>1738</v>
      </c>
      <c r="M1262" t="s">
        <v>3788</v>
      </c>
      <c r="N1262" t="s">
        <v>1</v>
      </c>
      <c r="O1262">
        <v>201306</v>
      </c>
      <c r="P1262" t="s">
        <v>546</v>
      </c>
      <c r="Q1262" t="s">
        <v>1760</v>
      </c>
      <c r="S1262">
        <v>863.88</v>
      </c>
      <c r="T1262">
        <v>3</v>
      </c>
      <c r="U1262">
        <v>0.2</v>
      </c>
      <c r="V1262">
        <v>107.985</v>
      </c>
      <c r="W1262">
        <f t="shared" si="79"/>
        <v>251.965</v>
      </c>
      <c r="X1262">
        <v>1</v>
      </c>
    </row>
    <row r="1263" spans="1:24" x14ac:dyDescent="0.3">
      <c r="A1263">
        <v>1262</v>
      </c>
      <c r="B1263" t="s">
        <v>3024</v>
      </c>
      <c r="C1263" s="6">
        <v>45458</v>
      </c>
      <c r="D1263" t="str">
        <f t="shared" si="76"/>
        <v>Jun</v>
      </c>
      <c r="E1263" t="str">
        <f t="shared" si="77"/>
        <v>2024</v>
      </c>
      <c r="F1263" t="s">
        <v>4</v>
      </c>
      <c r="G1263" t="s">
        <v>423</v>
      </c>
      <c r="H1263" t="s">
        <v>1455</v>
      </c>
      <c r="I1263">
        <v>180</v>
      </c>
      <c r="J1263">
        <v>18</v>
      </c>
      <c r="K1263">
        <f t="shared" si="78"/>
        <v>10</v>
      </c>
      <c r="L1263" t="s">
        <v>1739</v>
      </c>
      <c r="M1263" t="s">
        <v>3900</v>
      </c>
      <c r="N1263" t="s">
        <v>1</v>
      </c>
      <c r="O1263">
        <v>209601</v>
      </c>
      <c r="P1263" t="s">
        <v>546</v>
      </c>
      <c r="Q1263" t="s">
        <v>1767</v>
      </c>
      <c r="S1263">
        <v>17.616</v>
      </c>
      <c r="T1263">
        <v>4</v>
      </c>
      <c r="U1263">
        <v>0.7</v>
      </c>
      <c r="V1263">
        <v>-14.0928</v>
      </c>
      <c r="W1263">
        <f t="shared" si="79"/>
        <v>7.9272</v>
      </c>
      <c r="X1263">
        <v>5</v>
      </c>
    </row>
    <row r="1264" spans="1:24" x14ac:dyDescent="0.3">
      <c r="A1264">
        <v>1263</v>
      </c>
      <c r="B1264" t="s">
        <v>3025</v>
      </c>
      <c r="C1264" s="6">
        <v>45459</v>
      </c>
      <c r="D1264" t="str">
        <f t="shared" si="76"/>
        <v>Jun</v>
      </c>
      <c r="E1264" t="str">
        <f t="shared" si="77"/>
        <v>2024</v>
      </c>
      <c r="F1264" t="s">
        <v>3</v>
      </c>
      <c r="G1264" t="s">
        <v>401</v>
      </c>
      <c r="H1264" t="s">
        <v>571</v>
      </c>
      <c r="I1264">
        <v>180</v>
      </c>
      <c r="J1264">
        <v>18</v>
      </c>
      <c r="K1264">
        <f t="shared" si="78"/>
        <v>10</v>
      </c>
      <c r="L1264" t="s">
        <v>1741</v>
      </c>
      <c r="M1264" t="s">
        <v>3901</v>
      </c>
      <c r="N1264" t="s">
        <v>1</v>
      </c>
      <c r="O1264">
        <v>212635</v>
      </c>
      <c r="P1264" t="s">
        <v>546</v>
      </c>
      <c r="Q1264" t="s">
        <v>1771</v>
      </c>
      <c r="S1264">
        <v>17.472000000000001</v>
      </c>
      <c r="T1264">
        <v>3</v>
      </c>
      <c r="U1264">
        <v>0.2</v>
      </c>
      <c r="V1264">
        <v>6.3335999999999997</v>
      </c>
      <c r="W1264">
        <f t="shared" si="79"/>
        <v>3.7128000000000001</v>
      </c>
      <c r="X1264">
        <v>2</v>
      </c>
    </row>
    <row r="1265" spans="1:24" x14ac:dyDescent="0.3">
      <c r="A1265">
        <v>1264</v>
      </c>
      <c r="B1265" t="s">
        <v>3026</v>
      </c>
      <c r="C1265" s="6">
        <v>45460</v>
      </c>
      <c r="D1265" t="str">
        <f t="shared" si="76"/>
        <v>Jun</v>
      </c>
      <c r="E1265" t="str">
        <f t="shared" si="77"/>
        <v>2024</v>
      </c>
      <c r="F1265" t="s">
        <v>5</v>
      </c>
      <c r="G1265" t="s">
        <v>424</v>
      </c>
      <c r="H1265" t="s">
        <v>686</v>
      </c>
      <c r="I1265">
        <v>110</v>
      </c>
      <c r="J1265">
        <v>26</v>
      </c>
      <c r="K1265">
        <f t="shared" si="78"/>
        <v>23.636363636363637</v>
      </c>
      <c r="L1265" t="s">
        <v>1736</v>
      </c>
      <c r="M1265" t="s">
        <v>3902</v>
      </c>
      <c r="N1265" t="s">
        <v>1</v>
      </c>
      <c r="O1265">
        <v>560076</v>
      </c>
      <c r="P1265" t="s">
        <v>546</v>
      </c>
      <c r="Q1265" t="s">
        <v>1767</v>
      </c>
      <c r="S1265">
        <v>69.900000000000006</v>
      </c>
      <c r="T1265">
        <v>2</v>
      </c>
      <c r="U1265">
        <v>0</v>
      </c>
      <c r="V1265">
        <v>18.873000000000001</v>
      </c>
      <c r="W1265">
        <f t="shared" si="79"/>
        <v>25.513500000000001</v>
      </c>
      <c r="X1265">
        <v>2</v>
      </c>
    </row>
    <row r="1266" spans="1:24" x14ac:dyDescent="0.3">
      <c r="A1266">
        <v>1265</v>
      </c>
      <c r="B1266" t="s">
        <v>3027</v>
      </c>
      <c r="C1266" s="6">
        <v>45461</v>
      </c>
      <c r="D1266" t="str">
        <f t="shared" si="76"/>
        <v>Jun</v>
      </c>
      <c r="E1266" t="str">
        <f t="shared" si="77"/>
        <v>2024</v>
      </c>
      <c r="F1266" t="s">
        <v>5</v>
      </c>
      <c r="G1266" t="s">
        <v>424</v>
      </c>
      <c r="H1266" t="s">
        <v>1451</v>
      </c>
      <c r="I1266">
        <v>180</v>
      </c>
      <c r="J1266">
        <v>26</v>
      </c>
      <c r="K1266">
        <f t="shared" si="78"/>
        <v>14.444444444444443</v>
      </c>
      <c r="L1266" t="s">
        <v>1744</v>
      </c>
      <c r="M1266" t="s">
        <v>3903</v>
      </c>
      <c r="N1266" t="s">
        <v>1</v>
      </c>
      <c r="O1266">
        <v>391330</v>
      </c>
      <c r="P1266" t="s">
        <v>546</v>
      </c>
      <c r="Q1266" t="s">
        <v>1757</v>
      </c>
      <c r="S1266">
        <v>41.85</v>
      </c>
      <c r="T1266">
        <v>5</v>
      </c>
      <c r="U1266">
        <v>0</v>
      </c>
      <c r="V1266">
        <v>10.881</v>
      </c>
      <c r="W1266">
        <f t="shared" si="79"/>
        <v>6.1938000000000004</v>
      </c>
      <c r="X1266">
        <v>1</v>
      </c>
    </row>
    <row r="1267" spans="1:24" x14ac:dyDescent="0.3">
      <c r="A1267">
        <v>1266</v>
      </c>
      <c r="B1267" t="s">
        <v>3028</v>
      </c>
      <c r="C1267" s="6">
        <v>45462</v>
      </c>
      <c r="D1267" t="str">
        <f t="shared" si="76"/>
        <v>Jun</v>
      </c>
      <c r="E1267" t="str">
        <f t="shared" si="77"/>
        <v>2024</v>
      </c>
      <c r="F1267" t="s">
        <v>4</v>
      </c>
      <c r="G1267" t="s">
        <v>425</v>
      </c>
      <c r="H1267" t="s">
        <v>1456</v>
      </c>
      <c r="I1267">
        <v>100</v>
      </c>
      <c r="J1267">
        <v>22</v>
      </c>
      <c r="K1267">
        <f t="shared" si="78"/>
        <v>22</v>
      </c>
      <c r="L1267" t="s">
        <v>1740</v>
      </c>
      <c r="M1267" t="s">
        <v>3904</v>
      </c>
      <c r="N1267" t="s">
        <v>1</v>
      </c>
      <c r="O1267">
        <v>534005</v>
      </c>
      <c r="P1267" t="s">
        <v>546</v>
      </c>
      <c r="Q1267" t="s">
        <v>1757</v>
      </c>
      <c r="S1267">
        <v>6.57</v>
      </c>
      <c r="T1267">
        <v>3</v>
      </c>
      <c r="U1267">
        <v>0</v>
      </c>
      <c r="V1267">
        <v>1.7739</v>
      </c>
      <c r="W1267">
        <f t="shared" si="79"/>
        <v>1.5987</v>
      </c>
      <c r="X1267">
        <v>1</v>
      </c>
    </row>
    <row r="1268" spans="1:24" x14ac:dyDescent="0.3">
      <c r="A1268">
        <v>1267</v>
      </c>
      <c r="B1268" t="s">
        <v>3029</v>
      </c>
      <c r="C1268" s="6">
        <v>45463</v>
      </c>
      <c r="D1268" t="str">
        <f t="shared" si="76"/>
        <v>Jun</v>
      </c>
      <c r="E1268" t="str">
        <f t="shared" si="77"/>
        <v>2024</v>
      </c>
      <c r="F1268" t="s">
        <v>4</v>
      </c>
      <c r="G1268" t="s">
        <v>43</v>
      </c>
      <c r="H1268" t="s">
        <v>931</v>
      </c>
      <c r="I1268">
        <v>110</v>
      </c>
      <c r="J1268">
        <v>18</v>
      </c>
      <c r="K1268">
        <f t="shared" si="78"/>
        <v>16.363636363636363</v>
      </c>
      <c r="L1268" t="s">
        <v>1742</v>
      </c>
      <c r="M1268" t="s">
        <v>3647</v>
      </c>
      <c r="N1268" t="s">
        <v>1</v>
      </c>
      <c r="O1268">
        <v>201002</v>
      </c>
      <c r="P1268" t="s">
        <v>546</v>
      </c>
      <c r="Q1268" t="s">
        <v>1759</v>
      </c>
      <c r="S1268">
        <v>142.86000000000001</v>
      </c>
      <c r="T1268">
        <v>1</v>
      </c>
      <c r="U1268">
        <v>0</v>
      </c>
      <c r="V1268">
        <v>41.429400000000001</v>
      </c>
      <c r="W1268">
        <f t="shared" si="79"/>
        <v>101.43060000000001</v>
      </c>
      <c r="X1268">
        <v>2</v>
      </c>
    </row>
    <row r="1269" spans="1:24" x14ac:dyDescent="0.3">
      <c r="A1269">
        <v>1268</v>
      </c>
      <c r="B1269" t="s">
        <v>3030</v>
      </c>
      <c r="C1269" s="6">
        <v>45464</v>
      </c>
      <c r="D1269" t="str">
        <f t="shared" si="76"/>
        <v>Jun</v>
      </c>
      <c r="E1269" t="str">
        <f t="shared" si="77"/>
        <v>2024</v>
      </c>
      <c r="F1269" t="s">
        <v>4</v>
      </c>
      <c r="G1269" t="s">
        <v>43</v>
      </c>
      <c r="H1269" t="s">
        <v>611</v>
      </c>
      <c r="I1269">
        <v>250</v>
      </c>
      <c r="J1269">
        <v>6</v>
      </c>
      <c r="K1269">
        <f t="shared" si="78"/>
        <v>2.4</v>
      </c>
      <c r="L1269" t="s">
        <v>1739</v>
      </c>
      <c r="M1269" t="s">
        <v>3905</v>
      </c>
      <c r="O1269">
        <v>342026</v>
      </c>
      <c r="P1269" t="s">
        <v>546</v>
      </c>
      <c r="Q1269" t="s">
        <v>1768</v>
      </c>
      <c r="S1269">
        <v>292.27199999999999</v>
      </c>
      <c r="T1269">
        <v>6</v>
      </c>
      <c r="U1269">
        <v>0.2</v>
      </c>
      <c r="V1269">
        <v>18.266999999999999</v>
      </c>
      <c r="W1269">
        <f t="shared" si="79"/>
        <v>45.667499999999997</v>
      </c>
      <c r="X1269">
        <v>3</v>
      </c>
    </row>
    <row r="1270" spans="1:24" x14ac:dyDescent="0.3">
      <c r="A1270">
        <v>1269</v>
      </c>
      <c r="B1270" t="s">
        <v>3031</v>
      </c>
      <c r="C1270" s="6">
        <v>45465</v>
      </c>
      <c r="D1270" t="str">
        <f t="shared" si="76"/>
        <v>Jun</v>
      </c>
      <c r="E1270" t="str">
        <f t="shared" si="77"/>
        <v>2024</v>
      </c>
      <c r="F1270" t="s">
        <v>4</v>
      </c>
      <c r="G1270" t="s">
        <v>417</v>
      </c>
      <c r="H1270" t="s">
        <v>937</v>
      </c>
      <c r="I1270">
        <v>130</v>
      </c>
      <c r="J1270">
        <v>24</v>
      </c>
      <c r="K1270">
        <f t="shared" si="78"/>
        <v>18.461538461538463</v>
      </c>
      <c r="L1270" t="s">
        <v>1738</v>
      </c>
      <c r="M1270" t="s">
        <v>3778</v>
      </c>
      <c r="N1270" t="s">
        <v>1</v>
      </c>
      <c r="O1270">
        <v>700034</v>
      </c>
      <c r="P1270" t="s">
        <v>546</v>
      </c>
      <c r="Q1270" t="s">
        <v>1767</v>
      </c>
      <c r="S1270">
        <v>29.327999999999999</v>
      </c>
      <c r="T1270">
        <v>3</v>
      </c>
      <c r="U1270">
        <v>0.2</v>
      </c>
      <c r="V1270">
        <v>3.6659999999999999</v>
      </c>
      <c r="W1270">
        <f t="shared" si="79"/>
        <v>8.5540000000000003</v>
      </c>
      <c r="X1270">
        <v>5</v>
      </c>
    </row>
    <row r="1271" spans="1:24" x14ac:dyDescent="0.3">
      <c r="A1271">
        <v>1270</v>
      </c>
      <c r="B1271" t="s">
        <v>3032</v>
      </c>
      <c r="C1271" s="6">
        <v>45466</v>
      </c>
      <c r="D1271" t="str">
        <f t="shared" si="76"/>
        <v>Jun</v>
      </c>
      <c r="E1271" t="str">
        <f t="shared" si="77"/>
        <v>2024</v>
      </c>
      <c r="F1271" t="s">
        <v>4</v>
      </c>
      <c r="G1271" t="s">
        <v>426</v>
      </c>
      <c r="H1271" t="s">
        <v>1457</v>
      </c>
      <c r="I1271">
        <v>240</v>
      </c>
      <c r="J1271">
        <v>16</v>
      </c>
      <c r="K1271">
        <f t="shared" si="78"/>
        <v>6.666666666666667</v>
      </c>
      <c r="L1271" t="s">
        <v>1743</v>
      </c>
      <c r="M1271" t="s">
        <v>3906</v>
      </c>
      <c r="N1271" t="s">
        <v>1</v>
      </c>
      <c r="O1271">
        <v>500009</v>
      </c>
      <c r="P1271" t="s">
        <v>546</v>
      </c>
      <c r="Q1271" t="s">
        <v>1770</v>
      </c>
      <c r="S1271">
        <v>12.48</v>
      </c>
      <c r="T1271">
        <v>2</v>
      </c>
      <c r="U1271">
        <v>0</v>
      </c>
      <c r="V1271">
        <v>5.6159999999999997</v>
      </c>
      <c r="W1271">
        <f t="shared" si="79"/>
        <v>3.4320000000000004</v>
      </c>
      <c r="X1271">
        <v>3</v>
      </c>
    </row>
    <row r="1272" spans="1:24" x14ac:dyDescent="0.3">
      <c r="A1272">
        <v>1271</v>
      </c>
      <c r="B1272" t="s">
        <v>3033</v>
      </c>
      <c r="C1272" s="6">
        <v>45467</v>
      </c>
      <c r="D1272" t="str">
        <f t="shared" si="76"/>
        <v>Jun</v>
      </c>
      <c r="E1272" t="str">
        <f t="shared" si="77"/>
        <v>2024</v>
      </c>
      <c r="F1272" t="s">
        <v>4</v>
      </c>
      <c r="G1272" t="s">
        <v>266</v>
      </c>
      <c r="H1272" t="s">
        <v>1458</v>
      </c>
      <c r="I1272">
        <v>250</v>
      </c>
      <c r="J1272">
        <v>24</v>
      </c>
      <c r="K1272">
        <f t="shared" si="78"/>
        <v>9.6</v>
      </c>
      <c r="L1272" t="s">
        <v>1737</v>
      </c>
      <c r="M1272" t="s">
        <v>3907</v>
      </c>
      <c r="N1272" t="s">
        <v>1</v>
      </c>
      <c r="O1272">
        <v>144004</v>
      </c>
      <c r="P1272" t="s">
        <v>546</v>
      </c>
      <c r="Q1272" t="s">
        <v>1754</v>
      </c>
      <c r="S1272">
        <v>102.336</v>
      </c>
      <c r="T1272">
        <v>4</v>
      </c>
      <c r="U1272">
        <v>0.2</v>
      </c>
      <c r="V1272">
        <v>-12.792</v>
      </c>
      <c r="W1272">
        <f t="shared" si="79"/>
        <v>28.782</v>
      </c>
      <c r="X1272">
        <v>5</v>
      </c>
    </row>
    <row r="1273" spans="1:24" x14ac:dyDescent="0.3">
      <c r="A1273">
        <v>1272</v>
      </c>
      <c r="B1273" t="s">
        <v>3034</v>
      </c>
      <c r="C1273" s="6">
        <v>45468</v>
      </c>
      <c r="D1273" t="str">
        <f t="shared" si="76"/>
        <v>Jun</v>
      </c>
      <c r="E1273" t="str">
        <f t="shared" si="77"/>
        <v>2024</v>
      </c>
      <c r="F1273" t="s">
        <v>4</v>
      </c>
      <c r="G1273" t="s">
        <v>266</v>
      </c>
      <c r="H1273" t="s">
        <v>1270</v>
      </c>
      <c r="I1273">
        <v>140</v>
      </c>
      <c r="J1273">
        <v>18</v>
      </c>
      <c r="K1273">
        <f t="shared" si="78"/>
        <v>12.857142857142856</v>
      </c>
      <c r="L1273" t="s">
        <v>1741</v>
      </c>
      <c r="M1273" t="s">
        <v>3908</v>
      </c>
      <c r="N1273" t="s">
        <v>1</v>
      </c>
      <c r="O1273">
        <v>400071</v>
      </c>
      <c r="P1273" t="s">
        <v>546</v>
      </c>
      <c r="Q1273" t="s">
        <v>1759</v>
      </c>
      <c r="R1273" t="s">
        <v>2</v>
      </c>
      <c r="S1273">
        <v>48.792000000000002</v>
      </c>
      <c r="T1273">
        <v>3</v>
      </c>
      <c r="U1273">
        <v>0.8</v>
      </c>
      <c r="V1273">
        <v>-126.8592</v>
      </c>
      <c r="W1273">
        <f t="shared" si="79"/>
        <v>58.550400000000003</v>
      </c>
      <c r="X1273">
        <v>3</v>
      </c>
    </row>
    <row r="1274" spans="1:24" x14ac:dyDescent="0.3">
      <c r="A1274">
        <v>1273</v>
      </c>
      <c r="B1274" t="s">
        <v>3035</v>
      </c>
      <c r="C1274" s="6">
        <v>45469</v>
      </c>
      <c r="D1274" t="str">
        <f t="shared" si="76"/>
        <v>Jun</v>
      </c>
      <c r="E1274" t="str">
        <f t="shared" si="77"/>
        <v>2024</v>
      </c>
      <c r="F1274" t="s">
        <v>4</v>
      </c>
      <c r="G1274" t="s">
        <v>266</v>
      </c>
      <c r="H1274" t="s">
        <v>1459</v>
      </c>
      <c r="I1274">
        <v>100</v>
      </c>
      <c r="J1274">
        <v>30</v>
      </c>
      <c r="K1274">
        <f t="shared" si="78"/>
        <v>30</v>
      </c>
      <c r="L1274" t="s">
        <v>1736</v>
      </c>
      <c r="M1274" t="s">
        <v>3909</v>
      </c>
      <c r="N1274" t="s">
        <v>1</v>
      </c>
      <c r="O1274">
        <v>500070</v>
      </c>
      <c r="P1274" t="s">
        <v>546</v>
      </c>
      <c r="Q1274" t="s">
        <v>1766</v>
      </c>
      <c r="R1274" t="s">
        <v>2</v>
      </c>
      <c r="S1274">
        <v>44.847999999999999</v>
      </c>
      <c r="T1274">
        <v>8</v>
      </c>
      <c r="U1274">
        <v>0.8</v>
      </c>
      <c r="V1274">
        <v>-67.272000000000006</v>
      </c>
      <c r="W1274">
        <f t="shared" si="79"/>
        <v>14.015000000000001</v>
      </c>
      <c r="X1274">
        <v>1</v>
      </c>
    </row>
    <row r="1275" spans="1:24" x14ac:dyDescent="0.3">
      <c r="A1275">
        <v>1274</v>
      </c>
      <c r="B1275" t="s">
        <v>1906</v>
      </c>
      <c r="C1275" s="6">
        <v>45470</v>
      </c>
      <c r="D1275" t="str">
        <f t="shared" si="76"/>
        <v>Jun</v>
      </c>
      <c r="E1275" t="str">
        <f t="shared" si="77"/>
        <v>2024</v>
      </c>
      <c r="F1275" t="s">
        <v>6</v>
      </c>
      <c r="G1275" t="s">
        <v>391</v>
      </c>
      <c r="H1275" t="s">
        <v>1294</v>
      </c>
      <c r="I1275">
        <v>110</v>
      </c>
      <c r="J1275">
        <v>10</v>
      </c>
      <c r="K1275">
        <f t="shared" si="78"/>
        <v>9.0909090909090917</v>
      </c>
      <c r="L1275" t="s">
        <v>1744</v>
      </c>
      <c r="M1275" t="s">
        <v>3585</v>
      </c>
      <c r="N1275" t="s">
        <v>1</v>
      </c>
      <c r="O1275">
        <v>500070</v>
      </c>
      <c r="P1275" t="s">
        <v>546</v>
      </c>
      <c r="Q1275" t="s">
        <v>1774</v>
      </c>
      <c r="R1275" t="s">
        <v>2</v>
      </c>
      <c r="S1275">
        <v>10.368</v>
      </c>
      <c r="T1275">
        <v>2</v>
      </c>
      <c r="U1275">
        <v>0.2</v>
      </c>
      <c r="V1275">
        <v>3.6288</v>
      </c>
      <c r="W1275">
        <f t="shared" si="79"/>
        <v>3.3696000000000002</v>
      </c>
      <c r="X1275">
        <v>5</v>
      </c>
    </row>
    <row r="1276" spans="1:24" x14ac:dyDescent="0.3">
      <c r="A1276">
        <v>1275</v>
      </c>
      <c r="B1276" t="s">
        <v>3036</v>
      </c>
      <c r="C1276" s="6">
        <v>45471</v>
      </c>
      <c r="D1276" t="str">
        <f t="shared" si="76"/>
        <v>Jun</v>
      </c>
      <c r="E1276" t="str">
        <f t="shared" si="77"/>
        <v>2024</v>
      </c>
      <c r="F1276" t="s">
        <v>6</v>
      </c>
      <c r="G1276" t="s">
        <v>391</v>
      </c>
      <c r="H1276" t="s">
        <v>1460</v>
      </c>
      <c r="I1276">
        <v>120</v>
      </c>
      <c r="J1276">
        <v>8</v>
      </c>
      <c r="K1276">
        <f t="shared" si="78"/>
        <v>6.666666666666667</v>
      </c>
      <c r="L1276" t="s">
        <v>1740</v>
      </c>
      <c r="M1276" t="s">
        <v>3733</v>
      </c>
      <c r="N1276" t="s">
        <v>1</v>
      </c>
      <c r="O1276">
        <v>400708</v>
      </c>
      <c r="P1276" t="s">
        <v>546</v>
      </c>
      <c r="Q1276" t="s">
        <v>1759</v>
      </c>
      <c r="S1276">
        <v>388.43</v>
      </c>
      <c r="T1276">
        <v>5</v>
      </c>
      <c r="U1276">
        <v>0.3</v>
      </c>
      <c r="V1276">
        <v>-88.784000000000006</v>
      </c>
      <c r="W1276">
        <f t="shared" si="79"/>
        <v>95.442800000000005</v>
      </c>
      <c r="X1276">
        <v>1</v>
      </c>
    </row>
    <row r="1277" spans="1:24" x14ac:dyDescent="0.3">
      <c r="A1277">
        <v>1276</v>
      </c>
      <c r="B1277" t="s">
        <v>3037</v>
      </c>
      <c r="C1277" s="6">
        <v>45472</v>
      </c>
      <c r="D1277" t="str">
        <f t="shared" si="76"/>
        <v>Jun</v>
      </c>
      <c r="E1277" t="str">
        <f t="shared" si="77"/>
        <v>2024</v>
      </c>
      <c r="F1277" t="s">
        <v>6</v>
      </c>
      <c r="G1277" t="s">
        <v>391</v>
      </c>
      <c r="H1277" t="s">
        <v>646</v>
      </c>
      <c r="I1277">
        <v>220</v>
      </c>
      <c r="J1277">
        <v>30</v>
      </c>
      <c r="K1277">
        <f t="shared" si="78"/>
        <v>13.636363636363635</v>
      </c>
      <c r="L1277" t="s">
        <v>1742</v>
      </c>
      <c r="M1277" t="s">
        <v>3910</v>
      </c>
      <c r="N1277" t="s">
        <v>1</v>
      </c>
      <c r="O1277">
        <v>560084</v>
      </c>
      <c r="P1277" t="s">
        <v>546</v>
      </c>
      <c r="Q1277" t="s">
        <v>1769</v>
      </c>
      <c r="S1277">
        <v>14.352</v>
      </c>
      <c r="T1277">
        <v>3</v>
      </c>
      <c r="U1277">
        <v>0.2</v>
      </c>
      <c r="V1277">
        <v>5.2026000000000003</v>
      </c>
      <c r="W1277">
        <f t="shared" si="79"/>
        <v>3.0497999999999998</v>
      </c>
      <c r="X1277">
        <v>3</v>
      </c>
    </row>
    <row r="1278" spans="1:24" x14ac:dyDescent="0.3">
      <c r="A1278">
        <v>1277</v>
      </c>
      <c r="B1278" t="s">
        <v>3038</v>
      </c>
      <c r="C1278" s="6">
        <v>45473</v>
      </c>
      <c r="D1278" t="str">
        <f t="shared" si="76"/>
        <v>Jun</v>
      </c>
      <c r="E1278" t="str">
        <f t="shared" si="77"/>
        <v>2024</v>
      </c>
      <c r="F1278" t="s">
        <v>6</v>
      </c>
      <c r="G1278" t="s">
        <v>391</v>
      </c>
      <c r="H1278" t="s">
        <v>1461</v>
      </c>
      <c r="I1278">
        <v>190</v>
      </c>
      <c r="J1278">
        <v>24</v>
      </c>
      <c r="K1278">
        <f t="shared" si="78"/>
        <v>12.631578947368421</v>
      </c>
      <c r="L1278" t="s">
        <v>1739</v>
      </c>
      <c r="M1278" t="s">
        <v>3657</v>
      </c>
      <c r="N1278" t="s">
        <v>1</v>
      </c>
      <c r="O1278">
        <v>562107</v>
      </c>
      <c r="P1278" t="s">
        <v>546</v>
      </c>
      <c r="Q1278" t="s">
        <v>1765</v>
      </c>
      <c r="S1278">
        <v>63.991999999999997</v>
      </c>
      <c r="T1278">
        <v>1</v>
      </c>
      <c r="U1278">
        <v>0.2</v>
      </c>
      <c r="V1278">
        <v>-7.1990999999999996</v>
      </c>
      <c r="W1278">
        <f t="shared" si="79"/>
        <v>71.191099999999992</v>
      </c>
      <c r="X1278">
        <v>2</v>
      </c>
    </row>
    <row r="1279" spans="1:24" x14ac:dyDescent="0.3">
      <c r="A1279">
        <v>1278</v>
      </c>
      <c r="B1279" t="s">
        <v>3039</v>
      </c>
      <c r="C1279" s="6">
        <v>45474</v>
      </c>
      <c r="D1279" t="str">
        <f t="shared" si="76"/>
        <v>Jul</v>
      </c>
      <c r="E1279" t="str">
        <f t="shared" si="77"/>
        <v>2024</v>
      </c>
      <c r="F1279" t="s">
        <v>4</v>
      </c>
      <c r="G1279" t="s">
        <v>427</v>
      </c>
      <c r="H1279" t="s">
        <v>1462</v>
      </c>
      <c r="I1279">
        <v>120</v>
      </c>
      <c r="J1279">
        <v>24</v>
      </c>
      <c r="K1279">
        <f t="shared" si="78"/>
        <v>20</v>
      </c>
      <c r="L1279" t="s">
        <v>1738</v>
      </c>
      <c r="M1279" t="s">
        <v>3817</v>
      </c>
      <c r="N1279" t="s">
        <v>1</v>
      </c>
      <c r="O1279">
        <v>400701</v>
      </c>
      <c r="P1279" t="s">
        <v>546</v>
      </c>
      <c r="Q1279" t="s">
        <v>1776</v>
      </c>
      <c r="S1279">
        <v>86.352000000000004</v>
      </c>
      <c r="T1279">
        <v>3</v>
      </c>
      <c r="U1279">
        <v>0.2</v>
      </c>
      <c r="V1279">
        <v>5.3970000000000002</v>
      </c>
      <c r="W1279">
        <f t="shared" si="79"/>
        <v>26.984999999999999</v>
      </c>
      <c r="X1279">
        <v>5</v>
      </c>
    </row>
    <row r="1280" spans="1:24" x14ac:dyDescent="0.3">
      <c r="A1280">
        <v>1279</v>
      </c>
      <c r="B1280" t="s">
        <v>3040</v>
      </c>
      <c r="C1280" s="6">
        <v>45475</v>
      </c>
      <c r="D1280" t="str">
        <f t="shared" si="76"/>
        <v>Jul</v>
      </c>
      <c r="E1280" t="str">
        <f t="shared" si="77"/>
        <v>2024</v>
      </c>
      <c r="F1280" t="s">
        <v>5</v>
      </c>
      <c r="G1280" t="s">
        <v>353</v>
      </c>
      <c r="H1280" t="s">
        <v>1463</v>
      </c>
      <c r="I1280">
        <v>210</v>
      </c>
      <c r="J1280">
        <v>10</v>
      </c>
      <c r="K1280">
        <f t="shared" si="78"/>
        <v>4.7619047619047619</v>
      </c>
      <c r="L1280" t="s">
        <v>1737</v>
      </c>
      <c r="M1280" t="s">
        <v>3911</v>
      </c>
      <c r="N1280" t="s">
        <v>1</v>
      </c>
      <c r="O1280">
        <v>500092</v>
      </c>
      <c r="P1280" t="s">
        <v>546</v>
      </c>
      <c r="Q1280" t="s">
        <v>1759</v>
      </c>
      <c r="S1280">
        <v>32.97</v>
      </c>
      <c r="T1280">
        <v>3</v>
      </c>
      <c r="U1280">
        <v>0</v>
      </c>
      <c r="V1280">
        <v>12.8583</v>
      </c>
      <c r="W1280">
        <f t="shared" si="79"/>
        <v>6.7039</v>
      </c>
      <c r="X1280">
        <v>2</v>
      </c>
    </row>
    <row r="1281" spans="1:24" x14ac:dyDescent="0.3">
      <c r="A1281">
        <v>1280</v>
      </c>
      <c r="B1281" t="s">
        <v>3041</v>
      </c>
      <c r="C1281" s="6">
        <v>45476</v>
      </c>
      <c r="D1281" t="str">
        <f t="shared" si="76"/>
        <v>Jul</v>
      </c>
      <c r="E1281" t="str">
        <f t="shared" si="77"/>
        <v>2024</v>
      </c>
      <c r="F1281" t="s">
        <v>5</v>
      </c>
      <c r="G1281" t="s">
        <v>353</v>
      </c>
      <c r="H1281" t="s">
        <v>1464</v>
      </c>
      <c r="I1281">
        <v>170</v>
      </c>
      <c r="J1281">
        <v>8</v>
      </c>
      <c r="K1281">
        <f t="shared" si="78"/>
        <v>4.7058823529411766</v>
      </c>
      <c r="L1281" t="s">
        <v>1743</v>
      </c>
      <c r="M1281" t="s">
        <v>3912</v>
      </c>
      <c r="N1281" t="s">
        <v>1</v>
      </c>
      <c r="O1281">
        <v>534202</v>
      </c>
      <c r="P1281" t="s">
        <v>546</v>
      </c>
      <c r="Q1281" t="s">
        <v>1771</v>
      </c>
      <c r="S1281">
        <v>83.88</v>
      </c>
      <c r="T1281">
        <v>4</v>
      </c>
      <c r="U1281">
        <v>0</v>
      </c>
      <c r="V1281">
        <v>30.1968</v>
      </c>
      <c r="W1281">
        <f t="shared" si="79"/>
        <v>13.4208</v>
      </c>
      <c r="X1281">
        <v>1</v>
      </c>
    </row>
    <row r="1282" spans="1:24" x14ac:dyDescent="0.3">
      <c r="A1282">
        <v>1281</v>
      </c>
      <c r="B1282" t="s">
        <v>3042</v>
      </c>
      <c r="C1282" s="6">
        <v>45477</v>
      </c>
      <c r="D1282" t="str">
        <f t="shared" si="76"/>
        <v>Jul</v>
      </c>
      <c r="E1282" t="str">
        <f t="shared" si="77"/>
        <v>2024</v>
      </c>
      <c r="F1282" t="s">
        <v>5</v>
      </c>
      <c r="G1282" t="s">
        <v>316</v>
      </c>
      <c r="H1282" t="s">
        <v>1465</v>
      </c>
      <c r="I1282">
        <v>170</v>
      </c>
      <c r="J1282">
        <v>12</v>
      </c>
      <c r="K1282">
        <f t="shared" si="78"/>
        <v>7.0588235294117645</v>
      </c>
      <c r="L1282" t="s">
        <v>1738</v>
      </c>
      <c r="M1282" t="s">
        <v>3662</v>
      </c>
      <c r="N1282" t="s">
        <v>1</v>
      </c>
      <c r="O1282">
        <v>391410</v>
      </c>
      <c r="P1282" t="s">
        <v>546</v>
      </c>
      <c r="Q1282" t="s">
        <v>1758</v>
      </c>
      <c r="S1282">
        <v>278.39999999999998</v>
      </c>
      <c r="T1282">
        <v>3</v>
      </c>
      <c r="U1282">
        <v>0</v>
      </c>
      <c r="V1282">
        <v>80.736000000000004</v>
      </c>
      <c r="W1282">
        <f t="shared" si="79"/>
        <v>65.887999999999991</v>
      </c>
      <c r="X1282">
        <v>2</v>
      </c>
    </row>
    <row r="1283" spans="1:24" x14ac:dyDescent="0.3">
      <c r="A1283">
        <v>1282</v>
      </c>
      <c r="B1283" t="s">
        <v>2530</v>
      </c>
      <c r="C1283" s="6">
        <v>45478</v>
      </c>
      <c r="D1283" t="str">
        <f t="shared" ref="D1283:D1346" si="80">TEXT(C1283,"Mmm")</f>
        <v>Jul</v>
      </c>
      <c r="E1283" t="str">
        <f t="shared" ref="E1283:E1346" si="81">TEXT(C1283,"YYYY")</f>
        <v>2024</v>
      </c>
      <c r="F1283" t="s">
        <v>5</v>
      </c>
      <c r="G1283" t="s">
        <v>200</v>
      </c>
      <c r="H1283" t="s">
        <v>1466</v>
      </c>
      <c r="I1283">
        <v>130</v>
      </c>
      <c r="J1283">
        <v>16</v>
      </c>
      <c r="K1283">
        <f t="shared" ref="K1283:K1346" si="82">(J1283/I1283)*100</f>
        <v>12.307692307692308</v>
      </c>
      <c r="L1283" t="s">
        <v>1739</v>
      </c>
      <c r="M1283" t="s">
        <v>3617</v>
      </c>
      <c r="N1283" t="s">
        <v>1</v>
      </c>
      <c r="O1283">
        <v>391410</v>
      </c>
      <c r="P1283" t="s">
        <v>546</v>
      </c>
      <c r="Q1283" t="s">
        <v>1760</v>
      </c>
      <c r="R1283" t="s">
        <v>2</v>
      </c>
      <c r="S1283">
        <v>15.12</v>
      </c>
      <c r="T1283">
        <v>3</v>
      </c>
      <c r="U1283">
        <v>0.2</v>
      </c>
      <c r="V1283">
        <v>4.9139999999999997</v>
      </c>
      <c r="W1283">
        <f t="shared" ref="W1283:W1346" si="83">(S1283-V1283)/T1283</f>
        <v>3.4019999999999997</v>
      </c>
      <c r="X1283">
        <v>2</v>
      </c>
    </row>
    <row r="1284" spans="1:24" x14ac:dyDescent="0.3">
      <c r="A1284">
        <v>1283</v>
      </c>
      <c r="B1284" t="s">
        <v>3043</v>
      </c>
      <c r="C1284" s="6">
        <v>45479</v>
      </c>
      <c r="D1284" t="str">
        <f t="shared" si="80"/>
        <v>Jul</v>
      </c>
      <c r="E1284" t="str">
        <f t="shared" si="81"/>
        <v>2024</v>
      </c>
      <c r="F1284" t="s">
        <v>5</v>
      </c>
      <c r="G1284" t="s">
        <v>200</v>
      </c>
      <c r="H1284" t="s">
        <v>1467</v>
      </c>
      <c r="I1284">
        <v>190</v>
      </c>
      <c r="J1284">
        <v>22</v>
      </c>
      <c r="K1284">
        <f t="shared" si="82"/>
        <v>11.578947368421053</v>
      </c>
      <c r="L1284" t="s">
        <v>1741</v>
      </c>
      <c r="M1284" t="s">
        <v>3820</v>
      </c>
      <c r="N1284" t="s">
        <v>1</v>
      </c>
      <c r="O1284">
        <v>700038</v>
      </c>
      <c r="P1284" t="s">
        <v>546</v>
      </c>
      <c r="Q1284" t="s">
        <v>1761</v>
      </c>
      <c r="S1284">
        <v>17.43</v>
      </c>
      <c r="T1284">
        <v>1</v>
      </c>
      <c r="U1284">
        <v>0.7</v>
      </c>
      <c r="V1284">
        <v>-13.363</v>
      </c>
      <c r="W1284">
        <f t="shared" si="83"/>
        <v>30.792999999999999</v>
      </c>
      <c r="X1284">
        <v>4</v>
      </c>
    </row>
    <row r="1285" spans="1:24" x14ac:dyDescent="0.3">
      <c r="A1285">
        <v>1284</v>
      </c>
      <c r="B1285" t="s">
        <v>3044</v>
      </c>
      <c r="C1285" s="6">
        <v>45480</v>
      </c>
      <c r="D1285" t="str">
        <f t="shared" si="80"/>
        <v>Jul</v>
      </c>
      <c r="E1285" t="str">
        <f t="shared" si="81"/>
        <v>2024</v>
      </c>
      <c r="F1285" t="s">
        <v>5</v>
      </c>
      <c r="G1285" t="s">
        <v>200</v>
      </c>
      <c r="H1285" t="s">
        <v>1468</v>
      </c>
      <c r="I1285">
        <v>210</v>
      </c>
      <c r="J1285">
        <v>28</v>
      </c>
      <c r="K1285">
        <f t="shared" si="82"/>
        <v>13.333333333333334</v>
      </c>
      <c r="L1285" t="s">
        <v>1736</v>
      </c>
      <c r="M1285" t="s">
        <v>3821</v>
      </c>
      <c r="N1285" t="s">
        <v>1</v>
      </c>
      <c r="O1285">
        <v>752104</v>
      </c>
      <c r="P1285" t="s">
        <v>546</v>
      </c>
      <c r="Q1285" t="s">
        <v>1774</v>
      </c>
      <c r="S1285">
        <v>251.64</v>
      </c>
      <c r="T1285">
        <v>3</v>
      </c>
      <c r="U1285">
        <v>0.2</v>
      </c>
      <c r="V1285">
        <v>88.073999999999998</v>
      </c>
      <c r="W1285">
        <f t="shared" si="83"/>
        <v>54.521999999999991</v>
      </c>
      <c r="X1285">
        <v>2</v>
      </c>
    </row>
    <row r="1286" spans="1:24" x14ac:dyDescent="0.3">
      <c r="A1286">
        <v>1285</v>
      </c>
      <c r="B1286" t="s">
        <v>3045</v>
      </c>
      <c r="C1286" s="6">
        <v>45481</v>
      </c>
      <c r="D1286" t="str">
        <f t="shared" si="80"/>
        <v>Jul</v>
      </c>
      <c r="E1286" t="str">
        <f t="shared" si="81"/>
        <v>2024</v>
      </c>
      <c r="F1286" t="s">
        <v>4</v>
      </c>
      <c r="G1286" t="s">
        <v>154</v>
      </c>
      <c r="H1286" t="s">
        <v>1469</v>
      </c>
      <c r="I1286">
        <v>220</v>
      </c>
      <c r="J1286">
        <v>28</v>
      </c>
      <c r="K1286">
        <f t="shared" si="82"/>
        <v>12.727272727272727</v>
      </c>
      <c r="L1286" t="s">
        <v>1744</v>
      </c>
      <c r="M1286" t="s">
        <v>3822</v>
      </c>
      <c r="O1286">
        <v>160059</v>
      </c>
      <c r="P1286" t="s">
        <v>546</v>
      </c>
      <c r="Q1286" t="s">
        <v>1769</v>
      </c>
      <c r="S1286">
        <v>2.7719999999999998</v>
      </c>
      <c r="T1286">
        <v>7</v>
      </c>
      <c r="U1286">
        <v>0.8</v>
      </c>
      <c r="V1286">
        <v>-4.851</v>
      </c>
      <c r="W1286">
        <f t="shared" si="83"/>
        <v>1.089</v>
      </c>
      <c r="X1286">
        <v>3</v>
      </c>
    </row>
    <row r="1287" spans="1:24" x14ac:dyDescent="0.3">
      <c r="A1287">
        <v>1286</v>
      </c>
      <c r="B1287" t="s">
        <v>3046</v>
      </c>
      <c r="C1287" s="6">
        <v>45482</v>
      </c>
      <c r="D1287" t="str">
        <f t="shared" si="80"/>
        <v>Jul</v>
      </c>
      <c r="E1287" t="str">
        <f t="shared" si="81"/>
        <v>2024</v>
      </c>
      <c r="F1287" t="s">
        <v>4</v>
      </c>
      <c r="G1287" t="s">
        <v>428</v>
      </c>
      <c r="H1287" t="s">
        <v>930</v>
      </c>
      <c r="I1287">
        <v>150</v>
      </c>
      <c r="J1287">
        <v>16</v>
      </c>
      <c r="K1287">
        <f t="shared" si="82"/>
        <v>10.666666666666668</v>
      </c>
      <c r="L1287" t="s">
        <v>1740</v>
      </c>
      <c r="M1287" t="s">
        <v>3823</v>
      </c>
      <c r="N1287" t="s">
        <v>1</v>
      </c>
      <c r="O1287">
        <v>390021</v>
      </c>
      <c r="P1287" t="s">
        <v>546</v>
      </c>
      <c r="Q1287" t="s">
        <v>1765</v>
      </c>
      <c r="S1287">
        <v>14.9</v>
      </c>
      <c r="T1287">
        <v>5</v>
      </c>
      <c r="U1287">
        <v>0</v>
      </c>
      <c r="V1287">
        <v>1.0429999999999999</v>
      </c>
      <c r="W1287">
        <f t="shared" si="83"/>
        <v>2.7714000000000003</v>
      </c>
      <c r="X1287">
        <v>2</v>
      </c>
    </row>
    <row r="1288" spans="1:24" x14ac:dyDescent="0.3">
      <c r="A1288">
        <v>1287</v>
      </c>
      <c r="B1288" t="s">
        <v>3047</v>
      </c>
      <c r="C1288" s="6">
        <v>45483</v>
      </c>
      <c r="D1288" t="str">
        <f t="shared" si="80"/>
        <v>Jul</v>
      </c>
      <c r="E1288" t="str">
        <f t="shared" si="81"/>
        <v>2024</v>
      </c>
      <c r="F1288" t="s">
        <v>4</v>
      </c>
      <c r="G1288" t="s">
        <v>64</v>
      </c>
      <c r="H1288" t="s">
        <v>1470</v>
      </c>
      <c r="I1288">
        <v>220</v>
      </c>
      <c r="J1288">
        <v>16</v>
      </c>
      <c r="K1288">
        <f t="shared" si="82"/>
        <v>7.2727272727272725</v>
      </c>
      <c r="L1288" t="s">
        <v>1742</v>
      </c>
      <c r="M1288" t="s">
        <v>3687</v>
      </c>
      <c r="N1288" t="s">
        <v>1</v>
      </c>
      <c r="O1288">
        <v>560086</v>
      </c>
      <c r="P1288" t="s">
        <v>546</v>
      </c>
      <c r="Q1288" t="s">
        <v>1771</v>
      </c>
      <c r="S1288">
        <v>15.48</v>
      </c>
      <c r="T1288">
        <v>3</v>
      </c>
      <c r="U1288">
        <v>0</v>
      </c>
      <c r="V1288">
        <v>4.4892000000000003</v>
      </c>
      <c r="W1288">
        <f t="shared" si="83"/>
        <v>3.6636000000000002</v>
      </c>
      <c r="X1288">
        <v>4</v>
      </c>
    </row>
    <row r="1289" spans="1:24" x14ac:dyDescent="0.3">
      <c r="A1289">
        <v>1288</v>
      </c>
      <c r="B1289" t="s">
        <v>2819</v>
      </c>
      <c r="C1289" s="6">
        <v>45484</v>
      </c>
      <c r="D1289" t="str">
        <f t="shared" si="80"/>
        <v>Jul</v>
      </c>
      <c r="E1289" t="str">
        <f t="shared" si="81"/>
        <v>2024</v>
      </c>
      <c r="F1289" t="s">
        <v>4</v>
      </c>
      <c r="G1289" t="s">
        <v>429</v>
      </c>
      <c r="H1289" t="s">
        <v>610</v>
      </c>
      <c r="I1289">
        <v>120</v>
      </c>
      <c r="J1289">
        <v>12</v>
      </c>
      <c r="K1289">
        <f t="shared" si="82"/>
        <v>10</v>
      </c>
      <c r="L1289" t="s">
        <v>1739</v>
      </c>
      <c r="M1289" t="s">
        <v>3608</v>
      </c>
      <c r="N1289" t="s">
        <v>1</v>
      </c>
      <c r="O1289">
        <v>226001</v>
      </c>
      <c r="P1289" t="s">
        <v>546</v>
      </c>
      <c r="Q1289" t="s">
        <v>1770</v>
      </c>
      <c r="S1289">
        <v>39.880000000000003</v>
      </c>
      <c r="T1289">
        <v>2</v>
      </c>
      <c r="U1289">
        <v>0</v>
      </c>
      <c r="V1289">
        <v>11.166399999999999</v>
      </c>
      <c r="W1289">
        <f t="shared" si="83"/>
        <v>14.356800000000002</v>
      </c>
      <c r="X1289">
        <v>2</v>
      </c>
    </row>
    <row r="1290" spans="1:24" x14ac:dyDescent="0.3">
      <c r="A1290">
        <v>1289</v>
      </c>
      <c r="B1290" t="s">
        <v>3048</v>
      </c>
      <c r="C1290" s="6">
        <v>45485</v>
      </c>
      <c r="D1290" t="str">
        <f t="shared" si="80"/>
        <v>Jul</v>
      </c>
      <c r="E1290" t="str">
        <f t="shared" si="81"/>
        <v>2024</v>
      </c>
      <c r="F1290" t="s">
        <v>4</v>
      </c>
      <c r="G1290" t="s">
        <v>429</v>
      </c>
      <c r="H1290" t="s">
        <v>1083</v>
      </c>
      <c r="I1290">
        <v>220</v>
      </c>
      <c r="J1290">
        <v>28</v>
      </c>
      <c r="K1290">
        <f t="shared" si="82"/>
        <v>12.727272727272727</v>
      </c>
      <c r="L1290" t="s">
        <v>1738</v>
      </c>
      <c r="M1290" t="s">
        <v>3786</v>
      </c>
      <c r="N1290" t="s">
        <v>1</v>
      </c>
      <c r="O1290">
        <v>212201</v>
      </c>
      <c r="P1290" t="s">
        <v>546</v>
      </c>
      <c r="Q1290" t="s">
        <v>1759</v>
      </c>
      <c r="S1290">
        <v>12.192</v>
      </c>
      <c r="T1290">
        <v>4</v>
      </c>
      <c r="U1290">
        <v>0.2</v>
      </c>
      <c r="V1290">
        <v>4.1147999999999998</v>
      </c>
      <c r="W1290">
        <f t="shared" si="83"/>
        <v>2.0193000000000003</v>
      </c>
      <c r="X1290">
        <v>5</v>
      </c>
    </row>
    <row r="1291" spans="1:24" x14ac:dyDescent="0.3">
      <c r="A1291">
        <v>1290</v>
      </c>
      <c r="B1291" t="s">
        <v>3049</v>
      </c>
      <c r="C1291" s="6">
        <v>45486</v>
      </c>
      <c r="D1291" t="str">
        <f t="shared" si="80"/>
        <v>Jul</v>
      </c>
      <c r="E1291" t="str">
        <f t="shared" si="81"/>
        <v>2024</v>
      </c>
      <c r="F1291" t="s">
        <v>4</v>
      </c>
      <c r="G1291" t="s">
        <v>429</v>
      </c>
      <c r="H1291" t="s">
        <v>1471</v>
      </c>
      <c r="I1291">
        <v>250</v>
      </c>
      <c r="J1291">
        <v>20</v>
      </c>
      <c r="K1291">
        <f t="shared" si="82"/>
        <v>8</v>
      </c>
      <c r="L1291" t="s">
        <v>1743</v>
      </c>
      <c r="M1291" t="s">
        <v>3690</v>
      </c>
      <c r="N1291" t="s">
        <v>1</v>
      </c>
      <c r="O1291">
        <v>560093</v>
      </c>
      <c r="P1291" t="s">
        <v>546</v>
      </c>
      <c r="Q1291" t="s">
        <v>1760</v>
      </c>
      <c r="S1291">
        <v>20.82</v>
      </c>
      <c r="T1291">
        <v>3</v>
      </c>
      <c r="U1291">
        <v>0</v>
      </c>
      <c r="V1291">
        <v>7.4951999999999996</v>
      </c>
      <c r="W1291">
        <f t="shared" si="83"/>
        <v>4.4416000000000002</v>
      </c>
      <c r="X1291">
        <v>5</v>
      </c>
    </row>
    <row r="1292" spans="1:24" x14ac:dyDescent="0.3">
      <c r="A1292">
        <v>1291</v>
      </c>
      <c r="B1292" t="s">
        <v>3050</v>
      </c>
      <c r="C1292" s="6">
        <v>45487</v>
      </c>
      <c r="D1292" t="str">
        <f t="shared" si="80"/>
        <v>Jul</v>
      </c>
      <c r="E1292" t="str">
        <f t="shared" si="81"/>
        <v>2024</v>
      </c>
      <c r="F1292" t="s">
        <v>5</v>
      </c>
      <c r="G1292" t="s">
        <v>261</v>
      </c>
      <c r="H1292" t="s">
        <v>1472</v>
      </c>
      <c r="I1292">
        <v>160</v>
      </c>
      <c r="J1292">
        <v>26</v>
      </c>
      <c r="K1292">
        <f t="shared" si="82"/>
        <v>16.25</v>
      </c>
      <c r="L1292" t="s">
        <v>1737</v>
      </c>
      <c r="M1292" t="s">
        <v>3824</v>
      </c>
      <c r="N1292" t="s">
        <v>1</v>
      </c>
      <c r="O1292">
        <v>411019</v>
      </c>
      <c r="P1292" t="s">
        <v>546</v>
      </c>
      <c r="Q1292" t="s">
        <v>1762</v>
      </c>
      <c r="S1292">
        <v>13.215999999999999</v>
      </c>
      <c r="T1292">
        <v>4</v>
      </c>
      <c r="U1292">
        <v>0.2</v>
      </c>
      <c r="V1292">
        <v>4.4603999999999999</v>
      </c>
      <c r="W1292">
        <f t="shared" si="83"/>
        <v>2.1888999999999998</v>
      </c>
      <c r="X1292">
        <v>3</v>
      </c>
    </row>
    <row r="1293" spans="1:24" x14ac:dyDescent="0.3">
      <c r="A1293">
        <v>1292</v>
      </c>
      <c r="B1293" t="s">
        <v>3051</v>
      </c>
      <c r="C1293" s="6">
        <v>45488</v>
      </c>
      <c r="D1293" t="str">
        <f t="shared" si="80"/>
        <v>Jul</v>
      </c>
      <c r="E1293" t="str">
        <f t="shared" si="81"/>
        <v>2024</v>
      </c>
      <c r="F1293" t="s">
        <v>5</v>
      </c>
      <c r="G1293" t="s">
        <v>261</v>
      </c>
      <c r="H1293" t="s">
        <v>1407</v>
      </c>
      <c r="I1293">
        <v>140</v>
      </c>
      <c r="J1293">
        <v>22</v>
      </c>
      <c r="K1293">
        <f t="shared" si="82"/>
        <v>15.714285714285714</v>
      </c>
      <c r="L1293" t="s">
        <v>1741</v>
      </c>
      <c r="M1293" t="s">
        <v>3825</v>
      </c>
      <c r="N1293" t="s">
        <v>1</v>
      </c>
      <c r="O1293">
        <v>411036</v>
      </c>
      <c r="P1293" t="s">
        <v>546</v>
      </c>
      <c r="Q1293" t="s">
        <v>1761</v>
      </c>
      <c r="R1293" t="s">
        <v>2</v>
      </c>
      <c r="S1293">
        <v>32.4</v>
      </c>
      <c r="T1293">
        <v>5</v>
      </c>
      <c r="U1293">
        <v>0</v>
      </c>
      <c r="V1293">
        <v>15.552</v>
      </c>
      <c r="W1293">
        <f t="shared" si="83"/>
        <v>3.3695999999999997</v>
      </c>
      <c r="X1293">
        <v>5</v>
      </c>
    </row>
    <row r="1294" spans="1:24" x14ac:dyDescent="0.3">
      <c r="A1294">
        <v>1293</v>
      </c>
      <c r="B1294" t="s">
        <v>3052</v>
      </c>
      <c r="C1294" s="6">
        <v>45489</v>
      </c>
      <c r="D1294" t="str">
        <f t="shared" si="80"/>
        <v>Jul</v>
      </c>
      <c r="E1294" t="str">
        <f t="shared" si="81"/>
        <v>2024</v>
      </c>
      <c r="F1294" t="s">
        <v>4</v>
      </c>
      <c r="G1294" t="s">
        <v>65</v>
      </c>
      <c r="H1294" t="s">
        <v>680</v>
      </c>
      <c r="I1294">
        <v>100</v>
      </c>
      <c r="J1294">
        <v>10</v>
      </c>
      <c r="K1294">
        <f t="shared" si="82"/>
        <v>10</v>
      </c>
      <c r="L1294" t="s">
        <v>1736</v>
      </c>
      <c r="M1294" t="s">
        <v>3644</v>
      </c>
      <c r="N1294" t="s">
        <v>1</v>
      </c>
      <c r="O1294">
        <v>411036</v>
      </c>
      <c r="P1294" t="s">
        <v>546</v>
      </c>
      <c r="Q1294" t="s">
        <v>1759</v>
      </c>
      <c r="S1294">
        <v>32.94</v>
      </c>
      <c r="T1294">
        <v>3</v>
      </c>
      <c r="U1294">
        <v>0</v>
      </c>
      <c r="V1294">
        <v>9.2232000000000003</v>
      </c>
      <c r="W1294">
        <f t="shared" si="83"/>
        <v>7.9055999999999997</v>
      </c>
      <c r="X1294">
        <v>4</v>
      </c>
    </row>
    <row r="1295" spans="1:24" x14ac:dyDescent="0.3">
      <c r="A1295">
        <v>1294</v>
      </c>
      <c r="B1295" t="s">
        <v>3053</v>
      </c>
      <c r="C1295" s="6">
        <v>45490</v>
      </c>
      <c r="D1295" t="str">
        <f t="shared" si="80"/>
        <v>Jul</v>
      </c>
      <c r="E1295" t="str">
        <f t="shared" si="81"/>
        <v>2024</v>
      </c>
      <c r="F1295" t="s">
        <v>4</v>
      </c>
      <c r="G1295" t="s">
        <v>65</v>
      </c>
      <c r="H1295" t="s">
        <v>1473</v>
      </c>
      <c r="I1295">
        <v>190</v>
      </c>
      <c r="J1295">
        <v>26</v>
      </c>
      <c r="K1295">
        <f t="shared" si="82"/>
        <v>13.684210526315791</v>
      </c>
      <c r="L1295" t="s">
        <v>1744</v>
      </c>
      <c r="M1295" t="s">
        <v>3826</v>
      </c>
      <c r="N1295" t="s">
        <v>1</v>
      </c>
      <c r="O1295">
        <v>411036</v>
      </c>
      <c r="P1295" t="s">
        <v>546</v>
      </c>
      <c r="Q1295" t="s">
        <v>1765</v>
      </c>
      <c r="S1295">
        <v>114.2</v>
      </c>
      <c r="T1295">
        <v>5</v>
      </c>
      <c r="U1295">
        <v>0</v>
      </c>
      <c r="V1295">
        <v>52.531999999999996</v>
      </c>
      <c r="W1295">
        <f t="shared" si="83"/>
        <v>12.333600000000001</v>
      </c>
      <c r="X1295">
        <v>1</v>
      </c>
    </row>
    <row r="1296" spans="1:24" x14ac:dyDescent="0.3">
      <c r="A1296">
        <v>1295</v>
      </c>
      <c r="B1296" t="s">
        <v>3054</v>
      </c>
      <c r="C1296" s="6">
        <v>45491</v>
      </c>
      <c r="D1296" t="str">
        <f t="shared" si="80"/>
        <v>Jul</v>
      </c>
      <c r="E1296" t="str">
        <f t="shared" si="81"/>
        <v>2024</v>
      </c>
      <c r="F1296" t="s">
        <v>4</v>
      </c>
      <c r="G1296" t="s">
        <v>65</v>
      </c>
      <c r="H1296" t="s">
        <v>632</v>
      </c>
      <c r="I1296">
        <v>150</v>
      </c>
      <c r="J1296">
        <v>24</v>
      </c>
      <c r="K1296">
        <f t="shared" si="82"/>
        <v>16</v>
      </c>
      <c r="L1296" t="s">
        <v>1740</v>
      </c>
      <c r="M1296" t="s">
        <v>3827</v>
      </c>
      <c r="N1296" t="s">
        <v>1</v>
      </c>
      <c r="O1296">
        <v>456006</v>
      </c>
      <c r="P1296" t="s">
        <v>546</v>
      </c>
      <c r="Q1296" t="s">
        <v>1768</v>
      </c>
      <c r="S1296">
        <v>3.08</v>
      </c>
      <c r="T1296">
        <v>1</v>
      </c>
      <c r="U1296">
        <v>0</v>
      </c>
      <c r="V1296">
        <v>1.4783999999999999</v>
      </c>
      <c r="W1296">
        <f t="shared" si="83"/>
        <v>1.6016000000000001</v>
      </c>
      <c r="X1296">
        <v>5</v>
      </c>
    </row>
    <row r="1297" spans="1:24" x14ac:dyDescent="0.3">
      <c r="A1297">
        <v>1296</v>
      </c>
      <c r="B1297" t="s">
        <v>3055</v>
      </c>
      <c r="C1297" s="6">
        <v>45492</v>
      </c>
      <c r="D1297" t="str">
        <f t="shared" si="80"/>
        <v>Jul</v>
      </c>
      <c r="E1297" t="str">
        <f t="shared" si="81"/>
        <v>2024</v>
      </c>
      <c r="F1297" t="s">
        <v>4</v>
      </c>
      <c r="G1297" t="s">
        <v>430</v>
      </c>
      <c r="H1297" t="s">
        <v>1270</v>
      </c>
      <c r="I1297">
        <v>100</v>
      </c>
      <c r="J1297">
        <v>6</v>
      </c>
      <c r="K1297">
        <f t="shared" si="82"/>
        <v>6</v>
      </c>
      <c r="L1297" t="s">
        <v>1742</v>
      </c>
      <c r="M1297" t="s">
        <v>3656</v>
      </c>
      <c r="N1297" t="s">
        <v>1</v>
      </c>
      <c r="O1297">
        <v>181123</v>
      </c>
      <c r="P1297" t="s">
        <v>546</v>
      </c>
      <c r="Q1297" t="s">
        <v>1755</v>
      </c>
      <c r="S1297">
        <v>845.72799999999995</v>
      </c>
      <c r="T1297">
        <v>13</v>
      </c>
      <c r="U1297">
        <v>0.2</v>
      </c>
      <c r="V1297">
        <v>84.572800000000001</v>
      </c>
      <c r="W1297">
        <f t="shared" si="83"/>
        <v>58.550399999999996</v>
      </c>
      <c r="X1297">
        <v>3</v>
      </c>
    </row>
    <row r="1298" spans="1:24" x14ac:dyDescent="0.3">
      <c r="A1298">
        <v>1297</v>
      </c>
      <c r="B1298" t="s">
        <v>3056</v>
      </c>
      <c r="C1298" s="6">
        <v>45493</v>
      </c>
      <c r="D1298" t="str">
        <f t="shared" si="80"/>
        <v>Jul</v>
      </c>
      <c r="E1298" t="str">
        <f t="shared" si="81"/>
        <v>2024</v>
      </c>
      <c r="F1298" t="s">
        <v>4</v>
      </c>
      <c r="G1298" t="s">
        <v>431</v>
      </c>
      <c r="H1298" t="s">
        <v>1077</v>
      </c>
      <c r="I1298">
        <v>170</v>
      </c>
      <c r="J1298">
        <v>16</v>
      </c>
      <c r="K1298">
        <f t="shared" si="82"/>
        <v>9.4117647058823533</v>
      </c>
      <c r="L1298" t="s">
        <v>1739</v>
      </c>
      <c r="M1298" t="s">
        <v>3657</v>
      </c>
      <c r="N1298" t="s">
        <v>1</v>
      </c>
      <c r="O1298">
        <v>585401</v>
      </c>
      <c r="P1298" t="s">
        <v>546</v>
      </c>
      <c r="Q1298" t="s">
        <v>1760</v>
      </c>
      <c r="R1298" t="s">
        <v>2</v>
      </c>
      <c r="S1298">
        <v>13.904</v>
      </c>
      <c r="T1298">
        <v>2</v>
      </c>
      <c r="U1298">
        <v>0.2</v>
      </c>
      <c r="V1298">
        <v>4.5187999999999997</v>
      </c>
      <c r="W1298">
        <f t="shared" si="83"/>
        <v>4.6926000000000005</v>
      </c>
      <c r="X1298">
        <v>2</v>
      </c>
    </row>
    <row r="1299" spans="1:24" x14ac:dyDescent="0.3">
      <c r="A1299">
        <v>1298</v>
      </c>
      <c r="B1299" t="s">
        <v>3057</v>
      </c>
      <c r="C1299" s="6">
        <v>45494</v>
      </c>
      <c r="D1299" t="str">
        <f t="shared" si="80"/>
        <v>Jul</v>
      </c>
      <c r="E1299" t="str">
        <f t="shared" si="81"/>
        <v>2024</v>
      </c>
      <c r="F1299" t="s">
        <v>4</v>
      </c>
      <c r="G1299" t="s">
        <v>431</v>
      </c>
      <c r="H1299" t="s">
        <v>1116</v>
      </c>
      <c r="I1299">
        <v>130</v>
      </c>
      <c r="J1299">
        <v>30</v>
      </c>
      <c r="K1299">
        <f t="shared" si="82"/>
        <v>23.076923076923077</v>
      </c>
      <c r="L1299" t="s">
        <v>1738</v>
      </c>
      <c r="M1299" t="s">
        <v>3778</v>
      </c>
      <c r="N1299" t="s">
        <v>1</v>
      </c>
      <c r="O1299">
        <v>389151</v>
      </c>
      <c r="P1299" t="s">
        <v>546</v>
      </c>
      <c r="Q1299" t="s">
        <v>1767</v>
      </c>
      <c r="S1299">
        <v>20.72</v>
      </c>
      <c r="T1299">
        <v>2</v>
      </c>
      <c r="U1299">
        <v>0.2</v>
      </c>
      <c r="V1299">
        <v>6.4749999999999996</v>
      </c>
      <c r="W1299">
        <f t="shared" si="83"/>
        <v>7.1224999999999996</v>
      </c>
      <c r="X1299">
        <v>3</v>
      </c>
    </row>
    <row r="1300" spans="1:24" x14ac:dyDescent="0.3">
      <c r="A1300">
        <v>1299</v>
      </c>
      <c r="B1300" t="s">
        <v>3058</v>
      </c>
      <c r="C1300" s="6">
        <v>45495</v>
      </c>
      <c r="D1300" t="str">
        <f t="shared" si="80"/>
        <v>Jul</v>
      </c>
      <c r="E1300" t="str">
        <f t="shared" si="81"/>
        <v>2024</v>
      </c>
      <c r="F1300" t="s">
        <v>3</v>
      </c>
      <c r="G1300" t="s">
        <v>432</v>
      </c>
      <c r="H1300" t="s">
        <v>1008</v>
      </c>
      <c r="I1300">
        <v>200</v>
      </c>
      <c r="J1300">
        <v>30</v>
      </c>
      <c r="K1300">
        <f t="shared" si="82"/>
        <v>15</v>
      </c>
      <c r="L1300" t="s">
        <v>1737</v>
      </c>
      <c r="M1300" t="s">
        <v>3828</v>
      </c>
      <c r="N1300" t="s">
        <v>1</v>
      </c>
      <c r="O1300">
        <v>452001</v>
      </c>
      <c r="P1300" t="s">
        <v>546</v>
      </c>
      <c r="Q1300" t="s">
        <v>1763</v>
      </c>
      <c r="S1300">
        <v>114.95</v>
      </c>
      <c r="T1300">
        <v>5</v>
      </c>
      <c r="U1300">
        <v>0</v>
      </c>
      <c r="V1300">
        <v>2.2989999999999999</v>
      </c>
      <c r="W1300">
        <f t="shared" si="83"/>
        <v>22.530200000000001</v>
      </c>
      <c r="X1300">
        <v>1</v>
      </c>
    </row>
    <row r="1301" spans="1:24" x14ac:dyDescent="0.3">
      <c r="A1301">
        <v>1300</v>
      </c>
      <c r="B1301" t="s">
        <v>3059</v>
      </c>
      <c r="C1301" s="6">
        <v>45496</v>
      </c>
      <c r="D1301" t="str">
        <f t="shared" si="80"/>
        <v>Jul</v>
      </c>
      <c r="E1301" t="str">
        <f t="shared" si="81"/>
        <v>2024</v>
      </c>
      <c r="F1301" t="s">
        <v>5</v>
      </c>
      <c r="G1301" t="s">
        <v>404</v>
      </c>
      <c r="H1301" t="s">
        <v>693</v>
      </c>
      <c r="I1301">
        <v>120</v>
      </c>
      <c r="J1301">
        <v>16</v>
      </c>
      <c r="K1301">
        <f t="shared" si="82"/>
        <v>13.333333333333334</v>
      </c>
      <c r="L1301" t="s">
        <v>1743</v>
      </c>
      <c r="M1301" t="s">
        <v>3829</v>
      </c>
      <c r="N1301" t="s">
        <v>1</v>
      </c>
      <c r="O1301">
        <v>250001</v>
      </c>
      <c r="P1301" t="s">
        <v>546</v>
      </c>
      <c r="Q1301" t="s">
        <v>1759</v>
      </c>
      <c r="S1301">
        <v>26.96</v>
      </c>
      <c r="T1301">
        <v>2</v>
      </c>
      <c r="U1301">
        <v>0</v>
      </c>
      <c r="V1301">
        <v>7.0095999999999998</v>
      </c>
      <c r="W1301">
        <f t="shared" si="83"/>
        <v>9.975200000000001</v>
      </c>
      <c r="X1301">
        <v>4</v>
      </c>
    </row>
    <row r="1302" spans="1:24" x14ac:dyDescent="0.3">
      <c r="A1302">
        <v>1301</v>
      </c>
      <c r="B1302" t="s">
        <v>3060</v>
      </c>
      <c r="C1302" s="6">
        <v>45497</v>
      </c>
      <c r="D1302" t="str">
        <f t="shared" si="80"/>
        <v>Jul</v>
      </c>
      <c r="E1302" t="str">
        <f t="shared" si="81"/>
        <v>2024</v>
      </c>
      <c r="F1302" t="s">
        <v>3</v>
      </c>
      <c r="G1302" t="s">
        <v>102</v>
      </c>
      <c r="H1302" t="s">
        <v>582</v>
      </c>
      <c r="I1302">
        <v>170</v>
      </c>
      <c r="J1302">
        <v>16</v>
      </c>
      <c r="K1302">
        <f t="shared" si="82"/>
        <v>9.4117647058823533</v>
      </c>
      <c r="L1302" t="s">
        <v>1738</v>
      </c>
      <c r="M1302" t="s">
        <v>3788</v>
      </c>
      <c r="N1302" t="s">
        <v>1</v>
      </c>
      <c r="O1302">
        <v>403707</v>
      </c>
      <c r="P1302" t="s">
        <v>546</v>
      </c>
      <c r="Q1302" t="s">
        <v>1766</v>
      </c>
      <c r="S1302">
        <v>572.76</v>
      </c>
      <c r="T1302">
        <v>6</v>
      </c>
      <c r="U1302">
        <v>0</v>
      </c>
      <c r="V1302">
        <v>166.10040000000001</v>
      </c>
      <c r="W1302">
        <f t="shared" si="83"/>
        <v>67.776599999999988</v>
      </c>
      <c r="X1302">
        <v>5</v>
      </c>
    </row>
    <row r="1303" spans="1:24" x14ac:dyDescent="0.3">
      <c r="A1303">
        <v>1302</v>
      </c>
      <c r="B1303" t="s">
        <v>3061</v>
      </c>
      <c r="C1303" s="6">
        <v>45498</v>
      </c>
      <c r="D1303" t="str">
        <f t="shared" si="80"/>
        <v>Jul</v>
      </c>
      <c r="E1303" t="str">
        <f t="shared" si="81"/>
        <v>2024</v>
      </c>
      <c r="F1303" t="s">
        <v>3</v>
      </c>
      <c r="G1303" t="s">
        <v>102</v>
      </c>
      <c r="H1303" t="s">
        <v>582</v>
      </c>
      <c r="I1303">
        <v>220</v>
      </c>
      <c r="J1303">
        <v>6</v>
      </c>
      <c r="K1303">
        <f t="shared" si="82"/>
        <v>2.7272727272727271</v>
      </c>
      <c r="L1303" t="s">
        <v>1739</v>
      </c>
      <c r="M1303" t="s">
        <v>3721</v>
      </c>
      <c r="N1303" t="s">
        <v>1</v>
      </c>
      <c r="O1303">
        <v>530052</v>
      </c>
      <c r="P1303" t="s">
        <v>546</v>
      </c>
      <c r="Q1303" t="s">
        <v>1774</v>
      </c>
      <c r="S1303">
        <v>286.38</v>
      </c>
      <c r="T1303">
        <v>3</v>
      </c>
      <c r="U1303">
        <v>0</v>
      </c>
      <c r="V1303">
        <v>83.050200000000004</v>
      </c>
      <c r="W1303">
        <f t="shared" si="83"/>
        <v>67.776599999999988</v>
      </c>
      <c r="X1303">
        <v>1</v>
      </c>
    </row>
    <row r="1304" spans="1:24" x14ac:dyDescent="0.3">
      <c r="A1304">
        <v>1303</v>
      </c>
      <c r="B1304" t="s">
        <v>3062</v>
      </c>
      <c r="C1304" s="6">
        <v>45499</v>
      </c>
      <c r="D1304" t="str">
        <f t="shared" si="80"/>
        <v>Jul</v>
      </c>
      <c r="E1304" t="str">
        <f t="shared" si="81"/>
        <v>2024</v>
      </c>
      <c r="F1304" t="s">
        <v>3</v>
      </c>
      <c r="G1304" t="s">
        <v>433</v>
      </c>
      <c r="H1304" t="s">
        <v>1474</v>
      </c>
      <c r="I1304">
        <v>230</v>
      </c>
      <c r="J1304">
        <v>6</v>
      </c>
      <c r="K1304">
        <f t="shared" si="82"/>
        <v>2.6086956521739131</v>
      </c>
      <c r="L1304" t="s">
        <v>1741</v>
      </c>
      <c r="M1304" t="s">
        <v>3781</v>
      </c>
      <c r="N1304" t="s">
        <v>1</v>
      </c>
      <c r="O1304">
        <v>110076</v>
      </c>
      <c r="P1304" t="s">
        <v>546</v>
      </c>
      <c r="Q1304" t="s">
        <v>1759</v>
      </c>
      <c r="S1304">
        <v>61.96</v>
      </c>
      <c r="T1304">
        <v>2</v>
      </c>
      <c r="U1304">
        <v>0</v>
      </c>
      <c r="V1304">
        <v>4.3372000000000002</v>
      </c>
      <c r="W1304">
        <f t="shared" si="83"/>
        <v>28.811399999999999</v>
      </c>
      <c r="X1304">
        <v>2</v>
      </c>
    </row>
    <row r="1305" spans="1:24" x14ac:dyDescent="0.3">
      <c r="A1305">
        <v>1304</v>
      </c>
      <c r="B1305" t="s">
        <v>3063</v>
      </c>
      <c r="C1305" s="6">
        <v>45500</v>
      </c>
      <c r="D1305" t="str">
        <f t="shared" si="80"/>
        <v>Jul</v>
      </c>
      <c r="E1305" t="str">
        <f t="shared" si="81"/>
        <v>2024</v>
      </c>
      <c r="F1305" t="s">
        <v>4</v>
      </c>
      <c r="G1305" t="s">
        <v>434</v>
      </c>
      <c r="H1305" t="s">
        <v>1475</v>
      </c>
      <c r="I1305">
        <v>110</v>
      </c>
      <c r="J1305">
        <v>22</v>
      </c>
      <c r="K1305">
        <f t="shared" si="82"/>
        <v>20</v>
      </c>
      <c r="L1305" t="s">
        <v>1736</v>
      </c>
      <c r="M1305" t="s">
        <v>3673</v>
      </c>
      <c r="N1305" t="s">
        <v>1</v>
      </c>
      <c r="O1305">
        <v>522006</v>
      </c>
      <c r="P1305" t="s">
        <v>546</v>
      </c>
      <c r="Q1305" t="s">
        <v>1764</v>
      </c>
      <c r="S1305">
        <v>23.99</v>
      </c>
      <c r="T1305">
        <v>1</v>
      </c>
      <c r="U1305">
        <v>0</v>
      </c>
      <c r="V1305">
        <v>5.5176999999999996</v>
      </c>
      <c r="W1305">
        <f t="shared" si="83"/>
        <v>18.472299999999997</v>
      </c>
      <c r="X1305">
        <v>3</v>
      </c>
    </row>
    <row r="1306" spans="1:24" x14ac:dyDescent="0.3">
      <c r="A1306">
        <v>1305</v>
      </c>
      <c r="B1306" t="s">
        <v>3064</v>
      </c>
      <c r="C1306" s="6">
        <v>45501</v>
      </c>
      <c r="D1306" t="str">
        <f t="shared" si="80"/>
        <v>Jul</v>
      </c>
      <c r="E1306" t="str">
        <f t="shared" si="81"/>
        <v>2024</v>
      </c>
      <c r="F1306" t="s">
        <v>4</v>
      </c>
      <c r="G1306" t="s">
        <v>434</v>
      </c>
      <c r="H1306" t="s">
        <v>1211</v>
      </c>
      <c r="I1306">
        <v>150</v>
      </c>
      <c r="J1306">
        <v>22</v>
      </c>
      <c r="K1306">
        <f t="shared" si="82"/>
        <v>14.666666666666666</v>
      </c>
      <c r="L1306" t="s">
        <v>1744</v>
      </c>
      <c r="M1306" t="s">
        <v>3585</v>
      </c>
      <c r="N1306" t="s">
        <v>1</v>
      </c>
      <c r="O1306">
        <v>690533</v>
      </c>
      <c r="P1306" t="s">
        <v>546</v>
      </c>
      <c r="Q1306" t="s">
        <v>1770</v>
      </c>
      <c r="R1306" t="s">
        <v>2</v>
      </c>
      <c r="S1306">
        <v>287.97000000000003</v>
      </c>
      <c r="T1306">
        <v>3</v>
      </c>
      <c r="U1306">
        <v>0</v>
      </c>
      <c r="V1306">
        <v>77.751900000000006</v>
      </c>
      <c r="W1306">
        <f t="shared" si="83"/>
        <v>70.072700000000012</v>
      </c>
      <c r="X1306">
        <v>3</v>
      </c>
    </row>
    <row r="1307" spans="1:24" x14ac:dyDescent="0.3">
      <c r="A1307">
        <v>1306</v>
      </c>
      <c r="B1307" t="s">
        <v>3065</v>
      </c>
      <c r="C1307" s="6">
        <v>45502</v>
      </c>
      <c r="D1307" t="str">
        <f t="shared" si="80"/>
        <v>Jul</v>
      </c>
      <c r="E1307" t="str">
        <f t="shared" si="81"/>
        <v>2024</v>
      </c>
      <c r="F1307" t="s">
        <v>3</v>
      </c>
      <c r="G1307" t="s">
        <v>305</v>
      </c>
      <c r="H1307" t="s">
        <v>1476</v>
      </c>
      <c r="I1307">
        <v>170</v>
      </c>
      <c r="J1307">
        <v>20</v>
      </c>
      <c r="K1307">
        <f t="shared" si="82"/>
        <v>11.76470588235294</v>
      </c>
      <c r="L1307" t="s">
        <v>1740</v>
      </c>
      <c r="M1307" t="s">
        <v>3830</v>
      </c>
      <c r="N1307" t="s">
        <v>1</v>
      </c>
      <c r="O1307">
        <v>212201</v>
      </c>
      <c r="P1307" t="s">
        <v>546</v>
      </c>
      <c r="Q1307" t="s">
        <v>1768</v>
      </c>
      <c r="S1307">
        <v>419.94400000000002</v>
      </c>
      <c r="T1307">
        <v>7</v>
      </c>
      <c r="U1307">
        <v>0.2</v>
      </c>
      <c r="V1307">
        <v>52.493000000000002</v>
      </c>
      <c r="W1307">
        <f t="shared" si="83"/>
        <v>52.493000000000002</v>
      </c>
      <c r="X1307">
        <v>5</v>
      </c>
    </row>
    <row r="1308" spans="1:24" x14ac:dyDescent="0.3">
      <c r="A1308">
        <v>1307</v>
      </c>
      <c r="B1308" t="s">
        <v>3066</v>
      </c>
      <c r="C1308" s="6">
        <v>45503</v>
      </c>
      <c r="D1308" t="str">
        <f t="shared" si="80"/>
        <v>Jul</v>
      </c>
      <c r="E1308" t="str">
        <f t="shared" si="81"/>
        <v>2024</v>
      </c>
      <c r="F1308" t="s">
        <v>5</v>
      </c>
      <c r="G1308" t="s">
        <v>123</v>
      </c>
      <c r="H1308" t="s">
        <v>1028</v>
      </c>
      <c r="I1308">
        <v>240</v>
      </c>
      <c r="J1308">
        <v>24</v>
      </c>
      <c r="K1308">
        <f t="shared" si="82"/>
        <v>10</v>
      </c>
      <c r="L1308" t="s">
        <v>1742</v>
      </c>
      <c r="M1308" t="s">
        <v>3696</v>
      </c>
      <c r="N1308" t="s">
        <v>1</v>
      </c>
      <c r="O1308">
        <v>410208</v>
      </c>
      <c r="P1308" t="s">
        <v>546</v>
      </c>
      <c r="Q1308" t="s">
        <v>1761</v>
      </c>
      <c r="S1308">
        <v>46.76</v>
      </c>
      <c r="T1308">
        <v>7</v>
      </c>
      <c r="U1308">
        <v>0</v>
      </c>
      <c r="V1308">
        <v>22.444800000000001</v>
      </c>
      <c r="W1308">
        <f t="shared" si="83"/>
        <v>3.4735999999999998</v>
      </c>
      <c r="X1308">
        <v>1</v>
      </c>
    </row>
    <row r="1309" spans="1:24" x14ac:dyDescent="0.3">
      <c r="A1309">
        <v>1308</v>
      </c>
      <c r="B1309" t="s">
        <v>3067</v>
      </c>
      <c r="C1309" s="6">
        <v>45504</v>
      </c>
      <c r="D1309" t="str">
        <f t="shared" si="80"/>
        <v>Jul</v>
      </c>
      <c r="E1309" t="str">
        <f t="shared" si="81"/>
        <v>2024</v>
      </c>
      <c r="F1309" t="s">
        <v>5</v>
      </c>
      <c r="G1309" t="s">
        <v>123</v>
      </c>
      <c r="H1309" t="s">
        <v>1324</v>
      </c>
      <c r="I1309">
        <v>120</v>
      </c>
      <c r="J1309">
        <v>8</v>
      </c>
      <c r="K1309">
        <f t="shared" si="82"/>
        <v>6.666666666666667</v>
      </c>
      <c r="L1309" t="s">
        <v>1739</v>
      </c>
      <c r="M1309" t="s">
        <v>3668</v>
      </c>
      <c r="O1309">
        <v>600011</v>
      </c>
      <c r="P1309" t="s">
        <v>546</v>
      </c>
      <c r="Q1309" t="s">
        <v>1775</v>
      </c>
      <c r="S1309">
        <v>17.712</v>
      </c>
      <c r="T1309">
        <v>3</v>
      </c>
      <c r="U1309">
        <v>0.2</v>
      </c>
      <c r="V1309">
        <v>6.4206000000000003</v>
      </c>
      <c r="W1309">
        <f t="shared" si="83"/>
        <v>3.7637999999999998</v>
      </c>
      <c r="X1309">
        <v>4</v>
      </c>
    </row>
    <row r="1310" spans="1:24" x14ac:dyDescent="0.3">
      <c r="A1310">
        <v>1309</v>
      </c>
      <c r="B1310" t="s">
        <v>3068</v>
      </c>
      <c r="C1310" s="6">
        <v>45505</v>
      </c>
      <c r="D1310" t="str">
        <f t="shared" si="80"/>
        <v>Aug</v>
      </c>
      <c r="E1310" t="str">
        <f t="shared" si="81"/>
        <v>2024</v>
      </c>
      <c r="F1310" t="s">
        <v>5</v>
      </c>
      <c r="G1310" t="s">
        <v>123</v>
      </c>
      <c r="H1310" t="s">
        <v>1477</v>
      </c>
      <c r="I1310">
        <v>130</v>
      </c>
      <c r="J1310">
        <v>28</v>
      </c>
      <c r="K1310">
        <f t="shared" si="82"/>
        <v>21.53846153846154</v>
      </c>
      <c r="L1310" t="s">
        <v>1738</v>
      </c>
      <c r="M1310" t="s">
        <v>3812</v>
      </c>
      <c r="N1310" t="s">
        <v>1</v>
      </c>
      <c r="O1310">
        <v>531027</v>
      </c>
      <c r="P1310" t="s">
        <v>546</v>
      </c>
      <c r="Q1310" t="s">
        <v>1768</v>
      </c>
      <c r="S1310">
        <v>21.78</v>
      </c>
      <c r="T1310">
        <v>2</v>
      </c>
      <c r="U1310">
        <v>0</v>
      </c>
      <c r="V1310">
        <v>5.6627999999999998</v>
      </c>
      <c r="W1310">
        <f t="shared" si="83"/>
        <v>8.0586000000000002</v>
      </c>
      <c r="X1310">
        <v>3</v>
      </c>
    </row>
    <row r="1311" spans="1:24" x14ac:dyDescent="0.3">
      <c r="A1311">
        <v>1310</v>
      </c>
      <c r="B1311" t="s">
        <v>3069</v>
      </c>
      <c r="C1311" s="6">
        <v>45506</v>
      </c>
      <c r="D1311" t="str">
        <f t="shared" si="80"/>
        <v>Aug</v>
      </c>
      <c r="E1311" t="str">
        <f t="shared" si="81"/>
        <v>2024</v>
      </c>
      <c r="F1311" t="s">
        <v>5</v>
      </c>
      <c r="G1311" t="s">
        <v>123</v>
      </c>
      <c r="H1311" t="s">
        <v>945</v>
      </c>
      <c r="I1311">
        <v>160</v>
      </c>
      <c r="J1311">
        <v>26</v>
      </c>
      <c r="K1311">
        <f t="shared" si="82"/>
        <v>16.25</v>
      </c>
      <c r="L1311" t="s">
        <v>1743</v>
      </c>
      <c r="M1311" t="s">
        <v>3831</v>
      </c>
      <c r="N1311" t="s">
        <v>1</v>
      </c>
      <c r="O1311">
        <v>500062</v>
      </c>
      <c r="P1311" t="s">
        <v>546</v>
      </c>
      <c r="Q1311" t="s">
        <v>1772</v>
      </c>
      <c r="S1311">
        <v>161.94</v>
      </c>
      <c r="T1311">
        <v>3</v>
      </c>
      <c r="U1311">
        <v>0</v>
      </c>
      <c r="V1311">
        <v>9.7164000000000001</v>
      </c>
      <c r="W1311">
        <f t="shared" si="83"/>
        <v>50.741199999999999</v>
      </c>
      <c r="X1311">
        <v>4</v>
      </c>
    </row>
    <row r="1312" spans="1:24" x14ac:dyDescent="0.3">
      <c r="A1312">
        <v>1311</v>
      </c>
      <c r="B1312" t="s">
        <v>3070</v>
      </c>
      <c r="C1312" s="6">
        <v>45507</v>
      </c>
      <c r="D1312" t="str">
        <f t="shared" si="80"/>
        <v>Aug</v>
      </c>
      <c r="E1312" t="str">
        <f t="shared" si="81"/>
        <v>2024</v>
      </c>
      <c r="F1312" t="s">
        <v>5</v>
      </c>
      <c r="G1312" t="s">
        <v>123</v>
      </c>
      <c r="H1312" t="s">
        <v>1478</v>
      </c>
      <c r="I1312">
        <v>190</v>
      </c>
      <c r="J1312">
        <v>14</v>
      </c>
      <c r="K1312">
        <f t="shared" si="82"/>
        <v>7.3684210526315779</v>
      </c>
      <c r="L1312" t="s">
        <v>1737</v>
      </c>
      <c r="M1312" t="s">
        <v>3802</v>
      </c>
      <c r="N1312" t="s">
        <v>1</v>
      </c>
      <c r="O1312">
        <v>751003</v>
      </c>
      <c r="P1312" t="s">
        <v>546</v>
      </c>
      <c r="Q1312" t="s">
        <v>1762</v>
      </c>
      <c r="S1312">
        <v>161.56800000000001</v>
      </c>
      <c r="T1312">
        <v>2</v>
      </c>
      <c r="U1312">
        <v>0.2</v>
      </c>
      <c r="V1312">
        <v>-8.0784000000000002</v>
      </c>
      <c r="W1312">
        <f t="shared" si="83"/>
        <v>84.8232</v>
      </c>
      <c r="X1312">
        <v>4</v>
      </c>
    </row>
    <row r="1313" spans="1:24" x14ac:dyDescent="0.3">
      <c r="A1313">
        <v>1312</v>
      </c>
      <c r="B1313" t="s">
        <v>3071</v>
      </c>
      <c r="C1313" s="6">
        <v>45508</v>
      </c>
      <c r="D1313" t="str">
        <f t="shared" si="80"/>
        <v>Aug</v>
      </c>
      <c r="E1313" t="str">
        <f t="shared" si="81"/>
        <v>2024</v>
      </c>
      <c r="F1313" t="s">
        <v>4</v>
      </c>
      <c r="G1313" t="s">
        <v>255</v>
      </c>
      <c r="H1313" t="s">
        <v>1479</v>
      </c>
      <c r="I1313">
        <v>190</v>
      </c>
      <c r="J1313">
        <v>24</v>
      </c>
      <c r="K1313">
        <f t="shared" si="82"/>
        <v>12.631578947368421</v>
      </c>
      <c r="L1313" t="s">
        <v>1741</v>
      </c>
      <c r="M1313" t="s">
        <v>3815</v>
      </c>
      <c r="N1313" t="s">
        <v>1</v>
      </c>
      <c r="O1313">
        <v>515425</v>
      </c>
      <c r="P1313" t="s">
        <v>546</v>
      </c>
      <c r="Q1313" t="s">
        <v>1776</v>
      </c>
      <c r="S1313">
        <v>3.69</v>
      </c>
      <c r="T1313">
        <v>1</v>
      </c>
      <c r="U1313">
        <v>0</v>
      </c>
      <c r="V1313">
        <v>1.7343</v>
      </c>
      <c r="W1313">
        <f t="shared" si="83"/>
        <v>1.9557</v>
      </c>
      <c r="X1313">
        <v>5</v>
      </c>
    </row>
    <row r="1314" spans="1:24" x14ac:dyDescent="0.3">
      <c r="A1314">
        <v>1313</v>
      </c>
      <c r="B1314" t="s">
        <v>3072</v>
      </c>
      <c r="C1314" s="6">
        <v>45509</v>
      </c>
      <c r="D1314" t="str">
        <f t="shared" si="80"/>
        <v>Aug</v>
      </c>
      <c r="E1314" t="str">
        <f t="shared" si="81"/>
        <v>2024</v>
      </c>
      <c r="F1314" t="s">
        <v>4</v>
      </c>
      <c r="G1314" t="s">
        <v>255</v>
      </c>
      <c r="H1314" t="s">
        <v>1480</v>
      </c>
      <c r="I1314">
        <v>160</v>
      </c>
      <c r="J1314">
        <v>26</v>
      </c>
      <c r="K1314">
        <f t="shared" si="82"/>
        <v>16.25</v>
      </c>
      <c r="L1314" t="s">
        <v>1736</v>
      </c>
      <c r="M1314" t="s">
        <v>3653</v>
      </c>
      <c r="N1314" t="s">
        <v>1</v>
      </c>
      <c r="O1314">
        <v>400023</v>
      </c>
      <c r="P1314" t="s">
        <v>546</v>
      </c>
      <c r="Q1314" t="s">
        <v>1775</v>
      </c>
      <c r="S1314">
        <v>122.12</v>
      </c>
      <c r="T1314">
        <v>4</v>
      </c>
      <c r="U1314">
        <v>0</v>
      </c>
      <c r="V1314">
        <v>56.175199999999997</v>
      </c>
      <c r="W1314">
        <f t="shared" si="83"/>
        <v>16.486200000000004</v>
      </c>
      <c r="X1314">
        <v>1</v>
      </c>
    </row>
    <row r="1315" spans="1:24" x14ac:dyDescent="0.3">
      <c r="A1315">
        <v>1314</v>
      </c>
      <c r="B1315" t="s">
        <v>3073</v>
      </c>
      <c r="C1315" s="6">
        <v>45510</v>
      </c>
      <c r="D1315" t="str">
        <f t="shared" si="80"/>
        <v>Aug</v>
      </c>
      <c r="E1315" t="str">
        <f t="shared" si="81"/>
        <v>2024</v>
      </c>
      <c r="F1315" t="s">
        <v>4</v>
      </c>
      <c r="G1315" t="s">
        <v>14</v>
      </c>
      <c r="H1315" t="s">
        <v>1184</v>
      </c>
      <c r="I1315">
        <v>230</v>
      </c>
      <c r="J1315">
        <v>12</v>
      </c>
      <c r="K1315">
        <f t="shared" si="82"/>
        <v>5.2173913043478262</v>
      </c>
      <c r="L1315" t="s">
        <v>1744</v>
      </c>
      <c r="M1315" t="s">
        <v>3832</v>
      </c>
      <c r="N1315" t="s">
        <v>1</v>
      </c>
      <c r="O1315">
        <v>570022</v>
      </c>
      <c r="P1315" t="s">
        <v>546</v>
      </c>
      <c r="Q1315" t="s">
        <v>1774</v>
      </c>
      <c r="S1315">
        <v>155.37200000000001</v>
      </c>
      <c r="T1315">
        <v>2</v>
      </c>
      <c r="U1315">
        <v>0.3</v>
      </c>
      <c r="V1315">
        <v>-13.317600000000001</v>
      </c>
      <c r="W1315">
        <f t="shared" si="83"/>
        <v>84.344800000000006</v>
      </c>
      <c r="X1315">
        <v>5</v>
      </c>
    </row>
    <row r="1316" spans="1:24" x14ac:dyDescent="0.3">
      <c r="A1316">
        <v>1315</v>
      </c>
      <c r="B1316" t="s">
        <v>3074</v>
      </c>
      <c r="C1316" s="6">
        <v>45511</v>
      </c>
      <c r="D1316" t="str">
        <f t="shared" si="80"/>
        <v>Aug</v>
      </c>
      <c r="E1316" t="str">
        <f t="shared" si="81"/>
        <v>2024</v>
      </c>
      <c r="F1316" t="s">
        <v>4</v>
      </c>
      <c r="G1316" t="s">
        <v>435</v>
      </c>
      <c r="H1316" t="s">
        <v>1481</v>
      </c>
      <c r="I1316">
        <v>200</v>
      </c>
      <c r="J1316">
        <v>20</v>
      </c>
      <c r="K1316">
        <f t="shared" si="82"/>
        <v>10</v>
      </c>
      <c r="L1316" t="s">
        <v>1740</v>
      </c>
      <c r="M1316" t="s">
        <v>3733</v>
      </c>
      <c r="N1316" t="s">
        <v>1</v>
      </c>
      <c r="O1316">
        <v>201304</v>
      </c>
      <c r="P1316" t="s">
        <v>546</v>
      </c>
      <c r="Q1316" t="s">
        <v>1760</v>
      </c>
      <c r="S1316">
        <v>38.880000000000003</v>
      </c>
      <c r="T1316">
        <v>6</v>
      </c>
      <c r="U1316">
        <v>0</v>
      </c>
      <c r="V1316">
        <v>18.662400000000002</v>
      </c>
      <c r="W1316">
        <f t="shared" si="83"/>
        <v>3.3696000000000002</v>
      </c>
      <c r="X1316">
        <v>1</v>
      </c>
    </row>
    <row r="1317" spans="1:24" x14ac:dyDescent="0.3">
      <c r="A1317">
        <v>1316</v>
      </c>
      <c r="B1317" t="s">
        <v>3075</v>
      </c>
      <c r="C1317" s="6">
        <v>45512</v>
      </c>
      <c r="D1317" t="str">
        <f t="shared" si="80"/>
        <v>Aug</v>
      </c>
      <c r="E1317" t="str">
        <f t="shared" si="81"/>
        <v>2024</v>
      </c>
      <c r="F1317" t="s">
        <v>4</v>
      </c>
      <c r="G1317" t="s">
        <v>435</v>
      </c>
      <c r="H1317" t="s">
        <v>1482</v>
      </c>
      <c r="I1317">
        <v>220</v>
      </c>
      <c r="J1317">
        <v>20</v>
      </c>
      <c r="K1317">
        <f t="shared" si="82"/>
        <v>9.0909090909090917</v>
      </c>
      <c r="L1317" t="s">
        <v>1742</v>
      </c>
      <c r="M1317" t="s">
        <v>3816</v>
      </c>
      <c r="N1317" t="s">
        <v>1</v>
      </c>
      <c r="O1317">
        <v>334001</v>
      </c>
      <c r="P1317" t="s">
        <v>546</v>
      </c>
      <c r="Q1317" t="s">
        <v>1758</v>
      </c>
      <c r="R1317" t="s">
        <v>2</v>
      </c>
      <c r="S1317">
        <v>183.84</v>
      </c>
      <c r="T1317">
        <v>8</v>
      </c>
      <c r="U1317">
        <v>0</v>
      </c>
      <c r="V1317">
        <v>62.505600000000001</v>
      </c>
      <c r="W1317">
        <f t="shared" si="83"/>
        <v>15.1668</v>
      </c>
      <c r="X1317">
        <v>2</v>
      </c>
    </row>
    <row r="1318" spans="1:24" x14ac:dyDescent="0.3">
      <c r="A1318">
        <v>1317</v>
      </c>
      <c r="B1318" t="s">
        <v>3076</v>
      </c>
      <c r="C1318" s="6">
        <v>45513</v>
      </c>
      <c r="D1318" t="str">
        <f t="shared" si="80"/>
        <v>Aug</v>
      </c>
      <c r="E1318" t="str">
        <f t="shared" si="81"/>
        <v>2024</v>
      </c>
      <c r="F1318" t="s">
        <v>4</v>
      </c>
      <c r="G1318" t="s">
        <v>435</v>
      </c>
      <c r="H1318" t="s">
        <v>960</v>
      </c>
      <c r="I1318">
        <v>180</v>
      </c>
      <c r="J1318">
        <v>28</v>
      </c>
      <c r="K1318">
        <f t="shared" si="82"/>
        <v>15.555555555555555</v>
      </c>
      <c r="L1318" t="s">
        <v>1739</v>
      </c>
      <c r="M1318" t="s">
        <v>3600</v>
      </c>
      <c r="N1318" t="s">
        <v>1</v>
      </c>
      <c r="O1318">
        <v>403601</v>
      </c>
      <c r="P1318" t="s">
        <v>546</v>
      </c>
      <c r="Q1318" t="s">
        <v>1763</v>
      </c>
      <c r="R1318" t="s">
        <v>2</v>
      </c>
      <c r="S1318">
        <v>579.29999999999995</v>
      </c>
      <c r="T1318">
        <v>5</v>
      </c>
      <c r="U1318">
        <v>0</v>
      </c>
      <c r="V1318">
        <v>28.965</v>
      </c>
      <c r="W1318">
        <f t="shared" si="83"/>
        <v>110.06699999999998</v>
      </c>
      <c r="X1318">
        <v>4</v>
      </c>
    </row>
    <row r="1319" spans="1:24" x14ac:dyDescent="0.3">
      <c r="A1319">
        <v>1318</v>
      </c>
      <c r="B1319" t="s">
        <v>3077</v>
      </c>
      <c r="C1319" s="6">
        <v>45514</v>
      </c>
      <c r="D1319" t="str">
        <f t="shared" si="80"/>
        <v>Aug</v>
      </c>
      <c r="E1319" t="str">
        <f t="shared" si="81"/>
        <v>2024</v>
      </c>
      <c r="F1319" t="s">
        <v>4</v>
      </c>
      <c r="G1319" t="s">
        <v>73</v>
      </c>
      <c r="H1319" t="s">
        <v>1483</v>
      </c>
      <c r="I1319">
        <v>250</v>
      </c>
      <c r="J1319">
        <v>14</v>
      </c>
      <c r="K1319">
        <f t="shared" si="82"/>
        <v>5.6000000000000005</v>
      </c>
      <c r="L1319" t="s">
        <v>1738</v>
      </c>
      <c r="M1319" t="s">
        <v>3817</v>
      </c>
      <c r="N1319" t="s">
        <v>1</v>
      </c>
      <c r="O1319">
        <v>334001</v>
      </c>
      <c r="P1319" t="s">
        <v>546</v>
      </c>
      <c r="Q1319" t="s">
        <v>1772</v>
      </c>
      <c r="S1319">
        <v>14.2</v>
      </c>
      <c r="T1319">
        <v>1</v>
      </c>
      <c r="U1319">
        <v>0.2</v>
      </c>
      <c r="V1319">
        <v>3.3725000000000001</v>
      </c>
      <c r="W1319">
        <f t="shared" si="83"/>
        <v>10.827499999999999</v>
      </c>
      <c r="X1319">
        <v>5</v>
      </c>
    </row>
    <row r="1320" spans="1:24" x14ac:dyDescent="0.3">
      <c r="A1320">
        <v>1319</v>
      </c>
      <c r="B1320" t="s">
        <v>3078</v>
      </c>
      <c r="C1320" s="6">
        <v>45515</v>
      </c>
      <c r="D1320" t="str">
        <f t="shared" si="80"/>
        <v>Aug</v>
      </c>
      <c r="E1320" t="str">
        <f t="shared" si="81"/>
        <v>2024</v>
      </c>
      <c r="F1320" t="s">
        <v>4</v>
      </c>
      <c r="G1320" t="s">
        <v>436</v>
      </c>
      <c r="H1320" t="s">
        <v>1454</v>
      </c>
      <c r="I1320">
        <v>230</v>
      </c>
      <c r="J1320">
        <v>22</v>
      </c>
      <c r="K1320">
        <f t="shared" si="82"/>
        <v>9.5652173913043477</v>
      </c>
      <c r="L1320" t="s">
        <v>1737</v>
      </c>
      <c r="M1320" t="s">
        <v>3808</v>
      </c>
      <c r="N1320" t="s">
        <v>1</v>
      </c>
      <c r="O1320">
        <v>847225</v>
      </c>
      <c r="P1320" t="s">
        <v>546</v>
      </c>
      <c r="Q1320" t="s">
        <v>1765</v>
      </c>
      <c r="S1320">
        <v>575.91999999999996</v>
      </c>
      <c r="T1320">
        <v>2</v>
      </c>
      <c r="U1320">
        <v>0.2</v>
      </c>
      <c r="V1320">
        <v>71.989999999999995</v>
      </c>
      <c r="W1320">
        <f t="shared" si="83"/>
        <v>251.96499999999997</v>
      </c>
      <c r="X1320">
        <v>2</v>
      </c>
    </row>
    <row r="1321" spans="1:24" x14ac:dyDescent="0.3">
      <c r="A1321">
        <v>1320</v>
      </c>
      <c r="B1321" t="s">
        <v>3079</v>
      </c>
      <c r="C1321" s="6">
        <v>45516</v>
      </c>
      <c r="D1321" t="str">
        <f t="shared" si="80"/>
        <v>Aug</v>
      </c>
      <c r="E1321" t="str">
        <f t="shared" si="81"/>
        <v>2024</v>
      </c>
      <c r="F1321" t="s">
        <v>4</v>
      </c>
      <c r="G1321" t="s">
        <v>436</v>
      </c>
      <c r="H1321" t="s">
        <v>1161</v>
      </c>
      <c r="I1321">
        <v>250</v>
      </c>
      <c r="J1321">
        <v>18</v>
      </c>
      <c r="K1321">
        <f t="shared" si="82"/>
        <v>7.1999999999999993</v>
      </c>
      <c r="L1321" t="s">
        <v>1743</v>
      </c>
      <c r="M1321" t="s">
        <v>3833</v>
      </c>
      <c r="N1321" t="s">
        <v>1</v>
      </c>
      <c r="O1321">
        <v>682301</v>
      </c>
      <c r="P1321" t="s">
        <v>546</v>
      </c>
      <c r="Q1321" t="s">
        <v>1754</v>
      </c>
      <c r="S1321">
        <v>5.1840000000000002</v>
      </c>
      <c r="T1321">
        <v>6</v>
      </c>
      <c r="U1321">
        <v>0.7</v>
      </c>
      <c r="V1321">
        <v>-3.6288</v>
      </c>
      <c r="W1321">
        <f t="shared" si="83"/>
        <v>1.4687999999999999</v>
      </c>
      <c r="X1321">
        <v>3</v>
      </c>
    </row>
    <row r="1322" spans="1:24" x14ac:dyDescent="0.3">
      <c r="A1322">
        <v>1321</v>
      </c>
      <c r="B1322" t="s">
        <v>3080</v>
      </c>
      <c r="C1322" s="6">
        <v>45517</v>
      </c>
      <c r="D1322" t="str">
        <f t="shared" si="80"/>
        <v>Aug</v>
      </c>
      <c r="E1322" t="str">
        <f t="shared" si="81"/>
        <v>2024</v>
      </c>
      <c r="F1322" t="s">
        <v>4</v>
      </c>
      <c r="G1322" t="s">
        <v>437</v>
      </c>
      <c r="H1322" t="s">
        <v>1246</v>
      </c>
      <c r="I1322">
        <v>170</v>
      </c>
      <c r="J1322">
        <v>30</v>
      </c>
      <c r="K1322">
        <f t="shared" si="82"/>
        <v>17.647058823529413</v>
      </c>
      <c r="L1322" t="s">
        <v>1738</v>
      </c>
      <c r="M1322" t="s">
        <v>3681</v>
      </c>
      <c r="N1322" t="s">
        <v>1</v>
      </c>
      <c r="O1322">
        <v>560103</v>
      </c>
      <c r="P1322" t="s">
        <v>546</v>
      </c>
      <c r="Q1322" t="s">
        <v>1772</v>
      </c>
      <c r="R1322" t="s">
        <v>2</v>
      </c>
      <c r="S1322">
        <v>5.2290000000000001</v>
      </c>
      <c r="T1322">
        <v>3</v>
      </c>
      <c r="U1322">
        <v>0.7</v>
      </c>
      <c r="V1322">
        <v>-4.1832000000000003</v>
      </c>
      <c r="W1322">
        <f t="shared" si="83"/>
        <v>3.1374</v>
      </c>
      <c r="X1322">
        <v>1</v>
      </c>
    </row>
    <row r="1323" spans="1:24" x14ac:dyDescent="0.3">
      <c r="A1323">
        <v>1322</v>
      </c>
      <c r="B1323" t="s">
        <v>3081</v>
      </c>
      <c r="C1323" s="6">
        <v>45518</v>
      </c>
      <c r="D1323" t="str">
        <f t="shared" si="80"/>
        <v>Aug</v>
      </c>
      <c r="E1323" t="str">
        <f t="shared" si="81"/>
        <v>2024</v>
      </c>
      <c r="F1323" t="s">
        <v>4</v>
      </c>
      <c r="G1323" t="s">
        <v>437</v>
      </c>
      <c r="H1323" t="s">
        <v>1065</v>
      </c>
      <c r="I1323">
        <v>160</v>
      </c>
      <c r="J1323">
        <v>30</v>
      </c>
      <c r="K1323">
        <f t="shared" si="82"/>
        <v>18.75</v>
      </c>
      <c r="L1323" t="s">
        <v>1739</v>
      </c>
      <c r="M1323" t="s">
        <v>3682</v>
      </c>
      <c r="N1323" t="s">
        <v>1</v>
      </c>
      <c r="O1323">
        <v>632403</v>
      </c>
      <c r="P1323" t="s">
        <v>546</v>
      </c>
      <c r="Q1323" t="s">
        <v>1759</v>
      </c>
      <c r="S1323">
        <v>285.55200000000002</v>
      </c>
      <c r="T1323">
        <v>2</v>
      </c>
      <c r="U1323">
        <v>0.2</v>
      </c>
      <c r="V1323">
        <v>35.694000000000003</v>
      </c>
      <c r="W1323">
        <f t="shared" si="83"/>
        <v>124.929</v>
      </c>
      <c r="X1323">
        <v>4</v>
      </c>
    </row>
    <row r="1324" spans="1:24" x14ac:dyDescent="0.3">
      <c r="A1324">
        <v>1323</v>
      </c>
      <c r="B1324" t="s">
        <v>3082</v>
      </c>
      <c r="C1324" s="6">
        <v>45519</v>
      </c>
      <c r="D1324" t="str">
        <f t="shared" si="80"/>
        <v>Aug</v>
      </c>
      <c r="E1324" t="str">
        <f t="shared" si="81"/>
        <v>2024</v>
      </c>
      <c r="F1324" t="s">
        <v>4</v>
      </c>
      <c r="G1324" t="s">
        <v>438</v>
      </c>
      <c r="H1324" t="s">
        <v>1484</v>
      </c>
      <c r="I1324">
        <v>250</v>
      </c>
      <c r="J1324">
        <v>24</v>
      </c>
      <c r="K1324">
        <f t="shared" si="82"/>
        <v>9.6</v>
      </c>
      <c r="L1324" t="s">
        <v>1741</v>
      </c>
      <c r="M1324" t="s">
        <v>3810</v>
      </c>
      <c r="N1324" t="s">
        <v>1</v>
      </c>
      <c r="O1324">
        <v>414003</v>
      </c>
      <c r="P1324" t="s">
        <v>546</v>
      </c>
      <c r="Q1324" t="s">
        <v>1763</v>
      </c>
      <c r="S1324">
        <v>72.8</v>
      </c>
      <c r="T1324">
        <v>5</v>
      </c>
      <c r="U1324">
        <v>0</v>
      </c>
      <c r="V1324">
        <v>19.655999999999999</v>
      </c>
      <c r="W1324">
        <f t="shared" si="83"/>
        <v>10.6288</v>
      </c>
      <c r="X1324">
        <v>1</v>
      </c>
    </row>
    <row r="1325" spans="1:24" x14ac:dyDescent="0.3">
      <c r="A1325">
        <v>1324</v>
      </c>
      <c r="B1325" t="s">
        <v>3083</v>
      </c>
      <c r="C1325" s="6">
        <v>45520</v>
      </c>
      <c r="D1325" t="str">
        <f t="shared" si="80"/>
        <v>Aug</v>
      </c>
      <c r="E1325" t="str">
        <f t="shared" si="81"/>
        <v>2024</v>
      </c>
      <c r="F1325" t="s">
        <v>5</v>
      </c>
      <c r="G1325" t="s">
        <v>439</v>
      </c>
      <c r="H1325" t="s">
        <v>1485</v>
      </c>
      <c r="I1325">
        <v>150</v>
      </c>
      <c r="J1325">
        <v>14</v>
      </c>
      <c r="K1325">
        <f t="shared" si="82"/>
        <v>9.3333333333333339</v>
      </c>
      <c r="L1325" t="s">
        <v>1736</v>
      </c>
      <c r="M1325" t="s">
        <v>3693</v>
      </c>
      <c r="N1325" t="s">
        <v>1</v>
      </c>
      <c r="O1325">
        <v>533003</v>
      </c>
      <c r="P1325" t="s">
        <v>546</v>
      </c>
      <c r="Q1325" t="s">
        <v>1771</v>
      </c>
      <c r="S1325">
        <v>10.816000000000001</v>
      </c>
      <c r="T1325">
        <v>4</v>
      </c>
      <c r="U1325">
        <v>0.2</v>
      </c>
      <c r="V1325">
        <v>3.5152000000000001</v>
      </c>
      <c r="W1325">
        <f t="shared" si="83"/>
        <v>1.8252000000000002</v>
      </c>
      <c r="X1325">
        <v>4</v>
      </c>
    </row>
    <row r="1326" spans="1:24" x14ac:dyDescent="0.3">
      <c r="A1326">
        <v>1325</v>
      </c>
      <c r="B1326" t="s">
        <v>3084</v>
      </c>
      <c r="C1326" s="6">
        <v>45521</v>
      </c>
      <c r="D1326" t="str">
        <f t="shared" si="80"/>
        <v>Aug</v>
      </c>
      <c r="E1326" t="str">
        <f t="shared" si="81"/>
        <v>2024</v>
      </c>
      <c r="F1326" t="s">
        <v>4</v>
      </c>
      <c r="G1326" t="s">
        <v>440</v>
      </c>
      <c r="H1326" t="s">
        <v>968</v>
      </c>
      <c r="I1326">
        <v>160</v>
      </c>
      <c r="J1326">
        <v>26</v>
      </c>
      <c r="K1326">
        <f t="shared" si="82"/>
        <v>16.25</v>
      </c>
      <c r="L1326" t="s">
        <v>1744</v>
      </c>
      <c r="M1326" t="s">
        <v>3746</v>
      </c>
      <c r="N1326" t="s">
        <v>1</v>
      </c>
      <c r="O1326">
        <v>560037</v>
      </c>
      <c r="P1326" t="s">
        <v>546</v>
      </c>
      <c r="Q1326" t="s">
        <v>1758</v>
      </c>
      <c r="S1326">
        <v>46.26</v>
      </c>
      <c r="T1326">
        <v>3</v>
      </c>
      <c r="U1326">
        <v>0</v>
      </c>
      <c r="V1326">
        <v>12.4902</v>
      </c>
      <c r="W1326">
        <f t="shared" si="83"/>
        <v>11.256599999999999</v>
      </c>
      <c r="X1326">
        <v>4</v>
      </c>
    </row>
    <row r="1327" spans="1:24" x14ac:dyDescent="0.3">
      <c r="A1327">
        <v>1326</v>
      </c>
      <c r="B1327" t="s">
        <v>3085</v>
      </c>
      <c r="C1327" s="6">
        <v>45522</v>
      </c>
      <c r="D1327" t="str">
        <f t="shared" si="80"/>
        <v>Aug</v>
      </c>
      <c r="E1327" t="str">
        <f t="shared" si="81"/>
        <v>2024</v>
      </c>
      <c r="F1327" t="s">
        <v>5</v>
      </c>
      <c r="G1327" t="s">
        <v>104</v>
      </c>
      <c r="H1327" t="s">
        <v>1486</v>
      </c>
      <c r="I1327">
        <v>250</v>
      </c>
      <c r="J1327">
        <v>16</v>
      </c>
      <c r="K1327">
        <f t="shared" si="82"/>
        <v>6.4</v>
      </c>
      <c r="L1327" t="s">
        <v>1740</v>
      </c>
      <c r="M1327" t="s">
        <v>3799</v>
      </c>
      <c r="N1327" t="s">
        <v>1</v>
      </c>
      <c r="O1327">
        <v>560030</v>
      </c>
      <c r="P1327" t="s">
        <v>546</v>
      </c>
      <c r="Q1327" t="s">
        <v>1758</v>
      </c>
      <c r="S1327">
        <v>17.46</v>
      </c>
      <c r="T1327">
        <v>6</v>
      </c>
      <c r="U1327">
        <v>0.8</v>
      </c>
      <c r="V1327">
        <v>-30.555</v>
      </c>
      <c r="W1327">
        <f t="shared" si="83"/>
        <v>8.0024999999999995</v>
      </c>
      <c r="X1327">
        <v>1</v>
      </c>
    </row>
    <row r="1328" spans="1:24" x14ac:dyDescent="0.3">
      <c r="A1328">
        <v>1327</v>
      </c>
      <c r="B1328" t="s">
        <v>2700</v>
      </c>
      <c r="C1328" s="6">
        <v>45523</v>
      </c>
      <c r="D1328" t="str">
        <f t="shared" si="80"/>
        <v>Aug</v>
      </c>
      <c r="E1328" t="str">
        <f t="shared" si="81"/>
        <v>2024</v>
      </c>
      <c r="F1328" t="s">
        <v>4</v>
      </c>
      <c r="G1328" t="s">
        <v>64</v>
      </c>
      <c r="H1328" t="s">
        <v>1429</v>
      </c>
      <c r="I1328">
        <v>230</v>
      </c>
      <c r="J1328">
        <v>10</v>
      </c>
      <c r="K1328">
        <f t="shared" si="82"/>
        <v>4.3478260869565215</v>
      </c>
      <c r="L1328" t="s">
        <v>1742</v>
      </c>
      <c r="M1328" t="s">
        <v>3800</v>
      </c>
      <c r="N1328" t="s">
        <v>1</v>
      </c>
      <c r="O1328">
        <v>560030</v>
      </c>
      <c r="P1328" t="s">
        <v>546</v>
      </c>
      <c r="Q1328" t="s">
        <v>1774</v>
      </c>
      <c r="R1328" t="s">
        <v>2</v>
      </c>
      <c r="S1328">
        <v>51.072000000000003</v>
      </c>
      <c r="T1328">
        <v>6</v>
      </c>
      <c r="U1328">
        <v>0.2</v>
      </c>
      <c r="V1328">
        <v>5.1071999999999997</v>
      </c>
      <c r="W1328">
        <f t="shared" si="83"/>
        <v>7.6608000000000009</v>
      </c>
      <c r="X1328">
        <v>3</v>
      </c>
    </row>
    <row r="1329" spans="1:24" x14ac:dyDescent="0.3">
      <c r="A1329">
        <v>1328</v>
      </c>
      <c r="B1329" t="s">
        <v>3086</v>
      </c>
      <c r="C1329" s="6">
        <v>45524</v>
      </c>
      <c r="D1329" t="str">
        <f t="shared" si="80"/>
        <v>Aug</v>
      </c>
      <c r="E1329" t="str">
        <f t="shared" si="81"/>
        <v>2024</v>
      </c>
      <c r="F1329" t="s">
        <v>5</v>
      </c>
      <c r="G1329" t="s">
        <v>441</v>
      </c>
      <c r="H1329" t="s">
        <v>1299</v>
      </c>
      <c r="I1329">
        <v>190</v>
      </c>
      <c r="J1329">
        <v>10</v>
      </c>
      <c r="K1329">
        <f t="shared" si="82"/>
        <v>5.2631578947368416</v>
      </c>
      <c r="L1329" t="s">
        <v>1739</v>
      </c>
      <c r="M1329" t="s">
        <v>3637</v>
      </c>
      <c r="N1329" t="s">
        <v>1</v>
      </c>
      <c r="O1329">
        <v>788151</v>
      </c>
      <c r="P1329" t="s">
        <v>546</v>
      </c>
      <c r="Q1329" t="s">
        <v>1767</v>
      </c>
      <c r="S1329">
        <v>11.34</v>
      </c>
      <c r="T1329">
        <v>1</v>
      </c>
      <c r="U1329">
        <v>0</v>
      </c>
      <c r="V1329">
        <v>5.5566000000000004</v>
      </c>
      <c r="W1329">
        <f t="shared" si="83"/>
        <v>5.7833999999999994</v>
      </c>
      <c r="X1329">
        <v>1</v>
      </c>
    </row>
    <row r="1330" spans="1:24" x14ac:dyDescent="0.3">
      <c r="A1330">
        <v>1329</v>
      </c>
      <c r="B1330" t="s">
        <v>3087</v>
      </c>
      <c r="C1330" s="6">
        <v>45525</v>
      </c>
      <c r="D1330" t="str">
        <f t="shared" si="80"/>
        <v>Aug</v>
      </c>
      <c r="E1330" t="str">
        <f t="shared" si="81"/>
        <v>2024</v>
      </c>
      <c r="F1330" t="s">
        <v>3</v>
      </c>
      <c r="G1330" t="s">
        <v>442</v>
      </c>
      <c r="H1330" t="s">
        <v>1487</v>
      </c>
      <c r="I1330">
        <v>140</v>
      </c>
      <c r="J1330">
        <v>24</v>
      </c>
      <c r="K1330">
        <f t="shared" si="82"/>
        <v>17.142857142857142</v>
      </c>
      <c r="L1330" t="s">
        <v>1738</v>
      </c>
      <c r="M1330" t="s">
        <v>3814</v>
      </c>
      <c r="O1330">
        <v>322201</v>
      </c>
      <c r="P1330" t="s">
        <v>546</v>
      </c>
      <c r="Q1330" t="s">
        <v>1770</v>
      </c>
      <c r="S1330">
        <v>87.92</v>
      </c>
      <c r="T1330">
        <v>4</v>
      </c>
      <c r="U1330">
        <v>0</v>
      </c>
      <c r="V1330">
        <v>26.376000000000001</v>
      </c>
      <c r="W1330">
        <f t="shared" si="83"/>
        <v>15.385999999999999</v>
      </c>
      <c r="X1330">
        <v>4</v>
      </c>
    </row>
    <row r="1331" spans="1:24" x14ac:dyDescent="0.3">
      <c r="A1331">
        <v>1330</v>
      </c>
      <c r="B1331" t="s">
        <v>3088</v>
      </c>
      <c r="C1331" s="6">
        <v>45526</v>
      </c>
      <c r="D1331" t="str">
        <f t="shared" si="80"/>
        <v>Aug</v>
      </c>
      <c r="E1331" t="str">
        <f t="shared" si="81"/>
        <v>2024</v>
      </c>
      <c r="F1331" t="s">
        <v>4</v>
      </c>
      <c r="G1331" t="s">
        <v>443</v>
      </c>
      <c r="H1331" t="s">
        <v>1440</v>
      </c>
      <c r="I1331">
        <v>150</v>
      </c>
      <c r="J1331">
        <v>20</v>
      </c>
      <c r="K1331">
        <f t="shared" si="82"/>
        <v>13.333333333333334</v>
      </c>
      <c r="L1331" t="s">
        <v>1737</v>
      </c>
      <c r="M1331" t="s">
        <v>3813</v>
      </c>
      <c r="N1331" t="s">
        <v>1</v>
      </c>
      <c r="O1331">
        <v>322201</v>
      </c>
      <c r="P1331" t="s">
        <v>546</v>
      </c>
      <c r="Q1331" t="s">
        <v>1765</v>
      </c>
      <c r="S1331">
        <v>37.049999999999997</v>
      </c>
      <c r="T1331">
        <v>3</v>
      </c>
      <c r="U1331">
        <v>0</v>
      </c>
      <c r="V1331">
        <v>16.302</v>
      </c>
      <c r="W1331">
        <f t="shared" si="83"/>
        <v>6.9159999999999995</v>
      </c>
      <c r="X1331">
        <v>3</v>
      </c>
    </row>
    <row r="1332" spans="1:24" x14ac:dyDescent="0.3">
      <c r="A1332">
        <v>1331</v>
      </c>
      <c r="B1332" t="s">
        <v>3089</v>
      </c>
      <c r="C1332" s="6">
        <v>45527</v>
      </c>
      <c r="D1332" t="str">
        <f t="shared" si="80"/>
        <v>Aug</v>
      </c>
      <c r="E1332" t="str">
        <f t="shared" si="81"/>
        <v>2024</v>
      </c>
      <c r="F1332" t="s">
        <v>4</v>
      </c>
      <c r="G1332" t="s">
        <v>444</v>
      </c>
      <c r="H1332" t="s">
        <v>1047</v>
      </c>
      <c r="I1332">
        <v>150</v>
      </c>
      <c r="J1332">
        <v>14</v>
      </c>
      <c r="K1332">
        <f t="shared" si="82"/>
        <v>9.3333333333333339</v>
      </c>
      <c r="L1332" t="s">
        <v>1743</v>
      </c>
      <c r="M1332" t="s">
        <v>3610</v>
      </c>
      <c r="N1332" t="s">
        <v>1</v>
      </c>
      <c r="O1332">
        <v>400607</v>
      </c>
      <c r="P1332" t="s">
        <v>546</v>
      </c>
      <c r="Q1332" t="s">
        <v>1754</v>
      </c>
      <c r="S1332">
        <v>2.97</v>
      </c>
      <c r="T1332">
        <v>1</v>
      </c>
      <c r="U1332">
        <v>0.4</v>
      </c>
      <c r="V1332">
        <v>-0.64349999999999996</v>
      </c>
      <c r="W1332">
        <f t="shared" si="83"/>
        <v>3.6135000000000002</v>
      </c>
      <c r="X1332">
        <v>4</v>
      </c>
    </row>
    <row r="1333" spans="1:24" x14ac:dyDescent="0.3">
      <c r="A1333">
        <v>1332</v>
      </c>
      <c r="B1333" t="s">
        <v>3090</v>
      </c>
      <c r="C1333" s="6">
        <v>45528</v>
      </c>
      <c r="D1333" t="str">
        <f t="shared" si="80"/>
        <v>Aug</v>
      </c>
      <c r="E1333" t="str">
        <f t="shared" si="81"/>
        <v>2024</v>
      </c>
      <c r="F1333" t="s">
        <v>4</v>
      </c>
      <c r="G1333" t="s">
        <v>444</v>
      </c>
      <c r="H1333" t="s">
        <v>1003</v>
      </c>
      <c r="I1333">
        <v>240</v>
      </c>
      <c r="J1333">
        <v>16</v>
      </c>
      <c r="K1333">
        <f t="shared" si="82"/>
        <v>6.666666666666667</v>
      </c>
      <c r="L1333" t="s">
        <v>1738</v>
      </c>
      <c r="M1333" t="s">
        <v>3807</v>
      </c>
      <c r="N1333" t="s">
        <v>1</v>
      </c>
      <c r="O1333">
        <v>500027</v>
      </c>
      <c r="P1333" t="s">
        <v>546</v>
      </c>
      <c r="Q1333" t="s">
        <v>1776</v>
      </c>
      <c r="R1333" t="s">
        <v>2</v>
      </c>
      <c r="S1333">
        <v>27.44</v>
      </c>
      <c r="T1333">
        <v>2</v>
      </c>
      <c r="U1333">
        <v>0.2</v>
      </c>
      <c r="V1333">
        <v>2.4009999999999998</v>
      </c>
      <c r="W1333">
        <f t="shared" si="83"/>
        <v>12.519500000000001</v>
      </c>
      <c r="X1333">
        <v>3</v>
      </c>
    </row>
    <row r="1334" spans="1:24" x14ac:dyDescent="0.3">
      <c r="A1334">
        <v>1333</v>
      </c>
      <c r="B1334" t="s">
        <v>3091</v>
      </c>
      <c r="C1334" s="6">
        <v>45529</v>
      </c>
      <c r="D1334" t="str">
        <f t="shared" si="80"/>
        <v>Aug</v>
      </c>
      <c r="E1334" t="str">
        <f t="shared" si="81"/>
        <v>2024</v>
      </c>
      <c r="F1334" t="s">
        <v>4</v>
      </c>
      <c r="G1334" t="s">
        <v>445</v>
      </c>
      <c r="H1334" t="s">
        <v>1298</v>
      </c>
      <c r="I1334">
        <v>140</v>
      </c>
      <c r="J1334">
        <v>26</v>
      </c>
      <c r="K1334">
        <f t="shared" si="82"/>
        <v>18.571428571428573</v>
      </c>
      <c r="L1334" t="s">
        <v>1739</v>
      </c>
      <c r="M1334" t="s">
        <v>3707</v>
      </c>
      <c r="N1334" t="s">
        <v>1</v>
      </c>
      <c r="O1334">
        <v>560100</v>
      </c>
      <c r="P1334" t="s">
        <v>546</v>
      </c>
      <c r="Q1334" t="s">
        <v>1760</v>
      </c>
      <c r="S1334">
        <v>1.08</v>
      </c>
      <c r="T1334">
        <v>3</v>
      </c>
      <c r="U1334">
        <v>0.8</v>
      </c>
      <c r="V1334">
        <v>-1.728</v>
      </c>
      <c r="W1334">
        <f t="shared" si="83"/>
        <v>0.93599999999999994</v>
      </c>
      <c r="X1334">
        <v>5</v>
      </c>
    </row>
    <row r="1335" spans="1:24" x14ac:dyDescent="0.3">
      <c r="A1335">
        <v>1334</v>
      </c>
      <c r="B1335" t="s">
        <v>3092</v>
      </c>
      <c r="C1335" s="6">
        <v>45530</v>
      </c>
      <c r="D1335" t="str">
        <f t="shared" si="80"/>
        <v>Aug</v>
      </c>
      <c r="E1335" t="str">
        <f t="shared" si="81"/>
        <v>2024</v>
      </c>
      <c r="F1335" t="s">
        <v>4</v>
      </c>
      <c r="G1335" t="s">
        <v>445</v>
      </c>
      <c r="H1335" t="s">
        <v>1488</v>
      </c>
      <c r="I1335">
        <v>240</v>
      </c>
      <c r="J1335">
        <v>24</v>
      </c>
      <c r="K1335">
        <f t="shared" si="82"/>
        <v>10</v>
      </c>
      <c r="L1335" t="s">
        <v>1741</v>
      </c>
      <c r="M1335" t="s">
        <v>3805</v>
      </c>
      <c r="N1335" t="s">
        <v>1</v>
      </c>
      <c r="O1335">
        <v>422009</v>
      </c>
      <c r="P1335" t="s">
        <v>546</v>
      </c>
      <c r="Q1335" t="s">
        <v>1764</v>
      </c>
      <c r="S1335">
        <v>7.96</v>
      </c>
      <c r="T1335">
        <v>2</v>
      </c>
      <c r="U1335">
        <v>0.8</v>
      </c>
      <c r="V1335">
        <v>-13.93</v>
      </c>
      <c r="W1335">
        <f t="shared" si="83"/>
        <v>10.945</v>
      </c>
      <c r="X1335">
        <v>4</v>
      </c>
    </row>
    <row r="1336" spans="1:24" x14ac:dyDescent="0.3">
      <c r="A1336">
        <v>1335</v>
      </c>
      <c r="B1336" t="s">
        <v>3093</v>
      </c>
      <c r="C1336" s="6">
        <v>45531</v>
      </c>
      <c r="D1336" t="str">
        <f t="shared" si="80"/>
        <v>Aug</v>
      </c>
      <c r="E1336" t="str">
        <f t="shared" si="81"/>
        <v>2024</v>
      </c>
      <c r="F1336" t="s">
        <v>4</v>
      </c>
      <c r="G1336" t="s">
        <v>13</v>
      </c>
      <c r="H1336" t="s">
        <v>1262</v>
      </c>
      <c r="I1336">
        <v>100</v>
      </c>
      <c r="J1336">
        <v>28</v>
      </c>
      <c r="K1336">
        <f t="shared" si="82"/>
        <v>28.000000000000004</v>
      </c>
      <c r="L1336" t="s">
        <v>1736</v>
      </c>
      <c r="M1336" t="s">
        <v>3797</v>
      </c>
      <c r="N1336" t="s">
        <v>1</v>
      </c>
      <c r="O1336">
        <v>800025</v>
      </c>
      <c r="P1336" t="s">
        <v>546</v>
      </c>
      <c r="Q1336" t="s">
        <v>1759</v>
      </c>
      <c r="R1336" t="s">
        <v>2</v>
      </c>
      <c r="S1336">
        <v>140.73599999999999</v>
      </c>
      <c r="T1336">
        <v>8</v>
      </c>
      <c r="U1336">
        <v>0.2</v>
      </c>
      <c r="V1336">
        <v>52.776000000000003</v>
      </c>
      <c r="W1336">
        <f t="shared" si="83"/>
        <v>10.994999999999997</v>
      </c>
      <c r="X1336">
        <v>5</v>
      </c>
    </row>
    <row r="1337" spans="1:24" x14ac:dyDescent="0.3">
      <c r="A1337">
        <v>1336</v>
      </c>
      <c r="B1337" t="s">
        <v>3094</v>
      </c>
      <c r="C1337" s="6">
        <v>45532</v>
      </c>
      <c r="D1337" t="str">
        <f t="shared" si="80"/>
        <v>Aug</v>
      </c>
      <c r="E1337" t="str">
        <f t="shared" si="81"/>
        <v>2024</v>
      </c>
      <c r="F1337" t="s">
        <v>4</v>
      </c>
      <c r="G1337" t="s">
        <v>446</v>
      </c>
      <c r="H1337" t="s">
        <v>1489</v>
      </c>
      <c r="I1337">
        <v>190</v>
      </c>
      <c r="J1337">
        <v>30</v>
      </c>
      <c r="K1337">
        <f t="shared" si="82"/>
        <v>15.789473684210526</v>
      </c>
      <c r="L1337" t="s">
        <v>1744</v>
      </c>
      <c r="M1337" t="s">
        <v>3685</v>
      </c>
      <c r="N1337" t="s">
        <v>1</v>
      </c>
      <c r="O1337">
        <v>795001</v>
      </c>
      <c r="P1337" t="s">
        <v>546</v>
      </c>
      <c r="Q1337" t="s">
        <v>1774</v>
      </c>
      <c r="S1337">
        <v>552.55999999999995</v>
      </c>
      <c r="T1337">
        <v>4</v>
      </c>
      <c r="U1337">
        <v>0</v>
      </c>
      <c r="V1337">
        <v>0</v>
      </c>
      <c r="W1337">
        <f t="shared" si="83"/>
        <v>138.13999999999999</v>
      </c>
      <c r="X1337">
        <v>3</v>
      </c>
    </row>
    <row r="1338" spans="1:24" x14ac:dyDescent="0.3">
      <c r="A1338">
        <v>1337</v>
      </c>
      <c r="B1338" t="s">
        <v>3095</v>
      </c>
      <c r="C1338" s="6">
        <v>45533</v>
      </c>
      <c r="D1338" t="str">
        <f t="shared" si="80"/>
        <v>Aug</v>
      </c>
      <c r="E1338" t="str">
        <f t="shared" si="81"/>
        <v>2024</v>
      </c>
      <c r="F1338" t="s">
        <v>4</v>
      </c>
      <c r="G1338" t="s">
        <v>447</v>
      </c>
      <c r="H1338" t="s">
        <v>1451</v>
      </c>
      <c r="I1338">
        <v>120</v>
      </c>
      <c r="J1338">
        <v>20</v>
      </c>
      <c r="K1338">
        <f t="shared" si="82"/>
        <v>16.666666666666664</v>
      </c>
      <c r="L1338" t="s">
        <v>1740</v>
      </c>
      <c r="M1338" t="s">
        <v>3791</v>
      </c>
      <c r="N1338" t="s">
        <v>1</v>
      </c>
      <c r="O1338">
        <v>500027</v>
      </c>
      <c r="P1338" t="s">
        <v>546</v>
      </c>
      <c r="Q1338" t="s">
        <v>1761</v>
      </c>
      <c r="S1338">
        <v>25.11</v>
      </c>
      <c r="T1338">
        <v>3</v>
      </c>
      <c r="U1338">
        <v>0</v>
      </c>
      <c r="V1338">
        <v>6.5286</v>
      </c>
      <c r="W1338">
        <f t="shared" si="83"/>
        <v>6.1937999999999995</v>
      </c>
      <c r="X1338">
        <v>4</v>
      </c>
    </row>
    <row r="1339" spans="1:24" x14ac:dyDescent="0.3">
      <c r="A1339">
        <v>1338</v>
      </c>
      <c r="B1339" t="s">
        <v>3096</v>
      </c>
      <c r="C1339" s="6">
        <v>45534</v>
      </c>
      <c r="D1339" t="str">
        <f t="shared" si="80"/>
        <v>Aug</v>
      </c>
      <c r="E1339" t="str">
        <f t="shared" si="81"/>
        <v>2024</v>
      </c>
      <c r="F1339" t="s">
        <v>3</v>
      </c>
      <c r="G1339" t="s">
        <v>448</v>
      </c>
      <c r="H1339" t="s">
        <v>1490</v>
      </c>
      <c r="I1339">
        <v>210</v>
      </c>
      <c r="J1339">
        <v>10</v>
      </c>
      <c r="K1339">
        <f t="shared" si="82"/>
        <v>4.7619047619047619</v>
      </c>
      <c r="L1339" t="s">
        <v>1742</v>
      </c>
      <c r="M1339" t="s">
        <v>3647</v>
      </c>
      <c r="N1339" t="s">
        <v>1</v>
      </c>
      <c r="O1339">
        <v>410206</v>
      </c>
      <c r="P1339" t="s">
        <v>546</v>
      </c>
      <c r="Q1339" t="s">
        <v>1761</v>
      </c>
      <c r="S1339">
        <v>29.78</v>
      </c>
      <c r="T1339">
        <v>2</v>
      </c>
      <c r="U1339">
        <v>0</v>
      </c>
      <c r="V1339">
        <v>8.0405999999999995</v>
      </c>
      <c r="W1339">
        <f t="shared" si="83"/>
        <v>10.869700000000002</v>
      </c>
      <c r="X1339">
        <v>1</v>
      </c>
    </row>
    <row r="1340" spans="1:24" x14ac:dyDescent="0.3">
      <c r="A1340">
        <v>1339</v>
      </c>
      <c r="B1340" t="s">
        <v>3097</v>
      </c>
      <c r="C1340" s="6">
        <v>45535</v>
      </c>
      <c r="D1340" t="str">
        <f t="shared" si="80"/>
        <v>Aug</v>
      </c>
      <c r="E1340" t="str">
        <f t="shared" si="81"/>
        <v>2024</v>
      </c>
      <c r="F1340" t="s">
        <v>3</v>
      </c>
      <c r="G1340" t="s">
        <v>448</v>
      </c>
      <c r="H1340" t="s">
        <v>1491</v>
      </c>
      <c r="I1340">
        <v>100</v>
      </c>
      <c r="J1340">
        <v>24</v>
      </c>
      <c r="K1340">
        <f t="shared" si="82"/>
        <v>24</v>
      </c>
      <c r="L1340" t="s">
        <v>1739</v>
      </c>
      <c r="M1340" t="s">
        <v>3697</v>
      </c>
      <c r="N1340" t="s">
        <v>1</v>
      </c>
      <c r="O1340">
        <v>411014</v>
      </c>
      <c r="P1340" t="s">
        <v>546</v>
      </c>
      <c r="Q1340" t="s">
        <v>1759</v>
      </c>
      <c r="S1340">
        <v>677.58</v>
      </c>
      <c r="T1340">
        <v>3</v>
      </c>
      <c r="U1340">
        <v>0</v>
      </c>
      <c r="V1340">
        <v>176.17080000000001</v>
      </c>
      <c r="W1340">
        <f t="shared" si="83"/>
        <v>167.13640000000001</v>
      </c>
      <c r="X1340">
        <v>1</v>
      </c>
    </row>
    <row r="1341" spans="1:24" x14ac:dyDescent="0.3">
      <c r="A1341">
        <v>1340</v>
      </c>
      <c r="B1341" t="s">
        <v>3098</v>
      </c>
      <c r="C1341" s="6">
        <v>45536</v>
      </c>
      <c r="D1341" t="str">
        <f t="shared" si="80"/>
        <v>Sep</v>
      </c>
      <c r="E1341" t="str">
        <f t="shared" si="81"/>
        <v>2024</v>
      </c>
      <c r="F1341" t="s">
        <v>3</v>
      </c>
      <c r="G1341" t="s">
        <v>448</v>
      </c>
      <c r="H1341" t="s">
        <v>1492</v>
      </c>
      <c r="I1341">
        <v>200</v>
      </c>
      <c r="J1341">
        <v>14</v>
      </c>
      <c r="K1341">
        <f t="shared" si="82"/>
        <v>7.0000000000000009</v>
      </c>
      <c r="L1341" t="s">
        <v>1738</v>
      </c>
      <c r="M1341" t="s">
        <v>3801</v>
      </c>
      <c r="N1341" t="s">
        <v>1</v>
      </c>
      <c r="O1341">
        <v>834001</v>
      </c>
      <c r="P1341" t="s">
        <v>546</v>
      </c>
      <c r="Q1341" t="s">
        <v>1766</v>
      </c>
      <c r="S1341">
        <v>75.040000000000006</v>
      </c>
      <c r="T1341">
        <v>8</v>
      </c>
      <c r="U1341">
        <v>0</v>
      </c>
      <c r="V1341">
        <v>36.019199999999998</v>
      </c>
      <c r="W1341">
        <f t="shared" si="83"/>
        <v>4.877600000000001</v>
      </c>
      <c r="X1341">
        <v>5</v>
      </c>
    </row>
    <row r="1342" spans="1:24" x14ac:dyDescent="0.3">
      <c r="A1342">
        <v>1341</v>
      </c>
      <c r="B1342" t="s">
        <v>3099</v>
      </c>
      <c r="C1342" s="6">
        <v>45537</v>
      </c>
      <c r="D1342" t="str">
        <f t="shared" si="80"/>
        <v>Sep</v>
      </c>
      <c r="E1342" t="str">
        <f t="shared" si="81"/>
        <v>2024</v>
      </c>
      <c r="F1342" t="s">
        <v>5</v>
      </c>
      <c r="G1342" t="s">
        <v>449</v>
      </c>
      <c r="H1342" t="s">
        <v>1493</v>
      </c>
      <c r="I1342">
        <v>130</v>
      </c>
      <c r="J1342">
        <v>14</v>
      </c>
      <c r="K1342">
        <f t="shared" si="82"/>
        <v>10.76923076923077</v>
      </c>
      <c r="L1342" t="s">
        <v>1737</v>
      </c>
      <c r="M1342" t="s">
        <v>3787</v>
      </c>
      <c r="O1342">
        <v>788151</v>
      </c>
      <c r="P1342" t="s">
        <v>546</v>
      </c>
      <c r="Q1342" t="s">
        <v>1759</v>
      </c>
      <c r="S1342">
        <v>695.7</v>
      </c>
      <c r="T1342">
        <v>2</v>
      </c>
      <c r="U1342">
        <v>0.5</v>
      </c>
      <c r="V1342">
        <v>-27.827999999999999</v>
      </c>
      <c r="W1342">
        <f t="shared" si="83"/>
        <v>361.76400000000001</v>
      </c>
      <c r="X1342">
        <v>5</v>
      </c>
    </row>
    <row r="1343" spans="1:24" x14ac:dyDescent="0.3">
      <c r="A1343">
        <v>1342</v>
      </c>
      <c r="B1343" t="s">
        <v>3100</v>
      </c>
      <c r="C1343" s="6">
        <v>45538</v>
      </c>
      <c r="D1343" t="str">
        <f t="shared" si="80"/>
        <v>Sep</v>
      </c>
      <c r="E1343" t="str">
        <f t="shared" si="81"/>
        <v>2024</v>
      </c>
      <c r="F1343" t="s">
        <v>5</v>
      </c>
      <c r="G1343" t="s">
        <v>449</v>
      </c>
      <c r="H1343" t="s">
        <v>1411</v>
      </c>
      <c r="I1343">
        <v>220</v>
      </c>
      <c r="J1343">
        <v>12</v>
      </c>
      <c r="K1343">
        <f t="shared" si="82"/>
        <v>5.4545454545454541</v>
      </c>
      <c r="L1343" t="s">
        <v>1743</v>
      </c>
      <c r="M1343" t="s">
        <v>3736</v>
      </c>
      <c r="N1343" t="s">
        <v>1</v>
      </c>
      <c r="O1343">
        <v>400084</v>
      </c>
      <c r="P1343" t="s">
        <v>546</v>
      </c>
      <c r="Q1343" t="s">
        <v>1774</v>
      </c>
      <c r="S1343">
        <v>15.66</v>
      </c>
      <c r="T1343">
        <v>5</v>
      </c>
      <c r="U1343">
        <v>0.7</v>
      </c>
      <c r="V1343">
        <v>-12.528</v>
      </c>
      <c r="W1343">
        <f t="shared" si="83"/>
        <v>5.6376000000000008</v>
      </c>
      <c r="X1343">
        <v>2</v>
      </c>
    </row>
    <row r="1344" spans="1:24" x14ac:dyDescent="0.3">
      <c r="A1344">
        <v>1343</v>
      </c>
      <c r="B1344" t="s">
        <v>3101</v>
      </c>
      <c r="C1344" s="6">
        <v>45539</v>
      </c>
      <c r="D1344" t="str">
        <f t="shared" si="80"/>
        <v>Sep</v>
      </c>
      <c r="E1344" t="str">
        <f t="shared" si="81"/>
        <v>2024</v>
      </c>
      <c r="F1344" t="s">
        <v>5</v>
      </c>
      <c r="G1344" t="s">
        <v>449</v>
      </c>
      <c r="H1344" t="s">
        <v>574</v>
      </c>
      <c r="I1344">
        <v>180</v>
      </c>
      <c r="J1344">
        <v>6</v>
      </c>
      <c r="K1344">
        <f t="shared" si="82"/>
        <v>3.3333333333333335</v>
      </c>
      <c r="L1344" t="s">
        <v>1738</v>
      </c>
      <c r="M1344" t="s">
        <v>3804</v>
      </c>
      <c r="N1344" t="s">
        <v>1</v>
      </c>
      <c r="O1344">
        <v>132001</v>
      </c>
      <c r="P1344" t="s">
        <v>546</v>
      </c>
      <c r="Q1344" t="s">
        <v>1765</v>
      </c>
      <c r="R1344" t="s">
        <v>2</v>
      </c>
      <c r="S1344">
        <v>28.853999999999999</v>
      </c>
      <c r="T1344">
        <v>6</v>
      </c>
      <c r="U1344">
        <v>0.7</v>
      </c>
      <c r="V1344">
        <v>-21.159600000000001</v>
      </c>
      <c r="W1344">
        <f t="shared" si="83"/>
        <v>8.3355999999999995</v>
      </c>
      <c r="X1344">
        <v>2</v>
      </c>
    </row>
    <row r="1345" spans="1:24" x14ac:dyDescent="0.3">
      <c r="A1345">
        <v>1344</v>
      </c>
      <c r="B1345" t="s">
        <v>3102</v>
      </c>
      <c r="C1345" s="6">
        <v>45540</v>
      </c>
      <c r="D1345" t="str">
        <f t="shared" si="80"/>
        <v>Sep</v>
      </c>
      <c r="E1345" t="str">
        <f t="shared" si="81"/>
        <v>2024</v>
      </c>
      <c r="F1345" t="s">
        <v>4</v>
      </c>
      <c r="G1345" t="s">
        <v>48</v>
      </c>
      <c r="H1345" t="s">
        <v>1494</v>
      </c>
      <c r="I1345">
        <v>110</v>
      </c>
      <c r="J1345">
        <v>30</v>
      </c>
      <c r="K1345">
        <f t="shared" si="82"/>
        <v>27.27272727272727</v>
      </c>
      <c r="L1345" t="s">
        <v>1739</v>
      </c>
      <c r="M1345" t="s">
        <v>3588</v>
      </c>
      <c r="N1345" t="s">
        <v>1</v>
      </c>
      <c r="O1345">
        <v>700157</v>
      </c>
      <c r="P1345" t="s">
        <v>546</v>
      </c>
      <c r="Q1345" t="s">
        <v>1766</v>
      </c>
      <c r="S1345">
        <v>47.82</v>
      </c>
      <c r="T1345">
        <v>3</v>
      </c>
      <c r="U1345">
        <v>0</v>
      </c>
      <c r="V1345">
        <v>14.346</v>
      </c>
      <c r="W1345">
        <f t="shared" si="83"/>
        <v>11.158000000000001</v>
      </c>
      <c r="X1345">
        <v>4</v>
      </c>
    </row>
    <row r="1346" spans="1:24" x14ac:dyDescent="0.3">
      <c r="A1346">
        <v>1345</v>
      </c>
      <c r="B1346" t="s">
        <v>3103</v>
      </c>
      <c r="C1346" s="6">
        <v>45541</v>
      </c>
      <c r="D1346" t="str">
        <f t="shared" si="80"/>
        <v>Sep</v>
      </c>
      <c r="E1346" t="str">
        <f t="shared" si="81"/>
        <v>2024</v>
      </c>
      <c r="F1346" t="s">
        <v>4</v>
      </c>
      <c r="G1346" t="s">
        <v>48</v>
      </c>
      <c r="H1346" t="s">
        <v>1495</v>
      </c>
      <c r="I1346">
        <v>200</v>
      </c>
      <c r="J1346">
        <v>20</v>
      </c>
      <c r="K1346">
        <f t="shared" si="82"/>
        <v>10</v>
      </c>
      <c r="L1346" t="s">
        <v>1741</v>
      </c>
      <c r="M1346" t="s">
        <v>3789</v>
      </c>
      <c r="N1346" t="s">
        <v>1</v>
      </c>
      <c r="O1346">
        <v>444506</v>
      </c>
      <c r="P1346" t="s">
        <v>546</v>
      </c>
      <c r="Q1346" t="s">
        <v>1770</v>
      </c>
      <c r="R1346" t="s">
        <v>2</v>
      </c>
      <c r="S1346">
        <v>13.05</v>
      </c>
      <c r="T1346">
        <v>5</v>
      </c>
      <c r="U1346">
        <v>0</v>
      </c>
      <c r="V1346">
        <v>6.0030000000000001</v>
      </c>
      <c r="W1346">
        <f t="shared" si="83"/>
        <v>1.4094000000000002</v>
      </c>
      <c r="X1346">
        <v>4</v>
      </c>
    </row>
    <row r="1347" spans="1:24" x14ac:dyDescent="0.3">
      <c r="A1347">
        <v>1346</v>
      </c>
      <c r="B1347" t="s">
        <v>3104</v>
      </c>
      <c r="C1347" s="6">
        <v>45542</v>
      </c>
      <c r="D1347" t="str">
        <f t="shared" ref="D1347:D1410" si="84">TEXT(C1347,"Mmm")</f>
        <v>Sep</v>
      </c>
      <c r="E1347" t="str">
        <f t="shared" ref="E1347:E1410" si="85">TEXT(C1347,"YYYY")</f>
        <v>2024</v>
      </c>
      <c r="F1347" t="s">
        <v>4</v>
      </c>
      <c r="G1347" t="s">
        <v>209</v>
      </c>
      <c r="H1347" t="s">
        <v>1136</v>
      </c>
      <c r="I1347">
        <v>160</v>
      </c>
      <c r="J1347">
        <v>18</v>
      </c>
      <c r="K1347">
        <f t="shared" ref="K1347:K1410" si="86">(J1347/I1347)*100</f>
        <v>11.25</v>
      </c>
      <c r="L1347" t="s">
        <v>1736</v>
      </c>
      <c r="M1347" t="s">
        <v>3790</v>
      </c>
      <c r="N1347" t="s">
        <v>1</v>
      </c>
      <c r="O1347">
        <v>390013</v>
      </c>
      <c r="P1347" t="s">
        <v>546</v>
      </c>
      <c r="Q1347" t="s">
        <v>1768</v>
      </c>
      <c r="S1347">
        <v>93.78</v>
      </c>
      <c r="T1347">
        <v>2</v>
      </c>
      <c r="U1347">
        <v>0</v>
      </c>
      <c r="V1347">
        <v>36.574199999999998</v>
      </c>
      <c r="W1347">
        <f t="shared" ref="W1347:W1410" si="87">(S1347-V1347)/T1347</f>
        <v>28.602900000000002</v>
      </c>
      <c r="X1347">
        <v>5</v>
      </c>
    </row>
    <row r="1348" spans="1:24" x14ac:dyDescent="0.3">
      <c r="A1348">
        <v>1347</v>
      </c>
      <c r="B1348" t="s">
        <v>3105</v>
      </c>
      <c r="C1348" s="6">
        <v>45543</v>
      </c>
      <c r="D1348" t="str">
        <f t="shared" si="84"/>
        <v>Sep</v>
      </c>
      <c r="E1348" t="str">
        <f t="shared" si="85"/>
        <v>2024</v>
      </c>
      <c r="F1348" t="s">
        <v>4</v>
      </c>
      <c r="G1348" t="s">
        <v>209</v>
      </c>
      <c r="H1348" t="s">
        <v>1496</v>
      </c>
      <c r="I1348">
        <v>160</v>
      </c>
      <c r="J1348">
        <v>10</v>
      </c>
      <c r="K1348">
        <f t="shared" si="86"/>
        <v>6.25</v>
      </c>
      <c r="L1348" t="s">
        <v>1744</v>
      </c>
      <c r="M1348" t="s">
        <v>3798</v>
      </c>
      <c r="N1348" t="s">
        <v>1</v>
      </c>
      <c r="O1348">
        <v>390013</v>
      </c>
      <c r="P1348" t="s">
        <v>546</v>
      </c>
      <c r="Q1348" t="s">
        <v>1759</v>
      </c>
      <c r="S1348">
        <v>47.18</v>
      </c>
      <c r="T1348">
        <v>7</v>
      </c>
      <c r="U1348">
        <v>0</v>
      </c>
      <c r="V1348">
        <v>23.59</v>
      </c>
      <c r="W1348">
        <f t="shared" si="87"/>
        <v>3.37</v>
      </c>
      <c r="X1348">
        <v>3</v>
      </c>
    </row>
    <row r="1349" spans="1:24" x14ac:dyDescent="0.3">
      <c r="A1349">
        <v>1348</v>
      </c>
      <c r="B1349" t="s">
        <v>3106</v>
      </c>
      <c r="C1349" s="6">
        <v>45544</v>
      </c>
      <c r="D1349" t="str">
        <f t="shared" si="84"/>
        <v>Sep</v>
      </c>
      <c r="E1349" t="str">
        <f t="shared" si="85"/>
        <v>2024</v>
      </c>
      <c r="F1349" t="s">
        <v>4</v>
      </c>
      <c r="G1349" t="s">
        <v>209</v>
      </c>
      <c r="H1349" t="s">
        <v>1497</v>
      </c>
      <c r="I1349">
        <v>140</v>
      </c>
      <c r="J1349">
        <v>20</v>
      </c>
      <c r="K1349">
        <f t="shared" si="86"/>
        <v>14.285714285714285</v>
      </c>
      <c r="L1349" t="s">
        <v>1740</v>
      </c>
      <c r="M1349" t="s">
        <v>3834</v>
      </c>
      <c r="N1349" t="s">
        <v>1</v>
      </c>
      <c r="O1349">
        <v>110041</v>
      </c>
      <c r="P1349" t="s">
        <v>546</v>
      </c>
      <c r="Q1349" t="s">
        <v>1758</v>
      </c>
      <c r="S1349">
        <v>19.68</v>
      </c>
      <c r="T1349">
        <v>6</v>
      </c>
      <c r="U1349">
        <v>0</v>
      </c>
      <c r="V1349">
        <v>5.7072000000000003</v>
      </c>
      <c r="W1349">
        <f t="shared" si="87"/>
        <v>2.3287999999999998</v>
      </c>
      <c r="X1349">
        <v>4</v>
      </c>
    </row>
    <row r="1350" spans="1:24" x14ac:dyDescent="0.3">
      <c r="A1350">
        <v>1349</v>
      </c>
      <c r="B1350" t="s">
        <v>3055</v>
      </c>
      <c r="C1350" s="6">
        <v>45545</v>
      </c>
      <c r="D1350" t="str">
        <f t="shared" si="84"/>
        <v>Sep</v>
      </c>
      <c r="E1350" t="str">
        <f t="shared" si="85"/>
        <v>2024</v>
      </c>
      <c r="F1350" t="s">
        <v>4</v>
      </c>
      <c r="G1350" t="s">
        <v>209</v>
      </c>
      <c r="H1350" t="s">
        <v>1498</v>
      </c>
      <c r="I1350">
        <v>140</v>
      </c>
      <c r="J1350">
        <v>6</v>
      </c>
      <c r="K1350">
        <f t="shared" si="86"/>
        <v>4.2857142857142856</v>
      </c>
      <c r="L1350" t="s">
        <v>1742</v>
      </c>
      <c r="M1350" t="s">
        <v>3776</v>
      </c>
      <c r="N1350" t="s">
        <v>1</v>
      </c>
      <c r="O1350">
        <v>110041</v>
      </c>
      <c r="P1350" t="s">
        <v>546</v>
      </c>
      <c r="Q1350" t="s">
        <v>1759</v>
      </c>
      <c r="S1350">
        <v>53.4</v>
      </c>
      <c r="T1350">
        <v>10</v>
      </c>
      <c r="U1350">
        <v>0</v>
      </c>
      <c r="V1350">
        <v>25.097999999999999</v>
      </c>
      <c r="W1350">
        <f t="shared" si="87"/>
        <v>2.8302</v>
      </c>
      <c r="X1350">
        <v>2</v>
      </c>
    </row>
    <row r="1351" spans="1:24" x14ac:dyDescent="0.3">
      <c r="A1351">
        <v>1350</v>
      </c>
      <c r="B1351" t="s">
        <v>3107</v>
      </c>
      <c r="C1351" s="6">
        <v>45546</v>
      </c>
      <c r="D1351" t="str">
        <f t="shared" si="84"/>
        <v>Sep</v>
      </c>
      <c r="E1351" t="str">
        <f t="shared" si="85"/>
        <v>2024</v>
      </c>
      <c r="F1351" t="s">
        <v>4</v>
      </c>
      <c r="G1351" t="s">
        <v>209</v>
      </c>
      <c r="H1351" t="s">
        <v>1499</v>
      </c>
      <c r="I1351">
        <v>110</v>
      </c>
      <c r="J1351">
        <v>10</v>
      </c>
      <c r="K1351">
        <f t="shared" si="86"/>
        <v>9.0909090909090917</v>
      </c>
      <c r="L1351" t="s">
        <v>1739</v>
      </c>
      <c r="M1351" t="s">
        <v>3785</v>
      </c>
      <c r="N1351" t="s">
        <v>1</v>
      </c>
      <c r="O1351">
        <v>110041</v>
      </c>
      <c r="P1351" t="s">
        <v>546</v>
      </c>
      <c r="Q1351" t="s">
        <v>1760</v>
      </c>
      <c r="S1351">
        <v>35.880000000000003</v>
      </c>
      <c r="T1351">
        <v>6</v>
      </c>
      <c r="U1351">
        <v>0</v>
      </c>
      <c r="V1351">
        <v>17.2224</v>
      </c>
      <c r="W1351">
        <f t="shared" si="87"/>
        <v>3.1096000000000004</v>
      </c>
      <c r="X1351">
        <v>3</v>
      </c>
    </row>
    <row r="1352" spans="1:24" x14ac:dyDescent="0.3">
      <c r="A1352">
        <v>1351</v>
      </c>
      <c r="B1352" t="s">
        <v>3108</v>
      </c>
      <c r="C1352" s="6">
        <v>45547</v>
      </c>
      <c r="D1352" t="str">
        <f t="shared" si="84"/>
        <v>Sep</v>
      </c>
      <c r="E1352" t="str">
        <f t="shared" si="85"/>
        <v>2024</v>
      </c>
      <c r="F1352" t="s">
        <v>3</v>
      </c>
      <c r="G1352" t="s">
        <v>450</v>
      </c>
      <c r="H1352" t="s">
        <v>1359</v>
      </c>
      <c r="I1352">
        <v>250</v>
      </c>
      <c r="J1352">
        <v>30</v>
      </c>
      <c r="K1352">
        <f t="shared" si="86"/>
        <v>12</v>
      </c>
      <c r="L1352" t="s">
        <v>1738</v>
      </c>
      <c r="M1352" t="s">
        <v>3788</v>
      </c>
      <c r="N1352" t="s">
        <v>1</v>
      </c>
      <c r="O1352">
        <v>110011</v>
      </c>
      <c r="P1352" t="s">
        <v>546</v>
      </c>
      <c r="Q1352" t="s">
        <v>1765</v>
      </c>
      <c r="S1352">
        <v>258.279</v>
      </c>
      <c r="T1352">
        <v>3</v>
      </c>
      <c r="U1352">
        <v>0.3</v>
      </c>
      <c r="V1352">
        <v>-70.104299999999995</v>
      </c>
      <c r="W1352">
        <f t="shared" si="87"/>
        <v>109.46109999999999</v>
      </c>
      <c r="X1352">
        <v>3</v>
      </c>
    </row>
    <row r="1353" spans="1:24" x14ac:dyDescent="0.3">
      <c r="A1353">
        <v>1352</v>
      </c>
      <c r="B1353" t="s">
        <v>3109</v>
      </c>
      <c r="C1353" s="6">
        <v>45548</v>
      </c>
      <c r="D1353" t="str">
        <f t="shared" si="84"/>
        <v>Sep</v>
      </c>
      <c r="E1353" t="str">
        <f t="shared" si="85"/>
        <v>2024</v>
      </c>
      <c r="F1353" t="s">
        <v>5</v>
      </c>
      <c r="G1353" t="s">
        <v>449</v>
      </c>
      <c r="H1353" t="s">
        <v>1500</v>
      </c>
      <c r="I1353">
        <v>110</v>
      </c>
      <c r="J1353">
        <v>16</v>
      </c>
      <c r="K1353">
        <f t="shared" si="86"/>
        <v>14.545454545454545</v>
      </c>
      <c r="L1353" t="s">
        <v>1737</v>
      </c>
      <c r="M1353" t="s">
        <v>3768</v>
      </c>
      <c r="N1353" t="s">
        <v>1</v>
      </c>
      <c r="O1353">
        <v>110011</v>
      </c>
      <c r="P1353" t="s">
        <v>546</v>
      </c>
      <c r="Q1353" t="s">
        <v>1774</v>
      </c>
      <c r="S1353">
        <v>31.4</v>
      </c>
      <c r="T1353">
        <v>2</v>
      </c>
      <c r="U1353">
        <v>0</v>
      </c>
      <c r="V1353">
        <v>7.85</v>
      </c>
      <c r="W1353">
        <f t="shared" si="87"/>
        <v>11.774999999999999</v>
      </c>
      <c r="X1353">
        <v>3</v>
      </c>
    </row>
    <row r="1354" spans="1:24" x14ac:dyDescent="0.3">
      <c r="A1354">
        <v>1353</v>
      </c>
      <c r="B1354" t="s">
        <v>3110</v>
      </c>
      <c r="C1354" s="6">
        <v>45549</v>
      </c>
      <c r="D1354" t="str">
        <f t="shared" si="84"/>
        <v>Sep</v>
      </c>
      <c r="E1354" t="str">
        <f t="shared" si="85"/>
        <v>2024</v>
      </c>
      <c r="F1354" t="s">
        <v>4</v>
      </c>
      <c r="G1354" t="s">
        <v>359</v>
      </c>
      <c r="H1354" t="s">
        <v>1068</v>
      </c>
      <c r="I1354">
        <v>210</v>
      </c>
      <c r="J1354">
        <v>16</v>
      </c>
      <c r="K1354">
        <f t="shared" si="86"/>
        <v>7.6190476190476195</v>
      </c>
      <c r="L1354" t="s">
        <v>1743</v>
      </c>
      <c r="M1354" t="s">
        <v>3769</v>
      </c>
      <c r="O1354">
        <v>560056</v>
      </c>
      <c r="P1354" t="s">
        <v>546</v>
      </c>
      <c r="Q1354" t="s">
        <v>1773</v>
      </c>
      <c r="S1354">
        <v>183.96</v>
      </c>
      <c r="T1354">
        <v>5</v>
      </c>
      <c r="U1354">
        <v>0.2</v>
      </c>
      <c r="V1354">
        <v>20.695499999999999</v>
      </c>
      <c r="W1354">
        <f t="shared" si="87"/>
        <v>32.652900000000002</v>
      </c>
      <c r="X1354">
        <v>1</v>
      </c>
    </row>
    <row r="1355" spans="1:24" x14ac:dyDescent="0.3">
      <c r="A1355">
        <v>1354</v>
      </c>
      <c r="B1355" t="s">
        <v>3111</v>
      </c>
      <c r="C1355" s="6">
        <v>45550</v>
      </c>
      <c r="D1355" t="str">
        <f t="shared" si="84"/>
        <v>Sep</v>
      </c>
      <c r="E1355" t="str">
        <f t="shared" si="85"/>
        <v>2024</v>
      </c>
      <c r="F1355" t="s">
        <v>4</v>
      </c>
      <c r="G1355" t="s">
        <v>359</v>
      </c>
      <c r="H1355" t="s">
        <v>1254</v>
      </c>
      <c r="I1355">
        <v>140</v>
      </c>
      <c r="J1355">
        <v>30</v>
      </c>
      <c r="K1355">
        <f t="shared" si="86"/>
        <v>21.428571428571427</v>
      </c>
      <c r="L1355" t="s">
        <v>1738</v>
      </c>
      <c r="M1355" t="s">
        <v>3770</v>
      </c>
      <c r="N1355" t="s">
        <v>1</v>
      </c>
      <c r="O1355">
        <v>500097</v>
      </c>
      <c r="P1355" t="s">
        <v>546</v>
      </c>
      <c r="Q1355" t="s">
        <v>1759</v>
      </c>
      <c r="R1355" t="s">
        <v>2</v>
      </c>
      <c r="S1355">
        <v>17.61</v>
      </c>
      <c r="T1355">
        <v>3</v>
      </c>
      <c r="U1355">
        <v>0</v>
      </c>
      <c r="V1355">
        <v>8.4527999999999999</v>
      </c>
      <c r="W1355">
        <f t="shared" si="87"/>
        <v>3.0524</v>
      </c>
      <c r="X1355">
        <v>1</v>
      </c>
    </row>
    <row r="1356" spans="1:24" x14ac:dyDescent="0.3">
      <c r="A1356">
        <v>1355</v>
      </c>
      <c r="B1356" t="s">
        <v>3112</v>
      </c>
      <c r="C1356" s="6">
        <v>45551</v>
      </c>
      <c r="D1356" t="str">
        <f t="shared" si="84"/>
        <v>Sep</v>
      </c>
      <c r="E1356" t="str">
        <f t="shared" si="85"/>
        <v>2024</v>
      </c>
      <c r="F1356" t="s">
        <v>4</v>
      </c>
      <c r="G1356" t="s">
        <v>359</v>
      </c>
      <c r="H1356" t="s">
        <v>762</v>
      </c>
      <c r="I1356">
        <v>230</v>
      </c>
      <c r="J1356">
        <v>10</v>
      </c>
      <c r="K1356">
        <f t="shared" si="86"/>
        <v>4.3478260869565215</v>
      </c>
      <c r="L1356" t="s">
        <v>1739</v>
      </c>
      <c r="M1356" t="s">
        <v>3771</v>
      </c>
      <c r="N1356" t="s">
        <v>1</v>
      </c>
      <c r="O1356">
        <v>431605</v>
      </c>
      <c r="P1356" t="s">
        <v>546</v>
      </c>
      <c r="Q1356" t="s">
        <v>1755</v>
      </c>
      <c r="S1356">
        <v>300.904</v>
      </c>
      <c r="T1356">
        <v>1</v>
      </c>
      <c r="U1356">
        <v>0.2</v>
      </c>
      <c r="V1356">
        <v>11.283899999999999</v>
      </c>
      <c r="W1356">
        <f t="shared" si="87"/>
        <v>289.62009999999998</v>
      </c>
      <c r="X1356">
        <v>4</v>
      </c>
    </row>
    <row r="1357" spans="1:24" x14ac:dyDescent="0.3">
      <c r="A1357">
        <v>1356</v>
      </c>
      <c r="B1357" t="s">
        <v>3113</v>
      </c>
      <c r="C1357" s="6">
        <v>45552</v>
      </c>
      <c r="D1357" t="str">
        <f t="shared" si="84"/>
        <v>Sep</v>
      </c>
      <c r="E1357" t="str">
        <f t="shared" si="85"/>
        <v>2024</v>
      </c>
      <c r="F1357" t="s">
        <v>6</v>
      </c>
      <c r="G1357" t="s">
        <v>426</v>
      </c>
      <c r="H1357" t="s">
        <v>743</v>
      </c>
      <c r="I1357">
        <v>170</v>
      </c>
      <c r="J1357">
        <v>6</v>
      </c>
      <c r="K1357">
        <f t="shared" si="86"/>
        <v>3.5294117647058822</v>
      </c>
      <c r="L1357" t="s">
        <v>1741</v>
      </c>
      <c r="M1357" t="s">
        <v>3796</v>
      </c>
      <c r="N1357" t="s">
        <v>1</v>
      </c>
      <c r="O1357">
        <v>800025</v>
      </c>
      <c r="P1357" t="s">
        <v>546</v>
      </c>
      <c r="Q1357" t="s">
        <v>1775</v>
      </c>
      <c r="S1357">
        <v>220.77600000000001</v>
      </c>
      <c r="T1357">
        <v>3</v>
      </c>
      <c r="U1357">
        <v>0.2</v>
      </c>
      <c r="V1357">
        <v>-44.155200000000001</v>
      </c>
      <c r="W1357">
        <f t="shared" si="87"/>
        <v>88.310400000000001</v>
      </c>
      <c r="X1357">
        <v>1</v>
      </c>
    </row>
    <row r="1358" spans="1:24" x14ac:dyDescent="0.3">
      <c r="A1358">
        <v>1357</v>
      </c>
      <c r="B1358" t="s">
        <v>3114</v>
      </c>
      <c r="C1358" s="6">
        <v>45553</v>
      </c>
      <c r="D1358" t="str">
        <f t="shared" si="84"/>
        <v>Sep</v>
      </c>
      <c r="E1358" t="str">
        <f t="shared" si="85"/>
        <v>2024</v>
      </c>
      <c r="F1358" t="s">
        <v>6</v>
      </c>
      <c r="G1358" t="s">
        <v>426</v>
      </c>
      <c r="H1358" t="s">
        <v>1458</v>
      </c>
      <c r="I1358">
        <v>220</v>
      </c>
      <c r="J1358">
        <v>28</v>
      </c>
      <c r="K1358">
        <f t="shared" si="86"/>
        <v>12.727272727272727</v>
      </c>
      <c r="L1358" t="s">
        <v>1736</v>
      </c>
      <c r="M1358" t="s">
        <v>3773</v>
      </c>
      <c r="N1358" t="s">
        <v>1</v>
      </c>
      <c r="O1358">
        <v>515134</v>
      </c>
      <c r="P1358" t="s">
        <v>546</v>
      </c>
      <c r="Q1358" t="s">
        <v>1759</v>
      </c>
      <c r="S1358">
        <v>281.42399999999998</v>
      </c>
      <c r="T1358">
        <v>11</v>
      </c>
      <c r="U1358">
        <v>0.2</v>
      </c>
      <c r="V1358">
        <v>-35.177999999999997</v>
      </c>
      <c r="W1358">
        <f t="shared" si="87"/>
        <v>28.781999999999996</v>
      </c>
      <c r="X1358">
        <v>3</v>
      </c>
    </row>
    <row r="1359" spans="1:24" x14ac:dyDescent="0.3">
      <c r="A1359">
        <v>1358</v>
      </c>
      <c r="B1359" t="s">
        <v>3115</v>
      </c>
      <c r="C1359" s="6">
        <v>45554</v>
      </c>
      <c r="D1359" t="str">
        <f t="shared" si="84"/>
        <v>Sep</v>
      </c>
      <c r="E1359" t="str">
        <f t="shared" si="85"/>
        <v>2024</v>
      </c>
      <c r="F1359" t="s">
        <v>5</v>
      </c>
      <c r="G1359" t="s">
        <v>451</v>
      </c>
      <c r="H1359" t="s">
        <v>1501</v>
      </c>
      <c r="I1359">
        <v>190</v>
      </c>
      <c r="J1359">
        <v>28</v>
      </c>
      <c r="K1359">
        <f t="shared" si="86"/>
        <v>14.736842105263156</v>
      </c>
      <c r="L1359" t="s">
        <v>1744</v>
      </c>
      <c r="M1359" t="s">
        <v>3774</v>
      </c>
      <c r="N1359" t="s">
        <v>1</v>
      </c>
      <c r="O1359">
        <v>395001</v>
      </c>
      <c r="P1359" t="s">
        <v>546</v>
      </c>
      <c r="Q1359" t="s">
        <v>1771</v>
      </c>
      <c r="S1359">
        <v>79.14</v>
      </c>
      <c r="T1359">
        <v>3</v>
      </c>
      <c r="U1359">
        <v>0</v>
      </c>
      <c r="V1359">
        <v>36.404400000000003</v>
      </c>
      <c r="W1359">
        <f t="shared" si="87"/>
        <v>14.245199999999999</v>
      </c>
      <c r="X1359">
        <v>2</v>
      </c>
    </row>
    <row r="1360" spans="1:24" x14ac:dyDescent="0.3">
      <c r="A1360">
        <v>1359</v>
      </c>
      <c r="B1360" t="s">
        <v>3116</v>
      </c>
      <c r="C1360" s="6">
        <v>45555</v>
      </c>
      <c r="D1360" t="str">
        <f t="shared" si="84"/>
        <v>Sep</v>
      </c>
      <c r="E1360" t="str">
        <f t="shared" si="85"/>
        <v>2024</v>
      </c>
      <c r="F1360" t="s">
        <v>5</v>
      </c>
      <c r="G1360" t="s">
        <v>452</v>
      </c>
      <c r="H1360" t="s">
        <v>1074</v>
      </c>
      <c r="I1360">
        <v>150</v>
      </c>
      <c r="J1360">
        <v>12</v>
      </c>
      <c r="K1360">
        <f t="shared" si="86"/>
        <v>8</v>
      </c>
      <c r="L1360" t="s">
        <v>1740</v>
      </c>
      <c r="M1360" t="s">
        <v>3775</v>
      </c>
      <c r="N1360" t="s">
        <v>1</v>
      </c>
      <c r="O1360">
        <v>222001</v>
      </c>
      <c r="P1360" t="s">
        <v>546</v>
      </c>
      <c r="Q1360" t="s">
        <v>1770</v>
      </c>
      <c r="S1360">
        <v>1.988</v>
      </c>
      <c r="T1360">
        <v>1</v>
      </c>
      <c r="U1360">
        <v>0.6</v>
      </c>
      <c r="V1360">
        <v>-1.4413</v>
      </c>
      <c r="W1360">
        <f t="shared" si="87"/>
        <v>3.4293</v>
      </c>
      <c r="X1360">
        <v>5</v>
      </c>
    </row>
    <row r="1361" spans="1:24" x14ac:dyDescent="0.3">
      <c r="A1361">
        <v>1360</v>
      </c>
      <c r="B1361" t="s">
        <v>3117</v>
      </c>
      <c r="C1361" s="6">
        <v>45556</v>
      </c>
      <c r="D1361" t="str">
        <f t="shared" si="84"/>
        <v>Sep</v>
      </c>
      <c r="E1361" t="str">
        <f t="shared" si="85"/>
        <v>2024</v>
      </c>
      <c r="F1361" t="s">
        <v>3</v>
      </c>
      <c r="G1361" t="s">
        <v>453</v>
      </c>
      <c r="H1361" t="s">
        <v>1502</v>
      </c>
      <c r="I1361">
        <v>170</v>
      </c>
      <c r="J1361">
        <v>22</v>
      </c>
      <c r="K1361">
        <f t="shared" si="86"/>
        <v>12.941176470588237</v>
      </c>
      <c r="L1361" t="s">
        <v>1742</v>
      </c>
      <c r="M1361" t="s">
        <v>3765</v>
      </c>
      <c r="N1361" t="s">
        <v>1</v>
      </c>
      <c r="O1361">
        <v>560095</v>
      </c>
      <c r="P1361" t="s">
        <v>546</v>
      </c>
      <c r="Q1361" t="s">
        <v>1756</v>
      </c>
      <c r="R1361" t="s">
        <v>2</v>
      </c>
      <c r="S1361">
        <v>145.56800000000001</v>
      </c>
      <c r="T1361">
        <v>2</v>
      </c>
      <c r="U1361">
        <v>0.2</v>
      </c>
      <c r="V1361">
        <v>0</v>
      </c>
      <c r="W1361">
        <f t="shared" si="87"/>
        <v>72.784000000000006</v>
      </c>
      <c r="X1361">
        <v>5</v>
      </c>
    </row>
    <row r="1362" spans="1:24" x14ac:dyDescent="0.3">
      <c r="A1362">
        <v>1361</v>
      </c>
      <c r="B1362" t="s">
        <v>3118</v>
      </c>
      <c r="C1362" s="6">
        <v>45557</v>
      </c>
      <c r="D1362" t="str">
        <f t="shared" si="84"/>
        <v>Sep</v>
      </c>
      <c r="E1362" t="str">
        <f t="shared" si="85"/>
        <v>2024</v>
      </c>
      <c r="F1362" t="s">
        <v>4</v>
      </c>
      <c r="G1362" t="s">
        <v>454</v>
      </c>
      <c r="H1362" t="s">
        <v>1213</v>
      </c>
      <c r="I1362">
        <v>190</v>
      </c>
      <c r="J1362">
        <v>26</v>
      </c>
      <c r="K1362">
        <f t="shared" si="86"/>
        <v>13.684210526315791</v>
      </c>
      <c r="L1362" t="s">
        <v>1739</v>
      </c>
      <c r="M1362" t="s">
        <v>3777</v>
      </c>
      <c r="N1362" t="s">
        <v>1</v>
      </c>
      <c r="O1362">
        <v>560064</v>
      </c>
      <c r="P1362" t="s">
        <v>546</v>
      </c>
      <c r="Q1362" t="s">
        <v>1758</v>
      </c>
      <c r="S1362">
        <v>123.256</v>
      </c>
      <c r="T1362">
        <v>7</v>
      </c>
      <c r="U1362">
        <v>0.2</v>
      </c>
      <c r="V1362">
        <v>9.2441999999999993</v>
      </c>
      <c r="W1362">
        <f t="shared" si="87"/>
        <v>16.287399999999998</v>
      </c>
      <c r="X1362">
        <v>4</v>
      </c>
    </row>
    <row r="1363" spans="1:24" x14ac:dyDescent="0.3">
      <c r="A1363">
        <v>1362</v>
      </c>
      <c r="B1363" t="s">
        <v>3119</v>
      </c>
      <c r="C1363" s="6">
        <v>45558</v>
      </c>
      <c r="D1363" t="str">
        <f t="shared" si="84"/>
        <v>Sep</v>
      </c>
      <c r="E1363" t="str">
        <f t="shared" si="85"/>
        <v>2024</v>
      </c>
      <c r="F1363" t="s">
        <v>4</v>
      </c>
      <c r="G1363" t="s">
        <v>454</v>
      </c>
      <c r="H1363" t="s">
        <v>1503</v>
      </c>
      <c r="I1363">
        <v>120</v>
      </c>
      <c r="J1363">
        <v>24</v>
      </c>
      <c r="K1363">
        <f t="shared" si="86"/>
        <v>20</v>
      </c>
      <c r="L1363" t="s">
        <v>1738</v>
      </c>
      <c r="M1363" t="s">
        <v>3750</v>
      </c>
      <c r="N1363" t="s">
        <v>1</v>
      </c>
      <c r="O1363">
        <v>226029</v>
      </c>
      <c r="P1363" t="s">
        <v>546</v>
      </c>
      <c r="Q1363" t="s">
        <v>1756</v>
      </c>
      <c r="S1363">
        <v>23.68</v>
      </c>
      <c r="T1363">
        <v>4</v>
      </c>
      <c r="U1363">
        <v>0.2</v>
      </c>
      <c r="V1363">
        <v>7.4</v>
      </c>
      <c r="W1363">
        <f t="shared" si="87"/>
        <v>4.07</v>
      </c>
      <c r="X1363">
        <v>3</v>
      </c>
    </row>
    <row r="1364" spans="1:24" x14ac:dyDescent="0.3">
      <c r="A1364">
        <v>1363</v>
      </c>
      <c r="B1364" t="s">
        <v>1836</v>
      </c>
      <c r="C1364" s="6">
        <v>45559</v>
      </c>
      <c r="D1364" t="str">
        <f t="shared" si="84"/>
        <v>Sep</v>
      </c>
      <c r="E1364" t="str">
        <f t="shared" si="85"/>
        <v>2024</v>
      </c>
      <c r="F1364" t="s">
        <v>4</v>
      </c>
      <c r="G1364" t="s">
        <v>454</v>
      </c>
      <c r="H1364" t="s">
        <v>1504</v>
      </c>
      <c r="I1364">
        <v>250</v>
      </c>
      <c r="J1364">
        <v>18</v>
      </c>
      <c r="K1364">
        <f t="shared" si="86"/>
        <v>7.1999999999999993</v>
      </c>
      <c r="L1364" t="s">
        <v>1737</v>
      </c>
      <c r="M1364" t="s">
        <v>3835</v>
      </c>
      <c r="O1364">
        <v>222001</v>
      </c>
      <c r="P1364" t="s">
        <v>546</v>
      </c>
      <c r="Q1364" t="s">
        <v>1759</v>
      </c>
      <c r="R1364" t="s">
        <v>2</v>
      </c>
      <c r="S1364">
        <v>309.57600000000002</v>
      </c>
      <c r="T1364">
        <v>4</v>
      </c>
      <c r="U1364">
        <v>0.4</v>
      </c>
      <c r="V1364">
        <v>-56.755600000000001</v>
      </c>
      <c r="W1364">
        <f t="shared" si="87"/>
        <v>91.582900000000009</v>
      </c>
      <c r="X1364">
        <v>2</v>
      </c>
    </row>
    <row r="1365" spans="1:24" x14ac:dyDescent="0.3">
      <c r="A1365">
        <v>1364</v>
      </c>
      <c r="B1365" t="s">
        <v>3120</v>
      </c>
      <c r="C1365" s="6">
        <v>45560</v>
      </c>
      <c r="D1365" t="str">
        <f t="shared" si="84"/>
        <v>Sep</v>
      </c>
      <c r="E1365" t="str">
        <f t="shared" si="85"/>
        <v>2024</v>
      </c>
      <c r="F1365" t="s">
        <v>5</v>
      </c>
      <c r="G1365" t="s">
        <v>455</v>
      </c>
      <c r="H1365" t="s">
        <v>1171</v>
      </c>
      <c r="I1365">
        <v>140</v>
      </c>
      <c r="J1365">
        <v>8</v>
      </c>
      <c r="K1365">
        <f t="shared" si="86"/>
        <v>5.7142857142857144</v>
      </c>
      <c r="L1365" t="s">
        <v>1743</v>
      </c>
      <c r="M1365" t="s">
        <v>3836</v>
      </c>
      <c r="N1365" t="s">
        <v>1</v>
      </c>
      <c r="O1365">
        <v>500032</v>
      </c>
      <c r="P1365" t="s">
        <v>546</v>
      </c>
      <c r="Q1365" t="s">
        <v>1767</v>
      </c>
      <c r="S1365">
        <v>38.387999999999998</v>
      </c>
      <c r="T1365">
        <v>14</v>
      </c>
      <c r="U1365">
        <v>0.7</v>
      </c>
      <c r="V1365">
        <v>-25.591999999999999</v>
      </c>
      <c r="W1365">
        <f t="shared" si="87"/>
        <v>4.5699999999999994</v>
      </c>
      <c r="X1365">
        <v>3</v>
      </c>
    </row>
    <row r="1366" spans="1:24" x14ac:dyDescent="0.3">
      <c r="A1366">
        <v>1365</v>
      </c>
      <c r="B1366" t="s">
        <v>3121</v>
      </c>
      <c r="C1366" s="6">
        <v>45561</v>
      </c>
      <c r="D1366" t="str">
        <f t="shared" si="84"/>
        <v>Sep</v>
      </c>
      <c r="E1366" t="str">
        <f t="shared" si="85"/>
        <v>2024</v>
      </c>
      <c r="F1366" t="s">
        <v>5</v>
      </c>
      <c r="G1366" t="s">
        <v>455</v>
      </c>
      <c r="H1366" t="s">
        <v>1505</v>
      </c>
      <c r="I1366">
        <v>110</v>
      </c>
      <c r="J1366">
        <v>18</v>
      </c>
      <c r="K1366">
        <f t="shared" si="86"/>
        <v>16.363636363636363</v>
      </c>
      <c r="L1366" t="s">
        <v>1738</v>
      </c>
      <c r="M1366" t="s">
        <v>3795</v>
      </c>
      <c r="N1366" t="s">
        <v>1</v>
      </c>
      <c r="O1366">
        <v>201301</v>
      </c>
      <c r="P1366" t="s">
        <v>546</v>
      </c>
      <c r="Q1366" t="s">
        <v>1759</v>
      </c>
      <c r="R1366" t="s">
        <v>2</v>
      </c>
      <c r="S1366">
        <v>95.994</v>
      </c>
      <c r="T1366">
        <v>2</v>
      </c>
      <c r="U1366">
        <v>0.7</v>
      </c>
      <c r="V1366">
        <v>-63.996000000000002</v>
      </c>
      <c r="W1366">
        <f t="shared" si="87"/>
        <v>79.995000000000005</v>
      </c>
      <c r="X1366">
        <v>5</v>
      </c>
    </row>
    <row r="1367" spans="1:24" x14ac:dyDescent="0.3">
      <c r="A1367">
        <v>1366</v>
      </c>
      <c r="B1367" t="s">
        <v>3122</v>
      </c>
      <c r="C1367" s="6">
        <v>45562</v>
      </c>
      <c r="D1367" t="str">
        <f t="shared" si="84"/>
        <v>Sep</v>
      </c>
      <c r="E1367" t="str">
        <f t="shared" si="85"/>
        <v>2024</v>
      </c>
      <c r="F1367" t="s">
        <v>5</v>
      </c>
      <c r="G1367" t="s">
        <v>455</v>
      </c>
      <c r="H1367" t="s">
        <v>1506</v>
      </c>
      <c r="I1367">
        <v>190</v>
      </c>
      <c r="J1367">
        <v>24</v>
      </c>
      <c r="K1367">
        <f t="shared" si="86"/>
        <v>12.631578947368421</v>
      </c>
      <c r="L1367" t="s">
        <v>1739</v>
      </c>
      <c r="M1367" t="s">
        <v>3751</v>
      </c>
      <c r="N1367" t="s">
        <v>1</v>
      </c>
      <c r="O1367">
        <v>801503</v>
      </c>
      <c r="P1367" t="s">
        <v>546</v>
      </c>
      <c r="Q1367" t="s">
        <v>1761</v>
      </c>
      <c r="R1367" t="s">
        <v>2</v>
      </c>
      <c r="S1367">
        <v>239.952</v>
      </c>
      <c r="T1367">
        <v>6</v>
      </c>
      <c r="U1367">
        <v>0.2</v>
      </c>
      <c r="V1367">
        <v>-35.992800000000003</v>
      </c>
      <c r="W1367">
        <f t="shared" si="87"/>
        <v>45.9908</v>
      </c>
      <c r="X1367">
        <v>3</v>
      </c>
    </row>
    <row r="1368" spans="1:24" x14ac:dyDescent="0.3">
      <c r="A1368">
        <v>1367</v>
      </c>
      <c r="B1368" t="s">
        <v>3123</v>
      </c>
      <c r="C1368" s="6">
        <v>45563</v>
      </c>
      <c r="D1368" t="str">
        <f t="shared" si="84"/>
        <v>Sep</v>
      </c>
      <c r="E1368" t="str">
        <f t="shared" si="85"/>
        <v>2024</v>
      </c>
      <c r="F1368" t="s">
        <v>5</v>
      </c>
      <c r="G1368" t="s">
        <v>455</v>
      </c>
      <c r="H1368" t="s">
        <v>749</v>
      </c>
      <c r="I1368">
        <v>190</v>
      </c>
      <c r="J1368">
        <v>24</v>
      </c>
      <c r="K1368">
        <f t="shared" si="86"/>
        <v>12.631578947368421</v>
      </c>
      <c r="L1368" t="s">
        <v>1741</v>
      </c>
      <c r="M1368" t="s">
        <v>3752</v>
      </c>
      <c r="N1368" t="s">
        <v>1</v>
      </c>
      <c r="O1368">
        <v>700092</v>
      </c>
      <c r="P1368" t="s">
        <v>546</v>
      </c>
      <c r="Q1368" t="s">
        <v>1773</v>
      </c>
      <c r="S1368">
        <v>201.584</v>
      </c>
      <c r="T1368">
        <v>2</v>
      </c>
      <c r="U1368">
        <v>0.2</v>
      </c>
      <c r="V1368">
        <v>15.1188</v>
      </c>
      <c r="W1368">
        <f t="shared" si="87"/>
        <v>93.232600000000005</v>
      </c>
      <c r="X1368">
        <v>5</v>
      </c>
    </row>
    <row r="1369" spans="1:24" x14ac:dyDescent="0.3">
      <c r="A1369">
        <v>1368</v>
      </c>
      <c r="B1369" t="s">
        <v>3124</v>
      </c>
      <c r="C1369" s="6">
        <v>45564</v>
      </c>
      <c r="D1369" t="str">
        <f t="shared" si="84"/>
        <v>Sep</v>
      </c>
      <c r="E1369" t="str">
        <f t="shared" si="85"/>
        <v>2024</v>
      </c>
      <c r="F1369" t="s">
        <v>5</v>
      </c>
      <c r="G1369" t="s">
        <v>455</v>
      </c>
      <c r="H1369" t="s">
        <v>846</v>
      </c>
      <c r="I1369">
        <v>180</v>
      </c>
      <c r="J1369">
        <v>12</v>
      </c>
      <c r="K1369">
        <f t="shared" si="86"/>
        <v>6.666666666666667</v>
      </c>
      <c r="L1369" t="s">
        <v>1736</v>
      </c>
      <c r="M1369" t="s">
        <v>3753</v>
      </c>
      <c r="N1369" t="s">
        <v>1</v>
      </c>
      <c r="O1369">
        <v>560076</v>
      </c>
      <c r="P1369" t="s">
        <v>546</v>
      </c>
      <c r="Q1369" t="s">
        <v>1759</v>
      </c>
      <c r="S1369">
        <v>899.13599999999997</v>
      </c>
      <c r="T1369">
        <v>4</v>
      </c>
      <c r="U1369">
        <v>0.2</v>
      </c>
      <c r="V1369">
        <v>-146.1096</v>
      </c>
      <c r="W1369">
        <f t="shared" si="87"/>
        <v>261.31139999999999</v>
      </c>
      <c r="X1369">
        <v>3</v>
      </c>
    </row>
    <row r="1370" spans="1:24" x14ac:dyDescent="0.3">
      <c r="A1370">
        <v>1369</v>
      </c>
      <c r="B1370" t="s">
        <v>3125</v>
      </c>
      <c r="C1370" s="6">
        <v>45565</v>
      </c>
      <c r="D1370" t="str">
        <f t="shared" si="84"/>
        <v>Sep</v>
      </c>
      <c r="E1370" t="str">
        <f t="shared" si="85"/>
        <v>2024</v>
      </c>
      <c r="F1370" t="s">
        <v>5</v>
      </c>
      <c r="G1370" t="s">
        <v>456</v>
      </c>
      <c r="H1370" t="s">
        <v>834</v>
      </c>
      <c r="I1370">
        <v>170</v>
      </c>
      <c r="J1370">
        <v>18</v>
      </c>
      <c r="K1370">
        <f t="shared" si="86"/>
        <v>10.588235294117647</v>
      </c>
      <c r="L1370" t="s">
        <v>1744</v>
      </c>
      <c r="M1370" t="s">
        <v>3754</v>
      </c>
      <c r="N1370" t="s">
        <v>1</v>
      </c>
      <c r="O1370">
        <v>500015</v>
      </c>
      <c r="P1370" t="s">
        <v>546</v>
      </c>
      <c r="Q1370" t="s">
        <v>1766</v>
      </c>
      <c r="S1370">
        <v>145.9</v>
      </c>
      <c r="T1370">
        <v>5</v>
      </c>
      <c r="U1370">
        <v>0</v>
      </c>
      <c r="V1370">
        <v>62.737000000000002</v>
      </c>
      <c r="W1370">
        <f t="shared" si="87"/>
        <v>16.632600000000004</v>
      </c>
      <c r="X1370">
        <v>2</v>
      </c>
    </row>
    <row r="1371" spans="1:24" x14ac:dyDescent="0.3">
      <c r="A1371">
        <v>1370</v>
      </c>
      <c r="B1371" t="s">
        <v>3126</v>
      </c>
      <c r="C1371" s="6">
        <v>45566</v>
      </c>
      <c r="D1371" t="str">
        <f t="shared" si="84"/>
        <v>Oct</v>
      </c>
      <c r="E1371" t="str">
        <f t="shared" si="85"/>
        <v>2024</v>
      </c>
      <c r="F1371" t="s">
        <v>4</v>
      </c>
      <c r="G1371" t="s">
        <v>446</v>
      </c>
      <c r="H1371" t="s">
        <v>725</v>
      </c>
      <c r="I1371">
        <v>140</v>
      </c>
      <c r="J1371">
        <v>10</v>
      </c>
      <c r="K1371">
        <f t="shared" si="86"/>
        <v>7.1428571428571423</v>
      </c>
      <c r="L1371" t="s">
        <v>1740</v>
      </c>
      <c r="M1371" t="s">
        <v>3755</v>
      </c>
      <c r="N1371" t="s">
        <v>1</v>
      </c>
      <c r="O1371">
        <v>122004</v>
      </c>
      <c r="P1371" t="s">
        <v>546</v>
      </c>
      <c r="Q1371" t="s">
        <v>1756</v>
      </c>
      <c r="S1371">
        <v>590.05799999999999</v>
      </c>
      <c r="T1371">
        <v>7</v>
      </c>
      <c r="U1371">
        <v>0.7</v>
      </c>
      <c r="V1371">
        <v>-786.74400000000003</v>
      </c>
      <c r="W1371">
        <f t="shared" si="87"/>
        <v>196.68600000000001</v>
      </c>
      <c r="X1371">
        <v>5</v>
      </c>
    </row>
    <row r="1372" spans="1:24" x14ac:dyDescent="0.3">
      <c r="A1372">
        <v>1371</v>
      </c>
      <c r="B1372" t="s">
        <v>3127</v>
      </c>
      <c r="C1372" s="6">
        <v>45567</v>
      </c>
      <c r="D1372" t="str">
        <f t="shared" si="84"/>
        <v>Oct</v>
      </c>
      <c r="E1372" t="str">
        <f t="shared" si="85"/>
        <v>2024</v>
      </c>
      <c r="F1372" t="s">
        <v>4</v>
      </c>
      <c r="G1372" t="s">
        <v>446</v>
      </c>
      <c r="H1372" t="s">
        <v>1175</v>
      </c>
      <c r="I1372">
        <v>120</v>
      </c>
      <c r="J1372">
        <v>14</v>
      </c>
      <c r="K1372">
        <f t="shared" si="86"/>
        <v>11.666666666666666</v>
      </c>
      <c r="L1372" t="s">
        <v>1742</v>
      </c>
      <c r="M1372" t="s">
        <v>3756</v>
      </c>
      <c r="N1372" t="s">
        <v>1</v>
      </c>
      <c r="O1372">
        <v>560086</v>
      </c>
      <c r="P1372" t="s">
        <v>546</v>
      </c>
      <c r="Q1372" t="s">
        <v>1770</v>
      </c>
      <c r="S1372">
        <v>14.04</v>
      </c>
      <c r="T1372">
        <v>3</v>
      </c>
      <c r="U1372">
        <v>0.2</v>
      </c>
      <c r="V1372">
        <v>1.5794999999999999</v>
      </c>
      <c r="W1372">
        <f t="shared" si="87"/>
        <v>4.1535000000000002</v>
      </c>
      <c r="X1372">
        <v>5</v>
      </c>
    </row>
    <row r="1373" spans="1:24" x14ac:dyDescent="0.3">
      <c r="A1373">
        <v>1372</v>
      </c>
      <c r="B1373" t="s">
        <v>3128</v>
      </c>
      <c r="C1373" s="6">
        <v>45568</v>
      </c>
      <c r="D1373" t="str">
        <f t="shared" si="84"/>
        <v>Oct</v>
      </c>
      <c r="E1373" t="str">
        <f t="shared" si="85"/>
        <v>2024</v>
      </c>
      <c r="F1373" t="s">
        <v>4</v>
      </c>
      <c r="G1373" t="s">
        <v>457</v>
      </c>
      <c r="H1373" t="s">
        <v>1507</v>
      </c>
      <c r="I1373">
        <v>210</v>
      </c>
      <c r="J1373">
        <v>6</v>
      </c>
      <c r="K1373">
        <f t="shared" si="86"/>
        <v>2.8571428571428572</v>
      </c>
      <c r="L1373" t="s">
        <v>1739</v>
      </c>
      <c r="M1373" t="s">
        <v>3757</v>
      </c>
      <c r="N1373" t="s">
        <v>1</v>
      </c>
      <c r="O1373">
        <v>400605</v>
      </c>
      <c r="P1373" t="s">
        <v>546</v>
      </c>
      <c r="Q1373" t="s">
        <v>1772</v>
      </c>
      <c r="S1373">
        <v>49.08</v>
      </c>
      <c r="T1373">
        <v>3</v>
      </c>
      <c r="U1373">
        <v>0</v>
      </c>
      <c r="V1373">
        <v>4.9080000000000004</v>
      </c>
      <c r="W1373">
        <f t="shared" si="87"/>
        <v>14.723999999999998</v>
      </c>
      <c r="X1373">
        <v>1</v>
      </c>
    </row>
    <row r="1374" spans="1:24" x14ac:dyDescent="0.3">
      <c r="A1374">
        <v>1373</v>
      </c>
      <c r="B1374" t="s">
        <v>3129</v>
      </c>
      <c r="C1374" s="6">
        <v>45569</v>
      </c>
      <c r="D1374" t="str">
        <f t="shared" si="84"/>
        <v>Oct</v>
      </c>
      <c r="E1374" t="str">
        <f t="shared" si="85"/>
        <v>2024</v>
      </c>
      <c r="F1374" t="s">
        <v>3</v>
      </c>
      <c r="G1374" t="s">
        <v>34</v>
      </c>
      <c r="H1374" t="s">
        <v>1126</v>
      </c>
      <c r="I1374">
        <v>210</v>
      </c>
      <c r="J1374">
        <v>22</v>
      </c>
      <c r="K1374">
        <f t="shared" si="86"/>
        <v>10.476190476190476</v>
      </c>
      <c r="L1374" t="s">
        <v>1738</v>
      </c>
      <c r="M1374" t="s">
        <v>3758</v>
      </c>
      <c r="N1374" t="s">
        <v>1</v>
      </c>
      <c r="O1374">
        <v>695010</v>
      </c>
      <c r="P1374" t="s">
        <v>546</v>
      </c>
      <c r="Q1374" t="s">
        <v>1761</v>
      </c>
      <c r="S1374">
        <v>29.6</v>
      </c>
      <c r="T1374">
        <v>2</v>
      </c>
      <c r="U1374">
        <v>0</v>
      </c>
      <c r="V1374">
        <v>14.8</v>
      </c>
      <c r="W1374">
        <f t="shared" si="87"/>
        <v>7.4</v>
      </c>
      <c r="X1374">
        <v>1</v>
      </c>
    </row>
    <row r="1375" spans="1:24" x14ac:dyDescent="0.3">
      <c r="A1375">
        <v>1374</v>
      </c>
      <c r="B1375" t="s">
        <v>3130</v>
      </c>
      <c r="C1375" s="6">
        <v>45570</v>
      </c>
      <c r="D1375" t="str">
        <f t="shared" si="84"/>
        <v>Oct</v>
      </c>
      <c r="E1375" t="str">
        <f t="shared" si="85"/>
        <v>2024</v>
      </c>
      <c r="F1375" t="s">
        <v>3</v>
      </c>
      <c r="G1375" t="s">
        <v>34</v>
      </c>
      <c r="H1375" t="s">
        <v>1508</v>
      </c>
      <c r="I1375">
        <v>150</v>
      </c>
      <c r="J1375">
        <v>10</v>
      </c>
      <c r="K1375">
        <f t="shared" si="86"/>
        <v>6.666666666666667</v>
      </c>
      <c r="L1375" t="s">
        <v>1743</v>
      </c>
      <c r="M1375" t="s">
        <v>3759</v>
      </c>
      <c r="N1375" t="s">
        <v>1</v>
      </c>
      <c r="O1375">
        <v>560068</v>
      </c>
      <c r="P1375" t="s">
        <v>546</v>
      </c>
      <c r="Q1375" t="s">
        <v>1758</v>
      </c>
      <c r="R1375" t="s">
        <v>2</v>
      </c>
      <c r="S1375">
        <v>17.088000000000001</v>
      </c>
      <c r="T1375">
        <v>4</v>
      </c>
      <c r="U1375">
        <v>0.2</v>
      </c>
      <c r="V1375">
        <v>5.5536000000000003</v>
      </c>
      <c r="W1375">
        <f t="shared" si="87"/>
        <v>2.8836000000000004</v>
      </c>
      <c r="X1375">
        <v>3</v>
      </c>
    </row>
    <row r="1376" spans="1:24" x14ac:dyDescent="0.3">
      <c r="A1376">
        <v>1375</v>
      </c>
      <c r="B1376" t="s">
        <v>3131</v>
      </c>
      <c r="C1376" s="6">
        <v>45571</v>
      </c>
      <c r="D1376" t="str">
        <f t="shared" si="84"/>
        <v>Oct</v>
      </c>
      <c r="E1376" t="str">
        <f t="shared" si="85"/>
        <v>2024</v>
      </c>
      <c r="F1376" t="s">
        <v>4</v>
      </c>
      <c r="G1376" t="s">
        <v>251</v>
      </c>
      <c r="H1376" t="s">
        <v>1509</v>
      </c>
      <c r="I1376">
        <v>250</v>
      </c>
      <c r="J1376">
        <v>30</v>
      </c>
      <c r="K1376">
        <f t="shared" si="86"/>
        <v>12</v>
      </c>
      <c r="L1376" t="s">
        <v>1737</v>
      </c>
      <c r="M1376" t="s">
        <v>3760</v>
      </c>
      <c r="N1376" t="s">
        <v>1</v>
      </c>
      <c r="O1376">
        <v>802101</v>
      </c>
      <c r="P1376" t="s">
        <v>546</v>
      </c>
      <c r="Q1376" t="s">
        <v>1757</v>
      </c>
      <c r="S1376">
        <v>912.75</v>
      </c>
      <c r="T1376">
        <v>5</v>
      </c>
      <c r="U1376">
        <v>0</v>
      </c>
      <c r="V1376">
        <v>118.6575</v>
      </c>
      <c r="W1376">
        <f t="shared" si="87"/>
        <v>158.8185</v>
      </c>
      <c r="X1376">
        <v>3</v>
      </c>
    </row>
    <row r="1377" spans="1:24" x14ac:dyDescent="0.3">
      <c r="A1377">
        <v>1376</v>
      </c>
      <c r="B1377" t="s">
        <v>3132</v>
      </c>
      <c r="C1377" s="6">
        <v>45572</v>
      </c>
      <c r="D1377" t="str">
        <f t="shared" si="84"/>
        <v>Oct</v>
      </c>
      <c r="E1377" t="str">
        <f t="shared" si="85"/>
        <v>2024</v>
      </c>
      <c r="F1377" t="s">
        <v>3</v>
      </c>
      <c r="G1377" t="s">
        <v>111</v>
      </c>
      <c r="H1377" t="s">
        <v>1510</v>
      </c>
      <c r="I1377">
        <v>220</v>
      </c>
      <c r="J1377">
        <v>22</v>
      </c>
      <c r="K1377">
        <f t="shared" si="86"/>
        <v>10</v>
      </c>
      <c r="L1377" t="s">
        <v>1741</v>
      </c>
      <c r="M1377" t="s">
        <v>3761</v>
      </c>
      <c r="N1377" t="s">
        <v>1</v>
      </c>
      <c r="O1377">
        <v>500032</v>
      </c>
      <c r="P1377" t="s">
        <v>546</v>
      </c>
      <c r="Q1377" t="s">
        <v>1773</v>
      </c>
      <c r="S1377">
        <v>1089.75</v>
      </c>
      <c r="T1377">
        <v>3</v>
      </c>
      <c r="U1377">
        <v>0</v>
      </c>
      <c r="V1377">
        <v>305.13</v>
      </c>
      <c r="W1377">
        <f t="shared" si="87"/>
        <v>261.54000000000002</v>
      </c>
      <c r="X1377">
        <v>1</v>
      </c>
    </row>
    <row r="1378" spans="1:24" x14ac:dyDescent="0.3">
      <c r="A1378">
        <v>1377</v>
      </c>
      <c r="B1378" t="s">
        <v>3133</v>
      </c>
      <c r="C1378" s="6">
        <v>45573</v>
      </c>
      <c r="D1378" t="str">
        <f t="shared" si="84"/>
        <v>Oct</v>
      </c>
      <c r="E1378" t="str">
        <f t="shared" si="85"/>
        <v>2024</v>
      </c>
      <c r="F1378" t="s">
        <v>3</v>
      </c>
      <c r="G1378" t="s">
        <v>111</v>
      </c>
      <c r="H1378" t="s">
        <v>1511</v>
      </c>
      <c r="I1378">
        <v>150</v>
      </c>
      <c r="J1378">
        <v>6</v>
      </c>
      <c r="K1378">
        <f t="shared" si="86"/>
        <v>4</v>
      </c>
      <c r="L1378" t="s">
        <v>1736</v>
      </c>
      <c r="M1378" t="s">
        <v>3762</v>
      </c>
      <c r="N1378" t="s">
        <v>1</v>
      </c>
      <c r="O1378">
        <v>700151</v>
      </c>
      <c r="P1378" t="s">
        <v>546</v>
      </c>
      <c r="Q1378" t="s">
        <v>1775</v>
      </c>
      <c r="S1378">
        <v>447.84</v>
      </c>
      <c r="T1378">
        <v>8</v>
      </c>
      <c r="U1378">
        <v>0</v>
      </c>
      <c r="V1378">
        <v>219.44159999999999</v>
      </c>
      <c r="W1378">
        <f t="shared" si="87"/>
        <v>28.549799999999998</v>
      </c>
      <c r="X1378">
        <v>4</v>
      </c>
    </row>
    <row r="1379" spans="1:24" x14ac:dyDescent="0.3">
      <c r="A1379">
        <v>1378</v>
      </c>
      <c r="B1379" t="s">
        <v>3134</v>
      </c>
      <c r="C1379" s="6">
        <v>45574</v>
      </c>
      <c r="D1379" t="str">
        <f t="shared" si="84"/>
        <v>Oct</v>
      </c>
      <c r="E1379" t="str">
        <f t="shared" si="85"/>
        <v>2024</v>
      </c>
      <c r="F1379" t="s">
        <v>3</v>
      </c>
      <c r="G1379" t="s">
        <v>111</v>
      </c>
      <c r="H1379" t="s">
        <v>1512</v>
      </c>
      <c r="I1379">
        <v>200</v>
      </c>
      <c r="J1379">
        <v>20</v>
      </c>
      <c r="K1379">
        <f t="shared" si="86"/>
        <v>10</v>
      </c>
      <c r="L1379" t="s">
        <v>1744</v>
      </c>
      <c r="M1379" t="s">
        <v>3763</v>
      </c>
      <c r="N1379" t="s">
        <v>1</v>
      </c>
      <c r="O1379">
        <v>670643</v>
      </c>
      <c r="P1379" t="s">
        <v>546</v>
      </c>
      <c r="Q1379" t="s">
        <v>1761</v>
      </c>
      <c r="S1379">
        <v>16.399999999999999</v>
      </c>
      <c r="T1379">
        <v>5</v>
      </c>
      <c r="U1379">
        <v>0</v>
      </c>
      <c r="V1379">
        <v>4.2640000000000002</v>
      </c>
      <c r="W1379">
        <f t="shared" si="87"/>
        <v>2.4272</v>
      </c>
      <c r="X1379">
        <v>5</v>
      </c>
    </row>
    <row r="1380" spans="1:24" x14ac:dyDescent="0.3">
      <c r="A1380">
        <v>1379</v>
      </c>
      <c r="B1380" t="s">
        <v>3135</v>
      </c>
      <c r="C1380" s="6">
        <v>45575</v>
      </c>
      <c r="D1380" t="str">
        <f t="shared" si="84"/>
        <v>Oct</v>
      </c>
      <c r="E1380" t="str">
        <f t="shared" si="85"/>
        <v>2024</v>
      </c>
      <c r="F1380" t="s">
        <v>3</v>
      </c>
      <c r="G1380" t="s">
        <v>111</v>
      </c>
      <c r="H1380" t="s">
        <v>1513</v>
      </c>
      <c r="I1380">
        <v>190</v>
      </c>
      <c r="J1380">
        <v>26</v>
      </c>
      <c r="K1380">
        <f t="shared" si="86"/>
        <v>13.684210526315791</v>
      </c>
      <c r="L1380" t="s">
        <v>1740</v>
      </c>
      <c r="M1380" t="s">
        <v>3764</v>
      </c>
      <c r="N1380" t="s">
        <v>1</v>
      </c>
      <c r="O1380">
        <v>560066</v>
      </c>
      <c r="P1380" t="s">
        <v>546</v>
      </c>
      <c r="Q1380" t="s">
        <v>1761</v>
      </c>
      <c r="R1380" t="s">
        <v>2</v>
      </c>
      <c r="S1380">
        <v>399.96</v>
      </c>
      <c r="T1380">
        <v>5</v>
      </c>
      <c r="U1380">
        <v>0.2</v>
      </c>
      <c r="V1380">
        <v>34.996499999999997</v>
      </c>
      <c r="W1380">
        <f t="shared" si="87"/>
        <v>72.992699999999985</v>
      </c>
      <c r="X1380">
        <v>1</v>
      </c>
    </row>
    <row r="1381" spans="1:24" x14ac:dyDescent="0.3">
      <c r="A1381">
        <v>1380</v>
      </c>
      <c r="B1381" t="s">
        <v>3136</v>
      </c>
      <c r="C1381" s="6">
        <v>45576</v>
      </c>
      <c r="D1381" t="str">
        <f t="shared" si="84"/>
        <v>Oct</v>
      </c>
      <c r="E1381" t="str">
        <f t="shared" si="85"/>
        <v>2024</v>
      </c>
      <c r="F1381" t="s">
        <v>3</v>
      </c>
      <c r="G1381" t="s">
        <v>111</v>
      </c>
      <c r="H1381" t="s">
        <v>1514</v>
      </c>
      <c r="I1381">
        <v>160</v>
      </c>
      <c r="J1381">
        <v>22</v>
      </c>
      <c r="K1381">
        <f t="shared" si="86"/>
        <v>13.750000000000002</v>
      </c>
      <c r="L1381" t="s">
        <v>1742</v>
      </c>
      <c r="M1381" t="s">
        <v>3765</v>
      </c>
      <c r="N1381" t="s">
        <v>1</v>
      </c>
      <c r="O1381">
        <v>600041</v>
      </c>
      <c r="P1381" t="s">
        <v>546</v>
      </c>
      <c r="Q1381" t="s">
        <v>1755</v>
      </c>
      <c r="S1381">
        <v>158.9</v>
      </c>
      <c r="T1381">
        <v>5</v>
      </c>
      <c r="U1381">
        <v>0</v>
      </c>
      <c r="V1381">
        <v>7.9450000000000003</v>
      </c>
      <c r="W1381">
        <f t="shared" si="87"/>
        <v>30.191000000000003</v>
      </c>
      <c r="X1381">
        <v>3</v>
      </c>
    </row>
    <row r="1382" spans="1:24" x14ac:dyDescent="0.3">
      <c r="A1382">
        <v>1381</v>
      </c>
      <c r="B1382" t="s">
        <v>3137</v>
      </c>
      <c r="C1382" s="6">
        <v>45577</v>
      </c>
      <c r="D1382" t="str">
        <f t="shared" si="84"/>
        <v>Oct</v>
      </c>
      <c r="E1382" t="str">
        <f t="shared" si="85"/>
        <v>2024</v>
      </c>
      <c r="F1382" t="s">
        <v>3</v>
      </c>
      <c r="G1382" t="s">
        <v>111</v>
      </c>
      <c r="H1382" t="s">
        <v>638</v>
      </c>
      <c r="I1382">
        <v>200</v>
      </c>
      <c r="J1382">
        <v>20</v>
      </c>
      <c r="K1382">
        <f t="shared" si="86"/>
        <v>10</v>
      </c>
      <c r="L1382" t="s">
        <v>1739</v>
      </c>
      <c r="M1382" t="s">
        <v>3766</v>
      </c>
      <c r="N1382" t="s">
        <v>1</v>
      </c>
      <c r="O1382">
        <v>462030</v>
      </c>
      <c r="P1382" t="s">
        <v>546</v>
      </c>
      <c r="Q1382" t="s">
        <v>1757</v>
      </c>
      <c r="R1382" t="s">
        <v>2</v>
      </c>
      <c r="S1382">
        <v>13.183999999999999</v>
      </c>
      <c r="T1382">
        <v>1</v>
      </c>
      <c r="U1382">
        <v>0.2</v>
      </c>
      <c r="V1382">
        <v>4.7792000000000003</v>
      </c>
      <c r="W1382">
        <f t="shared" si="87"/>
        <v>8.4047999999999981</v>
      </c>
      <c r="X1382">
        <v>2</v>
      </c>
    </row>
    <row r="1383" spans="1:24" x14ac:dyDescent="0.3">
      <c r="A1383">
        <v>1382</v>
      </c>
      <c r="B1383" t="s">
        <v>3138</v>
      </c>
      <c r="C1383" s="6">
        <v>45578</v>
      </c>
      <c r="D1383" t="str">
        <f t="shared" si="84"/>
        <v>Oct</v>
      </c>
      <c r="E1383" t="str">
        <f t="shared" si="85"/>
        <v>2024</v>
      </c>
      <c r="F1383" t="s">
        <v>4</v>
      </c>
      <c r="G1383" t="s">
        <v>458</v>
      </c>
      <c r="H1383" t="s">
        <v>1130</v>
      </c>
      <c r="I1383">
        <v>130</v>
      </c>
      <c r="J1383">
        <v>12</v>
      </c>
      <c r="K1383">
        <f t="shared" si="86"/>
        <v>9.2307692307692317</v>
      </c>
      <c r="L1383" t="s">
        <v>1738</v>
      </c>
      <c r="M1383" t="s">
        <v>3767</v>
      </c>
      <c r="N1383" t="s">
        <v>1</v>
      </c>
      <c r="O1383">
        <v>560035</v>
      </c>
      <c r="P1383" t="s">
        <v>546</v>
      </c>
      <c r="Q1383" t="s">
        <v>1761</v>
      </c>
      <c r="S1383">
        <v>83.951999999999998</v>
      </c>
      <c r="T1383">
        <v>3</v>
      </c>
      <c r="U1383">
        <v>0.6</v>
      </c>
      <c r="V1383">
        <v>-90.248400000000004</v>
      </c>
      <c r="W1383">
        <f t="shared" si="87"/>
        <v>58.066800000000001</v>
      </c>
      <c r="X1383">
        <v>5</v>
      </c>
    </row>
    <row r="1384" spans="1:24" x14ac:dyDescent="0.3">
      <c r="A1384">
        <v>1383</v>
      </c>
      <c r="B1384" t="s">
        <v>3139</v>
      </c>
      <c r="C1384" s="6">
        <v>45579</v>
      </c>
      <c r="D1384" t="str">
        <f t="shared" si="84"/>
        <v>Oct</v>
      </c>
      <c r="E1384" t="str">
        <f t="shared" si="85"/>
        <v>2024</v>
      </c>
      <c r="F1384" t="s">
        <v>6</v>
      </c>
      <c r="G1384" t="s">
        <v>459</v>
      </c>
      <c r="H1384" t="s">
        <v>1418</v>
      </c>
      <c r="I1384">
        <v>210</v>
      </c>
      <c r="J1384">
        <v>24</v>
      </c>
      <c r="K1384">
        <f t="shared" si="86"/>
        <v>11.428571428571429</v>
      </c>
      <c r="L1384" t="s">
        <v>1737</v>
      </c>
      <c r="M1384" t="s">
        <v>3768</v>
      </c>
      <c r="N1384" t="s">
        <v>1</v>
      </c>
      <c r="O1384">
        <v>500060</v>
      </c>
      <c r="P1384" t="s">
        <v>546</v>
      </c>
      <c r="Q1384" t="s">
        <v>1775</v>
      </c>
      <c r="S1384">
        <v>80.98</v>
      </c>
      <c r="T1384">
        <v>1</v>
      </c>
      <c r="U1384">
        <v>0</v>
      </c>
      <c r="V1384">
        <v>1.6195999999999999</v>
      </c>
      <c r="W1384">
        <f t="shared" si="87"/>
        <v>79.360399999999998</v>
      </c>
      <c r="X1384">
        <v>3</v>
      </c>
    </row>
    <row r="1385" spans="1:24" x14ac:dyDescent="0.3">
      <c r="A1385">
        <v>1384</v>
      </c>
      <c r="B1385" t="s">
        <v>3140</v>
      </c>
      <c r="C1385" s="6">
        <v>45580</v>
      </c>
      <c r="D1385" t="str">
        <f t="shared" si="84"/>
        <v>Oct</v>
      </c>
      <c r="E1385" t="str">
        <f t="shared" si="85"/>
        <v>2024</v>
      </c>
      <c r="F1385" t="s">
        <v>6</v>
      </c>
      <c r="G1385" t="s">
        <v>459</v>
      </c>
      <c r="H1385" t="s">
        <v>1515</v>
      </c>
      <c r="I1385">
        <v>130</v>
      </c>
      <c r="J1385">
        <v>10</v>
      </c>
      <c r="K1385">
        <f t="shared" si="86"/>
        <v>7.6923076923076925</v>
      </c>
      <c r="L1385" t="s">
        <v>1743</v>
      </c>
      <c r="M1385" t="s">
        <v>3769</v>
      </c>
      <c r="N1385" t="s">
        <v>1</v>
      </c>
      <c r="O1385">
        <v>560037</v>
      </c>
      <c r="P1385" t="s">
        <v>546</v>
      </c>
      <c r="Q1385" t="s">
        <v>1766</v>
      </c>
      <c r="S1385">
        <v>348.84</v>
      </c>
      <c r="T1385">
        <v>9</v>
      </c>
      <c r="U1385">
        <v>0</v>
      </c>
      <c r="V1385">
        <v>170.9316</v>
      </c>
      <c r="W1385">
        <f t="shared" si="87"/>
        <v>19.767599999999998</v>
      </c>
      <c r="X1385">
        <v>1</v>
      </c>
    </row>
    <row r="1386" spans="1:24" x14ac:dyDescent="0.3">
      <c r="A1386">
        <v>1385</v>
      </c>
      <c r="B1386" t="s">
        <v>3141</v>
      </c>
      <c r="C1386" s="6">
        <v>45581</v>
      </c>
      <c r="D1386" t="str">
        <f t="shared" si="84"/>
        <v>Oct</v>
      </c>
      <c r="E1386" t="str">
        <f t="shared" si="85"/>
        <v>2024</v>
      </c>
      <c r="F1386" t="s">
        <v>6</v>
      </c>
      <c r="G1386" t="s">
        <v>459</v>
      </c>
      <c r="H1386" t="s">
        <v>1516</v>
      </c>
      <c r="I1386">
        <v>180</v>
      </c>
      <c r="J1386">
        <v>6</v>
      </c>
      <c r="K1386">
        <f t="shared" si="86"/>
        <v>3.3333333333333335</v>
      </c>
      <c r="L1386" t="s">
        <v>1738</v>
      </c>
      <c r="M1386" t="s">
        <v>3770</v>
      </c>
      <c r="N1386" t="s">
        <v>1</v>
      </c>
      <c r="O1386">
        <v>302017</v>
      </c>
      <c r="P1386" t="s">
        <v>546</v>
      </c>
      <c r="Q1386" t="s">
        <v>1761</v>
      </c>
      <c r="S1386">
        <v>9.4499999999999993</v>
      </c>
      <c r="T1386">
        <v>5</v>
      </c>
      <c r="U1386">
        <v>0</v>
      </c>
      <c r="V1386">
        <v>0.189</v>
      </c>
      <c r="W1386">
        <f t="shared" si="87"/>
        <v>1.8521999999999998</v>
      </c>
      <c r="X1386">
        <v>2</v>
      </c>
    </row>
    <row r="1387" spans="1:24" x14ac:dyDescent="0.3">
      <c r="A1387">
        <v>1386</v>
      </c>
      <c r="B1387" t="s">
        <v>3142</v>
      </c>
      <c r="C1387" s="6">
        <v>45582</v>
      </c>
      <c r="D1387" t="str">
        <f t="shared" si="84"/>
        <v>Oct</v>
      </c>
      <c r="E1387" t="str">
        <f t="shared" si="85"/>
        <v>2024</v>
      </c>
      <c r="F1387" t="s">
        <v>6</v>
      </c>
      <c r="G1387" t="s">
        <v>459</v>
      </c>
      <c r="H1387" t="s">
        <v>814</v>
      </c>
      <c r="I1387">
        <v>170</v>
      </c>
      <c r="J1387">
        <v>14</v>
      </c>
      <c r="K1387">
        <f t="shared" si="86"/>
        <v>8.235294117647058</v>
      </c>
      <c r="L1387" t="s">
        <v>1739</v>
      </c>
      <c r="M1387" t="s">
        <v>3771</v>
      </c>
      <c r="N1387" t="s">
        <v>1</v>
      </c>
      <c r="O1387">
        <v>110074</v>
      </c>
      <c r="P1387" t="s">
        <v>546</v>
      </c>
      <c r="Q1387" t="s">
        <v>1767</v>
      </c>
      <c r="S1387">
        <v>18.84</v>
      </c>
      <c r="T1387">
        <v>3</v>
      </c>
      <c r="U1387">
        <v>0</v>
      </c>
      <c r="V1387">
        <v>7.1592000000000002</v>
      </c>
      <c r="W1387">
        <f t="shared" si="87"/>
        <v>3.8935999999999997</v>
      </c>
      <c r="X1387">
        <v>4</v>
      </c>
    </row>
    <row r="1388" spans="1:24" x14ac:dyDescent="0.3">
      <c r="A1388">
        <v>1387</v>
      </c>
      <c r="B1388" t="s">
        <v>3143</v>
      </c>
      <c r="C1388" s="6">
        <v>45583</v>
      </c>
      <c r="D1388" t="str">
        <f t="shared" si="84"/>
        <v>Oct</v>
      </c>
      <c r="E1388" t="str">
        <f t="shared" si="85"/>
        <v>2024</v>
      </c>
      <c r="F1388" t="s">
        <v>6</v>
      </c>
      <c r="G1388" t="s">
        <v>459</v>
      </c>
      <c r="H1388" t="s">
        <v>1121</v>
      </c>
      <c r="I1388">
        <v>130</v>
      </c>
      <c r="J1388">
        <v>16</v>
      </c>
      <c r="K1388">
        <f t="shared" si="86"/>
        <v>12.307692307692308</v>
      </c>
      <c r="L1388" t="s">
        <v>1741</v>
      </c>
      <c r="M1388" t="s">
        <v>3772</v>
      </c>
      <c r="O1388">
        <v>852131</v>
      </c>
      <c r="P1388" t="s">
        <v>546</v>
      </c>
      <c r="Q1388" t="s">
        <v>1767</v>
      </c>
      <c r="S1388">
        <v>239.98</v>
      </c>
      <c r="T1388">
        <v>2</v>
      </c>
      <c r="U1388">
        <v>0</v>
      </c>
      <c r="V1388">
        <v>52.7956</v>
      </c>
      <c r="W1388">
        <f t="shared" si="87"/>
        <v>93.592199999999991</v>
      </c>
      <c r="X1388">
        <v>1</v>
      </c>
    </row>
    <row r="1389" spans="1:24" x14ac:dyDescent="0.3">
      <c r="A1389">
        <v>1388</v>
      </c>
      <c r="B1389" t="s">
        <v>2746</v>
      </c>
      <c r="C1389" s="6">
        <v>45584</v>
      </c>
      <c r="D1389" t="str">
        <f t="shared" si="84"/>
        <v>Oct</v>
      </c>
      <c r="E1389" t="str">
        <f t="shared" si="85"/>
        <v>2024</v>
      </c>
      <c r="F1389" t="s">
        <v>6</v>
      </c>
      <c r="G1389" t="s">
        <v>459</v>
      </c>
      <c r="H1389" t="s">
        <v>1517</v>
      </c>
      <c r="I1389">
        <v>240</v>
      </c>
      <c r="J1389">
        <v>22</v>
      </c>
      <c r="K1389">
        <f t="shared" si="86"/>
        <v>9.1666666666666661</v>
      </c>
      <c r="L1389" t="s">
        <v>1736</v>
      </c>
      <c r="M1389" t="s">
        <v>3773</v>
      </c>
      <c r="N1389" t="s">
        <v>1</v>
      </c>
      <c r="O1389">
        <v>627003</v>
      </c>
      <c r="P1389" t="s">
        <v>546</v>
      </c>
      <c r="Q1389" t="s">
        <v>1761</v>
      </c>
      <c r="R1389" t="s">
        <v>2</v>
      </c>
      <c r="S1389">
        <v>167.96</v>
      </c>
      <c r="T1389">
        <v>2</v>
      </c>
      <c r="U1389">
        <v>0</v>
      </c>
      <c r="V1389">
        <v>78.941199999999995</v>
      </c>
      <c r="W1389">
        <f t="shared" si="87"/>
        <v>44.509400000000007</v>
      </c>
      <c r="X1389">
        <v>2</v>
      </c>
    </row>
    <row r="1390" spans="1:24" x14ac:dyDescent="0.3">
      <c r="A1390">
        <v>1389</v>
      </c>
      <c r="B1390" t="s">
        <v>3144</v>
      </c>
      <c r="C1390" s="6">
        <v>45585</v>
      </c>
      <c r="D1390" t="str">
        <f t="shared" si="84"/>
        <v>Oct</v>
      </c>
      <c r="E1390" t="str">
        <f t="shared" si="85"/>
        <v>2024</v>
      </c>
      <c r="F1390" t="s">
        <v>6</v>
      </c>
      <c r="G1390" t="s">
        <v>459</v>
      </c>
      <c r="H1390" t="s">
        <v>686</v>
      </c>
      <c r="I1390">
        <v>130</v>
      </c>
      <c r="J1390">
        <v>6</v>
      </c>
      <c r="K1390">
        <f t="shared" si="86"/>
        <v>4.6153846153846159</v>
      </c>
      <c r="L1390" t="s">
        <v>1744</v>
      </c>
      <c r="M1390" t="s">
        <v>3774</v>
      </c>
      <c r="O1390">
        <v>500061</v>
      </c>
      <c r="P1390" t="s">
        <v>546</v>
      </c>
      <c r="Q1390" t="s">
        <v>1759</v>
      </c>
      <c r="S1390">
        <v>104.85</v>
      </c>
      <c r="T1390">
        <v>3</v>
      </c>
      <c r="U1390">
        <v>0</v>
      </c>
      <c r="V1390">
        <v>28.3095</v>
      </c>
      <c r="W1390">
        <f t="shared" si="87"/>
        <v>25.513499999999997</v>
      </c>
      <c r="X1390">
        <v>2</v>
      </c>
    </row>
    <row r="1391" spans="1:24" x14ac:dyDescent="0.3">
      <c r="A1391">
        <v>1390</v>
      </c>
      <c r="B1391" t="s">
        <v>3145</v>
      </c>
      <c r="C1391" s="6">
        <v>45586</v>
      </c>
      <c r="D1391" t="str">
        <f t="shared" si="84"/>
        <v>Oct</v>
      </c>
      <c r="E1391" t="str">
        <f t="shared" si="85"/>
        <v>2024</v>
      </c>
      <c r="F1391" t="s">
        <v>6</v>
      </c>
      <c r="G1391" t="s">
        <v>459</v>
      </c>
      <c r="H1391" t="s">
        <v>844</v>
      </c>
      <c r="I1391">
        <v>100</v>
      </c>
      <c r="J1391">
        <v>20</v>
      </c>
      <c r="K1391">
        <f t="shared" si="86"/>
        <v>20</v>
      </c>
      <c r="L1391" t="s">
        <v>1740</v>
      </c>
      <c r="M1391" t="s">
        <v>3775</v>
      </c>
      <c r="N1391" t="s">
        <v>1</v>
      </c>
      <c r="O1391">
        <v>638008</v>
      </c>
      <c r="P1391" t="s">
        <v>546</v>
      </c>
      <c r="Q1391" t="s">
        <v>1758</v>
      </c>
      <c r="S1391">
        <v>484.83</v>
      </c>
      <c r="T1391">
        <v>3</v>
      </c>
      <c r="U1391">
        <v>0</v>
      </c>
      <c r="V1391">
        <v>126.0558</v>
      </c>
      <c r="W1391">
        <f t="shared" si="87"/>
        <v>119.59139999999998</v>
      </c>
      <c r="X1391">
        <v>4</v>
      </c>
    </row>
    <row r="1392" spans="1:24" x14ac:dyDescent="0.3">
      <c r="A1392">
        <v>1391</v>
      </c>
      <c r="B1392" t="s">
        <v>3146</v>
      </c>
      <c r="C1392" s="6">
        <v>45587</v>
      </c>
      <c r="D1392" t="str">
        <f t="shared" si="84"/>
        <v>Oct</v>
      </c>
      <c r="E1392" t="str">
        <f t="shared" si="85"/>
        <v>2024</v>
      </c>
      <c r="F1392" t="s">
        <v>6</v>
      </c>
      <c r="G1392" t="s">
        <v>459</v>
      </c>
      <c r="H1392" t="s">
        <v>994</v>
      </c>
      <c r="I1392">
        <v>200</v>
      </c>
      <c r="J1392">
        <v>22</v>
      </c>
      <c r="K1392">
        <f t="shared" si="86"/>
        <v>11</v>
      </c>
      <c r="L1392" t="s">
        <v>1742</v>
      </c>
      <c r="M1392" t="s">
        <v>3776</v>
      </c>
      <c r="N1392" t="s">
        <v>1</v>
      </c>
      <c r="O1392">
        <v>121002</v>
      </c>
      <c r="P1392" t="s">
        <v>546</v>
      </c>
      <c r="Q1392" t="s">
        <v>1768</v>
      </c>
      <c r="S1392">
        <v>122.97</v>
      </c>
      <c r="T1392">
        <v>3</v>
      </c>
      <c r="U1392">
        <v>0</v>
      </c>
      <c r="V1392">
        <v>60.255299999999998</v>
      </c>
      <c r="W1392">
        <f t="shared" si="87"/>
        <v>20.904900000000001</v>
      </c>
      <c r="X1392">
        <v>2</v>
      </c>
    </row>
    <row r="1393" spans="1:24" x14ac:dyDescent="0.3">
      <c r="A1393">
        <v>1392</v>
      </c>
      <c r="B1393" t="s">
        <v>3147</v>
      </c>
      <c r="C1393" s="6">
        <v>45588</v>
      </c>
      <c r="D1393" t="str">
        <f t="shared" si="84"/>
        <v>Oct</v>
      </c>
      <c r="E1393" t="str">
        <f t="shared" si="85"/>
        <v>2024</v>
      </c>
      <c r="F1393" t="s">
        <v>6</v>
      </c>
      <c r="G1393" t="s">
        <v>459</v>
      </c>
      <c r="H1393" t="s">
        <v>779</v>
      </c>
      <c r="I1393">
        <v>180</v>
      </c>
      <c r="J1393">
        <v>8</v>
      </c>
      <c r="K1393">
        <f t="shared" si="86"/>
        <v>4.4444444444444446</v>
      </c>
      <c r="L1393" t="s">
        <v>1739</v>
      </c>
      <c r="M1393" t="s">
        <v>3777</v>
      </c>
      <c r="N1393" t="s">
        <v>1</v>
      </c>
      <c r="O1393">
        <v>110067</v>
      </c>
      <c r="P1393" t="s">
        <v>546</v>
      </c>
      <c r="Q1393" t="s">
        <v>1774</v>
      </c>
      <c r="S1393">
        <v>154.44</v>
      </c>
      <c r="T1393">
        <v>3</v>
      </c>
      <c r="U1393">
        <v>0</v>
      </c>
      <c r="V1393">
        <v>1.5444</v>
      </c>
      <c r="W1393">
        <f t="shared" si="87"/>
        <v>50.965200000000003</v>
      </c>
      <c r="X1393">
        <v>1</v>
      </c>
    </row>
    <row r="1394" spans="1:24" x14ac:dyDescent="0.3">
      <c r="A1394">
        <v>1393</v>
      </c>
      <c r="B1394" t="s">
        <v>3148</v>
      </c>
      <c r="C1394" s="6">
        <v>45589</v>
      </c>
      <c r="D1394" t="str">
        <f t="shared" si="84"/>
        <v>Oct</v>
      </c>
      <c r="E1394" t="str">
        <f t="shared" si="85"/>
        <v>2024</v>
      </c>
      <c r="F1394" t="s">
        <v>6</v>
      </c>
      <c r="G1394" t="s">
        <v>459</v>
      </c>
      <c r="H1394" t="s">
        <v>609</v>
      </c>
      <c r="I1394">
        <v>170</v>
      </c>
      <c r="J1394">
        <v>10</v>
      </c>
      <c r="K1394">
        <f t="shared" si="86"/>
        <v>5.8823529411764701</v>
      </c>
      <c r="L1394" t="s">
        <v>1738</v>
      </c>
      <c r="M1394" t="s">
        <v>3778</v>
      </c>
      <c r="N1394" t="s">
        <v>1</v>
      </c>
      <c r="O1394">
        <v>600058</v>
      </c>
      <c r="P1394" t="s">
        <v>546</v>
      </c>
      <c r="Q1394" t="s">
        <v>1766</v>
      </c>
      <c r="R1394" t="s">
        <v>2</v>
      </c>
      <c r="S1394">
        <v>342.37</v>
      </c>
      <c r="T1394">
        <v>7</v>
      </c>
      <c r="U1394">
        <v>0</v>
      </c>
      <c r="V1394">
        <v>160.91390000000001</v>
      </c>
      <c r="W1394">
        <f t="shared" si="87"/>
        <v>25.9223</v>
      </c>
      <c r="X1394">
        <v>5</v>
      </c>
    </row>
    <row r="1395" spans="1:24" x14ac:dyDescent="0.3">
      <c r="A1395">
        <v>1394</v>
      </c>
      <c r="B1395" t="s">
        <v>3149</v>
      </c>
      <c r="C1395" s="6">
        <v>45590</v>
      </c>
      <c r="D1395" t="str">
        <f t="shared" si="84"/>
        <v>Oct</v>
      </c>
      <c r="E1395" t="str">
        <f t="shared" si="85"/>
        <v>2024</v>
      </c>
      <c r="F1395" t="s">
        <v>5</v>
      </c>
      <c r="G1395" t="s">
        <v>460</v>
      </c>
      <c r="H1395" t="s">
        <v>728</v>
      </c>
      <c r="I1395">
        <v>100</v>
      </c>
      <c r="J1395">
        <v>22</v>
      </c>
      <c r="K1395">
        <f t="shared" si="86"/>
        <v>22</v>
      </c>
      <c r="L1395" t="s">
        <v>1743</v>
      </c>
      <c r="M1395" t="s">
        <v>3779</v>
      </c>
      <c r="N1395" t="s">
        <v>1</v>
      </c>
      <c r="O1395">
        <v>380061</v>
      </c>
      <c r="P1395" t="s">
        <v>546</v>
      </c>
      <c r="Q1395" t="s">
        <v>1754</v>
      </c>
      <c r="R1395" t="s">
        <v>2</v>
      </c>
      <c r="S1395">
        <v>9.5519999999999996</v>
      </c>
      <c r="T1395">
        <v>3</v>
      </c>
      <c r="U1395">
        <v>0.2</v>
      </c>
      <c r="V1395">
        <v>1.5522</v>
      </c>
      <c r="W1395">
        <f t="shared" si="87"/>
        <v>2.6665999999999999</v>
      </c>
      <c r="X1395">
        <v>1</v>
      </c>
    </row>
    <row r="1396" spans="1:24" x14ac:dyDescent="0.3">
      <c r="A1396">
        <v>1395</v>
      </c>
      <c r="B1396" t="s">
        <v>3150</v>
      </c>
      <c r="C1396" s="6">
        <v>45591</v>
      </c>
      <c r="D1396" t="str">
        <f t="shared" si="84"/>
        <v>Oct</v>
      </c>
      <c r="E1396" t="str">
        <f t="shared" si="85"/>
        <v>2024</v>
      </c>
      <c r="F1396" t="s">
        <v>4</v>
      </c>
      <c r="G1396" t="s">
        <v>323</v>
      </c>
      <c r="H1396" t="s">
        <v>1518</v>
      </c>
      <c r="I1396">
        <v>120</v>
      </c>
      <c r="J1396">
        <v>18</v>
      </c>
      <c r="K1396">
        <f t="shared" si="86"/>
        <v>15</v>
      </c>
      <c r="L1396" t="s">
        <v>1737</v>
      </c>
      <c r="M1396" t="s">
        <v>3780</v>
      </c>
      <c r="O1396">
        <v>500043</v>
      </c>
      <c r="P1396" t="s">
        <v>546</v>
      </c>
      <c r="Q1396" t="s">
        <v>1759</v>
      </c>
      <c r="S1396">
        <v>652.45000000000005</v>
      </c>
      <c r="T1396">
        <v>5</v>
      </c>
      <c r="U1396">
        <v>0.5</v>
      </c>
      <c r="V1396">
        <v>-430.61700000000002</v>
      </c>
      <c r="W1396">
        <f t="shared" si="87"/>
        <v>216.61340000000001</v>
      </c>
      <c r="X1396">
        <v>1</v>
      </c>
    </row>
    <row r="1397" spans="1:24" x14ac:dyDescent="0.3">
      <c r="A1397">
        <v>1396</v>
      </c>
      <c r="B1397" t="s">
        <v>3151</v>
      </c>
      <c r="C1397" s="6">
        <v>45592</v>
      </c>
      <c r="D1397" t="str">
        <f t="shared" si="84"/>
        <v>Oct</v>
      </c>
      <c r="E1397" t="str">
        <f t="shared" si="85"/>
        <v>2024</v>
      </c>
      <c r="F1397" t="s">
        <v>4</v>
      </c>
      <c r="G1397" t="s">
        <v>323</v>
      </c>
      <c r="H1397" t="s">
        <v>1519</v>
      </c>
      <c r="I1397">
        <v>180</v>
      </c>
      <c r="J1397">
        <v>26</v>
      </c>
      <c r="K1397">
        <f t="shared" si="86"/>
        <v>14.444444444444443</v>
      </c>
      <c r="L1397" t="s">
        <v>1741</v>
      </c>
      <c r="M1397" t="s">
        <v>3781</v>
      </c>
      <c r="N1397" t="s">
        <v>1</v>
      </c>
      <c r="O1397">
        <v>515134</v>
      </c>
      <c r="P1397" t="s">
        <v>546</v>
      </c>
      <c r="Q1397" t="s">
        <v>1775</v>
      </c>
      <c r="S1397">
        <v>66.644999999999996</v>
      </c>
      <c r="T1397">
        <v>3</v>
      </c>
      <c r="U1397">
        <v>0.5</v>
      </c>
      <c r="V1397">
        <v>-42.652799999999999</v>
      </c>
      <c r="W1397">
        <f t="shared" si="87"/>
        <v>36.432600000000001</v>
      </c>
      <c r="X1397">
        <v>5</v>
      </c>
    </row>
    <row r="1398" spans="1:24" x14ac:dyDescent="0.3">
      <c r="A1398">
        <v>1397</v>
      </c>
      <c r="B1398" t="s">
        <v>3152</v>
      </c>
      <c r="C1398" s="6">
        <v>45593</v>
      </c>
      <c r="D1398" t="str">
        <f t="shared" si="84"/>
        <v>Oct</v>
      </c>
      <c r="E1398" t="str">
        <f t="shared" si="85"/>
        <v>2024</v>
      </c>
      <c r="F1398" t="s">
        <v>5</v>
      </c>
      <c r="G1398" t="s">
        <v>403</v>
      </c>
      <c r="H1398" t="s">
        <v>1520</v>
      </c>
      <c r="I1398">
        <v>180</v>
      </c>
      <c r="J1398">
        <v>28</v>
      </c>
      <c r="K1398">
        <f t="shared" si="86"/>
        <v>15.555555555555555</v>
      </c>
      <c r="L1398" t="s">
        <v>1736</v>
      </c>
      <c r="M1398" t="s">
        <v>3782</v>
      </c>
      <c r="N1398" t="s">
        <v>1</v>
      </c>
      <c r="O1398">
        <v>411028</v>
      </c>
      <c r="P1398" t="s">
        <v>546</v>
      </c>
      <c r="Q1398" t="s">
        <v>1756</v>
      </c>
      <c r="R1398" t="s">
        <v>2</v>
      </c>
      <c r="S1398">
        <v>17.216000000000001</v>
      </c>
      <c r="T1398">
        <v>4</v>
      </c>
      <c r="U1398">
        <v>0.2</v>
      </c>
      <c r="V1398">
        <v>6.0255999999999998</v>
      </c>
      <c r="W1398">
        <f t="shared" si="87"/>
        <v>2.7976000000000001</v>
      </c>
      <c r="X1398">
        <v>3</v>
      </c>
    </row>
    <row r="1399" spans="1:24" x14ac:dyDescent="0.3">
      <c r="A1399">
        <v>1398</v>
      </c>
      <c r="B1399" t="s">
        <v>3153</v>
      </c>
      <c r="C1399" s="6">
        <v>45594</v>
      </c>
      <c r="D1399" t="str">
        <f t="shared" si="84"/>
        <v>Oct</v>
      </c>
      <c r="E1399" t="str">
        <f t="shared" si="85"/>
        <v>2024</v>
      </c>
      <c r="F1399" t="s">
        <v>5</v>
      </c>
      <c r="G1399" t="s">
        <v>403</v>
      </c>
      <c r="H1399" t="s">
        <v>1156</v>
      </c>
      <c r="I1399">
        <v>120</v>
      </c>
      <c r="J1399">
        <v>28</v>
      </c>
      <c r="K1399">
        <f t="shared" si="86"/>
        <v>23.333333333333332</v>
      </c>
      <c r="L1399" t="s">
        <v>1744</v>
      </c>
      <c r="M1399" t="s">
        <v>3783</v>
      </c>
      <c r="N1399" t="s">
        <v>1</v>
      </c>
      <c r="O1399">
        <v>400050</v>
      </c>
      <c r="P1399" t="s">
        <v>546</v>
      </c>
      <c r="Q1399" t="s">
        <v>1759</v>
      </c>
      <c r="S1399">
        <v>11.56</v>
      </c>
      <c r="T1399">
        <v>2</v>
      </c>
      <c r="U1399">
        <v>0</v>
      </c>
      <c r="V1399">
        <v>5.6643999999999997</v>
      </c>
      <c r="W1399">
        <f t="shared" si="87"/>
        <v>2.9478000000000004</v>
      </c>
      <c r="X1399">
        <v>5</v>
      </c>
    </row>
    <row r="1400" spans="1:24" x14ac:dyDescent="0.3">
      <c r="A1400">
        <v>1399</v>
      </c>
      <c r="B1400" t="s">
        <v>3154</v>
      </c>
      <c r="C1400" s="6">
        <v>45595</v>
      </c>
      <c r="D1400" t="str">
        <f t="shared" si="84"/>
        <v>Oct</v>
      </c>
      <c r="E1400" t="str">
        <f t="shared" si="85"/>
        <v>2024</v>
      </c>
      <c r="F1400" t="s">
        <v>5</v>
      </c>
      <c r="G1400" t="s">
        <v>403</v>
      </c>
      <c r="H1400" t="s">
        <v>723</v>
      </c>
      <c r="I1400">
        <v>140</v>
      </c>
      <c r="J1400">
        <v>16</v>
      </c>
      <c r="K1400">
        <f t="shared" si="86"/>
        <v>11.428571428571429</v>
      </c>
      <c r="L1400" t="s">
        <v>1740</v>
      </c>
      <c r="M1400" t="s">
        <v>3784</v>
      </c>
      <c r="N1400" t="s">
        <v>1</v>
      </c>
      <c r="O1400">
        <v>110075</v>
      </c>
      <c r="P1400" t="s">
        <v>546</v>
      </c>
      <c r="Q1400" t="s">
        <v>1761</v>
      </c>
      <c r="S1400">
        <v>88.4</v>
      </c>
      <c r="T1400">
        <v>4</v>
      </c>
      <c r="U1400">
        <v>0</v>
      </c>
      <c r="V1400">
        <v>11.492000000000001</v>
      </c>
      <c r="W1400">
        <f t="shared" si="87"/>
        <v>19.227</v>
      </c>
      <c r="X1400">
        <v>5</v>
      </c>
    </row>
    <row r="1401" spans="1:24" x14ac:dyDescent="0.3">
      <c r="A1401">
        <v>1400</v>
      </c>
      <c r="B1401" t="s">
        <v>3155</v>
      </c>
      <c r="C1401" s="6">
        <v>45596</v>
      </c>
      <c r="D1401" t="str">
        <f t="shared" si="84"/>
        <v>Oct</v>
      </c>
      <c r="E1401" t="str">
        <f t="shared" si="85"/>
        <v>2024</v>
      </c>
      <c r="F1401" t="s">
        <v>5</v>
      </c>
      <c r="G1401" t="s">
        <v>403</v>
      </c>
      <c r="H1401" t="s">
        <v>1521</v>
      </c>
      <c r="I1401">
        <v>120</v>
      </c>
      <c r="J1401">
        <v>16</v>
      </c>
      <c r="K1401">
        <f t="shared" si="86"/>
        <v>13.333333333333334</v>
      </c>
      <c r="L1401" t="s">
        <v>1742</v>
      </c>
      <c r="M1401" t="s">
        <v>3647</v>
      </c>
      <c r="N1401" t="s">
        <v>1</v>
      </c>
      <c r="O1401">
        <v>500015</v>
      </c>
      <c r="P1401" t="s">
        <v>546</v>
      </c>
      <c r="Q1401" t="s">
        <v>1774</v>
      </c>
      <c r="R1401" t="s">
        <v>2</v>
      </c>
      <c r="S1401">
        <v>6.48</v>
      </c>
      <c r="T1401">
        <v>1</v>
      </c>
      <c r="U1401">
        <v>0</v>
      </c>
      <c r="V1401">
        <v>3.1103999999999998</v>
      </c>
      <c r="W1401">
        <f t="shared" si="87"/>
        <v>3.3696000000000006</v>
      </c>
      <c r="X1401">
        <v>2</v>
      </c>
    </row>
    <row r="1402" spans="1:24" x14ac:dyDescent="0.3">
      <c r="A1402">
        <v>1401</v>
      </c>
      <c r="B1402" t="s">
        <v>3156</v>
      </c>
      <c r="C1402" s="6">
        <v>45597</v>
      </c>
      <c r="D1402" t="str">
        <f t="shared" si="84"/>
        <v>Nov</v>
      </c>
      <c r="E1402" t="str">
        <f t="shared" si="85"/>
        <v>2024</v>
      </c>
      <c r="F1402" t="s">
        <v>4</v>
      </c>
      <c r="G1402" t="s">
        <v>461</v>
      </c>
      <c r="H1402" t="s">
        <v>594</v>
      </c>
      <c r="I1402">
        <v>210</v>
      </c>
      <c r="J1402">
        <v>26</v>
      </c>
      <c r="K1402">
        <f t="shared" si="86"/>
        <v>12.380952380952381</v>
      </c>
      <c r="L1402" t="s">
        <v>1739</v>
      </c>
      <c r="M1402" t="s">
        <v>3785</v>
      </c>
      <c r="N1402" t="s">
        <v>1</v>
      </c>
      <c r="O1402">
        <v>400091</v>
      </c>
      <c r="P1402" t="s">
        <v>546</v>
      </c>
      <c r="Q1402" t="s">
        <v>1771</v>
      </c>
      <c r="S1402">
        <v>21.8</v>
      </c>
      <c r="T1402">
        <v>2</v>
      </c>
      <c r="U1402">
        <v>0</v>
      </c>
      <c r="V1402">
        <v>6.1040000000000001</v>
      </c>
      <c r="W1402">
        <f t="shared" si="87"/>
        <v>7.8480000000000008</v>
      </c>
      <c r="X1402">
        <v>5</v>
      </c>
    </row>
    <row r="1403" spans="1:24" x14ac:dyDescent="0.3">
      <c r="A1403">
        <v>1402</v>
      </c>
      <c r="B1403" t="s">
        <v>3157</v>
      </c>
      <c r="C1403" s="6">
        <v>45598</v>
      </c>
      <c r="D1403" t="str">
        <f t="shared" si="84"/>
        <v>Nov</v>
      </c>
      <c r="E1403" t="str">
        <f t="shared" si="85"/>
        <v>2024</v>
      </c>
      <c r="F1403" t="s">
        <v>4</v>
      </c>
      <c r="G1403" t="s">
        <v>461</v>
      </c>
      <c r="H1403" t="s">
        <v>1103</v>
      </c>
      <c r="I1403">
        <v>120</v>
      </c>
      <c r="J1403">
        <v>16</v>
      </c>
      <c r="K1403">
        <f t="shared" si="86"/>
        <v>13.333333333333334</v>
      </c>
      <c r="L1403" t="s">
        <v>1738</v>
      </c>
      <c r="M1403" t="s">
        <v>3786</v>
      </c>
      <c r="O1403">
        <v>141001</v>
      </c>
      <c r="P1403" t="s">
        <v>546</v>
      </c>
      <c r="Q1403" t="s">
        <v>1775</v>
      </c>
      <c r="S1403">
        <v>251.79</v>
      </c>
      <c r="T1403">
        <v>3</v>
      </c>
      <c r="U1403">
        <v>0</v>
      </c>
      <c r="V1403">
        <v>118.3413</v>
      </c>
      <c r="W1403">
        <f t="shared" si="87"/>
        <v>44.482899999999994</v>
      </c>
      <c r="X1403">
        <v>5</v>
      </c>
    </row>
    <row r="1404" spans="1:24" x14ac:dyDescent="0.3">
      <c r="A1404">
        <v>1403</v>
      </c>
      <c r="B1404" t="s">
        <v>3158</v>
      </c>
      <c r="C1404" s="6">
        <v>45599</v>
      </c>
      <c r="D1404" t="str">
        <f t="shared" si="84"/>
        <v>Nov</v>
      </c>
      <c r="E1404" t="str">
        <f t="shared" si="85"/>
        <v>2024</v>
      </c>
      <c r="F1404" t="s">
        <v>4</v>
      </c>
      <c r="G1404" t="s">
        <v>46</v>
      </c>
      <c r="H1404" t="s">
        <v>1522</v>
      </c>
      <c r="I1404">
        <v>110</v>
      </c>
      <c r="J1404">
        <v>28</v>
      </c>
      <c r="K1404">
        <f t="shared" si="86"/>
        <v>25.454545454545453</v>
      </c>
      <c r="L1404" t="s">
        <v>1737</v>
      </c>
      <c r="M1404" t="s">
        <v>3787</v>
      </c>
      <c r="N1404" t="s">
        <v>1</v>
      </c>
      <c r="O1404">
        <v>394210</v>
      </c>
      <c r="P1404" t="s">
        <v>546</v>
      </c>
      <c r="Q1404" t="s">
        <v>1765</v>
      </c>
      <c r="S1404">
        <v>205.17599999999999</v>
      </c>
      <c r="T1404">
        <v>2</v>
      </c>
      <c r="U1404">
        <v>0.4</v>
      </c>
      <c r="V1404">
        <v>-58.133200000000002</v>
      </c>
      <c r="W1404">
        <f t="shared" si="87"/>
        <v>131.65459999999999</v>
      </c>
      <c r="X1404">
        <v>5</v>
      </c>
    </row>
    <row r="1405" spans="1:24" x14ac:dyDescent="0.3">
      <c r="A1405">
        <v>1404</v>
      </c>
      <c r="B1405" t="s">
        <v>3159</v>
      </c>
      <c r="C1405" s="6">
        <v>45600</v>
      </c>
      <c r="D1405" t="str">
        <f t="shared" si="84"/>
        <v>Nov</v>
      </c>
      <c r="E1405" t="str">
        <f t="shared" si="85"/>
        <v>2024</v>
      </c>
      <c r="F1405" t="s">
        <v>4</v>
      </c>
      <c r="G1405" t="s">
        <v>46</v>
      </c>
      <c r="H1405" t="s">
        <v>1523</v>
      </c>
      <c r="I1405">
        <v>230</v>
      </c>
      <c r="J1405">
        <v>26</v>
      </c>
      <c r="K1405">
        <f t="shared" si="86"/>
        <v>11.304347826086957</v>
      </c>
      <c r="L1405" t="s">
        <v>1743</v>
      </c>
      <c r="M1405" t="s">
        <v>3736</v>
      </c>
      <c r="N1405" t="s">
        <v>1</v>
      </c>
      <c r="O1405">
        <v>110091</v>
      </c>
      <c r="P1405" t="s">
        <v>546</v>
      </c>
      <c r="Q1405" t="s">
        <v>1761</v>
      </c>
      <c r="S1405">
        <v>419.4</v>
      </c>
      <c r="T1405">
        <v>5</v>
      </c>
      <c r="U1405">
        <v>0.2</v>
      </c>
      <c r="V1405">
        <v>146.79</v>
      </c>
      <c r="W1405">
        <f t="shared" si="87"/>
        <v>54.522000000000006</v>
      </c>
      <c r="X1405">
        <v>4</v>
      </c>
    </row>
    <row r="1406" spans="1:24" x14ac:dyDescent="0.3">
      <c r="A1406">
        <v>1405</v>
      </c>
      <c r="B1406" t="s">
        <v>3160</v>
      </c>
      <c r="C1406" s="6">
        <v>45601</v>
      </c>
      <c r="D1406" t="str">
        <f t="shared" si="84"/>
        <v>Nov</v>
      </c>
      <c r="E1406" t="str">
        <f t="shared" si="85"/>
        <v>2024</v>
      </c>
      <c r="F1406" t="s">
        <v>5</v>
      </c>
      <c r="G1406" t="s">
        <v>181</v>
      </c>
      <c r="H1406" t="s">
        <v>1052</v>
      </c>
      <c r="I1406">
        <v>160</v>
      </c>
      <c r="J1406">
        <v>20</v>
      </c>
      <c r="K1406">
        <f t="shared" si="86"/>
        <v>12.5</v>
      </c>
      <c r="L1406" t="s">
        <v>1738</v>
      </c>
      <c r="M1406" t="s">
        <v>3788</v>
      </c>
      <c r="O1406">
        <v>482005</v>
      </c>
      <c r="P1406" t="s">
        <v>546</v>
      </c>
      <c r="Q1406" t="s">
        <v>1760</v>
      </c>
      <c r="S1406">
        <v>10.304</v>
      </c>
      <c r="T1406">
        <v>1</v>
      </c>
      <c r="U1406">
        <v>0.2</v>
      </c>
      <c r="V1406">
        <v>-2.1896</v>
      </c>
      <c r="W1406">
        <f t="shared" si="87"/>
        <v>12.493600000000001</v>
      </c>
      <c r="X1406">
        <v>1</v>
      </c>
    </row>
    <row r="1407" spans="1:24" x14ac:dyDescent="0.3">
      <c r="A1407">
        <v>1406</v>
      </c>
      <c r="B1407" t="s">
        <v>3161</v>
      </c>
      <c r="C1407" s="6">
        <v>45602</v>
      </c>
      <c r="D1407" t="str">
        <f t="shared" si="84"/>
        <v>Nov</v>
      </c>
      <c r="E1407" t="str">
        <f t="shared" si="85"/>
        <v>2024</v>
      </c>
      <c r="F1407" t="s">
        <v>5</v>
      </c>
      <c r="G1407" t="s">
        <v>181</v>
      </c>
      <c r="H1407" t="s">
        <v>1524</v>
      </c>
      <c r="I1407">
        <v>170</v>
      </c>
      <c r="J1407">
        <v>22</v>
      </c>
      <c r="K1407">
        <f t="shared" si="86"/>
        <v>12.941176470588237</v>
      </c>
      <c r="L1407" t="s">
        <v>1739</v>
      </c>
      <c r="M1407" t="s">
        <v>3588</v>
      </c>
      <c r="N1407" t="s">
        <v>1</v>
      </c>
      <c r="O1407">
        <v>400103</v>
      </c>
      <c r="P1407" t="s">
        <v>546</v>
      </c>
      <c r="Q1407" t="s">
        <v>1757</v>
      </c>
      <c r="S1407">
        <v>154.76400000000001</v>
      </c>
      <c r="T1407">
        <v>3</v>
      </c>
      <c r="U1407">
        <v>0.4</v>
      </c>
      <c r="V1407">
        <v>-36.111600000000003</v>
      </c>
      <c r="W1407">
        <f t="shared" si="87"/>
        <v>63.625200000000007</v>
      </c>
      <c r="X1407">
        <v>2</v>
      </c>
    </row>
    <row r="1408" spans="1:24" x14ac:dyDescent="0.3">
      <c r="A1408">
        <v>1407</v>
      </c>
      <c r="B1408" t="s">
        <v>3162</v>
      </c>
      <c r="C1408" s="6">
        <v>45603</v>
      </c>
      <c r="D1408" t="str">
        <f t="shared" si="84"/>
        <v>Nov</v>
      </c>
      <c r="E1408" t="str">
        <f t="shared" si="85"/>
        <v>2024</v>
      </c>
      <c r="F1408" t="s">
        <v>5</v>
      </c>
      <c r="G1408" t="s">
        <v>181</v>
      </c>
      <c r="H1408" t="s">
        <v>718</v>
      </c>
      <c r="I1408">
        <v>230</v>
      </c>
      <c r="J1408">
        <v>14</v>
      </c>
      <c r="K1408">
        <f t="shared" si="86"/>
        <v>6.0869565217391308</v>
      </c>
      <c r="L1408" t="s">
        <v>1741</v>
      </c>
      <c r="M1408" t="s">
        <v>3789</v>
      </c>
      <c r="N1408" t="s">
        <v>1</v>
      </c>
      <c r="O1408">
        <v>110049</v>
      </c>
      <c r="P1408" t="s">
        <v>546</v>
      </c>
      <c r="Q1408" t="s">
        <v>1758</v>
      </c>
      <c r="S1408">
        <v>116.78400000000001</v>
      </c>
      <c r="T1408">
        <v>2</v>
      </c>
      <c r="U1408">
        <v>0.2</v>
      </c>
      <c r="V1408">
        <v>21.896999999999998</v>
      </c>
      <c r="W1408">
        <f t="shared" si="87"/>
        <v>47.4435</v>
      </c>
      <c r="X1408">
        <v>2</v>
      </c>
    </row>
    <row r="1409" spans="1:24" x14ac:dyDescent="0.3">
      <c r="A1409">
        <v>1408</v>
      </c>
      <c r="B1409" t="s">
        <v>3163</v>
      </c>
      <c r="C1409" s="6">
        <v>45604</v>
      </c>
      <c r="D1409" t="str">
        <f t="shared" si="84"/>
        <v>Nov</v>
      </c>
      <c r="E1409" t="str">
        <f t="shared" si="85"/>
        <v>2024</v>
      </c>
      <c r="F1409" t="s">
        <v>4</v>
      </c>
      <c r="G1409" t="s">
        <v>37</v>
      </c>
      <c r="H1409" t="s">
        <v>1525</v>
      </c>
      <c r="I1409">
        <v>150</v>
      </c>
      <c r="J1409">
        <v>22</v>
      </c>
      <c r="K1409">
        <f t="shared" si="86"/>
        <v>14.666666666666666</v>
      </c>
      <c r="L1409" t="s">
        <v>1736</v>
      </c>
      <c r="M1409" t="s">
        <v>3790</v>
      </c>
      <c r="O1409">
        <v>784001</v>
      </c>
      <c r="P1409" t="s">
        <v>546</v>
      </c>
      <c r="Q1409" t="s">
        <v>1762</v>
      </c>
      <c r="R1409" t="s">
        <v>2</v>
      </c>
      <c r="S1409">
        <v>75.48</v>
      </c>
      <c r="T1409">
        <v>2</v>
      </c>
      <c r="U1409">
        <v>0</v>
      </c>
      <c r="V1409">
        <v>19.6248</v>
      </c>
      <c r="W1409">
        <f t="shared" si="87"/>
        <v>27.927600000000002</v>
      </c>
      <c r="X1409">
        <v>5</v>
      </c>
    </row>
    <row r="1410" spans="1:24" x14ac:dyDescent="0.3">
      <c r="A1410">
        <v>1409</v>
      </c>
      <c r="B1410" t="s">
        <v>3164</v>
      </c>
      <c r="C1410" s="6">
        <v>45605</v>
      </c>
      <c r="D1410" t="str">
        <f t="shared" si="84"/>
        <v>Nov</v>
      </c>
      <c r="E1410" t="str">
        <f t="shared" si="85"/>
        <v>2024</v>
      </c>
      <c r="F1410" t="s">
        <v>4</v>
      </c>
      <c r="G1410" t="s">
        <v>37</v>
      </c>
      <c r="H1410" t="s">
        <v>843</v>
      </c>
      <c r="I1410">
        <v>110</v>
      </c>
      <c r="J1410">
        <v>16</v>
      </c>
      <c r="K1410">
        <f t="shared" si="86"/>
        <v>14.545454545454545</v>
      </c>
      <c r="L1410" t="s">
        <v>1744</v>
      </c>
      <c r="M1410" t="s">
        <v>3685</v>
      </c>
      <c r="N1410" t="s">
        <v>1</v>
      </c>
      <c r="O1410">
        <v>400013</v>
      </c>
      <c r="P1410" t="s">
        <v>546</v>
      </c>
      <c r="Q1410" t="s">
        <v>1755</v>
      </c>
      <c r="S1410">
        <v>39.979999999999997</v>
      </c>
      <c r="T1410">
        <v>2</v>
      </c>
      <c r="U1410">
        <v>0</v>
      </c>
      <c r="V1410">
        <v>9.9949999999999992</v>
      </c>
      <c r="W1410">
        <f t="shared" si="87"/>
        <v>14.9925</v>
      </c>
      <c r="X1410">
        <v>2</v>
      </c>
    </row>
    <row r="1411" spans="1:24" x14ac:dyDescent="0.3">
      <c r="A1411">
        <v>1410</v>
      </c>
      <c r="B1411" t="s">
        <v>3165</v>
      </c>
      <c r="C1411" s="6">
        <v>45606</v>
      </c>
      <c r="D1411" t="str">
        <f t="shared" ref="D1411:D1474" si="88">TEXT(C1411,"Mmm")</f>
        <v>Nov</v>
      </c>
      <c r="E1411" t="str">
        <f t="shared" ref="E1411:E1474" si="89">TEXT(C1411,"YYYY")</f>
        <v>2024</v>
      </c>
      <c r="F1411" t="s">
        <v>4</v>
      </c>
      <c r="G1411" t="s">
        <v>462</v>
      </c>
      <c r="H1411" t="s">
        <v>1283</v>
      </c>
      <c r="I1411">
        <v>110</v>
      </c>
      <c r="J1411">
        <v>12</v>
      </c>
      <c r="K1411">
        <f t="shared" ref="K1411:K1474" si="90">(J1411/I1411)*100</f>
        <v>10.909090909090908</v>
      </c>
      <c r="L1411" t="s">
        <v>1740</v>
      </c>
      <c r="M1411" t="s">
        <v>3791</v>
      </c>
      <c r="N1411" t="s">
        <v>1</v>
      </c>
      <c r="O1411">
        <v>560067</v>
      </c>
      <c r="P1411" t="s">
        <v>546</v>
      </c>
      <c r="Q1411" t="s">
        <v>1767</v>
      </c>
      <c r="R1411" t="s">
        <v>2</v>
      </c>
      <c r="S1411">
        <v>393.16500000000002</v>
      </c>
      <c r="T1411">
        <v>3</v>
      </c>
      <c r="U1411">
        <v>0.5</v>
      </c>
      <c r="V1411">
        <v>-204.44579999999999</v>
      </c>
      <c r="W1411">
        <f t="shared" ref="W1411:W1474" si="91">(S1411-V1411)/T1411</f>
        <v>199.20360000000002</v>
      </c>
      <c r="X1411">
        <v>3</v>
      </c>
    </row>
    <row r="1412" spans="1:24" x14ac:dyDescent="0.3">
      <c r="A1412">
        <v>1411</v>
      </c>
      <c r="B1412" t="s">
        <v>3166</v>
      </c>
      <c r="C1412" s="6">
        <v>45607</v>
      </c>
      <c r="D1412" t="str">
        <f t="shared" si="88"/>
        <v>Nov</v>
      </c>
      <c r="E1412" t="str">
        <f t="shared" si="89"/>
        <v>2024</v>
      </c>
      <c r="F1412" t="s">
        <v>4</v>
      </c>
      <c r="G1412" t="s">
        <v>456</v>
      </c>
      <c r="H1412" t="s">
        <v>976</v>
      </c>
      <c r="I1412">
        <v>150</v>
      </c>
      <c r="J1412">
        <v>12</v>
      </c>
      <c r="K1412">
        <f t="shared" si="90"/>
        <v>8</v>
      </c>
      <c r="L1412" t="s">
        <v>1742</v>
      </c>
      <c r="M1412" t="s">
        <v>3696</v>
      </c>
      <c r="O1412">
        <v>390025</v>
      </c>
      <c r="P1412" t="s">
        <v>546</v>
      </c>
      <c r="Q1412" t="s">
        <v>1763</v>
      </c>
      <c r="S1412">
        <v>23.68</v>
      </c>
      <c r="T1412">
        <v>2</v>
      </c>
      <c r="U1412">
        <v>0.2</v>
      </c>
      <c r="V1412">
        <v>8.8800000000000008</v>
      </c>
      <c r="W1412">
        <f t="shared" si="91"/>
        <v>7.3999999999999995</v>
      </c>
      <c r="X1412">
        <v>4</v>
      </c>
    </row>
    <row r="1413" spans="1:24" x14ac:dyDescent="0.3">
      <c r="A1413">
        <v>1412</v>
      </c>
      <c r="B1413" t="s">
        <v>3167</v>
      </c>
      <c r="C1413" s="6">
        <v>45608</v>
      </c>
      <c r="D1413" t="str">
        <f t="shared" si="88"/>
        <v>Nov</v>
      </c>
      <c r="E1413" t="str">
        <f t="shared" si="89"/>
        <v>2024</v>
      </c>
      <c r="F1413" t="s">
        <v>4</v>
      </c>
      <c r="G1413" t="s">
        <v>70</v>
      </c>
      <c r="H1413" t="s">
        <v>1176</v>
      </c>
      <c r="I1413">
        <v>210</v>
      </c>
      <c r="J1413">
        <v>6</v>
      </c>
      <c r="K1413">
        <f t="shared" si="90"/>
        <v>2.8571428571428572</v>
      </c>
      <c r="L1413" t="s">
        <v>1739</v>
      </c>
      <c r="M1413" t="s">
        <v>3697</v>
      </c>
      <c r="N1413" t="s">
        <v>1</v>
      </c>
      <c r="O1413">
        <v>491001</v>
      </c>
      <c r="P1413" t="s">
        <v>546</v>
      </c>
      <c r="Q1413" t="s">
        <v>1774</v>
      </c>
      <c r="S1413">
        <v>408.00599999999997</v>
      </c>
      <c r="T1413">
        <v>2</v>
      </c>
      <c r="U1413">
        <v>0.1</v>
      </c>
      <c r="V1413">
        <v>72.534400000000005</v>
      </c>
      <c r="W1413">
        <f t="shared" si="91"/>
        <v>167.73579999999998</v>
      </c>
      <c r="X1413">
        <v>5</v>
      </c>
    </row>
    <row r="1414" spans="1:24" x14ac:dyDescent="0.3">
      <c r="A1414">
        <v>1413</v>
      </c>
      <c r="B1414" t="s">
        <v>3168</v>
      </c>
      <c r="C1414" s="6">
        <v>45609</v>
      </c>
      <c r="D1414" t="str">
        <f t="shared" si="88"/>
        <v>Nov</v>
      </c>
      <c r="E1414" t="str">
        <f t="shared" si="89"/>
        <v>2024</v>
      </c>
      <c r="F1414" t="s">
        <v>4</v>
      </c>
      <c r="G1414" t="s">
        <v>70</v>
      </c>
      <c r="H1414" t="s">
        <v>1026</v>
      </c>
      <c r="I1414">
        <v>230</v>
      </c>
      <c r="J1414">
        <v>14</v>
      </c>
      <c r="K1414">
        <f t="shared" si="90"/>
        <v>6.0869565217391308</v>
      </c>
      <c r="L1414" t="s">
        <v>1738</v>
      </c>
      <c r="M1414" t="s">
        <v>3792</v>
      </c>
      <c r="N1414" t="s">
        <v>1</v>
      </c>
      <c r="O1414">
        <v>110060</v>
      </c>
      <c r="P1414" t="s">
        <v>546</v>
      </c>
      <c r="Q1414" t="s">
        <v>1767</v>
      </c>
      <c r="S1414">
        <v>165.28</v>
      </c>
      <c r="T1414">
        <v>4</v>
      </c>
      <c r="U1414">
        <v>0</v>
      </c>
      <c r="V1414">
        <v>14.8752</v>
      </c>
      <c r="W1414">
        <f t="shared" si="91"/>
        <v>37.601199999999999</v>
      </c>
      <c r="X1414">
        <v>1</v>
      </c>
    </row>
    <row r="1415" spans="1:24" x14ac:dyDescent="0.3">
      <c r="A1415">
        <v>1414</v>
      </c>
      <c r="B1415" t="s">
        <v>3169</v>
      </c>
      <c r="C1415" s="6">
        <v>45610</v>
      </c>
      <c r="D1415" t="str">
        <f t="shared" si="88"/>
        <v>Nov</v>
      </c>
      <c r="E1415" t="str">
        <f t="shared" si="89"/>
        <v>2024</v>
      </c>
      <c r="F1415" t="s">
        <v>4</v>
      </c>
      <c r="G1415" t="s">
        <v>463</v>
      </c>
      <c r="H1415" t="s">
        <v>1526</v>
      </c>
      <c r="I1415">
        <v>160</v>
      </c>
      <c r="J1415">
        <v>6</v>
      </c>
      <c r="K1415">
        <f t="shared" si="90"/>
        <v>3.75</v>
      </c>
      <c r="L1415" t="s">
        <v>1737</v>
      </c>
      <c r="M1415" t="s">
        <v>3793</v>
      </c>
      <c r="N1415" t="s">
        <v>1</v>
      </c>
      <c r="O1415">
        <v>627003</v>
      </c>
      <c r="P1415" t="s">
        <v>546</v>
      </c>
      <c r="Q1415" t="s">
        <v>1776</v>
      </c>
      <c r="R1415" t="s">
        <v>2</v>
      </c>
      <c r="S1415">
        <v>334.76799999999997</v>
      </c>
      <c r="T1415">
        <v>7</v>
      </c>
      <c r="U1415">
        <v>0.2</v>
      </c>
      <c r="V1415">
        <v>108.7996</v>
      </c>
      <c r="W1415">
        <f t="shared" si="91"/>
        <v>32.281199999999998</v>
      </c>
      <c r="X1415">
        <v>3</v>
      </c>
    </row>
    <row r="1416" spans="1:24" x14ac:dyDescent="0.3">
      <c r="A1416">
        <v>1415</v>
      </c>
      <c r="B1416" t="s">
        <v>3170</v>
      </c>
      <c r="C1416" s="6">
        <v>45611</v>
      </c>
      <c r="D1416" t="str">
        <f t="shared" si="88"/>
        <v>Nov</v>
      </c>
      <c r="E1416" t="str">
        <f t="shared" si="89"/>
        <v>2024</v>
      </c>
      <c r="F1416" t="s">
        <v>3</v>
      </c>
      <c r="G1416" t="s">
        <v>464</v>
      </c>
      <c r="H1416" t="s">
        <v>1461</v>
      </c>
      <c r="I1416">
        <v>180</v>
      </c>
      <c r="J1416">
        <v>30</v>
      </c>
      <c r="K1416">
        <f t="shared" si="90"/>
        <v>16.666666666666664</v>
      </c>
      <c r="L1416" t="s">
        <v>1743</v>
      </c>
      <c r="M1416" t="s">
        <v>3794</v>
      </c>
      <c r="N1416" t="s">
        <v>1</v>
      </c>
      <c r="O1416">
        <v>600082</v>
      </c>
      <c r="P1416" t="s">
        <v>546</v>
      </c>
      <c r="Q1416" t="s">
        <v>1759</v>
      </c>
      <c r="R1416" t="s">
        <v>2</v>
      </c>
      <c r="S1416">
        <v>239.97</v>
      </c>
      <c r="T1416">
        <v>3</v>
      </c>
      <c r="U1416">
        <v>0</v>
      </c>
      <c r="V1416">
        <v>26.396699999999999</v>
      </c>
      <c r="W1416">
        <f t="shared" si="91"/>
        <v>71.191099999999992</v>
      </c>
      <c r="X1416">
        <v>1</v>
      </c>
    </row>
    <row r="1417" spans="1:24" x14ac:dyDescent="0.3">
      <c r="A1417">
        <v>1416</v>
      </c>
      <c r="B1417" t="s">
        <v>3171</v>
      </c>
      <c r="C1417" s="6">
        <v>45612</v>
      </c>
      <c r="D1417" t="str">
        <f t="shared" si="88"/>
        <v>Nov</v>
      </c>
      <c r="E1417" t="str">
        <f t="shared" si="89"/>
        <v>2024</v>
      </c>
      <c r="F1417" t="s">
        <v>3</v>
      </c>
      <c r="G1417" t="s">
        <v>464</v>
      </c>
      <c r="H1417" t="s">
        <v>1527</v>
      </c>
      <c r="I1417">
        <v>250</v>
      </c>
      <c r="J1417">
        <v>30</v>
      </c>
      <c r="K1417">
        <f t="shared" si="90"/>
        <v>12</v>
      </c>
      <c r="L1417" t="s">
        <v>1738</v>
      </c>
      <c r="M1417" t="s">
        <v>3795</v>
      </c>
      <c r="N1417" t="s">
        <v>1</v>
      </c>
      <c r="O1417">
        <v>680027</v>
      </c>
      <c r="P1417" t="s">
        <v>546</v>
      </c>
      <c r="Q1417" t="s">
        <v>1771</v>
      </c>
      <c r="S1417">
        <v>37.74</v>
      </c>
      <c r="T1417">
        <v>3</v>
      </c>
      <c r="U1417">
        <v>0</v>
      </c>
      <c r="V1417">
        <v>12.8316</v>
      </c>
      <c r="W1417">
        <f t="shared" si="91"/>
        <v>8.3027999999999995</v>
      </c>
      <c r="X1417">
        <v>2</v>
      </c>
    </row>
    <row r="1418" spans="1:24" x14ac:dyDescent="0.3">
      <c r="A1418">
        <v>1417</v>
      </c>
      <c r="B1418" t="s">
        <v>3172</v>
      </c>
      <c r="C1418" s="6">
        <v>45613</v>
      </c>
      <c r="D1418" t="str">
        <f t="shared" si="88"/>
        <v>Nov</v>
      </c>
      <c r="E1418" t="str">
        <f t="shared" si="89"/>
        <v>2024</v>
      </c>
      <c r="F1418" t="s">
        <v>5</v>
      </c>
      <c r="G1418" t="s">
        <v>465</v>
      </c>
      <c r="H1418" t="s">
        <v>1528</v>
      </c>
      <c r="I1418">
        <v>200</v>
      </c>
      <c r="J1418">
        <v>28</v>
      </c>
      <c r="K1418">
        <f t="shared" si="90"/>
        <v>14.000000000000002</v>
      </c>
      <c r="L1418" t="s">
        <v>1739</v>
      </c>
      <c r="M1418" t="s">
        <v>3594</v>
      </c>
      <c r="N1418" t="s">
        <v>1</v>
      </c>
      <c r="O1418">
        <v>680027</v>
      </c>
      <c r="P1418" t="s">
        <v>546</v>
      </c>
      <c r="Q1418" t="s">
        <v>1765</v>
      </c>
      <c r="S1418">
        <v>946.34400000000005</v>
      </c>
      <c r="T1418">
        <v>7</v>
      </c>
      <c r="U1418">
        <v>0.2</v>
      </c>
      <c r="V1418">
        <v>118.29300000000001</v>
      </c>
      <c r="W1418">
        <f t="shared" si="91"/>
        <v>118.29300000000001</v>
      </c>
      <c r="X1418">
        <v>4</v>
      </c>
    </row>
    <row r="1419" spans="1:24" x14ac:dyDescent="0.3">
      <c r="A1419">
        <v>1418</v>
      </c>
      <c r="B1419" t="s">
        <v>3173</v>
      </c>
      <c r="C1419" s="6">
        <v>45614</v>
      </c>
      <c r="D1419" t="str">
        <f t="shared" si="88"/>
        <v>Nov</v>
      </c>
      <c r="E1419" t="str">
        <f t="shared" si="89"/>
        <v>2024</v>
      </c>
      <c r="F1419" t="s">
        <v>5</v>
      </c>
      <c r="G1419" t="s">
        <v>465</v>
      </c>
      <c r="H1419" t="s">
        <v>1272</v>
      </c>
      <c r="I1419">
        <v>210</v>
      </c>
      <c r="J1419">
        <v>26</v>
      </c>
      <c r="K1419">
        <f t="shared" si="90"/>
        <v>12.380952380952381</v>
      </c>
      <c r="L1419" t="s">
        <v>1741</v>
      </c>
      <c r="M1419" t="s">
        <v>3796</v>
      </c>
      <c r="N1419" t="s">
        <v>1</v>
      </c>
      <c r="O1419">
        <v>834001</v>
      </c>
      <c r="P1419" t="s">
        <v>546</v>
      </c>
      <c r="Q1419" t="s">
        <v>1772</v>
      </c>
      <c r="R1419" t="s">
        <v>2</v>
      </c>
      <c r="S1419">
        <v>151.19999999999999</v>
      </c>
      <c r="T1419">
        <v>3</v>
      </c>
      <c r="U1419">
        <v>0.2</v>
      </c>
      <c r="V1419">
        <v>32.130000000000003</v>
      </c>
      <c r="W1419">
        <f t="shared" si="91"/>
        <v>39.69</v>
      </c>
      <c r="X1419">
        <v>1</v>
      </c>
    </row>
    <row r="1420" spans="1:24" x14ac:dyDescent="0.3">
      <c r="A1420">
        <v>1419</v>
      </c>
      <c r="B1420" t="s">
        <v>3174</v>
      </c>
      <c r="C1420" s="6">
        <v>45615</v>
      </c>
      <c r="D1420" t="str">
        <f t="shared" si="88"/>
        <v>Nov</v>
      </c>
      <c r="E1420" t="str">
        <f t="shared" si="89"/>
        <v>2024</v>
      </c>
      <c r="F1420" t="s">
        <v>5</v>
      </c>
      <c r="G1420" t="s">
        <v>465</v>
      </c>
      <c r="H1420" t="s">
        <v>597</v>
      </c>
      <c r="I1420">
        <v>170</v>
      </c>
      <c r="J1420">
        <v>30</v>
      </c>
      <c r="K1420">
        <f t="shared" si="90"/>
        <v>17.647058823529413</v>
      </c>
      <c r="L1420" t="s">
        <v>1736</v>
      </c>
      <c r="M1420" t="s">
        <v>3797</v>
      </c>
      <c r="N1420" t="s">
        <v>1</v>
      </c>
      <c r="O1420">
        <v>144001</v>
      </c>
      <c r="P1420" t="s">
        <v>546</v>
      </c>
      <c r="Q1420" t="s">
        <v>1767</v>
      </c>
      <c r="S1420">
        <v>4.9279999999999999</v>
      </c>
      <c r="T1420">
        <v>4</v>
      </c>
      <c r="U1420">
        <v>0.6</v>
      </c>
      <c r="V1420">
        <v>-1.4783999999999999</v>
      </c>
      <c r="W1420">
        <f t="shared" si="91"/>
        <v>1.6015999999999999</v>
      </c>
      <c r="X1420">
        <v>3</v>
      </c>
    </row>
    <row r="1421" spans="1:24" x14ac:dyDescent="0.3">
      <c r="A1421">
        <v>1420</v>
      </c>
      <c r="B1421" t="s">
        <v>3175</v>
      </c>
      <c r="C1421" s="6">
        <v>45616</v>
      </c>
      <c r="D1421" t="str">
        <f t="shared" si="88"/>
        <v>Nov</v>
      </c>
      <c r="E1421" t="str">
        <f t="shared" si="89"/>
        <v>2024</v>
      </c>
      <c r="F1421" t="s">
        <v>4</v>
      </c>
      <c r="G1421" t="s">
        <v>466</v>
      </c>
      <c r="H1421" t="s">
        <v>1529</v>
      </c>
      <c r="I1421">
        <v>150</v>
      </c>
      <c r="J1421">
        <v>22</v>
      </c>
      <c r="K1421">
        <f t="shared" si="90"/>
        <v>14.666666666666666</v>
      </c>
      <c r="L1421" t="s">
        <v>1744</v>
      </c>
      <c r="M1421" t="s">
        <v>3798</v>
      </c>
      <c r="N1421" t="s">
        <v>1</v>
      </c>
      <c r="O1421">
        <v>560102</v>
      </c>
      <c r="P1421" t="s">
        <v>546</v>
      </c>
      <c r="Q1421" t="s">
        <v>1773</v>
      </c>
      <c r="S1421">
        <v>86.272000000000006</v>
      </c>
      <c r="T1421">
        <v>4</v>
      </c>
      <c r="U1421">
        <v>0.2</v>
      </c>
      <c r="V1421">
        <v>31.273599999999998</v>
      </c>
      <c r="W1421">
        <f t="shared" si="91"/>
        <v>13.749600000000001</v>
      </c>
      <c r="X1421">
        <v>4</v>
      </c>
    </row>
    <row r="1422" spans="1:24" x14ac:dyDescent="0.3">
      <c r="A1422">
        <v>1421</v>
      </c>
      <c r="B1422" t="s">
        <v>3176</v>
      </c>
      <c r="C1422" s="6">
        <v>45617</v>
      </c>
      <c r="D1422" t="str">
        <f t="shared" si="88"/>
        <v>Nov</v>
      </c>
      <c r="E1422" t="str">
        <f t="shared" si="89"/>
        <v>2024</v>
      </c>
      <c r="F1422" t="s">
        <v>4</v>
      </c>
      <c r="G1422" t="s">
        <v>466</v>
      </c>
      <c r="H1422" t="s">
        <v>808</v>
      </c>
      <c r="I1422">
        <v>250</v>
      </c>
      <c r="J1422">
        <v>10</v>
      </c>
      <c r="K1422">
        <f t="shared" si="90"/>
        <v>4</v>
      </c>
      <c r="L1422" t="s">
        <v>1740</v>
      </c>
      <c r="M1422" t="s">
        <v>3799</v>
      </c>
      <c r="N1422" t="s">
        <v>1</v>
      </c>
      <c r="O1422">
        <v>226010</v>
      </c>
      <c r="P1422" t="s">
        <v>546</v>
      </c>
      <c r="Q1422" t="s">
        <v>1761</v>
      </c>
      <c r="S1422">
        <v>72.587999999999994</v>
      </c>
      <c r="T1422">
        <v>2</v>
      </c>
      <c r="U1422">
        <v>0.7</v>
      </c>
      <c r="V1422">
        <v>-48.392000000000003</v>
      </c>
      <c r="W1422">
        <f t="shared" si="91"/>
        <v>60.489999999999995</v>
      </c>
      <c r="X1422">
        <v>5</v>
      </c>
    </row>
    <row r="1423" spans="1:24" x14ac:dyDescent="0.3">
      <c r="A1423">
        <v>1422</v>
      </c>
      <c r="B1423" t="s">
        <v>3177</v>
      </c>
      <c r="C1423" s="6">
        <v>45618</v>
      </c>
      <c r="D1423" t="str">
        <f t="shared" si="88"/>
        <v>Nov</v>
      </c>
      <c r="E1423" t="str">
        <f t="shared" si="89"/>
        <v>2024</v>
      </c>
      <c r="F1423" t="s">
        <v>4</v>
      </c>
      <c r="G1423" t="s">
        <v>466</v>
      </c>
      <c r="H1423" t="s">
        <v>1530</v>
      </c>
      <c r="I1423">
        <v>160</v>
      </c>
      <c r="J1423">
        <v>6</v>
      </c>
      <c r="K1423">
        <f t="shared" si="90"/>
        <v>3.75</v>
      </c>
      <c r="L1423" t="s">
        <v>1742</v>
      </c>
      <c r="M1423" t="s">
        <v>3800</v>
      </c>
      <c r="N1423" t="s">
        <v>1</v>
      </c>
      <c r="O1423">
        <v>411046</v>
      </c>
      <c r="P1423" t="s">
        <v>546</v>
      </c>
      <c r="Q1423" t="s">
        <v>1759</v>
      </c>
      <c r="S1423">
        <v>60.671999999999997</v>
      </c>
      <c r="T1423">
        <v>2</v>
      </c>
      <c r="U1423">
        <v>0.2</v>
      </c>
      <c r="V1423">
        <v>14.409599999999999</v>
      </c>
      <c r="W1423">
        <f t="shared" si="91"/>
        <v>23.1312</v>
      </c>
      <c r="X1423">
        <v>1</v>
      </c>
    </row>
    <row r="1424" spans="1:24" x14ac:dyDescent="0.3">
      <c r="A1424">
        <v>1423</v>
      </c>
      <c r="B1424" t="s">
        <v>3178</v>
      </c>
      <c r="C1424" s="6">
        <v>45619</v>
      </c>
      <c r="D1424" t="str">
        <f t="shared" si="88"/>
        <v>Nov</v>
      </c>
      <c r="E1424" t="str">
        <f t="shared" si="89"/>
        <v>2024</v>
      </c>
      <c r="F1424" t="s">
        <v>4</v>
      </c>
      <c r="G1424" t="s">
        <v>466</v>
      </c>
      <c r="H1424" t="s">
        <v>1244</v>
      </c>
      <c r="I1424">
        <v>140</v>
      </c>
      <c r="J1424">
        <v>12</v>
      </c>
      <c r="K1424">
        <f t="shared" si="90"/>
        <v>8.5714285714285712</v>
      </c>
      <c r="L1424" t="s">
        <v>1739</v>
      </c>
      <c r="M1424" t="s">
        <v>3623</v>
      </c>
      <c r="N1424" t="s">
        <v>1</v>
      </c>
      <c r="O1424">
        <v>682020</v>
      </c>
      <c r="P1424" t="s">
        <v>546</v>
      </c>
      <c r="Q1424" t="s">
        <v>1771</v>
      </c>
      <c r="S1424">
        <v>77.031000000000006</v>
      </c>
      <c r="T1424">
        <v>9</v>
      </c>
      <c r="U1424">
        <v>0.7</v>
      </c>
      <c r="V1424">
        <v>-59.057099999999998</v>
      </c>
      <c r="W1424">
        <f t="shared" si="91"/>
        <v>15.120899999999999</v>
      </c>
      <c r="X1424">
        <v>1</v>
      </c>
    </row>
    <row r="1425" spans="1:24" x14ac:dyDescent="0.3">
      <c r="A1425">
        <v>1424</v>
      </c>
      <c r="B1425" t="s">
        <v>3179</v>
      </c>
      <c r="C1425" s="6">
        <v>45620</v>
      </c>
      <c r="D1425" t="str">
        <f t="shared" si="88"/>
        <v>Nov</v>
      </c>
      <c r="E1425" t="str">
        <f t="shared" si="89"/>
        <v>2024</v>
      </c>
      <c r="F1425" t="s">
        <v>4</v>
      </c>
      <c r="G1425" t="s">
        <v>466</v>
      </c>
      <c r="H1425" t="s">
        <v>899</v>
      </c>
      <c r="I1425">
        <v>150</v>
      </c>
      <c r="J1425">
        <v>10</v>
      </c>
      <c r="K1425">
        <f t="shared" si="90"/>
        <v>6.666666666666667</v>
      </c>
      <c r="L1425" t="s">
        <v>1738</v>
      </c>
      <c r="M1425" t="s">
        <v>3801</v>
      </c>
      <c r="O1425">
        <v>110003</v>
      </c>
      <c r="P1425" t="s">
        <v>546</v>
      </c>
      <c r="Q1425" t="s">
        <v>1754</v>
      </c>
      <c r="S1425">
        <v>119.904</v>
      </c>
      <c r="T1425">
        <v>6</v>
      </c>
      <c r="U1425">
        <v>0.2</v>
      </c>
      <c r="V1425">
        <v>-1.4987999999999999</v>
      </c>
      <c r="W1425">
        <f t="shared" si="91"/>
        <v>20.233799999999999</v>
      </c>
      <c r="X1425">
        <v>1</v>
      </c>
    </row>
    <row r="1426" spans="1:24" x14ac:dyDescent="0.3">
      <c r="A1426">
        <v>1425</v>
      </c>
      <c r="B1426" t="s">
        <v>3180</v>
      </c>
      <c r="C1426" s="6">
        <v>45621</v>
      </c>
      <c r="D1426" t="str">
        <f t="shared" si="88"/>
        <v>Nov</v>
      </c>
      <c r="E1426" t="str">
        <f t="shared" si="89"/>
        <v>2024</v>
      </c>
      <c r="F1426" t="s">
        <v>4</v>
      </c>
      <c r="G1426" t="s">
        <v>466</v>
      </c>
      <c r="H1426" t="s">
        <v>1531</v>
      </c>
      <c r="I1426">
        <v>170</v>
      </c>
      <c r="J1426">
        <v>10</v>
      </c>
      <c r="K1426">
        <f t="shared" si="90"/>
        <v>5.8823529411764701</v>
      </c>
      <c r="L1426" t="s">
        <v>1737</v>
      </c>
      <c r="M1426" t="s">
        <v>3802</v>
      </c>
      <c r="N1426" t="s">
        <v>1</v>
      </c>
      <c r="O1426">
        <v>711101</v>
      </c>
      <c r="P1426" t="s">
        <v>546</v>
      </c>
      <c r="Q1426" t="s">
        <v>1768</v>
      </c>
      <c r="S1426">
        <v>263.95999999999998</v>
      </c>
      <c r="T1426">
        <v>5</v>
      </c>
      <c r="U1426">
        <v>0.2</v>
      </c>
      <c r="V1426">
        <v>23.096499999999999</v>
      </c>
      <c r="W1426">
        <f t="shared" si="91"/>
        <v>48.172699999999999</v>
      </c>
      <c r="X1426">
        <v>1</v>
      </c>
    </row>
    <row r="1427" spans="1:24" x14ac:dyDescent="0.3">
      <c r="A1427">
        <v>1426</v>
      </c>
      <c r="B1427" t="s">
        <v>3181</v>
      </c>
      <c r="C1427" s="6">
        <v>45622</v>
      </c>
      <c r="D1427" t="str">
        <f t="shared" si="88"/>
        <v>Nov</v>
      </c>
      <c r="E1427" t="str">
        <f t="shared" si="89"/>
        <v>2024</v>
      </c>
      <c r="F1427" t="s">
        <v>4</v>
      </c>
      <c r="G1427" t="s">
        <v>466</v>
      </c>
      <c r="H1427" t="s">
        <v>965</v>
      </c>
      <c r="I1427">
        <v>160</v>
      </c>
      <c r="J1427">
        <v>24</v>
      </c>
      <c r="K1427">
        <f t="shared" si="90"/>
        <v>15</v>
      </c>
      <c r="L1427" t="s">
        <v>1743</v>
      </c>
      <c r="M1427" t="s">
        <v>3803</v>
      </c>
      <c r="N1427" t="s">
        <v>1</v>
      </c>
      <c r="O1427">
        <v>246149</v>
      </c>
      <c r="P1427" t="s">
        <v>546</v>
      </c>
      <c r="Q1427" t="s">
        <v>1756</v>
      </c>
      <c r="S1427">
        <v>363.64800000000002</v>
      </c>
      <c r="T1427">
        <v>4</v>
      </c>
      <c r="U1427">
        <v>0.2</v>
      </c>
      <c r="V1427">
        <v>-86.366399999999999</v>
      </c>
      <c r="W1427">
        <f t="shared" si="91"/>
        <v>112.50360000000001</v>
      </c>
      <c r="X1427">
        <v>3</v>
      </c>
    </row>
    <row r="1428" spans="1:24" x14ac:dyDescent="0.3">
      <c r="A1428">
        <v>1427</v>
      </c>
      <c r="B1428" t="s">
        <v>3182</v>
      </c>
      <c r="C1428" s="6">
        <v>45623</v>
      </c>
      <c r="D1428" t="str">
        <f t="shared" si="88"/>
        <v>Nov</v>
      </c>
      <c r="E1428" t="str">
        <f t="shared" si="89"/>
        <v>2024</v>
      </c>
      <c r="F1428" t="s">
        <v>3</v>
      </c>
      <c r="G1428" t="s">
        <v>467</v>
      </c>
      <c r="H1428" t="s">
        <v>1072</v>
      </c>
      <c r="I1428">
        <v>250</v>
      </c>
      <c r="J1428">
        <v>20</v>
      </c>
      <c r="K1428">
        <f t="shared" si="90"/>
        <v>8</v>
      </c>
      <c r="L1428" t="s">
        <v>1738</v>
      </c>
      <c r="M1428" t="s">
        <v>3804</v>
      </c>
      <c r="N1428" t="s">
        <v>1</v>
      </c>
      <c r="O1428">
        <v>502032</v>
      </c>
      <c r="P1428" t="s">
        <v>546</v>
      </c>
      <c r="Q1428" t="s">
        <v>1771</v>
      </c>
      <c r="S1428">
        <v>9.7279999999999998</v>
      </c>
      <c r="T1428">
        <v>2</v>
      </c>
      <c r="U1428">
        <v>0.2</v>
      </c>
      <c r="V1428">
        <v>3.2831999999999999</v>
      </c>
      <c r="W1428">
        <f t="shared" si="91"/>
        <v>3.2223999999999999</v>
      </c>
      <c r="X1428">
        <v>3</v>
      </c>
    </row>
    <row r="1429" spans="1:24" x14ac:dyDescent="0.3">
      <c r="A1429">
        <v>1428</v>
      </c>
      <c r="B1429" t="s">
        <v>3183</v>
      </c>
      <c r="C1429" s="6">
        <v>45624</v>
      </c>
      <c r="D1429" t="str">
        <f t="shared" si="88"/>
        <v>Nov</v>
      </c>
      <c r="E1429" t="str">
        <f t="shared" si="89"/>
        <v>2024</v>
      </c>
      <c r="F1429" t="s">
        <v>3</v>
      </c>
      <c r="G1429" t="s">
        <v>467</v>
      </c>
      <c r="H1429" t="s">
        <v>658</v>
      </c>
      <c r="I1429">
        <v>100</v>
      </c>
      <c r="J1429">
        <v>14</v>
      </c>
      <c r="K1429">
        <f t="shared" si="90"/>
        <v>14.000000000000002</v>
      </c>
      <c r="L1429" t="s">
        <v>1739</v>
      </c>
      <c r="M1429" t="s">
        <v>3600</v>
      </c>
      <c r="N1429" t="s">
        <v>1</v>
      </c>
      <c r="O1429">
        <v>335001</v>
      </c>
      <c r="P1429" t="s">
        <v>546</v>
      </c>
      <c r="Q1429" t="s">
        <v>1759</v>
      </c>
      <c r="S1429">
        <v>14.75</v>
      </c>
      <c r="T1429">
        <v>5</v>
      </c>
      <c r="U1429">
        <v>0</v>
      </c>
      <c r="V1429">
        <v>7.08</v>
      </c>
      <c r="W1429">
        <f t="shared" si="91"/>
        <v>1.534</v>
      </c>
      <c r="X1429">
        <v>4</v>
      </c>
    </row>
    <row r="1430" spans="1:24" x14ac:dyDescent="0.3">
      <c r="A1430">
        <v>1429</v>
      </c>
      <c r="B1430" t="s">
        <v>3184</v>
      </c>
      <c r="C1430" s="6">
        <v>45625</v>
      </c>
      <c r="D1430" t="str">
        <f t="shared" si="88"/>
        <v>Nov</v>
      </c>
      <c r="E1430" t="str">
        <f t="shared" si="89"/>
        <v>2024</v>
      </c>
      <c r="F1430" t="s">
        <v>3</v>
      </c>
      <c r="G1430" t="s">
        <v>467</v>
      </c>
      <c r="H1430" t="s">
        <v>1532</v>
      </c>
      <c r="I1430">
        <v>180</v>
      </c>
      <c r="J1430">
        <v>22</v>
      </c>
      <c r="K1430">
        <f t="shared" si="90"/>
        <v>12.222222222222221</v>
      </c>
      <c r="L1430" t="s">
        <v>1741</v>
      </c>
      <c r="M1430" t="s">
        <v>3805</v>
      </c>
      <c r="N1430" t="s">
        <v>1</v>
      </c>
      <c r="O1430">
        <v>474009</v>
      </c>
      <c r="P1430" t="s">
        <v>546</v>
      </c>
      <c r="Q1430" t="s">
        <v>1775</v>
      </c>
      <c r="R1430" t="s">
        <v>2</v>
      </c>
      <c r="S1430">
        <v>29.8</v>
      </c>
      <c r="T1430">
        <v>5</v>
      </c>
      <c r="U1430">
        <v>0.2</v>
      </c>
      <c r="V1430">
        <v>9.3125</v>
      </c>
      <c r="W1430">
        <f t="shared" si="91"/>
        <v>4.0975000000000001</v>
      </c>
      <c r="X1430">
        <v>3</v>
      </c>
    </row>
    <row r="1431" spans="1:24" x14ac:dyDescent="0.3">
      <c r="A1431">
        <v>1430</v>
      </c>
      <c r="B1431" t="s">
        <v>3185</v>
      </c>
      <c r="C1431" s="6">
        <v>45626</v>
      </c>
      <c r="D1431" t="str">
        <f t="shared" si="88"/>
        <v>Nov</v>
      </c>
      <c r="E1431" t="str">
        <f t="shared" si="89"/>
        <v>2024</v>
      </c>
      <c r="F1431" t="s">
        <v>3</v>
      </c>
      <c r="G1431" t="s">
        <v>467</v>
      </c>
      <c r="H1431" t="s">
        <v>1127</v>
      </c>
      <c r="I1431">
        <v>230</v>
      </c>
      <c r="J1431">
        <v>14</v>
      </c>
      <c r="K1431">
        <f t="shared" si="90"/>
        <v>6.0869565217391308</v>
      </c>
      <c r="L1431" t="s">
        <v>1736</v>
      </c>
      <c r="M1431" t="s">
        <v>3644</v>
      </c>
      <c r="N1431" t="s">
        <v>1</v>
      </c>
      <c r="O1431">
        <v>600026</v>
      </c>
      <c r="P1431" t="s">
        <v>546</v>
      </c>
      <c r="Q1431" t="s">
        <v>1763</v>
      </c>
      <c r="S1431">
        <v>427.42</v>
      </c>
      <c r="T1431">
        <v>14</v>
      </c>
      <c r="U1431">
        <v>0</v>
      </c>
      <c r="V1431">
        <v>196.61320000000001</v>
      </c>
      <c r="W1431">
        <f t="shared" si="91"/>
        <v>16.4862</v>
      </c>
      <c r="X1431">
        <v>1</v>
      </c>
    </row>
    <row r="1432" spans="1:24" x14ac:dyDescent="0.3">
      <c r="A1432">
        <v>1431</v>
      </c>
      <c r="B1432" t="s">
        <v>3186</v>
      </c>
      <c r="C1432" s="6">
        <v>45627</v>
      </c>
      <c r="D1432" t="str">
        <f t="shared" si="88"/>
        <v>Dec</v>
      </c>
      <c r="E1432" t="str">
        <f t="shared" si="89"/>
        <v>2024</v>
      </c>
      <c r="F1432" t="s">
        <v>4</v>
      </c>
      <c r="G1432" t="s">
        <v>306</v>
      </c>
      <c r="H1432" t="s">
        <v>1068</v>
      </c>
      <c r="I1432">
        <v>100</v>
      </c>
      <c r="J1432">
        <v>20</v>
      </c>
      <c r="K1432">
        <f t="shared" si="90"/>
        <v>20</v>
      </c>
      <c r="L1432" t="s">
        <v>1744</v>
      </c>
      <c r="M1432" t="s">
        <v>3806</v>
      </c>
      <c r="N1432" t="s">
        <v>1</v>
      </c>
      <c r="O1432">
        <v>302029</v>
      </c>
      <c r="P1432" t="s">
        <v>546</v>
      </c>
      <c r="Q1432" t="s">
        <v>1760</v>
      </c>
      <c r="R1432" t="s">
        <v>2</v>
      </c>
      <c r="S1432">
        <v>220.75200000000001</v>
      </c>
      <c r="T1432">
        <v>8</v>
      </c>
      <c r="U1432">
        <v>0.4</v>
      </c>
      <c r="V1432">
        <v>-40.471200000000003</v>
      </c>
      <c r="W1432">
        <f t="shared" si="91"/>
        <v>32.652900000000002</v>
      </c>
      <c r="X1432">
        <v>5</v>
      </c>
    </row>
    <row r="1433" spans="1:24" x14ac:dyDescent="0.3">
      <c r="A1433">
        <v>1432</v>
      </c>
      <c r="B1433" t="s">
        <v>3187</v>
      </c>
      <c r="C1433" s="6">
        <v>45628</v>
      </c>
      <c r="D1433" t="str">
        <f t="shared" si="88"/>
        <v>Dec</v>
      </c>
      <c r="E1433" t="str">
        <f t="shared" si="89"/>
        <v>2024</v>
      </c>
      <c r="F1433" t="s">
        <v>3</v>
      </c>
      <c r="G1433" t="s">
        <v>12</v>
      </c>
      <c r="H1433" t="s">
        <v>1533</v>
      </c>
      <c r="I1433">
        <v>140</v>
      </c>
      <c r="J1433">
        <v>6</v>
      </c>
      <c r="K1433">
        <f t="shared" si="90"/>
        <v>4.2857142857142856</v>
      </c>
      <c r="L1433" t="s">
        <v>1740</v>
      </c>
      <c r="M1433" t="s">
        <v>3586</v>
      </c>
      <c r="N1433" t="s">
        <v>1</v>
      </c>
      <c r="O1433">
        <v>422002</v>
      </c>
      <c r="P1433" t="s">
        <v>546</v>
      </c>
      <c r="Q1433" t="s">
        <v>1774</v>
      </c>
      <c r="R1433" t="s">
        <v>2</v>
      </c>
      <c r="S1433">
        <v>152.76</v>
      </c>
      <c r="T1433">
        <v>6</v>
      </c>
      <c r="U1433">
        <v>0</v>
      </c>
      <c r="V1433">
        <v>74.852400000000003</v>
      </c>
      <c r="W1433">
        <f t="shared" si="91"/>
        <v>12.984599999999999</v>
      </c>
      <c r="X1433">
        <v>5</v>
      </c>
    </row>
    <row r="1434" spans="1:24" x14ac:dyDescent="0.3">
      <c r="A1434">
        <v>1433</v>
      </c>
      <c r="B1434" t="s">
        <v>3188</v>
      </c>
      <c r="C1434" s="6">
        <v>45629</v>
      </c>
      <c r="D1434" t="str">
        <f t="shared" si="88"/>
        <v>Dec</v>
      </c>
      <c r="E1434" t="str">
        <f t="shared" si="89"/>
        <v>2024</v>
      </c>
      <c r="F1434" t="s">
        <v>3</v>
      </c>
      <c r="G1434" t="s">
        <v>12</v>
      </c>
      <c r="H1434" t="s">
        <v>1062</v>
      </c>
      <c r="I1434">
        <v>250</v>
      </c>
      <c r="J1434">
        <v>20</v>
      </c>
      <c r="K1434">
        <f t="shared" si="90"/>
        <v>8</v>
      </c>
      <c r="L1434" t="s">
        <v>1742</v>
      </c>
      <c r="M1434" t="s">
        <v>3676</v>
      </c>
      <c r="N1434" t="s">
        <v>1</v>
      </c>
      <c r="O1434">
        <v>422002</v>
      </c>
      <c r="P1434" t="s">
        <v>546</v>
      </c>
      <c r="Q1434" t="s">
        <v>1756</v>
      </c>
      <c r="S1434">
        <v>7.27</v>
      </c>
      <c r="T1434">
        <v>1</v>
      </c>
      <c r="U1434">
        <v>0</v>
      </c>
      <c r="V1434">
        <v>1.9629000000000001</v>
      </c>
      <c r="W1434">
        <f t="shared" si="91"/>
        <v>5.3070999999999993</v>
      </c>
      <c r="X1434">
        <v>1</v>
      </c>
    </row>
    <row r="1435" spans="1:24" x14ac:dyDescent="0.3">
      <c r="A1435">
        <v>1434</v>
      </c>
      <c r="B1435" t="s">
        <v>3189</v>
      </c>
      <c r="C1435" s="6">
        <v>45630</v>
      </c>
      <c r="D1435" t="str">
        <f t="shared" si="88"/>
        <v>Dec</v>
      </c>
      <c r="E1435" t="str">
        <f t="shared" si="89"/>
        <v>2024</v>
      </c>
      <c r="F1435" t="s">
        <v>3</v>
      </c>
      <c r="G1435" t="s">
        <v>12</v>
      </c>
      <c r="H1435" t="s">
        <v>617</v>
      </c>
      <c r="I1435">
        <v>190</v>
      </c>
      <c r="J1435">
        <v>10</v>
      </c>
      <c r="K1435">
        <f t="shared" si="90"/>
        <v>5.2631578947368416</v>
      </c>
      <c r="L1435" t="s">
        <v>1739</v>
      </c>
      <c r="M1435" t="s">
        <v>3747</v>
      </c>
      <c r="N1435" t="s">
        <v>1</v>
      </c>
      <c r="O1435">
        <v>641604</v>
      </c>
      <c r="P1435" t="s">
        <v>546</v>
      </c>
      <c r="Q1435" t="s">
        <v>1764</v>
      </c>
      <c r="R1435" t="s">
        <v>2</v>
      </c>
      <c r="S1435">
        <v>1819.86</v>
      </c>
      <c r="T1435">
        <v>14</v>
      </c>
      <c r="U1435">
        <v>0</v>
      </c>
      <c r="V1435">
        <v>163.78739999999999</v>
      </c>
      <c r="W1435">
        <f t="shared" si="91"/>
        <v>118.29089999999999</v>
      </c>
      <c r="X1435">
        <v>2</v>
      </c>
    </row>
    <row r="1436" spans="1:24" x14ac:dyDescent="0.3">
      <c r="A1436">
        <v>1435</v>
      </c>
      <c r="B1436" t="s">
        <v>3190</v>
      </c>
      <c r="C1436" s="6">
        <v>45631</v>
      </c>
      <c r="D1436" t="str">
        <f t="shared" si="88"/>
        <v>Dec</v>
      </c>
      <c r="E1436" t="str">
        <f t="shared" si="89"/>
        <v>2024</v>
      </c>
      <c r="F1436" t="s">
        <v>4</v>
      </c>
      <c r="G1436" t="s">
        <v>231</v>
      </c>
      <c r="H1436" t="s">
        <v>1534</v>
      </c>
      <c r="I1436">
        <v>230</v>
      </c>
      <c r="J1436">
        <v>6</v>
      </c>
      <c r="K1436">
        <f t="shared" si="90"/>
        <v>2.6086956521739131</v>
      </c>
      <c r="L1436" t="s">
        <v>1738</v>
      </c>
      <c r="M1436" t="s">
        <v>3807</v>
      </c>
      <c r="N1436" t="s">
        <v>1</v>
      </c>
      <c r="O1436">
        <v>400706</v>
      </c>
      <c r="P1436" t="s">
        <v>546</v>
      </c>
      <c r="Q1436" t="s">
        <v>1761</v>
      </c>
      <c r="R1436" t="s">
        <v>2</v>
      </c>
      <c r="S1436">
        <v>33.9</v>
      </c>
      <c r="T1436">
        <v>5</v>
      </c>
      <c r="U1436">
        <v>0</v>
      </c>
      <c r="V1436">
        <v>15.593999999999999</v>
      </c>
      <c r="W1436">
        <f t="shared" si="91"/>
        <v>3.6611999999999996</v>
      </c>
      <c r="X1436">
        <v>3</v>
      </c>
    </row>
    <row r="1437" spans="1:24" x14ac:dyDescent="0.3">
      <c r="A1437">
        <v>1436</v>
      </c>
      <c r="B1437" t="s">
        <v>3191</v>
      </c>
      <c r="C1437" s="6">
        <v>45632</v>
      </c>
      <c r="D1437" t="str">
        <f t="shared" si="88"/>
        <v>Dec</v>
      </c>
      <c r="E1437" t="str">
        <f t="shared" si="89"/>
        <v>2024</v>
      </c>
      <c r="F1437" t="s">
        <v>4</v>
      </c>
      <c r="G1437" t="s">
        <v>468</v>
      </c>
      <c r="H1437" t="s">
        <v>1535</v>
      </c>
      <c r="I1437">
        <v>250</v>
      </c>
      <c r="J1437">
        <v>10</v>
      </c>
      <c r="K1437">
        <f t="shared" si="90"/>
        <v>4</v>
      </c>
      <c r="L1437" t="s">
        <v>1737</v>
      </c>
      <c r="M1437" t="s">
        <v>3808</v>
      </c>
      <c r="N1437" t="s">
        <v>1</v>
      </c>
      <c r="O1437">
        <v>500098</v>
      </c>
      <c r="P1437" t="s">
        <v>546</v>
      </c>
      <c r="Q1437" t="s">
        <v>1754</v>
      </c>
      <c r="S1437">
        <v>31.103999999999999</v>
      </c>
      <c r="T1437">
        <v>6</v>
      </c>
      <c r="U1437">
        <v>0.2</v>
      </c>
      <c r="V1437">
        <v>10.8864</v>
      </c>
      <c r="W1437">
        <f t="shared" si="91"/>
        <v>3.3695999999999997</v>
      </c>
      <c r="X1437">
        <v>4</v>
      </c>
    </row>
    <row r="1438" spans="1:24" x14ac:dyDescent="0.3">
      <c r="A1438">
        <v>1437</v>
      </c>
      <c r="B1438" t="s">
        <v>3192</v>
      </c>
      <c r="C1438" s="6">
        <v>45633</v>
      </c>
      <c r="D1438" t="str">
        <f t="shared" si="88"/>
        <v>Dec</v>
      </c>
      <c r="E1438" t="str">
        <f t="shared" si="89"/>
        <v>2024</v>
      </c>
      <c r="F1438" t="s">
        <v>4</v>
      </c>
      <c r="G1438" t="s">
        <v>468</v>
      </c>
      <c r="H1438" t="s">
        <v>1497</v>
      </c>
      <c r="I1438">
        <v>190</v>
      </c>
      <c r="J1438">
        <v>20</v>
      </c>
      <c r="K1438">
        <f t="shared" si="90"/>
        <v>10.526315789473683</v>
      </c>
      <c r="L1438" t="s">
        <v>1743</v>
      </c>
      <c r="M1438" t="s">
        <v>3809</v>
      </c>
      <c r="N1438" t="s">
        <v>1</v>
      </c>
      <c r="O1438">
        <v>797001</v>
      </c>
      <c r="P1438" t="s">
        <v>546</v>
      </c>
      <c r="Q1438" t="s">
        <v>1775</v>
      </c>
      <c r="S1438">
        <v>5.2480000000000002</v>
      </c>
      <c r="T1438">
        <v>2</v>
      </c>
      <c r="U1438">
        <v>0.2</v>
      </c>
      <c r="V1438">
        <v>0.59040000000000004</v>
      </c>
      <c r="W1438">
        <f t="shared" si="91"/>
        <v>2.3288000000000002</v>
      </c>
      <c r="X1438">
        <v>3</v>
      </c>
    </row>
    <row r="1439" spans="1:24" x14ac:dyDescent="0.3">
      <c r="A1439">
        <v>1438</v>
      </c>
      <c r="B1439" t="s">
        <v>3193</v>
      </c>
      <c r="C1439" s="6">
        <v>45634</v>
      </c>
      <c r="D1439" t="str">
        <f t="shared" si="88"/>
        <v>Dec</v>
      </c>
      <c r="E1439" t="str">
        <f t="shared" si="89"/>
        <v>2024</v>
      </c>
      <c r="F1439" t="s">
        <v>6</v>
      </c>
      <c r="G1439" t="s">
        <v>39</v>
      </c>
      <c r="H1439" t="s">
        <v>1536</v>
      </c>
      <c r="I1439">
        <v>110</v>
      </c>
      <c r="J1439">
        <v>18</v>
      </c>
      <c r="K1439">
        <f t="shared" si="90"/>
        <v>16.363636363636363</v>
      </c>
      <c r="L1439" t="s">
        <v>1738</v>
      </c>
      <c r="M1439" t="s">
        <v>3681</v>
      </c>
      <c r="N1439" t="s">
        <v>1</v>
      </c>
      <c r="O1439">
        <v>201010</v>
      </c>
      <c r="P1439" t="s">
        <v>546</v>
      </c>
      <c r="Q1439" t="s">
        <v>1765</v>
      </c>
      <c r="S1439">
        <v>263.88</v>
      </c>
      <c r="T1439">
        <v>3</v>
      </c>
      <c r="U1439">
        <v>0.2</v>
      </c>
      <c r="V1439">
        <v>42.880499999999998</v>
      </c>
      <c r="W1439">
        <f t="shared" si="91"/>
        <v>73.666499999999999</v>
      </c>
      <c r="X1439">
        <v>3</v>
      </c>
    </row>
    <row r="1440" spans="1:24" x14ac:dyDescent="0.3">
      <c r="A1440">
        <v>1439</v>
      </c>
      <c r="B1440" t="s">
        <v>3194</v>
      </c>
      <c r="C1440" s="6">
        <v>45635</v>
      </c>
      <c r="D1440" t="str">
        <f t="shared" si="88"/>
        <v>Dec</v>
      </c>
      <c r="E1440" t="str">
        <f t="shared" si="89"/>
        <v>2024</v>
      </c>
      <c r="F1440" t="s">
        <v>6</v>
      </c>
      <c r="G1440" t="s">
        <v>39</v>
      </c>
      <c r="H1440" t="s">
        <v>1030</v>
      </c>
      <c r="I1440">
        <v>140</v>
      </c>
      <c r="J1440">
        <v>28</v>
      </c>
      <c r="K1440">
        <f t="shared" si="90"/>
        <v>20</v>
      </c>
      <c r="L1440" t="s">
        <v>1739</v>
      </c>
      <c r="M1440" t="s">
        <v>3682</v>
      </c>
      <c r="N1440" t="s">
        <v>1</v>
      </c>
      <c r="O1440">
        <v>574104</v>
      </c>
      <c r="P1440" t="s">
        <v>546</v>
      </c>
      <c r="Q1440" t="s">
        <v>1758</v>
      </c>
      <c r="S1440">
        <v>2453.4299999999998</v>
      </c>
      <c r="T1440">
        <v>5</v>
      </c>
      <c r="U1440">
        <v>0.3</v>
      </c>
      <c r="V1440">
        <v>-350.49</v>
      </c>
      <c r="W1440">
        <f t="shared" si="91"/>
        <v>560.78399999999999</v>
      </c>
      <c r="X1440">
        <v>1</v>
      </c>
    </row>
    <row r="1441" spans="1:24" x14ac:dyDescent="0.3">
      <c r="A1441">
        <v>1440</v>
      </c>
      <c r="B1441" t="s">
        <v>3195</v>
      </c>
      <c r="C1441" s="6">
        <v>45636</v>
      </c>
      <c r="D1441" t="str">
        <f t="shared" si="88"/>
        <v>Dec</v>
      </c>
      <c r="E1441" t="str">
        <f t="shared" si="89"/>
        <v>2024</v>
      </c>
      <c r="F1441" t="s">
        <v>3</v>
      </c>
      <c r="G1441" t="s">
        <v>224</v>
      </c>
      <c r="H1441" t="s">
        <v>1537</v>
      </c>
      <c r="I1441">
        <v>240</v>
      </c>
      <c r="J1441">
        <v>30</v>
      </c>
      <c r="K1441">
        <f t="shared" si="90"/>
        <v>12.5</v>
      </c>
      <c r="L1441" t="s">
        <v>1741</v>
      </c>
      <c r="M1441" t="s">
        <v>3810</v>
      </c>
      <c r="N1441" t="s">
        <v>1</v>
      </c>
      <c r="O1441">
        <v>562122</v>
      </c>
      <c r="P1441" t="s">
        <v>546</v>
      </c>
      <c r="Q1441" t="s">
        <v>1770</v>
      </c>
      <c r="S1441">
        <v>29.7</v>
      </c>
      <c r="T1441">
        <v>5</v>
      </c>
      <c r="U1441">
        <v>0</v>
      </c>
      <c r="V1441">
        <v>13.365</v>
      </c>
      <c r="W1441">
        <f t="shared" si="91"/>
        <v>3.2670000000000003</v>
      </c>
      <c r="X1441">
        <v>3</v>
      </c>
    </row>
    <row r="1442" spans="1:24" x14ac:dyDescent="0.3">
      <c r="A1442">
        <v>1441</v>
      </c>
      <c r="B1442" t="s">
        <v>3196</v>
      </c>
      <c r="C1442" s="6">
        <v>45637</v>
      </c>
      <c r="D1442" t="str">
        <f t="shared" si="88"/>
        <v>Dec</v>
      </c>
      <c r="E1442" t="str">
        <f t="shared" si="89"/>
        <v>2024</v>
      </c>
      <c r="F1442" t="s">
        <v>3</v>
      </c>
      <c r="G1442" t="s">
        <v>224</v>
      </c>
      <c r="H1442" t="s">
        <v>1538</v>
      </c>
      <c r="I1442">
        <v>120</v>
      </c>
      <c r="J1442">
        <v>24</v>
      </c>
      <c r="K1442">
        <f t="shared" si="90"/>
        <v>20</v>
      </c>
      <c r="L1442" t="s">
        <v>1736</v>
      </c>
      <c r="M1442" t="s">
        <v>3673</v>
      </c>
      <c r="N1442" t="s">
        <v>1</v>
      </c>
      <c r="O1442">
        <v>400093</v>
      </c>
      <c r="P1442" t="s">
        <v>546</v>
      </c>
      <c r="Q1442" t="s">
        <v>1767</v>
      </c>
      <c r="S1442">
        <v>39.96</v>
      </c>
      <c r="T1442">
        <v>4</v>
      </c>
      <c r="U1442">
        <v>0</v>
      </c>
      <c r="V1442">
        <v>17.981999999999999</v>
      </c>
      <c r="W1442">
        <f t="shared" si="91"/>
        <v>5.4945000000000004</v>
      </c>
      <c r="X1442">
        <v>5</v>
      </c>
    </row>
    <row r="1443" spans="1:24" x14ac:dyDescent="0.3">
      <c r="A1443">
        <v>1442</v>
      </c>
      <c r="B1443" t="s">
        <v>3197</v>
      </c>
      <c r="C1443" s="6">
        <v>45638</v>
      </c>
      <c r="D1443" t="str">
        <f t="shared" si="88"/>
        <v>Dec</v>
      </c>
      <c r="E1443" t="str">
        <f t="shared" si="89"/>
        <v>2024</v>
      </c>
      <c r="F1443" t="s">
        <v>3</v>
      </c>
      <c r="G1443" t="s">
        <v>469</v>
      </c>
      <c r="H1443" t="s">
        <v>1257</v>
      </c>
      <c r="I1443">
        <v>130</v>
      </c>
      <c r="J1443">
        <v>18</v>
      </c>
      <c r="K1443">
        <f t="shared" si="90"/>
        <v>13.846153846153847</v>
      </c>
      <c r="L1443" t="s">
        <v>1744</v>
      </c>
      <c r="M1443" t="s">
        <v>3746</v>
      </c>
      <c r="O1443">
        <v>474009</v>
      </c>
      <c r="P1443" t="s">
        <v>546</v>
      </c>
      <c r="Q1443" t="s">
        <v>1766</v>
      </c>
      <c r="R1443" t="s">
        <v>2</v>
      </c>
      <c r="S1443">
        <v>36.671999999999997</v>
      </c>
      <c r="T1443">
        <v>2</v>
      </c>
      <c r="U1443">
        <v>0.2</v>
      </c>
      <c r="V1443">
        <v>11.46</v>
      </c>
      <c r="W1443">
        <f t="shared" si="91"/>
        <v>12.605999999999998</v>
      </c>
      <c r="X1443">
        <v>3</v>
      </c>
    </row>
    <row r="1444" spans="1:24" x14ac:dyDescent="0.3">
      <c r="A1444">
        <v>1443</v>
      </c>
      <c r="B1444" t="s">
        <v>3198</v>
      </c>
      <c r="C1444" s="6">
        <v>45639</v>
      </c>
      <c r="D1444" t="str">
        <f t="shared" si="88"/>
        <v>Dec</v>
      </c>
      <c r="E1444" t="str">
        <f t="shared" si="89"/>
        <v>2024</v>
      </c>
      <c r="F1444" t="s">
        <v>5</v>
      </c>
      <c r="G1444" t="s">
        <v>470</v>
      </c>
      <c r="H1444" t="s">
        <v>867</v>
      </c>
      <c r="I1444">
        <v>190</v>
      </c>
      <c r="J1444">
        <v>30</v>
      </c>
      <c r="K1444">
        <f t="shared" si="90"/>
        <v>15.789473684210526</v>
      </c>
      <c r="L1444" t="s">
        <v>1740</v>
      </c>
      <c r="M1444" t="s">
        <v>3811</v>
      </c>
      <c r="N1444" t="s">
        <v>1</v>
      </c>
      <c r="O1444">
        <v>411046</v>
      </c>
      <c r="P1444" t="s">
        <v>546</v>
      </c>
      <c r="Q1444" t="s">
        <v>1761</v>
      </c>
      <c r="R1444" t="s">
        <v>2</v>
      </c>
      <c r="S1444">
        <v>13.76</v>
      </c>
      <c r="T1444">
        <v>2</v>
      </c>
      <c r="U1444">
        <v>0</v>
      </c>
      <c r="V1444">
        <v>6.3296000000000001</v>
      </c>
      <c r="W1444">
        <f t="shared" si="91"/>
        <v>3.7151999999999998</v>
      </c>
      <c r="X1444">
        <v>2</v>
      </c>
    </row>
    <row r="1445" spans="1:24" x14ac:dyDescent="0.3">
      <c r="A1445">
        <v>1444</v>
      </c>
      <c r="B1445" t="s">
        <v>3199</v>
      </c>
      <c r="C1445" s="6">
        <v>45640</v>
      </c>
      <c r="D1445" t="str">
        <f t="shared" si="88"/>
        <v>Dec</v>
      </c>
      <c r="E1445" t="str">
        <f t="shared" si="89"/>
        <v>2024</v>
      </c>
      <c r="F1445" t="s">
        <v>4</v>
      </c>
      <c r="G1445" t="s">
        <v>471</v>
      </c>
      <c r="H1445" t="s">
        <v>670</v>
      </c>
      <c r="I1445">
        <v>140</v>
      </c>
      <c r="J1445">
        <v>6</v>
      </c>
      <c r="K1445">
        <f t="shared" si="90"/>
        <v>4.2857142857142856</v>
      </c>
      <c r="L1445" t="s">
        <v>1742</v>
      </c>
      <c r="M1445" t="s">
        <v>3656</v>
      </c>
      <c r="N1445" t="s">
        <v>1</v>
      </c>
      <c r="O1445">
        <v>462001</v>
      </c>
      <c r="P1445" t="s">
        <v>546</v>
      </c>
      <c r="Q1445" t="s">
        <v>1766</v>
      </c>
      <c r="S1445">
        <v>139.42400000000001</v>
      </c>
      <c r="T1445">
        <v>4</v>
      </c>
      <c r="U1445">
        <v>0.2</v>
      </c>
      <c r="V1445">
        <v>17.428000000000001</v>
      </c>
      <c r="W1445">
        <f t="shared" si="91"/>
        <v>30.499000000000002</v>
      </c>
      <c r="X1445">
        <v>1</v>
      </c>
    </row>
    <row r="1446" spans="1:24" x14ac:dyDescent="0.3">
      <c r="A1446">
        <v>1445</v>
      </c>
      <c r="B1446" t="s">
        <v>3200</v>
      </c>
      <c r="C1446" s="6">
        <v>45641</v>
      </c>
      <c r="D1446" t="str">
        <f t="shared" si="88"/>
        <v>Dec</v>
      </c>
      <c r="E1446" t="str">
        <f t="shared" si="89"/>
        <v>2024</v>
      </c>
      <c r="F1446" t="s">
        <v>4</v>
      </c>
      <c r="G1446" t="s">
        <v>114</v>
      </c>
      <c r="H1446" t="s">
        <v>1450</v>
      </c>
      <c r="I1446">
        <v>150</v>
      </c>
      <c r="J1446">
        <v>30</v>
      </c>
      <c r="K1446">
        <f t="shared" si="90"/>
        <v>20</v>
      </c>
      <c r="L1446" t="s">
        <v>1739</v>
      </c>
      <c r="M1446" t="s">
        <v>3637</v>
      </c>
      <c r="N1446" t="s">
        <v>1</v>
      </c>
      <c r="O1446">
        <v>786602</v>
      </c>
      <c r="P1446" t="s">
        <v>546</v>
      </c>
      <c r="Q1446" t="s">
        <v>1772</v>
      </c>
      <c r="R1446" t="s">
        <v>2</v>
      </c>
      <c r="S1446">
        <v>1979.9280000000001</v>
      </c>
      <c r="T1446">
        <v>9</v>
      </c>
      <c r="U1446">
        <v>0.2</v>
      </c>
      <c r="V1446">
        <v>148.49459999999999</v>
      </c>
      <c r="W1446">
        <f t="shared" si="91"/>
        <v>203.49260000000001</v>
      </c>
      <c r="X1446">
        <v>3</v>
      </c>
    </row>
    <row r="1447" spans="1:24" x14ac:dyDescent="0.3">
      <c r="A1447">
        <v>1446</v>
      </c>
      <c r="B1447" t="s">
        <v>3201</v>
      </c>
      <c r="C1447" s="6">
        <v>45642</v>
      </c>
      <c r="D1447" t="str">
        <f t="shared" si="88"/>
        <v>Dec</v>
      </c>
      <c r="E1447" t="str">
        <f t="shared" si="89"/>
        <v>2024</v>
      </c>
      <c r="F1447" t="s">
        <v>5</v>
      </c>
      <c r="G1447" t="s">
        <v>181</v>
      </c>
      <c r="H1447" t="s">
        <v>779</v>
      </c>
      <c r="I1447">
        <v>130</v>
      </c>
      <c r="J1447">
        <v>26</v>
      </c>
      <c r="K1447">
        <f t="shared" si="90"/>
        <v>20</v>
      </c>
      <c r="L1447" t="s">
        <v>1738</v>
      </c>
      <c r="M1447" t="s">
        <v>3812</v>
      </c>
      <c r="N1447" t="s">
        <v>1</v>
      </c>
      <c r="O1447">
        <v>600044</v>
      </c>
      <c r="P1447" t="s">
        <v>546</v>
      </c>
      <c r="Q1447" t="s">
        <v>1761</v>
      </c>
      <c r="S1447">
        <v>164.73599999999999</v>
      </c>
      <c r="T1447">
        <v>4</v>
      </c>
      <c r="U1447">
        <v>0.2</v>
      </c>
      <c r="V1447">
        <v>-39.1248</v>
      </c>
      <c r="W1447">
        <f t="shared" si="91"/>
        <v>50.965199999999996</v>
      </c>
      <c r="X1447">
        <v>1</v>
      </c>
    </row>
    <row r="1448" spans="1:24" x14ac:dyDescent="0.3">
      <c r="A1448">
        <v>1447</v>
      </c>
      <c r="B1448" t="s">
        <v>3202</v>
      </c>
      <c r="C1448" s="6">
        <v>45643</v>
      </c>
      <c r="D1448" t="str">
        <f t="shared" si="88"/>
        <v>Dec</v>
      </c>
      <c r="E1448" t="str">
        <f t="shared" si="89"/>
        <v>2024</v>
      </c>
      <c r="F1448" t="s">
        <v>5</v>
      </c>
      <c r="G1448" t="s">
        <v>181</v>
      </c>
      <c r="H1448" t="s">
        <v>1539</v>
      </c>
      <c r="I1448">
        <v>230</v>
      </c>
      <c r="J1448">
        <v>10</v>
      </c>
      <c r="K1448">
        <f t="shared" si="90"/>
        <v>4.3478260869565215</v>
      </c>
      <c r="L1448" t="s">
        <v>1737</v>
      </c>
      <c r="M1448" t="s">
        <v>3813</v>
      </c>
      <c r="O1448">
        <v>400093</v>
      </c>
      <c r="P1448" t="s">
        <v>546</v>
      </c>
      <c r="Q1448" t="s">
        <v>1758</v>
      </c>
      <c r="R1448" t="s">
        <v>2</v>
      </c>
      <c r="S1448">
        <v>470.30200000000002</v>
      </c>
      <c r="T1448">
        <v>7</v>
      </c>
      <c r="U1448">
        <v>0.3</v>
      </c>
      <c r="V1448">
        <v>-87.341800000000006</v>
      </c>
      <c r="W1448">
        <f t="shared" si="91"/>
        <v>79.66340000000001</v>
      </c>
      <c r="X1448">
        <v>2</v>
      </c>
    </row>
    <row r="1449" spans="1:24" x14ac:dyDescent="0.3">
      <c r="A1449">
        <v>1448</v>
      </c>
      <c r="B1449" t="s">
        <v>3203</v>
      </c>
      <c r="C1449" s="6">
        <v>45644</v>
      </c>
      <c r="D1449" t="str">
        <f t="shared" si="88"/>
        <v>Dec</v>
      </c>
      <c r="E1449" t="str">
        <f t="shared" si="89"/>
        <v>2024</v>
      </c>
      <c r="F1449" t="s">
        <v>5</v>
      </c>
      <c r="G1449" t="s">
        <v>181</v>
      </c>
      <c r="H1449" t="s">
        <v>1540</v>
      </c>
      <c r="I1449">
        <v>140</v>
      </c>
      <c r="J1449">
        <v>16</v>
      </c>
      <c r="K1449">
        <f t="shared" si="90"/>
        <v>11.428571428571429</v>
      </c>
      <c r="L1449" t="s">
        <v>1743</v>
      </c>
      <c r="M1449" t="s">
        <v>3610</v>
      </c>
      <c r="N1449" t="s">
        <v>1</v>
      </c>
      <c r="O1449">
        <v>560077</v>
      </c>
      <c r="P1449" t="s">
        <v>546</v>
      </c>
      <c r="Q1449" t="s">
        <v>1771</v>
      </c>
      <c r="S1449">
        <v>47.984000000000002</v>
      </c>
      <c r="T1449">
        <v>2</v>
      </c>
      <c r="U1449">
        <v>0.2</v>
      </c>
      <c r="V1449">
        <v>5.9980000000000002</v>
      </c>
      <c r="W1449">
        <f t="shared" si="91"/>
        <v>20.993000000000002</v>
      </c>
      <c r="X1449">
        <v>5</v>
      </c>
    </row>
    <row r="1450" spans="1:24" x14ac:dyDescent="0.3">
      <c r="A1450">
        <v>1449</v>
      </c>
      <c r="B1450" t="s">
        <v>3204</v>
      </c>
      <c r="C1450" s="6">
        <v>45645</v>
      </c>
      <c r="D1450" t="str">
        <f t="shared" si="88"/>
        <v>Dec</v>
      </c>
      <c r="E1450" t="str">
        <f t="shared" si="89"/>
        <v>2024</v>
      </c>
      <c r="F1450" t="s">
        <v>5</v>
      </c>
      <c r="G1450" t="s">
        <v>385</v>
      </c>
      <c r="H1450" t="s">
        <v>1541</v>
      </c>
      <c r="I1450">
        <v>230</v>
      </c>
      <c r="J1450">
        <v>16</v>
      </c>
      <c r="K1450">
        <f t="shared" si="90"/>
        <v>6.9565217391304346</v>
      </c>
      <c r="L1450" t="s">
        <v>1738</v>
      </c>
      <c r="M1450" t="s">
        <v>3814</v>
      </c>
      <c r="N1450" t="s">
        <v>1</v>
      </c>
      <c r="O1450">
        <v>400059</v>
      </c>
      <c r="P1450" t="s">
        <v>546</v>
      </c>
      <c r="Q1450" t="s">
        <v>1772</v>
      </c>
      <c r="S1450">
        <v>2.5019999999999998</v>
      </c>
      <c r="T1450">
        <v>3</v>
      </c>
      <c r="U1450">
        <v>0.7</v>
      </c>
      <c r="V1450">
        <v>-1.7514000000000001</v>
      </c>
      <c r="W1450">
        <f t="shared" si="91"/>
        <v>1.4177999999999999</v>
      </c>
      <c r="X1450">
        <v>3</v>
      </c>
    </row>
    <row r="1451" spans="1:24" x14ac:dyDescent="0.3">
      <c r="A1451">
        <v>1450</v>
      </c>
      <c r="B1451" t="s">
        <v>3205</v>
      </c>
      <c r="C1451" s="6">
        <v>45646</v>
      </c>
      <c r="D1451" t="str">
        <f t="shared" si="88"/>
        <v>Dec</v>
      </c>
      <c r="E1451" t="str">
        <f t="shared" si="89"/>
        <v>2024</v>
      </c>
      <c r="F1451" t="s">
        <v>4</v>
      </c>
      <c r="G1451" t="s">
        <v>87</v>
      </c>
      <c r="H1451" t="s">
        <v>1542</v>
      </c>
      <c r="I1451">
        <v>250</v>
      </c>
      <c r="J1451">
        <v>22</v>
      </c>
      <c r="K1451">
        <f t="shared" si="90"/>
        <v>8.7999999999999989</v>
      </c>
      <c r="L1451" t="s">
        <v>1739</v>
      </c>
      <c r="M1451" t="s">
        <v>3707</v>
      </c>
      <c r="N1451" t="s">
        <v>1</v>
      </c>
      <c r="O1451">
        <v>121004</v>
      </c>
      <c r="P1451" t="s">
        <v>546</v>
      </c>
      <c r="Q1451" t="s">
        <v>1776</v>
      </c>
      <c r="S1451">
        <v>88.751999999999995</v>
      </c>
      <c r="T1451">
        <v>3</v>
      </c>
      <c r="U1451">
        <v>0.2</v>
      </c>
      <c r="V1451">
        <v>11.093999999999999</v>
      </c>
      <c r="W1451">
        <f t="shared" si="91"/>
        <v>25.885999999999999</v>
      </c>
      <c r="X1451">
        <v>2</v>
      </c>
    </row>
    <row r="1452" spans="1:24" x14ac:dyDescent="0.3">
      <c r="A1452">
        <v>1451</v>
      </c>
      <c r="B1452" t="s">
        <v>3206</v>
      </c>
      <c r="C1452" s="6">
        <v>45647</v>
      </c>
      <c r="D1452" t="str">
        <f t="shared" si="88"/>
        <v>Dec</v>
      </c>
      <c r="E1452" t="str">
        <f t="shared" si="89"/>
        <v>2024</v>
      </c>
      <c r="F1452" t="s">
        <v>5</v>
      </c>
      <c r="G1452" t="s">
        <v>472</v>
      </c>
      <c r="H1452" t="s">
        <v>1543</v>
      </c>
      <c r="I1452">
        <v>150</v>
      </c>
      <c r="J1452">
        <v>6</v>
      </c>
      <c r="K1452">
        <f t="shared" si="90"/>
        <v>4</v>
      </c>
      <c r="L1452" t="s">
        <v>1741</v>
      </c>
      <c r="M1452" t="s">
        <v>3815</v>
      </c>
      <c r="N1452" t="s">
        <v>1</v>
      </c>
      <c r="O1452">
        <v>614904</v>
      </c>
      <c r="P1452" t="s">
        <v>546</v>
      </c>
      <c r="Q1452" t="s">
        <v>1759</v>
      </c>
      <c r="S1452">
        <v>2.0249999999999999</v>
      </c>
      <c r="T1452">
        <v>1</v>
      </c>
      <c r="U1452">
        <v>0.7</v>
      </c>
      <c r="V1452">
        <v>-1.35</v>
      </c>
      <c r="W1452">
        <f t="shared" si="91"/>
        <v>3.375</v>
      </c>
      <c r="X1452">
        <v>1</v>
      </c>
    </row>
    <row r="1453" spans="1:24" x14ac:dyDescent="0.3">
      <c r="A1453">
        <v>1452</v>
      </c>
      <c r="B1453" t="s">
        <v>3207</v>
      </c>
      <c r="C1453" s="6">
        <v>45648</v>
      </c>
      <c r="D1453" t="str">
        <f t="shared" si="88"/>
        <v>Dec</v>
      </c>
      <c r="E1453" t="str">
        <f t="shared" si="89"/>
        <v>2024</v>
      </c>
      <c r="F1453" t="s">
        <v>5</v>
      </c>
      <c r="G1453" t="s">
        <v>473</v>
      </c>
      <c r="H1453" t="s">
        <v>1432</v>
      </c>
      <c r="I1453">
        <v>100</v>
      </c>
      <c r="J1453">
        <v>8</v>
      </c>
      <c r="K1453">
        <f t="shared" si="90"/>
        <v>8</v>
      </c>
      <c r="L1453" t="s">
        <v>1736</v>
      </c>
      <c r="M1453" t="s">
        <v>3653</v>
      </c>
      <c r="N1453" t="s">
        <v>1</v>
      </c>
      <c r="O1453">
        <v>360311</v>
      </c>
      <c r="P1453" t="s">
        <v>546</v>
      </c>
      <c r="Q1453" t="s">
        <v>1759</v>
      </c>
      <c r="S1453">
        <v>70.98</v>
      </c>
      <c r="T1453">
        <v>7</v>
      </c>
      <c r="U1453">
        <v>0</v>
      </c>
      <c r="V1453">
        <v>34.780200000000001</v>
      </c>
      <c r="W1453">
        <f t="shared" si="91"/>
        <v>5.1714000000000002</v>
      </c>
      <c r="X1453">
        <v>4</v>
      </c>
    </row>
    <row r="1454" spans="1:24" x14ac:dyDescent="0.3">
      <c r="A1454">
        <v>1453</v>
      </c>
      <c r="B1454" t="s">
        <v>3208</v>
      </c>
      <c r="C1454" s="6">
        <v>45649</v>
      </c>
      <c r="D1454" t="str">
        <f t="shared" si="88"/>
        <v>Dec</v>
      </c>
      <c r="E1454" t="str">
        <f t="shared" si="89"/>
        <v>2024</v>
      </c>
      <c r="F1454" t="s">
        <v>5</v>
      </c>
      <c r="G1454" t="s">
        <v>473</v>
      </c>
      <c r="H1454" t="s">
        <v>1544</v>
      </c>
      <c r="I1454">
        <v>130</v>
      </c>
      <c r="J1454">
        <v>18</v>
      </c>
      <c r="K1454">
        <f t="shared" si="90"/>
        <v>13.846153846153847</v>
      </c>
      <c r="L1454" t="s">
        <v>1744</v>
      </c>
      <c r="M1454" t="s">
        <v>3585</v>
      </c>
      <c r="N1454" t="s">
        <v>1</v>
      </c>
      <c r="O1454">
        <v>273008</v>
      </c>
      <c r="P1454" t="s">
        <v>546</v>
      </c>
      <c r="Q1454" t="s">
        <v>1775</v>
      </c>
      <c r="S1454">
        <v>91.68</v>
      </c>
      <c r="T1454">
        <v>3</v>
      </c>
      <c r="U1454">
        <v>0</v>
      </c>
      <c r="V1454">
        <v>45.84</v>
      </c>
      <c r="W1454">
        <f t="shared" si="91"/>
        <v>15.280000000000001</v>
      </c>
      <c r="X1454">
        <v>1</v>
      </c>
    </row>
    <row r="1455" spans="1:24" x14ac:dyDescent="0.3">
      <c r="A1455">
        <v>1454</v>
      </c>
      <c r="B1455" t="s">
        <v>3209</v>
      </c>
      <c r="C1455" s="6">
        <v>45650</v>
      </c>
      <c r="D1455" t="str">
        <f t="shared" si="88"/>
        <v>Dec</v>
      </c>
      <c r="E1455" t="str">
        <f t="shared" si="89"/>
        <v>2024</v>
      </c>
      <c r="F1455" t="s">
        <v>5</v>
      </c>
      <c r="G1455" t="s">
        <v>473</v>
      </c>
      <c r="H1455" t="s">
        <v>1543</v>
      </c>
      <c r="I1455">
        <v>210</v>
      </c>
      <c r="J1455">
        <v>30</v>
      </c>
      <c r="K1455">
        <f t="shared" si="90"/>
        <v>14.285714285714285</v>
      </c>
      <c r="L1455" t="s">
        <v>1740</v>
      </c>
      <c r="M1455" t="s">
        <v>3714</v>
      </c>
      <c r="N1455" t="s">
        <v>1</v>
      </c>
      <c r="O1455">
        <v>500032</v>
      </c>
      <c r="P1455" t="s">
        <v>546</v>
      </c>
      <c r="Q1455" t="s">
        <v>1762</v>
      </c>
      <c r="S1455">
        <v>33.75</v>
      </c>
      <c r="T1455">
        <v>5</v>
      </c>
      <c r="U1455">
        <v>0</v>
      </c>
      <c r="V1455">
        <v>16.875</v>
      </c>
      <c r="W1455">
        <f t="shared" si="91"/>
        <v>3.375</v>
      </c>
      <c r="X1455">
        <v>5</v>
      </c>
    </row>
    <row r="1456" spans="1:24" x14ac:dyDescent="0.3">
      <c r="A1456">
        <v>1455</v>
      </c>
      <c r="B1456" t="s">
        <v>3210</v>
      </c>
      <c r="C1456" s="6">
        <v>45651</v>
      </c>
      <c r="D1456" t="str">
        <f t="shared" si="88"/>
        <v>Dec</v>
      </c>
      <c r="E1456" t="str">
        <f t="shared" si="89"/>
        <v>2024</v>
      </c>
      <c r="F1456" t="s">
        <v>5</v>
      </c>
      <c r="G1456" t="s">
        <v>473</v>
      </c>
      <c r="H1456" t="s">
        <v>1545</v>
      </c>
      <c r="I1456">
        <v>170</v>
      </c>
      <c r="J1456">
        <v>10</v>
      </c>
      <c r="K1456">
        <f t="shared" si="90"/>
        <v>5.8823529411764701</v>
      </c>
      <c r="L1456" t="s">
        <v>1742</v>
      </c>
      <c r="M1456" t="s">
        <v>3816</v>
      </c>
      <c r="N1456" t="s">
        <v>1</v>
      </c>
      <c r="O1456">
        <v>411015</v>
      </c>
      <c r="P1456" t="s">
        <v>546</v>
      </c>
      <c r="Q1456" t="s">
        <v>1773</v>
      </c>
      <c r="S1456">
        <v>3040</v>
      </c>
      <c r="T1456">
        <v>8</v>
      </c>
      <c r="U1456">
        <v>0</v>
      </c>
      <c r="V1456">
        <v>1459.2</v>
      </c>
      <c r="W1456">
        <f t="shared" si="91"/>
        <v>197.6</v>
      </c>
      <c r="X1456">
        <v>2</v>
      </c>
    </row>
    <row r="1457" spans="1:24" x14ac:dyDescent="0.3">
      <c r="A1457">
        <v>1456</v>
      </c>
      <c r="B1457" t="s">
        <v>3211</v>
      </c>
      <c r="C1457" s="6">
        <v>45652</v>
      </c>
      <c r="D1457" t="str">
        <f t="shared" si="88"/>
        <v>Dec</v>
      </c>
      <c r="E1457" t="str">
        <f t="shared" si="89"/>
        <v>2024</v>
      </c>
      <c r="F1457" t="s">
        <v>4</v>
      </c>
      <c r="G1457" t="s">
        <v>474</v>
      </c>
      <c r="H1457" t="s">
        <v>1546</v>
      </c>
      <c r="I1457">
        <v>220</v>
      </c>
      <c r="J1457">
        <v>24</v>
      </c>
      <c r="K1457">
        <f t="shared" si="90"/>
        <v>10.909090909090908</v>
      </c>
      <c r="L1457" t="s">
        <v>1739</v>
      </c>
      <c r="M1457" t="s">
        <v>3657</v>
      </c>
      <c r="N1457" t="s">
        <v>1</v>
      </c>
      <c r="O1457">
        <v>560004</v>
      </c>
      <c r="P1457" t="s">
        <v>546</v>
      </c>
      <c r="Q1457" t="s">
        <v>1759</v>
      </c>
      <c r="S1457">
        <v>91.2</v>
      </c>
      <c r="T1457">
        <v>3</v>
      </c>
      <c r="U1457">
        <v>0</v>
      </c>
      <c r="V1457">
        <v>41.951999999999998</v>
      </c>
      <c r="W1457">
        <f t="shared" si="91"/>
        <v>16.416</v>
      </c>
      <c r="X1457">
        <v>5</v>
      </c>
    </row>
    <row r="1458" spans="1:24" x14ac:dyDescent="0.3">
      <c r="A1458">
        <v>1457</v>
      </c>
      <c r="B1458" t="s">
        <v>3212</v>
      </c>
      <c r="C1458" s="6">
        <v>45653</v>
      </c>
      <c r="D1458" t="str">
        <f t="shared" si="88"/>
        <v>Dec</v>
      </c>
      <c r="E1458" t="str">
        <f t="shared" si="89"/>
        <v>2024</v>
      </c>
      <c r="F1458" t="s">
        <v>4</v>
      </c>
      <c r="G1458" t="s">
        <v>474</v>
      </c>
      <c r="H1458" t="s">
        <v>1547</v>
      </c>
      <c r="I1458">
        <v>180</v>
      </c>
      <c r="J1458">
        <v>18</v>
      </c>
      <c r="K1458">
        <f t="shared" si="90"/>
        <v>10</v>
      </c>
      <c r="L1458" t="s">
        <v>1738</v>
      </c>
      <c r="M1458" t="s">
        <v>3817</v>
      </c>
      <c r="N1458" t="s">
        <v>1</v>
      </c>
      <c r="O1458">
        <v>390020</v>
      </c>
      <c r="P1458" t="s">
        <v>546</v>
      </c>
      <c r="Q1458" t="s">
        <v>1759</v>
      </c>
      <c r="R1458" t="s">
        <v>2</v>
      </c>
      <c r="S1458">
        <v>452.94</v>
      </c>
      <c r="T1458">
        <v>3</v>
      </c>
      <c r="U1458">
        <v>0</v>
      </c>
      <c r="V1458">
        <v>67.941000000000003</v>
      </c>
      <c r="W1458">
        <f t="shared" si="91"/>
        <v>128.333</v>
      </c>
      <c r="X1458">
        <v>4</v>
      </c>
    </row>
    <row r="1459" spans="1:24" x14ac:dyDescent="0.3">
      <c r="A1459">
        <v>1458</v>
      </c>
      <c r="B1459" t="s">
        <v>1849</v>
      </c>
      <c r="C1459" s="6">
        <v>45654</v>
      </c>
      <c r="D1459" t="str">
        <f t="shared" si="88"/>
        <v>Dec</v>
      </c>
      <c r="E1459" t="str">
        <f t="shared" si="89"/>
        <v>2024</v>
      </c>
      <c r="F1459" t="s">
        <v>4</v>
      </c>
      <c r="G1459" t="s">
        <v>471</v>
      </c>
      <c r="H1459" t="s">
        <v>873</v>
      </c>
      <c r="I1459">
        <v>180</v>
      </c>
      <c r="J1459">
        <v>26</v>
      </c>
      <c r="K1459">
        <f t="shared" si="90"/>
        <v>14.444444444444443</v>
      </c>
      <c r="L1459" t="s">
        <v>1737</v>
      </c>
      <c r="M1459" t="s">
        <v>3880</v>
      </c>
      <c r="O1459">
        <v>500097</v>
      </c>
      <c r="P1459" t="s">
        <v>546</v>
      </c>
      <c r="Q1459" t="s">
        <v>1768</v>
      </c>
      <c r="R1459" t="s">
        <v>2</v>
      </c>
      <c r="S1459">
        <v>52.2</v>
      </c>
      <c r="T1459">
        <v>9</v>
      </c>
      <c r="U1459">
        <v>0</v>
      </c>
      <c r="V1459">
        <v>23.49</v>
      </c>
      <c r="W1459">
        <f t="shared" si="91"/>
        <v>3.1900000000000004</v>
      </c>
      <c r="X1459">
        <v>3</v>
      </c>
    </row>
    <row r="1460" spans="1:24" x14ac:dyDescent="0.3">
      <c r="A1460">
        <v>1459</v>
      </c>
      <c r="B1460" t="s">
        <v>3213</v>
      </c>
      <c r="C1460" s="6">
        <v>45655</v>
      </c>
      <c r="D1460" t="str">
        <f t="shared" si="88"/>
        <v>Dec</v>
      </c>
      <c r="E1460" t="str">
        <f t="shared" si="89"/>
        <v>2024</v>
      </c>
      <c r="F1460" t="s">
        <v>4</v>
      </c>
      <c r="G1460" t="s">
        <v>475</v>
      </c>
      <c r="H1460" t="s">
        <v>1186</v>
      </c>
      <c r="I1460">
        <v>240</v>
      </c>
      <c r="J1460">
        <v>18</v>
      </c>
      <c r="K1460">
        <f t="shared" si="90"/>
        <v>7.5</v>
      </c>
      <c r="L1460" t="s">
        <v>1743</v>
      </c>
      <c r="M1460" t="s">
        <v>3881</v>
      </c>
      <c r="N1460" t="s">
        <v>1</v>
      </c>
      <c r="O1460">
        <v>226022</v>
      </c>
      <c r="P1460" t="s">
        <v>546</v>
      </c>
      <c r="Q1460" t="s">
        <v>1760</v>
      </c>
      <c r="R1460" t="s">
        <v>2</v>
      </c>
      <c r="S1460">
        <v>15.936</v>
      </c>
      <c r="T1460">
        <v>4</v>
      </c>
      <c r="U1460">
        <v>0.2</v>
      </c>
      <c r="V1460">
        <v>5.1791999999999998</v>
      </c>
      <c r="W1460">
        <f t="shared" si="91"/>
        <v>2.6892</v>
      </c>
      <c r="X1460">
        <v>2</v>
      </c>
    </row>
    <row r="1461" spans="1:24" x14ac:dyDescent="0.3">
      <c r="A1461">
        <v>1460</v>
      </c>
      <c r="B1461" t="s">
        <v>3214</v>
      </c>
      <c r="C1461" s="6">
        <v>45656</v>
      </c>
      <c r="D1461" t="str">
        <f t="shared" si="88"/>
        <v>Dec</v>
      </c>
      <c r="E1461" t="str">
        <f t="shared" si="89"/>
        <v>2024</v>
      </c>
      <c r="F1461" t="s">
        <v>6</v>
      </c>
      <c r="G1461" t="s">
        <v>11</v>
      </c>
      <c r="H1461" t="s">
        <v>1548</v>
      </c>
      <c r="I1461">
        <v>250</v>
      </c>
      <c r="J1461">
        <v>22</v>
      </c>
      <c r="K1461">
        <f t="shared" si="90"/>
        <v>8.7999999999999989</v>
      </c>
      <c r="L1461" t="s">
        <v>1738</v>
      </c>
      <c r="M1461" t="s">
        <v>3882</v>
      </c>
      <c r="N1461" t="s">
        <v>1</v>
      </c>
      <c r="O1461">
        <v>226022</v>
      </c>
      <c r="P1461" t="s">
        <v>546</v>
      </c>
      <c r="Q1461" t="s">
        <v>1774</v>
      </c>
      <c r="S1461">
        <v>27.46</v>
      </c>
      <c r="T1461">
        <v>2</v>
      </c>
      <c r="U1461">
        <v>0</v>
      </c>
      <c r="V1461">
        <v>9.8856000000000002</v>
      </c>
      <c r="W1461">
        <f t="shared" si="91"/>
        <v>8.7872000000000003</v>
      </c>
      <c r="X1461">
        <v>1</v>
      </c>
    </row>
    <row r="1462" spans="1:24" x14ac:dyDescent="0.3">
      <c r="A1462">
        <v>1461</v>
      </c>
      <c r="B1462" t="s">
        <v>3215</v>
      </c>
      <c r="C1462" s="6">
        <v>45657</v>
      </c>
      <c r="D1462" t="str">
        <f t="shared" si="88"/>
        <v>Dec</v>
      </c>
      <c r="E1462" t="str">
        <f t="shared" si="89"/>
        <v>2024</v>
      </c>
      <c r="F1462" t="s">
        <v>4</v>
      </c>
      <c r="G1462" t="s">
        <v>102</v>
      </c>
      <c r="H1462" t="s">
        <v>1549</v>
      </c>
      <c r="I1462">
        <v>120</v>
      </c>
      <c r="J1462">
        <v>22</v>
      </c>
      <c r="K1462">
        <f t="shared" si="90"/>
        <v>18.333333333333332</v>
      </c>
      <c r="L1462" t="s">
        <v>1739</v>
      </c>
      <c r="M1462" t="s">
        <v>3883</v>
      </c>
      <c r="N1462" t="s">
        <v>1</v>
      </c>
      <c r="O1462">
        <v>226022</v>
      </c>
      <c r="P1462" t="s">
        <v>546</v>
      </c>
      <c r="Q1462" t="s">
        <v>1764</v>
      </c>
      <c r="S1462">
        <v>55.423999999999999</v>
      </c>
      <c r="T1462">
        <v>2</v>
      </c>
      <c r="U1462">
        <v>0.2</v>
      </c>
      <c r="V1462">
        <v>19.398399999999999</v>
      </c>
      <c r="W1462">
        <f t="shared" si="91"/>
        <v>18.012799999999999</v>
      </c>
      <c r="X1462">
        <v>1</v>
      </c>
    </row>
    <row r="1463" spans="1:24" x14ac:dyDescent="0.3">
      <c r="A1463">
        <v>1462</v>
      </c>
      <c r="B1463" t="s">
        <v>3216</v>
      </c>
      <c r="C1463" s="6">
        <v>45658</v>
      </c>
      <c r="D1463" t="str">
        <f t="shared" si="88"/>
        <v>Jan</v>
      </c>
      <c r="E1463" t="str">
        <f t="shared" si="89"/>
        <v>2025</v>
      </c>
      <c r="F1463" t="s">
        <v>4</v>
      </c>
      <c r="G1463" t="s">
        <v>476</v>
      </c>
      <c r="H1463" t="s">
        <v>1163</v>
      </c>
      <c r="I1463">
        <v>220</v>
      </c>
      <c r="J1463">
        <v>6</v>
      </c>
      <c r="K1463">
        <f t="shared" si="90"/>
        <v>2.7272727272727271</v>
      </c>
      <c r="L1463" t="s">
        <v>1741</v>
      </c>
      <c r="M1463" t="s">
        <v>3884</v>
      </c>
      <c r="N1463" t="s">
        <v>1</v>
      </c>
      <c r="O1463">
        <v>226022</v>
      </c>
      <c r="P1463" t="s">
        <v>546</v>
      </c>
      <c r="Q1463" t="s">
        <v>1768</v>
      </c>
      <c r="S1463">
        <v>244.006</v>
      </c>
      <c r="T1463">
        <v>2</v>
      </c>
      <c r="U1463">
        <v>0.3</v>
      </c>
      <c r="V1463">
        <v>-31.372199999999999</v>
      </c>
      <c r="W1463">
        <f t="shared" si="91"/>
        <v>137.6891</v>
      </c>
      <c r="X1463">
        <v>5</v>
      </c>
    </row>
    <row r="1464" spans="1:24" x14ac:dyDescent="0.3">
      <c r="A1464">
        <v>1463</v>
      </c>
      <c r="B1464" t="s">
        <v>3217</v>
      </c>
      <c r="C1464" s="6">
        <v>45659</v>
      </c>
      <c r="D1464" t="str">
        <f t="shared" si="88"/>
        <v>Jan</v>
      </c>
      <c r="E1464" t="str">
        <f t="shared" si="89"/>
        <v>2025</v>
      </c>
      <c r="F1464" t="s">
        <v>5</v>
      </c>
      <c r="G1464" t="s">
        <v>25</v>
      </c>
      <c r="H1464" t="s">
        <v>956</v>
      </c>
      <c r="I1464">
        <v>240</v>
      </c>
      <c r="J1464">
        <v>14</v>
      </c>
      <c r="K1464">
        <f t="shared" si="90"/>
        <v>5.833333333333333</v>
      </c>
      <c r="L1464" t="s">
        <v>1736</v>
      </c>
      <c r="M1464" t="s">
        <v>3885</v>
      </c>
      <c r="N1464" t="s">
        <v>1</v>
      </c>
      <c r="O1464">
        <v>226022</v>
      </c>
      <c r="P1464" t="s">
        <v>546</v>
      </c>
      <c r="Q1464" t="s">
        <v>1775</v>
      </c>
      <c r="S1464">
        <v>159.98400000000001</v>
      </c>
      <c r="T1464">
        <v>2</v>
      </c>
      <c r="U1464">
        <v>0.2</v>
      </c>
      <c r="V1464">
        <v>43.995600000000003</v>
      </c>
      <c r="W1464">
        <f t="shared" si="91"/>
        <v>57.994200000000006</v>
      </c>
      <c r="X1464">
        <v>2</v>
      </c>
    </row>
    <row r="1465" spans="1:24" x14ac:dyDescent="0.3">
      <c r="A1465">
        <v>1464</v>
      </c>
      <c r="B1465" t="s">
        <v>3218</v>
      </c>
      <c r="C1465" s="6">
        <v>45660</v>
      </c>
      <c r="D1465" t="str">
        <f t="shared" si="88"/>
        <v>Jan</v>
      </c>
      <c r="E1465" t="str">
        <f t="shared" si="89"/>
        <v>2025</v>
      </c>
      <c r="F1465" t="s">
        <v>5</v>
      </c>
      <c r="G1465" t="s">
        <v>25</v>
      </c>
      <c r="H1465" t="s">
        <v>1403</v>
      </c>
      <c r="I1465">
        <v>160</v>
      </c>
      <c r="J1465">
        <v>22</v>
      </c>
      <c r="K1465">
        <f t="shared" si="90"/>
        <v>13.750000000000002</v>
      </c>
      <c r="L1465" t="s">
        <v>1744</v>
      </c>
      <c r="M1465" t="s">
        <v>3886</v>
      </c>
      <c r="N1465" t="s">
        <v>1</v>
      </c>
      <c r="O1465">
        <v>753001</v>
      </c>
      <c r="P1465" t="s">
        <v>546</v>
      </c>
      <c r="Q1465" t="s">
        <v>1773</v>
      </c>
      <c r="S1465">
        <v>1024.7159999999999</v>
      </c>
      <c r="T1465">
        <v>6</v>
      </c>
      <c r="U1465">
        <v>0.3</v>
      </c>
      <c r="V1465">
        <v>-29.2776</v>
      </c>
      <c r="W1465">
        <f t="shared" si="91"/>
        <v>175.66559999999996</v>
      </c>
      <c r="X1465">
        <v>5</v>
      </c>
    </row>
    <row r="1466" spans="1:24" x14ac:dyDescent="0.3">
      <c r="A1466">
        <v>1465</v>
      </c>
      <c r="B1466" t="s">
        <v>3219</v>
      </c>
      <c r="C1466" s="6">
        <v>45661</v>
      </c>
      <c r="D1466" t="str">
        <f t="shared" si="88"/>
        <v>Jan</v>
      </c>
      <c r="E1466" t="str">
        <f t="shared" si="89"/>
        <v>2025</v>
      </c>
      <c r="F1466" t="s">
        <v>5</v>
      </c>
      <c r="G1466" t="s">
        <v>477</v>
      </c>
      <c r="H1466" t="s">
        <v>1348</v>
      </c>
      <c r="I1466">
        <v>130</v>
      </c>
      <c r="J1466">
        <v>24</v>
      </c>
      <c r="K1466">
        <f t="shared" si="90"/>
        <v>18.461538461538463</v>
      </c>
      <c r="L1466" t="s">
        <v>1740</v>
      </c>
      <c r="M1466" t="s">
        <v>3887</v>
      </c>
      <c r="N1466" t="s">
        <v>1</v>
      </c>
      <c r="O1466">
        <v>695543</v>
      </c>
      <c r="P1466" t="s">
        <v>546</v>
      </c>
      <c r="Q1466" t="s">
        <v>1757</v>
      </c>
      <c r="S1466">
        <v>3.68</v>
      </c>
      <c r="T1466">
        <v>2</v>
      </c>
      <c r="U1466">
        <v>0</v>
      </c>
      <c r="V1466">
        <v>1.8031999999999999</v>
      </c>
      <c r="W1466">
        <f t="shared" si="91"/>
        <v>0.93840000000000012</v>
      </c>
      <c r="X1466">
        <v>3</v>
      </c>
    </row>
    <row r="1467" spans="1:24" x14ac:dyDescent="0.3">
      <c r="A1467">
        <v>1466</v>
      </c>
      <c r="B1467" t="s">
        <v>3220</v>
      </c>
      <c r="C1467" s="6">
        <v>45662</v>
      </c>
      <c r="D1467" t="str">
        <f t="shared" si="88"/>
        <v>Jan</v>
      </c>
      <c r="E1467" t="str">
        <f t="shared" si="89"/>
        <v>2025</v>
      </c>
      <c r="F1467" t="s">
        <v>4</v>
      </c>
      <c r="G1467" t="s">
        <v>100</v>
      </c>
      <c r="H1467" t="s">
        <v>1314</v>
      </c>
      <c r="I1467">
        <v>250</v>
      </c>
      <c r="J1467">
        <v>22</v>
      </c>
      <c r="K1467">
        <f t="shared" si="90"/>
        <v>8.7999999999999989</v>
      </c>
      <c r="L1467" t="s">
        <v>1742</v>
      </c>
      <c r="M1467" t="s">
        <v>3888</v>
      </c>
      <c r="N1467" t="s">
        <v>1</v>
      </c>
      <c r="O1467">
        <v>515004</v>
      </c>
      <c r="P1467" t="s">
        <v>546</v>
      </c>
      <c r="Q1467" t="s">
        <v>1765</v>
      </c>
      <c r="R1467" t="s">
        <v>2</v>
      </c>
      <c r="S1467">
        <v>121.376</v>
      </c>
      <c r="T1467">
        <v>4</v>
      </c>
      <c r="U1467">
        <v>0.2</v>
      </c>
      <c r="V1467">
        <v>-3.0344000000000002</v>
      </c>
      <c r="W1467">
        <f t="shared" si="91"/>
        <v>31.102600000000002</v>
      </c>
      <c r="X1467">
        <v>2</v>
      </c>
    </row>
    <row r="1468" spans="1:24" x14ac:dyDescent="0.3">
      <c r="A1468">
        <v>1467</v>
      </c>
      <c r="B1468" t="s">
        <v>3221</v>
      </c>
      <c r="C1468" s="6">
        <v>45663</v>
      </c>
      <c r="D1468" t="str">
        <f t="shared" si="88"/>
        <v>Jan</v>
      </c>
      <c r="E1468" t="str">
        <f t="shared" si="89"/>
        <v>2025</v>
      </c>
      <c r="F1468" t="s">
        <v>4</v>
      </c>
      <c r="G1468" t="s">
        <v>100</v>
      </c>
      <c r="H1468" t="s">
        <v>644</v>
      </c>
      <c r="I1468">
        <v>150</v>
      </c>
      <c r="J1468">
        <v>8</v>
      </c>
      <c r="K1468">
        <f t="shared" si="90"/>
        <v>5.3333333333333339</v>
      </c>
      <c r="L1468" t="s">
        <v>1739</v>
      </c>
      <c r="M1468" t="s">
        <v>3889</v>
      </c>
      <c r="N1468" t="s">
        <v>1</v>
      </c>
      <c r="O1468">
        <v>462016</v>
      </c>
      <c r="P1468" t="s">
        <v>546</v>
      </c>
      <c r="Q1468" t="s">
        <v>1759</v>
      </c>
      <c r="S1468">
        <v>95.975999999999999</v>
      </c>
      <c r="T1468">
        <v>3</v>
      </c>
      <c r="U1468">
        <v>0.2</v>
      </c>
      <c r="V1468">
        <v>-10.7973</v>
      </c>
      <c r="W1468">
        <f t="shared" si="91"/>
        <v>35.591100000000004</v>
      </c>
      <c r="X1468">
        <v>5</v>
      </c>
    </row>
    <row r="1469" spans="1:24" x14ac:dyDescent="0.3">
      <c r="A1469">
        <v>1468</v>
      </c>
      <c r="B1469" t="s">
        <v>3222</v>
      </c>
      <c r="C1469" s="6">
        <v>45664</v>
      </c>
      <c r="D1469" t="str">
        <f t="shared" si="88"/>
        <v>Jan</v>
      </c>
      <c r="E1469" t="str">
        <f t="shared" si="89"/>
        <v>2025</v>
      </c>
      <c r="F1469" t="s">
        <v>6</v>
      </c>
      <c r="G1469" t="s">
        <v>281</v>
      </c>
      <c r="H1469" t="s">
        <v>1204</v>
      </c>
      <c r="I1469">
        <v>170</v>
      </c>
      <c r="J1469">
        <v>12</v>
      </c>
      <c r="K1469">
        <f t="shared" si="90"/>
        <v>7.0588235294117645</v>
      </c>
      <c r="L1469" t="s">
        <v>1738</v>
      </c>
      <c r="M1469" t="s">
        <v>3890</v>
      </c>
      <c r="N1469" t="s">
        <v>1</v>
      </c>
      <c r="O1469">
        <v>700133</v>
      </c>
      <c r="P1469" t="s">
        <v>546</v>
      </c>
      <c r="Q1469" t="s">
        <v>1776</v>
      </c>
      <c r="S1469">
        <v>255.96799999999999</v>
      </c>
      <c r="T1469">
        <v>4</v>
      </c>
      <c r="U1469">
        <v>0.2</v>
      </c>
      <c r="V1469">
        <v>31.995999999999999</v>
      </c>
      <c r="W1469">
        <f t="shared" si="91"/>
        <v>55.992999999999995</v>
      </c>
      <c r="X1469">
        <v>2</v>
      </c>
    </row>
    <row r="1470" spans="1:24" x14ac:dyDescent="0.3">
      <c r="A1470">
        <v>1469</v>
      </c>
      <c r="B1470" t="s">
        <v>3223</v>
      </c>
      <c r="C1470" s="6">
        <v>45665</v>
      </c>
      <c r="D1470" t="str">
        <f t="shared" si="88"/>
        <v>Jan</v>
      </c>
      <c r="E1470" t="str">
        <f t="shared" si="89"/>
        <v>2025</v>
      </c>
      <c r="F1470" t="s">
        <v>4</v>
      </c>
      <c r="G1470" t="s">
        <v>467</v>
      </c>
      <c r="H1470" t="s">
        <v>1550</v>
      </c>
      <c r="I1470">
        <v>230</v>
      </c>
      <c r="J1470">
        <v>26</v>
      </c>
      <c r="K1470">
        <f t="shared" si="90"/>
        <v>11.304347826086957</v>
      </c>
      <c r="L1470" t="s">
        <v>1743</v>
      </c>
      <c r="M1470" t="s">
        <v>3891</v>
      </c>
      <c r="N1470" t="s">
        <v>1</v>
      </c>
      <c r="O1470">
        <v>574231</v>
      </c>
      <c r="P1470" t="s">
        <v>546</v>
      </c>
      <c r="Q1470" t="s">
        <v>1766</v>
      </c>
      <c r="R1470" t="s">
        <v>2</v>
      </c>
      <c r="S1470">
        <v>872.94</v>
      </c>
      <c r="T1470">
        <v>3</v>
      </c>
      <c r="U1470">
        <v>0</v>
      </c>
      <c r="V1470">
        <v>226.96440000000001</v>
      </c>
      <c r="W1470">
        <f t="shared" si="91"/>
        <v>215.3252</v>
      </c>
      <c r="X1470">
        <v>2</v>
      </c>
    </row>
    <row r="1471" spans="1:24" x14ac:dyDescent="0.3">
      <c r="A1471">
        <v>1470</v>
      </c>
      <c r="B1471" t="s">
        <v>3224</v>
      </c>
      <c r="C1471" s="6">
        <v>45666</v>
      </c>
      <c r="D1471" t="str">
        <f t="shared" si="88"/>
        <v>Jan</v>
      </c>
      <c r="E1471" t="str">
        <f t="shared" si="89"/>
        <v>2025</v>
      </c>
      <c r="F1471" t="s">
        <v>4</v>
      </c>
      <c r="G1471" t="s">
        <v>467</v>
      </c>
      <c r="H1471" t="s">
        <v>897</v>
      </c>
      <c r="I1471">
        <v>250</v>
      </c>
      <c r="J1471">
        <v>22</v>
      </c>
      <c r="K1471">
        <f t="shared" si="90"/>
        <v>8.7999999999999989</v>
      </c>
      <c r="L1471" t="s">
        <v>1737</v>
      </c>
      <c r="M1471" t="s">
        <v>3892</v>
      </c>
      <c r="N1471" t="s">
        <v>1</v>
      </c>
      <c r="O1471">
        <v>415523</v>
      </c>
      <c r="P1471" t="s">
        <v>546</v>
      </c>
      <c r="Q1471" t="s">
        <v>1754</v>
      </c>
      <c r="S1471">
        <v>41.54</v>
      </c>
      <c r="T1471">
        <v>2</v>
      </c>
      <c r="U1471">
        <v>0</v>
      </c>
      <c r="V1471">
        <v>19.523800000000001</v>
      </c>
      <c r="W1471">
        <f t="shared" si="91"/>
        <v>11.008099999999999</v>
      </c>
      <c r="X1471">
        <v>3</v>
      </c>
    </row>
    <row r="1472" spans="1:24" x14ac:dyDescent="0.3">
      <c r="A1472">
        <v>1471</v>
      </c>
      <c r="B1472" t="s">
        <v>3225</v>
      </c>
      <c r="C1472" s="6">
        <v>45667</v>
      </c>
      <c r="D1472" t="str">
        <f t="shared" si="88"/>
        <v>Jan</v>
      </c>
      <c r="E1472" t="str">
        <f t="shared" si="89"/>
        <v>2025</v>
      </c>
      <c r="F1472" t="s">
        <v>4</v>
      </c>
      <c r="G1472" t="s">
        <v>467</v>
      </c>
      <c r="H1472" t="s">
        <v>1551</v>
      </c>
      <c r="I1472">
        <v>150</v>
      </c>
      <c r="J1472">
        <v>20</v>
      </c>
      <c r="K1472">
        <f t="shared" si="90"/>
        <v>13.333333333333334</v>
      </c>
      <c r="L1472" t="s">
        <v>1741</v>
      </c>
      <c r="M1472" t="s">
        <v>3893</v>
      </c>
      <c r="N1472" t="s">
        <v>1</v>
      </c>
      <c r="O1472">
        <v>500050</v>
      </c>
      <c r="P1472" t="s">
        <v>546</v>
      </c>
      <c r="Q1472" t="s">
        <v>1759</v>
      </c>
      <c r="S1472">
        <v>12.96</v>
      </c>
      <c r="T1472">
        <v>2</v>
      </c>
      <c r="U1472">
        <v>0</v>
      </c>
      <c r="V1472">
        <v>6.2207999999999997</v>
      </c>
      <c r="W1472">
        <f t="shared" si="91"/>
        <v>3.3696000000000006</v>
      </c>
      <c r="X1472">
        <v>3</v>
      </c>
    </row>
    <row r="1473" spans="1:24" x14ac:dyDescent="0.3">
      <c r="A1473">
        <v>1472</v>
      </c>
      <c r="B1473" t="s">
        <v>3226</v>
      </c>
      <c r="C1473" s="6">
        <v>45668</v>
      </c>
      <c r="D1473" t="str">
        <f t="shared" si="88"/>
        <v>Jan</v>
      </c>
      <c r="E1473" t="str">
        <f t="shared" si="89"/>
        <v>2025</v>
      </c>
      <c r="F1473" t="s">
        <v>3</v>
      </c>
      <c r="G1473" t="s">
        <v>28</v>
      </c>
      <c r="H1473" t="s">
        <v>1552</v>
      </c>
      <c r="I1473">
        <v>160</v>
      </c>
      <c r="J1473">
        <v>24</v>
      </c>
      <c r="K1473">
        <f t="shared" si="90"/>
        <v>15</v>
      </c>
      <c r="L1473" t="s">
        <v>1736</v>
      </c>
      <c r="M1473" t="s">
        <v>3894</v>
      </c>
      <c r="N1473" t="s">
        <v>1</v>
      </c>
      <c r="O1473">
        <v>534447</v>
      </c>
      <c r="P1473" t="s">
        <v>546</v>
      </c>
      <c r="Q1473" t="s">
        <v>1776</v>
      </c>
      <c r="R1473" t="s">
        <v>2</v>
      </c>
      <c r="S1473">
        <v>6.8479999999999999</v>
      </c>
      <c r="T1473">
        <v>2</v>
      </c>
      <c r="U1473">
        <v>0.2</v>
      </c>
      <c r="V1473">
        <v>0.59919999999999995</v>
      </c>
      <c r="W1473">
        <f t="shared" si="91"/>
        <v>3.1244000000000001</v>
      </c>
      <c r="X1473">
        <v>1</v>
      </c>
    </row>
    <row r="1474" spans="1:24" x14ac:dyDescent="0.3">
      <c r="A1474">
        <v>1473</v>
      </c>
      <c r="B1474" t="s">
        <v>3227</v>
      </c>
      <c r="C1474" s="6">
        <v>45669</v>
      </c>
      <c r="D1474" t="str">
        <f t="shared" si="88"/>
        <v>Jan</v>
      </c>
      <c r="E1474" t="str">
        <f t="shared" si="89"/>
        <v>2025</v>
      </c>
      <c r="F1474" t="s">
        <v>4</v>
      </c>
      <c r="G1474" t="s">
        <v>478</v>
      </c>
      <c r="H1474" t="s">
        <v>1235</v>
      </c>
      <c r="I1474">
        <v>180</v>
      </c>
      <c r="J1474">
        <v>22</v>
      </c>
      <c r="K1474">
        <f t="shared" si="90"/>
        <v>12.222222222222221</v>
      </c>
      <c r="L1474" t="s">
        <v>1744</v>
      </c>
      <c r="M1474" t="s">
        <v>3895</v>
      </c>
      <c r="N1474" t="s">
        <v>1</v>
      </c>
      <c r="O1474">
        <v>400067</v>
      </c>
      <c r="P1474" t="s">
        <v>546</v>
      </c>
      <c r="Q1474" t="s">
        <v>1765</v>
      </c>
      <c r="S1474">
        <v>8.67</v>
      </c>
      <c r="T1474">
        <v>3</v>
      </c>
      <c r="U1474">
        <v>0</v>
      </c>
      <c r="V1474">
        <v>4.0749000000000004</v>
      </c>
      <c r="W1474">
        <f t="shared" si="91"/>
        <v>1.5316999999999998</v>
      </c>
      <c r="X1474">
        <v>5</v>
      </c>
    </row>
    <row r="1475" spans="1:24" x14ac:dyDescent="0.3">
      <c r="A1475">
        <v>1474</v>
      </c>
      <c r="B1475" t="s">
        <v>3228</v>
      </c>
      <c r="C1475" s="6">
        <v>45670</v>
      </c>
      <c r="D1475" t="str">
        <f t="shared" ref="D1475:D1538" si="92">TEXT(C1475,"Mmm")</f>
        <v>Jan</v>
      </c>
      <c r="E1475" t="str">
        <f t="shared" ref="E1475:E1538" si="93">TEXT(C1475,"YYYY")</f>
        <v>2025</v>
      </c>
      <c r="F1475" t="s">
        <v>6</v>
      </c>
      <c r="G1475" t="s">
        <v>399</v>
      </c>
      <c r="H1475" t="s">
        <v>1553</v>
      </c>
      <c r="I1475">
        <v>150</v>
      </c>
      <c r="J1475">
        <v>28</v>
      </c>
      <c r="K1475">
        <f t="shared" ref="K1475:K1538" si="94">(J1475/I1475)*100</f>
        <v>18.666666666666668</v>
      </c>
      <c r="L1475" t="s">
        <v>1740</v>
      </c>
      <c r="M1475" t="s">
        <v>3896</v>
      </c>
      <c r="N1475" t="s">
        <v>1</v>
      </c>
      <c r="O1475">
        <v>400037</v>
      </c>
      <c r="P1475" t="s">
        <v>546</v>
      </c>
      <c r="Q1475" t="s">
        <v>1760</v>
      </c>
      <c r="R1475" t="s">
        <v>2</v>
      </c>
      <c r="S1475">
        <v>6.6879999999999997</v>
      </c>
      <c r="T1475">
        <v>4</v>
      </c>
      <c r="U1475">
        <v>0.6</v>
      </c>
      <c r="V1475">
        <v>-4.0128000000000004</v>
      </c>
      <c r="W1475">
        <f t="shared" ref="W1475:W1538" si="95">(S1475-V1475)/T1475</f>
        <v>2.6752000000000002</v>
      </c>
      <c r="X1475">
        <v>3</v>
      </c>
    </row>
    <row r="1476" spans="1:24" x14ac:dyDescent="0.3">
      <c r="A1476">
        <v>1475</v>
      </c>
      <c r="B1476" t="s">
        <v>3229</v>
      </c>
      <c r="C1476" s="6">
        <v>45671</v>
      </c>
      <c r="D1476" t="str">
        <f t="shared" si="92"/>
        <v>Jan</v>
      </c>
      <c r="E1476" t="str">
        <f t="shared" si="93"/>
        <v>2025</v>
      </c>
      <c r="F1476" t="s">
        <v>4</v>
      </c>
      <c r="G1476" t="s">
        <v>479</v>
      </c>
      <c r="H1476" t="s">
        <v>1554</v>
      </c>
      <c r="I1476">
        <v>150</v>
      </c>
      <c r="J1476">
        <v>24</v>
      </c>
      <c r="K1476">
        <f t="shared" si="94"/>
        <v>16</v>
      </c>
      <c r="L1476" t="s">
        <v>1742</v>
      </c>
      <c r="M1476" t="s">
        <v>3706</v>
      </c>
      <c r="N1476" t="s">
        <v>1</v>
      </c>
      <c r="O1476">
        <v>110058</v>
      </c>
      <c r="P1476" t="s">
        <v>546</v>
      </c>
      <c r="Q1476" t="s">
        <v>1770</v>
      </c>
      <c r="R1476" t="s">
        <v>2</v>
      </c>
      <c r="S1476">
        <v>17.28</v>
      </c>
      <c r="T1476">
        <v>6</v>
      </c>
      <c r="U1476">
        <v>0</v>
      </c>
      <c r="V1476">
        <v>5.0111999999999997</v>
      </c>
      <c r="W1476">
        <f t="shared" si="95"/>
        <v>2.0448000000000004</v>
      </c>
      <c r="X1476">
        <v>5</v>
      </c>
    </row>
    <row r="1477" spans="1:24" x14ac:dyDescent="0.3">
      <c r="A1477">
        <v>1476</v>
      </c>
      <c r="B1477" t="s">
        <v>3230</v>
      </c>
      <c r="C1477" s="6">
        <v>45672</v>
      </c>
      <c r="D1477" t="str">
        <f t="shared" si="92"/>
        <v>Jan</v>
      </c>
      <c r="E1477" t="str">
        <f t="shared" si="93"/>
        <v>2025</v>
      </c>
      <c r="F1477" t="s">
        <v>4</v>
      </c>
      <c r="G1477" t="s">
        <v>479</v>
      </c>
      <c r="H1477" t="s">
        <v>1324</v>
      </c>
      <c r="I1477">
        <v>230</v>
      </c>
      <c r="J1477">
        <v>24</v>
      </c>
      <c r="K1477">
        <f t="shared" si="94"/>
        <v>10.434782608695652</v>
      </c>
      <c r="L1477" t="s">
        <v>1739</v>
      </c>
      <c r="M1477" t="s">
        <v>3897</v>
      </c>
      <c r="N1477" t="s">
        <v>1</v>
      </c>
      <c r="O1477">
        <v>560076</v>
      </c>
      <c r="P1477" t="s">
        <v>546</v>
      </c>
      <c r="Q1477" t="s">
        <v>1765</v>
      </c>
      <c r="R1477" t="s">
        <v>2</v>
      </c>
      <c r="S1477">
        <v>17.712</v>
      </c>
      <c r="T1477">
        <v>3</v>
      </c>
      <c r="U1477">
        <v>0.2</v>
      </c>
      <c r="V1477">
        <v>6.4206000000000003</v>
      </c>
      <c r="W1477">
        <f t="shared" si="95"/>
        <v>3.7637999999999998</v>
      </c>
      <c r="X1477">
        <v>3</v>
      </c>
    </row>
    <row r="1478" spans="1:24" x14ac:dyDescent="0.3">
      <c r="A1478">
        <v>1477</v>
      </c>
      <c r="B1478" t="s">
        <v>3231</v>
      </c>
      <c r="C1478" s="6">
        <v>45673</v>
      </c>
      <c r="D1478" t="str">
        <f t="shared" si="92"/>
        <v>Jan</v>
      </c>
      <c r="E1478" t="str">
        <f t="shared" si="93"/>
        <v>2025</v>
      </c>
      <c r="F1478" t="s">
        <v>4</v>
      </c>
      <c r="G1478" t="s">
        <v>351</v>
      </c>
      <c r="H1478" t="s">
        <v>1555</v>
      </c>
      <c r="I1478">
        <v>190</v>
      </c>
      <c r="J1478">
        <v>22</v>
      </c>
      <c r="K1478">
        <f t="shared" si="94"/>
        <v>11.578947368421053</v>
      </c>
      <c r="L1478" t="s">
        <v>1738</v>
      </c>
      <c r="M1478" t="s">
        <v>3786</v>
      </c>
      <c r="O1478">
        <v>121002</v>
      </c>
      <c r="P1478" t="s">
        <v>546</v>
      </c>
      <c r="Q1478" t="s">
        <v>1762</v>
      </c>
      <c r="S1478">
        <v>28.91</v>
      </c>
      <c r="T1478">
        <v>7</v>
      </c>
      <c r="U1478">
        <v>0</v>
      </c>
      <c r="V1478">
        <v>13.2986</v>
      </c>
      <c r="W1478">
        <f t="shared" si="95"/>
        <v>2.2302</v>
      </c>
      <c r="X1478">
        <v>1</v>
      </c>
    </row>
    <row r="1479" spans="1:24" x14ac:dyDescent="0.3">
      <c r="A1479">
        <v>1478</v>
      </c>
      <c r="B1479" t="s">
        <v>3232</v>
      </c>
      <c r="C1479" s="6">
        <v>45674</v>
      </c>
      <c r="D1479" t="str">
        <f t="shared" si="92"/>
        <v>Jan</v>
      </c>
      <c r="E1479" t="str">
        <f t="shared" si="93"/>
        <v>2025</v>
      </c>
      <c r="F1479" t="s">
        <v>4</v>
      </c>
      <c r="G1479" t="s">
        <v>480</v>
      </c>
      <c r="H1479" t="s">
        <v>1207</v>
      </c>
      <c r="I1479">
        <v>170</v>
      </c>
      <c r="J1479">
        <v>30</v>
      </c>
      <c r="K1479">
        <f t="shared" si="94"/>
        <v>17.647058823529413</v>
      </c>
      <c r="L1479" t="s">
        <v>1737</v>
      </c>
      <c r="M1479" t="s">
        <v>3898</v>
      </c>
      <c r="N1479" t="s">
        <v>1</v>
      </c>
      <c r="O1479">
        <v>495454</v>
      </c>
      <c r="P1479" t="s">
        <v>546</v>
      </c>
      <c r="Q1479" t="s">
        <v>1766</v>
      </c>
      <c r="R1479" t="s">
        <v>2</v>
      </c>
      <c r="S1479">
        <v>52.136000000000003</v>
      </c>
      <c r="T1479">
        <v>7</v>
      </c>
      <c r="U1479">
        <v>0.2</v>
      </c>
      <c r="V1479">
        <v>5.8653000000000004</v>
      </c>
      <c r="W1479">
        <f t="shared" si="95"/>
        <v>6.610100000000001</v>
      </c>
      <c r="X1479">
        <v>1</v>
      </c>
    </row>
    <row r="1480" spans="1:24" x14ac:dyDescent="0.3">
      <c r="A1480">
        <v>1479</v>
      </c>
      <c r="B1480" t="s">
        <v>3233</v>
      </c>
      <c r="C1480" s="6">
        <v>45675</v>
      </c>
      <c r="D1480" t="str">
        <f t="shared" si="92"/>
        <v>Jan</v>
      </c>
      <c r="E1480" t="str">
        <f t="shared" si="93"/>
        <v>2025</v>
      </c>
      <c r="F1480" t="s">
        <v>5</v>
      </c>
      <c r="G1480" t="s">
        <v>51</v>
      </c>
      <c r="H1480" t="s">
        <v>980</v>
      </c>
      <c r="I1480">
        <v>230</v>
      </c>
      <c r="J1480">
        <v>20</v>
      </c>
      <c r="K1480">
        <f t="shared" si="94"/>
        <v>8.695652173913043</v>
      </c>
      <c r="L1480" t="s">
        <v>1743</v>
      </c>
      <c r="M1480" t="s">
        <v>3899</v>
      </c>
      <c r="N1480" t="s">
        <v>1</v>
      </c>
      <c r="O1480">
        <v>400080</v>
      </c>
      <c r="P1480" t="s">
        <v>546</v>
      </c>
      <c r="Q1480" t="s">
        <v>1770</v>
      </c>
      <c r="R1480" t="s">
        <v>2</v>
      </c>
      <c r="S1480">
        <v>31.968</v>
      </c>
      <c r="T1480">
        <v>4</v>
      </c>
      <c r="U1480">
        <v>0.2</v>
      </c>
      <c r="V1480">
        <v>2.3976000000000002</v>
      </c>
      <c r="W1480">
        <f t="shared" si="95"/>
        <v>7.3925999999999998</v>
      </c>
      <c r="X1480">
        <v>5</v>
      </c>
    </row>
    <row r="1481" spans="1:24" x14ac:dyDescent="0.3">
      <c r="A1481">
        <v>1480</v>
      </c>
      <c r="B1481" t="s">
        <v>3234</v>
      </c>
      <c r="C1481" s="6">
        <v>45676</v>
      </c>
      <c r="D1481" t="str">
        <f t="shared" si="92"/>
        <v>Jan</v>
      </c>
      <c r="E1481" t="str">
        <f t="shared" si="93"/>
        <v>2025</v>
      </c>
      <c r="F1481" t="s">
        <v>4</v>
      </c>
      <c r="G1481" t="s">
        <v>184</v>
      </c>
      <c r="H1481" t="s">
        <v>1556</v>
      </c>
      <c r="I1481">
        <v>240</v>
      </c>
      <c r="J1481">
        <v>8</v>
      </c>
      <c r="K1481">
        <f t="shared" si="94"/>
        <v>3.3333333333333335</v>
      </c>
      <c r="L1481" t="s">
        <v>1738</v>
      </c>
      <c r="M1481" t="s">
        <v>3788</v>
      </c>
      <c r="N1481" t="s">
        <v>1</v>
      </c>
      <c r="O1481">
        <v>110001</v>
      </c>
      <c r="P1481" t="s">
        <v>546</v>
      </c>
      <c r="Q1481" t="s">
        <v>1774</v>
      </c>
      <c r="S1481">
        <v>25.92</v>
      </c>
      <c r="T1481">
        <v>4</v>
      </c>
      <c r="U1481">
        <v>0</v>
      </c>
      <c r="V1481">
        <v>12.441599999999999</v>
      </c>
      <c r="W1481">
        <f t="shared" si="95"/>
        <v>3.3696000000000006</v>
      </c>
      <c r="X1481">
        <v>3</v>
      </c>
    </row>
    <row r="1482" spans="1:24" x14ac:dyDescent="0.3">
      <c r="A1482">
        <v>1481</v>
      </c>
      <c r="B1482" t="s">
        <v>3235</v>
      </c>
      <c r="C1482" s="6">
        <v>45677</v>
      </c>
      <c r="D1482" t="str">
        <f t="shared" si="92"/>
        <v>Jan</v>
      </c>
      <c r="E1482" t="str">
        <f t="shared" si="93"/>
        <v>2025</v>
      </c>
      <c r="F1482" t="s">
        <v>4</v>
      </c>
      <c r="G1482" t="s">
        <v>184</v>
      </c>
      <c r="H1482" t="s">
        <v>1557</v>
      </c>
      <c r="I1482">
        <v>230</v>
      </c>
      <c r="J1482">
        <v>18</v>
      </c>
      <c r="K1482">
        <f t="shared" si="94"/>
        <v>7.8260869565217401</v>
      </c>
      <c r="L1482" t="s">
        <v>1739</v>
      </c>
      <c r="M1482" t="s">
        <v>3900</v>
      </c>
      <c r="O1482">
        <v>110031</v>
      </c>
      <c r="P1482" t="s">
        <v>546</v>
      </c>
      <c r="Q1482" t="s">
        <v>1770</v>
      </c>
      <c r="R1482" t="s">
        <v>2</v>
      </c>
      <c r="S1482">
        <v>40.46</v>
      </c>
      <c r="T1482">
        <v>7</v>
      </c>
      <c r="U1482">
        <v>0</v>
      </c>
      <c r="V1482">
        <v>19.825399999999998</v>
      </c>
      <c r="W1482">
        <f t="shared" si="95"/>
        <v>2.9478000000000004</v>
      </c>
      <c r="X1482">
        <v>5</v>
      </c>
    </row>
    <row r="1483" spans="1:24" x14ac:dyDescent="0.3">
      <c r="A1483">
        <v>1482</v>
      </c>
      <c r="B1483" t="s">
        <v>3236</v>
      </c>
      <c r="C1483" s="6">
        <v>45678</v>
      </c>
      <c r="D1483" t="str">
        <f t="shared" si="92"/>
        <v>Jan</v>
      </c>
      <c r="E1483" t="str">
        <f t="shared" si="93"/>
        <v>2025</v>
      </c>
      <c r="F1483" t="s">
        <v>4</v>
      </c>
      <c r="G1483" t="s">
        <v>184</v>
      </c>
      <c r="H1483" t="s">
        <v>1558</v>
      </c>
      <c r="I1483">
        <v>170</v>
      </c>
      <c r="J1483">
        <v>8</v>
      </c>
      <c r="K1483">
        <f t="shared" si="94"/>
        <v>4.7058823529411766</v>
      </c>
      <c r="L1483" t="s">
        <v>1741</v>
      </c>
      <c r="M1483" t="s">
        <v>3901</v>
      </c>
      <c r="N1483" t="s">
        <v>1</v>
      </c>
      <c r="O1483">
        <v>440006</v>
      </c>
      <c r="P1483" t="s">
        <v>546</v>
      </c>
      <c r="Q1483" t="s">
        <v>1775</v>
      </c>
      <c r="S1483">
        <v>33.869999999999997</v>
      </c>
      <c r="T1483">
        <v>3</v>
      </c>
      <c r="U1483">
        <v>0</v>
      </c>
      <c r="V1483">
        <v>8.8062000000000005</v>
      </c>
      <c r="W1483">
        <f t="shared" si="95"/>
        <v>8.3545999999999996</v>
      </c>
      <c r="X1483">
        <v>2</v>
      </c>
    </row>
    <row r="1484" spans="1:24" x14ac:dyDescent="0.3">
      <c r="A1484">
        <v>1483</v>
      </c>
      <c r="B1484" t="s">
        <v>3237</v>
      </c>
      <c r="C1484" s="6">
        <v>45679</v>
      </c>
      <c r="D1484" t="str">
        <f t="shared" si="92"/>
        <v>Jan</v>
      </c>
      <c r="E1484" t="str">
        <f t="shared" si="93"/>
        <v>2025</v>
      </c>
      <c r="F1484" t="s">
        <v>3</v>
      </c>
      <c r="G1484" t="s">
        <v>393</v>
      </c>
      <c r="H1484" t="s">
        <v>1034</v>
      </c>
      <c r="I1484">
        <v>200</v>
      </c>
      <c r="J1484">
        <v>30</v>
      </c>
      <c r="K1484">
        <f t="shared" si="94"/>
        <v>15</v>
      </c>
      <c r="L1484" t="s">
        <v>1736</v>
      </c>
      <c r="M1484" t="s">
        <v>3902</v>
      </c>
      <c r="N1484" t="s">
        <v>1</v>
      </c>
      <c r="O1484">
        <v>628002</v>
      </c>
      <c r="P1484" t="s">
        <v>546</v>
      </c>
      <c r="Q1484" t="s">
        <v>1760</v>
      </c>
      <c r="S1484">
        <v>9.7279999999999998</v>
      </c>
      <c r="T1484">
        <v>2</v>
      </c>
      <c r="U1484">
        <v>0.2</v>
      </c>
      <c r="V1484">
        <v>1.7023999999999999</v>
      </c>
      <c r="W1484">
        <f t="shared" si="95"/>
        <v>4.0128000000000004</v>
      </c>
      <c r="X1484">
        <v>1</v>
      </c>
    </row>
    <row r="1485" spans="1:24" x14ac:dyDescent="0.3">
      <c r="A1485">
        <v>1484</v>
      </c>
      <c r="B1485" t="s">
        <v>3238</v>
      </c>
      <c r="C1485" s="6">
        <v>45680</v>
      </c>
      <c r="D1485" t="str">
        <f t="shared" si="92"/>
        <v>Jan</v>
      </c>
      <c r="E1485" t="str">
        <f t="shared" si="93"/>
        <v>2025</v>
      </c>
      <c r="F1485" t="s">
        <v>3</v>
      </c>
      <c r="G1485" t="s">
        <v>393</v>
      </c>
      <c r="H1485" t="s">
        <v>1559</v>
      </c>
      <c r="I1485">
        <v>230</v>
      </c>
      <c r="J1485">
        <v>12</v>
      </c>
      <c r="K1485">
        <f t="shared" si="94"/>
        <v>5.2173913043478262</v>
      </c>
      <c r="L1485" t="s">
        <v>1744</v>
      </c>
      <c r="M1485" t="s">
        <v>3903</v>
      </c>
      <c r="N1485" t="s">
        <v>1</v>
      </c>
      <c r="O1485">
        <v>440009</v>
      </c>
      <c r="P1485" t="s">
        <v>546</v>
      </c>
      <c r="Q1485" t="s">
        <v>1761</v>
      </c>
      <c r="S1485">
        <v>3.4239999999999999</v>
      </c>
      <c r="T1485">
        <v>1</v>
      </c>
      <c r="U1485">
        <v>0.2</v>
      </c>
      <c r="V1485">
        <v>1.07</v>
      </c>
      <c r="W1485">
        <f t="shared" si="95"/>
        <v>2.3540000000000001</v>
      </c>
      <c r="X1485">
        <v>1</v>
      </c>
    </row>
    <row r="1486" spans="1:24" x14ac:dyDescent="0.3">
      <c r="A1486">
        <v>1485</v>
      </c>
      <c r="B1486" t="s">
        <v>3239</v>
      </c>
      <c r="C1486" s="6">
        <v>45681</v>
      </c>
      <c r="D1486" t="str">
        <f t="shared" si="92"/>
        <v>Jan</v>
      </c>
      <c r="E1486" t="str">
        <f t="shared" si="93"/>
        <v>2025</v>
      </c>
      <c r="F1486" t="s">
        <v>4</v>
      </c>
      <c r="G1486" t="s">
        <v>298</v>
      </c>
      <c r="H1486" t="s">
        <v>1560</v>
      </c>
      <c r="I1486">
        <v>230</v>
      </c>
      <c r="J1486">
        <v>28</v>
      </c>
      <c r="K1486">
        <f t="shared" si="94"/>
        <v>12.173913043478262</v>
      </c>
      <c r="L1486" t="s">
        <v>1740</v>
      </c>
      <c r="M1486" t="s">
        <v>3904</v>
      </c>
      <c r="N1486" t="s">
        <v>1</v>
      </c>
      <c r="O1486">
        <v>110075</v>
      </c>
      <c r="P1486" t="s">
        <v>546</v>
      </c>
      <c r="Q1486" t="s">
        <v>1761</v>
      </c>
      <c r="S1486">
        <v>177</v>
      </c>
      <c r="T1486">
        <v>3</v>
      </c>
      <c r="U1486">
        <v>0</v>
      </c>
      <c r="V1486">
        <v>30.09</v>
      </c>
      <c r="W1486">
        <f t="shared" si="95"/>
        <v>48.97</v>
      </c>
      <c r="X1486">
        <v>2</v>
      </c>
    </row>
    <row r="1487" spans="1:24" x14ac:dyDescent="0.3">
      <c r="A1487">
        <v>1486</v>
      </c>
      <c r="B1487" t="s">
        <v>3240</v>
      </c>
      <c r="C1487" s="6">
        <v>45682</v>
      </c>
      <c r="D1487" t="str">
        <f t="shared" si="92"/>
        <v>Jan</v>
      </c>
      <c r="E1487" t="str">
        <f t="shared" si="93"/>
        <v>2025</v>
      </c>
      <c r="F1487" t="s">
        <v>4</v>
      </c>
      <c r="G1487" t="s">
        <v>481</v>
      </c>
      <c r="H1487" t="s">
        <v>1561</v>
      </c>
      <c r="I1487">
        <v>240</v>
      </c>
      <c r="J1487">
        <v>10</v>
      </c>
      <c r="K1487">
        <f t="shared" si="94"/>
        <v>4.1666666666666661</v>
      </c>
      <c r="L1487" t="s">
        <v>1742</v>
      </c>
      <c r="M1487" t="s">
        <v>3647</v>
      </c>
      <c r="N1487" t="s">
        <v>1</v>
      </c>
      <c r="O1487">
        <v>560085</v>
      </c>
      <c r="P1487" t="s">
        <v>546</v>
      </c>
      <c r="Q1487" t="s">
        <v>1772</v>
      </c>
      <c r="R1487" t="s">
        <v>2</v>
      </c>
      <c r="S1487">
        <v>3.76</v>
      </c>
      <c r="T1487">
        <v>2</v>
      </c>
      <c r="U1487">
        <v>0</v>
      </c>
      <c r="V1487">
        <v>1.3160000000000001</v>
      </c>
      <c r="W1487">
        <f t="shared" si="95"/>
        <v>1.222</v>
      </c>
      <c r="X1487">
        <v>4</v>
      </c>
    </row>
    <row r="1488" spans="1:24" x14ac:dyDescent="0.3">
      <c r="A1488">
        <v>1487</v>
      </c>
      <c r="B1488" t="s">
        <v>3241</v>
      </c>
      <c r="C1488" s="6">
        <v>45683</v>
      </c>
      <c r="D1488" t="str">
        <f t="shared" si="92"/>
        <v>Jan</v>
      </c>
      <c r="E1488" t="str">
        <f t="shared" si="93"/>
        <v>2025</v>
      </c>
      <c r="F1488" t="s">
        <v>4</v>
      </c>
      <c r="G1488" t="s">
        <v>482</v>
      </c>
      <c r="H1488" t="s">
        <v>1562</v>
      </c>
      <c r="I1488">
        <v>210</v>
      </c>
      <c r="J1488">
        <v>16</v>
      </c>
      <c r="K1488">
        <f t="shared" si="94"/>
        <v>7.6190476190476195</v>
      </c>
      <c r="L1488" t="s">
        <v>1739</v>
      </c>
      <c r="M1488" t="s">
        <v>3905</v>
      </c>
      <c r="N1488" t="s">
        <v>1</v>
      </c>
      <c r="O1488">
        <v>560085</v>
      </c>
      <c r="P1488" t="s">
        <v>546</v>
      </c>
      <c r="Q1488" t="s">
        <v>1764</v>
      </c>
      <c r="R1488" t="s">
        <v>2</v>
      </c>
      <c r="S1488">
        <v>1212.848</v>
      </c>
      <c r="T1488">
        <v>7</v>
      </c>
      <c r="U1488">
        <v>0.2</v>
      </c>
      <c r="V1488">
        <v>106.1242</v>
      </c>
      <c r="W1488">
        <f t="shared" si="95"/>
        <v>158.10339999999999</v>
      </c>
      <c r="X1488">
        <v>2</v>
      </c>
    </row>
    <row r="1489" spans="1:24" x14ac:dyDescent="0.3">
      <c r="A1489">
        <v>1488</v>
      </c>
      <c r="B1489" t="s">
        <v>3242</v>
      </c>
      <c r="C1489" s="6">
        <v>45684</v>
      </c>
      <c r="D1489" t="str">
        <f t="shared" si="92"/>
        <v>Jan</v>
      </c>
      <c r="E1489" t="str">
        <f t="shared" si="93"/>
        <v>2025</v>
      </c>
      <c r="F1489" t="s">
        <v>4</v>
      </c>
      <c r="G1489" t="s">
        <v>482</v>
      </c>
      <c r="H1489" t="s">
        <v>1563</v>
      </c>
      <c r="I1489">
        <v>180</v>
      </c>
      <c r="J1489">
        <v>14</v>
      </c>
      <c r="K1489">
        <f t="shared" si="94"/>
        <v>7.7777777777777777</v>
      </c>
      <c r="L1489" t="s">
        <v>1738</v>
      </c>
      <c r="M1489" t="s">
        <v>3778</v>
      </c>
      <c r="N1489" t="s">
        <v>1</v>
      </c>
      <c r="O1489">
        <v>800001</v>
      </c>
      <c r="P1489" t="s">
        <v>546</v>
      </c>
      <c r="Q1489" t="s">
        <v>1771</v>
      </c>
      <c r="S1489">
        <v>89.97</v>
      </c>
      <c r="T1489">
        <v>3</v>
      </c>
      <c r="U1489">
        <v>0</v>
      </c>
      <c r="V1489">
        <v>37.787399999999998</v>
      </c>
      <c r="W1489">
        <f t="shared" si="95"/>
        <v>17.394200000000001</v>
      </c>
      <c r="X1489">
        <v>5</v>
      </c>
    </row>
    <row r="1490" spans="1:24" x14ac:dyDescent="0.3">
      <c r="A1490">
        <v>1489</v>
      </c>
      <c r="B1490" t="s">
        <v>3243</v>
      </c>
      <c r="C1490" s="6">
        <v>45685</v>
      </c>
      <c r="D1490" t="str">
        <f t="shared" si="92"/>
        <v>Jan</v>
      </c>
      <c r="E1490" t="str">
        <f t="shared" si="93"/>
        <v>2025</v>
      </c>
      <c r="F1490" t="s">
        <v>4</v>
      </c>
      <c r="G1490" t="s">
        <v>482</v>
      </c>
      <c r="H1490" t="s">
        <v>925</v>
      </c>
      <c r="I1490">
        <v>100</v>
      </c>
      <c r="J1490">
        <v>20</v>
      </c>
      <c r="K1490">
        <f t="shared" si="94"/>
        <v>20</v>
      </c>
      <c r="L1490" t="s">
        <v>1743</v>
      </c>
      <c r="M1490" t="s">
        <v>3906</v>
      </c>
      <c r="N1490" t="s">
        <v>1</v>
      </c>
      <c r="O1490">
        <v>121008</v>
      </c>
      <c r="P1490" t="s">
        <v>546</v>
      </c>
      <c r="Q1490" t="s">
        <v>1763</v>
      </c>
      <c r="S1490">
        <v>42.6</v>
      </c>
      <c r="T1490">
        <v>3</v>
      </c>
      <c r="U1490">
        <v>0</v>
      </c>
      <c r="V1490">
        <v>16.614000000000001</v>
      </c>
      <c r="W1490">
        <f t="shared" si="95"/>
        <v>8.6620000000000008</v>
      </c>
      <c r="X1490">
        <v>4</v>
      </c>
    </row>
    <row r="1491" spans="1:24" x14ac:dyDescent="0.3">
      <c r="A1491">
        <v>1490</v>
      </c>
      <c r="B1491" t="s">
        <v>3244</v>
      </c>
      <c r="C1491" s="6">
        <v>45686</v>
      </c>
      <c r="D1491" t="str">
        <f t="shared" si="92"/>
        <v>Jan</v>
      </c>
      <c r="E1491" t="str">
        <f t="shared" si="93"/>
        <v>2025</v>
      </c>
      <c r="F1491" t="s">
        <v>4</v>
      </c>
      <c r="G1491" t="s">
        <v>483</v>
      </c>
      <c r="H1491" t="s">
        <v>1363</v>
      </c>
      <c r="I1491">
        <v>200</v>
      </c>
      <c r="J1491">
        <v>6</v>
      </c>
      <c r="K1491">
        <f t="shared" si="94"/>
        <v>3</v>
      </c>
      <c r="L1491" t="s">
        <v>1737</v>
      </c>
      <c r="M1491" t="s">
        <v>3907</v>
      </c>
      <c r="N1491" t="s">
        <v>1</v>
      </c>
      <c r="O1491">
        <v>400614</v>
      </c>
      <c r="P1491" t="s">
        <v>546</v>
      </c>
      <c r="Q1491" t="s">
        <v>1765</v>
      </c>
      <c r="R1491" t="s">
        <v>2</v>
      </c>
      <c r="S1491">
        <v>5.04</v>
      </c>
      <c r="T1491">
        <v>2</v>
      </c>
      <c r="U1491">
        <v>0.2</v>
      </c>
      <c r="V1491">
        <v>1.764</v>
      </c>
      <c r="W1491">
        <f t="shared" si="95"/>
        <v>1.6379999999999999</v>
      </c>
      <c r="X1491">
        <v>5</v>
      </c>
    </row>
    <row r="1492" spans="1:24" x14ac:dyDescent="0.3">
      <c r="A1492">
        <v>1491</v>
      </c>
      <c r="B1492" t="s">
        <v>3245</v>
      </c>
      <c r="C1492" s="6">
        <v>45687</v>
      </c>
      <c r="D1492" t="str">
        <f t="shared" si="92"/>
        <v>Jan</v>
      </c>
      <c r="E1492" t="str">
        <f t="shared" si="93"/>
        <v>2025</v>
      </c>
      <c r="F1492" t="s">
        <v>3</v>
      </c>
      <c r="G1492" t="s">
        <v>400</v>
      </c>
      <c r="H1492" t="s">
        <v>583</v>
      </c>
      <c r="I1492">
        <v>250</v>
      </c>
      <c r="J1492">
        <v>24</v>
      </c>
      <c r="K1492">
        <f t="shared" si="94"/>
        <v>9.6</v>
      </c>
      <c r="L1492" t="s">
        <v>1741</v>
      </c>
      <c r="M1492" t="s">
        <v>3908</v>
      </c>
      <c r="O1492">
        <v>500049</v>
      </c>
      <c r="P1492" t="s">
        <v>546</v>
      </c>
      <c r="Q1492" t="s">
        <v>1765</v>
      </c>
      <c r="S1492">
        <v>62.96</v>
      </c>
      <c r="T1492">
        <v>4</v>
      </c>
      <c r="U1492">
        <v>0</v>
      </c>
      <c r="V1492">
        <v>28.332000000000001</v>
      </c>
      <c r="W1492">
        <f t="shared" si="95"/>
        <v>8.657</v>
      </c>
      <c r="X1492">
        <v>3</v>
      </c>
    </row>
    <row r="1493" spans="1:24" x14ac:dyDescent="0.3">
      <c r="A1493">
        <v>1492</v>
      </c>
      <c r="B1493" t="s">
        <v>3246</v>
      </c>
      <c r="C1493" s="6">
        <v>45688</v>
      </c>
      <c r="D1493" t="str">
        <f t="shared" si="92"/>
        <v>Jan</v>
      </c>
      <c r="E1493" t="str">
        <f t="shared" si="93"/>
        <v>2025</v>
      </c>
      <c r="F1493" t="s">
        <v>4</v>
      </c>
      <c r="G1493" t="s">
        <v>484</v>
      </c>
      <c r="H1493" t="s">
        <v>1564</v>
      </c>
      <c r="I1493">
        <v>120</v>
      </c>
      <c r="J1493">
        <v>26</v>
      </c>
      <c r="K1493">
        <f t="shared" si="94"/>
        <v>21.666666666666668</v>
      </c>
      <c r="L1493" t="s">
        <v>1736</v>
      </c>
      <c r="M1493" t="s">
        <v>3909</v>
      </c>
      <c r="N1493" t="s">
        <v>1</v>
      </c>
      <c r="O1493">
        <v>132117</v>
      </c>
      <c r="P1493" t="s">
        <v>546</v>
      </c>
      <c r="Q1493" t="s">
        <v>1754</v>
      </c>
      <c r="S1493">
        <v>5.88</v>
      </c>
      <c r="T1493">
        <v>1</v>
      </c>
      <c r="U1493">
        <v>0</v>
      </c>
      <c r="V1493">
        <v>2.8812000000000002</v>
      </c>
      <c r="W1493">
        <f t="shared" si="95"/>
        <v>2.9987999999999997</v>
      </c>
      <c r="X1493">
        <v>4</v>
      </c>
    </row>
    <row r="1494" spans="1:24" x14ac:dyDescent="0.3">
      <c r="A1494">
        <v>1493</v>
      </c>
      <c r="B1494" t="s">
        <v>3247</v>
      </c>
      <c r="C1494" s="6">
        <v>45689</v>
      </c>
      <c r="D1494" t="str">
        <f t="shared" si="92"/>
        <v>Feb</v>
      </c>
      <c r="E1494" t="str">
        <f t="shared" si="93"/>
        <v>2025</v>
      </c>
      <c r="F1494" t="s">
        <v>4</v>
      </c>
      <c r="G1494" t="s">
        <v>484</v>
      </c>
      <c r="H1494" t="s">
        <v>870</v>
      </c>
      <c r="I1494">
        <v>230</v>
      </c>
      <c r="J1494">
        <v>8</v>
      </c>
      <c r="K1494">
        <f t="shared" si="94"/>
        <v>3.4782608695652173</v>
      </c>
      <c r="L1494" t="s">
        <v>1744</v>
      </c>
      <c r="M1494" t="s">
        <v>3585</v>
      </c>
      <c r="N1494" t="s">
        <v>1</v>
      </c>
      <c r="O1494">
        <v>400066</v>
      </c>
      <c r="P1494" t="s">
        <v>546</v>
      </c>
      <c r="Q1494" t="s">
        <v>1755</v>
      </c>
      <c r="R1494" t="s">
        <v>2</v>
      </c>
      <c r="S1494">
        <v>977.29200000000003</v>
      </c>
      <c r="T1494">
        <v>6</v>
      </c>
      <c r="U1494">
        <v>0.1</v>
      </c>
      <c r="V1494">
        <v>173.74080000000001</v>
      </c>
      <c r="W1494">
        <f t="shared" si="95"/>
        <v>133.92519999999999</v>
      </c>
      <c r="X1494">
        <v>4</v>
      </c>
    </row>
    <row r="1495" spans="1:24" x14ac:dyDescent="0.3">
      <c r="A1495">
        <v>1494</v>
      </c>
      <c r="B1495" t="s">
        <v>3248</v>
      </c>
      <c r="C1495" s="6">
        <v>45690</v>
      </c>
      <c r="D1495" t="str">
        <f t="shared" si="92"/>
        <v>Feb</v>
      </c>
      <c r="E1495" t="str">
        <f t="shared" si="93"/>
        <v>2025</v>
      </c>
      <c r="F1495" t="s">
        <v>4</v>
      </c>
      <c r="G1495" t="s">
        <v>485</v>
      </c>
      <c r="H1495" t="s">
        <v>1310</v>
      </c>
      <c r="I1495">
        <v>130</v>
      </c>
      <c r="J1495">
        <v>8</v>
      </c>
      <c r="K1495">
        <f t="shared" si="94"/>
        <v>6.1538461538461542</v>
      </c>
      <c r="L1495" t="s">
        <v>1740</v>
      </c>
      <c r="M1495" t="s">
        <v>3733</v>
      </c>
      <c r="N1495" t="s">
        <v>1</v>
      </c>
      <c r="O1495">
        <v>110059</v>
      </c>
      <c r="P1495" t="s">
        <v>546</v>
      </c>
      <c r="Q1495" t="s">
        <v>1773</v>
      </c>
      <c r="S1495">
        <v>9.64</v>
      </c>
      <c r="T1495">
        <v>2</v>
      </c>
      <c r="U1495">
        <v>0</v>
      </c>
      <c r="V1495">
        <v>3.6631999999999998</v>
      </c>
      <c r="W1495">
        <f t="shared" si="95"/>
        <v>2.9884000000000004</v>
      </c>
      <c r="X1495">
        <v>3</v>
      </c>
    </row>
    <row r="1496" spans="1:24" x14ac:dyDescent="0.3">
      <c r="A1496">
        <v>1495</v>
      </c>
      <c r="B1496" t="s">
        <v>3249</v>
      </c>
      <c r="C1496" s="6">
        <v>45691</v>
      </c>
      <c r="D1496" t="str">
        <f t="shared" si="92"/>
        <v>Feb</v>
      </c>
      <c r="E1496" t="str">
        <f t="shared" si="93"/>
        <v>2025</v>
      </c>
      <c r="F1496" t="s">
        <v>3</v>
      </c>
      <c r="G1496" t="s">
        <v>174</v>
      </c>
      <c r="H1496" t="s">
        <v>1365</v>
      </c>
      <c r="I1496">
        <v>160</v>
      </c>
      <c r="J1496">
        <v>6</v>
      </c>
      <c r="K1496">
        <f t="shared" si="94"/>
        <v>3.75</v>
      </c>
      <c r="L1496" t="s">
        <v>1742</v>
      </c>
      <c r="M1496" t="s">
        <v>3910</v>
      </c>
      <c r="N1496" t="s">
        <v>1</v>
      </c>
      <c r="O1496">
        <v>560011</v>
      </c>
      <c r="P1496" t="s">
        <v>546</v>
      </c>
      <c r="Q1496" t="s">
        <v>1754</v>
      </c>
      <c r="S1496">
        <v>40.049999999999997</v>
      </c>
      <c r="T1496">
        <v>3</v>
      </c>
      <c r="U1496">
        <v>0</v>
      </c>
      <c r="V1496">
        <v>11.214</v>
      </c>
      <c r="W1496">
        <f t="shared" si="95"/>
        <v>9.6120000000000001</v>
      </c>
      <c r="X1496">
        <v>1</v>
      </c>
    </row>
    <row r="1497" spans="1:24" x14ac:dyDescent="0.3">
      <c r="A1497">
        <v>1496</v>
      </c>
      <c r="B1497" t="s">
        <v>3250</v>
      </c>
      <c r="C1497" s="6">
        <v>45692</v>
      </c>
      <c r="D1497" t="str">
        <f t="shared" si="92"/>
        <v>Feb</v>
      </c>
      <c r="E1497" t="str">
        <f t="shared" si="93"/>
        <v>2025</v>
      </c>
      <c r="F1497" t="s">
        <v>4</v>
      </c>
      <c r="G1497" t="s">
        <v>486</v>
      </c>
      <c r="H1497" t="s">
        <v>1400</v>
      </c>
      <c r="I1497">
        <v>230</v>
      </c>
      <c r="J1497">
        <v>22</v>
      </c>
      <c r="K1497">
        <f t="shared" si="94"/>
        <v>9.5652173913043477</v>
      </c>
      <c r="L1497" t="s">
        <v>1739</v>
      </c>
      <c r="M1497" t="s">
        <v>3657</v>
      </c>
      <c r="N1497" t="s">
        <v>1</v>
      </c>
      <c r="O1497">
        <v>110063</v>
      </c>
      <c r="P1497" t="s">
        <v>546</v>
      </c>
      <c r="Q1497" t="s">
        <v>1771</v>
      </c>
      <c r="S1497">
        <v>10.192</v>
      </c>
      <c r="T1497">
        <v>7</v>
      </c>
      <c r="U1497">
        <v>0.2</v>
      </c>
      <c r="V1497">
        <v>3.1850000000000001</v>
      </c>
      <c r="W1497">
        <f t="shared" si="95"/>
        <v>1.0009999999999999</v>
      </c>
      <c r="X1497">
        <v>5</v>
      </c>
    </row>
    <row r="1498" spans="1:24" x14ac:dyDescent="0.3">
      <c r="A1498">
        <v>1497</v>
      </c>
      <c r="B1498" t="s">
        <v>3251</v>
      </c>
      <c r="C1498" s="6">
        <v>45693</v>
      </c>
      <c r="D1498" t="str">
        <f t="shared" si="92"/>
        <v>Feb</v>
      </c>
      <c r="E1498" t="str">
        <f t="shared" si="93"/>
        <v>2025</v>
      </c>
      <c r="F1498" t="s">
        <v>4</v>
      </c>
      <c r="G1498" t="s">
        <v>486</v>
      </c>
      <c r="H1498" t="s">
        <v>1565</v>
      </c>
      <c r="I1498">
        <v>180</v>
      </c>
      <c r="J1498">
        <v>18</v>
      </c>
      <c r="K1498">
        <f t="shared" si="94"/>
        <v>10</v>
      </c>
      <c r="L1498" t="s">
        <v>1738</v>
      </c>
      <c r="M1498" t="s">
        <v>3817</v>
      </c>
      <c r="N1498" t="s">
        <v>1</v>
      </c>
      <c r="O1498">
        <v>679303</v>
      </c>
      <c r="P1498" t="s">
        <v>546</v>
      </c>
      <c r="Q1498" t="s">
        <v>1765</v>
      </c>
      <c r="S1498">
        <v>16.783999999999999</v>
      </c>
      <c r="T1498">
        <v>1</v>
      </c>
      <c r="U1498">
        <v>0.2</v>
      </c>
      <c r="V1498">
        <v>-0.20979999999999999</v>
      </c>
      <c r="W1498">
        <f t="shared" si="95"/>
        <v>16.9938</v>
      </c>
      <c r="X1498">
        <v>5</v>
      </c>
    </row>
    <row r="1499" spans="1:24" x14ac:dyDescent="0.3">
      <c r="A1499">
        <v>1498</v>
      </c>
      <c r="B1499" t="s">
        <v>3252</v>
      </c>
      <c r="C1499" s="6">
        <v>45694</v>
      </c>
      <c r="D1499" t="str">
        <f t="shared" si="92"/>
        <v>Feb</v>
      </c>
      <c r="E1499" t="str">
        <f t="shared" si="93"/>
        <v>2025</v>
      </c>
      <c r="F1499" t="s">
        <v>4</v>
      </c>
      <c r="G1499" t="s">
        <v>486</v>
      </c>
      <c r="H1499" t="s">
        <v>716</v>
      </c>
      <c r="I1499">
        <v>130</v>
      </c>
      <c r="J1499">
        <v>10</v>
      </c>
      <c r="K1499">
        <f t="shared" si="94"/>
        <v>7.6923076923076925</v>
      </c>
      <c r="L1499" t="s">
        <v>1737</v>
      </c>
      <c r="M1499" t="s">
        <v>3911</v>
      </c>
      <c r="N1499" t="s">
        <v>1</v>
      </c>
      <c r="O1499">
        <v>500090</v>
      </c>
      <c r="P1499" t="s">
        <v>546</v>
      </c>
      <c r="Q1499" t="s">
        <v>1756</v>
      </c>
      <c r="S1499">
        <v>13.12</v>
      </c>
      <c r="T1499">
        <v>5</v>
      </c>
      <c r="U1499">
        <v>0.2</v>
      </c>
      <c r="V1499">
        <v>3.7719999999999998</v>
      </c>
      <c r="W1499">
        <f t="shared" si="95"/>
        <v>1.8695999999999997</v>
      </c>
      <c r="X1499">
        <v>4</v>
      </c>
    </row>
    <row r="1500" spans="1:24" x14ac:dyDescent="0.3">
      <c r="A1500">
        <v>1499</v>
      </c>
      <c r="B1500" t="s">
        <v>3253</v>
      </c>
      <c r="C1500" s="6">
        <v>45695</v>
      </c>
      <c r="D1500" t="str">
        <f t="shared" si="92"/>
        <v>Feb</v>
      </c>
      <c r="E1500" t="str">
        <f t="shared" si="93"/>
        <v>2025</v>
      </c>
      <c r="F1500" t="s">
        <v>5</v>
      </c>
      <c r="G1500" t="s">
        <v>78</v>
      </c>
      <c r="H1500" t="s">
        <v>656</v>
      </c>
      <c r="I1500">
        <v>150</v>
      </c>
      <c r="J1500">
        <v>10</v>
      </c>
      <c r="K1500">
        <f t="shared" si="94"/>
        <v>6.666666666666667</v>
      </c>
      <c r="L1500" t="s">
        <v>1743</v>
      </c>
      <c r="M1500" t="s">
        <v>3912</v>
      </c>
      <c r="N1500" t="s">
        <v>1</v>
      </c>
      <c r="O1500">
        <v>600085</v>
      </c>
      <c r="P1500" t="s">
        <v>546</v>
      </c>
      <c r="Q1500" t="s">
        <v>1754</v>
      </c>
      <c r="S1500">
        <v>18.16</v>
      </c>
      <c r="T1500">
        <v>5</v>
      </c>
      <c r="U1500">
        <v>0.2</v>
      </c>
      <c r="V1500">
        <v>6.5830000000000002</v>
      </c>
      <c r="W1500">
        <f t="shared" si="95"/>
        <v>2.3153999999999999</v>
      </c>
      <c r="X1500">
        <v>3</v>
      </c>
    </row>
    <row r="1501" spans="1:24" x14ac:dyDescent="0.3">
      <c r="A1501">
        <v>1500</v>
      </c>
      <c r="B1501" t="s">
        <v>3254</v>
      </c>
      <c r="C1501" s="6">
        <v>45696</v>
      </c>
      <c r="D1501" t="str">
        <f t="shared" si="92"/>
        <v>Feb</v>
      </c>
      <c r="E1501" t="str">
        <f t="shared" si="93"/>
        <v>2025</v>
      </c>
      <c r="F1501" t="s">
        <v>4</v>
      </c>
      <c r="G1501" t="s">
        <v>166</v>
      </c>
      <c r="H1501" t="s">
        <v>733</v>
      </c>
      <c r="I1501">
        <v>120</v>
      </c>
      <c r="J1501">
        <v>14</v>
      </c>
      <c r="K1501">
        <f t="shared" si="94"/>
        <v>11.666666666666666</v>
      </c>
      <c r="L1501" t="s">
        <v>1738</v>
      </c>
      <c r="M1501" t="s">
        <v>3662</v>
      </c>
      <c r="N1501" t="s">
        <v>1</v>
      </c>
      <c r="O1501">
        <v>110031</v>
      </c>
      <c r="P1501" t="s">
        <v>546</v>
      </c>
      <c r="Q1501" t="s">
        <v>1767</v>
      </c>
      <c r="R1501" t="s">
        <v>2</v>
      </c>
      <c r="S1501">
        <v>16.056000000000001</v>
      </c>
      <c r="T1501">
        <v>3</v>
      </c>
      <c r="U1501">
        <v>0.2</v>
      </c>
      <c r="V1501">
        <v>5.8202999999999996</v>
      </c>
      <c r="W1501">
        <f t="shared" si="95"/>
        <v>3.4119000000000006</v>
      </c>
      <c r="X1501">
        <v>4</v>
      </c>
    </row>
    <row r="1502" spans="1:24" x14ac:dyDescent="0.3">
      <c r="A1502">
        <v>1501</v>
      </c>
      <c r="B1502" t="s">
        <v>3255</v>
      </c>
      <c r="C1502" s="6">
        <v>45697</v>
      </c>
      <c r="D1502" t="str">
        <f t="shared" si="92"/>
        <v>Feb</v>
      </c>
      <c r="E1502" t="str">
        <f t="shared" si="93"/>
        <v>2025</v>
      </c>
      <c r="F1502" t="s">
        <v>4</v>
      </c>
      <c r="G1502" t="s">
        <v>166</v>
      </c>
      <c r="H1502" t="s">
        <v>1566</v>
      </c>
      <c r="I1502">
        <v>130</v>
      </c>
      <c r="J1502">
        <v>16</v>
      </c>
      <c r="K1502">
        <f t="shared" si="94"/>
        <v>12.307692307692308</v>
      </c>
      <c r="L1502" t="s">
        <v>1739</v>
      </c>
      <c r="M1502" t="s">
        <v>3617</v>
      </c>
      <c r="N1502" t="s">
        <v>1</v>
      </c>
      <c r="O1502">
        <v>201009</v>
      </c>
      <c r="P1502" t="s">
        <v>546</v>
      </c>
      <c r="Q1502" t="s">
        <v>1759</v>
      </c>
      <c r="S1502">
        <v>223.05600000000001</v>
      </c>
      <c r="T1502">
        <v>9</v>
      </c>
      <c r="U1502">
        <v>0.2</v>
      </c>
      <c r="V1502">
        <v>69.704999999999998</v>
      </c>
      <c r="W1502">
        <f t="shared" si="95"/>
        <v>17.039000000000001</v>
      </c>
      <c r="X1502">
        <v>1</v>
      </c>
    </row>
    <row r="1503" spans="1:24" x14ac:dyDescent="0.3">
      <c r="A1503">
        <v>1502</v>
      </c>
      <c r="B1503" t="s">
        <v>3256</v>
      </c>
      <c r="C1503" s="6">
        <v>45698</v>
      </c>
      <c r="D1503" t="str">
        <f t="shared" si="92"/>
        <v>Feb</v>
      </c>
      <c r="E1503" t="str">
        <f t="shared" si="93"/>
        <v>2025</v>
      </c>
      <c r="F1503" t="s">
        <v>4</v>
      </c>
      <c r="G1503" t="s">
        <v>166</v>
      </c>
      <c r="H1503" t="s">
        <v>1453</v>
      </c>
      <c r="I1503">
        <v>150</v>
      </c>
      <c r="J1503">
        <v>12</v>
      </c>
      <c r="K1503">
        <f t="shared" si="94"/>
        <v>8</v>
      </c>
      <c r="L1503" t="s">
        <v>1741</v>
      </c>
      <c r="M1503" t="s">
        <v>3820</v>
      </c>
      <c r="N1503" t="s">
        <v>1</v>
      </c>
      <c r="O1503">
        <v>400101</v>
      </c>
      <c r="P1503" t="s">
        <v>546</v>
      </c>
      <c r="Q1503" t="s">
        <v>1776</v>
      </c>
      <c r="S1503">
        <v>540.048</v>
      </c>
      <c r="T1503">
        <v>3</v>
      </c>
      <c r="U1503">
        <v>0.2</v>
      </c>
      <c r="V1503">
        <v>-47.254199999999997</v>
      </c>
      <c r="W1503">
        <f t="shared" si="95"/>
        <v>195.76739999999998</v>
      </c>
      <c r="X1503">
        <v>2</v>
      </c>
    </row>
    <row r="1504" spans="1:24" x14ac:dyDescent="0.3">
      <c r="A1504">
        <v>1503</v>
      </c>
      <c r="B1504" t="s">
        <v>3257</v>
      </c>
      <c r="C1504" s="6">
        <v>45699</v>
      </c>
      <c r="D1504" t="str">
        <f t="shared" si="92"/>
        <v>Feb</v>
      </c>
      <c r="E1504" t="str">
        <f t="shared" si="93"/>
        <v>2025</v>
      </c>
      <c r="F1504" t="s">
        <v>4</v>
      </c>
      <c r="G1504" t="s">
        <v>408</v>
      </c>
      <c r="H1504" t="s">
        <v>1567</v>
      </c>
      <c r="I1504">
        <v>160</v>
      </c>
      <c r="J1504">
        <v>10</v>
      </c>
      <c r="K1504">
        <f t="shared" si="94"/>
        <v>6.25</v>
      </c>
      <c r="L1504" t="s">
        <v>1736</v>
      </c>
      <c r="M1504" t="s">
        <v>3821</v>
      </c>
      <c r="N1504" t="s">
        <v>1</v>
      </c>
      <c r="O1504">
        <v>834005</v>
      </c>
      <c r="P1504" t="s">
        <v>546</v>
      </c>
      <c r="Q1504" t="s">
        <v>1767</v>
      </c>
      <c r="S1504">
        <v>33.520000000000003</v>
      </c>
      <c r="T1504">
        <v>2</v>
      </c>
      <c r="U1504">
        <v>0.2</v>
      </c>
      <c r="V1504">
        <v>3.3519999999999999</v>
      </c>
      <c r="W1504">
        <f t="shared" si="95"/>
        <v>15.084000000000001</v>
      </c>
      <c r="X1504">
        <v>5</v>
      </c>
    </row>
    <row r="1505" spans="1:24" x14ac:dyDescent="0.3">
      <c r="A1505">
        <v>1504</v>
      </c>
      <c r="B1505" t="s">
        <v>3258</v>
      </c>
      <c r="C1505" s="6">
        <v>45700</v>
      </c>
      <c r="D1505" t="str">
        <f t="shared" si="92"/>
        <v>Feb</v>
      </c>
      <c r="E1505" t="str">
        <f t="shared" si="93"/>
        <v>2025</v>
      </c>
      <c r="F1505" t="s">
        <v>4</v>
      </c>
      <c r="G1505" t="s">
        <v>408</v>
      </c>
      <c r="H1505" t="s">
        <v>1074</v>
      </c>
      <c r="I1505">
        <v>250</v>
      </c>
      <c r="J1505">
        <v>28</v>
      </c>
      <c r="K1505">
        <f t="shared" si="94"/>
        <v>11.200000000000001</v>
      </c>
      <c r="L1505" t="s">
        <v>1744</v>
      </c>
      <c r="M1505" t="s">
        <v>3822</v>
      </c>
      <c r="N1505" t="s">
        <v>1</v>
      </c>
      <c r="O1505">
        <v>691602</v>
      </c>
      <c r="P1505" t="s">
        <v>546</v>
      </c>
      <c r="Q1505" t="s">
        <v>1776</v>
      </c>
      <c r="S1505">
        <v>9.94</v>
      </c>
      <c r="T1505">
        <v>2</v>
      </c>
      <c r="U1505">
        <v>0</v>
      </c>
      <c r="V1505">
        <v>3.0813999999999999</v>
      </c>
      <c r="W1505">
        <f t="shared" si="95"/>
        <v>3.4292999999999996</v>
      </c>
      <c r="X1505">
        <v>3</v>
      </c>
    </row>
    <row r="1506" spans="1:24" x14ac:dyDescent="0.3">
      <c r="A1506">
        <v>1505</v>
      </c>
      <c r="B1506" t="s">
        <v>3259</v>
      </c>
      <c r="C1506" s="6">
        <v>45701</v>
      </c>
      <c r="D1506" t="str">
        <f t="shared" si="92"/>
        <v>Feb</v>
      </c>
      <c r="E1506" t="str">
        <f t="shared" si="93"/>
        <v>2025</v>
      </c>
      <c r="F1506" t="s">
        <v>4</v>
      </c>
      <c r="G1506" t="s">
        <v>487</v>
      </c>
      <c r="H1506" t="s">
        <v>606</v>
      </c>
      <c r="I1506">
        <v>200</v>
      </c>
      <c r="J1506">
        <v>24</v>
      </c>
      <c r="K1506">
        <f t="shared" si="94"/>
        <v>12</v>
      </c>
      <c r="L1506" t="s">
        <v>1740</v>
      </c>
      <c r="M1506" t="s">
        <v>3823</v>
      </c>
      <c r="N1506" t="s">
        <v>1</v>
      </c>
      <c r="O1506">
        <v>327001</v>
      </c>
      <c r="P1506" t="s">
        <v>546</v>
      </c>
      <c r="Q1506" t="s">
        <v>1759</v>
      </c>
      <c r="R1506" t="s">
        <v>2</v>
      </c>
      <c r="S1506">
        <v>6.72</v>
      </c>
      <c r="T1506">
        <v>4</v>
      </c>
      <c r="U1506">
        <v>0</v>
      </c>
      <c r="V1506">
        <v>3.36</v>
      </c>
      <c r="W1506">
        <f t="shared" si="95"/>
        <v>0.84</v>
      </c>
      <c r="X1506">
        <v>3</v>
      </c>
    </row>
    <row r="1507" spans="1:24" x14ac:dyDescent="0.3">
      <c r="A1507">
        <v>1506</v>
      </c>
      <c r="B1507" t="s">
        <v>3260</v>
      </c>
      <c r="C1507" s="6">
        <v>45702</v>
      </c>
      <c r="D1507" t="str">
        <f t="shared" si="92"/>
        <v>Feb</v>
      </c>
      <c r="E1507" t="str">
        <f t="shared" si="93"/>
        <v>2025</v>
      </c>
      <c r="F1507" t="s">
        <v>4</v>
      </c>
      <c r="G1507" t="s">
        <v>487</v>
      </c>
      <c r="H1507" t="s">
        <v>1568</v>
      </c>
      <c r="I1507">
        <v>160</v>
      </c>
      <c r="J1507">
        <v>6</v>
      </c>
      <c r="K1507">
        <f t="shared" si="94"/>
        <v>3.75</v>
      </c>
      <c r="L1507" t="s">
        <v>1742</v>
      </c>
      <c r="M1507" t="s">
        <v>3687</v>
      </c>
      <c r="N1507" t="s">
        <v>1</v>
      </c>
      <c r="O1507">
        <v>700016</v>
      </c>
      <c r="P1507" t="s">
        <v>546</v>
      </c>
      <c r="Q1507" t="s">
        <v>1766</v>
      </c>
      <c r="R1507" t="s">
        <v>2</v>
      </c>
      <c r="S1507">
        <v>1004.976</v>
      </c>
      <c r="T1507">
        <v>6</v>
      </c>
      <c r="U1507">
        <v>0.2</v>
      </c>
      <c r="V1507">
        <v>-175.8708</v>
      </c>
      <c r="W1507">
        <f t="shared" si="95"/>
        <v>196.80780000000001</v>
      </c>
      <c r="X1507">
        <v>3</v>
      </c>
    </row>
    <row r="1508" spans="1:24" x14ac:dyDescent="0.3">
      <c r="A1508">
        <v>1507</v>
      </c>
      <c r="B1508" t="s">
        <v>3261</v>
      </c>
      <c r="C1508" s="6">
        <v>45703</v>
      </c>
      <c r="D1508" t="str">
        <f t="shared" si="92"/>
        <v>Feb</v>
      </c>
      <c r="E1508" t="str">
        <f t="shared" si="93"/>
        <v>2025</v>
      </c>
      <c r="F1508" t="s">
        <v>4</v>
      </c>
      <c r="G1508" t="s">
        <v>488</v>
      </c>
      <c r="H1508" t="s">
        <v>1532</v>
      </c>
      <c r="I1508">
        <v>130</v>
      </c>
      <c r="J1508">
        <v>18</v>
      </c>
      <c r="K1508">
        <f t="shared" si="94"/>
        <v>13.846153846153847</v>
      </c>
      <c r="L1508" t="s">
        <v>1739</v>
      </c>
      <c r="M1508" t="s">
        <v>3608</v>
      </c>
      <c r="N1508" t="s">
        <v>1</v>
      </c>
      <c r="O1508">
        <v>700016</v>
      </c>
      <c r="P1508" t="s">
        <v>546</v>
      </c>
      <c r="Q1508" t="s">
        <v>1772</v>
      </c>
      <c r="S1508">
        <v>17.88</v>
      </c>
      <c r="T1508">
        <v>3</v>
      </c>
      <c r="U1508">
        <v>0.2</v>
      </c>
      <c r="V1508">
        <v>5.5875000000000004</v>
      </c>
      <c r="W1508">
        <f t="shared" si="95"/>
        <v>4.0974999999999993</v>
      </c>
      <c r="X1508">
        <v>5</v>
      </c>
    </row>
    <row r="1509" spans="1:24" x14ac:dyDescent="0.3">
      <c r="A1509">
        <v>1508</v>
      </c>
      <c r="B1509" t="s">
        <v>3262</v>
      </c>
      <c r="C1509" s="6">
        <v>45704</v>
      </c>
      <c r="D1509" t="str">
        <f t="shared" si="92"/>
        <v>Feb</v>
      </c>
      <c r="E1509" t="str">
        <f t="shared" si="93"/>
        <v>2025</v>
      </c>
      <c r="F1509" t="s">
        <v>4</v>
      </c>
      <c r="G1509" t="s">
        <v>480</v>
      </c>
      <c r="H1509" t="s">
        <v>1569</v>
      </c>
      <c r="I1509">
        <v>230</v>
      </c>
      <c r="J1509">
        <v>24</v>
      </c>
      <c r="K1509">
        <f t="shared" si="94"/>
        <v>10.434782608695652</v>
      </c>
      <c r="L1509" t="s">
        <v>1738</v>
      </c>
      <c r="M1509" t="s">
        <v>3786</v>
      </c>
      <c r="N1509" t="s">
        <v>1</v>
      </c>
      <c r="O1509">
        <v>394101</v>
      </c>
      <c r="P1509" t="s">
        <v>546</v>
      </c>
      <c r="Q1509" t="s">
        <v>1767</v>
      </c>
      <c r="S1509">
        <v>396</v>
      </c>
      <c r="T1509">
        <v>4</v>
      </c>
      <c r="U1509">
        <v>0</v>
      </c>
      <c r="V1509">
        <v>190.08</v>
      </c>
      <c r="W1509">
        <f t="shared" si="95"/>
        <v>51.48</v>
      </c>
      <c r="X1509">
        <v>2</v>
      </c>
    </row>
    <row r="1510" spans="1:24" x14ac:dyDescent="0.3">
      <c r="A1510">
        <v>1509</v>
      </c>
      <c r="B1510" t="s">
        <v>3263</v>
      </c>
      <c r="C1510" s="6">
        <v>45705</v>
      </c>
      <c r="D1510" t="str">
        <f t="shared" si="92"/>
        <v>Feb</v>
      </c>
      <c r="E1510" t="str">
        <f t="shared" si="93"/>
        <v>2025</v>
      </c>
      <c r="F1510" t="s">
        <v>6</v>
      </c>
      <c r="G1510" t="s">
        <v>67</v>
      </c>
      <c r="H1510" t="s">
        <v>1570</v>
      </c>
      <c r="I1510">
        <v>240</v>
      </c>
      <c r="J1510">
        <v>14</v>
      </c>
      <c r="K1510">
        <f t="shared" si="94"/>
        <v>5.833333333333333</v>
      </c>
      <c r="L1510" t="s">
        <v>1743</v>
      </c>
      <c r="M1510" t="s">
        <v>3690</v>
      </c>
      <c r="N1510" t="s">
        <v>1</v>
      </c>
      <c r="O1510">
        <v>394101</v>
      </c>
      <c r="P1510" t="s">
        <v>546</v>
      </c>
      <c r="Q1510" t="s">
        <v>1762</v>
      </c>
      <c r="R1510" t="s">
        <v>2</v>
      </c>
      <c r="S1510">
        <v>34.5</v>
      </c>
      <c r="T1510">
        <v>3</v>
      </c>
      <c r="U1510">
        <v>0</v>
      </c>
      <c r="V1510">
        <v>15.525</v>
      </c>
      <c r="W1510">
        <f t="shared" si="95"/>
        <v>6.3250000000000002</v>
      </c>
      <c r="X1510">
        <v>4</v>
      </c>
    </row>
    <row r="1511" spans="1:24" x14ac:dyDescent="0.3">
      <c r="A1511">
        <v>1510</v>
      </c>
      <c r="B1511" t="s">
        <v>3264</v>
      </c>
      <c r="C1511" s="6">
        <v>45706</v>
      </c>
      <c r="D1511" t="str">
        <f t="shared" si="92"/>
        <v>Feb</v>
      </c>
      <c r="E1511" t="str">
        <f t="shared" si="93"/>
        <v>2025</v>
      </c>
      <c r="F1511" t="s">
        <v>5</v>
      </c>
      <c r="G1511" t="s">
        <v>348</v>
      </c>
      <c r="H1511" t="s">
        <v>1553</v>
      </c>
      <c r="I1511">
        <v>150</v>
      </c>
      <c r="J1511">
        <v>20</v>
      </c>
      <c r="K1511">
        <f t="shared" si="94"/>
        <v>13.333333333333334</v>
      </c>
      <c r="L1511" t="s">
        <v>1737</v>
      </c>
      <c r="M1511" t="s">
        <v>3824</v>
      </c>
      <c r="N1511" t="s">
        <v>1</v>
      </c>
      <c r="O1511">
        <v>500075</v>
      </c>
      <c r="P1511" t="s">
        <v>546</v>
      </c>
      <c r="Q1511" t="s">
        <v>1767</v>
      </c>
      <c r="S1511">
        <v>8.36</v>
      </c>
      <c r="T1511">
        <v>2</v>
      </c>
      <c r="U1511">
        <v>0</v>
      </c>
      <c r="V1511">
        <v>3.0095999999999998</v>
      </c>
      <c r="W1511">
        <f t="shared" si="95"/>
        <v>2.6751999999999998</v>
      </c>
      <c r="X1511">
        <v>2</v>
      </c>
    </row>
    <row r="1512" spans="1:24" x14ac:dyDescent="0.3">
      <c r="A1512">
        <v>1511</v>
      </c>
      <c r="B1512" t="s">
        <v>3265</v>
      </c>
      <c r="C1512" s="6">
        <v>45707</v>
      </c>
      <c r="D1512" t="str">
        <f t="shared" si="92"/>
        <v>Feb</v>
      </c>
      <c r="E1512" t="str">
        <f t="shared" si="93"/>
        <v>2025</v>
      </c>
      <c r="F1512" t="s">
        <v>4</v>
      </c>
      <c r="G1512" t="s">
        <v>475</v>
      </c>
      <c r="H1512" t="s">
        <v>828</v>
      </c>
      <c r="I1512">
        <v>110</v>
      </c>
      <c r="J1512">
        <v>30</v>
      </c>
      <c r="K1512">
        <f t="shared" si="94"/>
        <v>27.27272727272727</v>
      </c>
      <c r="L1512" t="s">
        <v>1741</v>
      </c>
      <c r="M1512" t="s">
        <v>3825</v>
      </c>
      <c r="O1512">
        <v>201012</v>
      </c>
      <c r="P1512" t="s">
        <v>546</v>
      </c>
      <c r="Q1512" t="s">
        <v>1754</v>
      </c>
      <c r="S1512">
        <v>385.6</v>
      </c>
      <c r="T1512">
        <v>8</v>
      </c>
      <c r="U1512">
        <v>0</v>
      </c>
      <c r="V1512">
        <v>111.824</v>
      </c>
      <c r="W1512">
        <f t="shared" si="95"/>
        <v>34.222000000000001</v>
      </c>
      <c r="X1512">
        <v>5</v>
      </c>
    </row>
    <row r="1513" spans="1:24" x14ac:dyDescent="0.3">
      <c r="A1513">
        <v>1512</v>
      </c>
      <c r="B1513" t="s">
        <v>3266</v>
      </c>
      <c r="C1513" s="6">
        <v>45708</v>
      </c>
      <c r="D1513" t="str">
        <f t="shared" si="92"/>
        <v>Feb</v>
      </c>
      <c r="E1513" t="str">
        <f t="shared" si="93"/>
        <v>2025</v>
      </c>
      <c r="F1513" t="s">
        <v>4</v>
      </c>
      <c r="G1513" t="s">
        <v>475</v>
      </c>
      <c r="H1513" t="s">
        <v>728</v>
      </c>
      <c r="I1513">
        <v>160</v>
      </c>
      <c r="J1513">
        <v>8</v>
      </c>
      <c r="K1513">
        <f t="shared" si="94"/>
        <v>5</v>
      </c>
      <c r="L1513" t="s">
        <v>1736</v>
      </c>
      <c r="M1513" t="s">
        <v>3644</v>
      </c>
      <c r="N1513" t="s">
        <v>1</v>
      </c>
      <c r="O1513">
        <v>560098</v>
      </c>
      <c r="P1513" t="s">
        <v>546</v>
      </c>
      <c r="Q1513" t="s">
        <v>1760</v>
      </c>
      <c r="S1513">
        <v>35.82</v>
      </c>
      <c r="T1513">
        <v>9</v>
      </c>
      <c r="U1513">
        <v>0</v>
      </c>
      <c r="V1513">
        <v>11.820600000000001</v>
      </c>
      <c r="W1513">
        <f t="shared" si="95"/>
        <v>2.6666000000000003</v>
      </c>
      <c r="X1513">
        <v>4</v>
      </c>
    </row>
    <row r="1514" spans="1:24" x14ac:dyDescent="0.3">
      <c r="A1514">
        <v>1513</v>
      </c>
      <c r="B1514" t="s">
        <v>3267</v>
      </c>
      <c r="C1514" s="6">
        <v>45709</v>
      </c>
      <c r="D1514" t="str">
        <f t="shared" si="92"/>
        <v>Feb</v>
      </c>
      <c r="E1514" t="str">
        <f t="shared" si="93"/>
        <v>2025</v>
      </c>
      <c r="F1514" t="s">
        <v>4</v>
      </c>
      <c r="G1514" t="s">
        <v>161</v>
      </c>
      <c r="H1514" t="s">
        <v>772</v>
      </c>
      <c r="I1514">
        <v>120</v>
      </c>
      <c r="J1514">
        <v>12</v>
      </c>
      <c r="K1514">
        <f t="shared" si="94"/>
        <v>10</v>
      </c>
      <c r="L1514" t="s">
        <v>1744</v>
      </c>
      <c r="M1514" t="s">
        <v>3826</v>
      </c>
      <c r="N1514" t="s">
        <v>1</v>
      </c>
      <c r="O1514">
        <v>360006</v>
      </c>
      <c r="P1514" t="s">
        <v>546</v>
      </c>
      <c r="Q1514" t="s">
        <v>1774</v>
      </c>
      <c r="S1514">
        <v>200.06399999999999</v>
      </c>
      <c r="T1514">
        <v>3</v>
      </c>
      <c r="U1514">
        <v>0.2</v>
      </c>
      <c r="V1514">
        <v>12.504</v>
      </c>
      <c r="W1514">
        <f t="shared" si="95"/>
        <v>62.52</v>
      </c>
      <c r="X1514">
        <v>1</v>
      </c>
    </row>
    <row r="1515" spans="1:24" x14ac:dyDescent="0.3">
      <c r="A1515">
        <v>1514</v>
      </c>
      <c r="B1515" t="s">
        <v>3268</v>
      </c>
      <c r="C1515" s="6">
        <v>45710</v>
      </c>
      <c r="D1515" t="str">
        <f t="shared" si="92"/>
        <v>Feb</v>
      </c>
      <c r="E1515" t="str">
        <f t="shared" si="93"/>
        <v>2025</v>
      </c>
      <c r="F1515" t="s">
        <v>4</v>
      </c>
      <c r="G1515" t="s">
        <v>161</v>
      </c>
      <c r="H1515" t="s">
        <v>957</v>
      </c>
      <c r="I1515">
        <v>180</v>
      </c>
      <c r="J1515">
        <v>26</v>
      </c>
      <c r="K1515">
        <f t="shared" si="94"/>
        <v>14.444444444444443</v>
      </c>
      <c r="L1515" t="s">
        <v>1740</v>
      </c>
      <c r="M1515" t="s">
        <v>3827</v>
      </c>
      <c r="N1515" t="s">
        <v>1</v>
      </c>
      <c r="O1515">
        <v>600096</v>
      </c>
      <c r="P1515" t="s">
        <v>546</v>
      </c>
      <c r="Q1515" t="s">
        <v>1763</v>
      </c>
      <c r="R1515" t="s">
        <v>2</v>
      </c>
      <c r="S1515">
        <v>21.38</v>
      </c>
      <c r="T1515">
        <v>5</v>
      </c>
      <c r="U1515">
        <v>0.8</v>
      </c>
      <c r="V1515">
        <v>-33.139000000000003</v>
      </c>
      <c r="W1515">
        <f t="shared" si="95"/>
        <v>10.9038</v>
      </c>
      <c r="X1515">
        <v>1</v>
      </c>
    </row>
    <row r="1516" spans="1:24" x14ac:dyDescent="0.3">
      <c r="A1516">
        <v>1515</v>
      </c>
      <c r="B1516" t="s">
        <v>3269</v>
      </c>
      <c r="C1516" s="6">
        <v>45711</v>
      </c>
      <c r="D1516" t="str">
        <f t="shared" si="92"/>
        <v>Feb</v>
      </c>
      <c r="E1516" t="str">
        <f t="shared" si="93"/>
        <v>2025</v>
      </c>
      <c r="F1516" t="s">
        <v>4</v>
      </c>
      <c r="G1516" t="s">
        <v>161</v>
      </c>
      <c r="H1516" t="s">
        <v>1221</v>
      </c>
      <c r="I1516">
        <v>150</v>
      </c>
      <c r="J1516">
        <v>22</v>
      </c>
      <c r="K1516">
        <f t="shared" si="94"/>
        <v>14.666666666666666</v>
      </c>
      <c r="L1516" t="s">
        <v>1742</v>
      </c>
      <c r="M1516" t="s">
        <v>3656</v>
      </c>
      <c r="N1516" t="s">
        <v>1</v>
      </c>
      <c r="O1516">
        <v>415712</v>
      </c>
      <c r="P1516" t="s">
        <v>546</v>
      </c>
      <c r="Q1516" t="s">
        <v>1776</v>
      </c>
      <c r="S1516">
        <v>6.7439999999999998</v>
      </c>
      <c r="T1516">
        <v>4</v>
      </c>
      <c r="U1516">
        <v>0.8</v>
      </c>
      <c r="V1516">
        <v>-11.4648</v>
      </c>
      <c r="W1516">
        <f t="shared" si="95"/>
        <v>4.5522</v>
      </c>
      <c r="X1516">
        <v>5</v>
      </c>
    </row>
    <row r="1517" spans="1:24" x14ac:dyDescent="0.3">
      <c r="A1517">
        <v>1516</v>
      </c>
      <c r="B1517" t="s">
        <v>3270</v>
      </c>
      <c r="C1517" s="6">
        <v>45712</v>
      </c>
      <c r="D1517" t="str">
        <f t="shared" si="92"/>
        <v>Feb</v>
      </c>
      <c r="E1517" t="str">
        <f t="shared" si="93"/>
        <v>2025</v>
      </c>
      <c r="F1517" t="s">
        <v>4</v>
      </c>
      <c r="G1517" t="s">
        <v>489</v>
      </c>
      <c r="H1517" t="s">
        <v>1502</v>
      </c>
      <c r="I1517">
        <v>210</v>
      </c>
      <c r="J1517">
        <v>28</v>
      </c>
      <c r="K1517">
        <f t="shared" si="94"/>
        <v>13.333333333333334</v>
      </c>
      <c r="L1517" t="s">
        <v>1739</v>
      </c>
      <c r="M1517" t="s">
        <v>3657</v>
      </c>
      <c r="N1517" t="s">
        <v>1</v>
      </c>
      <c r="O1517">
        <v>202001</v>
      </c>
      <c r="P1517" t="s">
        <v>546</v>
      </c>
      <c r="Q1517" t="s">
        <v>1774</v>
      </c>
      <c r="S1517">
        <v>63.686</v>
      </c>
      <c r="T1517">
        <v>1</v>
      </c>
      <c r="U1517">
        <v>0.3</v>
      </c>
      <c r="V1517">
        <v>-9.0980000000000008</v>
      </c>
      <c r="W1517">
        <f t="shared" si="95"/>
        <v>72.784000000000006</v>
      </c>
      <c r="X1517">
        <v>4</v>
      </c>
    </row>
    <row r="1518" spans="1:24" x14ac:dyDescent="0.3">
      <c r="A1518">
        <v>1517</v>
      </c>
      <c r="B1518" t="s">
        <v>3271</v>
      </c>
      <c r="C1518" s="6">
        <v>45713</v>
      </c>
      <c r="D1518" t="str">
        <f t="shared" si="92"/>
        <v>Feb</v>
      </c>
      <c r="E1518" t="str">
        <f t="shared" si="93"/>
        <v>2025</v>
      </c>
      <c r="F1518" t="s">
        <v>3</v>
      </c>
      <c r="G1518" t="s">
        <v>273</v>
      </c>
      <c r="H1518" t="s">
        <v>1036</v>
      </c>
      <c r="I1518">
        <v>190</v>
      </c>
      <c r="J1518">
        <v>18</v>
      </c>
      <c r="K1518">
        <f t="shared" si="94"/>
        <v>9.4736842105263168</v>
      </c>
      <c r="L1518" t="s">
        <v>1738</v>
      </c>
      <c r="M1518" t="s">
        <v>3778</v>
      </c>
      <c r="N1518" t="s">
        <v>1</v>
      </c>
      <c r="O1518">
        <v>400059</v>
      </c>
      <c r="P1518" t="s">
        <v>546</v>
      </c>
      <c r="Q1518" t="s">
        <v>1757</v>
      </c>
      <c r="S1518">
        <v>1669.6</v>
      </c>
      <c r="T1518">
        <v>4</v>
      </c>
      <c r="U1518">
        <v>0</v>
      </c>
      <c r="V1518">
        <v>116.872</v>
      </c>
      <c r="W1518">
        <f t="shared" si="95"/>
        <v>388.18199999999996</v>
      </c>
      <c r="X1518">
        <v>3</v>
      </c>
    </row>
    <row r="1519" spans="1:24" x14ac:dyDescent="0.3">
      <c r="A1519">
        <v>1518</v>
      </c>
      <c r="B1519" t="s">
        <v>3272</v>
      </c>
      <c r="C1519" s="6">
        <v>45714</v>
      </c>
      <c r="D1519" t="str">
        <f t="shared" si="92"/>
        <v>Feb</v>
      </c>
      <c r="E1519" t="str">
        <f t="shared" si="93"/>
        <v>2025</v>
      </c>
      <c r="F1519" t="s">
        <v>3</v>
      </c>
      <c r="G1519" t="s">
        <v>490</v>
      </c>
      <c r="H1519" t="s">
        <v>817</v>
      </c>
      <c r="I1519">
        <v>150</v>
      </c>
      <c r="J1519">
        <v>22</v>
      </c>
      <c r="K1519">
        <f t="shared" si="94"/>
        <v>14.666666666666666</v>
      </c>
      <c r="L1519" t="s">
        <v>1737</v>
      </c>
      <c r="M1519" t="s">
        <v>3828</v>
      </c>
      <c r="N1519" t="s">
        <v>1</v>
      </c>
      <c r="O1519">
        <v>201308</v>
      </c>
      <c r="P1519" t="s">
        <v>546</v>
      </c>
      <c r="Q1519" t="s">
        <v>1764</v>
      </c>
      <c r="S1519">
        <v>83.84</v>
      </c>
      <c r="T1519">
        <v>2</v>
      </c>
      <c r="U1519">
        <v>0.2</v>
      </c>
      <c r="V1519">
        <v>27.248000000000001</v>
      </c>
      <c r="W1519">
        <f t="shared" si="95"/>
        <v>28.295999999999999</v>
      </c>
      <c r="X1519">
        <v>4</v>
      </c>
    </row>
    <row r="1520" spans="1:24" x14ac:dyDescent="0.3">
      <c r="A1520">
        <v>1519</v>
      </c>
      <c r="B1520" t="s">
        <v>3273</v>
      </c>
      <c r="C1520" s="6">
        <v>45715</v>
      </c>
      <c r="D1520" t="str">
        <f t="shared" si="92"/>
        <v>Feb</v>
      </c>
      <c r="E1520" t="str">
        <f t="shared" si="93"/>
        <v>2025</v>
      </c>
      <c r="F1520" t="s">
        <v>3</v>
      </c>
      <c r="G1520" t="s">
        <v>490</v>
      </c>
      <c r="H1520" t="s">
        <v>1102</v>
      </c>
      <c r="I1520">
        <v>120</v>
      </c>
      <c r="J1520">
        <v>16</v>
      </c>
      <c r="K1520">
        <f t="shared" si="94"/>
        <v>13.333333333333334</v>
      </c>
      <c r="L1520" t="s">
        <v>1743</v>
      </c>
      <c r="M1520" t="s">
        <v>3829</v>
      </c>
      <c r="N1520" t="s">
        <v>1</v>
      </c>
      <c r="O1520">
        <v>201308</v>
      </c>
      <c r="P1520" t="s">
        <v>546</v>
      </c>
      <c r="Q1520" t="s">
        <v>1766</v>
      </c>
      <c r="S1520">
        <v>13.272</v>
      </c>
      <c r="T1520">
        <v>3</v>
      </c>
      <c r="U1520">
        <v>0.2</v>
      </c>
      <c r="V1520">
        <v>4.3133999999999997</v>
      </c>
      <c r="W1520">
        <f t="shared" si="95"/>
        <v>2.9862000000000002</v>
      </c>
      <c r="X1520">
        <v>5</v>
      </c>
    </row>
    <row r="1521" spans="1:24" x14ac:dyDescent="0.3">
      <c r="A1521">
        <v>1520</v>
      </c>
      <c r="B1521" t="s">
        <v>3274</v>
      </c>
      <c r="C1521" s="6">
        <v>45716</v>
      </c>
      <c r="D1521" t="str">
        <f t="shared" si="92"/>
        <v>Feb</v>
      </c>
      <c r="E1521" t="str">
        <f t="shared" si="93"/>
        <v>2025</v>
      </c>
      <c r="F1521" t="s">
        <v>3</v>
      </c>
      <c r="G1521" t="s">
        <v>107</v>
      </c>
      <c r="H1521" t="s">
        <v>1280</v>
      </c>
      <c r="I1521">
        <v>190</v>
      </c>
      <c r="J1521">
        <v>12</v>
      </c>
      <c r="K1521">
        <f t="shared" si="94"/>
        <v>6.3157894736842106</v>
      </c>
      <c r="L1521" t="s">
        <v>1738</v>
      </c>
      <c r="M1521" t="s">
        <v>3788</v>
      </c>
      <c r="N1521" t="s">
        <v>1</v>
      </c>
      <c r="O1521">
        <v>201308</v>
      </c>
      <c r="P1521" t="s">
        <v>546</v>
      </c>
      <c r="Q1521" t="s">
        <v>1767</v>
      </c>
      <c r="S1521">
        <v>21.335999999999999</v>
      </c>
      <c r="T1521">
        <v>7</v>
      </c>
      <c r="U1521">
        <v>0.2</v>
      </c>
      <c r="V1521">
        <v>7.7343000000000002</v>
      </c>
      <c r="W1521">
        <f t="shared" si="95"/>
        <v>1.9430999999999996</v>
      </c>
      <c r="X1521">
        <v>4</v>
      </c>
    </row>
    <row r="1522" spans="1:24" x14ac:dyDescent="0.3">
      <c r="A1522">
        <v>1521</v>
      </c>
      <c r="B1522" t="s">
        <v>3275</v>
      </c>
      <c r="C1522" s="6">
        <v>45717</v>
      </c>
      <c r="D1522" t="str">
        <f t="shared" si="92"/>
        <v>Mar</v>
      </c>
      <c r="E1522" t="str">
        <f t="shared" si="93"/>
        <v>2025</v>
      </c>
      <c r="F1522" t="s">
        <v>4</v>
      </c>
      <c r="G1522" t="s">
        <v>491</v>
      </c>
      <c r="H1522" t="s">
        <v>1571</v>
      </c>
      <c r="I1522">
        <v>120</v>
      </c>
      <c r="J1522">
        <v>24</v>
      </c>
      <c r="K1522">
        <f t="shared" si="94"/>
        <v>20</v>
      </c>
      <c r="L1522" t="s">
        <v>1739</v>
      </c>
      <c r="M1522" t="s">
        <v>3721</v>
      </c>
      <c r="N1522" t="s">
        <v>1</v>
      </c>
      <c r="O1522">
        <v>201308</v>
      </c>
      <c r="P1522" t="s">
        <v>546</v>
      </c>
      <c r="Q1522" t="s">
        <v>1759</v>
      </c>
      <c r="S1522">
        <v>16.52</v>
      </c>
      <c r="T1522">
        <v>5</v>
      </c>
      <c r="U1522">
        <v>0.2</v>
      </c>
      <c r="V1522">
        <v>2.0649999999999999</v>
      </c>
      <c r="W1522">
        <f t="shared" si="95"/>
        <v>2.891</v>
      </c>
      <c r="X1522">
        <v>5</v>
      </c>
    </row>
    <row r="1523" spans="1:24" x14ac:dyDescent="0.3">
      <c r="A1523">
        <v>1522</v>
      </c>
      <c r="B1523" t="s">
        <v>3276</v>
      </c>
      <c r="C1523" s="6">
        <v>45718</v>
      </c>
      <c r="D1523" t="str">
        <f t="shared" si="92"/>
        <v>Mar</v>
      </c>
      <c r="E1523" t="str">
        <f t="shared" si="93"/>
        <v>2025</v>
      </c>
      <c r="F1523" t="s">
        <v>4</v>
      </c>
      <c r="G1523" t="s">
        <v>492</v>
      </c>
      <c r="H1523" t="s">
        <v>1139</v>
      </c>
      <c r="I1523">
        <v>150</v>
      </c>
      <c r="J1523">
        <v>16</v>
      </c>
      <c r="K1523">
        <f t="shared" si="94"/>
        <v>10.666666666666668</v>
      </c>
      <c r="L1523" t="s">
        <v>1741</v>
      </c>
      <c r="M1523" t="s">
        <v>3781</v>
      </c>
      <c r="N1523" t="s">
        <v>1</v>
      </c>
      <c r="O1523">
        <v>201308</v>
      </c>
      <c r="P1523" t="s">
        <v>546</v>
      </c>
      <c r="Q1523" t="s">
        <v>1775</v>
      </c>
      <c r="S1523">
        <v>206.11199999999999</v>
      </c>
      <c r="T1523">
        <v>6</v>
      </c>
      <c r="U1523">
        <v>0.2</v>
      </c>
      <c r="V1523">
        <v>48.951599999999999</v>
      </c>
      <c r="W1523">
        <f t="shared" si="95"/>
        <v>26.193399999999997</v>
      </c>
      <c r="X1523">
        <v>5</v>
      </c>
    </row>
    <row r="1524" spans="1:24" x14ac:dyDescent="0.3">
      <c r="A1524">
        <v>1523</v>
      </c>
      <c r="B1524" t="s">
        <v>3277</v>
      </c>
      <c r="C1524" s="6">
        <v>45719</v>
      </c>
      <c r="D1524" t="str">
        <f t="shared" si="92"/>
        <v>Mar</v>
      </c>
      <c r="E1524" t="str">
        <f t="shared" si="93"/>
        <v>2025</v>
      </c>
      <c r="F1524" t="s">
        <v>4</v>
      </c>
      <c r="G1524" t="s">
        <v>492</v>
      </c>
      <c r="H1524" t="s">
        <v>1572</v>
      </c>
      <c r="I1524">
        <v>170</v>
      </c>
      <c r="J1524">
        <v>26</v>
      </c>
      <c r="K1524">
        <f t="shared" si="94"/>
        <v>15.294117647058824</v>
      </c>
      <c r="L1524" t="s">
        <v>1736</v>
      </c>
      <c r="M1524" t="s">
        <v>3673</v>
      </c>
      <c r="N1524" t="s">
        <v>1</v>
      </c>
      <c r="O1524">
        <v>201308</v>
      </c>
      <c r="P1524" t="s">
        <v>546</v>
      </c>
      <c r="Q1524" t="s">
        <v>1773</v>
      </c>
      <c r="R1524" t="s">
        <v>2</v>
      </c>
      <c r="S1524">
        <v>19.920000000000002</v>
      </c>
      <c r="T1524">
        <v>5</v>
      </c>
      <c r="U1524">
        <v>0.2</v>
      </c>
      <c r="V1524">
        <v>6.7229999999999999</v>
      </c>
      <c r="W1524">
        <f t="shared" si="95"/>
        <v>2.6394000000000006</v>
      </c>
      <c r="X1524">
        <v>2</v>
      </c>
    </row>
    <row r="1525" spans="1:24" x14ac:dyDescent="0.3">
      <c r="A1525">
        <v>1524</v>
      </c>
      <c r="B1525" t="s">
        <v>3278</v>
      </c>
      <c r="C1525" s="6">
        <v>45720</v>
      </c>
      <c r="D1525" t="str">
        <f t="shared" si="92"/>
        <v>Mar</v>
      </c>
      <c r="E1525" t="str">
        <f t="shared" si="93"/>
        <v>2025</v>
      </c>
      <c r="F1525" t="s">
        <v>4</v>
      </c>
      <c r="G1525" t="s">
        <v>492</v>
      </c>
      <c r="H1525" t="s">
        <v>881</v>
      </c>
      <c r="I1525">
        <v>250</v>
      </c>
      <c r="J1525">
        <v>26</v>
      </c>
      <c r="K1525">
        <f t="shared" si="94"/>
        <v>10.4</v>
      </c>
      <c r="L1525" t="s">
        <v>1744</v>
      </c>
      <c r="M1525" t="s">
        <v>3585</v>
      </c>
      <c r="N1525" t="s">
        <v>1</v>
      </c>
      <c r="O1525">
        <v>201308</v>
      </c>
      <c r="P1525" t="s">
        <v>546</v>
      </c>
      <c r="Q1525" t="s">
        <v>1775</v>
      </c>
      <c r="R1525" t="s">
        <v>2</v>
      </c>
      <c r="S1525">
        <v>198.27199999999999</v>
      </c>
      <c r="T1525">
        <v>8</v>
      </c>
      <c r="U1525">
        <v>0.2</v>
      </c>
      <c r="V1525">
        <v>61.96</v>
      </c>
      <c r="W1525">
        <f t="shared" si="95"/>
        <v>17.038999999999998</v>
      </c>
      <c r="X1525">
        <v>4</v>
      </c>
    </row>
    <row r="1526" spans="1:24" x14ac:dyDescent="0.3">
      <c r="A1526">
        <v>1525</v>
      </c>
      <c r="B1526" t="s">
        <v>3279</v>
      </c>
      <c r="C1526" s="6">
        <v>45721</v>
      </c>
      <c r="D1526" t="str">
        <f t="shared" si="92"/>
        <v>Mar</v>
      </c>
      <c r="E1526" t="str">
        <f t="shared" si="93"/>
        <v>2025</v>
      </c>
      <c r="F1526" t="s">
        <v>4</v>
      </c>
      <c r="G1526" t="s">
        <v>492</v>
      </c>
      <c r="H1526" t="s">
        <v>779</v>
      </c>
      <c r="I1526">
        <v>130</v>
      </c>
      <c r="J1526">
        <v>8</v>
      </c>
      <c r="K1526">
        <f t="shared" si="94"/>
        <v>6.1538461538461542</v>
      </c>
      <c r="L1526" t="s">
        <v>1740</v>
      </c>
      <c r="M1526" t="s">
        <v>3830</v>
      </c>
      <c r="N1526" t="s">
        <v>1</v>
      </c>
      <c r="O1526">
        <v>201308</v>
      </c>
      <c r="P1526" t="s">
        <v>546</v>
      </c>
      <c r="Q1526" t="s">
        <v>1755</v>
      </c>
      <c r="R1526" t="s">
        <v>2</v>
      </c>
      <c r="S1526">
        <v>247.10400000000001</v>
      </c>
      <c r="T1526">
        <v>6</v>
      </c>
      <c r="U1526">
        <v>0.2</v>
      </c>
      <c r="V1526">
        <v>-58.687199999999997</v>
      </c>
      <c r="W1526">
        <f t="shared" si="95"/>
        <v>50.965200000000003</v>
      </c>
      <c r="X1526">
        <v>4</v>
      </c>
    </row>
    <row r="1527" spans="1:24" x14ac:dyDescent="0.3">
      <c r="A1527">
        <v>1526</v>
      </c>
      <c r="B1527" t="s">
        <v>3280</v>
      </c>
      <c r="C1527" s="6">
        <v>45722</v>
      </c>
      <c r="D1527" t="str">
        <f t="shared" si="92"/>
        <v>Mar</v>
      </c>
      <c r="E1527" t="str">
        <f t="shared" si="93"/>
        <v>2025</v>
      </c>
      <c r="F1527" t="s">
        <v>4</v>
      </c>
      <c r="G1527" t="s">
        <v>492</v>
      </c>
      <c r="H1527" t="s">
        <v>577</v>
      </c>
      <c r="I1527">
        <v>230</v>
      </c>
      <c r="J1527">
        <v>24</v>
      </c>
      <c r="K1527">
        <f t="shared" si="94"/>
        <v>10.434782608695652</v>
      </c>
      <c r="L1527" t="s">
        <v>1742</v>
      </c>
      <c r="M1527" t="s">
        <v>3696</v>
      </c>
      <c r="N1527" t="s">
        <v>1</v>
      </c>
      <c r="O1527">
        <v>201308</v>
      </c>
      <c r="P1527" t="s">
        <v>546</v>
      </c>
      <c r="Q1527" t="s">
        <v>1771</v>
      </c>
      <c r="R1527" t="s">
        <v>2</v>
      </c>
      <c r="S1527">
        <v>86.304000000000002</v>
      </c>
      <c r="T1527">
        <v>6</v>
      </c>
      <c r="U1527">
        <v>0.2</v>
      </c>
      <c r="V1527">
        <v>9.7091999999999992</v>
      </c>
      <c r="W1527">
        <f t="shared" si="95"/>
        <v>12.7658</v>
      </c>
      <c r="X1527">
        <v>5</v>
      </c>
    </row>
    <row r="1528" spans="1:24" x14ac:dyDescent="0.3">
      <c r="A1528">
        <v>1527</v>
      </c>
      <c r="B1528" t="s">
        <v>3281</v>
      </c>
      <c r="C1528" s="6">
        <v>45723</v>
      </c>
      <c r="D1528" t="str">
        <f t="shared" si="92"/>
        <v>Mar</v>
      </c>
      <c r="E1528" t="str">
        <f t="shared" si="93"/>
        <v>2025</v>
      </c>
      <c r="F1528" t="s">
        <v>4</v>
      </c>
      <c r="G1528" t="s">
        <v>177</v>
      </c>
      <c r="H1528" t="s">
        <v>1573</v>
      </c>
      <c r="I1528">
        <v>120</v>
      </c>
      <c r="J1528">
        <v>30</v>
      </c>
      <c r="K1528">
        <f t="shared" si="94"/>
        <v>25</v>
      </c>
      <c r="L1528" t="s">
        <v>1739</v>
      </c>
      <c r="M1528" t="s">
        <v>3668</v>
      </c>
      <c r="N1528" t="s">
        <v>1</v>
      </c>
      <c r="O1528">
        <v>201308</v>
      </c>
      <c r="P1528" t="s">
        <v>546</v>
      </c>
      <c r="Q1528" t="s">
        <v>1769</v>
      </c>
      <c r="R1528" t="s">
        <v>2</v>
      </c>
      <c r="S1528">
        <v>4.16</v>
      </c>
      <c r="T1528">
        <v>2</v>
      </c>
      <c r="U1528">
        <v>0.2</v>
      </c>
      <c r="V1528">
        <v>0.36399999999999999</v>
      </c>
      <c r="W1528">
        <f t="shared" si="95"/>
        <v>1.8980000000000001</v>
      </c>
      <c r="X1528">
        <v>5</v>
      </c>
    </row>
    <row r="1529" spans="1:24" x14ac:dyDescent="0.3">
      <c r="A1529">
        <v>1528</v>
      </c>
      <c r="B1529" t="s">
        <v>3282</v>
      </c>
      <c r="C1529" s="6">
        <v>45724</v>
      </c>
      <c r="D1529" t="str">
        <f t="shared" si="92"/>
        <v>Mar</v>
      </c>
      <c r="E1529" t="str">
        <f t="shared" si="93"/>
        <v>2025</v>
      </c>
      <c r="F1529" t="s">
        <v>4</v>
      </c>
      <c r="G1529" t="s">
        <v>177</v>
      </c>
      <c r="H1529" t="s">
        <v>1574</v>
      </c>
      <c r="I1529">
        <v>100</v>
      </c>
      <c r="J1529">
        <v>12</v>
      </c>
      <c r="K1529">
        <f t="shared" si="94"/>
        <v>12</v>
      </c>
      <c r="L1529" t="s">
        <v>1738</v>
      </c>
      <c r="M1529" t="s">
        <v>3812</v>
      </c>
      <c r="N1529" t="s">
        <v>1</v>
      </c>
      <c r="O1529">
        <v>208001</v>
      </c>
      <c r="P1529" t="s">
        <v>546</v>
      </c>
      <c r="Q1529" t="s">
        <v>1771</v>
      </c>
      <c r="R1529" t="s">
        <v>2</v>
      </c>
      <c r="S1529">
        <v>11.648</v>
      </c>
      <c r="T1529">
        <v>2</v>
      </c>
      <c r="U1529">
        <v>0.2</v>
      </c>
      <c r="V1529">
        <v>3.3488000000000002</v>
      </c>
      <c r="W1529">
        <f t="shared" si="95"/>
        <v>4.1495999999999995</v>
      </c>
      <c r="X1529">
        <v>3</v>
      </c>
    </row>
    <row r="1530" spans="1:24" x14ac:dyDescent="0.3">
      <c r="A1530">
        <v>1529</v>
      </c>
      <c r="B1530" t="s">
        <v>3283</v>
      </c>
      <c r="C1530" s="6">
        <v>45725</v>
      </c>
      <c r="D1530" t="str">
        <f t="shared" si="92"/>
        <v>Mar</v>
      </c>
      <c r="E1530" t="str">
        <f t="shared" si="93"/>
        <v>2025</v>
      </c>
      <c r="F1530" t="s">
        <v>3</v>
      </c>
      <c r="G1530" t="s">
        <v>312</v>
      </c>
      <c r="H1530" t="s">
        <v>1575</v>
      </c>
      <c r="I1530">
        <v>190</v>
      </c>
      <c r="J1530">
        <v>10</v>
      </c>
      <c r="K1530">
        <f t="shared" si="94"/>
        <v>5.2631578947368416</v>
      </c>
      <c r="L1530" t="s">
        <v>1743</v>
      </c>
      <c r="M1530" t="s">
        <v>3831</v>
      </c>
      <c r="N1530" t="s">
        <v>1</v>
      </c>
      <c r="O1530">
        <v>400604</v>
      </c>
      <c r="P1530" t="s">
        <v>546</v>
      </c>
      <c r="Q1530" t="s">
        <v>1772</v>
      </c>
      <c r="R1530" t="s">
        <v>2</v>
      </c>
      <c r="S1530">
        <v>26.18</v>
      </c>
      <c r="T1530">
        <v>7</v>
      </c>
      <c r="U1530">
        <v>0</v>
      </c>
      <c r="V1530">
        <v>0.52359999999999995</v>
      </c>
      <c r="W1530">
        <f t="shared" si="95"/>
        <v>3.6652</v>
      </c>
      <c r="X1530">
        <v>5</v>
      </c>
    </row>
    <row r="1531" spans="1:24" x14ac:dyDescent="0.3">
      <c r="A1531">
        <v>1530</v>
      </c>
      <c r="B1531" t="s">
        <v>3284</v>
      </c>
      <c r="C1531" s="6">
        <v>45726</v>
      </c>
      <c r="D1531" t="str">
        <f t="shared" si="92"/>
        <v>Mar</v>
      </c>
      <c r="E1531" t="str">
        <f t="shared" si="93"/>
        <v>2025</v>
      </c>
      <c r="F1531" t="s">
        <v>3</v>
      </c>
      <c r="G1531" t="s">
        <v>312</v>
      </c>
      <c r="H1531" t="s">
        <v>1576</v>
      </c>
      <c r="I1531">
        <v>210</v>
      </c>
      <c r="J1531">
        <v>10</v>
      </c>
      <c r="K1531">
        <f t="shared" si="94"/>
        <v>4.7619047619047619</v>
      </c>
      <c r="L1531" t="s">
        <v>1737</v>
      </c>
      <c r="M1531" t="s">
        <v>3802</v>
      </c>
      <c r="N1531" t="s">
        <v>1</v>
      </c>
      <c r="O1531">
        <v>122001</v>
      </c>
      <c r="P1531" t="s">
        <v>546</v>
      </c>
      <c r="Q1531" t="s">
        <v>1757</v>
      </c>
      <c r="R1531" t="s">
        <v>2</v>
      </c>
      <c r="S1531">
        <v>7.3</v>
      </c>
      <c r="T1531">
        <v>2</v>
      </c>
      <c r="U1531">
        <v>0</v>
      </c>
      <c r="V1531">
        <v>3.431</v>
      </c>
      <c r="W1531">
        <f t="shared" si="95"/>
        <v>1.9344999999999999</v>
      </c>
      <c r="X1531">
        <v>2</v>
      </c>
    </row>
    <row r="1532" spans="1:24" x14ac:dyDescent="0.3">
      <c r="A1532">
        <v>1531</v>
      </c>
      <c r="B1532" t="s">
        <v>3285</v>
      </c>
      <c r="C1532" s="6">
        <v>45727</v>
      </c>
      <c r="D1532" t="str">
        <f t="shared" si="92"/>
        <v>Mar</v>
      </c>
      <c r="E1532" t="str">
        <f t="shared" si="93"/>
        <v>2025</v>
      </c>
      <c r="F1532" t="s">
        <v>4</v>
      </c>
      <c r="G1532" t="s">
        <v>303</v>
      </c>
      <c r="H1532" t="s">
        <v>1577</v>
      </c>
      <c r="I1532">
        <v>130</v>
      </c>
      <c r="J1532">
        <v>22</v>
      </c>
      <c r="K1532">
        <f t="shared" si="94"/>
        <v>16.923076923076923</v>
      </c>
      <c r="L1532" t="s">
        <v>1741</v>
      </c>
      <c r="M1532" t="s">
        <v>3815</v>
      </c>
      <c r="N1532" t="s">
        <v>1</v>
      </c>
      <c r="O1532">
        <v>110092</v>
      </c>
      <c r="P1532" t="s">
        <v>546</v>
      </c>
      <c r="Q1532" t="s">
        <v>1759</v>
      </c>
      <c r="S1532">
        <v>74.352000000000004</v>
      </c>
      <c r="T1532">
        <v>3</v>
      </c>
      <c r="U1532">
        <v>0.2</v>
      </c>
      <c r="V1532">
        <v>23.234999999999999</v>
      </c>
      <c r="W1532">
        <f t="shared" si="95"/>
        <v>17.039000000000001</v>
      </c>
      <c r="X1532">
        <v>1</v>
      </c>
    </row>
    <row r="1533" spans="1:24" x14ac:dyDescent="0.3">
      <c r="A1533">
        <v>1532</v>
      </c>
      <c r="B1533" t="s">
        <v>3286</v>
      </c>
      <c r="C1533" s="6">
        <v>45728</v>
      </c>
      <c r="D1533" t="str">
        <f t="shared" si="92"/>
        <v>Mar</v>
      </c>
      <c r="E1533" t="str">
        <f t="shared" si="93"/>
        <v>2025</v>
      </c>
      <c r="F1533" t="s">
        <v>4</v>
      </c>
      <c r="G1533" t="s">
        <v>230</v>
      </c>
      <c r="H1533" t="s">
        <v>1578</v>
      </c>
      <c r="I1533">
        <v>240</v>
      </c>
      <c r="J1533">
        <v>8</v>
      </c>
      <c r="K1533">
        <f t="shared" si="94"/>
        <v>3.3333333333333335</v>
      </c>
      <c r="L1533" t="s">
        <v>1736</v>
      </c>
      <c r="M1533" t="s">
        <v>3653</v>
      </c>
      <c r="N1533" t="s">
        <v>1</v>
      </c>
      <c r="O1533">
        <v>110092</v>
      </c>
      <c r="P1533" t="s">
        <v>546</v>
      </c>
      <c r="Q1533" t="s">
        <v>1766</v>
      </c>
      <c r="S1533">
        <v>10.744</v>
      </c>
      <c r="T1533">
        <v>1</v>
      </c>
      <c r="U1533">
        <v>0.2</v>
      </c>
      <c r="V1533">
        <v>0.80579999999999996</v>
      </c>
      <c r="W1533">
        <f t="shared" si="95"/>
        <v>9.9382000000000001</v>
      </c>
      <c r="X1533">
        <v>3</v>
      </c>
    </row>
    <row r="1534" spans="1:24" x14ac:dyDescent="0.3">
      <c r="A1534">
        <v>1533</v>
      </c>
      <c r="B1534" t="s">
        <v>3287</v>
      </c>
      <c r="C1534" s="6">
        <v>45729</v>
      </c>
      <c r="D1534" t="str">
        <f t="shared" si="92"/>
        <v>Mar</v>
      </c>
      <c r="E1534" t="str">
        <f t="shared" si="93"/>
        <v>2025</v>
      </c>
      <c r="F1534" t="s">
        <v>4</v>
      </c>
      <c r="G1534" t="s">
        <v>230</v>
      </c>
      <c r="H1534" t="s">
        <v>750</v>
      </c>
      <c r="I1534">
        <v>150</v>
      </c>
      <c r="J1534">
        <v>22</v>
      </c>
      <c r="K1534">
        <f t="shared" si="94"/>
        <v>14.666666666666666</v>
      </c>
      <c r="L1534" t="s">
        <v>1744</v>
      </c>
      <c r="M1534" t="s">
        <v>3832</v>
      </c>
      <c r="N1534" t="s">
        <v>1</v>
      </c>
      <c r="O1534">
        <v>583104</v>
      </c>
      <c r="P1534" t="s">
        <v>546</v>
      </c>
      <c r="Q1534" t="s">
        <v>1756</v>
      </c>
      <c r="S1534">
        <v>8.3759999999999994</v>
      </c>
      <c r="T1534">
        <v>3</v>
      </c>
      <c r="U1534">
        <v>0.2</v>
      </c>
      <c r="V1534">
        <v>2.7222</v>
      </c>
      <c r="W1534">
        <f t="shared" si="95"/>
        <v>1.8845999999999998</v>
      </c>
      <c r="X1534">
        <v>1</v>
      </c>
    </row>
    <row r="1535" spans="1:24" x14ac:dyDescent="0.3">
      <c r="A1535">
        <v>1534</v>
      </c>
      <c r="B1535" t="s">
        <v>3288</v>
      </c>
      <c r="C1535" s="6">
        <v>45730</v>
      </c>
      <c r="D1535" t="str">
        <f t="shared" si="92"/>
        <v>Mar</v>
      </c>
      <c r="E1535" t="str">
        <f t="shared" si="93"/>
        <v>2025</v>
      </c>
      <c r="F1535" t="s">
        <v>4</v>
      </c>
      <c r="G1535" t="s">
        <v>232</v>
      </c>
      <c r="H1535" t="s">
        <v>1579</v>
      </c>
      <c r="I1535">
        <v>120</v>
      </c>
      <c r="J1535">
        <v>24</v>
      </c>
      <c r="K1535">
        <f t="shared" si="94"/>
        <v>20</v>
      </c>
      <c r="L1535" t="s">
        <v>1740</v>
      </c>
      <c r="M1535" t="s">
        <v>3733</v>
      </c>
      <c r="N1535" t="s">
        <v>1</v>
      </c>
      <c r="O1535">
        <v>400013</v>
      </c>
      <c r="P1535" t="s">
        <v>546</v>
      </c>
      <c r="Q1535" t="s">
        <v>1759</v>
      </c>
      <c r="S1535">
        <v>212.88</v>
      </c>
      <c r="T1535">
        <v>6</v>
      </c>
      <c r="U1535">
        <v>0</v>
      </c>
      <c r="V1535">
        <v>0</v>
      </c>
      <c r="W1535">
        <f t="shared" si="95"/>
        <v>35.479999999999997</v>
      </c>
      <c r="X1535">
        <v>5</v>
      </c>
    </row>
    <row r="1536" spans="1:24" x14ac:dyDescent="0.3">
      <c r="A1536">
        <v>1535</v>
      </c>
      <c r="B1536" t="s">
        <v>3289</v>
      </c>
      <c r="C1536" s="6">
        <v>45731</v>
      </c>
      <c r="D1536" t="str">
        <f t="shared" si="92"/>
        <v>Mar</v>
      </c>
      <c r="E1536" t="str">
        <f t="shared" si="93"/>
        <v>2025</v>
      </c>
      <c r="F1536" t="s">
        <v>4</v>
      </c>
      <c r="G1536" t="s">
        <v>493</v>
      </c>
      <c r="H1536" t="s">
        <v>1121</v>
      </c>
      <c r="I1536">
        <v>120</v>
      </c>
      <c r="J1536">
        <v>22</v>
      </c>
      <c r="K1536">
        <f t="shared" si="94"/>
        <v>18.333333333333332</v>
      </c>
      <c r="L1536" t="s">
        <v>1742</v>
      </c>
      <c r="M1536" t="s">
        <v>3816</v>
      </c>
      <c r="N1536" t="s">
        <v>1</v>
      </c>
      <c r="O1536">
        <v>801105</v>
      </c>
      <c r="P1536" t="s">
        <v>546</v>
      </c>
      <c r="Q1536" t="s">
        <v>1755</v>
      </c>
      <c r="S1536">
        <v>203.983</v>
      </c>
      <c r="T1536">
        <v>2</v>
      </c>
      <c r="U1536">
        <v>0.15</v>
      </c>
      <c r="V1536">
        <v>16.7986</v>
      </c>
      <c r="W1536">
        <f t="shared" si="95"/>
        <v>93.592200000000005</v>
      </c>
      <c r="X1536">
        <v>4</v>
      </c>
    </row>
    <row r="1537" spans="1:24" x14ac:dyDescent="0.3">
      <c r="A1537">
        <v>1536</v>
      </c>
      <c r="B1537" t="s">
        <v>3290</v>
      </c>
      <c r="C1537" s="6">
        <v>45732</v>
      </c>
      <c r="D1537" t="str">
        <f t="shared" si="92"/>
        <v>Mar</v>
      </c>
      <c r="E1537" t="str">
        <f t="shared" si="93"/>
        <v>2025</v>
      </c>
      <c r="F1537" t="s">
        <v>4</v>
      </c>
      <c r="G1537" t="s">
        <v>494</v>
      </c>
      <c r="H1537" t="s">
        <v>1580</v>
      </c>
      <c r="I1537">
        <v>170</v>
      </c>
      <c r="J1537">
        <v>30</v>
      </c>
      <c r="K1537">
        <f t="shared" si="94"/>
        <v>17.647058823529413</v>
      </c>
      <c r="L1537" t="s">
        <v>1739</v>
      </c>
      <c r="M1537" t="s">
        <v>3600</v>
      </c>
      <c r="N1537" t="s">
        <v>1</v>
      </c>
      <c r="O1537">
        <v>517501</v>
      </c>
      <c r="P1537" t="s">
        <v>546</v>
      </c>
      <c r="Q1537" t="s">
        <v>1767</v>
      </c>
      <c r="S1537">
        <v>40.74</v>
      </c>
      <c r="T1537">
        <v>3</v>
      </c>
      <c r="U1537">
        <v>0</v>
      </c>
      <c r="V1537">
        <v>0.40739999999999998</v>
      </c>
      <c r="W1537">
        <f t="shared" si="95"/>
        <v>13.4442</v>
      </c>
      <c r="X1537">
        <v>5</v>
      </c>
    </row>
    <row r="1538" spans="1:24" x14ac:dyDescent="0.3">
      <c r="A1538">
        <v>1537</v>
      </c>
      <c r="B1538" t="s">
        <v>3291</v>
      </c>
      <c r="C1538" s="6">
        <v>45733</v>
      </c>
      <c r="D1538" t="str">
        <f t="shared" si="92"/>
        <v>Mar</v>
      </c>
      <c r="E1538" t="str">
        <f t="shared" si="93"/>
        <v>2025</v>
      </c>
      <c r="F1538" t="s">
        <v>4</v>
      </c>
      <c r="G1538" t="s">
        <v>494</v>
      </c>
      <c r="H1538" t="s">
        <v>1581</v>
      </c>
      <c r="I1538">
        <v>110</v>
      </c>
      <c r="J1538">
        <v>10</v>
      </c>
      <c r="K1538">
        <f t="shared" si="94"/>
        <v>9.0909090909090917</v>
      </c>
      <c r="L1538" t="s">
        <v>1738</v>
      </c>
      <c r="M1538" t="s">
        <v>3817</v>
      </c>
      <c r="N1538" t="s">
        <v>1</v>
      </c>
      <c r="O1538">
        <v>517501</v>
      </c>
      <c r="P1538" t="s">
        <v>546</v>
      </c>
      <c r="Q1538" t="s">
        <v>1774</v>
      </c>
      <c r="S1538">
        <v>11.67</v>
      </c>
      <c r="T1538">
        <v>3</v>
      </c>
      <c r="U1538">
        <v>0</v>
      </c>
      <c r="V1538">
        <v>3.0341999999999998</v>
      </c>
      <c r="W1538">
        <f t="shared" si="95"/>
        <v>2.8786</v>
      </c>
      <c r="X1538">
        <v>3</v>
      </c>
    </row>
    <row r="1539" spans="1:24" x14ac:dyDescent="0.3">
      <c r="A1539">
        <v>1538</v>
      </c>
      <c r="B1539" t="s">
        <v>3292</v>
      </c>
      <c r="C1539" s="6">
        <v>45734</v>
      </c>
      <c r="D1539" t="str">
        <f t="shared" ref="D1539:D1602" si="96">TEXT(C1539,"Mmm")</f>
        <v>Mar</v>
      </c>
      <c r="E1539" t="str">
        <f t="shared" ref="E1539:E1602" si="97">TEXT(C1539,"YYYY")</f>
        <v>2025</v>
      </c>
      <c r="F1539" t="s">
        <v>3</v>
      </c>
      <c r="G1539" t="s">
        <v>495</v>
      </c>
      <c r="H1539" t="s">
        <v>1431</v>
      </c>
      <c r="I1539">
        <v>170</v>
      </c>
      <c r="J1539">
        <v>30</v>
      </c>
      <c r="K1539">
        <f t="shared" ref="K1539:K1602" si="98">(J1539/I1539)*100</f>
        <v>17.647058823529413</v>
      </c>
      <c r="L1539" t="s">
        <v>1737</v>
      </c>
      <c r="M1539" t="s">
        <v>3808</v>
      </c>
      <c r="N1539" t="s">
        <v>1</v>
      </c>
      <c r="O1539">
        <v>517501</v>
      </c>
      <c r="P1539" t="s">
        <v>546</v>
      </c>
      <c r="Q1539" t="s">
        <v>1759</v>
      </c>
      <c r="S1539">
        <v>39.99</v>
      </c>
      <c r="T1539">
        <v>1</v>
      </c>
      <c r="U1539">
        <v>0</v>
      </c>
      <c r="V1539">
        <v>11.597099999999999</v>
      </c>
      <c r="W1539">
        <f t="shared" ref="W1539:W1602" si="99">(S1539-V1539)/T1539</f>
        <v>28.392900000000004</v>
      </c>
      <c r="X1539">
        <v>5</v>
      </c>
    </row>
    <row r="1540" spans="1:24" x14ac:dyDescent="0.3">
      <c r="A1540">
        <v>1539</v>
      </c>
      <c r="B1540" t="s">
        <v>3293</v>
      </c>
      <c r="C1540" s="6">
        <v>45735</v>
      </c>
      <c r="D1540" t="str">
        <f t="shared" si="96"/>
        <v>Mar</v>
      </c>
      <c r="E1540" t="str">
        <f t="shared" si="97"/>
        <v>2025</v>
      </c>
      <c r="F1540" t="s">
        <v>3</v>
      </c>
      <c r="G1540" t="s">
        <v>495</v>
      </c>
      <c r="H1540" t="s">
        <v>906</v>
      </c>
      <c r="I1540">
        <v>250</v>
      </c>
      <c r="J1540">
        <v>26</v>
      </c>
      <c r="K1540">
        <f t="shared" si="98"/>
        <v>10.4</v>
      </c>
      <c r="L1540" t="s">
        <v>1743</v>
      </c>
      <c r="M1540" t="s">
        <v>3833</v>
      </c>
      <c r="N1540" t="s">
        <v>1</v>
      </c>
      <c r="O1540">
        <v>631502</v>
      </c>
      <c r="P1540" t="s">
        <v>546</v>
      </c>
      <c r="Q1540" t="s">
        <v>1761</v>
      </c>
      <c r="S1540">
        <v>16.28</v>
      </c>
      <c r="T1540">
        <v>2</v>
      </c>
      <c r="U1540">
        <v>0</v>
      </c>
      <c r="V1540">
        <v>6.5119999999999996</v>
      </c>
      <c r="W1540">
        <f t="shared" si="99"/>
        <v>4.8840000000000003</v>
      </c>
      <c r="X1540">
        <v>1</v>
      </c>
    </row>
    <row r="1541" spans="1:24" x14ac:dyDescent="0.3">
      <c r="A1541">
        <v>1540</v>
      </c>
      <c r="B1541" t="s">
        <v>3294</v>
      </c>
      <c r="C1541" s="6">
        <v>45736</v>
      </c>
      <c r="D1541" t="str">
        <f t="shared" si="96"/>
        <v>Mar</v>
      </c>
      <c r="E1541" t="str">
        <f t="shared" si="97"/>
        <v>2025</v>
      </c>
      <c r="F1541" t="s">
        <v>3</v>
      </c>
      <c r="G1541" t="s">
        <v>495</v>
      </c>
      <c r="H1541" t="s">
        <v>584</v>
      </c>
      <c r="I1541">
        <v>240</v>
      </c>
      <c r="J1541">
        <v>10</v>
      </c>
      <c r="K1541">
        <f t="shared" si="98"/>
        <v>4.1666666666666661</v>
      </c>
      <c r="L1541" t="s">
        <v>1738</v>
      </c>
      <c r="M1541" t="s">
        <v>3681</v>
      </c>
      <c r="N1541" t="s">
        <v>1</v>
      </c>
      <c r="O1541">
        <v>400070</v>
      </c>
      <c r="P1541" t="s">
        <v>546</v>
      </c>
      <c r="Q1541" t="s">
        <v>1754</v>
      </c>
      <c r="S1541">
        <v>782.94</v>
      </c>
      <c r="T1541">
        <v>3</v>
      </c>
      <c r="U1541">
        <v>0</v>
      </c>
      <c r="V1541">
        <v>203.56440000000001</v>
      </c>
      <c r="W1541">
        <f t="shared" si="99"/>
        <v>193.12520000000004</v>
      </c>
      <c r="X1541">
        <v>4</v>
      </c>
    </row>
    <row r="1542" spans="1:24" x14ac:dyDescent="0.3">
      <c r="A1542">
        <v>1541</v>
      </c>
      <c r="B1542" t="s">
        <v>3295</v>
      </c>
      <c r="C1542" s="6">
        <v>45737</v>
      </c>
      <c r="D1542" t="str">
        <f t="shared" si="96"/>
        <v>Mar</v>
      </c>
      <c r="E1542" t="str">
        <f t="shared" si="97"/>
        <v>2025</v>
      </c>
      <c r="F1542" t="s">
        <v>3</v>
      </c>
      <c r="G1542" t="s">
        <v>495</v>
      </c>
      <c r="H1542" t="s">
        <v>1549</v>
      </c>
      <c r="I1542">
        <v>150</v>
      </c>
      <c r="J1542">
        <v>22</v>
      </c>
      <c r="K1542">
        <f t="shared" si="98"/>
        <v>14.666666666666666</v>
      </c>
      <c r="L1542" t="s">
        <v>1739</v>
      </c>
      <c r="M1542" t="s">
        <v>3682</v>
      </c>
      <c r="N1542" t="s">
        <v>1</v>
      </c>
      <c r="O1542">
        <v>411014</v>
      </c>
      <c r="P1542" t="s">
        <v>546</v>
      </c>
      <c r="Q1542" t="s">
        <v>1770</v>
      </c>
      <c r="S1542">
        <v>242.48</v>
      </c>
      <c r="T1542">
        <v>7</v>
      </c>
      <c r="U1542">
        <v>0</v>
      </c>
      <c r="V1542">
        <v>116.3904</v>
      </c>
      <c r="W1542">
        <f t="shared" si="99"/>
        <v>18.012799999999999</v>
      </c>
      <c r="X1542">
        <v>1</v>
      </c>
    </row>
    <row r="1543" spans="1:24" x14ac:dyDescent="0.3">
      <c r="A1543">
        <v>1542</v>
      </c>
      <c r="B1543" t="s">
        <v>3296</v>
      </c>
      <c r="C1543" s="6">
        <v>45738</v>
      </c>
      <c r="D1543" t="str">
        <f t="shared" si="96"/>
        <v>Mar</v>
      </c>
      <c r="E1543" t="str">
        <f t="shared" si="97"/>
        <v>2025</v>
      </c>
      <c r="F1543" t="s">
        <v>3</v>
      </c>
      <c r="G1543" t="s">
        <v>244</v>
      </c>
      <c r="H1543" t="s">
        <v>1582</v>
      </c>
      <c r="I1543">
        <v>140</v>
      </c>
      <c r="J1543">
        <v>18</v>
      </c>
      <c r="K1543">
        <f t="shared" si="98"/>
        <v>12.857142857142856</v>
      </c>
      <c r="L1543" t="s">
        <v>1741</v>
      </c>
      <c r="M1543" t="s">
        <v>3810</v>
      </c>
      <c r="O1543">
        <v>412207</v>
      </c>
      <c r="P1543" t="s">
        <v>546</v>
      </c>
      <c r="Q1543" t="s">
        <v>1767</v>
      </c>
      <c r="R1543" t="s">
        <v>2</v>
      </c>
      <c r="S1543">
        <v>8.32</v>
      </c>
      <c r="T1543">
        <v>5</v>
      </c>
      <c r="U1543">
        <v>0.2</v>
      </c>
      <c r="V1543">
        <v>2.2879999999999998</v>
      </c>
      <c r="W1543">
        <f t="shared" si="99"/>
        <v>1.2063999999999999</v>
      </c>
      <c r="X1543">
        <v>2</v>
      </c>
    </row>
    <row r="1544" spans="1:24" x14ac:dyDescent="0.3">
      <c r="A1544">
        <v>1543</v>
      </c>
      <c r="B1544" t="s">
        <v>3297</v>
      </c>
      <c r="C1544" s="6">
        <v>45739</v>
      </c>
      <c r="D1544" t="str">
        <f t="shared" si="96"/>
        <v>Mar</v>
      </c>
      <c r="E1544" t="str">
        <f t="shared" si="97"/>
        <v>2025</v>
      </c>
      <c r="F1544" t="s">
        <v>3</v>
      </c>
      <c r="G1544" t="s">
        <v>244</v>
      </c>
      <c r="H1544" t="s">
        <v>1392</v>
      </c>
      <c r="I1544">
        <v>100</v>
      </c>
      <c r="J1544">
        <v>24</v>
      </c>
      <c r="K1544">
        <f t="shared" si="98"/>
        <v>24</v>
      </c>
      <c r="L1544" t="s">
        <v>1736</v>
      </c>
      <c r="M1544" t="s">
        <v>3693</v>
      </c>
      <c r="N1544" t="s">
        <v>1</v>
      </c>
      <c r="O1544">
        <v>600094</v>
      </c>
      <c r="P1544" t="s">
        <v>546</v>
      </c>
      <c r="Q1544" t="s">
        <v>1768</v>
      </c>
      <c r="R1544" t="s">
        <v>2</v>
      </c>
      <c r="S1544">
        <v>10.464</v>
      </c>
      <c r="T1544">
        <v>6</v>
      </c>
      <c r="U1544">
        <v>0.2</v>
      </c>
      <c r="V1544">
        <v>1.7003999999999999</v>
      </c>
      <c r="W1544">
        <f t="shared" si="99"/>
        <v>1.4606000000000001</v>
      </c>
      <c r="X1544">
        <v>3</v>
      </c>
    </row>
    <row r="1545" spans="1:24" x14ac:dyDescent="0.3">
      <c r="A1545">
        <v>1544</v>
      </c>
      <c r="B1545" t="s">
        <v>3298</v>
      </c>
      <c r="C1545" s="6">
        <v>45740</v>
      </c>
      <c r="D1545" t="str">
        <f t="shared" si="96"/>
        <v>Mar</v>
      </c>
      <c r="E1545" t="str">
        <f t="shared" si="97"/>
        <v>2025</v>
      </c>
      <c r="F1545" t="s">
        <v>4</v>
      </c>
      <c r="G1545" t="s">
        <v>496</v>
      </c>
      <c r="H1545" t="s">
        <v>1202</v>
      </c>
      <c r="I1545">
        <v>240</v>
      </c>
      <c r="J1545">
        <v>12</v>
      </c>
      <c r="K1545">
        <f t="shared" si="98"/>
        <v>5</v>
      </c>
      <c r="L1545" t="s">
        <v>1744</v>
      </c>
      <c r="M1545" t="s">
        <v>3746</v>
      </c>
      <c r="N1545" t="s">
        <v>1</v>
      </c>
      <c r="O1545">
        <v>534001</v>
      </c>
      <c r="P1545" t="s">
        <v>546</v>
      </c>
      <c r="Q1545" t="s">
        <v>1765</v>
      </c>
      <c r="R1545" t="s">
        <v>2</v>
      </c>
      <c r="S1545">
        <v>82.896000000000001</v>
      </c>
      <c r="T1545">
        <v>3</v>
      </c>
      <c r="U1545">
        <v>0.2</v>
      </c>
      <c r="V1545">
        <v>29.0136</v>
      </c>
      <c r="W1545">
        <f t="shared" si="99"/>
        <v>17.960800000000003</v>
      </c>
      <c r="X1545">
        <v>1</v>
      </c>
    </row>
    <row r="1546" spans="1:24" x14ac:dyDescent="0.3">
      <c r="A1546">
        <v>1545</v>
      </c>
      <c r="B1546" t="s">
        <v>3299</v>
      </c>
      <c r="C1546" s="6">
        <v>45741</v>
      </c>
      <c r="D1546" t="str">
        <f t="shared" si="96"/>
        <v>Mar</v>
      </c>
      <c r="E1546" t="str">
        <f t="shared" si="97"/>
        <v>2025</v>
      </c>
      <c r="F1546" t="s">
        <v>4</v>
      </c>
      <c r="G1546" t="s">
        <v>496</v>
      </c>
      <c r="H1546" t="s">
        <v>1279</v>
      </c>
      <c r="I1546">
        <v>180</v>
      </c>
      <c r="J1546">
        <v>18</v>
      </c>
      <c r="K1546">
        <f t="shared" si="98"/>
        <v>10</v>
      </c>
      <c r="L1546" t="s">
        <v>1740</v>
      </c>
      <c r="M1546" t="s">
        <v>3799</v>
      </c>
      <c r="N1546" t="s">
        <v>1</v>
      </c>
      <c r="O1546">
        <v>800001</v>
      </c>
      <c r="P1546" t="s">
        <v>546</v>
      </c>
      <c r="Q1546" t="s">
        <v>1763</v>
      </c>
      <c r="S1546">
        <v>34.24</v>
      </c>
      <c r="T1546">
        <v>4</v>
      </c>
      <c r="U1546">
        <v>0</v>
      </c>
      <c r="V1546">
        <v>16.0928</v>
      </c>
      <c r="W1546">
        <f t="shared" si="99"/>
        <v>4.5368000000000004</v>
      </c>
      <c r="X1546">
        <v>5</v>
      </c>
    </row>
    <row r="1547" spans="1:24" x14ac:dyDescent="0.3">
      <c r="A1547">
        <v>1546</v>
      </c>
      <c r="B1547" t="s">
        <v>3300</v>
      </c>
      <c r="C1547" s="6">
        <v>45742</v>
      </c>
      <c r="D1547" t="str">
        <f t="shared" si="96"/>
        <v>Mar</v>
      </c>
      <c r="E1547" t="str">
        <f t="shared" si="97"/>
        <v>2025</v>
      </c>
      <c r="F1547" t="s">
        <v>3</v>
      </c>
      <c r="G1547" t="s">
        <v>338</v>
      </c>
      <c r="H1547" t="s">
        <v>725</v>
      </c>
      <c r="I1547">
        <v>110</v>
      </c>
      <c r="J1547">
        <v>6</v>
      </c>
      <c r="K1547">
        <f t="shared" si="98"/>
        <v>5.4545454545454541</v>
      </c>
      <c r="L1547" t="s">
        <v>1742</v>
      </c>
      <c r="M1547" t="s">
        <v>3800</v>
      </c>
      <c r="N1547" t="s">
        <v>1</v>
      </c>
      <c r="O1547">
        <v>411014</v>
      </c>
      <c r="P1547" t="s">
        <v>546</v>
      </c>
      <c r="Q1547" t="s">
        <v>1759</v>
      </c>
      <c r="S1547">
        <v>1573.4880000000001</v>
      </c>
      <c r="T1547">
        <v>7</v>
      </c>
      <c r="U1547">
        <v>0.2</v>
      </c>
      <c r="V1547">
        <v>196.68600000000001</v>
      </c>
      <c r="W1547">
        <f t="shared" si="99"/>
        <v>196.68600000000001</v>
      </c>
      <c r="X1547">
        <v>5</v>
      </c>
    </row>
    <row r="1548" spans="1:24" x14ac:dyDescent="0.3">
      <c r="A1548">
        <v>1547</v>
      </c>
      <c r="B1548" t="s">
        <v>3301</v>
      </c>
      <c r="C1548" s="6">
        <v>45743</v>
      </c>
      <c r="D1548" t="str">
        <f t="shared" si="96"/>
        <v>Mar</v>
      </c>
      <c r="E1548" t="str">
        <f t="shared" si="97"/>
        <v>2025</v>
      </c>
      <c r="F1548" t="s">
        <v>4</v>
      </c>
      <c r="G1548" t="s">
        <v>153</v>
      </c>
      <c r="H1548" t="s">
        <v>1468</v>
      </c>
      <c r="I1548">
        <v>190</v>
      </c>
      <c r="J1548">
        <v>22</v>
      </c>
      <c r="K1548">
        <f t="shared" si="98"/>
        <v>11.578947368421053</v>
      </c>
      <c r="L1548" t="s">
        <v>1739</v>
      </c>
      <c r="M1548" t="s">
        <v>3637</v>
      </c>
      <c r="N1548" t="s">
        <v>1</v>
      </c>
      <c r="O1548">
        <v>201304</v>
      </c>
      <c r="P1548" t="s">
        <v>546</v>
      </c>
      <c r="Q1548" t="s">
        <v>1767</v>
      </c>
      <c r="R1548" t="s">
        <v>2</v>
      </c>
      <c r="S1548">
        <v>335.52</v>
      </c>
      <c r="T1548">
        <v>4</v>
      </c>
      <c r="U1548">
        <v>0.2</v>
      </c>
      <c r="V1548">
        <v>117.432</v>
      </c>
      <c r="W1548">
        <f t="shared" si="99"/>
        <v>54.521999999999991</v>
      </c>
      <c r="X1548">
        <v>3</v>
      </c>
    </row>
    <row r="1549" spans="1:24" x14ac:dyDescent="0.3">
      <c r="A1549">
        <v>1548</v>
      </c>
      <c r="B1549" t="s">
        <v>3302</v>
      </c>
      <c r="C1549" s="6">
        <v>45744</v>
      </c>
      <c r="D1549" t="str">
        <f t="shared" si="96"/>
        <v>Mar</v>
      </c>
      <c r="E1549" t="str">
        <f t="shared" si="97"/>
        <v>2025</v>
      </c>
      <c r="F1549" t="s">
        <v>4</v>
      </c>
      <c r="G1549" t="s">
        <v>153</v>
      </c>
      <c r="H1549" t="s">
        <v>1526</v>
      </c>
      <c r="I1549">
        <v>130</v>
      </c>
      <c r="J1549">
        <v>18</v>
      </c>
      <c r="K1549">
        <f t="shared" si="98"/>
        <v>13.846153846153847</v>
      </c>
      <c r="L1549" t="s">
        <v>1738</v>
      </c>
      <c r="M1549" t="s">
        <v>3814</v>
      </c>
      <c r="N1549" t="s">
        <v>1</v>
      </c>
      <c r="O1549">
        <v>600075</v>
      </c>
      <c r="P1549" t="s">
        <v>546</v>
      </c>
      <c r="Q1549" t="s">
        <v>1759</v>
      </c>
      <c r="S1549">
        <v>23.911999999999999</v>
      </c>
      <c r="T1549">
        <v>2</v>
      </c>
      <c r="U1549">
        <v>0.8</v>
      </c>
      <c r="V1549">
        <v>-40.650399999999998</v>
      </c>
      <c r="W1549">
        <f t="shared" si="99"/>
        <v>32.281199999999998</v>
      </c>
      <c r="X1549">
        <v>4</v>
      </c>
    </row>
    <row r="1550" spans="1:24" x14ac:dyDescent="0.3">
      <c r="A1550">
        <v>1549</v>
      </c>
      <c r="B1550" t="s">
        <v>3303</v>
      </c>
      <c r="C1550" s="6">
        <v>45745</v>
      </c>
      <c r="D1550" t="str">
        <f t="shared" si="96"/>
        <v>Mar</v>
      </c>
      <c r="E1550" t="str">
        <f t="shared" si="97"/>
        <v>2025</v>
      </c>
      <c r="F1550" t="s">
        <v>4</v>
      </c>
      <c r="G1550" t="s">
        <v>153</v>
      </c>
      <c r="H1550" t="s">
        <v>1583</v>
      </c>
      <c r="I1550">
        <v>120</v>
      </c>
      <c r="J1550">
        <v>26</v>
      </c>
      <c r="K1550">
        <f t="shared" si="98"/>
        <v>21.666666666666668</v>
      </c>
      <c r="L1550" t="s">
        <v>1737</v>
      </c>
      <c r="M1550" t="s">
        <v>3813</v>
      </c>
      <c r="N1550" t="s">
        <v>1</v>
      </c>
      <c r="O1550">
        <v>284003</v>
      </c>
      <c r="P1550" t="s">
        <v>546</v>
      </c>
      <c r="Q1550" t="s">
        <v>1773</v>
      </c>
      <c r="S1550">
        <v>27.056000000000001</v>
      </c>
      <c r="T1550">
        <v>2</v>
      </c>
      <c r="U1550">
        <v>0.2</v>
      </c>
      <c r="V1550">
        <v>2.3673999999999999</v>
      </c>
      <c r="W1550">
        <f t="shared" si="99"/>
        <v>12.3443</v>
      </c>
      <c r="X1550">
        <v>2</v>
      </c>
    </row>
    <row r="1551" spans="1:24" x14ac:dyDescent="0.3">
      <c r="A1551">
        <v>1550</v>
      </c>
      <c r="B1551" t="s">
        <v>3304</v>
      </c>
      <c r="C1551" s="6">
        <v>45746</v>
      </c>
      <c r="D1551" t="str">
        <f t="shared" si="96"/>
        <v>Mar</v>
      </c>
      <c r="E1551" t="str">
        <f t="shared" si="97"/>
        <v>2025</v>
      </c>
      <c r="F1551" t="s">
        <v>5</v>
      </c>
      <c r="G1551" t="s">
        <v>219</v>
      </c>
      <c r="H1551" t="s">
        <v>1437</v>
      </c>
      <c r="I1551">
        <v>210</v>
      </c>
      <c r="J1551">
        <v>28</v>
      </c>
      <c r="K1551">
        <f t="shared" si="98"/>
        <v>13.333333333333334</v>
      </c>
      <c r="L1551" t="s">
        <v>1743</v>
      </c>
      <c r="M1551" t="s">
        <v>3610</v>
      </c>
      <c r="N1551" t="s">
        <v>1</v>
      </c>
      <c r="O1551">
        <v>799001</v>
      </c>
      <c r="P1551" t="s">
        <v>546</v>
      </c>
      <c r="Q1551" t="s">
        <v>1757</v>
      </c>
      <c r="R1551" t="s">
        <v>2</v>
      </c>
      <c r="S1551">
        <v>559.99199999999996</v>
      </c>
      <c r="T1551">
        <v>1</v>
      </c>
      <c r="U1551">
        <v>0.2</v>
      </c>
      <c r="V1551">
        <v>174.9975</v>
      </c>
      <c r="W1551">
        <f t="shared" si="99"/>
        <v>384.99449999999996</v>
      </c>
      <c r="X1551">
        <v>1</v>
      </c>
    </row>
    <row r="1552" spans="1:24" x14ac:dyDescent="0.3">
      <c r="A1552">
        <v>1551</v>
      </c>
      <c r="B1552" t="s">
        <v>3305</v>
      </c>
      <c r="C1552" s="6">
        <v>45747</v>
      </c>
      <c r="D1552" t="str">
        <f t="shared" si="96"/>
        <v>Mar</v>
      </c>
      <c r="E1552" t="str">
        <f t="shared" si="97"/>
        <v>2025</v>
      </c>
      <c r="F1552" t="s">
        <v>3</v>
      </c>
      <c r="G1552" t="s">
        <v>474</v>
      </c>
      <c r="H1552" t="s">
        <v>1584</v>
      </c>
      <c r="I1552">
        <v>170</v>
      </c>
      <c r="J1552">
        <v>24</v>
      </c>
      <c r="K1552">
        <f t="shared" si="98"/>
        <v>14.117647058823529</v>
      </c>
      <c r="L1552" t="s">
        <v>1738</v>
      </c>
      <c r="M1552" t="s">
        <v>3807</v>
      </c>
      <c r="N1552" t="s">
        <v>1</v>
      </c>
      <c r="O1552">
        <v>855102</v>
      </c>
      <c r="P1552" t="s">
        <v>546</v>
      </c>
      <c r="Q1552" t="s">
        <v>1774</v>
      </c>
      <c r="R1552" t="s">
        <v>2</v>
      </c>
      <c r="S1552">
        <v>9.3239999999999998</v>
      </c>
      <c r="T1552">
        <v>6</v>
      </c>
      <c r="U1552">
        <v>0.8</v>
      </c>
      <c r="V1552">
        <v>-24.708600000000001</v>
      </c>
      <c r="W1552">
        <f t="shared" si="99"/>
        <v>5.6721000000000004</v>
      </c>
      <c r="X1552">
        <v>5</v>
      </c>
    </row>
    <row r="1553" spans="1:24" x14ac:dyDescent="0.3">
      <c r="A1553">
        <v>1552</v>
      </c>
      <c r="B1553" t="s">
        <v>3306</v>
      </c>
      <c r="C1553" s="6">
        <v>45748</v>
      </c>
      <c r="D1553" t="str">
        <f t="shared" si="96"/>
        <v>Apr</v>
      </c>
      <c r="E1553" t="str">
        <f t="shared" si="97"/>
        <v>2025</v>
      </c>
      <c r="F1553" t="s">
        <v>4</v>
      </c>
      <c r="G1553" t="s">
        <v>497</v>
      </c>
      <c r="H1553" t="s">
        <v>1511</v>
      </c>
      <c r="I1553">
        <v>130</v>
      </c>
      <c r="J1553">
        <v>30</v>
      </c>
      <c r="K1553">
        <f t="shared" si="98"/>
        <v>23.076923076923077</v>
      </c>
      <c r="L1553" t="s">
        <v>1739</v>
      </c>
      <c r="M1553" t="s">
        <v>3707</v>
      </c>
      <c r="N1553" t="s">
        <v>1</v>
      </c>
      <c r="O1553">
        <v>600047</v>
      </c>
      <c r="P1553" t="s">
        <v>546</v>
      </c>
      <c r="Q1553" t="s">
        <v>1760</v>
      </c>
      <c r="S1553">
        <v>111.96</v>
      </c>
      <c r="T1553">
        <v>2</v>
      </c>
      <c r="U1553">
        <v>0</v>
      </c>
      <c r="V1553">
        <v>54.860399999999998</v>
      </c>
      <c r="W1553">
        <f t="shared" si="99"/>
        <v>28.549799999999998</v>
      </c>
      <c r="X1553">
        <v>5</v>
      </c>
    </row>
    <row r="1554" spans="1:24" x14ac:dyDescent="0.3">
      <c r="A1554">
        <v>1553</v>
      </c>
      <c r="B1554" t="s">
        <v>3307</v>
      </c>
      <c r="C1554" s="6">
        <v>45749</v>
      </c>
      <c r="D1554" t="str">
        <f t="shared" si="96"/>
        <v>Apr</v>
      </c>
      <c r="E1554" t="str">
        <f t="shared" si="97"/>
        <v>2025</v>
      </c>
      <c r="F1554" t="s">
        <v>5</v>
      </c>
      <c r="G1554" t="s">
        <v>192</v>
      </c>
      <c r="H1554" t="s">
        <v>1585</v>
      </c>
      <c r="I1554">
        <v>220</v>
      </c>
      <c r="J1554">
        <v>28</v>
      </c>
      <c r="K1554">
        <f t="shared" si="98"/>
        <v>12.727272727272727</v>
      </c>
      <c r="L1554" t="s">
        <v>1741</v>
      </c>
      <c r="M1554" t="s">
        <v>3805</v>
      </c>
      <c r="N1554" t="s">
        <v>1</v>
      </c>
      <c r="O1554">
        <v>800001</v>
      </c>
      <c r="P1554" t="s">
        <v>546</v>
      </c>
      <c r="Q1554" t="s">
        <v>1759</v>
      </c>
      <c r="S1554">
        <v>21.56</v>
      </c>
      <c r="T1554">
        <v>7</v>
      </c>
      <c r="U1554">
        <v>0</v>
      </c>
      <c r="V1554">
        <v>10.348800000000001</v>
      </c>
      <c r="W1554">
        <f t="shared" si="99"/>
        <v>1.6015999999999997</v>
      </c>
      <c r="X1554">
        <v>1</v>
      </c>
    </row>
    <row r="1555" spans="1:24" x14ac:dyDescent="0.3">
      <c r="A1555">
        <v>1554</v>
      </c>
      <c r="B1555" t="s">
        <v>3308</v>
      </c>
      <c r="C1555" s="6">
        <v>45750</v>
      </c>
      <c r="D1555" t="str">
        <f t="shared" si="96"/>
        <v>Apr</v>
      </c>
      <c r="E1555" t="str">
        <f t="shared" si="97"/>
        <v>2025</v>
      </c>
      <c r="F1555" t="s">
        <v>4</v>
      </c>
      <c r="G1555" t="s">
        <v>498</v>
      </c>
      <c r="H1555" t="s">
        <v>1238</v>
      </c>
      <c r="I1555">
        <v>240</v>
      </c>
      <c r="J1555">
        <v>24</v>
      </c>
      <c r="K1555">
        <f t="shared" si="98"/>
        <v>10</v>
      </c>
      <c r="L1555" t="s">
        <v>1736</v>
      </c>
      <c r="M1555" t="s">
        <v>3797</v>
      </c>
      <c r="N1555" t="s">
        <v>1</v>
      </c>
      <c r="O1555">
        <v>600113</v>
      </c>
      <c r="P1555" t="s">
        <v>546</v>
      </c>
      <c r="Q1555" t="s">
        <v>1760</v>
      </c>
      <c r="S1555">
        <v>124.75</v>
      </c>
      <c r="T1555">
        <v>5</v>
      </c>
      <c r="U1555">
        <v>0</v>
      </c>
      <c r="V1555">
        <v>57.384999999999998</v>
      </c>
      <c r="W1555">
        <f t="shared" si="99"/>
        <v>13.473000000000003</v>
      </c>
      <c r="X1555">
        <v>2</v>
      </c>
    </row>
    <row r="1556" spans="1:24" x14ac:dyDescent="0.3">
      <c r="A1556">
        <v>1555</v>
      </c>
      <c r="B1556" t="s">
        <v>3309</v>
      </c>
      <c r="C1556" s="6">
        <v>45751</v>
      </c>
      <c r="D1556" t="str">
        <f t="shared" si="96"/>
        <v>Apr</v>
      </c>
      <c r="E1556" t="str">
        <f t="shared" si="97"/>
        <v>2025</v>
      </c>
      <c r="F1556" t="s">
        <v>4</v>
      </c>
      <c r="G1556" t="s">
        <v>107</v>
      </c>
      <c r="H1556" t="s">
        <v>1586</v>
      </c>
      <c r="I1556">
        <v>250</v>
      </c>
      <c r="J1556">
        <v>10</v>
      </c>
      <c r="K1556">
        <f t="shared" si="98"/>
        <v>4</v>
      </c>
      <c r="L1556" t="s">
        <v>1744</v>
      </c>
      <c r="M1556" t="s">
        <v>3685</v>
      </c>
      <c r="N1556" t="s">
        <v>1</v>
      </c>
      <c r="O1556">
        <v>700056</v>
      </c>
      <c r="P1556" t="s">
        <v>546</v>
      </c>
      <c r="Q1556" t="s">
        <v>1770</v>
      </c>
      <c r="S1556">
        <v>5.28</v>
      </c>
      <c r="T1556">
        <v>3</v>
      </c>
      <c r="U1556">
        <v>0</v>
      </c>
      <c r="V1556">
        <v>1.5311999999999999</v>
      </c>
      <c r="W1556">
        <f t="shared" si="99"/>
        <v>1.2496</v>
      </c>
      <c r="X1556">
        <v>2</v>
      </c>
    </row>
    <row r="1557" spans="1:24" x14ac:dyDescent="0.3">
      <c r="A1557">
        <v>1556</v>
      </c>
      <c r="B1557" t="s">
        <v>3310</v>
      </c>
      <c r="C1557" s="6">
        <v>45752</v>
      </c>
      <c r="D1557" t="str">
        <f t="shared" si="96"/>
        <v>Apr</v>
      </c>
      <c r="E1557" t="str">
        <f t="shared" si="97"/>
        <v>2025</v>
      </c>
      <c r="F1557" t="s">
        <v>4</v>
      </c>
      <c r="G1557" t="s">
        <v>499</v>
      </c>
      <c r="H1557" t="s">
        <v>590</v>
      </c>
      <c r="I1557">
        <v>100</v>
      </c>
      <c r="J1557">
        <v>20</v>
      </c>
      <c r="K1557">
        <f t="shared" si="98"/>
        <v>20</v>
      </c>
      <c r="L1557" t="s">
        <v>1740</v>
      </c>
      <c r="M1557" t="s">
        <v>3791</v>
      </c>
      <c r="N1557" t="s">
        <v>1</v>
      </c>
      <c r="O1557">
        <v>501301</v>
      </c>
      <c r="P1557" t="s">
        <v>546</v>
      </c>
      <c r="Q1557" t="s">
        <v>1764</v>
      </c>
      <c r="S1557">
        <v>91.96</v>
      </c>
      <c r="T1557">
        <v>4</v>
      </c>
      <c r="U1557">
        <v>0</v>
      </c>
      <c r="V1557">
        <v>39.5428</v>
      </c>
      <c r="W1557">
        <f t="shared" si="99"/>
        <v>13.104299999999999</v>
      </c>
      <c r="X1557">
        <v>3</v>
      </c>
    </row>
    <row r="1558" spans="1:24" x14ac:dyDescent="0.3">
      <c r="A1558">
        <v>1557</v>
      </c>
      <c r="B1558" t="s">
        <v>3311</v>
      </c>
      <c r="C1558" s="6">
        <v>45753</v>
      </c>
      <c r="D1558" t="str">
        <f t="shared" si="96"/>
        <v>Apr</v>
      </c>
      <c r="E1558" t="str">
        <f t="shared" si="97"/>
        <v>2025</v>
      </c>
      <c r="F1558" t="s">
        <v>4</v>
      </c>
      <c r="G1558" t="s">
        <v>500</v>
      </c>
      <c r="H1558" t="s">
        <v>1587</v>
      </c>
      <c r="I1558">
        <v>210</v>
      </c>
      <c r="J1558">
        <v>14</v>
      </c>
      <c r="K1558">
        <f t="shared" si="98"/>
        <v>6.666666666666667</v>
      </c>
      <c r="L1558" t="s">
        <v>1742</v>
      </c>
      <c r="M1558" t="s">
        <v>3647</v>
      </c>
      <c r="N1558" t="s">
        <v>1</v>
      </c>
      <c r="O1558">
        <v>110059</v>
      </c>
      <c r="P1558" t="s">
        <v>546</v>
      </c>
      <c r="Q1558" t="s">
        <v>1763</v>
      </c>
      <c r="R1558" t="s">
        <v>2</v>
      </c>
      <c r="S1558">
        <v>9.3439999999999994</v>
      </c>
      <c r="T1558">
        <v>1</v>
      </c>
      <c r="U1558">
        <v>0.2</v>
      </c>
      <c r="V1558">
        <v>3.504</v>
      </c>
      <c r="W1558">
        <f t="shared" si="99"/>
        <v>5.84</v>
      </c>
      <c r="X1558">
        <v>5</v>
      </c>
    </row>
    <row r="1559" spans="1:24" x14ac:dyDescent="0.3">
      <c r="A1559">
        <v>1558</v>
      </c>
      <c r="B1559" t="s">
        <v>3312</v>
      </c>
      <c r="C1559" s="6">
        <v>45754</v>
      </c>
      <c r="D1559" t="str">
        <f t="shared" si="96"/>
        <v>Apr</v>
      </c>
      <c r="E1559" t="str">
        <f t="shared" si="97"/>
        <v>2025</v>
      </c>
      <c r="F1559" t="s">
        <v>4</v>
      </c>
      <c r="G1559" t="s">
        <v>500</v>
      </c>
      <c r="H1559" t="s">
        <v>1588</v>
      </c>
      <c r="I1559">
        <v>120</v>
      </c>
      <c r="J1559">
        <v>8</v>
      </c>
      <c r="K1559">
        <f t="shared" si="98"/>
        <v>6.666666666666667</v>
      </c>
      <c r="L1559" t="s">
        <v>1739</v>
      </c>
      <c r="M1559" t="s">
        <v>3697</v>
      </c>
      <c r="N1559" t="s">
        <v>1</v>
      </c>
      <c r="O1559">
        <v>400071</v>
      </c>
      <c r="P1559" t="s">
        <v>546</v>
      </c>
      <c r="Q1559" t="s">
        <v>1774</v>
      </c>
      <c r="S1559">
        <v>79.36</v>
      </c>
      <c r="T1559">
        <v>5</v>
      </c>
      <c r="U1559">
        <v>0.2</v>
      </c>
      <c r="V1559">
        <v>9.92</v>
      </c>
      <c r="W1559">
        <f t="shared" si="99"/>
        <v>13.888</v>
      </c>
      <c r="X1559">
        <v>5</v>
      </c>
    </row>
    <row r="1560" spans="1:24" x14ac:dyDescent="0.3">
      <c r="A1560">
        <v>1559</v>
      </c>
      <c r="B1560" t="s">
        <v>3313</v>
      </c>
      <c r="C1560" s="6">
        <v>45755</v>
      </c>
      <c r="D1560" t="str">
        <f t="shared" si="96"/>
        <v>Apr</v>
      </c>
      <c r="E1560" t="str">
        <f t="shared" si="97"/>
        <v>2025</v>
      </c>
      <c r="F1560" t="s">
        <v>3</v>
      </c>
      <c r="G1560" t="s">
        <v>195</v>
      </c>
      <c r="H1560" t="s">
        <v>1524</v>
      </c>
      <c r="I1560">
        <v>110</v>
      </c>
      <c r="J1560">
        <v>24</v>
      </c>
      <c r="K1560">
        <f t="shared" si="98"/>
        <v>21.818181818181817</v>
      </c>
      <c r="L1560" t="s">
        <v>1738</v>
      </c>
      <c r="M1560" t="s">
        <v>3801</v>
      </c>
      <c r="N1560" t="s">
        <v>1</v>
      </c>
      <c r="O1560">
        <v>560049</v>
      </c>
      <c r="P1560" t="s">
        <v>546</v>
      </c>
      <c r="Q1560" t="s">
        <v>1772</v>
      </c>
      <c r="S1560">
        <v>171.96</v>
      </c>
      <c r="T1560">
        <v>2</v>
      </c>
      <c r="U1560">
        <v>0</v>
      </c>
      <c r="V1560">
        <v>44.709600000000002</v>
      </c>
      <c r="W1560">
        <f t="shared" si="99"/>
        <v>63.625200000000007</v>
      </c>
      <c r="X1560">
        <v>1</v>
      </c>
    </row>
    <row r="1561" spans="1:24" x14ac:dyDescent="0.3">
      <c r="A1561">
        <v>1560</v>
      </c>
      <c r="B1561" t="s">
        <v>3314</v>
      </c>
      <c r="C1561" s="6">
        <v>45756</v>
      </c>
      <c r="D1561" t="str">
        <f t="shared" si="96"/>
        <v>Apr</v>
      </c>
      <c r="E1561" t="str">
        <f t="shared" si="97"/>
        <v>2025</v>
      </c>
      <c r="F1561" t="s">
        <v>4</v>
      </c>
      <c r="G1561" t="s">
        <v>501</v>
      </c>
      <c r="H1561" t="s">
        <v>1243</v>
      </c>
      <c r="I1561">
        <v>130</v>
      </c>
      <c r="J1561">
        <v>24</v>
      </c>
      <c r="K1561">
        <f t="shared" si="98"/>
        <v>18.461538461538463</v>
      </c>
      <c r="L1561" t="s">
        <v>1737</v>
      </c>
      <c r="M1561" t="s">
        <v>3787</v>
      </c>
      <c r="N1561" t="s">
        <v>1</v>
      </c>
      <c r="O1561">
        <v>600091</v>
      </c>
      <c r="P1561" t="s">
        <v>546</v>
      </c>
      <c r="Q1561" t="s">
        <v>1762</v>
      </c>
      <c r="S1561">
        <v>35.351999999999997</v>
      </c>
      <c r="T1561">
        <v>9</v>
      </c>
      <c r="U1561">
        <v>0.2</v>
      </c>
      <c r="V1561">
        <v>12.815099999999999</v>
      </c>
      <c r="W1561">
        <f t="shared" si="99"/>
        <v>2.5040999999999993</v>
      </c>
      <c r="X1561">
        <v>2</v>
      </c>
    </row>
    <row r="1562" spans="1:24" x14ac:dyDescent="0.3">
      <c r="A1562">
        <v>1561</v>
      </c>
      <c r="B1562" t="s">
        <v>3315</v>
      </c>
      <c r="C1562" s="6">
        <v>45757</v>
      </c>
      <c r="D1562" t="str">
        <f t="shared" si="96"/>
        <v>Apr</v>
      </c>
      <c r="E1562" t="str">
        <f t="shared" si="97"/>
        <v>2025</v>
      </c>
      <c r="F1562" t="s">
        <v>4</v>
      </c>
      <c r="G1562" t="s">
        <v>331</v>
      </c>
      <c r="H1562" t="s">
        <v>1589</v>
      </c>
      <c r="I1562">
        <v>120</v>
      </c>
      <c r="J1562">
        <v>16</v>
      </c>
      <c r="K1562">
        <f t="shared" si="98"/>
        <v>13.333333333333334</v>
      </c>
      <c r="L1562" t="s">
        <v>1743</v>
      </c>
      <c r="M1562" t="s">
        <v>3736</v>
      </c>
      <c r="N1562" t="s">
        <v>1</v>
      </c>
      <c r="O1562">
        <v>141001</v>
      </c>
      <c r="P1562" t="s">
        <v>546</v>
      </c>
      <c r="Q1562" t="s">
        <v>1776</v>
      </c>
      <c r="R1562" t="s">
        <v>2</v>
      </c>
      <c r="S1562">
        <v>18.899999999999999</v>
      </c>
      <c r="T1562">
        <v>6</v>
      </c>
      <c r="U1562">
        <v>0</v>
      </c>
      <c r="V1562">
        <v>9.0719999999999992</v>
      </c>
      <c r="W1562">
        <f t="shared" si="99"/>
        <v>1.6379999999999999</v>
      </c>
      <c r="X1562">
        <v>1</v>
      </c>
    </row>
    <row r="1563" spans="1:24" x14ac:dyDescent="0.3">
      <c r="A1563">
        <v>1562</v>
      </c>
      <c r="B1563" t="s">
        <v>3316</v>
      </c>
      <c r="C1563" s="6">
        <v>45758</v>
      </c>
      <c r="D1563" t="str">
        <f t="shared" si="96"/>
        <v>Apr</v>
      </c>
      <c r="E1563" t="str">
        <f t="shared" si="97"/>
        <v>2025</v>
      </c>
      <c r="F1563" t="s">
        <v>5</v>
      </c>
      <c r="G1563" t="s">
        <v>44</v>
      </c>
      <c r="H1563" t="s">
        <v>871</v>
      </c>
      <c r="I1563">
        <v>220</v>
      </c>
      <c r="J1563">
        <v>30</v>
      </c>
      <c r="K1563">
        <f t="shared" si="98"/>
        <v>13.636363636363635</v>
      </c>
      <c r="L1563" t="s">
        <v>1738</v>
      </c>
      <c r="M1563" t="s">
        <v>3804</v>
      </c>
      <c r="N1563" t="s">
        <v>1</v>
      </c>
      <c r="O1563">
        <v>560067</v>
      </c>
      <c r="P1563" t="s">
        <v>546</v>
      </c>
      <c r="Q1563" t="s">
        <v>1775</v>
      </c>
      <c r="S1563">
        <v>2.78</v>
      </c>
      <c r="T1563">
        <v>1</v>
      </c>
      <c r="U1563">
        <v>0</v>
      </c>
      <c r="V1563">
        <v>0.7228</v>
      </c>
      <c r="W1563">
        <f t="shared" si="99"/>
        <v>2.0571999999999999</v>
      </c>
      <c r="X1563">
        <v>3</v>
      </c>
    </row>
    <row r="1564" spans="1:24" x14ac:dyDescent="0.3">
      <c r="A1564">
        <v>1563</v>
      </c>
      <c r="B1564" t="s">
        <v>3317</v>
      </c>
      <c r="C1564" s="6">
        <v>45759</v>
      </c>
      <c r="D1564" t="str">
        <f t="shared" si="96"/>
        <v>Apr</v>
      </c>
      <c r="E1564" t="str">
        <f t="shared" si="97"/>
        <v>2025</v>
      </c>
      <c r="F1564" t="s">
        <v>6</v>
      </c>
      <c r="G1564" t="s">
        <v>502</v>
      </c>
      <c r="H1564" t="s">
        <v>550</v>
      </c>
      <c r="I1564">
        <v>180</v>
      </c>
      <c r="J1564">
        <v>6</v>
      </c>
      <c r="K1564">
        <f t="shared" si="98"/>
        <v>3.3333333333333335</v>
      </c>
      <c r="L1564" t="s">
        <v>1739</v>
      </c>
      <c r="M1564" t="s">
        <v>3588</v>
      </c>
      <c r="N1564" t="s">
        <v>1</v>
      </c>
      <c r="O1564">
        <v>327001</v>
      </c>
      <c r="P1564" t="s">
        <v>546</v>
      </c>
      <c r="Q1564" t="s">
        <v>1763</v>
      </c>
      <c r="R1564" t="s">
        <v>2</v>
      </c>
      <c r="S1564">
        <v>1044.6300000000001</v>
      </c>
      <c r="T1564">
        <v>5</v>
      </c>
      <c r="U1564">
        <v>0.4</v>
      </c>
      <c r="V1564">
        <v>-295.9785</v>
      </c>
      <c r="W1564">
        <f t="shared" si="99"/>
        <v>268.12170000000003</v>
      </c>
      <c r="X1564">
        <v>2</v>
      </c>
    </row>
    <row r="1565" spans="1:24" x14ac:dyDescent="0.3">
      <c r="A1565">
        <v>1564</v>
      </c>
      <c r="B1565" t="s">
        <v>3318</v>
      </c>
      <c r="C1565" s="6">
        <v>45760</v>
      </c>
      <c r="D1565" t="str">
        <f t="shared" si="96"/>
        <v>Apr</v>
      </c>
      <c r="E1565" t="str">
        <f t="shared" si="97"/>
        <v>2025</v>
      </c>
      <c r="F1565" t="s">
        <v>6</v>
      </c>
      <c r="G1565" t="s">
        <v>503</v>
      </c>
      <c r="H1565" t="s">
        <v>751</v>
      </c>
      <c r="I1565">
        <v>250</v>
      </c>
      <c r="J1565">
        <v>26</v>
      </c>
      <c r="K1565">
        <f t="shared" si="98"/>
        <v>10.4</v>
      </c>
      <c r="L1565" t="s">
        <v>1741</v>
      </c>
      <c r="M1565" t="s">
        <v>3789</v>
      </c>
      <c r="N1565" t="s">
        <v>1</v>
      </c>
      <c r="O1565">
        <v>322201</v>
      </c>
      <c r="P1565" t="s">
        <v>546</v>
      </c>
      <c r="Q1565" t="s">
        <v>1764</v>
      </c>
      <c r="S1565">
        <v>11.352</v>
      </c>
      <c r="T1565">
        <v>3</v>
      </c>
      <c r="U1565">
        <v>0.2</v>
      </c>
      <c r="V1565">
        <v>4.1151</v>
      </c>
      <c r="W1565">
        <f t="shared" si="99"/>
        <v>2.4123000000000001</v>
      </c>
      <c r="X1565">
        <v>4</v>
      </c>
    </row>
    <row r="1566" spans="1:24" x14ac:dyDescent="0.3">
      <c r="A1566">
        <v>1565</v>
      </c>
      <c r="B1566" t="s">
        <v>3319</v>
      </c>
      <c r="C1566" s="6">
        <v>45761</v>
      </c>
      <c r="D1566" t="str">
        <f t="shared" si="96"/>
        <v>Apr</v>
      </c>
      <c r="E1566" t="str">
        <f t="shared" si="97"/>
        <v>2025</v>
      </c>
      <c r="F1566" t="s">
        <v>6</v>
      </c>
      <c r="G1566" t="s">
        <v>59</v>
      </c>
      <c r="H1566" t="s">
        <v>1590</v>
      </c>
      <c r="I1566">
        <v>230</v>
      </c>
      <c r="J1566">
        <v>30</v>
      </c>
      <c r="K1566">
        <f t="shared" si="98"/>
        <v>13.043478260869565</v>
      </c>
      <c r="L1566" t="s">
        <v>1736</v>
      </c>
      <c r="M1566" t="s">
        <v>3790</v>
      </c>
      <c r="N1566" t="s">
        <v>1</v>
      </c>
      <c r="O1566">
        <v>226010</v>
      </c>
      <c r="P1566" t="s">
        <v>546</v>
      </c>
      <c r="Q1566" t="s">
        <v>1768</v>
      </c>
      <c r="S1566">
        <v>354.9</v>
      </c>
      <c r="T1566">
        <v>5</v>
      </c>
      <c r="U1566">
        <v>0</v>
      </c>
      <c r="V1566">
        <v>17.745000000000001</v>
      </c>
      <c r="W1566">
        <f t="shared" si="99"/>
        <v>67.430999999999997</v>
      </c>
      <c r="X1566">
        <v>5</v>
      </c>
    </row>
    <row r="1567" spans="1:24" x14ac:dyDescent="0.3">
      <c r="A1567">
        <v>1566</v>
      </c>
      <c r="B1567" t="s">
        <v>3320</v>
      </c>
      <c r="C1567" s="6">
        <v>45762</v>
      </c>
      <c r="D1567" t="str">
        <f t="shared" si="96"/>
        <v>Apr</v>
      </c>
      <c r="E1567" t="str">
        <f t="shared" si="97"/>
        <v>2025</v>
      </c>
      <c r="F1567" t="s">
        <v>4</v>
      </c>
      <c r="G1567" t="s">
        <v>277</v>
      </c>
      <c r="H1567" t="s">
        <v>1414</v>
      </c>
      <c r="I1567">
        <v>230</v>
      </c>
      <c r="J1567">
        <v>16</v>
      </c>
      <c r="K1567">
        <f t="shared" si="98"/>
        <v>6.9565217391304346</v>
      </c>
      <c r="L1567" t="s">
        <v>1744</v>
      </c>
      <c r="M1567" t="s">
        <v>3798</v>
      </c>
      <c r="N1567" t="s">
        <v>1</v>
      </c>
      <c r="O1567">
        <v>122001</v>
      </c>
      <c r="P1567" t="s">
        <v>546</v>
      </c>
      <c r="Q1567" t="s">
        <v>1756</v>
      </c>
      <c r="R1567" t="s">
        <v>2</v>
      </c>
      <c r="S1567">
        <v>453.57600000000002</v>
      </c>
      <c r="T1567">
        <v>3</v>
      </c>
      <c r="U1567">
        <v>0.2</v>
      </c>
      <c r="V1567">
        <v>39.687899999999999</v>
      </c>
      <c r="W1567">
        <f t="shared" si="99"/>
        <v>137.96270000000001</v>
      </c>
      <c r="X1567">
        <v>3</v>
      </c>
    </row>
    <row r="1568" spans="1:24" x14ac:dyDescent="0.3">
      <c r="A1568">
        <v>1567</v>
      </c>
      <c r="B1568" t="s">
        <v>3321</v>
      </c>
      <c r="C1568" s="6">
        <v>45763</v>
      </c>
      <c r="D1568" t="str">
        <f t="shared" si="96"/>
        <v>Apr</v>
      </c>
      <c r="E1568" t="str">
        <f t="shared" si="97"/>
        <v>2025</v>
      </c>
      <c r="F1568" t="s">
        <v>5</v>
      </c>
      <c r="G1568" t="s">
        <v>504</v>
      </c>
      <c r="H1568" t="s">
        <v>1591</v>
      </c>
      <c r="I1568">
        <v>150</v>
      </c>
      <c r="J1568">
        <v>24</v>
      </c>
      <c r="K1568">
        <f t="shared" si="98"/>
        <v>16</v>
      </c>
      <c r="L1568" t="s">
        <v>1740</v>
      </c>
      <c r="M1568" t="s">
        <v>3834</v>
      </c>
      <c r="N1568" t="s">
        <v>1</v>
      </c>
      <c r="O1568">
        <v>609602</v>
      </c>
      <c r="P1568" t="s">
        <v>546</v>
      </c>
      <c r="Q1568" t="s">
        <v>1754</v>
      </c>
      <c r="R1568" t="s">
        <v>2</v>
      </c>
      <c r="S1568">
        <v>21.48</v>
      </c>
      <c r="T1568">
        <v>3</v>
      </c>
      <c r="U1568">
        <v>0.2</v>
      </c>
      <c r="V1568">
        <v>-0.26850000000000002</v>
      </c>
      <c r="W1568">
        <f t="shared" si="99"/>
        <v>7.2495000000000003</v>
      </c>
      <c r="X1568">
        <v>4</v>
      </c>
    </row>
    <row r="1569" spans="1:24" x14ac:dyDescent="0.3">
      <c r="A1569">
        <v>1568</v>
      </c>
      <c r="B1569" t="s">
        <v>3322</v>
      </c>
      <c r="C1569" s="6">
        <v>45764</v>
      </c>
      <c r="D1569" t="str">
        <f t="shared" si="96"/>
        <v>Apr</v>
      </c>
      <c r="E1569" t="str">
        <f t="shared" si="97"/>
        <v>2025</v>
      </c>
      <c r="F1569" t="s">
        <v>5</v>
      </c>
      <c r="G1569" t="s">
        <v>504</v>
      </c>
      <c r="H1569" t="s">
        <v>1592</v>
      </c>
      <c r="I1569">
        <v>200</v>
      </c>
      <c r="J1569">
        <v>24</v>
      </c>
      <c r="K1569">
        <f t="shared" si="98"/>
        <v>12</v>
      </c>
      <c r="L1569" t="s">
        <v>1742</v>
      </c>
      <c r="M1569" t="s">
        <v>3776</v>
      </c>
      <c r="N1569" t="s">
        <v>1</v>
      </c>
      <c r="O1569">
        <v>758001</v>
      </c>
      <c r="P1569" t="s">
        <v>546</v>
      </c>
      <c r="Q1569" t="s">
        <v>1754</v>
      </c>
      <c r="S1569">
        <v>8.7840000000000007</v>
      </c>
      <c r="T1569">
        <v>4</v>
      </c>
      <c r="U1569">
        <v>0.8</v>
      </c>
      <c r="V1569">
        <v>-13.6152</v>
      </c>
      <c r="W1569">
        <f t="shared" si="99"/>
        <v>5.5998000000000001</v>
      </c>
      <c r="X1569">
        <v>2</v>
      </c>
    </row>
    <row r="1570" spans="1:24" x14ac:dyDescent="0.3">
      <c r="A1570">
        <v>1569</v>
      </c>
      <c r="B1570" t="s">
        <v>3323</v>
      </c>
      <c r="C1570" s="6">
        <v>45765</v>
      </c>
      <c r="D1570" t="str">
        <f t="shared" si="96"/>
        <v>Apr</v>
      </c>
      <c r="E1570" t="str">
        <f t="shared" si="97"/>
        <v>2025</v>
      </c>
      <c r="F1570" t="s">
        <v>6</v>
      </c>
      <c r="G1570" t="s">
        <v>238</v>
      </c>
      <c r="H1570" t="s">
        <v>994</v>
      </c>
      <c r="I1570">
        <v>220</v>
      </c>
      <c r="J1570">
        <v>16</v>
      </c>
      <c r="K1570">
        <f t="shared" si="98"/>
        <v>7.2727272727272725</v>
      </c>
      <c r="L1570" t="s">
        <v>1739</v>
      </c>
      <c r="M1570" t="s">
        <v>3785</v>
      </c>
      <c r="O1570">
        <v>391740</v>
      </c>
      <c r="P1570" t="s">
        <v>546</v>
      </c>
      <c r="Q1570" t="s">
        <v>1754</v>
      </c>
      <c r="S1570">
        <v>122.97</v>
      </c>
      <c r="T1570">
        <v>3</v>
      </c>
      <c r="U1570">
        <v>0</v>
      </c>
      <c r="V1570">
        <v>60.255299999999998</v>
      </c>
      <c r="W1570">
        <f t="shared" si="99"/>
        <v>20.904900000000001</v>
      </c>
      <c r="X1570">
        <v>2</v>
      </c>
    </row>
    <row r="1571" spans="1:24" x14ac:dyDescent="0.3">
      <c r="A1571">
        <v>1570</v>
      </c>
      <c r="B1571" t="s">
        <v>3324</v>
      </c>
      <c r="C1571" s="6">
        <v>45766</v>
      </c>
      <c r="D1571" t="str">
        <f t="shared" si="96"/>
        <v>Apr</v>
      </c>
      <c r="E1571" t="str">
        <f t="shared" si="97"/>
        <v>2025</v>
      </c>
      <c r="F1571" t="s">
        <v>4</v>
      </c>
      <c r="G1571" t="s">
        <v>347</v>
      </c>
      <c r="H1571" t="s">
        <v>1593</v>
      </c>
      <c r="I1571">
        <v>180</v>
      </c>
      <c r="J1571">
        <v>18</v>
      </c>
      <c r="K1571">
        <f t="shared" si="98"/>
        <v>10</v>
      </c>
      <c r="L1571" t="s">
        <v>1738</v>
      </c>
      <c r="M1571" t="s">
        <v>3788</v>
      </c>
      <c r="N1571" t="s">
        <v>1</v>
      </c>
      <c r="O1571">
        <v>560103</v>
      </c>
      <c r="P1571" t="s">
        <v>546</v>
      </c>
      <c r="Q1571" t="s">
        <v>1766</v>
      </c>
      <c r="S1571">
        <v>12.84</v>
      </c>
      <c r="T1571">
        <v>3</v>
      </c>
      <c r="U1571">
        <v>0</v>
      </c>
      <c r="V1571">
        <v>3.7235999999999998</v>
      </c>
      <c r="W1571">
        <f t="shared" si="99"/>
        <v>3.0388000000000002</v>
      </c>
      <c r="X1571">
        <v>2</v>
      </c>
    </row>
    <row r="1572" spans="1:24" x14ac:dyDescent="0.3">
      <c r="A1572">
        <v>1571</v>
      </c>
      <c r="B1572" t="s">
        <v>3325</v>
      </c>
      <c r="C1572" s="6">
        <v>45767</v>
      </c>
      <c r="D1572" t="str">
        <f t="shared" si="96"/>
        <v>Apr</v>
      </c>
      <c r="E1572" t="str">
        <f t="shared" si="97"/>
        <v>2025</v>
      </c>
      <c r="F1572" t="s">
        <v>5</v>
      </c>
      <c r="G1572" t="s">
        <v>190</v>
      </c>
      <c r="H1572" t="s">
        <v>630</v>
      </c>
      <c r="I1572">
        <v>130</v>
      </c>
      <c r="J1572">
        <v>8</v>
      </c>
      <c r="K1572">
        <f t="shared" si="98"/>
        <v>6.1538461538461542</v>
      </c>
      <c r="L1572" t="s">
        <v>1737</v>
      </c>
      <c r="M1572" t="s">
        <v>3768</v>
      </c>
      <c r="N1572" t="s">
        <v>1</v>
      </c>
      <c r="O1572">
        <v>630211</v>
      </c>
      <c r="P1572" t="s">
        <v>546</v>
      </c>
      <c r="Q1572" t="s">
        <v>1754</v>
      </c>
      <c r="R1572" t="s">
        <v>2</v>
      </c>
      <c r="S1572">
        <v>603.91999999999996</v>
      </c>
      <c r="T1572">
        <v>5</v>
      </c>
      <c r="U1572">
        <v>0.2</v>
      </c>
      <c r="V1572">
        <v>-67.941000000000003</v>
      </c>
      <c r="W1572">
        <f t="shared" si="99"/>
        <v>134.37219999999999</v>
      </c>
      <c r="X1572">
        <v>1</v>
      </c>
    </row>
    <row r="1573" spans="1:24" x14ac:dyDescent="0.3">
      <c r="A1573">
        <v>1572</v>
      </c>
      <c r="B1573" t="s">
        <v>3326</v>
      </c>
      <c r="C1573" s="6">
        <v>45768</v>
      </c>
      <c r="D1573" t="str">
        <f t="shared" si="96"/>
        <v>Apr</v>
      </c>
      <c r="E1573" t="str">
        <f t="shared" si="97"/>
        <v>2025</v>
      </c>
      <c r="F1573" t="s">
        <v>5</v>
      </c>
      <c r="G1573" t="s">
        <v>190</v>
      </c>
      <c r="H1573" t="s">
        <v>1594</v>
      </c>
      <c r="I1573">
        <v>220</v>
      </c>
      <c r="J1573">
        <v>24</v>
      </c>
      <c r="K1573">
        <f t="shared" si="98"/>
        <v>10.909090909090908</v>
      </c>
      <c r="L1573" t="s">
        <v>1743</v>
      </c>
      <c r="M1573" t="s">
        <v>3769</v>
      </c>
      <c r="N1573" t="s">
        <v>1</v>
      </c>
      <c r="O1573">
        <v>630211</v>
      </c>
      <c r="P1573" t="s">
        <v>546</v>
      </c>
      <c r="Q1573" t="s">
        <v>1766</v>
      </c>
      <c r="R1573" t="s">
        <v>2</v>
      </c>
      <c r="S1573">
        <v>21.84</v>
      </c>
      <c r="T1573">
        <v>3</v>
      </c>
      <c r="U1573">
        <v>0</v>
      </c>
      <c r="V1573">
        <v>10.4832</v>
      </c>
      <c r="W1573">
        <f t="shared" si="99"/>
        <v>3.7856000000000001</v>
      </c>
      <c r="X1573">
        <v>5</v>
      </c>
    </row>
    <row r="1574" spans="1:24" x14ac:dyDescent="0.3">
      <c r="A1574">
        <v>1573</v>
      </c>
      <c r="B1574" t="s">
        <v>3327</v>
      </c>
      <c r="C1574" s="6">
        <v>45769</v>
      </c>
      <c r="D1574" t="str">
        <f t="shared" si="96"/>
        <v>Apr</v>
      </c>
      <c r="E1574" t="str">
        <f t="shared" si="97"/>
        <v>2025</v>
      </c>
      <c r="F1574" t="s">
        <v>5</v>
      </c>
      <c r="G1574" t="s">
        <v>190</v>
      </c>
      <c r="H1574" t="s">
        <v>1595</v>
      </c>
      <c r="I1574">
        <v>130</v>
      </c>
      <c r="J1574">
        <v>30</v>
      </c>
      <c r="K1574">
        <f t="shared" si="98"/>
        <v>23.076923076923077</v>
      </c>
      <c r="L1574" t="s">
        <v>1738</v>
      </c>
      <c r="M1574" t="s">
        <v>3770</v>
      </c>
      <c r="N1574" t="s">
        <v>1</v>
      </c>
      <c r="O1574">
        <v>226002</v>
      </c>
      <c r="P1574" t="s">
        <v>546</v>
      </c>
      <c r="Q1574" t="s">
        <v>1760</v>
      </c>
      <c r="S1574">
        <v>29.99</v>
      </c>
      <c r="T1574">
        <v>1</v>
      </c>
      <c r="U1574">
        <v>0</v>
      </c>
      <c r="V1574">
        <v>6.2979000000000003</v>
      </c>
      <c r="W1574">
        <f t="shared" si="99"/>
        <v>23.692099999999996</v>
      </c>
      <c r="X1574">
        <v>5</v>
      </c>
    </row>
    <row r="1575" spans="1:24" x14ac:dyDescent="0.3">
      <c r="A1575">
        <v>1574</v>
      </c>
      <c r="B1575" t="s">
        <v>3328</v>
      </c>
      <c r="C1575" s="6">
        <v>45770</v>
      </c>
      <c r="D1575" t="str">
        <f t="shared" si="96"/>
        <v>Apr</v>
      </c>
      <c r="E1575" t="str">
        <f t="shared" si="97"/>
        <v>2025</v>
      </c>
      <c r="F1575" t="s">
        <v>5</v>
      </c>
      <c r="G1575" t="s">
        <v>190</v>
      </c>
      <c r="H1575" t="s">
        <v>1014</v>
      </c>
      <c r="I1575">
        <v>210</v>
      </c>
      <c r="J1575">
        <v>12</v>
      </c>
      <c r="K1575">
        <f t="shared" si="98"/>
        <v>5.7142857142857144</v>
      </c>
      <c r="L1575" t="s">
        <v>1739</v>
      </c>
      <c r="M1575" t="s">
        <v>3771</v>
      </c>
      <c r="N1575" t="s">
        <v>1</v>
      </c>
      <c r="O1575">
        <v>682021</v>
      </c>
      <c r="P1575" t="s">
        <v>546</v>
      </c>
      <c r="Q1575" t="s">
        <v>1760</v>
      </c>
      <c r="S1575">
        <v>381.44</v>
      </c>
      <c r="T1575">
        <v>2</v>
      </c>
      <c r="U1575">
        <v>0.2</v>
      </c>
      <c r="V1575">
        <v>23.84</v>
      </c>
      <c r="W1575">
        <f t="shared" si="99"/>
        <v>178.8</v>
      </c>
      <c r="X1575">
        <v>4</v>
      </c>
    </row>
    <row r="1576" spans="1:24" x14ac:dyDescent="0.3">
      <c r="A1576">
        <v>1575</v>
      </c>
      <c r="B1576" t="s">
        <v>3329</v>
      </c>
      <c r="C1576" s="6">
        <v>45771</v>
      </c>
      <c r="D1576" t="str">
        <f t="shared" si="96"/>
        <v>Apr</v>
      </c>
      <c r="E1576" t="str">
        <f t="shared" si="97"/>
        <v>2025</v>
      </c>
      <c r="F1576" t="s">
        <v>5</v>
      </c>
      <c r="G1576" t="s">
        <v>505</v>
      </c>
      <c r="H1576" t="s">
        <v>1596</v>
      </c>
      <c r="I1576">
        <v>120</v>
      </c>
      <c r="J1576">
        <v>16</v>
      </c>
      <c r="K1576">
        <f t="shared" si="98"/>
        <v>13.333333333333334</v>
      </c>
      <c r="L1576" t="s">
        <v>1741</v>
      </c>
      <c r="M1576" t="s">
        <v>3796</v>
      </c>
      <c r="N1576" t="s">
        <v>1</v>
      </c>
      <c r="O1576">
        <v>800001</v>
      </c>
      <c r="P1576" t="s">
        <v>546</v>
      </c>
      <c r="Q1576" t="s">
        <v>1774</v>
      </c>
      <c r="S1576">
        <v>40.68</v>
      </c>
      <c r="T1576">
        <v>3</v>
      </c>
      <c r="U1576">
        <v>0.2</v>
      </c>
      <c r="V1576">
        <v>-9.1530000000000005</v>
      </c>
      <c r="W1576">
        <f t="shared" si="99"/>
        <v>16.611000000000001</v>
      </c>
      <c r="X1576">
        <v>4</v>
      </c>
    </row>
    <row r="1577" spans="1:24" x14ac:dyDescent="0.3">
      <c r="A1577">
        <v>1576</v>
      </c>
      <c r="B1577" t="s">
        <v>3330</v>
      </c>
      <c r="C1577" s="6">
        <v>45772</v>
      </c>
      <c r="D1577" t="str">
        <f t="shared" si="96"/>
        <v>Apr</v>
      </c>
      <c r="E1577" t="str">
        <f t="shared" si="97"/>
        <v>2025</v>
      </c>
      <c r="F1577" t="s">
        <v>5</v>
      </c>
      <c r="G1577" t="s">
        <v>505</v>
      </c>
      <c r="H1577" t="s">
        <v>1182</v>
      </c>
      <c r="I1577">
        <v>100</v>
      </c>
      <c r="J1577">
        <v>10</v>
      </c>
      <c r="K1577">
        <f t="shared" si="98"/>
        <v>10</v>
      </c>
      <c r="L1577" t="s">
        <v>1736</v>
      </c>
      <c r="M1577" t="s">
        <v>3773</v>
      </c>
      <c r="N1577" t="s">
        <v>1</v>
      </c>
      <c r="O1577">
        <v>421601</v>
      </c>
      <c r="P1577" t="s">
        <v>546</v>
      </c>
      <c r="Q1577" t="s">
        <v>1758</v>
      </c>
      <c r="S1577">
        <v>763.28</v>
      </c>
      <c r="T1577">
        <v>5</v>
      </c>
      <c r="U1577">
        <v>0.3</v>
      </c>
      <c r="V1577">
        <v>-21.808</v>
      </c>
      <c r="W1577">
        <f t="shared" si="99"/>
        <v>157.01759999999999</v>
      </c>
      <c r="X1577">
        <v>3</v>
      </c>
    </row>
    <row r="1578" spans="1:24" x14ac:dyDescent="0.3">
      <c r="A1578">
        <v>1577</v>
      </c>
      <c r="B1578" t="s">
        <v>3331</v>
      </c>
      <c r="C1578" s="6">
        <v>45773</v>
      </c>
      <c r="D1578" t="str">
        <f t="shared" si="96"/>
        <v>Apr</v>
      </c>
      <c r="E1578" t="str">
        <f t="shared" si="97"/>
        <v>2025</v>
      </c>
      <c r="F1578" t="s">
        <v>4</v>
      </c>
      <c r="G1578" t="s">
        <v>506</v>
      </c>
      <c r="H1578" t="s">
        <v>875</v>
      </c>
      <c r="I1578">
        <v>190</v>
      </c>
      <c r="J1578">
        <v>18</v>
      </c>
      <c r="K1578">
        <f t="shared" si="98"/>
        <v>9.4736842105263168</v>
      </c>
      <c r="L1578" t="s">
        <v>1744</v>
      </c>
      <c r="M1578" t="s">
        <v>3774</v>
      </c>
      <c r="N1578" t="s">
        <v>1</v>
      </c>
      <c r="O1578">
        <v>122101</v>
      </c>
      <c r="P1578" t="s">
        <v>546</v>
      </c>
      <c r="Q1578" t="s">
        <v>1759</v>
      </c>
      <c r="S1578">
        <v>23.952000000000002</v>
      </c>
      <c r="T1578">
        <v>2</v>
      </c>
      <c r="U1578">
        <v>0.2</v>
      </c>
      <c r="V1578">
        <v>2.3952</v>
      </c>
      <c r="W1578">
        <f t="shared" si="99"/>
        <v>10.778400000000001</v>
      </c>
      <c r="X1578">
        <v>2</v>
      </c>
    </row>
    <row r="1579" spans="1:24" x14ac:dyDescent="0.3">
      <c r="A1579">
        <v>1578</v>
      </c>
      <c r="B1579" t="s">
        <v>3332</v>
      </c>
      <c r="C1579" s="6">
        <v>45774</v>
      </c>
      <c r="D1579" t="str">
        <f t="shared" si="96"/>
        <v>Apr</v>
      </c>
      <c r="E1579" t="str">
        <f t="shared" si="97"/>
        <v>2025</v>
      </c>
      <c r="F1579" t="s">
        <v>4</v>
      </c>
      <c r="G1579" t="s">
        <v>406</v>
      </c>
      <c r="H1579" t="s">
        <v>1597</v>
      </c>
      <c r="I1579">
        <v>160</v>
      </c>
      <c r="J1579">
        <v>6</v>
      </c>
      <c r="K1579">
        <f t="shared" si="98"/>
        <v>3.75</v>
      </c>
      <c r="L1579" t="s">
        <v>1740</v>
      </c>
      <c r="M1579" t="s">
        <v>3775</v>
      </c>
      <c r="N1579" t="s">
        <v>1</v>
      </c>
      <c r="O1579">
        <v>302017</v>
      </c>
      <c r="P1579" t="s">
        <v>546</v>
      </c>
      <c r="Q1579" t="s">
        <v>1759</v>
      </c>
      <c r="S1579">
        <v>4.9800000000000004</v>
      </c>
      <c r="T1579">
        <v>1</v>
      </c>
      <c r="U1579">
        <v>0</v>
      </c>
      <c r="V1579">
        <v>2.4401999999999999</v>
      </c>
      <c r="W1579">
        <f t="shared" si="99"/>
        <v>2.5398000000000005</v>
      </c>
      <c r="X1579">
        <v>2</v>
      </c>
    </row>
    <row r="1580" spans="1:24" x14ac:dyDescent="0.3">
      <c r="A1580">
        <v>1579</v>
      </c>
      <c r="B1580" t="s">
        <v>3333</v>
      </c>
      <c r="C1580" s="6">
        <v>45775</v>
      </c>
      <c r="D1580" t="str">
        <f t="shared" si="96"/>
        <v>Apr</v>
      </c>
      <c r="E1580" t="str">
        <f t="shared" si="97"/>
        <v>2025</v>
      </c>
      <c r="F1580" t="s">
        <v>5</v>
      </c>
      <c r="G1580" t="s">
        <v>304</v>
      </c>
      <c r="H1580" t="s">
        <v>1598</v>
      </c>
      <c r="I1580">
        <v>170</v>
      </c>
      <c r="J1580">
        <v>24</v>
      </c>
      <c r="K1580">
        <f t="shared" si="98"/>
        <v>14.117647058823529</v>
      </c>
      <c r="L1580" t="s">
        <v>1742</v>
      </c>
      <c r="M1580" t="s">
        <v>3765</v>
      </c>
      <c r="N1580" t="s">
        <v>1</v>
      </c>
      <c r="O1580">
        <v>271801</v>
      </c>
      <c r="P1580" t="s">
        <v>546</v>
      </c>
      <c r="Q1580" t="s">
        <v>1776</v>
      </c>
      <c r="S1580">
        <v>170.88</v>
      </c>
      <c r="T1580">
        <v>3</v>
      </c>
      <c r="U1580">
        <v>0</v>
      </c>
      <c r="V1580">
        <v>49.555199999999999</v>
      </c>
      <c r="W1580">
        <f t="shared" si="99"/>
        <v>40.441600000000001</v>
      </c>
      <c r="X1580">
        <v>5</v>
      </c>
    </row>
    <row r="1581" spans="1:24" x14ac:dyDescent="0.3">
      <c r="A1581">
        <v>1580</v>
      </c>
      <c r="B1581" t="s">
        <v>3334</v>
      </c>
      <c r="C1581" s="6">
        <v>45776</v>
      </c>
      <c r="D1581" t="str">
        <f t="shared" si="96"/>
        <v>Apr</v>
      </c>
      <c r="E1581" t="str">
        <f t="shared" si="97"/>
        <v>2025</v>
      </c>
      <c r="F1581" t="s">
        <v>5</v>
      </c>
      <c r="G1581" t="s">
        <v>275</v>
      </c>
      <c r="H1581" t="s">
        <v>895</v>
      </c>
      <c r="I1581">
        <v>210</v>
      </c>
      <c r="J1581">
        <v>26</v>
      </c>
      <c r="K1581">
        <f t="shared" si="98"/>
        <v>12.380952380952381</v>
      </c>
      <c r="L1581" t="s">
        <v>1739</v>
      </c>
      <c r="M1581" t="s">
        <v>3777</v>
      </c>
      <c r="N1581" t="s">
        <v>1</v>
      </c>
      <c r="O1581">
        <v>201012</v>
      </c>
      <c r="P1581" t="s">
        <v>546</v>
      </c>
      <c r="Q1581" t="s">
        <v>1755</v>
      </c>
      <c r="S1581">
        <v>307.98</v>
      </c>
      <c r="T1581">
        <v>2</v>
      </c>
      <c r="U1581">
        <v>0</v>
      </c>
      <c r="V1581">
        <v>89.3142</v>
      </c>
      <c r="W1581">
        <f t="shared" si="99"/>
        <v>109.33290000000001</v>
      </c>
      <c r="X1581">
        <v>2</v>
      </c>
    </row>
    <row r="1582" spans="1:24" x14ac:dyDescent="0.3">
      <c r="A1582">
        <v>1581</v>
      </c>
      <c r="B1582" t="s">
        <v>3335</v>
      </c>
      <c r="C1582" s="6">
        <v>45777</v>
      </c>
      <c r="D1582" t="str">
        <f t="shared" si="96"/>
        <v>Apr</v>
      </c>
      <c r="E1582" t="str">
        <f t="shared" si="97"/>
        <v>2025</v>
      </c>
      <c r="F1582" t="s">
        <v>5</v>
      </c>
      <c r="G1582" t="s">
        <v>275</v>
      </c>
      <c r="H1582" t="s">
        <v>770</v>
      </c>
      <c r="I1582">
        <v>220</v>
      </c>
      <c r="J1582">
        <v>16</v>
      </c>
      <c r="K1582">
        <f t="shared" si="98"/>
        <v>7.2727272727272725</v>
      </c>
      <c r="L1582" t="s">
        <v>1738</v>
      </c>
      <c r="M1582" t="s">
        <v>3750</v>
      </c>
      <c r="O1582">
        <v>560067</v>
      </c>
      <c r="P1582" t="s">
        <v>546</v>
      </c>
      <c r="Q1582" t="s">
        <v>1759</v>
      </c>
      <c r="S1582">
        <v>382.80599999999998</v>
      </c>
      <c r="T1582">
        <v>9</v>
      </c>
      <c r="U1582">
        <v>0.4</v>
      </c>
      <c r="V1582">
        <v>-153.1224</v>
      </c>
      <c r="W1582">
        <f t="shared" si="99"/>
        <v>59.547600000000003</v>
      </c>
      <c r="X1582">
        <v>4</v>
      </c>
    </row>
    <row r="1583" spans="1:24" x14ac:dyDescent="0.3">
      <c r="A1583">
        <v>1582</v>
      </c>
      <c r="B1583" t="s">
        <v>3336</v>
      </c>
      <c r="C1583" s="6">
        <v>45778</v>
      </c>
      <c r="D1583" t="str">
        <f t="shared" si="96"/>
        <v>May</v>
      </c>
      <c r="E1583" t="str">
        <f t="shared" si="97"/>
        <v>2025</v>
      </c>
      <c r="F1583" t="s">
        <v>5</v>
      </c>
      <c r="G1583" t="s">
        <v>275</v>
      </c>
      <c r="H1583" t="s">
        <v>740</v>
      </c>
      <c r="I1583">
        <v>130</v>
      </c>
      <c r="J1583">
        <v>12</v>
      </c>
      <c r="K1583">
        <f t="shared" si="98"/>
        <v>9.2307692307692317</v>
      </c>
      <c r="L1583" t="s">
        <v>1737</v>
      </c>
      <c r="M1583" t="s">
        <v>3835</v>
      </c>
      <c r="N1583" t="s">
        <v>1</v>
      </c>
      <c r="O1583">
        <v>173211</v>
      </c>
      <c r="P1583" t="s">
        <v>546</v>
      </c>
      <c r="Q1583" t="s">
        <v>1758</v>
      </c>
      <c r="S1583">
        <v>41.96</v>
      </c>
      <c r="T1583">
        <v>2</v>
      </c>
      <c r="U1583">
        <v>0</v>
      </c>
      <c r="V1583">
        <v>2.9371999999999998</v>
      </c>
      <c r="W1583">
        <f t="shared" si="99"/>
        <v>19.511400000000002</v>
      </c>
      <c r="X1583">
        <v>2</v>
      </c>
    </row>
    <row r="1584" spans="1:24" x14ac:dyDescent="0.3">
      <c r="A1584">
        <v>1583</v>
      </c>
      <c r="B1584" t="s">
        <v>3337</v>
      </c>
      <c r="C1584" s="6">
        <v>45779</v>
      </c>
      <c r="D1584" t="str">
        <f t="shared" si="96"/>
        <v>May</v>
      </c>
      <c r="E1584" t="str">
        <f t="shared" si="97"/>
        <v>2025</v>
      </c>
      <c r="F1584" t="s">
        <v>5</v>
      </c>
      <c r="G1584" t="s">
        <v>275</v>
      </c>
      <c r="H1584" t="s">
        <v>1239</v>
      </c>
      <c r="I1584">
        <v>160</v>
      </c>
      <c r="J1584">
        <v>26</v>
      </c>
      <c r="K1584">
        <f t="shared" si="98"/>
        <v>16.25</v>
      </c>
      <c r="L1584" t="s">
        <v>1743</v>
      </c>
      <c r="M1584" t="s">
        <v>3836</v>
      </c>
      <c r="N1584" t="s">
        <v>1</v>
      </c>
      <c r="O1584">
        <v>500020</v>
      </c>
      <c r="P1584" t="s">
        <v>546</v>
      </c>
      <c r="Q1584" t="s">
        <v>1769</v>
      </c>
      <c r="S1584">
        <v>1217.568</v>
      </c>
      <c r="T1584">
        <v>2</v>
      </c>
      <c r="U1584">
        <v>0.2</v>
      </c>
      <c r="V1584">
        <v>456.58800000000002</v>
      </c>
      <c r="W1584">
        <f t="shared" si="99"/>
        <v>380.49</v>
      </c>
      <c r="X1584">
        <v>5</v>
      </c>
    </row>
    <row r="1585" spans="1:24" x14ac:dyDescent="0.3">
      <c r="A1585">
        <v>1584</v>
      </c>
      <c r="B1585" t="s">
        <v>3338</v>
      </c>
      <c r="C1585" s="6">
        <v>45780</v>
      </c>
      <c r="D1585" t="str">
        <f t="shared" si="96"/>
        <v>May</v>
      </c>
      <c r="E1585" t="str">
        <f t="shared" si="97"/>
        <v>2025</v>
      </c>
      <c r="F1585" t="s">
        <v>5</v>
      </c>
      <c r="G1585" t="s">
        <v>275</v>
      </c>
      <c r="H1585" t="s">
        <v>663</v>
      </c>
      <c r="I1585">
        <v>200</v>
      </c>
      <c r="J1585">
        <v>8</v>
      </c>
      <c r="K1585">
        <f t="shared" si="98"/>
        <v>4</v>
      </c>
      <c r="L1585" t="s">
        <v>1738</v>
      </c>
      <c r="M1585" t="s">
        <v>3795</v>
      </c>
      <c r="N1585" t="s">
        <v>1</v>
      </c>
      <c r="O1585">
        <v>306401</v>
      </c>
      <c r="P1585" t="s">
        <v>546</v>
      </c>
      <c r="Q1585" t="s">
        <v>1761</v>
      </c>
      <c r="S1585">
        <v>47.04</v>
      </c>
      <c r="T1585">
        <v>3</v>
      </c>
      <c r="U1585">
        <v>0</v>
      </c>
      <c r="V1585">
        <v>18.345600000000001</v>
      </c>
      <c r="W1585">
        <f t="shared" si="99"/>
        <v>9.5648</v>
      </c>
      <c r="X1585">
        <v>1</v>
      </c>
    </row>
    <row r="1586" spans="1:24" x14ac:dyDescent="0.3">
      <c r="A1586">
        <v>1585</v>
      </c>
      <c r="B1586" t="s">
        <v>3339</v>
      </c>
      <c r="C1586" s="6">
        <v>45781</v>
      </c>
      <c r="D1586" t="str">
        <f t="shared" si="96"/>
        <v>May</v>
      </c>
      <c r="E1586" t="str">
        <f t="shared" si="97"/>
        <v>2025</v>
      </c>
      <c r="F1586" t="s">
        <v>5</v>
      </c>
      <c r="G1586" t="s">
        <v>275</v>
      </c>
      <c r="H1586" t="s">
        <v>597</v>
      </c>
      <c r="I1586">
        <v>110</v>
      </c>
      <c r="J1586">
        <v>30</v>
      </c>
      <c r="K1586">
        <f t="shared" si="98"/>
        <v>27.27272727272727</v>
      </c>
      <c r="L1586" t="s">
        <v>1739</v>
      </c>
      <c r="M1586" t="s">
        <v>3751</v>
      </c>
      <c r="N1586" t="s">
        <v>1</v>
      </c>
      <c r="O1586">
        <v>800001</v>
      </c>
      <c r="P1586" t="s">
        <v>546</v>
      </c>
      <c r="Q1586" t="s">
        <v>1759</v>
      </c>
      <c r="S1586">
        <v>6.16</v>
      </c>
      <c r="T1586">
        <v>2</v>
      </c>
      <c r="U1586">
        <v>0</v>
      </c>
      <c r="V1586">
        <v>2.9567999999999999</v>
      </c>
      <c r="W1586">
        <f t="shared" si="99"/>
        <v>1.6016000000000001</v>
      </c>
      <c r="X1586">
        <v>2</v>
      </c>
    </row>
    <row r="1587" spans="1:24" x14ac:dyDescent="0.3">
      <c r="A1587">
        <v>1586</v>
      </c>
      <c r="B1587" t="s">
        <v>3340</v>
      </c>
      <c r="C1587" s="6">
        <v>45782</v>
      </c>
      <c r="D1587" t="str">
        <f t="shared" si="96"/>
        <v>May</v>
      </c>
      <c r="E1587" t="str">
        <f t="shared" si="97"/>
        <v>2025</v>
      </c>
      <c r="F1587" t="s">
        <v>5</v>
      </c>
      <c r="G1587" t="s">
        <v>275</v>
      </c>
      <c r="H1587" t="s">
        <v>1016</v>
      </c>
      <c r="I1587">
        <v>210</v>
      </c>
      <c r="J1587">
        <v>30</v>
      </c>
      <c r="K1587">
        <f t="shared" si="98"/>
        <v>14.285714285714285</v>
      </c>
      <c r="L1587" t="s">
        <v>1741</v>
      </c>
      <c r="M1587" t="s">
        <v>3752</v>
      </c>
      <c r="N1587" t="s">
        <v>1</v>
      </c>
      <c r="O1587">
        <v>534239</v>
      </c>
      <c r="P1587" t="s">
        <v>546</v>
      </c>
      <c r="Q1587" t="s">
        <v>1756</v>
      </c>
      <c r="S1587">
        <v>979.95</v>
      </c>
      <c r="T1587">
        <v>5</v>
      </c>
      <c r="U1587">
        <v>0</v>
      </c>
      <c r="V1587">
        <v>274.38600000000002</v>
      </c>
      <c r="W1587">
        <f t="shared" si="99"/>
        <v>141.11280000000002</v>
      </c>
      <c r="X1587">
        <v>3</v>
      </c>
    </row>
    <row r="1588" spans="1:24" x14ac:dyDescent="0.3">
      <c r="A1588">
        <v>1587</v>
      </c>
      <c r="B1588" t="s">
        <v>2995</v>
      </c>
      <c r="C1588" s="6">
        <v>45783</v>
      </c>
      <c r="D1588" t="str">
        <f t="shared" si="96"/>
        <v>May</v>
      </c>
      <c r="E1588" t="str">
        <f t="shared" si="97"/>
        <v>2025</v>
      </c>
      <c r="F1588" t="s">
        <v>5</v>
      </c>
      <c r="G1588" t="s">
        <v>275</v>
      </c>
      <c r="H1588" t="s">
        <v>1599</v>
      </c>
      <c r="I1588">
        <v>160</v>
      </c>
      <c r="J1588">
        <v>6</v>
      </c>
      <c r="K1588">
        <f t="shared" si="98"/>
        <v>3.75</v>
      </c>
      <c r="L1588" t="s">
        <v>1736</v>
      </c>
      <c r="M1588" t="s">
        <v>3753</v>
      </c>
      <c r="N1588" t="s">
        <v>1</v>
      </c>
      <c r="O1588">
        <v>411026</v>
      </c>
      <c r="P1588" t="s">
        <v>546</v>
      </c>
      <c r="Q1588" t="s">
        <v>1770</v>
      </c>
      <c r="S1588">
        <v>143.69999999999999</v>
      </c>
      <c r="T1588">
        <v>3</v>
      </c>
      <c r="U1588">
        <v>0</v>
      </c>
      <c r="V1588">
        <v>68.975999999999999</v>
      </c>
      <c r="W1588">
        <f t="shared" si="99"/>
        <v>24.907999999999998</v>
      </c>
      <c r="X1588">
        <v>5</v>
      </c>
    </row>
    <row r="1589" spans="1:24" x14ac:dyDescent="0.3">
      <c r="A1589">
        <v>1588</v>
      </c>
      <c r="B1589" t="s">
        <v>3341</v>
      </c>
      <c r="C1589" s="6">
        <v>45784</v>
      </c>
      <c r="D1589" t="str">
        <f t="shared" si="96"/>
        <v>May</v>
      </c>
      <c r="E1589" t="str">
        <f t="shared" si="97"/>
        <v>2025</v>
      </c>
      <c r="F1589" t="s">
        <v>5</v>
      </c>
      <c r="G1589" t="s">
        <v>275</v>
      </c>
      <c r="H1589" t="s">
        <v>1600</v>
      </c>
      <c r="I1589">
        <v>110</v>
      </c>
      <c r="J1589">
        <v>24</v>
      </c>
      <c r="K1589">
        <f t="shared" si="98"/>
        <v>21.818181818181817</v>
      </c>
      <c r="L1589" t="s">
        <v>1744</v>
      </c>
      <c r="M1589" t="s">
        <v>3754</v>
      </c>
      <c r="N1589" t="s">
        <v>1</v>
      </c>
      <c r="O1589">
        <v>226020</v>
      </c>
      <c r="P1589" t="s">
        <v>546</v>
      </c>
      <c r="Q1589" t="s">
        <v>1761</v>
      </c>
      <c r="S1589">
        <v>10.65</v>
      </c>
      <c r="T1589">
        <v>3</v>
      </c>
      <c r="U1589">
        <v>0</v>
      </c>
      <c r="V1589">
        <v>5.0054999999999996</v>
      </c>
      <c r="W1589">
        <f t="shared" si="99"/>
        <v>1.8815000000000002</v>
      </c>
      <c r="X1589">
        <v>5</v>
      </c>
    </row>
    <row r="1590" spans="1:24" x14ac:dyDescent="0.3">
      <c r="A1590">
        <v>1589</v>
      </c>
      <c r="B1590" t="s">
        <v>3342</v>
      </c>
      <c r="C1590" s="6">
        <v>45785</v>
      </c>
      <c r="D1590" t="str">
        <f t="shared" si="96"/>
        <v>May</v>
      </c>
      <c r="E1590" t="str">
        <f t="shared" si="97"/>
        <v>2025</v>
      </c>
      <c r="F1590" t="s">
        <v>5</v>
      </c>
      <c r="G1590" t="s">
        <v>275</v>
      </c>
      <c r="H1590" t="s">
        <v>933</v>
      </c>
      <c r="I1590">
        <v>250</v>
      </c>
      <c r="J1590">
        <v>30</v>
      </c>
      <c r="K1590">
        <f t="shared" si="98"/>
        <v>12</v>
      </c>
      <c r="L1590" t="s">
        <v>1740</v>
      </c>
      <c r="M1590" t="s">
        <v>3755</v>
      </c>
      <c r="N1590" t="s">
        <v>1</v>
      </c>
      <c r="O1590">
        <v>400053</v>
      </c>
      <c r="P1590" t="s">
        <v>546</v>
      </c>
      <c r="Q1590" t="s">
        <v>1767</v>
      </c>
      <c r="S1590">
        <v>247.8</v>
      </c>
      <c r="T1590">
        <v>4</v>
      </c>
      <c r="U1590">
        <v>0</v>
      </c>
      <c r="V1590">
        <v>34.692</v>
      </c>
      <c r="W1590">
        <f t="shared" si="99"/>
        <v>53.277000000000001</v>
      </c>
      <c r="X1590">
        <v>1</v>
      </c>
    </row>
    <row r="1591" spans="1:24" x14ac:dyDescent="0.3">
      <c r="A1591">
        <v>1590</v>
      </c>
      <c r="B1591" t="s">
        <v>3343</v>
      </c>
      <c r="C1591" s="6">
        <v>45786</v>
      </c>
      <c r="D1591" t="str">
        <f t="shared" si="96"/>
        <v>May</v>
      </c>
      <c r="E1591" t="str">
        <f t="shared" si="97"/>
        <v>2025</v>
      </c>
      <c r="F1591" t="s">
        <v>4</v>
      </c>
      <c r="G1591" t="s">
        <v>507</v>
      </c>
      <c r="H1591" t="s">
        <v>995</v>
      </c>
      <c r="I1591">
        <v>160</v>
      </c>
      <c r="J1591">
        <v>28</v>
      </c>
      <c r="K1591">
        <f t="shared" si="98"/>
        <v>17.5</v>
      </c>
      <c r="L1591" t="s">
        <v>1742</v>
      </c>
      <c r="M1591" t="s">
        <v>3756</v>
      </c>
      <c r="N1591" t="s">
        <v>1</v>
      </c>
      <c r="O1591">
        <v>180001</v>
      </c>
      <c r="P1591" t="s">
        <v>546</v>
      </c>
      <c r="Q1591" t="s">
        <v>1775</v>
      </c>
      <c r="S1591">
        <v>10.96</v>
      </c>
      <c r="T1591">
        <v>4</v>
      </c>
      <c r="U1591">
        <v>0</v>
      </c>
      <c r="V1591">
        <v>2.9592000000000001</v>
      </c>
      <c r="W1591">
        <f t="shared" si="99"/>
        <v>2.0002000000000004</v>
      </c>
      <c r="X1591">
        <v>1</v>
      </c>
    </row>
    <row r="1592" spans="1:24" x14ac:dyDescent="0.3">
      <c r="A1592">
        <v>1591</v>
      </c>
      <c r="B1592" t="s">
        <v>3344</v>
      </c>
      <c r="C1592" s="6">
        <v>45787</v>
      </c>
      <c r="D1592" t="str">
        <f t="shared" si="96"/>
        <v>May</v>
      </c>
      <c r="E1592" t="str">
        <f t="shared" si="97"/>
        <v>2025</v>
      </c>
      <c r="F1592" t="s">
        <v>4</v>
      </c>
      <c r="G1592" t="s">
        <v>508</v>
      </c>
      <c r="H1592" t="s">
        <v>1601</v>
      </c>
      <c r="I1592">
        <v>140</v>
      </c>
      <c r="J1592">
        <v>30</v>
      </c>
      <c r="K1592">
        <f t="shared" si="98"/>
        <v>21.428571428571427</v>
      </c>
      <c r="L1592" t="s">
        <v>1739</v>
      </c>
      <c r="M1592" t="s">
        <v>3757</v>
      </c>
      <c r="N1592" t="s">
        <v>1</v>
      </c>
      <c r="O1592">
        <v>560037</v>
      </c>
      <c r="P1592" t="s">
        <v>546</v>
      </c>
      <c r="Q1592" t="s">
        <v>1757</v>
      </c>
      <c r="S1592">
        <v>33.488</v>
      </c>
      <c r="T1592">
        <v>7</v>
      </c>
      <c r="U1592">
        <v>0.2</v>
      </c>
      <c r="V1592">
        <v>5.8604000000000003</v>
      </c>
      <c r="W1592">
        <f t="shared" si="99"/>
        <v>3.9468000000000001</v>
      </c>
      <c r="X1592">
        <v>4</v>
      </c>
    </row>
    <row r="1593" spans="1:24" x14ac:dyDescent="0.3">
      <c r="A1593">
        <v>1592</v>
      </c>
      <c r="B1593" t="s">
        <v>3345</v>
      </c>
      <c r="C1593" s="6">
        <v>45788</v>
      </c>
      <c r="D1593" t="str">
        <f t="shared" si="96"/>
        <v>May</v>
      </c>
      <c r="E1593" t="str">
        <f t="shared" si="97"/>
        <v>2025</v>
      </c>
      <c r="F1593" t="s">
        <v>4</v>
      </c>
      <c r="G1593" t="s">
        <v>508</v>
      </c>
      <c r="H1593" t="s">
        <v>678</v>
      </c>
      <c r="I1593">
        <v>190</v>
      </c>
      <c r="J1593">
        <v>24</v>
      </c>
      <c r="K1593">
        <f t="shared" si="98"/>
        <v>12.631578947368421</v>
      </c>
      <c r="L1593" t="s">
        <v>1738</v>
      </c>
      <c r="M1593" t="s">
        <v>3758</v>
      </c>
      <c r="N1593" t="s">
        <v>1</v>
      </c>
      <c r="O1593">
        <v>515001</v>
      </c>
      <c r="P1593" t="s">
        <v>546</v>
      </c>
      <c r="Q1593" t="s">
        <v>1769</v>
      </c>
      <c r="S1593">
        <v>8.0399999999999991</v>
      </c>
      <c r="T1593">
        <v>5</v>
      </c>
      <c r="U1593">
        <v>0.2</v>
      </c>
      <c r="V1593">
        <v>2.9144999999999999</v>
      </c>
      <c r="W1593">
        <f t="shared" si="99"/>
        <v>1.0250999999999997</v>
      </c>
      <c r="X1593">
        <v>1</v>
      </c>
    </row>
    <row r="1594" spans="1:24" x14ac:dyDescent="0.3">
      <c r="A1594">
        <v>1593</v>
      </c>
      <c r="B1594" t="s">
        <v>3346</v>
      </c>
      <c r="C1594" s="6">
        <v>45789</v>
      </c>
      <c r="D1594" t="str">
        <f t="shared" si="96"/>
        <v>May</v>
      </c>
      <c r="E1594" t="str">
        <f t="shared" si="97"/>
        <v>2025</v>
      </c>
      <c r="F1594" t="s">
        <v>3</v>
      </c>
      <c r="G1594" t="s">
        <v>509</v>
      </c>
      <c r="H1594" t="s">
        <v>1602</v>
      </c>
      <c r="I1594">
        <v>140</v>
      </c>
      <c r="J1594">
        <v>18</v>
      </c>
      <c r="K1594">
        <f t="shared" si="98"/>
        <v>12.857142857142856</v>
      </c>
      <c r="L1594" t="s">
        <v>1743</v>
      </c>
      <c r="M1594" t="s">
        <v>3759</v>
      </c>
      <c r="N1594" t="s">
        <v>1</v>
      </c>
      <c r="O1594">
        <v>440008</v>
      </c>
      <c r="P1594" t="s">
        <v>546</v>
      </c>
      <c r="Q1594" t="s">
        <v>1769</v>
      </c>
      <c r="S1594">
        <v>201.56800000000001</v>
      </c>
      <c r="T1594">
        <v>4</v>
      </c>
      <c r="U1594">
        <v>0.2</v>
      </c>
      <c r="V1594">
        <v>22.676400000000001</v>
      </c>
      <c r="W1594">
        <f t="shared" si="99"/>
        <v>44.722900000000003</v>
      </c>
      <c r="X1594">
        <v>2</v>
      </c>
    </row>
    <row r="1595" spans="1:24" x14ac:dyDescent="0.3">
      <c r="A1595">
        <v>1594</v>
      </c>
      <c r="B1595" t="s">
        <v>3347</v>
      </c>
      <c r="C1595" s="6">
        <v>45790</v>
      </c>
      <c r="D1595" t="str">
        <f t="shared" si="96"/>
        <v>May</v>
      </c>
      <c r="E1595" t="str">
        <f t="shared" si="97"/>
        <v>2025</v>
      </c>
      <c r="F1595" t="s">
        <v>6</v>
      </c>
      <c r="G1595" t="s">
        <v>230</v>
      </c>
      <c r="H1595" t="s">
        <v>1603</v>
      </c>
      <c r="I1595">
        <v>130</v>
      </c>
      <c r="J1595">
        <v>28</v>
      </c>
      <c r="K1595">
        <f t="shared" si="98"/>
        <v>21.53846153846154</v>
      </c>
      <c r="L1595" t="s">
        <v>1737</v>
      </c>
      <c r="M1595" t="s">
        <v>3760</v>
      </c>
      <c r="O1595">
        <v>180001</v>
      </c>
      <c r="P1595" t="s">
        <v>546</v>
      </c>
      <c r="Q1595" t="s">
        <v>1755</v>
      </c>
      <c r="S1595">
        <v>13.44</v>
      </c>
      <c r="T1595">
        <v>3</v>
      </c>
      <c r="U1595">
        <v>0</v>
      </c>
      <c r="V1595">
        <v>6.5856000000000003</v>
      </c>
      <c r="W1595">
        <f t="shared" si="99"/>
        <v>2.2847999999999997</v>
      </c>
      <c r="X1595">
        <v>4</v>
      </c>
    </row>
    <row r="1596" spans="1:24" x14ac:dyDescent="0.3">
      <c r="A1596">
        <v>1595</v>
      </c>
      <c r="B1596" t="s">
        <v>3348</v>
      </c>
      <c r="C1596" s="6">
        <v>45791</v>
      </c>
      <c r="D1596" t="str">
        <f t="shared" si="96"/>
        <v>May</v>
      </c>
      <c r="E1596" t="str">
        <f t="shared" si="97"/>
        <v>2025</v>
      </c>
      <c r="F1596" t="s">
        <v>5</v>
      </c>
      <c r="G1596" t="s">
        <v>510</v>
      </c>
      <c r="H1596" t="s">
        <v>1604</v>
      </c>
      <c r="I1596">
        <v>250</v>
      </c>
      <c r="J1596">
        <v>28</v>
      </c>
      <c r="K1596">
        <f t="shared" si="98"/>
        <v>11.200000000000001</v>
      </c>
      <c r="L1596" t="s">
        <v>1741</v>
      </c>
      <c r="M1596" t="s">
        <v>3761</v>
      </c>
      <c r="N1596" t="s">
        <v>1</v>
      </c>
      <c r="O1596">
        <v>500074</v>
      </c>
      <c r="P1596" t="s">
        <v>546</v>
      </c>
      <c r="Q1596" t="s">
        <v>1761</v>
      </c>
      <c r="S1596">
        <v>359.05799999999999</v>
      </c>
      <c r="T1596">
        <v>3</v>
      </c>
      <c r="U1596">
        <v>0.3</v>
      </c>
      <c r="V1596">
        <v>-35.905799999999999</v>
      </c>
      <c r="W1596">
        <f t="shared" si="99"/>
        <v>131.65459999999999</v>
      </c>
      <c r="X1596">
        <v>1</v>
      </c>
    </row>
    <row r="1597" spans="1:24" x14ac:dyDescent="0.3">
      <c r="A1597">
        <v>1596</v>
      </c>
      <c r="B1597" t="s">
        <v>3349</v>
      </c>
      <c r="C1597" s="6">
        <v>45792</v>
      </c>
      <c r="D1597" t="str">
        <f t="shared" si="96"/>
        <v>May</v>
      </c>
      <c r="E1597" t="str">
        <f t="shared" si="97"/>
        <v>2025</v>
      </c>
      <c r="F1597" t="s">
        <v>4</v>
      </c>
      <c r="G1597" t="s">
        <v>205</v>
      </c>
      <c r="H1597" t="s">
        <v>1424</v>
      </c>
      <c r="I1597">
        <v>170</v>
      </c>
      <c r="J1597">
        <v>12</v>
      </c>
      <c r="K1597">
        <f t="shared" si="98"/>
        <v>7.0588235294117645</v>
      </c>
      <c r="L1597" t="s">
        <v>1736</v>
      </c>
      <c r="M1597" t="s">
        <v>3762</v>
      </c>
      <c r="N1597" t="s">
        <v>1</v>
      </c>
      <c r="O1597">
        <v>500074</v>
      </c>
      <c r="P1597" t="s">
        <v>546</v>
      </c>
      <c r="Q1597" t="s">
        <v>1771</v>
      </c>
      <c r="S1597">
        <v>47.991999999999997</v>
      </c>
      <c r="T1597">
        <v>2</v>
      </c>
      <c r="U1597">
        <v>0.3</v>
      </c>
      <c r="V1597">
        <v>-2.0568</v>
      </c>
      <c r="W1597">
        <f t="shared" si="99"/>
        <v>25.0244</v>
      </c>
      <c r="X1597">
        <v>1</v>
      </c>
    </row>
    <row r="1598" spans="1:24" x14ac:dyDescent="0.3">
      <c r="A1598">
        <v>1597</v>
      </c>
      <c r="B1598" t="s">
        <v>3350</v>
      </c>
      <c r="C1598" s="6">
        <v>45793</v>
      </c>
      <c r="D1598" t="str">
        <f t="shared" si="96"/>
        <v>May</v>
      </c>
      <c r="E1598" t="str">
        <f t="shared" si="97"/>
        <v>2025</v>
      </c>
      <c r="F1598" t="s">
        <v>5</v>
      </c>
      <c r="G1598" t="s">
        <v>206</v>
      </c>
      <c r="H1598" t="s">
        <v>998</v>
      </c>
      <c r="I1598">
        <v>210</v>
      </c>
      <c r="J1598">
        <v>10</v>
      </c>
      <c r="K1598">
        <f t="shared" si="98"/>
        <v>4.7619047619047619</v>
      </c>
      <c r="L1598" t="s">
        <v>1744</v>
      </c>
      <c r="M1598" t="s">
        <v>3763</v>
      </c>
      <c r="N1598" t="s">
        <v>1</v>
      </c>
      <c r="O1598">
        <v>560077</v>
      </c>
      <c r="P1598" t="s">
        <v>546</v>
      </c>
      <c r="Q1598" t="s">
        <v>1765</v>
      </c>
      <c r="S1598">
        <v>547.29999999999995</v>
      </c>
      <c r="T1598">
        <v>13</v>
      </c>
      <c r="U1598">
        <v>0</v>
      </c>
      <c r="V1598">
        <v>175.136</v>
      </c>
      <c r="W1598">
        <f t="shared" si="99"/>
        <v>28.628</v>
      </c>
      <c r="X1598">
        <v>2</v>
      </c>
    </row>
    <row r="1599" spans="1:24" x14ac:dyDescent="0.3">
      <c r="A1599">
        <v>1598</v>
      </c>
      <c r="B1599" t="s">
        <v>3351</v>
      </c>
      <c r="C1599" s="6">
        <v>45794</v>
      </c>
      <c r="D1599" t="str">
        <f t="shared" si="96"/>
        <v>May</v>
      </c>
      <c r="E1599" t="str">
        <f t="shared" si="97"/>
        <v>2025</v>
      </c>
      <c r="F1599" t="s">
        <v>3</v>
      </c>
      <c r="G1599" t="s">
        <v>499</v>
      </c>
      <c r="H1599" t="s">
        <v>1605</v>
      </c>
      <c r="I1599">
        <v>250</v>
      </c>
      <c r="J1599">
        <v>16</v>
      </c>
      <c r="K1599">
        <f t="shared" si="98"/>
        <v>6.4</v>
      </c>
      <c r="L1599" t="s">
        <v>1740</v>
      </c>
      <c r="M1599" t="s">
        <v>3764</v>
      </c>
      <c r="N1599" t="s">
        <v>1</v>
      </c>
      <c r="O1599">
        <v>383001</v>
      </c>
      <c r="P1599" t="s">
        <v>546</v>
      </c>
      <c r="Q1599" t="s">
        <v>1758</v>
      </c>
      <c r="R1599" t="s">
        <v>2</v>
      </c>
      <c r="S1599">
        <v>16.896000000000001</v>
      </c>
      <c r="T1599">
        <v>4</v>
      </c>
      <c r="U1599">
        <v>0.2</v>
      </c>
      <c r="V1599">
        <v>5.28</v>
      </c>
      <c r="W1599">
        <f t="shared" si="99"/>
        <v>2.9039999999999999</v>
      </c>
      <c r="X1599">
        <v>4</v>
      </c>
    </row>
    <row r="1600" spans="1:24" x14ac:dyDescent="0.3">
      <c r="A1600">
        <v>1599</v>
      </c>
      <c r="B1600" t="s">
        <v>3352</v>
      </c>
      <c r="C1600" s="6">
        <v>45795</v>
      </c>
      <c r="D1600" t="str">
        <f t="shared" si="96"/>
        <v>May</v>
      </c>
      <c r="E1600" t="str">
        <f t="shared" si="97"/>
        <v>2025</v>
      </c>
      <c r="F1600" t="s">
        <v>3</v>
      </c>
      <c r="G1600" t="s">
        <v>499</v>
      </c>
      <c r="H1600" t="s">
        <v>1606</v>
      </c>
      <c r="I1600">
        <v>200</v>
      </c>
      <c r="J1600">
        <v>30</v>
      </c>
      <c r="K1600">
        <f t="shared" si="98"/>
        <v>15</v>
      </c>
      <c r="L1600" t="s">
        <v>1742</v>
      </c>
      <c r="M1600" t="s">
        <v>3765</v>
      </c>
      <c r="N1600" t="s">
        <v>1</v>
      </c>
      <c r="O1600">
        <v>686579</v>
      </c>
      <c r="P1600" t="s">
        <v>546</v>
      </c>
      <c r="Q1600" t="s">
        <v>1754</v>
      </c>
      <c r="S1600">
        <v>6.6719999999999997</v>
      </c>
      <c r="T1600">
        <v>1</v>
      </c>
      <c r="U1600">
        <v>0.2</v>
      </c>
      <c r="V1600">
        <v>0.50039999999999996</v>
      </c>
      <c r="W1600">
        <f t="shared" si="99"/>
        <v>6.1715999999999998</v>
      </c>
      <c r="X1600">
        <v>3</v>
      </c>
    </row>
    <row r="1601" spans="1:24" x14ac:dyDescent="0.3">
      <c r="A1601">
        <v>1600</v>
      </c>
      <c r="B1601" t="s">
        <v>3353</v>
      </c>
      <c r="C1601" s="6">
        <v>45796</v>
      </c>
      <c r="D1601" t="str">
        <f t="shared" si="96"/>
        <v>May</v>
      </c>
      <c r="E1601" t="str">
        <f t="shared" si="97"/>
        <v>2025</v>
      </c>
      <c r="F1601" t="s">
        <v>3</v>
      </c>
      <c r="G1601" t="s">
        <v>499</v>
      </c>
      <c r="H1601" t="s">
        <v>837</v>
      </c>
      <c r="I1601">
        <v>240</v>
      </c>
      <c r="J1601">
        <v>10</v>
      </c>
      <c r="K1601">
        <f t="shared" si="98"/>
        <v>4.1666666666666661</v>
      </c>
      <c r="L1601" t="s">
        <v>1739</v>
      </c>
      <c r="M1601" t="s">
        <v>3766</v>
      </c>
      <c r="N1601" t="s">
        <v>1</v>
      </c>
      <c r="O1601">
        <v>110058</v>
      </c>
      <c r="P1601" t="s">
        <v>546</v>
      </c>
      <c r="Q1601" t="s">
        <v>1775</v>
      </c>
      <c r="S1601">
        <v>99.135999999999996</v>
      </c>
      <c r="T1601">
        <v>4</v>
      </c>
      <c r="U1601">
        <v>0.2</v>
      </c>
      <c r="V1601">
        <v>8.6744000000000003</v>
      </c>
      <c r="W1601">
        <f t="shared" si="99"/>
        <v>22.615399999999998</v>
      </c>
      <c r="X1601">
        <v>1</v>
      </c>
    </row>
    <row r="1602" spans="1:24" x14ac:dyDescent="0.3">
      <c r="A1602">
        <v>1601</v>
      </c>
      <c r="B1602" t="s">
        <v>3354</v>
      </c>
      <c r="C1602" s="6">
        <v>45797</v>
      </c>
      <c r="D1602" t="str">
        <f t="shared" si="96"/>
        <v>May</v>
      </c>
      <c r="E1602" t="str">
        <f t="shared" si="97"/>
        <v>2025</v>
      </c>
      <c r="F1602" t="s">
        <v>3</v>
      </c>
      <c r="G1602" t="s">
        <v>499</v>
      </c>
      <c r="H1602" t="s">
        <v>843</v>
      </c>
      <c r="I1602">
        <v>190</v>
      </c>
      <c r="J1602">
        <v>20</v>
      </c>
      <c r="K1602">
        <f t="shared" si="98"/>
        <v>10.526315789473683</v>
      </c>
      <c r="L1602" t="s">
        <v>1738</v>
      </c>
      <c r="M1602" t="s">
        <v>3767</v>
      </c>
      <c r="N1602" t="s">
        <v>1</v>
      </c>
      <c r="O1602">
        <v>411028</v>
      </c>
      <c r="P1602" t="s">
        <v>546</v>
      </c>
      <c r="Q1602" t="s">
        <v>1759</v>
      </c>
      <c r="S1602">
        <v>15.992000000000001</v>
      </c>
      <c r="T1602">
        <v>2</v>
      </c>
      <c r="U1602">
        <v>0.6</v>
      </c>
      <c r="V1602">
        <v>-13.993</v>
      </c>
      <c r="W1602">
        <f t="shared" si="99"/>
        <v>14.9925</v>
      </c>
      <c r="X1602">
        <v>3</v>
      </c>
    </row>
    <row r="1603" spans="1:24" x14ac:dyDescent="0.3">
      <c r="A1603">
        <v>1602</v>
      </c>
      <c r="B1603" t="s">
        <v>3355</v>
      </c>
      <c r="C1603" s="6">
        <v>45798</v>
      </c>
      <c r="D1603" t="str">
        <f t="shared" ref="D1603:D1666" si="100">TEXT(C1603,"Mmm")</f>
        <v>May</v>
      </c>
      <c r="E1603" t="str">
        <f t="shared" ref="E1603:E1666" si="101">TEXT(C1603,"YYYY")</f>
        <v>2025</v>
      </c>
      <c r="F1603" t="s">
        <v>3</v>
      </c>
      <c r="G1603" t="s">
        <v>341</v>
      </c>
      <c r="H1603" t="s">
        <v>1607</v>
      </c>
      <c r="I1603">
        <v>130</v>
      </c>
      <c r="J1603">
        <v>26</v>
      </c>
      <c r="K1603">
        <f t="shared" ref="K1603:K1666" si="102">(J1603/I1603)*100</f>
        <v>20</v>
      </c>
      <c r="L1603" t="s">
        <v>1737</v>
      </c>
      <c r="M1603" t="s">
        <v>3768</v>
      </c>
      <c r="N1603" t="s">
        <v>1</v>
      </c>
      <c r="O1603">
        <v>500018</v>
      </c>
      <c r="P1603" t="s">
        <v>546</v>
      </c>
      <c r="Q1603" t="s">
        <v>1770</v>
      </c>
      <c r="R1603" t="s">
        <v>2</v>
      </c>
      <c r="S1603">
        <v>211.96</v>
      </c>
      <c r="T1603">
        <v>2</v>
      </c>
      <c r="U1603">
        <v>0</v>
      </c>
      <c r="V1603">
        <v>42.392000000000003</v>
      </c>
      <c r="W1603">
        <f t="shared" ref="W1603:W1666" si="103">(S1603-V1603)/T1603</f>
        <v>84.784000000000006</v>
      </c>
      <c r="X1603">
        <v>4</v>
      </c>
    </row>
    <row r="1604" spans="1:24" x14ac:dyDescent="0.3">
      <c r="A1604">
        <v>1603</v>
      </c>
      <c r="B1604" t="s">
        <v>3356</v>
      </c>
      <c r="C1604" s="6">
        <v>45799</v>
      </c>
      <c r="D1604" t="str">
        <f t="shared" si="100"/>
        <v>May</v>
      </c>
      <c r="E1604" t="str">
        <f t="shared" si="101"/>
        <v>2025</v>
      </c>
      <c r="F1604" t="s">
        <v>4</v>
      </c>
      <c r="G1604" t="s">
        <v>229</v>
      </c>
      <c r="H1604" t="s">
        <v>1608</v>
      </c>
      <c r="I1604">
        <v>220</v>
      </c>
      <c r="J1604">
        <v>10</v>
      </c>
      <c r="K1604">
        <f t="shared" si="102"/>
        <v>4.5454545454545459</v>
      </c>
      <c r="L1604" t="s">
        <v>1743</v>
      </c>
      <c r="M1604" t="s">
        <v>3769</v>
      </c>
      <c r="N1604" t="s">
        <v>1</v>
      </c>
      <c r="O1604">
        <v>534312</v>
      </c>
      <c r="P1604" t="s">
        <v>546</v>
      </c>
      <c r="Q1604" t="s">
        <v>1764</v>
      </c>
      <c r="S1604">
        <v>6.6719999999999997</v>
      </c>
      <c r="T1604">
        <v>3</v>
      </c>
      <c r="U1604">
        <v>0.2</v>
      </c>
      <c r="V1604">
        <v>1.6679999999999999</v>
      </c>
      <c r="W1604">
        <f t="shared" si="103"/>
        <v>1.6679999999999999</v>
      </c>
      <c r="X1604">
        <v>1</v>
      </c>
    </row>
    <row r="1605" spans="1:24" x14ac:dyDescent="0.3">
      <c r="A1605">
        <v>1604</v>
      </c>
      <c r="B1605" t="s">
        <v>3357</v>
      </c>
      <c r="C1605" s="6">
        <v>45800</v>
      </c>
      <c r="D1605" t="str">
        <f t="shared" si="100"/>
        <v>May</v>
      </c>
      <c r="E1605" t="str">
        <f t="shared" si="101"/>
        <v>2025</v>
      </c>
      <c r="F1605" t="s">
        <v>4</v>
      </c>
      <c r="G1605" t="s">
        <v>257</v>
      </c>
      <c r="H1605" t="s">
        <v>1609</v>
      </c>
      <c r="I1605">
        <v>240</v>
      </c>
      <c r="J1605">
        <v>16</v>
      </c>
      <c r="K1605">
        <f t="shared" si="102"/>
        <v>6.666666666666667</v>
      </c>
      <c r="L1605" t="s">
        <v>1738</v>
      </c>
      <c r="M1605" t="s">
        <v>3770</v>
      </c>
      <c r="N1605" t="s">
        <v>1</v>
      </c>
      <c r="O1605">
        <v>600100</v>
      </c>
      <c r="P1605" t="s">
        <v>546</v>
      </c>
      <c r="Q1605" t="s">
        <v>1761</v>
      </c>
      <c r="R1605" t="s">
        <v>2</v>
      </c>
      <c r="S1605">
        <v>155.94</v>
      </c>
      <c r="T1605">
        <v>6</v>
      </c>
      <c r="U1605">
        <v>0</v>
      </c>
      <c r="V1605">
        <v>45.2226</v>
      </c>
      <c r="W1605">
        <f t="shared" si="103"/>
        <v>18.4529</v>
      </c>
      <c r="X1605">
        <v>2</v>
      </c>
    </row>
    <row r="1606" spans="1:24" x14ac:dyDescent="0.3">
      <c r="A1606">
        <v>1605</v>
      </c>
      <c r="B1606" t="s">
        <v>3358</v>
      </c>
      <c r="C1606" s="6">
        <v>45801</v>
      </c>
      <c r="D1606" t="str">
        <f t="shared" si="100"/>
        <v>May</v>
      </c>
      <c r="E1606" t="str">
        <f t="shared" si="101"/>
        <v>2025</v>
      </c>
      <c r="F1606" t="s">
        <v>3</v>
      </c>
      <c r="G1606" t="s">
        <v>130</v>
      </c>
      <c r="H1606" t="s">
        <v>1404</v>
      </c>
      <c r="I1606">
        <v>200</v>
      </c>
      <c r="J1606">
        <v>8</v>
      </c>
      <c r="K1606">
        <f t="shared" si="102"/>
        <v>4</v>
      </c>
      <c r="L1606" t="s">
        <v>1739</v>
      </c>
      <c r="M1606" t="s">
        <v>3771</v>
      </c>
      <c r="N1606" t="s">
        <v>1</v>
      </c>
      <c r="O1606">
        <v>600100</v>
      </c>
      <c r="P1606" t="s">
        <v>546</v>
      </c>
      <c r="Q1606" t="s">
        <v>1758</v>
      </c>
      <c r="S1606">
        <v>39.96</v>
      </c>
      <c r="T1606">
        <v>5</v>
      </c>
      <c r="U1606">
        <v>0.2</v>
      </c>
      <c r="V1606">
        <v>12.987</v>
      </c>
      <c r="W1606">
        <f t="shared" si="103"/>
        <v>5.3945999999999996</v>
      </c>
      <c r="X1606">
        <v>1</v>
      </c>
    </row>
    <row r="1607" spans="1:24" x14ac:dyDescent="0.3">
      <c r="A1607">
        <v>1606</v>
      </c>
      <c r="B1607" t="s">
        <v>3359</v>
      </c>
      <c r="C1607" s="6">
        <v>45802</v>
      </c>
      <c r="D1607" t="str">
        <f t="shared" si="100"/>
        <v>May</v>
      </c>
      <c r="E1607" t="str">
        <f t="shared" si="101"/>
        <v>2025</v>
      </c>
      <c r="F1607" t="s">
        <v>3</v>
      </c>
      <c r="G1607" t="s">
        <v>130</v>
      </c>
      <c r="H1607" t="s">
        <v>1610</v>
      </c>
      <c r="I1607">
        <v>230</v>
      </c>
      <c r="J1607">
        <v>12</v>
      </c>
      <c r="K1607">
        <f t="shared" si="102"/>
        <v>5.2173913043478262</v>
      </c>
      <c r="L1607" t="s">
        <v>1741</v>
      </c>
      <c r="M1607" t="s">
        <v>3772</v>
      </c>
      <c r="N1607" t="s">
        <v>1</v>
      </c>
      <c r="O1607">
        <v>600100</v>
      </c>
      <c r="P1607" t="s">
        <v>546</v>
      </c>
      <c r="Q1607" t="s">
        <v>1776</v>
      </c>
      <c r="S1607">
        <v>5.46</v>
      </c>
      <c r="T1607">
        <v>3</v>
      </c>
      <c r="U1607">
        <v>0</v>
      </c>
      <c r="V1607">
        <v>1.5287999999999999</v>
      </c>
      <c r="W1607">
        <f t="shared" si="103"/>
        <v>1.3104</v>
      </c>
      <c r="X1607">
        <v>4</v>
      </c>
    </row>
    <row r="1608" spans="1:24" x14ac:dyDescent="0.3">
      <c r="A1608">
        <v>1607</v>
      </c>
      <c r="B1608" t="s">
        <v>3360</v>
      </c>
      <c r="C1608" s="6">
        <v>45803</v>
      </c>
      <c r="D1608" t="str">
        <f t="shared" si="100"/>
        <v>May</v>
      </c>
      <c r="E1608" t="str">
        <f t="shared" si="101"/>
        <v>2025</v>
      </c>
      <c r="F1608" t="s">
        <v>3</v>
      </c>
      <c r="G1608" t="s">
        <v>130</v>
      </c>
      <c r="H1608" t="s">
        <v>1611</v>
      </c>
      <c r="I1608">
        <v>160</v>
      </c>
      <c r="J1608">
        <v>18</v>
      </c>
      <c r="K1608">
        <f t="shared" si="102"/>
        <v>11.25</v>
      </c>
      <c r="L1608" t="s">
        <v>1736</v>
      </c>
      <c r="M1608" t="s">
        <v>3773</v>
      </c>
      <c r="N1608" t="s">
        <v>1</v>
      </c>
      <c r="O1608">
        <v>600016</v>
      </c>
      <c r="P1608" t="s">
        <v>546</v>
      </c>
      <c r="Q1608" t="s">
        <v>1766</v>
      </c>
      <c r="S1608">
        <v>73.2</v>
      </c>
      <c r="T1608">
        <v>5</v>
      </c>
      <c r="U1608">
        <v>0</v>
      </c>
      <c r="V1608">
        <v>21.228000000000002</v>
      </c>
      <c r="W1608">
        <f t="shared" si="103"/>
        <v>10.394400000000001</v>
      </c>
      <c r="X1608">
        <v>3</v>
      </c>
    </row>
    <row r="1609" spans="1:24" x14ac:dyDescent="0.3">
      <c r="A1609">
        <v>1608</v>
      </c>
      <c r="B1609" t="s">
        <v>3361</v>
      </c>
      <c r="C1609" s="6">
        <v>45804</v>
      </c>
      <c r="D1609" t="str">
        <f t="shared" si="100"/>
        <v>May</v>
      </c>
      <c r="E1609" t="str">
        <f t="shared" si="101"/>
        <v>2025</v>
      </c>
      <c r="F1609" t="s">
        <v>3</v>
      </c>
      <c r="G1609" t="s">
        <v>130</v>
      </c>
      <c r="H1609" t="s">
        <v>894</v>
      </c>
      <c r="I1609">
        <v>160</v>
      </c>
      <c r="J1609">
        <v>24</v>
      </c>
      <c r="K1609">
        <f t="shared" si="102"/>
        <v>15</v>
      </c>
      <c r="L1609" t="s">
        <v>1744</v>
      </c>
      <c r="M1609" t="s">
        <v>3774</v>
      </c>
      <c r="N1609" t="s">
        <v>1</v>
      </c>
      <c r="O1609">
        <v>600016</v>
      </c>
      <c r="P1609" t="s">
        <v>546</v>
      </c>
      <c r="Q1609" t="s">
        <v>1767</v>
      </c>
      <c r="S1609">
        <v>5.84</v>
      </c>
      <c r="T1609">
        <v>1</v>
      </c>
      <c r="U1609">
        <v>0.2</v>
      </c>
      <c r="V1609">
        <v>1.9710000000000001</v>
      </c>
      <c r="W1609">
        <f t="shared" si="103"/>
        <v>3.8689999999999998</v>
      </c>
      <c r="X1609">
        <v>1</v>
      </c>
    </row>
    <row r="1610" spans="1:24" x14ac:dyDescent="0.3">
      <c r="A1610">
        <v>1609</v>
      </c>
      <c r="B1610" t="s">
        <v>3362</v>
      </c>
      <c r="C1610" s="6">
        <v>45805</v>
      </c>
      <c r="D1610" t="str">
        <f t="shared" si="100"/>
        <v>May</v>
      </c>
      <c r="E1610" t="str">
        <f t="shared" si="101"/>
        <v>2025</v>
      </c>
      <c r="F1610" t="s">
        <v>3</v>
      </c>
      <c r="G1610" t="s">
        <v>130</v>
      </c>
      <c r="H1610" t="s">
        <v>673</v>
      </c>
      <c r="I1610">
        <v>110</v>
      </c>
      <c r="J1610">
        <v>24</v>
      </c>
      <c r="K1610">
        <f t="shared" si="102"/>
        <v>21.818181818181817</v>
      </c>
      <c r="L1610" t="s">
        <v>1740</v>
      </c>
      <c r="M1610" t="s">
        <v>3775</v>
      </c>
      <c r="N1610" t="s">
        <v>1</v>
      </c>
      <c r="O1610">
        <v>421302</v>
      </c>
      <c r="P1610" t="s">
        <v>546</v>
      </c>
      <c r="Q1610" t="s">
        <v>1757</v>
      </c>
      <c r="S1610">
        <v>22.72</v>
      </c>
      <c r="T1610">
        <v>4</v>
      </c>
      <c r="U1610">
        <v>0</v>
      </c>
      <c r="V1610">
        <v>10.224</v>
      </c>
      <c r="W1610">
        <f t="shared" si="103"/>
        <v>3.1239999999999997</v>
      </c>
      <c r="X1610">
        <v>4</v>
      </c>
    </row>
    <row r="1611" spans="1:24" x14ac:dyDescent="0.3">
      <c r="A1611">
        <v>1610</v>
      </c>
      <c r="B1611" t="s">
        <v>3363</v>
      </c>
      <c r="C1611" s="6">
        <v>45806</v>
      </c>
      <c r="D1611" t="str">
        <f t="shared" si="100"/>
        <v>May</v>
      </c>
      <c r="E1611" t="str">
        <f t="shared" si="101"/>
        <v>2025</v>
      </c>
      <c r="F1611" t="s">
        <v>3</v>
      </c>
      <c r="G1611" t="s">
        <v>130</v>
      </c>
      <c r="H1611" t="s">
        <v>1612</v>
      </c>
      <c r="I1611">
        <v>130</v>
      </c>
      <c r="J1611">
        <v>26</v>
      </c>
      <c r="K1611">
        <f t="shared" si="102"/>
        <v>20</v>
      </c>
      <c r="L1611" t="s">
        <v>1742</v>
      </c>
      <c r="M1611" t="s">
        <v>3776</v>
      </c>
      <c r="N1611" t="s">
        <v>1</v>
      </c>
      <c r="O1611">
        <v>248001</v>
      </c>
      <c r="P1611" t="s">
        <v>546</v>
      </c>
      <c r="Q1611" t="s">
        <v>1761</v>
      </c>
      <c r="S1611">
        <v>9.3360000000000003</v>
      </c>
      <c r="T1611">
        <v>3</v>
      </c>
      <c r="U1611">
        <v>0.2</v>
      </c>
      <c r="V1611">
        <v>3.2675999999999998</v>
      </c>
      <c r="W1611">
        <f t="shared" si="103"/>
        <v>2.0228000000000002</v>
      </c>
      <c r="X1611">
        <v>5</v>
      </c>
    </row>
    <row r="1612" spans="1:24" x14ac:dyDescent="0.3">
      <c r="A1612">
        <v>1611</v>
      </c>
      <c r="B1612" t="s">
        <v>3364</v>
      </c>
      <c r="C1612" s="6">
        <v>45807</v>
      </c>
      <c r="D1612" t="str">
        <f t="shared" si="100"/>
        <v>May</v>
      </c>
      <c r="E1612" t="str">
        <f t="shared" si="101"/>
        <v>2025</v>
      </c>
      <c r="F1612" t="s">
        <v>4</v>
      </c>
      <c r="G1612" t="s">
        <v>511</v>
      </c>
      <c r="H1612" t="s">
        <v>1604</v>
      </c>
      <c r="I1612">
        <v>120</v>
      </c>
      <c r="J1612">
        <v>6</v>
      </c>
      <c r="K1612">
        <f t="shared" si="102"/>
        <v>5</v>
      </c>
      <c r="L1612" t="s">
        <v>1739</v>
      </c>
      <c r="M1612" t="s">
        <v>3777</v>
      </c>
      <c r="N1612" t="s">
        <v>1</v>
      </c>
      <c r="O1612">
        <v>686002</v>
      </c>
      <c r="P1612" t="s">
        <v>546</v>
      </c>
      <c r="Q1612" t="s">
        <v>1775</v>
      </c>
      <c r="S1612">
        <v>290.666</v>
      </c>
      <c r="T1612">
        <v>2</v>
      </c>
      <c r="U1612">
        <v>0.15</v>
      </c>
      <c r="V1612">
        <v>27.3568</v>
      </c>
      <c r="W1612">
        <f t="shared" si="103"/>
        <v>131.65459999999999</v>
      </c>
      <c r="X1612">
        <v>3</v>
      </c>
    </row>
    <row r="1613" spans="1:24" x14ac:dyDescent="0.3">
      <c r="A1613">
        <v>1612</v>
      </c>
      <c r="B1613" t="s">
        <v>3365</v>
      </c>
      <c r="C1613" s="6">
        <v>45808</v>
      </c>
      <c r="D1613" t="str">
        <f t="shared" si="100"/>
        <v>May</v>
      </c>
      <c r="E1613" t="str">
        <f t="shared" si="101"/>
        <v>2025</v>
      </c>
      <c r="F1613" t="s">
        <v>4</v>
      </c>
      <c r="G1613" t="s">
        <v>511</v>
      </c>
      <c r="H1613" t="s">
        <v>1613</v>
      </c>
      <c r="I1613">
        <v>160</v>
      </c>
      <c r="J1613">
        <v>26</v>
      </c>
      <c r="K1613">
        <f t="shared" si="102"/>
        <v>16.25</v>
      </c>
      <c r="L1613" t="s">
        <v>1738</v>
      </c>
      <c r="M1613" t="s">
        <v>3778</v>
      </c>
      <c r="N1613" t="s">
        <v>1</v>
      </c>
      <c r="O1613">
        <v>301019</v>
      </c>
      <c r="P1613" t="s">
        <v>546</v>
      </c>
      <c r="Q1613" t="s">
        <v>1770</v>
      </c>
      <c r="S1613">
        <v>201.584</v>
      </c>
      <c r="T1613">
        <v>2</v>
      </c>
      <c r="U1613">
        <v>0.2</v>
      </c>
      <c r="V1613">
        <v>20.1584</v>
      </c>
      <c r="W1613">
        <f t="shared" si="103"/>
        <v>90.712800000000001</v>
      </c>
      <c r="X1613">
        <v>2</v>
      </c>
    </row>
    <row r="1614" spans="1:24" x14ac:dyDescent="0.3">
      <c r="A1614">
        <v>1613</v>
      </c>
      <c r="B1614" t="s">
        <v>3366</v>
      </c>
      <c r="C1614" s="6">
        <v>45809</v>
      </c>
      <c r="D1614" t="str">
        <f t="shared" si="100"/>
        <v>Jun</v>
      </c>
      <c r="E1614" t="str">
        <f t="shared" si="101"/>
        <v>2025</v>
      </c>
      <c r="F1614" t="s">
        <v>4</v>
      </c>
      <c r="G1614" t="s">
        <v>511</v>
      </c>
      <c r="H1614" t="s">
        <v>613</v>
      </c>
      <c r="I1614">
        <v>220</v>
      </c>
      <c r="J1614">
        <v>26</v>
      </c>
      <c r="K1614">
        <f t="shared" si="102"/>
        <v>11.818181818181818</v>
      </c>
      <c r="L1614" t="s">
        <v>1743</v>
      </c>
      <c r="M1614" t="s">
        <v>3779</v>
      </c>
      <c r="N1614" t="s">
        <v>1</v>
      </c>
      <c r="O1614">
        <v>560024</v>
      </c>
      <c r="P1614" t="s">
        <v>546</v>
      </c>
      <c r="Q1614" t="s">
        <v>1772</v>
      </c>
      <c r="R1614" t="s">
        <v>2</v>
      </c>
      <c r="S1614">
        <v>83.983999999999995</v>
      </c>
      <c r="T1614">
        <v>2</v>
      </c>
      <c r="U1614">
        <v>0.2</v>
      </c>
      <c r="V1614">
        <v>31.494</v>
      </c>
      <c r="W1614">
        <f t="shared" si="103"/>
        <v>26.244999999999997</v>
      </c>
      <c r="X1614">
        <v>2</v>
      </c>
    </row>
    <row r="1615" spans="1:24" x14ac:dyDescent="0.3">
      <c r="A1615">
        <v>1614</v>
      </c>
      <c r="B1615" t="s">
        <v>3367</v>
      </c>
      <c r="C1615" s="6">
        <v>45810</v>
      </c>
      <c r="D1615" t="str">
        <f t="shared" si="100"/>
        <v>Jun</v>
      </c>
      <c r="E1615" t="str">
        <f t="shared" si="101"/>
        <v>2025</v>
      </c>
      <c r="F1615" t="s">
        <v>4</v>
      </c>
      <c r="G1615" t="s">
        <v>460</v>
      </c>
      <c r="H1615" t="s">
        <v>931</v>
      </c>
      <c r="I1615">
        <v>170</v>
      </c>
      <c r="J1615">
        <v>8</v>
      </c>
      <c r="K1615">
        <f t="shared" si="102"/>
        <v>4.7058823529411766</v>
      </c>
      <c r="L1615" t="s">
        <v>1737</v>
      </c>
      <c r="M1615" t="s">
        <v>3780</v>
      </c>
      <c r="N1615" t="s">
        <v>1</v>
      </c>
      <c r="O1615">
        <v>410206</v>
      </c>
      <c r="P1615" t="s">
        <v>546</v>
      </c>
      <c r="Q1615" t="s">
        <v>1763</v>
      </c>
      <c r="S1615">
        <v>1000.02</v>
      </c>
      <c r="T1615">
        <v>7</v>
      </c>
      <c r="U1615">
        <v>0</v>
      </c>
      <c r="V1615">
        <v>290.00580000000002</v>
      </c>
      <c r="W1615">
        <f t="shared" si="103"/>
        <v>101.4306</v>
      </c>
      <c r="X1615">
        <v>1</v>
      </c>
    </row>
    <row r="1616" spans="1:24" x14ac:dyDescent="0.3">
      <c r="A1616">
        <v>1615</v>
      </c>
      <c r="B1616" t="s">
        <v>3368</v>
      </c>
      <c r="C1616" s="6">
        <v>45811</v>
      </c>
      <c r="D1616" t="str">
        <f t="shared" si="100"/>
        <v>Jun</v>
      </c>
      <c r="E1616" t="str">
        <f t="shared" si="101"/>
        <v>2025</v>
      </c>
      <c r="F1616" t="s">
        <v>4</v>
      </c>
      <c r="G1616" t="s">
        <v>491</v>
      </c>
      <c r="H1616" t="s">
        <v>1614</v>
      </c>
      <c r="I1616">
        <v>190</v>
      </c>
      <c r="J1616">
        <v>18</v>
      </c>
      <c r="K1616">
        <f t="shared" si="102"/>
        <v>9.4736842105263168</v>
      </c>
      <c r="L1616" t="s">
        <v>1741</v>
      </c>
      <c r="M1616" t="s">
        <v>3781</v>
      </c>
      <c r="N1616" t="s">
        <v>1</v>
      </c>
      <c r="O1616">
        <v>560066</v>
      </c>
      <c r="P1616" t="s">
        <v>546</v>
      </c>
      <c r="Q1616" t="s">
        <v>1759</v>
      </c>
      <c r="S1616">
        <v>83.975999999999999</v>
      </c>
      <c r="T1616">
        <v>3</v>
      </c>
      <c r="U1616">
        <v>0.2</v>
      </c>
      <c r="V1616">
        <v>-13.646100000000001</v>
      </c>
      <c r="W1616">
        <f t="shared" si="103"/>
        <v>32.540700000000001</v>
      </c>
      <c r="X1616">
        <v>2</v>
      </c>
    </row>
    <row r="1617" spans="1:24" x14ac:dyDescent="0.3">
      <c r="A1617">
        <v>1616</v>
      </c>
      <c r="B1617" t="s">
        <v>3369</v>
      </c>
      <c r="C1617" s="6">
        <v>45812</v>
      </c>
      <c r="D1617" t="str">
        <f t="shared" si="100"/>
        <v>Jun</v>
      </c>
      <c r="E1617" t="str">
        <f t="shared" si="101"/>
        <v>2025</v>
      </c>
      <c r="F1617" t="s">
        <v>4</v>
      </c>
      <c r="G1617" t="s">
        <v>458</v>
      </c>
      <c r="H1617" t="s">
        <v>1094</v>
      </c>
      <c r="I1617">
        <v>150</v>
      </c>
      <c r="J1617">
        <v>24</v>
      </c>
      <c r="K1617">
        <f t="shared" si="102"/>
        <v>16</v>
      </c>
      <c r="L1617" t="s">
        <v>1736</v>
      </c>
      <c r="M1617" t="s">
        <v>3782</v>
      </c>
      <c r="O1617">
        <v>412207</v>
      </c>
      <c r="P1617" t="s">
        <v>546</v>
      </c>
      <c r="Q1617" t="s">
        <v>1761</v>
      </c>
      <c r="R1617" t="s">
        <v>2</v>
      </c>
      <c r="S1617">
        <v>3.75</v>
      </c>
      <c r="T1617">
        <v>1</v>
      </c>
      <c r="U1617">
        <v>0</v>
      </c>
      <c r="V1617">
        <v>1.8</v>
      </c>
      <c r="W1617">
        <f t="shared" si="103"/>
        <v>1.95</v>
      </c>
      <c r="X1617">
        <v>5</v>
      </c>
    </row>
    <row r="1618" spans="1:24" x14ac:dyDescent="0.3">
      <c r="A1618">
        <v>1617</v>
      </c>
      <c r="B1618" t="s">
        <v>3370</v>
      </c>
      <c r="C1618" s="6">
        <v>45813</v>
      </c>
      <c r="D1618" t="str">
        <f t="shared" si="100"/>
        <v>Jun</v>
      </c>
      <c r="E1618" t="str">
        <f t="shared" si="101"/>
        <v>2025</v>
      </c>
      <c r="F1618" t="s">
        <v>4</v>
      </c>
      <c r="G1618" t="s">
        <v>458</v>
      </c>
      <c r="H1618" t="s">
        <v>801</v>
      </c>
      <c r="I1618">
        <v>130</v>
      </c>
      <c r="J1618">
        <v>18</v>
      </c>
      <c r="K1618">
        <f t="shared" si="102"/>
        <v>13.846153846153847</v>
      </c>
      <c r="L1618" t="s">
        <v>1744</v>
      </c>
      <c r="M1618" t="s">
        <v>3783</v>
      </c>
      <c r="N1618" t="s">
        <v>1</v>
      </c>
      <c r="O1618">
        <v>571313</v>
      </c>
      <c r="P1618" t="s">
        <v>546</v>
      </c>
      <c r="Q1618" t="s">
        <v>1761</v>
      </c>
      <c r="R1618" t="s">
        <v>2</v>
      </c>
      <c r="S1618">
        <v>41.4</v>
      </c>
      <c r="T1618">
        <v>4</v>
      </c>
      <c r="U1618">
        <v>0</v>
      </c>
      <c r="V1618">
        <v>19.872</v>
      </c>
      <c r="W1618">
        <f t="shared" si="103"/>
        <v>5.3819999999999997</v>
      </c>
      <c r="X1618">
        <v>5</v>
      </c>
    </row>
    <row r="1619" spans="1:24" x14ac:dyDescent="0.3">
      <c r="A1619">
        <v>1618</v>
      </c>
      <c r="B1619" t="s">
        <v>3371</v>
      </c>
      <c r="C1619" s="6">
        <v>45814</v>
      </c>
      <c r="D1619" t="str">
        <f t="shared" si="100"/>
        <v>Jun</v>
      </c>
      <c r="E1619" t="str">
        <f t="shared" si="101"/>
        <v>2025</v>
      </c>
      <c r="F1619" t="s">
        <v>4</v>
      </c>
      <c r="G1619" t="s">
        <v>458</v>
      </c>
      <c r="H1619" t="s">
        <v>1615</v>
      </c>
      <c r="I1619">
        <v>240</v>
      </c>
      <c r="J1619">
        <v>14</v>
      </c>
      <c r="K1619">
        <f t="shared" si="102"/>
        <v>5.833333333333333</v>
      </c>
      <c r="L1619" t="s">
        <v>1740</v>
      </c>
      <c r="M1619" t="s">
        <v>3784</v>
      </c>
      <c r="N1619" t="s">
        <v>1</v>
      </c>
      <c r="O1619">
        <v>400082</v>
      </c>
      <c r="P1619" t="s">
        <v>546</v>
      </c>
      <c r="Q1619" t="s">
        <v>1771</v>
      </c>
      <c r="R1619" t="s">
        <v>2</v>
      </c>
      <c r="S1619">
        <v>29.79</v>
      </c>
      <c r="T1619">
        <v>3</v>
      </c>
      <c r="U1619">
        <v>0</v>
      </c>
      <c r="V1619">
        <v>12.511799999999999</v>
      </c>
      <c r="W1619">
        <f t="shared" si="103"/>
        <v>5.7593999999999994</v>
      </c>
      <c r="X1619">
        <v>2</v>
      </c>
    </row>
    <row r="1620" spans="1:24" x14ac:dyDescent="0.3">
      <c r="A1620">
        <v>1619</v>
      </c>
      <c r="B1620" t="s">
        <v>3372</v>
      </c>
      <c r="C1620" s="6">
        <v>45815</v>
      </c>
      <c r="D1620" t="str">
        <f t="shared" si="100"/>
        <v>Jun</v>
      </c>
      <c r="E1620" t="str">
        <f t="shared" si="101"/>
        <v>2025</v>
      </c>
      <c r="F1620" t="s">
        <v>3</v>
      </c>
      <c r="G1620" t="s">
        <v>50</v>
      </c>
      <c r="H1620" t="s">
        <v>1616</v>
      </c>
      <c r="I1620">
        <v>210</v>
      </c>
      <c r="J1620">
        <v>14</v>
      </c>
      <c r="K1620">
        <f t="shared" si="102"/>
        <v>6.666666666666667</v>
      </c>
      <c r="L1620" t="s">
        <v>1742</v>
      </c>
      <c r="M1620" t="s">
        <v>3647</v>
      </c>
      <c r="N1620" t="s">
        <v>1</v>
      </c>
      <c r="O1620">
        <v>700052</v>
      </c>
      <c r="P1620" t="s">
        <v>546</v>
      </c>
      <c r="Q1620" t="s">
        <v>1774</v>
      </c>
      <c r="R1620" t="s">
        <v>2</v>
      </c>
      <c r="S1620">
        <v>59.48</v>
      </c>
      <c r="T1620">
        <v>2</v>
      </c>
      <c r="U1620">
        <v>0</v>
      </c>
      <c r="V1620">
        <v>8.9220000000000006</v>
      </c>
      <c r="W1620">
        <f t="shared" si="103"/>
        <v>25.278999999999996</v>
      </c>
      <c r="X1620">
        <v>5</v>
      </c>
    </row>
    <row r="1621" spans="1:24" x14ac:dyDescent="0.3">
      <c r="A1621">
        <v>1620</v>
      </c>
      <c r="B1621" t="s">
        <v>3373</v>
      </c>
      <c r="C1621" s="6">
        <v>45816</v>
      </c>
      <c r="D1621" t="str">
        <f t="shared" si="100"/>
        <v>Jun</v>
      </c>
      <c r="E1621" t="str">
        <f t="shared" si="101"/>
        <v>2025</v>
      </c>
      <c r="F1621" t="s">
        <v>3</v>
      </c>
      <c r="G1621" t="s">
        <v>50</v>
      </c>
      <c r="H1621" t="s">
        <v>1617</v>
      </c>
      <c r="I1621">
        <v>100</v>
      </c>
      <c r="J1621">
        <v>28</v>
      </c>
      <c r="K1621">
        <f t="shared" si="102"/>
        <v>28.000000000000004</v>
      </c>
      <c r="L1621" t="s">
        <v>1739</v>
      </c>
      <c r="M1621" t="s">
        <v>3785</v>
      </c>
      <c r="N1621" t="s">
        <v>1</v>
      </c>
      <c r="O1621">
        <v>571401</v>
      </c>
      <c r="P1621" t="s">
        <v>546</v>
      </c>
      <c r="Q1621" t="s">
        <v>1769</v>
      </c>
      <c r="S1621">
        <v>6.69</v>
      </c>
      <c r="T1621">
        <v>1</v>
      </c>
      <c r="U1621">
        <v>0</v>
      </c>
      <c r="V1621">
        <v>3.0773999999999999</v>
      </c>
      <c r="W1621">
        <f t="shared" si="103"/>
        <v>3.6126000000000005</v>
      </c>
      <c r="X1621">
        <v>3</v>
      </c>
    </row>
    <row r="1622" spans="1:24" x14ac:dyDescent="0.3">
      <c r="A1622">
        <v>1621</v>
      </c>
      <c r="B1622" t="s">
        <v>3374</v>
      </c>
      <c r="C1622" s="6">
        <v>45817</v>
      </c>
      <c r="D1622" t="str">
        <f t="shared" si="100"/>
        <v>Jun</v>
      </c>
      <c r="E1622" t="str">
        <f t="shared" si="101"/>
        <v>2025</v>
      </c>
      <c r="F1622" t="s">
        <v>4</v>
      </c>
      <c r="G1622" t="s">
        <v>512</v>
      </c>
      <c r="H1622" t="s">
        <v>1618</v>
      </c>
      <c r="I1622">
        <v>240</v>
      </c>
      <c r="J1622">
        <v>14</v>
      </c>
      <c r="K1622">
        <f t="shared" si="102"/>
        <v>5.833333333333333</v>
      </c>
      <c r="L1622" t="s">
        <v>1738</v>
      </c>
      <c r="M1622" t="s">
        <v>3786</v>
      </c>
      <c r="N1622" t="s">
        <v>1</v>
      </c>
      <c r="O1622">
        <v>110093</v>
      </c>
      <c r="P1622" t="s">
        <v>546</v>
      </c>
      <c r="Q1622" t="s">
        <v>1775</v>
      </c>
      <c r="S1622">
        <v>198.46</v>
      </c>
      <c r="T1622">
        <v>2</v>
      </c>
      <c r="U1622">
        <v>0</v>
      </c>
      <c r="V1622">
        <v>99.23</v>
      </c>
      <c r="W1622">
        <f t="shared" si="103"/>
        <v>49.615000000000002</v>
      </c>
      <c r="X1622">
        <v>4</v>
      </c>
    </row>
    <row r="1623" spans="1:24" x14ac:dyDescent="0.3">
      <c r="A1623">
        <v>1622</v>
      </c>
      <c r="B1623" t="s">
        <v>3375</v>
      </c>
      <c r="C1623" s="6">
        <v>45818</v>
      </c>
      <c r="D1623" t="str">
        <f t="shared" si="100"/>
        <v>Jun</v>
      </c>
      <c r="E1623" t="str">
        <f t="shared" si="101"/>
        <v>2025</v>
      </c>
      <c r="F1623" t="s">
        <v>4</v>
      </c>
      <c r="G1623" t="s">
        <v>512</v>
      </c>
      <c r="H1623" t="s">
        <v>1055</v>
      </c>
      <c r="I1623">
        <v>110</v>
      </c>
      <c r="J1623">
        <v>28</v>
      </c>
      <c r="K1623">
        <f t="shared" si="102"/>
        <v>25.454545454545453</v>
      </c>
      <c r="L1623" t="s">
        <v>1737</v>
      </c>
      <c r="M1623" t="s">
        <v>3787</v>
      </c>
      <c r="N1623" t="s">
        <v>1</v>
      </c>
      <c r="O1623">
        <v>734301</v>
      </c>
      <c r="P1623" t="s">
        <v>546</v>
      </c>
      <c r="Q1623" t="s">
        <v>1771</v>
      </c>
      <c r="S1623">
        <v>786.48</v>
      </c>
      <c r="T1623">
        <v>8</v>
      </c>
      <c r="U1623">
        <v>0</v>
      </c>
      <c r="V1623">
        <v>385.37520000000001</v>
      </c>
      <c r="W1623">
        <f t="shared" si="103"/>
        <v>50.138100000000001</v>
      </c>
      <c r="X1623">
        <v>4</v>
      </c>
    </row>
    <row r="1624" spans="1:24" x14ac:dyDescent="0.3">
      <c r="A1624">
        <v>1623</v>
      </c>
      <c r="B1624" t="s">
        <v>3376</v>
      </c>
      <c r="C1624" s="6">
        <v>45819</v>
      </c>
      <c r="D1624" t="str">
        <f t="shared" si="100"/>
        <v>Jun</v>
      </c>
      <c r="E1624" t="str">
        <f t="shared" si="101"/>
        <v>2025</v>
      </c>
      <c r="F1624" t="s">
        <v>4</v>
      </c>
      <c r="G1624" t="s">
        <v>512</v>
      </c>
      <c r="H1624" t="s">
        <v>1044</v>
      </c>
      <c r="I1624">
        <v>110</v>
      </c>
      <c r="J1624">
        <v>24</v>
      </c>
      <c r="K1624">
        <f t="shared" si="102"/>
        <v>21.818181818181817</v>
      </c>
      <c r="L1624" t="s">
        <v>1743</v>
      </c>
      <c r="M1624" t="s">
        <v>3736</v>
      </c>
      <c r="N1624" t="s">
        <v>1</v>
      </c>
      <c r="O1624">
        <v>412412</v>
      </c>
      <c r="P1624" t="s">
        <v>546</v>
      </c>
      <c r="Q1624" t="s">
        <v>1762</v>
      </c>
      <c r="S1624">
        <v>23.167999999999999</v>
      </c>
      <c r="T1624">
        <v>2</v>
      </c>
      <c r="U1624">
        <v>0.2</v>
      </c>
      <c r="V1624">
        <v>7.8192000000000004</v>
      </c>
      <c r="W1624">
        <f t="shared" si="103"/>
        <v>7.6743999999999994</v>
      </c>
      <c r="X1624">
        <v>1</v>
      </c>
    </row>
    <row r="1625" spans="1:24" x14ac:dyDescent="0.3">
      <c r="A1625">
        <v>1624</v>
      </c>
      <c r="B1625" t="s">
        <v>3377</v>
      </c>
      <c r="C1625" s="6">
        <v>45820</v>
      </c>
      <c r="D1625" t="str">
        <f t="shared" si="100"/>
        <v>Jun</v>
      </c>
      <c r="E1625" t="str">
        <f t="shared" si="101"/>
        <v>2025</v>
      </c>
      <c r="F1625" t="s">
        <v>4</v>
      </c>
      <c r="G1625" t="s">
        <v>512</v>
      </c>
      <c r="H1625" t="s">
        <v>1619</v>
      </c>
      <c r="I1625">
        <v>230</v>
      </c>
      <c r="J1625">
        <v>28</v>
      </c>
      <c r="K1625">
        <f t="shared" si="102"/>
        <v>12.173913043478262</v>
      </c>
      <c r="L1625" t="s">
        <v>1738</v>
      </c>
      <c r="M1625" t="s">
        <v>3788</v>
      </c>
      <c r="N1625" t="s">
        <v>1</v>
      </c>
      <c r="O1625">
        <v>396321</v>
      </c>
      <c r="P1625" t="s">
        <v>546</v>
      </c>
      <c r="Q1625" t="s">
        <v>1757</v>
      </c>
      <c r="S1625">
        <v>50</v>
      </c>
      <c r="T1625">
        <v>2</v>
      </c>
      <c r="U1625">
        <v>0</v>
      </c>
      <c r="V1625">
        <v>10.5</v>
      </c>
      <c r="W1625">
        <f t="shared" si="103"/>
        <v>19.75</v>
      </c>
      <c r="X1625">
        <v>2</v>
      </c>
    </row>
    <row r="1626" spans="1:24" x14ac:dyDescent="0.3">
      <c r="A1626">
        <v>1625</v>
      </c>
      <c r="B1626" t="s">
        <v>3378</v>
      </c>
      <c r="C1626" s="6">
        <v>45821</v>
      </c>
      <c r="D1626" t="str">
        <f t="shared" si="100"/>
        <v>Jun</v>
      </c>
      <c r="E1626" t="str">
        <f t="shared" si="101"/>
        <v>2025</v>
      </c>
      <c r="F1626" t="s">
        <v>4</v>
      </c>
      <c r="G1626" t="s">
        <v>513</v>
      </c>
      <c r="H1626" t="s">
        <v>1528</v>
      </c>
      <c r="I1626">
        <v>240</v>
      </c>
      <c r="J1626">
        <v>24</v>
      </c>
      <c r="K1626">
        <f t="shared" si="102"/>
        <v>10</v>
      </c>
      <c r="L1626" t="s">
        <v>1739</v>
      </c>
      <c r="M1626" t="s">
        <v>3588</v>
      </c>
      <c r="N1626" t="s">
        <v>1</v>
      </c>
      <c r="O1626">
        <v>110081</v>
      </c>
      <c r="P1626" t="s">
        <v>546</v>
      </c>
      <c r="Q1626" t="s">
        <v>1756</v>
      </c>
      <c r="R1626" t="s">
        <v>2</v>
      </c>
      <c r="S1626">
        <v>675.96</v>
      </c>
      <c r="T1626">
        <v>5</v>
      </c>
      <c r="U1626">
        <v>0.2</v>
      </c>
      <c r="V1626">
        <v>84.495000000000005</v>
      </c>
      <c r="W1626">
        <f t="shared" si="103"/>
        <v>118.29300000000001</v>
      </c>
      <c r="X1626">
        <v>5</v>
      </c>
    </row>
    <row r="1627" spans="1:24" x14ac:dyDescent="0.3">
      <c r="A1627">
        <v>1626</v>
      </c>
      <c r="B1627" t="s">
        <v>3379</v>
      </c>
      <c r="C1627" s="6">
        <v>45822</v>
      </c>
      <c r="D1627" t="str">
        <f t="shared" si="100"/>
        <v>Jun</v>
      </c>
      <c r="E1627" t="str">
        <f t="shared" si="101"/>
        <v>2025</v>
      </c>
      <c r="F1627" t="s">
        <v>4</v>
      </c>
      <c r="G1627" t="s">
        <v>513</v>
      </c>
      <c r="H1627" t="s">
        <v>1242</v>
      </c>
      <c r="I1627">
        <v>220</v>
      </c>
      <c r="J1627">
        <v>18</v>
      </c>
      <c r="K1627">
        <f t="shared" si="102"/>
        <v>8.1818181818181817</v>
      </c>
      <c r="L1627" t="s">
        <v>1741</v>
      </c>
      <c r="M1627" t="s">
        <v>3789</v>
      </c>
      <c r="N1627" t="s">
        <v>1</v>
      </c>
      <c r="O1627">
        <v>571313</v>
      </c>
      <c r="P1627" t="s">
        <v>546</v>
      </c>
      <c r="Q1627" t="s">
        <v>1755</v>
      </c>
      <c r="S1627">
        <v>1265.8499999999999</v>
      </c>
      <c r="T1627">
        <v>3</v>
      </c>
      <c r="U1627">
        <v>0</v>
      </c>
      <c r="V1627">
        <v>556.97400000000005</v>
      </c>
      <c r="W1627">
        <f t="shared" si="103"/>
        <v>236.29199999999994</v>
      </c>
      <c r="X1627">
        <v>2</v>
      </c>
    </row>
    <row r="1628" spans="1:24" x14ac:dyDescent="0.3">
      <c r="A1628">
        <v>1627</v>
      </c>
      <c r="B1628" t="s">
        <v>3380</v>
      </c>
      <c r="C1628" s="6">
        <v>45823</v>
      </c>
      <c r="D1628" t="str">
        <f t="shared" si="100"/>
        <v>Jun</v>
      </c>
      <c r="E1628" t="str">
        <f t="shared" si="101"/>
        <v>2025</v>
      </c>
      <c r="F1628" t="s">
        <v>4</v>
      </c>
      <c r="G1628" t="s">
        <v>185</v>
      </c>
      <c r="H1628" t="s">
        <v>1096</v>
      </c>
      <c r="I1628">
        <v>220</v>
      </c>
      <c r="J1628">
        <v>12</v>
      </c>
      <c r="K1628">
        <f t="shared" si="102"/>
        <v>5.4545454545454541</v>
      </c>
      <c r="L1628" t="s">
        <v>1736</v>
      </c>
      <c r="M1628" t="s">
        <v>3790</v>
      </c>
      <c r="N1628" t="s">
        <v>1</v>
      </c>
      <c r="O1628">
        <v>625512</v>
      </c>
      <c r="P1628" t="s">
        <v>546</v>
      </c>
      <c r="Q1628" t="s">
        <v>1765</v>
      </c>
      <c r="R1628" t="s">
        <v>2</v>
      </c>
      <c r="S1628">
        <v>523.25</v>
      </c>
      <c r="T1628">
        <v>5</v>
      </c>
      <c r="U1628">
        <v>0</v>
      </c>
      <c r="V1628">
        <v>141.2775</v>
      </c>
      <c r="W1628">
        <f t="shared" si="103"/>
        <v>76.394499999999994</v>
      </c>
      <c r="X1628">
        <v>2</v>
      </c>
    </row>
    <row r="1629" spans="1:24" x14ac:dyDescent="0.3">
      <c r="A1629">
        <v>1628</v>
      </c>
      <c r="B1629" t="s">
        <v>3381</v>
      </c>
      <c r="C1629" s="6">
        <v>45824</v>
      </c>
      <c r="D1629" t="str">
        <f t="shared" si="100"/>
        <v>Jun</v>
      </c>
      <c r="E1629" t="str">
        <f t="shared" si="101"/>
        <v>2025</v>
      </c>
      <c r="F1629" t="s">
        <v>4</v>
      </c>
      <c r="G1629" t="s">
        <v>514</v>
      </c>
      <c r="H1629" t="s">
        <v>1413</v>
      </c>
      <c r="I1629">
        <v>110</v>
      </c>
      <c r="J1629">
        <v>8</v>
      </c>
      <c r="K1629">
        <f t="shared" si="102"/>
        <v>7.2727272727272725</v>
      </c>
      <c r="L1629" t="s">
        <v>1744</v>
      </c>
      <c r="M1629" t="s">
        <v>3685</v>
      </c>
      <c r="N1629" t="s">
        <v>1</v>
      </c>
      <c r="O1629">
        <v>395007</v>
      </c>
      <c r="P1629" t="s">
        <v>546</v>
      </c>
      <c r="Q1629" t="s">
        <v>1776</v>
      </c>
      <c r="R1629" t="s">
        <v>2</v>
      </c>
      <c r="S1629">
        <v>517.5</v>
      </c>
      <c r="T1629">
        <v>6</v>
      </c>
      <c r="U1629">
        <v>0</v>
      </c>
      <c r="V1629">
        <v>155.25</v>
      </c>
      <c r="W1629">
        <f t="shared" si="103"/>
        <v>60.375</v>
      </c>
      <c r="X1629">
        <v>5</v>
      </c>
    </row>
    <row r="1630" spans="1:24" x14ac:dyDescent="0.3">
      <c r="A1630">
        <v>1629</v>
      </c>
      <c r="B1630" t="s">
        <v>3382</v>
      </c>
      <c r="C1630" s="6">
        <v>45825</v>
      </c>
      <c r="D1630" t="str">
        <f t="shared" si="100"/>
        <v>Jun</v>
      </c>
      <c r="E1630" t="str">
        <f t="shared" si="101"/>
        <v>2025</v>
      </c>
      <c r="F1630" t="s">
        <v>3</v>
      </c>
      <c r="G1630" t="s">
        <v>245</v>
      </c>
      <c r="H1630" t="s">
        <v>1620</v>
      </c>
      <c r="I1630">
        <v>230</v>
      </c>
      <c r="J1630">
        <v>8</v>
      </c>
      <c r="K1630">
        <f t="shared" si="102"/>
        <v>3.4782608695652173</v>
      </c>
      <c r="L1630" t="s">
        <v>1740</v>
      </c>
      <c r="M1630" t="s">
        <v>3791</v>
      </c>
      <c r="N1630" t="s">
        <v>1</v>
      </c>
      <c r="O1630">
        <v>560043</v>
      </c>
      <c r="P1630" t="s">
        <v>546</v>
      </c>
      <c r="Q1630" t="s">
        <v>1759</v>
      </c>
      <c r="S1630">
        <v>17.920000000000002</v>
      </c>
      <c r="T1630">
        <v>5</v>
      </c>
      <c r="U1630">
        <v>0.2</v>
      </c>
      <c r="V1630">
        <v>2.464</v>
      </c>
      <c r="W1630">
        <f t="shared" si="103"/>
        <v>3.0912000000000002</v>
      </c>
      <c r="X1630">
        <v>3</v>
      </c>
    </row>
    <row r="1631" spans="1:24" x14ac:dyDescent="0.3">
      <c r="A1631">
        <v>1630</v>
      </c>
      <c r="B1631" t="s">
        <v>3383</v>
      </c>
      <c r="C1631" s="6">
        <v>45826</v>
      </c>
      <c r="D1631" t="str">
        <f t="shared" si="100"/>
        <v>Jun</v>
      </c>
      <c r="E1631" t="str">
        <f t="shared" si="101"/>
        <v>2025</v>
      </c>
      <c r="F1631" t="s">
        <v>3</v>
      </c>
      <c r="G1631" t="s">
        <v>245</v>
      </c>
      <c r="H1631" t="s">
        <v>1257</v>
      </c>
      <c r="I1631">
        <v>180</v>
      </c>
      <c r="J1631">
        <v>8</v>
      </c>
      <c r="K1631">
        <f t="shared" si="102"/>
        <v>4.4444444444444446</v>
      </c>
      <c r="L1631" t="s">
        <v>1742</v>
      </c>
      <c r="M1631" t="s">
        <v>3696</v>
      </c>
      <c r="N1631" t="s">
        <v>1</v>
      </c>
      <c r="O1631">
        <v>560043</v>
      </c>
      <c r="P1631" t="s">
        <v>546</v>
      </c>
      <c r="Q1631" t="s">
        <v>1757</v>
      </c>
      <c r="S1631">
        <v>41.256</v>
      </c>
      <c r="T1631">
        <v>6</v>
      </c>
      <c r="U1631">
        <v>0.7</v>
      </c>
      <c r="V1631">
        <v>-34.380000000000003</v>
      </c>
      <c r="W1631">
        <f t="shared" si="103"/>
        <v>12.606</v>
      </c>
      <c r="X1631">
        <v>5</v>
      </c>
    </row>
    <row r="1632" spans="1:24" x14ac:dyDescent="0.3">
      <c r="A1632">
        <v>1631</v>
      </c>
      <c r="B1632" t="s">
        <v>3384</v>
      </c>
      <c r="C1632" s="6">
        <v>45827</v>
      </c>
      <c r="D1632" t="str">
        <f t="shared" si="100"/>
        <v>Jun</v>
      </c>
      <c r="E1632" t="str">
        <f t="shared" si="101"/>
        <v>2025</v>
      </c>
      <c r="F1632" t="s">
        <v>6</v>
      </c>
      <c r="G1632" t="s">
        <v>59</v>
      </c>
      <c r="H1632" t="s">
        <v>1621</v>
      </c>
      <c r="I1632">
        <v>220</v>
      </c>
      <c r="J1632">
        <v>26</v>
      </c>
      <c r="K1632">
        <f t="shared" si="102"/>
        <v>11.818181818181818</v>
      </c>
      <c r="L1632" t="s">
        <v>1739</v>
      </c>
      <c r="M1632" t="s">
        <v>3697</v>
      </c>
      <c r="N1632" t="s">
        <v>1</v>
      </c>
      <c r="O1632">
        <v>560043</v>
      </c>
      <c r="P1632" t="s">
        <v>546</v>
      </c>
      <c r="Q1632" t="s">
        <v>1769</v>
      </c>
      <c r="S1632">
        <v>1006.056</v>
      </c>
      <c r="T1632">
        <v>3</v>
      </c>
      <c r="U1632">
        <v>0.2</v>
      </c>
      <c r="V1632">
        <v>88.029899999999998</v>
      </c>
      <c r="W1632">
        <f t="shared" si="103"/>
        <v>306.00870000000003</v>
      </c>
      <c r="X1632">
        <v>1</v>
      </c>
    </row>
    <row r="1633" spans="1:24" x14ac:dyDescent="0.3">
      <c r="A1633">
        <v>1632</v>
      </c>
      <c r="B1633" t="s">
        <v>3385</v>
      </c>
      <c r="C1633" s="6">
        <v>45828</v>
      </c>
      <c r="D1633" t="str">
        <f t="shared" si="100"/>
        <v>Jun</v>
      </c>
      <c r="E1633" t="str">
        <f t="shared" si="101"/>
        <v>2025</v>
      </c>
      <c r="F1633" t="s">
        <v>6</v>
      </c>
      <c r="G1633" t="s">
        <v>59</v>
      </c>
      <c r="H1633" t="s">
        <v>1028</v>
      </c>
      <c r="I1633">
        <v>180</v>
      </c>
      <c r="J1633">
        <v>14</v>
      </c>
      <c r="K1633">
        <f t="shared" si="102"/>
        <v>7.7777777777777777</v>
      </c>
      <c r="L1633" t="s">
        <v>1738</v>
      </c>
      <c r="M1633" t="s">
        <v>3792</v>
      </c>
      <c r="N1633" t="s">
        <v>1</v>
      </c>
      <c r="O1633">
        <v>110075</v>
      </c>
      <c r="P1633" t="s">
        <v>546</v>
      </c>
      <c r="Q1633" t="s">
        <v>1771</v>
      </c>
      <c r="R1633" t="s">
        <v>2</v>
      </c>
      <c r="S1633">
        <v>10.688000000000001</v>
      </c>
      <c r="T1633">
        <v>2</v>
      </c>
      <c r="U1633">
        <v>0.2</v>
      </c>
      <c r="V1633">
        <v>3.7408000000000001</v>
      </c>
      <c r="W1633">
        <f t="shared" si="103"/>
        <v>3.4736000000000002</v>
      </c>
      <c r="X1633">
        <v>2</v>
      </c>
    </row>
    <row r="1634" spans="1:24" x14ac:dyDescent="0.3">
      <c r="A1634">
        <v>1633</v>
      </c>
      <c r="B1634" t="s">
        <v>3386</v>
      </c>
      <c r="C1634" s="6">
        <v>45829</v>
      </c>
      <c r="D1634" t="str">
        <f t="shared" si="100"/>
        <v>Jun</v>
      </c>
      <c r="E1634" t="str">
        <f t="shared" si="101"/>
        <v>2025</v>
      </c>
      <c r="F1634" t="s">
        <v>6</v>
      </c>
      <c r="G1634" t="s">
        <v>59</v>
      </c>
      <c r="H1634" t="s">
        <v>1045</v>
      </c>
      <c r="I1634">
        <v>240</v>
      </c>
      <c r="J1634">
        <v>12</v>
      </c>
      <c r="K1634">
        <f t="shared" si="102"/>
        <v>5</v>
      </c>
      <c r="L1634" t="s">
        <v>1737</v>
      </c>
      <c r="M1634" t="s">
        <v>3793</v>
      </c>
      <c r="N1634" t="s">
        <v>1</v>
      </c>
      <c r="O1634">
        <v>580020</v>
      </c>
      <c r="P1634" t="s">
        <v>546</v>
      </c>
      <c r="Q1634" t="s">
        <v>1759</v>
      </c>
      <c r="S1634">
        <v>10.368</v>
      </c>
      <c r="T1634">
        <v>2</v>
      </c>
      <c r="U1634">
        <v>0.2</v>
      </c>
      <c r="V1634">
        <v>3.6288</v>
      </c>
      <c r="W1634">
        <f t="shared" si="103"/>
        <v>3.3696000000000002</v>
      </c>
      <c r="X1634">
        <v>3</v>
      </c>
    </row>
    <row r="1635" spans="1:24" x14ac:dyDescent="0.3">
      <c r="A1635">
        <v>1634</v>
      </c>
      <c r="B1635" t="s">
        <v>3387</v>
      </c>
      <c r="C1635" s="6">
        <v>45830</v>
      </c>
      <c r="D1635" t="str">
        <f t="shared" si="100"/>
        <v>Jun</v>
      </c>
      <c r="E1635" t="str">
        <f t="shared" si="101"/>
        <v>2025</v>
      </c>
      <c r="F1635" t="s">
        <v>6</v>
      </c>
      <c r="G1635" t="s">
        <v>59</v>
      </c>
      <c r="H1635" t="s">
        <v>1500</v>
      </c>
      <c r="I1635">
        <v>170</v>
      </c>
      <c r="J1635">
        <v>14</v>
      </c>
      <c r="K1635">
        <f t="shared" si="102"/>
        <v>8.235294117647058</v>
      </c>
      <c r="L1635" t="s">
        <v>1743</v>
      </c>
      <c r="M1635" t="s">
        <v>3794</v>
      </c>
      <c r="N1635" t="s">
        <v>1</v>
      </c>
      <c r="O1635">
        <v>670581</v>
      </c>
      <c r="P1635" t="s">
        <v>546</v>
      </c>
      <c r="Q1635" t="s">
        <v>1764</v>
      </c>
      <c r="S1635">
        <v>25.12</v>
      </c>
      <c r="T1635">
        <v>2</v>
      </c>
      <c r="U1635">
        <v>0.2</v>
      </c>
      <c r="V1635">
        <v>1.57</v>
      </c>
      <c r="W1635">
        <f t="shared" si="103"/>
        <v>11.775</v>
      </c>
      <c r="X1635">
        <v>3</v>
      </c>
    </row>
    <row r="1636" spans="1:24" x14ac:dyDescent="0.3">
      <c r="A1636">
        <v>1635</v>
      </c>
      <c r="B1636" t="s">
        <v>3388</v>
      </c>
      <c r="C1636" s="6">
        <v>45831</v>
      </c>
      <c r="D1636" t="str">
        <f t="shared" si="100"/>
        <v>Jun</v>
      </c>
      <c r="E1636" t="str">
        <f t="shared" si="101"/>
        <v>2025</v>
      </c>
      <c r="F1636" t="s">
        <v>6</v>
      </c>
      <c r="G1636" t="s">
        <v>59</v>
      </c>
      <c r="H1636" t="s">
        <v>1024</v>
      </c>
      <c r="I1636">
        <v>120</v>
      </c>
      <c r="J1636">
        <v>24</v>
      </c>
      <c r="K1636">
        <f t="shared" si="102"/>
        <v>20</v>
      </c>
      <c r="L1636" t="s">
        <v>1738</v>
      </c>
      <c r="M1636" t="s">
        <v>3795</v>
      </c>
      <c r="N1636" t="s">
        <v>1</v>
      </c>
      <c r="O1636">
        <v>500049</v>
      </c>
      <c r="P1636" t="s">
        <v>546</v>
      </c>
      <c r="Q1636" t="s">
        <v>1768</v>
      </c>
      <c r="S1636">
        <v>58.112000000000002</v>
      </c>
      <c r="T1636">
        <v>2</v>
      </c>
      <c r="U1636">
        <v>0.2</v>
      </c>
      <c r="V1636">
        <v>7.2640000000000002</v>
      </c>
      <c r="W1636">
        <f t="shared" si="103"/>
        <v>25.423999999999999</v>
      </c>
      <c r="X1636">
        <v>2</v>
      </c>
    </row>
    <row r="1637" spans="1:24" x14ac:dyDescent="0.3">
      <c r="A1637">
        <v>1636</v>
      </c>
      <c r="B1637" t="s">
        <v>3389</v>
      </c>
      <c r="C1637" s="6">
        <v>45832</v>
      </c>
      <c r="D1637" t="str">
        <f t="shared" si="100"/>
        <v>Jun</v>
      </c>
      <c r="E1637" t="str">
        <f t="shared" si="101"/>
        <v>2025</v>
      </c>
      <c r="F1637" t="s">
        <v>4</v>
      </c>
      <c r="G1637" t="s">
        <v>515</v>
      </c>
      <c r="H1637" t="s">
        <v>1325</v>
      </c>
      <c r="I1637">
        <v>220</v>
      </c>
      <c r="J1637">
        <v>18</v>
      </c>
      <c r="K1637">
        <f t="shared" si="102"/>
        <v>8.1818181818181817</v>
      </c>
      <c r="L1637" t="s">
        <v>1739</v>
      </c>
      <c r="M1637" t="s">
        <v>3594</v>
      </c>
      <c r="N1637" t="s">
        <v>1</v>
      </c>
      <c r="O1637">
        <v>360002</v>
      </c>
      <c r="P1637" t="s">
        <v>546</v>
      </c>
      <c r="Q1637" t="s">
        <v>1762</v>
      </c>
      <c r="S1637">
        <v>15.552</v>
      </c>
      <c r="T1637">
        <v>3</v>
      </c>
      <c r="U1637">
        <v>0.2</v>
      </c>
      <c r="V1637">
        <v>5.4432</v>
      </c>
      <c r="W1637">
        <f t="shared" si="103"/>
        <v>3.3695999999999997</v>
      </c>
      <c r="X1637">
        <v>2</v>
      </c>
    </row>
    <row r="1638" spans="1:24" x14ac:dyDescent="0.3">
      <c r="A1638">
        <v>1637</v>
      </c>
      <c r="B1638" t="s">
        <v>3390</v>
      </c>
      <c r="C1638" s="6">
        <v>45833</v>
      </c>
      <c r="D1638" t="str">
        <f t="shared" si="100"/>
        <v>Jun</v>
      </c>
      <c r="E1638" t="str">
        <f t="shared" si="101"/>
        <v>2025</v>
      </c>
      <c r="F1638" t="s">
        <v>4</v>
      </c>
      <c r="G1638" t="s">
        <v>515</v>
      </c>
      <c r="H1638" t="s">
        <v>1296</v>
      </c>
      <c r="I1638">
        <v>100</v>
      </c>
      <c r="J1638">
        <v>26</v>
      </c>
      <c r="K1638">
        <f t="shared" si="102"/>
        <v>26</v>
      </c>
      <c r="L1638" t="s">
        <v>1741</v>
      </c>
      <c r="M1638" t="s">
        <v>3796</v>
      </c>
      <c r="N1638" t="s">
        <v>1</v>
      </c>
      <c r="O1638">
        <v>700040</v>
      </c>
      <c r="P1638" t="s">
        <v>546</v>
      </c>
      <c r="Q1638" t="s">
        <v>1769</v>
      </c>
      <c r="R1638" t="s">
        <v>2</v>
      </c>
      <c r="S1638">
        <v>669.08</v>
      </c>
      <c r="T1638">
        <v>5</v>
      </c>
      <c r="U1638">
        <v>0.2</v>
      </c>
      <c r="V1638">
        <v>-167.27</v>
      </c>
      <c r="W1638">
        <f t="shared" si="103"/>
        <v>167.27</v>
      </c>
      <c r="X1638">
        <v>2</v>
      </c>
    </row>
    <row r="1639" spans="1:24" x14ac:dyDescent="0.3">
      <c r="A1639">
        <v>1638</v>
      </c>
      <c r="B1639" t="s">
        <v>3391</v>
      </c>
      <c r="C1639" s="6">
        <v>45834</v>
      </c>
      <c r="D1639" t="str">
        <f t="shared" si="100"/>
        <v>Jun</v>
      </c>
      <c r="E1639" t="str">
        <f t="shared" si="101"/>
        <v>2025</v>
      </c>
      <c r="F1639" t="s">
        <v>4</v>
      </c>
      <c r="G1639" t="s">
        <v>515</v>
      </c>
      <c r="H1639" t="s">
        <v>1622</v>
      </c>
      <c r="I1639">
        <v>160</v>
      </c>
      <c r="J1639">
        <v>16</v>
      </c>
      <c r="K1639">
        <f t="shared" si="102"/>
        <v>10</v>
      </c>
      <c r="L1639" t="s">
        <v>1736</v>
      </c>
      <c r="M1639" t="s">
        <v>3797</v>
      </c>
      <c r="N1639" t="s">
        <v>1</v>
      </c>
      <c r="O1639">
        <v>425409</v>
      </c>
      <c r="P1639" t="s">
        <v>546</v>
      </c>
      <c r="Q1639" t="s">
        <v>1775</v>
      </c>
      <c r="S1639">
        <v>438.33600000000001</v>
      </c>
      <c r="T1639">
        <v>4</v>
      </c>
      <c r="U1639">
        <v>0.2</v>
      </c>
      <c r="V1639">
        <v>-87.667199999999994</v>
      </c>
      <c r="W1639">
        <f t="shared" si="103"/>
        <v>131.5008</v>
      </c>
      <c r="X1639">
        <v>1</v>
      </c>
    </row>
    <row r="1640" spans="1:24" x14ac:dyDescent="0.3">
      <c r="A1640">
        <v>1639</v>
      </c>
      <c r="B1640" t="s">
        <v>3392</v>
      </c>
      <c r="C1640" s="6">
        <v>45835</v>
      </c>
      <c r="D1640" t="str">
        <f t="shared" si="100"/>
        <v>Jun</v>
      </c>
      <c r="E1640" t="str">
        <f t="shared" si="101"/>
        <v>2025</v>
      </c>
      <c r="F1640" t="s">
        <v>4</v>
      </c>
      <c r="G1640" t="s">
        <v>516</v>
      </c>
      <c r="H1640" t="s">
        <v>1623</v>
      </c>
      <c r="I1640">
        <v>200</v>
      </c>
      <c r="J1640">
        <v>6</v>
      </c>
      <c r="K1640">
        <f t="shared" si="102"/>
        <v>3</v>
      </c>
      <c r="L1640" t="s">
        <v>1744</v>
      </c>
      <c r="M1640" t="s">
        <v>3798</v>
      </c>
      <c r="N1640" t="s">
        <v>1</v>
      </c>
      <c r="O1640">
        <v>533213</v>
      </c>
      <c r="P1640" t="s">
        <v>546</v>
      </c>
      <c r="Q1640" t="s">
        <v>1754</v>
      </c>
      <c r="R1640" t="s">
        <v>2</v>
      </c>
      <c r="S1640">
        <v>19.440000000000001</v>
      </c>
      <c r="T1640">
        <v>3</v>
      </c>
      <c r="U1640">
        <v>0</v>
      </c>
      <c r="V1640">
        <v>9.3312000000000008</v>
      </c>
      <c r="W1640">
        <f t="shared" si="103"/>
        <v>3.3696000000000002</v>
      </c>
      <c r="X1640">
        <v>5</v>
      </c>
    </row>
    <row r="1641" spans="1:24" x14ac:dyDescent="0.3">
      <c r="A1641">
        <v>1640</v>
      </c>
      <c r="B1641" t="s">
        <v>3393</v>
      </c>
      <c r="C1641" s="6">
        <v>45836</v>
      </c>
      <c r="D1641" t="str">
        <f t="shared" si="100"/>
        <v>Jun</v>
      </c>
      <c r="E1641" t="str">
        <f t="shared" si="101"/>
        <v>2025</v>
      </c>
      <c r="F1641" t="s">
        <v>4</v>
      </c>
      <c r="G1641" t="s">
        <v>516</v>
      </c>
      <c r="H1641" t="s">
        <v>1091</v>
      </c>
      <c r="I1641">
        <v>100</v>
      </c>
      <c r="J1641">
        <v>10</v>
      </c>
      <c r="K1641">
        <f t="shared" si="102"/>
        <v>10</v>
      </c>
      <c r="L1641" t="s">
        <v>1740</v>
      </c>
      <c r="M1641" t="s">
        <v>3799</v>
      </c>
      <c r="N1641" t="s">
        <v>1</v>
      </c>
      <c r="O1641">
        <v>400020</v>
      </c>
      <c r="P1641" t="s">
        <v>546</v>
      </c>
      <c r="Q1641" t="s">
        <v>1754</v>
      </c>
      <c r="R1641" t="s">
        <v>2</v>
      </c>
      <c r="S1641">
        <v>9.64</v>
      </c>
      <c r="T1641">
        <v>2</v>
      </c>
      <c r="U1641">
        <v>0</v>
      </c>
      <c r="V1641">
        <v>4.4344000000000001</v>
      </c>
      <c r="W1641">
        <f t="shared" si="103"/>
        <v>2.6028000000000002</v>
      </c>
      <c r="X1641">
        <v>3</v>
      </c>
    </row>
    <row r="1642" spans="1:24" x14ac:dyDescent="0.3">
      <c r="A1642">
        <v>1641</v>
      </c>
      <c r="B1642" t="s">
        <v>3394</v>
      </c>
      <c r="C1642" s="6">
        <v>45837</v>
      </c>
      <c r="D1642" t="str">
        <f t="shared" si="100"/>
        <v>Jun</v>
      </c>
      <c r="E1642" t="str">
        <f t="shared" si="101"/>
        <v>2025</v>
      </c>
      <c r="F1642" t="s">
        <v>4</v>
      </c>
      <c r="G1642" t="s">
        <v>516</v>
      </c>
      <c r="H1642" t="s">
        <v>616</v>
      </c>
      <c r="I1642">
        <v>250</v>
      </c>
      <c r="J1642">
        <v>28</v>
      </c>
      <c r="K1642">
        <f t="shared" si="102"/>
        <v>11.200000000000001</v>
      </c>
      <c r="L1642" t="s">
        <v>1742</v>
      </c>
      <c r="M1642" t="s">
        <v>3800</v>
      </c>
      <c r="N1642" t="s">
        <v>1</v>
      </c>
      <c r="O1642">
        <v>396191</v>
      </c>
      <c r="P1642" t="s">
        <v>546</v>
      </c>
      <c r="Q1642" t="s">
        <v>1766</v>
      </c>
      <c r="R1642" t="s">
        <v>2</v>
      </c>
      <c r="S1642">
        <v>12.7</v>
      </c>
      <c r="T1642">
        <v>2</v>
      </c>
      <c r="U1642">
        <v>0</v>
      </c>
      <c r="V1642">
        <v>5.8419999999999996</v>
      </c>
      <c r="W1642">
        <f t="shared" si="103"/>
        <v>3.4289999999999998</v>
      </c>
      <c r="X1642">
        <v>4</v>
      </c>
    </row>
    <row r="1643" spans="1:24" x14ac:dyDescent="0.3">
      <c r="A1643">
        <v>1642</v>
      </c>
      <c r="B1643" t="s">
        <v>3395</v>
      </c>
      <c r="C1643" s="6">
        <v>45838</v>
      </c>
      <c r="D1643" t="str">
        <f t="shared" si="100"/>
        <v>Jun</v>
      </c>
      <c r="E1643" t="str">
        <f t="shared" si="101"/>
        <v>2025</v>
      </c>
      <c r="F1643" t="s">
        <v>4</v>
      </c>
      <c r="G1643" t="s">
        <v>516</v>
      </c>
      <c r="H1643" t="s">
        <v>640</v>
      </c>
      <c r="I1643">
        <v>120</v>
      </c>
      <c r="J1643">
        <v>10</v>
      </c>
      <c r="K1643">
        <f t="shared" si="102"/>
        <v>8.3333333333333321</v>
      </c>
      <c r="L1643" t="s">
        <v>1739</v>
      </c>
      <c r="M1643" t="s">
        <v>3623</v>
      </c>
      <c r="N1643" t="s">
        <v>1</v>
      </c>
      <c r="O1643">
        <v>560024</v>
      </c>
      <c r="P1643" t="s">
        <v>546</v>
      </c>
      <c r="Q1643" t="s">
        <v>1775</v>
      </c>
      <c r="S1643">
        <v>41.37</v>
      </c>
      <c r="T1643">
        <v>3</v>
      </c>
      <c r="U1643">
        <v>0</v>
      </c>
      <c r="V1643">
        <v>17.375399999999999</v>
      </c>
      <c r="W1643">
        <f t="shared" si="103"/>
        <v>7.9981999999999998</v>
      </c>
      <c r="X1643">
        <v>1</v>
      </c>
    </row>
    <row r="1644" spans="1:24" x14ac:dyDescent="0.3">
      <c r="A1644">
        <v>1643</v>
      </c>
      <c r="B1644" t="s">
        <v>3396</v>
      </c>
      <c r="C1644" s="6">
        <v>45839</v>
      </c>
      <c r="D1644" t="str">
        <f t="shared" si="100"/>
        <v>Jul</v>
      </c>
      <c r="E1644" t="str">
        <f t="shared" si="101"/>
        <v>2025</v>
      </c>
      <c r="F1644" t="s">
        <v>4</v>
      </c>
      <c r="G1644" t="s">
        <v>517</v>
      </c>
      <c r="H1644" t="s">
        <v>1097</v>
      </c>
      <c r="I1644">
        <v>100</v>
      </c>
      <c r="J1644">
        <v>24</v>
      </c>
      <c r="K1644">
        <f t="shared" si="102"/>
        <v>24</v>
      </c>
      <c r="L1644" t="s">
        <v>1738</v>
      </c>
      <c r="M1644" t="s">
        <v>3801</v>
      </c>
      <c r="N1644" t="s">
        <v>1</v>
      </c>
      <c r="O1644">
        <v>843119</v>
      </c>
      <c r="P1644" t="s">
        <v>546</v>
      </c>
      <c r="Q1644" t="s">
        <v>1776</v>
      </c>
      <c r="S1644">
        <v>12.624000000000001</v>
      </c>
      <c r="T1644">
        <v>2</v>
      </c>
      <c r="U1644">
        <v>0.2</v>
      </c>
      <c r="V1644">
        <v>3.9449999999999998</v>
      </c>
      <c r="W1644">
        <f t="shared" si="103"/>
        <v>4.3395000000000001</v>
      </c>
      <c r="X1644">
        <v>3</v>
      </c>
    </row>
    <row r="1645" spans="1:24" x14ac:dyDescent="0.3">
      <c r="A1645">
        <v>1644</v>
      </c>
      <c r="B1645" t="s">
        <v>3397</v>
      </c>
      <c r="C1645" s="6">
        <v>45840</v>
      </c>
      <c r="D1645" t="str">
        <f t="shared" si="100"/>
        <v>Jul</v>
      </c>
      <c r="E1645" t="str">
        <f t="shared" si="101"/>
        <v>2025</v>
      </c>
      <c r="F1645" t="s">
        <v>5</v>
      </c>
      <c r="G1645" t="s">
        <v>99</v>
      </c>
      <c r="H1645" t="s">
        <v>950</v>
      </c>
      <c r="I1645">
        <v>120</v>
      </c>
      <c r="J1645">
        <v>6</v>
      </c>
      <c r="K1645">
        <f t="shared" si="102"/>
        <v>5</v>
      </c>
      <c r="L1645" t="s">
        <v>1737</v>
      </c>
      <c r="M1645" t="s">
        <v>3802</v>
      </c>
      <c r="N1645" t="s">
        <v>1</v>
      </c>
      <c r="O1645">
        <v>530047</v>
      </c>
      <c r="P1645" t="s">
        <v>546</v>
      </c>
      <c r="Q1645" t="s">
        <v>1775</v>
      </c>
      <c r="S1645">
        <v>1247.6400000000001</v>
      </c>
      <c r="T1645">
        <v>3</v>
      </c>
      <c r="U1645">
        <v>0</v>
      </c>
      <c r="V1645">
        <v>349.33920000000001</v>
      </c>
      <c r="W1645">
        <f t="shared" si="103"/>
        <v>299.43360000000001</v>
      </c>
      <c r="X1645">
        <v>1</v>
      </c>
    </row>
    <row r="1646" spans="1:24" x14ac:dyDescent="0.3">
      <c r="A1646">
        <v>1645</v>
      </c>
      <c r="B1646" t="s">
        <v>3398</v>
      </c>
      <c r="C1646" s="6">
        <v>45841</v>
      </c>
      <c r="D1646" t="str">
        <f t="shared" si="100"/>
        <v>Jul</v>
      </c>
      <c r="E1646" t="str">
        <f t="shared" si="101"/>
        <v>2025</v>
      </c>
      <c r="F1646" t="s">
        <v>5</v>
      </c>
      <c r="G1646" t="s">
        <v>99</v>
      </c>
      <c r="H1646" t="s">
        <v>1624</v>
      </c>
      <c r="I1646">
        <v>240</v>
      </c>
      <c r="J1646">
        <v>10</v>
      </c>
      <c r="K1646">
        <f t="shared" si="102"/>
        <v>4.1666666666666661</v>
      </c>
      <c r="L1646" t="s">
        <v>1743</v>
      </c>
      <c r="M1646" t="s">
        <v>3803</v>
      </c>
      <c r="N1646" t="s">
        <v>1</v>
      </c>
      <c r="O1646">
        <v>400706</v>
      </c>
      <c r="P1646" t="s">
        <v>546</v>
      </c>
      <c r="Q1646" t="s">
        <v>1775</v>
      </c>
      <c r="R1646" t="s">
        <v>2</v>
      </c>
      <c r="S1646">
        <v>3149.93</v>
      </c>
      <c r="T1646">
        <v>7</v>
      </c>
      <c r="U1646">
        <v>0</v>
      </c>
      <c r="V1646">
        <v>1480.4671000000001</v>
      </c>
      <c r="W1646">
        <f t="shared" si="103"/>
        <v>238.49469999999997</v>
      </c>
      <c r="X1646">
        <v>2</v>
      </c>
    </row>
    <row r="1647" spans="1:24" x14ac:dyDescent="0.3">
      <c r="A1647">
        <v>1646</v>
      </c>
      <c r="B1647" t="s">
        <v>3399</v>
      </c>
      <c r="C1647" s="6">
        <v>45842</v>
      </c>
      <c r="D1647" t="str">
        <f t="shared" si="100"/>
        <v>Jul</v>
      </c>
      <c r="E1647" t="str">
        <f t="shared" si="101"/>
        <v>2025</v>
      </c>
      <c r="F1647" t="s">
        <v>5</v>
      </c>
      <c r="G1647" t="s">
        <v>99</v>
      </c>
      <c r="H1647" t="s">
        <v>1625</v>
      </c>
      <c r="I1647">
        <v>160</v>
      </c>
      <c r="J1647">
        <v>22</v>
      </c>
      <c r="K1647">
        <f t="shared" si="102"/>
        <v>13.750000000000002</v>
      </c>
      <c r="L1647" t="s">
        <v>1738</v>
      </c>
      <c r="M1647" t="s">
        <v>3804</v>
      </c>
      <c r="N1647" t="s">
        <v>1</v>
      </c>
      <c r="O1647">
        <v>506252</v>
      </c>
      <c r="P1647" t="s">
        <v>546</v>
      </c>
      <c r="Q1647" t="s">
        <v>1767</v>
      </c>
      <c r="S1647">
        <v>209.7</v>
      </c>
      <c r="T1647">
        <v>2</v>
      </c>
      <c r="U1647">
        <v>0</v>
      </c>
      <c r="V1647">
        <v>100.65600000000001</v>
      </c>
      <c r="W1647">
        <f t="shared" si="103"/>
        <v>54.521999999999991</v>
      </c>
      <c r="X1647">
        <v>5</v>
      </c>
    </row>
    <row r="1648" spans="1:24" x14ac:dyDescent="0.3">
      <c r="A1648">
        <v>1647</v>
      </c>
      <c r="B1648" t="s">
        <v>3400</v>
      </c>
      <c r="C1648" s="6">
        <v>45843</v>
      </c>
      <c r="D1648" t="str">
        <f t="shared" si="100"/>
        <v>Jul</v>
      </c>
      <c r="E1648" t="str">
        <f t="shared" si="101"/>
        <v>2025</v>
      </c>
      <c r="F1648" t="s">
        <v>5</v>
      </c>
      <c r="G1648" t="s">
        <v>98</v>
      </c>
      <c r="H1648" t="s">
        <v>723</v>
      </c>
      <c r="I1648">
        <v>170</v>
      </c>
      <c r="J1648">
        <v>26</v>
      </c>
      <c r="K1648">
        <f t="shared" si="102"/>
        <v>15.294117647058824</v>
      </c>
      <c r="L1648" t="s">
        <v>1739</v>
      </c>
      <c r="M1648" t="s">
        <v>3600</v>
      </c>
      <c r="N1648" t="s">
        <v>1</v>
      </c>
      <c r="O1648">
        <v>712201</v>
      </c>
      <c r="P1648" t="s">
        <v>546</v>
      </c>
      <c r="Q1648" t="s">
        <v>1768</v>
      </c>
      <c r="S1648">
        <v>35.36</v>
      </c>
      <c r="T1648">
        <v>2</v>
      </c>
      <c r="U1648">
        <v>0.2</v>
      </c>
      <c r="V1648">
        <v>-3.0939999999999999</v>
      </c>
      <c r="W1648">
        <f t="shared" si="103"/>
        <v>19.227</v>
      </c>
      <c r="X1648">
        <v>5</v>
      </c>
    </row>
    <row r="1649" spans="1:24" x14ac:dyDescent="0.3">
      <c r="A1649">
        <v>1648</v>
      </c>
      <c r="B1649" t="s">
        <v>3401</v>
      </c>
      <c r="C1649" s="6">
        <v>45844</v>
      </c>
      <c r="D1649" t="str">
        <f t="shared" si="100"/>
        <v>Jul</v>
      </c>
      <c r="E1649" t="str">
        <f t="shared" si="101"/>
        <v>2025</v>
      </c>
      <c r="F1649" t="s">
        <v>5</v>
      </c>
      <c r="G1649" t="s">
        <v>98</v>
      </c>
      <c r="H1649" t="s">
        <v>1626</v>
      </c>
      <c r="I1649">
        <v>180</v>
      </c>
      <c r="J1649">
        <v>6</v>
      </c>
      <c r="K1649">
        <f t="shared" si="102"/>
        <v>3.3333333333333335</v>
      </c>
      <c r="L1649" t="s">
        <v>1741</v>
      </c>
      <c r="M1649" t="s">
        <v>3805</v>
      </c>
      <c r="N1649" t="s">
        <v>1</v>
      </c>
      <c r="O1649">
        <v>506002</v>
      </c>
      <c r="P1649" t="s">
        <v>546</v>
      </c>
      <c r="Q1649" t="s">
        <v>1759</v>
      </c>
      <c r="S1649">
        <v>3.1680000000000001</v>
      </c>
      <c r="T1649">
        <v>2</v>
      </c>
      <c r="U1649">
        <v>0.2</v>
      </c>
      <c r="V1649">
        <v>-0.71279999999999999</v>
      </c>
      <c r="W1649">
        <f t="shared" si="103"/>
        <v>1.9404000000000001</v>
      </c>
      <c r="X1649">
        <v>3</v>
      </c>
    </row>
    <row r="1650" spans="1:24" x14ac:dyDescent="0.3">
      <c r="A1650">
        <v>1649</v>
      </c>
      <c r="B1650" t="s">
        <v>3402</v>
      </c>
      <c r="C1650" s="6">
        <v>45845</v>
      </c>
      <c r="D1650" t="str">
        <f t="shared" si="100"/>
        <v>Jul</v>
      </c>
      <c r="E1650" t="str">
        <f t="shared" si="101"/>
        <v>2025</v>
      </c>
      <c r="F1650" t="s">
        <v>3</v>
      </c>
      <c r="G1650" t="s">
        <v>234</v>
      </c>
      <c r="H1650" t="s">
        <v>1627</v>
      </c>
      <c r="I1650">
        <v>120</v>
      </c>
      <c r="J1650">
        <v>28</v>
      </c>
      <c r="K1650">
        <f t="shared" si="102"/>
        <v>23.333333333333332</v>
      </c>
      <c r="L1650" t="s">
        <v>1736</v>
      </c>
      <c r="M1650" t="s">
        <v>3644</v>
      </c>
      <c r="N1650" t="s">
        <v>1</v>
      </c>
      <c r="O1650">
        <v>110046</v>
      </c>
      <c r="P1650" t="s">
        <v>546</v>
      </c>
      <c r="Q1650" t="s">
        <v>1775</v>
      </c>
      <c r="S1650">
        <v>121.104</v>
      </c>
      <c r="T1650">
        <v>6</v>
      </c>
      <c r="U1650">
        <v>0.7</v>
      </c>
      <c r="V1650">
        <v>-100.92</v>
      </c>
      <c r="W1650">
        <f t="shared" si="103"/>
        <v>37.003999999999998</v>
      </c>
      <c r="X1650">
        <v>2</v>
      </c>
    </row>
    <row r="1651" spans="1:24" x14ac:dyDescent="0.3">
      <c r="A1651">
        <v>1650</v>
      </c>
      <c r="B1651" t="s">
        <v>3403</v>
      </c>
      <c r="C1651" s="6">
        <v>45846</v>
      </c>
      <c r="D1651" t="str">
        <f t="shared" si="100"/>
        <v>Jul</v>
      </c>
      <c r="E1651" t="str">
        <f t="shared" si="101"/>
        <v>2025</v>
      </c>
      <c r="F1651" t="s">
        <v>3</v>
      </c>
      <c r="G1651" t="s">
        <v>234</v>
      </c>
      <c r="H1651" t="s">
        <v>1628</v>
      </c>
      <c r="I1651">
        <v>170</v>
      </c>
      <c r="J1651">
        <v>16</v>
      </c>
      <c r="K1651">
        <f t="shared" si="102"/>
        <v>9.4117647058823533</v>
      </c>
      <c r="L1651" t="s">
        <v>1744</v>
      </c>
      <c r="M1651" t="s">
        <v>3806</v>
      </c>
      <c r="N1651" t="s">
        <v>1</v>
      </c>
      <c r="O1651">
        <v>506002</v>
      </c>
      <c r="P1651" t="s">
        <v>546</v>
      </c>
      <c r="Q1651" t="s">
        <v>1759</v>
      </c>
      <c r="S1651">
        <v>45.893999999999998</v>
      </c>
      <c r="T1651">
        <v>1</v>
      </c>
      <c r="U1651">
        <v>0.4</v>
      </c>
      <c r="V1651">
        <v>-9.1788000000000007</v>
      </c>
      <c r="W1651">
        <f t="shared" si="103"/>
        <v>55.072800000000001</v>
      </c>
      <c r="X1651">
        <v>4</v>
      </c>
    </row>
    <row r="1652" spans="1:24" x14ac:dyDescent="0.3">
      <c r="A1652">
        <v>1651</v>
      </c>
      <c r="B1652" t="s">
        <v>3404</v>
      </c>
      <c r="C1652" s="6">
        <v>45847</v>
      </c>
      <c r="D1652" t="str">
        <f t="shared" si="100"/>
        <v>Jul</v>
      </c>
      <c r="E1652" t="str">
        <f t="shared" si="101"/>
        <v>2025</v>
      </c>
      <c r="F1652" t="s">
        <v>6</v>
      </c>
      <c r="G1652" t="s">
        <v>518</v>
      </c>
      <c r="H1652" t="s">
        <v>1629</v>
      </c>
      <c r="I1652">
        <v>120</v>
      </c>
      <c r="J1652">
        <v>30</v>
      </c>
      <c r="K1652">
        <f t="shared" si="102"/>
        <v>25</v>
      </c>
      <c r="L1652" t="s">
        <v>1740</v>
      </c>
      <c r="M1652" t="s">
        <v>3586</v>
      </c>
      <c r="N1652" t="s">
        <v>1</v>
      </c>
      <c r="O1652">
        <v>411027</v>
      </c>
      <c r="P1652" t="s">
        <v>546</v>
      </c>
      <c r="Q1652" t="s">
        <v>1774</v>
      </c>
      <c r="R1652" t="s">
        <v>2</v>
      </c>
      <c r="S1652">
        <v>109.92</v>
      </c>
      <c r="T1652">
        <v>2</v>
      </c>
      <c r="U1652">
        <v>0</v>
      </c>
      <c r="V1652">
        <v>53.860799999999998</v>
      </c>
      <c r="W1652">
        <f t="shared" si="103"/>
        <v>28.029600000000002</v>
      </c>
      <c r="X1652">
        <v>2</v>
      </c>
    </row>
    <row r="1653" spans="1:24" x14ac:dyDescent="0.3">
      <c r="A1653">
        <v>1652</v>
      </c>
      <c r="B1653" t="s">
        <v>3405</v>
      </c>
      <c r="C1653" s="6">
        <v>45848</v>
      </c>
      <c r="D1653" t="str">
        <f t="shared" si="100"/>
        <v>Jul</v>
      </c>
      <c r="E1653" t="str">
        <f t="shared" si="101"/>
        <v>2025</v>
      </c>
      <c r="F1653" t="s">
        <v>6</v>
      </c>
      <c r="G1653" t="s">
        <v>518</v>
      </c>
      <c r="H1653" t="s">
        <v>1630</v>
      </c>
      <c r="I1653">
        <v>180</v>
      </c>
      <c r="J1653">
        <v>16</v>
      </c>
      <c r="K1653">
        <f t="shared" si="102"/>
        <v>8.8888888888888893</v>
      </c>
      <c r="L1653" t="s">
        <v>1742</v>
      </c>
      <c r="M1653" t="s">
        <v>3676</v>
      </c>
      <c r="N1653" t="s">
        <v>1</v>
      </c>
      <c r="O1653">
        <v>411014</v>
      </c>
      <c r="P1653" t="s">
        <v>546</v>
      </c>
      <c r="Q1653" t="s">
        <v>1761</v>
      </c>
      <c r="S1653">
        <v>13.36</v>
      </c>
      <c r="T1653">
        <v>2</v>
      </c>
      <c r="U1653">
        <v>0</v>
      </c>
      <c r="V1653">
        <v>6.4127999999999998</v>
      </c>
      <c r="W1653">
        <f t="shared" si="103"/>
        <v>3.4735999999999998</v>
      </c>
      <c r="X1653">
        <v>3</v>
      </c>
    </row>
    <row r="1654" spans="1:24" x14ac:dyDescent="0.3">
      <c r="A1654">
        <v>1653</v>
      </c>
      <c r="B1654" t="s">
        <v>3406</v>
      </c>
      <c r="C1654" s="6">
        <v>45849</v>
      </c>
      <c r="D1654" t="str">
        <f t="shared" si="100"/>
        <v>Jul</v>
      </c>
      <c r="E1654" t="str">
        <f t="shared" si="101"/>
        <v>2025</v>
      </c>
      <c r="F1654" t="s">
        <v>5</v>
      </c>
      <c r="G1654" t="s">
        <v>519</v>
      </c>
      <c r="H1654" t="s">
        <v>633</v>
      </c>
      <c r="I1654">
        <v>130</v>
      </c>
      <c r="J1654">
        <v>18</v>
      </c>
      <c r="K1654">
        <f t="shared" si="102"/>
        <v>13.846153846153847</v>
      </c>
      <c r="L1654" t="s">
        <v>1739</v>
      </c>
      <c r="M1654" t="s">
        <v>3747</v>
      </c>
      <c r="N1654" t="s">
        <v>1</v>
      </c>
      <c r="O1654">
        <v>500074</v>
      </c>
      <c r="P1654" t="s">
        <v>546</v>
      </c>
      <c r="Q1654" t="s">
        <v>1767</v>
      </c>
      <c r="S1654">
        <v>169.68</v>
      </c>
      <c r="T1654">
        <v>6</v>
      </c>
      <c r="U1654">
        <v>0</v>
      </c>
      <c r="V1654">
        <v>45.813600000000001</v>
      </c>
      <c r="W1654">
        <f t="shared" si="103"/>
        <v>20.644400000000001</v>
      </c>
      <c r="X1654">
        <v>4</v>
      </c>
    </row>
    <row r="1655" spans="1:24" x14ac:dyDescent="0.3">
      <c r="A1655">
        <v>1654</v>
      </c>
      <c r="B1655" t="s">
        <v>3407</v>
      </c>
      <c r="C1655" s="6">
        <v>45850</v>
      </c>
      <c r="D1655" t="str">
        <f t="shared" si="100"/>
        <v>Jul</v>
      </c>
      <c r="E1655" t="str">
        <f t="shared" si="101"/>
        <v>2025</v>
      </c>
      <c r="F1655" t="s">
        <v>5</v>
      </c>
      <c r="G1655" t="s">
        <v>519</v>
      </c>
      <c r="H1655" t="s">
        <v>764</v>
      </c>
      <c r="I1655">
        <v>200</v>
      </c>
      <c r="J1655">
        <v>20</v>
      </c>
      <c r="K1655">
        <f t="shared" si="102"/>
        <v>10</v>
      </c>
      <c r="L1655" t="s">
        <v>1738</v>
      </c>
      <c r="M1655" t="s">
        <v>3807</v>
      </c>
      <c r="N1655" t="s">
        <v>1</v>
      </c>
      <c r="O1655">
        <v>678556</v>
      </c>
      <c r="P1655" t="s">
        <v>546</v>
      </c>
      <c r="Q1655" t="s">
        <v>1773</v>
      </c>
      <c r="S1655">
        <v>132.52000000000001</v>
      </c>
      <c r="T1655">
        <v>4</v>
      </c>
      <c r="U1655">
        <v>0</v>
      </c>
      <c r="V1655">
        <v>54.333199999999998</v>
      </c>
      <c r="W1655">
        <f t="shared" si="103"/>
        <v>19.546700000000001</v>
      </c>
      <c r="X1655">
        <v>5</v>
      </c>
    </row>
    <row r="1656" spans="1:24" x14ac:dyDescent="0.3">
      <c r="A1656">
        <v>1655</v>
      </c>
      <c r="B1656" t="s">
        <v>3408</v>
      </c>
      <c r="C1656" s="6">
        <v>45851</v>
      </c>
      <c r="D1656" t="str">
        <f t="shared" si="100"/>
        <v>Jul</v>
      </c>
      <c r="E1656" t="str">
        <f t="shared" si="101"/>
        <v>2025</v>
      </c>
      <c r="F1656" t="s">
        <v>5</v>
      </c>
      <c r="G1656" t="s">
        <v>519</v>
      </c>
      <c r="H1656" t="s">
        <v>1631</v>
      </c>
      <c r="I1656">
        <v>120</v>
      </c>
      <c r="J1656">
        <v>20</v>
      </c>
      <c r="K1656">
        <f t="shared" si="102"/>
        <v>16.666666666666664</v>
      </c>
      <c r="L1656" t="s">
        <v>1737</v>
      </c>
      <c r="M1656" t="s">
        <v>3808</v>
      </c>
      <c r="O1656">
        <v>110046</v>
      </c>
      <c r="P1656" t="s">
        <v>546</v>
      </c>
      <c r="Q1656" t="s">
        <v>1767</v>
      </c>
      <c r="S1656">
        <v>2.96</v>
      </c>
      <c r="T1656">
        <v>2</v>
      </c>
      <c r="U1656">
        <v>0</v>
      </c>
      <c r="V1656">
        <v>1.4208000000000001</v>
      </c>
      <c r="W1656">
        <f t="shared" si="103"/>
        <v>0.76959999999999995</v>
      </c>
      <c r="X1656">
        <v>5</v>
      </c>
    </row>
    <row r="1657" spans="1:24" x14ac:dyDescent="0.3">
      <c r="A1657">
        <v>1656</v>
      </c>
      <c r="B1657" t="s">
        <v>3409</v>
      </c>
      <c r="C1657" s="6">
        <v>45852</v>
      </c>
      <c r="D1657" t="str">
        <f t="shared" si="100"/>
        <v>Jul</v>
      </c>
      <c r="E1657" t="str">
        <f t="shared" si="101"/>
        <v>2025</v>
      </c>
      <c r="F1657" t="s">
        <v>5</v>
      </c>
      <c r="G1657" t="s">
        <v>519</v>
      </c>
      <c r="H1657" t="s">
        <v>1632</v>
      </c>
      <c r="I1657">
        <v>220</v>
      </c>
      <c r="J1657">
        <v>24</v>
      </c>
      <c r="K1657">
        <f t="shared" si="102"/>
        <v>10.909090909090908</v>
      </c>
      <c r="L1657" t="s">
        <v>1743</v>
      </c>
      <c r="M1657" t="s">
        <v>3809</v>
      </c>
      <c r="N1657" t="s">
        <v>1</v>
      </c>
      <c r="O1657">
        <v>413501</v>
      </c>
      <c r="P1657" t="s">
        <v>546</v>
      </c>
      <c r="Q1657" t="s">
        <v>1759</v>
      </c>
      <c r="S1657">
        <v>8.4480000000000004</v>
      </c>
      <c r="T1657">
        <v>2</v>
      </c>
      <c r="U1657">
        <v>0.2</v>
      </c>
      <c r="V1657">
        <v>2.9567999999999999</v>
      </c>
      <c r="W1657">
        <f t="shared" si="103"/>
        <v>2.7456000000000005</v>
      </c>
      <c r="X1657">
        <v>3</v>
      </c>
    </row>
    <row r="1658" spans="1:24" x14ac:dyDescent="0.3">
      <c r="A1658">
        <v>1657</v>
      </c>
      <c r="B1658" t="s">
        <v>3410</v>
      </c>
      <c r="C1658" s="6">
        <v>45853</v>
      </c>
      <c r="D1658" t="str">
        <f t="shared" si="100"/>
        <v>Jul</v>
      </c>
      <c r="E1658" t="str">
        <f t="shared" si="101"/>
        <v>2025</v>
      </c>
      <c r="F1658" t="s">
        <v>5</v>
      </c>
      <c r="G1658" t="s">
        <v>519</v>
      </c>
      <c r="H1658" t="s">
        <v>1458</v>
      </c>
      <c r="I1658">
        <v>180</v>
      </c>
      <c r="J1658">
        <v>16</v>
      </c>
      <c r="K1658">
        <f t="shared" si="102"/>
        <v>8.8888888888888893</v>
      </c>
      <c r="L1658" t="s">
        <v>1738</v>
      </c>
      <c r="M1658" t="s">
        <v>3681</v>
      </c>
      <c r="N1658" t="s">
        <v>1</v>
      </c>
      <c r="O1658">
        <v>530051</v>
      </c>
      <c r="P1658" t="s">
        <v>546</v>
      </c>
      <c r="Q1658" t="s">
        <v>1757</v>
      </c>
      <c r="S1658">
        <v>95.94</v>
      </c>
      <c r="T1658">
        <v>3</v>
      </c>
      <c r="U1658">
        <v>0</v>
      </c>
      <c r="V1658">
        <v>9.5939999999999994</v>
      </c>
      <c r="W1658">
        <f t="shared" si="103"/>
        <v>28.782</v>
      </c>
      <c r="X1658">
        <v>4</v>
      </c>
    </row>
    <row r="1659" spans="1:24" x14ac:dyDescent="0.3">
      <c r="A1659">
        <v>1658</v>
      </c>
      <c r="B1659" t="s">
        <v>3411</v>
      </c>
      <c r="C1659" s="6">
        <v>45854</v>
      </c>
      <c r="D1659" t="str">
        <f t="shared" si="100"/>
        <v>Jul</v>
      </c>
      <c r="E1659" t="str">
        <f t="shared" si="101"/>
        <v>2025</v>
      </c>
      <c r="F1659" t="s">
        <v>5</v>
      </c>
      <c r="G1659" t="s">
        <v>339</v>
      </c>
      <c r="H1659" t="s">
        <v>1074</v>
      </c>
      <c r="I1659">
        <v>100</v>
      </c>
      <c r="J1659">
        <v>26</v>
      </c>
      <c r="K1659">
        <f t="shared" si="102"/>
        <v>26</v>
      </c>
      <c r="L1659" t="s">
        <v>1739</v>
      </c>
      <c r="M1659" t="s">
        <v>3682</v>
      </c>
      <c r="N1659" t="s">
        <v>1</v>
      </c>
      <c r="O1659">
        <v>530051</v>
      </c>
      <c r="P1659" t="s">
        <v>546</v>
      </c>
      <c r="Q1659" t="s">
        <v>1761</v>
      </c>
      <c r="R1659" t="s">
        <v>2</v>
      </c>
      <c r="S1659">
        <v>34.79</v>
      </c>
      <c r="T1659">
        <v>7</v>
      </c>
      <c r="U1659">
        <v>0</v>
      </c>
      <c r="V1659">
        <v>10.7849</v>
      </c>
      <c r="W1659">
        <f t="shared" si="103"/>
        <v>3.4293</v>
      </c>
      <c r="X1659">
        <v>1</v>
      </c>
    </row>
    <row r="1660" spans="1:24" x14ac:dyDescent="0.3">
      <c r="A1660">
        <v>1659</v>
      </c>
      <c r="B1660" t="s">
        <v>3412</v>
      </c>
      <c r="C1660" s="6">
        <v>45855</v>
      </c>
      <c r="D1660" t="str">
        <f t="shared" si="100"/>
        <v>Jul</v>
      </c>
      <c r="E1660" t="str">
        <f t="shared" si="101"/>
        <v>2025</v>
      </c>
      <c r="F1660" t="s">
        <v>4</v>
      </c>
      <c r="G1660" t="s">
        <v>520</v>
      </c>
      <c r="H1660" t="s">
        <v>1633</v>
      </c>
      <c r="I1660">
        <v>210</v>
      </c>
      <c r="J1660">
        <v>20</v>
      </c>
      <c r="K1660">
        <f t="shared" si="102"/>
        <v>9.5238095238095237</v>
      </c>
      <c r="L1660" t="s">
        <v>1741</v>
      </c>
      <c r="M1660" t="s">
        <v>3810</v>
      </c>
      <c r="N1660" t="s">
        <v>1</v>
      </c>
      <c r="O1660">
        <v>600028</v>
      </c>
      <c r="P1660" t="s">
        <v>546</v>
      </c>
      <c r="Q1660" t="s">
        <v>1759</v>
      </c>
      <c r="S1660">
        <v>160.77600000000001</v>
      </c>
      <c r="T1660">
        <v>3</v>
      </c>
      <c r="U1660">
        <v>0.2</v>
      </c>
      <c r="V1660">
        <v>10.048500000000001</v>
      </c>
      <c r="W1660">
        <f t="shared" si="103"/>
        <v>50.242500000000007</v>
      </c>
      <c r="X1660">
        <v>5</v>
      </c>
    </row>
    <row r="1661" spans="1:24" x14ac:dyDescent="0.3">
      <c r="A1661">
        <v>1660</v>
      </c>
      <c r="B1661" t="s">
        <v>3413</v>
      </c>
      <c r="C1661" s="6">
        <v>45856</v>
      </c>
      <c r="D1661" t="str">
        <f t="shared" si="100"/>
        <v>Jul</v>
      </c>
      <c r="E1661" t="str">
        <f t="shared" si="101"/>
        <v>2025</v>
      </c>
      <c r="F1661" t="s">
        <v>4</v>
      </c>
      <c r="G1661" t="s">
        <v>521</v>
      </c>
      <c r="H1661" t="s">
        <v>1352</v>
      </c>
      <c r="I1661">
        <v>100</v>
      </c>
      <c r="J1661">
        <v>10</v>
      </c>
      <c r="K1661">
        <f t="shared" si="102"/>
        <v>10</v>
      </c>
      <c r="L1661" t="s">
        <v>1736</v>
      </c>
      <c r="M1661" t="s">
        <v>3673</v>
      </c>
      <c r="N1661" t="s">
        <v>1</v>
      </c>
      <c r="O1661">
        <v>600028</v>
      </c>
      <c r="P1661" t="s">
        <v>546</v>
      </c>
      <c r="Q1661" t="s">
        <v>1774</v>
      </c>
      <c r="R1661" t="s">
        <v>2</v>
      </c>
      <c r="S1661">
        <v>88.751999999999995</v>
      </c>
      <c r="T1661">
        <v>3</v>
      </c>
      <c r="U1661">
        <v>0.2</v>
      </c>
      <c r="V1661">
        <v>27.734999999999999</v>
      </c>
      <c r="W1661">
        <f t="shared" si="103"/>
        <v>20.338999999999999</v>
      </c>
      <c r="X1661">
        <v>2</v>
      </c>
    </row>
    <row r="1662" spans="1:24" x14ac:dyDescent="0.3">
      <c r="A1662">
        <v>1661</v>
      </c>
      <c r="B1662" t="s">
        <v>3414</v>
      </c>
      <c r="C1662" s="6">
        <v>45857</v>
      </c>
      <c r="D1662" t="str">
        <f t="shared" si="100"/>
        <v>Jul</v>
      </c>
      <c r="E1662" t="str">
        <f t="shared" si="101"/>
        <v>2025</v>
      </c>
      <c r="F1662" t="s">
        <v>4</v>
      </c>
      <c r="G1662" t="s">
        <v>521</v>
      </c>
      <c r="H1662" t="s">
        <v>1391</v>
      </c>
      <c r="I1662">
        <v>250</v>
      </c>
      <c r="J1662">
        <v>28</v>
      </c>
      <c r="K1662">
        <f t="shared" si="102"/>
        <v>11.200000000000001</v>
      </c>
      <c r="L1662" t="s">
        <v>1744</v>
      </c>
      <c r="M1662" t="s">
        <v>3746</v>
      </c>
      <c r="N1662" t="s">
        <v>1</v>
      </c>
      <c r="O1662">
        <v>500090</v>
      </c>
      <c r="P1662" t="s">
        <v>546</v>
      </c>
      <c r="Q1662" t="s">
        <v>1759</v>
      </c>
      <c r="S1662">
        <v>13.904</v>
      </c>
      <c r="T1662">
        <v>2</v>
      </c>
      <c r="U1662">
        <v>0.2</v>
      </c>
      <c r="V1662">
        <v>5.2140000000000004</v>
      </c>
      <c r="W1662">
        <f t="shared" si="103"/>
        <v>4.3449999999999998</v>
      </c>
      <c r="X1662">
        <v>1</v>
      </c>
    </row>
    <row r="1663" spans="1:24" x14ac:dyDescent="0.3">
      <c r="A1663">
        <v>1662</v>
      </c>
      <c r="B1663" t="s">
        <v>3415</v>
      </c>
      <c r="C1663" s="6">
        <v>45858</v>
      </c>
      <c r="D1663" t="str">
        <f t="shared" si="100"/>
        <v>Jul</v>
      </c>
      <c r="E1663" t="str">
        <f t="shared" si="101"/>
        <v>2025</v>
      </c>
      <c r="F1663" t="s">
        <v>4</v>
      </c>
      <c r="G1663" t="s">
        <v>432</v>
      </c>
      <c r="H1663" t="s">
        <v>1491</v>
      </c>
      <c r="I1663">
        <v>110</v>
      </c>
      <c r="J1663">
        <v>8</v>
      </c>
      <c r="K1663">
        <f t="shared" si="102"/>
        <v>7.2727272727272725</v>
      </c>
      <c r="L1663" t="s">
        <v>1740</v>
      </c>
      <c r="M1663" t="s">
        <v>3811</v>
      </c>
      <c r="N1663" t="s">
        <v>1</v>
      </c>
      <c r="O1663">
        <v>410210</v>
      </c>
      <c r="P1663" t="s">
        <v>546</v>
      </c>
      <c r="Q1663" t="s">
        <v>1760</v>
      </c>
      <c r="R1663" t="s">
        <v>2</v>
      </c>
      <c r="S1663">
        <v>677.58</v>
      </c>
      <c r="T1663">
        <v>5</v>
      </c>
      <c r="U1663">
        <v>0.4</v>
      </c>
      <c r="V1663">
        <v>-158.102</v>
      </c>
      <c r="W1663">
        <f t="shared" si="103"/>
        <v>167.13640000000001</v>
      </c>
      <c r="X1663">
        <v>1</v>
      </c>
    </row>
    <row r="1664" spans="1:24" x14ac:dyDescent="0.3">
      <c r="A1664">
        <v>1663</v>
      </c>
      <c r="B1664" t="s">
        <v>3416</v>
      </c>
      <c r="C1664" s="6">
        <v>45859</v>
      </c>
      <c r="D1664" t="str">
        <f t="shared" si="100"/>
        <v>Jul</v>
      </c>
      <c r="E1664" t="str">
        <f t="shared" si="101"/>
        <v>2025</v>
      </c>
      <c r="F1664" t="s">
        <v>4</v>
      </c>
      <c r="G1664" t="s">
        <v>432</v>
      </c>
      <c r="H1664" t="s">
        <v>1634</v>
      </c>
      <c r="I1664">
        <v>160</v>
      </c>
      <c r="J1664">
        <v>16</v>
      </c>
      <c r="K1664">
        <f t="shared" si="102"/>
        <v>10</v>
      </c>
      <c r="L1664" t="s">
        <v>1742</v>
      </c>
      <c r="M1664" t="s">
        <v>3656</v>
      </c>
      <c r="N1664" t="s">
        <v>1</v>
      </c>
      <c r="O1664">
        <v>425305</v>
      </c>
      <c r="P1664" t="s">
        <v>546</v>
      </c>
      <c r="Q1664" t="s">
        <v>1774</v>
      </c>
      <c r="S1664">
        <v>13.896000000000001</v>
      </c>
      <c r="T1664">
        <v>3</v>
      </c>
      <c r="U1664">
        <v>0.7</v>
      </c>
      <c r="V1664">
        <v>-9.2639999999999993</v>
      </c>
      <c r="W1664">
        <f t="shared" si="103"/>
        <v>7.72</v>
      </c>
      <c r="X1664">
        <v>2</v>
      </c>
    </row>
    <row r="1665" spans="1:24" x14ac:dyDescent="0.3">
      <c r="A1665">
        <v>1664</v>
      </c>
      <c r="B1665" t="s">
        <v>3417</v>
      </c>
      <c r="C1665" s="6">
        <v>45860</v>
      </c>
      <c r="D1665" t="str">
        <f t="shared" si="100"/>
        <v>Jul</v>
      </c>
      <c r="E1665" t="str">
        <f t="shared" si="101"/>
        <v>2025</v>
      </c>
      <c r="F1665" t="s">
        <v>3</v>
      </c>
      <c r="G1665" t="s">
        <v>522</v>
      </c>
      <c r="H1665" t="s">
        <v>1017</v>
      </c>
      <c r="I1665">
        <v>250</v>
      </c>
      <c r="J1665">
        <v>18</v>
      </c>
      <c r="K1665">
        <f t="shared" si="102"/>
        <v>7.1999999999999993</v>
      </c>
      <c r="L1665" t="s">
        <v>1739</v>
      </c>
      <c r="M1665" t="s">
        <v>3637</v>
      </c>
      <c r="N1665" t="s">
        <v>1</v>
      </c>
      <c r="O1665">
        <v>201301</v>
      </c>
      <c r="P1665" t="s">
        <v>546</v>
      </c>
      <c r="Q1665" t="s">
        <v>1767</v>
      </c>
      <c r="S1665">
        <v>41.92</v>
      </c>
      <c r="T1665">
        <v>5</v>
      </c>
      <c r="U1665">
        <v>0.2</v>
      </c>
      <c r="V1665">
        <v>3.6680000000000001</v>
      </c>
      <c r="W1665">
        <f t="shared" si="103"/>
        <v>7.6504000000000003</v>
      </c>
      <c r="X1665">
        <v>5</v>
      </c>
    </row>
    <row r="1666" spans="1:24" x14ac:dyDescent="0.3">
      <c r="A1666">
        <v>1665</v>
      </c>
      <c r="B1666" t="s">
        <v>3418</v>
      </c>
      <c r="C1666" s="6">
        <v>45861</v>
      </c>
      <c r="D1666" t="str">
        <f t="shared" si="100"/>
        <v>Jul</v>
      </c>
      <c r="E1666" t="str">
        <f t="shared" si="101"/>
        <v>2025</v>
      </c>
      <c r="F1666" t="s">
        <v>3</v>
      </c>
      <c r="G1666" t="s">
        <v>522</v>
      </c>
      <c r="H1666" t="s">
        <v>1242</v>
      </c>
      <c r="I1666">
        <v>170</v>
      </c>
      <c r="J1666">
        <v>8</v>
      </c>
      <c r="K1666">
        <f t="shared" si="102"/>
        <v>4.7058823529411766</v>
      </c>
      <c r="L1666" t="s">
        <v>1738</v>
      </c>
      <c r="M1666" t="s">
        <v>3812</v>
      </c>
      <c r="N1666" t="s">
        <v>1</v>
      </c>
      <c r="O1666">
        <v>431003</v>
      </c>
      <c r="P1666" t="s">
        <v>546</v>
      </c>
      <c r="Q1666" t="s">
        <v>1761</v>
      </c>
      <c r="R1666" t="s">
        <v>2</v>
      </c>
      <c r="S1666">
        <v>297.57600000000002</v>
      </c>
      <c r="T1666">
        <v>3</v>
      </c>
      <c r="U1666">
        <v>0.2</v>
      </c>
      <c r="V1666">
        <v>-7.4394</v>
      </c>
      <c r="W1666">
        <f t="shared" si="103"/>
        <v>101.6718</v>
      </c>
      <c r="X1666">
        <v>3</v>
      </c>
    </row>
    <row r="1667" spans="1:24" x14ac:dyDescent="0.3">
      <c r="A1667">
        <v>1666</v>
      </c>
      <c r="B1667" t="s">
        <v>3419</v>
      </c>
      <c r="C1667" s="6">
        <v>45862</v>
      </c>
      <c r="D1667" t="str">
        <f t="shared" ref="D1667:D1730" si="104">TEXT(C1667,"Mmm")</f>
        <v>Jul</v>
      </c>
      <c r="E1667" t="str">
        <f t="shared" ref="E1667:E1730" si="105">TEXT(C1667,"YYYY")</f>
        <v>2025</v>
      </c>
      <c r="F1667" t="s">
        <v>3</v>
      </c>
      <c r="G1667" t="s">
        <v>522</v>
      </c>
      <c r="H1667" t="s">
        <v>1635</v>
      </c>
      <c r="I1667">
        <v>120</v>
      </c>
      <c r="J1667">
        <v>10</v>
      </c>
      <c r="K1667">
        <f t="shared" ref="K1667:K1730" si="106">(J1667/I1667)*100</f>
        <v>8.3333333333333321</v>
      </c>
      <c r="L1667" t="s">
        <v>1737</v>
      </c>
      <c r="M1667" t="s">
        <v>3813</v>
      </c>
      <c r="N1667" t="s">
        <v>1</v>
      </c>
      <c r="O1667">
        <v>530007</v>
      </c>
      <c r="P1667" t="s">
        <v>546</v>
      </c>
      <c r="Q1667" t="s">
        <v>1759</v>
      </c>
      <c r="S1667">
        <v>4.3440000000000003</v>
      </c>
      <c r="T1667">
        <v>3</v>
      </c>
      <c r="U1667">
        <v>0.2</v>
      </c>
      <c r="V1667">
        <v>0.86880000000000002</v>
      </c>
      <c r="W1667">
        <f t="shared" ref="W1667:W1730" si="107">(S1667-V1667)/T1667</f>
        <v>1.1584000000000001</v>
      </c>
      <c r="X1667">
        <v>3</v>
      </c>
    </row>
    <row r="1668" spans="1:24" x14ac:dyDescent="0.3">
      <c r="A1668">
        <v>1667</v>
      </c>
      <c r="B1668" t="s">
        <v>3420</v>
      </c>
      <c r="C1668" s="6">
        <v>45863</v>
      </c>
      <c r="D1668" t="str">
        <f t="shared" si="104"/>
        <v>Jul</v>
      </c>
      <c r="E1668" t="str">
        <f t="shared" si="105"/>
        <v>2025</v>
      </c>
      <c r="F1668" t="s">
        <v>3</v>
      </c>
      <c r="G1668" t="s">
        <v>522</v>
      </c>
      <c r="H1668" t="s">
        <v>1636</v>
      </c>
      <c r="I1668">
        <v>180</v>
      </c>
      <c r="J1668">
        <v>28</v>
      </c>
      <c r="K1668">
        <f t="shared" si="106"/>
        <v>15.555555555555555</v>
      </c>
      <c r="L1668" t="s">
        <v>1743</v>
      </c>
      <c r="M1668" t="s">
        <v>3610</v>
      </c>
      <c r="N1668" t="s">
        <v>1</v>
      </c>
      <c r="O1668">
        <v>493118</v>
      </c>
      <c r="P1668" t="s">
        <v>546</v>
      </c>
      <c r="Q1668" t="s">
        <v>1758</v>
      </c>
      <c r="S1668">
        <v>94.992000000000004</v>
      </c>
      <c r="T1668">
        <v>2</v>
      </c>
      <c r="U1668">
        <v>0.2</v>
      </c>
      <c r="V1668">
        <v>-2.3748</v>
      </c>
      <c r="W1668">
        <f t="shared" si="107"/>
        <v>48.683399999999999</v>
      </c>
      <c r="X1668">
        <v>1</v>
      </c>
    </row>
    <row r="1669" spans="1:24" x14ac:dyDescent="0.3">
      <c r="A1669">
        <v>1668</v>
      </c>
      <c r="B1669" t="s">
        <v>3421</v>
      </c>
      <c r="C1669" s="6">
        <v>45864</v>
      </c>
      <c r="D1669" t="str">
        <f t="shared" si="104"/>
        <v>Jul</v>
      </c>
      <c r="E1669" t="str">
        <f t="shared" si="105"/>
        <v>2025</v>
      </c>
      <c r="F1669" t="s">
        <v>3</v>
      </c>
      <c r="G1669" t="s">
        <v>522</v>
      </c>
      <c r="H1669" t="s">
        <v>1637</v>
      </c>
      <c r="I1669">
        <v>200</v>
      </c>
      <c r="J1669">
        <v>6</v>
      </c>
      <c r="K1669">
        <f t="shared" si="106"/>
        <v>3</v>
      </c>
      <c r="L1669" t="s">
        <v>1738</v>
      </c>
      <c r="M1669" t="s">
        <v>3814</v>
      </c>
      <c r="N1669" t="s">
        <v>1</v>
      </c>
      <c r="O1669">
        <v>303007</v>
      </c>
      <c r="P1669" t="s">
        <v>546</v>
      </c>
      <c r="Q1669" t="s">
        <v>1761</v>
      </c>
      <c r="R1669" t="s">
        <v>2</v>
      </c>
      <c r="S1669">
        <v>74.352000000000004</v>
      </c>
      <c r="T1669">
        <v>3</v>
      </c>
      <c r="U1669">
        <v>0.2</v>
      </c>
      <c r="V1669">
        <v>23.234999999999999</v>
      </c>
      <c r="W1669">
        <f t="shared" si="107"/>
        <v>17.039000000000001</v>
      </c>
      <c r="X1669">
        <v>5</v>
      </c>
    </row>
    <row r="1670" spans="1:24" x14ac:dyDescent="0.3">
      <c r="A1670">
        <v>1669</v>
      </c>
      <c r="B1670" t="s">
        <v>3422</v>
      </c>
      <c r="C1670" s="6">
        <v>45865</v>
      </c>
      <c r="D1670" t="str">
        <f t="shared" si="104"/>
        <v>Jul</v>
      </c>
      <c r="E1670" t="str">
        <f t="shared" si="105"/>
        <v>2025</v>
      </c>
      <c r="F1670" t="s">
        <v>3</v>
      </c>
      <c r="G1670" t="s">
        <v>522</v>
      </c>
      <c r="H1670" t="s">
        <v>1175</v>
      </c>
      <c r="I1670">
        <v>200</v>
      </c>
      <c r="J1670">
        <v>18</v>
      </c>
      <c r="K1670">
        <f t="shared" si="106"/>
        <v>9</v>
      </c>
      <c r="L1670" t="s">
        <v>1737</v>
      </c>
      <c r="M1670" t="s">
        <v>3880</v>
      </c>
      <c r="N1670" t="s">
        <v>1</v>
      </c>
      <c r="O1670">
        <v>500039</v>
      </c>
      <c r="P1670" t="s">
        <v>546</v>
      </c>
      <c r="Q1670" t="s">
        <v>1767</v>
      </c>
      <c r="S1670">
        <v>14.04</v>
      </c>
      <c r="T1670">
        <v>3</v>
      </c>
      <c r="U1670">
        <v>0.2</v>
      </c>
      <c r="V1670">
        <v>1.5794999999999999</v>
      </c>
      <c r="W1670">
        <f t="shared" si="107"/>
        <v>4.1535000000000002</v>
      </c>
      <c r="X1670">
        <v>5</v>
      </c>
    </row>
    <row r="1671" spans="1:24" x14ac:dyDescent="0.3">
      <c r="A1671">
        <v>1670</v>
      </c>
      <c r="B1671" t="s">
        <v>3423</v>
      </c>
      <c r="C1671" s="6">
        <v>45866</v>
      </c>
      <c r="D1671" t="str">
        <f t="shared" si="104"/>
        <v>Jul</v>
      </c>
      <c r="E1671" t="str">
        <f t="shared" si="105"/>
        <v>2025</v>
      </c>
      <c r="F1671" t="s">
        <v>4</v>
      </c>
      <c r="G1671" t="s">
        <v>469</v>
      </c>
      <c r="H1671" t="s">
        <v>958</v>
      </c>
      <c r="I1671">
        <v>170</v>
      </c>
      <c r="J1671">
        <v>6</v>
      </c>
      <c r="K1671">
        <f t="shared" si="106"/>
        <v>3.5294117647058822</v>
      </c>
      <c r="L1671" t="s">
        <v>1743</v>
      </c>
      <c r="M1671" t="s">
        <v>3881</v>
      </c>
      <c r="N1671" t="s">
        <v>1</v>
      </c>
      <c r="O1671">
        <v>500008</v>
      </c>
      <c r="P1671" t="s">
        <v>546</v>
      </c>
      <c r="Q1671" t="s">
        <v>1763</v>
      </c>
      <c r="S1671">
        <v>1018.104</v>
      </c>
      <c r="T1671">
        <v>4</v>
      </c>
      <c r="U1671">
        <v>0.4</v>
      </c>
      <c r="V1671">
        <v>-373.3048</v>
      </c>
      <c r="W1671">
        <f t="shared" si="107"/>
        <v>347.85220000000004</v>
      </c>
      <c r="X1671">
        <v>4</v>
      </c>
    </row>
    <row r="1672" spans="1:24" x14ac:dyDescent="0.3">
      <c r="A1672">
        <v>1671</v>
      </c>
      <c r="B1672" t="s">
        <v>3424</v>
      </c>
      <c r="C1672" s="6">
        <v>45867</v>
      </c>
      <c r="D1672" t="str">
        <f t="shared" si="104"/>
        <v>Jul</v>
      </c>
      <c r="E1672" t="str">
        <f t="shared" si="105"/>
        <v>2025</v>
      </c>
      <c r="F1672" t="s">
        <v>4</v>
      </c>
      <c r="G1672" t="s">
        <v>509</v>
      </c>
      <c r="H1672" t="s">
        <v>1638</v>
      </c>
      <c r="I1672">
        <v>150</v>
      </c>
      <c r="J1672">
        <v>30</v>
      </c>
      <c r="K1672">
        <f t="shared" si="106"/>
        <v>20</v>
      </c>
      <c r="L1672" t="s">
        <v>1738</v>
      </c>
      <c r="M1672" t="s">
        <v>3882</v>
      </c>
      <c r="N1672" t="s">
        <v>1</v>
      </c>
      <c r="O1672">
        <v>689581</v>
      </c>
      <c r="P1672" t="s">
        <v>546</v>
      </c>
      <c r="Q1672" t="s">
        <v>1769</v>
      </c>
      <c r="R1672" t="s">
        <v>2</v>
      </c>
      <c r="S1672">
        <v>16.68</v>
      </c>
      <c r="T1672">
        <v>3</v>
      </c>
      <c r="U1672">
        <v>0.2</v>
      </c>
      <c r="V1672">
        <v>5.2125000000000004</v>
      </c>
      <c r="W1672">
        <f t="shared" si="107"/>
        <v>3.8224999999999998</v>
      </c>
      <c r="X1672">
        <v>3</v>
      </c>
    </row>
    <row r="1673" spans="1:24" x14ac:dyDescent="0.3">
      <c r="A1673">
        <v>1672</v>
      </c>
      <c r="B1673" t="s">
        <v>3425</v>
      </c>
      <c r="C1673" s="6">
        <v>45868</v>
      </c>
      <c r="D1673" t="str">
        <f t="shared" si="104"/>
        <v>Jul</v>
      </c>
      <c r="E1673" t="str">
        <f t="shared" si="105"/>
        <v>2025</v>
      </c>
      <c r="F1673" t="s">
        <v>5</v>
      </c>
      <c r="G1673" t="s">
        <v>523</v>
      </c>
      <c r="H1673" t="s">
        <v>1372</v>
      </c>
      <c r="I1673">
        <v>240</v>
      </c>
      <c r="J1673">
        <v>18</v>
      </c>
      <c r="K1673">
        <f t="shared" si="106"/>
        <v>7.5</v>
      </c>
      <c r="L1673" t="s">
        <v>1739</v>
      </c>
      <c r="M1673" t="s">
        <v>3883</v>
      </c>
      <c r="N1673" t="s">
        <v>1</v>
      </c>
      <c r="O1673">
        <v>425305</v>
      </c>
      <c r="P1673" t="s">
        <v>546</v>
      </c>
      <c r="Q1673" t="s">
        <v>1760</v>
      </c>
      <c r="S1673">
        <v>58.58</v>
      </c>
      <c r="T1673">
        <v>2</v>
      </c>
      <c r="U1673">
        <v>0</v>
      </c>
      <c r="V1673">
        <v>19.331399999999999</v>
      </c>
      <c r="W1673">
        <f t="shared" si="107"/>
        <v>19.624299999999998</v>
      </c>
      <c r="X1673">
        <v>5</v>
      </c>
    </row>
    <row r="1674" spans="1:24" x14ac:dyDescent="0.3">
      <c r="A1674">
        <v>1673</v>
      </c>
      <c r="B1674" t="s">
        <v>3426</v>
      </c>
      <c r="C1674" s="6">
        <v>45869</v>
      </c>
      <c r="D1674" t="str">
        <f t="shared" si="104"/>
        <v>Jul</v>
      </c>
      <c r="E1674" t="str">
        <f t="shared" si="105"/>
        <v>2025</v>
      </c>
      <c r="F1674" t="s">
        <v>4</v>
      </c>
      <c r="G1674" t="s">
        <v>368</v>
      </c>
      <c r="H1674" t="s">
        <v>613</v>
      </c>
      <c r="I1674">
        <v>250</v>
      </c>
      <c r="J1674">
        <v>30</v>
      </c>
      <c r="K1674">
        <f t="shared" si="106"/>
        <v>12</v>
      </c>
      <c r="L1674" t="s">
        <v>1741</v>
      </c>
      <c r="M1674" t="s">
        <v>3884</v>
      </c>
      <c r="N1674" t="s">
        <v>1</v>
      </c>
      <c r="O1674">
        <v>424001</v>
      </c>
      <c r="P1674" t="s">
        <v>546</v>
      </c>
      <c r="Q1674" t="s">
        <v>1764</v>
      </c>
      <c r="S1674">
        <v>167.96799999999999</v>
      </c>
      <c r="T1674">
        <v>4</v>
      </c>
      <c r="U1674">
        <v>0.2</v>
      </c>
      <c r="V1674">
        <v>62.988</v>
      </c>
      <c r="W1674">
        <f t="shared" si="107"/>
        <v>26.244999999999997</v>
      </c>
      <c r="X1674">
        <v>2</v>
      </c>
    </row>
    <row r="1675" spans="1:24" x14ac:dyDescent="0.3">
      <c r="A1675">
        <v>1674</v>
      </c>
      <c r="B1675" t="s">
        <v>3427</v>
      </c>
      <c r="C1675" s="6">
        <v>45870</v>
      </c>
      <c r="D1675" t="str">
        <f t="shared" si="104"/>
        <v>Aug</v>
      </c>
      <c r="E1675" t="str">
        <f t="shared" si="105"/>
        <v>2025</v>
      </c>
      <c r="F1675" t="s">
        <v>5</v>
      </c>
      <c r="G1675" t="s">
        <v>524</v>
      </c>
      <c r="H1675" t="s">
        <v>1055</v>
      </c>
      <c r="I1675">
        <v>100</v>
      </c>
      <c r="J1675">
        <v>10</v>
      </c>
      <c r="K1675">
        <f t="shared" si="106"/>
        <v>10</v>
      </c>
      <c r="L1675" t="s">
        <v>1736</v>
      </c>
      <c r="M1675" t="s">
        <v>3885</v>
      </c>
      <c r="N1675" t="s">
        <v>1</v>
      </c>
      <c r="O1675">
        <v>560068</v>
      </c>
      <c r="P1675" t="s">
        <v>546</v>
      </c>
      <c r="Q1675" t="s">
        <v>1756</v>
      </c>
      <c r="S1675">
        <v>196.62</v>
      </c>
      <c r="T1675">
        <v>2</v>
      </c>
      <c r="U1675">
        <v>0</v>
      </c>
      <c r="V1675">
        <v>96.343800000000002</v>
      </c>
      <c r="W1675">
        <f t="shared" si="107"/>
        <v>50.138100000000001</v>
      </c>
      <c r="X1675">
        <v>5</v>
      </c>
    </row>
    <row r="1676" spans="1:24" x14ac:dyDescent="0.3">
      <c r="A1676">
        <v>1675</v>
      </c>
      <c r="B1676" t="s">
        <v>3428</v>
      </c>
      <c r="C1676" s="6">
        <v>45871</v>
      </c>
      <c r="D1676" t="str">
        <f t="shared" si="104"/>
        <v>Aug</v>
      </c>
      <c r="E1676" t="str">
        <f t="shared" si="105"/>
        <v>2025</v>
      </c>
      <c r="F1676" t="s">
        <v>4</v>
      </c>
      <c r="G1676" t="s">
        <v>252</v>
      </c>
      <c r="H1676" t="s">
        <v>1452</v>
      </c>
      <c r="I1676">
        <v>160</v>
      </c>
      <c r="J1676">
        <v>16</v>
      </c>
      <c r="K1676">
        <f t="shared" si="106"/>
        <v>10</v>
      </c>
      <c r="L1676" t="s">
        <v>1744</v>
      </c>
      <c r="M1676" t="s">
        <v>3886</v>
      </c>
      <c r="N1676" t="s">
        <v>1</v>
      </c>
      <c r="O1676">
        <v>401105</v>
      </c>
      <c r="P1676" t="s">
        <v>546</v>
      </c>
      <c r="Q1676" t="s">
        <v>1773</v>
      </c>
      <c r="S1676">
        <v>21.936</v>
      </c>
      <c r="T1676">
        <v>2</v>
      </c>
      <c r="U1676">
        <v>0.6</v>
      </c>
      <c r="V1676">
        <v>-10.419600000000001</v>
      </c>
      <c r="W1676">
        <f t="shared" si="107"/>
        <v>16.177800000000001</v>
      </c>
      <c r="X1676">
        <v>4</v>
      </c>
    </row>
    <row r="1677" spans="1:24" x14ac:dyDescent="0.3">
      <c r="A1677">
        <v>1676</v>
      </c>
      <c r="B1677" t="s">
        <v>3429</v>
      </c>
      <c r="C1677" s="6">
        <v>45872</v>
      </c>
      <c r="D1677" t="str">
        <f t="shared" si="104"/>
        <v>Aug</v>
      </c>
      <c r="E1677" t="str">
        <f t="shared" si="105"/>
        <v>2025</v>
      </c>
      <c r="F1677" t="s">
        <v>4</v>
      </c>
      <c r="G1677" t="s">
        <v>252</v>
      </c>
      <c r="H1677" t="s">
        <v>1592</v>
      </c>
      <c r="I1677">
        <v>190</v>
      </c>
      <c r="J1677">
        <v>14</v>
      </c>
      <c r="K1677">
        <f t="shared" si="106"/>
        <v>7.3684210526315779</v>
      </c>
      <c r="L1677" t="s">
        <v>1740</v>
      </c>
      <c r="M1677" t="s">
        <v>3887</v>
      </c>
      <c r="N1677" t="s">
        <v>1</v>
      </c>
      <c r="O1677">
        <v>503224</v>
      </c>
      <c r="P1677" t="s">
        <v>546</v>
      </c>
      <c r="Q1677" t="s">
        <v>1770</v>
      </c>
      <c r="S1677">
        <v>6.5880000000000001</v>
      </c>
      <c r="T1677">
        <v>3</v>
      </c>
      <c r="U1677">
        <v>0.8</v>
      </c>
      <c r="V1677">
        <v>-10.211399999999999</v>
      </c>
      <c r="W1677">
        <f t="shared" si="107"/>
        <v>5.5997999999999992</v>
      </c>
      <c r="X1677">
        <v>2</v>
      </c>
    </row>
    <row r="1678" spans="1:24" x14ac:dyDescent="0.3">
      <c r="A1678">
        <v>1677</v>
      </c>
      <c r="B1678" t="s">
        <v>3430</v>
      </c>
      <c r="C1678" s="6">
        <v>45873</v>
      </c>
      <c r="D1678" t="str">
        <f t="shared" si="104"/>
        <v>Aug</v>
      </c>
      <c r="E1678" t="str">
        <f t="shared" si="105"/>
        <v>2025</v>
      </c>
      <c r="F1678" t="s">
        <v>4</v>
      </c>
      <c r="G1678" t="s">
        <v>525</v>
      </c>
      <c r="H1678" t="s">
        <v>601</v>
      </c>
      <c r="I1678">
        <v>150</v>
      </c>
      <c r="J1678">
        <v>12</v>
      </c>
      <c r="K1678">
        <f t="shared" si="106"/>
        <v>8</v>
      </c>
      <c r="L1678" t="s">
        <v>1742</v>
      </c>
      <c r="M1678" t="s">
        <v>3888</v>
      </c>
      <c r="N1678" t="s">
        <v>1</v>
      </c>
      <c r="O1678">
        <v>769015</v>
      </c>
      <c r="P1678" t="s">
        <v>546</v>
      </c>
      <c r="Q1678" t="s">
        <v>1754</v>
      </c>
      <c r="S1678">
        <v>104.28</v>
      </c>
      <c r="T1678">
        <v>3</v>
      </c>
      <c r="U1678">
        <v>0</v>
      </c>
      <c r="V1678">
        <v>26.07</v>
      </c>
      <c r="W1678">
        <f t="shared" si="107"/>
        <v>26.070000000000004</v>
      </c>
      <c r="X1678">
        <v>1</v>
      </c>
    </row>
    <row r="1679" spans="1:24" x14ac:dyDescent="0.3">
      <c r="A1679">
        <v>1678</v>
      </c>
      <c r="B1679" t="s">
        <v>3431</v>
      </c>
      <c r="C1679" s="6">
        <v>45874</v>
      </c>
      <c r="D1679" t="str">
        <f t="shared" si="104"/>
        <v>Aug</v>
      </c>
      <c r="E1679" t="str">
        <f t="shared" si="105"/>
        <v>2025</v>
      </c>
      <c r="F1679" t="s">
        <v>4</v>
      </c>
      <c r="G1679" t="s">
        <v>525</v>
      </c>
      <c r="H1679" t="s">
        <v>646</v>
      </c>
      <c r="I1679">
        <v>150</v>
      </c>
      <c r="J1679">
        <v>16</v>
      </c>
      <c r="K1679">
        <f t="shared" si="106"/>
        <v>10.666666666666668</v>
      </c>
      <c r="L1679" t="s">
        <v>1739</v>
      </c>
      <c r="M1679" t="s">
        <v>3889</v>
      </c>
      <c r="N1679" t="s">
        <v>1</v>
      </c>
      <c r="O1679">
        <v>231225</v>
      </c>
      <c r="P1679" t="s">
        <v>546</v>
      </c>
      <c r="Q1679" t="s">
        <v>1764</v>
      </c>
      <c r="S1679">
        <v>17.940000000000001</v>
      </c>
      <c r="T1679">
        <v>3</v>
      </c>
      <c r="U1679">
        <v>0</v>
      </c>
      <c r="V1679">
        <v>8.7905999999999995</v>
      </c>
      <c r="W1679">
        <f t="shared" si="107"/>
        <v>3.0498000000000007</v>
      </c>
      <c r="X1679">
        <v>4</v>
      </c>
    </row>
    <row r="1680" spans="1:24" x14ac:dyDescent="0.3">
      <c r="A1680">
        <v>1679</v>
      </c>
      <c r="B1680" t="s">
        <v>3432</v>
      </c>
      <c r="C1680" s="6">
        <v>45875</v>
      </c>
      <c r="D1680" t="str">
        <f t="shared" si="104"/>
        <v>Aug</v>
      </c>
      <c r="E1680" t="str">
        <f t="shared" si="105"/>
        <v>2025</v>
      </c>
      <c r="F1680" t="s">
        <v>4</v>
      </c>
      <c r="G1680" t="s">
        <v>122</v>
      </c>
      <c r="H1680" t="s">
        <v>1418</v>
      </c>
      <c r="I1680">
        <v>240</v>
      </c>
      <c r="J1680">
        <v>30</v>
      </c>
      <c r="K1680">
        <f t="shared" si="106"/>
        <v>12.5</v>
      </c>
      <c r="L1680" t="s">
        <v>1738</v>
      </c>
      <c r="M1680" t="s">
        <v>3890</v>
      </c>
      <c r="N1680" t="s">
        <v>1</v>
      </c>
      <c r="O1680">
        <v>785001</v>
      </c>
      <c r="P1680" t="s">
        <v>546</v>
      </c>
      <c r="Q1680" t="s">
        <v>1762</v>
      </c>
      <c r="S1680">
        <v>64.784000000000006</v>
      </c>
      <c r="T1680">
        <v>1</v>
      </c>
      <c r="U1680">
        <v>0.2</v>
      </c>
      <c r="V1680">
        <v>-14.5764</v>
      </c>
      <c r="W1680">
        <f t="shared" si="107"/>
        <v>79.360399999999998</v>
      </c>
      <c r="X1680">
        <v>3</v>
      </c>
    </row>
    <row r="1681" spans="1:24" x14ac:dyDescent="0.3">
      <c r="A1681">
        <v>1680</v>
      </c>
      <c r="B1681" t="s">
        <v>3433</v>
      </c>
      <c r="C1681" s="6">
        <v>45876</v>
      </c>
      <c r="D1681" t="str">
        <f t="shared" si="104"/>
        <v>Aug</v>
      </c>
      <c r="E1681" t="str">
        <f t="shared" si="105"/>
        <v>2025</v>
      </c>
      <c r="F1681" t="s">
        <v>4</v>
      </c>
      <c r="G1681" t="s">
        <v>122</v>
      </c>
      <c r="H1681" t="s">
        <v>1378</v>
      </c>
      <c r="I1681">
        <v>220</v>
      </c>
      <c r="J1681">
        <v>30</v>
      </c>
      <c r="K1681">
        <f t="shared" si="106"/>
        <v>13.636363636363635</v>
      </c>
      <c r="L1681" t="s">
        <v>1743</v>
      </c>
      <c r="M1681" t="s">
        <v>3891</v>
      </c>
      <c r="N1681" t="s">
        <v>1</v>
      </c>
      <c r="O1681">
        <v>695125</v>
      </c>
      <c r="P1681" t="s">
        <v>546</v>
      </c>
      <c r="Q1681" t="s">
        <v>1768</v>
      </c>
      <c r="R1681" t="s">
        <v>2</v>
      </c>
      <c r="S1681">
        <v>32.381999999999998</v>
      </c>
      <c r="T1681">
        <v>3</v>
      </c>
      <c r="U1681">
        <v>0.4</v>
      </c>
      <c r="V1681">
        <v>4.3175999999999997</v>
      </c>
      <c r="W1681">
        <f t="shared" si="107"/>
        <v>9.3547999999999991</v>
      </c>
      <c r="X1681">
        <v>5</v>
      </c>
    </row>
    <row r="1682" spans="1:24" x14ac:dyDescent="0.3">
      <c r="A1682">
        <v>1681</v>
      </c>
      <c r="B1682" t="s">
        <v>3434</v>
      </c>
      <c r="C1682" s="6">
        <v>45877</v>
      </c>
      <c r="D1682" t="str">
        <f t="shared" si="104"/>
        <v>Aug</v>
      </c>
      <c r="E1682" t="str">
        <f t="shared" si="105"/>
        <v>2025</v>
      </c>
      <c r="F1682" t="s">
        <v>4</v>
      </c>
      <c r="G1682" t="s">
        <v>122</v>
      </c>
      <c r="H1682" t="s">
        <v>1639</v>
      </c>
      <c r="I1682">
        <v>250</v>
      </c>
      <c r="J1682">
        <v>26</v>
      </c>
      <c r="K1682">
        <f t="shared" si="106"/>
        <v>10.4</v>
      </c>
      <c r="L1682" t="s">
        <v>1737</v>
      </c>
      <c r="M1682" t="s">
        <v>3892</v>
      </c>
      <c r="N1682" t="s">
        <v>1</v>
      </c>
      <c r="O1682">
        <v>695125</v>
      </c>
      <c r="P1682" t="s">
        <v>546</v>
      </c>
      <c r="Q1682" t="s">
        <v>1757</v>
      </c>
      <c r="R1682" t="s">
        <v>2</v>
      </c>
      <c r="S1682">
        <v>42.368000000000002</v>
      </c>
      <c r="T1682">
        <v>2</v>
      </c>
      <c r="U1682">
        <v>0.2</v>
      </c>
      <c r="V1682">
        <v>8.4735999999999994</v>
      </c>
      <c r="W1682">
        <f t="shared" si="107"/>
        <v>16.947200000000002</v>
      </c>
      <c r="X1682">
        <v>5</v>
      </c>
    </row>
    <row r="1683" spans="1:24" x14ac:dyDescent="0.3">
      <c r="A1683">
        <v>1682</v>
      </c>
      <c r="B1683" t="s">
        <v>3435</v>
      </c>
      <c r="C1683" s="6">
        <v>45878</v>
      </c>
      <c r="D1683" t="str">
        <f t="shared" si="104"/>
        <v>Aug</v>
      </c>
      <c r="E1683" t="str">
        <f t="shared" si="105"/>
        <v>2025</v>
      </c>
      <c r="F1683" t="s">
        <v>4</v>
      </c>
      <c r="G1683" t="s">
        <v>122</v>
      </c>
      <c r="H1683" t="s">
        <v>1640</v>
      </c>
      <c r="I1683">
        <v>150</v>
      </c>
      <c r="J1683">
        <v>6</v>
      </c>
      <c r="K1683">
        <f t="shared" si="106"/>
        <v>4</v>
      </c>
      <c r="L1683" t="s">
        <v>1741</v>
      </c>
      <c r="M1683" t="s">
        <v>3893</v>
      </c>
      <c r="N1683" t="s">
        <v>1</v>
      </c>
      <c r="O1683">
        <v>605012</v>
      </c>
      <c r="P1683" t="s">
        <v>546</v>
      </c>
      <c r="Q1683" t="s">
        <v>1773</v>
      </c>
      <c r="S1683">
        <v>399.54</v>
      </c>
      <c r="T1683">
        <v>4</v>
      </c>
      <c r="U1683">
        <v>0.7</v>
      </c>
      <c r="V1683">
        <v>-559.35599999999999</v>
      </c>
      <c r="W1683">
        <f t="shared" si="107"/>
        <v>239.72399999999999</v>
      </c>
      <c r="X1683">
        <v>3</v>
      </c>
    </row>
    <row r="1684" spans="1:24" x14ac:dyDescent="0.3">
      <c r="A1684">
        <v>1683</v>
      </c>
      <c r="B1684" t="s">
        <v>3436</v>
      </c>
      <c r="C1684" s="6">
        <v>45879</v>
      </c>
      <c r="D1684" t="str">
        <f t="shared" si="104"/>
        <v>Aug</v>
      </c>
      <c r="E1684" t="str">
        <f t="shared" si="105"/>
        <v>2025</v>
      </c>
      <c r="F1684" t="s">
        <v>3</v>
      </c>
      <c r="G1684" t="s">
        <v>526</v>
      </c>
      <c r="H1684" t="s">
        <v>1187</v>
      </c>
      <c r="I1684">
        <v>110</v>
      </c>
      <c r="J1684">
        <v>14</v>
      </c>
      <c r="K1684">
        <f t="shared" si="106"/>
        <v>12.727272727272727</v>
      </c>
      <c r="L1684" t="s">
        <v>1736</v>
      </c>
      <c r="M1684" t="s">
        <v>3894</v>
      </c>
      <c r="N1684" t="s">
        <v>1</v>
      </c>
      <c r="O1684">
        <v>800024</v>
      </c>
      <c r="P1684" t="s">
        <v>546</v>
      </c>
      <c r="Q1684" t="s">
        <v>1770</v>
      </c>
      <c r="S1684">
        <v>18.97</v>
      </c>
      <c r="T1684">
        <v>1</v>
      </c>
      <c r="U1684">
        <v>0</v>
      </c>
      <c r="V1684">
        <v>9.1056000000000008</v>
      </c>
      <c r="W1684">
        <f t="shared" si="107"/>
        <v>9.8643999999999981</v>
      </c>
      <c r="X1684">
        <v>4</v>
      </c>
    </row>
    <row r="1685" spans="1:24" x14ac:dyDescent="0.3">
      <c r="A1685">
        <v>1684</v>
      </c>
      <c r="B1685" t="s">
        <v>3437</v>
      </c>
      <c r="C1685" s="6">
        <v>45880</v>
      </c>
      <c r="D1685" t="str">
        <f t="shared" si="104"/>
        <v>Aug</v>
      </c>
      <c r="E1685" t="str">
        <f t="shared" si="105"/>
        <v>2025</v>
      </c>
      <c r="F1685" t="s">
        <v>4</v>
      </c>
      <c r="G1685" t="s">
        <v>125</v>
      </c>
      <c r="H1685" t="s">
        <v>1174</v>
      </c>
      <c r="I1685">
        <v>170</v>
      </c>
      <c r="J1685">
        <v>6</v>
      </c>
      <c r="K1685">
        <f t="shared" si="106"/>
        <v>3.5294117647058822</v>
      </c>
      <c r="L1685" t="s">
        <v>1744</v>
      </c>
      <c r="M1685" t="s">
        <v>3895</v>
      </c>
      <c r="N1685" t="s">
        <v>1</v>
      </c>
      <c r="O1685">
        <v>226016</v>
      </c>
      <c r="P1685" t="s">
        <v>546</v>
      </c>
      <c r="Q1685" t="s">
        <v>1762</v>
      </c>
      <c r="S1685">
        <v>14.82</v>
      </c>
      <c r="T1685">
        <v>3</v>
      </c>
      <c r="U1685">
        <v>0</v>
      </c>
      <c r="V1685">
        <v>6.2244000000000002</v>
      </c>
      <c r="W1685">
        <f t="shared" si="107"/>
        <v>2.8652000000000002</v>
      </c>
      <c r="X1685">
        <v>5</v>
      </c>
    </row>
    <row r="1686" spans="1:24" x14ac:dyDescent="0.3">
      <c r="A1686">
        <v>1685</v>
      </c>
      <c r="B1686" t="s">
        <v>3438</v>
      </c>
      <c r="C1686" s="6">
        <v>45881</v>
      </c>
      <c r="D1686" t="str">
        <f t="shared" si="104"/>
        <v>Aug</v>
      </c>
      <c r="E1686" t="str">
        <f t="shared" si="105"/>
        <v>2025</v>
      </c>
      <c r="F1686" t="s">
        <v>5</v>
      </c>
      <c r="G1686" t="s">
        <v>467</v>
      </c>
      <c r="H1686" t="s">
        <v>1641</v>
      </c>
      <c r="I1686">
        <v>140</v>
      </c>
      <c r="J1686">
        <v>6</v>
      </c>
      <c r="K1686">
        <f t="shared" si="106"/>
        <v>4.2857142857142856</v>
      </c>
      <c r="L1686" t="s">
        <v>1740</v>
      </c>
      <c r="M1686" t="s">
        <v>3896</v>
      </c>
      <c r="N1686" t="s">
        <v>1</v>
      </c>
      <c r="O1686">
        <v>641005</v>
      </c>
      <c r="P1686" t="s">
        <v>546</v>
      </c>
      <c r="Q1686" t="s">
        <v>1754</v>
      </c>
      <c r="S1686">
        <v>99.28</v>
      </c>
      <c r="T1686">
        <v>2</v>
      </c>
      <c r="U1686">
        <v>0.2</v>
      </c>
      <c r="V1686">
        <v>12.41</v>
      </c>
      <c r="W1686">
        <f t="shared" si="107"/>
        <v>43.435000000000002</v>
      </c>
      <c r="X1686">
        <v>5</v>
      </c>
    </row>
    <row r="1687" spans="1:24" x14ac:dyDescent="0.3">
      <c r="A1687">
        <v>1686</v>
      </c>
      <c r="B1687" t="s">
        <v>3439</v>
      </c>
      <c r="C1687" s="6">
        <v>45882</v>
      </c>
      <c r="D1687" t="str">
        <f t="shared" si="104"/>
        <v>Aug</v>
      </c>
      <c r="E1687" t="str">
        <f t="shared" si="105"/>
        <v>2025</v>
      </c>
      <c r="F1687" t="s">
        <v>5</v>
      </c>
      <c r="G1687" t="s">
        <v>467</v>
      </c>
      <c r="H1687" t="s">
        <v>1469</v>
      </c>
      <c r="I1687">
        <v>150</v>
      </c>
      <c r="J1687">
        <v>20</v>
      </c>
      <c r="K1687">
        <f t="shared" si="106"/>
        <v>13.333333333333334</v>
      </c>
      <c r="L1687" t="s">
        <v>1742</v>
      </c>
      <c r="M1687" t="s">
        <v>3706</v>
      </c>
      <c r="N1687" t="s">
        <v>1</v>
      </c>
      <c r="O1687">
        <v>532001</v>
      </c>
      <c r="P1687" t="s">
        <v>546</v>
      </c>
      <c r="Q1687" t="s">
        <v>1759</v>
      </c>
      <c r="S1687">
        <v>1.1879999999999999</v>
      </c>
      <c r="T1687">
        <v>2</v>
      </c>
      <c r="U1687">
        <v>0.7</v>
      </c>
      <c r="V1687">
        <v>-0.99</v>
      </c>
      <c r="W1687">
        <f t="shared" si="107"/>
        <v>1.089</v>
      </c>
      <c r="X1687">
        <v>3</v>
      </c>
    </row>
    <row r="1688" spans="1:24" x14ac:dyDescent="0.3">
      <c r="A1688">
        <v>1687</v>
      </c>
      <c r="B1688" t="s">
        <v>3440</v>
      </c>
      <c r="C1688" s="6">
        <v>45883</v>
      </c>
      <c r="D1688" t="str">
        <f t="shared" si="104"/>
        <v>Aug</v>
      </c>
      <c r="E1688" t="str">
        <f t="shared" si="105"/>
        <v>2025</v>
      </c>
      <c r="F1688" t="s">
        <v>5</v>
      </c>
      <c r="G1688" t="s">
        <v>467</v>
      </c>
      <c r="H1688" t="s">
        <v>1642</v>
      </c>
      <c r="I1688">
        <v>120</v>
      </c>
      <c r="J1688">
        <v>24</v>
      </c>
      <c r="K1688">
        <f t="shared" si="106"/>
        <v>20</v>
      </c>
      <c r="L1688" t="s">
        <v>1739</v>
      </c>
      <c r="M1688" t="s">
        <v>3897</v>
      </c>
      <c r="N1688" t="s">
        <v>1</v>
      </c>
      <c r="O1688">
        <v>600116</v>
      </c>
      <c r="P1688" t="s">
        <v>546</v>
      </c>
      <c r="Q1688" t="s">
        <v>1769</v>
      </c>
      <c r="R1688" t="s">
        <v>2</v>
      </c>
      <c r="S1688">
        <v>7.5179999999999998</v>
      </c>
      <c r="T1688">
        <v>2</v>
      </c>
      <c r="U1688">
        <v>0.7</v>
      </c>
      <c r="V1688">
        <v>-5.7637999999999998</v>
      </c>
      <c r="W1688">
        <f t="shared" si="107"/>
        <v>6.6409000000000002</v>
      </c>
      <c r="X1688">
        <v>3</v>
      </c>
    </row>
    <row r="1689" spans="1:24" x14ac:dyDescent="0.3">
      <c r="A1689">
        <v>1688</v>
      </c>
      <c r="B1689" t="s">
        <v>3441</v>
      </c>
      <c r="C1689" s="6">
        <v>45884</v>
      </c>
      <c r="D1689" t="str">
        <f t="shared" si="104"/>
        <v>Aug</v>
      </c>
      <c r="E1689" t="str">
        <f t="shared" si="105"/>
        <v>2025</v>
      </c>
      <c r="F1689" t="s">
        <v>5</v>
      </c>
      <c r="G1689" t="s">
        <v>504</v>
      </c>
      <c r="H1689" t="s">
        <v>1286</v>
      </c>
      <c r="I1689">
        <v>240</v>
      </c>
      <c r="J1689">
        <v>12</v>
      </c>
      <c r="K1689">
        <f t="shared" si="106"/>
        <v>5</v>
      </c>
      <c r="L1689" t="s">
        <v>1738</v>
      </c>
      <c r="M1689" t="s">
        <v>3786</v>
      </c>
      <c r="N1689" t="s">
        <v>1</v>
      </c>
      <c r="O1689">
        <v>751024</v>
      </c>
      <c r="P1689" t="s">
        <v>546</v>
      </c>
      <c r="Q1689" t="s">
        <v>1759</v>
      </c>
      <c r="S1689">
        <v>10.368</v>
      </c>
      <c r="T1689">
        <v>2</v>
      </c>
      <c r="U1689">
        <v>0.2</v>
      </c>
      <c r="V1689">
        <v>3.6288</v>
      </c>
      <c r="W1689">
        <f t="shared" si="107"/>
        <v>3.3696000000000002</v>
      </c>
      <c r="X1689">
        <v>4</v>
      </c>
    </row>
    <row r="1690" spans="1:24" x14ac:dyDescent="0.3">
      <c r="A1690">
        <v>1689</v>
      </c>
      <c r="B1690" t="s">
        <v>3442</v>
      </c>
      <c r="C1690" s="6">
        <v>45885</v>
      </c>
      <c r="D1690" t="str">
        <f t="shared" si="104"/>
        <v>Aug</v>
      </c>
      <c r="E1690" t="str">
        <f t="shared" si="105"/>
        <v>2025</v>
      </c>
      <c r="F1690" t="s">
        <v>5</v>
      </c>
      <c r="G1690" t="s">
        <v>504</v>
      </c>
      <c r="H1690" t="s">
        <v>1169</v>
      </c>
      <c r="I1690">
        <v>210</v>
      </c>
      <c r="J1690">
        <v>12</v>
      </c>
      <c r="K1690">
        <f t="shared" si="106"/>
        <v>5.7142857142857144</v>
      </c>
      <c r="L1690" t="s">
        <v>1737</v>
      </c>
      <c r="M1690" t="s">
        <v>3898</v>
      </c>
      <c r="N1690" t="s">
        <v>1</v>
      </c>
      <c r="O1690">
        <v>683594</v>
      </c>
      <c r="P1690" t="s">
        <v>546</v>
      </c>
      <c r="Q1690" t="s">
        <v>1766</v>
      </c>
      <c r="S1690">
        <v>310.88</v>
      </c>
      <c r="T1690">
        <v>2</v>
      </c>
      <c r="U1690">
        <v>0.2</v>
      </c>
      <c r="V1690">
        <v>23.315999999999999</v>
      </c>
      <c r="W1690">
        <f t="shared" si="107"/>
        <v>143.78200000000001</v>
      </c>
      <c r="X1690">
        <v>5</v>
      </c>
    </row>
    <row r="1691" spans="1:24" x14ac:dyDescent="0.3">
      <c r="A1691">
        <v>1690</v>
      </c>
      <c r="B1691" t="s">
        <v>3443</v>
      </c>
      <c r="C1691" s="6">
        <v>45886</v>
      </c>
      <c r="D1691" t="str">
        <f t="shared" si="104"/>
        <v>Aug</v>
      </c>
      <c r="E1691" t="str">
        <f t="shared" si="105"/>
        <v>2025</v>
      </c>
      <c r="F1691" t="s">
        <v>4</v>
      </c>
      <c r="G1691" t="s">
        <v>66</v>
      </c>
      <c r="H1691" t="s">
        <v>557</v>
      </c>
      <c r="I1691">
        <v>190</v>
      </c>
      <c r="J1691">
        <v>6</v>
      </c>
      <c r="K1691">
        <f t="shared" si="106"/>
        <v>3.1578947368421053</v>
      </c>
      <c r="L1691" t="s">
        <v>1743</v>
      </c>
      <c r="M1691" t="s">
        <v>3899</v>
      </c>
      <c r="O1691">
        <v>422207</v>
      </c>
      <c r="P1691" t="s">
        <v>546</v>
      </c>
      <c r="Q1691" t="s">
        <v>1769</v>
      </c>
      <c r="S1691">
        <v>853.09199999999998</v>
      </c>
      <c r="T1691">
        <v>6</v>
      </c>
      <c r="U1691">
        <v>0.4</v>
      </c>
      <c r="V1691">
        <v>-227.49119999999999</v>
      </c>
      <c r="W1691">
        <f t="shared" si="107"/>
        <v>180.09720000000002</v>
      </c>
      <c r="X1691">
        <v>1</v>
      </c>
    </row>
    <row r="1692" spans="1:24" x14ac:dyDescent="0.3">
      <c r="A1692">
        <v>1691</v>
      </c>
      <c r="B1692" t="s">
        <v>3444</v>
      </c>
      <c r="C1692" s="6">
        <v>45887</v>
      </c>
      <c r="D1692" t="str">
        <f t="shared" si="104"/>
        <v>Aug</v>
      </c>
      <c r="E1692" t="str">
        <f t="shared" si="105"/>
        <v>2025</v>
      </c>
      <c r="F1692" t="s">
        <v>4</v>
      </c>
      <c r="G1692" t="s">
        <v>527</v>
      </c>
      <c r="H1692" t="s">
        <v>1617</v>
      </c>
      <c r="I1692">
        <v>220</v>
      </c>
      <c r="J1692">
        <v>26</v>
      </c>
      <c r="K1692">
        <f t="shared" si="106"/>
        <v>11.818181818181818</v>
      </c>
      <c r="L1692" t="s">
        <v>1738</v>
      </c>
      <c r="M1692" t="s">
        <v>3788</v>
      </c>
      <c r="N1692" t="s">
        <v>1</v>
      </c>
      <c r="O1692">
        <v>854318</v>
      </c>
      <c r="P1692" t="s">
        <v>546</v>
      </c>
      <c r="Q1692" t="s">
        <v>1769</v>
      </c>
      <c r="S1692">
        <v>33.450000000000003</v>
      </c>
      <c r="T1692">
        <v>5</v>
      </c>
      <c r="U1692">
        <v>0</v>
      </c>
      <c r="V1692">
        <v>15.387</v>
      </c>
      <c r="W1692">
        <f t="shared" si="107"/>
        <v>3.6126000000000005</v>
      </c>
      <c r="X1692">
        <v>4</v>
      </c>
    </row>
    <row r="1693" spans="1:24" x14ac:dyDescent="0.3">
      <c r="A1693">
        <v>1692</v>
      </c>
      <c r="B1693" t="s">
        <v>3445</v>
      </c>
      <c r="C1693" s="6">
        <v>45888</v>
      </c>
      <c r="D1693" t="str">
        <f t="shared" si="104"/>
        <v>Aug</v>
      </c>
      <c r="E1693" t="str">
        <f t="shared" si="105"/>
        <v>2025</v>
      </c>
      <c r="F1693" t="s">
        <v>4</v>
      </c>
      <c r="G1693" t="s">
        <v>527</v>
      </c>
      <c r="H1693" t="s">
        <v>620</v>
      </c>
      <c r="I1693">
        <v>240</v>
      </c>
      <c r="J1693">
        <v>20</v>
      </c>
      <c r="K1693">
        <f t="shared" si="106"/>
        <v>8.3333333333333321</v>
      </c>
      <c r="L1693" t="s">
        <v>1739</v>
      </c>
      <c r="M1693" t="s">
        <v>3900</v>
      </c>
      <c r="N1693" t="s">
        <v>1</v>
      </c>
      <c r="O1693">
        <v>560037</v>
      </c>
      <c r="P1693" t="s">
        <v>546</v>
      </c>
      <c r="Q1693" t="s">
        <v>1768</v>
      </c>
      <c r="R1693" t="s">
        <v>2</v>
      </c>
      <c r="S1693">
        <v>10.4</v>
      </c>
      <c r="T1693">
        <v>5</v>
      </c>
      <c r="U1693">
        <v>0</v>
      </c>
      <c r="V1693">
        <v>5.0960000000000001</v>
      </c>
      <c r="W1693">
        <f t="shared" si="107"/>
        <v>1.0608</v>
      </c>
      <c r="X1693">
        <v>3</v>
      </c>
    </row>
    <row r="1694" spans="1:24" x14ac:dyDescent="0.3">
      <c r="A1694">
        <v>1693</v>
      </c>
      <c r="B1694" t="s">
        <v>3446</v>
      </c>
      <c r="C1694" s="6">
        <v>45889</v>
      </c>
      <c r="D1694" t="str">
        <f t="shared" si="104"/>
        <v>Aug</v>
      </c>
      <c r="E1694" t="str">
        <f t="shared" si="105"/>
        <v>2025</v>
      </c>
      <c r="F1694" t="s">
        <v>4</v>
      </c>
      <c r="G1694" t="s">
        <v>528</v>
      </c>
      <c r="H1694" t="s">
        <v>1040</v>
      </c>
      <c r="I1694">
        <v>250</v>
      </c>
      <c r="J1694">
        <v>16</v>
      </c>
      <c r="K1694">
        <f t="shared" si="106"/>
        <v>6.4</v>
      </c>
      <c r="L1694" t="s">
        <v>1741</v>
      </c>
      <c r="M1694" t="s">
        <v>3901</v>
      </c>
      <c r="O1694">
        <v>502285</v>
      </c>
      <c r="P1694" t="s">
        <v>546</v>
      </c>
      <c r="Q1694" t="s">
        <v>1772</v>
      </c>
      <c r="S1694">
        <v>21.88</v>
      </c>
      <c r="T1694">
        <v>5</v>
      </c>
      <c r="U1694">
        <v>0.2</v>
      </c>
      <c r="V1694">
        <v>6.2904999999999998</v>
      </c>
      <c r="W1694">
        <f t="shared" si="107"/>
        <v>3.1178999999999997</v>
      </c>
      <c r="X1694">
        <v>1</v>
      </c>
    </row>
    <row r="1695" spans="1:24" x14ac:dyDescent="0.3">
      <c r="A1695">
        <v>1694</v>
      </c>
      <c r="B1695" t="s">
        <v>3447</v>
      </c>
      <c r="C1695" s="6">
        <v>45890</v>
      </c>
      <c r="D1695" t="str">
        <f t="shared" si="104"/>
        <v>Aug</v>
      </c>
      <c r="E1695" t="str">
        <f t="shared" si="105"/>
        <v>2025</v>
      </c>
      <c r="F1695" t="s">
        <v>3</v>
      </c>
      <c r="G1695" t="s">
        <v>444</v>
      </c>
      <c r="H1695" t="s">
        <v>1643</v>
      </c>
      <c r="I1695">
        <v>210</v>
      </c>
      <c r="J1695">
        <v>24</v>
      </c>
      <c r="K1695">
        <f t="shared" si="106"/>
        <v>11.428571428571429</v>
      </c>
      <c r="L1695" t="s">
        <v>1736</v>
      </c>
      <c r="M1695" t="s">
        <v>3902</v>
      </c>
      <c r="N1695" t="s">
        <v>1</v>
      </c>
      <c r="O1695">
        <v>560035</v>
      </c>
      <c r="P1695" t="s">
        <v>546</v>
      </c>
      <c r="Q1695" t="s">
        <v>1776</v>
      </c>
      <c r="S1695">
        <v>13.616</v>
      </c>
      <c r="T1695">
        <v>2</v>
      </c>
      <c r="U1695">
        <v>0.2</v>
      </c>
      <c r="V1695">
        <v>3.5741999999999998</v>
      </c>
      <c r="W1695">
        <f t="shared" si="107"/>
        <v>5.0209000000000001</v>
      </c>
      <c r="X1695">
        <v>2</v>
      </c>
    </row>
    <row r="1696" spans="1:24" x14ac:dyDescent="0.3">
      <c r="A1696">
        <v>1695</v>
      </c>
      <c r="B1696" t="s">
        <v>3448</v>
      </c>
      <c r="C1696" s="6">
        <v>45891</v>
      </c>
      <c r="D1696" t="str">
        <f t="shared" si="104"/>
        <v>Aug</v>
      </c>
      <c r="E1696" t="str">
        <f t="shared" si="105"/>
        <v>2025</v>
      </c>
      <c r="F1696" t="s">
        <v>3</v>
      </c>
      <c r="G1696" t="s">
        <v>292</v>
      </c>
      <c r="H1696" t="s">
        <v>1644</v>
      </c>
      <c r="I1696">
        <v>230</v>
      </c>
      <c r="J1696">
        <v>6</v>
      </c>
      <c r="K1696">
        <f t="shared" si="106"/>
        <v>2.6086956521739131</v>
      </c>
      <c r="L1696" t="s">
        <v>1744</v>
      </c>
      <c r="M1696" t="s">
        <v>3903</v>
      </c>
      <c r="N1696" t="s">
        <v>1</v>
      </c>
      <c r="O1696">
        <v>560043</v>
      </c>
      <c r="P1696" t="s">
        <v>546</v>
      </c>
      <c r="Q1696" t="s">
        <v>1761</v>
      </c>
      <c r="S1696">
        <v>63.96</v>
      </c>
      <c r="T1696">
        <v>4</v>
      </c>
      <c r="U1696">
        <v>0</v>
      </c>
      <c r="V1696">
        <v>19.8276</v>
      </c>
      <c r="W1696">
        <f t="shared" si="107"/>
        <v>11.033100000000001</v>
      </c>
      <c r="X1696">
        <v>1</v>
      </c>
    </row>
    <row r="1697" spans="1:24" x14ac:dyDescent="0.3">
      <c r="A1697">
        <v>1696</v>
      </c>
      <c r="B1697" t="s">
        <v>3449</v>
      </c>
      <c r="C1697" s="6">
        <v>45892</v>
      </c>
      <c r="D1697" t="str">
        <f t="shared" si="104"/>
        <v>Aug</v>
      </c>
      <c r="E1697" t="str">
        <f t="shared" si="105"/>
        <v>2025</v>
      </c>
      <c r="F1697" t="s">
        <v>3</v>
      </c>
      <c r="G1697" t="s">
        <v>292</v>
      </c>
      <c r="H1697" t="s">
        <v>855</v>
      </c>
      <c r="I1697">
        <v>110</v>
      </c>
      <c r="J1697">
        <v>26</v>
      </c>
      <c r="K1697">
        <f t="shared" si="106"/>
        <v>23.636363636363637</v>
      </c>
      <c r="L1697" t="s">
        <v>1740</v>
      </c>
      <c r="M1697" t="s">
        <v>3904</v>
      </c>
      <c r="N1697" t="s">
        <v>1</v>
      </c>
      <c r="O1697">
        <v>393001</v>
      </c>
      <c r="P1697" t="s">
        <v>546</v>
      </c>
      <c r="Q1697" t="s">
        <v>1776</v>
      </c>
      <c r="S1697">
        <v>14.46</v>
      </c>
      <c r="T1697">
        <v>3</v>
      </c>
      <c r="U1697">
        <v>0</v>
      </c>
      <c r="V1697">
        <v>7.0853999999999999</v>
      </c>
      <c r="W1697">
        <f t="shared" si="107"/>
        <v>2.4582000000000002</v>
      </c>
      <c r="X1697">
        <v>4</v>
      </c>
    </row>
    <row r="1698" spans="1:24" x14ac:dyDescent="0.3">
      <c r="A1698">
        <v>1697</v>
      </c>
      <c r="B1698" t="s">
        <v>3450</v>
      </c>
      <c r="C1698" s="6">
        <v>45893</v>
      </c>
      <c r="D1698" t="str">
        <f t="shared" si="104"/>
        <v>Aug</v>
      </c>
      <c r="E1698" t="str">
        <f t="shared" si="105"/>
        <v>2025</v>
      </c>
      <c r="F1698" t="s">
        <v>3</v>
      </c>
      <c r="G1698" t="s">
        <v>292</v>
      </c>
      <c r="H1698" t="s">
        <v>613</v>
      </c>
      <c r="I1698">
        <v>250</v>
      </c>
      <c r="J1698">
        <v>12</v>
      </c>
      <c r="K1698">
        <f t="shared" si="106"/>
        <v>4.8</v>
      </c>
      <c r="L1698" t="s">
        <v>1742</v>
      </c>
      <c r="M1698" t="s">
        <v>3647</v>
      </c>
      <c r="N1698" t="s">
        <v>1</v>
      </c>
      <c r="O1698">
        <v>713206</v>
      </c>
      <c r="P1698" t="s">
        <v>546</v>
      </c>
      <c r="Q1698" t="s">
        <v>1771</v>
      </c>
      <c r="S1698">
        <v>104.98</v>
      </c>
      <c r="T1698">
        <v>2</v>
      </c>
      <c r="U1698">
        <v>0</v>
      </c>
      <c r="V1698">
        <v>52.49</v>
      </c>
      <c r="W1698">
        <f t="shared" si="107"/>
        <v>26.245000000000001</v>
      </c>
      <c r="X1698">
        <v>2</v>
      </c>
    </row>
    <row r="1699" spans="1:24" x14ac:dyDescent="0.3">
      <c r="A1699">
        <v>1698</v>
      </c>
      <c r="B1699" t="s">
        <v>3451</v>
      </c>
      <c r="C1699" s="6">
        <v>45894</v>
      </c>
      <c r="D1699" t="str">
        <f t="shared" si="104"/>
        <v>Aug</v>
      </c>
      <c r="E1699" t="str">
        <f t="shared" si="105"/>
        <v>2025</v>
      </c>
      <c r="F1699" t="s">
        <v>4</v>
      </c>
      <c r="G1699" t="s">
        <v>158</v>
      </c>
      <c r="H1699" t="s">
        <v>1197</v>
      </c>
      <c r="I1699">
        <v>120</v>
      </c>
      <c r="J1699">
        <v>18</v>
      </c>
      <c r="K1699">
        <f t="shared" si="106"/>
        <v>15</v>
      </c>
      <c r="L1699" t="s">
        <v>1739</v>
      </c>
      <c r="M1699" t="s">
        <v>3905</v>
      </c>
      <c r="N1699" t="s">
        <v>1</v>
      </c>
      <c r="O1699">
        <v>713206</v>
      </c>
      <c r="P1699" t="s">
        <v>546</v>
      </c>
      <c r="Q1699" t="s">
        <v>1767</v>
      </c>
      <c r="R1699" t="s">
        <v>2</v>
      </c>
      <c r="S1699">
        <v>106.96</v>
      </c>
      <c r="T1699">
        <v>2</v>
      </c>
      <c r="U1699">
        <v>0</v>
      </c>
      <c r="V1699">
        <v>31.0184</v>
      </c>
      <c r="W1699">
        <f t="shared" si="107"/>
        <v>37.970799999999997</v>
      </c>
      <c r="X1699">
        <v>5</v>
      </c>
    </row>
    <row r="1700" spans="1:24" x14ac:dyDescent="0.3">
      <c r="A1700">
        <v>1699</v>
      </c>
      <c r="B1700" t="s">
        <v>3452</v>
      </c>
      <c r="C1700" s="6">
        <v>45895</v>
      </c>
      <c r="D1700" t="str">
        <f t="shared" si="104"/>
        <v>Aug</v>
      </c>
      <c r="E1700" t="str">
        <f t="shared" si="105"/>
        <v>2025</v>
      </c>
      <c r="F1700" t="s">
        <v>4</v>
      </c>
      <c r="G1700" t="s">
        <v>158</v>
      </c>
      <c r="H1700" t="s">
        <v>1645</v>
      </c>
      <c r="I1700">
        <v>210</v>
      </c>
      <c r="J1700">
        <v>8</v>
      </c>
      <c r="K1700">
        <f t="shared" si="106"/>
        <v>3.8095238095238098</v>
      </c>
      <c r="L1700" t="s">
        <v>1738</v>
      </c>
      <c r="M1700" t="s">
        <v>3778</v>
      </c>
      <c r="N1700" t="s">
        <v>1</v>
      </c>
      <c r="O1700">
        <v>500026</v>
      </c>
      <c r="P1700" t="s">
        <v>546</v>
      </c>
      <c r="Q1700" t="s">
        <v>1773</v>
      </c>
      <c r="S1700">
        <v>21.56</v>
      </c>
      <c r="T1700">
        <v>7</v>
      </c>
      <c r="U1700">
        <v>0</v>
      </c>
      <c r="V1700">
        <v>10.348800000000001</v>
      </c>
      <c r="W1700">
        <f t="shared" si="107"/>
        <v>1.6015999999999997</v>
      </c>
      <c r="X1700">
        <v>1</v>
      </c>
    </row>
    <row r="1701" spans="1:24" x14ac:dyDescent="0.3">
      <c r="A1701">
        <v>1700</v>
      </c>
      <c r="B1701" t="s">
        <v>3453</v>
      </c>
      <c r="C1701" s="6">
        <v>45896</v>
      </c>
      <c r="D1701" t="str">
        <f t="shared" si="104"/>
        <v>Aug</v>
      </c>
      <c r="E1701" t="str">
        <f t="shared" si="105"/>
        <v>2025</v>
      </c>
      <c r="F1701" t="s">
        <v>3</v>
      </c>
      <c r="G1701" t="s">
        <v>63</v>
      </c>
      <c r="H1701" t="s">
        <v>1385</v>
      </c>
      <c r="I1701">
        <v>200</v>
      </c>
      <c r="J1701">
        <v>22</v>
      </c>
      <c r="K1701">
        <f t="shared" si="106"/>
        <v>11</v>
      </c>
      <c r="L1701" t="s">
        <v>1743</v>
      </c>
      <c r="M1701" t="s">
        <v>3906</v>
      </c>
      <c r="N1701" t="s">
        <v>1</v>
      </c>
      <c r="O1701">
        <v>500026</v>
      </c>
      <c r="P1701" t="s">
        <v>546</v>
      </c>
      <c r="Q1701" t="s">
        <v>1761</v>
      </c>
      <c r="S1701">
        <v>515.88</v>
      </c>
      <c r="T1701">
        <v>6</v>
      </c>
      <c r="U1701">
        <v>0</v>
      </c>
      <c r="V1701">
        <v>113.4936</v>
      </c>
      <c r="W1701">
        <f t="shared" si="107"/>
        <v>67.064399999999992</v>
      </c>
      <c r="X1701">
        <v>1</v>
      </c>
    </row>
    <row r="1702" spans="1:24" x14ac:dyDescent="0.3">
      <c r="A1702">
        <v>1701</v>
      </c>
      <c r="B1702" t="s">
        <v>3454</v>
      </c>
      <c r="C1702" s="6">
        <v>45897</v>
      </c>
      <c r="D1702" t="str">
        <f t="shared" si="104"/>
        <v>Aug</v>
      </c>
      <c r="E1702" t="str">
        <f t="shared" si="105"/>
        <v>2025</v>
      </c>
      <c r="F1702" t="s">
        <v>3</v>
      </c>
      <c r="G1702" t="s">
        <v>451</v>
      </c>
      <c r="H1702" t="s">
        <v>1324</v>
      </c>
      <c r="I1702">
        <v>150</v>
      </c>
      <c r="J1702">
        <v>22</v>
      </c>
      <c r="K1702">
        <f t="shared" si="106"/>
        <v>14.666666666666666</v>
      </c>
      <c r="L1702" t="s">
        <v>1737</v>
      </c>
      <c r="M1702" t="s">
        <v>3907</v>
      </c>
      <c r="N1702" t="s">
        <v>1</v>
      </c>
      <c r="O1702">
        <v>841438</v>
      </c>
      <c r="P1702" t="s">
        <v>546</v>
      </c>
      <c r="Q1702" t="s">
        <v>1765</v>
      </c>
      <c r="S1702">
        <v>11.808</v>
      </c>
      <c r="T1702">
        <v>2</v>
      </c>
      <c r="U1702">
        <v>0.2</v>
      </c>
      <c r="V1702">
        <v>4.2804000000000002</v>
      </c>
      <c r="W1702">
        <f t="shared" si="107"/>
        <v>3.7637999999999998</v>
      </c>
      <c r="X1702">
        <v>4</v>
      </c>
    </row>
    <row r="1703" spans="1:24" x14ac:dyDescent="0.3">
      <c r="A1703">
        <v>1702</v>
      </c>
      <c r="B1703" t="s">
        <v>3455</v>
      </c>
      <c r="C1703" s="6">
        <v>45898</v>
      </c>
      <c r="D1703" t="str">
        <f t="shared" si="104"/>
        <v>Aug</v>
      </c>
      <c r="E1703" t="str">
        <f t="shared" si="105"/>
        <v>2025</v>
      </c>
      <c r="F1703" t="s">
        <v>3</v>
      </c>
      <c r="G1703" t="s">
        <v>451</v>
      </c>
      <c r="H1703" t="s">
        <v>1014</v>
      </c>
      <c r="I1703">
        <v>110</v>
      </c>
      <c r="J1703">
        <v>16</v>
      </c>
      <c r="K1703">
        <f t="shared" si="106"/>
        <v>14.545454545454545</v>
      </c>
      <c r="L1703" t="s">
        <v>1741</v>
      </c>
      <c r="M1703" t="s">
        <v>3908</v>
      </c>
      <c r="N1703" t="s">
        <v>1</v>
      </c>
      <c r="O1703">
        <v>689121</v>
      </c>
      <c r="P1703" t="s">
        <v>546</v>
      </c>
      <c r="Q1703" t="s">
        <v>1776</v>
      </c>
      <c r="R1703" t="s">
        <v>2</v>
      </c>
      <c r="S1703">
        <v>1931.04</v>
      </c>
      <c r="T1703">
        <v>9</v>
      </c>
      <c r="U1703">
        <v>0.1</v>
      </c>
      <c r="V1703">
        <v>321.83999999999997</v>
      </c>
      <c r="W1703">
        <f t="shared" si="107"/>
        <v>178.8</v>
      </c>
      <c r="X1703">
        <v>5</v>
      </c>
    </row>
    <row r="1704" spans="1:24" x14ac:dyDescent="0.3">
      <c r="A1704">
        <v>1703</v>
      </c>
      <c r="B1704" t="s">
        <v>3456</v>
      </c>
      <c r="C1704" s="6">
        <v>45899</v>
      </c>
      <c r="D1704" t="str">
        <f t="shared" si="104"/>
        <v>Aug</v>
      </c>
      <c r="E1704" t="str">
        <f t="shared" si="105"/>
        <v>2025</v>
      </c>
      <c r="F1704" t="s">
        <v>3</v>
      </c>
      <c r="G1704" t="s">
        <v>451</v>
      </c>
      <c r="H1704" t="s">
        <v>1358</v>
      </c>
      <c r="I1704">
        <v>130</v>
      </c>
      <c r="J1704">
        <v>26</v>
      </c>
      <c r="K1704">
        <f t="shared" si="106"/>
        <v>20</v>
      </c>
      <c r="L1704" t="s">
        <v>1736</v>
      </c>
      <c r="M1704" t="s">
        <v>3909</v>
      </c>
      <c r="N1704" t="s">
        <v>1</v>
      </c>
      <c r="O1704">
        <v>670672</v>
      </c>
      <c r="P1704" t="s">
        <v>546</v>
      </c>
      <c r="Q1704" t="s">
        <v>1756</v>
      </c>
      <c r="S1704">
        <v>9.9600000000000009</v>
      </c>
      <c r="T1704">
        <v>2</v>
      </c>
      <c r="U1704">
        <v>0</v>
      </c>
      <c r="V1704">
        <v>4.6811999999999996</v>
      </c>
      <c r="W1704">
        <f t="shared" si="107"/>
        <v>2.6394000000000006</v>
      </c>
      <c r="X1704">
        <v>3</v>
      </c>
    </row>
    <row r="1705" spans="1:24" x14ac:dyDescent="0.3">
      <c r="A1705">
        <v>1704</v>
      </c>
      <c r="B1705" t="s">
        <v>3457</v>
      </c>
      <c r="C1705" s="6">
        <v>45900</v>
      </c>
      <c r="D1705" t="str">
        <f t="shared" si="104"/>
        <v>Aug</v>
      </c>
      <c r="E1705" t="str">
        <f t="shared" si="105"/>
        <v>2025</v>
      </c>
      <c r="F1705" t="s">
        <v>4</v>
      </c>
      <c r="G1705" t="s">
        <v>529</v>
      </c>
      <c r="H1705" t="s">
        <v>1646</v>
      </c>
      <c r="I1705">
        <v>150</v>
      </c>
      <c r="J1705">
        <v>20</v>
      </c>
      <c r="K1705">
        <f t="shared" si="106"/>
        <v>13.333333333333334</v>
      </c>
      <c r="L1705" t="s">
        <v>1744</v>
      </c>
      <c r="M1705" t="s">
        <v>3585</v>
      </c>
      <c r="N1705" t="s">
        <v>1</v>
      </c>
      <c r="O1705">
        <v>670672</v>
      </c>
      <c r="P1705" t="s">
        <v>546</v>
      </c>
      <c r="Q1705" t="s">
        <v>1764</v>
      </c>
      <c r="S1705">
        <v>12.35</v>
      </c>
      <c r="T1705">
        <v>5</v>
      </c>
      <c r="U1705">
        <v>0</v>
      </c>
      <c r="V1705">
        <v>5.8045</v>
      </c>
      <c r="W1705">
        <f t="shared" si="107"/>
        <v>1.3090999999999999</v>
      </c>
      <c r="X1705">
        <v>4</v>
      </c>
    </row>
    <row r="1706" spans="1:24" x14ac:dyDescent="0.3">
      <c r="A1706">
        <v>1705</v>
      </c>
      <c r="B1706" t="s">
        <v>3458</v>
      </c>
      <c r="C1706" s="6">
        <v>45901</v>
      </c>
      <c r="D1706" t="str">
        <f t="shared" si="104"/>
        <v>Sep</v>
      </c>
      <c r="E1706" t="str">
        <f t="shared" si="105"/>
        <v>2025</v>
      </c>
      <c r="F1706" t="s">
        <v>6</v>
      </c>
      <c r="G1706" t="s">
        <v>317</v>
      </c>
      <c r="H1706" t="s">
        <v>1375</v>
      </c>
      <c r="I1706">
        <v>210</v>
      </c>
      <c r="J1706">
        <v>14</v>
      </c>
      <c r="K1706">
        <f t="shared" si="106"/>
        <v>6.666666666666667</v>
      </c>
      <c r="L1706" t="s">
        <v>1740</v>
      </c>
      <c r="M1706" t="s">
        <v>3733</v>
      </c>
      <c r="N1706" t="s">
        <v>1</v>
      </c>
      <c r="O1706">
        <v>421503</v>
      </c>
      <c r="P1706" t="s">
        <v>546</v>
      </c>
      <c r="Q1706" t="s">
        <v>1761</v>
      </c>
      <c r="S1706">
        <v>9.702</v>
      </c>
      <c r="T1706">
        <v>3</v>
      </c>
      <c r="U1706">
        <v>0.7</v>
      </c>
      <c r="V1706">
        <v>-7.1147999999999998</v>
      </c>
      <c r="W1706">
        <f t="shared" si="107"/>
        <v>5.6055999999999999</v>
      </c>
      <c r="X1706">
        <v>5</v>
      </c>
    </row>
    <row r="1707" spans="1:24" x14ac:dyDescent="0.3">
      <c r="A1707">
        <v>1706</v>
      </c>
      <c r="B1707" t="s">
        <v>3459</v>
      </c>
      <c r="C1707" s="6">
        <v>45902</v>
      </c>
      <c r="D1707" t="str">
        <f t="shared" si="104"/>
        <v>Sep</v>
      </c>
      <c r="E1707" t="str">
        <f t="shared" si="105"/>
        <v>2025</v>
      </c>
      <c r="F1707" t="s">
        <v>4</v>
      </c>
      <c r="G1707" t="s">
        <v>12</v>
      </c>
      <c r="H1707" t="s">
        <v>1159</v>
      </c>
      <c r="I1707">
        <v>240</v>
      </c>
      <c r="J1707">
        <v>8</v>
      </c>
      <c r="K1707">
        <f t="shared" si="106"/>
        <v>3.3333333333333335</v>
      </c>
      <c r="L1707" t="s">
        <v>1742</v>
      </c>
      <c r="M1707" t="s">
        <v>3910</v>
      </c>
      <c r="N1707" t="s">
        <v>1</v>
      </c>
      <c r="O1707">
        <v>560048</v>
      </c>
      <c r="P1707" t="s">
        <v>546</v>
      </c>
      <c r="Q1707" t="s">
        <v>1770</v>
      </c>
      <c r="R1707" t="s">
        <v>2</v>
      </c>
      <c r="S1707">
        <v>11.61</v>
      </c>
      <c r="T1707">
        <v>2</v>
      </c>
      <c r="U1707">
        <v>0.7</v>
      </c>
      <c r="V1707">
        <v>-9.2880000000000003</v>
      </c>
      <c r="W1707">
        <f t="shared" si="107"/>
        <v>10.449</v>
      </c>
      <c r="X1707">
        <v>5</v>
      </c>
    </row>
    <row r="1708" spans="1:24" x14ac:dyDescent="0.3">
      <c r="A1708">
        <v>1707</v>
      </c>
      <c r="B1708" t="s">
        <v>3460</v>
      </c>
      <c r="C1708" s="6">
        <v>45903</v>
      </c>
      <c r="D1708" t="str">
        <f t="shared" si="104"/>
        <v>Sep</v>
      </c>
      <c r="E1708" t="str">
        <f t="shared" si="105"/>
        <v>2025</v>
      </c>
      <c r="F1708" t="s">
        <v>4</v>
      </c>
      <c r="G1708" t="s">
        <v>530</v>
      </c>
      <c r="H1708" t="s">
        <v>1647</v>
      </c>
      <c r="I1708">
        <v>170</v>
      </c>
      <c r="J1708">
        <v>10</v>
      </c>
      <c r="K1708">
        <f t="shared" si="106"/>
        <v>5.8823529411764701</v>
      </c>
      <c r="L1708" t="s">
        <v>1739</v>
      </c>
      <c r="M1708" t="s">
        <v>3657</v>
      </c>
      <c r="N1708" t="s">
        <v>1</v>
      </c>
      <c r="O1708">
        <v>276128</v>
      </c>
      <c r="P1708" t="s">
        <v>546</v>
      </c>
      <c r="Q1708" t="s">
        <v>1756</v>
      </c>
      <c r="S1708">
        <v>43.86</v>
      </c>
      <c r="T1708">
        <v>6</v>
      </c>
      <c r="U1708">
        <v>0</v>
      </c>
      <c r="V1708">
        <v>20.6142</v>
      </c>
      <c r="W1708">
        <f t="shared" si="107"/>
        <v>3.8742999999999999</v>
      </c>
      <c r="X1708">
        <v>4</v>
      </c>
    </row>
    <row r="1709" spans="1:24" x14ac:dyDescent="0.3">
      <c r="A1709">
        <v>1708</v>
      </c>
      <c r="B1709" t="s">
        <v>3461</v>
      </c>
      <c r="C1709" s="6">
        <v>45904</v>
      </c>
      <c r="D1709" t="str">
        <f t="shared" si="104"/>
        <v>Sep</v>
      </c>
      <c r="E1709" t="str">
        <f t="shared" si="105"/>
        <v>2025</v>
      </c>
      <c r="F1709" t="s">
        <v>4</v>
      </c>
      <c r="G1709" t="s">
        <v>530</v>
      </c>
      <c r="H1709" t="s">
        <v>1465</v>
      </c>
      <c r="I1709">
        <v>120</v>
      </c>
      <c r="J1709">
        <v>14</v>
      </c>
      <c r="K1709">
        <f t="shared" si="106"/>
        <v>11.666666666666666</v>
      </c>
      <c r="L1709" t="s">
        <v>1738</v>
      </c>
      <c r="M1709" t="s">
        <v>3817</v>
      </c>
      <c r="N1709" t="s">
        <v>1</v>
      </c>
      <c r="O1709">
        <v>560068</v>
      </c>
      <c r="P1709" t="s">
        <v>546</v>
      </c>
      <c r="Q1709" t="s">
        <v>1757</v>
      </c>
      <c r="S1709">
        <v>148.47999999999999</v>
      </c>
      <c r="T1709">
        <v>2</v>
      </c>
      <c r="U1709">
        <v>0.2</v>
      </c>
      <c r="V1709">
        <v>16.704000000000001</v>
      </c>
      <c r="W1709">
        <f t="shared" si="107"/>
        <v>65.887999999999991</v>
      </c>
      <c r="X1709">
        <v>3</v>
      </c>
    </row>
    <row r="1710" spans="1:24" x14ac:dyDescent="0.3">
      <c r="A1710">
        <v>1709</v>
      </c>
      <c r="B1710" t="s">
        <v>3462</v>
      </c>
      <c r="C1710" s="6">
        <v>45905</v>
      </c>
      <c r="D1710" t="str">
        <f t="shared" si="104"/>
        <v>Sep</v>
      </c>
      <c r="E1710" t="str">
        <f t="shared" si="105"/>
        <v>2025</v>
      </c>
      <c r="F1710" t="s">
        <v>4</v>
      </c>
      <c r="G1710" t="s">
        <v>530</v>
      </c>
      <c r="H1710" t="s">
        <v>1648</v>
      </c>
      <c r="I1710">
        <v>230</v>
      </c>
      <c r="J1710">
        <v>10</v>
      </c>
      <c r="K1710">
        <f t="shared" si="106"/>
        <v>4.3478260869565215</v>
      </c>
      <c r="L1710" t="s">
        <v>1737</v>
      </c>
      <c r="M1710" t="s">
        <v>3911</v>
      </c>
      <c r="N1710" t="s">
        <v>1</v>
      </c>
      <c r="O1710">
        <v>476337</v>
      </c>
      <c r="P1710" t="s">
        <v>546</v>
      </c>
      <c r="Q1710" t="s">
        <v>1772</v>
      </c>
      <c r="S1710">
        <v>7.42</v>
      </c>
      <c r="T1710">
        <v>2</v>
      </c>
      <c r="U1710">
        <v>0</v>
      </c>
      <c r="V1710">
        <v>3.71</v>
      </c>
      <c r="W1710">
        <f t="shared" si="107"/>
        <v>1.855</v>
      </c>
      <c r="X1710">
        <v>2</v>
      </c>
    </row>
    <row r="1711" spans="1:24" x14ac:dyDescent="0.3">
      <c r="A1711">
        <v>1710</v>
      </c>
      <c r="B1711" t="s">
        <v>3463</v>
      </c>
      <c r="C1711" s="6">
        <v>45906</v>
      </c>
      <c r="D1711" t="str">
        <f t="shared" si="104"/>
        <v>Sep</v>
      </c>
      <c r="E1711" t="str">
        <f t="shared" si="105"/>
        <v>2025</v>
      </c>
      <c r="F1711" t="s">
        <v>4</v>
      </c>
      <c r="G1711" t="s">
        <v>530</v>
      </c>
      <c r="H1711" t="s">
        <v>598</v>
      </c>
      <c r="I1711">
        <v>110</v>
      </c>
      <c r="J1711">
        <v>14</v>
      </c>
      <c r="K1711">
        <f t="shared" si="106"/>
        <v>12.727272727272727</v>
      </c>
      <c r="L1711" t="s">
        <v>1743</v>
      </c>
      <c r="M1711" t="s">
        <v>3912</v>
      </c>
      <c r="O1711">
        <v>226006</v>
      </c>
      <c r="P1711" t="s">
        <v>546</v>
      </c>
      <c r="Q1711" t="s">
        <v>1770</v>
      </c>
      <c r="S1711">
        <v>71.992000000000004</v>
      </c>
      <c r="T1711">
        <v>1</v>
      </c>
      <c r="U1711">
        <v>0.2</v>
      </c>
      <c r="V1711">
        <v>-0.89990000000000003</v>
      </c>
      <c r="W1711">
        <f t="shared" si="107"/>
        <v>72.891900000000007</v>
      </c>
      <c r="X1711">
        <v>1</v>
      </c>
    </row>
    <row r="1712" spans="1:24" x14ac:dyDescent="0.3">
      <c r="A1712">
        <v>1711</v>
      </c>
      <c r="B1712" t="s">
        <v>3464</v>
      </c>
      <c r="C1712" s="6">
        <v>45907</v>
      </c>
      <c r="D1712" t="str">
        <f t="shared" si="104"/>
        <v>Sep</v>
      </c>
      <c r="E1712" t="str">
        <f t="shared" si="105"/>
        <v>2025</v>
      </c>
      <c r="F1712" t="s">
        <v>4</v>
      </c>
      <c r="G1712" t="s">
        <v>530</v>
      </c>
      <c r="H1712" t="s">
        <v>728</v>
      </c>
      <c r="I1712">
        <v>250</v>
      </c>
      <c r="J1712">
        <v>12</v>
      </c>
      <c r="K1712">
        <f t="shared" si="106"/>
        <v>4.8</v>
      </c>
      <c r="L1712" t="s">
        <v>1738</v>
      </c>
      <c r="M1712" t="s">
        <v>3662</v>
      </c>
      <c r="N1712" t="s">
        <v>1</v>
      </c>
      <c r="O1712">
        <v>411041</v>
      </c>
      <c r="P1712" t="s">
        <v>546</v>
      </c>
      <c r="Q1712" t="s">
        <v>1775</v>
      </c>
      <c r="R1712" t="s">
        <v>2</v>
      </c>
      <c r="S1712">
        <v>19.899999999999999</v>
      </c>
      <c r="T1712">
        <v>5</v>
      </c>
      <c r="U1712">
        <v>0</v>
      </c>
      <c r="V1712">
        <v>6.5670000000000002</v>
      </c>
      <c r="W1712">
        <f t="shared" si="107"/>
        <v>2.6665999999999999</v>
      </c>
      <c r="X1712">
        <v>2</v>
      </c>
    </row>
    <row r="1713" spans="1:24" x14ac:dyDescent="0.3">
      <c r="A1713">
        <v>1712</v>
      </c>
      <c r="B1713" t="s">
        <v>3465</v>
      </c>
      <c r="C1713" s="6">
        <v>45908</v>
      </c>
      <c r="D1713" t="str">
        <f t="shared" si="104"/>
        <v>Sep</v>
      </c>
      <c r="E1713" t="str">
        <f t="shared" si="105"/>
        <v>2025</v>
      </c>
      <c r="F1713" t="s">
        <v>4</v>
      </c>
      <c r="G1713" t="s">
        <v>530</v>
      </c>
      <c r="H1713" t="s">
        <v>713</v>
      </c>
      <c r="I1713">
        <v>230</v>
      </c>
      <c r="J1713">
        <v>28</v>
      </c>
      <c r="K1713">
        <f t="shared" si="106"/>
        <v>12.173913043478262</v>
      </c>
      <c r="L1713" t="s">
        <v>1739</v>
      </c>
      <c r="M1713" t="s">
        <v>3617</v>
      </c>
      <c r="N1713" t="s">
        <v>1</v>
      </c>
      <c r="O1713">
        <v>682005</v>
      </c>
      <c r="P1713" t="s">
        <v>546</v>
      </c>
      <c r="Q1713" t="s">
        <v>1772</v>
      </c>
      <c r="S1713">
        <v>1702.12</v>
      </c>
      <c r="T1713">
        <v>14</v>
      </c>
      <c r="U1713">
        <v>0</v>
      </c>
      <c r="V1713">
        <v>510.63600000000002</v>
      </c>
      <c r="W1713">
        <f t="shared" si="107"/>
        <v>85.105999999999995</v>
      </c>
      <c r="X1713">
        <v>1</v>
      </c>
    </row>
    <row r="1714" spans="1:24" x14ac:dyDescent="0.3">
      <c r="A1714">
        <v>1713</v>
      </c>
      <c r="B1714" t="s">
        <v>3466</v>
      </c>
      <c r="C1714" s="6">
        <v>45909</v>
      </c>
      <c r="D1714" t="str">
        <f t="shared" si="104"/>
        <v>Sep</v>
      </c>
      <c r="E1714" t="str">
        <f t="shared" si="105"/>
        <v>2025</v>
      </c>
      <c r="F1714" t="s">
        <v>4</v>
      </c>
      <c r="G1714" t="s">
        <v>194</v>
      </c>
      <c r="H1714" t="s">
        <v>1649</v>
      </c>
      <c r="I1714">
        <v>190</v>
      </c>
      <c r="J1714">
        <v>24</v>
      </c>
      <c r="K1714">
        <f t="shared" si="106"/>
        <v>12.631578947368421</v>
      </c>
      <c r="L1714" t="s">
        <v>1741</v>
      </c>
      <c r="M1714" t="s">
        <v>3820</v>
      </c>
      <c r="N1714" t="s">
        <v>1</v>
      </c>
      <c r="O1714">
        <v>421501</v>
      </c>
      <c r="P1714" t="s">
        <v>546</v>
      </c>
      <c r="Q1714" t="s">
        <v>1768</v>
      </c>
      <c r="S1714">
        <v>14.304</v>
      </c>
      <c r="T1714">
        <v>6</v>
      </c>
      <c r="U1714">
        <v>0.2</v>
      </c>
      <c r="V1714">
        <v>5.0064000000000002</v>
      </c>
      <c r="W1714">
        <f t="shared" si="107"/>
        <v>1.5495999999999999</v>
      </c>
      <c r="X1714">
        <v>5</v>
      </c>
    </row>
    <row r="1715" spans="1:24" x14ac:dyDescent="0.3">
      <c r="A1715">
        <v>1714</v>
      </c>
      <c r="B1715" t="s">
        <v>3467</v>
      </c>
      <c r="C1715" s="6">
        <v>45910</v>
      </c>
      <c r="D1715" t="str">
        <f t="shared" si="104"/>
        <v>Sep</v>
      </c>
      <c r="E1715" t="str">
        <f t="shared" si="105"/>
        <v>2025</v>
      </c>
      <c r="F1715" t="s">
        <v>3</v>
      </c>
      <c r="G1715" t="s">
        <v>521</v>
      </c>
      <c r="H1715" t="s">
        <v>735</v>
      </c>
      <c r="I1715">
        <v>230</v>
      </c>
      <c r="J1715">
        <v>22</v>
      </c>
      <c r="K1715">
        <f t="shared" si="106"/>
        <v>9.5652173913043477</v>
      </c>
      <c r="L1715" t="s">
        <v>1736</v>
      </c>
      <c r="M1715" t="s">
        <v>3821</v>
      </c>
      <c r="N1715" t="s">
        <v>1</v>
      </c>
      <c r="O1715">
        <v>274701</v>
      </c>
      <c r="P1715" t="s">
        <v>546</v>
      </c>
      <c r="Q1715" t="s">
        <v>1759</v>
      </c>
      <c r="S1715">
        <v>765.625</v>
      </c>
      <c r="T1715">
        <v>7</v>
      </c>
      <c r="U1715">
        <v>0.5</v>
      </c>
      <c r="V1715">
        <v>-566.5625</v>
      </c>
      <c r="W1715">
        <f t="shared" si="107"/>
        <v>190.3125</v>
      </c>
      <c r="X1715">
        <v>4</v>
      </c>
    </row>
    <row r="1716" spans="1:24" x14ac:dyDescent="0.3">
      <c r="A1716">
        <v>1715</v>
      </c>
      <c r="B1716" t="s">
        <v>3468</v>
      </c>
      <c r="C1716" s="6">
        <v>45911</v>
      </c>
      <c r="D1716" t="str">
        <f t="shared" si="104"/>
        <v>Sep</v>
      </c>
      <c r="E1716" t="str">
        <f t="shared" si="105"/>
        <v>2025</v>
      </c>
      <c r="F1716" t="s">
        <v>4</v>
      </c>
      <c r="G1716" t="s">
        <v>297</v>
      </c>
      <c r="H1716" t="s">
        <v>1650</v>
      </c>
      <c r="I1716">
        <v>100</v>
      </c>
      <c r="J1716">
        <v>26</v>
      </c>
      <c r="K1716">
        <f t="shared" si="106"/>
        <v>26</v>
      </c>
      <c r="L1716" t="s">
        <v>1744</v>
      </c>
      <c r="M1716" t="s">
        <v>3822</v>
      </c>
      <c r="N1716" t="s">
        <v>1</v>
      </c>
      <c r="O1716">
        <v>570023</v>
      </c>
      <c r="P1716" t="s">
        <v>546</v>
      </c>
      <c r="Q1716" t="s">
        <v>1754</v>
      </c>
      <c r="R1716" t="s">
        <v>2</v>
      </c>
      <c r="S1716">
        <v>307.666</v>
      </c>
      <c r="T1716">
        <v>2</v>
      </c>
      <c r="U1716">
        <v>0.15</v>
      </c>
      <c r="V1716">
        <v>-14.478400000000001</v>
      </c>
      <c r="W1716">
        <f t="shared" si="107"/>
        <v>161.07220000000001</v>
      </c>
      <c r="X1716">
        <v>3</v>
      </c>
    </row>
    <row r="1717" spans="1:24" x14ac:dyDescent="0.3">
      <c r="A1717">
        <v>1716</v>
      </c>
      <c r="B1717" t="s">
        <v>3469</v>
      </c>
      <c r="C1717" s="6">
        <v>45912</v>
      </c>
      <c r="D1717" t="str">
        <f t="shared" si="104"/>
        <v>Sep</v>
      </c>
      <c r="E1717" t="str">
        <f t="shared" si="105"/>
        <v>2025</v>
      </c>
      <c r="F1717" t="s">
        <v>4</v>
      </c>
      <c r="G1717" t="s">
        <v>259</v>
      </c>
      <c r="H1717" t="s">
        <v>855</v>
      </c>
      <c r="I1717">
        <v>230</v>
      </c>
      <c r="J1717">
        <v>28</v>
      </c>
      <c r="K1717">
        <f t="shared" si="106"/>
        <v>12.173913043478262</v>
      </c>
      <c r="L1717" t="s">
        <v>1740</v>
      </c>
      <c r="M1717" t="s">
        <v>3823</v>
      </c>
      <c r="N1717" t="s">
        <v>1</v>
      </c>
      <c r="O1717">
        <v>686631</v>
      </c>
      <c r="P1717" t="s">
        <v>546</v>
      </c>
      <c r="Q1717" t="s">
        <v>1759</v>
      </c>
      <c r="S1717">
        <v>7.7119999999999997</v>
      </c>
      <c r="T1717">
        <v>2</v>
      </c>
      <c r="U1717">
        <v>0.2</v>
      </c>
      <c r="V1717">
        <v>2.7955999999999999</v>
      </c>
      <c r="W1717">
        <f t="shared" si="107"/>
        <v>2.4581999999999997</v>
      </c>
      <c r="X1717">
        <v>4</v>
      </c>
    </row>
    <row r="1718" spans="1:24" x14ac:dyDescent="0.3">
      <c r="A1718">
        <v>1717</v>
      </c>
      <c r="B1718" t="s">
        <v>3213</v>
      </c>
      <c r="C1718" s="6">
        <v>45913</v>
      </c>
      <c r="D1718" t="str">
        <f t="shared" si="104"/>
        <v>Sep</v>
      </c>
      <c r="E1718" t="str">
        <f t="shared" si="105"/>
        <v>2025</v>
      </c>
      <c r="F1718" t="s">
        <v>4</v>
      </c>
      <c r="G1718" t="s">
        <v>209</v>
      </c>
      <c r="H1718" t="s">
        <v>1082</v>
      </c>
      <c r="I1718">
        <v>120</v>
      </c>
      <c r="J1718">
        <v>20</v>
      </c>
      <c r="K1718">
        <f t="shared" si="106"/>
        <v>16.666666666666664</v>
      </c>
      <c r="L1718" t="s">
        <v>1742</v>
      </c>
      <c r="M1718" t="s">
        <v>3687</v>
      </c>
      <c r="N1718" t="s">
        <v>1</v>
      </c>
      <c r="O1718">
        <v>600095</v>
      </c>
      <c r="P1718" t="s">
        <v>546</v>
      </c>
      <c r="Q1718" t="s">
        <v>1761</v>
      </c>
      <c r="S1718">
        <v>242.9</v>
      </c>
      <c r="T1718">
        <v>5</v>
      </c>
      <c r="U1718">
        <v>0</v>
      </c>
      <c r="V1718">
        <v>70.441000000000003</v>
      </c>
      <c r="W1718">
        <f t="shared" si="107"/>
        <v>34.491799999999998</v>
      </c>
      <c r="X1718">
        <v>1</v>
      </c>
    </row>
    <row r="1719" spans="1:24" x14ac:dyDescent="0.3">
      <c r="A1719">
        <v>1718</v>
      </c>
      <c r="B1719" t="s">
        <v>3470</v>
      </c>
      <c r="C1719" s="6">
        <v>45914</v>
      </c>
      <c r="D1719" t="str">
        <f t="shared" si="104"/>
        <v>Sep</v>
      </c>
      <c r="E1719" t="str">
        <f t="shared" si="105"/>
        <v>2025</v>
      </c>
      <c r="F1719" t="s">
        <v>4</v>
      </c>
      <c r="G1719" t="s">
        <v>209</v>
      </c>
      <c r="H1719" t="s">
        <v>619</v>
      </c>
      <c r="I1719">
        <v>190</v>
      </c>
      <c r="J1719">
        <v>18</v>
      </c>
      <c r="K1719">
        <f t="shared" si="106"/>
        <v>9.4736842105263168</v>
      </c>
      <c r="L1719" t="s">
        <v>1739</v>
      </c>
      <c r="M1719" t="s">
        <v>3608</v>
      </c>
      <c r="N1719" t="s">
        <v>1</v>
      </c>
      <c r="O1719">
        <v>110059</v>
      </c>
      <c r="P1719" t="s">
        <v>546</v>
      </c>
      <c r="Q1719" t="s">
        <v>1776</v>
      </c>
      <c r="S1719">
        <v>454.9</v>
      </c>
      <c r="T1719">
        <v>5</v>
      </c>
      <c r="U1719">
        <v>0</v>
      </c>
      <c r="V1719">
        <v>0</v>
      </c>
      <c r="W1719">
        <f t="shared" si="107"/>
        <v>90.97999999999999</v>
      </c>
      <c r="X1719">
        <v>5</v>
      </c>
    </row>
    <row r="1720" spans="1:24" x14ac:dyDescent="0.3">
      <c r="A1720">
        <v>1719</v>
      </c>
      <c r="B1720" t="s">
        <v>3471</v>
      </c>
      <c r="C1720" s="6">
        <v>45915</v>
      </c>
      <c r="D1720" t="str">
        <f t="shared" si="104"/>
        <v>Sep</v>
      </c>
      <c r="E1720" t="str">
        <f t="shared" si="105"/>
        <v>2025</v>
      </c>
      <c r="F1720" t="s">
        <v>4</v>
      </c>
      <c r="G1720" t="s">
        <v>209</v>
      </c>
      <c r="H1720" t="s">
        <v>1651</v>
      </c>
      <c r="I1720">
        <v>130</v>
      </c>
      <c r="J1720">
        <v>14</v>
      </c>
      <c r="K1720">
        <f t="shared" si="106"/>
        <v>10.76923076923077</v>
      </c>
      <c r="L1720" t="s">
        <v>1738</v>
      </c>
      <c r="M1720" t="s">
        <v>3786</v>
      </c>
      <c r="N1720" t="s">
        <v>1</v>
      </c>
      <c r="O1720">
        <v>263139</v>
      </c>
      <c r="P1720" t="s">
        <v>546</v>
      </c>
      <c r="Q1720" t="s">
        <v>1767</v>
      </c>
      <c r="S1720">
        <v>35.92</v>
      </c>
      <c r="T1720">
        <v>4</v>
      </c>
      <c r="U1720">
        <v>0</v>
      </c>
      <c r="V1720">
        <v>15.086399999999999</v>
      </c>
      <c r="W1720">
        <f t="shared" si="107"/>
        <v>5.208400000000001</v>
      </c>
      <c r="X1720">
        <v>3</v>
      </c>
    </row>
    <row r="1721" spans="1:24" x14ac:dyDescent="0.3">
      <c r="A1721">
        <v>1720</v>
      </c>
      <c r="B1721" t="s">
        <v>3472</v>
      </c>
      <c r="C1721" s="6">
        <v>45916</v>
      </c>
      <c r="D1721" t="str">
        <f t="shared" si="104"/>
        <v>Sep</v>
      </c>
      <c r="E1721" t="str">
        <f t="shared" si="105"/>
        <v>2025</v>
      </c>
      <c r="F1721" t="s">
        <v>4</v>
      </c>
      <c r="G1721" t="s">
        <v>209</v>
      </c>
      <c r="H1721" t="s">
        <v>1074</v>
      </c>
      <c r="I1721">
        <v>100</v>
      </c>
      <c r="J1721">
        <v>24</v>
      </c>
      <c r="K1721">
        <f t="shared" si="106"/>
        <v>24</v>
      </c>
      <c r="L1721" t="s">
        <v>1743</v>
      </c>
      <c r="M1721" t="s">
        <v>3690</v>
      </c>
      <c r="N1721" t="s">
        <v>1</v>
      </c>
      <c r="O1721">
        <v>575029</v>
      </c>
      <c r="P1721" t="s">
        <v>546</v>
      </c>
      <c r="Q1721" t="s">
        <v>1756</v>
      </c>
      <c r="R1721" t="s">
        <v>2</v>
      </c>
      <c r="S1721">
        <v>39.76</v>
      </c>
      <c r="T1721">
        <v>8</v>
      </c>
      <c r="U1721">
        <v>0</v>
      </c>
      <c r="V1721">
        <v>12.3256</v>
      </c>
      <c r="W1721">
        <f t="shared" si="107"/>
        <v>3.4292999999999996</v>
      </c>
      <c r="X1721">
        <v>2</v>
      </c>
    </row>
    <row r="1722" spans="1:24" x14ac:dyDescent="0.3">
      <c r="A1722">
        <v>1721</v>
      </c>
      <c r="B1722" t="s">
        <v>3473</v>
      </c>
      <c r="C1722" s="6">
        <v>45917</v>
      </c>
      <c r="D1722" t="str">
        <f t="shared" si="104"/>
        <v>Sep</v>
      </c>
      <c r="E1722" t="str">
        <f t="shared" si="105"/>
        <v>2025</v>
      </c>
      <c r="F1722" t="s">
        <v>4</v>
      </c>
      <c r="G1722" t="s">
        <v>209</v>
      </c>
      <c r="H1722" t="s">
        <v>1075</v>
      </c>
      <c r="I1722">
        <v>170</v>
      </c>
      <c r="J1722">
        <v>10</v>
      </c>
      <c r="K1722">
        <f t="shared" si="106"/>
        <v>5.8823529411764701</v>
      </c>
      <c r="L1722" t="s">
        <v>1737</v>
      </c>
      <c r="M1722" t="s">
        <v>3824</v>
      </c>
      <c r="N1722" t="s">
        <v>1</v>
      </c>
      <c r="O1722">
        <v>201304</v>
      </c>
      <c r="P1722" t="s">
        <v>546</v>
      </c>
      <c r="Q1722" t="s">
        <v>1758</v>
      </c>
      <c r="R1722" t="s">
        <v>2</v>
      </c>
      <c r="S1722">
        <v>47.744</v>
      </c>
      <c r="T1722">
        <v>4</v>
      </c>
      <c r="U1722">
        <v>0.2</v>
      </c>
      <c r="V1722">
        <v>14.92</v>
      </c>
      <c r="W1722">
        <f t="shared" si="107"/>
        <v>8.2059999999999995</v>
      </c>
      <c r="X1722">
        <v>5</v>
      </c>
    </row>
    <row r="1723" spans="1:24" x14ac:dyDescent="0.3">
      <c r="A1723">
        <v>1722</v>
      </c>
      <c r="B1723" t="s">
        <v>3474</v>
      </c>
      <c r="C1723" s="6">
        <v>45918</v>
      </c>
      <c r="D1723" t="str">
        <f t="shared" si="104"/>
        <v>Sep</v>
      </c>
      <c r="E1723" t="str">
        <f t="shared" si="105"/>
        <v>2025</v>
      </c>
      <c r="F1723" t="s">
        <v>4</v>
      </c>
      <c r="G1723" t="s">
        <v>51</v>
      </c>
      <c r="H1723" t="s">
        <v>1382</v>
      </c>
      <c r="I1723">
        <v>240</v>
      </c>
      <c r="J1723">
        <v>12</v>
      </c>
      <c r="K1723">
        <f t="shared" si="106"/>
        <v>5</v>
      </c>
      <c r="L1723" t="s">
        <v>1741</v>
      </c>
      <c r="M1723" t="s">
        <v>3825</v>
      </c>
      <c r="N1723" t="s">
        <v>1</v>
      </c>
      <c r="O1723">
        <v>700084</v>
      </c>
      <c r="P1723" t="s">
        <v>546</v>
      </c>
      <c r="Q1723" t="s">
        <v>1768</v>
      </c>
      <c r="R1723" t="s">
        <v>2</v>
      </c>
      <c r="S1723">
        <v>159.98400000000001</v>
      </c>
      <c r="T1723">
        <v>2</v>
      </c>
      <c r="U1723">
        <v>0.2</v>
      </c>
      <c r="V1723">
        <v>11.998799999999999</v>
      </c>
      <c r="W1723">
        <f t="shared" si="107"/>
        <v>73.99260000000001</v>
      </c>
      <c r="X1723">
        <v>4</v>
      </c>
    </row>
    <row r="1724" spans="1:24" x14ac:dyDescent="0.3">
      <c r="A1724">
        <v>1723</v>
      </c>
      <c r="B1724" t="s">
        <v>3475</v>
      </c>
      <c r="C1724" s="6">
        <v>45919</v>
      </c>
      <c r="D1724" t="str">
        <f t="shared" si="104"/>
        <v>Sep</v>
      </c>
      <c r="E1724" t="str">
        <f t="shared" si="105"/>
        <v>2025</v>
      </c>
      <c r="F1724" t="s">
        <v>4</v>
      </c>
      <c r="G1724" t="s">
        <v>51</v>
      </c>
      <c r="H1724" t="s">
        <v>1652</v>
      </c>
      <c r="I1724">
        <v>210</v>
      </c>
      <c r="J1724">
        <v>6</v>
      </c>
      <c r="K1724">
        <f t="shared" si="106"/>
        <v>2.8571428571428572</v>
      </c>
      <c r="L1724" t="s">
        <v>1736</v>
      </c>
      <c r="M1724" t="s">
        <v>3644</v>
      </c>
      <c r="N1724" t="s">
        <v>1</v>
      </c>
      <c r="O1724">
        <v>600091</v>
      </c>
      <c r="P1724" t="s">
        <v>546</v>
      </c>
      <c r="Q1724" t="s">
        <v>1765</v>
      </c>
      <c r="S1724">
        <v>255.96799999999999</v>
      </c>
      <c r="T1724">
        <v>4</v>
      </c>
      <c r="U1724">
        <v>0.2</v>
      </c>
      <c r="V1724">
        <v>51.193600000000004</v>
      </c>
      <c r="W1724">
        <f t="shared" si="107"/>
        <v>51.193599999999996</v>
      </c>
      <c r="X1724">
        <v>3</v>
      </c>
    </row>
    <row r="1725" spans="1:24" x14ac:dyDescent="0.3">
      <c r="A1725">
        <v>1724</v>
      </c>
      <c r="B1725" t="s">
        <v>3476</v>
      </c>
      <c r="C1725" s="6">
        <v>45920</v>
      </c>
      <c r="D1725" t="str">
        <f t="shared" si="104"/>
        <v>Sep</v>
      </c>
      <c r="E1725" t="str">
        <f t="shared" si="105"/>
        <v>2025</v>
      </c>
      <c r="F1725" t="s">
        <v>4</v>
      </c>
      <c r="G1725" t="s">
        <v>51</v>
      </c>
      <c r="H1725" t="s">
        <v>1653</v>
      </c>
      <c r="I1725">
        <v>100</v>
      </c>
      <c r="J1725">
        <v>12</v>
      </c>
      <c r="K1725">
        <f t="shared" si="106"/>
        <v>12</v>
      </c>
      <c r="L1725" t="s">
        <v>1744</v>
      </c>
      <c r="M1725" t="s">
        <v>3826</v>
      </c>
      <c r="O1725">
        <v>600091</v>
      </c>
      <c r="P1725" t="s">
        <v>546</v>
      </c>
      <c r="Q1725" t="s">
        <v>1772</v>
      </c>
      <c r="S1725">
        <v>359.05799999999999</v>
      </c>
      <c r="T1725">
        <v>3</v>
      </c>
      <c r="U1725">
        <v>0.3</v>
      </c>
      <c r="V1725">
        <v>-71.811599999999999</v>
      </c>
      <c r="W1725">
        <f t="shared" si="107"/>
        <v>143.6232</v>
      </c>
      <c r="X1725">
        <v>5</v>
      </c>
    </row>
    <row r="1726" spans="1:24" x14ac:dyDescent="0.3">
      <c r="A1726">
        <v>1725</v>
      </c>
      <c r="B1726" t="s">
        <v>3477</v>
      </c>
      <c r="C1726" s="6">
        <v>45921</v>
      </c>
      <c r="D1726" t="str">
        <f t="shared" si="104"/>
        <v>Sep</v>
      </c>
      <c r="E1726" t="str">
        <f t="shared" si="105"/>
        <v>2025</v>
      </c>
      <c r="F1726" t="s">
        <v>5</v>
      </c>
      <c r="G1726" t="s">
        <v>278</v>
      </c>
      <c r="H1726" t="s">
        <v>1654</v>
      </c>
      <c r="I1726">
        <v>200</v>
      </c>
      <c r="J1726">
        <v>24</v>
      </c>
      <c r="K1726">
        <f t="shared" si="106"/>
        <v>12</v>
      </c>
      <c r="L1726" t="s">
        <v>1740</v>
      </c>
      <c r="M1726" t="s">
        <v>3827</v>
      </c>
      <c r="N1726" t="s">
        <v>1</v>
      </c>
      <c r="O1726">
        <v>522007</v>
      </c>
      <c r="P1726" t="s">
        <v>546</v>
      </c>
      <c r="Q1726" t="s">
        <v>1757</v>
      </c>
      <c r="S1726">
        <v>434.35199999999998</v>
      </c>
      <c r="T1726">
        <v>3</v>
      </c>
      <c r="U1726">
        <v>0.2</v>
      </c>
      <c r="V1726">
        <v>43.435200000000002</v>
      </c>
      <c r="W1726">
        <f t="shared" si="107"/>
        <v>130.3056</v>
      </c>
      <c r="X1726">
        <v>1</v>
      </c>
    </row>
    <row r="1727" spans="1:24" x14ac:dyDescent="0.3">
      <c r="A1727">
        <v>1726</v>
      </c>
      <c r="B1727" t="s">
        <v>3478</v>
      </c>
      <c r="C1727" s="6">
        <v>45922</v>
      </c>
      <c r="D1727" t="str">
        <f t="shared" si="104"/>
        <v>Sep</v>
      </c>
      <c r="E1727" t="str">
        <f t="shared" si="105"/>
        <v>2025</v>
      </c>
      <c r="F1727" t="s">
        <v>5</v>
      </c>
      <c r="G1727" t="s">
        <v>278</v>
      </c>
      <c r="H1727" t="s">
        <v>1655</v>
      </c>
      <c r="I1727">
        <v>210</v>
      </c>
      <c r="J1727">
        <v>14</v>
      </c>
      <c r="K1727">
        <f t="shared" si="106"/>
        <v>6.666666666666667</v>
      </c>
      <c r="L1727" t="s">
        <v>1742</v>
      </c>
      <c r="M1727" t="s">
        <v>3656</v>
      </c>
      <c r="N1727" t="s">
        <v>1</v>
      </c>
      <c r="O1727">
        <v>522007</v>
      </c>
      <c r="P1727" t="s">
        <v>546</v>
      </c>
      <c r="Q1727" t="s">
        <v>1764</v>
      </c>
      <c r="S1727">
        <v>3.552</v>
      </c>
      <c r="T1727">
        <v>2</v>
      </c>
      <c r="U1727">
        <v>0.2</v>
      </c>
      <c r="V1727">
        <v>0.44400000000000001</v>
      </c>
      <c r="W1727">
        <f t="shared" si="107"/>
        <v>1.554</v>
      </c>
      <c r="X1727">
        <v>1</v>
      </c>
    </row>
    <row r="1728" spans="1:24" x14ac:dyDescent="0.3">
      <c r="A1728">
        <v>1727</v>
      </c>
      <c r="B1728" t="s">
        <v>3479</v>
      </c>
      <c r="C1728" s="6">
        <v>45923</v>
      </c>
      <c r="D1728" t="str">
        <f t="shared" si="104"/>
        <v>Sep</v>
      </c>
      <c r="E1728" t="str">
        <f t="shared" si="105"/>
        <v>2025</v>
      </c>
      <c r="F1728" t="s">
        <v>5</v>
      </c>
      <c r="G1728" t="s">
        <v>278</v>
      </c>
      <c r="H1728" t="s">
        <v>1656</v>
      </c>
      <c r="I1728">
        <v>240</v>
      </c>
      <c r="J1728">
        <v>22</v>
      </c>
      <c r="K1728">
        <f t="shared" si="106"/>
        <v>9.1666666666666661</v>
      </c>
      <c r="L1728" t="s">
        <v>1739</v>
      </c>
      <c r="M1728" t="s">
        <v>3657</v>
      </c>
      <c r="N1728" t="s">
        <v>1</v>
      </c>
      <c r="O1728">
        <v>515001</v>
      </c>
      <c r="P1728" t="s">
        <v>546</v>
      </c>
      <c r="Q1728" t="s">
        <v>1757</v>
      </c>
      <c r="S1728">
        <v>88.831999999999994</v>
      </c>
      <c r="T1728">
        <v>4</v>
      </c>
      <c r="U1728">
        <v>0.2</v>
      </c>
      <c r="V1728">
        <v>7.7728000000000002</v>
      </c>
      <c r="W1728">
        <f t="shared" si="107"/>
        <v>20.264799999999997</v>
      </c>
      <c r="X1728">
        <v>5</v>
      </c>
    </row>
    <row r="1729" spans="1:24" x14ac:dyDescent="0.3">
      <c r="A1729">
        <v>1728</v>
      </c>
      <c r="B1729" t="s">
        <v>3480</v>
      </c>
      <c r="C1729" s="6">
        <v>45924</v>
      </c>
      <c r="D1729" t="str">
        <f t="shared" si="104"/>
        <v>Sep</v>
      </c>
      <c r="E1729" t="str">
        <f t="shared" si="105"/>
        <v>2025</v>
      </c>
      <c r="F1729" t="s">
        <v>3</v>
      </c>
      <c r="G1729" t="s">
        <v>531</v>
      </c>
      <c r="H1729" t="s">
        <v>1657</v>
      </c>
      <c r="I1729">
        <v>210</v>
      </c>
      <c r="J1729">
        <v>12</v>
      </c>
      <c r="K1729">
        <f t="shared" si="106"/>
        <v>5.7142857142857144</v>
      </c>
      <c r="L1729" t="s">
        <v>1738</v>
      </c>
      <c r="M1729" t="s">
        <v>3778</v>
      </c>
      <c r="N1729" t="s">
        <v>1</v>
      </c>
      <c r="O1729">
        <v>560016</v>
      </c>
      <c r="P1729" t="s">
        <v>546</v>
      </c>
      <c r="Q1729" t="s">
        <v>1774</v>
      </c>
      <c r="S1729">
        <v>1048.3499999999999</v>
      </c>
      <c r="T1729">
        <v>5</v>
      </c>
      <c r="U1729">
        <v>0.4</v>
      </c>
      <c r="V1729">
        <v>-69.89</v>
      </c>
      <c r="W1729">
        <f t="shared" si="107"/>
        <v>223.648</v>
      </c>
      <c r="X1729">
        <v>3</v>
      </c>
    </row>
    <row r="1730" spans="1:24" x14ac:dyDescent="0.3">
      <c r="A1730">
        <v>1729</v>
      </c>
      <c r="B1730" t="s">
        <v>3481</v>
      </c>
      <c r="C1730" s="6">
        <v>45925</v>
      </c>
      <c r="D1730" t="str">
        <f t="shared" si="104"/>
        <v>Sep</v>
      </c>
      <c r="E1730" t="str">
        <f t="shared" si="105"/>
        <v>2025</v>
      </c>
      <c r="F1730" t="s">
        <v>6</v>
      </c>
      <c r="G1730" t="s">
        <v>251</v>
      </c>
      <c r="H1730" t="s">
        <v>1619</v>
      </c>
      <c r="I1730">
        <v>180</v>
      </c>
      <c r="J1730">
        <v>14</v>
      </c>
      <c r="K1730">
        <f t="shared" si="106"/>
        <v>7.7777777777777777</v>
      </c>
      <c r="L1730" t="s">
        <v>1737</v>
      </c>
      <c r="M1730" t="s">
        <v>3828</v>
      </c>
      <c r="N1730" t="s">
        <v>1</v>
      </c>
      <c r="O1730">
        <v>201306</v>
      </c>
      <c r="P1730" t="s">
        <v>546</v>
      </c>
      <c r="Q1730" t="s">
        <v>1761</v>
      </c>
      <c r="R1730" t="s">
        <v>2</v>
      </c>
      <c r="S1730">
        <v>100</v>
      </c>
      <c r="T1730">
        <v>4</v>
      </c>
      <c r="U1730">
        <v>0</v>
      </c>
      <c r="V1730">
        <v>21</v>
      </c>
      <c r="W1730">
        <f t="shared" si="107"/>
        <v>19.75</v>
      </c>
      <c r="X1730">
        <v>4</v>
      </c>
    </row>
    <row r="1731" spans="1:24" x14ac:dyDescent="0.3">
      <c r="A1731">
        <v>1730</v>
      </c>
      <c r="B1731" t="s">
        <v>3482</v>
      </c>
      <c r="C1731" s="6">
        <v>45926</v>
      </c>
      <c r="D1731" t="str">
        <f t="shared" ref="D1731:D1794" si="108">TEXT(C1731,"Mmm")</f>
        <v>Sep</v>
      </c>
      <c r="E1731" t="str">
        <f t="shared" ref="E1731:E1794" si="109">TEXT(C1731,"YYYY")</f>
        <v>2025</v>
      </c>
      <c r="F1731" t="s">
        <v>6</v>
      </c>
      <c r="G1731" t="s">
        <v>251</v>
      </c>
      <c r="H1731" t="s">
        <v>1256</v>
      </c>
      <c r="I1731">
        <v>170</v>
      </c>
      <c r="J1731">
        <v>18</v>
      </c>
      <c r="K1731">
        <f t="shared" ref="K1731:K1794" si="110">(J1731/I1731)*100</f>
        <v>10.588235294117647</v>
      </c>
      <c r="L1731" t="s">
        <v>1743</v>
      </c>
      <c r="M1731" t="s">
        <v>3829</v>
      </c>
      <c r="N1731" t="s">
        <v>1</v>
      </c>
      <c r="O1731">
        <v>122503</v>
      </c>
      <c r="P1731" t="s">
        <v>546</v>
      </c>
      <c r="Q1731" t="s">
        <v>1760</v>
      </c>
      <c r="S1731">
        <v>7.83</v>
      </c>
      <c r="T1731">
        <v>3</v>
      </c>
      <c r="U1731">
        <v>0</v>
      </c>
      <c r="V1731">
        <v>3.6017999999999999</v>
      </c>
      <c r="W1731">
        <f t="shared" ref="W1731:W1794" si="111">(S1731-V1731)/T1731</f>
        <v>1.4094</v>
      </c>
      <c r="X1731">
        <v>1</v>
      </c>
    </row>
    <row r="1732" spans="1:24" x14ac:dyDescent="0.3">
      <c r="A1732">
        <v>1731</v>
      </c>
      <c r="B1732" t="s">
        <v>3483</v>
      </c>
      <c r="C1732" s="6">
        <v>45927</v>
      </c>
      <c r="D1732" t="str">
        <f t="shared" si="108"/>
        <v>Sep</v>
      </c>
      <c r="E1732" t="str">
        <f t="shared" si="109"/>
        <v>2025</v>
      </c>
      <c r="F1732" t="s">
        <v>4</v>
      </c>
      <c r="G1732" t="s">
        <v>477</v>
      </c>
      <c r="H1732" t="s">
        <v>1658</v>
      </c>
      <c r="I1732">
        <v>110</v>
      </c>
      <c r="J1732">
        <v>12</v>
      </c>
      <c r="K1732">
        <f t="shared" si="110"/>
        <v>10.909090909090908</v>
      </c>
      <c r="L1732" t="s">
        <v>1738</v>
      </c>
      <c r="M1732" t="s">
        <v>3788</v>
      </c>
      <c r="N1732" t="s">
        <v>1</v>
      </c>
      <c r="O1732">
        <v>190012</v>
      </c>
      <c r="P1732" t="s">
        <v>546</v>
      </c>
      <c r="Q1732" t="s">
        <v>1776</v>
      </c>
      <c r="S1732">
        <v>96.256</v>
      </c>
      <c r="T1732">
        <v>8</v>
      </c>
      <c r="U1732">
        <v>0.2</v>
      </c>
      <c r="V1732">
        <v>31.283200000000001</v>
      </c>
      <c r="W1732">
        <f t="shared" si="111"/>
        <v>8.1216000000000008</v>
      </c>
      <c r="X1732">
        <v>1</v>
      </c>
    </row>
    <row r="1733" spans="1:24" x14ac:dyDescent="0.3">
      <c r="A1733">
        <v>1732</v>
      </c>
      <c r="B1733" t="s">
        <v>3484</v>
      </c>
      <c r="C1733" s="6">
        <v>45928</v>
      </c>
      <c r="D1733" t="str">
        <f t="shared" si="108"/>
        <v>Sep</v>
      </c>
      <c r="E1733" t="str">
        <f t="shared" si="109"/>
        <v>2025</v>
      </c>
      <c r="F1733" t="s">
        <v>4</v>
      </c>
      <c r="G1733" t="s">
        <v>477</v>
      </c>
      <c r="H1733" t="s">
        <v>675</v>
      </c>
      <c r="I1733">
        <v>200</v>
      </c>
      <c r="J1733">
        <v>14</v>
      </c>
      <c r="K1733">
        <f t="shared" si="110"/>
        <v>7.0000000000000009</v>
      </c>
      <c r="L1733" t="s">
        <v>1739</v>
      </c>
      <c r="M1733" t="s">
        <v>3721</v>
      </c>
      <c r="N1733" t="s">
        <v>1</v>
      </c>
      <c r="O1733">
        <v>390007</v>
      </c>
      <c r="P1733" t="s">
        <v>546</v>
      </c>
      <c r="Q1733" t="s">
        <v>1769</v>
      </c>
      <c r="S1733">
        <v>10.688000000000001</v>
      </c>
      <c r="T1733">
        <v>2</v>
      </c>
      <c r="U1733">
        <v>0.2</v>
      </c>
      <c r="V1733">
        <v>3.7408000000000001</v>
      </c>
      <c r="W1733">
        <f t="shared" si="111"/>
        <v>3.4736000000000002</v>
      </c>
      <c r="X1733">
        <v>4</v>
      </c>
    </row>
    <row r="1734" spans="1:24" x14ac:dyDescent="0.3">
      <c r="A1734">
        <v>1733</v>
      </c>
      <c r="B1734" t="s">
        <v>3485</v>
      </c>
      <c r="C1734" s="6">
        <v>45929</v>
      </c>
      <c r="D1734" t="str">
        <f t="shared" si="108"/>
        <v>Sep</v>
      </c>
      <c r="E1734" t="str">
        <f t="shared" si="109"/>
        <v>2025</v>
      </c>
      <c r="F1734" t="s">
        <v>4</v>
      </c>
      <c r="G1734" t="s">
        <v>116</v>
      </c>
      <c r="H1734" t="s">
        <v>973</v>
      </c>
      <c r="I1734">
        <v>110</v>
      </c>
      <c r="J1734">
        <v>22</v>
      </c>
      <c r="K1734">
        <f t="shared" si="110"/>
        <v>20</v>
      </c>
      <c r="L1734" t="s">
        <v>1741</v>
      </c>
      <c r="M1734" t="s">
        <v>3781</v>
      </c>
      <c r="N1734" t="s">
        <v>1</v>
      </c>
      <c r="O1734">
        <v>721657</v>
      </c>
      <c r="P1734" t="s">
        <v>546</v>
      </c>
      <c r="Q1734" t="s">
        <v>1775</v>
      </c>
      <c r="R1734" t="s">
        <v>2</v>
      </c>
      <c r="S1734">
        <v>338.04</v>
      </c>
      <c r="T1734">
        <v>3</v>
      </c>
      <c r="U1734">
        <v>0.2</v>
      </c>
      <c r="V1734">
        <v>-33.804000000000002</v>
      </c>
      <c r="W1734">
        <f t="shared" si="111"/>
        <v>123.94800000000002</v>
      </c>
      <c r="X1734">
        <v>2</v>
      </c>
    </row>
    <row r="1735" spans="1:24" x14ac:dyDescent="0.3">
      <c r="A1735">
        <v>1734</v>
      </c>
      <c r="B1735" t="s">
        <v>3486</v>
      </c>
      <c r="C1735" s="6">
        <v>45930</v>
      </c>
      <c r="D1735" t="str">
        <f t="shared" si="108"/>
        <v>Sep</v>
      </c>
      <c r="E1735" t="str">
        <f t="shared" si="109"/>
        <v>2025</v>
      </c>
      <c r="F1735" t="s">
        <v>4</v>
      </c>
      <c r="G1735" t="s">
        <v>116</v>
      </c>
      <c r="H1735" t="s">
        <v>828</v>
      </c>
      <c r="I1735">
        <v>110</v>
      </c>
      <c r="J1735">
        <v>20</v>
      </c>
      <c r="K1735">
        <f t="shared" si="110"/>
        <v>18.181818181818183</v>
      </c>
      <c r="L1735" t="s">
        <v>1736</v>
      </c>
      <c r="M1735" t="s">
        <v>3673</v>
      </c>
      <c r="N1735" t="s">
        <v>1</v>
      </c>
      <c r="O1735">
        <v>400063</v>
      </c>
      <c r="P1735" t="s">
        <v>546</v>
      </c>
      <c r="Q1735" t="s">
        <v>1770</v>
      </c>
      <c r="S1735">
        <v>154.24</v>
      </c>
      <c r="T1735">
        <v>4</v>
      </c>
      <c r="U1735">
        <v>0.2</v>
      </c>
      <c r="V1735">
        <v>17.352</v>
      </c>
      <c r="W1735">
        <f t="shared" si="111"/>
        <v>34.222000000000001</v>
      </c>
      <c r="X1735">
        <v>2</v>
      </c>
    </row>
    <row r="1736" spans="1:24" x14ac:dyDescent="0.3">
      <c r="A1736">
        <v>1735</v>
      </c>
      <c r="B1736" t="s">
        <v>3487</v>
      </c>
      <c r="C1736" s="6">
        <v>45931</v>
      </c>
      <c r="D1736" t="str">
        <f t="shared" si="108"/>
        <v>Oct</v>
      </c>
      <c r="E1736" t="str">
        <f t="shared" si="109"/>
        <v>2025</v>
      </c>
      <c r="F1736" t="s">
        <v>3</v>
      </c>
      <c r="G1736" t="s">
        <v>172</v>
      </c>
      <c r="H1736" t="s">
        <v>1659</v>
      </c>
      <c r="I1736">
        <v>190</v>
      </c>
      <c r="J1736">
        <v>26</v>
      </c>
      <c r="K1736">
        <f t="shared" si="110"/>
        <v>13.684210526315791</v>
      </c>
      <c r="L1736" t="s">
        <v>1744</v>
      </c>
      <c r="M1736" t="s">
        <v>3585</v>
      </c>
      <c r="O1736">
        <v>670672</v>
      </c>
      <c r="P1736" t="s">
        <v>546</v>
      </c>
      <c r="Q1736" t="s">
        <v>1761</v>
      </c>
      <c r="S1736">
        <v>34.847999999999999</v>
      </c>
      <c r="T1736">
        <v>2</v>
      </c>
      <c r="U1736">
        <v>0.2</v>
      </c>
      <c r="V1736">
        <v>6.5339999999999998</v>
      </c>
      <c r="W1736">
        <f t="shared" si="111"/>
        <v>14.157</v>
      </c>
      <c r="X1736">
        <v>2</v>
      </c>
    </row>
    <row r="1737" spans="1:24" x14ac:dyDescent="0.3">
      <c r="A1737">
        <v>1736</v>
      </c>
      <c r="B1737" t="s">
        <v>3488</v>
      </c>
      <c r="C1737" s="6">
        <v>45932</v>
      </c>
      <c r="D1737" t="str">
        <f t="shared" si="108"/>
        <v>Oct</v>
      </c>
      <c r="E1737" t="str">
        <f t="shared" si="109"/>
        <v>2025</v>
      </c>
      <c r="F1737" t="s">
        <v>3</v>
      </c>
      <c r="G1737" t="s">
        <v>172</v>
      </c>
      <c r="H1737" t="s">
        <v>1442</v>
      </c>
      <c r="I1737">
        <v>230</v>
      </c>
      <c r="J1737">
        <v>14</v>
      </c>
      <c r="K1737">
        <f t="shared" si="110"/>
        <v>6.0869565217391308</v>
      </c>
      <c r="L1737" t="s">
        <v>1740</v>
      </c>
      <c r="M1737" t="s">
        <v>3830</v>
      </c>
      <c r="N1737" t="s">
        <v>1</v>
      </c>
      <c r="O1737">
        <v>411015</v>
      </c>
      <c r="P1737" t="s">
        <v>546</v>
      </c>
      <c r="Q1737" t="s">
        <v>1761</v>
      </c>
      <c r="R1737" t="s">
        <v>2</v>
      </c>
      <c r="S1737">
        <v>22</v>
      </c>
      <c r="T1737">
        <v>5</v>
      </c>
      <c r="U1737">
        <v>0.2</v>
      </c>
      <c r="V1737">
        <v>1.375</v>
      </c>
      <c r="W1737">
        <f t="shared" si="111"/>
        <v>4.125</v>
      </c>
      <c r="X1737">
        <v>5</v>
      </c>
    </row>
    <row r="1738" spans="1:24" x14ac:dyDescent="0.3">
      <c r="A1738">
        <v>1737</v>
      </c>
      <c r="B1738" t="s">
        <v>3489</v>
      </c>
      <c r="C1738" s="6">
        <v>45933</v>
      </c>
      <c r="D1738" t="str">
        <f t="shared" si="108"/>
        <v>Oct</v>
      </c>
      <c r="E1738" t="str">
        <f t="shared" si="109"/>
        <v>2025</v>
      </c>
      <c r="F1738" t="s">
        <v>3</v>
      </c>
      <c r="G1738" t="s">
        <v>172</v>
      </c>
      <c r="H1738" t="s">
        <v>553</v>
      </c>
      <c r="I1738">
        <v>250</v>
      </c>
      <c r="J1738">
        <v>8</v>
      </c>
      <c r="K1738">
        <f t="shared" si="110"/>
        <v>3.2</v>
      </c>
      <c r="L1738" t="s">
        <v>1742</v>
      </c>
      <c r="M1738" t="s">
        <v>3696</v>
      </c>
      <c r="N1738" t="s">
        <v>1</v>
      </c>
      <c r="O1738">
        <v>577205</v>
      </c>
      <c r="P1738" t="s">
        <v>546</v>
      </c>
      <c r="Q1738" t="s">
        <v>1774</v>
      </c>
      <c r="R1738" t="s">
        <v>2</v>
      </c>
      <c r="S1738">
        <v>4.3680000000000003</v>
      </c>
      <c r="T1738">
        <v>3</v>
      </c>
      <c r="U1738">
        <v>0.2</v>
      </c>
      <c r="V1738">
        <v>0.38219999999999998</v>
      </c>
      <c r="W1738">
        <f t="shared" si="111"/>
        <v>1.3286</v>
      </c>
      <c r="X1738">
        <v>1</v>
      </c>
    </row>
    <row r="1739" spans="1:24" x14ac:dyDescent="0.3">
      <c r="A1739">
        <v>1738</v>
      </c>
      <c r="B1739" t="s">
        <v>3490</v>
      </c>
      <c r="C1739" s="6">
        <v>45934</v>
      </c>
      <c r="D1739" t="str">
        <f t="shared" si="108"/>
        <v>Oct</v>
      </c>
      <c r="E1739" t="str">
        <f t="shared" si="109"/>
        <v>2025</v>
      </c>
      <c r="F1739" t="s">
        <v>4</v>
      </c>
      <c r="G1739" t="s">
        <v>113</v>
      </c>
      <c r="H1739" t="s">
        <v>1017</v>
      </c>
      <c r="I1739">
        <v>180</v>
      </c>
      <c r="J1739">
        <v>12</v>
      </c>
      <c r="K1739">
        <f t="shared" si="110"/>
        <v>6.666666666666667</v>
      </c>
      <c r="L1739" t="s">
        <v>1739</v>
      </c>
      <c r="M1739" t="s">
        <v>3668</v>
      </c>
      <c r="N1739" t="s">
        <v>1</v>
      </c>
      <c r="O1739">
        <v>228001</v>
      </c>
      <c r="P1739" t="s">
        <v>546</v>
      </c>
      <c r="Q1739" t="s">
        <v>1775</v>
      </c>
      <c r="S1739">
        <v>31.44</v>
      </c>
      <c r="T1739">
        <v>3</v>
      </c>
      <c r="U1739">
        <v>0</v>
      </c>
      <c r="V1739">
        <v>8.4887999999999995</v>
      </c>
      <c r="W1739">
        <f t="shared" si="111"/>
        <v>7.6504000000000003</v>
      </c>
      <c r="X1739">
        <v>5</v>
      </c>
    </row>
    <row r="1740" spans="1:24" x14ac:dyDescent="0.3">
      <c r="A1740">
        <v>1739</v>
      </c>
      <c r="B1740" t="s">
        <v>3491</v>
      </c>
      <c r="C1740" s="6">
        <v>45935</v>
      </c>
      <c r="D1740" t="str">
        <f t="shared" si="108"/>
        <v>Oct</v>
      </c>
      <c r="E1740" t="str">
        <f t="shared" si="109"/>
        <v>2025</v>
      </c>
      <c r="F1740" t="s">
        <v>4</v>
      </c>
      <c r="G1740" t="s">
        <v>113</v>
      </c>
      <c r="H1740" t="s">
        <v>1591</v>
      </c>
      <c r="I1740">
        <v>200</v>
      </c>
      <c r="J1740">
        <v>24</v>
      </c>
      <c r="K1740">
        <f t="shared" si="110"/>
        <v>12</v>
      </c>
      <c r="L1740" t="s">
        <v>1738</v>
      </c>
      <c r="M1740" t="s">
        <v>3812</v>
      </c>
      <c r="N1740" t="s">
        <v>1</v>
      </c>
      <c r="O1740">
        <v>700028</v>
      </c>
      <c r="P1740" t="s">
        <v>546</v>
      </c>
      <c r="Q1740" t="s">
        <v>1775</v>
      </c>
      <c r="R1740" t="s">
        <v>2</v>
      </c>
      <c r="S1740">
        <v>17.899999999999999</v>
      </c>
      <c r="T1740">
        <v>2</v>
      </c>
      <c r="U1740">
        <v>0</v>
      </c>
      <c r="V1740">
        <v>3.4009999999999998</v>
      </c>
      <c r="W1740">
        <f t="shared" si="111"/>
        <v>7.2494999999999994</v>
      </c>
      <c r="X1740">
        <v>5</v>
      </c>
    </row>
    <row r="1741" spans="1:24" x14ac:dyDescent="0.3">
      <c r="A1741">
        <v>1740</v>
      </c>
      <c r="B1741" t="s">
        <v>3492</v>
      </c>
      <c r="C1741" s="6">
        <v>45936</v>
      </c>
      <c r="D1741" t="str">
        <f t="shared" si="108"/>
        <v>Oct</v>
      </c>
      <c r="E1741" t="str">
        <f t="shared" si="109"/>
        <v>2025</v>
      </c>
      <c r="F1741" t="s">
        <v>4</v>
      </c>
      <c r="G1741" t="s">
        <v>113</v>
      </c>
      <c r="H1741" t="s">
        <v>1660</v>
      </c>
      <c r="I1741">
        <v>140</v>
      </c>
      <c r="J1741">
        <v>20</v>
      </c>
      <c r="K1741">
        <f t="shared" si="110"/>
        <v>14.285714285714285</v>
      </c>
      <c r="L1741" t="s">
        <v>1743</v>
      </c>
      <c r="M1741" t="s">
        <v>3831</v>
      </c>
      <c r="N1741" t="s">
        <v>1</v>
      </c>
      <c r="O1741">
        <v>700028</v>
      </c>
      <c r="P1741" t="s">
        <v>546</v>
      </c>
      <c r="Q1741" t="s">
        <v>1775</v>
      </c>
      <c r="S1741">
        <v>129.44999999999999</v>
      </c>
      <c r="T1741">
        <v>5</v>
      </c>
      <c r="U1741">
        <v>0</v>
      </c>
      <c r="V1741">
        <v>46.601999999999997</v>
      </c>
      <c r="W1741">
        <f t="shared" si="111"/>
        <v>16.569599999999998</v>
      </c>
      <c r="X1741">
        <v>4</v>
      </c>
    </row>
    <row r="1742" spans="1:24" x14ac:dyDescent="0.3">
      <c r="A1742">
        <v>1741</v>
      </c>
      <c r="B1742" t="s">
        <v>3493</v>
      </c>
      <c r="C1742" s="6">
        <v>45937</v>
      </c>
      <c r="D1742" t="str">
        <f t="shared" si="108"/>
        <v>Oct</v>
      </c>
      <c r="E1742" t="str">
        <f t="shared" si="109"/>
        <v>2025</v>
      </c>
      <c r="F1742" t="s">
        <v>4</v>
      </c>
      <c r="G1742" t="s">
        <v>532</v>
      </c>
      <c r="H1742" t="s">
        <v>1495</v>
      </c>
      <c r="I1742">
        <v>130</v>
      </c>
      <c r="J1742">
        <v>18</v>
      </c>
      <c r="K1742">
        <f t="shared" si="110"/>
        <v>13.846153846153847</v>
      </c>
      <c r="L1742" t="s">
        <v>1737</v>
      </c>
      <c r="M1742" t="s">
        <v>3802</v>
      </c>
      <c r="N1742" t="s">
        <v>1</v>
      </c>
      <c r="O1742">
        <v>517123</v>
      </c>
      <c r="P1742" t="s">
        <v>546</v>
      </c>
      <c r="Q1742" t="s">
        <v>1758</v>
      </c>
      <c r="S1742">
        <v>20.88</v>
      </c>
      <c r="T1742">
        <v>8</v>
      </c>
      <c r="U1742">
        <v>0</v>
      </c>
      <c r="V1742">
        <v>9.6047999999999991</v>
      </c>
      <c r="W1742">
        <f t="shared" si="111"/>
        <v>1.4094</v>
      </c>
      <c r="X1742">
        <v>4</v>
      </c>
    </row>
    <row r="1743" spans="1:24" x14ac:dyDescent="0.3">
      <c r="A1743">
        <v>1742</v>
      </c>
      <c r="B1743" t="s">
        <v>3494</v>
      </c>
      <c r="C1743" s="6">
        <v>45938</v>
      </c>
      <c r="D1743" t="str">
        <f t="shared" si="108"/>
        <v>Oct</v>
      </c>
      <c r="E1743" t="str">
        <f t="shared" si="109"/>
        <v>2025</v>
      </c>
      <c r="F1743" t="s">
        <v>4</v>
      </c>
      <c r="G1743" t="s">
        <v>505</v>
      </c>
      <c r="H1743" t="s">
        <v>1661</v>
      </c>
      <c r="I1743">
        <v>220</v>
      </c>
      <c r="J1743">
        <v>14</v>
      </c>
      <c r="K1743">
        <f t="shared" si="110"/>
        <v>6.3636363636363633</v>
      </c>
      <c r="L1743" t="s">
        <v>1741</v>
      </c>
      <c r="M1743" t="s">
        <v>3815</v>
      </c>
      <c r="N1743" t="s">
        <v>1</v>
      </c>
      <c r="O1743">
        <v>603103</v>
      </c>
      <c r="P1743" t="s">
        <v>546</v>
      </c>
      <c r="Q1743" t="s">
        <v>1765</v>
      </c>
      <c r="S1743">
        <v>20.736000000000001</v>
      </c>
      <c r="T1743">
        <v>4</v>
      </c>
      <c r="U1743">
        <v>0.2</v>
      </c>
      <c r="V1743">
        <v>7.2576000000000001</v>
      </c>
      <c r="W1743">
        <f t="shared" si="111"/>
        <v>3.3696000000000002</v>
      </c>
      <c r="X1743">
        <v>5</v>
      </c>
    </row>
    <row r="1744" spans="1:24" x14ac:dyDescent="0.3">
      <c r="A1744">
        <v>1743</v>
      </c>
      <c r="B1744" t="s">
        <v>3495</v>
      </c>
      <c r="C1744" s="6">
        <v>45939</v>
      </c>
      <c r="D1744" t="str">
        <f t="shared" si="108"/>
        <v>Oct</v>
      </c>
      <c r="E1744" t="str">
        <f t="shared" si="109"/>
        <v>2025</v>
      </c>
      <c r="F1744" t="s">
        <v>4</v>
      </c>
      <c r="G1744" t="s">
        <v>505</v>
      </c>
      <c r="H1744" t="s">
        <v>1620</v>
      </c>
      <c r="I1744">
        <v>190</v>
      </c>
      <c r="J1744">
        <v>22</v>
      </c>
      <c r="K1744">
        <f t="shared" si="110"/>
        <v>11.578947368421053</v>
      </c>
      <c r="L1744" t="s">
        <v>1736</v>
      </c>
      <c r="M1744" t="s">
        <v>3653</v>
      </c>
      <c r="N1744" t="s">
        <v>1</v>
      </c>
      <c r="O1744">
        <v>682039</v>
      </c>
      <c r="P1744" t="s">
        <v>546</v>
      </c>
      <c r="Q1744" t="s">
        <v>1774</v>
      </c>
      <c r="S1744">
        <v>7.1680000000000001</v>
      </c>
      <c r="T1744">
        <v>2</v>
      </c>
      <c r="U1744">
        <v>0.2</v>
      </c>
      <c r="V1744">
        <v>0.98560000000000003</v>
      </c>
      <c r="W1744">
        <f t="shared" si="111"/>
        <v>3.0912000000000002</v>
      </c>
      <c r="X1744">
        <v>1</v>
      </c>
    </row>
    <row r="1745" spans="1:24" x14ac:dyDescent="0.3">
      <c r="A1745">
        <v>1744</v>
      </c>
      <c r="B1745" t="s">
        <v>3496</v>
      </c>
      <c r="C1745" s="6">
        <v>45940</v>
      </c>
      <c r="D1745" t="str">
        <f t="shared" si="108"/>
        <v>Oct</v>
      </c>
      <c r="E1745" t="str">
        <f t="shared" si="109"/>
        <v>2025</v>
      </c>
      <c r="F1745" t="s">
        <v>4</v>
      </c>
      <c r="G1745" t="s">
        <v>505</v>
      </c>
      <c r="H1745" t="s">
        <v>1247</v>
      </c>
      <c r="I1745">
        <v>160</v>
      </c>
      <c r="J1745">
        <v>16</v>
      </c>
      <c r="K1745">
        <f t="shared" si="110"/>
        <v>10</v>
      </c>
      <c r="L1745" t="s">
        <v>1744</v>
      </c>
      <c r="M1745" t="s">
        <v>3832</v>
      </c>
      <c r="N1745" t="s">
        <v>1</v>
      </c>
      <c r="O1745">
        <v>560079</v>
      </c>
      <c r="P1745" t="s">
        <v>546</v>
      </c>
      <c r="Q1745" t="s">
        <v>1769</v>
      </c>
      <c r="R1745" t="s">
        <v>2</v>
      </c>
      <c r="S1745">
        <v>11.167999999999999</v>
      </c>
      <c r="T1745">
        <v>2</v>
      </c>
      <c r="U1745">
        <v>0.2</v>
      </c>
      <c r="V1745">
        <v>-2.5127999999999999</v>
      </c>
      <c r="W1745">
        <f t="shared" si="111"/>
        <v>6.8403999999999998</v>
      </c>
      <c r="X1745">
        <v>4</v>
      </c>
    </row>
    <row r="1746" spans="1:24" x14ac:dyDescent="0.3">
      <c r="A1746">
        <v>1745</v>
      </c>
      <c r="B1746" t="s">
        <v>3497</v>
      </c>
      <c r="C1746" s="6">
        <v>45941</v>
      </c>
      <c r="D1746" t="str">
        <f t="shared" si="108"/>
        <v>Oct</v>
      </c>
      <c r="E1746" t="str">
        <f t="shared" si="109"/>
        <v>2025</v>
      </c>
      <c r="F1746" t="s">
        <v>4</v>
      </c>
      <c r="G1746" t="s">
        <v>505</v>
      </c>
      <c r="H1746" t="s">
        <v>1099</v>
      </c>
      <c r="I1746">
        <v>170</v>
      </c>
      <c r="J1746">
        <v>14</v>
      </c>
      <c r="K1746">
        <f t="shared" si="110"/>
        <v>8.235294117647058</v>
      </c>
      <c r="L1746" t="s">
        <v>1740</v>
      </c>
      <c r="M1746" t="s">
        <v>3733</v>
      </c>
      <c r="N1746" t="s">
        <v>1</v>
      </c>
      <c r="O1746">
        <v>560079</v>
      </c>
      <c r="P1746" t="s">
        <v>546</v>
      </c>
      <c r="Q1746" t="s">
        <v>1764</v>
      </c>
      <c r="S1746">
        <v>442.4</v>
      </c>
      <c r="T1746">
        <v>7</v>
      </c>
      <c r="U1746">
        <v>0.2</v>
      </c>
      <c r="V1746">
        <v>-55.3</v>
      </c>
      <c r="W1746">
        <f t="shared" si="111"/>
        <v>71.099999999999994</v>
      </c>
      <c r="X1746">
        <v>1</v>
      </c>
    </row>
    <row r="1747" spans="1:24" x14ac:dyDescent="0.3">
      <c r="A1747">
        <v>1746</v>
      </c>
      <c r="B1747" t="s">
        <v>3498</v>
      </c>
      <c r="C1747" s="6">
        <v>45942</v>
      </c>
      <c r="D1747" t="str">
        <f t="shared" si="108"/>
        <v>Oct</v>
      </c>
      <c r="E1747" t="str">
        <f t="shared" si="109"/>
        <v>2025</v>
      </c>
      <c r="F1747" t="s">
        <v>5</v>
      </c>
      <c r="G1747" t="s">
        <v>305</v>
      </c>
      <c r="H1747" t="s">
        <v>705</v>
      </c>
      <c r="I1747">
        <v>120</v>
      </c>
      <c r="J1747">
        <v>12</v>
      </c>
      <c r="K1747">
        <f t="shared" si="110"/>
        <v>10</v>
      </c>
      <c r="L1747" t="s">
        <v>1742</v>
      </c>
      <c r="M1747" t="s">
        <v>3816</v>
      </c>
      <c r="N1747" t="s">
        <v>1</v>
      </c>
      <c r="O1747">
        <v>202001</v>
      </c>
      <c r="P1747" t="s">
        <v>546</v>
      </c>
      <c r="Q1747" t="s">
        <v>1766</v>
      </c>
      <c r="R1747" t="s">
        <v>2</v>
      </c>
      <c r="S1747">
        <v>13.36</v>
      </c>
      <c r="T1747">
        <v>2</v>
      </c>
      <c r="U1747">
        <v>0</v>
      </c>
      <c r="V1747">
        <v>4.9432</v>
      </c>
      <c r="W1747">
        <f t="shared" si="111"/>
        <v>4.2083999999999993</v>
      </c>
      <c r="X1747">
        <v>3</v>
      </c>
    </row>
    <row r="1748" spans="1:24" x14ac:dyDescent="0.3">
      <c r="A1748">
        <v>1747</v>
      </c>
      <c r="B1748" t="s">
        <v>3499</v>
      </c>
      <c r="C1748" s="6">
        <v>45943</v>
      </c>
      <c r="D1748" t="str">
        <f t="shared" si="108"/>
        <v>Oct</v>
      </c>
      <c r="E1748" t="str">
        <f t="shared" si="109"/>
        <v>2025</v>
      </c>
      <c r="F1748" t="s">
        <v>3</v>
      </c>
      <c r="G1748" t="s">
        <v>198</v>
      </c>
      <c r="H1748" t="s">
        <v>1152</v>
      </c>
      <c r="I1748">
        <v>170</v>
      </c>
      <c r="J1748">
        <v>24</v>
      </c>
      <c r="K1748">
        <f t="shared" si="110"/>
        <v>14.117647058823529</v>
      </c>
      <c r="L1748" t="s">
        <v>1739</v>
      </c>
      <c r="M1748" t="s">
        <v>3600</v>
      </c>
      <c r="N1748" t="s">
        <v>1</v>
      </c>
      <c r="O1748">
        <v>202001</v>
      </c>
      <c r="P1748" t="s">
        <v>546</v>
      </c>
      <c r="Q1748" t="s">
        <v>1762</v>
      </c>
      <c r="R1748" t="s">
        <v>2</v>
      </c>
      <c r="S1748">
        <v>11.231999999999999</v>
      </c>
      <c r="T1748">
        <v>8</v>
      </c>
      <c r="U1748">
        <v>0.7</v>
      </c>
      <c r="V1748">
        <v>-8.2368000000000006</v>
      </c>
      <c r="W1748">
        <f t="shared" si="111"/>
        <v>2.4336000000000002</v>
      </c>
      <c r="X1748">
        <v>2</v>
      </c>
    </row>
    <row r="1749" spans="1:24" x14ac:dyDescent="0.3">
      <c r="A1749">
        <v>1748</v>
      </c>
      <c r="B1749" t="s">
        <v>3500</v>
      </c>
      <c r="C1749" s="6">
        <v>45944</v>
      </c>
      <c r="D1749" t="str">
        <f t="shared" si="108"/>
        <v>Oct</v>
      </c>
      <c r="E1749" t="str">
        <f t="shared" si="109"/>
        <v>2025</v>
      </c>
      <c r="F1749" t="s">
        <v>3</v>
      </c>
      <c r="G1749" t="s">
        <v>198</v>
      </c>
      <c r="H1749" t="s">
        <v>1662</v>
      </c>
      <c r="I1749">
        <v>240</v>
      </c>
      <c r="J1749">
        <v>12</v>
      </c>
      <c r="K1749">
        <f t="shared" si="110"/>
        <v>5</v>
      </c>
      <c r="L1749" t="s">
        <v>1738</v>
      </c>
      <c r="M1749" t="s">
        <v>3817</v>
      </c>
      <c r="N1749" t="s">
        <v>1</v>
      </c>
      <c r="O1749">
        <v>380015</v>
      </c>
      <c r="P1749" t="s">
        <v>546</v>
      </c>
      <c r="Q1749" t="s">
        <v>1759</v>
      </c>
      <c r="R1749" t="s">
        <v>2</v>
      </c>
      <c r="S1749">
        <v>10.272</v>
      </c>
      <c r="T1749">
        <v>3</v>
      </c>
      <c r="U1749">
        <v>0.2</v>
      </c>
      <c r="V1749">
        <v>3.21</v>
      </c>
      <c r="W1749">
        <f t="shared" si="111"/>
        <v>2.3540000000000001</v>
      </c>
      <c r="X1749">
        <v>1</v>
      </c>
    </row>
    <row r="1750" spans="1:24" x14ac:dyDescent="0.3">
      <c r="A1750">
        <v>1749</v>
      </c>
      <c r="B1750" t="s">
        <v>3501</v>
      </c>
      <c r="C1750" s="6">
        <v>45945</v>
      </c>
      <c r="D1750" t="str">
        <f t="shared" si="108"/>
        <v>Oct</v>
      </c>
      <c r="E1750" t="str">
        <f t="shared" si="109"/>
        <v>2025</v>
      </c>
      <c r="F1750" t="s">
        <v>4</v>
      </c>
      <c r="G1750" t="s">
        <v>533</v>
      </c>
      <c r="H1750" t="s">
        <v>1271</v>
      </c>
      <c r="I1750">
        <v>190</v>
      </c>
      <c r="J1750">
        <v>6</v>
      </c>
      <c r="K1750">
        <f t="shared" si="110"/>
        <v>3.1578947368421053</v>
      </c>
      <c r="L1750" t="s">
        <v>1737</v>
      </c>
      <c r="M1750" t="s">
        <v>3808</v>
      </c>
      <c r="N1750" t="s">
        <v>1</v>
      </c>
      <c r="O1750">
        <v>380015</v>
      </c>
      <c r="P1750" t="s">
        <v>546</v>
      </c>
      <c r="Q1750" t="s">
        <v>1767</v>
      </c>
      <c r="S1750">
        <v>10.368</v>
      </c>
      <c r="T1750">
        <v>2</v>
      </c>
      <c r="U1750">
        <v>0.2</v>
      </c>
      <c r="V1750">
        <v>3.6288</v>
      </c>
      <c r="W1750">
        <f t="shared" si="111"/>
        <v>3.3696000000000002</v>
      </c>
      <c r="X1750">
        <v>2</v>
      </c>
    </row>
    <row r="1751" spans="1:24" x14ac:dyDescent="0.3">
      <c r="A1751">
        <v>1750</v>
      </c>
      <c r="B1751" t="s">
        <v>3502</v>
      </c>
      <c r="C1751" s="6">
        <v>45946</v>
      </c>
      <c r="D1751" t="str">
        <f t="shared" si="108"/>
        <v>Oct</v>
      </c>
      <c r="E1751" t="str">
        <f t="shared" si="109"/>
        <v>2025</v>
      </c>
      <c r="F1751" t="s">
        <v>4</v>
      </c>
      <c r="G1751" t="s">
        <v>533</v>
      </c>
      <c r="H1751" t="s">
        <v>1573</v>
      </c>
      <c r="I1751">
        <v>240</v>
      </c>
      <c r="J1751">
        <v>12</v>
      </c>
      <c r="K1751">
        <f t="shared" si="110"/>
        <v>5</v>
      </c>
      <c r="L1751" t="s">
        <v>1743</v>
      </c>
      <c r="M1751" t="s">
        <v>3833</v>
      </c>
      <c r="N1751" t="s">
        <v>1</v>
      </c>
      <c r="O1751">
        <v>380015</v>
      </c>
      <c r="P1751" t="s">
        <v>546</v>
      </c>
      <c r="Q1751" t="s">
        <v>1774</v>
      </c>
      <c r="S1751">
        <v>6.24</v>
      </c>
      <c r="T1751">
        <v>3</v>
      </c>
      <c r="U1751">
        <v>0.2</v>
      </c>
      <c r="V1751">
        <v>0.54600000000000004</v>
      </c>
      <c r="W1751">
        <f t="shared" si="111"/>
        <v>1.8979999999999999</v>
      </c>
      <c r="X1751">
        <v>5</v>
      </c>
    </row>
    <row r="1752" spans="1:24" x14ac:dyDescent="0.3">
      <c r="A1752">
        <v>1751</v>
      </c>
      <c r="B1752" t="s">
        <v>3503</v>
      </c>
      <c r="C1752" s="6">
        <v>45947</v>
      </c>
      <c r="D1752" t="str">
        <f t="shared" si="108"/>
        <v>Oct</v>
      </c>
      <c r="E1752" t="str">
        <f t="shared" si="109"/>
        <v>2025</v>
      </c>
      <c r="F1752" t="s">
        <v>4</v>
      </c>
      <c r="G1752" t="s">
        <v>253</v>
      </c>
      <c r="H1752" t="s">
        <v>1663</v>
      </c>
      <c r="I1752">
        <v>120</v>
      </c>
      <c r="J1752">
        <v>30</v>
      </c>
      <c r="K1752">
        <f t="shared" si="110"/>
        <v>25</v>
      </c>
      <c r="L1752" t="s">
        <v>1738</v>
      </c>
      <c r="M1752" t="s">
        <v>3681</v>
      </c>
      <c r="N1752" t="s">
        <v>1</v>
      </c>
      <c r="O1752">
        <v>380015</v>
      </c>
      <c r="P1752" t="s">
        <v>546</v>
      </c>
      <c r="Q1752" t="s">
        <v>1760</v>
      </c>
      <c r="S1752">
        <v>206.96199999999999</v>
      </c>
      <c r="T1752">
        <v>2</v>
      </c>
      <c r="U1752">
        <v>0.3</v>
      </c>
      <c r="V1752">
        <v>-32.522599999999997</v>
      </c>
      <c r="W1752">
        <f t="shared" si="111"/>
        <v>119.7423</v>
      </c>
      <c r="X1752">
        <v>4</v>
      </c>
    </row>
    <row r="1753" spans="1:24" x14ac:dyDescent="0.3">
      <c r="A1753">
        <v>1752</v>
      </c>
      <c r="B1753" t="s">
        <v>3504</v>
      </c>
      <c r="C1753" s="6">
        <v>45948</v>
      </c>
      <c r="D1753" t="str">
        <f t="shared" si="108"/>
        <v>Oct</v>
      </c>
      <c r="E1753" t="str">
        <f t="shared" si="109"/>
        <v>2025</v>
      </c>
      <c r="F1753" t="s">
        <v>5</v>
      </c>
      <c r="G1753" t="s">
        <v>534</v>
      </c>
      <c r="H1753" t="s">
        <v>830</v>
      </c>
      <c r="I1753">
        <v>220</v>
      </c>
      <c r="J1753">
        <v>30</v>
      </c>
      <c r="K1753">
        <f t="shared" si="110"/>
        <v>13.636363636363635</v>
      </c>
      <c r="L1753" t="s">
        <v>1739</v>
      </c>
      <c r="M1753" t="s">
        <v>3682</v>
      </c>
      <c r="N1753" t="s">
        <v>1</v>
      </c>
      <c r="O1753">
        <v>560043</v>
      </c>
      <c r="P1753" t="s">
        <v>546</v>
      </c>
      <c r="Q1753" t="s">
        <v>1757</v>
      </c>
      <c r="S1753">
        <v>9.4600000000000009</v>
      </c>
      <c r="T1753">
        <v>2</v>
      </c>
      <c r="U1753">
        <v>0</v>
      </c>
      <c r="V1753">
        <v>3.6894</v>
      </c>
      <c r="W1753">
        <f t="shared" si="111"/>
        <v>2.8853000000000004</v>
      </c>
      <c r="X1753">
        <v>2</v>
      </c>
    </row>
    <row r="1754" spans="1:24" x14ac:dyDescent="0.3">
      <c r="A1754">
        <v>1753</v>
      </c>
      <c r="B1754" t="s">
        <v>3505</v>
      </c>
      <c r="C1754" s="6">
        <v>45949</v>
      </c>
      <c r="D1754" t="str">
        <f t="shared" si="108"/>
        <v>Oct</v>
      </c>
      <c r="E1754" t="str">
        <f t="shared" si="109"/>
        <v>2025</v>
      </c>
      <c r="F1754" t="s">
        <v>5</v>
      </c>
      <c r="G1754" t="s">
        <v>107</v>
      </c>
      <c r="H1754" t="s">
        <v>1368</v>
      </c>
      <c r="I1754">
        <v>220</v>
      </c>
      <c r="J1754">
        <v>20</v>
      </c>
      <c r="K1754">
        <f t="shared" si="110"/>
        <v>9.0909090909090917</v>
      </c>
      <c r="L1754" t="s">
        <v>1741</v>
      </c>
      <c r="M1754" t="s">
        <v>3810</v>
      </c>
      <c r="N1754" t="s">
        <v>1</v>
      </c>
      <c r="O1754">
        <v>844114</v>
      </c>
      <c r="P1754" t="s">
        <v>546</v>
      </c>
      <c r="Q1754" t="s">
        <v>1758</v>
      </c>
      <c r="S1754">
        <v>559.62</v>
      </c>
      <c r="T1754">
        <v>9</v>
      </c>
      <c r="U1754">
        <v>0</v>
      </c>
      <c r="V1754">
        <v>151.09739999999999</v>
      </c>
      <c r="W1754">
        <f t="shared" si="111"/>
        <v>45.391400000000004</v>
      </c>
      <c r="X1754">
        <v>3</v>
      </c>
    </row>
    <row r="1755" spans="1:24" x14ac:dyDescent="0.3">
      <c r="A1755">
        <v>1754</v>
      </c>
      <c r="B1755" t="s">
        <v>3506</v>
      </c>
      <c r="C1755" s="6">
        <v>45950</v>
      </c>
      <c r="D1755" t="str">
        <f t="shared" si="108"/>
        <v>Oct</v>
      </c>
      <c r="E1755" t="str">
        <f t="shared" si="109"/>
        <v>2025</v>
      </c>
      <c r="F1755" t="s">
        <v>5</v>
      </c>
      <c r="G1755" t="s">
        <v>107</v>
      </c>
      <c r="H1755" t="s">
        <v>1629</v>
      </c>
      <c r="I1755">
        <v>240</v>
      </c>
      <c r="J1755">
        <v>22</v>
      </c>
      <c r="K1755">
        <f t="shared" si="110"/>
        <v>9.1666666666666661</v>
      </c>
      <c r="L1755" t="s">
        <v>1736</v>
      </c>
      <c r="M1755" t="s">
        <v>3693</v>
      </c>
      <c r="N1755" t="s">
        <v>1</v>
      </c>
      <c r="O1755">
        <v>700028</v>
      </c>
      <c r="P1755" t="s">
        <v>546</v>
      </c>
      <c r="Q1755" t="s">
        <v>1774</v>
      </c>
      <c r="S1755">
        <v>109.92</v>
      </c>
      <c r="T1755">
        <v>2</v>
      </c>
      <c r="U1755">
        <v>0</v>
      </c>
      <c r="V1755">
        <v>53.860799999999998</v>
      </c>
      <c r="W1755">
        <f t="shared" si="111"/>
        <v>28.029600000000002</v>
      </c>
      <c r="X1755">
        <v>3</v>
      </c>
    </row>
    <row r="1756" spans="1:24" x14ac:dyDescent="0.3">
      <c r="A1756">
        <v>1755</v>
      </c>
      <c r="B1756" t="s">
        <v>3507</v>
      </c>
      <c r="C1756" s="6">
        <v>45951</v>
      </c>
      <c r="D1756" t="str">
        <f t="shared" si="108"/>
        <v>Oct</v>
      </c>
      <c r="E1756" t="str">
        <f t="shared" si="109"/>
        <v>2025</v>
      </c>
      <c r="F1756" t="s">
        <v>5</v>
      </c>
      <c r="G1756" t="s">
        <v>107</v>
      </c>
      <c r="H1756" t="s">
        <v>1664</v>
      </c>
      <c r="I1756">
        <v>220</v>
      </c>
      <c r="J1756">
        <v>28</v>
      </c>
      <c r="K1756">
        <f t="shared" si="110"/>
        <v>12.727272727272727</v>
      </c>
      <c r="L1756" t="s">
        <v>1744</v>
      </c>
      <c r="M1756" t="s">
        <v>3746</v>
      </c>
      <c r="N1756" t="s">
        <v>1</v>
      </c>
      <c r="O1756">
        <v>500072</v>
      </c>
      <c r="P1756" t="s">
        <v>546</v>
      </c>
      <c r="Q1756" t="s">
        <v>1773</v>
      </c>
      <c r="S1756">
        <v>8.56</v>
      </c>
      <c r="T1756">
        <v>2</v>
      </c>
      <c r="U1756">
        <v>0</v>
      </c>
      <c r="V1756">
        <v>3.8519999999999999</v>
      </c>
      <c r="W1756">
        <f t="shared" si="111"/>
        <v>2.3540000000000001</v>
      </c>
      <c r="X1756">
        <v>1</v>
      </c>
    </row>
    <row r="1757" spans="1:24" x14ac:dyDescent="0.3">
      <c r="A1757">
        <v>1756</v>
      </c>
      <c r="B1757" t="s">
        <v>3508</v>
      </c>
      <c r="C1757" s="6">
        <v>45952</v>
      </c>
      <c r="D1757" t="str">
        <f t="shared" si="108"/>
        <v>Oct</v>
      </c>
      <c r="E1757" t="str">
        <f t="shared" si="109"/>
        <v>2025</v>
      </c>
      <c r="F1757" t="s">
        <v>3</v>
      </c>
      <c r="G1757" t="s">
        <v>506</v>
      </c>
      <c r="H1757" t="s">
        <v>1386</v>
      </c>
      <c r="I1757">
        <v>190</v>
      </c>
      <c r="J1757">
        <v>14</v>
      </c>
      <c r="K1757">
        <f t="shared" si="110"/>
        <v>7.3684210526315779</v>
      </c>
      <c r="L1757" t="s">
        <v>1740</v>
      </c>
      <c r="M1757" t="s">
        <v>3799</v>
      </c>
      <c r="N1757" t="s">
        <v>1</v>
      </c>
      <c r="O1757">
        <v>500072</v>
      </c>
      <c r="P1757" t="s">
        <v>546</v>
      </c>
      <c r="Q1757" t="s">
        <v>1761</v>
      </c>
      <c r="R1757" t="s">
        <v>2</v>
      </c>
      <c r="S1757">
        <v>360.71199999999999</v>
      </c>
      <c r="T1757">
        <v>11</v>
      </c>
      <c r="U1757">
        <v>0.2</v>
      </c>
      <c r="V1757">
        <v>130.75810000000001</v>
      </c>
      <c r="W1757">
        <f t="shared" si="111"/>
        <v>20.904899999999998</v>
      </c>
      <c r="X1757">
        <v>1</v>
      </c>
    </row>
    <row r="1758" spans="1:24" x14ac:dyDescent="0.3">
      <c r="A1758">
        <v>1757</v>
      </c>
      <c r="B1758" t="s">
        <v>3509</v>
      </c>
      <c r="C1758" s="6">
        <v>45953</v>
      </c>
      <c r="D1758" t="str">
        <f t="shared" si="108"/>
        <v>Oct</v>
      </c>
      <c r="E1758" t="str">
        <f t="shared" si="109"/>
        <v>2025</v>
      </c>
      <c r="F1758" t="s">
        <v>3</v>
      </c>
      <c r="G1758" t="s">
        <v>506</v>
      </c>
      <c r="H1758" t="s">
        <v>1665</v>
      </c>
      <c r="I1758">
        <v>100</v>
      </c>
      <c r="J1758">
        <v>12</v>
      </c>
      <c r="K1758">
        <f t="shared" si="110"/>
        <v>12</v>
      </c>
      <c r="L1758" t="s">
        <v>1742</v>
      </c>
      <c r="M1758" t="s">
        <v>3800</v>
      </c>
      <c r="N1758" t="s">
        <v>1</v>
      </c>
      <c r="O1758">
        <v>560048</v>
      </c>
      <c r="P1758" t="s">
        <v>546</v>
      </c>
      <c r="Q1758" t="s">
        <v>1754</v>
      </c>
      <c r="S1758">
        <v>1718.4</v>
      </c>
      <c r="T1758">
        <v>6</v>
      </c>
      <c r="U1758">
        <v>0.2</v>
      </c>
      <c r="V1758">
        <v>150.36000000000001</v>
      </c>
      <c r="W1758">
        <f t="shared" si="111"/>
        <v>261.33999999999997</v>
      </c>
      <c r="X1758">
        <v>3</v>
      </c>
    </row>
    <row r="1759" spans="1:24" x14ac:dyDescent="0.3">
      <c r="A1759">
        <v>1758</v>
      </c>
      <c r="B1759" t="s">
        <v>3510</v>
      </c>
      <c r="C1759" s="6">
        <v>45954</v>
      </c>
      <c r="D1759" t="str">
        <f t="shared" si="108"/>
        <v>Oct</v>
      </c>
      <c r="E1759" t="str">
        <f t="shared" si="109"/>
        <v>2025</v>
      </c>
      <c r="F1759" t="s">
        <v>5</v>
      </c>
      <c r="G1759" t="s">
        <v>366</v>
      </c>
      <c r="H1759" t="s">
        <v>1549</v>
      </c>
      <c r="I1759">
        <v>110</v>
      </c>
      <c r="J1759">
        <v>20</v>
      </c>
      <c r="K1759">
        <f t="shared" si="110"/>
        <v>18.181818181818183</v>
      </c>
      <c r="L1759" t="s">
        <v>1739</v>
      </c>
      <c r="M1759" t="s">
        <v>3637</v>
      </c>
      <c r="N1759" t="s">
        <v>1</v>
      </c>
      <c r="O1759">
        <v>411014</v>
      </c>
      <c r="P1759" t="s">
        <v>546</v>
      </c>
      <c r="Q1759" t="s">
        <v>1756</v>
      </c>
      <c r="S1759">
        <v>41.567999999999998</v>
      </c>
      <c r="T1759">
        <v>6</v>
      </c>
      <c r="U1759">
        <v>0.8</v>
      </c>
      <c r="V1759">
        <v>-66.508799999999994</v>
      </c>
      <c r="W1759">
        <f t="shared" si="111"/>
        <v>18.012799999999999</v>
      </c>
      <c r="X1759">
        <v>4</v>
      </c>
    </row>
    <row r="1760" spans="1:24" x14ac:dyDescent="0.3">
      <c r="A1760">
        <v>1759</v>
      </c>
      <c r="B1760" t="s">
        <v>3511</v>
      </c>
      <c r="C1760" s="6">
        <v>45955</v>
      </c>
      <c r="D1760" t="str">
        <f t="shared" si="108"/>
        <v>Oct</v>
      </c>
      <c r="E1760" t="str">
        <f t="shared" si="109"/>
        <v>2025</v>
      </c>
      <c r="F1760" t="s">
        <v>4</v>
      </c>
      <c r="G1760" t="s">
        <v>535</v>
      </c>
      <c r="H1760" t="s">
        <v>1372</v>
      </c>
      <c r="I1760">
        <v>100</v>
      </c>
      <c r="J1760">
        <v>26</v>
      </c>
      <c r="K1760">
        <f t="shared" si="110"/>
        <v>26</v>
      </c>
      <c r="L1760" t="s">
        <v>1738</v>
      </c>
      <c r="M1760" t="s">
        <v>3814</v>
      </c>
      <c r="N1760" t="s">
        <v>1</v>
      </c>
      <c r="O1760">
        <v>226012</v>
      </c>
      <c r="P1760" t="s">
        <v>546</v>
      </c>
      <c r="Q1760" t="s">
        <v>1763</v>
      </c>
      <c r="S1760">
        <v>46.863999999999997</v>
      </c>
      <c r="T1760">
        <v>2</v>
      </c>
      <c r="U1760">
        <v>0.2</v>
      </c>
      <c r="V1760">
        <v>7.6154000000000002</v>
      </c>
      <c r="W1760">
        <f t="shared" si="111"/>
        <v>19.624299999999998</v>
      </c>
      <c r="X1760">
        <v>5</v>
      </c>
    </row>
    <row r="1761" spans="1:24" x14ac:dyDescent="0.3">
      <c r="A1761">
        <v>1760</v>
      </c>
      <c r="B1761" t="s">
        <v>3512</v>
      </c>
      <c r="C1761" s="6">
        <v>45956</v>
      </c>
      <c r="D1761" t="str">
        <f t="shared" si="108"/>
        <v>Oct</v>
      </c>
      <c r="E1761" t="str">
        <f t="shared" si="109"/>
        <v>2025</v>
      </c>
      <c r="F1761" t="s">
        <v>4</v>
      </c>
      <c r="G1761" t="s">
        <v>476</v>
      </c>
      <c r="H1761" t="s">
        <v>906</v>
      </c>
      <c r="I1761">
        <v>220</v>
      </c>
      <c r="J1761">
        <v>14</v>
      </c>
      <c r="K1761">
        <f t="shared" si="110"/>
        <v>6.3636363636363633</v>
      </c>
      <c r="L1761" t="s">
        <v>1737</v>
      </c>
      <c r="M1761" t="s">
        <v>3813</v>
      </c>
      <c r="N1761" t="s">
        <v>1</v>
      </c>
      <c r="O1761">
        <v>700053</v>
      </c>
      <c r="P1761" t="s">
        <v>546</v>
      </c>
      <c r="Q1761" t="s">
        <v>1774</v>
      </c>
      <c r="R1761" t="s">
        <v>2</v>
      </c>
      <c r="S1761">
        <v>19.536000000000001</v>
      </c>
      <c r="T1761">
        <v>3</v>
      </c>
      <c r="U1761">
        <v>0.2</v>
      </c>
      <c r="V1761">
        <v>4.8840000000000003</v>
      </c>
      <c r="W1761">
        <f t="shared" si="111"/>
        <v>4.8840000000000003</v>
      </c>
      <c r="X1761">
        <v>3</v>
      </c>
    </row>
    <row r="1762" spans="1:24" x14ac:dyDescent="0.3">
      <c r="A1762">
        <v>1761</v>
      </c>
      <c r="B1762" t="s">
        <v>3513</v>
      </c>
      <c r="C1762" s="6">
        <v>45957</v>
      </c>
      <c r="D1762" t="str">
        <f t="shared" si="108"/>
        <v>Oct</v>
      </c>
      <c r="E1762" t="str">
        <f t="shared" si="109"/>
        <v>2025</v>
      </c>
      <c r="F1762" t="s">
        <v>4</v>
      </c>
      <c r="G1762" t="s">
        <v>158</v>
      </c>
      <c r="H1762" t="s">
        <v>1666</v>
      </c>
      <c r="I1762">
        <v>190</v>
      </c>
      <c r="J1762">
        <v>20</v>
      </c>
      <c r="K1762">
        <f t="shared" si="110"/>
        <v>10.526315789473683</v>
      </c>
      <c r="L1762" t="s">
        <v>1743</v>
      </c>
      <c r="M1762" t="s">
        <v>3610</v>
      </c>
      <c r="N1762" t="s">
        <v>1</v>
      </c>
      <c r="O1762">
        <v>416008</v>
      </c>
      <c r="P1762" t="s">
        <v>546</v>
      </c>
      <c r="Q1762" t="s">
        <v>1756</v>
      </c>
      <c r="S1762">
        <v>411.33199999999999</v>
      </c>
      <c r="T1762">
        <v>4</v>
      </c>
      <c r="U1762">
        <v>0.15</v>
      </c>
      <c r="V1762">
        <v>-4.8391999999999999</v>
      </c>
      <c r="W1762">
        <f t="shared" si="111"/>
        <v>104.0428</v>
      </c>
      <c r="X1762">
        <v>1</v>
      </c>
    </row>
    <row r="1763" spans="1:24" x14ac:dyDescent="0.3">
      <c r="A1763">
        <v>1762</v>
      </c>
      <c r="B1763" t="s">
        <v>3514</v>
      </c>
      <c r="C1763" s="6">
        <v>45958</v>
      </c>
      <c r="D1763" t="str">
        <f t="shared" si="108"/>
        <v>Oct</v>
      </c>
      <c r="E1763" t="str">
        <f t="shared" si="109"/>
        <v>2025</v>
      </c>
      <c r="F1763" t="s">
        <v>4</v>
      </c>
      <c r="G1763" t="s">
        <v>158</v>
      </c>
      <c r="H1763" t="s">
        <v>1667</v>
      </c>
      <c r="I1763">
        <v>210</v>
      </c>
      <c r="J1763">
        <v>8</v>
      </c>
      <c r="K1763">
        <f t="shared" si="110"/>
        <v>3.8095238095238098</v>
      </c>
      <c r="L1763" t="s">
        <v>1738</v>
      </c>
      <c r="M1763" t="s">
        <v>3807</v>
      </c>
      <c r="N1763" t="s">
        <v>1</v>
      </c>
      <c r="O1763">
        <v>110065</v>
      </c>
      <c r="P1763" t="s">
        <v>546</v>
      </c>
      <c r="Q1763" t="s">
        <v>1757</v>
      </c>
      <c r="R1763" t="s">
        <v>2</v>
      </c>
      <c r="S1763">
        <v>28.751999999999999</v>
      </c>
      <c r="T1763">
        <v>6</v>
      </c>
      <c r="U1763">
        <v>0.2</v>
      </c>
      <c r="V1763">
        <v>9.7037999999999993</v>
      </c>
      <c r="W1763">
        <f t="shared" si="111"/>
        <v>3.1747000000000001</v>
      </c>
      <c r="X1763">
        <v>3</v>
      </c>
    </row>
    <row r="1764" spans="1:24" x14ac:dyDescent="0.3">
      <c r="A1764">
        <v>1763</v>
      </c>
      <c r="B1764" t="s">
        <v>3285</v>
      </c>
      <c r="C1764" s="6">
        <v>45959</v>
      </c>
      <c r="D1764" t="str">
        <f t="shared" si="108"/>
        <v>Oct</v>
      </c>
      <c r="E1764" t="str">
        <f t="shared" si="109"/>
        <v>2025</v>
      </c>
      <c r="F1764" t="s">
        <v>4</v>
      </c>
      <c r="G1764" t="s">
        <v>158</v>
      </c>
      <c r="H1764" t="s">
        <v>1668</v>
      </c>
      <c r="I1764">
        <v>140</v>
      </c>
      <c r="J1764">
        <v>30</v>
      </c>
      <c r="K1764">
        <f t="shared" si="110"/>
        <v>21.428571428571427</v>
      </c>
      <c r="L1764" t="s">
        <v>1739</v>
      </c>
      <c r="M1764" t="s">
        <v>3707</v>
      </c>
      <c r="N1764" t="s">
        <v>1</v>
      </c>
      <c r="O1764">
        <v>700023</v>
      </c>
      <c r="P1764" t="s">
        <v>546</v>
      </c>
      <c r="Q1764" t="s">
        <v>1768</v>
      </c>
      <c r="R1764" t="s">
        <v>2</v>
      </c>
      <c r="S1764">
        <v>293.19900000000001</v>
      </c>
      <c r="T1764">
        <v>3</v>
      </c>
      <c r="U1764">
        <v>0.15</v>
      </c>
      <c r="V1764">
        <v>-20.696400000000001</v>
      </c>
      <c r="W1764">
        <f t="shared" si="111"/>
        <v>104.6318</v>
      </c>
      <c r="X1764">
        <v>5</v>
      </c>
    </row>
    <row r="1765" spans="1:24" x14ac:dyDescent="0.3">
      <c r="A1765">
        <v>1764</v>
      </c>
      <c r="B1765" t="s">
        <v>3515</v>
      </c>
      <c r="C1765" s="6">
        <v>45960</v>
      </c>
      <c r="D1765" t="str">
        <f t="shared" si="108"/>
        <v>Oct</v>
      </c>
      <c r="E1765" t="str">
        <f t="shared" si="109"/>
        <v>2025</v>
      </c>
      <c r="F1765" t="s">
        <v>4</v>
      </c>
      <c r="G1765" t="s">
        <v>536</v>
      </c>
      <c r="H1765" t="s">
        <v>901</v>
      </c>
      <c r="I1765">
        <v>150</v>
      </c>
      <c r="J1765">
        <v>14</v>
      </c>
      <c r="K1765">
        <f t="shared" si="110"/>
        <v>9.3333333333333339</v>
      </c>
      <c r="L1765" t="s">
        <v>1741</v>
      </c>
      <c r="M1765" t="s">
        <v>3805</v>
      </c>
      <c r="N1765" t="s">
        <v>1</v>
      </c>
      <c r="O1765">
        <v>226002</v>
      </c>
      <c r="P1765" t="s">
        <v>546</v>
      </c>
      <c r="Q1765" t="s">
        <v>1761</v>
      </c>
      <c r="S1765">
        <v>35.06</v>
      </c>
      <c r="T1765">
        <v>2</v>
      </c>
      <c r="U1765">
        <v>0</v>
      </c>
      <c r="V1765">
        <v>10.518000000000001</v>
      </c>
      <c r="W1765">
        <f t="shared" si="111"/>
        <v>12.271000000000001</v>
      </c>
      <c r="X1765">
        <v>1</v>
      </c>
    </row>
    <row r="1766" spans="1:24" x14ac:dyDescent="0.3">
      <c r="A1766">
        <v>1765</v>
      </c>
      <c r="B1766" t="s">
        <v>3516</v>
      </c>
      <c r="C1766" s="6">
        <v>45961</v>
      </c>
      <c r="D1766" t="str">
        <f t="shared" si="108"/>
        <v>Oct</v>
      </c>
      <c r="E1766" t="str">
        <f t="shared" si="109"/>
        <v>2025</v>
      </c>
      <c r="F1766" t="s">
        <v>4</v>
      </c>
      <c r="G1766" t="s">
        <v>536</v>
      </c>
      <c r="H1766" t="s">
        <v>1164</v>
      </c>
      <c r="I1766">
        <v>170</v>
      </c>
      <c r="J1766">
        <v>12</v>
      </c>
      <c r="K1766">
        <f t="shared" si="110"/>
        <v>7.0588235294117645</v>
      </c>
      <c r="L1766" t="s">
        <v>1736</v>
      </c>
      <c r="M1766" t="s">
        <v>3797</v>
      </c>
      <c r="N1766" t="s">
        <v>1</v>
      </c>
      <c r="O1766">
        <v>412101</v>
      </c>
      <c r="P1766" t="s">
        <v>546</v>
      </c>
      <c r="Q1766" t="s">
        <v>1761</v>
      </c>
      <c r="S1766">
        <v>4.13</v>
      </c>
      <c r="T1766">
        <v>1</v>
      </c>
      <c r="U1766">
        <v>0</v>
      </c>
      <c r="V1766">
        <v>1.8997999999999999</v>
      </c>
      <c r="W1766">
        <f t="shared" si="111"/>
        <v>2.2302</v>
      </c>
      <c r="X1766">
        <v>5</v>
      </c>
    </row>
    <row r="1767" spans="1:24" x14ac:dyDescent="0.3">
      <c r="A1767">
        <v>1766</v>
      </c>
      <c r="B1767" t="s">
        <v>3517</v>
      </c>
      <c r="C1767" s="6">
        <v>45962</v>
      </c>
      <c r="D1767" t="str">
        <f t="shared" si="108"/>
        <v>Nov</v>
      </c>
      <c r="E1767" t="str">
        <f t="shared" si="109"/>
        <v>2025</v>
      </c>
      <c r="F1767" t="s">
        <v>4</v>
      </c>
      <c r="G1767" t="s">
        <v>536</v>
      </c>
      <c r="H1767" t="s">
        <v>1669</v>
      </c>
      <c r="I1767">
        <v>210</v>
      </c>
      <c r="J1767">
        <v>22</v>
      </c>
      <c r="K1767">
        <f t="shared" si="110"/>
        <v>10.476190476190476</v>
      </c>
      <c r="L1767" t="s">
        <v>1744</v>
      </c>
      <c r="M1767" t="s">
        <v>3685</v>
      </c>
      <c r="N1767" t="s">
        <v>1</v>
      </c>
      <c r="O1767">
        <v>411033</v>
      </c>
      <c r="P1767" t="s">
        <v>546</v>
      </c>
      <c r="Q1767" t="s">
        <v>1764</v>
      </c>
      <c r="S1767">
        <v>109.8</v>
      </c>
      <c r="T1767">
        <v>9</v>
      </c>
      <c r="U1767">
        <v>0</v>
      </c>
      <c r="V1767">
        <v>46.116</v>
      </c>
      <c r="W1767">
        <f t="shared" si="111"/>
        <v>7.0759999999999996</v>
      </c>
      <c r="X1767">
        <v>4</v>
      </c>
    </row>
    <row r="1768" spans="1:24" x14ac:dyDescent="0.3">
      <c r="A1768">
        <v>1767</v>
      </c>
      <c r="B1768" t="s">
        <v>3518</v>
      </c>
      <c r="C1768" s="6">
        <v>45963</v>
      </c>
      <c r="D1768" t="str">
        <f t="shared" si="108"/>
        <v>Nov</v>
      </c>
      <c r="E1768" t="str">
        <f t="shared" si="109"/>
        <v>2025</v>
      </c>
      <c r="F1768" t="s">
        <v>4</v>
      </c>
      <c r="G1768" t="s">
        <v>536</v>
      </c>
      <c r="H1768" t="s">
        <v>1670</v>
      </c>
      <c r="I1768">
        <v>170</v>
      </c>
      <c r="J1768">
        <v>8</v>
      </c>
      <c r="K1768">
        <f t="shared" si="110"/>
        <v>4.7058823529411766</v>
      </c>
      <c r="L1768" t="s">
        <v>1740</v>
      </c>
      <c r="M1768" t="s">
        <v>3791</v>
      </c>
      <c r="N1768" t="s">
        <v>1</v>
      </c>
      <c r="O1768">
        <v>474006</v>
      </c>
      <c r="P1768" t="s">
        <v>546</v>
      </c>
      <c r="Q1768" t="s">
        <v>1759</v>
      </c>
      <c r="R1768" t="s">
        <v>2</v>
      </c>
      <c r="S1768">
        <v>9.82</v>
      </c>
      <c r="T1768">
        <v>2</v>
      </c>
      <c r="U1768">
        <v>0</v>
      </c>
      <c r="V1768">
        <v>4.8117999999999999</v>
      </c>
      <c r="W1768">
        <f t="shared" si="111"/>
        <v>2.5041000000000002</v>
      </c>
      <c r="X1768">
        <v>3</v>
      </c>
    </row>
    <row r="1769" spans="1:24" x14ac:dyDescent="0.3">
      <c r="A1769">
        <v>1768</v>
      </c>
      <c r="B1769" t="s">
        <v>3519</v>
      </c>
      <c r="C1769" s="6">
        <v>45964</v>
      </c>
      <c r="D1769" t="str">
        <f t="shared" si="108"/>
        <v>Nov</v>
      </c>
      <c r="E1769" t="str">
        <f t="shared" si="109"/>
        <v>2025</v>
      </c>
      <c r="F1769" t="s">
        <v>4</v>
      </c>
      <c r="G1769" t="s">
        <v>537</v>
      </c>
      <c r="H1769" t="s">
        <v>595</v>
      </c>
      <c r="I1769">
        <v>180</v>
      </c>
      <c r="J1769">
        <v>8</v>
      </c>
      <c r="K1769">
        <f t="shared" si="110"/>
        <v>4.4444444444444446</v>
      </c>
      <c r="L1769" t="s">
        <v>1742</v>
      </c>
      <c r="M1769" t="s">
        <v>3647</v>
      </c>
      <c r="N1769" t="s">
        <v>1</v>
      </c>
      <c r="O1769">
        <v>411033</v>
      </c>
      <c r="P1769" t="s">
        <v>546</v>
      </c>
      <c r="Q1769" t="s">
        <v>1772</v>
      </c>
      <c r="S1769">
        <v>7.6440000000000001</v>
      </c>
      <c r="T1769">
        <v>4</v>
      </c>
      <c r="U1769">
        <v>0.7</v>
      </c>
      <c r="V1769">
        <v>-5.8604000000000003</v>
      </c>
      <c r="W1769">
        <f t="shared" si="111"/>
        <v>3.3761000000000001</v>
      </c>
      <c r="X1769">
        <v>3</v>
      </c>
    </row>
    <row r="1770" spans="1:24" x14ac:dyDescent="0.3">
      <c r="A1770">
        <v>1769</v>
      </c>
      <c r="B1770" t="s">
        <v>3520</v>
      </c>
      <c r="C1770" s="6">
        <v>45965</v>
      </c>
      <c r="D1770" t="str">
        <f t="shared" si="108"/>
        <v>Nov</v>
      </c>
      <c r="E1770" t="str">
        <f t="shared" si="109"/>
        <v>2025</v>
      </c>
      <c r="F1770" t="s">
        <v>4</v>
      </c>
      <c r="G1770" t="s">
        <v>537</v>
      </c>
      <c r="H1770" t="s">
        <v>688</v>
      </c>
      <c r="I1770">
        <v>140</v>
      </c>
      <c r="J1770">
        <v>6</v>
      </c>
      <c r="K1770">
        <f t="shared" si="110"/>
        <v>4.2857142857142856</v>
      </c>
      <c r="L1770" t="s">
        <v>1739</v>
      </c>
      <c r="M1770" t="s">
        <v>3697</v>
      </c>
      <c r="N1770" t="s">
        <v>1</v>
      </c>
      <c r="O1770">
        <v>590016</v>
      </c>
      <c r="P1770" t="s">
        <v>546</v>
      </c>
      <c r="Q1770" t="s">
        <v>1767</v>
      </c>
      <c r="S1770">
        <v>51.465000000000003</v>
      </c>
      <c r="T1770">
        <v>5</v>
      </c>
      <c r="U1770">
        <v>0.7</v>
      </c>
      <c r="V1770">
        <v>-39.456499999999998</v>
      </c>
      <c r="W1770">
        <f t="shared" si="111"/>
        <v>18.1843</v>
      </c>
      <c r="X1770">
        <v>5</v>
      </c>
    </row>
    <row r="1771" spans="1:24" x14ac:dyDescent="0.3">
      <c r="A1771">
        <v>1770</v>
      </c>
      <c r="B1771" t="s">
        <v>3521</v>
      </c>
      <c r="C1771" s="6">
        <v>45966</v>
      </c>
      <c r="D1771" t="str">
        <f t="shared" si="108"/>
        <v>Nov</v>
      </c>
      <c r="E1771" t="str">
        <f t="shared" si="109"/>
        <v>2025</v>
      </c>
      <c r="F1771" t="s">
        <v>4</v>
      </c>
      <c r="G1771" t="s">
        <v>41</v>
      </c>
      <c r="H1771" t="s">
        <v>1029</v>
      </c>
      <c r="I1771">
        <v>170</v>
      </c>
      <c r="J1771">
        <v>20</v>
      </c>
      <c r="K1771">
        <f t="shared" si="110"/>
        <v>11.76470588235294</v>
      </c>
      <c r="L1771" t="s">
        <v>1738</v>
      </c>
      <c r="M1771" t="s">
        <v>3801</v>
      </c>
      <c r="N1771" t="s">
        <v>1</v>
      </c>
      <c r="O1771">
        <v>700028</v>
      </c>
      <c r="P1771" t="s">
        <v>546</v>
      </c>
      <c r="Q1771" t="s">
        <v>1761</v>
      </c>
      <c r="S1771">
        <v>6.976</v>
      </c>
      <c r="T1771">
        <v>4</v>
      </c>
      <c r="U1771">
        <v>0.2</v>
      </c>
      <c r="V1771">
        <v>-1.3952</v>
      </c>
      <c r="W1771">
        <f t="shared" si="111"/>
        <v>2.0928</v>
      </c>
      <c r="X1771">
        <v>3</v>
      </c>
    </row>
    <row r="1772" spans="1:24" x14ac:dyDescent="0.3">
      <c r="A1772">
        <v>1771</v>
      </c>
      <c r="B1772" t="s">
        <v>3522</v>
      </c>
      <c r="C1772" s="6">
        <v>45967</v>
      </c>
      <c r="D1772" t="str">
        <f t="shared" si="108"/>
        <v>Nov</v>
      </c>
      <c r="E1772" t="str">
        <f t="shared" si="109"/>
        <v>2025</v>
      </c>
      <c r="F1772" t="s">
        <v>4</v>
      </c>
      <c r="G1772" t="s">
        <v>41</v>
      </c>
      <c r="H1772" t="s">
        <v>591</v>
      </c>
      <c r="I1772">
        <v>180</v>
      </c>
      <c r="J1772">
        <v>28</v>
      </c>
      <c r="K1772">
        <f t="shared" si="110"/>
        <v>15.555555555555555</v>
      </c>
      <c r="L1772" t="s">
        <v>1737</v>
      </c>
      <c r="M1772" t="s">
        <v>3787</v>
      </c>
      <c r="N1772" t="s">
        <v>1</v>
      </c>
      <c r="O1772">
        <v>700028</v>
      </c>
      <c r="P1772" t="s">
        <v>546</v>
      </c>
      <c r="Q1772" t="s">
        <v>1763</v>
      </c>
      <c r="R1772" t="s">
        <v>2</v>
      </c>
      <c r="S1772">
        <v>12.222</v>
      </c>
      <c r="T1772">
        <v>7</v>
      </c>
      <c r="U1772">
        <v>0.8</v>
      </c>
      <c r="V1772">
        <v>-20.1663</v>
      </c>
      <c r="W1772">
        <f t="shared" si="111"/>
        <v>4.6269</v>
      </c>
      <c r="X1772">
        <v>1</v>
      </c>
    </row>
    <row r="1773" spans="1:24" x14ac:dyDescent="0.3">
      <c r="A1773">
        <v>1772</v>
      </c>
      <c r="B1773" t="s">
        <v>3523</v>
      </c>
      <c r="C1773" s="6">
        <v>45968</v>
      </c>
      <c r="D1773" t="str">
        <f t="shared" si="108"/>
        <v>Nov</v>
      </c>
      <c r="E1773" t="str">
        <f t="shared" si="109"/>
        <v>2025</v>
      </c>
      <c r="F1773" t="s">
        <v>3</v>
      </c>
      <c r="G1773" t="s">
        <v>62</v>
      </c>
      <c r="H1773" t="s">
        <v>1401</v>
      </c>
      <c r="I1773">
        <v>120</v>
      </c>
      <c r="J1773">
        <v>10</v>
      </c>
      <c r="K1773">
        <f t="shared" si="110"/>
        <v>8.3333333333333321</v>
      </c>
      <c r="L1773" t="s">
        <v>1743</v>
      </c>
      <c r="M1773" t="s">
        <v>3736</v>
      </c>
      <c r="N1773" t="s">
        <v>1</v>
      </c>
      <c r="O1773">
        <v>401107</v>
      </c>
      <c r="P1773" t="s">
        <v>546</v>
      </c>
      <c r="Q1773" t="s">
        <v>1768</v>
      </c>
      <c r="S1773">
        <v>97.983999999999995</v>
      </c>
      <c r="T1773">
        <v>2</v>
      </c>
      <c r="U1773">
        <v>0.2</v>
      </c>
      <c r="V1773">
        <v>-24.495999999999999</v>
      </c>
      <c r="W1773">
        <f t="shared" si="111"/>
        <v>61.239999999999995</v>
      </c>
      <c r="X1773">
        <v>5</v>
      </c>
    </row>
    <row r="1774" spans="1:24" x14ac:dyDescent="0.3">
      <c r="A1774">
        <v>1773</v>
      </c>
      <c r="B1774" t="s">
        <v>3524</v>
      </c>
      <c r="C1774" s="6">
        <v>45969</v>
      </c>
      <c r="D1774" t="str">
        <f t="shared" si="108"/>
        <v>Nov</v>
      </c>
      <c r="E1774" t="str">
        <f t="shared" si="109"/>
        <v>2025</v>
      </c>
      <c r="F1774" t="s">
        <v>3</v>
      </c>
      <c r="G1774" t="s">
        <v>62</v>
      </c>
      <c r="H1774" t="s">
        <v>744</v>
      </c>
      <c r="I1774">
        <v>220</v>
      </c>
      <c r="J1774">
        <v>6</v>
      </c>
      <c r="K1774">
        <f t="shared" si="110"/>
        <v>2.7272727272727271</v>
      </c>
      <c r="L1774" t="s">
        <v>1738</v>
      </c>
      <c r="M1774" t="s">
        <v>3804</v>
      </c>
      <c r="N1774" t="s">
        <v>1</v>
      </c>
      <c r="O1774">
        <v>532001</v>
      </c>
      <c r="P1774" t="s">
        <v>546</v>
      </c>
      <c r="Q1774" t="s">
        <v>1767</v>
      </c>
      <c r="S1774">
        <v>62.4</v>
      </c>
      <c r="T1774">
        <v>6</v>
      </c>
      <c r="U1774">
        <v>0.2</v>
      </c>
      <c r="V1774">
        <v>19.5</v>
      </c>
      <c r="W1774">
        <f t="shared" si="111"/>
        <v>7.1499999999999995</v>
      </c>
      <c r="X1774">
        <v>3</v>
      </c>
    </row>
    <row r="1775" spans="1:24" x14ac:dyDescent="0.3">
      <c r="A1775">
        <v>1774</v>
      </c>
      <c r="B1775" t="s">
        <v>3525</v>
      </c>
      <c r="C1775" s="6">
        <v>45970</v>
      </c>
      <c r="D1775" t="str">
        <f t="shared" si="108"/>
        <v>Nov</v>
      </c>
      <c r="E1775" t="str">
        <f t="shared" si="109"/>
        <v>2025</v>
      </c>
      <c r="F1775" t="s">
        <v>4</v>
      </c>
      <c r="G1775" t="s">
        <v>508</v>
      </c>
      <c r="H1775" t="s">
        <v>1671</v>
      </c>
      <c r="I1775">
        <v>220</v>
      </c>
      <c r="J1775">
        <v>8</v>
      </c>
      <c r="K1775">
        <f t="shared" si="110"/>
        <v>3.6363636363636362</v>
      </c>
      <c r="L1775" t="s">
        <v>1739</v>
      </c>
      <c r="M1775" t="s">
        <v>3588</v>
      </c>
      <c r="N1775" t="s">
        <v>1</v>
      </c>
      <c r="O1775">
        <v>400614</v>
      </c>
      <c r="P1775" t="s">
        <v>546</v>
      </c>
      <c r="Q1775" t="s">
        <v>1768</v>
      </c>
      <c r="S1775">
        <v>20.86</v>
      </c>
      <c r="T1775">
        <v>2</v>
      </c>
      <c r="U1775">
        <v>0</v>
      </c>
      <c r="V1775">
        <v>9.3870000000000005</v>
      </c>
      <c r="W1775">
        <f t="shared" si="111"/>
        <v>5.7364999999999995</v>
      </c>
      <c r="X1775">
        <v>4</v>
      </c>
    </row>
    <row r="1776" spans="1:24" x14ac:dyDescent="0.3">
      <c r="A1776">
        <v>1775</v>
      </c>
      <c r="B1776" t="s">
        <v>3526</v>
      </c>
      <c r="C1776" s="6">
        <v>45971</v>
      </c>
      <c r="D1776" t="str">
        <f t="shared" si="108"/>
        <v>Nov</v>
      </c>
      <c r="E1776" t="str">
        <f t="shared" si="109"/>
        <v>2025</v>
      </c>
      <c r="F1776" t="s">
        <v>4</v>
      </c>
      <c r="G1776" t="s">
        <v>508</v>
      </c>
      <c r="H1776" t="s">
        <v>1672</v>
      </c>
      <c r="I1776">
        <v>230</v>
      </c>
      <c r="J1776">
        <v>6</v>
      </c>
      <c r="K1776">
        <f t="shared" si="110"/>
        <v>2.6086956521739131</v>
      </c>
      <c r="L1776" t="s">
        <v>1741</v>
      </c>
      <c r="M1776" t="s">
        <v>3789</v>
      </c>
      <c r="N1776" t="s">
        <v>1</v>
      </c>
      <c r="O1776">
        <v>641025</v>
      </c>
      <c r="P1776" t="s">
        <v>546</v>
      </c>
      <c r="Q1776" t="s">
        <v>1761</v>
      </c>
      <c r="S1776">
        <v>497.61</v>
      </c>
      <c r="T1776">
        <v>9</v>
      </c>
      <c r="U1776">
        <v>0</v>
      </c>
      <c r="V1776">
        <v>129.37860000000001</v>
      </c>
      <c r="W1776">
        <f t="shared" si="111"/>
        <v>40.9146</v>
      </c>
      <c r="X1776">
        <v>2</v>
      </c>
    </row>
    <row r="1777" spans="1:24" x14ac:dyDescent="0.3">
      <c r="A1777">
        <v>1776</v>
      </c>
      <c r="B1777" t="s">
        <v>3527</v>
      </c>
      <c r="C1777" s="6">
        <v>45972</v>
      </c>
      <c r="D1777" t="str">
        <f t="shared" si="108"/>
        <v>Nov</v>
      </c>
      <c r="E1777" t="str">
        <f t="shared" si="109"/>
        <v>2025</v>
      </c>
      <c r="F1777" t="s">
        <v>4</v>
      </c>
      <c r="G1777" t="s">
        <v>508</v>
      </c>
      <c r="H1777" t="s">
        <v>1673</v>
      </c>
      <c r="I1777">
        <v>170</v>
      </c>
      <c r="J1777">
        <v>6</v>
      </c>
      <c r="K1777">
        <f t="shared" si="110"/>
        <v>3.5294117647058822</v>
      </c>
      <c r="L1777" t="s">
        <v>1736</v>
      </c>
      <c r="M1777" t="s">
        <v>3790</v>
      </c>
      <c r="N1777" t="s">
        <v>1</v>
      </c>
      <c r="O1777">
        <v>570017</v>
      </c>
      <c r="P1777" t="s">
        <v>546</v>
      </c>
      <c r="Q1777" t="s">
        <v>1761</v>
      </c>
      <c r="S1777">
        <v>5.34</v>
      </c>
      <c r="T1777">
        <v>2</v>
      </c>
      <c r="U1777">
        <v>0</v>
      </c>
      <c r="V1777">
        <v>1.4952000000000001</v>
      </c>
      <c r="W1777">
        <f t="shared" si="111"/>
        <v>1.9223999999999999</v>
      </c>
      <c r="X1777">
        <v>1</v>
      </c>
    </row>
    <row r="1778" spans="1:24" x14ac:dyDescent="0.3">
      <c r="A1778">
        <v>1777</v>
      </c>
      <c r="B1778" t="s">
        <v>3528</v>
      </c>
      <c r="C1778" s="6">
        <v>45973</v>
      </c>
      <c r="D1778" t="str">
        <f t="shared" si="108"/>
        <v>Nov</v>
      </c>
      <c r="E1778" t="str">
        <f t="shared" si="109"/>
        <v>2025</v>
      </c>
      <c r="F1778" t="s">
        <v>4</v>
      </c>
      <c r="G1778" t="s">
        <v>508</v>
      </c>
      <c r="H1778" t="s">
        <v>1363</v>
      </c>
      <c r="I1778">
        <v>210</v>
      </c>
      <c r="J1778">
        <v>30</v>
      </c>
      <c r="K1778">
        <f t="shared" si="110"/>
        <v>14.285714285714285</v>
      </c>
      <c r="L1778" t="s">
        <v>1744</v>
      </c>
      <c r="M1778" t="s">
        <v>3798</v>
      </c>
      <c r="N1778" t="s">
        <v>1</v>
      </c>
      <c r="O1778">
        <v>570017</v>
      </c>
      <c r="P1778" t="s">
        <v>546</v>
      </c>
      <c r="Q1778" t="s">
        <v>1763</v>
      </c>
      <c r="R1778" t="s">
        <v>2</v>
      </c>
      <c r="S1778">
        <v>3.15</v>
      </c>
      <c r="T1778">
        <v>1</v>
      </c>
      <c r="U1778">
        <v>0</v>
      </c>
      <c r="V1778">
        <v>1.512</v>
      </c>
      <c r="W1778">
        <f t="shared" si="111"/>
        <v>1.6379999999999999</v>
      </c>
      <c r="X1778">
        <v>4</v>
      </c>
    </row>
    <row r="1779" spans="1:24" x14ac:dyDescent="0.3">
      <c r="A1779">
        <v>1778</v>
      </c>
      <c r="B1779" t="s">
        <v>3529</v>
      </c>
      <c r="C1779" s="6">
        <v>45974</v>
      </c>
      <c r="D1779" t="str">
        <f t="shared" si="108"/>
        <v>Nov</v>
      </c>
      <c r="E1779" t="str">
        <f t="shared" si="109"/>
        <v>2025</v>
      </c>
      <c r="F1779" t="s">
        <v>4</v>
      </c>
      <c r="G1779" t="s">
        <v>31</v>
      </c>
      <c r="H1779" t="s">
        <v>1674</v>
      </c>
      <c r="I1779">
        <v>170</v>
      </c>
      <c r="J1779">
        <v>10</v>
      </c>
      <c r="K1779">
        <f t="shared" si="110"/>
        <v>5.8823529411764701</v>
      </c>
      <c r="L1779" t="s">
        <v>1740</v>
      </c>
      <c r="M1779" t="s">
        <v>3834</v>
      </c>
      <c r="N1779" t="s">
        <v>1</v>
      </c>
      <c r="O1779">
        <v>411001</v>
      </c>
      <c r="P1779" t="s">
        <v>546</v>
      </c>
      <c r="Q1779" t="s">
        <v>1759</v>
      </c>
      <c r="R1779" t="s">
        <v>2</v>
      </c>
      <c r="S1779">
        <v>368.91</v>
      </c>
      <c r="T1779">
        <v>9</v>
      </c>
      <c r="U1779">
        <v>0</v>
      </c>
      <c r="V1779">
        <v>180.76589999999999</v>
      </c>
      <c r="W1779">
        <f t="shared" si="111"/>
        <v>20.904900000000005</v>
      </c>
      <c r="X1779">
        <v>3</v>
      </c>
    </row>
    <row r="1780" spans="1:24" x14ac:dyDescent="0.3">
      <c r="A1780">
        <v>1779</v>
      </c>
      <c r="B1780" t="s">
        <v>3530</v>
      </c>
      <c r="C1780" s="6">
        <v>45975</v>
      </c>
      <c r="D1780" t="str">
        <f t="shared" si="108"/>
        <v>Nov</v>
      </c>
      <c r="E1780" t="str">
        <f t="shared" si="109"/>
        <v>2025</v>
      </c>
      <c r="F1780" t="s">
        <v>4</v>
      </c>
      <c r="G1780" t="s">
        <v>31</v>
      </c>
      <c r="H1780" t="s">
        <v>972</v>
      </c>
      <c r="I1780">
        <v>240</v>
      </c>
      <c r="J1780">
        <v>14</v>
      </c>
      <c r="K1780">
        <f t="shared" si="110"/>
        <v>5.833333333333333</v>
      </c>
      <c r="L1780" t="s">
        <v>1742</v>
      </c>
      <c r="M1780" t="s">
        <v>3776</v>
      </c>
      <c r="N1780" t="s">
        <v>1</v>
      </c>
      <c r="O1780">
        <v>411001</v>
      </c>
      <c r="P1780" t="s">
        <v>546</v>
      </c>
      <c r="Q1780" t="s">
        <v>1769</v>
      </c>
      <c r="R1780" t="s">
        <v>2</v>
      </c>
      <c r="S1780">
        <v>14.7</v>
      </c>
      <c r="T1780">
        <v>5</v>
      </c>
      <c r="U1780">
        <v>0</v>
      </c>
      <c r="V1780">
        <v>6.6150000000000002</v>
      </c>
      <c r="W1780">
        <f t="shared" si="111"/>
        <v>1.6169999999999998</v>
      </c>
      <c r="X1780">
        <v>3</v>
      </c>
    </row>
    <row r="1781" spans="1:24" x14ac:dyDescent="0.3">
      <c r="A1781">
        <v>1780</v>
      </c>
      <c r="B1781" t="s">
        <v>3531</v>
      </c>
      <c r="C1781" s="6">
        <v>45976</v>
      </c>
      <c r="D1781" t="str">
        <f t="shared" si="108"/>
        <v>Nov</v>
      </c>
      <c r="E1781" t="str">
        <f t="shared" si="109"/>
        <v>2025</v>
      </c>
      <c r="F1781" t="s">
        <v>4</v>
      </c>
      <c r="G1781" t="s">
        <v>427</v>
      </c>
      <c r="H1781" t="s">
        <v>1355</v>
      </c>
      <c r="I1781">
        <v>150</v>
      </c>
      <c r="J1781">
        <v>20</v>
      </c>
      <c r="K1781">
        <f t="shared" si="110"/>
        <v>13.333333333333334</v>
      </c>
      <c r="L1781" t="s">
        <v>1739</v>
      </c>
      <c r="M1781" t="s">
        <v>3785</v>
      </c>
      <c r="N1781" t="s">
        <v>1</v>
      </c>
      <c r="O1781">
        <v>560015</v>
      </c>
      <c r="P1781" t="s">
        <v>546</v>
      </c>
      <c r="Q1781" t="s">
        <v>1770</v>
      </c>
      <c r="S1781">
        <v>59.97</v>
      </c>
      <c r="T1781">
        <v>3</v>
      </c>
      <c r="U1781">
        <v>0</v>
      </c>
      <c r="V1781">
        <v>14.9925</v>
      </c>
      <c r="W1781">
        <f t="shared" si="111"/>
        <v>14.9925</v>
      </c>
      <c r="X1781">
        <v>2</v>
      </c>
    </row>
    <row r="1782" spans="1:24" x14ac:dyDescent="0.3">
      <c r="A1782">
        <v>1781</v>
      </c>
      <c r="B1782" t="s">
        <v>3532</v>
      </c>
      <c r="C1782" s="6">
        <v>45977</v>
      </c>
      <c r="D1782" t="str">
        <f t="shared" si="108"/>
        <v>Nov</v>
      </c>
      <c r="E1782" t="str">
        <f t="shared" si="109"/>
        <v>2025</v>
      </c>
      <c r="F1782" t="s">
        <v>4</v>
      </c>
      <c r="G1782" t="s">
        <v>427</v>
      </c>
      <c r="H1782" t="s">
        <v>772</v>
      </c>
      <c r="I1782">
        <v>250</v>
      </c>
      <c r="J1782">
        <v>26</v>
      </c>
      <c r="K1782">
        <f t="shared" si="110"/>
        <v>10.4</v>
      </c>
      <c r="L1782" t="s">
        <v>1738</v>
      </c>
      <c r="M1782" t="s">
        <v>3788</v>
      </c>
      <c r="N1782" t="s">
        <v>1</v>
      </c>
      <c r="O1782">
        <v>632014</v>
      </c>
      <c r="P1782" t="s">
        <v>546</v>
      </c>
      <c r="Q1782" t="s">
        <v>1768</v>
      </c>
      <c r="R1782" t="s">
        <v>2</v>
      </c>
      <c r="S1782">
        <v>83.36</v>
      </c>
      <c r="T1782">
        <v>1</v>
      </c>
      <c r="U1782">
        <v>0</v>
      </c>
      <c r="V1782">
        <v>20.84</v>
      </c>
      <c r="W1782">
        <f t="shared" si="111"/>
        <v>62.519999999999996</v>
      </c>
      <c r="X1782">
        <v>3</v>
      </c>
    </row>
    <row r="1783" spans="1:24" x14ac:dyDescent="0.3">
      <c r="A1783">
        <v>1782</v>
      </c>
      <c r="B1783" t="s">
        <v>3533</v>
      </c>
      <c r="C1783" s="6">
        <v>45978</v>
      </c>
      <c r="D1783" t="str">
        <f t="shared" si="108"/>
        <v>Nov</v>
      </c>
      <c r="E1783" t="str">
        <f t="shared" si="109"/>
        <v>2025</v>
      </c>
      <c r="F1783" t="s">
        <v>4</v>
      </c>
      <c r="G1783" t="s">
        <v>125</v>
      </c>
      <c r="H1783" t="s">
        <v>1675</v>
      </c>
      <c r="I1783">
        <v>150</v>
      </c>
      <c r="J1783">
        <v>18</v>
      </c>
      <c r="K1783">
        <f t="shared" si="110"/>
        <v>12</v>
      </c>
      <c r="L1783" t="s">
        <v>1737</v>
      </c>
      <c r="M1783" t="s">
        <v>3768</v>
      </c>
      <c r="N1783" t="s">
        <v>1</v>
      </c>
      <c r="O1783">
        <v>744101</v>
      </c>
      <c r="P1783" t="s">
        <v>546</v>
      </c>
      <c r="Q1783" t="s">
        <v>1772</v>
      </c>
      <c r="S1783">
        <v>6.58</v>
      </c>
      <c r="T1783">
        <v>2</v>
      </c>
      <c r="U1783">
        <v>0</v>
      </c>
      <c r="V1783">
        <v>3.0268000000000002</v>
      </c>
      <c r="W1783">
        <f t="shared" si="111"/>
        <v>1.7766</v>
      </c>
      <c r="X1783">
        <v>5</v>
      </c>
    </row>
    <row r="1784" spans="1:24" x14ac:dyDescent="0.3">
      <c r="A1784">
        <v>1783</v>
      </c>
      <c r="B1784" t="s">
        <v>3534</v>
      </c>
      <c r="C1784" s="6">
        <v>45979</v>
      </c>
      <c r="D1784" t="str">
        <f t="shared" si="108"/>
        <v>Nov</v>
      </c>
      <c r="E1784" t="str">
        <f t="shared" si="109"/>
        <v>2025</v>
      </c>
      <c r="F1784" t="s">
        <v>4</v>
      </c>
      <c r="G1784" t="s">
        <v>125</v>
      </c>
      <c r="H1784" t="s">
        <v>1347</v>
      </c>
      <c r="I1784">
        <v>160</v>
      </c>
      <c r="J1784">
        <v>10</v>
      </c>
      <c r="K1784">
        <f t="shared" si="110"/>
        <v>6.25</v>
      </c>
      <c r="L1784" t="s">
        <v>1743</v>
      </c>
      <c r="M1784" t="s">
        <v>3769</v>
      </c>
      <c r="N1784" t="s">
        <v>1</v>
      </c>
      <c r="O1784">
        <v>712104</v>
      </c>
      <c r="P1784" t="s">
        <v>546</v>
      </c>
      <c r="Q1784" t="s">
        <v>1758</v>
      </c>
      <c r="R1784" t="s">
        <v>2</v>
      </c>
      <c r="S1784">
        <v>122.94</v>
      </c>
      <c r="T1784">
        <v>3</v>
      </c>
      <c r="U1784">
        <v>0</v>
      </c>
      <c r="V1784">
        <v>59.011200000000002</v>
      </c>
      <c r="W1784">
        <f t="shared" si="111"/>
        <v>21.3096</v>
      </c>
      <c r="X1784">
        <v>5</v>
      </c>
    </row>
    <row r="1785" spans="1:24" x14ac:dyDescent="0.3">
      <c r="A1785">
        <v>1784</v>
      </c>
      <c r="B1785" t="s">
        <v>3535</v>
      </c>
      <c r="C1785" s="6">
        <v>45980</v>
      </c>
      <c r="D1785" t="str">
        <f t="shared" si="108"/>
        <v>Nov</v>
      </c>
      <c r="E1785" t="str">
        <f t="shared" si="109"/>
        <v>2025</v>
      </c>
      <c r="F1785" t="s">
        <v>4</v>
      </c>
      <c r="G1785" t="s">
        <v>538</v>
      </c>
      <c r="H1785" t="s">
        <v>1629</v>
      </c>
      <c r="I1785">
        <v>210</v>
      </c>
      <c r="J1785">
        <v>8</v>
      </c>
      <c r="K1785">
        <f t="shared" si="110"/>
        <v>3.8095238095238098</v>
      </c>
      <c r="L1785" t="s">
        <v>1738</v>
      </c>
      <c r="M1785" t="s">
        <v>3770</v>
      </c>
      <c r="N1785" t="s">
        <v>1</v>
      </c>
      <c r="O1785">
        <v>630709</v>
      </c>
      <c r="P1785" t="s">
        <v>546</v>
      </c>
      <c r="Q1785" t="s">
        <v>1772</v>
      </c>
      <c r="S1785">
        <v>219.84</v>
      </c>
      <c r="T1785">
        <v>4</v>
      </c>
      <c r="U1785">
        <v>0</v>
      </c>
      <c r="V1785">
        <v>107.7216</v>
      </c>
      <c r="W1785">
        <f t="shared" si="111"/>
        <v>28.029600000000002</v>
      </c>
      <c r="X1785">
        <v>3</v>
      </c>
    </row>
    <row r="1786" spans="1:24" x14ac:dyDescent="0.3">
      <c r="A1786">
        <v>1785</v>
      </c>
      <c r="B1786" t="s">
        <v>3536</v>
      </c>
      <c r="C1786" s="6">
        <v>45981</v>
      </c>
      <c r="D1786" t="str">
        <f t="shared" si="108"/>
        <v>Nov</v>
      </c>
      <c r="E1786" t="str">
        <f t="shared" si="109"/>
        <v>2025</v>
      </c>
      <c r="F1786" t="s">
        <v>4</v>
      </c>
      <c r="G1786" t="s">
        <v>538</v>
      </c>
      <c r="H1786" t="s">
        <v>1507</v>
      </c>
      <c r="I1786">
        <v>240</v>
      </c>
      <c r="J1786">
        <v>22</v>
      </c>
      <c r="K1786">
        <f t="shared" si="110"/>
        <v>9.1666666666666661</v>
      </c>
      <c r="L1786" t="s">
        <v>1739</v>
      </c>
      <c r="M1786" t="s">
        <v>3771</v>
      </c>
      <c r="N1786" t="s">
        <v>1</v>
      </c>
      <c r="O1786">
        <v>700114</v>
      </c>
      <c r="P1786" t="s">
        <v>546</v>
      </c>
      <c r="Q1786" t="s">
        <v>1766</v>
      </c>
      <c r="S1786">
        <v>98.16</v>
      </c>
      <c r="T1786">
        <v>6</v>
      </c>
      <c r="U1786">
        <v>0</v>
      </c>
      <c r="V1786">
        <v>9.8160000000000007</v>
      </c>
      <c r="W1786">
        <f t="shared" si="111"/>
        <v>14.723999999999998</v>
      </c>
      <c r="X1786">
        <v>2</v>
      </c>
    </row>
    <row r="1787" spans="1:24" x14ac:dyDescent="0.3">
      <c r="A1787">
        <v>1786</v>
      </c>
      <c r="B1787" t="s">
        <v>3537</v>
      </c>
      <c r="C1787" s="6">
        <v>45982</v>
      </c>
      <c r="D1787" t="str">
        <f t="shared" si="108"/>
        <v>Nov</v>
      </c>
      <c r="E1787" t="str">
        <f t="shared" si="109"/>
        <v>2025</v>
      </c>
      <c r="F1787" t="s">
        <v>4</v>
      </c>
      <c r="G1787" t="s">
        <v>538</v>
      </c>
      <c r="H1787" t="s">
        <v>1410</v>
      </c>
      <c r="I1787">
        <v>160</v>
      </c>
      <c r="J1787">
        <v>28</v>
      </c>
      <c r="K1787">
        <f t="shared" si="110"/>
        <v>17.5</v>
      </c>
      <c r="L1787" t="s">
        <v>1741</v>
      </c>
      <c r="M1787" t="s">
        <v>3796</v>
      </c>
      <c r="N1787" t="s">
        <v>1</v>
      </c>
      <c r="O1787">
        <v>560092</v>
      </c>
      <c r="P1787" t="s">
        <v>546</v>
      </c>
      <c r="Q1787" t="s">
        <v>1758</v>
      </c>
      <c r="R1787" t="s">
        <v>2</v>
      </c>
      <c r="S1787">
        <v>33.04</v>
      </c>
      <c r="T1787">
        <v>8</v>
      </c>
      <c r="U1787">
        <v>0</v>
      </c>
      <c r="V1787">
        <v>15.5288</v>
      </c>
      <c r="W1787">
        <f t="shared" si="111"/>
        <v>2.1888999999999998</v>
      </c>
      <c r="X1787">
        <v>2</v>
      </c>
    </row>
    <row r="1788" spans="1:24" x14ac:dyDescent="0.3">
      <c r="A1788">
        <v>1787</v>
      </c>
      <c r="B1788" t="s">
        <v>3538</v>
      </c>
      <c r="C1788" s="6">
        <v>45983</v>
      </c>
      <c r="D1788" t="str">
        <f t="shared" si="108"/>
        <v>Nov</v>
      </c>
      <c r="E1788" t="str">
        <f t="shared" si="109"/>
        <v>2025</v>
      </c>
      <c r="F1788" t="s">
        <v>4</v>
      </c>
      <c r="G1788" t="s">
        <v>538</v>
      </c>
      <c r="H1788" t="s">
        <v>1676</v>
      </c>
      <c r="I1788">
        <v>120</v>
      </c>
      <c r="J1788">
        <v>28</v>
      </c>
      <c r="K1788">
        <f t="shared" si="110"/>
        <v>23.333333333333332</v>
      </c>
      <c r="L1788" t="s">
        <v>1736</v>
      </c>
      <c r="M1788" t="s">
        <v>3773</v>
      </c>
      <c r="N1788" t="s">
        <v>1</v>
      </c>
      <c r="O1788">
        <v>243601</v>
      </c>
      <c r="P1788" t="s">
        <v>546</v>
      </c>
      <c r="Q1788" t="s">
        <v>1767</v>
      </c>
      <c r="S1788">
        <v>86.97</v>
      </c>
      <c r="T1788">
        <v>3</v>
      </c>
      <c r="U1788">
        <v>0</v>
      </c>
      <c r="V1788">
        <v>25.221299999999999</v>
      </c>
      <c r="W1788">
        <f t="shared" si="111"/>
        <v>20.582899999999999</v>
      </c>
      <c r="X1788">
        <v>1</v>
      </c>
    </row>
    <row r="1789" spans="1:24" x14ac:dyDescent="0.3">
      <c r="A1789">
        <v>1788</v>
      </c>
      <c r="B1789" t="s">
        <v>3539</v>
      </c>
      <c r="C1789" s="6">
        <v>45984</v>
      </c>
      <c r="D1789" t="str">
        <f t="shared" si="108"/>
        <v>Nov</v>
      </c>
      <c r="E1789" t="str">
        <f t="shared" si="109"/>
        <v>2025</v>
      </c>
      <c r="F1789" t="s">
        <v>4</v>
      </c>
      <c r="G1789" t="s">
        <v>539</v>
      </c>
      <c r="H1789" t="s">
        <v>1364</v>
      </c>
      <c r="I1789">
        <v>170</v>
      </c>
      <c r="J1789">
        <v>24</v>
      </c>
      <c r="K1789">
        <f t="shared" si="110"/>
        <v>14.117647058823529</v>
      </c>
      <c r="L1789" t="s">
        <v>1744</v>
      </c>
      <c r="M1789" t="s">
        <v>3774</v>
      </c>
      <c r="N1789" t="s">
        <v>1</v>
      </c>
      <c r="O1789">
        <v>680555</v>
      </c>
      <c r="P1789" t="s">
        <v>546</v>
      </c>
      <c r="Q1789" t="s">
        <v>1776</v>
      </c>
      <c r="R1789" t="s">
        <v>2</v>
      </c>
      <c r="S1789">
        <v>134.97</v>
      </c>
      <c r="T1789">
        <v>3</v>
      </c>
      <c r="U1789">
        <v>0</v>
      </c>
      <c r="V1789">
        <v>64.785600000000002</v>
      </c>
      <c r="W1789">
        <f t="shared" si="111"/>
        <v>23.3948</v>
      </c>
      <c r="X1789">
        <v>5</v>
      </c>
    </row>
    <row r="1790" spans="1:24" x14ac:dyDescent="0.3">
      <c r="A1790">
        <v>1789</v>
      </c>
      <c r="B1790" t="s">
        <v>3540</v>
      </c>
      <c r="C1790" s="6">
        <v>45985</v>
      </c>
      <c r="D1790" t="str">
        <f t="shared" si="108"/>
        <v>Nov</v>
      </c>
      <c r="E1790" t="str">
        <f t="shared" si="109"/>
        <v>2025</v>
      </c>
      <c r="F1790" t="s">
        <v>4</v>
      </c>
      <c r="G1790" t="s">
        <v>539</v>
      </c>
      <c r="H1790" t="s">
        <v>1301</v>
      </c>
      <c r="I1790">
        <v>190</v>
      </c>
      <c r="J1790">
        <v>22</v>
      </c>
      <c r="K1790">
        <f t="shared" si="110"/>
        <v>11.578947368421053</v>
      </c>
      <c r="L1790" t="s">
        <v>1740</v>
      </c>
      <c r="M1790" t="s">
        <v>3775</v>
      </c>
      <c r="N1790" t="s">
        <v>1</v>
      </c>
      <c r="O1790">
        <v>695003</v>
      </c>
      <c r="P1790" t="s">
        <v>546</v>
      </c>
      <c r="Q1790" t="s">
        <v>1771</v>
      </c>
      <c r="S1790">
        <v>699.98</v>
      </c>
      <c r="T1790">
        <v>2</v>
      </c>
      <c r="U1790">
        <v>0</v>
      </c>
      <c r="V1790">
        <v>195.99440000000001</v>
      </c>
      <c r="W1790">
        <f t="shared" si="111"/>
        <v>251.99279999999999</v>
      </c>
      <c r="X1790">
        <v>4</v>
      </c>
    </row>
    <row r="1791" spans="1:24" x14ac:dyDescent="0.3">
      <c r="A1791">
        <v>1790</v>
      </c>
      <c r="B1791" t="s">
        <v>3541</v>
      </c>
      <c r="C1791" s="6">
        <v>45986</v>
      </c>
      <c r="D1791" t="str">
        <f t="shared" si="108"/>
        <v>Nov</v>
      </c>
      <c r="E1791" t="str">
        <f t="shared" si="109"/>
        <v>2025</v>
      </c>
      <c r="F1791" t="s">
        <v>4</v>
      </c>
      <c r="G1791" t="s">
        <v>539</v>
      </c>
      <c r="H1791" t="s">
        <v>1677</v>
      </c>
      <c r="I1791">
        <v>220</v>
      </c>
      <c r="J1791">
        <v>16</v>
      </c>
      <c r="K1791">
        <f t="shared" si="110"/>
        <v>7.2727272727272725</v>
      </c>
      <c r="L1791" t="s">
        <v>1742</v>
      </c>
      <c r="M1791" t="s">
        <v>3765</v>
      </c>
      <c r="N1791" t="s">
        <v>1</v>
      </c>
      <c r="O1791">
        <v>500038</v>
      </c>
      <c r="P1791" t="s">
        <v>546</v>
      </c>
      <c r="Q1791" t="s">
        <v>1773</v>
      </c>
      <c r="R1791" t="s">
        <v>2</v>
      </c>
      <c r="S1791">
        <v>139.94999999999999</v>
      </c>
      <c r="T1791">
        <v>5</v>
      </c>
      <c r="U1791">
        <v>0</v>
      </c>
      <c r="V1791">
        <v>26.590499999999999</v>
      </c>
      <c r="W1791">
        <f t="shared" si="111"/>
        <v>22.671900000000001</v>
      </c>
      <c r="X1791">
        <v>1</v>
      </c>
    </row>
    <row r="1792" spans="1:24" x14ac:dyDescent="0.3">
      <c r="A1792">
        <v>1791</v>
      </c>
      <c r="B1792" t="s">
        <v>3542</v>
      </c>
      <c r="C1792" s="6">
        <v>45987</v>
      </c>
      <c r="D1792" t="str">
        <f t="shared" si="108"/>
        <v>Nov</v>
      </c>
      <c r="E1792" t="str">
        <f t="shared" si="109"/>
        <v>2025</v>
      </c>
      <c r="F1792" t="s">
        <v>4</v>
      </c>
      <c r="G1792" t="s">
        <v>161</v>
      </c>
      <c r="H1792" t="s">
        <v>1140</v>
      </c>
      <c r="I1792">
        <v>140</v>
      </c>
      <c r="J1792">
        <v>18</v>
      </c>
      <c r="K1792">
        <f t="shared" si="110"/>
        <v>12.857142857142856</v>
      </c>
      <c r="L1792" t="s">
        <v>1739</v>
      </c>
      <c r="M1792" t="s">
        <v>3777</v>
      </c>
      <c r="N1792" t="s">
        <v>1</v>
      </c>
      <c r="O1792">
        <v>384001</v>
      </c>
      <c r="P1792" t="s">
        <v>546</v>
      </c>
      <c r="Q1792" t="s">
        <v>1766</v>
      </c>
      <c r="S1792">
        <v>48.94</v>
      </c>
      <c r="T1792">
        <v>1</v>
      </c>
      <c r="U1792">
        <v>0</v>
      </c>
      <c r="V1792">
        <v>24.47</v>
      </c>
      <c r="W1792">
        <f t="shared" si="111"/>
        <v>24.47</v>
      </c>
      <c r="X1792">
        <v>2</v>
      </c>
    </row>
    <row r="1793" spans="1:24" x14ac:dyDescent="0.3">
      <c r="A1793">
        <v>1792</v>
      </c>
      <c r="B1793" t="s">
        <v>3543</v>
      </c>
      <c r="C1793" s="6">
        <v>45988</v>
      </c>
      <c r="D1793" t="str">
        <f t="shared" si="108"/>
        <v>Nov</v>
      </c>
      <c r="E1793" t="str">
        <f t="shared" si="109"/>
        <v>2025</v>
      </c>
      <c r="F1793" t="s">
        <v>5</v>
      </c>
      <c r="G1793" t="s">
        <v>268</v>
      </c>
      <c r="H1793" t="s">
        <v>1678</v>
      </c>
      <c r="I1793">
        <v>150</v>
      </c>
      <c r="J1793">
        <v>6</v>
      </c>
      <c r="K1793">
        <f t="shared" si="110"/>
        <v>4</v>
      </c>
      <c r="L1793" t="s">
        <v>1738</v>
      </c>
      <c r="M1793" t="s">
        <v>3750</v>
      </c>
      <c r="N1793" t="s">
        <v>1</v>
      </c>
      <c r="O1793">
        <v>533101</v>
      </c>
      <c r="P1793" t="s">
        <v>546</v>
      </c>
      <c r="Q1793" t="s">
        <v>1771</v>
      </c>
      <c r="R1793" t="s">
        <v>2</v>
      </c>
      <c r="S1793">
        <v>2807.84</v>
      </c>
      <c r="T1793">
        <v>8</v>
      </c>
      <c r="U1793">
        <v>0</v>
      </c>
      <c r="V1793">
        <v>673.88160000000005</v>
      </c>
      <c r="W1793">
        <f t="shared" si="111"/>
        <v>266.7448</v>
      </c>
      <c r="X1793">
        <v>3</v>
      </c>
    </row>
    <row r="1794" spans="1:24" x14ac:dyDescent="0.3">
      <c r="A1794">
        <v>1793</v>
      </c>
      <c r="B1794" t="s">
        <v>3544</v>
      </c>
      <c r="C1794" s="6">
        <v>45989</v>
      </c>
      <c r="D1794" t="str">
        <f t="shared" si="108"/>
        <v>Nov</v>
      </c>
      <c r="E1794" t="str">
        <f t="shared" si="109"/>
        <v>2025</v>
      </c>
      <c r="F1794" t="s">
        <v>5</v>
      </c>
      <c r="G1794" t="s">
        <v>268</v>
      </c>
      <c r="H1794" t="s">
        <v>1679</v>
      </c>
      <c r="I1794">
        <v>100</v>
      </c>
      <c r="J1794">
        <v>12</v>
      </c>
      <c r="K1794">
        <f t="shared" si="110"/>
        <v>12</v>
      </c>
      <c r="L1794" t="s">
        <v>1737</v>
      </c>
      <c r="M1794" t="s">
        <v>3835</v>
      </c>
      <c r="N1794" t="s">
        <v>1</v>
      </c>
      <c r="O1794">
        <v>440016</v>
      </c>
      <c r="P1794" t="s">
        <v>546</v>
      </c>
      <c r="Q1794" t="s">
        <v>1774</v>
      </c>
      <c r="R1794" t="s">
        <v>2</v>
      </c>
      <c r="S1794">
        <v>46.64</v>
      </c>
      <c r="T1794">
        <v>4</v>
      </c>
      <c r="U1794">
        <v>0</v>
      </c>
      <c r="V1794">
        <v>12.5928</v>
      </c>
      <c r="W1794">
        <f t="shared" si="111"/>
        <v>8.5118000000000009</v>
      </c>
      <c r="X1794">
        <v>4</v>
      </c>
    </row>
    <row r="1795" spans="1:24" x14ac:dyDescent="0.3">
      <c r="A1795">
        <v>1794</v>
      </c>
      <c r="B1795" t="s">
        <v>3545</v>
      </c>
      <c r="C1795" s="6">
        <v>45990</v>
      </c>
      <c r="D1795" t="str">
        <f t="shared" ref="D1795:D1827" si="112">TEXT(C1795,"Mmm")</f>
        <v>Nov</v>
      </c>
      <c r="E1795" t="str">
        <f t="shared" ref="E1795:E1827" si="113">TEXT(C1795,"YYYY")</f>
        <v>2025</v>
      </c>
      <c r="F1795" t="s">
        <v>4</v>
      </c>
      <c r="G1795" t="s">
        <v>540</v>
      </c>
      <c r="H1795" t="s">
        <v>664</v>
      </c>
      <c r="I1795">
        <v>210</v>
      </c>
      <c r="J1795">
        <v>16</v>
      </c>
      <c r="K1795">
        <f t="shared" ref="K1795:K1827" si="114">(J1795/I1795)*100</f>
        <v>7.6190476190476195</v>
      </c>
      <c r="L1795" t="s">
        <v>1743</v>
      </c>
      <c r="M1795" t="s">
        <v>3836</v>
      </c>
      <c r="N1795" t="s">
        <v>1</v>
      </c>
      <c r="O1795">
        <v>751024</v>
      </c>
      <c r="P1795" t="s">
        <v>546</v>
      </c>
      <c r="Q1795" t="s">
        <v>1772</v>
      </c>
      <c r="R1795" t="s">
        <v>2</v>
      </c>
      <c r="S1795">
        <v>60.415999999999997</v>
      </c>
      <c r="T1795">
        <v>2</v>
      </c>
      <c r="U1795">
        <v>0.2</v>
      </c>
      <c r="V1795">
        <v>6.0415999999999999</v>
      </c>
      <c r="W1795">
        <f t="shared" ref="W1795:W1827" si="115">(S1795-V1795)/T1795</f>
        <v>27.187199999999997</v>
      </c>
      <c r="X1795">
        <v>1</v>
      </c>
    </row>
    <row r="1796" spans="1:24" x14ac:dyDescent="0.3">
      <c r="A1796">
        <v>1795</v>
      </c>
      <c r="B1796" t="s">
        <v>3546</v>
      </c>
      <c r="C1796" s="6">
        <v>45991</v>
      </c>
      <c r="D1796" t="str">
        <f t="shared" si="112"/>
        <v>Nov</v>
      </c>
      <c r="E1796" t="str">
        <f t="shared" si="113"/>
        <v>2025</v>
      </c>
      <c r="F1796" t="s">
        <v>4</v>
      </c>
      <c r="G1796" t="s">
        <v>541</v>
      </c>
      <c r="H1796" t="s">
        <v>1462</v>
      </c>
      <c r="I1796">
        <v>200</v>
      </c>
      <c r="J1796">
        <v>12</v>
      </c>
      <c r="K1796">
        <f t="shared" si="114"/>
        <v>6</v>
      </c>
      <c r="L1796" t="s">
        <v>1738</v>
      </c>
      <c r="M1796" t="s">
        <v>3795</v>
      </c>
      <c r="N1796" t="s">
        <v>1</v>
      </c>
      <c r="O1796">
        <v>560043</v>
      </c>
      <c r="P1796" t="s">
        <v>546</v>
      </c>
      <c r="Q1796" t="s">
        <v>1770</v>
      </c>
      <c r="R1796" t="s">
        <v>2</v>
      </c>
      <c r="S1796">
        <v>107.94</v>
      </c>
      <c r="T1796">
        <v>3</v>
      </c>
      <c r="U1796">
        <v>0</v>
      </c>
      <c r="V1796">
        <v>26.984999999999999</v>
      </c>
      <c r="W1796">
        <f t="shared" si="115"/>
        <v>26.984999999999999</v>
      </c>
      <c r="X1796">
        <v>5</v>
      </c>
    </row>
    <row r="1797" spans="1:24" x14ac:dyDescent="0.3">
      <c r="A1797">
        <v>1796</v>
      </c>
      <c r="B1797" t="s">
        <v>3547</v>
      </c>
      <c r="C1797" s="6">
        <v>45992</v>
      </c>
      <c r="D1797" t="str">
        <f t="shared" si="112"/>
        <v>Dec</v>
      </c>
      <c r="E1797" t="str">
        <f t="shared" si="113"/>
        <v>2025</v>
      </c>
      <c r="F1797" t="s">
        <v>5</v>
      </c>
      <c r="G1797" t="s">
        <v>287</v>
      </c>
      <c r="H1797" t="s">
        <v>1408</v>
      </c>
      <c r="I1797">
        <v>140</v>
      </c>
      <c r="J1797">
        <v>28</v>
      </c>
      <c r="K1797">
        <f t="shared" si="114"/>
        <v>20</v>
      </c>
      <c r="L1797" t="s">
        <v>1739</v>
      </c>
      <c r="M1797" t="s">
        <v>3751</v>
      </c>
      <c r="N1797" t="s">
        <v>1</v>
      </c>
      <c r="O1797">
        <v>382355</v>
      </c>
      <c r="P1797" t="s">
        <v>546</v>
      </c>
      <c r="Q1797" t="s">
        <v>1761</v>
      </c>
      <c r="R1797" t="s">
        <v>2</v>
      </c>
      <c r="S1797">
        <v>63.84</v>
      </c>
      <c r="T1797">
        <v>8</v>
      </c>
      <c r="U1797">
        <v>0</v>
      </c>
      <c r="V1797">
        <v>16.598400000000002</v>
      </c>
      <c r="W1797">
        <f t="shared" si="115"/>
        <v>5.9052000000000007</v>
      </c>
      <c r="X1797">
        <v>1</v>
      </c>
    </row>
    <row r="1798" spans="1:24" x14ac:dyDescent="0.3">
      <c r="A1798">
        <v>1797</v>
      </c>
      <c r="B1798" t="s">
        <v>3548</v>
      </c>
      <c r="C1798" s="6">
        <v>45993</v>
      </c>
      <c r="D1798" t="str">
        <f t="shared" si="112"/>
        <v>Dec</v>
      </c>
      <c r="E1798" t="str">
        <f t="shared" si="113"/>
        <v>2025</v>
      </c>
      <c r="F1798" t="s">
        <v>5</v>
      </c>
      <c r="G1798" t="s">
        <v>287</v>
      </c>
      <c r="H1798" t="s">
        <v>1680</v>
      </c>
      <c r="I1798">
        <v>100</v>
      </c>
      <c r="J1798">
        <v>6</v>
      </c>
      <c r="K1798">
        <f t="shared" si="114"/>
        <v>6</v>
      </c>
      <c r="L1798" t="s">
        <v>1741</v>
      </c>
      <c r="M1798" t="s">
        <v>3752</v>
      </c>
      <c r="N1798" t="s">
        <v>1</v>
      </c>
      <c r="O1798">
        <v>110096</v>
      </c>
      <c r="P1798" t="s">
        <v>546</v>
      </c>
      <c r="Q1798" t="s">
        <v>1767</v>
      </c>
      <c r="S1798">
        <v>347.97</v>
      </c>
      <c r="T1798">
        <v>3</v>
      </c>
      <c r="U1798">
        <v>0</v>
      </c>
      <c r="V1798">
        <v>100.9113</v>
      </c>
      <c r="W1798">
        <f t="shared" si="115"/>
        <v>82.35290000000002</v>
      </c>
      <c r="X1798">
        <v>5</v>
      </c>
    </row>
    <row r="1799" spans="1:24" x14ac:dyDescent="0.3">
      <c r="A1799">
        <v>1798</v>
      </c>
      <c r="B1799" t="s">
        <v>3549</v>
      </c>
      <c r="C1799" s="6">
        <v>45994</v>
      </c>
      <c r="D1799" t="str">
        <f t="shared" si="112"/>
        <v>Dec</v>
      </c>
      <c r="E1799" t="str">
        <f t="shared" si="113"/>
        <v>2025</v>
      </c>
      <c r="F1799" t="s">
        <v>5</v>
      </c>
      <c r="G1799" t="s">
        <v>287</v>
      </c>
      <c r="H1799" t="s">
        <v>555</v>
      </c>
      <c r="I1799">
        <v>100</v>
      </c>
      <c r="J1799">
        <v>18</v>
      </c>
      <c r="K1799">
        <f t="shared" si="114"/>
        <v>18</v>
      </c>
      <c r="L1799" t="s">
        <v>1736</v>
      </c>
      <c r="M1799" t="s">
        <v>3753</v>
      </c>
      <c r="N1799" t="s">
        <v>1</v>
      </c>
      <c r="O1799">
        <v>400098</v>
      </c>
      <c r="P1799" t="s">
        <v>546</v>
      </c>
      <c r="Q1799" t="s">
        <v>1758</v>
      </c>
      <c r="R1799" t="s">
        <v>2</v>
      </c>
      <c r="S1799">
        <v>37.008000000000003</v>
      </c>
      <c r="T1799">
        <v>6</v>
      </c>
      <c r="U1799">
        <v>0.2</v>
      </c>
      <c r="V1799">
        <v>11.565</v>
      </c>
      <c r="W1799">
        <f t="shared" si="115"/>
        <v>4.2405000000000008</v>
      </c>
      <c r="X1799">
        <v>3</v>
      </c>
    </row>
    <row r="1800" spans="1:24" x14ac:dyDescent="0.3">
      <c r="A1800">
        <v>1799</v>
      </c>
      <c r="B1800" t="s">
        <v>3550</v>
      </c>
      <c r="C1800" s="6">
        <v>45995</v>
      </c>
      <c r="D1800" t="str">
        <f t="shared" si="112"/>
        <v>Dec</v>
      </c>
      <c r="E1800" t="str">
        <f t="shared" si="113"/>
        <v>2025</v>
      </c>
      <c r="F1800" t="s">
        <v>4</v>
      </c>
      <c r="G1800" t="s">
        <v>535</v>
      </c>
      <c r="H1800" t="s">
        <v>1031</v>
      </c>
      <c r="I1800">
        <v>250</v>
      </c>
      <c r="J1800">
        <v>8</v>
      </c>
      <c r="K1800">
        <f t="shared" si="114"/>
        <v>3.2</v>
      </c>
      <c r="L1800" t="s">
        <v>1744</v>
      </c>
      <c r="M1800" t="s">
        <v>3754</v>
      </c>
      <c r="N1800" t="s">
        <v>1</v>
      </c>
      <c r="O1800">
        <v>500039</v>
      </c>
      <c r="P1800" t="s">
        <v>546</v>
      </c>
      <c r="Q1800" t="s">
        <v>1759</v>
      </c>
      <c r="R1800" t="s">
        <v>2</v>
      </c>
      <c r="S1800">
        <v>215.65</v>
      </c>
      <c r="T1800">
        <v>5</v>
      </c>
      <c r="U1800">
        <v>0</v>
      </c>
      <c r="V1800">
        <v>73.320999999999998</v>
      </c>
      <c r="W1800">
        <f t="shared" si="115"/>
        <v>28.465800000000002</v>
      </c>
      <c r="X1800">
        <v>3</v>
      </c>
    </row>
    <row r="1801" spans="1:24" x14ac:dyDescent="0.3">
      <c r="A1801">
        <v>1800</v>
      </c>
      <c r="B1801" t="s">
        <v>3551</v>
      </c>
      <c r="C1801" s="6">
        <v>45996</v>
      </c>
      <c r="D1801" t="str">
        <f t="shared" si="112"/>
        <v>Dec</v>
      </c>
      <c r="E1801" t="str">
        <f t="shared" si="113"/>
        <v>2025</v>
      </c>
      <c r="F1801" t="s">
        <v>3</v>
      </c>
      <c r="G1801" t="s">
        <v>542</v>
      </c>
      <c r="H1801" t="s">
        <v>750</v>
      </c>
      <c r="I1801">
        <v>130</v>
      </c>
      <c r="J1801">
        <v>20</v>
      </c>
      <c r="K1801">
        <f t="shared" si="114"/>
        <v>15.384615384615385</v>
      </c>
      <c r="L1801" t="s">
        <v>1740</v>
      </c>
      <c r="M1801" t="s">
        <v>3755</v>
      </c>
      <c r="N1801" t="s">
        <v>1</v>
      </c>
      <c r="O1801">
        <v>425001</v>
      </c>
      <c r="P1801" t="s">
        <v>546</v>
      </c>
      <c r="Q1801" t="s">
        <v>1762</v>
      </c>
      <c r="S1801">
        <v>11.167999999999999</v>
      </c>
      <c r="T1801">
        <v>4</v>
      </c>
      <c r="U1801">
        <v>0.2</v>
      </c>
      <c r="V1801">
        <v>3.6295999999999999</v>
      </c>
      <c r="W1801">
        <f t="shared" si="115"/>
        <v>1.8845999999999998</v>
      </c>
      <c r="X1801">
        <v>2</v>
      </c>
    </row>
    <row r="1802" spans="1:24" x14ac:dyDescent="0.3">
      <c r="A1802">
        <v>1801</v>
      </c>
      <c r="B1802" t="s">
        <v>3552</v>
      </c>
      <c r="C1802" s="6">
        <v>45997</v>
      </c>
      <c r="D1802" t="str">
        <f t="shared" si="112"/>
        <v>Dec</v>
      </c>
      <c r="E1802" t="str">
        <f t="shared" si="113"/>
        <v>2025</v>
      </c>
      <c r="F1802" t="s">
        <v>3</v>
      </c>
      <c r="G1802" t="s">
        <v>542</v>
      </c>
      <c r="H1802" t="s">
        <v>1681</v>
      </c>
      <c r="I1802">
        <v>120</v>
      </c>
      <c r="J1802">
        <v>6</v>
      </c>
      <c r="K1802">
        <f t="shared" si="114"/>
        <v>5</v>
      </c>
      <c r="L1802" t="s">
        <v>1742</v>
      </c>
      <c r="M1802" t="s">
        <v>3756</v>
      </c>
      <c r="N1802" t="s">
        <v>1</v>
      </c>
      <c r="O1802">
        <v>560073</v>
      </c>
      <c r="P1802" t="s">
        <v>546</v>
      </c>
      <c r="Q1802" t="s">
        <v>1762</v>
      </c>
      <c r="S1802">
        <v>53.951999999999998</v>
      </c>
      <c r="T1802">
        <v>3</v>
      </c>
      <c r="U1802">
        <v>0.2</v>
      </c>
      <c r="V1802">
        <v>17.534400000000002</v>
      </c>
      <c r="W1802">
        <f t="shared" si="115"/>
        <v>12.139199999999997</v>
      </c>
      <c r="X1802">
        <v>5</v>
      </c>
    </row>
    <row r="1803" spans="1:24" x14ac:dyDescent="0.3">
      <c r="A1803">
        <v>1802</v>
      </c>
      <c r="B1803" t="s">
        <v>3553</v>
      </c>
      <c r="C1803" s="6">
        <v>45998</v>
      </c>
      <c r="D1803" t="str">
        <f t="shared" si="112"/>
        <v>Dec</v>
      </c>
      <c r="E1803" t="str">
        <f t="shared" si="113"/>
        <v>2025</v>
      </c>
      <c r="F1803" t="s">
        <v>4</v>
      </c>
      <c r="G1803" t="s">
        <v>223</v>
      </c>
      <c r="H1803" t="s">
        <v>1553</v>
      </c>
      <c r="I1803">
        <v>170</v>
      </c>
      <c r="J1803">
        <v>12</v>
      </c>
      <c r="K1803">
        <f t="shared" si="114"/>
        <v>7.0588235294117645</v>
      </c>
      <c r="L1803" t="s">
        <v>1739</v>
      </c>
      <c r="M1803" t="s">
        <v>3757</v>
      </c>
      <c r="N1803" t="s">
        <v>1</v>
      </c>
      <c r="O1803">
        <v>560073</v>
      </c>
      <c r="P1803" t="s">
        <v>546</v>
      </c>
      <c r="Q1803" t="s">
        <v>1772</v>
      </c>
      <c r="S1803">
        <v>4.18</v>
      </c>
      <c r="T1803">
        <v>1</v>
      </c>
      <c r="U1803">
        <v>0</v>
      </c>
      <c r="V1803">
        <v>1.5047999999999999</v>
      </c>
      <c r="W1803">
        <f t="shared" si="115"/>
        <v>2.6751999999999998</v>
      </c>
      <c r="X1803">
        <v>5</v>
      </c>
    </row>
    <row r="1804" spans="1:24" x14ac:dyDescent="0.3">
      <c r="A1804">
        <v>1803</v>
      </c>
      <c r="B1804" t="s">
        <v>3554</v>
      </c>
      <c r="C1804" s="6">
        <v>45999</v>
      </c>
      <c r="D1804" t="str">
        <f t="shared" si="112"/>
        <v>Dec</v>
      </c>
      <c r="E1804" t="str">
        <f t="shared" si="113"/>
        <v>2025</v>
      </c>
      <c r="F1804" t="s">
        <v>3</v>
      </c>
      <c r="G1804" t="s">
        <v>357</v>
      </c>
      <c r="H1804" t="s">
        <v>987</v>
      </c>
      <c r="I1804">
        <v>100</v>
      </c>
      <c r="J1804">
        <v>20</v>
      </c>
      <c r="K1804">
        <f t="shared" si="114"/>
        <v>20</v>
      </c>
      <c r="L1804" t="s">
        <v>1738</v>
      </c>
      <c r="M1804" t="s">
        <v>3758</v>
      </c>
      <c r="N1804" t="s">
        <v>1</v>
      </c>
      <c r="O1804">
        <v>441111</v>
      </c>
      <c r="P1804" t="s">
        <v>546</v>
      </c>
      <c r="Q1804" t="s">
        <v>1766</v>
      </c>
      <c r="S1804">
        <v>5.6070000000000002</v>
      </c>
      <c r="T1804">
        <v>1</v>
      </c>
      <c r="U1804">
        <v>0.7</v>
      </c>
      <c r="V1804">
        <v>-4.2987000000000002</v>
      </c>
      <c r="W1804">
        <f t="shared" si="115"/>
        <v>9.9056999999999995</v>
      </c>
      <c r="X1804">
        <v>4</v>
      </c>
    </row>
    <row r="1805" spans="1:24" x14ac:dyDescent="0.3">
      <c r="A1805">
        <v>1804</v>
      </c>
      <c r="B1805" t="s">
        <v>3555</v>
      </c>
      <c r="C1805" s="6">
        <v>46000</v>
      </c>
      <c r="D1805" t="str">
        <f t="shared" si="112"/>
        <v>Dec</v>
      </c>
      <c r="E1805" t="str">
        <f t="shared" si="113"/>
        <v>2025</v>
      </c>
      <c r="F1805" t="s">
        <v>3</v>
      </c>
      <c r="G1805" t="s">
        <v>357</v>
      </c>
      <c r="H1805" t="s">
        <v>1012</v>
      </c>
      <c r="I1805">
        <v>130</v>
      </c>
      <c r="J1805">
        <v>20</v>
      </c>
      <c r="K1805">
        <f t="shared" si="114"/>
        <v>15.384615384615385</v>
      </c>
      <c r="L1805" t="s">
        <v>1743</v>
      </c>
      <c r="M1805" t="s">
        <v>3759</v>
      </c>
      <c r="N1805" t="s">
        <v>1</v>
      </c>
      <c r="O1805">
        <v>631502</v>
      </c>
      <c r="P1805" t="s">
        <v>546</v>
      </c>
      <c r="Q1805" t="s">
        <v>1770</v>
      </c>
      <c r="R1805" t="s">
        <v>2</v>
      </c>
      <c r="S1805">
        <v>4663.7359999999999</v>
      </c>
      <c r="T1805">
        <v>7</v>
      </c>
      <c r="U1805">
        <v>0.2</v>
      </c>
      <c r="V1805">
        <v>-1049.3406</v>
      </c>
      <c r="W1805">
        <f t="shared" si="115"/>
        <v>816.15380000000005</v>
      </c>
      <c r="X1805">
        <v>3</v>
      </c>
    </row>
    <row r="1806" spans="1:24" x14ac:dyDescent="0.3">
      <c r="A1806">
        <v>1805</v>
      </c>
      <c r="B1806" t="s">
        <v>3556</v>
      </c>
      <c r="C1806" s="6">
        <v>46001</v>
      </c>
      <c r="D1806" t="str">
        <f t="shared" si="112"/>
        <v>Dec</v>
      </c>
      <c r="E1806" t="str">
        <f t="shared" si="113"/>
        <v>2025</v>
      </c>
      <c r="F1806" t="s">
        <v>3</v>
      </c>
      <c r="G1806" t="s">
        <v>357</v>
      </c>
      <c r="H1806" t="s">
        <v>1682</v>
      </c>
      <c r="I1806">
        <v>120</v>
      </c>
      <c r="J1806">
        <v>18</v>
      </c>
      <c r="K1806">
        <f t="shared" si="114"/>
        <v>15</v>
      </c>
      <c r="L1806" t="s">
        <v>1737</v>
      </c>
      <c r="M1806" t="s">
        <v>3760</v>
      </c>
      <c r="N1806" t="s">
        <v>1</v>
      </c>
      <c r="O1806">
        <v>110081</v>
      </c>
      <c r="P1806" t="s">
        <v>546</v>
      </c>
      <c r="Q1806" t="s">
        <v>1771</v>
      </c>
      <c r="S1806">
        <v>79.983999999999995</v>
      </c>
      <c r="T1806">
        <v>2</v>
      </c>
      <c r="U1806">
        <v>0.2</v>
      </c>
      <c r="V1806">
        <v>22.9954</v>
      </c>
      <c r="W1806">
        <f t="shared" si="115"/>
        <v>28.494299999999996</v>
      </c>
      <c r="X1806">
        <v>5</v>
      </c>
    </row>
    <row r="1807" spans="1:24" x14ac:dyDescent="0.3">
      <c r="A1807">
        <v>1806</v>
      </c>
      <c r="B1807" t="s">
        <v>3557</v>
      </c>
      <c r="C1807" s="6">
        <v>46002</v>
      </c>
      <c r="D1807" t="str">
        <f t="shared" si="112"/>
        <v>Dec</v>
      </c>
      <c r="E1807" t="str">
        <f t="shared" si="113"/>
        <v>2025</v>
      </c>
      <c r="F1807" t="s">
        <v>5</v>
      </c>
      <c r="G1807" t="s">
        <v>143</v>
      </c>
      <c r="H1807" t="s">
        <v>1430</v>
      </c>
      <c r="I1807">
        <v>120</v>
      </c>
      <c r="J1807">
        <v>18</v>
      </c>
      <c r="K1807">
        <f t="shared" si="114"/>
        <v>15</v>
      </c>
      <c r="L1807" t="s">
        <v>1741</v>
      </c>
      <c r="M1807" t="s">
        <v>3761</v>
      </c>
      <c r="N1807" t="s">
        <v>1</v>
      </c>
      <c r="O1807">
        <v>400601</v>
      </c>
      <c r="P1807" t="s">
        <v>546</v>
      </c>
      <c r="Q1807" t="s">
        <v>1763</v>
      </c>
      <c r="S1807">
        <v>2575.944</v>
      </c>
      <c r="T1807">
        <v>7</v>
      </c>
      <c r="U1807">
        <v>0.2</v>
      </c>
      <c r="V1807">
        <v>257.59440000000001</v>
      </c>
      <c r="W1807">
        <f t="shared" si="115"/>
        <v>331.19279999999998</v>
      </c>
      <c r="X1807">
        <v>1</v>
      </c>
    </row>
    <row r="1808" spans="1:24" x14ac:dyDescent="0.3">
      <c r="A1808">
        <v>1807</v>
      </c>
      <c r="B1808" t="s">
        <v>3558</v>
      </c>
      <c r="C1808" s="6">
        <v>46003</v>
      </c>
      <c r="D1808" t="str">
        <f t="shared" si="112"/>
        <v>Dec</v>
      </c>
      <c r="E1808" t="str">
        <f t="shared" si="113"/>
        <v>2025</v>
      </c>
      <c r="F1808" t="s">
        <v>5</v>
      </c>
      <c r="G1808" t="s">
        <v>143</v>
      </c>
      <c r="H1808" t="s">
        <v>1057</v>
      </c>
      <c r="I1808">
        <v>240</v>
      </c>
      <c r="J1808">
        <v>22</v>
      </c>
      <c r="K1808">
        <f t="shared" si="114"/>
        <v>9.1666666666666661</v>
      </c>
      <c r="L1808" t="s">
        <v>1736</v>
      </c>
      <c r="M1808" t="s">
        <v>3762</v>
      </c>
      <c r="N1808" t="s">
        <v>1</v>
      </c>
      <c r="O1808">
        <v>201017</v>
      </c>
      <c r="P1808" t="s">
        <v>546</v>
      </c>
      <c r="Q1808" t="s">
        <v>1759</v>
      </c>
      <c r="S1808">
        <v>45.36</v>
      </c>
      <c r="T1808">
        <v>7</v>
      </c>
      <c r="U1808">
        <v>0</v>
      </c>
      <c r="V1808">
        <v>21.7728</v>
      </c>
      <c r="W1808">
        <f t="shared" si="115"/>
        <v>3.3695999999999997</v>
      </c>
      <c r="X1808">
        <v>4</v>
      </c>
    </row>
    <row r="1809" spans="1:24" x14ac:dyDescent="0.3">
      <c r="A1809">
        <v>1808</v>
      </c>
      <c r="B1809" t="s">
        <v>3559</v>
      </c>
      <c r="C1809" s="6">
        <v>46004</v>
      </c>
      <c r="D1809" t="str">
        <f t="shared" si="112"/>
        <v>Dec</v>
      </c>
      <c r="E1809" t="str">
        <f t="shared" si="113"/>
        <v>2025</v>
      </c>
      <c r="F1809" t="s">
        <v>5</v>
      </c>
      <c r="G1809" t="s">
        <v>143</v>
      </c>
      <c r="H1809" t="s">
        <v>1024</v>
      </c>
      <c r="I1809">
        <v>190</v>
      </c>
      <c r="J1809">
        <v>20</v>
      </c>
      <c r="K1809">
        <f t="shared" si="114"/>
        <v>10.526315789473683</v>
      </c>
      <c r="L1809" t="s">
        <v>1744</v>
      </c>
      <c r="M1809" t="s">
        <v>3763</v>
      </c>
      <c r="N1809" t="s">
        <v>1</v>
      </c>
      <c r="O1809">
        <v>625601</v>
      </c>
      <c r="P1809" t="s">
        <v>546</v>
      </c>
      <c r="Q1809" t="s">
        <v>1761</v>
      </c>
      <c r="S1809">
        <v>254.24</v>
      </c>
      <c r="T1809">
        <v>7</v>
      </c>
      <c r="U1809">
        <v>0</v>
      </c>
      <c r="V1809">
        <v>76.272000000000006</v>
      </c>
      <c r="W1809">
        <f t="shared" si="115"/>
        <v>25.424000000000003</v>
      </c>
      <c r="X1809">
        <v>5</v>
      </c>
    </row>
    <row r="1810" spans="1:24" x14ac:dyDescent="0.3">
      <c r="A1810">
        <v>1809</v>
      </c>
      <c r="B1810" t="s">
        <v>3560</v>
      </c>
      <c r="C1810" s="6">
        <v>46005</v>
      </c>
      <c r="D1810" t="str">
        <f t="shared" si="112"/>
        <v>Dec</v>
      </c>
      <c r="E1810" t="str">
        <f t="shared" si="113"/>
        <v>2025</v>
      </c>
      <c r="F1810" t="s">
        <v>5</v>
      </c>
      <c r="G1810" t="s">
        <v>543</v>
      </c>
      <c r="H1810" t="s">
        <v>1683</v>
      </c>
      <c r="I1810">
        <v>230</v>
      </c>
      <c r="J1810">
        <v>18</v>
      </c>
      <c r="K1810">
        <f t="shared" si="114"/>
        <v>7.8260869565217401</v>
      </c>
      <c r="L1810" t="s">
        <v>1740</v>
      </c>
      <c r="M1810" t="s">
        <v>3764</v>
      </c>
      <c r="N1810" t="s">
        <v>1</v>
      </c>
      <c r="O1810">
        <v>532127</v>
      </c>
      <c r="P1810" t="s">
        <v>546</v>
      </c>
      <c r="Q1810" t="s">
        <v>1763</v>
      </c>
      <c r="S1810">
        <v>69.930000000000007</v>
      </c>
      <c r="T1810">
        <v>7</v>
      </c>
      <c r="U1810">
        <v>0</v>
      </c>
      <c r="V1810">
        <v>0.69930000000000003</v>
      </c>
      <c r="W1810">
        <f t="shared" si="115"/>
        <v>9.8901000000000021</v>
      </c>
      <c r="X1810">
        <v>4</v>
      </c>
    </row>
    <row r="1811" spans="1:24" x14ac:dyDescent="0.3">
      <c r="A1811">
        <v>1810</v>
      </c>
      <c r="B1811" t="s">
        <v>3561</v>
      </c>
      <c r="C1811" s="6">
        <v>46006</v>
      </c>
      <c r="D1811" t="str">
        <f t="shared" si="112"/>
        <v>Dec</v>
      </c>
      <c r="E1811" t="str">
        <f t="shared" si="113"/>
        <v>2025</v>
      </c>
      <c r="F1811" t="s">
        <v>4</v>
      </c>
      <c r="G1811" t="s">
        <v>103</v>
      </c>
      <c r="H1811" t="s">
        <v>1684</v>
      </c>
      <c r="I1811">
        <v>200</v>
      </c>
      <c r="J1811">
        <v>24</v>
      </c>
      <c r="K1811">
        <f t="shared" si="114"/>
        <v>12</v>
      </c>
      <c r="L1811" t="s">
        <v>1742</v>
      </c>
      <c r="M1811" t="s">
        <v>3765</v>
      </c>
      <c r="N1811" t="s">
        <v>1</v>
      </c>
      <c r="O1811">
        <v>845305</v>
      </c>
      <c r="P1811" t="s">
        <v>546</v>
      </c>
      <c r="Q1811" t="s">
        <v>1756</v>
      </c>
      <c r="S1811">
        <v>16.155999999999999</v>
      </c>
      <c r="T1811">
        <v>7</v>
      </c>
      <c r="U1811">
        <v>0.6</v>
      </c>
      <c r="V1811">
        <v>-12.117000000000001</v>
      </c>
      <c r="W1811">
        <f t="shared" si="115"/>
        <v>4.0389999999999997</v>
      </c>
      <c r="X1811">
        <v>1</v>
      </c>
    </row>
    <row r="1812" spans="1:24" x14ac:dyDescent="0.3">
      <c r="A1812">
        <v>1811</v>
      </c>
      <c r="B1812" t="s">
        <v>3562</v>
      </c>
      <c r="C1812" s="6">
        <v>46007</v>
      </c>
      <c r="D1812" t="str">
        <f t="shared" si="112"/>
        <v>Dec</v>
      </c>
      <c r="E1812" t="str">
        <f t="shared" si="113"/>
        <v>2025</v>
      </c>
      <c r="F1812" t="s">
        <v>4</v>
      </c>
      <c r="G1812" t="s">
        <v>103</v>
      </c>
      <c r="H1812" t="s">
        <v>1685</v>
      </c>
      <c r="I1812">
        <v>160</v>
      </c>
      <c r="J1812">
        <v>24</v>
      </c>
      <c r="K1812">
        <f t="shared" si="114"/>
        <v>15</v>
      </c>
      <c r="L1812" t="s">
        <v>1739</v>
      </c>
      <c r="M1812" t="s">
        <v>3766</v>
      </c>
      <c r="N1812" t="s">
        <v>1</v>
      </c>
      <c r="O1812">
        <v>122011</v>
      </c>
      <c r="P1812" t="s">
        <v>546</v>
      </c>
      <c r="Q1812" t="s">
        <v>1767</v>
      </c>
      <c r="S1812">
        <v>54.816000000000003</v>
      </c>
      <c r="T1812">
        <v>3</v>
      </c>
      <c r="U1812">
        <v>0.2</v>
      </c>
      <c r="V1812">
        <v>17.815200000000001</v>
      </c>
      <c r="W1812">
        <f t="shared" si="115"/>
        <v>12.333599999999999</v>
      </c>
      <c r="X1812">
        <v>5</v>
      </c>
    </row>
    <row r="1813" spans="1:24" x14ac:dyDescent="0.3">
      <c r="A1813">
        <v>1812</v>
      </c>
      <c r="B1813" t="s">
        <v>3563</v>
      </c>
      <c r="C1813" s="6">
        <v>46008</v>
      </c>
      <c r="D1813" t="str">
        <f t="shared" si="112"/>
        <v>Dec</v>
      </c>
      <c r="E1813" t="str">
        <f t="shared" si="113"/>
        <v>2025</v>
      </c>
      <c r="F1813" t="s">
        <v>3</v>
      </c>
      <c r="G1813" t="s">
        <v>390</v>
      </c>
      <c r="H1813" t="s">
        <v>668</v>
      </c>
      <c r="I1813">
        <v>100</v>
      </c>
      <c r="J1813">
        <v>24</v>
      </c>
      <c r="K1813">
        <f t="shared" si="114"/>
        <v>24</v>
      </c>
      <c r="L1813" t="s">
        <v>1738</v>
      </c>
      <c r="M1813" t="s">
        <v>3767</v>
      </c>
      <c r="N1813" t="s">
        <v>1</v>
      </c>
      <c r="O1813">
        <v>600044</v>
      </c>
      <c r="P1813" t="s">
        <v>546</v>
      </c>
      <c r="Q1813" t="s">
        <v>1770</v>
      </c>
      <c r="S1813">
        <v>1441.3</v>
      </c>
      <c r="T1813">
        <v>7</v>
      </c>
      <c r="U1813">
        <v>0</v>
      </c>
      <c r="V1813">
        <v>245.02099999999999</v>
      </c>
      <c r="W1813">
        <f t="shared" si="115"/>
        <v>170.89699999999999</v>
      </c>
      <c r="X1813">
        <v>2</v>
      </c>
    </row>
    <row r="1814" spans="1:24" x14ac:dyDescent="0.3">
      <c r="A1814">
        <v>1813</v>
      </c>
      <c r="B1814" t="s">
        <v>3564</v>
      </c>
      <c r="C1814" s="6">
        <v>46009</v>
      </c>
      <c r="D1814" t="str">
        <f t="shared" si="112"/>
        <v>Dec</v>
      </c>
      <c r="E1814" t="str">
        <f t="shared" si="113"/>
        <v>2025</v>
      </c>
      <c r="F1814" t="s">
        <v>4</v>
      </c>
      <c r="G1814" t="s">
        <v>544</v>
      </c>
      <c r="H1814" t="s">
        <v>822</v>
      </c>
      <c r="I1814">
        <v>240</v>
      </c>
      <c r="J1814">
        <v>12</v>
      </c>
      <c r="K1814">
        <f t="shared" si="114"/>
        <v>5</v>
      </c>
      <c r="L1814" t="s">
        <v>1737</v>
      </c>
      <c r="M1814" t="s">
        <v>3768</v>
      </c>
      <c r="N1814" t="s">
        <v>1</v>
      </c>
      <c r="O1814">
        <v>800025</v>
      </c>
      <c r="P1814" t="s">
        <v>546</v>
      </c>
      <c r="Q1814" t="s">
        <v>1756</v>
      </c>
      <c r="S1814">
        <v>77.599999999999994</v>
      </c>
      <c r="T1814">
        <v>5</v>
      </c>
      <c r="U1814">
        <v>0.2</v>
      </c>
      <c r="V1814">
        <v>28.13</v>
      </c>
      <c r="W1814">
        <f t="shared" si="115"/>
        <v>9.8940000000000001</v>
      </c>
      <c r="X1814">
        <v>1</v>
      </c>
    </row>
    <row r="1815" spans="1:24" x14ac:dyDescent="0.3">
      <c r="A1815">
        <v>1814</v>
      </c>
      <c r="B1815" t="s">
        <v>3565</v>
      </c>
      <c r="C1815" s="6">
        <v>46010</v>
      </c>
      <c r="D1815" t="str">
        <f t="shared" si="112"/>
        <v>Dec</v>
      </c>
      <c r="E1815" t="str">
        <f t="shared" si="113"/>
        <v>2025</v>
      </c>
      <c r="F1815" t="s">
        <v>4</v>
      </c>
      <c r="G1815" t="s">
        <v>544</v>
      </c>
      <c r="H1815" t="s">
        <v>943</v>
      </c>
      <c r="I1815">
        <v>190</v>
      </c>
      <c r="J1815">
        <v>24</v>
      </c>
      <c r="K1815">
        <f t="shared" si="114"/>
        <v>12.631578947368421</v>
      </c>
      <c r="L1815" t="s">
        <v>1743</v>
      </c>
      <c r="M1815" t="s">
        <v>3769</v>
      </c>
      <c r="N1815" t="s">
        <v>1</v>
      </c>
      <c r="O1815">
        <v>500055</v>
      </c>
      <c r="P1815" t="s">
        <v>546</v>
      </c>
      <c r="Q1815" t="s">
        <v>1770</v>
      </c>
      <c r="R1815" t="s">
        <v>2</v>
      </c>
      <c r="S1815">
        <v>4.6559999999999997</v>
      </c>
      <c r="T1815">
        <v>2</v>
      </c>
      <c r="U1815">
        <v>0.2</v>
      </c>
      <c r="V1815">
        <v>1.5713999999999999</v>
      </c>
      <c r="W1815">
        <f t="shared" si="115"/>
        <v>1.5423</v>
      </c>
      <c r="X1815">
        <v>2</v>
      </c>
    </row>
    <row r="1816" spans="1:24" x14ac:dyDescent="0.3">
      <c r="A1816">
        <v>1815</v>
      </c>
      <c r="B1816" t="s">
        <v>3566</v>
      </c>
      <c r="C1816" s="6">
        <v>46011</v>
      </c>
      <c r="D1816" t="str">
        <f t="shared" si="112"/>
        <v>Dec</v>
      </c>
      <c r="E1816" t="str">
        <f t="shared" si="113"/>
        <v>2025</v>
      </c>
      <c r="F1816" t="s">
        <v>4</v>
      </c>
      <c r="G1816" t="s">
        <v>414</v>
      </c>
      <c r="H1816" t="s">
        <v>770</v>
      </c>
      <c r="I1816">
        <v>180</v>
      </c>
      <c r="J1816">
        <v>18</v>
      </c>
      <c r="K1816">
        <f t="shared" si="114"/>
        <v>10</v>
      </c>
      <c r="L1816" t="s">
        <v>1738</v>
      </c>
      <c r="M1816" t="s">
        <v>3770</v>
      </c>
      <c r="N1816" t="s">
        <v>1</v>
      </c>
      <c r="O1816">
        <v>784510</v>
      </c>
      <c r="P1816" t="s">
        <v>546</v>
      </c>
      <c r="Q1816" t="s">
        <v>1759</v>
      </c>
      <c r="S1816">
        <v>170.136</v>
      </c>
      <c r="T1816">
        <v>3</v>
      </c>
      <c r="U1816">
        <v>0.2</v>
      </c>
      <c r="V1816">
        <v>-8.5068000000000001</v>
      </c>
      <c r="W1816">
        <f t="shared" si="115"/>
        <v>59.547599999999996</v>
      </c>
      <c r="X1816">
        <v>4</v>
      </c>
    </row>
    <row r="1817" spans="1:24" x14ac:dyDescent="0.3">
      <c r="A1817">
        <v>1816</v>
      </c>
      <c r="B1817" t="s">
        <v>3567</v>
      </c>
      <c r="C1817" s="6">
        <v>46012</v>
      </c>
      <c r="D1817" t="str">
        <f t="shared" si="112"/>
        <v>Dec</v>
      </c>
      <c r="E1817" t="str">
        <f t="shared" si="113"/>
        <v>2025</v>
      </c>
      <c r="F1817" t="s">
        <v>6</v>
      </c>
      <c r="G1817" t="s">
        <v>335</v>
      </c>
      <c r="H1817" t="s">
        <v>1686</v>
      </c>
      <c r="I1817">
        <v>190</v>
      </c>
      <c r="J1817">
        <v>30</v>
      </c>
      <c r="K1817">
        <f t="shared" si="114"/>
        <v>15.789473684210526</v>
      </c>
      <c r="L1817" t="s">
        <v>1739</v>
      </c>
      <c r="M1817" t="s">
        <v>3771</v>
      </c>
      <c r="N1817" t="s">
        <v>1</v>
      </c>
      <c r="O1817">
        <v>110021</v>
      </c>
      <c r="P1817" t="s">
        <v>546</v>
      </c>
      <c r="Q1817" t="s">
        <v>1764</v>
      </c>
      <c r="S1817">
        <v>7.38</v>
      </c>
      <c r="T1817">
        <v>2</v>
      </c>
      <c r="U1817">
        <v>0</v>
      </c>
      <c r="V1817">
        <v>3.4685999999999999</v>
      </c>
      <c r="W1817">
        <f t="shared" si="115"/>
        <v>1.9557</v>
      </c>
      <c r="X1817">
        <v>2</v>
      </c>
    </row>
    <row r="1818" spans="1:24" x14ac:dyDescent="0.3">
      <c r="A1818">
        <v>1817</v>
      </c>
      <c r="B1818" t="s">
        <v>3568</v>
      </c>
      <c r="C1818" s="6">
        <v>46013</v>
      </c>
      <c r="D1818" t="str">
        <f t="shared" si="112"/>
        <v>Dec</v>
      </c>
      <c r="E1818" t="str">
        <f t="shared" si="113"/>
        <v>2025</v>
      </c>
      <c r="F1818" t="s">
        <v>6</v>
      </c>
      <c r="G1818" t="s">
        <v>335</v>
      </c>
      <c r="H1818" t="s">
        <v>729</v>
      </c>
      <c r="I1818">
        <v>150</v>
      </c>
      <c r="J1818">
        <v>16</v>
      </c>
      <c r="K1818">
        <f t="shared" si="114"/>
        <v>10.666666666666668</v>
      </c>
      <c r="L1818" t="s">
        <v>1741</v>
      </c>
      <c r="M1818" t="s">
        <v>3772</v>
      </c>
      <c r="N1818" t="s">
        <v>1</v>
      </c>
      <c r="O1818">
        <v>380054</v>
      </c>
      <c r="P1818" t="s">
        <v>546</v>
      </c>
      <c r="Q1818" t="s">
        <v>1774</v>
      </c>
      <c r="S1818">
        <v>9.26</v>
      </c>
      <c r="T1818">
        <v>2</v>
      </c>
      <c r="U1818">
        <v>0</v>
      </c>
      <c r="V1818">
        <v>3.0558000000000001</v>
      </c>
      <c r="W1818">
        <f t="shared" si="115"/>
        <v>3.1021000000000001</v>
      </c>
      <c r="X1818">
        <v>1</v>
      </c>
    </row>
    <row r="1819" spans="1:24" x14ac:dyDescent="0.3">
      <c r="A1819">
        <v>1818</v>
      </c>
      <c r="B1819" t="s">
        <v>3569</v>
      </c>
      <c r="C1819" s="6">
        <v>46014</v>
      </c>
      <c r="D1819" t="str">
        <f t="shared" si="112"/>
        <v>Dec</v>
      </c>
      <c r="E1819" t="str">
        <f t="shared" si="113"/>
        <v>2025</v>
      </c>
      <c r="F1819" t="s">
        <v>3</v>
      </c>
      <c r="G1819" t="s">
        <v>437</v>
      </c>
      <c r="H1819" t="s">
        <v>1687</v>
      </c>
      <c r="I1819">
        <v>250</v>
      </c>
      <c r="J1819">
        <v>12</v>
      </c>
      <c r="K1819">
        <f t="shared" si="114"/>
        <v>4.8</v>
      </c>
      <c r="L1819" t="s">
        <v>1736</v>
      </c>
      <c r="M1819" t="s">
        <v>3773</v>
      </c>
      <c r="N1819" t="s">
        <v>1</v>
      </c>
      <c r="O1819">
        <v>208002</v>
      </c>
      <c r="P1819" t="s">
        <v>546</v>
      </c>
      <c r="Q1819" t="s">
        <v>1765</v>
      </c>
      <c r="R1819" t="s">
        <v>2</v>
      </c>
      <c r="S1819">
        <v>9.9600000000000009</v>
      </c>
      <c r="T1819">
        <v>2</v>
      </c>
      <c r="U1819">
        <v>0</v>
      </c>
      <c r="V1819">
        <v>4.5815999999999999</v>
      </c>
      <c r="W1819">
        <f t="shared" si="115"/>
        <v>2.6892000000000005</v>
      </c>
      <c r="X1819">
        <v>1</v>
      </c>
    </row>
    <row r="1820" spans="1:24" x14ac:dyDescent="0.3">
      <c r="A1820">
        <v>1819</v>
      </c>
      <c r="B1820" t="s">
        <v>3570</v>
      </c>
      <c r="C1820" s="6">
        <v>46015</v>
      </c>
      <c r="D1820" t="str">
        <f t="shared" si="112"/>
        <v>Dec</v>
      </c>
      <c r="E1820" t="str">
        <f t="shared" si="113"/>
        <v>2025</v>
      </c>
      <c r="F1820" t="s">
        <v>4</v>
      </c>
      <c r="G1820" t="s">
        <v>545</v>
      </c>
      <c r="H1820" t="s">
        <v>1688</v>
      </c>
      <c r="I1820">
        <v>210</v>
      </c>
      <c r="J1820">
        <v>30</v>
      </c>
      <c r="K1820">
        <f t="shared" si="114"/>
        <v>14.285714285714285</v>
      </c>
      <c r="L1820" t="s">
        <v>1744</v>
      </c>
      <c r="M1820" t="s">
        <v>3774</v>
      </c>
      <c r="N1820" t="s">
        <v>1</v>
      </c>
      <c r="O1820">
        <v>421004</v>
      </c>
      <c r="P1820" t="s">
        <v>546</v>
      </c>
      <c r="Q1820" t="s">
        <v>1763</v>
      </c>
      <c r="R1820" t="s">
        <v>2</v>
      </c>
      <c r="S1820">
        <v>75.599999999999994</v>
      </c>
      <c r="T1820">
        <v>2</v>
      </c>
      <c r="U1820">
        <v>0.8</v>
      </c>
      <c r="V1820">
        <v>-166.32</v>
      </c>
      <c r="W1820">
        <f t="shared" si="115"/>
        <v>120.96</v>
      </c>
      <c r="X1820">
        <v>4</v>
      </c>
    </row>
    <row r="1821" spans="1:24" x14ac:dyDescent="0.3">
      <c r="A1821">
        <v>1820</v>
      </c>
      <c r="B1821" t="s">
        <v>3571</v>
      </c>
      <c r="C1821" s="6">
        <v>46016</v>
      </c>
      <c r="D1821" t="str">
        <f t="shared" si="112"/>
        <v>Dec</v>
      </c>
      <c r="E1821" t="str">
        <f t="shared" si="113"/>
        <v>2025</v>
      </c>
      <c r="F1821" t="s">
        <v>4</v>
      </c>
      <c r="G1821" t="s">
        <v>545</v>
      </c>
      <c r="H1821" t="s">
        <v>1689</v>
      </c>
      <c r="I1821">
        <v>210</v>
      </c>
      <c r="J1821">
        <v>6</v>
      </c>
      <c r="K1821">
        <f t="shared" si="114"/>
        <v>2.8571428571428572</v>
      </c>
      <c r="L1821" t="s">
        <v>1740</v>
      </c>
      <c r="M1821" t="s">
        <v>3775</v>
      </c>
      <c r="N1821" t="s">
        <v>1</v>
      </c>
      <c r="O1821">
        <v>124105</v>
      </c>
      <c r="P1821" t="s">
        <v>546</v>
      </c>
      <c r="Q1821" t="s">
        <v>1775</v>
      </c>
      <c r="S1821">
        <v>29.32</v>
      </c>
      <c r="T1821">
        <v>2</v>
      </c>
      <c r="U1821">
        <v>0.6</v>
      </c>
      <c r="V1821">
        <v>-24.189</v>
      </c>
      <c r="W1821">
        <f t="shared" si="115"/>
        <v>26.7545</v>
      </c>
      <c r="X1821">
        <v>2</v>
      </c>
    </row>
    <row r="1822" spans="1:24" x14ac:dyDescent="0.3">
      <c r="A1822">
        <v>1821</v>
      </c>
      <c r="B1822" t="s">
        <v>3572</v>
      </c>
      <c r="C1822" s="6">
        <v>46017</v>
      </c>
      <c r="D1822" t="str">
        <f t="shared" si="112"/>
        <v>Dec</v>
      </c>
      <c r="E1822" t="str">
        <f t="shared" si="113"/>
        <v>2025</v>
      </c>
      <c r="F1822" t="s">
        <v>4</v>
      </c>
      <c r="G1822" t="s">
        <v>112</v>
      </c>
      <c r="H1822" t="s">
        <v>1690</v>
      </c>
      <c r="I1822">
        <v>190</v>
      </c>
      <c r="J1822">
        <v>26</v>
      </c>
      <c r="K1822">
        <f t="shared" si="114"/>
        <v>13.684210526315791</v>
      </c>
      <c r="L1822" t="s">
        <v>1742</v>
      </c>
      <c r="M1822" t="s">
        <v>3776</v>
      </c>
      <c r="N1822" t="s">
        <v>1</v>
      </c>
      <c r="O1822">
        <v>500059</v>
      </c>
      <c r="P1822" t="s">
        <v>546</v>
      </c>
      <c r="Q1822" t="s">
        <v>1757</v>
      </c>
      <c r="S1822">
        <v>92.063999999999993</v>
      </c>
      <c r="T1822">
        <v>6</v>
      </c>
      <c r="U1822">
        <v>0.8</v>
      </c>
      <c r="V1822">
        <v>-225.55680000000001</v>
      </c>
      <c r="W1822">
        <f t="shared" si="115"/>
        <v>52.936800000000005</v>
      </c>
      <c r="X1822">
        <v>4</v>
      </c>
    </row>
    <row r="1823" spans="1:24" x14ac:dyDescent="0.3">
      <c r="A1823">
        <v>1822</v>
      </c>
      <c r="B1823" t="s">
        <v>3573</v>
      </c>
      <c r="C1823" s="6">
        <v>46018</v>
      </c>
      <c r="D1823" t="str">
        <f t="shared" si="112"/>
        <v>Dec</v>
      </c>
      <c r="E1823" t="str">
        <f t="shared" si="113"/>
        <v>2025</v>
      </c>
      <c r="F1823" t="s">
        <v>4</v>
      </c>
      <c r="G1823" t="s">
        <v>112</v>
      </c>
      <c r="H1823" t="s">
        <v>599</v>
      </c>
      <c r="I1823">
        <v>170</v>
      </c>
      <c r="J1823">
        <v>24</v>
      </c>
      <c r="K1823">
        <f t="shared" si="114"/>
        <v>14.117647058823529</v>
      </c>
      <c r="L1823" t="s">
        <v>1739</v>
      </c>
      <c r="M1823" t="s">
        <v>3777</v>
      </c>
      <c r="N1823" t="s">
        <v>1</v>
      </c>
      <c r="O1823">
        <v>560048</v>
      </c>
      <c r="P1823" t="s">
        <v>546</v>
      </c>
      <c r="Q1823" t="s">
        <v>1761</v>
      </c>
      <c r="S1823">
        <v>6.976</v>
      </c>
      <c r="T1823">
        <v>4</v>
      </c>
      <c r="U1823">
        <v>0.2</v>
      </c>
      <c r="V1823">
        <v>1.8311999999999999</v>
      </c>
      <c r="W1823">
        <f t="shared" si="115"/>
        <v>1.2862</v>
      </c>
      <c r="X1823">
        <v>5</v>
      </c>
    </row>
    <row r="1824" spans="1:24" x14ac:dyDescent="0.3">
      <c r="A1824">
        <v>1823</v>
      </c>
      <c r="B1824" t="s">
        <v>3574</v>
      </c>
      <c r="C1824" s="6">
        <v>46019</v>
      </c>
      <c r="D1824" t="str">
        <f t="shared" si="112"/>
        <v>Dec</v>
      </c>
      <c r="E1824" t="str">
        <f t="shared" si="113"/>
        <v>2025</v>
      </c>
      <c r="F1824" t="s">
        <v>4</v>
      </c>
      <c r="G1824" t="s">
        <v>112</v>
      </c>
      <c r="H1824" t="s">
        <v>1691</v>
      </c>
      <c r="I1824">
        <v>110</v>
      </c>
      <c r="J1824">
        <v>8</v>
      </c>
      <c r="K1824">
        <f t="shared" si="114"/>
        <v>7.2727272727272725</v>
      </c>
      <c r="L1824" t="s">
        <v>1738</v>
      </c>
      <c r="M1824" t="s">
        <v>3778</v>
      </c>
      <c r="N1824" t="s">
        <v>1</v>
      </c>
      <c r="O1824">
        <v>122001</v>
      </c>
      <c r="P1824" t="s">
        <v>546</v>
      </c>
      <c r="Q1824" t="s">
        <v>1769</v>
      </c>
      <c r="S1824">
        <v>62.957999999999998</v>
      </c>
      <c r="T1824">
        <v>3</v>
      </c>
      <c r="U1824">
        <v>0.3</v>
      </c>
      <c r="V1824">
        <v>-2.6981999999999999</v>
      </c>
      <c r="W1824">
        <f t="shared" si="115"/>
        <v>21.885400000000001</v>
      </c>
      <c r="X1824">
        <v>4</v>
      </c>
    </row>
    <row r="1825" spans="1:24" x14ac:dyDescent="0.3">
      <c r="A1825">
        <v>1824</v>
      </c>
      <c r="B1825" t="s">
        <v>3575</v>
      </c>
      <c r="C1825" s="6">
        <v>46020</v>
      </c>
      <c r="D1825" t="str">
        <f t="shared" si="112"/>
        <v>Dec</v>
      </c>
      <c r="E1825" t="str">
        <f t="shared" si="113"/>
        <v>2025</v>
      </c>
      <c r="F1825" t="s">
        <v>4</v>
      </c>
      <c r="G1825" t="s">
        <v>112</v>
      </c>
      <c r="H1825" t="s">
        <v>1692</v>
      </c>
      <c r="I1825">
        <v>140</v>
      </c>
      <c r="J1825">
        <v>28</v>
      </c>
      <c r="K1825">
        <f t="shared" si="114"/>
        <v>20</v>
      </c>
      <c r="L1825" t="s">
        <v>1743</v>
      </c>
      <c r="M1825" t="s">
        <v>3779</v>
      </c>
      <c r="N1825" t="s">
        <v>1</v>
      </c>
      <c r="O1825">
        <v>400081</v>
      </c>
      <c r="P1825" t="s">
        <v>546</v>
      </c>
      <c r="Q1825" t="s">
        <v>1762</v>
      </c>
      <c r="S1825">
        <v>5.1840000000000002</v>
      </c>
      <c r="T1825">
        <v>1</v>
      </c>
      <c r="U1825">
        <v>0.2</v>
      </c>
      <c r="V1825">
        <v>1.8144</v>
      </c>
      <c r="W1825">
        <f t="shared" si="115"/>
        <v>3.3696000000000002</v>
      </c>
      <c r="X1825">
        <v>3</v>
      </c>
    </row>
    <row r="1826" spans="1:24" x14ac:dyDescent="0.3">
      <c r="A1826">
        <v>1825</v>
      </c>
      <c r="B1826" t="s">
        <v>3576</v>
      </c>
      <c r="C1826" s="6">
        <v>46021</v>
      </c>
      <c r="D1826" t="str">
        <f t="shared" si="112"/>
        <v>Dec</v>
      </c>
      <c r="E1826" t="str">
        <f t="shared" si="113"/>
        <v>2025</v>
      </c>
      <c r="F1826" t="s">
        <v>4</v>
      </c>
      <c r="G1826" t="s">
        <v>200</v>
      </c>
      <c r="H1826" t="s">
        <v>1411</v>
      </c>
      <c r="I1826">
        <v>180</v>
      </c>
      <c r="J1826">
        <v>18</v>
      </c>
      <c r="K1826">
        <f t="shared" si="114"/>
        <v>10</v>
      </c>
      <c r="L1826" t="s">
        <v>1737</v>
      </c>
      <c r="M1826" t="s">
        <v>3780</v>
      </c>
      <c r="N1826" t="s">
        <v>1</v>
      </c>
      <c r="O1826">
        <v>380061</v>
      </c>
      <c r="P1826" t="s">
        <v>546</v>
      </c>
      <c r="Q1826" t="s">
        <v>1770</v>
      </c>
      <c r="S1826">
        <v>31.32</v>
      </c>
      <c r="T1826">
        <v>10</v>
      </c>
      <c r="U1826">
        <v>0.7</v>
      </c>
      <c r="V1826">
        <v>-25.056000000000001</v>
      </c>
      <c r="W1826">
        <f t="shared" si="115"/>
        <v>5.6376000000000008</v>
      </c>
      <c r="X1826">
        <v>1</v>
      </c>
    </row>
    <row r="1827" spans="1:24" x14ac:dyDescent="0.3">
      <c r="A1827">
        <v>1826</v>
      </c>
      <c r="B1827" t="s">
        <v>3577</v>
      </c>
      <c r="C1827" s="6">
        <v>46022</v>
      </c>
      <c r="D1827" t="str">
        <f t="shared" si="112"/>
        <v>Dec</v>
      </c>
      <c r="E1827" t="str">
        <f t="shared" si="113"/>
        <v>2025</v>
      </c>
      <c r="F1827" t="s">
        <v>4</v>
      </c>
      <c r="G1827" t="s">
        <v>200</v>
      </c>
      <c r="H1827" t="s">
        <v>892</v>
      </c>
      <c r="I1827">
        <v>100</v>
      </c>
      <c r="J1827">
        <v>22</v>
      </c>
      <c r="K1827">
        <f t="shared" si="114"/>
        <v>22</v>
      </c>
      <c r="L1827" t="s">
        <v>1741</v>
      </c>
      <c r="M1827" t="s">
        <v>3781</v>
      </c>
      <c r="N1827" t="s">
        <v>1</v>
      </c>
      <c r="O1827">
        <v>380061</v>
      </c>
      <c r="P1827" t="s">
        <v>546</v>
      </c>
      <c r="Q1827" t="s">
        <v>1763</v>
      </c>
      <c r="S1827">
        <v>11.84</v>
      </c>
      <c r="T1827">
        <v>4</v>
      </c>
      <c r="U1827">
        <v>0.2</v>
      </c>
      <c r="V1827">
        <v>3.1080000000000001</v>
      </c>
      <c r="W1827">
        <f t="shared" si="115"/>
        <v>2.1829999999999998</v>
      </c>
      <c r="X1827">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7714F-5826-421C-83C3-C71285AB7693}">
  <dimension ref="B3:AD27"/>
  <sheetViews>
    <sheetView showGridLines="0" topLeftCell="D1" workbookViewId="0">
      <selection activeCell="V24" sqref="V24"/>
    </sheetView>
  </sheetViews>
  <sheetFormatPr defaultRowHeight="14.4" x14ac:dyDescent="0.3"/>
  <cols>
    <col min="2" max="2" width="12.21875" bestFit="1" customWidth="1"/>
    <col min="3" max="3" width="15.44140625" bestFit="1" customWidth="1"/>
    <col min="4" max="4" width="13.109375" bestFit="1" customWidth="1"/>
    <col min="5" max="5" width="13.44140625" bestFit="1" customWidth="1"/>
    <col min="6" max="6" width="17.5546875" bestFit="1" customWidth="1"/>
    <col min="9" max="9" width="12.44140625" bestFit="1" customWidth="1"/>
    <col min="10" max="11" width="10" bestFit="1" customWidth="1"/>
    <col min="14" max="14" width="12.44140625" bestFit="1" customWidth="1"/>
    <col min="15" max="15" width="15.88671875" bestFit="1" customWidth="1"/>
    <col min="18" max="18" width="12.44140625" bestFit="1" customWidth="1"/>
    <col min="19" max="19" width="15.109375" bestFit="1" customWidth="1"/>
    <col min="22" max="22" width="13.88671875" bestFit="1" customWidth="1"/>
    <col min="23" max="23" width="18.88671875" bestFit="1" customWidth="1"/>
    <col min="26" max="26" width="13.88671875" bestFit="1" customWidth="1"/>
    <col min="27" max="27" width="12.21875" bestFit="1" customWidth="1"/>
    <col min="29" max="29" width="13.88671875" bestFit="1" customWidth="1"/>
    <col min="30" max="30" width="8.5546875" bestFit="1" customWidth="1"/>
  </cols>
  <sheetData>
    <row r="3" spans="2:30" x14ac:dyDescent="0.3">
      <c r="B3" t="s">
        <v>1709</v>
      </c>
      <c r="C3" t="s">
        <v>1710</v>
      </c>
      <c r="D3" t="s">
        <v>1711</v>
      </c>
      <c r="E3" t="s">
        <v>1746</v>
      </c>
      <c r="F3" t="s">
        <v>1747</v>
      </c>
      <c r="I3" s="3" t="s">
        <v>1717</v>
      </c>
      <c r="J3" t="s">
        <v>1719</v>
      </c>
      <c r="K3" t="s">
        <v>1720</v>
      </c>
      <c r="N3" s="3" t="s">
        <v>1717</v>
      </c>
      <c r="O3" t="s">
        <v>1733</v>
      </c>
      <c r="R3" s="3" t="s">
        <v>1717</v>
      </c>
      <c r="S3" t="s">
        <v>1748</v>
      </c>
      <c r="V3" s="3" t="s">
        <v>1717</v>
      </c>
      <c r="W3" t="s">
        <v>1752</v>
      </c>
      <c r="Z3" s="3" t="s">
        <v>1717</v>
      </c>
      <c r="AA3" t="s">
        <v>1709</v>
      </c>
    </row>
    <row r="4" spans="2:30" x14ac:dyDescent="0.3">
      <c r="B4" s="2">
        <v>418653.24240000092</v>
      </c>
      <c r="C4" s="22">
        <v>6960</v>
      </c>
      <c r="D4" s="22">
        <v>39368.929700000044</v>
      </c>
      <c r="E4" s="22">
        <v>1826</v>
      </c>
      <c r="F4" s="5">
        <v>3.0010952902519166</v>
      </c>
      <c r="I4" s="4" t="s">
        <v>1712</v>
      </c>
      <c r="J4" s="5">
        <v>94748.846199999956</v>
      </c>
      <c r="K4" s="5">
        <v>3453.9181999999996</v>
      </c>
      <c r="N4" s="4" t="s">
        <v>1721</v>
      </c>
      <c r="O4" s="5">
        <v>7.4404980645161301</v>
      </c>
      <c r="R4" s="4" t="s">
        <v>1721</v>
      </c>
      <c r="S4" s="5">
        <v>208.68689032258052</v>
      </c>
      <c r="V4" s="4" t="s">
        <v>1742</v>
      </c>
      <c r="W4" s="7">
        <v>0.22892655367231668</v>
      </c>
      <c r="Z4" s="4" t="s">
        <v>1754</v>
      </c>
      <c r="AA4" s="5">
        <v>22251.033999999989</v>
      </c>
      <c r="AC4" s="4" t="str">
        <f>Z4</f>
        <v>Andhra Pradesh</v>
      </c>
      <c r="AD4" s="5">
        <f>AA4</f>
        <v>22251.033999999989</v>
      </c>
    </row>
    <row r="5" spans="2:30" x14ac:dyDescent="0.3">
      <c r="I5" s="4" t="s">
        <v>1713</v>
      </c>
      <c r="J5" s="5">
        <v>91660.845900000015</v>
      </c>
      <c r="K5" s="5">
        <v>6588.7712000000038</v>
      </c>
      <c r="N5" s="4" t="s">
        <v>1722</v>
      </c>
      <c r="O5" s="5">
        <v>25.177629787234039</v>
      </c>
      <c r="R5" s="4" t="s">
        <v>1722</v>
      </c>
      <c r="S5" s="5">
        <v>198.58326099290773</v>
      </c>
      <c r="V5" s="4" t="s">
        <v>1740</v>
      </c>
      <c r="W5" s="7">
        <v>0.22164772727272763</v>
      </c>
      <c r="Z5" s="4" t="s">
        <v>1755</v>
      </c>
      <c r="AA5" s="5">
        <v>34642.259999999995</v>
      </c>
      <c r="AC5" s="4" t="str">
        <f t="shared" ref="AC5:AC27" si="0">Z5</f>
        <v>Assam</v>
      </c>
      <c r="AD5" s="5">
        <f t="shared" ref="AD5:AD27" si="1">AA5</f>
        <v>34642.259999999995</v>
      </c>
    </row>
    <row r="6" spans="2:30" x14ac:dyDescent="0.3">
      <c r="B6" s="8" t="s">
        <v>1709</v>
      </c>
      <c r="C6" s="8" t="s">
        <v>1710</v>
      </c>
      <c r="D6" s="8" t="s">
        <v>1711</v>
      </c>
      <c r="E6" s="8" t="s">
        <v>1746</v>
      </c>
      <c r="F6" s="8" t="s">
        <v>1747</v>
      </c>
      <c r="I6" s="4" t="s">
        <v>1714</v>
      </c>
      <c r="J6" s="5">
        <v>80507.443800000023</v>
      </c>
      <c r="K6" s="5">
        <v>14505.626900000001</v>
      </c>
      <c r="N6" s="4" t="s">
        <v>1723</v>
      </c>
      <c r="O6" s="5">
        <v>35.873693548387088</v>
      </c>
      <c r="R6" s="4" t="s">
        <v>1723</v>
      </c>
      <c r="S6" s="5">
        <v>210.47314838709673</v>
      </c>
      <c r="V6" s="4" t="s">
        <v>1736</v>
      </c>
      <c r="W6" s="7">
        <v>0.21271186440678008</v>
      </c>
      <c r="Z6" s="4" t="s">
        <v>1756</v>
      </c>
      <c r="AA6" s="5">
        <v>16474.079999999998</v>
      </c>
      <c r="AC6" s="4" t="str">
        <f t="shared" si="0"/>
        <v>Bihar</v>
      </c>
      <c r="AD6" s="5">
        <f t="shared" si="1"/>
        <v>16474.079999999998</v>
      </c>
    </row>
    <row r="7" spans="2:30" x14ac:dyDescent="0.3">
      <c r="B7" s="2">
        <f>B4</f>
        <v>418653.24240000092</v>
      </c>
      <c r="C7" s="5">
        <f>C4</f>
        <v>6960</v>
      </c>
      <c r="D7" s="2">
        <f>D4</f>
        <v>39368.929700000044</v>
      </c>
      <c r="E7">
        <f>E4</f>
        <v>1826</v>
      </c>
      <c r="F7" s="5">
        <f>F4</f>
        <v>3.0010952902519166</v>
      </c>
      <c r="I7" s="4" t="s">
        <v>1715</v>
      </c>
      <c r="J7" s="5">
        <v>76359.353499999997</v>
      </c>
      <c r="K7" s="5">
        <v>6818.7404999999962</v>
      </c>
      <c r="N7" s="4" t="s">
        <v>1724</v>
      </c>
      <c r="O7" s="5">
        <v>-6.5387399999999962</v>
      </c>
      <c r="R7" s="4" t="s">
        <v>1724</v>
      </c>
      <c r="S7" s="5">
        <v>168.92502533333334</v>
      </c>
      <c r="V7" s="4" t="s">
        <v>1738</v>
      </c>
      <c r="W7" s="7">
        <v>0.21141891891891981</v>
      </c>
      <c r="Z7" s="4" t="s">
        <v>1758</v>
      </c>
      <c r="AA7" s="5">
        <v>13535.82</v>
      </c>
      <c r="AC7" s="4" t="str">
        <f t="shared" si="0"/>
        <v>Gujarat</v>
      </c>
      <c r="AD7" s="5">
        <f t="shared" si="1"/>
        <v>13535.82</v>
      </c>
    </row>
    <row r="8" spans="2:30" x14ac:dyDescent="0.3">
      <c r="I8" s="4" t="s">
        <v>1716</v>
      </c>
      <c r="J8" s="5">
        <v>75376.753000000012</v>
      </c>
      <c r="K8" s="5">
        <v>8001.8729000000021</v>
      </c>
      <c r="N8" s="4" t="s">
        <v>1725</v>
      </c>
      <c r="O8" s="5">
        <v>50.228030967741951</v>
      </c>
      <c r="R8" s="4" t="s">
        <v>1725</v>
      </c>
      <c r="S8" s="5">
        <v>273.8506580645161</v>
      </c>
      <c r="V8" s="4" t="s">
        <v>1744</v>
      </c>
      <c r="W8" s="7">
        <v>0.20715909090909121</v>
      </c>
      <c r="Z8" s="4" t="s">
        <v>1759</v>
      </c>
      <c r="AA8" s="5">
        <v>41237.037299999967</v>
      </c>
      <c r="AC8" s="4" t="str">
        <f t="shared" si="0"/>
        <v>Haryana</v>
      </c>
      <c r="AD8" s="5">
        <f t="shared" si="1"/>
        <v>41237.037299999967</v>
      </c>
    </row>
    <row r="9" spans="2:30" x14ac:dyDescent="0.3">
      <c r="I9" s="4" t="s">
        <v>1718</v>
      </c>
      <c r="J9" s="5">
        <v>418653.24239999999</v>
      </c>
      <c r="K9" s="5">
        <v>39368.929700000008</v>
      </c>
      <c r="N9" s="4" t="s">
        <v>1726</v>
      </c>
      <c r="O9" s="5">
        <v>18.497971333333339</v>
      </c>
      <c r="R9" s="4" t="s">
        <v>1726</v>
      </c>
      <c r="S9" s="5">
        <v>273.0460700000001</v>
      </c>
      <c r="V9" s="4" t="s">
        <v>1739</v>
      </c>
      <c r="W9" s="7">
        <v>0.20236301369863094</v>
      </c>
      <c r="Z9" s="4" t="s">
        <v>1760</v>
      </c>
      <c r="AA9" s="5">
        <v>9622.2659999999978</v>
      </c>
      <c r="AC9" s="4" t="str">
        <f t="shared" si="0"/>
        <v>Jharkhand</v>
      </c>
      <c r="AD9" s="5">
        <f t="shared" si="1"/>
        <v>9622.2659999999978</v>
      </c>
    </row>
    <row r="10" spans="2:30" x14ac:dyDescent="0.3">
      <c r="N10" s="4" t="s">
        <v>1727</v>
      </c>
      <c r="O10" s="5">
        <v>26.400338709677413</v>
      </c>
      <c r="R10" s="4" t="s">
        <v>1727</v>
      </c>
      <c r="S10" s="5">
        <v>169.53394838709676</v>
      </c>
      <c r="V10" s="4" t="s">
        <v>1743</v>
      </c>
      <c r="W10" s="7">
        <v>0.1989265536723166</v>
      </c>
      <c r="Z10" s="4" t="s">
        <v>1761</v>
      </c>
      <c r="AA10" s="5">
        <v>41686.099000000009</v>
      </c>
      <c r="AC10" s="4" t="str">
        <f t="shared" si="0"/>
        <v>Karnataka</v>
      </c>
      <c r="AD10" s="5">
        <f t="shared" si="1"/>
        <v>41686.099000000009</v>
      </c>
    </row>
    <row r="11" spans="2:30" x14ac:dyDescent="0.3">
      <c r="N11" s="4" t="s">
        <v>1728</v>
      </c>
      <c r="O11" s="5">
        <v>-7.6186109677419269</v>
      </c>
      <c r="R11" s="4" t="s">
        <v>1728</v>
      </c>
      <c r="S11" s="5">
        <v>182.33713741935483</v>
      </c>
      <c r="V11" s="4" t="s">
        <v>1737</v>
      </c>
      <c r="W11" s="7">
        <v>0.19359550561797773</v>
      </c>
      <c r="Z11" s="4" t="s">
        <v>1763</v>
      </c>
      <c r="AA11" s="5">
        <v>33218.235999999997</v>
      </c>
      <c r="AC11" s="4" t="str">
        <f t="shared" si="0"/>
        <v>Maharashtra</v>
      </c>
      <c r="AD11" s="5">
        <f t="shared" si="1"/>
        <v>33218.235999999997</v>
      </c>
    </row>
    <row r="12" spans="2:30" x14ac:dyDescent="0.3">
      <c r="N12" s="4" t="s">
        <v>1729</v>
      </c>
      <c r="O12" s="5">
        <v>36.409194666666664</v>
      </c>
      <c r="R12" s="4" t="s">
        <v>1729</v>
      </c>
      <c r="S12" s="5">
        <v>311.54538666666667</v>
      </c>
      <c r="V12" s="4" t="s">
        <v>1741</v>
      </c>
      <c r="W12" s="7">
        <v>0.18920903954802276</v>
      </c>
      <c r="Z12" s="4" t="s">
        <v>1764</v>
      </c>
      <c r="AA12" s="5">
        <v>12818.862000000001</v>
      </c>
      <c r="AC12" s="4" t="str">
        <f t="shared" si="0"/>
        <v>Manipur</v>
      </c>
      <c r="AD12" s="5">
        <f t="shared" si="1"/>
        <v>12818.862000000001</v>
      </c>
    </row>
    <row r="13" spans="2:30" x14ac:dyDescent="0.3">
      <c r="N13" s="4" t="s">
        <v>1730</v>
      </c>
      <c r="O13" s="5">
        <v>24.547258709677433</v>
      </c>
      <c r="R13" s="4" t="s">
        <v>1730</v>
      </c>
      <c r="S13" s="5">
        <v>218.04057419354851</v>
      </c>
      <c r="V13" s="4" t="s">
        <v>1718</v>
      </c>
      <c r="W13" s="7">
        <v>0.20726725082146694</v>
      </c>
      <c r="Z13" s="4" t="s">
        <v>1765</v>
      </c>
      <c r="AA13" s="5">
        <v>15496.677500000002</v>
      </c>
      <c r="AC13" s="4" t="str">
        <f t="shared" si="0"/>
        <v>Meghalaya</v>
      </c>
      <c r="AD13" s="5">
        <f t="shared" si="1"/>
        <v>15496.677500000002</v>
      </c>
    </row>
    <row r="14" spans="2:30" x14ac:dyDescent="0.3">
      <c r="N14" s="4" t="s">
        <v>1731</v>
      </c>
      <c r="O14" s="5">
        <v>7.3203326666666646</v>
      </c>
      <c r="R14" s="4" t="s">
        <v>1731</v>
      </c>
      <c r="S14" s="5">
        <v>238.85248666666672</v>
      </c>
      <c r="Z14" s="4" t="s">
        <v>1766</v>
      </c>
      <c r="AA14" s="5">
        <v>15715.067000000006</v>
      </c>
      <c r="AC14" s="4" t="str">
        <f t="shared" si="0"/>
        <v>Mizoram</v>
      </c>
      <c r="AD14" s="5">
        <f t="shared" si="1"/>
        <v>15715.067000000006</v>
      </c>
    </row>
    <row r="15" spans="2:30" x14ac:dyDescent="0.3">
      <c r="N15" s="4" t="s">
        <v>1732</v>
      </c>
      <c r="O15" s="5">
        <v>40.326017419354827</v>
      </c>
      <c r="R15" s="4" t="s">
        <v>1732</v>
      </c>
      <c r="S15" s="5">
        <v>297.062529032258</v>
      </c>
      <c r="Z15" s="4" t="s">
        <v>1767</v>
      </c>
      <c r="AA15" s="5">
        <v>20406.743999999999</v>
      </c>
      <c r="AC15" s="4" t="str">
        <f t="shared" si="0"/>
        <v>Nagaland</v>
      </c>
      <c r="AD15" s="5">
        <f t="shared" si="1"/>
        <v>20406.743999999999</v>
      </c>
    </row>
    <row r="16" spans="2:30" x14ac:dyDescent="0.3">
      <c r="N16" s="4" t="s">
        <v>1718</v>
      </c>
      <c r="O16" s="5">
        <v>21.560202464403023</v>
      </c>
      <c r="R16" s="4" t="s">
        <v>1718</v>
      </c>
      <c r="S16" s="5">
        <v>229.27340766703227</v>
      </c>
      <c r="Z16" s="4" t="s">
        <v>1768</v>
      </c>
      <c r="AA16" s="5">
        <v>17596.224500000004</v>
      </c>
      <c r="AC16" s="4" t="str">
        <f t="shared" si="0"/>
        <v>Odisha</v>
      </c>
      <c r="AD16" s="5">
        <f t="shared" si="1"/>
        <v>17596.224500000004</v>
      </c>
    </row>
    <row r="17" spans="26:30" x14ac:dyDescent="0.3">
      <c r="Z17" s="4" t="s">
        <v>1769</v>
      </c>
      <c r="AA17" s="5">
        <v>11478.748</v>
      </c>
      <c r="AC17" s="4" t="str">
        <f t="shared" si="0"/>
        <v>Punjab</v>
      </c>
      <c r="AD17" s="5">
        <f t="shared" si="1"/>
        <v>11478.748</v>
      </c>
    </row>
    <row r="18" spans="26:30" x14ac:dyDescent="0.3">
      <c r="Z18" s="4" t="s">
        <v>1770</v>
      </c>
      <c r="AA18" s="5">
        <v>15973.617</v>
      </c>
      <c r="AC18" s="4" t="str">
        <f t="shared" si="0"/>
        <v>Rajasthan</v>
      </c>
      <c r="AD18" s="5">
        <f t="shared" si="1"/>
        <v>15973.617</v>
      </c>
    </row>
    <row r="19" spans="26:30" x14ac:dyDescent="0.3">
      <c r="Z19" s="4" t="s">
        <v>1772</v>
      </c>
      <c r="AA19" s="5">
        <v>33943.410999999986</v>
      </c>
      <c r="AC19" s="4" t="str">
        <f t="shared" si="0"/>
        <v>Tamil Nadu</v>
      </c>
      <c r="AD19" s="5">
        <f t="shared" si="1"/>
        <v>33943.410999999986</v>
      </c>
    </row>
    <row r="20" spans="26:30" x14ac:dyDescent="0.3">
      <c r="Z20" s="4" t="s">
        <v>1773</v>
      </c>
      <c r="AA20" s="5">
        <v>17897.766600000003</v>
      </c>
      <c r="AC20" s="4" t="str">
        <f t="shared" si="0"/>
        <v>Telangana</v>
      </c>
      <c r="AD20" s="5">
        <f t="shared" si="1"/>
        <v>17897.766600000003</v>
      </c>
    </row>
    <row r="21" spans="26:30" x14ac:dyDescent="0.3">
      <c r="Z21" s="4" t="s">
        <v>1774</v>
      </c>
      <c r="AA21" s="5">
        <v>13898.505999999998</v>
      </c>
      <c r="AC21" s="4" t="str">
        <f t="shared" si="0"/>
        <v>Tripura</v>
      </c>
      <c r="AD21" s="5">
        <f t="shared" si="1"/>
        <v>13898.505999999998</v>
      </c>
    </row>
    <row r="22" spans="26:30" x14ac:dyDescent="0.3">
      <c r="Z22" s="4" t="s">
        <v>1775</v>
      </c>
      <c r="AA22" s="5">
        <v>15016.013199999999</v>
      </c>
      <c r="AC22" s="4" t="str">
        <f t="shared" si="0"/>
        <v>Uttar Pradesh</v>
      </c>
      <c r="AD22" s="5">
        <f t="shared" si="1"/>
        <v>15016.013199999999</v>
      </c>
    </row>
    <row r="23" spans="26:30" x14ac:dyDescent="0.3">
      <c r="Z23" s="4" t="s">
        <v>1776</v>
      </c>
      <c r="AA23" s="5">
        <v>15744.773299999999</v>
      </c>
      <c r="AC23" s="4" t="str">
        <f t="shared" si="0"/>
        <v>West Bengal</v>
      </c>
      <c r="AD23" s="5">
        <f t="shared" si="1"/>
        <v>15744.773299999999</v>
      </c>
    </row>
    <row r="24" spans="26:30" x14ac:dyDescent="0.3">
      <c r="Z24" s="4" t="s">
        <v>1718</v>
      </c>
      <c r="AA24" s="5">
        <v>418653.24239999999</v>
      </c>
      <c r="AC24" s="4" t="str">
        <f t="shared" si="0"/>
        <v>Grand Total</v>
      </c>
      <c r="AD24" s="5">
        <f t="shared" si="1"/>
        <v>418653.24239999999</v>
      </c>
    </row>
    <row r="25" spans="26:30" x14ac:dyDescent="0.3">
      <c r="AC25" s="4">
        <f t="shared" si="0"/>
        <v>0</v>
      </c>
      <c r="AD25" s="5">
        <f t="shared" si="1"/>
        <v>0</v>
      </c>
    </row>
    <row r="26" spans="26:30" x14ac:dyDescent="0.3">
      <c r="AC26" s="4">
        <f t="shared" si="0"/>
        <v>0</v>
      </c>
      <c r="AD26" s="5">
        <f t="shared" si="1"/>
        <v>0</v>
      </c>
    </row>
    <row r="27" spans="26:30" x14ac:dyDescent="0.3">
      <c r="AC27" s="4">
        <f t="shared" si="0"/>
        <v>0</v>
      </c>
      <c r="AD27" s="5">
        <f t="shared" si="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D08DC-3970-47C3-9381-BA14D69C936E}">
  <sheetPr>
    <pageSetUpPr autoPageBreaks="0"/>
  </sheetPr>
  <dimension ref="D15:G34"/>
  <sheetViews>
    <sheetView showGridLines="0" tabSelected="1" zoomScale="92" zoomScaleNormal="80" workbookViewId="0">
      <selection activeCell="AD8" sqref="AD8"/>
    </sheetView>
  </sheetViews>
  <sheetFormatPr defaultRowHeight="14.4" x14ac:dyDescent="0.3"/>
  <cols>
    <col min="1" max="1" width="8.88671875" style="1"/>
    <col min="2" max="2" width="12.77734375" style="1" customWidth="1"/>
    <col min="3" max="3" width="3.88671875" style="1" customWidth="1"/>
    <col min="4" max="4" width="14.88671875" style="1" bestFit="1" customWidth="1"/>
    <col min="5" max="6" width="10.88671875" style="1" bestFit="1" customWidth="1"/>
    <col min="7" max="7" width="0.77734375" style="1" hidden="1" customWidth="1"/>
    <col min="8" max="8" width="14.21875" style="1" customWidth="1"/>
    <col min="9" max="16384" width="8.88671875" style="1"/>
  </cols>
  <sheetData>
    <row r="15" ht="9" customHeight="1" x14ac:dyDescent="0.3"/>
    <row r="23" spans="4:6" ht="15" thickBot="1" x14ac:dyDescent="0.35"/>
    <row r="24" spans="4:6" ht="16.2" thickBot="1" x14ac:dyDescent="0.35">
      <c r="D24" s="15" t="s">
        <v>1745</v>
      </c>
      <c r="E24" s="18" t="s">
        <v>1720</v>
      </c>
      <c r="F24" s="20" t="s">
        <v>1719</v>
      </c>
    </row>
    <row r="25" spans="4:6" x14ac:dyDescent="0.3">
      <c r="D25" s="21" t="s">
        <v>1736</v>
      </c>
      <c r="E25" s="12">
        <v>1375.2397999999996</v>
      </c>
      <c r="F25" s="19">
        <v>46749.906499999975</v>
      </c>
    </row>
    <row r="26" spans="4:6" x14ac:dyDescent="0.3">
      <c r="D26" s="9" t="s">
        <v>1737</v>
      </c>
      <c r="E26" s="13">
        <v>6616.0716999999995</v>
      </c>
      <c r="F26" s="10">
        <v>42026.630499999977</v>
      </c>
    </row>
    <row r="27" spans="4:6" x14ac:dyDescent="0.3">
      <c r="D27" s="9" t="s">
        <v>1738</v>
      </c>
      <c r="E27" s="13">
        <v>8121.1181999999935</v>
      </c>
      <c r="F27" s="10">
        <v>63163.442800000004</v>
      </c>
    </row>
    <row r="28" spans="4:6" x14ac:dyDescent="0.3">
      <c r="D28" s="9" t="s">
        <v>1739</v>
      </c>
      <c r="E28" s="13">
        <v>6122.5578999999989</v>
      </c>
      <c r="F28" s="10">
        <v>67103.637999999992</v>
      </c>
    </row>
    <row r="29" spans="4:6" x14ac:dyDescent="0.3">
      <c r="D29" s="9" t="s">
        <v>1740</v>
      </c>
      <c r="E29" s="13">
        <v>396.42050000000035</v>
      </c>
      <c r="F29" s="10">
        <v>33846.34600000002</v>
      </c>
    </row>
    <row r="30" spans="4:6" x14ac:dyDescent="0.3">
      <c r="D30" s="9" t="s">
        <v>1741</v>
      </c>
      <c r="E30" s="13">
        <v>161.672</v>
      </c>
      <c r="F30" s="10">
        <v>45930.500599999978</v>
      </c>
    </row>
    <row r="31" spans="4:6" x14ac:dyDescent="0.3">
      <c r="D31" s="9" t="s">
        <v>1742</v>
      </c>
      <c r="E31" s="13">
        <v>4797.1207000000004</v>
      </c>
      <c r="F31" s="10">
        <v>36810.272000000004</v>
      </c>
    </row>
    <row r="32" spans="4:6" x14ac:dyDescent="0.3">
      <c r="D32" s="9" t="s">
        <v>1743</v>
      </c>
      <c r="E32" s="13">
        <v>5052.9126999999971</v>
      </c>
      <c r="F32" s="10">
        <v>44442.133999999969</v>
      </c>
    </row>
    <row r="33" spans="4:6" ht="15" thickBot="1" x14ac:dyDescent="0.35">
      <c r="D33" s="16" t="s">
        <v>1744</v>
      </c>
      <c r="E33" s="13">
        <v>6725.8162000000002</v>
      </c>
      <c r="F33" s="10">
        <v>38580.371999999988</v>
      </c>
    </row>
    <row r="34" spans="4:6" ht="15.6" thickBot="1" x14ac:dyDescent="0.35">
      <c r="D34" s="17" t="s">
        <v>1718</v>
      </c>
      <c r="E34" s="14">
        <v>39368.929699999986</v>
      </c>
      <c r="F34" s="11">
        <v>418653.24239999987</v>
      </c>
    </row>
  </sheetData>
  <pageMargins left="0.7" right="0.7" top="0.75" bottom="0.75" header="0.3" footer="0.3"/>
  <pageSetup orientation="landscape"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21D15B-EEB1-41BC-B267-CCA9ECDFC0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Sheet2</vt:lpstr>
      <vt:lpstr>Sheet3</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Singhal</dc:creator>
  <cp:lastModifiedBy>Khushi Singhal</cp:lastModifiedBy>
  <cp:lastPrinted>2026-02-19T17:59:16Z</cp:lastPrinted>
  <dcterms:created xsi:type="dcterms:W3CDTF">2026-01-30T05:55:16Z</dcterms:created>
  <dcterms:modified xsi:type="dcterms:W3CDTF">2026-04-23T09:51:53Z</dcterms:modified>
</cp:coreProperties>
</file>